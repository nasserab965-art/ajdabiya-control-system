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1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6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0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2" fontId="13" fillId="9" borderId="1" applyAlignment="1" pivotButton="0" quotePrefix="0" xfId="1">
      <alignment horizontal="center" vertical="center"/>
    </xf>
    <xf numFmtId="165" fontId="15" fillId="9" borderId="1" applyAlignment="1" pivotButton="0" quotePrefix="0" xfId="0">
      <alignment horizontal="center" vertical="center"/>
    </xf>
    <xf numFmtId="3" fontId="4" fillId="0" borderId="2" applyAlignment="1" pivotButton="0" quotePrefix="0" xfId="1">
      <alignment horizontal="center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</cellXfs>
  <cellStyles count="2">
    <cellStyle name="Normal" xfId="0" builtinId="0"/>
    <cellStyle name="Normal 2" xfId="1"/>
  </cellStyles>
  <dxfs count="432"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386" headerRowBorderDxfId="385" tableBorderDxfId="384">
  <autoFilter ref="A1:AP366"/>
  <tableColumns count="42">
    <tableColumn id="1" name=" اليوم" dataDxfId="383" totalsRowDxfId="382" dataCellStyle="Normal 2"/>
    <tableColumn id="19" name="آبار منتجة TAZ" dataDxfId="381" totalsRowDxfId="380" dataCellStyle="Normal 2"/>
    <tableColumn id="18" name="الانتاج 1000 (م3) TAZ" dataDxfId="379" totalsRowDxfId="378" dataCellStyle="Normal 2"/>
    <tableColumn id="17" name="آبار عاملة TAZ" dataDxfId="377" totalsRowDxfId="376" dataCellStyle="Normal 2"/>
    <tableColumn id="16" name="آبار احتياطية" dataDxfId="375" totalsRowDxfId="374" dataCellStyle="Normal 2"/>
    <tableColumn id="26" name="آبار منتجة SAR" dataDxfId="373" totalsRowDxfId="372" dataCellStyle="Normal 2"/>
    <tableColumn id="25" name="إنتاج آبار  SAR" dataDxfId="371" totalsRowDxfId="370" dataCellStyle="Normal 2"/>
    <tableColumn id="24" name="آبار احتياطية  SAR" dataDxfId="369" totalsRowDxfId="368" dataCellStyle="Normal 2"/>
    <tableColumn id="8" name=" (T/B) SAR" dataDxfId="367" totalsRowDxfId="366" dataCellStyle="Normal 2"/>
    <tableColumn id="22" name=" (S/S) SAR" dataDxfId="365" totalsRowDxfId="364" dataCellStyle="Normal 2"/>
    <tableColumn id="38" name="(S/S+TB)SAR" dataDxfId="363" totalsRowDxfId="362" dataCellStyle="Normal 2">
      <calculatedColumnFormula>TABL12[[#This Row],[ (T/B) SAR]]+TABL12[[#This Row],[ (S/S) SAR]]</calculatedColumnFormula>
    </tableColumn>
    <tableColumn id="21" name="TAZ/SAR" dataDxfId="361" totalsRowDxfId="360" dataCellStyle="Normal 2"/>
    <tableColumn id="20" name=" % ECV SAR" dataDxfId="359" totalsRowDxfId="358" dataCellStyle="Normal 2"/>
    <tableColumn id="6" name="ECV (bar) SAR" dataDxfId="357" totalsRowDxfId="356" dataCellStyle="Normal 2"/>
    <tableColumn id="3" name="(S/S) AJD" dataDxfId="355" totalsRowDxfId="354"/>
    <tableColumn id="36" name="S/S_CON." dataDxfId="353" totalsRowDxfId="352">
      <calculatedColumnFormula>TABL12[[#This Row],[ (S/S) SAR]]-TABL12[[#This Row],[(S/S) AJD]]</calculatedColumnFormula>
    </tableColumn>
    <tableColumn id="5" name="(T/B) AJD" dataDxfId="351" totalsRowDxfId="350"/>
    <tableColumn id="35" name="T/B-CON." dataDxfId="349" totalsRowDxfId="348">
      <calculatedColumnFormula>TABL12[[#This Row],[ (T/B) SAR]]-TABL12[[#This Row],[(T/B) AJD]]</calculatedColumnFormula>
    </tableColumn>
    <tableColumn id="37" name="(S/S-T/B)-CON." dataDxfId="347" totalsRowDxfId="346">
      <calculatedColumnFormula>TABL12[[#This Row],[S/S_CON.]]+TABL12[[#This Row],[T/B-CON.]]</calculatedColumnFormula>
    </tableColumn>
    <tableColumn id="13" name="( S/S+T/B) AJD" dataDxfId="345" totalsRowDxfId="344">
      <calculatedColumnFormula>O2+Q2</calculatedColumnFormula>
    </tableColumn>
    <tableColumn id="7" name="(A/B) AJD" dataDxfId="343" totalsRowDxfId="342"/>
    <tableColumn id="9" name="(A/S) AJD" dataDxfId="341" totalsRowDxfId="340"/>
    <tableColumn id="14" name="(A/B + A/S) AJD" dataDxfId="339" totalsRowDxfId="338">
      <calculatedColumnFormula>U2+V2</calculatedColumnFormula>
    </tableColumn>
    <tableColumn id="15" name="(IN-OUT) AJD" dataDxfId="337" totalsRowDxfId="336">
      <calculatedColumnFormula>T2-W2</calculatedColumnFormula>
    </tableColumn>
    <tableColumn id="10" name="(RES. LEVEL) AJD" dataDxfId="335" totalsRowDxfId="334"/>
    <tableColumn id="11" name="(RESV. STORGE) AJD" dataDxfId="333" totalsRowDxfId="332"/>
    <tableColumn id="40" name="AJD_STORG.* 10" dataDxfId="331" totalsRowDxfId="330">
      <calculatedColumnFormula>TABL12[[#This Row],[(RESV. STORGE) AJD]]/10</calculatedColumnFormula>
    </tableColumn>
    <tableColumn id="4" name="(STORGE DIFF.) AJD" dataDxfId="329" totalsRowDxfId="328"/>
    <tableColumn id="12" name="AJD_Evaporation" dataDxfId="327" totalsRowDxfId="326" dataCellStyle="Normal 2">
      <calculatedColumnFormula>(Z2-Z1)/1000</calculatedColumnFormula>
    </tableColumn>
    <tableColumn id="39" name="AJD_LOSES" dataDxfId="325" totalsRowDxfId="324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23" totalsRowDxfId="322"/>
    <tableColumn id="31" name="(RES. LEVEL) BER" dataDxfId="321" totalsRowDxfId="320"/>
    <tableColumn id="28" name=" (RESV. STORGE) BER" dataDxfId="319" totalsRowDxfId="318"/>
    <tableColumn id="41" name="BER_STORG. * 10" dataDxfId="317" totalsRowDxfId="316">
      <calculatedColumnFormula>TABL12[[#This Row],[ (RESV. STORGE) BER]]/10</calculatedColumnFormula>
    </tableColumn>
    <tableColumn id="29" name="BER_Evap." dataDxfId="315" totalsRowDxfId="314"/>
    <tableColumn id="34" name="A/B_CON." totalsRowFunction="custom" dataDxfId="313" totalsRowDxfId="312">
      <calculatedColumnFormula>TABL12[[#This Row],[(A/B) AJD]]-TABL12[[#This Row],[BER_IN]]</calculatedColumnFormula>
      <totalsRowFormula>SUBTOTAL(109,TABL12[] TABL12[A/B_CON.] )</totalsRowFormula>
    </tableColumn>
    <tableColumn id="32" name="SER_IN" dataDxfId="311" totalsRowDxfId="310"/>
    <tableColumn id="33" name="(RES. LEVEL) SER " dataDxfId="309" totalsRowDxfId="308"/>
    <tableColumn id="27" name=" (RESV. STORGE) SER" dataDxfId="307" totalsRowDxfId="306"/>
    <tableColumn id="42" name="SER_STORG.* 10" dataDxfId="305" totalsRowDxfId="304">
      <calculatedColumnFormula>TABL12[[#This Row],[ (RESV. STORGE) SER]]/10</calculatedColumnFormula>
    </tableColumn>
    <tableColumn id="2" name="SER_Evap." dataDxfId="303" totalsRowDxfId="302"/>
    <tableColumn id="23" name="A/S_CON." dataDxfId="301" totalsRowDxfId="30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299" headerRowBorderDxfId="298" tableBorderDxfId="297">
  <autoFilter ref="A1:AP366"/>
  <tableColumns count="42">
    <tableColumn id="1" name=" اليوم" dataDxfId="296" totalsRowDxfId="39" dataCellStyle="Normal 2"/>
    <tableColumn id="19" name="آبار منتجة TAZ" dataDxfId="295" totalsRowDxfId="38" dataCellStyle="Normal 2"/>
    <tableColumn id="18" name="الانتاج 1000 (م3) TAZ" dataDxfId="294" totalsRowDxfId="37" dataCellStyle="Normal 2"/>
    <tableColumn id="17" name="آبار عاملة TAZ" dataDxfId="293" totalsRowDxfId="36" dataCellStyle="Normal 2"/>
    <tableColumn id="16" name="آبار احتياطية" dataDxfId="292" totalsRowDxfId="35" dataCellStyle="Normal 2"/>
    <tableColumn id="26" name="آبار منتجة SAR" dataDxfId="291" totalsRowDxfId="34" dataCellStyle="Normal 2"/>
    <tableColumn id="25" name="إنتاج آبار  SAR" dataDxfId="290" totalsRowDxfId="33" dataCellStyle="Normal 2"/>
    <tableColumn id="24" name="آبار احتياطية  SAR" dataDxfId="289" totalsRowDxfId="32" dataCellStyle="Normal 2">
      <calculatedColumnFormula>103-F2</calculatedColumnFormula>
    </tableColumn>
    <tableColumn id="8" name=" (T/B) SAR" dataDxfId="288" totalsRowDxfId="31" dataCellStyle="Normal 2"/>
    <tableColumn id="22" name=" (S/S) SAR" dataDxfId="287" totalsRowDxfId="30" dataCellStyle="Normal 2"/>
    <tableColumn id="38" name="(S/S+TB)SAR" dataDxfId="286" totalsRowDxfId="29" dataCellStyle="Normal 2">
      <calculatedColumnFormula>TABL123[[#This Row],[ (T/B) SAR]]+TABL123[[#This Row],[ (S/S) SAR]]</calculatedColumnFormula>
    </tableColumn>
    <tableColumn id="21" name="TAZ/SAR" dataDxfId="285" totalsRowDxfId="28" dataCellStyle="Normal 2"/>
    <tableColumn id="20" name=" % ECV SAR" dataDxfId="284" totalsRowDxfId="27" dataCellStyle="Normal 2"/>
    <tableColumn id="6" name="ECV (bar) SAR" dataDxfId="283" totalsRowDxfId="26" dataCellStyle="Normal 2"/>
    <tableColumn id="3" name="(S/S) AJD" dataDxfId="282" totalsRowDxfId="25"/>
    <tableColumn id="36" name="S/S_CON." dataDxfId="281" totalsRowDxfId="24">
      <calculatedColumnFormula>TABL123[[#This Row],[ (S/S) SAR]]-TABL123[[#This Row],[(S/S) AJD]]</calculatedColumnFormula>
    </tableColumn>
    <tableColumn id="5" name="(T/B) AJD" dataDxfId="280" totalsRowDxfId="23"/>
    <tableColumn id="35" name="T/B-CON." dataDxfId="279" totalsRowDxfId="22">
      <calculatedColumnFormula>TABL123[[#This Row],[ (T/B) SAR]]-TABL123[[#This Row],[(T/B) AJD]]</calculatedColumnFormula>
    </tableColumn>
    <tableColumn id="37" name="(S/S-T/B)-CON." dataDxfId="278" totalsRowDxfId="21">
      <calculatedColumnFormula>TABL123[[#This Row],[T/B-CON.]]+TABL123[[#This Row],[S/S_CON.]]</calculatedColumnFormula>
    </tableColumn>
    <tableColumn id="13" name="( S/S+T/B) AJD" dataDxfId="277" totalsRowDxfId="20">
      <calculatedColumnFormula>TABL123[[#This Row],[(S/S) AJD]]+TABL123[[#This Row],[(T/B) AJD]]</calculatedColumnFormula>
    </tableColumn>
    <tableColumn id="7" name="(A/B) AJD" dataDxfId="276" totalsRowDxfId="19"/>
    <tableColumn id="9" name="(A/S) AJD" dataDxfId="275" totalsRowDxfId="18"/>
    <tableColumn id="14" name="(A/B + A/S) AJD" dataDxfId="274" totalsRowDxfId="17">
      <calculatedColumnFormula>TABL123[[#This Row],[(A/B) AJD]]+TABL123[[#This Row],[(A/S) AJD]]</calculatedColumnFormula>
    </tableColumn>
    <tableColumn id="15" name="(IN-OUT) AJD" dataDxfId="273" totalsRowDxfId="16">
      <calculatedColumnFormula>TABL123[[#This Row],[( S/S+T/B) AJD]]-TABL123[[#This Row],[(A/B + A/S) AJD]]</calculatedColumnFormula>
    </tableColumn>
    <tableColumn id="10" name="(RES. LEVEL) AJD" dataDxfId="272" totalsRowDxfId="15"/>
    <tableColumn id="11" name="(RESV. STORGE) AJD" dataDxfId="271" totalsRowDxfId="14"/>
    <tableColumn id="40" name="AJD_STORG.* 10" dataDxfId="270" totalsRowDxfId="13" dataCellStyle="Normal 2">
      <calculatedColumnFormula>TABL123[[#This Row],[(RESV. STORGE) AJD]]/10</calculatedColumnFormula>
    </tableColumn>
    <tableColumn id="4" name="(STORGE DIFF.) AJD" dataDxfId="269" totalsRowDxfId="12"/>
    <tableColumn id="12" name="AJD_Evaporation" dataDxfId="268" totalsRowDxfId="11" dataCellStyle="Normal 2"/>
    <tableColumn id="39" name="AJD_LOSES" dataDxfId="267" totalsRowDxfId="10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266" totalsRowDxfId="9"/>
    <tableColumn id="31" name="(RES. LEVEL) BER" dataDxfId="265" totalsRowDxfId="8"/>
    <tableColumn id="28" name=" (RESV. STORGE) BER" dataDxfId="264" totalsRowDxfId="7"/>
    <tableColumn id="29" name="BER_STORG. * 10" dataDxfId="263" totalsRowDxfId="6"/>
    <tableColumn id="34" name="BER_Evap." dataDxfId="262" totalsRowDxfId="5"/>
    <tableColumn id="32" name="A/B_CON." dataDxfId="261" totalsRowDxfId="4">
      <calculatedColumnFormula>TABL123[[#This Row],[(A/B) AJD]]-TABL123[[#This Row],[BER_IN]]</calculatedColumnFormula>
    </tableColumn>
    <tableColumn id="33" name="SER_IN" dataDxfId="260" totalsRowDxfId="3"/>
    <tableColumn id="27" name="(RES. LEVEL) SER " dataDxfId="259" totalsRowDxfId="2"/>
    <tableColumn id="2" name=" (RESV. STORGE) SER" dataDxfId="258" totalsRowDxfId="1" dataCellStyle="Normal 2"/>
    <tableColumn id="23" name="SER_STORG.* 10" dataDxfId="257" totalsRowDxfId="0" dataCellStyle="Normal 2">
      <calculatedColumnFormula>TABL123[[#This Row],[ (RESV. STORGE) SER]]/10</calculatedColumnFormula>
    </tableColumn>
    <tableColumn id="42" name="SER_Evap." dataDxfId="256"/>
    <tableColumn id="43" name="A/S_CON." dataDxfId="255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254" headerRowBorderDxfId="253" tableBorderDxfId="252">
  <autoFilter ref="A1:AP366"/>
  <tableColumns count="42">
    <tableColumn id="1" name=" اليوم" dataDxfId="251" totalsRowDxfId="250" dataCellStyle="Normal 2"/>
    <tableColumn id="19" name="آبار منتجة TAZ" dataDxfId="249" totalsRowDxfId="248" dataCellStyle="Normal 2"/>
    <tableColumn id="18" name="الانتاج 1000 (م3) TAZ" dataDxfId="247" totalsRowDxfId="246" dataCellStyle="Normal 2"/>
    <tableColumn id="17" name="آبار عاملة TAZ" dataDxfId="245" totalsRowDxfId="244" dataCellStyle="Normal 2"/>
    <tableColumn id="16" name="آبار احتياطية" dataDxfId="243" totalsRowDxfId="242" dataCellStyle="Normal 2"/>
    <tableColumn id="26" name="آبار منتجة SAR" dataDxfId="241" totalsRowDxfId="240" dataCellStyle="Normal 2"/>
    <tableColumn id="25" name="إنتاج آبار  SAR" dataDxfId="239" totalsRowDxfId="238" dataCellStyle="Normal 2"/>
    <tableColumn id="24" name="آبار احتياطية  SAR" dataDxfId="237" totalsRowDxfId="236" dataCellStyle="Normal 2">
      <calculatedColumnFormula>103-F2</calculatedColumnFormula>
    </tableColumn>
    <tableColumn id="8" name=" (T/B) SAR" dataDxfId="235" totalsRowDxfId="234" dataCellStyle="Normal 2"/>
    <tableColumn id="22" name=" (S/S) SAR" dataDxfId="233" totalsRowDxfId="232" dataCellStyle="Normal 2"/>
    <tableColumn id="38" name="(S/S+TB)SAR" dataDxfId="231" totalsRowDxfId="230" dataCellStyle="Normal 2">
      <calculatedColumnFormula>TABL1234[[#This Row],[ (T/B) SAR]]+TABL1234[[#This Row],[ (S/S) SAR]]</calculatedColumnFormula>
    </tableColumn>
    <tableColumn id="21" name="TAZ/SAR" dataDxfId="229" totalsRowDxfId="228" dataCellStyle="Normal 2"/>
    <tableColumn id="20" name=" % ECV SAR" dataDxfId="227" totalsRowDxfId="226" dataCellStyle="Normal 2"/>
    <tableColumn id="6" name="ECV (bar) SAR" dataDxfId="225" totalsRowDxfId="224" dataCellStyle="Normal 2"/>
    <tableColumn id="3" name="(S/S) AJD" dataDxfId="223" totalsRowDxfId="222"/>
    <tableColumn id="36" name="S/S_CON." dataDxfId="221" totalsRowDxfId="220">
      <calculatedColumnFormula>TABL1234[[#This Row],[ (S/S) SAR]]-TABL1234[[#This Row],[(S/S) AJD]]</calculatedColumnFormula>
    </tableColumn>
    <tableColumn id="5" name="(T/B) AJD" dataDxfId="219" totalsRowDxfId="218"/>
    <tableColumn id="35" name="T/B-CON." dataDxfId="217" totalsRowDxfId="216">
      <calculatedColumnFormula>TABL1234[[#This Row],[ (T/B) SAR]]-TABL1234[[#This Row],[(T/B) AJD]]</calculatedColumnFormula>
    </tableColumn>
    <tableColumn id="37" name="(S/S-T/B)-CON." dataDxfId="215" totalsRowDxfId="214">
      <calculatedColumnFormula>TABL1234[[#This Row],[T/B-CON.]]+TABL1234[[#This Row],[S/S_CON.]]</calculatedColumnFormula>
    </tableColumn>
    <tableColumn id="13" name="( S/S+T/B) AJD" dataDxfId="213" totalsRowDxfId="212">
      <calculatedColumnFormula>TABL1234[[#This Row],[(S/S) AJD]]+TABL1234[[#This Row],[(T/B) AJD]]</calculatedColumnFormula>
    </tableColumn>
    <tableColumn id="7" name="(A/B) AJD" dataDxfId="211" totalsRowDxfId="210"/>
    <tableColumn id="9" name="(A/S) AJD" dataDxfId="209" totalsRowDxfId="208"/>
    <tableColumn id="14" name="(A/B + A/S) AJD" dataDxfId="207" totalsRowDxfId="206">
      <calculatedColumnFormula>TABL1234[[#This Row],[(A/B) AJD]]+TABL1234[[#This Row],[(A/S) AJD]]</calculatedColumnFormula>
    </tableColumn>
    <tableColumn id="15" name="(IN-OUT) AJD" dataDxfId="205" totalsRowDxfId="204">
      <calculatedColumnFormula>TABL1234[[#This Row],[( S/S+T/B) AJD]]-TABL1234[[#This Row],[(A/B + A/S) AJD]]</calculatedColumnFormula>
    </tableColumn>
    <tableColumn id="10" name="(RES. LEVEL) AJD" dataDxfId="203" totalsRowDxfId="202"/>
    <tableColumn id="11" name="(RESV. STORGE) AJD" dataDxfId="201" totalsRowDxfId="200"/>
    <tableColumn id="40" name="AJD_STORG.* 10" dataDxfId="199" totalsRowDxfId="198" dataCellStyle="Normal 2">
      <calculatedColumnFormula>TABL1234[[#This Row],[(RESV. STORGE) AJD]]/10</calculatedColumnFormula>
    </tableColumn>
    <tableColumn id="4" name="(STORGE DIFF.) AJD" dataDxfId="197" totalsRowDxfId="196">
      <calculatedColumnFormula>(TABL123[[#This Row],[(RESV. STORGE) AJD]]-500797)/1000</calculatedColumnFormula>
    </tableColumn>
    <tableColumn id="12" name="AJD_Evaporation" dataDxfId="195" totalsRowDxfId="194" dataCellStyle="Normal 2"/>
    <tableColumn id="39" name="AJD_LOSES" dataDxfId="193" totalsRowDxfId="192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191" totalsRowDxfId="190"/>
    <tableColumn id="31" name="(RES. LEVEL) BER" dataDxfId="189" totalsRowDxfId="188"/>
    <tableColumn id="28" name=" (RESV. STORGE) BER" dataDxfId="187" totalsRowDxfId="186"/>
    <tableColumn id="29" name="BER_STORG. * 10" dataDxfId="185" totalsRowDxfId="184"/>
    <tableColumn id="34" name="BER_Evap." dataDxfId="183" totalsRowDxfId="182"/>
    <tableColumn id="32" name="A/B_CON." dataDxfId="181" totalsRowDxfId="180">
      <calculatedColumnFormula>TABL1234[[#This Row],[(A/B) AJD]]-TABL1234[[#This Row],[BER_IN]]</calculatedColumnFormula>
    </tableColumn>
    <tableColumn id="33" name="SER_IN" dataDxfId="179" totalsRowDxfId="178"/>
    <tableColumn id="27" name="(RES. LEVEL) SER " dataDxfId="177" totalsRowDxfId="176"/>
    <tableColumn id="2" name=" (RESV. STORGE) SER" dataDxfId="175" totalsRowDxfId="174" dataCellStyle="Normal 2"/>
    <tableColumn id="23" name="SER_STORG.* 10" dataDxfId="173" totalsRowDxfId="172" dataCellStyle="Normal 2">
      <calculatedColumnFormula>TABL1234[[#This Row],[ (RESV. STORGE) SER]]/10</calculatedColumnFormula>
    </tableColumn>
    <tableColumn id="41" name="SER_Evap." dataDxfId="171"/>
    <tableColumn id="42" name="A/S_CON." dataDxfId="170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169" headerRowBorderDxfId="168" tableBorderDxfId="167">
  <autoFilter ref="A1:AP367"/>
  <tableColumns count="42">
    <tableColumn id="1" name=" اليوم" dataDxfId="166" totalsRowDxfId="165" dataCellStyle="Normal 2"/>
    <tableColumn id="19" name="آبار منتجة TAZ" dataDxfId="164" totalsRowDxfId="163" dataCellStyle="Normal 2"/>
    <tableColumn id="18" name="الانتاج 1000 (م3) TAZ" dataDxfId="162" totalsRowDxfId="161" dataCellStyle="Normal 2"/>
    <tableColumn id="17" name="آبار عاملة TAZ" dataDxfId="160" totalsRowDxfId="159" dataCellStyle="Normal 2"/>
    <tableColumn id="16" name="آبار احتياطية" dataDxfId="158" totalsRowDxfId="157" dataCellStyle="Normal 2"/>
    <tableColumn id="26" name="آبار منتجة SAR" dataDxfId="156" totalsRowDxfId="155" dataCellStyle="Normal 2"/>
    <tableColumn id="25" name="إنتاج آبار  SAR" dataDxfId="154" totalsRowDxfId="153" dataCellStyle="Normal 2"/>
    <tableColumn id="24" name="آبار احتياطية  SAR" dataDxfId="152" totalsRowDxfId="151" dataCellStyle="Normal 2"/>
    <tableColumn id="8" name=" (T/B) SAR" dataDxfId="150" totalsRowDxfId="149" dataCellStyle="Normal 2"/>
    <tableColumn id="22" name=" (S/S) SAR" dataDxfId="148" totalsRowDxfId="147" dataCellStyle="Normal 2"/>
    <tableColumn id="38" name="(S/S+TB)SAR" dataDxfId="146" totalsRowDxfId="145" dataCellStyle="Normal 2">
      <calculatedColumnFormula>TABL12345[[#This Row],[ (T/B) SAR]]+TABL12345[[#This Row],[ (S/S) SAR]]</calculatedColumnFormula>
    </tableColumn>
    <tableColumn id="21" name="TAZ/SAR" dataDxfId="144" totalsRowDxfId="143" dataCellStyle="Normal 2"/>
    <tableColumn id="20" name=" % ECV SAR" dataDxfId="142" totalsRowDxfId="141" dataCellStyle="Normal 2"/>
    <tableColumn id="6" name="ECV (bar) SAR" dataDxfId="140" totalsRowDxfId="139" dataCellStyle="Normal 2"/>
    <tableColumn id="3" name="(S/S) AJD" dataDxfId="138" totalsRowDxfId="137"/>
    <tableColumn id="36" name="S/S_CON." dataDxfId="136" totalsRowDxfId="135">
      <calculatedColumnFormula>TABL12345[[#This Row],[ (S/S) SAR]]-TABL12345[[#This Row],[(S/S) AJD]]</calculatedColumnFormula>
    </tableColumn>
    <tableColumn id="5" name="(T/B) AJD" dataDxfId="134" totalsRowDxfId="133"/>
    <tableColumn id="35" name="T/B-CON." dataDxfId="132" totalsRowDxfId="131">
      <calculatedColumnFormula>TABL12345[[#This Row],[ (T/B) SAR]]-TABL12345[[#This Row],[(T/B) AJD]]</calculatedColumnFormula>
    </tableColumn>
    <tableColumn id="37" name="(S/S-T/B)-CON." dataDxfId="130" totalsRowDxfId="129">
      <calculatedColumnFormula>TABL12345[[#This Row],[S/S_CON.]]+TABL12345[[#This Row],[T/B-CON.]]</calculatedColumnFormula>
    </tableColumn>
    <tableColumn id="13" name="( S/S+T/B) AJD" dataDxfId="128" totalsRowDxfId="127">
      <calculatedColumnFormula>O2+Q2</calculatedColumnFormula>
    </tableColumn>
    <tableColumn id="7" name="(A/B) AJD" dataDxfId="126" totalsRowDxfId="125"/>
    <tableColumn id="9" name="(A/S) AJD" dataDxfId="124" totalsRowDxfId="123"/>
    <tableColumn id="14" name="(A/B + A/S) AJD" dataDxfId="122" totalsRowDxfId="121">
      <calculatedColumnFormula>U2+V2</calculatedColumnFormula>
    </tableColumn>
    <tableColumn id="15" name="(IN-OUT) AJD" dataDxfId="120" totalsRowDxfId="119">
      <calculatedColumnFormula>T2-W2</calculatedColumnFormula>
    </tableColumn>
    <tableColumn id="10" name="(RES. LEVEL) AJD" dataDxfId="118" totalsRowDxfId="117"/>
    <tableColumn id="11" name="(RESV. STORGE) AJD" dataDxfId="116" totalsRowDxfId="115"/>
    <tableColumn id="40" name="AJD_STORG.* 10" dataDxfId="114" totalsRowDxfId="113" dataCellStyle="Normal 2">
      <calculatedColumnFormula>TABL12345[[#This Row],[(RESV. STORGE) AJD]]/10</calculatedColumnFormula>
    </tableColumn>
    <tableColumn id="4" name="(STORGE DIFF.) AJD" dataDxfId="112" totalsRowDxfId="111"/>
    <tableColumn id="12" name="AJD_Evaporation" dataDxfId="110" totalsRowDxfId="109" dataCellStyle="Normal 2"/>
    <tableColumn id="39" name="AJD_LOSES" dataDxfId="108" totalsRowDxfId="107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06" totalsRowDxfId="105"/>
    <tableColumn id="31" name="(RES. LEVEL) BER" dataDxfId="104" totalsRowDxfId="103"/>
    <tableColumn id="28" name=" (RESV. STORGE) BER" dataDxfId="102" totalsRowDxfId="101"/>
    <tableColumn id="29" name="BER_STORG. * 10" dataDxfId="100" totalsRowDxfId="99">
      <calculatedColumnFormula>TABL12345[[#This Row],[ (RESV. STORGE) BER]]/10</calculatedColumnFormula>
    </tableColumn>
    <tableColumn id="34" name="BER_Evap." dataDxfId="98" totalsRowDxfId="97"/>
    <tableColumn id="32" name="A/B_CON." dataDxfId="96" totalsRowDxfId="95">
      <calculatedColumnFormula>TABL12345[[#This Row],[(A/B) AJD]]-TABL12345[[#This Row],[BER_IN]]</calculatedColumnFormula>
    </tableColumn>
    <tableColumn id="33" name="SER_IN" dataDxfId="94" totalsRowDxfId="93"/>
    <tableColumn id="27" name="(RES. LEVEL) SER " dataDxfId="92" totalsRowDxfId="91"/>
    <tableColumn id="2" name=" (RESV. STORGE) SER" dataDxfId="90" totalsRowDxfId="89" dataCellStyle="Normal 2"/>
    <tableColumn id="23" name="SER_STORG.* 10" dataDxfId="88" totalsRowDxfId="87" dataCellStyle="Normal 2">
      <calculatedColumnFormula>TABL12345[[#This Row],[ (RESV. STORGE) SER]]/10</calculatedColumnFormula>
    </tableColumn>
    <tableColumn id="41" name="SER_Evap." dataDxfId="86"/>
    <tableColumn id="42" name="A/S_CON." dataDxfId="85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84" headerRowBorderDxfId="83" tableBorderDxfId="82">
  <autoFilter ref="A1:AP366"/>
  <tableColumns count="42">
    <tableColumn id="1" name=" اليوم" dataDxfId="81" dataCellStyle="Normal 2"/>
    <tableColumn id="2" name="آبار منتجة TAZ" dataDxfId="80"/>
    <tableColumn id="3" name="الانتاج 1000 (م3) TAZ" dataDxfId="79"/>
    <tableColumn id="4" name="آبار عاملة TAZ" dataDxfId="78"/>
    <tableColumn id="5" name="آبار احتياطية" dataDxfId="77"/>
    <tableColumn id="6" name="آبار منتجة SAR" dataDxfId="76"/>
    <tableColumn id="7" name="إنتاج آبار  SAR" dataDxfId="75"/>
    <tableColumn id="8" name="آبار احتياطية  SAR" dataDxfId="74"/>
    <tableColumn id="9" name=" (T/B) SAR" dataDxfId="73"/>
    <tableColumn id="10" name=" (S/S) SAR" dataDxfId="72"/>
    <tableColumn id="11" name="(S/S+TB)SAR" dataDxfId="71" dataCellStyle="Normal 2">
      <calculatedColumnFormula>Table5[[#This Row],[ (T/B) SAR]]+Table5[[#This Row],[ (S/S) SAR]]</calculatedColumnFormula>
    </tableColumn>
    <tableColumn id="12" name="TAZ/SAR" dataDxfId="70"/>
    <tableColumn id="13" name=" % ECV SAR" dataDxfId="69"/>
    <tableColumn id="14" name="ECV (bar) SAR" dataDxfId="68"/>
    <tableColumn id="15" name="(S/S) AJD" dataDxfId="67"/>
    <tableColumn id="16" name="S/S_CON." dataDxfId="66">
      <calculatedColumnFormula>Table5[[#This Row],[ (S/S) SAR]]-Table5[[#This Row],[(S/S) AJD]]</calculatedColumnFormula>
    </tableColumn>
    <tableColumn id="17" name="(T/B) AJD" dataDxfId="65"/>
    <tableColumn id="18" name="T/B-CON." dataDxfId="64">
      <calculatedColumnFormula>Table5[[#This Row],[ (T/B) SAR]]-Table5[[#This Row],[(T/B) AJD]]</calculatedColumnFormula>
    </tableColumn>
    <tableColumn id="19" name="(S/S-T/B)-CON." dataDxfId="63">
      <calculatedColumnFormula>Table5[[#This Row],[S/S_CON.]]+Table5[[#This Row],[T/B-CON.]]</calculatedColumnFormula>
    </tableColumn>
    <tableColumn id="20" name="( S/S+T/B) AJD" dataDxfId="62">
      <calculatedColumnFormula>O2+Q2</calculatedColumnFormula>
    </tableColumn>
    <tableColumn id="21" name="(A/B) AJD" dataDxfId="61"/>
    <tableColumn id="22" name="(A/S) AJD" dataDxfId="60"/>
    <tableColumn id="23" name="(A/B + A/S) AJD" dataDxfId="59">
      <calculatedColumnFormula>U2+V2</calculatedColumnFormula>
    </tableColumn>
    <tableColumn id="24" name="(IN-OUT) AJD" dataDxfId="58">
      <calculatedColumnFormula>T2-W2</calculatedColumnFormula>
    </tableColumn>
    <tableColumn id="25" name="(RES. LEVEL) AJD" dataDxfId="57"/>
    <tableColumn id="26" name="(RESV. STORGE) AJD" dataDxfId="56"/>
    <tableColumn id="27" name="AJD_STORG.* 10" dataDxfId="55" dataCellStyle="Normal 2">
      <calculatedColumnFormula>Table5[[#This Row],[(RESV. STORGE) AJD]]/10</calculatedColumnFormula>
    </tableColumn>
    <tableColumn id="28" name="(STORGE DIFF.) AJD" dataDxfId="54" dataCellStyle="Normal 2">
      <calculatedColumnFormula>IF(TRIM(Z2)="",,(Z2-Z1)/1000)</calculatedColumnFormula>
    </tableColumn>
    <tableColumn id="29" name="AJD_Evaporation" dataDxfId="53"/>
    <tableColumn id="30" name="AJD_LOSES" dataDxfId="52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51"/>
    <tableColumn id="32" name="(RES. LEVEL) BER" dataDxfId="50"/>
    <tableColumn id="33" name=" (RESV. STORGE) BER" dataDxfId="49"/>
    <tableColumn id="34" name="BER_STORG. * 10" dataDxfId="48">
      <calculatedColumnFormula>Table5[[#This Row],[ (RESV. STORGE) BER]]/10</calculatedColumnFormula>
    </tableColumn>
    <tableColumn id="35" name="BER_Evap." dataDxfId="47"/>
    <tableColumn id="36" name="A/B_CON." dataDxfId="46">
      <calculatedColumnFormula>Table5[[#This Row],[(A/B) AJD]]-Table5[[#This Row],[BER_IN]]</calculatedColumnFormula>
    </tableColumn>
    <tableColumn id="37" name="SER_IN" dataDxfId="45"/>
    <tableColumn id="38" name="(RES. LEVEL) SER " dataDxfId="44"/>
    <tableColumn id="39" name=" (RESV. STORGE) SER" dataDxfId="43" dataCellStyle="Normal 2"/>
    <tableColumn id="40" name="SER_STORG.* 10" dataDxfId="42" dataCellStyle="Normal 2">
      <calculatedColumnFormula>Table5[[#This Row],[ (RESV. STORGE) SER]]/10</calculatedColumnFormula>
    </tableColumn>
    <tableColumn id="41" name="SER_Evap." dataDxfId="41"/>
    <tableColumn id="42" name="A/S_CON." dataDxfId="40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431" headerRowBorderDxfId="430" tableBorderDxfId="429">
  <autoFilter ref="A1:AP366"/>
  <tableColumns count="42">
    <tableColumn id="1" name=" اليوم" dataDxfId="428" dataCellStyle="Normal 2"/>
    <tableColumn id="2" name="آبار منتجة TAZ" dataDxfId="427"/>
    <tableColumn id="3" name="الانتاج 1000 (م3) TAZ" dataDxfId="426"/>
    <tableColumn id="4" name="آبار عاملة TAZ" dataDxfId="425"/>
    <tableColumn id="5" name="آبار احتياطية" dataDxfId="424"/>
    <tableColumn id="6" name="آبار منتجة SAR" dataDxfId="423"/>
    <tableColumn id="7" name="إنتاج آبار  SAR" dataDxfId="422"/>
    <tableColumn id="8" name="آبار احتياطية  SAR" dataDxfId="421"/>
    <tableColumn id="9" name=" (T/B) SAR" dataDxfId="420"/>
    <tableColumn id="10" name=" (S/S) SAR" dataDxfId="419"/>
    <tableColumn id="11" name="(S/S+TB)SAR" dataDxfId="418" dataCellStyle="Normal 2">
      <calculatedColumnFormula>Table6[[#This Row],[ (T/B) SAR]]+Table6[[#This Row],[ (S/S) SAR]]</calculatedColumnFormula>
    </tableColumn>
    <tableColumn id="12" name="TAZ/SAR" dataDxfId="417"/>
    <tableColumn id="13" name=" % ECV SAR" dataDxfId="416"/>
    <tableColumn id="14" name="ECV (bar) SAR" dataDxfId="415"/>
    <tableColumn id="15" name="(S/S) AJD" dataDxfId="414"/>
    <tableColumn id="16" name="S/S_CON." dataDxfId="413">
      <calculatedColumnFormula>Table6[[#This Row],[ (S/S) SAR]]-Table6[[#This Row],[(S/S) AJD]]</calculatedColumnFormula>
    </tableColumn>
    <tableColumn id="17" name="(T/B) AJD" dataDxfId="412"/>
    <tableColumn id="18" name="T/B-CON." dataDxfId="411">
      <calculatedColumnFormula>Table6[[#This Row],[ (T/B) SAR]]-Table6[[#This Row],[(T/B) AJD]]</calculatedColumnFormula>
    </tableColumn>
    <tableColumn id="19" name="(S/S-T/B)-CON." dataDxfId="410">
      <calculatedColumnFormula>Table6[[#This Row],[S/S_CON.]]+Table6[[#This Row],[T/B-CON.]]</calculatedColumnFormula>
    </tableColumn>
    <tableColumn id="20" name="( S/S+T/B) AJD" dataDxfId="409">
      <calculatedColumnFormula>O2+Q2</calculatedColumnFormula>
    </tableColumn>
    <tableColumn id="21" name="(A/B) AJD" dataDxfId="408"/>
    <tableColumn id="22" name="(A/S) AJD" dataDxfId="407"/>
    <tableColumn id="23" name="(A/B + A/S) AJD" dataDxfId="406">
      <calculatedColumnFormula>U2+V2</calculatedColumnFormula>
    </tableColumn>
    <tableColumn id="24" name="(IN-OUT) AJD" dataDxfId="405">
      <calculatedColumnFormula>T2-W2</calculatedColumnFormula>
    </tableColumn>
    <tableColumn id="25" name="(RES. LEVEL) AJD" dataDxfId="404"/>
    <tableColumn id="26" name="(RESV. STORGE) AJD" dataDxfId="403"/>
    <tableColumn id="27" name="AJD_STORG.* 10" dataDxfId="402" dataCellStyle="Normal 2">
      <calculatedColumnFormula>Table6[[#This Row],[(RESV. STORGE) AJD]]/10</calculatedColumnFormula>
    </tableColumn>
    <tableColumn id="28" name="(STORGE DIFF.) AJD" dataDxfId="401" dataCellStyle="Normal 2">
      <calculatedColumnFormula>IF(TRIM(Z2)="",,(Z2-Z1)/1000)</calculatedColumnFormula>
    </tableColumn>
    <tableColumn id="29" name="AJD_Evaporation" dataDxfId="400"/>
    <tableColumn id="30" name="AJD_LOSES" dataDxfId="399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398"/>
    <tableColumn id="32" name="(RES. LEVEL) BER" dataDxfId="397"/>
    <tableColumn id="33" name=" (RESV. STORGE) BER" dataDxfId="396"/>
    <tableColumn id="34" name="BER_STORG. * 10" dataDxfId="395">
      <calculatedColumnFormula>Table6[[#This Row],[ (RESV. STORGE) BER]]/10</calculatedColumnFormula>
    </tableColumn>
    <tableColumn id="35" name="BER_Evap." dataDxfId="394"/>
    <tableColumn id="36" name="A/B_CON." dataDxfId="393">
      <calculatedColumnFormula>Table6[[#This Row],[(A/B) AJD]]-TABL12345[[#This Row],[BER_IN]]</calculatedColumnFormula>
    </tableColumn>
    <tableColumn id="37" name="SER_IN" dataDxfId="392"/>
    <tableColumn id="38" name="(RES. LEVEL) SER " dataDxfId="391"/>
    <tableColumn id="39" name=" (RESV. STORGE) SER" dataDxfId="390" dataCellStyle="Normal 2"/>
    <tableColumn id="40" name="SER_STORG.* 10" dataDxfId="389" dataCellStyle="Normal 2">
      <calculatedColumnFormula>Table6[[#This Row],[ (RESV. STORGE) SER]]/10</calculatedColumnFormula>
    </tableColumn>
    <tableColumn id="41" name="SER_Evap." dataDxfId="388"/>
    <tableColumn id="42" name="A/S_CON." dataDxfId="387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28" t="n">
        <v>37</v>
      </c>
      <c r="C2" s="28" t="n">
        <v>306</v>
      </c>
      <c r="D2" s="28" t="n">
        <v>37</v>
      </c>
      <c r="E2" s="28" t="n">
        <v>0</v>
      </c>
      <c r="F2" s="28" t="n">
        <v>87</v>
      </c>
      <c r="G2" s="28" t="n">
        <v>543</v>
      </c>
      <c r="H2" s="28" t="n">
        <v>1</v>
      </c>
      <c r="I2" s="28" t="n">
        <v>414</v>
      </c>
      <c r="J2" s="28" t="n">
        <v>433</v>
      </c>
      <c r="K2" s="28">
        <f>TABL12[[#This Row],[ (T/B) SAR]]+TABL12[[#This Row],[ (S/S) SAR]]</f>
        <v/>
      </c>
      <c r="L2" s="28" t="n">
        <v>312</v>
      </c>
      <c r="M2" s="29" t="n">
        <v>24.7</v>
      </c>
      <c r="N2" s="30" t="n">
        <v>7.31</v>
      </c>
      <c r="O2" s="3" t="n">
        <v>387</v>
      </c>
      <c r="P2" s="3">
        <f>TABL12[[#This Row],[ (S/S) SAR]]-TABL12[[#This Row],[(S/S) AJD]]</f>
        <v/>
      </c>
      <c r="Q2" s="3" t="n">
        <v>426</v>
      </c>
      <c r="R2" s="3">
        <f>TABL12[[#This Row],[ (T/B) SAR]]-TABL12[[#This Row],[(T/B) AJD]]</f>
        <v/>
      </c>
      <c r="S2" s="3">
        <f>TABL12[[#This Row],[S/S_CON.]]+TABL12[[#This Row],[T/B-CON.]]</f>
        <v/>
      </c>
      <c r="T2" s="3">
        <f>O2+Q2</f>
        <v/>
      </c>
      <c r="U2" s="3" t="n">
        <v>514</v>
      </c>
      <c r="V2" s="3" t="n">
        <v>264</v>
      </c>
      <c r="W2" s="3">
        <f>U2+V2</f>
        <v/>
      </c>
      <c r="X2" s="3">
        <f>T2-W2</f>
        <v/>
      </c>
      <c r="Y2" s="4" t="n">
        <v>93.852</v>
      </c>
      <c r="Z2" s="3" t="n">
        <v>1309529</v>
      </c>
      <c r="AA2" s="3">
        <f>TABL12[[#This Row],[(RESV. STORGE) AJD]]/10</f>
        <v/>
      </c>
      <c r="AB2" s="3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32">
        <f>TABL12[[#This Row],[(A/S) AJD]]-TABL12[[#This Row],[SER_IN]]</f>
        <v/>
      </c>
    </row>
    <row r="3">
      <c r="A3" s="2" t="n">
        <v>45659</v>
      </c>
      <c r="B3" s="28" t="n">
        <v>35</v>
      </c>
      <c r="C3" s="28" t="n">
        <v>306</v>
      </c>
      <c r="D3" s="28" t="n">
        <v>36</v>
      </c>
      <c r="E3" s="28" t="n">
        <v>0</v>
      </c>
      <c r="F3" s="28" t="n">
        <v>88</v>
      </c>
      <c r="G3" s="28" t="n">
        <v>543</v>
      </c>
      <c r="H3" s="28" t="n">
        <v>0</v>
      </c>
      <c r="I3" s="28" t="n">
        <v>408</v>
      </c>
      <c r="J3" s="28" t="n">
        <v>425</v>
      </c>
      <c r="K3" s="28">
        <f>TABL12[[#This Row],[ (T/B) SAR]]+TABL12[[#This Row],[ (S/S) SAR]]</f>
        <v/>
      </c>
      <c r="L3" s="28" t="n">
        <v>310</v>
      </c>
      <c r="M3" s="29" t="n">
        <v>24.3</v>
      </c>
      <c r="N3" s="30" t="n">
        <v>7.2</v>
      </c>
      <c r="O3" s="3" t="n">
        <v>386</v>
      </c>
      <c r="P3" s="3">
        <f>TABL12[[#This Row],[ (S/S) SAR]]-TABL12[[#This Row],[(S/S) AJD]]</f>
        <v/>
      </c>
      <c r="Q3" s="3" t="n">
        <v>425</v>
      </c>
      <c r="R3" s="3">
        <f>TABL12[[#This Row],[ (T/B) SAR]]-TABL12[[#This Row],[(T/B) AJD]]</f>
        <v/>
      </c>
      <c r="S3" s="3">
        <f>TABL12[[#This Row],[S/S_CON.]]+TABL12[[#This Row],[T/B-CON.]]</f>
        <v/>
      </c>
      <c r="T3" s="3">
        <f>O3+Q3</f>
        <v/>
      </c>
      <c r="U3" s="3" t="n">
        <v>513</v>
      </c>
      <c r="V3" s="3" t="n">
        <v>268</v>
      </c>
      <c r="W3" s="3">
        <f>U3+V3</f>
        <v/>
      </c>
      <c r="X3" s="3">
        <f>T3-W3</f>
        <v/>
      </c>
      <c r="Y3" s="4" t="n">
        <v>93.81999999999999</v>
      </c>
      <c r="Z3" s="3" t="n">
        <v>1290113</v>
      </c>
      <c r="AA3" s="3">
        <f>TABL12[[#This Row],[(RESV. STORGE) AJD]]/10</f>
        <v/>
      </c>
      <c r="AB3" s="3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32">
        <f>TABL12[[#This Row],[(A/S) AJD]]-TABL12[[#This Row],[SER_IN]]</f>
        <v/>
      </c>
    </row>
    <row r="4">
      <c r="A4" s="2" t="n">
        <v>45660</v>
      </c>
      <c r="B4" s="28" t="n">
        <v>36</v>
      </c>
      <c r="C4" s="28" t="n">
        <v>302</v>
      </c>
      <c r="D4" s="28" t="n">
        <v>36</v>
      </c>
      <c r="E4" s="28" t="n">
        <v>0</v>
      </c>
      <c r="F4" s="28" t="n">
        <v>88</v>
      </c>
      <c r="G4" s="28" t="n">
        <v>553</v>
      </c>
      <c r="H4" s="28" t="n">
        <v>0</v>
      </c>
      <c r="I4" s="28" t="n">
        <v>407</v>
      </c>
      <c r="J4" s="28" t="n">
        <v>425</v>
      </c>
      <c r="K4" s="28">
        <f>TABL12[[#This Row],[ (T/B) SAR]]+TABL12[[#This Row],[ (S/S) SAR]]</f>
        <v/>
      </c>
      <c r="L4" s="28" t="n">
        <v>295</v>
      </c>
      <c r="M4" s="29" t="n">
        <v>24.4</v>
      </c>
      <c r="N4" s="30" t="n">
        <v>7.18</v>
      </c>
      <c r="O4" s="3" t="n">
        <v>383</v>
      </c>
      <c r="P4" s="3">
        <f>TABL12[[#This Row],[ (S/S) SAR]]-TABL12[[#This Row],[(S/S) AJD]]</f>
        <v/>
      </c>
      <c r="Q4" s="3" t="n">
        <v>423</v>
      </c>
      <c r="R4" s="3">
        <f>TABL12[[#This Row],[ (T/B) SAR]]-TABL12[[#This Row],[(T/B) AJD]]</f>
        <v/>
      </c>
      <c r="S4" s="3">
        <f>TABL12[[#This Row],[S/S_CON.]]+TABL12[[#This Row],[T/B-CON.]]</f>
        <v/>
      </c>
      <c r="T4" s="3">
        <f>O4+Q4</f>
        <v/>
      </c>
      <c r="U4" s="3" t="n">
        <v>519</v>
      </c>
      <c r="V4" s="3" t="n">
        <v>259</v>
      </c>
      <c r="W4" s="3">
        <f>U4+V4</f>
        <v/>
      </c>
      <c r="X4" s="3">
        <f>T4-W4</f>
        <v/>
      </c>
      <c r="Y4" s="4" t="n">
        <v>93.73999999999999</v>
      </c>
      <c r="Z4" s="3" t="n">
        <v>1241611</v>
      </c>
      <c r="AA4" s="3">
        <f>TABL12[[#This Row],[(RESV. STORGE) AJD]]/10</f>
        <v/>
      </c>
      <c r="AB4" s="3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32">
        <f>TABL12[[#This Row],[(A/S) AJD]]-TABL12[[#This Row],[SER_IN]]</f>
        <v/>
      </c>
    </row>
    <row r="5">
      <c r="A5" s="2" t="n">
        <v>45661</v>
      </c>
      <c r="B5" s="28" t="n">
        <v>34</v>
      </c>
      <c r="C5" s="28" t="n">
        <v>290</v>
      </c>
      <c r="D5" s="28" t="n">
        <v>35</v>
      </c>
      <c r="E5" s="28" t="n">
        <v>0</v>
      </c>
      <c r="F5" s="28" t="n">
        <v>88</v>
      </c>
      <c r="G5" s="28" t="n">
        <v>539</v>
      </c>
      <c r="H5" s="28" t="n">
        <v>0</v>
      </c>
      <c r="I5" s="28" t="n">
        <v>401</v>
      </c>
      <c r="J5" s="28" t="n">
        <v>419</v>
      </c>
      <c r="K5" s="28">
        <f>TABL12[[#This Row],[ (T/B) SAR]]+TABL12[[#This Row],[ (S/S) SAR]]</f>
        <v/>
      </c>
      <c r="L5" s="28" t="n">
        <v>296</v>
      </c>
      <c r="M5" s="29" t="n">
        <v>24.4</v>
      </c>
      <c r="N5" s="30" t="n">
        <v>7.15</v>
      </c>
      <c r="O5" s="3" t="n">
        <v>377</v>
      </c>
      <c r="P5" s="3">
        <f>TABL12[[#This Row],[ (S/S) SAR]]-TABL12[[#This Row],[(S/S) AJD]]</f>
        <v/>
      </c>
      <c r="Q5" s="3" t="n">
        <v>416</v>
      </c>
      <c r="R5" s="3">
        <f>TABL12[[#This Row],[ (T/B) SAR]]-TABL12[[#This Row],[(T/B) AJD]]</f>
        <v/>
      </c>
      <c r="S5" s="3">
        <f>TABL12[[#This Row],[S/S_CON.]]+TABL12[[#This Row],[T/B-CON.]]</f>
        <v/>
      </c>
      <c r="T5" s="3">
        <f>O5+Q5</f>
        <v/>
      </c>
      <c r="U5" s="3" t="n">
        <v>520</v>
      </c>
      <c r="V5" s="3" t="n">
        <v>266</v>
      </c>
      <c r="W5" s="3">
        <f>U5+V5</f>
        <v/>
      </c>
      <c r="X5" s="3">
        <f>T5-W5</f>
        <v/>
      </c>
      <c r="Y5" s="4" t="n">
        <v>93.655</v>
      </c>
      <c r="Z5" s="3" t="n">
        <v>1190136</v>
      </c>
      <c r="AA5" s="3">
        <f>TABL12[[#This Row],[(RESV. STORGE) AJD]]/10</f>
        <v/>
      </c>
      <c r="AB5" s="3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32">
        <f>TABL12[[#This Row],[(A/S) AJD]]-TABL12[[#This Row],[SER_IN]]</f>
        <v/>
      </c>
    </row>
    <row r="6">
      <c r="A6" s="2" t="n">
        <v>45662</v>
      </c>
      <c r="B6" s="28" t="n">
        <v>36</v>
      </c>
      <c r="C6" s="28" t="n">
        <v>303</v>
      </c>
      <c r="D6" s="28" t="n">
        <v>36</v>
      </c>
      <c r="E6" s="28" t="n">
        <v>0</v>
      </c>
      <c r="F6" s="28" t="n">
        <v>88</v>
      </c>
      <c r="G6" s="28" t="n">
        <v>540</v>
      </c>
      <c r="H6" s="28" t="n">
        <v>0</v>
      </c>
      <c r="I6" s="28" t="n">
        <v>397</v>
      </c>
      <c r="J6" s="28" t="n">
        <v>413</v>
      </c>
      <c r="K6" s="28">
        <f>TABL12[[#This Row],[ (T/B) SAR]]+TABL12[[#This Row],[ (S/S) SAR]]</f>
        <v/>
      </c>
      <c r="L6" s="28" t="n">
        <v>286</v>
      </c>
      <c r="M6" s="29" t="n">
        <v>23.6</v>
      </c>
      <c r="N6" s="30" t="n">
        <v>7.19</v>
      </c>
      <c r="O6" s="3" t="n">
        <v>372</v>
      </c>
      <c r="P6" s="3">
        <f>TABL12[[#This Row],[ (S/S) SAR]]-TABL12[[#This Row],[(S/S) AJD]]</f>
        <v/>
      </c>
      <c r="Q6" s="3" t="n">
        <v>412</v>
      </c>
      <c r="R6" s="3">
        <f>TABL12[[#This Row],[ (T/B) SAR]]-TABL12[[#This Row],[(T/B) AJD]]</f>
        <v/>
      </c>
      <c r="S6" s="3">
        <f>TABL12[[#This Row],[S/S_CON.]]+TABL12[[#This Row],[T/B-CON.]]</f>
        <v/>
      </c>
      <c r="T6" s="3">
        <f>O6+Q6</f>
        <v/>
      </c>
      <c r="U6" s="3" t="n">
        <v>515</v>
      </c>
      <c r="V6" s="3" t="n">
        <v>263</v>
      </c>
      <c r="W6" s="3">
        <f>U6+V6</f>
        <v/>
      </c>
      <c r="X6" s="3">
        <f>T6-W6</f>
        <v/>
      </c>
      <c r="Y6" s="4" t="n">
        <v>93.598</v>
      </c>
      <c r="Z6" s="3" t="n">
        <v>1155652</v>
      </c>
      <c r="AA6" s="3">
        <f>TABL12[[#This Row],[(RESV. STORGE) AJD]]/10</f>
        <v/>
      </c>
      <c r="AB6" s="3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32">
        <f>TABL12[[#This Row],[(A/S) AJD]]-TABL12[[#This Row],[SER_IN]]</f>
        <v/>
      </c>
    </row>
    <row r="7">
      <c r="A7" s="2" t="n">
        <v>45663</v>
      </c>
      <c r="B7" s="28" t="n">
        <v>36</v>
      </c>
      <c r="C7" s="28" t="n">
        <v>308</v>
      </c>
      <c r="D7" s="28" t="n">
        <v>36</v>
      </c>
      <c r="E7" s="28" t="n">
        <v>0</v>
      </c>
      <c r="F7" s="28" t="n">
        <v>88</v>
      </c>
      <c r="G7" s="28" t="n">
        <v>533</v>
      </c>
      <c r="H7" s="28" t="n">
        <v>0</v>
      </c>
      <c r="I7" s="28" t="n">
        <v>401</v>
      </c>
      <c r="J7" s="28" t="n">
        <v>419</v>
      </c>
      <c r="K7" s="28">
        <f>TABL12[[#This Row],[ (T/B) SAR]]+TABL12[[#This Row],[ (S/S) SAR]]</f>
        <v/>
      </c>
      <c r="L7" s="28" t="n">
        <v>288</v>
      </c>
      <c r="M7" s="29" t="n">
        <v>23.6</v>
      </c>
      <c r="N7" s="30" t="n">
        <v>7.25</v>
      </c>
      <c r="O7" s="3" t="n">
        <v>369</v>
      </c>
      <c r="P7" s="3">
        <f>TABL12[[#This Row],[ (S/S) SAR]]-TABL12[[#This Row],[(S/S) AJD]]</f>
        <v/>
      </c>
      <c r="Q7" s="3" t="n">
        <v>410</v>
      </c>
      <c r="R7" s="3">
        <f>TABL12[[#This Row],[ (T/B) SAR]]-TABL12[[#This Row],[(T/B) AJD]]</f>
        <v/>
      </c>
      <c r="S7" s="3">
        <f>TABL12[[#This Row],[S/S_CON.]]+TABL12[[#This Row],[T/B-CON.]]</f>
        <v/>
      </c>
      <c r="T7" s="3">
        <f>O7+Q7</f>
        <v/>
      </c>
      <c r="U7" s="3" t="n">
        <v>516</v>
      </c>
      <c r="V7" s="3" t="n">
        <v>269</v>
      </c>
      <c r="W7" s="3">
        <f>U7+V7</f>
        <v/>
      </c>
      <c r="X7" s="3">
        <f>T7-W7</f>
        <v/>
      </c>
      <c r="Y7" s="4" t="n">
        <v>93.54000000000001</v>
      </c>
      <c r="Z7" s="3" t="n">
        <v>1120590</v>
      </c>
      <c r="AA7" s="3">
        <f>TABL12[[#This Row],[(RESV. STORGE) AJD]]/10</f>
        <v/>
      </c>
      <c r="AB7" s="3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32">
        <f>TABL12[[#This Row],[(A/S) AJD]]-TABL12[[#This Row],[SER_IN]]</f>
        <v/>
      </c>
    </row>
    <row r="8">
      <c r="A8" s="2" t="n">
        <v>45664</v>
      </c>
      <c r="B8" s="28" t="n">
        <v>36</v>
      </c>
      <c r="C8" s="28" t="n">
        <v>309</v>
      </c>
      <c r="D8" s="28" t="n">
        <v>36</v>
      </c>
      <c r="E8" s="28" t="n">
        <v>0</v>
      </c>
      <c r="F8" s="28" t="n">
        <v>88</v>
      </c>
      <c r="G8" s="28" t="n">
        <v>539</v>
      </c>
      <c r="H8" s="28" t="n">
        <v>0</v>
      </c>
      <c r="I8" s="28" t="n">
        <v>399</v>
      </c>
      <c r="J8" s="28" t="n">
        <v>417</v>
      </c>
      <c r="K8" s="28">
        <f>TABL12[[#This Row],[ (T/B) SAR]]+TABL12[[#This Row],[ (S/S) SAR]]</f>
        <v/>
      </c>
      <c r="L8" s="28" t="n">
        <v>287</v>
      </c>
      <c r="M8" s="29" t="n">
        <v>23.6</v>
      </c>
      <c r="N8" s="30" t="n">
        <v>7.34</v>
      </c>
      <c r="O8" s="3" t="n">
        <v>372</v>
      </c>
      <c r="P8" s="3">
        <f>TABL12[[#This Row],[ (S/S) SAR]]-TABL12[[#This Row],[(S/S) AJD]]</f>
        <v/>
      </c>
      <c r="Q8" s="3" t="n">
        <v>412</v>
      </c>
      <c r="R8" s="3">
        <f>TABL12[[#This Row],[ (T/B) SAR]]-TABL12[[#This Row],[(T/B) AJD]]</f>
        <v/>
      </c>
      <c r="S8" s="3">
        <f>TABL12[[#This Row],[S/S_CON.]]+TABL12[[#This Row],[T/B-CON.]]</f>
        <v/>
      </c>
      <c r="T8" s="3">
        <f>O8+Q8</f>
        <v/>
      </c>
      <c r="U8" s="3" t="n">
        <v>524</v>
      </c>
      <c r="V8" s="3" t="n">
        <v>267</v>
      </c>
      <c r="W8" s="3">
        <f>U8+V8</f>
        <v/>
      </c>
      <c r="X8" s="3">
        <f>T8-W8</f>
        <v/>
      </c>
      <c r="Y8" s="4" t="n">
        <v>93.45</v>
      </c>
      <c r="Z8" s="3" t="n">
        <v>1066239</v>
      </c>
      <c r="AA8" s="3">
        <f>TABL12[[#This Row],[(RESV. STORGE) AJD]]/10</f>
        <v/>
      </c>
      <c r="AB8" s="3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32">
        <f>TABL12[[#This Row],[(A/S) AJD]]-TABL12[[#This Row],[SER_IN]]</f>
        <v/>
      </c>
    </row>
    <row r="9">
      <c r="A9" s="2" t="n">
        <v>45665</v>
      </c>
      <c r="B9" s="28" t="n">
        <v>35</v>
      </c>
      <c r="C9" s="28" t="n">
        <v>298</v>
      </c>
      <c r="D9" s="28" t="n">
        <v>36</v>
      </c>
      <c r="E9" s="28" t="n">
        <v>0</v>
      </c>
      <c r="F9" s="28" t="n">
        <v>88</v>
      </c>
      <c r="G9" s="28" t="n">
        <v>540</v>
      </c>
      <c r="H9" s="28" t="n">
        <v>0</v>
      </c>
      <c r="I9" s="28" t="n">
        <v>402</v>
      </c>
      <c r="J9" s="28" t="n">
        <v>421</v>
      </c>
      <c r="K9" s="28">
        <f>TABL12[[#This Row],[ (T/B) SAR]]+TABL12[[#This Row],[ (S/S) SAR]]</f>
        <v/>
      </c>
      <c r="L9" s="28" t="n">
        <v>290</v>
      </c>
      <c r="M9" s="29" t="n">
        <v>23.6</v>
      </c>
      <c r="N9" s="30" t="n">
        <v>7.37</v>
      </c>
      <c r="O9" s="3" t="n">
        <v>374</v>
      </c>
      <c r="P9" s="3">
        <f>TABL12[[#This Row],[ (S/S) SAR]]-TABL12[[#This Row],[(S/S) AJD]]</f>
        <v/>
      </c>
      <c r="Q9" s="3" t="n">
        <v>414</v>
      </c>
      <c r="R9" s="3">
        <f>TABL12[[#This Row],[ (T/B) SAR]]-TABL12[[#This Row],[(T/B) AJD]]</f>
        <v/>
      </c>
      <c r="S9" s="3">
        <f>TABL12[[#This Row],[S/S_CON.]]+TABL12[[#This Row],[T/B-CON.]]</f>
        <v/>
      </c>
      <c r="T9" s="3">
        <f>O9+Q9</f>
        <v/>
      </c>
      <c r="U9" s="3" t="n">
        <v>518</v>
      </c>
      <c r="V9" s="3" t="n">
        <v>287</v>
      </c>
      <c r="W9" s="3">
        <f>U9+V9</f>
        <v/>
      </c>
      <c r="X9" s="3">
        <f>T9-W9</f>
        <v/>
      </c>
      <c r="Y9" s="4" t="n">
        <v>93.34099999999999</v>
      </c>
      <c r="Z9" s="3" t="n">
        <v>1000504</v>
      </c>
      <c r="AA9" s="3">
        <f>TABL12[[#This Row],[(RESV. STORGE) AJD]]/10</f>
        <v/>
      </c>
      <c r="AB9" s="3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32">
        <f>TABL12[[#This Row],[(A/S) AJD]]-TABL12[[#This Row],[SER_IN]]</f>
        <v/>
      </c>
    </row>
    <row r="10">
      <c r="A10" s="2" t="n">
        <v>45666</v>
      </c>
      <c r="B10" s="28" t="n">
        <v>36</v>
      </c>
      <c r="C10" s="28" t="n">
        <v>298</v>
      </c>
      <c r="D10" s="28" t="n">
        <v>37</v>
      </c>
      <c r="E10" s="28" t="n">
        <v>0</v>
      </c>
      <c r="F10" s="28" t="n">
        <v>87</v>
      </c>
      <c r="G10" s="28" t="n">
        <v>541</v>
      </c>
      <c r="H10" s="28" t="n">
        <v>1</v>
      </c>
      <c r="I10" s="28" t="n">
        <v>405</v>
      </c>
      <c r="J10" s="28" t="n">
        <v>423</v>
      </c>
      <c r="K10" s="28">
        <f>TABL12[[#This Row],[ (T/B) SAR]]+TABL12[[#This Row],[ (S/S) SAR]]</f>
        <v/>
      </c>
      <c r="L10" s="28" t="n">
        <v>289</v>
      </c>
      <c r="M10" s="29" t="n">
        <v>23.6</v>
      </c>
      <c r="N10" s="30" t="n">
        <v>7.38</v>
      </c>
      <c r="O10" s="3" t="n">
        <v>374</v>
      </c>
      <c r="P10" s="3">
        <f>TABL12[[#This Row],[ (S/S) SAR]]-TABL12[[#This Row],[(S/S) AJD]]</f>
        <v/>
      </c>
      <c r="Q10" s="3" t="n">
        <v>414</v>
      </c>
      <c r="R10" s="3">
        <f>TABL12[[#This Row],[ (T/B) SAR]]-TABL12[[#This Row],[(T/B) AJD]]</f>
        <v/>
      </c>
      <c r="S10" s="3">
        <f>TABL12[[#This Row],[S/S_CON.]]+TABL12[[#This Row],[T/B-CON.]]</f>
        <v/>
      </c>
      <c r="T10" s="3">
        <f>O10+Q10</f>
        <v/>
      </c>
      <c r="U10" s="3" t="n">
        <v>520</v>
      </c>
      <c r="V10" s="3" t="n">
        <v>287</v>
      </c>
      <c r="W10" s="3">
        <f>U10+V10</f>
        <v/>
      </c>
      <c r="X10" s="3">
        <f>T10-W10</f>
        <v/>
      </c>
      <c r="Y10" s="4" t="n">
        <v>93.256</v>
      </c>
      <c r="Z10" s="3" t="n">
        <v>949311</v>
      </c>
      <c r="AA10" s="3">
        <f>TABL12[[#This Row],[(RESV. STORGE) AJD]]/10</f>
        <v/>
      </c>
      <c r="AB10" s="3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32">
        <f>TABL12[[#This Row],[(A/S) AJD]]-TABL12[[#This Row],[SER_IN]]</f>
        <v/>
      </c>
    </row>
    <row r="11">
      <c r="A11" s="2" t="n">
        <v>45667</v>
      </c>
      <c r="B11" s="28" t="n">
        <v>36</v>
      </c>
      <c r="C11" s="28" t="n">
        <v>298</v>
      </c>
      <c r="D11" s="28" t="n">
        <v>37</v>
      </c>
      <c r="E11" s="28" t="n">
        <v>0</v>
      </c>
      <c r="F11" s="28" t="n">
        <v>86</v>
      </c>
      <c r="G11" s="28" t="n">
        <v>547</v>
      </c>
      <c r="H11" s="28" t="n">
        <v>2</v>
      </c>
      <c r="I11" s="28" t="n">
        <v>404</v>
      </c>
      <c r="J11" s="28" t="n">
        <v>423</v>
      </c>
      <c r="K11" s="28">
        <f>TABL12[[#This Row],[ (T/B) SAR]]+TABL12[[#This Row],[ (S/S) SAR]]</f>
        <v/>
      </c>
      <c r="L11" s="28" t="n">
        <v>290</v>
      </c>
      <c r="M11" s="29" t="n">
        <v>23.6</v>
      </c>
      <c r="N11" s="30" t="n">
        <v>7.45</v>
      </c>
      <c r="O11" s="3" t="n">
        <v>377</v>
      </c>
      <c r="P11" s="3">
        <f>TABL12[[#This Row],[ (S/S) SAR]]-TABL12[[#This Row],[(S/S) AJD]]</f>
        <v/>
      </c>
      <c r="Q11" s="3" t="n">
        <v>418</v>
      </c>
      <c r="R11" s="3">
        <f>TABL12[[#This Row],[ (T/B) SAR]]-TABL12[[#This Row],[(T/B) AJD]]</f>
        <v/>
      </c>
      <c r="S11" s="3">
        <f>TABL12[[#This Row],[S/S_CON.]]+TABL12[[#This Row],[T/B-CON.]]</f>
        <v/>
      </c>
      <c r="T11" s="3">
        <f>O11+Q11</f>
        <v/>
      </c>
      <c r="U11" s="3" t="n">
        <v>514</v>
      </c>
      <c r="V11" s="3" t="n">
        <v>256</v>
      </c>
      <c r="W11" s="3">
        <f>U11+V11</f>
        <v/>
      </c>
      <c r="X11" s="3">
        <f>T11-W11</f>
        <v/>
      </c>
      <c r="Y11" s="4" t="n">
        <v>93.258</v>
      </c>
      <c r="Z11" s="3" t="n">
        <v>950514</v>
      </c>
      <c r="AA11" s="3">
        <f>TABL12[[#This Row],[(RESV. STORGE) AJD]]/10</f>
        <v/>
      </c>
      <c r="AB11" s="3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32">
        <f>TABL12[[#This Row],[(A/S) AJD]]-TABL12[[#This Row],[SER_IN]]</f>
        <v/>
      </c>
    </row>
    <row r="12">
      <c r="A12" s="2" t="n">
        <v>45668</v>
      </c>
      <c r="B12" s="28" t="n">
        <v>38</v>
      </c>
      <c r="C12" s="28" t="n">
        <v>328</v>
      </c>
      <c r="D12" s="28" t="n">
        <v>38</v>
      </c>
      <c r="E12" s="28" t="n">
        <v>0</v>
      </c>
      <c r="F12" s="28" t="n">
        <v>86</v>
      </c>
      <c r="G12" s="28" t="n">
        <v>546</v>
      </c>
      <c r="H12" s="28" t="n">
        <v>2</v>
      </c>
      <c r="I12" s="28" t="n">
        <v>424</v>
      </c>
      <c r="J12" s="28" t="n">
        <v>405</v>
      </c>
      <c r="K12" s="28">
        <f>TABL12[[#This Row],[ (T/B) SAR]]+TABL12[[#This Row],[ (S/S) SAR]]</f>
        <v/>
      </c>
      <c r="L12" s="28" t="n">
        <v>292</v>
      </c>
      <c r="M12" s="29" t="n">
        <v>23.6</v>
      </c>
      <c r="N12" s="30" t="n">
        <v>7.58</v>
      </c>
      <c r="O12" s="3" t="n">
        <v>378</v>
      </c>
      <c r="P12" s="3">
        <f>TABL12[[#This Row],[ (S/S) SAR]]-TABL12[[#This Row],[(S/S) AJD]]</f>
        <v/>
      </c>
      <c r="Q12" s="3" t="n">
        <v>418</v>
      </c>
      <c r="R12" s="3">
        <f>TABL12[[#This Row],[ (T/B) SAR]]-TABL12[[#This Row],[(T/B) AJD]]</f>
        <v/>
      </c>
      <c r="S12" s="3">
        <f>TABL12[[#This Row],[S/S_CON.]]+TABL12[[#This Row],[T/B-CON.]]</f>
        <v/>
      </c>
      <c r="T12" s="3">
        <f>O12+Q12</f>
        <v/>
      </c>
      <c r="U12" s="3" t="n">
        <v>519</v>
      </c>
      <c r="V12" s="3" t="n">
        <v>253</v>
      </c>
      <c r="W12" s="3">
        <f>U12+V12</f>
        <v/>
      </c>
      <c r="X12" s="3">
        <f>T12-W12</f>
        <v/>
      </c>
      <c r="Y12" s="4" t="n">
        <v>93.248</v>
      </c>
      <c r="Z12" s="3" t="n">
        <v>944496</v>
      </c>
      <c r="AA12" s="3">
        <f>TABL12[[#This Row],[(RESV. STORGE) AJD]]/10</f>
        <v/>
      </c>
      <c r="AB12" s="3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32">
        <f>TABL12[[#This Row],[(A/S) AJD]]-TABL12[[#This Row],[SER_IN]]</f>
        <v/>
      </c>
    </row>
    <row r="13">
      <c r="A13" s="2" t="n">
        <v>45669</v>
      </c>
      <c r="B13" s="28" t="n">
        <v>38</v>
      </c>
      <c r="C13" s="28" t="n">
        <v>319</v>
      </c>
      <c r="D13" s="28" t="n">
        <v>38</v>
      </c>
      <c r="E13" s="28" t="n">
        <v>0</v>
      </c>
      <c r="F13" s="28" t="n">
        <v>87</v>
      </c>
      <c r="G13" s="28" t="n">
        <v>546</v>
      </c>
      <c r="H13" s="28" t="n">
        <v>1</v>
      </c>
      <c r="I13" s="28" t="n">
        <v>409</v>
      </c>
      <c r="J13" s="28" t="n">
        <v>428</v>
      </c>
      <c r="K13" s="28">
        <f>TABL12[[#This Row],[ (T/B) SAR]]+TABL12[[#This Row],[ (S/S) SAR]]</f>
        <v/>
      </c>
      <c r="L13" s="28" t="n">
        <v>294</v>
      </c>
      <c r="M13" s="29" t="n">
        <v>23.6</v>
      </c>
      <c r="N13" s="30" t="n">
        <v>7.68</v>
      </c>
      <c r="O13" s="3" t="n">
        <v>379</v>
      </c>
      <c r="P13" s="3">
        <f>TABL12[[#This Row],[ (S/S) SAR]]-TABL12[[#This Row],[(S/S) AJD]]</f>
        <v/>
      </c>
      <c r="Q13" s="3" t="n">
        <v>419</v>
      </c>
      <c r="R13" s="3">
        <f>TABL12[[#This Row],[ (T/B) SAR]]-TABL12[[#This Row],[(T/B) AJD]]</f>
        <v/>
      </c>
      <c r="S13" s="3">
        <f>TABL12[[#This Row],[S/S_CON.]]+TABL12[[#This Row],[T/B-CON.]]</f>
        <v/>
      </c>
      <c r="T13" s="3">
        <f>O13+Q13</f>
        <v/>
      </c>
      <c r="U13" s="3" t="n">
        <v>511</v>
      </c>
      <c r="V13" s="3" t="n">
        <v>267</v>
      </c>
      <c r="W13" s="3">
        <f>U13+V13</f>
        <v/>
      </c>
      <c r="X13" s="3">
        <f>T13-W13</f>
        <v/>
      </c>
      <c r="Y13" s="4" t="n">
        <v>93.241</v>
      </c>
      <c r="Z13" s="3" t="n">
        <v>940283</v>
      </c>
      <c r="AA13" s="3">
        <f>TABL12[[#This Row],[(RESV. STORGE) AJD]]/10</f>
        <v/>
      </c>
      <c r="AB13" s="3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32">
        <f>TABL12[[#This Row],[(A/S) AJD]]-TABL12[[#This Row],[SER_IN]]</f>
        <v/>
      </c>
    </row>
    <row r="14">
      <c r="A14" s="2" t="n">
        <v>45670</v>
      </c>
      <c r="B14" s="28" t="n">
        <v>38</v>
      </c>
      <c r="C14" s="28" t="n">
        <v>320</v>
      </c>
      <c r="D14" s="28" t="n">
        <v>38</v>
      </c>
      <c r="E14" s="28" t="n">
        <v>0</v>
      </c>
      <c r="F14" s="28" t="n">
        <v>88</v>
      </c>
      <c r="G14" s="28" t="n">
        <v>568.48</v>
      </c>
      <c r="H14" s="28" t="n">
        <v>0</v>
      </c>
      <c r="I14" s="28" t="n">
        <v>444.74</v>
      </c>
      <c r="J14" s="28" t="n">
        <v>440.74</v>
      </c>
      <c r="K14" s="28">
        <f>TABL12[[#This Row],[ (T/B) SAR]]+TABL12[[#This Row],[ (S/S) SAR]]</f>
        <v/>
      </c>
      <c r="L14" s="28" t="n">
        <v>317</v>
      </c>
      <c r="M14" s="29" t="n">
        <v>23.6</v>
      </c>
      <c r="N14" s="30" t="n">
        <v>7.77</v>
      </c>
      <c r="O14" s="3" t="n">
        <v>383</v>
      </c>
      <c r="P14" s="3">
        <f>TABL12[[#This Row],[ (S/S) SAR]]-TABL12[[#This Row],[(S/S) AJD]]</f>
        <v/>
      </c>
      <c r="Q14" s="3" t="n">
        <v>424</v>
      </c>
      <c r="R14" s="3">
        <f>TABL12[[#This Row],[ (T/B) SAR]]-TABL12[[#This Row],[(T/B) AJD]]</f>
        <v/>
      </c>
      <c r="S14" s="3">
        <f>TABL12[[#This Row],[S/S_CON.]]+TABL12[[#This Row],[T/B-CON.]]</f>
        <v/>
      </c>
      <c r="T14" s="3">
        <f>O14+Q14</f>
        <v/>
      </c>
      <c r="U14" s="3" t="n">
        <v>518</v>
      </c>
      <c r="V14" s="3" t="n">
        <v>275</v>
      </c>
      <c r="W14" s="3">
        <f>U14+V14</f>
        <v/>
      </c>
      <c r="X14" s="3">
        <f>T14-W14</f>
        <v/>
      </c>
      <c r="Y14" s="4" t="n">
        <v>93.218</v>
      </c>
      <c r="Z14" s="3" t="n">
        <v>926444</v>
      </c>
      <c r="AA14" s="3">
        <f>TABL12[[#This Row],[(RESV. STORGE) AJD]]/10</f>
        <v/>
      </c>
      <c r="AB14" s="3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32">
        <f>TABL12[[#This Row],[(A/S) AJD]]-TABL12[[#This Row],[SER_IN]]</f>
        <v/>
      </c>
    </row>
    <row r="15">
      <c r="A15" s="2" t="n">
        <v>45671</v>
      </c>
      <c r="B15" s="28" t="n">
        <v>38</v>
      </c>
      <c r="C15" s="28" t="n">
        <v>321</v>
      </c>
      <c r="D15" s="28" t="n">
        <v>38</v>
      </c>
      <c r="E15" s="28" t="n">
        <v>0</v>
      </c>
      <c r="F15" s="28" t="n">
        <v>88</v>
      </c>
      <c r="G15" s="28" t="n">
        <v>569.36</v>
      </c>
      <c r="H15" s="28" t="n">
        <v>0</v>
      </c>
      <c r="I15" s="28" t="n">
        <v>445.68</v>
      </c>
      <c r="J15" s="28" t="n">
        <v>441.68</v>
      </c>
      <c r="K15" s="28">
        <f>TABL12[[#This Row],[ (T/B) SAR]]+TABL12[[#This Row],[ (S/S) SAR]]</f>
        <v/>
      </c>
      <c r="L15" s="28" t="n">
        <v>318</v>
      </c>
      <c r="M15" s="29" t="n">
        <v>23.6</v>
      </c>
      <c r="N15" s="30" t="n">
        <v>7.9</v>
      </c>
      <c r="O15" s="3" t="n">
        <v>387</v>
      </c>
      <c r="P15" s="3">
        <f>TABL12[[#This Row],[ (S/S) SAR]]-TABL12[[#This Row],[(S/S) AJD]]</f>
        <v/>
      </c>
      <c r="Q15" s="3" t="n">
        <v>427</v>
      </c>
      <c r="R15" s="3">
        <f>TABL12[[#This Row],[ (T/B) SAR]]-TABL12[[#This Row],[(T/B) AJD]]</f>
        <v/>
      </c>
      <c r="S15" s="3">
        <f>TABL12[[#This Row],[S/S_CON.]]+TABL12[[#This Row],[T/B-CON.]]</f>
        <v/>
      </c>
      <c r="T15" s="3">
        <f>O15+Q15</f>
        <v/>
      </c>
      <c r="U15" s="3" t="n">
        <v>512</v>
      </c>
      <c r="V15" s="3" t="n">
        <v>282</v>
      </c>
      <c r="W15" s="3">
        <f>U15+V15</f>
        <v/>
      </c>
      <c r="X15" s="3">
        <f>T15-W15</f>
        <v/>
      </c>
      <c r="Y15" s="4" t="n">
        <v>93.176</v>
      </c>
      <c r="Z15" s="3" t="n">
        <v>901184</v>
      </c>
      <c r="AA15" s="3">
        <f>TABL12[[#This Row],[(RESV. STORGE) AJD]]/10</f>
        <v/>
      </c>
      <c r="AB15" s="3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32">
        <f>TABL12[[#This Row],[(A/S) AJD]]-TABL12[[#This Row],[SER_IN]]</f>
        <v/>
      </c>
    </row>
    <row r="16">
      <c r="A16" s="2" t="n">
        <v>45672</v>
      </c>
      <c r="B16" s="28" t="n">
        <v>38</v>
      </c>
      <c r="C16" s="28" t="n">
        <v>328</v>
      </c>
      <c r="D16" s="28" t="n">
        <v>38</v>
      </c>
      <c r="E16" s="28" t="n">
        <v>0</v>
      </c>
      <c r="F16" s="28" t="n">
        <v>88</v>
      </c>
      <c r="G16" s="28" t="n">
        <v>564.9599999999999</v>
      </c>
      <c r="H16" s="28" t="n">
        <v>0</v>
      </c>
      <c r="I16" s="28" t="n">
        <v>447.98</v>
      </c>
      <c r="J16" s="28" t="n">
        <v>443.98</v>
      </c>
      <c r="K16" s="28">
        <f>TABL12[[#This Row],[ (T/B) SAR]]+TABL12[[#This Row],[ (S/S) SAR]]</f>
        <v/>
      </c>
      <c r="L16" s="28" t="n">
        <v>327</v>
      </c>
      <c r="M16" s="29" t="n">
        <v>23.6</v>
      </c>
      <c r="N16" s="30" t="n">
        <v>7.97</v>
      </c>
      <c r="O16" s="3" t="n">
        <v>387</v>
      </c>
      <c r="P16" s="3">
        <f>TABL12[[#This Row],[ (S/S) SAR]]-TABL12[[#This Row],[(S/S) AJD]]</f>
        <v/>
      </c>
      <c r="Q16" s="3" t="n">
        <v>428</v>
      </c>
      <c r="R16" s="3">
        <f>TABL12[[#This Row],[ (T/B) SAR]]-TABL12[[#This Row],[(T/B) AJD]]</f>
        <v/>
      </c>
      <c r="S16" s="3">
        <f>TABL12[[#This Row],[S/S_CON.]]+TABL12[[#This Row],[T/B-CON.]]</f>
        <v/>
      </c>
      <c r="T16" s="3">
        <f>O16+Q16</f>
        <v/>
      </c>
      <c r="U16" s="3" t="n">
        <v>503</v>
      </c>
      <c r="V16" s="3" t="n">
        <v>264</v>
      </c>
      <c r="W16" s="3">
        <f>U16+V16</f>
        <v/>
      </c>
      <c r="X16" s="3">
        <f>T16-W16</f>
        <v/>
      </c>
      <c r="Y16" s="4" t="n">
        <v>93.20099999999999</v>
      </c>
      <c r="Z16" s="3" t="n">
        <v>916218</v>
      </c>
      <c r="AA16" s="3">
        <f>TABL12[[#This Row],[(RESV. STORGE) AJD]]/10</f>
        <v/>
      </c>
      <c r="AB16" s="3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32">
        <f>TABL12[[#This Row],[(A/S) AJD]]-TABL12[[#This Row],[SER_IN]]</f>
        <v/>
      </c>
    </row>
    <row r="17">
      <c r="A17" s="2" t="n">
        <v>45673</v>
      </c>
      <c r="B17" s="28" t="n">
        <v>38</v>
      </c>
      <c r="C17" s="28" t="n">
        <v>307</v>
      </c>
      <c r="D17" s="28" t="n">
        <v>38</v>
      </c>
      <c r="E17" s="28" t="n">
        <v>0</v>
      </c>
      <c r="F17" s="28" t="n">
        <v>88</v>
      </c>
      <c r="G17" s="28" t="n">
        <v>568.48</v>
      </c>
      <c r="H17" s="28" t="n">
        <v>0</v>
      </c>
      <c r="I17" s="28" t="n">
        <v>438.24</v>
      </c>
      <c r="J17" s="28" t="n">
        <v>434.24</v>
      </c>
      <c r="K17" s="28">
        <f>TABL12[[#This Row],[ (T/B) SAR]]+TABL12[[#This Row],[ (S/S) SAR]]</f>
        <v/>
      </c>
      <c r="L17" s="28" t="n">
        <v>304</v>
      </c>
      <c r="M17" s="29" t="n">
        <v>24.2</v>
      </c>
      <c r="N17" s="30" t="n">
        <v>7.95</v>
      </c>
      <c r="O17" s="3" t="n">
        <v>389</v>
      </c>
      <c r="P17" s="3">
        <f>TABL12[[#This Row],[ (S/S) SAR]]-TABL12[[#This Row],[(S/S) AJD]]</f>
        <v/>
      </c>
      <c r="Q17" s="3" t="n">
        <v>430</v>
      </c>
      <c r="R17" s="3">
        <f>TABL12[[#This Row],[ (T/B) SAR]]-TABL12[[#This Row],[(T/B) AJD]]</f>
        <v/>
      </c>
      <c r="S17" s="3">
        <f>TABL12[[#This Row],[S/S_CON.]]+TABL12[[#This Row],[T/B-CON.]]</f>
        <v/>
      </c>
      <c r="T17" s="3">
        <f>O17+Q17</f>
        <v/>
      </c>
      <c r="U17" s="3" t="n">
        <v>511</v>
      </c>
      <c r="V17" s="3" t="n">
        <v>285</v>
      </c>
      <c r="W17" s="3">
        <f>U17+V17</f>
        <v/>
      </c>
      <c r="X17" s="3">
        <f>T17-W17</f>
        <v/>
      </c>
      <c r="Y17" s="4" t="n">
        <v>93.181</v>
      </c>
      <c r="Z17" s="3" t="n">
        <v>904190</v>
      </c>
      <c r="AA17" s="3">
        <f>TABL12[[#This Row],[(RESV. STORGE) AJD]]/10</f>
        <v/>
      </c>
      <c r="AB17" s="3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32">
        <f>TABL12[[#This Row],[(A/S) AJD]]-TABL12[[#This Row],[SER_IN]]</f>
        <v/>
      </c>
    </row>
    <row r="18">
      <c r="A18" s="2" t="n">
        <v>45674</v>
      </c>
      <c r="B18" s="28" t="n">
        <v>38</v>
      </c>
      <c r="C18" s="28" t="n">
        <v>315</v>
      </c>
      <c r="D18" s="28" t="n">
        <v>38</v>
      </c>
      <c r="E18" s="28" t="n">
        <v>0</v>
      </c>
      <c r="F18" s="28" t="n">
        <v>88</v>
      </c>
      <c r="G18" s="28" t="n">
        <v>569.36</v>
      </c>
      <c r="H18" s="28" t="n">
        <v>0</v>
      </c>
      <c r="I18" s="28" t="n">
        <v>443</v>
      </c>
      <c r="J18" s="28" t="n">
        <v>439</v>
      </c>
      <c r="K18" s="28">
        <f>TABL12[[#This Row],[ (T/B) SAR]]+TABL12[[#This Row],[ (S/S) SAR]]</f>
        <v/>
      </c>
      <c r="L18" s="28" t="n">
        <v>312</v>
      </c>
      <c r="M18" s="29" t="n">
        <v>24.2</v>
      </c>
      <c r="N18" s="30" t="n">
        <v>7.89</v>
      </c>
      <c r="O18" s="3" t="n">
        <v>395</v>
      </c>
      <c r="P18" s="3">
        <f>TABL12[[#This Row],[ (S/S) SAR]]-TABL12[[#This Row],[(S/S) AJD]]</f>
        <v/>
      </c>
      <c r="Q18" s="3" t="n">
        <v>435</v>
      </c>
      <c r="R18" s="3">
        <f>TABL12[[#This Row],[ (T/B) SAR]]-TABL12[[#This Row],[(T/B) AJD]]</f>
        <v/>
      </c>
      <c r="S18" s="3">
        <f>TABL12[[#This Row],[S/S_CON.]]+TABL12[[#This Row],[T/B-CON.]]</f>
        <v/>
      </c>
      <c r="T18" s="3">
        <f>O18+Q18</f>
        <v/>
      </c>
      <c r="U18" s="3" t="n">
        <v>510</v>
      </c>
      <c r="V18" s="3" t="n">
        <v>295</v>
      </c>
      <c r="W18" s="3">
        <f>U18+V18</f>
        <v/>
      </c>
      <c r="X18" s="3">
        <f>T18-W18</f>
        <v/>
      </c>
      <c r="Y18" s="4" t="n">
        <v>93.161</v>
      </c>
      <c r="Z18" s="3" t="n">
        <v>892166</v>
      </c>
      <c r="AA18" s="3">
        <f>TABL12[[#This Row],[(RESV. STORGE) AJD]]/10</f>
        <v/>
      </c>
      <c r="AB18" s="3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32">
        <f>TABL12[[#This Row],[(A/S) AJD]]-TABL12[[#This Row],[SER_IN]]</f>
        <v/>
      </c>
    </row>
    <row r="19">
      <c r="A19" s="2" t="n">
        <v>45675</v>
      </c>
      <c r="B19" s="28" t="n">
        <v>37</v>
      </c>
      <c r="C19" s="28" t="n">
        <v>318</v>
      </c>
      <c r="D19" s="28" t="n">
        <v>37</v>
      </c>
      <c r="E19" s="28" t="n">
        <v>0</v>
      </c>
      <c r="F19" s="28" t="n">
        <v>88</v>
      </c>
      <c r="G19" s="28" t="n">
        <v>564.9599999999999</v>
      </c>
      <c r="H19" s="28" t="n">
        <v>0</v>
      </c>
      <c r="I19" s="28" t="n">
        <v>442.98</v>
      </c>
      <c r="J19" s="28" t="n">
        <v>438.98</v>
      </c>
      <c r="K19" s="28">
        <f>TABL12[[#This Row],[ (T/B) SAR]]+TABL12[[#This Row],[ (S/S) SAR]]</f>
        <v/>
      </c>
      <c r="L19" s="28" t="n">
        <v>317</v>
      </c>
      <c r="M19" s="29" t="n">
        <v>24.2</v>
      </c>
      <c r="N19" s="30" t="n">
        <v>7.86</v>
      </c>
      <c r="O19" s="3" t="n">
        <v>395</v>
      </c>
      <c r="P19" s="3">
        <f>TABL12[[#This Row],[ (S/S) SAR]]-TABL12[[#This Row],[(S/S) AJD]]</f>
        <v/>
      </c>
      <c r="Q19" s="3" t="n">
        <v>437</v>
      </c>
      <c r="R19" s="3">
        <f>TABL12[[#This Row],[ (T/B) SAR]]-TABL12[[#This Row],[(T/B) AJD]]</f>
        <v/>
      </c>
      <c r="S19" s="3">
        <f>TABL12[[#This Row],[S/S_CON.]]+TABL12[[#This Row],[T/B-CON.]]</f>
        <v/>
      </c>
      <c r="T19" s="3">
        <f>O19+Q19</f>
        <v/>
      </c>
      <c r="U19" s="3" t="n">
        <v>493</v>
      </c>
      <c r="V19" s="3" t="n">
        <v>298</v>
      </c>
      <c r="W19" s="3">
        <f>U19+V19</f>
        <v/>
      </c>
      <c r="X19" s="3">
        <f>T19-W19</f>
        <v/>
      </c>
      <c r="Y19" s="4" t="n">
        <v>93.178</v>
      </c>
      <c r="Z19" s="3" t="n">
        <v>902386</v>
      </c>
      <c r="AA19" s="3">
        <f>TABL12[[#This Row],[(RESV. STORGE) AJD]]/10</f>
        <v/>
      </c>
      <c r="AB19" s="3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32">
        <f>TABL12[[#This Row],[(A/S) AJD]]-TABL12[[#This Row],[SER_IN]]</f>
        <v/>
      </c>
    </row>
    <row r="20">
      <c r="A20" s="2" t="n">
        <v>45676</v>
      </c>
      <c r="B20" s="28" t="n">
        <v>37</v>
      </c>
      <c r="C20" s="28" t="n">
        <v>320</v>
      </c>
      <c r="D20" s="28" t="n">
        <v>37</v>
      </c>
      <c r="E20" s="28" t="n">
        <v>0</v>
      </c>
      <c r="F20" s="28" t="n">
        <v>88</v>
      </c>
      <c r="G20" s="28" t="n">
        <v>568.48</v>
      </c>
      <c r="H20" s="28" t="n">
        <v>0</v>
      </c>
      <c r="I20" s="28" t="n">
        <v>444.74</v>
      </c>
      <c r="J20" s="28" t="n">
        <v>440.74</v>
      </c>
      <c r="K20" s="28">
        <f>TABL12[[#This Row],[ (T/B) SAR]]+TABL12[[#This Row],[ (S/S) SAR]]</f>
        <v/>
      </c>
      <c r="L20" s="28" t="n">
        <v>317</v>
      </c>
      <c r="M20" s="29" t="n">
        <v>24.2</v>
      </c>
      <c r="N20" s="30" t="n">
        <v>7.86</v>
      </c>
      <c r="O20" s="3" t="n">
        <v>395</v>
      </c>
      <c r="P20" s="3">
        <f>TABL12[[#This Row],[ (S/S) SAR]]-TABL12[[#This Row],[(S/S) AJD]]</f>
        <v/>
      </c>
      <c r="Q20" s="3" t="n">
        <v>436</v>
      </c>
      <c r="R20" s="3">
        <f>TABL12[[#This Row],[ (T/B) SAR]]-TABL12[[#This Row],[(T/B) AJD]]</f>
        <v/>
      </c>
      <c r="S20" s="3">
        <f>TABL12[[#This Row],[S/S_CON.]]+TABL12[[#This Row],[T/B-CON.]]</f>
        <v/>
      </c>
      <c r="T20" s="3">
        <f>O20+Q20</f>
        <v/>
      </c>
      <c r="U20" s="3" t="n">
        <v>520</v>
      </c>
      <c r="V20" s="3" t="n">
        <v>288</v>
      </c>
      <c r="W20" s="3">
        <f>U20+V20</f>
        <v/>
      </c>
      <c r="X20" s="3">
        <f>T20-W20</f>
        <v/>
      </c>
      <c r="Y20" s="4" t="n">
        <v>93.163</v>
      </c>
      <c r="Z20" s="3" t="n">
        <v>893368</v>
      </c>
      <c r="AA20" s="3">
        <f>TABL12[[#This Row],[(RESV. STORGE) AJD]]/10</f>
        <v/>
      </c>
      <c r="AB20" s="3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32">
        <f>TABL12[[#This Row],[(A/S) AJD]]-TABL12[[#This Row],[SER_IN]]</f>
        <v/>
      </c>
    </row>
    <row r="21">
      <c r="A21" s="2" t="n">
        <v>45677</v>
      </c>
      <c r="B21" s="28" t="n">
        <v>37</v>
      </c>
      <c r="C21" s="28" t="n">
        <v>315</v>
      </c>
      <c r="D21" s="28" t="n">
        <v>37</v>
      </c>
      <c r="E21" s="28" t="n">
        <v>0</v>
      </c>
      <c r="F21" s="28" t="n">
        <v>88</v>
      </c>
      <c r="G21" s="28" t="n">
        <v>569.36</v>
      </c>
      <c r="H21" s="28" t="n">
        <v>0</v>
      </c>
      <c r="I21" s="28" t="n">
        <v>442.68</v>
      </c>
      <c r="J21" s="28" t="n">
        <v>438.68</v>
      </c>
      <c r="K21" s="28">
        <f>TABL12[[#This Row],[ (T/B) SAR]]+TABL12[[#This Row],[ (S/S) SAR]]</f>
        <v/>
      </c>
      <c r="L21" s="28" t="n">
        <v>312</v>
      </c>
      <c r="M21" s="29" t="n">
        <v>24.2</v>
      </c>
      <c r="N21" s="30" t="n">
        <v>7.83</v>
      </c>
      <c r="O21" s="3" t="n">
        <v>395</v>
      </c>
      <c r="P21" s="3">
        <f>TABL12[[#This Row],[ (S/S) SAR]]-TABL12[[#This Row],[(S/S) AJD]]</f>
        <v/>
      </c>
      <c r="Q21" s="3" t="n">
        <v>435</v>
      </c>
      <c r="R21" s="3">
        <f>TABL12[[#This Row],[ (T/B) SAR]]-TABL12[[#This Row],[(T/B) AJD]]</f>
        <v/>
      </c>
      <c r="S21" s="3">
        <f>TABL12[[#This Row],[S/S_CON.]]+TABL12[[#This Row],[T/B-CON.]]</f>
        <v/>
      </c>
      <c r="T21" s="3">
        <f>O21+Q21</f>
        <v/>
      </c>
      <c r="U21" s="3" t="n">
        <v>507</v>
      </c>
      <c r="V21" s="3" t="n">
        <v>268</v>
      </c>
      <c r="W21" s="3">
        <f>U21+V21</f>
        <v/>
      </c>
      <c r="X21" s="3">
        <f>T21-W21</f>
        <v/>
      </c>
      <c r="Y21" s="4" t="n">
        <v>93.23099999999999</v>
      </c>
      <c r="Z21" s="3" t="n">
        <v>934265</v>
      </c>
      <c r="AA21" s="3">
        <f>TABL12[[#This Row],[(RESV. STORGE) AJD]]/10</f>
        <v/>
      </c>
      <c r="AB21" s="3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32">
        <f>TABL12[[#This Row],[(A/S) AJD]]-TABL12[[#This Row],[SER_IN]]</f>
        <v/>
      </c>
    </row>
    <row r="22">
      <c r="A22" s="2" t="n">
        <v>45678</v>
      </c>
      <c r="B22" s="28" t="n">
        <v>37</v>
      </c>
      <c r="C22" s="28" t="n">
        <v>312</v>
      </c>
      <c r="D22" s="28" t="n">
        <v>37</v>
      </c>
      <c r="E22" s="28" t="n">
        <v>0</v>
      </c>
      <c r="F22" s="28" t="n">
        <v>88</v>
      </c>
      <c r="G22" s="28" t="n">
        <v>564.9599999999999</v>
      </c>
      <c r="H22" s="28" t="n">
        <v>0</v>
      </c>
      <c r="I22" s="28" t="n">
        <v>439.98</v>
      </c>
      <c r="J22" s="28" t="n">
        <v>435.98</v>
      </c>
      <c r="K22" s="28">
        <f>TABL12[[#This Row],[ (T/B) SAR]]+TABL12[[#This Row],[ (S/S) SAR]]</f>
        <v/>
      </c>
      <c r="L22" s="28" t="n">
        <v>311</v>
      </c>
      <c r="M22" s="29" t="n">
        <v>24.2</v>
      </c>
      <c r="N22" s="30" t="n">
        <v>7.8</v>
      </c>
      <c r="O22" s="3" t="n">
        <v>394</v>
      </c>
      <c r="P22" s="3">
        <f>TABL12[[#This Row],[ (S/S) SAR]]-TABL12[[#This Row],[(S/S) AJD]]</f>
        <v/>
      </c>
      <c r="Q22" s="3" t="n">
        <v>436</v>
      </c>
      <c r="R22" s="3">
        <f>TABL12[[#This Row],[ (T/B) SAR]]-TABL12[[#This Row],[(T/B) AJD]]</f>
        <v/>
      </c>
      <c r="S22" s="3">
        <f>TABL12[[#This Row],[S/S_CON.]]+TABL12[[#This Row],[T/B-CON.]]</f>
        <v/>
      </c>
      <c r="T22" s="3">
        <f>O22+Q22</f>
        <v/>
      </c>
      <c r="U22" s="3" t="n">
        <v>514</v>
      </c>
      <c r="V22" s="3" t="n">
        <v>285</v>
      </c>
      <c r="W22" s="3">
        <f>U22+V22</f>
        <v/>
      </c>
      <c r="X22" s="3">
        <f>T22-W22</f>
        <v/>
      </c>
      <c r="Y22" s="4" t="n">
        <v>93.203</v>
      </c>
      <c r="Z22" s="3" t="n">
        <v>917421</v>
      </c>
      <c r="AA22" s="3">
        <f>TABL12[[#This Row],[(RESV. STORGE) AJD]]/10</f>
        <v/>
      </c>
      <c r="AB22" s="3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32">
        <f>TABL12[[#This Row],[(A/S) AJD]]-TABL12[[#This Row],[SER_IN]]</f>
        <v/>
      </c>
    </row>
    <row r="23">
      <c r="A23" s="2" t="n">
        <v>45679</v>
      </c>
      <c r="B23" s="28" t="n">
        <v>36</v>
      </c>
      <c r="C23" s="28" t="n">
        <v>301</v>
      </c>
      <c r="D23" s="28" t="n">
        <v>36</v>
      </c>
      <c r="E23" s="28" t="n">
        <v>0</v>
      </c>
      <c r="F23" s="28" t="n">
        <v>88</v>
      </c>
      <c r="G23" s="28" t="n">
        <v>568.48</v>
      </c>
      <c r="H23" s="28" t="n">
        <v>0</v>
      </c>
      <c r="I23" s="28" t="n">
        <v>435.24</v>
      </c>
      <c r="J23" s="28" t="n">
        <v>431.24</v>
      </c>
      <c r="K23" s="28">
        <f>TABL12[[#This Row],[ (T/B) SAR]]+TABL12[[#This Row],[ (S/S) SAR]]</f>
        <v/>
      </c>
      <c r="L23" s="28" t="n">
        <v>298</v>
      </c>
      <c r="M23" s="29" t="n">
        <v>24.2</v>
      </c>
      <c r="N23" s="30" t="n">
        <v>7.78</v>
      </c>
      <c r="O23" s="3" t="n">
        <v>393</v>
      </c>
      <c r="P23" s="3">
        <f>TABL12[[#This Row],[ (S/S) SAR]]-TABL12[[#This Row],[(S/S) AJD]]</f>
        <v/>
      </c>
      <c r="Q23" s="3" t="n">
        <v>435</v>
      </c>
      <c r="R23" s="3">
        <f>TABL12[[#This Row],[ (T/B) SAR]]-TABL12[[#This Row],[(T/B) AJD]]</f>
        <v/>
      </c>
      <c r="S23" s="3">
        <f>TABL12[[#This Row],[S/S_CON.]]+TABL12[[#This Row],[T/B-CON.]]</f>
        <v/>
      </c>
      <c r="T23" s="3">
        <f>O23+Q23</f>
        <v/>
      </c>
      <c r="U23" s="3" t="n">
        <v>526</v>
      </c>
      <c r="V23" s="3" t="n">
        <v>330</v>
      </c>
      <c r="W23" s="3">
        <f>U23+V23</f>
        <v/>
      </c>
      <c r="X23" s="3">
        <f>T23-W23</f>
        <v/>
      </c>
      <c r="Y23" s="4" t="n">
        <v>93.111</v>
      </c>
      <c r="Z23" s="3" t="n">
        <v>862120</v>
      </c>
      <c r="AA23" s="3">
        <f>TABL12[[#This Row],[(RESV. STORGE) AJD]]/10</f>
        <v/>
      </c>
      <c r="AB23" s="3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32">
        <f>TABL12[[#This Row],[(A/S) AJD]]-TABL12[[#This Row],[SER_IN]]</f>
        <v/>
      </c>
    </row>
    <row r="24">
      <c r="A24" s="2" t="n">
        <v>45680</v>
      </c>
      <c r="B24" s="28" t="n">
        <v>35</v>
      </c>
      <c r="C24" s="28" t="n">
        <v>297</v>
      </c>
      <c r="D24" s="28" t="n">
        <v>36</v>
      </c>
      <c r="E24" s="28" t="n">
        <v>0</v>
      </c>
      <c r="F24" s="28" t="n">
        <v>88</v>
      </c>
      <c r="G24" s="28" t="n">
        <v>569.36</v>
      </c>
      <c r="H24" s="28" t="n">
        <v>0</v>
      </c>
      <c r="I24" s="28" t="n">
        <v>433.68</v>
      </c>
      <c r="J24" s="28" t="n">
        <v>429.68</v>
      </c>
      <c r="K24" s="28">
        <f>TABL12[[#This Row],[ (T/B) SAR]]+TABL12[[#This Row],[ (S/S) SAR]]</f>
        <v/>
      </c>
      <c r="L24" s="28" t="n">
        <v>294</v>
      </c>
      <c r="M24" s="29" t="n">
        <v>24.2</v>
      </c>
      <c r="N24" s="30" t="n">
        <v>7.59</v>
      </c>
      <c r="O24" s="3" t="n">
        <v>395</v>
      </c>
      <c r="P24" s="3">
        <f>TABL12[[#This Row],[ (S/S) SAR]]-TABL12[[#This Row],[(S/S) AJD]]</f>
        <v/>
      </c>
      <c r="Q24" s="3" t="n">
        <v>434</v>
      </c>
      <c r="R24" s="3">
        <f>TABL12[[#This Row],[ (T/B) SAR]]-TABL12[[#This Row],[(T/B) AJD]]</f>
        <v/>
      </c>
      <c r="S24" s="3">
        <f>TABL12[[#This Row],[S/S_CON.]]+TABL12[[#This Row],[T/B-CON.]]</f>
        <v/>
      </c>
      <c r="T24" s="3">
        <f>O24+Q24</f>
        <v/>
      </c>
      <c r="U24" s="3" t="n">
        <v>531</v>
      </c>
      <c r="V24" s="3" t="n">
        <v>331</v>
      </c>
      <c r="W24" s="3">
        <f>U24+V24</f>
        <v/>
      </c>
      <c r="X24" s="3">
        <f>T24-W24</f>
        <v/>
      </c>
      <c r="Y24" s="4" t="n">
        <v>92.98099999999999</v>
      </c>
      <c r="Z24" s="3" t="n">
        <v>784096</v>
      </c>
      <c r="AA24" s="3">
        <f>TABL12[[#This Row],[(RESV. STORGE) AJD]]/10</f>
        <v/>
      </c>
      <c r="AB24" s="3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32">
        <f>TABL12[[#This Row],[(A/S) AJD]]-TABL12[[#This Row],[SER_IN]]</f>
        <v/>
      </c>
    </row>
    <row r="25">
      <c r="A25" s="2" t="n">
        <v>45681</v>
      </c>
      <c r="B25" s="28" t="n">
        <v>37</v>
      </c>
      <c r="C25" s="28" t="n">
        <v>306</v>
      </c>
      <c r="D25" s="28" t="n">
        <v>38</v>
      </c>
      <c r="E25" s="28" t="n">
        <v>0</v>
      </c>
      <c r="F25" s="28" t="n">
        <v>88</v>
      </c>
      <c r="G25" s="28" t="n">
        <v>564.9599999999999</v>
      </c>
      <c r="H25" s="28" t="n">
        <v>0</v>
      </c>
      <c r="I25" s="28" t="n">
        <v>436.98</v>
      </c>
      <c r="J25" s="28" t="n">
        <v>432.98</v>
      </c>
      <c r="K25" s="28">
        <f>TABL12[[#This Row],[ (T/B) SAR]]+TABL12[[#This Row],[ (S/S) SAR]]</f>
        <v/>
      </c>
      <c r="L25" s="28" t="n">
        <v>305</v>
      </c>
      <c r="M25" s="29" t="n">
        <v>24.2</v>
      </c>
      <c r="N25" s="30" t="n">
        <v>7.54</v>
      </c>
      <c r="O25" s="3" t="n">
        <v>394</v>
      </c>
      <c r="P25" s="3">
        <f>TABL12[[#This Row],[ (S/S) SAR]]-TABL12[[#This Row],[(S/S) AJD]]</f>
        <v/>
      </c>
      <c r="Q25" s="3" t="n">
        <v>434</v>
      </c>
      <c r="R25" s="3">
        <f>TABL12[[#This Row],[ (T/B) SAR]]-TABL12[[#This Row],[(T/B) AJD]]</f>
        <v/>
      </c>
      <c r="S25" s="3">
        <f>TABL12[[#This Row],[S/S_CON.]]+TABL12[[#This Row],[T/B-CON.]]</f>
        <v/>
      </c>
      <c r="T25" s="3">
        <f>O25+Q25</f>
        <v/>
      </c>
      <c r="U25" s="3" t="n">
        <v>550</v>
      </c>
      <c r="V25" s="3" t="n">
        <v>340</v>
      </c>
      <c r="W25" s="3">
        <f>U25+V25</f>
        <v/>
      </c>
      <c r="X25" s="3">
        <f>T25-W25</f>
        <v/>
      </c>
      <c r="Y25" s="4" t="n">
        <v>92.83199999999999</v>
      </c>
      <c r="Z25" s="3" t="n">
        <v>694841</v>
      </c>
      <c r="AA25" s="3">
        <f>TABL12[[#This Row],[(RESV. STORGE) AJD]]/10</f>
        <v/>
      </c>
      <c r="AB25" s="3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32">
        <f>TABL12[[#This Row],[(A/S) AJD]]-TABL12[[#This Row],[SER_IN]]</f>
        <v/>
      </c>
    </row>
    <row r="26">
      <c r="A26" s="2" t="n">
        <v>45682</v>
      </c>
      <c r="B26" s="28" t="n">
        <v>38</v>
      </c>
      <c r="C26" s="28" t="n">
        <v>319</v>
      </c>
      <c r="D26" s="28" t="n">
        <v>38</v>
      </c>
      <c r="E26" s="28" t="n">
        <v>0</v>
      </c>
      <c r="F26" s="28" t="n">
        <v>88</v>
      </c>
      <c r="G26" s="28" t="n">
        <v>568.48</v>
      </c>
      <c r="H26" s="28" t="n">
        <v>0</v>
      </c>
      <c r="I26" s="28" t="n">
        <v>444.24</v>
      </c>
      <c r="J26" s="28" t="n">
        <v>440.24</v>
      </c>
      <c r="K26" s="28">
        <f>TABL12[[#This Row],[ (T/B) SAR]]+TABL12[[#This Row],[ (S/S) SAR]]</f>
        <v/>
      </c>
      <c r="L26" s="28" t="n">
        <v>316</v>
      </c>
      <c r="M26" s="29" t="n">
        <v>24.2</v>
      </c>
      <c r="N26" s="30" t="n">
        <v>7.54</v>
      </c>
      <c r="O26" s="3" t="n">
        <v>391</v>
      </c>
      <c r="P26" s="3">
        <f>TABL12[[#This Row],[ (S/S) SAR]]-TABL12[[#This Row],[(S/S) AJD]]</f>
        <v/>
      </c>
      <c r="Q26" s="3" t="n">
        <v>433</v>
      </c>
      <c r="R26" s="3">
        <f>TABL12[[#This Row],[ (T/B) SAR]]-TABL12[[#This Row],[(T/B) AJD]]</f>
        <v/>
      </c>
      <c r="S26" s="3">
        <f>TABL12[[#This Row],[S/S_CON.]]+TABL12[[#This Row],[T/B-CON.]]</f>
        <v/>
      </c>
      <c r="T26" s="3">
        <f>O26+Q26</f>
        <v/>
      </c>
      <c r="U26" s="3" t="n">
        <v>551</v>
      </c>
      <c r="V26" s="3" t="n">
        <v>321</v>
      </c>
      <c r="W26" s="3">
        <f>U26+V26</f>
        <v/>
      </c>
      <c r="X26" s="3">
        <f>T26-W26</f>
        <v/>
      </c>
      <c r="Y26" s="4" t="n">
        <v>92.732</v>
      </c>
      <c r="Z26" s="3" t="n">
        <v>635042</v>
      </c>
      <c r="AA26" s="3">
        <f>TABL12[[#This Row],[(RESV. STORGE) AJD]]/10</f>
        <v/>
      </c>
      <c r="AB26" s="3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32">
        <f>TABL12[[#This Row],[(A/S) AJD]]-TABL12[[#This Row],[SER_IN]]</f>
        <v/>
      </c>
    </row>
    <row r="27">
      <c r="A27" s="2" t="n">
        <v>45683</v>
      </c>
      <c r="B27" s="28" t="n">
        <v>38</v>
      </c>
      <c r="C27" s="28" t="n">
        <v>321</v>
      </c>
      <c r="D27" s="28" t="n">
        <v>38</v>
      </c>
      <c r="E27" s="28" t="n">
        <v>0</v>
      </c>
      <c r="F27" s="28" t="n">
        <v>88</v>
      </c>
      <c r="G27" s="28" t="n">
        <v>569.36</v>
      </c>
      <c r="H27" s="28" t="n">
        <v>0</v>
      </c>
      <c r="I27" s="28" t="n">
        <v>445.68</v>
      </c>
      <c r="J27" s="28" t="n">
        <v>441.68</v>
      </c>
      <c r="K27" s="28">
        <f>TABL12[[#This Row],[ (T/B) SAR]]+TABL12[[#This Row],[ (S/S) SAR]]</f>
        <v/>
      </c>
      <c r="L27" s="28" t="n">
        <v>318</v>
      </c>
      <c r="M27" s="29" t="n">
        <v>24.2</v>
      </c>
      <c r="N27" s="30" t="n">
        <v>7.57</v>
      </c>
      <c r="O27" s="3" t="n">
        <v>391</v>
      </c>
      <c r="P27" s="3">
        <f>TABL12[[#This Row],[ (S/S) SAR]]-TABL12[[#This Row],[(S/S) AJD]]</f>
        <v/>
      </c>
      <c r="Q27" s="3" t="n">
        <v>433</v>
      </c>
      <c r="R27" s="3">
        <f>TABL12[[#This Row],[ (T/B) SAR]]-TABL12[[#This Row],[(T/B) AJD]]</f>
        <v/>
      </c>
      <c r="S27" s="3">
        <f>TABL12[[#This Row],[S/S_CON.]]+TABL12[[#This Row],[T/B-CON.]]</f>
        <v/>
      </c>
      <c r="T27" s="3">
        <f>O27+Q27</f>
        <v/>
      </c>
      <c r="U27" s="3" t="n">
        <v>543</v>
      </c>
      <c r="V27" s="3" t="n">
        <v>367</v>
      </c>
      <c r="W27" s="3">
        <f>U27+V27</f>
        <v/>
      </c>
      <c r="X27" s="3">
        <f>T27-W27</f>
        <v/>
      </c>
      <c r="Y27" s="4" t="n">
        <v>92.542</v>
      </c>
      <c r="Z27" s="3" t="n">
        <v>521649</v>
      </c>
      <c r="AA27" s="3">
        <f>TABL12[[#This Row],[(RESV. STORGE) AJD]]/10</f>
        <v/>
      </c>
      <c r="AB27" s="3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32">
        <f>TABL12[[#This Row],[(A/S) AJD]]-TABL12[[#This Row],[SER_IN]]</f>
        <v/>
      </c>
    </row>
    <row r="28">
      <c r="A28" s="2" t="n">
        <v>45684</v>
      </c>
      <c r="B28" s="28" t="n">
        <v>37</v>
      </c>
      <c r="C28" s="28" t="n">
        <v>319</v>
      </c>
      <c r="D28" s="28" t="n">
        <v>37</v>
      </c>
      <c r="E28" s="28" t="n">
        <v>0</v>
      </c>
      <c r="F28" s="28" t="n">
        <v>88</v>
      </c>
      <c r="G28" s="28" t="n">
        <v>564.9599999999999</v>
      </c>
      <c r="H28" s="28" t="n">
        <v>0</v>
      </c>
      <c r="I28" s="28" t="n">
        <v>443.48</v>
      </c>
      <c r="J28" s="28" t="n">
        <v>439.48</v>
      </c>
      <c r="K28" s="28">
        <f>TABL12[[#This Row],[ (T/B) SAR]]+TABL12[[#This Row],[ (S/S) SAR]]</f>
        <v/>
      </c>
      <c r="L28" s="28" t="n">
        <v>318</v>
      </c>
      <c r="M28" s="29" t="n">
        <v>24.2</v>
      </c>
      <c r="N28" s="30" t="n">
        <v>7.59</v>
      </c>
      <c r="O28" s="3" t="n">
        <v>389</v>
      </c>
      <c r="P28" s="3">
        <f>TABL12[[#This Row],[ (S/S) SAR]]-TABL12[[#This Row],[(S/S) AJD]]</f>
        <v/>
      </c>
      <c r="Q28" s="3" t="n">
        <v>431</v>
      </c>
      <c r="R28" s="3">
        <f>TABL12[[#This Row],[ (T/B) SAR]]-TABL12[[#This Row],[(T/B) AJD]]</f>
        <v/>
      </c>
      <c r="S28" s="3">
        <f>TABL12[[#This Row],[S/S_CON.]]+TABL12[[#This Row],[T/B-CON.]]</f>
        <v/>
      </c>
      <c r="T28" s="3">
        <f>O28+Q28</f>
        <v/>
      </c>
      <c r="U28" s="3" t="n">
        <v>544</v>
      </c>
      <c r="V28" s="3" t="n">
        <v>359</v>
      </c>
      <c r="W28" s="3">
        <f>U28+V28</f>
        <v/>
      </c>
      <c r="X28" s="3">
        <f>T28-W28</f>
        <v/>
      </c>
      <c r="Y28" s="4" t="n">
        <v>92.345</v>
      </c>
      <c r="Z28" s="3" t="n">
        <v>404392</v>
      </c>
      <c r="AA28" s="3">
        <f>TABL12[[#This Row],[(RESV. STORGE) AJD]]/10</f>
        <v/>
      </c>
      <c r="AB28" s="3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32">
        <f>TABL12[[#This Row],[(A/S) AJD]]-TABL12[[#This Row],[SER_IN]]</f>
        <v/>
      </c>
    </row>
    <row r="29">
      <c r="A29" s="2" t="n">
        <v>45685</v>
      </c>
      <c r="B29" s="28" t="n">
        <v>38</v>
      </c>
      <c r="C29" s="28" t="n">
        <v>322</v>
      </c>
      <c r="D29" s="28" t="n">
        <v>38</v>
      </c>
      <c r="E29" s="28" t="n">
        <v>0</v>
      </c>
      <c r="F29" s="28" t="n">
        <v>88</v>
      </c>
      <c r="G29" s="28" t="n">
        <v>569.36</v>
      </c>
      <c r="H29" s="28" t="n">
        <v>0</v>
      </c>
      <c r="I29" s="28" t="n">
        <v>446.18</v>
      </c>
      <c r="J29" s="28" t="n">
        <v>442.18</v>
      </c>
      <c r="K29" s="28">
        <f>TABL12[[#This Row],[ (T/B) SAR]]+TABL12[[#This Row],[ (S/S) SAR]]</f>
        <v/>
      </c>
      <c r="L29" s="28" t="n">
        <v>319</v>
      </c>
      <c r="M29" s="29" t="n">
        <v>24.2</v>
      </c>
      <c r="N29" s="30" t="n">
        <v>7.67</v>
      </c>
      <c r="O29" s="3" t="n">
        <v>388</v>
      </c>
      <c r="P29" s="3">
        <f>TABL12[[#This Row],[ (S/S) SAR]]-TABL12[[#This Row],[(S/S) AJD]]</f>
        <v/>
      </c>
      <c r="Q29" s="3" t="n">
        <v>429</v>
      </c>
      <c r="R29" s="3">
        <f>TABL12[[#This Row],[ (T/B) SAR]]-TABL12[[#This Row],[(T/B) AJD]]</f>
        <v/>
      </c>
      <c r="S29" s="3">
        <f>TABL12[[#This Row],[S/S_CON.]]+TABL12[[#This Row],[T/B-CON.]]</f>
        <v/>
      </c>
      <c r="T29" s="3">
        <f>O29+Q29</f>
        <v/>
      </c>
      <c r="U29" s="3" t="n">
        <v>544</v>
      </c>
      <c r="V29" s="3" t="n">
        <v>358</v>
      </c>
      <c r="W29" s="3">
        <f>U29+V29</f>
        <v/>
      </c>
      <c r="X29" s="3">
        <f>T29-W29</f>
        <v/>
      </c>
      <c r="Y29" s="4" t="n">
        <v>92.175</v>
      </c>
      <c r="Z29" s="3" t="n">
        <v>303463</v>
      </c>
      <c r="AA29" s="3">
        <f>TABL12[[#This Row],[(RESV. STORGE) AJD]]/10</f>
        <v/>
      </c>
      <c r="AB29" s="3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32">
        <f>TABL12[[#This Row],[(A/S) AJD]]-TABL12[[#This Row],[SER_IN]]</f>
        <v/>
      </c>
    </row>
    <row r="30">
      <c r="A30" s="2" t="n">
        <v>45686</v>
      </c>
      <c r="B30" s="28" t="n">
        <v>38</v>
      </c>
      <c r="C30" s="28" t="n">
        <v>314</v>
      </c>
      <c r="D30" s="28" t="n">
        <v>38</v>
      </c>
      <c r="E30" s="28" t="n">
        <v>0</v>
      </c>
      <c r="F30" s="28" t="n">
        <v>81</v>
      </c>
      <c r="G30" s="28" t="n">
        <v>523.26</v>
      </c>
      <c r="H30" s="28" t="n">
        <v>7</v>
      </c>
      <c r="I30" s="28" t="n">
        <v>419.13</v>
      </c>
      <c r="J30" s="28" t="n">
        <v>415.13</v>
      </c>
      <c r="K30" s="28">
        <f>TABL12[[#This Row],[ (T/B) SAR]]+TABL12[[#This Row],[ (S/S) SAR]]</f>
        <v/>
      </c>
      <c r="L30" s="28" t="n">
        <v>311</v>
      </c>
      <c r="M30" s="29" t="n">
        <v>24.2</v>
      </c>
      <c r="N30" s="30" t="n">
        <v>7.63</v>
      </c>
      <c r="O30" s="3" t="n">
        <v>384</v>
      </c>
      <c r="P30" s="3">
        <f>TABL12[[#This Row],[ (S/S) SAR]]-TABL12[[#This Row],[(S/S) AJD]]</f>
        <v/>
      </c>
      <c r="Q30" s="3" t="n">
        <v>425</v>
      </c>
      <c r="R30" s="3">
        <f>TABL12[[#This Row],[ (T/B) SAR]]-TABL12[[#This Row],[(T/B) AJD]]</f>
        <v/>
      </c>
      <c r="S30" s="3">
        <f>TABL12[[#This Row],[S/S_CON.]]+TABL12[[#This Row],[T/B-CON.]]</f>
        <v/>
      </c>
      <c r="T30" s="3">
        <f>O30+Q30</f>
        <v/>
      </c>
      <c r="U30" s="3" t="n">
        <v>542</v>
      </c>
      <c r="V30" s="3" t="n">
        <v>333</v>
      </c>
      <c r="W30" s="3">
        <f>U30+V30</f>
        <v/>
      </c>
      <c r="X30" s="3">
        <f>T30-W30</f>
        <v/>
      </c>
      <c r="Y30" s="4" t="n">
        <v>92.018</v>
      </c>
      <c r="Z30" s="3" t="n">
        <v>210461</v>
      </c>
      <c r="AA30" s="3">
        <f>TABL12[[#This Row],[(RESV. STORGE) AJD]]/10</f>
        <v/>
      </c>
      <c r="AB30" s="3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32">
        <f>TABL12[[#This Row],[(A/S) AJD]]-TABL12[[#This Row],[SER_IN]]</f>
        <v/>
      </c>
    </row>
    <row r="31">
      <c r="A31" s="2" t="n">
        <v>45687</v>
      </c>
      <c r="B31" s="28" t="n">
        <v>37</v>
      </c>
      <c r="C31" s="28" t="n">
        <v>318</v>
      </c>
      <c r="D31" s="28" t="n">
        <v>38</v>
      </c>
      <c r="E31" s="28" t="n">
        <v>0</v>
      </c>
      <c r="F31" s="28" t="n">
        <v>81</v>
      </c>
      <c r="G31" s="28" t="n">
        <v>520.02</v>
      </c>
      <c r="H31" s="28" t="n">
        <v>7</v>
      </c>
      <c r="I31" s="28" t="n">
        <v>420.51</v>
      </c>
      <c r="J31" s="28" t="n">
        <v>416.51</v>
      </c>
      <c r="K31" s="28">
        <f>TABL12[[#This Row],[ (T/B) SAR]]+TABL12[[#This Row],[ (S/S) SAR]]</f>
        <v/>
      </c>
      <c r="L31" s="28" t="n">
        <v>317</v>
      </c>
      <c r="M31" s="29" t="n">
        <v>24.2</v>
      </c>
      <c r="N31" s="30" t="n">
        <v>7.61</v>
      </c>
      <c r="O31" s="3" t="n">
        <v>370</v>
      </c>
      <c r="P31" s="3">
        <f>TABL12[[#This Row],[ (S/S) SAR]]-TABL12[[#This Row],[(S/S) AJD]]</f>
        <v/>
      </c>
      <c r="Q31" s="3" t="n">
        <v>411</v>
      </c>
      <c r="R31" s="3">
        <f>TABL12[[#This Row],[ (T/B) SAR]]-TABL12[[#This Row],[(T/B) AJD]]</f>
        <v/>
      </c>
      <c r="S31" s="3">
        <f>TABL12[[#This Row],[S/S_CON.]]+TABL12[[#This Row],[T/B-CON.]]</f>
        <v/>
      </c>
      <c r="T31" s="3">
        <f>O31+Q31</f>
        <v/>
      </c>
      <c r="U31" s="3" t="n">
        <v>550</v>
      </c>
      <c r="V31" s="3" t="n">
        <v>262</v>
      </c>
      <c r="W31" s="3">
        <f>U31+V31</f>
        <v/>
      </c>
      <c r="X31" s="3">
        <f>T31-W31</f>
        <v/>
      </c>
      <c r="Y31" s="4" t="n">
        <v>91.953</v>
      </c>
      <c r="Z31" s="3" t="n">
        <v>172017</v>
      </c>
      <c r="AA31" s="3">
        <f>TABL12[[#This Row],[(RESV. STORGE) AJD]]/10</f>
        <v/>
      </c>
      <c r="AB31" s="3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32">
        <f>TABL12[[#This Row],[(A/S) AJD]]-TABL12[[#This Row],[SER_IN]]</f>
        <v/>
      </c>
    </row>
    <row r="32">
      <c r="A32" s="2" t="n">
        <v>45688</v>
      </c>
      <c r="B32" s="28" t="n">
        <v>38</v>
      </c>
      <c r="C32" s="28" t="n">
        <v>326</v>
      </c>
      <c r="D32" s="28" t="n">
        <v>38</v>
      </c>
      <c r="E32" s="28" t="n">
        <v>0</v>
      </c>
      <c r="F32" s="28" t="n">
        <v>81</v>
      </c>
      <c r="G32" s="28" t="n">
        <v>524.0700000000001</v>
      </c>
      <c r="H32" s="28" t="n">
        <v>7</v>
      </c>
      <c r="I32" s="28" t="n">
        <v>425.535</v>
      </c>
      <c r="J32" s="28" t="n">
        <v>421.535</v>
      </c>
      <c r="K32" s="28">
        <f>TABL12[[#This Row],[ (T/B) SAR]]+TABL12[[#This Row],[ (S/S) SAR]]</f>
        <v/>
      </c>
      <c r="L32" s="28" t="n">
        <v>323</v>
      </c>
      <c r="M32" s="29" t="n">
        <v>24.2</v>
      </c>
      <c r="N32" s="30" t="n">
        <v>7.64</v>
      </c>
      <c r="O32" s="3" t="n">
        <v>367</v>
      </c>
      <c r="P32" s="3">
        <f>TABL12[[#This Row],[ (S/S) SAR]]-TABL12[[#This Row],[(S/S) AJD]]</f>
        <v/>
      </c>
      <c r="Q32" s="3" t="n">
        <v>409</v>
      </c>
      <c r="R32" s="3">
        <f>TABL12[[#This Row],[ (T/B) SAR]]-TABL12[[#This Row],[(T/B) AJD]]</f>
        <v/>
      </c>
      <c r="S32" s="3">
        <f>TABL12[[#This Row],[S/S_CON.]]+TABL12[[#This Row],[T/B-CON.]]</f>
        <v/>
      </c>
      <c r="T32" s="3">
        <f>O32+Q32</f>
        <v/>
      </c>
      <c r="U32" s="3" t="n">
        <v>556</v>
      </c>
      <c r="V32" s="3" t="n">
        <v>237</v>
      </c>
      <c r="W32" s="3">
        <f>U32+V32</f>
        <v/>
      </c>
      <c r="X32" s="3">
        <f>T32-W32</f>
        <v/>
      </c>
      <c r="Y32" s="4" t="n">
        <v>91.92100000000001</v>
      </c>
      <c r="Z32" s="3" t="n">
        <v>153103</v>
      </c>
      <c r="AA32" s="3">
        <f>TABL12[[#This Row],[(RESV. STORGE) AJD]]/10</f>
        <v/>
      </c>
      <c r="AB32" s="3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32">
        <f>TABL12[[#This Row],[(A/S) AJD]]-TABL12[[#This Row],[SER_IN]]</f>
        <v/>
      </c>
    </row>
    <row r="33">
      <c r="A33" s="2" t="n">
        <v>45689</v>
      </c>
      <c r="B33" s="28" t="n">
        <v>38</v>
      </c>
      <c r="C33" s="28" t="n">
        <v>326</v>
      </c>
      <c r="D33" s="28" t="n">
        <v>38</v>
      </c>
      <c r="E33" s="28" t="n">
        <v>0</v>
      </c>
      <c r="F33" s="28" t="n">
        <v>81</v>
      </c>
      <c r="G33" s="28" t="n">
        <v>523.26</v>
      </c>
      <c r="H33" s="28" t="n">
        <v>7</v>
      </c>
      <c r="I33" s="28" t="n">
        <v>425.13</v>
      </c>
      <c r="J33" s="28" t="n">
        <v>421.13</v>
      </c>
      <c r="K33" s="28">
        <f>TABL12[[#This Row],[ (T/B) SAR]]+TABL12[[#This Row],[ (S/S) SAR]]</f>
        <v/>
      </c>
      <c r="L33" s="28" t="n">
        <v>323</v>
      </c>
      <c r="M33" s="29" t="n">
        <v>24.2</v>
      </c>
      <c r="N33" s="30" t="n">
        <v>7.69</v>
      </c>
      <c r="O33" s="3" t="n">
        <v>367</v>
      </c>
      <c r="P33" s="3">
        <f>TABL12[[#This Row],[ (S/S) SAR]]-TABL12[[#This Row],[(S/S) AJD]]</f>
        <v/>
      </c>
      <c r="Q33" s="3" t="n">
        <v>409</v>
      </c>
      <c r="R33" s="3">
        <f>TABL12[[#This Row],[ (T/B) SAR]]-TABL12[[#This Row],[(T/B) AJD]]</f>
        <v/>
      </c>
      <c r="S33" s="3">
        <f>TABL12[[#This Row],[S/S_CON.]]+TABL12[[#This Row],[T/B-CON.]]</f>
        <v/>
      </c>
      <c r="T33" s="3">
        <f>O33+Q33</f>
        <v/>
      </c>
      <c r="U33" s="3" t="n">
        <v>554</v>
      </c>
      <c r="V33" s="3" t="n">
        <v>260</v>
      </c>
      <c r="W33" s="3">
        <f>U33+V33</f>
        <v/>
      </c>
      <c r="X33" s="3">
        <f>T33-W33</f>
        <v/>
      </c>
      <c r="Y33" s="4" t="n">
        <v>91.92100000000001</v>
      </c>
      <c r="Z33" s="3" t="n">
        <v>0</v>
      </c>
      <c r="AA33" s="3">
        <f>TABL12[[#This Row],[(RESV. STORGE) AJD]]/10</f>
        <v/>
      </c>
      <c r="AB33" s="3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32">
        <f>TABL12[[#This Row],[(A/S) AJD]]-TABL12[[#This Row],[SER_IN]]</f>
        <v/>
      </c>
    </row>
    <row r="34">
      <c r="A34" s="2" t="n">
        <v>45690</v>
      </c>
      <c r="B34" s="28" t="n">
        <v>38</v>
      </c>
      <c r="C34" s="28" t="n">
        <v>327</v>
      </c>
      <c r="D34" s="28" t="n">
        <v>38</v>
      </c>
      <c r="E34" s="28" t="n">
        <v>0</v>
      </c>
      <c r="F34" s="28" t="n">
        <v>81</v>
      </c>
      <c r="G34" s="28" t="n">
        <v>524.0700000000001</v>
      </c>
      <c r="H34" s="28" t="n">
        <v>7</v>
      </c>
      <c r="I34" s="28" t="n">
        <v>426.035</v>
      </c>
      <c r="J34" s="28" t="n">
        <v>422.035</v>
      </c>
      <c r="K34" s="28">
        <f>TABL12[[#This Row],[ (T/B) SAR]]+TABL12[[#This Row],[ (S/S) SAR]]</f>
        <v/>
      </c>
      <c r="L34" s="28" t="n">
        <v>324</v>
      </c>
      <c r="M34" s="29" t="n">
        <v>24.2</v>
      </c>
      <c r="N34" s="30" t="n">
        <v>7.74</v>
      </c>
      <c r="O34" s="3" t="n">
        <v>367</v>
      </c>
      <c r="P34" s="3">
        <f>TABL12[[#This Row],[ (S/S) SAR]]-TABL12[[#This Row],[(S/S) AJD]]</f>
        <v/>
      </c>
      <c r="Q34" s="3" t="n">
        <v>410</v>
      </c>
      <c r="R34" s="3">
        <f>TABL12[[#This Row],[ (T/B) SAR]]-TABL12[[#This Row],[(T/B) AJD]]</f>
        <v/>
      </c>
      <c r="S34" s="3">
        <f>TABL12[[#This Row],[S/S_CON.]]+TABL12[[#This Row],[T/B-CON.]]</f>
        <v/>
      </c>
      <c r="T34" s="3">
        <f>O34+Q34</f>
        <v/>
      </c>
      <c r="U34" s="3" t="n">
        <v>557</v>
      </c>
      <c r="V34" s="3" t="n">
        <v>259</v>
      </c>
      <c r="W34" s="3">
        <f>U34+V34</f>
        <v/>
      </c>
      <c r="X34" s="3">
        <f>T34-W34</f>
        <v/>
      </c>
      <c r="Y34" s="4" t="n">
        <v>91.92100000000001</v>
      </c>
      <c r="Z34" s="3" t="n">
        <v>0</v>
      </c>
      <c r="AA34" s="3">
        <f>TABL12[[#This Row],[(RESV. STORGE) AJD]]/10</f>
        <v/>
      </c>
      <c r="AB34" s="3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32">
        <f>TABL12[[#This Row],[(A/S) AJD]]-TABL12[[#This Row],[SER_IN]]</f>
        <v/>
      </c>
    </row>
    <row r="35">
      <c r="A35" s="2" t="n">
        <v>45691</v>
      </c>
      <c r="B35" s="28" t="n">
        <v>38</v>
      </c>
      <c r="C35" s="28" t="n">
        <v>325</v>
      </c>
      <c r="D35" s="28" t="n">
        <v>38</v>
      </c>
      <c r="E35" s="28" t="n">
        <v>0</v>
      </c>
      <c r="F35" s="28" t="n">
        <v>81</v>
      </c>
      <c r="G35" s="28" t="n">
        <v>524.0700000000001</v>
      </c>
      <c r="H35" s="28" t="n">
        <v>7</v>
      </c>
      <c r="I35" s="28" t="n">
        <v>425.035</v>
      </c>
      <c r="J35" s="28" t="n">
        <v>421.035</v>
      </c>
      <c r="K35" s="28">
        <f>TABL12[[#This Row],[ (T/B) SAR]]+TABL12[[#This Row],[ (S/S) SAR]]</f>
        <v/>
      </c>
      <c r="L35" s="28" t="n">
        <v>322</v>
      </c>
      <c r="M35" s="29" t="n">
        <v>24.2</v>
      </c>
      <c r="N35" s="30" t="n">
        <v>7.78</v>
      </c>
      <c r="O35" s="3" t="n">
        <v>367</v>
      </c>
      <c r="P35" s="3">
        <f>TABL12[[#This Row],[ (S/S) SAR]]-TABL12[[#This Row],[(S/S) AJD]]</f>
        <v/>
      </c>
      <c r="Q35" s="3" t="n">
        <v>409</v>
      </c>
      <c r="R35" s="3">
        <f>TABL12[[#This Row],[ (T/B) SAR]]-TABL12[[#This Row],[(T/B) AJD]]</f>
        <v/>
      </c>
      <c r="S35" s="3">
        <f>TABL12[[#This Row],[S/S_CON.]]+TABL12[[#This Row],[T/B-CON.]]</f>
        <v/>
      </c>
      <c r="T35" s="3">
        <f>O35+Q35</f>
        <v/>
      </c>
      <c r="U35" s="3" t="n">
        <v>544</v>
      </c>
      <c r="V35" s="3" t="n">
        <v>262</v>
      </c>
      <c r="W35" s="3">
        <f>U35+V35</f>
        <v/>
      </c>
      <c r="X35" s="3">
        <f>T35-W35</f>
        <v/>
      </c>
      <c r="Y35" s="4" t="n">
        <v>91.92100000000001</v>
      </c>
      <c r="Z35" s="3" t="n">
        <v>0</v>
      </c>
      <c r="AA35" s="3">
        <f>TABL12[[#This Row],[(RESV. STORGE) AJD]]/10</f>
        <v/>
      </c>
      <c r="AB35" s="3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32">
        <f>TABL12[[#This Row],[(A/S) AJD]]-TABL12[[#This Row],[SER_IN]]</f>
        <v/>
      </c>
    </row>
    <row r="36">
      <c r="A36" s="2" t="n">
        <v>45692</v>
      </c>
      <c r="B36" s="28" t="n">
        <v>38</v>
      </c>
      <c r="C36" s="28" t="n">
        <v>324</v>
      </c>
      <c r="D36" s="28" t="n">
        <v>38</v>
      </c>
      <c r="E36" s="28" t="n">
        <v>0</v>
      </c>
      <c r="F36" s="28" t="n">
        <v>81</v>
      </c>
      <c r="G36" s="28" t="n">
        <v>523.26</v>
      </c>
      <c r="H36" s="28" t="n">
        <v>7</v>
      </c>
      <c r="I36" s="28" t="n">
        <v>424.13</v>
      </c>
      <c r="J36" s="28" t="n">
        <v>420.13</v>
      </c>
      <c r="K36" s="28">
        <f>TABL12[[#This Row],[ (T/B) SAR]]+TABL12[[#This Row],[ (S/S) SAR]]</f>
        <v/>
      </c>
      <c r="L36" s="28" t="n">
        <v>321</v>
      </c>
      <c r="M36" s="29" t="n">
        <v>24.2</v>
      </c>
      <c r="N36" s="30" t="n">
        <v>7.82</v>
      </c>
      <c r="O36" s="3" t="n">
        <v>369</v>
      </c>
      <c r="P36" s="3">
        <f>TABL12[[#This Row],[ (S/S) SAR]]-TABL12[[#This Row],[(S/S) AJD]]</f>
        <v/>
      </c>
      <c r="Q36" s="3" t="n">
        <v>411</v>
      </c>
      <c r="R36" s="3">
        <f>TABL12[[#This Row],[ (T/B) SAR]]-TABL12[[#This Row],[(T/B) AJD]]</f>
        <v/>
      </c>
      <c r="S36" s="3">
        <f>TABL12[[#This Row],[S/S_CON.]]+TABL12[[#This Row],[T/B-CON.]]</f>
        <v/>
      </c>
      <c r="T36" s="3">
        <f>O36+Q36</f>
        <v/>
      </c>
      <c r="U36" s="3" t="n">
        <v>511</v>
      </c>
      <c r="V36" s="3" t="n">
        <v>267</v>
      </c>
      <c r="W36" s="3">
        <f>U36+V36</f>
        <v/>
      </c>
      <c r="X36" s="3">
        <f>T36-W36</f>
        <v/>
      </c>
      <c r="Y36" s="4" t="n">
        <v>91.92</v>
      </c>
      <c r="Z36" s="3" t="n">
        <v>0</v>
      </c>
      <c r="AA36" s="3">
        <f>TABL12[[#This Row],[(RESV. STORGE) AJD]]/10</f>
        <v/>
      </c>
      <c r="AB36" s="3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32">
        <f>TABL12[[#This Row],[(A/S) AJD]]-TABL12[[#This Row],[SER_IN]]</f>
        <v/>
      </c>
    </row>
    <row r="37">
      <c r="A37" s="2" t="n">
        <v>45693</v>
      </c>
      <c r="B37" s="28" t="n">
        <v>38</v>
      </c>
      <c r="C37" s="28" t="n">
        <v>321</v>
      </c>
      <c r="D37" s="28" t="n">
        <v>38</v>
      </c>
      <c r="E37" s="28" t="n">
        <v>0</v>
      </c>
      <c r="F37" s="28" t="n">
        <v>81</v>
      </c>
      <c r="G37" s="28" t="n">
        <v>523.26</v>
      </c>
      <c r="H37" s="28" t="n">
        <v>7</v>
      </c>
      <c r="I37" s="28" t="n">
        <v>422.63</v>
      </c>
      <c r="J37" s="28" t="n">
        <v>418.63</v>
      </c>
      <c r="K37" s="28">
        <f>TABL12[[#This Row],[ (T/B) SAR]]+TABL12[[#This Row],[ (S/S) SAR]]</f>
        <v/>
      </c>
      <c r="L37" s="28" t="n">
        <v>318</v>
      </c>
      <c r="M37" s="29" t="n">
        <v>24.2</v>
      </c>
      <c r="N37" s="30" t="n">
        <v>7.83</v>
      </c>
      <c r="O37" s="3" t="n">
        <v>374</v>
      </c>
      <c r="P37" s="3">
        <f>TABL12[[#This Row],[ (S/S) SAR]]-TABL12[[#This Row],[(S/S) AJD]]</f>
        <v/>
      </c>
      <c r="Q37" s="3" t="n">
        <v>412</v>
      </c>
      <c r="R37" s="3">
        <f>TABL12[[#This Row],[ (T/B) SAR]]-TABL12[[#This Row],[(T/B) AJD]]</f>
        <v/>
      </c>
      <c r="S37" s="3">
        <f>TABL12[[#This Row],[S/S_CON.]]+TABL12[[#This Row],[T/B-CON.]]</f>
        <v/>
      </c>
      <c r="T37" s="3">
        <f>O37+Q37</f>
        <v/>
      </c>
      <c r="U37" s="3" t="n">
        <v>500</v>
      </c>
      <c r="V37" s="3" t="n">
        <v>245</v>
      </c>
      <c r="W37" s="3">
        <f>U37+V37</f>
        <v/>
      </c>
      <c r="X37" s="3">
        <f>T37-W37</f>
        <v/>
      </c>
      <c r="Y37" s="4" t="n">
        <v>91.92</v>
      </c>
      <c r="Z37" s="3" t="n">
        <v>0</v>
      </c>
      <c r="AA37" s="3">
        <f>TABL12[[#This Row],[(RESV. STORGE) AJD]]/10</f>
        <v/>
      </c>
      <c r="AB37" s="3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32">
        <f>TABL12[[#This Row],[(A/S) AJD]]-TABL12[[#This Row],[SER_IN]]</f>
        <v/>
      </c>
    </row>
    <row r="38">
      <c r="A38" s="2" t="n">
        <v>45694</v>
      </c>
      <c r="B38" s="28" t="n">
        <v>38</v>
      </c>
      <c r="C38" s="28" t="n">
        <v>326</v>
      </c>
      <c r="D38" s="28" t="n">
        <v>38</v>
      </c>
      <c r="E38" s="28" t="n">
        <v>0</v>
      </c>
      <c r="F38" s="28" t="n">
        <v>81</v>
      </c>
      <c r="G38" s="28" t="n">
        <v>523.26</v>
      </c>
      <c r="H38" s="28" t="n">
        <v>7</v>
      </c>
      <c r="I38" s="28" t="n">
        <v>426.13</v>
      </c>
      <c r="J38" s="28" t="n">
        <v>422.13</v>
      </c>
      <c r="K38" s="28">
        <f>TABL12[[#This Row],[ (T/B) SAR]]+TABL12[[#This Row],[ (S/S) SAR]]</f>
        <v/>
      </c>
      <c r="L38" s="28" t="n">
        <v>325</v>
      </c>
      <c r="M38" s="29" t="n">
        <v>24.2</v>
      </c>
      <c r="N38" s="30" t="n">
        <v>7.82</v>
      </c>
      <c r="O38" s="3" t="n">
        <v>372</v>
      </c>
      <c r="P38" s="3">
        <f>TABL12[[#This Row],[ (S/S) SAR]]-TABL12[[#This Row],[(S/S) AJD]]</f>
        <v/>
      </c>
      <c r="Q38" s="3" t="n">
        <v>410</v>
      </c>
      <c r="R38" s="3">
        <f>TABL12[[#This Row],[ (T/B) SAR]]-TABL12[[#This Row],[(T/B) AJD]]</f>
        <v/>
      </c>
      <c r="S38" s="3">
        <f>TABL12[[#This Row],[S/S_CON.]]+TABL12[[#This Row],[T/B-CON.]]</f>
        <v/>
      </c>
      <c r="T38" s="3">
        <f>O38+Q38</f>
        <v/>
      </c>
      <c r="U38" s="3" t="n">
        <v>515</v>
      </c>
      <c r="V38" s="3" t="n">
        <v>263</v>
      </c>
      <c r="W38" s="3">
        <f>U38+V38</f>
        <v/>
      </c>
      <c r="X38" s="3">
        <f>T38-W38</f>
        <v/>
      </c>
      <c r="Y38" s="4" t="n">
        <v>91.92</v>
      </c>
      <c r="Z38" s="3" t="n">
        <v>0</v>
      </c>
      <c r="AA38" s="3">
        <f>TABL12[[#This Row],[(RESV. STORGE) AJD]]/10</f>
        <v/>
      </c>
      <c r="AB38" s="3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32">
        <f>TABL12[[#This Row],[(A/S) AJD]]-TABL12[[#This Row],[SER_IN]]</f>
        <v/>
      </c>
    </row>
    <row r="39">
      <c r="A39" s="2" t="n">
        <v>45695</v>
      </c>
      <c r="B39" s="28" t="n">
        <v>38</v>
      </c>
      <c r="C39" s="28" t="n">
        <v>320</v>
      </c>
      <c r="D39" s="28" t="n">
        <v>38</v>
      </c>
      <c r="E39" s="28" t="n">
        <v>0</v>
      </c>
      <c r="F39" s="28" t="n">
        <v>81</v>
      </c>
      <c r="G39" s="28" t="n">
        <v>523.26</v>
      </c>
      <c r="H39" s="28" t="n">
        <v>7</v>
      </c>
      <c r="I39" s="28" t="n">
        <v>422.13</v>
      </c>
      <c r="J39" s="28" t="n">
        <v>418.13</v>
      </c>
      <c r="K39" s="28">
        <f>TABL12[[#This Row],[ (T/B) SAR]]+TABL12[[#This Row],[ (S/S) SAR]]</f>
        <v/>
      </c>
      <c r="L39" s="28" t="n">
        <v>317</v>
      </c>
      <c r="M39" s="29" t="n">
        <v>24.2</v>
      </c>
      <c r="N39" s="30" t="n">
        <v>7.85</v>
      </c>
      <c r="O39" s="3" t="n">
        <v>370</v>
      </c>
      <c r="P39" s="3">
        <f>TABL12[[#This Row],[ (S/S) SAR]]-TABL12[[#This Row],[(S/S) AJD]]</f>
        <v/>
      </c>
      <c r="Q39" s="3" t="n">
        <v>408</v>
      </c>
      <c r="R39" s="3">
        <f>TABL12[[#This Row],[ (T/B) SAR]]-TABL12[[#This Row],[(T/B) AJD]]</f>
        <v/>
      </c>
      <c r="S39" s="3">
        <f>TABL12[[#This Row],[S/S_CON.]]+TABL12[[#This Row],[T/B-CON.]]</f>
        <v/>
      </c>
      <c r="T39" s="3">
        <f>O39+Q39</f>
        <v/>
      </c>
      <c r="U39" s="3" t="n">
        <v>516</v>
      </c>
      <c r="V39" s="3" t="n">
        <v>263</v>
      </c>
      <c r="W39" s="3">
        <f>U39+V39</f>
        <v/>
      </c>
      <c r="X39" s="3">
        <f>T39-W39</f>
        <v/>
      </c>
      <c r="Y39" s="4" t="n">
        <v>91.92</v>
      </c>
      <c r="Z39" s="3" t="n">
        <v>0</v>
      </c>
      <c r="AA39" s="3">
        <f>TABL12[[#This Row],[(RESV. STORGE) AJD]]/10</f>
        <v/>
      </c>
      <c r="AB39" s="3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32">
        <f>TABL12[[#This Row],[(A/S) AJD]]-TABL12[[#This Row],[SER_IN]]</f>
        <v/>
      </c>
    </row>
    <row r="40">
      <c r="A40" s="2" t="n">
        <v>45696</v>
      </c>
      <c r="B40" s="28" t="n">
        <v>38</v>
      </c>
      <c r="C40" s="28" t="n">
        <v>323</v>
      </c>
      <c r="D40" s="28" t="n">
        <v>38</v>
      </c>
      <c r="E40" s="28" t="n">
        <v>0</v>
      </c>
      <c r="F40" s="28" t="n">
        <v>81</v>
      </c>
      <c r="G40" s="28" t="n">
        <v>523.26</v>
      </c>
      <c r="H40" s="28" t="n">
        <v>7</v>
      </c>
      <c r="I40" s="28" t="n">
        <v>423.63</v>
      </c>
      <c r="J40" s="28" t="n">
        <v>419.63</v>
      </c>
      <c r="K40" s="28">
        <f>TABL12[[#This Row],[ (T/B) SAR]]+TABL12[[#This Row],[ (S/S) SAR]]</f>
        <v/>
      </c>
      <c r="L40" s="28" t="n">
        <v>320</v>
      </c>
      <c r="M40" s="29" t="n">
        <v>24.2</v>
      </c>
      <c r="N40" s="30" t="n">
        <v>7.86</v>
      </c>
      <c r="O40" s="3" t="n">
        <v>373</v>
      </c>
      <c r="P40" s="3">
        <f>TABL12[[#This Row],[ (S/S) SAR]]-TABL12[[#This Row],[(S/S) AJD]]</f>
        <v/>
      </c>
      <c r="Q40" s="3" t="n">
        <v>413</v>
      </c>
      <c r="R40" s="3">
        <f>TABL12[[#This Row],[ (T/B) SAR]]-TABL12[[#This Row],[(T/B) AJD]]</f>
        <v/>
      </c>
      <c r="S40" s="3">
        <f>TABL12[[#This Row],[S/S_CON.]]+TABL12[[#This Row],[T/B-CON.]]</f>
        <v/>
      </c>
      <c r="T40" s="3">
        <f>O40+Q40</f>
        <v/>
      </c>
      <c r="U40" s="3" t="n">
        <v>528</v>
      </c>
      <c r="V40" s="3" t="n">
        <v>260</v>
      </c>
      <c r="W40" s="3">
        <f>U40+V40</f>
        <v/>
      </c>
      <c r="X40" s="3">
        <f>T40-W40</f>
        <v/>
      </c>
      <c r="Y40" s="4" t="n">
        <v>91.92</v>
      </c>
      <c r="Z40" s="3" t="n">
        <v>0</v>
      </c>
      <c r="AA40" s="3">
        <f>TABL12[[#This Row],[(RESV. STORGE) AJD]]/10</f>
        <v/>
      </c>
      <c r="AB40" s="3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32">
        <f>TABL12[[#This Row],[(A/S) AJD]]-TABL12[[#This Row],[SER_IN]]</f>
        <v/>
      </c>
    </row>
    <row r="41">
      <c r="A41" s="2" t="n">
        <v>45697</v>
      </c>
      <c r="B41" s="28" t="n">
        <v>38</v>
      </c>
      <c r="C41" s="28" t="n">
        <v>318</v>
      </c>
      <c r="D41" s="28" t="n">
        <v>38</v>
      </c>
      <c r="E41" s="28" t="n">
        <v>0</v>
      </c>
      <c r="F41" s="28" t="n">
        <v>81</v>
      </c>
      <c r="G41" s="28" t="n">
        <v>523.26</v>
      </c>
      <c r="H41" s="28" t="n">
        <v>7</v>
      </c>
      <c r="I41" s="28" t="n">
        <v>421.13</v>
      </c>
      <c r="J41" s="28" t="n">
        <v>417.13</v>
      </c>
      <c r="K41" s="28">
        <f>TABL12[[#This Row],[ (T/B) SAR]]+TABL12[[#This Row],[ (S/S) SAR]]</f>
        <v/>
      </c>
      <c r="L41" s="28" t="n">
        <v>315</v>
      </c>
      <c r="M41" s="29" t="n">
        <v>24.2</v>
      </c>
      <c r="N41" s="30" t="n">
        <v>7.86</v>
      </c>
      <c r="O41" s="3" t="n">
        <v>373</v>
      </c>
      <c r="P41" s="3">
        <f>TABL12[[#This Row],[ (S/S) SAR]]-TABL12[[#This Row],[(S/S) AJD]]</f>
        <v/>
      </c>
      <c r="Q41" s="3" t="n">
        <v>415</v>
      </c>
      <c r="R41" s="3">
        <f>TABL12[[#This Row],[ (T/B) SAR]]-TABL12[[#This Row],[(T/B) AJD]]</f>
        <v/>
      </c>
      <c r="S41" s="3">
        <f>TABL12[[#This Row],[S/S_CON.]]+TABL12[[#This Row],[T/B-CON.]]</f>
        <v/>
      </c>
      <c r="T41" s="3">
        <f>O41+Q41</f>
        <v/>
      </c>
      <c r="U41" s="3" t="n">
        <v>513</v>
      </c>
      <c r="V41" s="3" t="n">
        <v>280</v>
      </c>
      <c r="W41" s="3">
        <f>U41+V41</f>
        <v/>
      </c>
      <c r="X41" s="3">
        <f>T41-W41</f>
        <v/>
      </c>
      <c r="Y41" s="4" t="n">
        <v>91.92</v>
      </c>
      <c r="Z41" s="3" t="n">
        <v>0</v>
      </c>
      <c r="AA41" s="3">
        <f>TABL12[[#This Row],[(RESV. STORGE) AJD]]/10</f>
        <v/>
      </c>
      <c r="AB41" s="3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32">
        <f>TABL12[[#This Row],[(A/S) AJD]]-TABL12[[#This Row],[SER_IN]]</f>
        <v/>
      </c>
    </row>
    <row r="42">
      <c r="A42" s="2" t="n">
        <v>45698</v>
      </c>
      <c r="B42" s="28" t="n">
        <v>38</v>
      </c>
      <c r="C42" s="28" t="n">
        <v>315</v>
      </c>
      <c r="D42" s="28" t="n">
        <v>38</v>
      </c>
      <c r="E42" s="28" t="n">
        <v>0</v>
      </c>
      <c r="F42" s="28" t="n">
        <v>81</v>
      </c>
      <c r="G42" s="28" t="n">
        <v>524.0699999999999</v>
      </c>
      <c r="H42" s="28" t="n">
        <v>7</v>
      </c>
      <c r="I42" s="28" t="n">
        <v>420.535</v>
      </c>
      <c r="J42" s="28" t="n">
        <v>416.535</v>
      </c>
      <c r="K42" s="28">
        <f>TABL12[[#This Row],[ (T/B) SAR]]+TABL12[[#This Row],[ (S/S) SAR]]</f>
        <v/>
      </c>
      <c r="L42" s="28" t="n">
        <v>313</v>
      </c>
      <c r="M42" s="29" t="n">
        <v>24.2</v>
      </c>
      <c r="N42" s="30" t="n">
        <v>7.84</v>
      </c>
      <c r="O42" s="3" t="n">
        <v>373</v>
      </c>
      <c r="P42" s="3">
        <f>TABL12[[#This Row],[ (S/S) SAR]]-TABL12[[#This Row],[(S/S) AJD]]</f>
        <v/>
      </c>
      <c r="Q42" s="3" t="n">
        <v>414</v>
      </c>
      <c r="R42" s="3">
        <f>TABL12[[#This Row],[ (T/B) SAR]]-TABL12[[#This Row],[(T/B) AJD]]</f>
        <v/>
      </c>
      <c r="S42" s="3">
        <f>TABL12[[#This Row],[S/S_CON.]]+TABL12[[#This Row],[T/B-CON.]]</f>
        <v/>
      </c>
      <c r="T42" s="3">
        <f>O42+Q42</f>
        <v/>
      </c>
      <c r="U42" s="3" t="n">
        <v>503</v>
      </c>
      <c r="V42" s="3" t="n">
        <v>280</v>
      </c>
      <c r="W42" s="3">
        <f>U42+V42</f>
        <v/>
      </c>
      <c r="X42" s="3">
        <f>T42-W42</f>
        <v/>
      </c>
      <c r="Y42" s="4" t="n">
        <v>91.92</v>
      </c>
      <c r="Z42" s="3" t="n">
        <v>0</v>
      </c>
      <c r="AA42" s="3">
        <f>TABL12[[#This Row],[(RESV. STORGE) AJD]]/10</f>
        <v/>
      </c>
      <c r="AB42" s="3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32">
        <f>TABL12[[#This Row],[(A/S) AJD]]-TABL12[[#This Row],[SER_IN]]</f>
        <v/>
      </c>
    </row>
    <row r="43">
      <c r="A43" s="2" t="n">
        <v>45699</v>
      </c>
      <c r="B43" s="28" t="n">
        <v>37</v>
      </c>
      <c r="C43" s="28" t="n">
        <v>308</v>
      </c>
      <c r="D43" s="28" t="n">
        <v>37</v>
      </c>
      <c r="E43" s="28" t="n">
        <v>0</v>
      </c>
      <c r="F43" s="28" t="n">
        <v>81</v>
      </c>
      <c r="G43" s="28" t="n">
        <v>524.0699999999999</v>
      </c>
      <c r="H43" s="28" t="n">
        <v>7</v>
      </c>
      <c r="I43" s="28" t="n">
        <v>416.535</v>
      </c>
      <c r="J43" s="28" t="n">
        <v>412.535</v>
      </c>
      <c r="K43" s="28">
        <f>TABL12[[#This Row],[ (T/B) SAR]]+TABL12[[#This Row],[ (S/S) SAR]]</f>
        <v/>
      </c>
      <c r="L43" s="28" t="n">
        <v>305</v>
      </c>
      <c r="M43" s="29" t="n">
        <v>24.2</v>
      </c>
      <c r="N43" s="30" t="n">
        <v>7.77</v>
      </c>
      <c r="O43" s="3" t="n">
        <v>373</v>
      </c>
      <c r="P43" s="3">
        <f>TABL12[[#This Row],[ (S/S) SAR]]-TABL12[[#This Row],[(S/S) AJD]]</f>
        <v/>
      </c>
      <c r="Q43" s="3" t="n">
        <v>415</v>
      </c>
      <c r="R43" s="3">
        <f>TABL12[[#This Row],[ (T/B) SAR]]-TABL12[[#This Row],[(T/B) AJD]]</f>
        <v/>
      </c>
      <c r="S43" s="3">
        <f>TABL12[[#This Row],[S/S_CON.]]+TABL12[[#This Row],[T/B-CON.]]</f>
        <v/>
      </c>
      <c r="T43" s="3">
        <f>O43+Q43</f>
        <v/>
      </c>
      <c r="U43" s="3" t="n">
        <v>517</v>
      </c>
      <c r="V43" s="3" t="n">
        <v>273</v>
      </c>
      <c r="W43" s="3">
        <f>U43+V43</f>
        <v/>
      </c>
      <c r="X43" s="3">
        <f>T43-W43</f>
        <v/>
      </c>
      <c r="Y43" s="4" t="n">
        <v>91.92</v>
      </c>
      <c r="Z43" s="3" t="n">
        <v>0</v>
      </c>
      <c r="AA43" s="3">
        <f>TABL12[[#This Row],[(RESV. STORGE) AJD]]/10</f>
        <v/>
      </c>
      <c r="AB43" s="3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32">
        <f>TABL12[[#This Row],[(A/S) AJD]]-TABL12[[#This Row],[SER_IN]]</f>
        <v/>
      </c>
    </row>
    <row r="44">
      <c r="A44" s="2" t="n">
        <v>45700</v>
      </c>
      <c r="B44" s="28" t="n">
        <v>36</v>
      </c>
      <c r="C44" s="28" t="n">
        <v>291</v>
      </c>
      <c r="D44" s="28" t="n">
        <v>37</v>
      </c>
      <c r="E44" s="28" t="n">
        <v>0</v>
      </c>
      <c r="F44" s="28" t="n">
        <v>83</v>
      </c>
      <c r="G44" s="28" t="n">
        <v>536.1800000000001</v>
      </c>
      <c r="H44" s="28" t="n">
        <v>5</v>
      </c>
      <c r="I44" s="28" t="n">
        <v>414.59</v>
      </c>
      <c r="J44" s="28" t="n">
        <v>410.59</v>
      </c>
      <c r="K44" s="28">
        <f>TABL12[[#This Row],[ (T/B) SAR]]+TABL12[[#This Row],[ (S/S) SAR]]</f>
        <v/>
      </c>
      <c r="L44" s="28" t="n">
        <v>289</v>
      </c>
      <c r="M44" s="29" t="n">
        <v>23.9</v>
      </c>
      <c r="N44" s="30" t="n">
        <v>7.39</v>
      </c>
      <c r="O44" s="3" t="n">
        <v>372</v>
      </c>
      <c r="P44" s="3">
        <f>TABL12[[#This Row],[ (S/S) SAR]]-TABL12[[#This Row],[(S/S) AJD]]</f>
        <v/>
      </c>
      <c r="Q44" s="3" t="n">
        <v>413</v>
      </c>
      <c r="R44" s="3">
        <f>TABL12[[#This Row],[ (T/B) SAR]]-TABL12[[#This Row],[(T/B) AJD]]</f>
        <v/>
      </c>
      <c r="S44" s="3">
        <f>TABL12[[#This Row],[S/S_CON.]]+TABL12[[#This Row],[T/B-CON.]]</f>
        <v/>
      </c>
      <c r="T44" s="3">
        <f>O44+Q44</f>
        <v/>
      </c>
      <c r="U44" s="3" t="n">
        <v>539</v>
      </c>
      <c r="V44" s="3" t="n">
        <v>249</v>
      </c>
      <c r="W44" s="3">
        <f>U44+V44</f>
        <v/>
      </c>
      <c r="X44" s="3">
        <f>T44-W44</f>
        <v/>
      </c>
      <c r="Y44" s="4" t="n">
        <v>91.92</v>
      </c>
      <c r="Z44" s="3" t="n">
        <v>0</v>
      </c>
      <c r="AA44" s="3">
        <f>TABL12[[#This Row],[(RESV. STORGE) AJD]]/10</f>
        <v/>
      </c>
      <c r="AB44" s="3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32">
        <f>TABL12[[#This Row],[(A/S) AJD]]-TABL12[[#This Row],[SER_IN]]</f>
        <v/>
      </c>
    </row>
    <row r="45">
      <c r="A45" s="2" t="n">
        <v>45701</v>
      </c>
      <c r="B45" s="28" t="n">
        <v>37</v>
      </c>
      <c r="C45" s="28" t="n">
        <v>301</v>
      </c>
      <c r="D45" s="28" t="n">
        <v>37</v>
      </c>
      <c r="E45" s="28" t="n">
        <v>0</v>
      </c>
      <c r="F45" s="28" t="n">
        <v>81</v>
      </c>
      <c r="G45" s="28" t="n">
        <v>523.26</v>
      </c>
      <c r="H45" s="28" t="n">
        <v>7</v>
      </c>
      <c r="I45" s="28" t="n">
        <v>412.63</v>
      </c>
      <c r="J45" s="28" t="n">
        <v>408.63</v>
      </c>
      <c r="K45" s="28">
        <f>TABL12[[#This Row],[ (T/B) SAR]]+TABL12[[#This Row],[ (S/S) SAR]]</f>
        <v/>
      </c>
      <c r="L45" s="28" t="n">
        <v>298</v>
      </c>
      <c r="M45" s="29" t="n">
        <v>24.2</v>
      </c>
      <c r="N45" s="30" t="n">
        <v>7.61</v>
      </c>
      <c r="O45" s="3" t="n">
        <v>370</v>
      </c>
      <c r="P45" s="3">
        <f>TABL12[[#This Row],[ (S/S) SAR]]-TABL12[[#This Row],[(S/S) AJD]]</f>
        <v/>
      </c>
      <c r="Q45" s="3" t="n">
        <v>413</v>
      </c>
      <c r="R45" s="3">
        <f>TABL12[[#This Row],[ (T/B) SAR]]-TABL12[[#This Row],[(T/B) AJD]]</f>
        <v/>
      </c>
      <c r="S45" s="3">
        <f>TABL12[[#This Row],[S/S_CON.]]+TABL12[[#This Row],[T/B-CON.]]</f>
        <v/>
      </c>
      <c r="T45" s="3">
        <f>O45+Q45</f>
        <v/>
      </c>
      <c r="U45" s="3" t="n">
        <v>543</v>
      </c>
      <c r="V45" s="3" t="n">
        <v>241</v>
      </c>
      <c r="W45" s="3">
        <f>U45+V45</f>
        <v/>
      </c>
      <c r="X45" s="3">
        <f>T45-W45</f>
        <v/>
      </c>
      <c r="Y45" s="4" t="n">
        <v>91.92</v>
      </c>
      <c r="Z45" s="3" t="n">
        <v>0</v>
      </c>
      <c r="AA45" s="3">
        <f>TABL12[[#This Row],[(RESV. STORGE) AJD]]/10</f>
        <v/>
      </c>
      <c r="AB45" s="3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32">
        <f>TABL12[[#This Row],[(A/S) AJD]]-TABL12[[#This Row],[SER_IN]]</f>
        <v/>
      </c>
    </row>
    <row r="46">
      <c r="A46" s="2" t="n">
        <v>45702</v>
      </c>
      <c r="B46" s="28" t="n">
        <v>37</v>
      </c>
      <c r="C46" s="28" t="n">
        <v>289</v>
      </c>
      <c r="D46" s="28" t="n">
        <v>37</v>
      </c>
      <c r="E46" s="28" t="n">
        <v>0</v>
      </c>
      <c r="F46" s="28" t="n">
        <v>83</v>
      </c>
      <c r="G46" s="28" t="n">
        <v>537.01</v>
      </c>
      <c r="H46" s="28" t="n">
        <v>5</v>
      </c>
      <c r="I46" s="28" t="n">
        <v>413.505</v>
      </c>
      <c r="J46" s="28" t="n">
        <v>409.505</v>
      </c>
      <c r="K46" s="28">
        <f>TABL12[[#This Row],[ (T/B) SAR]]+TABL12[[#This Row],[ (S/S) SAR]]</f>
        <v/>
      </c>
      <c r="L46" s="28" t="n">
        <v>286</v>
      </c>
      <c r="M46" s="29" t="n">
        <v>23.9</v>
      </c>
      <c r="N46" s="30" t="n">
        <v>7.55</v>
      </c>
      <c r="O46" s="3" t="n">
        <v>371</v>
      </c>
      <c r="P46" s="3">
        <f>TABL12[[#This Row],[ (S/S) SAR]]-TABL12[[#This Row],[(S/S) AJD]]</f>
        <v/>
      </c>
      <c r="Q46" s="3" t="n">
        <v>413</v>
      </c>
      <c r="R46" s="3">
        <f>TABL12[[#This Row],[ (T/B) SAR]]-TABL12[[#This Row],[(T/B) AJD]]</f>
        <v/>
      </c>
      <c r="S46" s="3">
        <f>TABL12[[#This Row],[S/S_CON.]]+TABL12[[#This Row],[T/B-CON.]]</f>
        <v/>
      </c>
      <c r="T46" s="3">
        <f>O46+Q46</f>
        <v/>
      </c>
      <c r="U46" s="3" t="n">
        <v>545</v>
      </c>
      <c r="V46" s="3" t="n">
        <v>234</v>
      </c>
      <c r="W46" s="3">
        <f>U46+V46</f>
        <v/>
      </c>
      <c r="X46" s="3">
        <f>T46-W46</f>
        <v/>
      </c>
      <c r="Y46" s="4" t="n">
        <v>91.92</v>
      </c>
      <c r="Z46" s="3" t="n">
        <v>0</v>
      </c>
      <c r="AA46" s="3">
        <f>TABL12[[#This Row],[(RESV. STORGE) AJD]]/10</f>
        <v/>
      </c>
      <c r="AB46" s="3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32">
        <f>TABL12[[#This Row],[(A/S) AJD]]-TABL12[[#This Row],[SER_IN]]</f>
        <v/>
      </c>
    </row>
    <row r="47">
      <c r="A47" s="2" t="n">
        <v>45703</v>
      </c>
      <c r="B47" s="28" t="n">
        <v>37</v>
      </c>
      <c r="C47" s="28" t="n">
        <v>308</v>
      </c>
      <c r="D47" s="28" t="n">
        <v>37</v>
      </c>
      <c r="E47" s="28" t="n">
        <v>0</v>
      </c>
      <c r="F47" s="28" t="n">
        <v>83</v>
      </c>
      <c r="G47" s="28" t="n">
        <v>532.86</v>
      </c>
      <c r="H47" s="28" t="n">
        <v>5</v>
      </c>
      <c r="I47" s="28" t="n">
        <v>421.93</v>
      </c>
      <c r="J47" s="28" t="n">
        <v>417.93</v>
      </c>
      <c r="K47" s="28">
        <f>TABL12[[#This Row],[ (T/B) SAR]]+TABL12[[#This Row],[ (S/S) SAR]]</f>
        <v/>
      </c>
      <c r="L47" s="28" t="n">
        <v>307</v>
      </c>
      <c r="M47" s="29" t="n">
        <v>23.9</v>
      </c>
      <c r="N47" s="30" t="n">
        <v>7.56</v>
      </c>
      <c r="O47" s="3" t="n">
        <v>371</v>
      </c>
      <c r="P47" s="3">
        <f>TABL12[[#This Row],[ (S/S) SAR]]-TABL12[[#This Row],[(S/S) AJD]]</f>
        <v/>
      </c>
      <c r="Q47" s="3" t="n">
        <v>413</v>
      </c>
      <c r="R47" s="3">
        <f>TABL12[[#This Row],[ (T/B) SAR]]-TABL12[[#This Row],[(T/B) AJD]]</f>
        <v/>
      </c>
      <c r="S47" s="3">
        <f>TABL12[[#This Row],[S/S_CON.]]+TABL12[[#This Row],[T/B-CON.]]</f>
        <v/>
      </c>
      <c r="T47" s="3">
        <f>O47+Q47</f>
        <v/>
      </c>
      <c r="U47" s="3" t="n">
        <v>524</v>
      </c>
      <c r="V47" s="3" t="n">
        <v>262</v>
      </c>
      <c r="W47" s="3">
        <f>U47+V47</f>
        <v/>
      </c>
      <c r="X47" s="3">
        <f>T47-W47</f>
        <v/>
      </c>
      <c r="Y47" s="4" t="n">
        <v>91.92</v>
      </c>
      <c r="Z47" s="3" t="n">
        <v>0</v>
      </c>
      <c r="AA47" s="3">
        <f>TABL12[[#This Row],[(RESV. STORGE) AJD]]/10</f>
        <v/>
      </c>
      <c r="AB47" s="3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32">
        <f>TABL12[[#This Row],[(A/S) AJD]]-TABL12[[#This Row],[SER_IN]]</f>
        <v/>
      </c>
    </row>
    <row r="48">
      <c r="A48" s="2" t="n">
        <v>45704</v>
      </c>
      <c r="B48" s="28" t="n">
        <v>37</v>
      </c>
      <c r="C48" s="28" t="n">
        <v>302</v>
      </c>
      <c r="D48" s="28" t="n">
        <v>37</v>
      </c>
      <c r="E48" s="28" t="n">
        <v>0</v>
      </c>
      <c r="F48" s="28" t="n">
        <v>83</v>
      </c>
      <c r="G48" s="28" t="n">
        <v>536.1800000000001</v>
      </c>
      <c r="H48" s="28" t="n">
        <v>5</v>
      </c>
      <c r="I48" s="28" t="n">
        <v>419.59</v>
      </c>
      <c r="J48" s="28" t="n">
        <v>415.59</v>
      </c>
      <c r="K48" s="28">
        <f>TABL12[[#This Row],[ (T/B) SAR]]+TABL12[[#This Row],[ (S/S) SAR]]</f>
        <v/>
      </c>
      <c r="L48" s="28" t="n">
        <v>299</v>
      </c>
      <c r="M48" s="29" t="n">
        <v>23.9</v>
      </c>
      <c r="N48" s="30" t="n">
        <v>7.56</v>
      </c>
      <c r="O48" s="3" t="n">
        <v>371</v>
      </c>
      <c r="P48" s="3">
        <f>TABL12[[#This Row],[ (S/S) SAR]]-TABL12[[#This Row],[(S/S) AJD]]</f>
        <v/>
      </c>
      <c r="Q48" s="3" t="n">
        <v>413</v>
      </c>
      <c r="R48" s="3">
        <f>TABL12[[#This Row],[ (T/B) SAR]]-TABL12[[#This Row],[(T/B) AJD]]</f>
        <v/>
      </c>
      <c r="S48" s="3">
        <f>TABL12[[#This Row],[S/S_CON.]]+TABL12[[#This Row],[T/B-CON.]]</f>
        <v/>
      </c>
      <c r="T48" s="3">
        <f>O48+Q48</f>
        <v/>
      </c>
      <c r="U48" s="3" t="n">
        <v>522</v>
      </c>
      <c r="V48" s="3" t="n">
        <v>262</v>
      </c>
      <c r="W48" s="3">
        <f>U48+V48</f>
        <v/>
      </c>
      <c r="X48" s="3">
        <f>T48-W48</f>
        <v/>
      </c>
      <c r="Y48" s="4" t="n">
        <v>91.92</v>
      </c>
      <c r="Z48" s="3" t="n">
        <v>0</v>
      </c>
      <c r="AA48" s="3">
        <f>TABL12[[#This Row],[(RESV. STORGE) AJD]]/10</f>
        <v/>
      </c>
      <c r="AB48" s="3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32">
        <f>TABL12[[#This Row],[(A/S) AJD]]-TABL12[[#This Row],[SER_IN]]</f>
        <v/>
      </c>
    </row>
    <row r="49">
      <c r="A49" s="2" t="n">
        <v>45705</v>
      </c>
      <c r="B49" s="28" t="n">
        <v>37</v>
      </c>
      <c r="C49" s="28" t="n">
        <v>296</v>
      </c>
      <c r="D49" s="28" t="n">
        <v>37</v>
      </c>
      <c r="E49" s="28" t="n">
        <v>0</v>
      </c>
      <c r="F49" s="28" t="n">
        <v>83</v>
      </c>
      <c r="G49" s="28" t="n">
        <v>537.01</v>
      </c>
      <c r="H49" s="28" t="n">
        <v>5</v>
      </c>
      <c r="I49" s="28" t="n">
        <v>417.005</v>
      </c>
      <c r="J49" s="28" t="n">
        <v>413.005</v>
      </c>
      <c r="K49" s="28">
        <f>TABL12[[#This Row],[ (T/B) SAR]]+TABL12[[#This Row],[ (S/S) SAR]]</f>
        <v/>
      </c>
      <c r="L49" s="28" t="n">
        <v>293</v>
      </c>
      <c r="M49" s="29" t="n">
        <v>23.9</v>
      </c>
      <c r="N49" s="30" t="n">
        <v>7.55</v>
      </c>
      <c r="O49" s="3" t="n">
        <v>372</v>
      </c>
      <c r="P49" s="3">
        <f>TABL12[[#This Row],[ (S/S) SAR]]-TABL12[[#This Row],[(S/S) AJD]]</f>
        <v/>
      </c>
      <c r="Q49" s="3" t="n">
        <v>413</v>
      </c>
      <c r="R49" s="3">
        <f>TABL12[[#This Row],[ (T/B) SAR]]-TABL12[[#This Row],[(T/B) AJD]]</f>
        <v/>
      </c>
      <c r="S49" s="3">
        <f>TABL12[[#This Row],[S/S_CON.]]+TABL12[[#This Row],[T/B-CON.]]</f>
        <v/>
      </c>
      <c r="T49" s="3">
        <f>O49+Q49</f>
        <v/>
      </c>
      <c r="U49" s="3" t="n">
        <v>517</v>
      </c>
      <c r="V49" s="3" t="n">
        <v>270</v>
      </c>
      <c r="W49" s="3">
        <f>U49+V49</f>
        <v/>
      </c>
      <c r="X49" s="3">
        <f>T49-W49</f>
        <v/>
      </c>
      <c r="Y49" s="4" t="n">
        <v>91.92</v>
      </c>
      <c r="Z49" s="3" t="n">
        <v>0</v>
      </c>
      <c r="AA49" s="3">
        <f>TABL12[[#This Row],[(RESV. STORGE) AJD]]/10</f>
        <v/>
      </c>
      <c r="AB49" s="3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32">
        <f>TABL12[[#This Row],[(A/S) AJD]]-TABL12[[#This Row],[SER_IN]]</f>
        <v/>
      </c>
    </row>
    <row r="50">
      <c r="A50" s="2" t="n">
        <v>45706</v>
      </c>
      <c r="B50" s="28" t="n">
        <v>35</v>
      </c>
      <c r="C50" s="28" t="n">
        <v>289</v>
      </c>
      <c r="D50" s="28" t="n">
        <v>37</v>
      </c>
      <c r="E50" s="28" t="n">
        <v>0</v>
      </c>
      <c r="F50" s="28" t="n">
        <v>83</v>
      </c>
      <c r="G50" s="28" t="n">
        <v>532.86</v>
      </c>
      <c r="H50" s="28" t="n">
        <v>5</v>
      </c>
      <c r="I50" s="28" t="n">
        <v>412.43</v>
      </c>
      <c r="J50" s="28" t="n">
        <v>408.43</v>
      </c>
      <c r="K50" s="28">
        <f>TABL12[[#This Row],[ (T/B) SAR]]+TABL12[[#This Row],[ (S/S) SAR]]</f>
        <v/>
      </c>
      <c r="L50" s="28" t="n">
        <v>288</v>
      </c>
      <c r="M50" s="29" t="n">
        <v>23.9</v>
      </c>
      <c r="N50" s="30" t="n">
        <v>7.49</v>
      </c>
      <c r="O50" s="3" t="n">
        <v>371</v>
      </c>
      <c r="P50" s="3">
        <f>TABL12[[#This Row],[ (S/S) SAR]]-TABL12[[#This Row],[(S/S) AJD]]</f>
        <v/>
      </c>
      <c r="Q50" s="3" t="n">
        <v>413</v>
      </c>
      <c r="R50" s="3">
        <f>TABL12[[#This Row],[ (T/B) SAR]]-TABL12[[#This Row],[(T/B) AJD]]</f>
        <v/>
      </c>
      <c r="S50" s="3">
        <f>TABL12[[#This Row],[S/S_CON.]]+TABL12[[#This Row],[T/B-CON.]]</f>
        <v/>
      </c>
      <c r="T50" s="3">
        <f>O50+Q50</f>
        <v/>
      </c>
      <c r="U50" s="3" t="n">
        <v>511</v>
      </c>
      <c r="V50" s="3" t="n">
        <v>276</v>
      </c>
      <c r="W50" s="3">
        <f>U50+V50</f>
        <v/>
      </c>
      <c r="X50" s="3">
        <f>T50-W50</f>
        <v/>
      </c>
      <c r="Y50" s="4" t="n">
        <v>91.92</v>
      </c>
      <c r="Z50" s="3" t="n">
        <v>0</v>
      </c>
      <c r="AA50" s="3">
        <f>TABL12[[#This Row],[(RESV. STORGE) AJD]]/10</f>
        <v/>
      </c>
      <c r="AB50" s="3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32">
        <f>TABL12[[#This Row],[(A/S) AJD]]-TABL12[[#This Row],[SER_IN]]</f>
        <v/>
      </c>
    </row>
    <row r="51">
      <c r="A51" s="2" t="n">
        <v>45707</v>
      </c>
      <c r="B51" s="28" t="n">
        <v>35</v>
      </c>
      <c r="C51" s="28" t="n">
        <v>288</v>
      </c>
      <c r="D51" s="28" t="n">
        <v>37</v>
      </c>
      <c r="E51" s="28" t="n">
        <v>0</v>
      </c>
      <c r="F51" s="28" t="n">
        <v>83</v>
      </c>
      <c r="G51" s="28" t="n">
        <v>536.1800000000001</v>
      </c>
      <c r="H51" s="28" t="n">
        <v>5</v>
      </c>
      <c r="I51" s="28" t="n">
        <v>412.59</v>
      </c>
      <c r="J51" s="28" t="n">
        <v>408.59</v>
      </c>
      <c r="K51" s="28">
        <f>TABL12[[#This Row],[ (T/B) SAR]]+TABL12[[#This Row],[ (S/S) SAR]]</f>
        <v/>
      </c>
      <c r="L51" s="28" t="n">
        <v>285</v>
      </c>
      <c r="M51" s="29" t="n">
        <v>23.9</v>
      </c>
      <c r="N51" s="30" t="n">
        <v>7.42</v>
      </c>
      <c r="O51" s="3" t="n">
        <v>370</v>
      </c>
      <c r="P51" s="3">
        <f>TABL12[[#This Row],[ (S/S) SAR]]-TABL12[[#This Row],[(S/S) AJD]]</f>
        <v/>
      </c>
      <c r="Q51" s="3" t="n">
        <v>412</v>
      </c>
      <c r="R51" s="3">
        <f>TABL12[[#This Row],[ (T/B) SAR]]-TABL12[[#This Row],[(T/B) AJD]]</f>
        <v/>
      </c>
      <c r="S51" s="3">
        <f>TABL12[[#This Row],[S/S_CON.]]+TABL12[[#This Row],[T/B-CON.]]</f>
        <v/>
      </c>
      <c r="T51" s="3">
        <f>O51+Q51</f>
        <v/>
      </c>
      <c r="U51" s="3" t="n">
        <v>506</v>
      </c>
      <c r="V51" s="3" t="n">
        <v>280</v>
      </c>
      <c r="W51" s="3">
        <f>U51+V51</f>
        <v/>
      </c>
      <c r="X51" s="3">
        <f>T51-W51</f>
        <v/>
      </c>
      <c r="Y51" s="4" t="n">
        <v>91.92</v>
      </c>
      <c r="Z51" s="3" t="n">
        <v>0</v>
      </c>
      <c r="AA51" s="3">
        <f>TABL12[[#This Row],[(RESV. STORGE) AJD]]/10</f>
        <v/>
      </c>
      <c r="AB51" s="3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32">
        <f>TABL12[[#This Row],[(A/S) AJD]]-TABL12[[#This Row],[SER_IN]]</f>
        <v/>
      </c>
    </row>
    <row r="52">
      <c r="A52" s="2" t="n">
        <v>45708</v>
      </c>
      <c r="B52" s="28" t="n">
        <v>38</v>
      </c>
      <c r="C52" s="28" t="n">
        <v>303</v>
      </c>
      <c r="D52" s="28" t="n">
        <v>38</v>
      </c>
      <c r="E52" s="28" t="n">
        <v>0</v>
      </c>
      <c r="F52" s="28" t="n">
        <v>83</v>
      </c>
      <c r="G52" s="28" t="n">
        <v>537.01</v>
      </c>
      <c r="H52" s="28" t="n">
        <v>5</v>
      </c>
      <c r="I52" s="28" t="n">
        <v>420.505</v>
      </c>
      <c r="J52" s="28" t="n">
        <v>416.505</v>
      </c>
      <c r="K52" s="28">
        <f>TABL12[[#This Row],[ (T/B) SAR]]+TABL12[[#This Row],[ (S/S) SAR]]</f>
        <v/>
      </c>
      <c r="L52" s="28" t="n">
        <v>300</v>
      </c>
      <c r="M52" s="29" t="n">
        <v>23.9</v>
      </c>
      <c r="N52" s="30" t="n">
        <v>7.4</v>
      </c>
      <c r="O52" s="3" t="n">
        <v>371</v>
      </c>
      <c r="P52" s="3">
        <f>TABL12[[#This Row],[ (S/S) SAR]]-TABL12[[#This Row],[(S/S) AJD]]</f>
        <v/>
      </c>
      <c r="Q52" s="3" t="n">
        <v>412</v>
      </c>
      <c r="R52" s="3">
        <f>TABL12[[#This Row],[ (T/B) SAR]]-TABL12[[#This Row],[(T/B) AJD]]</f>
        <v/>
      </c>
      <c r="S52" s="3">
        <f>TABL12[[#This Row],[S/S_CON.]]+TABL12[[#This Row],[T/B-CON.]]</f>
        <v/>
      </c>
      <c r="T52" s="3">
        <f>O52+Q52</f>
        <v/>
      </c>
      <c r="U52" s="3" t="n">
        <v>517</v>
      </c>
      <c r="V52" s="3" t="n">
        <v>266</v>
      </c>
      <c r="W52" s="3">
        <f>U52+V52</f>
        <v/>
      </c>
      <c r="X52" s="3">
        <f>T52-W52</f>
        <v/>
      </c>
      <c r="Y52" s="4" t="n">
        <v>91.92</v>
      </c>
      <c r="Z52" s="3" t="n">
        <v>0</v>
      </c>
      <c r="AA52" s="3">
        <f>TABL12[[#This Row],[(RESV. STORGE) AJD]]/10</f>
        <v/>
      </c>
      <c r="AB52" s="3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32">
        <f>TABL12[[#This Row],[(A/S) AJD]]-TABL12[[#This Row],[SER_IN]]</f>
        <v/>
      </c>
    </row>
    <row r="53">
      <c r="A53" s="2" t="n">
        <v>45709</v>
      </c>
      <c r="B53" s="28" t="n">
        <v>38</v>
      </c>
      <c r="C53" s="28" t="n">
        <v>311</v>
      </c>
      <c r="D53" s="28" t="n">
        <v>38</v>
      </c>
      <c r="E53" s="28" t="n">
        <v>0</v>
      </c>
      <c r="F53" s="28" t="n">
        <v>83</v>
      </c>
      <c r="G53" s="28" t="n">
        <v>532.86</v>
      </c>
      <c r="H53" s="28" t="n">
        <v>5</v>
      </c>
      <c r="I53" s="28" t="n">
        <v>423.43</v>
      </c>
      <c r="J53" s="28" t="n">
        <v>419.43</v>
      </c>
      <c r="K53" s="28">
        <f>TABL12[[#This Row],[ (T/B) SAR]]+TABL12[[#This Row],[ (S/S) SAR]]</f>
        <v/>
      </c>
      <c r="L53" s="28" t="n">
        <v>310</v>
      </c>
      <c r="M53" s="29" t="n">
        <v>23.9</v>
      </c>
      <c r="N53" s="30" t="n">
        <v>7.48</v>
      </c>
      <c r="O53" s="3" t="n">
        <v>370</v>
      </c>
      <c r="P53" s="3">
        <f>TABL12[[#This Row],[ (S/S) SAR]]-TABL12[[#This Row],[(S/S) AJD]]</f>
        <v/>
      </c>
      <c r="Q53" s="3" t="n">
        <v>411</v>
      </c>
      <c r="R53" s="3">
        <f>TABL12[[#This Row],[ (T/B) SAR]]-TABL12[[#This Row],[(T/B) AJD]]</f>
        <v/>
      </c>
      <c r="S53" s="3">
        <f>TABL12[[#This Row],[S/S_CON.]]+TABL12[[#This Row],[T/B-CON.]]</f>
        <v/>
      </c>
      <c r="T53" s="3">
        <f>O53+Q53</f>
        <v/>
      </c>
      <c r="U53" s="3" t="n">
        <v>513</v>
      </c>
      <c r="V53" s="3" t="n">
        <v>272</v>
      </c>
      <c r="W53" s="3">
        <f>U53+V53</f>
        <v/>
      </c>
      <c r="X53" s="3">
        <f>T53-W53</f>
        <v/>
      </c>
      <c r="Y53" s="4" t="n">
        <v>91.92</v>
      </c>
      <c r="Z53" s="3" t="n">
        <v>0</v>
      </c>
      <c r="AA53" s="3">
        <f>TABL12[[#This Row],[(RESV. STORGE) AJD]]/10</f>
        <v/>
      </c>
      <c r="AB53" s="3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32">
        <f>TABL12[[#This Row],[(A/S) AJD]]-TABL12[[#This Row],[SER_IN]]</f>
        <v/>
      </c>
    </row>
    <row r="54">
      <c r="A54" s="2" t="n">
        <v>45710</v>
      </c>
      <c r="B54" s="28" t="n">
        <v>36</v>
      </c>
      <c r="C54" s="28" t="n">
        <v>299</v>
      </c>
      <c r="D54" s="28" t="n">
        <v>37</v>
      </c>
      <c r="E54" s="28" t="n">
        <v>0</v>
      </c>
      <c r="F54" s="28" t="n">
        <v>83</v>
      </c>
      <c r="G54" s="28" t="n">
        <v>536.1800000000001</v>
      </c>
      <c r="H54" s="28" t="n">
        <v>5</v>
      </c>
      <c r="I54" s="28" t="n">
        <v>418.09</v>
      </c>
      <c r="J54" s="28" t="n">
        <v>414.09</v>
      </c>
      <c r="K54" s="28">
        <f>TABL12[[#This Row],[ (T/B) SAR]]+TABL12[[#This Row],[ (S/S) SAR]]</f>
        <v/>
      </c>
      <c r="L54" s="28" t="n">
        <v>296</v>
      </c>
      <c r="M54" s="29" t="n">
        <v>23.9</v>
      </c>
      <c r="N54" s="30" t="n">
        <v>7.47</v>
      </c>
      <c r="O54" s="3" t="n">
        <v>371</v>
      </c>
      <c r="P54" s="3">
        <f>TABL12[[#This Row],[ (S/S) SAR]]-TABL12[[#This Row],[(S/S) AJD]]</f>
        <v/>
      </c>
      <c r="Q54" s="3" t="n">
        <v>412</v>
      </c>
      <c r="R54" s="3">
        <f>TABL12[[#This Row],[ (T/B) SAR]]-TABL12[[#This Row],[(T/B) AJD]]</f>
        <v/>
      </c>
      <c r="S54" s="3">
        <f>TABL12[[#This Row],[S/S_CON.]]+TABL12[[#This Row],[T/B-CON.]]</f>
        <v/>
      </c>
      <c r="T54" s="3">
        <f>O54+Q54</f>
        <v/>
      </c>
      <c r="U54" s="3" t="n">
        <v>513</v>
      </c>
      <c r="V54" s="3" t="n">
        <v>271</v>
      </c>
      <c r="W54" s="3">
        <f>U54+V54</f>
        <v/>
      </c>
      <c r="X54" s="3">
        <f>T54-W54</f>
        <v/>
      </c>
      <c r="Y54" s="4" t="n">
        <v>91.92</v>
      </c>
      <c r="Z54" s="3" t="n">
        <v>0</v>
      </c>
      <c r="AA54" s="3">
        <f>TABL12[[#This Row],[(RESV. STORGE) AJD]]/10</f>
        <v/>
      </c>
      <c r="AB54" s="3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32">
        <f>TABL12[[#This Row],[(A/S) AJD]]-TABL12[[#This Row],[SER_IN]]</f>
        <v/>
      </c>
    </row>
    <row r="55">
      <c r="A55" s="2" t="n">
        <v>45711</v>
      </c>
      <c r="B55" s="28" t="n">
        <v>36</v>
      </c>
      <c r="C55" s="28" t="n">
        <v>301</v>
      </c>
      <c r="D55" s="28" t="n">
        <v>37</v>
      </c>
      <c r="E55" s="28" t="n">
        <v>0</v>
      </c>
      <c r="F55" s="28" t="n">
        <v>83</v>
      </c>
      <c r="G55" s="28" t="n">
        <v>537.01</v>
      </c>
      <c r="H55" s="28" t="n">
        <v>5</v>
      </c>
      <c r="I55" s="28" t="n">
        <v>419.505</v>
      </c>
      <c r="J55" s="28" t="n">
        <v>415.505</v>
      </c>
      <c r="K55" s="28">
        <f>TABL12[[#This Row],[ (T/B) SAR]]+TABL12[[#This Row],[ (S/S) SAR]]</f>
        <v/>
      </c>
      <c r="L55" s="28" t="n">
        <v>298</v>
      </c>
      <c r="M55" s="29" t="n">
        <v>23.9</v>
      </c>
      <c r="N55" s="30" t="n">
        <v>7.46</v>
      </c>
      <c r="O55" s="3" t="n">
        <v>371</v>
      </c>
      <c r="P55" s="3">
        <f>TABL12[[#This Row],[ (S/S) SAR]]-TABL12[[#This Row],[(S/S) AJD]]</f>
        <v/>
      </c>
      <c r="Q55" s="3" t="n">
        <v>412</v>
      </c>
      <c r="R55" s="3">
        <f>TABL12[[#This Row],[ (T/B) SAR]]-TABL12[[#This Row],[(T/B) AJD]]</f>
        <v/>
      </c>
      <c r="S55" s="3">
        <f>TABL12[[#This Row],[S/S_CON.]]+TABL12[[#This Row],[T/B-CON.]]</f>
        <v/>
      </c>
      <c r="T55" s="3">
        <f>O55+Q55</f>
        <v/>
      </c>
      <c r="U55" s="3" t="n">
        <v>519</v>
      </c>
      <c r="V55" s="3" t="n">
        <v>267</v>
      </c>
      <c r="W55" s="3">
        <f>U55+V55</f>
        <v/>
      </c>
      <c r="X55" s="3">
        <f>T55-W55</f>
        <v/>
      </c>
      <c r="Y55" s="4" t="n">
        <v>91.92</v>
      </c>
      <c r="Z55" s="3" t="n">
        <v>0</v>
      </c>
      <c r="AA55" s="3">
        <f>TABL12[[#This Row],[(RESV. STORGE) AJD]]/10</f>
        <v/>
      </c>
      <c r="AB55" s="3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32">
        <f>TABL12[[#This Row],[(A/S) AJD]]-TABL12[[#This Row],[SER_IN]]</f>
        <v/>
      </c>
    </row>
    <row r="56">
      <c r="A56" s="2" t="n">
        <v>45712</v>
      </c>
      <c r="B56" s="28" t="n">
        <v>36</v>
      </c>
      <c r="C56" s="28" t="n">
        <v>296</v>
      </c>
      <c r="D56" s="28" t="n">
        <v>37</v>
      </c>
      <c r="E56" s="28" t="n">
        <v>0</v>
      </c>
      <c r="F56" s="28" t="n">
        <v>83</v>
      </c>
      <c r="G56" s="28" t="n">
        <v>532.86</v>
      </c>
      <c r="H56" s="28" t="n">
        <v>5</v>
      </c>
      <c r="I56" s="28" t="n">
        <v>415.93</v>
      </c>
      <c r="J56" s="28" t="n">
        <v>411.93</v>
      </c>
      <c r="K56" s="28">
        <f>TABL12[[#This Row],[ (T/B) SAR]]+TABL12[[#This Row],[ (S/S) SAR]]</f>
        <v/>
      </c>
      <c r="L56" s="28" t="n">
        <v>295</v>
      </c>
      <c r="M56" s="29" t="n">
        <v>23.9</v>
      </c>
      <c r="N56" s="30" t="n">
        <v>7.44</v>
      </c>
      <c r="O56" s="3" t="n">
        <v>317</v>
      </c>
      <c r="P56" s="3">
        <f>TABL12[[#This Row],[ (S/S) SAR]]-TABL12[[#This Row],[(S/S) AJD]]</f>
        <v/>
      </c>
      <c r="Q56" s="3" t="n">
        <v>412</v>
      </c>
      <c r="R56" s="3">
        <f>TABL12[[#This Row],[ (T/B) SAR]]-TABL12[[#This Row],[(T/B) AJD]]</f>
        <v/>
      </c>
      <c r="S56" s="3">
        <f>TABL12[[#This Row],[S/S_CON.]]+TABL12[[#This Row],[T/B-CON.]]</f>
        <v/>
      </c>
      <c r="T56" s="3">
        <f>O56+Q56</f>
        <v/>
      </c>
      <c r="U56" s="3" t="n">
        <v>506</v>
      </c>
      <c r="V56" s="3" t="n">
        <v>274</v>
      </c>
      <c r="W56" s="3">
        <f>U56+V56</f>
        <v/>
      </c>
      <c r="X56" s="3">
        <f>T56-W56</f>
        <v/>
      </c>
      <c r="Y56" s="4" t="n">
        <v>91.92</v>
      </c>
      <c r="Z56" s="3" t="n">
        <v>0</v>
      </c>
      <c r="AA56" s="3">
        <f>TABL12[[#This Row],[(RESV. STORGE) AJD]]/10</f>
        <v/>
      </c>
      <c r="AB56" s="3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32">
        <f>TABL12[[#This Row],[(A/S) AJD]]-TABL12[[#This Row],[SER_IN]]</f>
        <v/>
      </c>
    </row>
    <row r="57">
      <c r="A57" s="2" t="n">
        <v>45713</v>
      </c>
      <c r="B57" s="28" t="n">
        <v>36</v>
      </c>
      <c r="C57" s="28" t="n">
        <v>291</v>
      </c>
      <c r="D57" s="28" t="n">
        <v>37</v>
      </c>
      <c r="E57" s="28" t="n">
        <v>0</v>
      </c>
      <c r="F57" s="28" t="n">
        <v>83</v>
      </c>
      <c r="G57" s="28" t="n">
        <v>536.1800000000001</v>
      </c>
      <c r="H57" s="28" t="n">
        <v>5</v>
      </c>
      <c r="I57" s="28" t="n">
        <v>414.09</v>
      </c>
      <c r="J57" s="28" t="n">
        <v>410.09</v>
      </c>
      <c r="K57" s="28">
        <f>TABL12[[#This Row],[ (T/B) SAR]]+TABL12[[#This Row],[ (S/S) SAR]]</f>
        <v/>
      </c>
      <c r="L57" s="28" t="n">
        <v>288</v>
      </c>
      <c r="M57" s="29" t="n">
        <v>23.9</v>
      </c>
      <c r="N57" s="30" t="n">
        <v>7.39</v>
      </c>
      <c r="O57" s="3" t="n">
        <v>371</v>
      </c>
      <c r="P57" s="3">
        <f>TABL12[[#This Row],[ (S/S) SAR]]-TABL12[[#This Row],[(S/S) AJD]]</f>
        <v/>
      </c>
      <c r="Q57" s="3" t="n">
        <v>412</v>
      </c>
      <c r="R57" s="3">
        <f>TABL12[[#This Row],[ (T/B) SAR]]-TABL12[[#This Row],[(T/B) AJD]]</f>
        <v/>
      </c>
      <c r="S57" s="3">
        <f>TABL12[[#This Row],[S/S_CON.]]+TABL12[[#This Row],[T/B-CON.]]</f>
        <v/>
      </c>
      <c r="T57" s="3">
        <f>O57+Q57</f>
        <v/>
      </c>
      <c r="U57" s="3" t="n">
        <v>511</v>
      </c>
      <c r="V57" s="3" t="n">
        <v>273</v>
      </c>
      <c r="W57" s="3">
        <f>U57+V57</f>
        <v/>
      </c>
      <c r="X57" s="3">
        <f>T57-W57</f>
        <v/>
      </c>
      <c r="Y57" s="4" t="n">
        <v>91.92</v>
      </c>
      <c r="Z57" s="3" t="n">
        <v>0</v>
      </c>
      <c r="AA57" s="3">
        <f>TABL12[[#This Row],[(RESV. STORGE) AJD]]/10</f>
        <v/>
      </c>
      <c r="AB57" s="3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32">
        <f>TABL12[[#This Row],[(A/S) AJD]]-TABL12[[#This Row],[SER_IN]]</f>
        <v/>
      </c>
    </row>
    <row r="58">
      <c r="A58" s="2" t="n">
        <v>45714</v>
      </c>
      <c r="B58" s="28" t="n">
        <v>37</v>
      </c>
      <c r="C58" s="28" t="n">
        <v>296</v>
      </c>
      <c r="D58" s="28" t="n">
        <v>37</v>
      </c>
      <c r="E58" s="28" t="n">
        <v>0</v>
      </c>
      <c r="F58" s="28" t="n">
        <v>83</v>
      </c>
      <c r="G58" s="28" t="n">
        <v>537.01</v>
      </c>
      <c r="H58" s="28" t="n">
        <v>5</v>
      </c>
      <c r="I58" s="28" t="n">
        <v>417.005</v>
      </c>
      <c r="J58" s="28" t="n">
        <v>413.005</v>
      </c>
      <c r="K58" s="28">
        <f>TABL12[[#This Row],[ (T/B) SAR]]+TABL12[[#This Row],[ (S/S) SAR]]</f>
        <v/>
      </c>
      <c r="L58" s="28" t="n">
        <v>293</v>
      </c>
      <c r="M58" s="29" t="n">
        <v>23.9</v>
      </c>
      <c r="N58" s="30" t="n">
        <v>7.37</v>
      </c>
      <c r="O58" s="3" t="n">
        <v>371</v>
      </c>
      <c r="P58" s="3">
        <f>TABL12[[#This Row],[ (S/S) SAR]]-TABL12[[#This Row],[(S/S) AJD]]</f>
        <v/>
      </c>
      <c r="Q58" s="3" t="n">
        <v>411</v>
      </c>
      <c r="R58" s="3">
        <f>TABL12[[#This Row],[ (T/B) SAR]]-TABL12[[#This Row],[(T/B) AJD]]</f>
        <v/>
      </c>
      <c r="S58" s="3">
        <f>TABL12[[#This Row],[S/S_CON.]]+TABL12[[#This Row],[T/B-CON.]]</f>
        <v/>
      </c>
      <c r="T58" s="3">
        <f>O58+Q58</f>
        <v/>
      </c>
      <c r="U58" s="3" t="n">
        <v>505</v>
      </c>
      <c r="V58" s="3" t="n">
        <v>280</v>
      </c>
      <c r="W58" s="3">
        <f>U58+V58</f>
        <v/>
      </c>
      <c r="X58" s="3">
        <f>T58-W58</f>
        <v/>
      </c>
      <c r="Y58" s="4" t="n">
        <v>91.92</v>
      </c>
      <c r="Z58" s="3" t="n">
        <v>0</v>
      </c>
      <c r="AA58" s="3">
        <f>TABL12[[#This Row],[(RESV. STORGE) AJD]]/10</f>
        <v/>
      </c>
      <c r="AB58" s="3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32">
        <f>TABL12[[#This Row],[(A/S) AJD]]-TABL12[[#This Row],[SER_IN]]</f>
        <v/>
      </c>
    </row>
    <row r="59">
      <c r="A59" s="2" t="n">
        <v>45715</v>
      </c>
      <c r="B59" s="28" t="n">
        <v>38</v>
      </c>
      <c r="C59" s="28" t="n">
        <v>304</v>
      </c>
      <c r="D59" s="28" t="n">
        <v>38</v>
      </c>
      <c r="E59" s="28" t="n">
        <v>0</v>
      </c>
      <c r="F59" s="28" t="n">
        <v>83</v>
      </c>
      <c r="G59" s="28" t="n">
        <v>532.86</v>
      </c>
      <c r="H59" s="28" t="n">
        <v>5</v>
      </c>
      <c r="I59" s="28" t="n">
        <v>419.93</v>
      </c>
      <c r="J59" s="28" t="n">
        <v>415.93</v>
      </c>
      <c r="K59" s="28">
        <f>TABL12[[#This Row],[ (T/B) SAR]]+TABL12[[#This Row],[ (S/S) SAR]]</f>
        <v/>
      </c>
      <c r="L59" s="28" t="n">
        <v>303</v>
      </c>
      <c r="M59" s="29" t="n">
        <v>23.9</v>
      </c>
      <c r="N59" s="30" t="n">
        <v>7.39</v>
      </c>
      <c r="O59" s="3" t="n">
        <v>370</v>
      </c>
      <c r="P59" s="3">
        <f>TABL12[[#This Row],[ (S/S) SAR]]-TABL12[[#This Row],[(S/S) AJD]]</f>
        <v/>
      </c>
      <c r="Q59" s="3" t="n">
        <v>411</v>
      </c>
      <c r="R59" s="3">
        <f>TABL12[[#This Row],[ (T/B) SAR]]-TABL12[[#This Row],[(T/B) AJD]]</f>
        <v/>
      </c>
      <c r="S59" s="3">
        <f>TABL12[[#This Row],[S/S_CON.]]+TABL12[[#This Row],[T/B-CON.]]</f>
        <v/>
      </c>
      <c r="T59" s="3">
        <f>O59+Q59</f>
        <v/>
      </c>
      <c r="U59" s="3" t="n">
        <v>511</v>
      </c>
      <c r="V59" s="3" t="n">
        <v>272</v>
      </c>
      <c r="W59" s="3">
        <f>U59+V59</f>
        <v/>
      </c>
      <c r="X59" s="3">
        <f>T59-W59</f>
        <v/>
      </c>
      <c r="Y59" s="4" t="n">
        <v>91.92</v>
      </c>
      <c r="Z59" s="3" t="n">
        <v>0</v>
      </c>
      <c r="AA59" s="3">
        <f>TABL12[[#This Row],[(RESV. STORGE) AJD]]/10</f>
        <v/>
      </c>
      <c r="AB59" s="3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32">
        <f>TABL12[[#This Row],[(A/S) AJD]]-TABL12[[#This Row],[SER_IN]]</f>
        <v/>
      </c>
    </row>
    <row r="60">
      <c r="A60" s="2" t="n">
        <v>45716</v>
      </c>
      <c r="B60" s="28" t="n">
        <v>37</v>
      </c>
      <c r="C60" s="28" t="n">
        <v>310</v>
      </c>
      <c r="D60" s="28" t="n">
        <v>37</v>
      </c>
      <c r="E60" s="28" t="n">
        <v>0</v>
      </c>
      <c r="F60" s="28" t="n">
        <v>83</v>
      </c>
      <c r="G60" s="28" t="n">
        <v>537.01</v>
      </c>
      <c r="H60" s="28" t="n">
        <v>5</v>
      </c>
      <c r="I60" s="28" t="n">
        <v>424.005</v>
      </c>
      <c r="J60" s="28" t="n">
        <v>420.005</v>
      </c>
      <c r="K60" s="28">
        <f>TABL12[[#This Row],[ (T/B) SAR]]+TABL12[[#This Row],[ (S/S) SAR]]</f>
        <v/>
      </c>
      <c r="L60" s="28" t="n">
        <v>307</v>
      </c>
      <c r="M60" s="29" t="n">
        <v>23.9</v>
      </c>
      <c r="N60" s="30" t="n">
        <v>7.44</v>
      </c>
      <c r="O60" s="3" t="n">
        <v>370</v>
      </c>
      <c r="P60" s="3">
        <f>TABL12[[#This Row],[ (S/S) SAR]]-TABL12[[#This Row],[(S/S) AJD]]</f>
        <v/>
      </c>
      <c r="Q60" s="3" t="n">
        <v>412</v>
      </c>
      <c r="R60" s="3">
        <f>TABL12[[#This Row],[ (T/B) SAR]]-TABL12[[#This Row],[(T/B) AJD]]</f>
        <v/>
      </c>
      <c r="S60" s="3">
        <f>TABL12[[#This Row],[S/S_CON.]]+TABL12[[#This Row],[T/B-CON.]]</f>
        <v/>
      </c>
      <c r="T60" s="3">
        <f>O60+Q60</f>
        <v/>
      </c>
      <c r="U60" s="3" t="n">
        <v>500</v>
      </c>
      <c r="V60" s="3" t="n">
        <v>284</v>
      </c>
      <c r="W60" s="3">
        <f>U60+V60</f>
        <v/>
      </c>
      <c r="X60" s="3">
        <f>T60-W60</f>
        <v/>
      </c>
      <c r="Y60" s="4" t="n">
        <v>91.92</v>
      </c>
      <c r="Z60" s="3" t="n">
        <v>0</v>
      </c>
      <c r="AA60" s="3">
        <f>TABL12[[#This Row],[(RESV. STORGE) AJD]]/10</f>
        <v/>
      </c>
      <c r="AB60" s="3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32">
        <f>TABL12[[#This Row],[(A/S) AJD]]-TABL12[[#This Row],[SER_IN]]</f>
        <v/>
      </c>
    </row>
    <row r="61">
      <c r="A61" s="2" t="n">
        <v>45717</v>
      </c>
      <c r="B61" s="28" t="n">
        <v>37</v>
      </c>
      <c r="C61" s="28" t="n">
        <v>326</v>
      </c>
      <c r="D61" s="28" t="n">
        <v>38</v>
      </c>
      <c r="E61" s="28" t="n">
        <v>0</v>
      </c>
      <c r="F61" s="28" t="n">
        <v>83</v>
      </c>
      <c r="G61" s="28" t="n">
        <v>538</v>
      </c>
      <c r="H61" s="28" t="n">
        <v>5</v>
      </c>
      <c r="I61" s="28" t="n">
        <v>421</v>
      </c>
      <c r="J61" s="28" t="n">
        <v>417</v>
      </c>
      <c r="K61" s="28">
        <f>TABL12[[#This Row],[ (T/B) SAR]]+TABL12[[#This Row],[ (S/S) SAR]]</f>
        <v/>
      </c>
      <c r="L61" s="28" t="n">
        <v>302</v>
      </c>
      <c r="M61" s="29" t="n">
        <v>23.9</v>
      </c>
      <c r="N61" s="30" t="n">
        <v>7.48</v>
      </c>
      <c r="O61" s="3" t="n">
        <v>371</v>
      </c>
      <c r="P61" s="3">
        <f>TABL12[[#This Row],[ (S/S) SAR]]-TABL12[[#This Row],[(S/S) AJD]]</f>
        <v/>
      </c>
      <c r="Q61" s="3" t="n">
        <v>411</v>
      </c>
      <c r="R61" s="3">
        <f>TABL12[[#This Row],[ (T/B) SAR]]-TABL12[[#This Row],[(T/B) AJD]]</f>
        <v/>
      </c>
      <c r="S61" s="3">
        <f>TABL12[[#This Row],[S/S_CON.]]+TABL12[[#This Row],[T/B-CON.]]</f>
        <v/>
      </c>
      <c r="T61" s="3">
        <f>O61+Q61</f>
        <v/>
      </c>
      <c r="U61" s="3" t="n">
        <v>504</v>
      </c>
      <c r="V61" s="3" t="n">
        <v>277</v>
      </c>
      <c r="W61" s="3">
        <f>U61+V61</f>
        <v/>
      </c>
      <c r="X61" s="3">
        <f>T61-W61</f>
        <v/>
      </c>
      <c r="Y61" s="4" t="n">
        <v>91.92</v>
      </c>
      <c r="Z61" s="3" t="n">
        <v>0</v>
      </c>
      <c r="AA61" s="3">
        <f>TABL12[[#This Row],[(RESV. STORGE) AJD]]/10</f>
        <v/>
      </c>
      <c r="AB61" s="3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32">
        <f>TABL12[[#This Row],[(A/S) AJD]]-TABL12[[#This Row],[SER_IN]]</f>
        <v/>
      </c>
    </row>
    <row r="62">
      <c r="A62" s="2" t="n">
        <v>45718</v>
      </c>
      <c r="B62" s="28" t="n">
        <v>38</v>
      </c>
      <c r="C62" s="28" t="n">
        <v>303</v>
      </c>
      <c r="D62" s="28" t="n">
        <v>38</v>
      </c>
      <c r="E62" s="28" t="n">
        <v>0</v>
      </c>
      <c r="F62" s="28" t="n">
        <v>83</v>
      </c>
      <c r="G62" s="28" t="n">
        <v>537</v>
      </c>
      <c r="H62" s="28" t="n">
        <v>5</v>
      </c>
      <c r="I62" s="28" t="n">
        <v>421</v>
      </c>
      <c r="J62" s="28" t="n">
        <v>417</v>
      </c>
      <c r="K62" s="28">
        <f>TABL12[[#This Row],[ (T/B) SAR]]+TABL12[[#This Row],[ (S/S) SAR]]</f>
        <v/>
      </c>
      <c r="L62" s="28" t="n">
        <v>300</v>
      </c>
      <c r="M62" s="29" t="n">
        <v>23.9</v>
      </c>
      <c r="N62" s="30" t="n">
        <v>7.44</v>
      </c>
      <c r="O62" s="3" t="n">
        <v>371</v>
      </c>
      <c r="P62" s="3">
        <f>TABL12[[#This Row],[ (S/S) SAR]]-TABL12[[#This Row],[(S/S) AJD]]</f>
        <v/>
      </c>
      <c r="Q62" s="3" t="n">
        <v>412</v>
      </c>
      <c r="R62" s="3">
        <f>TABL12[[#This Row],[ (T/B) SAR]]-TABL12[[#This Row],[(T/B) AJD]]</f>
        <v/>
      </c>
      <c r="S62" s="3">
        <f>TABL12[[#This Row],[S/S_CON.]]+TABL12[[#This Row],[T/B-CON.]]</f>
        <v/>
      </c>
      <c r="T62" s="3">
        <f>O62+Q62</f>
        <v/>
      </c>
      <c r="U62" s="3" t="n">
        <v>508</v>
      </c>
      <c r="V62" s="3" t="n">
        <v>274</v>
      </c>
      <c r="W62" s="3">
        <f>U62+V62</f>
        <v/>
      </c>
      <c r="X62" s="3">
        <f>T62-W62</f>
        <v/>
      </c>
      <c r="Y62" s="4" t="n">
        <v>91.92</v>
      </c>
      <c r="Z62" s="3" t="n">
        <v>0</v>
      </c>
      <c r="AA62" s="3">
        <f>TABL12[[#This Row],[(RESV. STORGE) AJD]]/10</f>
        <v/>
      </c>
      <c r="AB62" s="3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32">
        <f>TABL12[[#This Row],[(A/S) AJD]]-TABL12[[#This Row],[SER_IN]]</f>
        <v/>
      </c>
    </row>
    <row r="63">
      <c r="A63" s="2" t="n">
        <v>45719</v>
      </c>
      <c r="B63" s="28" t="n">
        <v>38</v>
      </c>
      <c r="C63" s="28" t="n">
        <v>305</v>
      </c>
      <c r="D63" s="28" t="n">
        <v>38</v>
      </c>
      <c r="E63" s="28" t="n">
        <v>0</v>
      </c>
      <c r="F63" s="28" t="n">
        <v>83</v>
      </c>
      <c r="G63" s="28" t="n">
        <v>537</v>
      </c>
      <c r="H63" s="28" t="n">
        <v>5</v>
      </c>
      <c r="I63" s="28" t="n">
        <v>422</v>
      </c>
      <c r="J63" s="28" t="n">
        <v>418</v>
      </c>
      <c r="K63" s="28">
        <f>TABL12[[#This Row],[ (T/B) SAR]]+TABL12[[#This Row],[ (S/S) SAR]]</f>
        <v/>
      </c>
      <c r="L63" s="28" t="n">
        <v>302</v>
      </c>
      <c r="M63" s="29" t="n">
        <v>23.9</v>
      </c>
      <c r="N63" s="30" t="n">
        <v>7.48</v>
      </c>
      <c r="O63" s="3" t="n">
        <v>371</v>
      </c>
      <c r="P63" s="3">
        <f>TABL12[[#This Row],[ (S/S) SAR]]-TABL12[[#This Row],[(S/S) AJD]]</f>
        <v/>
      </c>
      <c r="Q63" s="3" t="n">
        <v>411</v>
      </c>
      <c r="R63" s="3">
        <f>TABL12[[#This Row],[ (T/B) SAR]]-TABL12[[#This Row],[(T/B) AJD]]</f>
        <v/>
      </c>
      <c r="S63" s="3">
        <f>TABL12[[#This Row],[S/S_CON.]]+TABL12[[#This Row],[T/B-CON.]]</f>
        <v/>
      </c>
      <c r="T63" s="3">
        <f>O63+Q63</f>
        <v/>
      </c>
      <c r="U63" s="3" t="n">
        <v>513</v>
      </c>
      <c r="V63" s="3" t="n">
        <v>273</v>
      </c>
      <c r="W63" s="3">
        <f>U63+V63</f>
        <v/>
      </c>
      <c r="X63" s="3">
        <f>T63-W63</f>
        <v/>
      </c>
      <c r="Y63" s="4" t="n">
        <v>91.92</v>
      </c>
      <c r="Z63" s="3" t="n">
        <v>0</v>
      </c>
      <c r="AA63" s="3">
        <f>TABL12[[#This Row],[(RESV. STORGE) AJD]]/10</f>
        <v/>
      </c>
      <c r="AB63" s="3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32">
        <f>TABL12[[#This Row],[(A/S) AJD]]-TABL12[[#This Row],[SER_IN]]</f>
        <v/>
      </c>
    </row>
    <row r="64">
      <c r="A64" s="2" t="n">
        <v>45720</v>
      </c>
      <c r="B64" s="28" t="n">
        <v>38</v>
      </c>
      <c r="C64" s="28" t="n">
        <v>335</v>
      </c>
      <c r="D64" s="28" t="n">
        <v>40</v>
      </c>
      <c r="E64" s="28" t="n">
        <v>0</v>
      </c>
      <c r="F64" s="28" t="n">
        <v>83</v>
      </c>
      <c r="G64" s="28" t="n">
        <v>536</v>
      </c>
      <c r="H64" s="28" t="n">
        <v>5</v>
      </c>
      <c r="I64" s="28" t="n">
        <v>436</v>
      </c>
      <c r="J64" s="28" t="n">
        <v>432</v>
      </c>
      <c r="K64" s="28">
        <f>TABL12[[#This Row],[ (T/B) SAR]]+TABL12[[#This Row],[ (S/S) SAR]]</f>
        <v/>
      </c>
      <c r="L64" s="28" t="n">
        <v>332</v>
      </c>
      <c r="M64" s="29" t="n">
        <v>23.9</v>
      </c>
      <c r="N64" s="30" t="n">
        <v>7.58</v>
      </c>
      <c r="O64" s="3" t="n">
        <v>370</v>
      </c>
      <c r="P64" s="3">
        <f>TABL12[[#This Row],[ (S/S) SAR]]-TABL12[[#This Row],[(S/S) AJD]]</f>
        <v/>
      </c>
      <c r="Q64" s="3" t="n">
        <v>412</v>
      </c>
      <c r="R64" s="3">
        <f>TABL12[[#This Row],[ (T/B) SAR]]-TABL12[[#This Row],[(T/B) AJD]]</f>
        <v/>
      </c>
      <c r="S64" s="3">
        <f>TABL12[[#This Row],[S/S_CON.]]+TABL12[[#This Row],[T/B-CON.]]</f>
        <v/>
      </c>
      <c r="T64" s="3">
        <f>O64+Q64</f>
        <v/>
      </c>
      <c r="U64" s="3" t="n">
        <v>489</v>
      </c>
      <c r="V64" s="3" t="n">
        <v>295</v>
      </c>
      <c r="W64" s="3">
        <f>U64+V64</f>
        <v/>
      </c>
      <c r="X64" s="3">
        <f>T64-W64</f>
        <v/>
      </c>
      <c r="Y64" s="4" t="n">
        <v>91.92</v>
      </c>
      <c r="Z64" s="3" t="n">
        <v>0</v>
      </c>
      <c r="AA64" s="3">
        <f>TABL12[[#This Row],[(RESV. STORGE) AJD]]/10</f>
        <v/>
      </c>
      <c r="AB64" s="3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32">
        <f>TABL12[[#This Row],[(A/S) AJD]]-TABL12[[#This Row],[SER_IN]]</f>
        <v/>
      </c>
    </row>
    <row r="65">
      <c r="A65" s="2" t="n">
        <v>45721</v>
      </c>
      <c r="B65" s="28" t="n">
        <v>38</v>
      </c>
      <c r="C65" s="28" t="n">
        <v>328</v>
      </c>
      <c r="D65" s="28" t="n">
        <v>39</v>
      </c>
      <c r="E65" s="28" t="n">
        <v>0</v>
      </c>
      <c r="F65" s="28" t="n">
        <v>83</v>
      </c>
      <c r="G65" s="28" t="n">
        <v>512</v>
      </c>
      <c r="H65" s="28" t="n">
        <v>5</v>
      </c>
      <c r="I65" s="28" t="n">
        <v>399</v>
      </c>
      <c r="J65" s="28" t="n">
        <v>417</v>
      </c>
      <c r="K65" s="28">
        <f>TABL12[[#This Row],[ (T/B) SAR]]+TABL12[[#This Row],[ (S/S) SAR]]</f>
        <v/>
      </c>
      <c r="L65" s="28" t="n">
        <v>304</v>
      </c>
      <c r="M65" s="29" t="n">
        <v>23.9</v>
      </c>
      <c r="N65" s="30" t="n">
        <v>7.73</v>
      </c>
      <c r="O65" s="3" t="n">
        <v>369</v>
      </c>
      <c r="P65" s="3">
        <f>TABL12[[#This Row],[ (S/S) SAR]]-TABL12[[#This Row],[(S/S) AJD]]</f>
        <v/>
      </c>
      <c r="Q65" s="3" t="n">
        <v>410</v>
      </c>
      <c r="R65" s="3">
        <f>TABL12[[#This Row],[ (T/B) SAR]]-TABL12[[#This Row],[(T/B) AJD]]</f>
        <v/>
      </c>
      <c r="S65" s="3">
        <f>TABL12[[#This Row],[S/S_CON.]]+TABL12[[#This Row],[T/B-CON.]]</f>
        <v/>
      </c>
      <c r="T65" s="3">
        <f>O65+Q65</f>
        <v/>
      </c>
      <c r="U65" s="3" t="n">
        <v>496</v>
      </c>
      <c r="V65" s="3" t="n">
        <v>285</v>
      </c>
      <c r="W65" s="3">
        <f>U65+V65</f>
        <v/>
      </c>
      <c r="X65" s="3">
        <f>T65-W65</f>
        <v/>
      </c>
      <c r="Y65" s="4" t="n">
        <v>91.92</v>
      </c>
      <c r="Z65" s="3" t="n">
        <v>0</v>
      </c>
      <c r="AA65" s="3">
        <f>TABL12[[#This Row],[(RESV. STORGE) AJD]]/10</f>
        <v/>
      </c>
      <c r="AB65" s="3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32">
        <f>TABL12[[#This Row],[(A/S) AJD]]-TABL12[[#This Row],[SER_IN]]</f>
        <v/>
      </c>
    </row>
    <row r="66">
      <c r="A66" s="2" t="n">
        <v>45722</v>
      </c>
      <c r="B66" s="28" t="n">
        <v>39</v>
      </c>
      <c r="C66" s="28" t="n">
        <v>326</v>
      </c>
      <c r="D66" s="28" t="n">
        <v>39</v>
      </c>
      <c r="E66" s="28" t="n">
        <v>0</v>
      </c>
      <c r="F66" s="28" t="n">
        <v>83</v>
      </c>
      <c r="G66" s="28" t="n">
        <v>513</v>
      </c>
      <c r="H66" s="28" t="n">
        <v>5</v>
      </c>
      <c r="I66" s="28" t="n">
        <v>401</v>
      </c>
      <c r="J66" s="28" t="n">
        <v>419</v>
      </c>
      <c r="K66" s="28">
        <f>TABL12[[#This Row],[ (T/B) SAR]]+TABL12[[#This Row],[ (S/S) SAR]]</f>
        <v/>
      </c>
      <c r="L66" s="28" t="n">
        <v>307</v>
      </c>
      <c r="M66" s="29" t="n">
        <v>23.9</v>
      </c>
      <c r="N66" s="30" t="n">
        <v>7.85</v>
      </c>
      <c r="O66" s="3" t="n">
        <v>370</v>
      </c>
      <c r="P66" s="3">
        <f>TABL12[[#This Row],[ (S/S) SAR]]-TABL12[[#This Row],[(S/S) AJD]]</f>
        <v/>
      </c>
      <c r="Q66" s="3" t="n">
        <v>411</v>
      </c>
      <c r="R66" s="3">
        <f>TABL12[[#This Row],[ (T/B) SAR]]-TABL12[[#This Row],[(T/B) AJD]]</f>
        <v/>
      </c>
      <c r="S66" s="3">
        <f>TABL12[[#This Row],[S/S_CON.]]+TABL12[[#This Row],[T/B-CON.]]</f>
        <v/>
      </c>
      <c r="T66" s="3">
        <f>O66+Q66</f>
        <v/>
      </c>
      <c r="U66" s="3" t="n">
        <v>497</v>
      </c>
      <c r="V66" s="3" t="n">
        <v>286</v>
      </c>
      <c r="W66" s="3">
        <f>U66+V66</f>
        <v/>
      </c>
      <c r="X66" s="3">
        <f>T66-W66</f>
        <v/>
      </c>
      <c r="Y66" s="4" t="n">
        <v>91.92</v>
      </c>
      <c r="Z66" s="3" t="n">
        <v>0</v>
      </c>
      <c r="AA66" s="3">
        <f>TABL12[[#This Row],[(RESV. STORGE) AJD]]/10</f>
        <v/>
      </c>
      <c r="AB66" s="3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32">
        <f>TABL12[[#This Row],[(A/S) AJD]]-TABL12[[#This Row],[SER_IN]]</f>
        <v/>
      </c>
    </row>
    <row r="67">
      <c r="A67" s="2" t="n">
        <v>45723</v>
      </c>
      <c r="B67" s="28" t="n">
        <v>41</v>
      </c>
      <c r="C67" s="28" t="n">
        <v>337</v>
      </c>
      <c r="D67" s="28" t="n">
        <v>41</v>
      </c>
      <c r="E67" s="28" t="n">
        <v>0</v>
      </c>
      <c r="F67" s="28" t="n">
        <v>83</v>
      </c>
      <c r="G67" s="28" t="n">
        <v>514</v>
      </c>
      <c r="H67" s="28" t="n">
        <v>5</v>
      </c>
      <c r="I67" s="28" t="n">
        <v>402</v>
      </c>
      <c r="J67" s="28" t="n">
        <v>419</v>
      </c>
      <c r="K67" s="28">
        <f>TABL12[[#This Row],[ (T/B) SAR]]+TABL12[[#This Row],[ (S/S) SAR]]</f>
        <v/>
      </c>
      <c r="L67" s="28" t="n">
        <v>307</v>
      </c>
      <c r="M67" s="29" t="n">
        <v>23.9</v>
      </c>
      <c r="N67" s="30" t="n">
        <v>7.97</v>
      </c>
      <c r="O67" s="3" t="n">
        <v>373</v>
      </c>
      <c r="P67" s="3">
        <f>TABL12[[#This Row],[ (S/S) SAR]]-TABL12[[#This Row],[(S/S) AJD]]</f>
        <v/>
      </c>
      <c r="Q67" s="3" t="n">
        <v>412</v>
      </c>
      <c r="R67" s="3">
        <f>TABL12[[#This Row],[ (T/B) SAR]]-TABL12[[#This Row],[(T/B) AJD]]</f>
        <v/>
      </c>
      <c r="S67" s="3">
        <f>TABL12[[#This Row],[S/S_CON.]]+TABL12[[#This Row],[T/B-CON.]]</f>
        <v/>
      </c>
      <c r="T67" s="3">
        <f>O67+Q67</f>
        <v/>
      </c>
      <c r="U67" s="3" t="n">
        <v>504</v>
      </c>
      <c r="V67" s="3" t="n">
        <v>282</v>
      </c>
      <c r="W67" s="3">
        <f>U67+V67</f>
        <v/>
      </c>
      <c r="X67" s="3">
        <f>T67-W67</f>
        <v/>
      </c>
      <c r="Y67" s="4" t="n">
        <v>91.92</v>
      </c>
      <c r="Z67" s="3" t="n">
        <v>0</v>
      </c>
      <c r="AA67" s="3">
        <f>TABL12[[#This Row],[(RESV. STORGE) AJD]]/10</f>
        <v/>
      </c>
      <c r="AB67" s="3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32">
        <f>TABL12[[#This Row],[(A/S) AJD]]-TABL12[[#This Row],[SER_IN]]</f>
        <v/>
      </c>
    </row>
    <row r="68">
      <c r="A68" s="2" t="n">
        <v>45724</v>
      </c>
      <c r="B68" s="28" t="n">
        <v>41</v>
      </c>
      <c r="C68" s="28" t="n">
        <v>328</v>
      </c>
      <c r="D68" s="28" t="n">
        <v>41</v>
      </c>
      <c r="E68" s="28" t="n">
        <v>0</v>
      </c>
      <c r="F68" s="28" t="n">
        <v>83</v>
      </c>
      <c r="G68" s="28" t="n">
        <v>517</v>
      </c>
      <c r="H68" s="28" t="n">
        <v>5</v>
      </c>
      <c r="I68" s="28" t="n">
        <v>406</v>
      </c>
      <c r="J68" s="28" t="n">
        <v>424</v>
      </c>
      <c r="K68" s="28">
        <f>TABL12[[#This Row],[ (T/B) SAR]]+TABL12[[#This Row],[ (S/S) SAR]]</f>
        <v/>
      </c>
      <c r="L68" s="28" t="n">
        <v>313</v>
      </c>
      <c r="M68" s="29" t="n">
        <v>23.9</v>
      </c>
      <c r="N68" s="30" t="n">
        <v>8.119999999999999</v>
      </c>
      <c r="O68" s="3" t="n">
        <v>373</v>
      </c>
      <c r="P68" s="3">
        <f>TABL12[[#This Row],[ (S/S) SAR]]-TABL12[[#This Row],[(S/S) AJD]]</f>
        <v/>
      </c>
      <c r="Q68" s="3" t="n">
        <v>413</v>
      </c>
      <c r="R68" s="3">
        <f>TABL12[[#This Row],[ (T/B) SAR]]-TABL12[[#This Row],[(T/B) AJD]]</f>
        <v/>
      </c>
      <c r="S68" s="3">
        <f>TABL12[[#This Row],[S/S_CON.]]+TABL12[[#This Row],[T/B-CON.]]</f>
        <v/>
      </c>
      <c r="T68" s="3">
        <f>O68+Q68</f>
        <v/>
      </c>
      <c r="U68" s="3" t="n">
        <v>515</v>
      </c>
      <c r="V68" s="3" t="n">
        <v>268</v>
      </c>
      <c r="W68" s="3">
        <f>U68+V68</f>
        <v/>
      </c>
      <c r="X68" s="3">
        <f>T68-W68</f>
        <v/>
      </c>
      <c r="Y68" s="4" t="n">
        <v>91.92</v>
      </c>
      <c r="Z68" s="3" t="n">
        <v>0</v>
      </c>
      <c r="AA68" s="3">
        <f>TABL12[[#This Row],[(RESV. STORGE) AJD]]/10</f>
        <v/>
      </c>
      <c r="AB68" s="3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32">
        <f>TABL12[[#This Row],[(A/S) AJD]]-TABL12[[#This Row],[SER_IN]]</f>
        <v/>
      </c>
    </row>
    <row r="69">
      <c r="A69" s="2" t="n">
        <v>45725</v>
      </c>
      <c r="B69" s="28" t="n">
        <v>38</v>
      </c>
      <c r="C69" s="28" t="n">
        <v>311</v>
      </c>
      <c r="D69" s="28" t="n">
        <v>38</v>
      </c>
      <c r="E69" s="28" t="n">
        <v>0</v>
      </c>
      <c r="F69" s="28" t="n">
        <v>83</v>
      </c>
      <c r="G69" s="28" t="n">
        <v>514</v>
      </c>
      <c r="H69" s="28" t="n">
        <v>5</v>
      </c>
      <c r="I69" s="28" t="n">
        <v>409</v>
      </c>
      <c r="J69" s="28" t="n">
        <v>424</v>
      </c>
      <c r="K69" s="28">
        <f>TABL12[[#This Row],[ (T/B) SAR]]+TABL12[[#This Row],[ (S/S) SAR]]</f>
        <v/>
      </c>
      <c r="L69" s="28" t="n">
        <v>319</v>
      </c>
      <c r="M69" s="29" t="n">
        <v>24.2</v>
      </c>
      <c r="N69" s="30" t="n">
        <v>8.1</v>
      </c>
      <c r="O69" s="3" t="n">
        <v>376</v>
      </c>
      <c r="P69" s="3">
        <f>TABL12[[#This Row],[ (S/S) SAR]]-TABL12[[#This Row],[(S/S) AJD]]</f>
        <v/>
      </c>
      <c r="Q69" s="3" t="n">
        <v>416</v>
      </c>
      <c r="R69" s="3">
        <f>TABL12[[#This Row],[ (T/B) SAR]]-TABL12[[#This Row],[(T/B) AJD]]</f>
        <v/>
      </c>
      <c r="S69" s="3">
        <f>TABL12[[#This Row],[S/S_CON.]]+TABL12[[#This Row],[T/B-CON.]]</f>
        <v/>
      </c>
      <c r="T69" s="3">
        <f>O69+Q69</f>
        <v/>
      </c>
      <c r="U69" s="3" t="n">
        <v>521</v>
      </c>
      <c r="V69" s="3" t="n">
        <v>266</v>
      </c>
      <c r="W69" s="3">
        <f>U69+V69</f>
        <v/>
      </c>
      <c r="X69" s="3">
        <f>T69-W69</f>
        <v/>
      </c>
      <c r="Y69" s="4" t="n">
        <v>91.92</v>
      </c>
      <c r="Z69" s="3" t="n">
        <v>0</v>
      </c>
      <c r="AA69" s="3">
        <f>TABL12[[#This Row],[(RESV. STORGE) AJD]]/10</f>
        <v/>
      </c>
      <c r="AB69" s="3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32">
        <f>TABL12[[#This Row],[(A/S) AJD]]-TABL12[[#This Row],[SER_IN]]</f>
        <v/>
      </c>
    </row>
    <row r="70">
      <c r="A70" s="2" t="n">
        <v>45726</v>
      </c>
      <c r="B70" s="28" t="n">
        <v>38</v>
      </c>
      <c r="C70" s="28" t="n">
        <v>304</v>
      </c>
      <c r="D70" s="28" t="n">
        <v>38</v>
      </c>
      <c r="E70" s="28" t="n">
        <v>0</v>
      </c>
      <c r="F70" s="28" t="n">
        <v>82</v>
      </c>
      <c r="G70" s="28" t="n">
        <v>516</v>
      </c>
      <c r="H70" s="28" t="n">
        <v>6</v>
      </c>
      <c r="I70" s="28" t="n">
        <v>411</v>
      </c>
      <c r="J70" s="28" t="n">
        <v>428</v>
      </c>
      <c r="K70" s="28">
        <f>TABL12[[#This Row],[ (T/B) SAR]]+TABL12[[#This Row],[ (S/S) SAR]]</f>
        <v/>
      </c>
      <c r="L70" s="28" t="n">
        <v>323</v>
      </c>
      <c r="M70" s="29" t="n">
        <v>24.2</v>
      </c>
      <c r="N70" s="30" t="n">
        <v>7.99</v>
      </c>
      <c r="O70" s="3" t="n">
        <v>377</v>
      </c>
      <c r="P70" s="3">
        <f>TABL12[[#This Row],[ (S/S) SAR]]-TABL12[[#This Row],[(S/S) AJD]]</f>
        <v/>
      </c>
      <c r="Q70" s="3" t="n">
        <v>419</v>
      </c>
      <c r="R70" s="3">
        <f>TABL12[[#This Row],[ (T/B) SAR]]-TABL12[[#This Row],[(T/B) AJD]]</f>
        <v/>
      </c>
      <c r="S70" s="3">
        <f>TABL12[[#This Row],[S/S_CON.]]+TABL12[[#This Row],[T/B-CON.]]</f>
        <v/>
      </c>
      <c r="T70" s="3">
        <f>O70+Q70</f>
        <v/>
      </c>
      <c r="U70" s="3" t="n">
        <v>528</v>
      </c>
      <c r="V70" s="3" t="n">
        <v>265</v>
      </c>
      <c r="W70" s="3">
        <f>U70+V70</f>
        <v/>
      </c>
      <c r="X70" s="3">
        <f>T70-W70</f>
        <v/>
      </c>
      <c r="Y70" s="4" t="n">
        <v>91.92</v>
      </c>
      <c r="Z70" s="3" t="n">
        <v>0</v>
      </c>
      <c r="AA70" s="3">
        <f>TABL12[[#This Row],[(RESV. STORGE) AJD]]/10</f>
        <v/>
      </c>
      <c r="AB70" s="3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32">
        <f>TABL12[[#This Row],[(A/S) AJD]]-TABL12[[#This Row],[SER_IN]]</f>
        <v/>
      </c>
    </row>
    <row r="71">
      <c r="A71" s="2" t="n">
        <v>45727</v>
      </c>
      <c r="B71" s="28" t="n">
        <v>36</v>
      </c>
      <c r="C71" s="28" t="n">
        <v>301</v>
      </c>
      <c r="D71" s="28" t="n">
        <v>37</v>
      </c>
      <c r="E71" s="28" t="n">
        <v>0</v>
      </c>
      <c r="F71" s="28" t="n">
        <v>82</v>
      </c>
      <c r="G71" s="28" t="n">
        <v>507</v>
      </c>
      <c r="H71" s="28" t="n">
        <v>6</v>
      </c>
      <c r="I71" s="28" t="n">
        <v>405</v>
      </c>
      <c r="J71" s="28" t="n">
        <v>422</v>
      </c>
      <c r="K71" s="28">
        <f>TABL12[[#This Row],[ (T/B) SAR]]+TABL12[[#This Row],[ (S/S) SAR]]</f>
        <v/>
      </c>
      <c r="L71" s="28" t="n">
        <v>320</v>
      </c>
      <c r="M71" s="29" t="n">
        <v>24.2</v>
      </c>
      <c r="N71" s="30" t="n">
        <v>7.89</v>
      </c>
      <c r="O71" s="3" t="n">
        <v>376</v>
      </c>
      <c r="P71" s="3">
        <f>TABL12[[#This Row],[ (S/S) SAR]]-TABL12[[#This Row],[(S/S) AJD]]</f>
        <v/>
      </c>
      <c r="Q71" s="3" t="n">
        <v>418</v>
      </c>
      <c r="R71" s="3">
        <f>TABL12[[#This Row],[ (T/B) SAR]]-TABL12[[#This Row],[(T/B) AJD]]</f>
        <v/>
      </c>
      <c r="S71" s="3">
        <f>TABL12[[#This Row],[S/S_CON.]]+TABL12[[#This Row],[T/B-CON.]]</f>
        <v/>
      </c>
      <c r="T71" s="3">
        <f>O71+Q71</f>
        <v/>
      </c>
      <c r="U71" s="3" t="n">
        <v>516</v>
      </c>
      <c r="V71" s="3" t="n">
        <v>282</v>
      </c>
      <c r="W71" s="3">
        <f>U71+V71</f>
        <v/>
      </c>
      <c r="X71" s="3">
        <f>T71-W71</f>
        <v/>
      </c>
      <c r="Y71" s="4" t="n">
        <v>91.92</v>
      </c>
      <c r="Z71" s="3" t="n">
        <v>0</v>
      </c>
      <c r="AA71" s="3">
        <f>TABL12[[#This Row],[(RESV. STORGE) AJD]]/10</f>
        <v/>
      </c>
      <c r="AB71" s="3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32">
        <f>TABL12[[#This Row],[(A/S) AJD]]-TABL12[[#This Row],[SER_IN]]</f>
        <v/>
      </c>
    </row>
    <row r="72">
      <c r="A72" s="2" t="n">
        <v>45728</v>
      </c>
      <c r="B72" s="28" t="n">
        <v>40</v>
      </c>
      <c r="C72" s="28" t="n">
        <v>318</v>
      </c>
      <c r="D72" s="28" t="n">
        <v>40</v>
      </c>
      <c r="E72" s="28" t="n">
        <v>0</v>
      </c>
      <c r="F72" s="28" t="n">
        <v>82</v>
      </c>
      <c r="G72" s="28" t="n">
        <v>508</v>
      </c>
      <c r="H72" s="28" t="n">
        <v>6</v>
      </c>
      <c r="I72" s="28" t="n">
        <v>404</v>
      </c>
      <c r="J72" s="28" t="n">
        <v>421</v>
      </c>
      <c r="K72" s="28">
        <f>TABL12[[#This Row],[ (T/B) SAR]]+TABL12[[#This Row],[ (S/S) SAR]]</f>
        <v/>
      </c>
      <c r="L72" s="28" t="n">
        <v>318</v>
      </c>
      <c r="M72" s="29" t="n">
        <v>24.2</v>
      </c>
      <c r="N72" s="30" t="n">
        <v>7.86</v>
      </c>
      <c r="O72" s="3" t="n">
        <v>374</v>
      </c>
      <c r="P72" s="3">
        <f>TABL12[[#This Row],[ (S/S) SAR]]-TABL12[[#This Row],[(S/S) AJD]]</f>
        <v/>
      </c>
      <c r="Q72" s="3" t="n">
        <v>416</v>
      </c>
      <c r="R72" s="3">
        <f>TABL12[[#This Row],[ (T/B) SAR]]-TABL12[[#This Row],[(T/B) AJD]]</f>
        <v/>
      </c>
      <c r="S72" s="3">
        <f>TABL12[[#This Row],[S/S_CON.]]+TABL12[[#This Row],[T/B-CON.]]</f>
        <v/>
      </c>
      <c r="T72" s="3">
        <f>O72+Q72</f>
        <v/>
      </c>
      <c r="U72" s="3" t="n">
        <v>510</v>
      </c>
      <c r="V72" s="3" t="n">
        <v>280</v>
      </c>
      <c r="W72" s="3">
        <f>U72+V72</f>
        <v/>
      </c>
      <c r="X72" s="3">
        <f>T72-W72</f>
        <v/>
      </c>
      <c r="Y72" s="4" t="n">
        <v>91.92</v>
      </c>
      <c r="Z72" s="3" t="n">
        <v>0</v>
      </c>
      <c r="AA72" s="3">
        <f>TABL12[[#This Row],[(RESV. STORGE) AJD]]/10</f>
        <v/>
      </c>
      <c r="AB72" s="3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32">
        <f>TABL12[[#This Row],[(A/S) AJD]]-TABL12[[#This Row],[SER_IN]]</f>
        <v/>
      </c>
    </row>
    <row r="73">
      <c r="A73" s="2" t="n">
        <v>45729</v>
      </c>
      <c r="B73" s="28" t="n">
        <v>38</v>
      </c>
      <c r="C73" s="28" t="n">
        <v>317</v>
      </c>
      <c r="D73" s="28" t="n">
        <v>39</v>
      </c>
      <c r="E73" s="28" t="n">
        <v>0</v>
      </c>
      <c r="F73" s="28" t="n">
        <v>82</v>
      </c>
      <c r="G73" s="28" t="n">
        <v>508</v>
      </c>
      <c r="H73" s="28" t="n">
        <v>6</v>
      </c>
      <c r="I73" s="28" t="n">
        <v>404</v>
      </c>
      <c r="J73" s="28" t="n">
        <v>423</v>
      </c>
      <c r="K73" s="28">
        <f>TABL12[[#This Row],[ (T/B) SAR]]+TABL12[[#This Row],[ (S/S) SAR]]</f>
        <v/>
      </c>
      <c r="L73" s="28" t="n">
        <v>319</v>
      </c>
      <c r="M73" s="29" t="n">
        <v>24.2</v>
      </c>
      <c r="N73" s="30" t="n">
        <v>7.88</v>
      </c>
      <c r="O73" s="3" t="n">
        <v>373</v>
      </c>
      <c r="P73" s="3">
        <f>TABL12[[#This Row],[ (S/S) SAR]]-TABL12[[#This Row],[(S/S) AJD]]</f>
        <v/>
      </c>
      <c r="Q73" s="3" t="n">
        <v>415</v>
      </c>
      <c r="R73" s="3">
        <f>TABL12[[#This Row],[ (T/B) SAR]]-TABL12[[#This Row],[(T/B) AJD]]</f>
        <v/>
      </c>
      <c r="S73" s="3">
        <f>TABL12[[#This Row],[S/S_CON.]]+TABL12[[#This Row],[T/B-CON.]]</f>
        <v/>
      </c>
      <c r="T73" s="3">
        <f>O73+Q73</f>
        <v/>
      </c>
      <c r="U73" s="3" t="n">
        <v>504</v>
      </c>
      <c r="V73" s="3" t="n">
        <v>285</v>
      </c>
      <c r="W73" s="3">
        <f>U73+V73</f>
        <v/>
      </c>
      <c r="X73" s="3">
        <f>T73-W73</f>
        <v/>
      </c>
      <c r="Y73" s="4" t="n">
        <v>91.92</v>
      </c>
      <c r="Z73" s="3" t="n">
        <v>0</v>
      </c>
      <c r="AA73" s="3">
        <f>TABL12[[#This Row],[(RESV. STORGE) AJD]]/10</f>
        <v/>
      </c>
      <c r="AB73" s="3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32">
        <f>TABL12[[#This Row],[(A/S) AJD]]-TABL12[[#This Row],[SER_IN]]</f>
        <v/>
      </c>
    </row>
    <row r="74">
      <c r="A74" s="2" t="n">
        <v>45730</v>
      </c>
      <c r="B74" s="28" t="n">
        <v>39</v>
      </c>
      <c r="C74" s="28" t="n">
        <v>364</v>
      </c>
      <c r="D74" s="28" t="n">
        <v>39</v>
      </c>
      <c r="E74" s="28" t="n">
        <v>0</v>
      </c>
      <c r="F74" s="28" t="n">
        <v>82</v>
      </c>
      <c r="G74" s="28" t="n">
        <v>506</v>
      </c>
      <c r="H74" s="28" t="n">
        <v>6</v>
      </c>
      <c r="I74" s="28" t="n">
        <v>403</v>
      </c>
      <c r="J74" s="28" t="n">
        <v>421</v>
      </c>
      <c r="K74" s="28">
        <f>TABL12[[#This Row],[ (T/B) SAR]]+TABL12[[#This Row],[ (S/S) SAR]]</f>
        <v/>
      </c>
      <c r="L74" s="28" t="n">
        <v>318</v>
      </c>
      <c r="M74" s="29" t="n">
        <v>24.2</v>
      </c>
      <c r="N74" s="30" t="n">
        <v>7.9</v>
      </c>
      <c r="O74" s="3" t="n">
        <v>373</v>
      </c>
      <c r="P74" s="3">
        <f>TABL12[[#This Row],[ (S/S) SAR]]-TABL12[[#This Row],[(S/S) AJD]]</f>
        <v/>
      </c>
      <c r="Q74" s="3" t="n">
        <v>415</v>
      </c>
      <c r="R74" s="3">
        <f>TABL12[[#This Row],[ (T/B) SAR]]-TABL12[[#This Row],[(T/B) AJD]]</f>
        <v/>
      </c>
      <c r="S74" s="3">
        <f>TABL12[[#This Row],[S/S_CON.]]+TABL12[[#This Row],[T/B-CON.]]</f>
        <v/>
      </c>
      <c r="T74" s="3">
        <f>O74+Q74</f>
        <v/>
      </c>
      <c r="U74" s="3" t="n">
        <v>516</v>
      </c>
      <c r="V74" s="3" t="n">
        <v>274</v>
      </c>
      <c r="W74" s="3">
        <f>U74+V74</f>
        <v/>
      </c>
      <c r="X74" s="3">
        <f>T74-W74</f>
        <v/>
      </c>
      <c r="Y74" s="4" t="n">
        <v>91.92</v>
      </c>
      <c r="Z74" s="3" t="n">
        <v>0</v>
      </c>
      <c r="AA74" s="3">
        <f>TABL12[[#This Row],[(RESV. STORGE) AJD]]/10</f>
        <v/>
      </c>
      <c r="AB74" s="3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32">
        <f>TABL12[[#This Row],[(A/S) AJD]]-TABL12[[#This Row],[SER_IN]]</f>
        <v/>
      </c>
    </row>
    <row r="75">
      <c r="A75" s="2" t="n">
        <v>45731</v>
      </c>
      <c r="B75" s="28" t="n">
        <v>40</v>
      </c>
      <c r="C75" s="28" t="n">
        <v>339</v>
      </c>
      <c r="D75" s="28" t="n">
        <v>40</v>
      </c>
      <c r="E75" s="28" t="n">
        <v>0</v>
      </c>
      <c r="F75" s="28" t="n">
        <v>82</v>
      </c>
      <c r="G75" s="28" t="n">
        <v>510</v>
      </c>
      <c r="H75" s="28" t="n">
        <v>6</v>
      </c>
      <c r="I75" s="28" t="n">
        <v>406</v>
      </c>
      <c r="J75" s="28" t="n">
        <v>424</v>
      </c>
      <c r="K75" s="28">
        <f>TABL12[[#This Row],[ (T/B) SAR]]+TABL12[[#This Row],[ (S/S) SAR]]</f>
        <v/>
      </c>
      <c r="L75" s="28" t="n">
        <v>320</v>
      </c>
      <c r="M75" s="29" t="n">
        <v>24.2</v>
      </c>
      <c r="N75" s="30" t="n">
        <v>8.01</v>
      </c>
      <c r="O75" s="3" t="n">
        <v>374</v>
      </c>
      <c r="P75" s="3">
        <f>TABL12[[#This Row],[ (S/S) SAR]]-TABL12[[#This Row],[(S/S) AJD]]</f>
        <v/>
      </c>
      <c r="Q75" s="3" t="n">
        <v>416</v>
      </c>
      <c r="R75" s="3">
        <f>TABL12[[#This Row],[ (T/B) SAR]]-TABL12[[#This Row],[(T/B) AJD]]</f>
        <v/>
      </c>
      <c r="S75" s="3">
        <f>TABL12[[#This Row],[S/S_CON.]]+TABL12[[#This Row],[T/B-CON.]]</f>
        <v/>
      </c>
      <c r="T75" s="3">
        <f>O75+Q75</f>
        <v/>
      </c>
      <c r="U75" s="3" t="n">
        <v>528</v>
      </c>
      <c r="V75" s="3" t="n">
        <v>262</v>
      </c>
      <c r="W75" s="3">
        <f>U75+V75</f>
        <v/>
      </c>
      <c r="X75" s="3">
        <f>T75-W75</f>
        <v/>
      </c>
      <c r="Y75" s="4" t="n">
        <v>91.92</v>
      </c>
      <c r="Z75" s="3" t="n">
        <v>0</v>
      </c>
      <c r="AA75" s="3">
        <f>TABL12[[#This Row],[(RESV. STORGE) AJD]]/10</f>
        <v/>
      </c>
      <c r="AB75" s="3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32">
        <f>TABL12[[#This Row],[(A/S) AJD]]-TABL12[[#This Row],[SER_IN]]</f>
        <v/>
      </c>
    </row>
    <row r="76">
      <c r="A76" s="2" t="n">
        <v>45732</v>
      </c>
      <c r="B76" s="28" t="n">
        <v>38</v>
      </c>
      <c r="C76" s="28" t="n">
        <v>322</v>
      </c>
      <c r="D76" s="28" t="n">
        <v>38</v>
      </c>
      <c r="E76" s="28" t="n">
        <v>0</v>
      </c>
      <c r="F76" s="28" t="n">
        <v>82</v>
      </c>
      <c r="G76" s="28" t="n">
        <v>511</v>
      </c>
      <c r="H76" s="28" t="n">
        <v>6</v>
      </c>
      <c r="I76" s="28" t="n">
        <v>408</v>
      </c>
      <c r="J76" s="28" t="n">
        <v>426</v>
      </c>
      <c r="K76" s="28">
        <f>TABL12[[#This Row],[ (T/B) SAR]]+TABL12[[#This Row],[ (S/S) SAR]]</f>
        <v/>
      </c>
      <c r="L76" s="28" t="n">
        <v>323</v>
      </c>
      <c r="M76" s="29" t="n">
        <v>24.2</v>
      </c>
      <c r="N76" s="30" t="n">
        <v>8.029999999999999</v>
      </c>
      <c r="O76" s="3" t="n">
        <v>375</v>
      </c>
      <c r="P76" s="3">
        <f>TABL12[[#This Row],[ (S/S) SAR]]-TABL12[[#This Row],[(S/S) AJD]]</f>
        <v/>
      </c>
      <c r="Q76" s="3" t="n">
        <v>417</v>
      </c>
      <c r="R76" s="3">
        <f>TABL12[[#This Row],[ (T/B) SAR]]-TABL12[[#This Row],[(T/B) AJD]]</f>
        <v/>
      </c>
      <c r="S76" s="3">
        <f>TABL12[[#This Row],[S/S_CON.]]+TABL12[[#This Row],[T/B-CON.]]</f>
        <v/>
      </c>
      <c r="T76" s="3">
        <f>O76+Q76</f>
        <v/>
      </c>
      <c r="U76" s="3" t="n">
        <v>521</v>
      </c>
      <c r="V76" s="3" t="n">
        <v>277</v>
      </c>
      <c r="W76" s="3">
        <f>U76+V76</f>
        <v/>
      </c>
      <c r="X76" s="3">
        <f>T76-W76</f>
        <v/>
      </c>
      <c r="Y76" s="4" t="n">
        <v>91.92</v>
      </c>
      <c r="Z76" s="3" t="n">
        <v>0</v>
      </c>
      <c r="AA76" s="3">
        <f>TABL12[[#This Row],[(RESV. STORGE) AJD]]/10</f>
        <v/>
      </c>
      <c r="AB76" s="3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32">
        <f>TABL12[[#This Row],[(A/S) AJD]]-TABL12[[#This Row],[SER_IN]]</f>
        <v/>
      </c>
    </row>
    <row r="77">
      <c r="A77" s="2" t="n">
        <v>45733</v>
      </c>
      <c r="B77" s="28" t="n">
        <v>39</v>
      </c>
      <c r="C77" s="28" t="n">
        <v>324</v>
      </c>
      <c r="D77" s="28" t="n">
        <v>38</v>
      </c>
      <c r="E77" s="28" t="n">
        <v>0</v>
      </c>
      <c r="F77" s="28" t="n">
        <v>82</v>
      </c>
      <c r="G77" s="28" t="n">
        <v>512</v>
      </c>
      <c r="H77" s="28" t="n">
        <v>6</v>
      </c>
      <c r="I77" s="28" t="n">
        <v>408</v>
      </c>
      <c r="J77" s="28" t="n">
        <v>425</v>
      </c>
      <c r="K77" s="28">
        <f>TABL12[[#This Row],[ (T/B) SAR]]+TABL12[[#This Row],[ (S/S) SAR]]</f>
        <v/>
      </c>
      <c r="L77" s="28" t="n">
        <v>321</v>
      </c>
      <c r="M77" s="29" t="n">
        <v>24.2</v>
      </c>
      <c r="N77" s="30" t="n">
        <v>7.96</v>
      </c>
      <c r="O77" s="3" t="n">
        <v>377</v>
      </c>
      <c r="P77" s="3">
        <f>TABL12[[#This Row],[ (S/S) SAR]]-TABL12[[#This Row],[(S/S) AJD]]</f>
        <v/>
      </c>
      <c r="Q77" s="3" t="n">
        <v>418</v>
      </c>
      <c r="R77" s="3">
        <f>TABL12[[#This Row],[ (T/B) SAR]]-TABL12[[#This Row],[(T/B) AJD]]</f>
        <v/>
      </c>
      <c r="S77" s="3">
        <f>TABL12[[#This Row],[S/S_CON.]]+TABL12[[#This Row],[T/B-CON.]]</f>
        <v/>
      </c>
      <c r="T77" s="3">
        <f>O77+Q77</f>
        <v/>
      </c>
      <c r="U77" s="3" t="n">
        <v>514</v>
      </c>
      <c r="V77" s="3" t="n">
        <v>277</v>
      </c>
      <c r="W77" s="3">
        <f>U77+V77</f>
        <v/>
      </c>
      <c r="X77" s="3">
        <f>T77-W77</f>
        <v/>
      </c>
      <c r="Y77" s="4" t="n">
        <v>91.92</v>
      </c>
      <c r="Z77" s="3" t="n">
        <v>0</v>
      </c>
      <c r="AA77" s="3">
        <f>TABL12[[#This Row],[(RESV. STORGE) AJD]]/10</f>
        <v/>
      </c>
      <c r="AB77" s="3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32">
        <f>TABL12[[#This Row],[(A/S) AJD]]-TABL12[[#This Row],[SER_IN]]</f>
        <v/>
      </c>
    </row>
    <row r="78">
      <c r="A78" s="2" t="n">
        <v>45734</v>
      </c>
      <c r="B78" s="28" t="n">
        <v>39</v>
      </c>
      <c r="C78" s="28" t="n">
        <v>324</v>
      </c>
      <c r="D78" s="28" t="n">
        <v>38</v>
      </c>
      <c r="E78" s="28" t="n">
        <v>0</v>
      </c>
      <c r="F78" s="28" t="n">
        <v>82</v>
      </c>
      <c r="G78" s="28" t="n">
        <v>506</v>
      </c>
      <c r="H78" s="28" t="n">
        <v>6</v>
      </c>
      <c r="I78" s="28" t="n">
        <v>404</v>
      </c>
      <c r="J78" s="28" t="n">
        <v>422</v>
      </c>
      <c r="K78" s="28">
        <f>TABL12[[#This Row],[ (T/B) SAR]]+TABL12[[#This Row],[ (S/S) SAR]]</f>
        <v/>
      </c>
      <c r="L78" s="28" t="n">
        <v>320</v>
      </c>
      <c r="M78" s="29" t="n">
        <v>24.2</v>
      </c>
      <c r="N78" s="30" t="n">
        <v>7.9</v>
      </c>
      <c r="O78" s="3" t="n">
        <v>375</v>
      </c>
      <c r="P78" s="3">
        <f>TABL12[[#This Row],[ (S/S) SAR]]-TABL12[[#This Row],[(S/S) AJD]]</f>
        <v/>
      </c>
      <c r="Q78" s="3" t="n">
        <v>418</v>
      </c>
      <c r="R78" s="3">
        <f>TABL12[[#This Row],[ (T/B) SAR]]-TABL12[[#This Row],[(T/B) AJD]]</f>
        <v/>
      </c>
      <c r="S78" s="3">
        <f>TABL12[[#This Row],[S/S_CON.]]+TABL12[[#This Row],[T/B-CON.]]</f>
        <v/>
      </c>
      <c r="T78" s="3">
        <f>O78+Q78</f>
        <v/>
      </c>
      <c r="U78" s="3" t="n">
        <v>535</v>
      </c>
      <c r="V78" s="3" t="n">
        <v>263</v>
      </c>
      <c r="W78" s="3">
        <f>U78+V78</f>
        <v/>
      </c>
      <c r="X78" s="3">
        <f>T78-W78</f>
        <v/>
      </c>
      <c r="Y78" s="4" t="n">
        <v>91.92</v>
      </c>
      <c r="Z78" s="3" t="n">
        <v>0</v>
      </c>
      <c r="AA78" s="3">
        <f>TABL12[[#This Row],[(RESV. STORGE) AJD]]/10</f>
        <v/>
      </c>
      <c r="AB78" s="3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32">
        <f>TABL12[[#This Row],[(A/S) AJD]]-TABL12[[#This Row],[SER_IN]]</f>
        <v/>
      </c>
    </row>
    <row r="79">
      <c r="A79" s="2" t="n">
        <v>45735</v>
      </c>
      <c r="B79" s="28" t="n">
        <v>39</v>
      </c>
      <c r="C79" s="28" t="n">
        <v>324</v>
      </c>
      <c r="D79" s="28" t="n">
        <v>38</v>
      </c>
      <c r="E79" s="28" t="n">
        <v>0</v>
      </c>
      <c r="F79" s="28" t="n">
        <v>82</v>
      </c>
      <c r="G79" s="28" t="n">
        <v>505</v>
      </c>
      <c r="H79" s="28" t="n">
        <v>6</v>
      </c>
      <c r="I79" s="28" t="n">
        <v>401</v>
      </c>
      <c r="J79" s="28" t="n">
        <v>424</v>
      </c>
      <c r="K79" s="28">
        <f>TABL12[[#This Row],[ (T/B) SAR]]+TABL12[[#This Row],[ (S/S) SAR]]</f>
        <v/>
      </c>
      <c r="L79" s="28" t="n">
        <v>320</v>
      </c>
      <c r="M79" s="29" t="n">
        <v>24.2</v>
      </c>
      <c r="N79" s="30" t="n">
        <v>7.87</v>
      </c>
      <c r="O79" s="3" t="n">
        <v>374</v>
      </c>
      <c r="P79" s="3">
        <f>TABL12[[#This Row],[ (S/S) SAR]]-TABL12[[#This Row],[(S/S) AJD]]</f>
        <v/>
      </c>
      <c r="Q79" s="3" t="n">
        <v>416</v>
      </c>
      <c r="R79" s="3">
        <f>TABL12[[#This Row],[ (T/B) SAR]]-TABL12[[#This Row],[(T/B) AJD]]</f>
        <v/>
      </c>
      <c r="S79" s="3">
        <f>TABL12[[#This Row],[S/S_CON.]]+TABL12[[#This Row],[T/B-CON.]]</f>
        <v/>
      </c>
      <c r="T79" s="3">
        <f>O79+Q79</f>
        <v/>
      </c>
      <c r="U79" s="3" t="n">
        <v>514</v>
      </c>
      <c r="V79" s="3" t="n">
        <v>278</v>
      </c>
      <c r="W79" s="3">
        <f>U79+V79</f>
        <v/>
      </c>
      <c r="X79" s="3">
        <f>T79-W79</f>
        <v/>
      </c>
      <c r="Y79" s="4" t="n">
        <v>91.92</v>
      </c>
      <c r="Z79" s="3" t="n">
        <v>0</v>
      </c>
      <c r="AA79" s="3">
        <f>TABL12[[#This Row],[(RESV. STORGE) AJD]]/10</f>
        <v/>
      </c>
      <c r="AB79" s="3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32">
        <f>TABL12[[#This Row],[(A/S) AJD]]-TABL12[[#This Row],[SER_IN]]</f>
        <v/>
      </c>
    </row>
    <row r="80">
      <c r="A80" s="2" t="n">
        <v>45736</v>
      </c>
      <c r="B80" s="28" t="n">
        <v>39</v>
      </c>
      <c r="C80" s="28" t="n">
        <v>334</v>
      </c>
      <c r="D80" s="28" t="n">
        <v>39</v>
      </c>
      <c r="E80" s="28" t="n">
        <v>0</v>
      </c>
      <c r="F80" s="28" t="n">
        <v>82</v>
      </c>
      <c r="G80" s="28" t="n">
        <v>512</v>
      </c>
      <c r="H80" s="28" t="n">
        <v>6</v>
      </c>
      <c r="I80" s="28" t="n">
        <v>407</v>
      </c>
      <c r="J80" s="28" t="n">
        <v>427</v>
      </c>
      <c r="K80" s="28">
        <f>TABL12[[#This Row],[ (T/B) SAR]]+TABL12[[#This Row],[ (S/S) SAR]]</f>
        <v/>
      </c>
      <c r="L80" s="28" t="n">
        <v>322</v>
      </c>
      <c r="M80" s="29" t="n">
        <v>24.2</v>
      </c>
      <c r="N80" s="30" t="n">
        <v>7.87</v>
      </c>
      <c r="O80" s="3" t="n">
        <v>373</v>
      </c>
      <c r="P80" s="3">
        <f>TABL12[[#This Row],[ (S/S) SAR]]-TABL12[[#This Row],[(S/S) AJD]]</f>
        <v/>
      </c>
      <c r="Q80" s="3" t="n">
        <v>414</v>
      </c>
      <c r="R80" s="3">
        <f>TABL12[[#This Row],[ (T/B) SAR]]-TABL12[[#This Row],[(T/B) AJD]]</f>
        <v/>
      </c>
      <c r="S80" s="3">
        <f>TABL12[[#This Row],[S/S_CON.]]+TABL12[[#This Row],[T/B-CON.]]</f>
        <v/>
      </c>
      <c r="T80" s="3">
        <f>O80+Q80</f>
        <v/>
      </c>
      <c r="U80" s="3" t="n">
        <v>521</v>
      </c>
      <c r="V80" s="3" t="n">
        <v>265</v>
      </c>
      <c r="W80" s="3">
        <f>U80+V80</f>
        <v/>
      </c>
      <c r="X80" s="3">
        <f>T80-W80</f>
        <v/>
      </c>
      <c r="Y80" s="4" t="n">
        <v>91.92</v>
      </c>
      <c r="Z80" s="3" t="n">
        <v>0</v>
      </c>
      <c r="AA80" s="3">
        <f>TABL12[[#This Row],[(RESV. STORGE) AJD]]/10</f>
        <v/>
      </c>
      <c r="AB80" s="3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32">
        <f>TABL12[[#This Row],[(A/S) AJD]]-TABL12[[#This Row],[SER_IN]]</f>
        <v/>
      </c>
    </row>
    <row r="81">
      <c r="A81" s="2" t="n">
        <v>45737</v>
      </c>
      <c r="B81" s="28" t="n">
        <v>39</v>
      </c>
      <c r="C81" s="28" t="n">
        <v>332</v>
      </c>
      <c r="D81" s="28" t="n">
        <v>39</v>
      </c>
      <c r="E81" s="28" t="n">
        <v>0</v>
      </c>
      <c r="F81" s="28" t="n">
        <v>82</v>
      </c>
      <c r="G81" s="28" t="n">
        <v>513</v>
      </c>
      <c r="H81" s="28" t="n">
        <v>6</v>
      </c>
      <c r="I81" s="28" t="n">
        <v>401</v>
      </c>
      <c r="J81" s="28" t="n">
        <v>419</v>
      </c>
      <c r="K81" s="28">
        <f>TABL12[[#This Row],[ (T/B) SAR]]+TABL12[[#This Row],[ (S/S) SAR]]</f>
        <v/>
      </c>
      <c r="L81" s="28" t="n">
        <v>307</v>
      </c>
      <c r="M81" s="29" t="n">
        <v>24.2</v>
      </c>
      <c r="N81" s="30" t="n">
        <v>7.89</v>
      </c>
      <c r="O81" s="3" t="n">
        <v>373</v>
      </c>
      <c r="P81" s="3">
        <f>TABL12[[#This Row],[ (S/S) SAR]]-TABL12[[#This Row],[(S/S) AJD]]</f>
        <v/>
      </c>
      <c r="Q81" s="3" t="n">
        <v>415</v>
      </c>
      <c r="R81" s="3">
        <f>TABL12[[#This Row],[ (T/B) SAR]]-TABL12[[#This Row],[(T/B) AJD]]</f>
        <v/>
      </c>
      <c r="S81" s="3">
        <f>TABL12[[#This Row],[S/S_CON.]]+TABL12[[#This Row],[T/B-CON.]]</f>
        <v/>
      </c>
      <c r="T81" s="3">
        <f>O81+Q81</f>
        <v/>
      </c>
      <c r="U81" s="3" t="n">
        <v>521</v>
      </c>
      <c r="V81" s="3" t="n">
        <v>265</v>
      </c>
      <c r="W81" s="3">
        <f>U81+V81</f>
        <v/>
      </c>
      <c r="X81" s="3">
        <f>T81-W81</f>
        <v/>
      </c>
      <c r="Y81" s="4" t="n">
        <v>91.92</v>
      </c>
      <c r="Z81" s="3" t="n">
        <v>0</v>
      </c>
      <c r="AA81" s="3">
        <f>TABL12[[#This Row],[(RESV. STORGE) AJD]]/10</f>
        <v/>
      </c>
      <c r="AB81" s="3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32">
        <f>TABL12[[#This Row],[(A/S) AJD]]-TABL12[[#This Row],[SER_IN]]</f>
        <v/>
      </c>
    </row>
    <row r="82">
      <c r="A82" s="2" t="n">
        <v>45738</v>
      </c>
      <c r="B82" s="28" t="n">
        <v>39</v>
      </c>
      <c r="C82" s="28" t="n">
        <v>344</v>
      </c>
      <c r="D82" s="28" t="n">
        <v>39</v>
      </c>
      <c r="E82" s="28" t="n">
        <v>0</v>
      </c>
      <c r="F82" s="28" t="n">
        <v>83</v>
      </c>
      <c r="G82" s="28" t="n">
        <v>513</v>
      </c>
      <c r="H82" s="28" t="n">
        <v>5</v>
      </c>
      <c r="I82" s="28" t="n">
        <v>401</v>
      </c>
      <c r="J82" s="28" t="n">
        <v>419</v>
      </c>
      <c r="K82" s="28">
        <f>TABL12[[#This Row],[ (T/B) SAR]]+TABL12[[#This Row],[ (S/S) SAR]]</f>
        <v/>
      </c>
      <c r="L82" s="28" t="n">
        <v>307</v>
      </c>
      <c r="M82" s="29" t="n">
        <v>24.2</v>
      </c>
      <c r="N82" s="30" t="n">
        <v>7.97</v>
      </c>
      <c r="O82" s="3" t="n">
        <v>373</v>
      </c>
      <c r="P82" s="3">
        <f>TABL12[[#This Row],[ (S/S) SAR]]-TABL12[[#This Row],[(S/S) AJD]]</f>
        <v/>
      </c>
      <c r="Q82" s="3" t="n">
        <v>415</v>
      </c>
      <c r="R82" s="3">
        <f>TABL12[[#This Row],[ (T/B) SAR]]-TABL12[[#This Row],[(T/B) AJD]]</f>
        <v/>
      </c>
      <c r="S82" s="3">
        <f>TABL12[[#This Row],[S/S_CON.]]+TABL12[[#This Row],[T/B-CON.]]</f>
        <v/>
      </c>
      <c r="T82" s="3">
        <f>O82+Q82</f>
        <v/>
      </c>
      <c r="U82" s="3" t="n">
        <v>516</v>
      </c>
      <c r="V82" s="3" t="n">
        <v>279</v>
      </c>
      <c r="W82" s="3">
        <f>U82+V82</f>
        <v/>
      </c>
      <c r="X82" s="3">
        <f>T82-W82</f>
        <v/>
      </c>
      <c r="Y82" s="4" t="n">
        <v>91.92</v>
      </c>
      <c r="Z82" s="3" t="n">
        <v>0</v>
      </c>
      <c r="AA82" s="3">
        <f>TABL12[[#This Row],[(RESV. STORGE) AJD]]/10</f>
        <v/>
      </c>
      <c r="AB82" s="3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32">
        <f>TABL12[[#This Row],[(A/S) AJD]]-TABL12[[#This Row],[SER_IN]]</f>
        <v/>
      </c>
    </row>
    <row r="83">
      <c r="A83" s="2" t="n">
        <v>45739</v>
      </c>
      <c r="B83" s="28" t="n">
        <v>39</v>
      </c>
      <c r="C83" s="28" t="n">
        <v>329</v>
      </c>
      <c r="D83" s="28" t="n">
        <v>39</v>
      </c>
      <c r="E83" s="28" t="n">
        <v>0</v>
      </c>
      <c r="F83" s="28" t="n">
        <v>83</v>
      </c>
      <c r="G83" s="28" t="n">
        <v>507</v>
      </c>
      <c r="H83" s="28" t="n">
        <v>5</v>
      </c>
      <c r="I83" s="28" t="n">
        <v>405</v>
      </c>
      <c r="J83" s="28" t="n">
        <v>424</v>
      </c>
      <c r="K83" s="28">
        <f>TABL12[[#This Row],[ (T/B) SAR]]+TABL12[[#This Row],[ (S/S) SAR]]</f>
        <v/>
      </c>
      <c r="L83" s="28" t="n">
        <v>322</v>
      </c>
      <c r="M83" s="29" t="n">
        <v>24.2</v>
      </c>
      <c r="N83" s="30" t="n">
        <v>8.01</v>
      </c>
      <c r="O83" s="3" t="n">
        <v>373</v>
      </c>
      <c r="P83" s="3">
        <f>TABL12[[#This Row],[ (S/S) SAR]]-TABL12[[#This Row],[(S/S) AJD]]</f>
        <v/>
      </c>
      <c r="Q83" s="3" t="n">
        <v>417</v>
      </c>
      <c r="R83" s="3">
        <f>TABL12[[#This Row],[ (T/B) SAR]]-TABL12[[#This Row],[(T/B) AJD]]</f>
        <v/>
      </c>
      <c r="S83" s="3">
        <f>TABL12[[#This Row],[S/S_CON.]]+TABL12[[#This Row],[T/B-CON.]]</f>
        <v/>
      </c>
      <c r="T83" s="3">
        <f>O83+Q83</f>
        <v/>
      </c>
      <c r="U83" s="3" t="n">
        <v>535</v>
      </c>
      <c r="V83" s="3" t="n">
        <v>253</v>
      </c>
      <c r="W83" s="3">
        <f>U83+V83</f>
        <v/>
      </c>
      <c r="X83" s="3">
        <f>T83-W83</f>
        <v/>
      </c>
      <c r="Y83" s="4" t="n">
        <v>91.92</v>
      </c>
      <c r="Z83" s="3" t="n">
        <v>0</v>
      </c>
      <c r="AA83" s="3">
        <f>TABL12[[#This Row],[(RESV. STORGE) AJD]]/10</f>
        <v/>
      </c>
      <c r="AB83" s="3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32">
        <f>TABL12[[#This Row],[(A/S) AJD]]-TABL12[[#This Row],[SER_IN]]</f>
        <v/>
      </c>
    </row>
    <row r="84">
      <c r="A84" s="2" t="n">
        <v>45740</v>
      </c>
      <c r="B84" s="28" t="n">
        <v>38</v>
      </c>
      <c r="C84" s="28" t="n">
        <v>323</v>
      </c>
      <c r="D84" s="28" t="n">
        <v>38</v>
      </c>
      <c r="E84" s="28" t="n">
        <v>0</v>
      </c>
      <c r="F84" s="28" t="n">
        <v>83</v>
      </c>
      <c r="G84" s="28" t="n">
        <v>507</v>
      </c>
      <c r="H84" s="28" t="n">
        <v>5</v>
      </c>
      <c r="I84" s="28" t="n">
        <v>405</v>
      </c>
      <c r="J84" s="28" t="n">
        <v>423</v>
      </c>
      <c r="K84" s="28">
        <f>TABL12[[#This Row],[ (T/B) SAR]]+TABL12[[#This Row],[ (S/S) SAR]]</f>
        <v/>
      </c>
      <c r="L84" s="28" t="n">
        <v>325</v>
      </c>
      <c r="M84" s="29" t="n">
        <v>24.2</v>
      </c>
      <c r="N84" s="30" t="n">
        <v>7.98</v>
      </c>
      <c r="O84" s="3" t="n">
        <v>375</v>
      </c>
      <c r="P84" s="3">
        <f>TABL12[[#This Row],[ (S/S) SAR]]-TABL12[[#This Row],[(S/S) AJD]]</f>
        <v/>
      </c>
      <c r="Q84" s="3" t="n">
        <v>417</v>
      </c>
      <c r="R84" s="3">
        <f>TABL12[[#This Row],[ (T/B) SAR]]-TABL12[[#This Row],[(T/B) AJD]]</f>
        <v/>
      </c>
      <c r="S84" s="3">
        <f>TABL12[[#This Row],[S/S_CON.]]+TABL12[[#This Row],[T/B-CON.]]</f>
        <v/>
      </c>
      <c r="T84" s="3">
        <f>O84+Q84</f>
        <v/>
      </c>
      <c r="U84" s="3" t="n">
        <v>557</v>
      </c>
      <c r="V84" s="3" t="n">
        <v>230</v>
      </c>
      <c r="W84" s="3">
        <f>U84+V84</f>
        <v/>
      </c>
      <c r="X84" s="3">
        <f>T84-W84</f>
        <v/>
      </c>
      <c r="Y84" s="4" t="n">
        <v>91.92</v>
      </c>
      <c r="Z84" s="3" t="n">
        <v>0</v>
      </c>
      <c r="AA84" s="3">
        <f>TABL12[[#This Row],[(RESV. STORGE) AJD]]/10</f>
        <v/>
      </c>
      <c r="AB84" s="3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32">
        <f>TABL12[[#This Row],[(A/S) AJD]]-TABL12[[#This Row],[SER_IN]]</f>
        <v/>
      </c>
    </row>
    <row r="85">
      <c r="A85" s="2" t="n">
        <v>45741</v>
      </c>
      <c r="B85" s="28" t="n">
        <v>39</v>
      </c>
      <c r="C85" s="28" t="n">
        <v>334</v>
      </c>
      <c r="D85" s="28" t="n">
        <v>39</v>
      </c>
      <c r="E85" s="28" t="n">
        <v>0</v>
      </c>
      <c r="F85" s="28" t="n">
        <v>83</v>
      </c>
      <c r="G85" s="28" t="n">
        <v>506</v>
      </c>
      <c r="H85" s="28" t="n">
        <v>5</v>
      </c>
      <c r="I85" s="28" t="n">
        <v>405</v>
      </c>
      <c r="J85" s="28" t="n">
        <v>423</v>
      </c>
      <c r="K85" s="28">
        <f>TABL12[[#This Row],[ (T/B) SAR]]+TABL12[[#This Row],[ (S/S) SAR]]</f>
        <v/>
      </c>
      <c r="L85" s="28" t="n">
        <v>322</v>
      </c>
      <c r="M85" s="29" t="n">
        <v>24.2</v>
      </c>
      <c r="N85" s="30" t="n">
        <v>8.01</v>
      </c>
      <c r="O85" s="3" t="n">
        <v>373</v>
      </c>
      <c r="P85" s="3">
        <f>TABL12[[#This Row],[ (S/S) SAR]]-TABL12[[#This Row],[(S/S) AJD]]</f>
        <v/>
      </c>
      <c r="Q85" s="3" t="n">
        <v>417</v>
      </c>
      <c r="R85" s="3">
        <f>TABL12[[#This Row],[ (T/B) SAR]]-TABL12[[#This Row],[(T/B) AJD]]</f>
        <v/>
      </c>
      <c r="S85" s="3">
        <f>TABL12[[#This Row],[S/S_CON.]]+TABL12[[#This Row],[T/B-CON.]]</f>
        <v/>
      </c>
      <c r="T85" s="3">
        <f>O85+Q85</f>
        <v/>
      </c>
      <c r="U85" s="3" t="n">
        <v>551</v>
      </c>
      <c r="V85" s="3" t="n">
        <v>242</v>
      </c>
      <c r="W85" s="3">
        <f>U85+V85</f>
        <v/>
      </c>
      <c r="X85" s="3">
        <f>T85-W85</f>
        <v/>
      </c>
      <c r="Y85" s="4" t="n">
        <v>91.92</v>
      </c>
      <c r="Z85" s="3" t="n">
        <v>0</v>
      </c>
      <c r="AA85" s="3">
        <f>TABL12[[#This Row],[(RESV. STORGE) AJD]]/10</f>
        <v/>
      </c>
      <c r="AB85" s="3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32">
        <f>TABL12[[#This Row],[(A/S) AJD]]-TABL12[[#This Row],[SER_IN]]</f>
        <v/>
      </c>
    </row>
    <row r="86">
      <c r="A86" s="2" t="n">
        <v>45742</v>
      </c>
      <c r="B86" s="28" t="n">
        <v>39</v>
      </c>
      <c r="C86" s="28" t="n">
        <v>331</v>
      </c>
      <c r="D86" s="28" t="n">
        <v>39</v>
      </c>
      <c r="E86" s="28" t="n">
        <v>0</v>
      </c>
      <c r="F86" s="28" t="n">
        <v>83</v>
      </c>
      <c r="G86" s="28" t="n">
        <v>512</v>
      </c>
      <c r="H86" s="28" t="n">
        <v>5</v>
      </c>
      <c r="I86" s="28" t="n">
        <v>407</v>
      </c>
      <c r="J86" s="28" t="n">
        <v>426</v>
      </c>
      <c r="K86" s="28">
        <f>TABL12[[#This Row],[ (T/B) SAR]]+TABL12[[#This Row],[ (S/S) SAR]]</f>
        <v/>
      </c>
      <c r="L86" s="28" t="n">
        <v>321</v>
      </c>
      <c r="M86" s="29" t="n">
        <v>24.2</v>
      </c>
      <c r="N86" s="30" t="n">
        <v>8.06</v>
      </c>
      <c r="O86" s="3" t="n">
        <v>375</v>
      </c>
      <c r="P86" s="3">
        <f>TABL12[[#This Row],[ (S/S) SAR]]-TABL12[[#This Row],[(S/S) AJD]]</f>
        <v/>
      </c>
      <c r="Q86" s="3" t="n">
        <v>415</v>
      </c>
      <c r="R86" s="3">
        <f>TABL12[[#This Row],[ (T/B) SAR]]-TABL12[[#This Row],[(T/B) AJD]]</f>
        <v/>
      </c>
      <c r="S86" s="3">
        <f>TABL12[[#This Row],[S/S_CON.]]+TABL12[[#This Row],[T/B-CON.]]</f>
        <v/>
      </c>
      <c r="T86" s="3">
        <f>O86+Q86</f>
        <v/>
      </c>
      <c r="U86" s="3" t="n">
        <v>546</v>
      </c>
      <c r="V86" s="3" t="n">
        <v>245</v>
      </c>
      <c r="W86" s="3">
        <f>U86+V86</f>
        <v/>
      </c>
      <c r="X86" s="3">
        <f>T86-W86</f>
        <v/>
      </c>
      <c r="Y86" s="4" t="n">
        <v>91.92</v>
      </c>
      <c r="Z86" s="3" t="n">
        <v>0</v>
      </c>
      <c r="AA86" s="3">
        <f>TABL12[[#This Row],[(RESV. STORGE) AJD]]/10</f>
        <v/>
      </c>
      <c r="AB86" s="3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32">
        <f>TABL12[[#This Row],[(A/S) AJD]]-TABL12[[#This Row],[SER_IN]]</f>
        <v/>
      </c>
    </row>
    <row r="87">
      <c r="A87" s="2" t="n">
        <v>45743</v>
      </c>
      <c r="B87" s="28" t="n">
        <v>38</v>
      </c>
      <c r="C87" s="28" t="n">
        <v>326</v>
      </c>
      <c r="D87" s="28" t="n">
        <v>38</v>
      </c>
      <c r="E87" s="28" t="n">
        <v>0</v>
      </c>
      <c r="F87" s="28" t="n">
        <v>86</v>
      </c>
      <c r="G87" s="28" t="n">
        <v>512</v>
      </c>
      <c r="H87" s="28" t="n">
        <v>2</v>
      </c>
      <c r="I87" s="28" t="n">
        <v>408</v>
      </c>
      <c r="J87" s="28" t="n">
        <v>426</v>
      </c>
      <c r="K87" s="28">
        <f>TABL12[[#This Row],[ (T/B) SAR]]+TABL12[[#This Row],[ (S/S) SAR]]</f>
        <v/>
      </c>
      <c r="L87" s="28" t="n">
        <v>322</v>
      </c>
      <c r="M87" s="29" t="n">
        <v>24.2</v>
      </c>
      <c r="N87" s="30" t="n">
        <v>8.08</v>
      </c>
      <c r="O87" s="3" t="n">
        <v>377</v>
      </c>
      <c r="P87" s="3">
        <f>TABL12[[#This Row],[ (S/S) SAR]]-TABL12[[#This Row],[(S/S) AJD]]</f>
        <v/>
      </c>
      <c r="Q87" s="3" t="n">
        <v>418</v>
      </c>
      <c r="R87" s="3">
        <f>TABL12[[#This Row],[ (T/B) SAR]]-TABL12[[#This Row],[(T/B) AJD]]</f>
        <v/>
      </c>
      <c r="S87" s="3">
        <f>TABL12[[#This Row],[S/S_CON.]]+TABL12[[#This Row],[T/B-CON.]]</f>
        <v/>
      </c>
      <c r="T87" s="3">
        <f>O87+Q87</f>
        <v/>
      </c>
      <c r="U87" s="3" t="n">
        <v>528</v>
      </c>
      <c r="V87" s="3" t="n">
        <v>269</v>
      </c>
      <c r="W87" s="3">
        <f>U87+V87</f>
        <v/>
      </c>
      <c r="X87" s="3">
        <f>T87-W87</f>
        <v/>
      </c>
      <c r="Y87" s="4" t="n">
        <v>91.92</v>
      </c>
      <c r="Z87" s="3" t="n">
        <v>0</v>
      </c>
      <c r="AA87" s="3">
        <f>TABL12[[#This Row],[(RESV. STORGE) AJD]]/10</f>
        <v/>
      </c>
      <c r="AB87" s="3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32">
        <f>TABL12[[#This Row],[(A/S) AJD]]-TABL12[[#This Row],[SER_IN]]</f>
        <v/>
      </c>
    </row>
    <row r="88">
      <c r="A88" s="2" t="n">
        <v>45744</v>
      </c>
      <c r="B88" s="28" t="n">
        <v>39</v>
      </c>
      <c r="C88" s="28" t="n">
        <v>326</v>
      </c>
      <c r="D88" s="28" t="n">
        <v>38</v>
      </c>
      <c r="E88" s="28" t="n">
        <v>0</v>
      </c>
      <c r="F88" s="28" t="n">
        <v>86</v>
      </c>
      <c r="G88" s="28" t="n">
        <v>512</v>
      </c>
      <c r="H88" s="28" t="n">
        <v>2</v>
      </c>
      <c r="I88" s="28" t="n">
        <v>417</v>
      </c>
      <c r="J88" s="28" t="n">
        <v>435</v>
      </c>
      <c r="K88" s="28">
        <f>TABL12[[#This Row],[ (T/B) SAR]]+TABL12[[#This Row],[ (S/S) SAR]]</f>
        <v/>
      </c>
      <c r="L88" s="28" t="n">
        <v>340</v>
      </c>
      <c r="M88" s="29" t="n">
        <v>25.1</v>
      </c>
      <c r="N88" s="30" t="n">
        <v>7.87</v>
      </c>
      <c r="O88" s="3" t="n">
        <v>379</v>
      </c>
      <c r="P88" s="3">
        <f>TABL12[[#This Row],[ (S/S) SAR]]-TABL12[[#This Row],[(S/S) AJD]]</f>
        <v/>
      </c>
      <c r="Q88" s="3" t="n">
        <v>421</v>
      </c>
      <c r="R88" s="3">
        <f>TABL12[[#This Row],[ (T/B) SAR]]-TABL12[[#This Row],[(T/B) AJD]]</f>
        <v/>
      </c>
      <c r="S88" s="3">
        <f>TABL12[[#This Row],[S/S_CON.]]+TABL12[[#This Row],[T/B-CON.]]</f>
        <v/>
      </c>
      <c r="T88" s="3">
        <f>O88+Q88</f>
        <v/>
      </c>
      <c r="U88" s="3" t="n">
        <v>530</v>
      </c>
      <c r="V88" s="3" t="n">
        <v>270</v>
      </c>
      <c r="W88" s="3">
        <f>U88+V88</f>
        <v/>
      </c>
      <c r="X88" s="3">
        <f>T88-W88</f>
        <v/>
      </c>
      <c r="Y88" s="4" t="n">
        <v>91.92</v>
      </c>
      <c r="Z88" s="3" t="n">
        <v>0</v>
      </c>
      <c r="AA88" s="3">
        <f>TABL12[[#This Row],[(RESV. STORGE) AJD]]/10</f>
        <v/>
      </c>
      <c r="AB88" s="3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32">
        <f>TABL12[[#This Row],[(A/S) AJD]]-TABL12[[#This Row],[SER_IN]]</f>
        <v/>
      </c>
    </row>
    <row r="89">
      <c r="A89" s="2" t="n">
        <v>45745</v>
      </c>
      <c r="B89" s="28" t="n">
        <v>38</v>
      </c>
      <c r="C89" s="28" t="n">
        <v>329</v>
      </c>
      <c r="D89" s="28" t="n">
        <v>38</v>
      </c>
      <c r="E89" s="28" t="n">
        <v>0</v>
      </c>
      <c r="F89" s="28" t="n">
        <v>86</v>
      </c>
      <c r="G89" s="28" t="n">
        <v>514</v>
      </c>
      <c r="H89" s="28" t="n">
        <v>2</v>
      </c>
      <c r="I89" s="28" t="n">
        <v>417</v>
      </c>
      <c r="J89" s="28" t="n">
        <v>436</v>
      </c>
      <c r="K89" s="28">
        <f>TABL12[[#This Row],[ (T/B) SAR]]+TABL12[[#This Row],[ (S/S) SAR]]</f>
        <v/>
      </c>
      <c r="L89" s="28" t="n">
        <v>339</v>
      </c>
      <c r="M89" s="29" t="n">
        <v>25.1</v>
      </c>
      <c r="N89" s="30" t="n">
        <v>7.79</v>
      </c>
      <c r="O89" s="3" t="n">
        <v>385</v>
      </c>
      <c r="P89" s="3">
        <f>TABL12[[#This Row],[ (S/S) SAR]]-TABL12[[#This Row],[(S/S) AJD]]</f>
        <v/>
      </c>
      <c r="Q89" s="3" t="n">
        <v>429</v>
      </c>
      <c r="R89" s="3">
        <f>TABL12[[#This Row],[ (T/B) SAR]]-TABL12[[#This Row],[(T/B) AJD]]</f>
        <v/>
      </c>
      <c r="S89" s="3">
        <f>TABL12[[#This Row],[S/S_CON.]]+TABL12[[#This Row],[T/B-CON.]]</f>
        <v/>
      </c>
      <c r="T89" s="3">
        <f>O89+Q89</f>
        <v/>
      </c>
      <c r="U89" s="3" t="n">
        <v>510</v>
      </c>
      <c r="V89" s="3" t="n">
        <v>270</v>
      </c>
      <c r="W89" s="3">
        <f>U89+V89</f>
        <v/>
      </c>
      <c r="X89" s="3">
        <f>T89-W89</f>
        <v/>
      </c>
      <c r="Y89" s="4" t="n">
        <v>91.92</v>
      </c>
      <c r="Z89" s="3" t="n">
        <v>0</v>
      </c>
      <c r="AA89" s="3">
        <f>TABL12[[#This Row],[(RESV. STORGE) AJD]]/10</f>
        <v/>
      </c>
      <c r="AB89" s="3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32">
        <f>TABL12[[#This Row],[(A/S) AJD]]-TABL12[[#This Row],[SER_IN]]</f>
        <v/>
      </c>
    </row>
    <row r="90">
      <c r="A90" s="2" t="n">
        <v>45746</v>
      </c>
      <c r="B90" s="28" t="n">
        <v>41</v>
      </c>
      <c r="C90" s="28" t="n">
        <v>342</v>
      </c>
      <c r="D90" s="28" t="n">
        <v>41</v>
      </c>
      <c r="E90" s="28" t="n">
        <v>0</v>
      </c>
      <c r="F90" s="28" t="n">
        <v>86</v>
      </c>
      <c r="G90" s="28" t="n">
        <v>519</v>
      </c>
      <c r="H90" s="28" t="n">
        <v>2</v>
      </c>
      <c r="I90" s="28" t="n">
        <v>417</v>
      </c>
      <c r="J90" s="28" t="n">
        <v>436</v>
      </c>
      <c r="K90" s="28">
        <f>TABL12[[#This Row],[ (T/B) SAR]]+TABL12[[#This Row],[ (S/S) SAR]]</f>
        <v/>
      </c>
      <c r="L90" s="28" t="n">
        <v>339</v>
      </c>
      <c r="M90" s="29" t="n">
        <v>25.1</v>
      </c>
      <c r="N90" s="30" t="n">
        <v>7.79</v>
      </c>
      <c r="O90" s="3" t="n">
        <v>386</v>
      </c>
      <c r="P90" s="3">
        <f>TABL12[[#This Row],[ (S/S) SAR]]-TABL12[[#This Row],[(S/S) AJD]]</f>
        <v/>
      </c>
      <c r="Q90" s="3" t="n">
        <v>429</v>
      </c>
      <c r="R90" s="3">
        <f>TABL12[[#This Row],[ (T/B) SAR]]-TABL12[[#This Row],[(T/B) AJD]]</f>
        <v/>
      </c>
      <c r="S90" s="3">
        <f>TABL12[[#This Row],[S/S_CON.]]+TABL12[[#This Row],[T/B-CON.]]</f>
        <v/>
      </c>
      <c r="T90" s="3">
        <f>O90+Q90</f>
        <v/>
      </c>
      <c r="U90" s="3" t="n">
        <v>553</v>
      </c>
      <c r="V90" s="3" t="n">
        <v>259</v>
      </c>
      <c r="W90" s="3">
        <f>U90+V90</f>
        <v/>
      </c>
      <c r="X90" s="3">
        <f>T90-W90</f>
        <v/>
      </c>
      <c r="Y90" s="4" t="n">
        <v>91.92</v>
      </c>
      <c r="Z90" s="3" t="n">
        <v>0</v>
      </c>
      <c r="AA90" s="3">
        <f>TABL12[[#This Row],[(RESV. STORGE) AJD]]/10</f>
        <v/>
      </c>
      <c r="AB90" s="3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32">
        <f>TABL12[[#This Row],[(A/S) AJD]]-TABL12[[#This Row],[SER_IN]]</f>
        <v/>
      </c>
    </row>
    <row r="91">
      <c r="A91" s="2" t="n">
        <v>45747</v>
      </c>
      <c r="B91" s="28" t="n">
        <v>38</v>
      </c>
      <c r="C91" s="28" t="n">
        <v>333</v>
      </c>
      <c r="D91" s="28" t="n">
        <v>38</v>
      </c>
      <c r="E91" s="28" t="n">
        <v>0</v>
      </c>
      <c r="F91" s="28" t="n">
        <v>86</v>
      </c>
      <c r="G91" s="28" t="n">
        <v>515</v>
      </c>
      <c r="H91" s="28" t="n">
        <v>2</v>
      </c>
      <c r="I91" s="28" t="n">
        <v>417</v>
      </c>
      <c r="J91" s="28" t="n">
        <v>436</v>
      </c>
      <c r="K91" s="28">
        <f>TABL12[[#This Row],[ (T/B) SAR]]+TABL12[[#This Row],[ (S/S) SAR]]</f>
        <v/>
      </c>
      <c r="L91" s="28" t="n">
        <v>339</v>
      </c>
      <c r="M91" s="29" t="n">
        <v>25.1</v>
      </c>
      <c r="N91" s="30" t="n">
        <v>7.79</v>
      </c>
      <c r="O91" s="3" t="n">
        <v>385</v>
      </c>
      <c r="P91" s="3">
        <f>TABL12[[#This Row],[ (S/S) SAR]]-TABL12[[#This Row],[(S/S) AJD]]</f>
        <v/>
      </c>
      <c r="Q91" s="3" t="n">
        <v>428</v>
      </c>
      <c r="R91" s="3">
        <f>TABL12[[#This Row],[ (T/B) SAR]]-TABL12[[#This Row],[(T/B) AJD]]</f>
        <v/>
      </c>
      <c r="S91" s="3">
        <f>TABL12[[#This Row],[S/S_CON.]]+TABL12[[#This Row],[T/B-CON.]]</f>
        <v/>
      </c>
      <c r="T91" s="3">
        <f>O91+Q91</f>
        <v/>
      </c>
      <c r="U91" s="3" t="n">
        <v>559</v>
      </c>
      <c r="V91" s="3" t="n">
        <v>260</v>
      </c>
      <c r="W91" s="3">
        <f>U91+V91</f>
        <v/>
      </c>
      <c r="X91" s="3">
        <f>T91-W91</f>
        <v/>
      </c>
      <c r="Y91" s="4" t="n">
        <v>91.92</v>
      </c>
      <c r="Z91" s="3" t="n">
        <v>0</v>
      </c>
      <c r="AA91" s="3">
        <f>TABL12[[#This Row],[(RESV. STORGE) AJD]]/10</f>
        <v/>
      </c>
      <c r="AB91" s="3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32">
        <f>TABL12[[#This Row],[(A/S) AJD]]-TABL12[[#This Row],[SER_IN]]</f>
        <v/>
      </c>
    </row>
    <row r="92">
      <c r="A92" s="2" t="n">
        <v>45748</v>
      </c>
      <c r="B92" s="28" t="n">
        <v>37</v>
      </c>
      <c r="C92" s="28" t="n">
        <v>327</v>
      </c>
      <c r="D92" s="28" t="n">
        <v>37</v>
      </c>
      <c r="E92" s="28" t="n">
        <v>0</v>
      </c>
      <c r="F92" s="28" t="n">
        <v>86</v>
      </c>
      <c r="G92" s="28" t="n">
        <v>515</v>
      </c>
      <c r="H92" s="28" t="n">
        <v>2</v>
      </c>
      <c r="I92" s="28" t="n">
        <v>418</v>
      </c>
      <c r="J92" s="28" t="n">
        <v>436</v>
      </c>
      <c r="K92" s="28">
        <f>TABL12[[#This Row],[ (T/B) SAR]]+TABL12[[#This Row],[ (S/S) SAR]]</f>
        <v/>
      </c>
      <c r="L92" s="28" t="n">
        <v>338</v>
      </c>
      <c r="M92" s="29" t="n">
        <v>25.1</v>
      </c>
      <c r="N92" s="30" t="n">
        <v>7.63</v>
      </c>
      <c r="O92" s="3" t="n">
        <v>384</v>
      </c>
      <c r="P92" s="3">
        <f>TABL12[[#This Row],[ (S/S) SAR]]-TABL12[[#This Row],[(S/S) AJD]]</f>
        <v/>
      </c>
      <c r="Q92" s="3" t="n">
        <v>426</v>
      </c>
      <c r="R92" s="3">
        <f>TABL12[[#This Row],[ (T/B) SAR]]-TABL12[[#This Row],[(T/B) AJD]]</f>
        <v/>
      </c>
      <c r="S92" s="3">
        <f>TABL12[[#This Row],[S/S_CON.]]+TABL12[[#This Row],[T/B-CON.]]</f>
        <v/>
      </c>
      <c r="T92" s="3">
        <f>O92+Q92</f>
        <v/>
      </c>
      <c r="U92" s="3" t="n">
        <v>550</v>
      </c>
      <c r="V92" s="3" t="n">
        <v>259</v>
      </c>
      <c r="W92" s="3">
        <f>U92+V92</f>
        <v/>
      </c>
      <c r="X92" s="3">
        <f>T92-W92</f>
        <v/>
      </c>
      <c r="Y92" s="4" t="n">
        <v>91.92</v>
      </c>
      <c r="Z92" s="3" t="n">
        <v>0</v>
      </c>
      <c r="AA92" s="3">
        <f>TABL12[[#This Row],[(RESV. STORGE) AJD]]/10</f>
        <v/>
      </c>
      <c r="AB92" s="3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32">
        <f>TABL12[[#This Row],[(A/S) AJD]]-TABL12[[#This Row],[SER_IN]]</f>
        <v/>
      </c>
    </row>
    <row r="93">
      <c r="A93" s="2" t="n">
        <v>45749</v>
      </c>
      <c r="B93" s="28" t="n">
        <v>38</v>
      </c>
      <c r="C93" s="28" t="n">
        <v>319</v>
      </c>
      <c r="D93" s="28" t="n">
        <v>38</v>
      </c>
      <c r="E93" s="28" t="n">
        <v>0</v>
      </c>
      <c r="F93" s="28" t="n">
        <v>86</v>
      </c>
      <c r="G93" s="28" t="n">
        <v>506</v>
      </c>
      <c r="H93" s="28" t="n">
        <v>2</v>
      </c>
      <c r="I93" s="28" t="n">
        <v>411</v>
      </c>
      <c r="J93" s="28" t="n">
        <v>428</v>
      </c>
      <c r="K93" s="28">
        <f>TABL12[[#This Row],[ (T/B) SAR]]+TABL12[[#This Row],[ (S/S) SAR]]</f>
        <v/>
      </c>
      <c r="L93" s="28" t="n">
        <v>333</v>
      </c>
      <c r="M93" s="29" t="n">
        <v>25.1</v>
      </c>
      <c r="N93" s="30" t="n">
        <v>7.48</v>
      </c>
      <c r="O93" s="3" t="n">
        <v>381</v>
      </c>
      <c r="P93" s="3">
        <f>TABL12[[#This Row],[ (S/S) SAR]]-TABL12[[#This Row],[(S/S) AJD]]</f>
        <v/>
      </c>
      <c r="Q93" s="3" t="n">
        <v>424</v>
      </c>
      <c r="R93" s="3">
        <f>TABL12[[#This Row],[ (T/B) SAR]]-TABL12[[#This Row],[(T/B) AJD]]</f>
        <v/>
      </c>
      <c r="S93" s="3">
        <f>TABL12[[#This Row],[S/S_CON.]]+TABL12[[#This Row],[T/B-CON.]]</f>
        <v/>
      </c>
      <c r="T93" s="3">
        <f>O93+Q93</f>
        <v/>
      </c>
      <c r="U93" s="3" t="n">
        <v>555</v>
      </c>
      <c r="V93" s="3" t="n">
        <v>254</v>
      </c>
      <c r="W93" s="3">
        <f>U93+V93</f>
        <v/>
      </c>
      <c r="X93" s="3">
        <f>T93-W93</f>
        <v/>
      </c>
      <c r="Y93" s="4" t="n">
        <v>91.92</v>
      </c>
      <c r="Z93" s="3" t="n">
        <v>0</v>
      </c>
      <c r="AA93" s="3">
        <f>TABL12[[#This Row],[(RESV. STORGE) AJD]]/10</f>
        <v/>
      </c>
      <c r="AB93" s="3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32">
        <f>TABL12[[#This Row],[(A/S) AJD]]-TABL12[[#This Row],[SER_IN]]</f>
        <v/>
      </c>
    </row>
    <row r="94">
      <c r="A94" s="2" t="n">
        <v>45750</v>
      </c>
      <c r="B94" s="28" t="n">
        <v>37</v>
      </c>
      <c r="C94" s="28" t="n">
        <v>321</v>
      </c>
      <c r="D94" s="28" t="n">
        <v>37</v>
      </c>
      <c r="E94" s="28" t="n">
        <v>0</v>
      </c>
      <c r="F94" s="28" t="n">
        <v>86</v>
      </c>
      <c r="G94" s="28" t="n">
        <v>509</v>
      </c>
      <c r="H94" s="28" t="n">
        <v>2</v>
      </c>
      <c r="I94" s="28" t="n">
        <v>406</v>
      </c>
      <c r="J94" s="28" t="n">
        <v>425</v>
      </c>
      <c r="K94" s="28">
        <f>TABL12[[#This Row],[ (T/B) SAR]]+TABL12[[#This Row],[ (S/S) SAR]]</f>
        <v/>
      </c>
      <c r="L94" s="28" t="n">
        <v>322</v>
      </c>
      <c r="M94" s="29" t="n">
        <v>24.7</v>
      </c>
      <c r="N94" s="30" t="n">
        <v>7.48</v>
      </c>
      <c r="O94" s="3" t="n">
        <v>378</v>
      </c>
      <c r="P94" s="3">
        <f>TABL12[[#This Row],[ (S/S) SAR]]-TABL12[[#This Row],[(S/S) AJD]]</f>
        <v/>
      </c>
      <c r="Q94" s="3" t="n">
        <v>420</v>
      </c>
      <c r="R94" s="3">
        <f>TABL12[[#This Row],[ (T/B) SAR]]-TABL12[[#This Row],[(T/B) AJD]]</f>
        <v/>
      </c>
      <c r="S94" s="3">
        <f>TABL12[[#This Row],[S/S_CON.]]+TABL12[[#This Row],[T/B-CON.]]</f>
        <v/>
      </c>
      <c r="T94" s="3">
        <f>O94+Q94</f>
        <v/>
      </c>
      <c r="U94" s="3" t="n">
        <v>530</v>
      </c>
      <c r="V94" s="3" t="n">
        <v>273</v>
      </c>
      <c r="W94" s="3">
        <f>U94+V94</f>
        <v/>
      </c>
      <c r="X94" s="3">
        <f>T94-W94</f>
        <v/>
      </c>
      <c r="Y94" s="4" t="n">
        <v>91.92</v>
      </c>
      <c r="Z94" s="3" t="n">
        <v>0</v>
      </c>
      <c r="AA94" s="3">
        <f>TABL12[[#This Row],[(RESV. STORGE) AJD]]/10</f>
        <v/>
      </c>
      <c r="AB94" s="3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32">
        <f>TABL12[[#This Row],[(A/S) AJD]]-TABL12[[#This Row],[SER_IN]]</f>
        <v/>
      </c>
    </row>
    <row r="95">
      <c r="A95" s="2" t="n">
        <v>45751</v>
      </c>
      <c r="B95" s="28" t="n">
        <v>37</v>
      </c>
      <c r="C95" s="28" t="n">
        <v>313</v>
      </c>
      <c r="D95" s="28" t="n">
        <v>37</v>
      </c>
      <c r="E95" s="28" t="n">
        <v>0</v>
      </c>
      <c r="F95" s="28" t="n">
        <v>86</v>
      </c>
      <c r="G95" s="28" t="n">
        <v>503</v>
      </c>
      <c r="H95" s="28" t="n">
        <v>2</v>
      </c>
      <c r="I95" s="28" t="n">
        <v>399</v>
      </c>
      <c r="J95" s="28" t="n">
        <v>418</v>
      </c>
      <c r="K95" s="28">
        <f>TABL12[[#This Row],[ (T/B) SAR]]+TABL12[[#This Row],[ (S/S) SAR]]</f>
        <v/>
      </c>
      <c r="L95" s="28" t="n">
        <v>314</v>
      </c>
      <c r="M95" s="29" t="n">
        <v>24.7</v>
      </c>
      <c r="N95" s="30" t="n">
        <v>7.44</v>
      </c>
      <c r="O95" s="3" t="n">
        <v>372</v>
      </c>
      <c r="P95" s="3">
        <f>TABL12[[#This Row],[ (S/S) SAR]]-TABL12[[#This Row],[(S/S) AJD]]</f>
        <v/>
      </c>
      <c r="Q95" s="3" t="n">
        <v>415</v>
      </c>
      <c r="R95" s="3">
        <f>TABL12[[#This Row],[ (T/B) SAR]]-TABL12[[#This Row],[(T/B) AJD]]</f>
        <v/>
      </c>
      <c r="S95" s="3">
        <f>TABL12[[#This Row],[S/S_CON.]]+TABL12[[#This Row],[T/B-CON.]]</f>
        <v/>
      </c>
      <c r="T95" s="3">
        <f>O95+Q95</f>
        <v/>
      </c>
      <c r="U95" s="3" t="n">
        <v>519</v>
      </c>
      <c r="V95" s="3" t="n">
        <v>268</v>
      </c>
      <c r="W95" s="3">
        <f>U95+V95</f>
        <v/>
      </c>
      <c r="X95" s="3">
        <f>T95-W95</f>
        <v/>
      </c>
      <c r="Y95" s="4" t="n">
        <v>91.92</v>
      </c>
      <c r="Z95" s="3" t="n">
        <v>0</v>
      </c>
      <c r="AA95" s="3">
        <f>TABL12[[#This Row],[(RESV. STORGE) AJD]]/10</f>
        <v/>
      </c>
      <c r="AB95" s="3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32">
        <f>TABL12[[#This Row],[(A/S) AJD]]-TABL12[[#This Row],[SER_IN]]</f>
        <v/>
      </c>
    </row>
    <row r="96">
      <c r="A96" s="2" t="n">
        <v>45752</v>
      </c>
      <c r="B96" s="28" t="n">
        <v>36</v>
      </c>
      <c r="C96" s="28" t="n">
        <v>302</v>
      </c>
      <c r="D96" s="28" t="n">
        <v>37</v>
      </c>
      <c r="E96" s="28" t="n">
        <v>0</v>
      </c>
      <c r="F96" s="28" t="n">
        <v>86</v>
      </c>
      <c r="G96" s="28" t="n">
        <v>512</v>
      </c>
      <c r="H96" s="28" t="n">
        <v>2</v>
      </c>
      <c r="I96" s="28" t="n">
        <v>404</v>
      </c>
      <c r="J96" s="28" t="n">
        <v>424</v>
      </c>
      <c r="K96" s="28">
        <f>TABL12[[#This Row],[ (T/B) SAR]]+TABL12[[#This Row],[ (S/S) SAR]]</f>
        <v/>
      </c>
      <c r="L96" s="28" t="n">
        <v>316</v>
      </c>
      <c r="M96" s="29" t="n">
        <v>24.7</v>
      </c>
      <c r="N96" s="30" t="n">
        <v>7.39</v>
      </c>
      <c r="O96" s="3" t="n">
        <v>372</v>
      </c>
      <c r="P96" s="3">
        <f>TABL12[[#This Row],[ (S/S) SAR]]-TABL12[[#This Row],[(S/S) AJD]]</f>
        <v/>
      </c>
      <c r="Q96" s="3" t="n">
        <v>413</v>
      </c>
      <c r="R96" s="3">
        <f>TABL12[[#This Row],[ (T/B) SAR]]-TABL12[[#This Row],[(T/B) AJD]]</f>
        <v/>
      </c>
      <c r="S96" s="3">
        <f>TABL12[[#This Row],[S/S_CON.]]+TABL12[[#This Row],[T/B-CON.]]</f>
        <v/>
      </c>
      <c r="T96" s="3">
        <f>O96+Q96</f>
        <v/>
      </c>
      <c r="U96" s="3" t="n">
        <v>521</v>
      </c>
      <c r="V96" s="3" t="n">
        <v>268</v>
      </c>
      <c r="W96" s="3">
        <f>U96+V96</f>
        <v/>
      </c>
      <c r="X96" s="3">
        <f>T96-W96</f>
        <v/>
      </c>
      <c r="Y96" s="4" t="n">
        <v>91.92</v>
      </c>
      <c r="Z96" s="3" t="n">
        <v>0</v>
      </c>
      <c r="AA96" s="3">
        <f>TABL12[[#This Row],[(RESV. STORGE) AJD]]/10</f>
        <v/>
      </c>
      <c r="AB96" s="3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32">
        <f>TABL12[[#This Row],[(A/S) AJD]]-TABL12[[#This Row],[SER_IN]]</f>
        <v/>
      </c>
    </row>
    <row r="97">
      <c r="A97" s="2" t="n">
        <v>45753</v>
      </c>
      <c r="B97" s="28" t="n">
        <v>36</v>
      </c>
      <c r="C97" s="28" t="n">
        <v>296</v>
      </c>
      <c r="D97" s="28" t="n">
        <v>36</v>
      </c>
      <c r="E97" s="28" t="n">
        <v>0</v>
      </c>
      <c r="F97" s="28" t="n">
        <v>88</v>
      </c>
      <c r="G97" s="28" t="n">
        <v>513</v>
      </c>
      <c r="H97" s="28" t="n">
        <v>0</v>
      </c>
      <c r="I97" s="28" t="n">
        <v>401</v>
      </c>
      <c r="J97" s="28" t="n">
        <v>419</v>
      </c>
      <c r="K97" s="28">
        <f>TABL12[[#This Row],[ (T/B) SAR]]+TABL12[[#This Row],[ (S/S) SAR]]</f>
        <v/>
      </c>
      <c r="L97" s="28" t="n">
        <v>307</v>
      </c>
      <c r="M97" s="29" t="n">
        <v>24.7</v>
      </c>
      <c r="N97" s="30" t="n">
        <v>7.23</v>
      </c>
      <c r="O97" s="3" t="n">
        <v>374</v>
      </c>
      <c r="P97" s="3">
        <f>TABL12[[#This Row],[ (S/S) SAR]]-TABL12[[#This Row],[(S/S) AJD]]</f>
        <v/>
      </c>
      <c r="Q97" s="3" t="n">
        <v>417</v>
      </c>
      <c r="R97" s="3">
        <f>TABL12[[#This Row],[ (T/B) SAR]]-TABL12[[#This Row],[(T/B) AJD]]</f>
        <v/>
      </c>
      <c r="S97" s="3">
        <f>TABL12[[#This Row],[S/S_CON.]]+TABL12[[#This Row],[T/B-CON.]]</f>
        <v/>
      </c>
      <c r="T97" s="3">
        <f>O97+Q97</f>
        <v/>
      </c>
      <c r="U97" s="3" t="n">
        <v>530</v>
      </c>
      <c r="V97" s="3" t="n">
        <v>256</v>
      </c>
      <c r="W97" s="3">
        <f>U97+V97</f>
        <v/>
      </c>
      <c r="X97" s="3">
        <f>T97-W97</f>
        <v/>
      </c>
      <c r="Y97" s="4" t="n">
        <v>91.92</v>
      </c>
      <c r="Z97" s="3" t="n">
        <v>0</v>
      </c>
      <c r="AA97" s="3">
        <f>TABL12[[#This Row],[(RESV. STORGE) AJD]]/10</f>
        <v/>
      </c>
      <c r="AB97" s="3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32">
        <f>TABL12[[#This Row],[(A/S) AJD]]-TABL12[[#This Row],[SER_IN]]</f>
        <v/>
      </c>
    </row>
    <row r="98">
      <c r="A98" s="2" t="n">
        <v>45754</v>
      </c>
      <c r="B98" s="28" t="n">
        <v>39</v>
      </c>
      <c r="C98" s="28" t="n">
        <v>331</v>
      </c>
      <c r="D98" s="28" t="n">
        <v>39</v>
      </c>
      <c r="E98" s="28" t="n">
        <v>0</v>
      </c>
      <c r="F98" s="28" t="n">
        <v>88</v>
      </c>
      <c r="G98" s="28" t="n">
        <v>514</v>
      </c>
      <c r="H98" s="28" t="n">
        <v>0</v>
      </c>
      <c r="I98" s="28" t="n">
        <v>402</v>
      </c>
      <c r="J98" s="28" t="n">
        <v>419</v>
      </c>
      <c r="K98" s="28">
        <f>TABL12[[#This Row],[ (T/B) SAR]]+TABL12[[#This Row],[ (S/S) SAR]]</f>
        <v/>
      </c>
      <c r="L98" s="28" t="n">
        <v>307</v>
      </c>
      <c r="M98" s="29" t="n">
        <v>24.7</v>
      </c>
      <c r="N98" s="30" t="n">
        <v>7.21</v>
      </c>
      <c r="O98" s="3" t="n">
        <v>378</v>
      </c>
      <c r="P98" s="3">
        <f>TABL12[[#This Row],[ (S/S) SAR]]-TABL12[[#This Row],[(S/S) AJD]]</f>
        <v/>
      </c>
      <c r="Q98" s="3" t="n">
        <v>420</v>
      </c>
      <c r="R98" s="3">
        <f>TABL12[[#This Row],[ (T/B) SAR]]-TABL12[[#This Row],[(T/B) AJD]]</f>
        <v/>
      </c>
      <c r="S98" s="3">
        <f>TABL12[[#This Row],[S/S_CON.]]+TABL12[[#This Row],[T/B-CON.]]</f>
        <v/>
      </c>
      <c r="T98" s="3">
        <f>O98+Q98</f>
        <v/>
      </c>
      <c r="U98" s="3" t="n">
        <v>558</v>
      </c>
      <c r="V98" s="3" t="n">
        <v>243</v>
      </c>
      <c r="W98" s="3">
        <f>U98+V98</f>
        <v/>
      </c>
      <c r="X98" s="3">
        <f>T98-W98</f>
        <v/>
      </c>
      <c r="Y98" s="4" t="n">
        <v>91.92</v>
      </c>
      <c r="Z98" s="3" t="n">
        <v>0</v>
      </c>
      <c r="AA98" s="3">
        <f>TABL12[[#This Row],[(RESV. STORGE) AJD]]/10</f>
        <v/>
      </c>
      <c r="AB98" s="3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32">
        <f>TABL12[[#This Row],[(A/S) AJD]]-TABL12[[#This Row],[SER_IN]]</f>
        <v/>
      </c>
    </row>
    <row r="99">
      <c r="A99" s="2" t="n">
        <v>45755</v>
      </c>
      <c r="B99" s="28" t="n">
        <v>41</v>
      </c>
      <c r="C99" s="28" t="n">
        <v>338</v>
      </c>
      <c r="D99" s="28" t="n">
        <v>40</v>
      </c>
      <c r="E99" s="28" t="n">
        <v>0</v>
      </c>
      <c r="F99" s="28" t="n">
        <v>88</v>
      </c>
      <c r="G99" s="28" t="n">
        <v>524</v>
      </c>
      <c r="H99" s="28" t="n">
        <v>0</v>
      </c>
      <c r="I99" s="28" t="n">
        <v>408</v>
      </c>
      <c r="J99" s="28" t="n">
        <v>427</v>
      </c>
      <c r="K99" s="28">
        <f>TABL12[[#This Row],[ (T/B) SAR]]+TABL12[[#This Row],[ (S/S) SAR]]</f>
        <v/>
      </c>
      <c r="L99" s="28" t="n">
        <v>311</v>
      </c>
      <c r="M99" s="29" t="n">
        <v>24.7</v>
      </c>
      <c r="N99" s="30" t="n">
        <v>7.32</v>
      </c>
      <c r="O99" s="3" t="n">
        <v>378</v>
      </c>
      <c r="P99" s="3">
        <f>TABL12[[#This Row],[ (S/S) SAR]]-TABL12[[#This Row],[(S/S) AJD]]</f>
        <v/>
      </c>
      <c r="Q99" s="3" t="n">
        <v>420</v>
      </c>
      <c r="R99" s="3">
        <f>TABL12[[#This Row],[ (T/B) SAR]]-TABL12[[#This Row],[(T/B) AJD]]</f>
        <v/>
      </c>
      <c r="S99" s="3">
        <f>TABL12[[#This Row],[S/S_CON.]]+TABL12[[#This Row],[T/B-CON.]]</f>
        <v/>
      </c>
      <c r="T99" s="3">
        <f>O99+Q99</f>
        <v/>
      </c>
      <c r="U99" s="3" t="n">
        <v>562</v>
      </c>
      <c r="V99" s="3" t="n">
        <v>234</v>
      </c>
      <c r="W99" s="3">
        <f>U99+V99</f>
        <v/>
      </c>
      <c r="X99" s="3">
        <f>T99-W99</f>
        <v/>
      </c>
      <c r="Y99" s="4" t="n">
        <v>91.92</v>
      </c>
      <c r="Z99" s="3" t="n">
        <v>0</v>
      </c>
      <c r="AA99" s="3">
        <f>TABL12[[#This Row],[(RESV. STORGE) AJD]]/10</f>
        <v/>
      </c>
      <c r="AB99" s="3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32">
        <f>TABL12[[#This Row],[(A/S) AJD]]-TABL12[[#This Row],[SER_IN]]</f>
        <v/>
      </c>
    </row>
    <row r="100">
      <c r="A100" s="2" t="n">
        <v>45756</v>
      </c>
      <c r="B100" s="28" t="n">
        <v>38</v>
      </c>
      <c r="C100" s="28" t="n">
        <v>327</v>
      </c>
      <c r="D100" s="28" t="n">
        <v>38</v>
      </c>
      <c r="E100" s="28" t="n">
        <v>0</v>
      </c>
      <c r="F100" s="28" t="n">
        <v>87</v>
      </c>
      <c r="G100" s="28" t="n">
        <v>514</v>
      </c>
      <c r="H100" s="28" t="n">
        <v>1</v>
      </c>
      <c r="I100" s="28" t="n">
        <v>409</v>
      </c>
      <c r="J100" s="28" t="n">
        <v>424</v>
      </c>
      <c r="K100" s="28">
        <f>TABL12[[#This Row],[ (T/B) SAR]]+TABL12[[#This Row],[ (S/S) SAR]]</f>
        <v/>
      </c>
      <c r="L100" s="28" t="n">
        <v>319</v>
      </c>
      <c r="M100" s="29" t="n">
        <v>24.7</v>
      </c>
      <c r="N100" s="30" t="n">
        <v>7.39</v>
      </c>
      <c r="O100" s="3" t="n">
        <v>379</v>
      </c>
      <c r="P100" s="3">
        <f>TABL12[[#This Row],[ (S/S) SAR]]-TABL12[[#This Row],[(S/S) AJD]]</f>
        <v/>
      </c>
      <c r="Q100" s="3" t="n">
        <v>421</v>
      </c>
      <c r="R100" s="3">
        <f>TABL12[[#This Row],[ (T/B) SAR]]-TABL12[[#This Row],[(T/B) AJD]]</f>
        <v/>
      </c>
      <c r="S100" s="3">
        <f>TABL12[[#This Row],[S/S_CON.]]+TABL12[[#This Row],[T/B-CON.]]</f>
        <v/>
      </c>
      <c r="T100" s="3">
        <f>O100+Q100</f>
        <v/>
      </c>
      <c r="U100" s="3" t="n">
        <v>563</v>
      </c>
      <c r="V100" s="3" t="n">
        <v>230</v>
      </c>
      <c r="W100" s="3">
        <f>U100+V100</f>
        <v/>
      </c>
      <c r="X100" s="3">
        <f>T100-W100</f>
        <v/>
      </c>
      <c r="Y100" s="4" t="n">
        <v>91.92</v>
      </c>
      <c r="Z100" s="3" t="n">
        <v>0</v>
      </c>
      <c r="AA100" s="3">
        <f>TABL12[[#This Row],[(RESV. STORGE) AJD]]/10</f>
        <v/>
      </c>
      <c r="AB100" s="3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32">
        <f>TABL12[[#This Row],[(A/S) AJD]]-TABL12[[#This Row],[SER_IN]]</f>
        <v/>
      </c>
    </row>
    <row r="101">
      <c r="A101" s="2" t="n">
        <v>45757</v>
      </c>
      <c r="B101" s="28" t="n">
        <v>39</v>
      </c>
      <c r="C101" s="28" t="n">
        <v>334</v>
      </c>
      <c r="D101" s="28" t="n">
        <v>39</v>
      </c>
      <c r="E101" s="28" t="n">
        <v>0</v>
      </c>
      <c r="F101" s="28" t="n">
        <v>87</v>
      </c>
      <c r="G101" s="28" t="n">
        <v>524</v>
      </c>
      <c r="H101" s="28" t="n">
        <v>1</v>
      </c>
      <c r="I101" s="28" t="n">
        <v>409</v>
      </c>
      <c r="J101" s="28" t="n">
        <v>428</v>
      </c>
      <c r="K101" s="28">
        <f>TABL12[[#This Row],[ (T/B) SAR]]+TABL12[[#This Row],[ (S/S) SAR]]</f>
        <v/>
      </c>
      <c r="L101" s="28" t="n">
        <v>313</v>
      </c>
      <c r="M101" s="29" t="n">
        <v>24.7</v>
      </c>
      <c r="N101" s="30" t="n">
        <v>7.43</v>
      </c>
      <c r="O101" s="3" t="n">
        <v>382</v>
      </c>
      <c r="P101" s="3">
        <f>TABL12[[#This Row],[ (S/S) SAR]]-TABL12[[#This Row],[(S/S) AJD]]</f>
        <v/>
      </c>
      <c r="Q101" s="3" t="n">
        <v>424</v>
      </c>
      <c r="R101" s="3">
        <f>TABL12[[#This Row],[ (T/B) SAR]]-TABL12[[#This Row],[(T/B) AJD]]</f>
        <v/>
      </c>
      <c r="S101" s="3">
        <f>TABL12[[#This Row],[S/S_CON.]]+TABL12[[#This Row],[T/B-CON.]]</f>
        <v/>
      </c>
      <c r="T101" s="3">
        <f>O101+Q101</f>
        <v/>
      </c>
      <c r="U101" s="3" t="n">
        <v>570</v>
      </c>
      <c r="V101" s="3" t="n">
        <v>230</v>
      </c>
      <c r="W101" s="3">
        <f>U101+V101</f>
        <v/>
      </c>
      <c r="X101" s="3">
        <f>T101-W101</f>
        <v/>
      </c>
      <c r="Y101" s="4" t="n">
        <v>91.92</v>
      </c>
      <c r="Z101" s="3" t="n">
        <v>0</v>
      </c>
      <c r="AA101" s="3">
        <f>TABL12[[#This Row],[(RESV. STORGE) AJD]]/10</f>
        <v/>
      </c>
      <c r="AB101" s="3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32">
        <f>TABL12[[#This Row],[(A/S) AJD]]-TABL12[[#This Row],[SER_IN]]</f>
        <v/>
      </c>
    </row>
    <row r="102">
      <c r="A102" s="2" t="n">
        <v>45758</v>
      </c>
      <c r="B102" s="28" t="n">
        <v>39</v>
      </c>
      <c r="C102" s="28" t="n">
        <v>334</v>
      </c>
      <c r="D102" s="28" t="n">
        <v>39</v>
      </c>
      <c r="E102" s="28" t="n">
        <v>0</v>
      </c>
      <c r="F102" s="28" t="n">
        <v>88</v>
      </c>
      <c r="G102" s="28" t="n">
        <v>527</v>
      </c>
      <c r="H102" s="28" t="n">
        <v>0</v>
      </c>
      <c r="I102" s="28" t="n">
        <v>412</v>
      </c>
      <c r="J102" s="28" t="n">
        <v>430</v>
      </c>
      <c r="K102" s="28">
        <f>TABL12[[#This Row],[ (T/B) SAR]]+TABL12[[#This Row],[ (S/S) SAR]]</f>
        <v/>
      </c>
      <c r="L102" s="28" t="n">
        <v>315</v>
      </c>
      <c r="M102" s="29" t="n">
        <v>24.7</v>
      </c>
      <c r="N102" s="30" t="n">
        <v>7.49</v>
      </c>
      <c r="O102" s="3" t="n">
        <v>383</v>
      </c>
      <c r="P102" s="3">
        <f>TABL12[[#This Row],[ (S/S) SAR]]-TABL12[[#This Row],[(S/S) AJD]]</f>
        <v/>
      </c>
      <c r="Q102" s="3" t="n">
        <v>425</v>
      </c>
      <c r="R102" s="3">
        <f>TABL12[[#This Row],[ (T/B) SAR]]-TABL12[[#This Row],[(T/B) AJD]]</f>
        <v/>
      </c>
      <c r="S102" s="3">
        <f>TABL12[[#This Row],[S/S_CON.]]+TABL12[[#This Row],[T/B-CON.]]</f>
        <v/>
      </c>
      <c r="T102" s="3">
        <f>O102+Q102</f>
        <v/>
      </c>
      <c r="U102" s="3" t="n">
        <v>553</v>
      </c>
      <c r="V102" s="3" t="n">
        <v>256</v>
      </c>
      <c r="W102" s="3">
        <f>U102+V102</f>
        <v/>
      </c>
      <c r="X102" s="3">
        <f>T102-W102</f>
        <v/>
      </c>
      <c r="Y102" s="4" t="n">
        <v>91.92</v>
      </c>
      <c r="Z102" s="3" t="n">
        <v>0</v>
      </c>
      <c r="AA102" s="3">
        <f>TABL12[[#This Row],[(RESV. STORGE) AJD]]/10</f>
        <v/>
      </c>
      <c r="AB102" s="3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32">
        <f>TABL12[[#This Row],[(A/S) AJD]]-TABL12[[#This Row],[SER_IN]]</f>
        <v/>
      </c>
    </row>
    <row r="103">
      <c r="A103" s="2" t="n">
        <v>45759</v>
      </c>
      <c r="B103" s="28" t="n">
        <v>39</v>
      </c>
      <c r="C103" s="28" t="n">
        <v>332</v>
      </c>
      <c r="D103" s="28" t="n">
        <v>39</v>
      </c>
      <c r="E103" s="28" t="n">
        <v>0</v>
      </c>
      <c r="F103" s="28" t="n">
        <v>88</v>
      </c>
      <c r="G103" s="28" t="n">
        <v>512</v>
      </c>
      <c r="H103" s="28" t="n">
        <v>0</v>
      </c>
      <c r="I103" s="28" t="n">
        <v>404</v>
      </c>
      <c r="J103" s="28" t="n">
        <v>434</v>
      </c>
      <c r="K103" s="28">
        <f>TABL12[[#This Row],[ (T/B) SAR]]+TABL12[[#This Row],[ (S/S) SAR]]</f>
        <v/>
      </c>
      <c r="L103" s="28" t="n">
        <v>317</v>
      </c>
      <c r="M103" s="29" t="n">
        <v>24.7</v>
      </c>
      <c r="N103" s="30" t="n">
        <v>7.57</v>
      </c>
      <c r="O103" s="3" t="n">
        <v>388</v>
      </c>
      <c r="P103" s="3">
        <f>TABL12[[#This Row],[ (S/S) SAR]]-TABL12[[#This Row],[(S/S) AJD]]</f>
        <v/>
      </c>
      <c r="Q103" s="3" t="n">
        <v>430</v>
      </c>
      <c r="R103" s="3">
        <f>TABL12[[#This Row],[ (T/B) SAR]]-TABL12[[#This Row],[(T/B) AJD]]</f>
        <v/>
      </c>
      <c r="S103" s="3">
        <f>TABL12[[#This Row],[S/S_CON.]]+TABL12[[#This Row],[T/B-CON.]]</f>
        <v/>
      </c>
      <c r="T103" s="3">
        <f>O103+Q103</f>
        <v/>
      </c>
      <c r="U103" s="3" t="n">
        <v>539</v>
      </c>
      <c r="V103" s="3" t="n">
        <v>287</v>
      </c>
      <c r="W103" s="3">
        <f>U103+V103</f>
        <v/>
      </c>
      <c r="X103" s="3">
        <f>T103-W103</f>
        <v/>
      </c>
      <c r="Y103" s="4" t="n">
        <v>91.92</v>
      </c>
      <c r="Z103" s="3" t="n">
        <v>0</v>
      </c>
      <c r="AA103" s="3">
        <f>TABL12[[#This Row],[(RESV. STORGE) AJD]]/10</f>
        <v/>
      </c>
      <c r="AB103" s="3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32">
        <f>TABL12[[#This Row],[(A/S) AJD]]-TABL12[[#This Row],[SER_IN]]</f>
        <v/>
      </c>
    </row>
    <row r="104">
      <c r="A104" s="2" t="n">
        <v>45760</v>
      </c>
      <c r="B104" s="28" t="n">
        <v>40</v>
      </c>
      <c r="C104" s="28" t="n">
        <v>340</v>
      </c>
      <c r="D104" s="28" t="n">
        <v>40</v>
      </c>
      <c r="E104" s="28" t="n">
        <v>0</v>
      </c>
      <c r="F104" s="28" t="n">
        <v>88</v>
      </c>
      <c r="G104" s="28" t="n">
        <v>529</v>
      </c>
      <c r="H104" s="28" t="n">
        <v>0</v>
      </c>
      <c r="I104" s="28" t="n">
        <v>414</v>
      </c>
      <c r="J104" s="28" t="n">
        <v>433</v>
      </c>
      <c r="K104" s="28">
        <f>TABL12[[#This Row],[ (T/B) SAR]]+TABL12[[#This Row],[ (S/S) SAR]]</f>
        <v/>
      </c>
      <c r="L104" s="28" t="n">
        <v>318</v>
      </c>
      <c r="M104" s="29" t="n">
        <v>24.7</v>
      </c>
      <c r="N104" s="30" t="n">
        <v>7.61</v>
      </c>
      <c r="O104" s="3" t="n">
        <v>385</v>
      </c>
      <c r="P104" s="3">
        <f>TABL12[[#This Row],[ (S/S) SAR]]-TABL12[[#This Row],[(S/S) AJD]]</f>
        <v/>
      </c>
      <c r="Q104" s="3" t="n">
        <v>426</v>
      </c>
      <c r="R104" s="3">
        <f>TABL12[[#This Row],[ (T/B) SAR]]-TABL12[[#This Row],[(T/B) AJD]]</f>
        <v/>
      </c>
      <c r="S104" s="3">
        <f>TABL12[[#This Row],[S/S_CON.]]+TABL12[[#This Row],[T/B-CON.]]</f>
        <v/>
      </c>
      <c r="T104" s="3">
        <f>O104+Q104</f>
        <v/>
      </c>
      <c r="U104" s="3" t="n">
        <v>517</v>
      </c>
      <c r="V104" s="3" t="n">
        <v>293</v>
      </c>
      <c r="W104" s="3">
        <f>U104+V104</f>
        <v/>
      </c>
      <c r="X104" s="3">
        <f>T104-W104</f>
        <v/>
      </c>
      <c r="Y104" s="4" t="n">
        <v>91.92</v>
      </c>
      <c r="Z104" s="3" t="n">
        <v>0</v>
      </c>
      <c r="AA104" s="3">
        <f>TABL12[[#This Row],[(RESV. STORGE) AJD]]/10</f>
        <v/>
      </c>
      <c r="AB104" s="3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32">
        <f>TABL12[[#This Row],[(A/S) AJD]]-TABL12[[#This Row],[SER_IN]]</f>
        <v/>
      </c>
    </row>
    <row r="105">
      <c r="A105" s="2" t="n">
        <v>45761</v>
      </c>
      <c r="B105" s="28" t="n">
        <v>39</v>
      </c>
      <c r="C105" s="28" t="n">
        <v>336</v>
      </c>
      <c r="D105" s="28" t="n">
        <v>39</v>
      </c>
      <c r="E105" s="28" t="n">
        <v>0</v>
      </c>
      <c r="F105" s="28" t="n">
        <v>88</v>
      </c>
      <c r="G105" s="28" t="n">
        <v>528</v>
      </c>
      <c r="H105" s="28" t="n">
        <v>0</v>
      </c>
      <c r="I105" s="28" t="n">
        <v>413</v>
      </c>
      <c r="J105" s="28" t="n">
        <v>433</v>
      </c>
      <c r="K105" s="28">
        <f>TABL12[[#This Row],[ (T/B) SAR]]+TABL12[[#This Row],[ (S/S) SAR]]</f>
        <v/>
      </c>
      <c r="L105" s="28" t="n">
        <v>318</v>
      </c>
      <c r="M105" s="29" t="n">
        <v>24.7</v>
      </c>
      <c r="N105" s="30" t="n">
        <v>7.67</v>
      </c>
      <c r="O105" s="3" t="n">
        <v>383</v>
      </c>
      <c r="P105" s="3">
        <f>TABL12[[#This Row],[ (S/S) SAR]]-TABL12[[#This Row],[(S/S) AJD]]</f>
        <v/>
      </c>
      <c r="Q105" s="3" t="n">
        <v>426</v>
      </c>
      <c r="R105" s="3">
        <f>TABL12[[#This Row],[ (T/B) SAR]]-TABL12[[#This Row],[(T/B) AJD]]</f>
        <v/>
      </c>
      <c r="S105" s="3">
        <f>TABL12[[#This Row],[S/S_CON.]]+TABL12[[#This Row],[T/B-CON.]]</f>
        <v/>
      </c>
      <c r="T105" s="3">
        <f>O105+Q105</f>
        <v/>
      </c>
      <c r="U105" s="3" t="n">
        <v>522</v>
      </c>
      <c r="V105" s="3" t="n">
        <v>281</v>
      </c>
      <c r="W105" s="3">
        <f>U105+V105</f>
        <v/>
      </c>
      <c r="X105" s="3">
        <f>T105-W105</f>
        <v/>
      </c>
      <c r="Y105" s="4" t="n">
        <v>91.92</v>
      </c>
      <c r="Z105" s="3" t="n">
        <v>0</v>
      </c>
      <c r="AA105" s="3">
        <f>TABL12[[#This Row],[(RESV. STORGE) AJD]]/10</f>
        <v/>
      </c>
      <c r="AB105" s="3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32">
        <f>TABL12[[#This Row],[(A/S) AJD]]-TABL12[[#This Row],[SER_IN]]</f>
        <v/>
      </c>
    </row>
    <row r="106">
      <c r="A106" s="2" t="n">
        <v>45762</v>
      </c>
      <c r="B106" s="28" t="n">
        <v>39</v>
      </c>
      <c r="C106" s="28" t="n">
        <v>333</v>
      </c>
      <c r="D106" s="28" t="n">
        <v>39</v>
      </c>
      <c r="E106" s="28" t="n">
        <v>0</v>
      </c>
      <c r="F106" s="28" t="n">
        <v>88</v>
      </c>
      <c r="G106" s="28" t="n">
        <v>538</v>
      </c>
      <c r="H106" s="28" t="n">
        <v>0</v>
      </c>
      <c r="I106" s="28" t="n">
        <v>420</v>
      </c>
      <c r="J106" s="28" t="n">
        <v>439</v>
      </c>
      <c r="K106" s="28">
        <f>TABL12[[#This Row],[ (T/B) SAR]]+TABL12[[#This Row],[ (S/S) SAR]]</f>
        <v/>
      </c>
      <c r="L106" s="28" t="n">
        <v>321</v>
      </c>
      <c r="M106" s="29" t="n">
        <v>24.7</v>
      </c>
      <c r="N106" s="30" t="n">
        <v>7.73</v>
      </c>
      <c r="O106" s="3" t="n">
        <v>386</v>
      </c>
      <c r="P106" s="3">
        <f>TABL12[[#This Row],[ (S/S) SAR]]-TABL12[[#This Row],[(S/S) AJD]]</f>
        <v/>
      </c>
      <c r="Q106" s="3" t="n">
        <v>428</v>
      </c>
      <c r="R106" s="3">
        <f>TABL12[[#This Row],[ (T/B) SAR]]-TABL12[[#This Row],[(T/B) AJD]]</f>
        <v/>
      </c>
      <c r="S106" s="3">
        <f>TABL12[[#This Row],[S/S_CON.]]+TABL12[[#This Row],[T/B-CON.]]</f>
        <v/>
      </c>
      <c r="T106" s="3">
        <f>O106+Q106</f>
        <v/>
      </c>
      <c r="U106" s="3" t="n">
        <v>549</v>
      </c>
      <c r="V106" s="3" t="n">
        <v>268</v>
      </c>
      <c r="W106" s="3">
        <f>U106+V106</f>
        <v/>
      </c>
      <c r="X106" s="3">
        <f>T106-W106</f>
        <v/>
      </c>
      <c r="Y106" s="4" t="n">
        <v>91.92</v>
      </c>
      <c r="Z106" s="3" t="n">
        <v>0</v>
      </c>
      <c r="AA106" s="3">
        <f>TABL12[[#This Row],[(RESV. STORGE) AJD]]/10</f>
        <v/>
      </c>
      <c r="AB106" s="3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32">
        <f>TABL12[[#This Row],[(A/S) AJD]]-TABL12[[#This Row],[SER_IN]]</f>
        <v/>
      </c>
    </row>
    <row r="107">
      <c r="A107" s="2" t="n">
        <v>45763</v>
      </c>
      <c r="B107" s="28" t="n">
        <v>39</v>
      </c>
      <c r="C107" s="28" t="n">
        <v>313</v>
      </c>
      <c r="D107" s="28" t="n">
        <v>39</v>
      </c>
      <c r="E107" s="28" t="n">
        <v>0</v>
      </c>
      <c r="F107" s="28" t="n">
        <v>88</v>
      </c>
      <c r="G107" s="28" t="n">
        <v>534</v>
      </c>
      <c r="H107" s="28" t="n">
        <v>0</v>
      </c>
      <c r="I107" s="28" t="n">
        <v>417</v>
      </c>
      <c r="J107" s="28" t="n">
        <v>437</v>
      </c>
      <c r="K107" s="28">
        <f>TABL12[[#This Row],[ (T/B) SAR]]+TABL12[[#This Row],[ (S/S) SAR]]</f>
        <v/>
      </c>
      <c r="L107" s="28" t="n">
        <v>320</v>
      </c>
      <c r="M107" s="29" t="n">
        <v>24.7</v>
      </c>
      <c r="N107" s="30" t="n">
        <v>7.72</v>
      </c>
      <c r="O107" s="3" t="n">
        <v>389</v>
      </c>
      <c r="P107" s="3">
        <f>TABL12[[#This Row],[ (S/S) SAR]]-TABL12[[#This Row],[(S/S) AJD]]</f>
        <v/>
      </c>
      <c r="Q107" s="3" t="n">
        <v>431</v>
      </c>
      <c r="R107" s="3">
        <f>TABL12[[#This Row],[ (T/B) SAR]]-TABL12[[#This Row],[(T/B) AJD]]</f>
        <v/>
      </c>
      <c r="S107" s="3">
        <f>TABL12[[#This Row],[S/S_CON.]]+TABL12[[#This Row],[T/B-CON.]]</f>
        <v/>
      </c>
      <c r="T107" s="3">
        <f>O107+Q107</f>
        <v/>
      </c>
      <c r="U107" s="3" t="n">
        <v>533</v>
      </c>
      <c r="V107" s="3" t="n">
        <v>283</v>
      </c>
      <c r="W107" s="3">
        <f>U107+V107</f>
        <v/>
      </c>
      <c r="X107" s="3">
        <f>T107-W107</f>
        <v/>
      </c>
      <c r="Y107" s="4" t="n">
        <v>91.92</v>
      </c>
      <c r="Z107" s="3" t="n">
        <v>0</v>
      </c>
      <c r="AA107" s="3">
        <f>TABL12[[#This Row],[(RESV. STORGE) AJD]]/10</f>
        <v/>
      </c>
      <c r="AB107" s="3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32">
        <f>TABL12[[#This Row],[(A/S) AJD]]-TABL12[[#This Row],[SER_IN]]</f>
        <v/>
      </c>
    </row>
    <row r="108">
      <c r="A108" s="2" t="n">
        <v>45764</v>
      </c>
      <c r="B108" s="28" t="n">
        <v>39</v>
      </c>
      <c r="C108" s="28" t="n">
        <v>329</v>
      </c>
      <c r="D108" s="28" t="n">
        <v>39</v>
      </c>
      <c r="E108" s="28" t="n">
        <v>0</v>
      </c>
      <c r="F108" s="28" t="n">
        <v>88</v>
      </c>
      <c r="G108" s="28" t="n">
        <v>536</v>
      </c>
      <c r="H108" s="28" t="n">
        <v>0</v>
      </c>
      <c r="I108" s="28" t="n">
        <v>418</v>
      </c>
      <c r="J108" s="28" t="n">
        <v>438</v>
      </c>
      <c r="K108" s="28">
        <f>TABL12[[#This Row],[ (T/B) SAR]]+TABL12[[#This Row],[ (S/S) SAR]]</f>
        <v/>
      </c>
      <c r="L108" s="28" t="n">
        <v>320</v>
      </c>
      <c r="M108" s="29" t="n">
        <v>24.7</v>
      </c>
      <c r="N108" s="30" t="n">
        <v>7.75</v>
      </c>
      <c r="O108" s="3" t="n">
        <v>388</v>
      </c>
      <c r="P108" s="3">
        <f>TABL12[[#This Row],[ (S/S) SAR]]-TABL12[[#This Row],[(S/S) AJD]]</f>
        <v/>
      </c>
      <c r="Q108" s="3" t="n">
        <v>431</v>
      </c>
      <c r="R108" s="3">
        <f>TABL12[[#This Row],[ (T/B) SAR]]-TABL12[[#This Row],[(T/B) AJD]]</f>
        <v/>
      </c>
      <c r="S108" s="3">
        <f>TABL12[[#This Row],[S/S_CON.]]+TABL12[[#This Row],[T/B-CON.]]</f>
        <v/>
      </c>
      <c r="T108" s="3">
        <f>O108+Q108</f>
        <v/>
      </c>
      <c r="U108" s="3" t="n">
        <v>548</v>
      </c>
      <c r="V108" s="3" t="n">
        <v>273</v>
      </c>
      <c r="W108" s="3">
        <f>U108+V108</f>
        <v/>
      </c>
      <c r="X108" s="3">
        <f>T108-W108</f>
        <v/>
      </c>
      <c r="Y108" s="4" t="n">
        <v>91.92</v>
      </c>
      <c r="Z108" s="3" t="n">
        <v>0</v>
      </c>
      <c r="AA108" s="3">
        <f>TABL12[[#This Row],[(RESV. STORGE) AJD]]/10</f>
        <v/>
      </c>
      <c r="AB108" s="3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32">
        <f>TABL12[[#This Row],[(A/S) AJD]]-TABL12[[#This Row],[SER_IN]]</f>
        <v/>
      </c>
    </row>
    <row r="109">
      <c r="A109" s="2" t="n">
        <v>45765</v>
      </c>
      <c r="B109" s="28" t="n">
        <v>39</v>
      </c>
      <c r="C109" s="28" t="n">
        <v>327</v>
      </c>
      <c r="D109" s="28" t="n">
        <v>39</v>
      </c>
      <c r="E109" s="28" t="n">
        <v>0</v>
      </c>
      <c r="F109" s="28" t="n">
        <v>88</v>
      </c>
      <c r="G109" s="28" t="n">
        <v>538</v>
      </c>
      <c r="H109" s="28" t="n">
        <v>0</v>
      </c>
      <c r="I109" s="28" t="n">
        <v>420</v>
      </c>
      <c r="J109" s="28" t="n">
        <v>439</v>
      </c>
      <c r="K109" s="28">
        <f>TABL12[[#This Row],[ (T/B) SAR]]+TABL12[[#This Row],[ (S/S) SAR]]</f>
        <v/>
      </c>
      <c r="L109" s="28" t="n">
        <v>321</v>
      </c>
      <c r="M109" s="29" t="n">
        <v>24.7</v>
      </c>
      <c r="N109" s="30" t="n">
        <v>7.7</v>
      </c>
      <c r="O109" s="3" t="n">
        <v>388</v>
      </c>
      <c r="P109" s="3">
        <f>TABL12[[#This Row],[ (S/S) SAR]]-TABL12[[#This Row],[(S/S) AJD]]</f>
        <v/>
      </c>
      <c r="Q109" s="3" t="n">
        <v>430</v>
      </c>
      <c r="R109" s="3">
        <f>TABL12[[#This Row],[ (T/B) SAR]]-TABL12[[#This Row],[(T/B) AJD]]</f>
        <v/>
      </c>
      <c r="S109" s="3">
        <f>TABL12[[#This Row],[S/S_CON.]]+TABL12[[#This Row],[T/B-CON.]]</f>
        <v/>
      </c>
      <c r="T109" s="3">
        <f>O109+Q109</f>
        <v/>
      </c>
      <c r="U109" s="3" t="n">
        <v>555</v>
      </c>
      <c r="V109" s="3" t="n">
        <v>264</v>
      </c>
      <c r="W109" s="3">
        <f>U109+V109</f>
        <v/>
      </c>
      <c r="X109" s="3">
        <f>T109-W109</f>
        <v/>
      </c>
      <c r="Y109" s="4" t="n">
        <v>91.92</v>
      </c>
      <c r="Z109" s="3" t="n">
        <v>0</v>
      </c>
      <c r="AA109" s="3">
        <f>TABL12[[#This Row],[(RESV. STORGE) AJD]]/10</f>
        <v/>
      </c>
      <c r="AB109" s="3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32">
        <f>TABL12[[#This Row],[(A/S) AJD]]-TABL12[[#This Row],[SER_IN]]</f>
        <v/>
      </c>
    </row>
    <row r="110">
      <c r="A110" s="2" t="n">
        <v>45766</v>
      </c>
      <c r="B110" s="28" t="n">
        <v>38</v>
      </c>
      <c r="C110" s="28" t="n">
        <v>317</v>
      </c>
      <c r="D110" s="28" t="n">
        <v>39</v>
      </c>
      <c r="E110" s="28" t="n">
        <v>0</v>
      </c>
      <c r="F110" s="28" t="n">
        <v>88</v>
      </c>
      <c r="G110" s="28" t="n">
        <v>533</v>
      </c>
      <c r="H110" s="28" t="n">
        <v>0</v>
      </c>
      <c r="I110" s="28" t="n">
        <v>417</v>
      </c>
      <c r="J110" s="28" t="n">
        <v>436</v>
      </c>
      <c r="K110" s="28">
        <f>TABL12[[#This Row],[ (T/B) SAR]]+TABL12[[#This Row],[ (S/S) SAR]]</f>
        <v/>
      </c>
      <c r="L110" s="28" t="n">
        <v>320</v>
      </c>
      <c r="M110" s="29" t="n">
        <v>24.7</v>
      </c>
      <c r="N110" s="30" t="n">
        <v>7.82</v>
      </c>
      <c r="O110" s="3" t="n">
        <v>388</v>
      </c>
      <c r="P110" s="3">
        <f>TABL12[[#This Row],[ (S/S) SAR]]-TABL12[[#This Row],[(S/S) AJD]]</f>
        <v/>
      </c>
      <c r="Q110" s="3" t="n">
        <v>430</v>
      </c>
      <c r="R110" s="3">
        <f>TABL12[[#This Row],[ (T/B) SAR]]-TABL12[[#This Row],[(T/B) AJD]]</f>
        <v/>
      </c>
      <c r="S110" s="3">
        <f>TABL12[[#This Row],[S/S_CON.]]+TABL12[[#This Row],[T/B-CON.]]</f>
        <v/>
      </c>
      <c r="T110" s="3">
        <f>O110+Q110</f>
        <v/>
      </c>
      <c r="U110" s="3" t="n">
        <v>537</v>
      </c>
      <c r="V110" s="3" t="n">
        <v>285</v>
      </c>
      <c r="W110" s="3">
        <f>U110+V110</f>
        <v/>
      </c>
      <c r="X110" s="3">
        <f>T110-W110</f>
        <v/>
      </c>
      <c r="Y110" s="4" t="n">
        <v>91.92</v>
      </c>
      <c r="Z110" s="3" t="n">
        <v>0</v>
      </c>
      <c r="AA110" s="3">
        <f>TABL12[[#This Row],[(RESV. STORGE) AJD]]/10</f>
        <v/>
      </c>
      <c r="AB110" s="3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32">
        <f>TABL12[[#This Row],[(A/S) AJD]]-TABL12[[#This Row],[SER_IN]]</f>
        <v/>
      </c>
    </row>
    <row r="111">
      <c r="A111" s="2" t="n">
        <v>45767</v>
      </c>
      <c r="B111" s="28" t="n">
        <v>40</v>
      </c>
      <c r="C111" s="28" t="n">
        <v>324</v>
      </c>
      <c r="D111" s="28" t="n">
        <v>40</v>
      </c>
      <c r="E111" s="28" t="n">
        <v>0</v>
      </c>
      <c r="F111" s="28" t="n">
        <v>88</v>
      </c>
      <c r="G111" s="28" t="n">
        <v>519</v>
      </c>
      <c r="H111" s="28" t="n">
        <v>0</v>
      </c>
      <c r="I111" s="28" t="n">
        <v>411</v>
      </c>
      <c r="J111" s="28" t="n">
        <v>429</v>
      </c>
      <c r="K111" s="28">
        <f>TABL12[[#This Row],[ (T/B) SAR]]+TABL12[[#This Row],[ (S/S) SAR]]</f>
        <v/>
      </c>
      <c r="L111" s="28" t="n">
        <v>321</v>
      </c>
      <c r="M111" s="29" t="n">
        <v>24.7</v>
      </c>
      <c r="N111" s="30" t="n">
        <v>7.82</v>
      </c>
      <c r="O111" s="3" t="n">
        <v>387</v>
      </c>
      <c r="P111" s="3">
        <f>TABL12[[#This Row],[ (S/S) SAR]]-TABL12[[#This Row],[(S/S) AJD]]</f>
        <v/>
      </c>
      <c r="Q111" s="3" t="n">
        <v>428</v>
      </c>
      <c r="R111" s="3">
        <f>TABL12[[#This Row],[ (T/B) SAR]]-TABL12[[#This Row],[(T/B) AJD]]</f>
        <v/>
      </c>
      <c r="S111" s="3">
        <f>TABL12[[#This Row],[S/S_CON.]]+TABL12[[#This Row],[T/B-CON.]]</f>
        <v/>
      </c>
      <c r="T111" s="3">
        <f>O111+Q111</f>
        <v/>
      </c>
      <c r="U111" s="3" t="n">
        <v>526</v>
      </c>
      <c r="V111" s="3" t="n">
        <v>294</v>
      </c>
      <c r="W111" s="3">
        <f>U111+V111</f>
        <v/>
      </c>
      <c r="X111" s="3">
        <f>T111-W111</f>
        <v/>
      </c>
      <c r="Y111" s="4" t="n">
        <v>91.92</v>
      </c>
      <c r="Z111" s="3" t="n">
        <v>0</v>
      </c>
      <c r="AA111" s="3">
        <f>TABL12[[#This Row],[(RESV. STORGE) AJD]]/10</f>
        <v/>
      </c>
      <c r="AB111" s="3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32">
        <f>TABL12[[#This Row],[(A/S) AJD]]-TABL12[[#This Row],[SER_IN]]</f>
        <v/>
      </c>
    </row>
    <row r="112">
      <c r="A112" s="2" t="n">
        <v>45768</v>
      </c>
      <c r="B112" s="28" t="n">
        <v>40</v>
      </c>
      <c r="C112" s="28" t="n">
        <v>333</v>
      </c>
      <c r="D112" s="28" t="n">
        <v>40</v>
      </c>
      <c r="E112" s="28" t="n">
        <v>0</v>
      </c>
      <c r="F112" s="28" t="n">
        <v>88</v>
      </c>
      <c r="G112" s="28" t="n">
        <v>530</v>
      </c>
      <c r="H112" s="28" t="n">
        <v>0</v>
      </c>
      <c r="I112" s="28" t="n">
        <v>417</v>
      </c>
      <c r="J112" s="28" t="n">
        <v>436</v>
      </c>
      <c r="K112" s="28">
        <f>TABL12[[#This Row],[ (T/B) SAR]]+TABL12[[#This Row],[ (S/S) SAR]]</f>
        <v/>
      </c>
      <c r="L112" s="28" t="n">
        <v>323</v>
      </c>
      <c r="M112" s="29" t="n">
        <v>24.7</v>
      </c>
      <c r="N112" s="30" t="n">
        <v>7.89</v>
      </c>
      <c r="O112" s="3" t="n">
        <v>384</v>
      </c>
      <c r="P112" s="3">
        <f>TABL12[[#This Row],[ (S/S) SAR]]-TABL12[[#This Row],[(S/S) AJD]]</f>
        <v/>
      </c>
      <c r="Q112" s="3" t="n">
        <v>427</v>
      </c>
      <c r="R112" s="3">
        <f>TABL12[[#This Row],[ (T/B) SAR]]-TABL12[[#This Row],[(T/B) AJD]]</f>
        <v/>
      </c>
      <c r="S112" s="3">
        <f>TABL12[[#This Row],[S/S_CON.]]+TABL12[[#This Row],[T/B-CON.]]</f>
        <v/>
      </c>
      <c r="T112" s="3">
        <f>O112+Q112</f>
        <v/>
      </c>
      <c r="U112" s="3" t="n">
        <v>545</v>
      </c>
      <c r="V112" s="3" t="n">
        <v>266</v>
      </c>
      <c r="W112" s="3">
        <f>U112+V112</f>
        <v/>
      </c>
      <c r="X112" s="3">
        <f>T112-W112</f>
        <v/>
      </c>
      <c r="Y112" s="4" t="n">
        <v>91.92</v>
      </c>
      <c r="Z112" s="3" t="n">
        <v>0</v>
      </c>
      <c r="AA112" s="3">
        <f>TABL12[[#This Row],[(RESV. STORGE) AJD]]/10</f>
        <v/>
      </c>
      <c r="AB112" s="3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32">
        <f>TABL12[[#This Row],[(A/S) AJD]]-TABL12[[#This Row],[SER_IN]]</f>
        <v/>
      </c>
    </row>
    <row r="113">
      <c r="A113" s="2" t="n">
        <v>45769</v>
      </c>
      <c r="B113" s="28" t="n">
        <v>39</v>
      </c>
      <c r="C113" s="28" t="n">
        <v>321</v>
      </c>
      <c r="D113" s="28" t="n">
        <v>40</v>
      </c>
      <c r="E113" s="28" t="n">
        <v>0</v>
      </c>
      <c r="F113" s="28" t="n">
        <v>88</v>
      </c>
      <c r="G113" s="28" t="n">
        <v>521</v>
      </c>
      <c r="H113" s="28" t="n">
        <v>0</v>
      </c>
      <c r="I113" s="28" t="n">
        <v>412</v>
      </c>
      <c r="J113" s="28" t="n">
        <v>429</v>
      </c>
      <c r="K113" s="28">
        <f>TABL12[[#This Row],[ (T/B) SAR]]+TABL12[[#This Row],[ (S/S) SAR]]</f>
        <v/>
      </c>
      <c r="L113" s="28" t="n">
        <v>320</v>
      </c>
      <c r="M113" s="29" t="n">
        <v>24.7</v>
      </c>
      <c r="N113" s="30" t="n">
        <v>7.92</v>
      </c>
      <c r="O113" s="3" t="n">
        <v>384</v>
      </c>
      <c r="P113" s="3">
        <f>TABL12[[#This Row],[ (S/S) SAR]]-TABL12[[#This Row],[(S/S) AJD]]</f>
        <v/>
      </c>
      <c r="Q113" s="3" t="n">
        <v>426</v>
      </c>
      <c r="R113" s="3">
        <f>TABL12[[#This Row],[ (T/B) SAR]]-TABL12[[#This Row],[(T/B) AJD]]</f>
        <v/>
      </c>
      <c r="S113" s="3">
        <f>TABL12[[#This Row],[S/S_CON.]]+TABL12[[#This Row],[T/B-CON.]]</f>
        <v/>
      </c>
      <c r="T113" s="3">
        <f>O113+Q113</f>
        <v/>
      </c>
      <c r="U113" s="3" t="n">
        <v>529</v>
      </c>
      <c r="V113" s="3" t="n">
        <v>285</v>
      </c>
      <c r="W113" s="3">
        <f>U113+V113</f>
        <v/>
      </c>
      <c r="X113" s="3">
        <f>T113-W113</f>
        <v/>
      </c>
      <c r="Y113" s="4" t="n">
        <v>91.92</v>
      </c>
      <c r="Z113" s="3" t="n">
        <v>0</v>
      </c>
      <c r="AA113" s="3">
        <f>TABL12[[#This Row],[(RESV. STORGE) AJD]]/10</f>
        <v/>
      </c>
      <c r="AB113" s="3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32">
        <f>TABL12[[#This Row],[(A/S) AJD]]-TABL12[[#This Row],[SER_IN]]</f>
        <v/>
      </c>
    </row>
    <row r="114">
      <c r="A114" s="2" t="n">
        <v>45770</v>
      </c>
      <c r="B114" s="28" t="n">
        <v>39</v>
      </c>
      <c r="C114" s="28" t="n">
        <v>322</v>
      </c>
      <c r="D114" s="28" t="n">
        <v>40</v>
      </c>
      <c r="E114" s="28" t="n">
        <v>0</v>
      </c>
      <c r="F114" s="28" t="n">
        <v>88</v>
      </c>
      <c r="G114" s="28" t="n">
        <v>530</v>
      </c>
      <c r="H114" s="28" t="n">
        <v>0</v>
      </c>
      <c r="I114" s="28" t="n">
        <v>417</v>
      </c>
      <c r="J114" s="28" t="n">
        <v>436</v>
      </c>
      <c r="K114" s="28">
        <f>TABL12[[#This Row],[ (T/B) SAR]]+TABL12[[#This Row],[ (S/S) SAR]]</f>
        <v/>
      </c>
      <c r="L114" s="28" t="n">
        <v>323</v>
      </c>
      <c r="M114" s="29" t="n">
        <v>24.7</v>
      </c>
      <c r="N114" s="30" t="n">
        <v>7.91</v>
      </c>
      <c r="O114" s="3" t="n">
        <v>384</v>
      </c>
      <c r="P114" s="3">
        <f>TABL12[[#This Row],[ (S/S) SAR]]-TABL12[[#This Row],[(S/S) AJD]]</f>
        <v/>
      </c>
      <c r="Q114" s="3" t="n">
        <v>426</v>
      </c>
      <c r="R114" s="3">
        <f>TABL12[[#This Row],[ (T/B) SAR]]-TABL12[[#This Row],[(T/B) AJD]]</f>
        <v/>
      </c>
      <c r="S114" s="3">
        <f>TABL12[[#This Row],[S/S_CON.]]+TABL12[[#This Row],[T/B-CON.]]</f>
        <v/>
      </c>
      <c r="T114" s="3">
        <f>O114+Q114</f>
        <v/>
      </c>
      <c r="U114" s="3" t="n">
        <v>550</v>
      </c>
      <c r="V114" s="3" t="n">
        <v>261</v>
      </c>
      <c r="W114" s="3">
        <f>U114+V114</f>
        <v/>
      </c>
      <c r="X114" s="3">
        <f>T114-W114</f>
        <v/>
      </c>
      <c r="Y114" s="4" t="n">
        <v>91.92</v>
      </c>
      <c r="Z114" s="3" t="n">
        <v>0</v>
      </c>
      <c r="AA114" s="3">
        <f>TABL12[[#This Row],[(RESV. STORGE) AJD]]/10</f>
        <v/>
      </c>
      <c r="AB114" s="3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32">
        <f>TABL12[[#This Row],[(A/S) AJD]]-TABL12[[#This Row],[SER_IN]]</f>
        <v/>
      </c>
    </row>
    <row r="115">
      <c r="A115" s="2" t="n">
        <v>45771</v>
      </c>
      <c r="B115" s="28" t="n">
        <v>40</v>
      </c>
      <c r="C115" s="28" t="n">
        <v>334</v>
      </c>
      <c r="D115" s="28" t="n">
        <v>40</v>
      </c>
      <c r="E115" s="28" t="n">
        <v>0</v>
      </c>
      <c r="F115" s="28" t="n">
        <v>88</v>
      </c>
      <c r="G115" s="28" t="n">
        <v>528</v>
      </c>
      <c r="H115" s="28" t="n">
        <v>0</v>
      </c>
      <c r="I115" s="28" t="n">
        <v>416</v>
      </c>
      <c r="J115" s="28" t="n">
        <v>436</v>
      </c>
      <c r="K115" s="28">
        <f>TABL12[[#This Row],[ (T/B) SAR]]+TABL12[[#This Row],[ (S/S) SAR]]</f>
        <v/>
      </c>
      <c r="L115" s="28" t="n">
        <v>324</v>
      </c>
      <c r="M115" s="29" t="n">
        <v>24.7</v>
      </c>
      <c r="N115" s="30" t="n">
        <v>7.96</v>
      </c>
      <c r="O115" s="3" t="n">
        <v>384</v>
      </c>
      <c r="P115" s="3">
        <f>TABL12[[#This Row],[ (S/S) SAR]]-TABL12[[#This Row],[(S/S) AJD]]</f>
        <v/>
      </c>
      <c r="Q115" s="3" t="n">
        <v>426</v>
      </c>
      <c r="R115" s="3">
        <f>TABL12[[#This Row],[ (T/B) SAR]]-TABL12[[#This Row],[(T/B) AJD]]</f>
        <v/>
      </c>
      <c r="S115" s="3">
        <f>TABL12[[#This Row],[S/S_CON.]]+TABL12[[#This Row],[T/B-CON.]]</f>
        <v/>
      </c>
      <c r="T115" s="3">
        <f>O115+Q115</f>
        <v/>
      </c>
      <c r="U115" s="3" t="n">
        <v>545</v>
      </c>
      <c r="V115" s="3" t="n">
        <v>268</v>
      </c>
      <c r="W115" s="3">
        <f>U115+V115</f>
        <v/>
      </c>
      <c r="X115" s="3">
        <f>T115-W115</f>
        <v/>
      </c>
      <c r="Y115" s="4" t="n">
        <v>91.92</v>
      </c>
      <c r="Z115" s="3" t="n">
        <v>0</v>
      </c>
      <c r="AA115" s="3">
        <f>TABL12[[#This Row],[(RESV. STORGE) AJD]]/10</f>
        <v/>
      </c>
      <c r="AB115" s="3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32">
        <f>TABL12[[#This Row],[(A/S) AJD]]-TABL12[[#This Row],[SER_IN]]</f>
        <v/>
      </c>
    </row>
    <row r="116">
      <c r="A116" s="2" t="n">
        <v>45772</v>
      </c>
      <c r="B116" s="28" t="n">
        <v>40</v>
      </c>
      <c r="C116" s="28" t="n">
        <v>334</v>
      </c>
      <c r="D116" s="28" t="n">
        <v>40</v>
      </c>
      <c r="E116" s="28" t="n">
        <v>0</v>
      </c>
      <c r="F116" s="28" t="n">
        <v>88</v>
      </c>
      <c r="G116" s="28" t="n">
        <v>529</v>
      </c>
      <c r="H116" s="28" t="n">
        <v>0</v>
      </c>
      <c r="I116" s="28" t="n">
        <v>417</v>
      </c>
      <c r="J116" s="28" t="n">
        <v>436</v>
      </c>
      <c r="K116" s="28">
        <f>TABL12[[#This Row],[ (T/B) SAR]]+TABL12[[#This Row],[ (S/S) SAR]]</f>
        <v/>
      </c>
      <c r="L116" s="28" t="n">
        <v>324</v>
      </c>
      <c r="M116" s="29" t="n">
        <v>24.7</v>
      </c>
      <c r="N116" s="30" t="n">
        <v>8.08</v>
      </c>
      <c r="O116" s="3" t="n">
        <v>385</v>
      </c>
      <c r="P116" s="3">
        <f>TABL12[[#This Row],[ (S/S) SAR]]-TABL12[[#This Row],[(S/S) AJD]]</f>
        <v/>
      </c>
      <c r="Q116" s="3" t="n">
        <v>427</v>
      </c>
      <c r="R116" s="3">
        <f>TABL12[[#This Row],[ (T/B) SAR]]-TABL12[[#This Row],[(T/B) AJD]]</f>
        <v/>
      </c>
      <c r="S116" s="3">
        <f>TABL12[[#This Row],[S/S_CON.]]+TABL12[[#This Row],[T/B-CON.]]</f>
        <v/>
      </c>
      <c r="T116" s="3">
        <f>O116+Q116</f>
        <v/>
      </c>
      <c r="U116" s="3" t="n">
        <v>539</v>
      </c>
      <c r="V116" s="3" t="n">
        <v>274</v>
      </c>
      <c r="W116" s="3">
        <f>U116+V116</f>
        <v/>
      </c>
      <c r="X116" s="3">
        <f>T116-W116</f>
        <v/>
      </c>
      <c r="Y116" s="4" t="n">
        <v>91.92</v>
      </c>
      <c r="Z116" s="3" t="n">
        <v>0</v>
      </c>
      <c r="AA116" s="3">
        <f>TABL12[[#This Row],[(RESV. STORGE) AJD]]/10</f>
        <v/>
      </c>
      <c r="AB116" s="3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32">
        <f>TABL12[[#This Row],[(A/S) AJD]]-TABL12[[#This Row],[SER_IN]]</f>
        <v/>
      </c>
    </row>
    <row r="117">
      <c r="A117" s="2" t="n">
        <v>45773</v>
      </c>
      <c r="B117" s="28" t="n">
        <v>40</v>
      </c>
      <c r="C117" s="28" t="n">
        <v>330</v>
      </c>
      <c r="D117" s="28" t="n">
        <v>40</v>
      </c>
      <c r="E117" s="28" t="n">
        <v>0</v>
      </c>
      <c r="F117" s="28" t="n">
        <v>88</v>
      </c>
      <c r="G117" s="28" t="n">
        <v>524</v>
      </c>
      <c r="H117" s="28" t="n">
        <v>0</v>
      </c>
      <c r="I117" s="28" t="n">
        <v>415</v>
      </c>
      <c r="J117" s="28" t="n">
        <v>434</v>
      </c>
      <c r="K117" s="28">
        <f>TABL12[[#This Row],[ (T/B) SAR]]+TABL12[[#This Row],[ (S/S) SAR]]</f>
        <v/>
      </c>
      <c r="L117" s="28" t="n">
        <v>325</v>
      </c>
      <c r="M117" s="29" t="n">
        <v>24.7</v>
      </c>
      <c r="N117" s="30" t="n">
        <v>8.109999999999999</v>
      </c>
      <c r="O117" s="3" t="n">
        <v>385</v>
      </c>
      <c r="P117" s="3">
        <f>TABL12[[#This Row],[ (S/S) SAR]]-TABL12[[#This Row],[(S/S) AJD]]</f>
        <v/>
      </c>
      <c r="Q117" s="3" t="n">
        <v>427</v>
      </c>
      <c r="R117" s="3">
        <f>TABL12[[#This Row],[ (T/B) SAR]]-TABL12[[#This Row],[(T/B) AJD]]</f>
        <v/>
      </c>
      <c r="S117" s="3">
        <f>TABL12[[#This Row],[S/S_CON.]]+TABL12[[#This Row],[T/B-CON.]]</f>
        <v/>
      </c>
      <c r="T117" s="3">
        <f>O117+Q117</f>
        <v/>
      </c>
      <c r="U117" s="3" t="n">
        <v>532</v>
      </c>
      <c r="V117" s="3" t="n">
        <v>283</v>
      </c>
      <c r="W117" s="3">
        <f>U117+V117</f>
        <v/>
      </c>
      <c r="X117" s="3">
        <f>T117-W117</f>
        <v/>
      </c>
      <c r="Y117" s="4" t="n">
        <v>91.92</v>
      </c>
      <c r="Z117" s="3" t="n">
        <v>0</v>
      </c>
      <c r="AA117" s="3">
        <f>TABL12[[#This Row],[(RESV. STORGE) AJD]]/10</f>
        <v/>
      </c>
      <c r="AB117" s="3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32">
        <f>TABL12[[#This Row],[(A/S) AJD]]-TABL12[[#This Row],[SER_IN]]</f>
        <v/>
      </c>
    </row>
    <row r="118">
      <c r="A118" s="2" t="n">
        <v>45774</v>
      </c>
      <c r="B118" s="28" t="n">
        <v>38</v>
      </c>
      <c r="C118" s="28" t="n">
        <v>313</v>
      </c>
      <c r="D118" s="28" t="n">
        <v>38</v>
      </c>
      <c r="E118" s="28" t="n">
        <v>0</v>
      </c>
      <c r="F118" s="28" t="n">
        <v>88</v>
      </c>
      <c r="G118" s="28" t="n">
        <v>529</v>
      </c>
      <c r="H118" s="28" t="n">
        <v>0</v>
      </c>
      <c r="I118" s="28" t="n">
        <v>418</v>
      </c>
      <c r="J118" s="28" t="n">
        <v>436</v>
      </c>
      <c r="K118" s="28">
        <f>TABL12[[#This Row],[ (T/B) SAR]]+TABL12[[#This Row],[ (S/S) SAR]]</f>
        <v/>
      </c>
      <c r="L118" s="28" t="n">
        <v>325</v>
      </c>
      <c r="M118" s="29" t="n">
        <v>24.7</v>
      </c>
      <c r="N118" s="30" t="n">
        <v>8.07</v>
      </c>
      <c r="O118" s="3" t="n">
        <v>386</v>
      </c>
      <c r="P118" s="3">
        <f>TABL12[[#This Row],[ (S/S) SAR]]-TABL12[[#This Row],[(S/S) AJD]]</f>
        <v/>
      </c>
      <c r="Q118" s="3" t="n">
        <v>429</v>
      </c>
      <c r="R118" s="3">
        <f>TABL12[[#This Row],[ (T/B) SAR]]-TABL12[[#This Row],[(T/B) AJD]]</f>
        <v/>
      </c>
      <c r="S118" s="3">
        <f>TABL12[[#This Row],[S/S_CON.]]+TABL12[[#This Row],[T/B-CON.]]</f>
        <v/>
      </c>
      <c r="T118" s="3">
        <f>O118+Q118</f>
        <v/>
      </c>
      <c r="U118" s="3" t="n">
        <v>541</v>
      </c>
      <c r="V118" s="3" t="n">
        <v>278</v>
      </c>
      <c r="W118" s="3">
        <f>U118+V118</f>
        <v/>
      </c>
      <c r="X118" s="3">
        <f>T118-W118</f>
        <v/>
      </c>
      <c r="Y118" s="4" t="n">
        <v>91.92</v>
      </c>
      <c r="Z118" s="3" t="n">
        <v>0</v>
      </c>
      <c r="AA118" s="3">
        <f>TABL12[[#This Row],[(RESV. STORGE) AJD]]/10</f>
        <v/>
      </c>
      <c r="AB118" s="3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32">
        <f>TABL12[[#This Row],[(A/S) AJD]]-TABL12[[#This Row],[SER_IN]]</f>
        <v/>
      </c>
    </row>
    <row r="119">
      <c r="A119" s="2" t="n">
        <v>45775</v>
      </c>
      <c r="B119" s="28" t="n">
        <v>38</v>
      </c>
      <c r="C119" s="28" t="n">
        <v>302</v>
      </c>
      <c r="D119" s="28" t="n">
        <v>36</v>
      </c>
      <c r="E119" s="28" t="n">
        <v>0</v>
      </c>
      <c r="F119" s="28" t="n">
        <v>88</v>
      </c>
      <c r="G119" s="28" t="n">
        <v>526</v>
      </c>
      <c r="H119" s="28" t="n">
        <v>0</v>
      </c>
      <c r="I119" s="28" t="n">
        <v>416</v>
      </c>
      <c r="J119" s="28" t="n">
        <v>435</v>
      </c>
      <c r="K119" s="28">
        <f>TABL12[[#This Row],[ (T/B) SAR]]+TABL12[[#This Row],[ (S/S) SAR]]</f>
        <v/>
      </c>
      <c r="L119" s="28" t="n">
        <v>325</v>
      </c>
      <c r="M119" s="29" t="n">
        <v>24.7</v>
      </c>
      <c r="N119" s="30" t="n">
        <v>7.97</v>
      </c>
      <c r="O119" s="3" t="n">
        <v>386</v>
      </c>
      <c r="P119" s="3">
        <f>TABL12[[#This Row],[ (S/S) SAR]]-TABL12[[#This Row],[(S/S) AJD]]</f>
        <v/>
      </c>
      <c r="Q119" s="3" t="n">
        <v>428</v>
      </c>
      <c r="R119" s="3">
        <f>TABL12[[#This Row],[ (T/B) SAR]]-TABL12[[#This Row],[(T/B) AJD]]</f>
        <v/>
      </c>
      <c r="S119" s="3">
        <f>TABL12[[#This Row],[S/S_CON.]]+TABL12[[#This Row],[T/B-CON.]]</f>
        <v/>
      </c>
      <c r="T119" s="3">
        <f>O119+Q119</f>
        <v/>
      </c>
      <c r="U119" s="3" t="n">
        <v>518</v>
      </c>
      <c r="V119" s="3" t="n">
        <v>298</v>
      </c>
      <c r="W119" s="3">
        <f>U119+V119</f>
        <v/>
      </c>
      <c r="X119" s="3">
        <f>T119-W119</f>
        <v/>
      </c>
      <c r="Y119" s="4" t="n">
        <v>91.92</v>
      </c>
      <c r="Z119" s="3" t="n">
        <v>0</v>
      </c>
      <c r="AA119" s="3">
        <f>TABL12[[#This Row],[(RESV. STORGE) AJD]]/10</f>
        <v/>
      </c>
      <c r="AB119" s="3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32">
        <f>TABL12[[#This Row],[(A/S) AJD]]-TABL12[[#This Row],[SER_IN]]</f>
        <v/>
      </c>
    </row>
    <row r="120">
      <c r="A120" s="2" t="n">
        <v>45776</v>
      </c>
      <c r="B120" s="28" t="n">
        <v>38</v>
      </c>
      <c r="C120" s="28" t="n">
        <v>313</v>
      </c>
      <c r="D120" s="28" t="n">
        <v>38</v>
      </c>
      <c r="E120" s="28" t="n">
        <v>0</v>
      </c>
      <c r="F120" s="28" t="n">
        <v>88</v>
      </c>
      <c r="G120" s="28" t="n">
        <v>529</v>
      </c>
      <c r="H120" s="28" t="n">
        <v>0</v>
      </c>
      <c r="I120" s="28" t="n">
        <v>417</v>
      </c>
      <c r="J120" s="28" t="n">
        <v>436</v>
      </c>
      <c r="K120" s="28">
        <f>TABL12[[#This Row],[ (T/B) SAR]]+TABL12[[#This Row],[ (S/S) SAR]]</f>
        <v/>
      </c>
      <c r="L120" s="28" t="n">
        <v>324</v>
      </c>
      <c r="M120" s="29" t="n">
        <v>24.7</v>
      </c>
      <c r="N120" s="30" t="n">
        <v>7.87</v>
      </c>
      <c r="O120" s="3" t="n">
        <v>384</v>
      </c>
      <c r="P120" s="3">
        <f>TABL12[[#This Row],[ (S/S) SAR]]-TABL12[[#This Row],[(S/S) AJD]]</f>
        <v/>
      </c>
      <c r="Q120" s="3" t="n">
        <v>426</v>
      </c>
      <c r="R120" s="3">
        <f>TABL12[[#This Row],[ (T/B) SAR]]-TABL12[[#This Row],[(T/B) AJD]]</f>
        <v/>
      </c>
      <c r="S120" s="3">
        <f>TABL12[[#This Row],[S/S_CON.]]+TABL12[[#This Row],[T/B-CON.]]</f>
        <v/>
      </c>
      <c r="T120" s="3">
        <f>O120+Q120</f>
        <v/>
      </c>
      <c r="U120" s="3" t="n">
        <v>531</v>
      </c>
      <c r="V120" s="3" t="n">
        <v>281</v>
      </c>
      <c r="W120" s="3">
        <f>U120+V120</f>
        <v/>
      </c>
      <c r="X120" s="3">
        <f>T120-W120</f>
        <v/>
      </c>
      <c r="Y120" s="4" t="n">
        <v>91.92</v>
      </c>
      <c r="Z120" s="3" t="n">
        <v>0</v>
      </c>
      <c r="AA120" s="3">
        <f>TABL12[[#This Row],[(RESV. STORGE) AJD]]/10</f>
        <v/>
      </c>
      <c r="AB120" s="3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32">
        <f>TABL12[[#This Row],[(A/S) AJD]]-TABL12[[#This Row],[SER_IN]]</f>
        <v/>
      </c>
    </row>
    <row r="121">
      <c r="A121" s="2" t="n">
        <v>45777</v>
      </c>
      <c r="B121" s="28" t="n">
        <v>38</v>
      </c>
      <c r="C121" s="28" t="n">
        <v>319</v>
      </c>
      <c r="D121" s="28" t="n">
        <v>38</v>
      </c>
      <c r="E121" s="28" t="n">
        <v>0</v>
      </c>
      <c r="F121" s="28" t="n">
        <v>88</v>
      </c>
      <c r="G121" s="28" t="n">
        <v>526</v>
      </c>
      <c r="H121" s="28" t="n">
        <v>0</v>
      </c>
      <c r="I121" s="28" t="n">
        <v>415</v>
      </c>
      <c r="J121" s="28" t="n">
        <v>435</v>
      </c>
      <c r="K121" s="28">
        <f>TABL12[[#This Row],[ (T/B) SAR]]+TABL12[[#This Row],[ (S/S) SAR]]</f>
        <v/>
      </c>
      <c r="L121" s="28" t="n">
        <v>324</v>
      </c>
      <c r="M121" s="29" t="n">
        <v>24.7</v>
      </c>
      <c r="N121" s="30" t="n">
        <v>7.87</v>
      </c>
      <c r="O121" s="3" t="n">
        <v>385</v>
      </c>
      <c r="P121" s="3">
        <f>TABL12[[#This Row],[ (S/S) SAR]]-TABL12[[#This Row],[(S/S) AJD]]</f>
        <v/>
      </c>
      <c r="Q121" s="3" t="n">
        <v>427</v>
      </c>
      <c r="R121" s="3">
        <f>TABL12[[#This Row],[ (T/B) SAR]]-TABL12[[#This Row],[(T/B) AJD]]</f>
        <v/>
      </c>
      <c r="S121" s="3">
        <f>TABL12[[#This Row],[S/S_CON.]]+TABL12[[#This Row],[T/B-CON.]]</f>
        <v/>
      </c>
      <c r="T121" s="3">
        <f>O121+Q121</f>
        <v/>
      </c>
      <c r="U121" s="3" t="n">
        <v>525</v>
      </c>
      <c r="V121" s="3" t="n">
        <v>289</v>
      </c>
      <c r="W121" s="3">
        <f>U121+V121</f>
        <v/>
      </c>
      <c r="X121" s="3">
        <f>T121-W121</f>
        <v/>
      </c>
      <c r="Y121" s="4" t="n">
        <v>91.92</v>
      </c>
      <c r="Z121" s="3" t="n">
        <v>0</v>
      </c>
      <c r="AA121" s="3">
        <f>TABL12[[#This Row],[(RESV. STORGE) AJD]]/10</f>
        <v/>
      </c>
      <c r="AB121" s="3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32">
        <f>TABL12[[#This Row],[(A/S) AJD]]-TABL12[[#This Row],[SER_IN]]</f>
        <v/>
      </c>
    </row>
    <row r="122">
      <c r="A122" s="2" t="n">
        <v>45778</v>
      </c>
      <c r="B122" s="28" t="n">
        <v>38</v>
      </c>
      <c r="C122" s="28" t="n">
        <v>316</v>
      </c>
      <c r="D122" s="28" t="n">
        <v>38</v>
      </c>
      <c r="E122" s="28" t="n">
        <v>0</v>
      </c>
      <c r="F122" s="28" t="n">
        <v>88</v>
      </c>
      <c r="G122" s="28" t="n">
        <v>525</v>
      </c>
      <c r="H122" s="28" t="n">
        <v>0</v>
      </c>
      <c r="I122" s="28" t="n">
        <v>414</v>
      </c>
      <c r="J122" s="28" t="n">
        <v>433</v>
      </c>
      <c r="K122" s="28">
        <f>TABL12[[#This Row],[ (T/B) SAR]]+TABL12[[#This Row],[ (S/S) SAR]]</f>
        <v/>
      </c>
      <c r="L122" s="28" t="n">
        <v>322</v>
      </c>
      <c r="M122" s="29" t="n">
        <v>24.7</v>
      </c>
      <c r="N122" s="30" t="n">
        <v>7.85</v>
      </c>
      <c r="O122" s="3" t="n">
        <v>384</v>
      </c>
      <c r="P122" s="3">
        <f>TABL12[[#This Row],[ (S/S) SAR]]-TABL12[[#This Row],[(S/S) AJD]]</f>
        <v/>
      </c>
      <c r="Q122" s="3" t="n">
        <v>426</v>
      </c>
      <c r="R122" s="3">
        <f>TABL12[[#This Row],[ (T/B) SAR]]-TABL12[[#This Row],[(T/B) AJD]]</f>
        <v/>
      </c>
      <c r="S122" s="3">
        <f>TABL12[[#This Row],[S/S_CON.]]+TABL12[[#This Row],[T/B-CON.]]</f>
        <v/>
      </c>
      <c r="T122" s="3">
        <f>O122+Q122</f>
        <v/>
      </c>
      <c r="U122" s="3" t="n">
        <v>541</v>
      </c>
      <c r="V122" s="3" t="n">
        <v>267</v>
      </c>
      <c r="W122" s="3">
        <f>U122+V122</f>
        <v/>
      </c>
      <c r="X122" s="3">
        <f>T122-W122</f>
        <v/>
      </c>
      <c r="Y122" s="4" t="n">
        <v>91.92</v>
      </c>
      <c r="Z122" s="3" t="n">
        <v>0</v>
      </c>
      <c r="AA122" s="3">
        <f>TABL12[[#This Row],[(RESV. STORGE) AJD]]/10</f>
        <v/>
      </c>
      <c r="AB122" s="3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32">
        <f>TABL12[[#This Row],[(A/S) AJD]]-TABL12[[#This Row],[SER_IN]]</f>
        <v/>
      </c>
    </row>
    <row r="123">
      <c r="A123" s="2" t="n">
        <v>45779</v>
      </c>
      <c r="B123" s="28" t="n">
        <v>37</v>
      </c>
      <c r="C123" s="28" t="n">
        <v>311</v>
      </c>
      <c r="D123" s="28" t="n">
        <v>38</v>
      </c>
      <c r="E123" s="28" t="n">
        <v>0</v>
      </c>
      <c r="F123" s="28" t="n">
        <v>88</v>
      </c>
      <c r="G123" s="28" t="n">
        <v>530</v>
      </c>
      <c r="H123" s="28" t="n">
        <v>0</v>
      </c>
      <c r="I123" s="28" t="n">
        <v>415</v>
      </c>
      <c r="J123" s="28" t="n">
        <v>435</v>
      </c>
      <c r="K123" s="28">
        <f>TABL12[[#This Row],[ (T/B) SAR]]+TABL12[[#This Row],[ (S/S) SAR]]</f>
        <v/>
      </c>
      <c r="L123" s="28" t="n">
        <v>320</v>
      </c>
      <c r="M123" s="29" t="n">
        <v>24.7</v>
      </c>
      <c r="N123" s="30" t="n">
        <v>7.77</v>
      </c>
      <c r="O123" s="3" t="n">
        <v>385</v>
      </c>
      <c r="P123" s="3">
        <f>TABL12[[#This Row],[ (S/S) SAR]]-TABL12[[#This Row],[(S/S) AJD]]</f>
        <v/>
      </c>
      <c r="Q123" s="3" t="n">
        <v>427</v>
      </c>
      <c r="R123" s="3">
        <f>TABL12[[#This Row],[ (T/B) SAR]]-TABL12[[#This Row],[(T/B) AJD]]</f>
        <v/>
      </c>
      <c r="S123" s="3">
        <f>TABL12[[#This Row],[S/S_CON.]]+TABL12[[#This Row],[T/B-CON.]]</f>
        <v/>
      </c>
      <c r="T123" s="3">
        <f>O123+Q123</f>
        <v/>
      </c>
      <c r="U123" s="3" t="n">
        <v>556</v>
      </c>
      <c r="V123" s="3" t="n">
        <v>258</v>
      </c>
      <c r="W123" s="3">
        <f>U123+V123</f>
        <v/>
      </c>
      <c r="X123" s="3">
        <f>T123-W123</f>
        <v/>
      </c>
      <c r="Y123" s="4" t="n">
        <v>91.92</v>
      </c>
      <c r="Z123" s="3" t="n">
        <v>0</v>
      </c>
      <c r="AA123" s="3">
        <f>TABL12[[#This Row],[(RESV. STORGE) AJD]]/10</f>
        <v/>
      </c>
      <c r="AB123" s="3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32">
        <f>TABL12[[#This Row],[(A/S) AJD]]-TABL12[[#This Row],[SER_IN]]</f>
        <v/>
      </c>
    </row>
    <row r="124">
      <c r="A124" s="2" t="n">
        <v>45780</v>
      </c>
      <c r="B124" s="28" t="n">
        <v>38</v>
      </c>
      <c r="C124" s="28" t="n">
        <v>309</v>
      </c>
      <c r="D124" s="28" t="n">
        <v>39</v>
      </c>
      <c r="E124" s="28" t="n">
        <v>0</v>
      </c>
      <c r="F124" s="28" t="n">
        <v>88</v>
      </c>
      <c r="G124" s="28" t="n">
        <v>532</v>
      </c>
      <c r="H124" s="28" t="n">
        <v>0</v>
      </c>
      <c r="I124" s="28" t="n">
        <v>416</v>
      </c>
      <c r="J124" s="28" t="n">
        <v>435</v>
      </c>
      <c r="K124" s="28">
        <f>TABL12[[#This Row],[ (T/B) SAR]]+TABL12[[#This Row],[ (S/S) SAR]]</f>
        <v/>
      </c>
      <c r="L124" s="28" t="n">
        <v>319</v>
      </c>
      <c r="M124" s="29" t="n">
        <v>24.7</v>
      </c>
      <c r="N124" s="30" t="n">
        <v>7.7</v>
      </c>
      <c r="O124" s="3" t="n">
        <v>390</v>
      </c>
      <c r="P124" s="3">
        <f>TABL12[[#This Row],[ (S/S) SAR]]-TABL12[[#This Row],[(S/S) AJD]]</f>
        <v/>
      </c>
      <c r="Q124" s="3" t="n">
        <v>430</v>
      </c>
      <c r="R124" s="3">
        <f>TABL12[[#This Row],[ (T/B) SAR]]-TABL12[[#This Row],[(T/B) AJD]]</f>
        <v/>
      </c>
      <c r="S124" s="3">
        <f>TABL12[[#This Row],[S/S_CON.]]+TABL12[[#This Row],[T/B-CON.]]</f>
        <v/>
      </c>
      <c r="T124" s="3">
        <f>O124+Q124</f>
        <v/>
      </c>
      <c r="U124" s="3" t="n">
        <v>556</v>
      </c>
      <c r="V124" s="3" t="n">
        <v>265</v>
      </c>
      <c r="W124" s="3">
        <f>U124+V124</f>
        <v/>
      </c>
      <c r="X124" s="3">
        <f>T124-W124</f>
        <v/>
      </c>
      <c r="Y124" s="4" t="n">
        <v>91.92</v>
      </c>
      <c r="Z124" s="3" t="n">
        <v>0</v>
      </c>
      <c r="AA124" s="3">
        <f>TABL12[[#This Row],[(RESV. STORGE) AJD]]/10</f>
        <v/>
      </c>
      <c r="AB124" s="3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32">
        <f>TABL12[[#This Row],[(A/S) AJD]]-TABL12[[#This Row],[SER_IN]]</f>
        <v/>
      </c>
    </row>
    <row r="125">
      <c r="A125" s="2" t="n">
        <v>45781</v>
      </c>
      <c r="B125" s="28" t="n">
        <v>41</v>
      </c>
      <c r="C125" s="28" t="n">
        <v>323</v>
      </c>
      <c r="D125" s="28" t="n">
        <v>42</v>
      </c>
      <c r="E125" s="28" t="n">
        <v>0</v>
      </c>
      <c r="F125" s="28" t="n">
        <v>88</v>
      </c>
      <c r="G125" s="28" t="n">
        <v>530</v>
      </c>
      <c r="H125" s="28" t="n">
        <v>0</v>
      </c>
      <c r="I125" s="28" t="n">
        <v>415</v>
      </c>
      <c r="J125" s="28" t="n">
        <v>435</v>
      </c>
      <c r="K125" s="28">
        <f>TABL12[[#This Row],[ (T/B) SAR]]+TABL12[[#This Row],[ (S/S) SAR]]</f>
        <v/>
      </c>
      <c r="L125" s="28" t="n">
        <v>320</v>
      </c>
      <c r="M125" s="29" t="n">
        <v>24.7</v>
      </c>
      <c r="N125" s="30" t="n">
        <v>7.68</v>
      </c>
      <c r="O125" s="3" t="n">
        <v>386</v>
      </c>
      <c r="P125" s="3">
        <f>TABL12[[#This Row],[ (S/S) SAR]]-TABL12[[#This Row],[(S/S) AJD]]</f>
        <v/>
      </c>
      <c r="Q125" s="3" t="n">
        <v>429</v>
      </c>
      <c r="R125" s="3">
        <f>TABL12[[#This Row],[ (T/B) SAR]]-TABL12[[#This Row],[(T/B) AJD]]</f>
        <v/>
      </c>
      <c r="S125" s="3">
        <f>TABL12[[#This Row],[S/S_CON.]]+TABL12[[#This Row],[T/B-CON.]]</f>
        <v/>
      </c>
      <c r="T125" s="3">
        <f>O125+Q125</f>
        <v/>
      </c>
      <c r="U125" s="3" t="n">
        <v>537</v>
      </c>
      <c r="V125" s="3" t="n">
        <v>278</v>
      </c>
      <c r="W125" s="3">
        <f>U125+V125</f>
        <v/>
      </c>
      <c r="X125" s="3">
        <f>T125-W125</f>
        <v/>
      </c>
      <c r="Y125" s="4" t="n">
        <v>91.92</v>
      </c>
      <c r="Z125" s="3" t="n">
        <v>0</v>
      </c>
      <c r="AA125" s="3">
        <f>TABL12[[#This Row],[(RESV. STORGE) AJD]]/10</f>
        <v/>
      </c>
      <c r="AB125" s="3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32">
        <f>TABL12[[#This Row],[(A/S) AJD]]-TABL12[[#This Row],[SER_IN]]</f>
        <v/>
      </c>
    </row>
    <row r="126">
      <c r="A126" s="2" t="n">
        <v>45782</v>
      </c>
      <c r="B126" s="28" t="n">
        <v>41</v>
      </c>
      <c r="C126" s="28" t="n">
        <v>331</v>
      </c>
      <c r="D126" s="28" t="n">
        <v>41</v>
      </c>
      <c r="E126" s="28" t="n">
        <v>0</v>
      </c>
      <c r="F126" s="28" t="n">
        <v>88</v>
      </c>
      <c r="G126" s="28" t="n">
        <v>534</v>
      </c>
      <c r="H126" s="28" t="n">
        <v>0</v>
      </c>
      <c r="I126" s="28" t="n">
        <v>417</v>
      </c>
      <c r="J126" s="28" t="n">
        <v>437</v>
      </c>
      <c r="K126" s="28">
        <f>TABL12[[#This Row],[ (T/B) SAR]]+TABL12[[#This Row],[ (S/S) SAR]]</f>
        <v/>
      </c>
      <c r="L126" s="28" t="n">
        <v>320</v>
      </c>
      <c r="M126" s="29" t="n">
        <v>24.7</v>
      </c>
      <c r="N126" s="30" t="n">
        <v>7.73</v>
      </c>
      <c r="O126" s="3" t="n">
        <v>385</v>
      </c>
      <c r="P126" s="3">
        <f>TABL12[[#This Row],[ (S/S) SAR]]-TABL12[[#This Row],[(S/S) AJD]]</f>
        <v/>
      </c>
      <c r="Q126" s="3" t="n">
        <v>428</v>
      </c>
      <c r="R126" s="3">
        <f>TABL12[[#This Row],[ (T/B) SAR]]-TABL12[[#This Row],[(T/B) AJD]]</f>
        <v/>
      </c>
      <c r="S126" s="3">
        <f>TABL12[[#This Row],[S/S_CON.]]+TABL12[[#This Row],[T/B-CON.]]</f>
        <v/>
      </c>
      <c r="T126" s="3">
        <f>O126+Q126</f>
        <v/>
      </c>
      <c r="U126" s="3" t="n">
        <v>544</v>
      </c>
      <c r="V126" s="3" t="n">
        <v>273</v>
      </c>
      <c r="W126" s="3">
        <f>U126+V126</f>
        <v/>
      </c>
      <c r="X126" s="3">
        <f>T126-W126</f>
        <v/>
      </c>
      <c r="Y126" s="4" t="n">
        <v>91.92</v>
      </c>
      <c r="Z126" s="3" t="n">
        <v>0</v>
      </c>
      <c r="AA126" s="3">
        <f>TABL12[[#This Row],[(RESV. STORGE) AJD]]/10</f>
        <v/>
      </c>
      <c r="AB126" s="3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32">
        <f>TABL12[[#This Row],[(A/S) AJD]]-TABL12[[#This Row],[SER_IN]]</f>
        <v/>
      </c>
    </row>
    <row r="127">
      <c r="A127" s="2" t="n">
        <v>45783</v>
      </c>
      <c r="B127" s="28" t="n">
        <v>38</v>
      </c>
      <c r="C127" s="28" t="n">
        <v>320</v>
      </c>
      <c r="D127" s="28" t="n">
        <v>39</v>
      </c>
      <c r="E127" s="28" t="n">
        <v>0</v>
      </c>
      <c r="F127" s="28" t="n">
        <v>88</v>
      </c>
      <c r="G127" s="28" t="n">
        <v>526</v>
      </c>
      <c r="H127" s="28" t="n">
        <v>0</v>
      </c>
      <c r="I127" s="28" t="n">
        <v>413</v>
      </c>
      <c r="J127" s="28" t="n">
        <v>433</v>
      </c>
      <c r="K127" s="28">
        <f>TABL12[[#This Row],[ (T/B) SAR]]+TABL12[[#This Row],[ (S/S) SAR]]</f>
        <v/>
      </c>
      <c r="L127" s="28" t="n">
        <v>320</v>
      </c>
      <c r="M127" s="29" t="n">
        <v>24.7</v>
      </c>
      <c r="N127" s="30" t="n">
        <v>7.75</v>
      </c>
      <c r="O127" s="3" t="n">
        <v>386</v>
      </c>
      <c r="P127" s="3">
        <f>TABL12[[#This Row],[ (S/S) SAR]]-TABL12[[#This Row],[(S/S) AJD]]</f>
        <v/>
      </c>
      <c r="Q127" s="3" t="n">
        <v>429</v>
      </c>
      <c r="R127" s="3">
        <f>TABL12[[#This Row],[ (T/B) SAR]]-TABL12[[#This Row],[(T/B) AJD]]</f>
        <v/>
      </c>
      <c r="S127" s="3">
        <f>TABL12[[#This Row],[S/S_CON.]]+TABL12[[#This Row],[T/B-CON.]]</f>
        <v/>
      </c>
      <c r="T127" s="3">
        <f>O127+Q127</f>
        <v/>
      </c>
      <c r="U127" s="3" t="n">
        <v>509</v>
      </c>
      <c r="V127" s="3" t="n">
        <v>311</v>
      </c>
      <c r="W127" s="3">
        <f>U127+V127</f>
        <v/>
      </c>
      <c r="X127" s="3">
        <f>T127-W127</f>
        <v/>
      </c>
      <c r="Y127" s="4" t="n">
        <v>91.92</v>
      </c>
      <c r="Z127" s="3" t="n">
        <v>0</v>
      </c>
      <c r="AA127" s="3">
        <f>TABL12[[#This Row],[(RESV. STORGE) AJD]]/10</f>
        <v/>
      </c>
      <c r="AB127" s="3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32">
        <f>TABL12[[#This Row],[(A/S) AJD]]-TABL12[[#This Row],[SER_IN]]</f>
        <v/>
      </c>
    </row>
    <row r="128">
      <c r="A128" s="2" t="n">
        <v>45784</v>
      </c>
      <c r="B128" s="28" t="n">
        <v>39</v>
      </c>
      <c r="C128" s="28" t="n">
        <v>325</v>
      </c>
      <c r="D128" s="28" t="n">
        <v>39</v>
      </c>
      <c r="E128" s="28" t="n">
        <v>0</v>
      </c>
      <c r="F128" s="28" t="n">
        <v>88</v>
      </c>
      <c r="G128" s="28" t="n">
        <v>536</v>
      </c>
      <c r="H128" s="28" t="n">
        <v>0</v>
      </c>
      <c r="I128" s="28" t="n">
        <v>419</v>
      </c>
      <c r="J128" s="28" t="n">
        <v>439</v>
      </c>
      <c r="K128" s="28">
        <f>TABL12[[#This Row],[ (T/B) SAR]]+TABL12[[#This Row],[ (S/S) SAR]]</f>
        <v/>
      </c>
      <c r="L128" s="28" t="n">
        <v>322</v>
      </c>
      <c r="M128" s="29" t="n">
        <v>24.7</v>
      </c>
      <c r="N128" s="30" t="n">
        <v>7.77</v>
      </c>
      <c r="O128" s="3" t="n">
        <v>388</v>
      </c>
      <c r="P128" s="3">
        <f>TABL12[[#This Row],[ (S/S) SAR]]-TABL12[[#This Row],[(S/S) AJD]]</f>
        <v/>
      </c>
      <c r="Q128" s="3" t="n">
        <v>430</v>
      </c>
      <c r="R128" s="3">
        <f>TABL12[[#This Row],[ (T/B) SAR]]-TABL12[[#This Row],[(T/B) AJD]]</f>
        <v/>
      </c>
      <c r="S128" s="3">
        <f>TABL12[[#This Row],[S/S_CON.]]+TABL12[[#This Row],[T/B-CON.]]</f>
        <v/>
      </c>
      <c r="T128" s="3">
        <f>O128+Q128</f>
        <v/>
      </c>
      <c r="U128" s="3" t="n">
        <v>529</v>
      </c>
      <c r="V128" s="3" t="n">
        <v>291</v>
      </c>
      <c r="W128" s="3">
        <f>U128+V128</f>
        <v/>
      </c>
      <c r="X128" s="3">
        <f>T128-W128</f>
        <v/>
      </c>
      <c r="Y128" s="4" t="n">
        <v>91.92</v>
      </c>
      <c r="Z128" s="3" t="n">
        <v>0</v>
      </c>
      <c r="AA128" s="3">
        <f>TABL12[[#This Row],[(RESV. STORGE) AJD]]/10</f>
        <v/>
      </c>
      <c r="AB128" s="3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32">
        <f>TABL12[[#This Row],[(A/S) AJD]]-TABL12[[#This Row],[SER_IN]]</f>
        <v/>
      </c>
    </row>
    <row r="129">
      <c r="A129" s="2" t="n">
        <v>45785</v>
      </c>
      <c r="B129" s="28" t="n">
        <v>39</v>
      </c>
      <c r="C129" s="28" t="n">
        <v>328</v>
      </c>
      <c r="D129" s="28" t="n">
        <v>39</v>
      </c>
      <c r="E129" s="28" t="n">
        <v>0</v>
      </c>
      <c r="F129" s="28" t="n">
        <v>88</v>
      </c>
      <c r="G129" s="28" t="n">
        <v>563</v>
      </c>
      <c r="H129" s="28" t="n">
        <v>0</v>
      </c>
      <c r="I129" s="28" t="n">
        <v>420</v>
      </c>
      <c r="J129" s="28" t="n">
        <v>440</v>
      </c>
      <c r="K129" s="28">
        <f>TABL12[[#This Row],[ (T/B) SAR]]+TABL12[[#This Row],[ (S/S) SAR]]</f>
        <v/>
      </c>
      <c r="L129" s="28" t="n">
        <v>324</v>
      </c>
      <c r="M129" s="29" t="n">
        <v>24.7</v>
      </c>
      <c r="N129" s="30" t="n">
        <v>7.81</v>
      </c>
      <c r="O129" s="3" t="n">
        <v>386</v>
      </c>
      <c r="P129" s="3">
        <f>TABL12[[#This Row],[ (S/S) SAR]]-TABL12[[#This Row],[(S/S) AJD]]</f>
        <v/>
      </c>
      <c r="Q129" s="3" t="n">
        <v>429</v>
      </c>
      <c r="R129" s="3">
        <f>TABL12[[#This Row],[ (T/B) SAR]]-TABL12[[#This Row],[(T/B) AJD]]</f>
        <v/>
      </c>
      <c r="S129" s="3">
        <f>TABL12[[#This Row],[S/S_CON.]]+TABL12[[#This Row],[T/B-CON.]]</f>
        <v/>
      </c>
      <c r="T129" s="3">
        <f>O129+Q129</f>
        <v/>
      </c>
      <c r="U129" s="3" t="n">
        <v>557</v>
      </c>
      <c r="V129" s="3" t="n">
        <v>260</v>
      </c>
      <c r="W129" s="3">
        <f>U129+V129</f>
        <v/>
      </c>
      <c r="X129" s="3">
        <f>T129-W129</f>
        <v/>
      </c>
      <c r="Y129" s="4" t="n">
        <v>91.92</v>
      </c>
      <c r="Z129" s="3" t="n">
        <v>0</v>
      </c>
      <c r="AA129" s="3">
        <f>TABL12[[#This Row],[(RESV. STORGE) AJD]]/10</f>
        <v/>
      </c>
      <c r="AB129" s="3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32">
        <f>TABL12[[#This Row],[(A/S) AJD]]-TABL12[[#This Row],[SER_IN]]</f>
        <v/>
      </c>
    </row>
    <row r="130">
      <c r="A130" s="2" t="n">
        <v>45786</v>
      </c>
      <c r="B130" s="28" t="n">
        <v>39</v>
      </c>
      <c r="C130" s="28" t="n">
        <v>323</v>
      </c>
      <c r="D130" s="28" t="n">
        <v>39</v>
      </c>
      <c r="E130" s="28" t="n">
        <v>0</v>
      </c>
      <c r="F130" s="28" t="n">
        <v>88</v>
      </c>
      <c r="G130" s="28" t="n">
        <v>533</v>
      </c>
      <c r="H130" s="28" t="n">
        <v>0</v>
      </c>
      <c r="I130" s="28" t="n">
        <v>420</v>
      </c>
      <c r="J130" s="28" t="n">
        <v>437</v>
      </c>
      <c r="K130" s="28">
        <f>TABL12[[#This Row],[ (T/B) SAR]]+TABL12[[#This Row],[ (S/S) SAR]]</f>
        <v/>
      </c>
      <c r="L130" s="28" t="n">
        <v>324</v>
      </c>
      <c r="M130" s="29" t="n">
        <v>24.7</v>
      </c>
      <c r="N130" s="30" t="n">
        <v>7.83</v>
      </c>
      <c r="O130" s="3" t="n">
        <v>392</v>
      </c>
      <c r="P130" s="3">
        <f>TABL12[[#This Row],[ (S/S) SAR]]-TABL12[[#This Row],[(S/S) AJD]]</f>
        <v/>
      </c>
      <c r="Q130" s="3" t="n">
        <v>435</v>
      </c>
      <c r="R130" s="3">
        <f>TABL12[[#This Row],[ (T/B) SAR]]-TABL12[[#This Row],[(T/B) AJD]]</f>
        <v/>
      </c>
      <c r="S130" s="3">
        <f>TABL12[[#This Row],[S/S_CON.]]+TABL12[[#This Row],[T/B-CON.]]</f>
        <v/>
      </c>
      <c r="T130" s="3">
        <f>O130+Q130</f>
        <v/>
      </c>
      <c r="U130" s="3" t="n">
        <v>512</v>
      </c>
      <c r="V130" s="3" t="n">
        <v>320</v>
      </c>
      <c r="W130" s="3">
        <f>U130+V130</f>
        <v/>
      </c>
      <c r="X130" s="3">
        <f>T130-W130</f>
        <v/>
      </c>
      <c r="Y130" s="4" t="n">
        <v>91.92</v>
      </c>
      <c r="Z130" s="3" t="n">
        <v>0</v>
      </c>
      <c r="AA130" s="3">
        <f>TABL12[[#This Row],[(RESV. STORGE) AJD]]/10</f>
        <v/>
      </c>
      <c r="AB130" s="3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32">
        <f>TABL12[[#This Row],[(A/S) AJD]]-TABL12[[#This Row],[SER_IN]]</f>
        <v/>
      </c>
    </row>
    <row r="131">
      <c r="A131" s="2" t="n">
        <v>45787</v>
      </c>
      <c r="B131" s="28" t="n">
        <v>39</v>
      </c>
      <c r="C131" s="28" t="n">
        <v>326</v>
      </c>
      <c r="D131" s="28" t="n">
        <v>39</v>
      </c>
      <c r="E131" s="28" t="n">
        <v>0</v>
      </c>
      <c r="F131" s="28" t="n">
        <v>88</v>
      </c>
      <c r="G131" s="28" t="n">
        <v>534</v>
      </c>
      <c r="H131" s="28" t="n">
        <v>0</v>
      </c>
      <c r="I131" s="28" t="n">
        <v>420</v>
      </c>
      <c r="J131" s="28" t="n">
        <v>438</v>
      </c>
      <c r="K131" s="28">
        <f>TABL12[[#This Row],[ (T/B) SAR]]+TABL12[[#This Row],[ (S/S) SAR]]</f>
        <v/>
      </c>
      <c r="L131" s="28" t="n">
        <v>324</v>
      </c>
      <c r="M131" s="29" t="n">
        <v>24.7</v>
      </c>
      <c r="N131" s="30" t="n">
        <v>7.86</v>
      </c>
      <c r="O131" s="3" t="n">
        <v>386</v>
      </c>
      <c r="P131" s="3">
        <f>TABL12[[#This Row],[ (S/S) SAR]]-TABL12[[#This Row],[(S/S) AJD]]</f>
        <v/>
      </c>
      <c r="Q131" s="3" t="n">
        <v>430</v>
      </c>
      <c r="R131" s="3">
        <f>TABL12[[#This Row],[ (T/B) SAR]]-TABL12[[#This Row],[(T/B) AJD]]</f>
        <v/>
      </c>
      <c r="S131" s="3">
        <f>TABL12[[#This Row],[S/S_CON.]]+TABL12[[#This Row],[T/B-CON.]]</f>
        <v/>
      </c>
      <c r="T131" s="3">
        <f>O131+Q131</f>
        <v/>
      </c>
      <c r="U131" s="3" t="n">
        <v>530</v>
      </c>
      <c r="V131" s="3" t="n">
        <v>289</v>
      </c>
      <c r="W131" s="3">
        <f>U131+V131</f>
        <v/>
      </c>
      <c r="X131" s="3">
        <f>T131-W131</f>
        <v/>
      </c>
      <c r="Y131" s="4" t="n">
        <v>91.92</v>
      </c>
      <c r="Z131" s="3" t="n">
        <v>0</v>
      </c>
      <c r="AA131" s="3">
        <f>TABL12[[#This Row],[(RESV. STORGE) AJD]]/10</f>
        <v/>
      </c>
      <c r="AB131" s="3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32">
        <f>TABL12[[#This Row],[(A/S) AJD]]-TABL12[[#This Row],[SER_IN]]</f>
        <v/>
      </c>
    </row>
    <row r="132">
      <c r="A132" s="2" t="n">
        <v>45788</v>
      </c>
      <c r="B132" s="28" t="n">
        <v>39</v>
      </c>
      <c r="C132" s="28" t="n">
        <v>311</v>
      </c>
      <c r="D132" s="28" t="n">
        <v>39</v>
      </c>
      <c r="E132" s="28" t="n">
        <v>0</v>
      </c>
      <c r="F132" s="28" t="n">
        <v>87</v>
      </c>
      <c r="G132" s="28" t="n">
        <v>530</v>
      </c>
      <c r="H132" s="28" t="n">
        <v>1</v>
      </c>
      <c r="I132" s="28" t="n">
        <v>417</v>
      </c>
      <c r="J132" s="28" t="n">
        <v>437</v>
      </c>
      <c r="K132" s="28">
        <f>TABL12[[#This Row],[ (T/B) SAR]]+TABL12[[#This Row],[ (S/S) SAR]]</f>
        <v/>
      </c>
      <c r="L132" s="28" t="n">
        <v>324</v>
      </c>
      <c r="M132" s="29" t="n">
        <v>24.7</v>
      </c>
      <c r="N132" s="30" t="n">
        <v>7.82</v>
      </c>
      <c r="O132" s="3" t="n">
        <v>387</v>
      </c>
      <c r="P132" s="3">
        <f>TABL12[[#This Row],[ (S/S) SAR]]-TABL12[[#This Row],[(S/S) AJD]]</f>
        <v/>
      </c>
      <c r="Q132" s="3" t="n">
        <v>430</v>
      </c>
      <c r="R132" s="3">
        <f>TABL12[[#This Row],[ (T/B) SAR]]-TABL12[[#This Row],[(T/B) AJD]]</f>
        <v/>
      </c>
      <c r="S132" s="3">
        <f>TABL12[[#This Row],[S/S_CON.]]+TABL12[[#This Row],[T/B-CON.]]</f>
        <v/>
      </c>
      <c r="T132" s="3">
        <f>O132+Q132</f>
        <v/>
      </c>
      <c r="U132" s="3" t="n">
        <v>562</v>
      </c>
      <c r="V132" s="3" t="n">
        <v>246</v>
      </c>
      <c r="W132" s="3">
        <f>U132+V132</f>
        <v/>
      </c>
      <c r="X132" s="3">
        <f>T132-W132</f>
        <v/>
      </c>
      <c r="Y132" s="4" t="n">
        <v>91.92</v>
      </c>
      <c r="Z132" s="3" t="n">
        <v>0</v>
      </c>
      <c r="AA132" s="3">
        <f>TABL12[[#This Row],[(RESV. STORGE) AJD]]/10</f>
        <v/>
      </c>
      <c r="AB132" s="3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32">
        <f>TABL12[[#This Row],[(A/S) AJD]]-TABL12[[#This Row],[SER_IN]]</f>
        <v/>
      </c>
    </row>
    <row r="133">
      <c r="A133" s="2" t="n">
        <v>45789</v>
      </c>
      <c r="B133" s="28" t="n">
        <v>39</v>
      </c>
      <c r="C133" s="28" t="n">
        <v>316</v>
      </c>
      <c r="D133" s="28" t="n">
        <v>39</v>
      </c>
      <c r="E133" s="28" t="n">
        <v>0</v>
      </c>
      <c r="F133" s="28" t="n">
        <v>87</v>
      </c>
      <c r="G133" s="28" t="n">
        <v>532</v>
      </c>
      <c r="H133" s="28" t="n">
        <v>1</v>
      </c>
      <c r="I133" s="28" t="n">
        <v>417</v>
      </c>
      <c r="J133" s="28" t="n">
        <v>437</v>
      </c>
      <c r="K133" s="28">
        <f>TABL12[[#This Row],[ (T/B) SAR]]+TABL12[[#This Row],[ (S/S) SAR]]</f>
        <v/>
      </c>
      <c r="L133" s="28" t="n">
        <v>322</v>
      </c>
      <c r="M133" s="29" t="n">
        <v>24.7</v>
      </c>
      <c r="N133" s="30" t="n">
        <v>7.75</v>
      </c>
      <c r="O133" s="3" t="n">
        <v>386</v>
      </c>
      <c r="P133" s="3">
        <f>TABL12[[#This Row],[ (S/S) SAR]]-TABL12[[#This Row],[(S/S) AJD]]</f>
        <v/>
      </c>
      <c r="Q133" s="3" t="n">
        <v>429</v>
      </c>
      <c r="R133" s="3">
        <f>TABL12[[#This Row],[ (T/B) SAR]]-TABL12[[#This Row],[(T/B) AJD]]</f>
        <v/>
      </c>
      <c r="S133" s="3">
        <f>TABL12[[#This Row],[S/S_CON.]]+TABL12[[#This Row],[T/B-CON.]]</f>
        <v/>
      </c>
      <c r="T133" s="3">
        <f>O133+Q133</f>
        <v/>
      </c>
      <c r="U133" s="3" t="n">
        <v>557</v>
      </c>
      <c r="V133" s="3" t="n">
        <v>260</v>
      </c>
      <c r="W133" s="3">
        <f>U133+V133</f>
        <v/>
      </c>
      <c r="X133" s="3">
        <f>T133-W133</f>
        <v/>
      </c>
      <c r="Y133" s="4" t="n">
        <v>91.92</v>
      </c>
      <c r="Z133" s="3" t="n">
        <v>0</v>
      </c>
      <c r="AA133" s="3">
        <f>TABL12[[#This Row],[(RESV. STORGE) AJD]]/10</f>
        <v/>
      </c>
      <c r="AB133" s="3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32">
        <f>TABL12[[#This Row],[(A/S) AJD]]-TABL12[[#This Row],[SER_IN]]</f>
        <v/>
      </c>
    </row>
    <row r="134">
      <c r="A134" s="2" t="n">
        <v>45790</v>
      </c>
      <c r="B134" s="28" t="n">
        <v>39</v>
      </c>
      <c r="C134" s="28" t="n">
        <v>308</v>
      </c>
      <c r="D134" s="28" t="n">
        <v>39</v>
      </c>
      <c r="E134" s="28" t="n">
        <v>0</v>
      </c>
      <c r="F134" s="28" t="n">
        <v>89</v>
      </c>
      <c r="G134" s="28" t="n">
        <v>532</v>
      </c>
      <c r="H134" s="28" t="n">
        <v>0</v>
      </c>
      <c r="I134" s="28" t="n">
        <v>418</v>
      </c>
      <c r="J134" s="28" t="n">
        <v>435</v>
      </c>
      <c r="K134" s="28">
        <f>TABL12[[#This Row],[ (T/B) SAR]]+TABL12[[#This Row],[ (S/S) SAR]]</f>
        <v/>
      </c>
      <c r="L134" s="28" t="n">
        <v>321</v>
      </c>
      <c r="M134" s="29" t="n">
        <v>24.7</v>
      </c>
      <c r="N134" s="30" t="n">
        <v>7.68</v>
      </c>
      <c r="O134" s="3" t="n">
        <v>386</v>
      </c>
      <c r="P134" s="3">
        <f>TABL12[[#This Row],[ (S/S) SAR]]-TABL12[[#This Row],[(S/S) AJD]]</f>
        <v/>
      </c>
      <c r="Q134" s="3" t="n">
        <v>429</v>
      </c>
      <c r="R134" s="3">
        <f>TABL12[[#This Row],[ (T/B) SAR]]-TABL12[[#This Row],[(T/B) AJD]]</f>
        <v/>
      </c>
      <c r="S134" s="3">
        <f>TABL12[[#This Row],[S/S_CON.]]+TABL12[[#This Row],[T/B-CON.]]</f>
        <v/>
      </c>
      <c r="T134" s="3">
        <f>O134+Q134</f>
        <v/>
      </c>
      <c r="U134" s="3" t="n">
        <v>550</v>
      </c>
      <c r="V134" s="3" t="n">
        <v>268</v>
      </c>
      <c r="W134" s="3">
        <f>U134+V134</f>
        <v/>
      </c>
      <c r="X134" s="3">
        <f>T134-W134</f>
        <v/>
      </c>
      <c r="Y134" s="4" t="n">
        <v>91.92</v>
      </c>
      <c r="Z134" s="3" t="n">
        <v>0</v>
      </c>
      <c r="AA134" s="3">
        <f>TABL12[[#This Row],[(RESV. STORGE) AJD]]/10</f>
        <v/>
      </c>
      <c r="AB134" s="3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32">
        <f>TABL12[[#This Row],[(A/S) AJD]]-TABL12[[#This Row],[SER_IN]]</f>
        <v/>
      </c>
    </row>
    <row r="135">
      <c r="A135" s="2" t="n">
        <v>45791</v>
      </c>
      <c r="B135" s="28" t="n">
        <v>39</v>
      </c>
      <c r="C135" s="28" t="n">
        <v>320</v>
      </c>
      <c r="D135" s="28" t="n">
        <v>39</v>
      </c>
      <c r="E135" s="28" t="n">
        <v>0</v>
      </c>
      <c r="F135" s="28" t="n">
        <v>89</v>
      </c>
      <c r="G135" s="28" t="n">
        <v>536</v>
      </c>
      <c r="H135" s="28" t="n">
        <v>0</v>
      </c>
      <c r="I135" s="28" t="n">
        <v>418</v>
      </c>
      <c r="J135" s="28" t="n">
        <v>438</v>
      </c>
      <c r="K135" s="28">
        <f>TABL12[[#This Row],[ (T/B) SAR]]+TABL12[[#This Row],[ (S/S) SAR]]</f>
        <v/>
      </c>
      <c r="L135" s="28" t="n">
        <v>320</v>
      </c>
      <c r="M135" s="29" t="n">
        <v>24.7</v>
      </c>
      <c r="N135" s="30" t="n">
        <v>7.64</v>
      </c>
      <c r="O135" s="3" t="n">
        <v>387</v>
      </c>
      <c r="P135" s="3">
        <f>TABL12[[#This Row],[ (S/S) SAR]]-TABL12[[#This Row],[(S/S) AJD]]</f>
        <v/>
      </c>
      <c r="Q135" s="3" t="n">
        <v>430</v>
      </c>
      <c r="R135" s="3">
        <f>TABL12[[#This Row],[ (T/B) SAR]]-TABL12[[#This Row],[(T/B) AJD]]</f>
        <v/>
      </c>
      <c r="S135" s="3">
        <f>TABL12[[#This Row],[S/S_CON.]]+TABL12[[#This Row],[T/B-CON.]]</f>
        <v/>
      </c>
      <c r="T135" s="3">
        <f>O135+Q135</f>
        <v/>
      </c>
      <c r="U135" s="3" t="n">
        <v>508</v>
      </c>
      <c r="V135" s="3" t="n">
        <v>312</v>
      </c>
      <c r="W135" s="3">
        <f>U135+V135</f>
        <v/>
      </c>
      <c r="X135" s="3">
        <f>T135-W135</f>
        <v/>
      </c>
      <c r="Y135" s="4" t="n">
        <v>91.92</v>
      </c>
      <c r="Z135" s="3" t="n">
        <v>0</v>
      </c>
      <c r="AA135" s="3">
        <f>TABL12[[#This Row],[(RESV. STORGE) AJD]]/10</f>
        <v/>
      </c>
      <c r="AB135" s="3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32">
        <f>TABL12[[#This Row],[(A/S) AJD]]-TABL12[[#This Row],[SER_IN]]</f>
        <v/>
      </c>
    </row>
    <row r="136">
      <c r="A136" s="2" t="n">
        <v>45792</v>
      </c>
      <c r="B136" s="28" t="n">
        <v>40</v>
      </c>
      <c r="C136" s="28" t="n">
        <v>332</v>
      </c>
      <c r="D136" s="28" t="n">
        <v>40</v>
      </c>
      <c r="E136" s="28" t="n">
        <v>0</v>
      </c>
      <c r="F136" s="28" t="n">
        <v>90</v>
      </c>
      <c r="G136" s="28" t="n">
        <v>542</v>
      </c>
      <c r="H136" s="28" t="n">
        <v>0</v>
      </c>
      <c r="I136" s="28" t="n">
        <v>425</v>
      </c>
      <c r="J136" s="28" t="n">
        <v>442</v>
      </c>
      <c r="K136" s="28">
        <f>TABL12[[#This Row],[ (T/B) SAR]]+TABL12[[#This Row],[ (S/S) SAR]]</f>
        <v/>
      </c>
      <c r="L136" s="28" t="n">
        <v>325</v>
      </c>
      <c r="M136" s="29" t="n">
        <v>24.7</v>
      </c>
      <c r="N136" s="30" t="n">
        <v>7.7</v>
      </c>
      <c r="O136" s="3" t="n">
        <v>390</v>
      </c>
      <c r="P136" s="3">
        <f>TABL12[[#This Row],[ (S/S) SAR]]-TABL12[[#This Row],[(S/S) AJD]]</f>
        <v/>
      </c>
      <c r="Q136" s="3" t="n">
        <v>431</v>
      </c>
      <c r="R136" s="3">
        <f>TABL12[[#This Row],[ (T/B) SAR]]-TABL12[[#This Row],[(T/B) AJD]]</f>
        <v/>
      </c>
      <c r="S136" s="3">
        <f>TABL12[[#This Row],[S/S_CON.]]+TABL12[[#This Row],[T/B-CON.]]</f>
        <v/>
      </c>
      <c r="T136" s="3">
        <f>O136+Q136</f>
        <v/>
      </c>
      <c r="U136" s="3" t="n">
        <v>529</v>
      </c>
      <c r="V136" s="3" t="n">
        <v>293</v>
      </c>
      <c r="W136" s="3">
        <f>U136+V136</f>
        <v/>
      </c>
      <c r="X136" s="3">
        <f>T136-W136</f>
        <v/>
      </c>
      <c r="Y136" s="4" t="n">
        <v>91.92</v>
      </c>
      <c r="Z136" s="3" t="n">
        <v>0</v>
      </c>
      <c r="AA136" s="3">
        <f>TABL12[[#This Row],[(RESV. STORGE) AJD]]/10</f>
        <v/>
      </c>
      <c r="AB136" s="3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32">
        <f>TABL12[[#This Row],[(A/S) AJD]]-TABL12[[#This Row],[SER_IN]]</f>
        <v/>
      </c>
    </row>
    <row r="137">
      <c r="A137" s="2" t="n">
        <v>45793</v>
      </c>
      <c r="B137" s="28" t="n">
        <v>40</v>
      </c>
      <c r="C137" s="28" t="n">
        <v>316</v>
      </c>
      <c r="D137" s="28" t="n">
        <v>40</v>
      </c>
      <c r="E137" s="28" t="n">
        <v>0</v>
      </c>
      <c r="F137" s="28" t="n">
        <v>90</v>
      </c>
      <c r="G137" s="28" t="n">
        <v>540</v>
      </c>
      <c r="H137" s="28" t="n">
        <v>0</v>
      </c>
      <c r="I137" s="28" t="n">
        <v>420</v>
      </c>
      <c r="J137" s="28" t="n">
        <v>440</v>
      </c>
      <c r="K137" s="28">
        <f>TABL12[[#This Row],[ (T/B) SAR]]+TABL12[[#This Row],[ (S/S) SAR]]</f>
        <v/>
      </c>
      <c r="L137" s="28" t="n">
        <v>320</v>
      </c>
      <c r="M137" s="29" t="n">
        <v>24.7</v>
      </c>
      <c r="N137" s="30" t="n">
        <v>7.74</v>
      </c>
      <c r="O137" s="3" t="n">
        <v>392</v>
      </c>
      <c r="P137" s="3">
        <f>TABL12[[#This Row],[ (S/S) SAR]]-TABL12[[#This Row],[(S/S) AJD]]</f>
        <v/>
      </c>
      <c r="Q137" s="3" t="n">
        <v>435</v>
      </c>
      <c r="R137" s="3">
        <f>TABL12[[#This Row],[ (T/B) SAR]]-TABL12[[#This Row],[(T/B) AJD]]</f>
        <v/>
      </c>
      <c r="S137" s="3">
        <f>TABL12[[#This Row],[S/S_CON.]]+TABL12[[#This Row],[T/B-CON.]]</f>
        <v/>
      </c>
      <c r="T137" s="3">
        <f>O137+Q137</f>
        <v/>
      </c>
      <c r="U137" s="3" t="n">
        <v>512</v>
      </c>
      <c r="V137" s="3" t="n">
        <v>320</v>
      </c>
      <c r="W137" s="3">
        <f>U137+V137</f>
        <v/>
      </c>
      <c r="X137" s="3">
        <f>T137-W137</f>
        <v/>
      </c>
      <c r="Y137" s="4" t="n">
        <v>91.92</v>
      </c>
      <c r="Z137" s="3" t="n">
        <v>0</v>
      </c>
      <c r="AA137" s="3">
        <f>TABL12[[#This Row],[(RESV. STORGE) AJD]]/10</f>
        <v/>
      </c>
      <c r="AB137" s="3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32">
        <f>TABL12[[#This Row],[(A/S) AJD]]-TABL12[[#This Row],[SER_IN]]</f>
        <v/>
      </c>
    </row>
    <row r="138">
      <c r="A138" s="2" t="n">
        <v>45794</v>
      </c>
      <c r="B138" s="28" t="n">
        <v>38</v>
      </c>
      <c r="C138" s="28" t="n">
        <v>280</v>
      </c>
      <c r="D138" s="28" t="n">
        <v>36</v>
      </c>
      <c r="E138" s="28" t="n">
        <v>0</v>
      </c>
      <c r="F138" s="28" t="n">
        <v>90</v>
      </c>
      <c r="G138" s="28" t="n">
        <v>538</v>
      </c>
      <c r="H138" s="28" t="n">
        <v>0</v>
      </c>
      <c r="I138" s="28" t="n">
        <v>420</v>
      </c>
      <c r="J138" s="28" t="n">
        <v>436</v>
      </c>
      <c r="K138" s="28">
        <f>TABL12[[#This Row],[ (T/B) SAR]]+TABL12[[#This Row],[ (S/S) SAR]]</f>
        <v/>
      </c>
      <c r="L138" s="28" t="n">
        <v>318</v>
      </c>
      <c r="M138" s="29" t="n">
        <v>24.7</v>
      </c>
      <c r="N138" s="30" t="n">
        <v>7.61</v>
      </c>
      <c r="O138" s="3" t="n">
        <v>390</v>
      </c>
      <c r="P138" s="3">
        <f>TABL12[[#This Row],[ (S/S) SAR]]-TABL12[[#This Row],[(S/S) AJD]]</f>
        <v/>
      </c>
      <c r="Q138" s="3" t="n">
        <v>432</v>
      </c>
      <c r="R138" s="3">
        <f>TABL12[[#This Row],[ (T/B) SAR]]-TABL12[[#This Row],[(T/B) AJD]]</f>
        <v/>
      </c>
      <c r="S138" s="3">
        <f>TABL12[[#This Row],[S/S_CON.]]+TABL12[[#This Row],[T/B-CON.]]</f>
        <v/>
      </c>
      <c r="T138" s="3">
        <f>O138+Q138</f>
        <v/>
      </c>
      <c r="U138" s="3" t="n">
        <v>524</v>
      </c>
      <c r="V138" s="3" t="n">
        <v>294</v>
      </c>
      <c r="W138" s="3">
        <f>U138+V138</f>
        <v/>
      </c>
      <c r="X138" s="3">
        <f>T138-W138</f>
        <v/>
      </c>
      <c r="Y138" s="4" t="n">
        <v>91.92</v>
      </c>
      <c r="Z138" s="3" t="n">
        <v>0</v>
      </c>
      <c r="AA138" s="3">
        <f>TABL12[[#This Row],[(RESV. STORGE) AJD]]/10</f>
        <v/>
      </c>
      <c r="AB138" s="3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32">
        <f>TABL12[[#This Row],[(A/S) AJD]]-TABL12[[#This Row],[SER_IN]]</f>
        <v/>
      </c>
    </row>
    <row r="139">
      <c r="A139" s="2" t="n">
        <v>45795</v>
      </c>
      <c r="B139" s="28" t="n">
        <v>39</v>
      </c>
      <c r="C139" s="28" t="n">
        <v>304</v>
      </c>
      <c r="D139" s="28" t="n">
        <v>39</v>
      </c>
      <c r="E139" s="28" t="n">
        <v>0</v>
      </c>
      <c r="F139" s="28" t="n">
        <v>90</v>
      </c>
      <c r="G139" s="28" t="n">
        <v>536</v>
      </c>
      <c r="H139" s="28" t="n">
        <v>0</v>
      </c>
      <c r="I139" s="28" t="n">
        <v>420</v>
      </c>
      <c r="J139" s="28" t="n">
        <v>433</v>
      </c>
      <c r="K139" s="28">
        <f>TABL12[[#This Row],[ (T/B) SAR]]+TABL12[[#This Row],[ (S/S) SAR]]</f>
        <v/>
      </c>
      <c r="L139" s="28" t="n">
        <v>317</v>
      </c>
      <c r="M139" s="29" t="n">
        <v>24.7</v>
      </c>
      <c r="N139" s="30" t="n">
        <v>7.47</v>
      </c>
      <c r="O139" s="3" t="n">
        <v>386</v>
      </c>
      <c r="P139" s="3">
        <f>TABL12[[#This Row],[ (S/S) SAR]]-TABL12[[#This Row],[(S/S) AJD]]</f>
        <v/>
      </c>
      <c r="Q139" s="3" t="n">
        <v>430</v>
      </c>
      <c r="R139" s="3">
        <f>TABL12[[#This Row],[ (T/B) SAR]]-TABL12[[#This Row],[(T/B) AJD]]</f>
        <v/>
      </c>
      <c r="S139" s="3">
        <f>TABL12[[#This Row],[S/S_CON.]]+TABL12[[#This Row],[T/B-CON.]]</f>
        <v/>
      </c>
      <c r="T139" s="3">
        <f>O139+Q139</f>
        <v/>
      </c>
      <c r="U139" s="3" t="n">
        <v>530</v>
      </c>
      <c r="V139" s="3" t="n">
        <v>289</v>
      </c>
      <c r="W139" s="3">
        <f>U139+V139</f>
        <v/>
      </c>
      <c r="X139" s="3">
        <f>T139-W139</f>
        <v/>
      </c>
      <c r="Y139" s="4" t="n">
        <v>91.92</v>
      </c>
      <c r="Z139" s="3" t="n">
        <v>0</v>
      </c>
      <c r="AA139" s="3">
        <f>TABL12[[#This Row],[(RESV. STORGE) AJD]]/10</f>
        <v/>
      </c>
      <c r="AB139" s="3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32">
        <f>TABL12[[#This Row],[(A/S) AJD]]-TABL12[[#This Row],[SER_IN]]</f>
        <v/>
      </c>
    </row>
    <row r="140">
      <c r="A140" s="2" t="n">
        <v>45796</v>
      </c>
      <c r="B140" s="28" t="n">
        <v>39</v>
      </c>
      <c r="C140" s="28" t="n">
        <v>309</v>
      </c>
      <c r="D140" s="28" t="n">
        <v>39</v>
      </c>
      <c r="E140" s="28" t="n">
        <v>0</v>
      </c>
      <c r="F140" s="28" t="n">
        <v>90</v>
      </c>
      <c r="G140" s="28" t="n">
        <v>551</v>
      </c>
      <c r="H140" s="28" t="n">
        <v>0</v>
      </c>
      <c r="I140" s="28" t="n">
        <v>437</v>
      </c>
      <c r="J140" s="28" t="n">
        <v>430</v>
      </c>
      <c r="K140" s="28">
        <f>TABL12[[#This Row],[ (T/B) SAR]]+TABL12[[#This Row],[ (S/S) SAR]]</f>
        <v/>
      </c>
      <c r="L140" s="28" t="n">
        <v>316</v>
      </c>
      <c r="M140" s="29" t="n">
        <v>24.7</v>
      </c>
      <c r="N140" s="30" t="n">
        <v>7.47</v>
      </c>
      <c r="O140" s="3" t="n">
        <v>385</v>
      </c>
      <c r="P140" s="3">
        <f>TABL12[[#This Row],[ (S/S) SAR]]-TABL12[[#This Row],[(S/S) AJD]]</f>
        <v/>
      </c>
      <c r="Q140" s="3" t="n">
        <v>426</v>
      </c>
      <c r="R140" s="3">
        <f>TABL12[[#This Row],[ (T/B) SAR]]-TABL12[[#This Row],[(T/B) AJD]]</f>
        <v/>
      </c>
      <c r="S140" s="3">
        <f>TABL12[[#This Row],[S/S_CON.]]+TABL12[[#This Row],[T/B-CON.]]</f>
        <v/>
      </c>
      <c r="T140" s="3">
        <f>O140+Q140</f>
        <v/>
      </c>
      <c r="U140" s="3" t="n">
        <v>530</v>
      </c>
      <c r="V140" s="3" t="n">
        <v>269</v>
      </c>
      <c r="W140" s="3">
        <f>U140+V140</f>
        <v/>
      </c>
      <c r="X140" s="3">
        <f>T140-W140</f>
        <v/>
      </c>
      <c r="Y140" s="4" t="n">
        <v>91.92</v>
      </c>
      <c r="Z140" s="3" t="n">
        <v>0</v>
      </c>
      <c r="AA140" s="3">
        <f>TABL12[[#This Row],[(RESV. STORGE) AJD]]/10</f>
        <v/>
      </c>
      <c r="AB140" s="3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32">
        <f>TABL12[[#This Row],[(A/S) AJD]]-TABL12[[#This Row],[SER_IN]]</f>
        <v/>
      </c>
    </row>
    <row r="141">
      <c r="A141" s="2" t="n">
        <v>45797</v>
      </c>
      <c r="B141" s="28" t="n">
        <v>37</v>
      </c>
      <c r="C141" s="28" t="n">
        <v>306</v>
      </c>
      <c r="D141" s="28" t="n">
        <v>39</v>
      </c>
      <c r="E141" s="28" t="n">
        <v>0</v>
      </c>
      <c r="F141" s="28" t="n">
        <v>89</v>
      </c>
      <c r="G141" s="28" t="n">
        <v>535</v>
      </c>
      <c r="H141" s="28" t="n">
        <v>1</v>
      </c>
      <c r="I141" s="28" t="n">
        <v>418</v>
      </c>
      <c r="J141" s="28" t="n">
        <v>433</v>
      </c>
      <c r="K141" s="28">
        <f>TABL12[[#This Row],[ (T/B) SAR]]+TABL12[[#This Row],[ (S/S) SAR]]</f>
        <v/>
      </c>
      <c r="L141" s="28" t="n">
        <v>316</v>
      </c>
      <c r="M141" s="29" t="n">
        <v>24.7</v>
      </c>
      <c r="N141" s="30" t="n">
        <v>7.4</v>
      </c>
      <c r="O141" s="3" t="n">
        <v>384</v>
      </c>
      <c r="P141" s="3">
        <f>TABL12[[#This Row],[ (S/S) SAR]]-TABL12[[#This Row],[(S/S) AJD]]</f>
        <v/>
      </c>
      <c r="Q141" s="3" t="n">
        <v>427</v>
      </c>
      <c r="R141" s="3">
        <f>TABL12[[#This Row],[ (T/B) SAR]]-TABL12[[#This Row],[(T/B) AJD]]</f>
        <v/>
      </c>
      <c r="S141" s="3">
        <f>TABL12[[#This Row],[S/S_CON.]]+TABL12[[#This Row],[T/B-CON.]]</f>
        <v/>
      </c>
      <c r="T141" s="3">
        <f>O141+Q141</f>
        <v/>
      </c>
      <c r="U141" s="3" t="n">
        <v>537</v>
      </c>
      <c r="V141" s="3" t="n">
        <v>271</v>
      </c>
      <c r="W141" s="3">
        <f>U141+V141</f>
        <v/>
      </c>
      <c r="X141" s="3">
        <f>T141-W141</f>
        <v/>
      </c>
      <c r="Y141" s="4" t="n">
        <v>91.92</v>
      </c>
      <c r="Z141" s="3" t="n">
        <v>0</v>
      </c>
      <c r="AA141" s="3">
        <f>TABL12[[#This Row],[(RESV. STORGE) AJD]]/10</f>
        <v/>
      </c>
      <c r="AB141" s="3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32">
        <f>TABL12[[#This Row],[(A/S) AJD]]-TABL12[[#This Row],[SER_IN]]</f>
        <v/>
      </c>
    </row>
    <row r="142">
      <c r="A142" s="2" t="n">
        <v>45798</v>
      </c>
      <c r="B142" s="28" t="n">
        <v>35</v>
      </c>
      <c r="C142" s="28" t="n">
        <v>283</v>
      </c>
      <c r="D142" s="28" t="n">
        <v>38</v>
      </c>
      <c r="E142" s="28" t="n">
        <v>0</v>
      </c>
      <c r="F142" s="28" t="n">
        <v>90</v>
      </c>
      <c r="G142" s="28" t="n">
        <v>536</v>
      </c>
      <c r="H142" s="28" t="n">
        <v>1</v>
      </c>
      <c r="I142" s="28" t="n">
        <v>418</v>
      </c>
      <c r="J142" s="28" t="n">
        <v>432</v>
      </c>
      <c r="K142" s="28">
        <f>TABL12[[#This Row],[ (T/B) SAR]]+TABL12[[#This Row],[ (S/S) SAR]]</f>
        <v/>
      </c>
      <c r="L142" s="28" t="n">
        <v>314</v>
      </c>
      <c r="M142" s="29" t="n">
        <v>24.7</v>
      </c>
      <c r="N142" s="30" t="n">
        <v>7.4</v>
      </c>
      <c r="O142" s="3" t="n">
        <v>381</v>
      </c>
      <c r="P142" s="3">
        <f>TABL12[[#This Row],[ (S/S) SAR]]-TABL12[[#This Row],[(S/S) AJD]]</f>
        <v/>
      </c>
      <c r="Q142" s="3" t="n">
        <v>427</v>
      </c>
      <c r="R142" s="3">
        <f>TABL12[[#This Row],[ (T/B) SAR]]-TABL12[[#This Row],[(T/B) AJD]]</f>
        <v/>
      </c>
      <c r="S142" s="3">
        <f>TABL12[[#This Row],[S/S_CON.]]+TABL12[[#This Row],[T/B-CON.]]</f>
        <v/>
      </c>
      <c r="T142" s="3">
        <f>O142+Q142</f>
        <v/>
      </c>
      <c r="U142" s="3" t="n">
        <v>544</v>
      </c>
      <c r="V142" s="3" t="n">
        <v>263</v>
      </c>
      <c r="W142" s="3">
        <f>U142+V142</f>
        <v/>
      </c>
      <c r="X142" s="3">
        <f>T142-W142</f>
        <v/>
      </c>
      <c r="Y142" s="4" t="n">
        <v>91.92</v>
      </c>
      <c r="Z142" s="3" t="n">
        <v>0</v>
      </c>
      <c r="AA142" s="3">
        <f>TABL12[[#This Row],[(RESV. STORGE) AJD]]/10</f>
        <v/>
      </c>
      <c r="AB142" s="3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32">
        <f>TABL12[[#This Row],[(A/S) AJD]]-TABL12[[#This Row],[SER_IN]]</f>
        <v/>
      </c>
    </row>
    <row r="143">
      <c r="A143" s="2" t="n">
        <v>45799</v>
      </c>
      <c r="B143" s="28" t="n">
        <v>36</v>
      </c>
      <c r="C143" s="28" t="n">
        <v>289</v>
      </c>
      <c r="D143" s="28" t="n">
        <v>37</v>
      </c>
      <c r="E143" s="28" t="n">
        <v>0</v>
      </c>
      <c r="F143" s="28" t="n">
        <v>90</v>
      </c>
      <c r="G143" s="28" t="n">
        <v>532</v>
      </c>
      <c r="H143" s="28" t="n">
        <v>2</v>
      </c>
      <c r="I143" s="28" t="n">
        <v>415</v>
      </c>
      <c r="J143" s="28" t="n">
        <v>430</v>
      </c>
      <c r="K143" s="28">
        <f>TABL12[[#This Row],[ (T/B) SAR]]+TABL12[[#This Row],[ (S/S) SAR]]</f>
        <v/>
      </c>
      <c r="L143" s="28" t="n">
        <v>313</v>
      </c>
      <c r="M143" s="29" t="n">
        <v>24.7</v>
      </c>
      <c r="N143" s="30" t="n">
        <v>7.35</v>
      </c>
      <c r="O143" s="3" t="n">
        <v>380</v>
      </c>
      <c r="P143" s="3">
        <f>TABL12[[#This Row],[ (S/S) SAR]]-TABL12[[#This Row],[(S/S) AJD]]</f>
        <v/>
      </c>
      <c r="Q143" s="3" t="n">
        <v>426</v>
      </c>
      <c r="R143" s="3">
        <f>TABL12[[#This Row],[ (T/B) SAR]]-TABL12[[#This Row],[(T/B) AJD]]</f>
        <v/>
      </c>
      <c r="S143" s="3">
        <f>TABL12[[#This Row],[S/S_CON.]]+TABL12[[#This Row],[T/B-CON.]]</f>
        <v/>
      </c>
      <c r="T143" s="3">
        <f>O143+Q143</f>
        <v/>
      </c>
      <c r="U143" s="3" t="n">
        <v>493</v>
      </c>
      <c r="V143" s="3" t="n">
        <v>311</v>
      </c>
      <c r="W143" s="3">
        <f>U143+V143</f>
        <v/>
      </c>
      <c r="X143" s="3">
        <f>T143-W143</f>
        <v/>
      </c>
      <c r="Y143" s="4" t="n">
        <v>91.92</v>
      </c>
      <c r="Z143" s="3" t="n">
        <v>0</v>
      </c>
      <c r="AA143" s="3">
        <f>TABL12[[#This Row],[(RESV. STORGE) AJD]]/10</f>
        <v/>
      </c>
      <c r="AB143" s="3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32">
        <f>TABL12[[#This Row],[(A/S) AJD]]-TABL12[[#This Row],[SER_IN]]</f>
        <v/>
      </c>
    </row>
    <row r="144">
      <c r="A144" s="2" t="n">
        <v>45800</v>
      </c>
      <c r="B144" s="28" t="n">
        <v>38</v>
      </c>
      <c r="C144" s="28" t="n">
        <v>302</v>
      </c>
      <c r="D144" s="28" t="n">
        <v>38</v>
      </c>
      <c r="E144" s="28" t="n">
        <v>0</v>
      </c>
      <c r="F144" s="28" t="n">
        <v>90</v>
      </c>
      <c r="G144" s="28" t="n">
        <v>526</v>
      </c>
      <c r="H144" s="28" t="n">
        <v>2</v>
      </c>
      <c r="I144" s="28" t="n">
        <v>410</v>
      </c>
      <c r="J144" s="28" t="n">
        <v>423</v>
      </c>
      <c r="K144" s="28">
        <f>TABL12[[#This Row],[ (T/B) SAR]]+TABL12[[#This Row],[ (S/S) SAR]]</f>
        <v/>
      </c>
      <c r="L144" s="28" t="n">
        <v>307</v>
      </c>
      <c r="M144" s="29" t="n">
        <v>24.7</v>
      </c>
      <c r="N144" s="30" t="n">
        <v>7.33</v>
      </c>
      <c r="O144" s="3" t="n">
        <v>376</v>
      </c>
      <c r="P144" s="3">
        <f>TABL12[[#This Row],[ (S/S) SAR]]-TABL12[[#This Row],[(S/S) AJD]]</f>
        <v/>
      </c>
      <c r="Q144" s="3" t="n">
        <v>422</v>
      </c>
      <c r="R144" s="3">
        <f>TABL12[[#This Row],[ (T/B) SAR]]-TABL12[[#This Row],[(T/B) AJD]]</f>
        <v/>
      </c>
      <c r="S144" s="3">
        <f>TABL12[[#This Row],[S/S_CON.]]+TABL12[[#This Row],[T/B-CON.]]</f>
        <v/>
      </c>
      <c r="T144" s="3">
        <f>O144+Q144</f>
        <v/>
      </c>
      <c r="U144" s="3" t="n">
        <v>486</v>
      </c>
      <c r="V144" s="3" t="n">
        <v>313</v>
      </c>
      <c r="W144" s="3">
        <f>U144+V144</f>
        <v/>
      </c>
      <c r="X144" s="3">
        <f>T144-W144</f>
        <v/>
      </c>
      <c r="Y144" s="4" t="n">
        <v>91.92</v>
      </c>
      <c r="Z144" s="3" t="n">
        <v>0</v>
      </c>
      <c r="AA144" s="3">
        <f>TABL12[[#This Row],[(RESV. STORGE) AJD]]/10</f>
        <v/>
      </c>
      <c r="AB144" s="3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32">
        <f>TABL12[[#This Row],[(A/S) AJD]]-TABL12[[#This Row],[SER_IN]]</f>
        <v/>
      </c>
    </row>
    <row r="145">
      <c r="A145" s="2" t="n">
        <v>45801</v>
      </c>
      <c r="B145" s="28" t="n">
        <v>36</v>
      </c>
      <c r="C145" s="28" t="n">
        <v>270</v>
      </c>
      <c r="D145" s="28" t="n">
        <v>38</v>
      </c>
      <c r="E145" s="28" t="n">
        <v>0</v>
      </c>
      <c r="F145" s="28" t="n">
        <v>50</v>
      </c>
      <c r="G145" s="28" t="n">
        <v>327</v>
      </c>
      <c r="H145" s="28" t="n">
        <v>42</v>
      </c>
      <c r="I145" s="28" t="n">
        <v>284</v>
      </c>
      <c r="J145" s="28" t="n">
        <v>327</v>
      </c>
      <c r="K145" s="28">
        <f>TABL12[[#This Row],[ (T/B) SAR]]+TABL12[[#This Row],[ (S/S) SAR]]</f>
        <v/>
      </c>
      <c r="L145" s="28" t="n">
        <v>284</v>
      </c>
      <c r="M145" s="29" t="n">
        <v>0</v>
      </c>
      <c r="N145" s="30" t="n">
        <v>7.2</v>
      </c>
      <c r="O145" s="3" t="n">
        <v>374</v>
      </c>
      <c r="P145" s="3">
        <f>TABL12[[#This Row],[ (S/S) SAR]]-TABL12[[#This Row],[(S/S) AJD]]</f>
        <v/>
      </c>
      <c r="Q145" s="3" t="n">
        <v>314</v>
      </c>
      <c r="R145" s="3">
        <f>TABL12[[#This Row],[ (T/B) SAR]]-TABL12[[#This Row],[(T/B) AJD]]</f>
        <v/>
      </c>
      <c r="S145" s="3">
        <f>TABL12[[#This Row],[S/S_CON.]]+TABL12[[#This Row],[T/B-CON.]]</f>
        <v/>
      </c>
      <c r="T145" s="3">
        <f>O145+Q145</f>
        <v/>
      </c>
      <c r="U145" s="3" t="n">
        <v>460</v>
      </c>
      <c r="V145" s="3" t="n">
        <v>316</v>
      </c>
      <c r="W145" s="3">
        <f>U145+V145</f>
        <v/>
      </c>
      <c r="X145" s="3">
        <f>T145-W145</f>
        <v/>
      </c>
      <c r="Y145" s="4" t="n">
        <v>91.92</v>
      </c>
      <c r="Z145" s="3" t="n">
        <v>0</v>
      </c>
      <c r="AA145" s="3">
        <f>TABL12[[#This Row],[(RESV. STORGE) AJD]]/10</f>
        <v/>
      </c>
      <c r="AB145" s="3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32">
        <f>TABL12[[#This Row],[(A/S) AJD]]-TABL12[[#This Row],[SER_IN]]</f>
        <v/>
      </c>
    </row>
    <row r="146">
      <c r="A146" s="2" t="n">
        <v>45802</v>
      </c>
      <c r="B146" s="28" t="n">
        <v>36</v>
      </c>
      <c r="C146" s="28" t="n">
        <v>246</v>
      </c>
      <c r="D146" s="28" t="n">
        <v>36</v>
      </c>
      <c r="E146" s="28" t="n">
        <v>0</v>
      </c>
      <c r="F146" s="28" t="n">
        <v>88</v>
      </c>
      <c r="G146" s="28" t="n">
        <v>499</v>
      </c>
      <c r="H146" s="28" t="n">
        <v>4</v>
      </c>
      <c r="I146" s="28" t="n">
        <v>374</v>
      </c>
      <c r="J146" s="28" t="n">
        <v>361</v>
      </c>
      <c r="K146" s="28">
        <f>TABL12[[#This Row],[ (T/B) SAR]]+TABL12[[#This Row],[ (S/S) SAR]]</f>
        <v/>
      </c>
      <c r="L146" s="28" t="n">
        <v>236</v>
      </c>
      <c r="M146" s="29" t="n">
        <v>0</v>
      </c>
      <c r="N146" s="30" t="n">
        <v>6.7</v>
      </c>
      <c r="O146" s="3" t="n">
        <v>266</v>
      </c>
      <c r="P146" s="3">
        <f>TABL12[[#This Row],[ (S/S) SAR]]-TABL12[[#This Row],[(S/S) AJD]]</f>
        <v/>
      </c>
      <c r="Q146" s="3" t="n">
        <v>312</v>
      </c>
      <c r="R146" s="3">
        <f>TABL12[[#This Row],[ (T/B) SAR]]-TABL12[[#This Row],[(T/B) AJD]]</f>
        <v/>
      </c>
      <c r="S146" s="3">
        <f>TABL12[[#This Row],[S/S_CON.]]+TABL12[[#This Row],[T/B-CON.]]</f>
        <v/>
      </c>
      <c r="T146" s="3">
        <f>O146+Q146</f>
        <v/>
      </c>
      <c r="U146" s="3" t="n">
        <v>341</v>
      </c>
      <c r="V146" s="3" t="n">
        <v>238</v>
      </c>
      <c r="W146" s="3">
        <f>U146+V146</f>
        <v/>
      </c>
      <c r="X146" s="3">
        <f>T146-W146</f>
        <v/>
      </c>
      <c r="Y146" s="4" t="n">
        <v>91.92</v>
      </c>
      <c r="Z146" s="3" t="n">
        <v>0</v>
      </c>
      <c r="AA146" s="3">
        <f>TABL12[[#This Row],[(RESV. STORGE) AJD]]/10</f>
        <v/>
      </c>
      <c r="AB146" s="3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32">
        <f>TABL12[[#This Row],[(A/S) AJD]]-TABL12[[#This Row],[SER_IN]]</f>
        <v/>
      </c>
    </row>
    <row r="147">
      <c r="A147" s="2" t="n">
        <v>45803</v>
      </c>
      <c r="B147" s="28" t="n">
        <v>34</v>
      </c>
      <c r="C147" s="28" t="n">
        <v>258</v>
      </c>
      <c r="D147" s="28" t="n">
        <v>35</v>
      </c>
      <c r="E147" s="28" t="n">
        <v>0</v>
      </c>
      <c r="F147" s="28" t="n">
        <v>88</v>
      </c>
      <c r="G147" s="28" t="n">
        <v>558</v>
      </c>
      <c r="H147" s="28" t="n">
        <v>4</v>
      </c>
      <c r="I147" s="28" t="n">
        <v>398</v>
      </c>
      <c r="J147" s="28" t="n">
        <v>380</v>
      </c>
      <c r="K147" s="28">
        <f>TABL12[[#This Row],[ (T/B) SAR]]+TABL12[[#This Row],[ (S/S) SAR]]</f>
        <v/>
      </c>
      <c r="L147" s="28" t="n">
        <v>220</v>
      </c>
      <c r="M147" s="29" t="n">
        <v>0</v>
      </c>
      <c r="N147" s="30" t="n">
        <v>6.9</v>
      </c>
      <c r="O147" s="3" t="n">
        <v>323</v>
      </c>
      <c r="P147" s="3">
        <f>TABL12[[#This Row],[ (S/S) SAR]]-TABL12[[#This Row],[(S/S) AJD]]</f>
        <v/>
      </c>
      <c r="Q147" s="3" t="n">
        <v>366</v>
      </c>
      <c r="R147" s="3">
        <f>TABL12[[#This Row],[ (T/B) SAR]]-TABL12[[#This Row],[(T/B) AJD]]</f>
        <v/>
      </c>
      <c r="S147" s="3">
        <f>TABL12[[#This Row],[S/S_CON.]]+TABL12[[#This Row],[T/B-CON.]]</f>
        <v/>
      </c>
      <c r="T147" s="3">
        <f>O147+Q147</f>
        <v/>
      </c>
      <c r="U147" s="3" t="n">
        <v>451</v>
      </c>
      <c r="V147" s="3" t="n">
        <v>238</v>
      </c>
      <c r="W147" s="3">
        <f>U147+V147</f>
        <v/>
      </c>
      <c r="X147" s="3">
        <f>T147-W147</f>
        <v/>
      </c>
      <c r="Y147" s="4" t="n">
        <v>91.92</v>
      </c>
      <c r="Z147" s="3" t="n">
        <v>0</v>
      </c>
      <c r="AA147" s="3">
        <f>TABL12[[#This Row],[(RESV. STORGE) AJD]]/10</f>
        <v/>
      </c>
      <c r="AB147" s="3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32">
        <f>TABL12[[#This Row],[(A/S) AJD]]-TABL12[[#This Row],[SER_IN]]</f>
        <v/>
      </c>
    </row>
    <row r="148">
      <c r="A148" s="2" t="n">
        <v>45804</v>
      </c>
      <c r="B148" s="28" t="n">
        <v>37</v>
      </c>
      <c r="C148" s="28" t="n">
        <v>285</v>
      </c>
      <c r="D148" s="28" t="n">
        <v>37</v>
      </c>
      <c r="E148" s="28" t="n">
        <v>0</v>
      </c>
      <c r="F148" s="28" t="n">
        <v>90</v>
      </c>
      <c r="G148" s="28" t="n">
        <v>565</v>
      </c>
      <c r="H148" s="28" t="n">
        <v>2</v>
      </c>
      <c r="I148" s="28" t="n">
        <v>409</v>
      </c>
      <c r="J148" s="28" t="n">
        <v>395</v>
      </c>
      <c r="K148" s="28">
        <f>TABL12[[#This Row],[ (T/B) SAR]]+TABL12[[#This Row],[ (S/S) SAR]]</f>
        <v/>
      </c>
      <c r="L148" s="28" t="n">
        <v>239</v>
      </c>
      <c r="M148" s="29" t="n">
        <v>24.7</v>
      </c>
      <c r="N148" s="30" t="n">
        <v>7.1</v>
      </c>
      <c r="O148" s="3" t="n">
        <v>334</v>
      </c>
      <c r="P148" s="3">
        <f>TABL12[[#This Row],[ (S/S) SAR]]-TABL12[[#This Row],[(S/S) AJD]]</f>
        <v/>
      </c>
      <c r="Q148" s="3" t="n">
        <v>377</v>
      </c>
      <c r="R148" s="3">
        <f>TABL12[[#This Row],[ (T/B) SAR]]-TABL12[[#This Row],[(T/B) AJD]]</f>
        <v/>
      </c>
      <c r="S148" s="3">
        <f>TABL12[[#This Row],[S/S_CON.]]+TABL12[[#This Row],[T/B-CON.]]</f>
        <v/>
      </c>
      <c r="T148" s="3">
        <f>O148+Q148</f>
        <v/>
      </c>
      <c r="U148" s="3" t="n">
        <v>473</v>
      </c>
      <c r="V148" s="3" t="n">
        <v>239</v>
      </c>
      <c r="W148" s="3">
        <f>U148+V148</f>
        <v/>
      </c>
      <c r="X148" s="3">
        <f>T148-W148</f>
        <v/>
      </c>
      <c r="Y148" s="4" t="n">
        <v>91.92</v>
      </c>
      <c r="Z148" s="3" t="n">
        <v>0</v>
      </c>
      <c r="AA148" s="3">
        <f>TABL12[[#This Row],[(RESV. STORGE) AJD]]/10</f>
        <v/>
      </c>
      <c r="AB148" s="3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32">
        <f>TABL12[[#This Row],[(A/S) AJD]]-TABL12[[#This Row],[SER_IN]]</f>
        <v/>
      </c>
    </row>
    <row r="149">
      <c r="A149" s="2" t="n">
        <v>45805</v>
      </c>
      <c r="B149" s="28" t="n">
        <v>38</v>
      </c>
      <c r="C149" s="28" t="n">
        <v>297</v>
      </c>
      <c r="D149" s="28" t="n">
        <v>38</v>
      </c>
      <c r="E149" s="28" t="n">
        <v>0</v>
      </c>
      <c r="F149" s="28" t="n">
        <v>92</v>
      </c>
      <c r="G149" s="28" t="n">
        <v>580</v>
      </c>
      <c r="H149" s="28" t="n">
        <v>0</v>
      </c>
      <c r="I149" s="28" t="n">
        <v>418</v>
      </c>
      <c r="J149" s="28" t="n">
        <v>410</v>
      </c>
      <c r="K149" s="28">
        <f>TABL12[[#This Row],[ (T/B) SAR]]+TABL12[[#This Row],[ (S/S) SAR]]</f>
        <v/>
      </c>
      <c r="L149" s="28" t="n">
        <v>248</v>
      </c>
      <c r="M149" s="29" t="n">
        <v>24.7</v>
      </c>
      <c r="N149" s="30" t="n">
        <v>7.1</v>
      </c>
      <c r="O149" s="3" t="n">
        <v>348</v>
      </c>
      <c r="P149" s="3">
        <f>TABL12[[#This Row],[ (S/S) SAR]]-TABL12[[#This Row],[(S/S) AJD]]</f>
        <v/>
      </c>
      <c r="Q149" s="3" t="n">
        <v>392</v>
      </c>
      <c r="R149" s="3">
        <f>TABL12[[#This Row],[ (T/B) SAR]]-TABL12[[#This Row],[(T/B) AJD]]</f>
        <v/>
      </c>
      <c r="S149" s="3">
        <f>TABL12[[#This Row],[S/S_CON.]]+TABL12[[#This Row],[T/B-CON.]]</f>
        <v/>
      </c>
      <c r="T149" s="3">
        <f>O149+Q149</f>
        <v/>
      </c>
      <c r="U149" s="3" t="n">
        <v>505</v>
      </c>
      <c r="V149" s="3" t="n">
        <v>238</v>
      </c>
      <c r="W149" s="3">
        <f>U149+V149</f>
        <v/>
      </c>
      <c r="X149" s="3">
        <f>T149-W149</f>
        <v/>
      </c>
      <c r="Y149" s="4" t="n">
        <v>91.92</v>
      </c>
      <c r="Z149" s="3" t="n">
        <v>0</v>
      </c>
      <c r="AA149" s="3">
        <f>TABL12[[#This Row],[(RESV. STORGE) AJD]]/10</f>
        <v/>
      </c>
      <c r="AB149" s="3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32">
        <f>TABL12[[#This Row],[(A/S) AJD]]-TABL12[[#This Row],[SER_IN]]</f>
        <v/>
      </c>
    </row>
    <row r="150">
      <c r="A150" s="2" t="n">
        <v>45806</v>
      </c>
      <c r="B150" s="28" t="n">
        <v>37</v>
      </c>
      <c r="C150" s="28" t="n">
        <v>296</v>
      </c>
      <c r="D150" s="28" t="n">
        <v>37</v>
      </c>
      <c r="E150" s="28" t="n">
        <v>0</v>
      </c>
      <c r="F150" s="28" t="n">
        <v>92</v>
      </c>
      <c r="G150" s="28" t="n">
        <v>586</v>
      </c>
      <c r="H150" s="28" t="n">
        <v>0</v>
      </c>
      <c r="I150" s="28" t="n">
        <v>420</v>
      </c>
      <c r="J150" s="28" t="n">
        <v>418</v>
      </c>
      <c r="K150" s="28">
        <f>TABL12[[#This Row],[ (T/B) SAR]]+TABL12[[#This Row],[ (S/S) SAR]]</f>
        <v/>
      </c>
      <c r="L150" s="28" t="n">
        <v>252</v>
      </c>
      <c r="M150" s="29" t="n">
        <v>18.4</v>
      </c>
      <c r="N150" s="30" t="n">
        <v>7.6</v>
      </c>
      <c r="O150" s="3" t="n">
        <v>359</v>
      </c>
      <c r="P150" s="3">
        <f>TABL12[[#This Row],[ (S/S) SAR]]-TABL12[[#This Row],[(S/S) AJD]]</f>
        <v/>
      </c>
      <c r="Q150" s="3" t="n">
        <v>404</v>
      </c>
      <c r="R150" s="3">
        <f>TABL12[[#This Row],[ (T/B) SAR]]-TABL12[[#This Row],[(T/B) AJD]]</f>
        <v/>
      </c>
      <c r="S150" s="3">
        <f>TABL12[[#This Row],[S/S_CON.]]+TABL12[[#This Row],[T/B-CON.]]</f>
        <v/>
      </c>
      <c r="T150" s="3">
        <f>O150+Q150</f>
        <v/>
      </c>
      <c r="U150" s="3" t="n">
        <v>518</v>
      </c>
      <c r="V150" s="3" t="n">
        <v>246</v>
      </c>
      <c r="W150" s="3">
        <f>U150+V150</f>
        <v/>
      </c>
      <c r="X150" s="3">
        <f>T150-W150</f>
        <v/>
      </c>
      <c r="Y150" s="4" t="n">
        <v>91.92</v>
      </c>
      <c r="Z150" s="3" t="n">
        <v>0</v>
      </c>
      <c r="AA150" s="3">
        <f>TABL12[[#This Row],[(RESV. STORGE) AJD]]/10</f>
        <v/>
      </c>
      <c r="AB150" s="3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32">
        <f>TABL12[[#This Row],[(A/S) AJD]]-TABL12[[#This Row],[SER_IN]]</f>
        <v/>
      </c>
    </row>
    <row r="151">
      <c r="A151" s="2" t="n">
        <v>45807</v>
      </c>
      <c r="B151" s="28" t="n">
        <v>37</v>
      </c>
      <c r="C151" s="28" t="n">
        <v>293</v>
      </c>
      <c r="D151" s="28" t="n">
        <v>37</v>
      </c>
      <c r="E151" s="28" t="n">
        <v>0</v>
      </c>
      <c r="F151" s="28" t="n">
        <v>92</v>
      </c>
      <c r="G151" s="28" t="n">
        <v>583</v>
      </c>
      <c r="H151" s="28" t="n">
        <v>0</v>
      </c>
      <c r="I151" s="28" t="n">
        <v>419</v>
      </c>
      <c r="J151" s="28" t="n">
        <v>416</v>
      </c>
      <c r="K151" s="28">
        <f>TABL12[[#This Row],[ (T/B) SAR]]+TABL12[[#This Row],[ (S/S) SAR]]</f>
        <v/>
      </c>
      <c r="L151" s="28" t="n">
        <v>252</v>
      </c>
      <c r="M151" s="29" t="n">
        <v>19.4</v>
      </c>
      <c r="N151" s="30" t="n">
        <v>7.8</v>
      </c>
      <c r="O151" s="3" t="n">
        <v>363</v>
      </c>
      <c r="P151" s="3">
        <f>TABL12[[#This Row],[ (S/S) SAR]]-TABL12[[#This Row],[(S/S) AJD]]</f>
        <v/>
      </c>
      <c r="Q151" s="3" t="n">
        <v>409</v>
      </c>
      <c r="R151" s="3">
        <f>TABL12[[#This Row],[ (T/B) SAR]]-TABL12[[#This Row],[(T/B) AJD]]</f>
        <v/>
      </c>
      <c r="S151" s="3">
        <f>TABL12[[#This Row],[S/S_CON.]]+TABL12[[#This Row],[T/B-CON.]]</f>
        <v/>
      </c>
      <c r="T151" s="3">
        <f>O151+Q151</f>
        <v/>
      </c>
      <c r="U151" s="3" t="n">
        <v>510</v>
      </c>
      <c r="V151" s="3" t="n">
        <v>267</v>
      </c>
      <c r="W151" s="3">
        <f>U151+V151</f>
        <v/>
      </c>
      <c r="X151" s="3">
        <f>T151-W151</f>
        <v/>
      </c>
      <c r="Y151" s="4" t="n">
        <v>91.92</v>
      </c>
      <c r="Z151" s="3" t="n">
        <v>0</v>
      </c>
      <c r="AA151" s="3">
        <f>TABL12[[#This Row],[(RESV. STORGE) AJD]]/10</f>
        <v/>
      </c>
      <c r="AB151" s="3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32">
        <f>TABL12[[#This Row],[(A/S) AJD]]-TABL12[[#This Row],[SER_IN]]</f>
        <v/>
      </c>
    </row>
    <row r="152">
      <c r="A152" s="2" t="n">
        <v>45808</v>
      </c>
      <c r="B152" s="28" t="n">
        <v>36</v>
      </c>
      <c r="C152" s="28" t="n">
        <v>287</v>
      </c>
      <c r="D152" s="28" t="n">
        <v>36</v>
      </c>
      <c r="E152" s="28" t="n">
        <v>0</v>
      </c>
      <c r="F152" s="28" t="n">
        <v>92</v>
      </c>
      <c r="G152" s="28" t="n">
        <v>579</v>
      </c>
      <c r="H152" s="28" t="n">
        <v>0</v>
      </c>
      <c r="I152" s="28" t="n">
        <v>425</v>
      </c>
      <c r="J152" s="28" t="n">
        <v>422</v>
      </c>
      <c r="K152" s="28">
        <f>TABL12[[#This Row],[ (T/B) SAR]]+TABL12[[#This Row],[ (S/S) SAR]]</f>
        <v/>
      </c>
      <c r="L152" s="28" t="n">
        <v>268</v>
      </c>
      <c r="M152" s="29" t="n">
        <v>20.8</v>
      </c>
      <c r="N152" s="30" t="n">
        <v>8</v>
      </c>
      <c r="O152" s="3" t="n">
        <v>365</v>
      </c>
      <c r="P152" s="3">
        <f>TABL12[[#This Row],[ (S/S) SAR]]-TABL12[[#This Row],[(S/S) AJD]]</f>
        <v/>
      </c>
      <c r="Q152" s="3" t="n">
        <v>409</v>
      </c>
      <c r="R152" s="3">
        <f>TABL12[[#This Row],[ (T/B) SAR]]-TABL12[[#This Row],[(T/B) AJD]]</f>
        <v/>
      </c>
      <c r="S152" s="3">
        <f>TABL12[[#This Row],[S/S_CON.]]+TABL12[[#This Row],[T/B-CON.]]</f>
        <v/>
      </c>
      <c r="T152" s="3">
        <f>O152+Q152</f>
        <v/>
      </c>
      <c r="U152" s="3" t="n">
        <v>504</v>
      </c>
      <c r="V152" s="3" t="n">
        <v>271</v>
      </c>
      <c r="W152" s="3">
        <f>U152+V152</f>
        <v/>
      </c>
      <c r="X152" s="3">
        <f>T152-W152</f>
        <v/>
      </c>
      <c r="Y152" s="4" t="n">
        <v>91.92</v>
      </c>
      <c r="Z152" s="3" t="n">
        <v>0</v>
      </c>
      <c r="AA152" s="3">
        <f>TABL12[[#This Row],[(RESV. STORGE) AJD]]/10</f>
        <v/>
      </c>
      <c r="AB152" s="3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32">
        <f>TABL12[[#This Row],[(A/S) AJD]]-TABL12[[#This Row],[SER_IN]]</f>
        <v/>
      </c>
    </row>
    <row r="153">
      <c r="A153" s="2" t="n">
        <v>45809</v>
      </c>
      <c r="B153" s="28" t="n">
        <v>37</v>
      </c>
      <c r="C153" s="28" t="n">
        <v>307</v>
      </c>
      <c r="D153" s="28" t="n">
        <v>37</v>
      </c>
      <c r="E153" s="28" t="n">
        <v>0</v>
      </c>
      <c r="F153" s="28" t="n">
        <v>92</v>
      </c>
      <c r="G153" s="28" t="n">
        <v>561</v>
      </c>
      <c r="H153" s="28" t="n">
        <v>0</v>
      </c>
      <c r="I153" s="28" t="n">
        <v>420</v>
      </c>
      <c r="J153" s="28" t="n">
        <v>430</v>
      </c>
      <c r="K153" s="28">
        <f>TABL12[[#This Row],[ (T/B) SAR]]+TABL12[[#This Row],[ (S/S) SAR]]</f>
        <v/>
      </c>
      <c r="L153" s="28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3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32">
        <f>TABL12[[#This Row],[(A/S) AJD]]-TABL12[[#This Row],[SER_IN]]</f>
        <v/>
      </c>
    </row>
    <row r="154">
      <c r="A154" s="2" t="n">
        <v>45810</v>
      </c>
      <c r="B154" s="28" t="n">
        <v>37</v>
      </c>
      <c r="C154" s="28" t="n">
        <v>302</v>
      </c>
      <c r="D154" s="28" t="n">
        <v>37</v>
      </c>
      <c r="E154" s="28" t="n">
        <v>0</v>
      </c>
      <c r="F154" s="28" t="n">
        <v>92</v>
      </c>
      <c r="G154" s="28" t="n">
        <v>550</v>
      </c>
      <c r="H154" s="28" t="n">
        <v>0</v>
      </c>
      <c r="I154" s="28" t="n">
        <v>422</v>
      </c>
      <c r="J154" s="28" t="n">
        <v>438</v>
      </c>
      <c r="K154" s="28">
        <f>TABL12[[#This Row],[ (T/B) SAR]]+TABL12[[#This Row],[ (S/S) SAR]]</f>
        <v/>
      </c>
      <c r="L154" s="28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3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32">
        <f>TABL12[[#This Row],[(A/S) AJD]]-TABL12[[#This Row],[SER_IN]]</f>
        <v/>
      </c>
    </row>
    <row r="155">
      <c r="A155" s="2" t="n">
        <v>45811</v>
      </c>
      <c r="B155" s="28" t="n">
        <v>37</v>
      </c>
      <c r="C155" s="28" t="n">
        <v>297</v>
      </c>
      <c r="D155" s="28" t="n">
        <v>37</v>
      </c>
      <c r="E155" s="28" t="n">
        <v>0</v>
      </c>
      <c r="F155" s="28" t="n">
        <v>92</v>
      </c>
      <c r="G155" s="28" t="n">
        <v>535</v>
      </c>
      <c r="H155" s="28" t="n">
        <v>0</v>
      </c>
      <c r="I155" s="28" t="n">
        <v>414</v>
      </c>
      <c r="J155" s="28" t="n">
        <v>430</v>
      </c>
      <c r="K155" s="28">
        <f>TABL12[[#This Row],[ (T/B) SAR]]+TABL12[[#This Row],[ (S/S) SAR]]</f>
        <v/>
      </c>
      <c r="L155" s="28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3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32">
        <f>TABL12[[#This Row],[(A/S) AJD]]-TABL12[[#This Row],[SER_IN]]</f>
        <v/>
      </c>
    </row>
    <row r="156">
      <c r="A156" s="2" t="n">
        <v>45812</v>
      </c>
      <c r="B156" s="28" t="n">
        <v>37</v>
      </c>
      <c r="C156" s="28" t="n">
        <v>291</v>
      </c>
      <c r="D156" s="28" t="n">
        <v>37</v>
      </c>
      <c r="E156" s="28" t="n">
        <v>0</v>
      </c>
      <c r="F156" s="28" t="n">
        <v>91</v>
      </c>
      <c r="G156" s="28" t="n">
        <v>548</v>
      </c>
      <c r="H156" s="28" t="n">
        <v>1</v>
      </c>
      <c r="I156" s="28" t="n">
        <v>422</v>
      </c>
      <c r="J156" s="28" t="n">
        <v>436</v>
      </c>
      <c r="K156" s="28">
        <f>TABL12[[#This Row],[ (T/B) SAR]]+TABL12[[#This Row],[ (S/S) SAR]]</f>
        <v/>
      </c>
      <c r="L156" s="28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3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32">
        <f>TABL12[[#This Row],[(A/S) AJD]]-TABL12[[#This Row],[SER_IN]]</f>
        <v/>
      </c>
    </row>
    <row r="157">
      <c r="A157" s="2" t="n">
        <v>45813</v>
      </c>
      <c r="B157" s="28" t="n">
        <v>37</v>
      </c>
      <c r="C157" s="28" t="n">
        <v>292</v>
      </c>
      <c r="D157" s="28" t="n">
        <v>37</v>
      </c>
      <c r="E157" s="28" t="n">
        <v>0</v>
      </c>
      <c r="F157" s="28" t="n">
        <v>91</v>
      </c>
      <c r="G157" s="28" t="n">
        <v>549</v>
      </c>
      <c r="H157" s="28" t="n">
        <v>1</v>
      </c>
      <c r="I157" s="28" t="n">
        <v>422</v>
      </c>
      <c r="J157" s="28" t="n">
        <v>435</v>
      </c>
      <c r="K157" s="28">
        <f>TABL12[[#This Row],[ (T/B) SAR]]+TABL12[[#This Row],[ (S/S) SAR]]</f>
        <v/>
      </c>
      <c r="L157" s="28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3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32">
        <f>TABL12[[#This Row],[(A/S) AJD]]-TABL12[[#This Row],[SER_IN]]</f>
        <v/>
      </c>
    </row>
    <row r="158">
      <c r="A158" s="2" t="n">
        <v>45814</v>
      </c>
      <c r="B158" s="28" t="n">
        <v>36</v>
      </c>
      <c r="C158" s="28" t="n">
        <v>284</v>
      </c>
      <c r="D158" s="28" t="n">
        <v>36</v>
      </c>
      <c r="E158" s="28" t="n">
        <v>0</v>
      </c>
      <c r="F158" s="28" t="n">
        <v>91</v>
      </c>
      <c r="G158" s="28" t="n">
        <v>539</v>
      </c>
      <c r="H158" s="28" t="n">
        <v>1</v>
      </c>
      <c r="I158" s="28" t="n">
        <v>415</v>
      </c>
      <c r="J158" s="28" t="n">
        <v>428</v>
      </c>
      <c r="K158" s="28">
        <f>TABL12[[#This Row],[ (T/B) SAR]]+TABL12[[#This Row],[ (S/S) SAR]]</f>
        <v/>
      </c>
      <c r="L158" s="28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3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32">
        <f>TABL12[[#This Row],[(A/S) AJD]]-TABL12[[#This Row],[SER_IN]]</f>
        <v/>
      </c>
    </row>
    <row r="159">
      <c r="A159" s="2" t="n">
        <v>45815</v>
      </c>
      <c r="B159" s="28" t="n">
        <v>36</v>
      </c>
      <c r="C159" s="28" t="n">
        <v>281</v>
      </c>
      <c r="D159" s="28" t="n">
        <v>36</v>
      </c>
      <c r="E159" s="28" t="n">
        <v>0</v>
      </c>
      <c r="F159" s="28" t="n">
        <v>91</v>
      </c>
      <c r="G159" s="28" t="n">
        <v>544</v>
      </c>
      <c r="H159" s="28" t="n">
        <v>1</v>
      </c>
      <c r="I159" s="28" t="n">
        <v>418</v>
      </c>
      <c r="J159" s="28" t="n">
        <v>432</v>
      </c>
      <c r="K159" s="28">
        <f>TABL12[[#This Row],[ (T/B) SAR]]+TABL12[[#This Row],[ (S/S) SAR]]</f>
        <v/>
      </c>
      <c r="L159" s="28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3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32">
        <f>TABL12[[#This Row],[(A/S) AJD]]-TABL12[[#This Row],[SER_IN]]</f>
        <v/>
      </c>
    </row>
    <row r="160">
      <c r="A160" s="2" t="n">
        <v>45816</v>
      </c>
      <c r="B160" s="28" t="n">
        <v>36</v>
      </c>
      <c r="C160" s="28" t="n">
        <v>265</v>
      </c>
      <c r="D160" s="28" t="n">
        <v>36</v>
      </c>
      <c r="E160" s="28" t="n">
        <v>0</v>
      </c>
      <c r="F160" s="28" t="n">
        <v>91</v>
      </c>
      <c r="G160" s="28" t="n">
        <v>543</v>
      </c>
      <c r="H160" s="28" t="n">
        <v>1</v>
      </c>
      <c r="I160" s="28" t="n">
        <v>416</v>
      </c>
      <c r="J160" s="28" t="n">
        <v>429</v>
      </c>
      <c r="K160" s="28">
        <f>TABL12[[#This Row],[ (T/B) SAR]]+TABL12[[#This Row],[ (S/S) SAR]]</f>
        <v/>
      </c>
      <c r="L160" s="28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3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32">
        <f>TABL12[[#This Row],[(A/S) AJD]]-TABL12[[#This Row],[SER_IN]]</f>
        <v/>
      </c>
    </row>
    <row r="161">
      <c r="A161" s="2" t="n">
        <v>45817</v>
      </c>
      <c r="B161" s="28" t="n">
        <v>33</v>
      </c>
      <c r="C161" s="28" t="n">
        <v>272</v>
      </c>
      <c r="D161" s="28" t="n">
        <v>34</v>
      </c>
      <c r="E161" s="28" t="n">
        <v>0</v>
      </c>
      <c r="F161" s="28" t="n">
        <v>91</v>
      </c>
      <c r="G161" s="28" t="n">
        <v>545</v>
      </c>
      <c r="H161" s="28" t="n">
        <v>1</v>
      </c>
      <c r="I161" s="28" t="n">
        <v>416</v>
      </c>
      <c r="J161" s="28" t="n">
        <v>428</v>
      </c>
      <c r="K161" s="28">
        <f>TABL12[[#This Row],[ (T/B) SAR]]+TABL12[[#This Row],[ (S/S) SAR]]</f>
        <v/>
      </c>
      <c r="L161" s="28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3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32">
        <f>TABL12[[#This Row],[(A/S) AJD]]-TABL12[[#This Row],[SER_IN]]</f>
        <v/>
      </c>
    </row>
    <row r="162">
      <c r="A162" s="2" t="n">
        <v>45818</v>
      </c>
      <c r="B162" s="28" t="n">
        <v>33</v>
      </c>
      <c r="C162" s="28" t="n">
        <v>271</v>
      </c>
      <c r="D162" s="28" t="n">
        <v>33</v>
      </c>
      <c r="E162" s="28" t="n">
        <v>0</v>
      </c>
      <c r="F162" s="28" t="n">
        <v>89</v>
      </c>
      <c r="G162" s="28" t="n">
        <v>550</v>
      </c>
      <c r="H162" s="28" t="n">
        <v>3</v>
      </c>
      <c r="I162" s="28" t="n">
        <v>417</v>
      </c>
      <c r="J162" s="28" t="n">
        <v>429</v>
      </c>
      <c r="K162" s="28">
        <f>TABL12[[#This Row],[ (T/B) SAR]]+TABL12[[#This Row],[ (S/S) SAR]]</f>
        <v/>
      </c>
      <c r="L162" s="28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3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32">
        <f>TABL12[[#This Row],[(A/S) AJD]]-TABL12[[#This Row],[SER_IN]]</f>
        <v/>
      </c>
    </row>
    <row r="163">
      <c r="A163" s="2" t="n">
        <v>45819</v>
      </c>
      <c r="B163" s="28" t="n">
        <v>34</v>
      </c>
      <c r="C163" s="28" t="n">
        <v>272</v>
      </c>
      <c r="D163" s="28" t="n">
        <v>34</v>
      </c>
      <c r="E163" s="28" t="n">
        <v>0</v>
      </c>
      <c r="F163" s="28" t="n">
        <v>91</v>
      </c>
      <c r="G163" s="28" t="n">
        <v>560</v>
      </c>
      <c r="H163" s="28" t="n">
        <v>1</v>
      </c>
      <c r="I163" s="28" t="n">
        <v>418</v>
      </c>
      <c r="J163" s="28" t="n">
        <v>428</v>
      </c>
      <c r="K163" s="28">
        <f>TABL12[[#This Row],[ (T/B) SAR]]+TABL12[[#This Row],[ (S/S) SAR]]</f>
        <v/>
      </c>
      <c r="L163" s="28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3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32">
        <f>TABL12[[#This Row],[(A/S) AJD]]-TABL12[[#This Row],[SER_IN]]</f>
        <v/>
      </c>
    </row>
    <row r="164">
      <c r="A164" s="2" t="n">
        <v>45820</v>
      </c>
      <c r="B164" s="28" t="n">
        <v>34</v>
      </c>
      <c r="C164" s="28" t="n">
        <v>289</v>
      </c>
      <c r="D164" s="28" t="n">
        <v>34</v>
      </c>
      <c r="E164" s="28" t="n">
        <v>0</v>
      </c>
      <c r="F164" s="28" t="n">
        <v>91</v>
      </c>
      <c r="G164" s="28" t="n">
        <v>567</v>
      </c>
      <c r="H164" s="28" t="n">
        <v>1</v>
      </c>
      <c r="I164" s="28" t="n">
        <v>416</v>
      </c>
      <c r="J164" s="28" t="n">
        <v>420</v>
      </c>
      <c r="K164" s="28">
        <f>TABL12[[#This Row],[ (T/B) SAR]]+TABL12[[#This Row],[ (S/S) SAR]]</f>
        <v/>
      </c>
      <c r="L164" s="28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3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32">
        <f>TABL12[[#This Row],[(A/S) AJD]]-TABL12[[#This Row],[SER_IN]]</f>
        <v/>
      </c>
    </row>
    <row r="165">
      <c r="A165" s="2" t="n">
        <v>45821</v>
      </c>
      <c r="B165" s="28" t="n">
        <v>34</v>
      </c>
      <c r="C165" s="28" t="n">
        <v>287</v>
      </c>
      <c r="D165" s="28" t="n">
        <v>34</v>
      </c>
      <c r="E165" s="28" t="n">
        <v>0</v>
      </c>
      <c r="F165" s="28" t="n">
        <v>91</v>
      </c>
      <c r="G165" s="28" t="n">
        <v>564</v>
      </c>
      <c r="H165" s="28" t="n">
        <v>1</v>
      </c>
      <c r="I165" s="28" t="n">
        <v>415</v>
      </c>
      <c r="J165" s="28" t="n">
        <v>419</v>
      </c>
      <c r="K165" s="28">
        <f>TABL12[[#This Row],[ (T/B) SAR]]+TABL12[[#This Row],[ (S/S) SAR]]</f>
        <v/>
      </c>
      <c r="L165" s="28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3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32">
        <f>TABL12[[#This Row],[(A/S) AJD]]-TABL12[[#This Row],[SER_IN]]</f>
        <v/>
      </c>
    </row>
    <row r="166">
      <c r="A166" s="2" t="n">
        <v>45822</v>
      </c>
      <c r="B166" s="28" t="n">
        <v>34</v>
      </c>
      <c r="C166" s="28" t="n">
        <v>274</v>
      </c>
      <c r="D166" s="28" t="n">
        <v>34</v>
      </c>
      <c r="E166" s="28" t="n">
        <v>0</v>
      </c>
      <c r="F166" s="28" t="n">
        <v>91</v>
      </c>
      <c r="G166" s="28" t="n">
        <v>565</v>
      </c>
      <c r="H166" s="28" t="n">
        <v>1</v>
      </c>
      <c r="I166" s="28" t="n">
        <v>416</v>
      </c>
      <c r="J166" s="28" t="n">
        <v>421</v>
      </c>
      <c r="K166" s="28">
        <f>TABL12[[#This Row],[ (T/B) SAR]]+TABL12[[#This Row],[ (S/S) SAR]]</f>
        <v/>
      </c>
      <c r="L166" s="28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3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32">
        <f>TABL12[[#This Row],[(A/S) AJD]]-TABL12[[#This Row],[SER_IN]]</f>
        <v/>
      </c>
    </row>
    <row r="167">
      <c r="A167" s="2" t="n">
        <v>45823</v>
      </c>
      <c r="B167" s="28" t="n">
        <v>32</v>
      </c>
      <c r="C167" s="28" t="n">
        <v>275</v>
      </c>
      <c r="D167" s="28" t="n">
        <v>34</v>
      </c>
      <c r="E167" s="28" t="n">
        <v>0</v>
      </c>
      <c r="F167" s="28" t="n">
        <v>91</v>
      </c>
      <c r="G167" s="28" t="n">
        <v>563</v>
      </c>
      <c r="H167" s="28" t="n">
        <v>1</v>
      </c>
      <c r="I167" s="28" t="n">
        <v>419</v>
      </c>
      <c r="J167" s="28" t="n">
        <v>415</v>
      </c>
      <c r="K167" s="28">
        <f>TABL12[[#This Row],[ (T/B) SAR]]+TABL12[[#This Row],[ (S/S) SAR]]</f>
        <v/>
      </c>
      <c r="L167" s="28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3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32">
        <f>TABL12[[#This Row],[(A/S) AJD]]-TABL12[[#This Row],[SER_IN]]</f>
        <v/>
      </c>
    </row>
    <row r="168">
      <c r="A168" s="2" t="n">
        <v>45824</v>
      </c>
      <c r="B168" s="28" t="n">
        <v>32</v>
      </c>
      <c r="C168" s="28" t="n">
        <v>257</v>
      </c>
      <c r="D168" s="28" t="n">
        <v>32</v>
      </c>
      <c r="E168" s="28" t="n">
        <v>0</v>
      </c>
      <c r="F168" s="28" t="n">
        <v>91</v>
      </c>
      <c r="G168" s="28" t="n">
        <v>573</v>
      </c>
      <c r="H168" s="28" t="n">
        <v>1</v>
      </c>
      <c r="I168" s="28" t="n">
        <v>420</v>
      </c>
      <c r="J168" s="28" t="n">
        <v>428</v>
      </c>
      <c r="K168" s="28">
        <f>TABL12[[#This Row],[ (T/B) SAR]]+TABL12[[#This Row],[ (S/S) SAR]]</f>
        <v/>
      </c>
      <c r="L168" s="28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3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32">
        <f>TABL12[[#This Row],[(A/S) AJD]]-TABL12[[#This Row],[SER_IN]]</f>
        <v/>
      </c>
    </row>
    <row r="169">
      <c r="A169" s="2" t="n">
        <v>45825</v>
      </c>
      <c r="B169" s="28" t="n">
        <v>32</v>
      </c>
      <c r="C169" s="28" t="n">
        <v>260</v>
      </c>
      <c r="D169" s="28" t="n">
        <v>31</v>
      </c>
      <c r="E169" s="28" t="n">
        <v>0</v>
      </c>
      <c r="F169" s="28" t="n">
        <v>91</v>
      </c>
      <c r="G169" s="28" t="n">
        <v>577</v>
      </c>
      <c r="H169" s="28" t="n">
        <v>1</v>
      </c>
      <c r="I169" s="28" t="n">
        <v>420</v>
      </c>
      <c r="J169" s="28" t="n">
        <v>428</v>
      </c>
      <c r="K169" s="28">
        <f>TABL12[[#This Row],[ (T/B) SAR]]+TABL12[[#This Row],[ (S/S) SAR]]</f>
        <v/>
      </c>
      <c r="L169" s="28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3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32">
        <f>TABL12[[#This Row],[(A/S) AJD]]-TABL12[[#This Row],[SER_IN]]</f>
        <v/>
      </c>
    </row>
    <row r="170">
      <c r="A170" s="2" t="n">
        <v>45826</v>
      </c>
      <c r="B170" s="28" t="n">
        <v>32</v>
      </c>
      <c r="C170" s="28" t="n">
        <v>262</v>
      </c>
      <c r="D170" s="28" t="n">
        <v>34</v>
      </c>
      <c r="E170" s="28" t="n">
        <v>0</v>
      </c>
      <c r="F170" s="28" t="n">
        <v>91</v>
      </c>
      <c r="G170" s="28" t="n">
        <v>606</v>
      </c>
      <c r="H170" s="28" t="n">
        <v>1</v>
      </c>
      <c r="I170" s="28" t="n">
        <v>437</v>
      </c>
      <c r="J170" s="28" t="n">
        <v>439</v>
      </c>
      <c r="K170" s="28">
        <f>TABL12[[#This Row],[ (T/B) SAR]]+TABL12[[#This Row],[ (S/S) SAR]]</f>
        <v/>
      </c>
      <c r="L170" s="28" t="n">
        <v>270</v>
      </c>
      <c r="M170" s="29" t="n">
        <v>22.1</v>
      </c>
      <c r="N170" s="30" t="n">
        <v>6.95</v>
      </c>
      <c r="O170" s="3" t="n">
        <v>376</v>
      </c>
      <c r="P170" s="3">
        <f>TABL12[[#This Row],[ (S/S) SAR]]-TABL12[[#This Row],[(S/S) AJD]]</f>
        <v/>
      </c>
      <c r="Q170" s="3" t="n">
        <v>423</v>
      </c>
      <c r="R170" s="3">
        <f>TABL12[[#This Row],[ (T/B) SAR]]-TABL12[[#This Row],[(T/B) AJD]]</f>
        <v/>
      </c>
      <c r="S170" s="3">
        <f>TABL12[[#This Row],[S/S_CON.]]+TABL12[[#This Row],[T/B-CON.]]</f>
        <v/>
      </c>
      <c r="T170" s="3">
        <f>O170+Q170</f>
        <v/>
      </c>
      <c r="U170" s="3" t="n">
        <v>531</v>
      </c>
      <c r="V170" s="3" t="n">
        <v>265</v>
      </c>
      <c r="W170" s="3">
        <f>U170+V170</f>
        <v/>
      </c>
      <c r="X170" s="3">
        <f>T170-W170</f>
        <v/>
      </c>
      <c r="Y170" s="4" t="n">
        <v>91.92</v>
      </c>
      <c r="Z170" s="3" t="n">
        <v>0</v>
      </c>
      <c r="AA170" s="3">
        <f>TABL12[[#This Row],[(RESV. STORGE) AJD]]/10</f>
        <v/>
      </c>
      <c r="AB170" s="3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32">
        <f>TABL12[[#This Row],[(A/S) AJD]]-TABL12[[#This Row],[SER_IN]]</f>
        <v/>
      </c>
    </row>
    <row r="171">
      <c r="A171" s="2" t="n">
        <v>45827</v>
      </c>
      <c r="B171" s="28" t="n">
        <v>34</v>
      </c>
      <c r="C171" s="28" t="n">
        <v>280</v>
      </c>
      <c r="D171" s="28" t="n">
        <v>34</v>
      </c>
      <c r="E171" s="28" t="n">
        <v>0</v>
      </c>
      <c r="F171" s="28" t="n">
        <v>91</v>
      </c>
      <c r="G171" s="28" t="n">
        <v>596</v>
      </c>
      <c r="H171" s="28" t="n">
        <v>1</v>
      </c>
      <c r="I171" s="28" t="n">
        <v>440</v>
      </c>
      <c r="J171" s="28" t="n">
        <v>427</v>
      </c>
      <c r="K171" s="28">
        <f>TABL12[[#This Row],[ (T/B) SAR]]+TABL12[[#This Row],[ (S/S) SAR]]</f>
        <v/>
      </c>
      <c r="L171" s="28" t="n">
        <v>271</v>
      </c>
      <c r="M171" s="29" t="n">
        <v>22.1</v>
      </c>
      <c r="N171" s="30" t="n">
        <v>7.03</v>
      </c>
      <c r="O171" s="3" t="n">
        <v>372</v>
      </c>
      <c r="P171" s="3">
        <f>TABL12[[#This Row],[ (S/S) SAR]]-TABL12[[#This Row],[(S/S) AJD]]</f>
        <v/>
      </c>
      <c r="Q171" s="3" t="n">
        <v>418</v>
      </c>
      <c r="R171" s="3">
        <f>TABL12[[#This Row],[ (T/B) SAR]]-TABL12[[#This Row],[(T/B) AJD]]</f>
        <v/>
      </c>
      <c r="S171" s="3">
        <f>TABL12[[#This Row],[S/S_CON.]]+TABL12[[#This Row],[T/B-CON.]]</f>
        <v/>
      </c>
      <c r="T171" s="3">
        <f>O171+Q171</f>
        <v/>
      </c>
      <c r="U171" s="3" t="n">
        <v>516</v>
      </c>
      <c r="V171" s="3" t="n">
        <v>268</v>
      </c>
      <c r="W171" s="3">
        <f>U171+V171</f>
        <v/>
      </c>
      <c r="X171" s="3">
        <f>T171-W171</f>
        <v/>
      </c>
      <c r="Y171" s="4" t="n">
        <v>91.92</v>
      </c>
      <c r="Z171" s="3" t="n">
        <v>0</v>
      </c>
      <c r="AA171" s="3">
        <f>TABL12[[#This Row],[(RESV. STORGE) AJD]]/10</f>
        <v/>
      </c>
      <c r="AB171" s="3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32">
        <f>TABL12[[#This Row],[(A/S) AJD]]-TABL12[[#This Row],[SER_IN]]</f>
        <v/>
      </c>
    </row>
    <row r="172">
      <c r="A172" s="2" t="n">
        <v>45828</v>
      </c>
      <c r="B172" s="28" t="n">
        <v>35</v>
      </c>
      <c r="C172" s="28" t="n">
        <v>292</v>
      </c>
      <c r="D172" s="28" t="n">
        <v>35</v>
      </c>
      <c r="E172" s="28" t="n">
        <v>0</v>
      </c>
      <c r="F172" s="28" t="n">
        <v>92</v>
      </c>
      <c r="G172" s="28" t="n">
        <v>603</v>
      </c>
      <c r="H172" s="28" t="n">
        <v>0</v>
      </c>
      <c r="I172" s="28" t="n">
        <v>444</v>
      </c>
      <c r="J172" s="28" t="n">
        <v>431</v>
      </c>
      <c r="K172" s="28">
        <f>TABL12[[#This Row],[ (T/B) SAR]]+TABL12[[#This Row],[ (S/S) SAR]]</f>
        <v/>
      </c>
      <c r="L172" s="28" t="n">
        <v>272</v>
      </c>
      <c r="M172" s="29" t="n">
        <v>22.1</v>
      </c>
      <c r="N172" s="30" t="n">
        <v>7.03</v>
      </c>
      <c r="O172" s="3" t="n">
        <v>374</v>
      </c>
      <c r="P172" s="3">
        <f>TABL12[[#This Row],[ (S/S) SAR]]-TABL12[[#This Row],[(S/S) AJD]]</f>
        <v/>
      </c>
      <c r="Q172" s="3" t="n">
        <v>420</v>
      </c>
      <c r="R172" s="3">
        <f>TABL12[[#This Row],[ (T/B) SAR]]-TABL12[[#This Row],[(T/B) AJD]]</f>
        <v/>
      </c>
      <c r="S172" s="3">
        <f>TABL12[[#This Row],[S/S_CON.]]+TABL12[[#This Row],[T/B-CON.]]</f>
        <v/>
      </c>
      <c r="T172" s="3">
        <f>O172+Q172</f>
        <v/>
      </c>
      <c r="U172" s="3" t="n">
        <v>526</v>
      </c>
      <c r="V172" s="3" t="n">
        <v>269</v>
      </c>
      <c r="W172" s="3">
        <f>U172+V172</f>
        <v/>
      </c>
      <c r="X172" s="3">
        <f>T172-W172</f>
        <v/>
      </c>
      <c r="Y172" s="4" t="n">
        <v>91.92</v>
      </c>
      <c r="Z172" s="3" t="n">
        <v>0</v>
      </c>
      <c r="AA172" s="3">
        <f>TABL12[[#This Row],[(RESV. STORGE) AJD]]/10</f>
        <v/>
      </c>
      <c r="AB172" s="3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32">
        <f>TABL12[[#This Row],[(A/S) AJD]]-TABL12[[#This Row],[SER_IN]]</f>
        <v/>
      </c>
    </row>
    <row r="173">
      <c r="A173" s="2" t="n">
        <v>45829</v>
      </c>
      <c r="B173" s="28" t="n">
        <v>34</v>
      </c>
      <c r="C173" s="28" t="n">
        <v>276</v>
      </c>
      <c r="D173" s="28" t="n">
        <v>36</v>
      </c>
      <c r="E173" s="28" t="n">
        <v>0</v>
      </c>
      <c r="F173" s="28" t="n">
        <v>92</v>
      </c>
      <c r="G173" s="28" t="n">
        <v>606</v>
      </c>
      <c r="H173" s="28" t="n">
        <v>0</v>
      </c>
      <c r="I173" s="28" t="n">
        <v>446</v>
      </c>
      <c r="J173" s="28" t="n">
        <v>431</v>
      </c>
      <c r="K173" s="28">
        <f>TABL12[[#This Row],[ (T/B) SAR]]+TABL12[[#This Row],[ (S/S) SAR]]</f>
        <v/>
      </c>
      <c r="L173" s="28" t="n">
        <v>271</v>
      </c>
      <c r="M173" s="29" t="n">
        <v>22.1</v>
      </c>
      <c r="N173" s="30" t="n">
        <v>7.02</v>
      </c>
      <c r="O173" s="3" t="n">
        <v>377</v>
      </c>
      <c r="P173" s="3">
        <f>TABL12[[#This Row],[ (S/S) SAR]]-TABL12[[#This Row],[(S/S) AJD]]</f>
        <v/>
      </c>
      <c r="Q173" s="3" t="n">
        <v>422</v>
      </c>
      <c r="R173" s="3">
        <f>TABL12[[#This Row],[ (T/B) SAR]]-TABL12[[#This Row],[(T/B) AJD]]</f>
        <v/>
      </c>
      <c r="S173" s="3">
        <f>TABL12[[#This Row],[S/S_CON.]]+TABL12[[#This Row],[T/B-CON.]]</f>
        <v/>
      </c>
      <c r="T173" s="3">
        <f>O173+Q173</f>
        <v/>
      </c>
      <c r="U173" s="3" t="n">
        <v>537</v>
      </c>
      <c r="V173" s="3" t="n">
        <v>265</v>
      </c>
      <c r="W173" s="3">
        <f>U173+V173</f>
        <v/>
      </c>
      <c r="X173" s="3">
        <f>T173-W173</f>
        <v/>
      </c>
      <c r="Y173" s="4" t="n">
        <v>91.92</v>
      </c>
      <c r="Z173" s="3" t="n">
        <v>0</v>
      </c>
      <c r="AA173" s="3">
        <f>TABL12[[#This Row],[(RESV. STORGE) AJD]]/10</f>
        <v/>
      </c>
      <c r="AB173" s="3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32">
        <f>TABL12[[#This Row],[(A/S) AJD]]-TABL12[[#This Row],[SER_IN]]</f>
        <v/>
      </c>
    </row>
    <row r="174">
      <c r="A174" s="2" t="n">
        <v>45830</v>
      </c>
      <c r="B174" s="28" t="n">
        <v>37</v>
      </c>
      <c r="C174" s="28" t="n">
        <v>284</v>
      </c>
      <c r="D174" s="28" t="n">
        <v>37</v>
      </c>
      <c r="E174" s="28" t="n">
        <v>0</v>
      </c>
      <c r="F174" s="28" t="n">
        <v>93</v>
      </c>
      <c r="G174" s="28" t="n">
        <v>599</v>
      </c>
      <c r="H174" s="28" t="n">
        <v>0</v>
      </c>
      <c r="I174" s="28" t="n">
        <v>443</v>
      </c>
      <c r="J174" s="28" t="n">
        <v>431</v>
      </c>
      <c r="K174" s="28">
        <f>TABL12[[#This Row],[ (T/B) SAR]]+TABL12[[#This Row],[ (S/S) SAR]]</f>
        <v/>
      </c>
      <c r="L174" s="28" t="n">
        <v>275</v>
      </c>
      <c r="M174" s="29" t="n">
        <v>22.1</v>
      </c>
      <c r="N174" s="30" t="n">
        <v>7.2</v>
      </c>
      <c r="O174" s="3" t="n">
        <v>381</v>
      </c>
      <c r="P174" s="3">
        <f>TABL12[[#This Row],[ (S/S) SAR]]-TABL12[[#This Row],[(S/S) AJD]]</f>
        <v/>
      </c>
      <c r="Q174" s="3" t="n">
        <v>425</v>
      </c>
      <c r="R174" s="3">
        <f>TABL12[[#This Row],[ (T/B) SAR]]-TABL12[[#This Row],[(T/B) AJD]]</f>
        <v/>
      </c>
      <c r="S174" s="3">
        <f>TABL12[[#This Row],[S/S_CON.]]+TABL12[[#This Row],[T/B-CON.]]</f>
        <v/>
      </c>
      <c r="T174" s="3">
        <f>O174+Q174</f>
        <v/>
      </c>
      <c r="U174" s="3" t="n">
        <v>527</v>
      </c>
      <c r="V174" s="3" t="n">
        <v>287</v>
      </c>
      <c r="W174" s="3">
        <f>U174+V174</f>
        <v/>
      </c>
      <c r="X174" s="3">
        <f>T174-W174</f>
        <v/>
      </c>
      <c r="Y174" s="4" t="n">
        <v>91.92</v>
      </c>
      <c r="Z174" s="3" t="n">
        <v>0</v>
      </c>
      <c r="AA174" s="3">
        <f>TABL12[[#This Row],[(RESV. STORGE) AJD]]/10</f>
        <v/>
      </c>
      <c r="AB174" s="3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32">
        <f>TABL12[[#This Row],[(A/S) AJD]]-TABL12[[#This Row],[SER_IN]]</f>
        <v/>
      </c>
    </row>
    <row r="175">
      <c r="A175" s="2" t="n">
        <v>45831</v>
      </c>
      <c r="B175" s="28" t="n">
        <v>37</v>
      </c>
      <c r="C175" s="28" t="n">
        <v>289</v>
      </c>
      <c r="D175" s="28" t="n">
        <v>37</v>
      </c>
      <c r="E175" s="28" t="n">
        <v>0</v>
      </c>
      <c r="F175" s="28" t="n">
        <v>94</v>
      </c>
      <c r="G175" s="28" t="n">
        <v>599</v>
      </c>
      <c r="H175" s="28" t="n">
        <v>0</v>
      </c>
      <c r="I175" s="28" t="n">
        <v>444</v>
      </c>
      <c r="J175" s="28" t="n">
        <v>431</v>
      </c>
      <c r="K175" s="28">
        <f>TABL12[[#This Row],[ (T/B) SAR]]+TABL12[[#This Row],[ (S/S) SAR]]</f>
        <v/>
      </c>
      <c r="L175" s="28" t="n">
        <v>276</v>
      </c>
      <c r="M175" s="29" t="n">
        <v>22.1</v>
      </c>
      <c r="N175" s="30" t="n">
        <v>7.3</v>
      </c>
      <c r="O175" s="3" t="n">
        <v>379</v>
      </c>
      <c r="P175" s="3">
        <f>TABL12[[#This Row],[ (S/S) SAR]]-TABL12[[#This Row],[(S/S) AJD]]</f>
        <v/>
      </c>
      <c r="Q175" s="3" t="n">
        <v>420</v>
      </c>
      <c r="R175" s="3">
        <f>TABL12[[#This Row],[ (T/B) SAR]]-TABL12[[#This Row],[(T/B) AJD]]</f>
        <v/>
      </c>
      <c r="S175" s="3">
        <f>TABL12[[#This Row],[S/S_CON.]]+TABL12[[#This Row],[T/B-CON.]]</f>
        <v/>
      </c>
      <c r="T175" s="3">
        <f>O175+Q175</f>
        <v/>
      </c>
      <c r="U175" s="3" t="n">
        <v>515</v>
      </c>
      <c r="V175" s="3" t="n">
        <v>277</v>
      </c>
      <c r="W175" s="3">
        <f>U175+V175</f>
        <v/>
      </c>
      <c r="X175" s="3">
        <f>T175-W175</f>
        <v/>
      </c>
      <c r="Y175" s="4" t="n">
        <v>91.92</v>
      </c>
      <c r="Z175" s="3" t="n">
        <v>0</v>
      </c>
      <c r="AA175" s="3">
        <f>TABL12[[#This Row],[(RESV. STORGE) AJD]]/10</f>
        <v/>
      </c>
      <c r="AB175" s="3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32">
        <f>TABL12[[#This Row],[(A/S) AJD]]-TABL12[[#This Row],[SER_IN]]</f>
        <v/>
      </c>
    </row>
    <row r="176">
      <c r="A176" s="2" t="n">
        <v>45832</v>
      </c>
      <c r="B176" s="28" t="n">
        <v>36</v>
      </c>
      <c r="C176" s="28" t="n">
        <v>285</v>
      </c>
      <c r="D176" s="28" t="n">
        <v>37</v>
      </c>
      <c r="E176" s="28" t="n">
        <v>0</v>
      </c>
      <c r="F176" s="28" t="n">
        <v>95</v>
      </c>
      <c r="G176" s="28" t="n">
        <v>589</v>
      </c>
      <c r="H176" s="28" t="n">
        <v>0</v>
      </c>
      <c r="I176" s="28" t="n">
        <v>443</v>
      </c>
      <c r="J176" s="28" t="n">
        <v>431</v>
      </c>
      <c r="K176" s="28">
        <f>TABL12[[#This Row],[ (T/B) SAR]]+TABL12[[#This Row],[ (S/S) SAR]]</f>
        <v/>
      </c>
      <c r="L176" s="28" t="n">
        <v>276</v>
      </c>
      <c r="M176" s="29" t="n">
        <v>22.1</v>
      </c>
      <c r="N176" s="30" t="n">
        <v>7.3</v>
      </c>
      <c r="O176" s="3" t="n">
        <v>381</v>
      </c>
      <c r="P176" s="3">
        <f>TABL12[[#This Row],[ (S/S) SAR]]-TABL12[[#This Row],[(S/S) AJD]]</f>
        <v/>
      </c>
      <c r="Q176" s="3" t="n">
        <v>422</v>
      </c>
      <c r="R176" s="3">
        <f>TABL12[[#This Row],[ (T/B) SAR]]-TABL12[[#This Row],[(T/B) AJD]]</f>
        <v/>
      </c>
      <c r="S176" s="3">
        <f>TABL12[[#This Row],[S/S_CON.]]+TABL12[[#This Row],[T/B-CON.]]</f>
        <v/>
      </c>
      <c r="T176" s="3">
        <f>O176+Q176</f>
        <v/>
      </c>
      <c r="U176" s="3" t="n">
        <v>537</v>
      </c>
      <c r="V176" s="3" t="n">
        <v>235</v>
      </c>
      <c r="W176" s="3">
        <f>U176+V176</f>
        <v/>
      </c>
      <c r="X176" s="3">
        <f>T176-W176</f>
        <v/>
      </c>
      <c r="Y176" s="4" t="n">
        <v>91.92</v>
      </c>
      <c r="Z176" s="3" t="n">
        <v>0</v>
      </c>
      <c r="AA176" s="3">
        <f>TABL12[[#This Row],[(RESV. STORGE) AJD]]/10</f>
        <v/>
      </c>
      <c r="AB176" s="3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32">
        <f>TABL12[[#This Row],[(A/S) AJD]]-TABL12[[#This Row],[SER_IN]]</f>
        <v/>
      </c>
    </row>
    <row r="177">
      <c r="A177" s="2" t="n">
        <v>45833</v>
      </c>
      <c r="B177" s="28" t="n">
        <v>37</v>
      </c>
      <c r="C177" s="28" t="n">
        <v>287</v>
      </c>
      <c r="D177" s="28" t="n">
        <v>37</v>
      </c>
      <c r="E177" s="28" t="n">
        <v>0</v>
      </c>
      <c r="F177" s="28" t="n">
        <v>96</v>
      </c>
      <c r="G177" s="28" t="n">
        <v>605</v>
      </c>
      <c r="H177" s="28" t="n">
        <v>0</v>
      </c>
      <c r="I177" s="28" t="n">
        <v>448</v>
      </c>
      <c r="J177" s="28" t="n">
        <v>435</v>
      </c>
      <c r="K177" s="28">
        <f>TABL12[[#This Row],[ (T/B) SAR]]+TABL12[[#This Row],[ (S/S) SAR]]</f>
        <v/>
      </c>
      <c r="L177" s="28" t="n">
        <v>278</v>
      </c>
      <c r="M177" s="29" t="n">
        <v>22.1</v>
      </c>
      <c r="N177" s="30" t="n">
        <v>7.4</v>
      </c>
      <c r="O177" s="3" t="n">
        <v>380</v>
      </c>
      <c r="P177" s="3">
        <f>TABL12[[#This Row],[ (S/S) SAR]]-TABL12[[#This Row],[(S/S) AJD]]</f>
        <v/>
      </c>
      <c r="Q177" s="3" t="n">
        <v>421</v>
      </c>
      <c r="R177" s="3">
        <f>TABL12[[#This Row],[ (T/B) SAR]]-TABL12[[#This Row],[(T/B) AJD]]</f>
        <v/>
      </c>
      <c r="S177" s="3">
        <f>TABL12[[#This Row],[S/S_CON.]]+TABL12[[#This Row],[T/B-CON.]]</f>
        <v/>
      </c>
      <c r="T177" s="3">
        <f>O177+Q177</f>
        <v/>
      </c>
      <c r="U177" s="3" t="n">
        <v>536</v>
      </c>
      <c r="V177" s="3" t="n">
        <v>270</v>
      </c>
      <c r="W177" s="3">
        <f>U177+V177</f>
        <v/>
      </c>
      <c r="X177" s="3">
        <f>T177-W177</f>
        <v/>
      </c>
      <c r="Y177" s="4" t="n">
        <v>91.92</v>
      </c>
      <c r="Z177" s="3" t="n">
        <v>0</v>
      </c>
      <c r="AA177" s="3">
        <f>TABL12[[#This Row],[(RESV. STORGE) AJD]]/10</f>
        <v/>
      </c>
      <c r="AB177" s="3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32">
        <f>TABL12[[#This Row],[(A/S) AJD]]-TABL12[[#This Row],[SER_IN]]</f>
        <v/>
      </c>
    </row>
    <row r="178">
      <c r="A178" s="2" t="n">
        <v>45834</v>
      </c>
      <c r="B178" s="28" t="n">
        <v>35</v>
      </c>
      <c r="C178" s="28" t="n">
        <v>277</v>
      </c>
      <c r="D178" s="28" t="n">
        <v>36</v>
      </c>
      <c r="E178" s="28" t="n">
        <v>0</v>
      </c>
      <c r="F178" s="28" t="n">
        <v>97</v>
      </c>
      <c r="G178" s="28" t="n">
        <v>636</v>
      </c>
      <c r="H178" s="28" t="n">
        <v>0</v>
      </c>
      <c r="I178" s="28" t="n">
        <v>466</v>
      </c>
      <c r="J178" s="28" t="n">
        <v>449</v>
      </c>
      <c r="K178" s="28">
        <f>TABL12[[#This Row],[ (T/B) SAR]]+TABL12[[#This Row],[ (S/S) SAR]]</f>
        <v/>
      </c>
      <c r="L178" s="28" t="n">
        <v>279</v>
      </c>
      <c r="M178" s="29" t="n">
        <v>22.1</v>
      </c>
      <c r="N178" s="30" t="n">
        <v>7.4</v>
      </c>
      <c r="O178" s="3" t="n">
        <v>388</v>
      </c>
      <c r="P178" s="3">
        <f>TABL12[[#This Row],[ (S/S) SAR]]-TABL12[[#This Row],[(S/S) AJD]]</f>
        <v/>
      </c>
      <c r="Q178" s="3" t="n">
        <v>430</v>
      </c>
      <c r="R178" s="3">
        <f>TABL12[[#This Row],[ (T/B) SAR]]-TABL12[[#This Row],[(T/B) AJD]]</f>
        <v/>
      </c>
      <c r="S178" s="3">
        <f>TABL12[[#This Row],[S/S_CON.]]+TABL12[[#This Row],[T/B-CON.]]</f>
        <v/>
      </c>
      <c r="T178" s="3">
        <f>O178+Q178</f>
        <v/>
      </c>
      <c r="U178" s="3" t="n">
        <v>487</v>
      </c>
      <c r="V178" s="3" t="n">
        <v>267</v>
      </c>
      <c r="W178" s="3">
        <f>U178+V178</f>
        <v/>
      </c>
      <c r="X178" s="3">
        <f>T178-W178</f>
        <v/>
      </c>
      <c r="Y178" s="4" t="n">
        <v>91.92</v>
      </c>
      <c r="Z178" s="3" t="n">
        <v>0</v>
      </c>
      <c r="AA178" s="3">
        <f>TABL12[[#This Row],[(RESV. STORGE) AJD]]/10</f>
        <v/>
      </c>
      <c r="AB178" s="3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32">
        <f>TABL12[[#This Row],[(A/S) AJD]]-TABL12[[#This Row],[SER_IN]]</f>
        <v/>
      </c>
    </row>
    <row r="179">
      <c r="A179" s="2" t="n">
        <v>45835</v>
      </c>
      <c r="B179" s="28" t="n">
        <v>36</v>
      </c>
      <c r="C179" s="28" t="n">
        <v>293</v>
      </c>
      <c r="D179" s="28" t="n">
        <v>36</v>
      </c>
      <c r="E179" s="28" t="n">
        <v>0</v>
      </c>
      <c r="F179" s="28" t="n">
        <v>96</v>
      </c>
      <c r="G179" s="28" t="n">
        <v>637</v>
      </c>
      <c r="H179" s="28" t="n">
        <v>1</v>
      </c>
      <c r="I179" s="28" t="n">
        <v>462</v>
      </c>
      <c r="J179" s="28" t="n">
        <v>445</v>
      </c>
      <c r="K179" s="28">
        <f>TABL12[[#This Row],[ (T/B) SAR]]+TABL12[[#This Row],[ (S/S) SAR]]</f>
        <v/>
      </c>
      <c r="L179" s="28" t="n">
        <v>270</v>
      </c>
      <c r="M179" s="29" t="n">
        <v>22.1</v>
      </c>
      <c r="N179" s="30" t="n">
        <v>7.4</v>
      </c>
      <c r="O179" s="3" t="n">
        <v>395</v>
      </c>
      <c r="P179" s="3">
        <f>TABL12[[#This Row],[ (S/S) SAR]]-TABL12[[#This Row],[(S/S) AJD]]</f>
        <v/>
      </c>
      <c r="Q179" s="3" t="n">
        <v>435</v>
      </c>
      <c r="R179" s="3">
        <f>TABL12[[#This Row],[ (T/B) SAR]]-TABL12[[#This Row],[(T/B) AJD]]</f>
        <v/>
      </c>
      <c r="S179" s="3">
        <f>TABL12[[#This Row],[S/S_CON.]]+TABL12[[#This Row],[T/B-CON.]]</f>
        <v/>
      </c>
      <c r="T179" s="3">
        <f>O179+Q179</f>
        <v/>
      </c>
      <c r="U179" s="3" t="n">
        <v>495</v>
      </c>
      <c r="V179" s="3" t="n">
        <v>265</v>
      </c>
      <c r="W179" s="3">
        <f>U179+V179</f>
        <v/>
      </c>
      <c r="X179" s="3">
        <f>T179-W179</f>
        <v/>
      </c>
      <c r="Y179" s="4" t="n">
        <v>91.92</v>
      </c>
      <c r="Z179" s="3" t="n">
        <v>0</v>
      </c>
      <c r="AA179" s="3">
        <f>TABL12[[#This Row],[(RESV. STORGE) AJD]]/10</f>
        <v/>
      </c>
      <c r="AB179" s="3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32">
        <f>TABL12[[#This Row],[(A/S) AJD]]-TABL12[[#This Row],[SER_IN]]</f>
        <v/>
      </c>
    </row>
    <row r="180">
      <c r="A180" s="2" t="n">
        <v>45836</v>
      </c>
      <c r="B180" s="28" t="n">
        <v>36</v>
      </c>
      <c r="C180" s="28" t="n">
        <v>283</v>
      </c>
      <c r="D180" s="28" t="n">
        <v>36</v>
      </c>
      <c r="E180" s="28" t="n">
        <v>0</v>
      </c>
      <c r="F180" s="28" t="n">
        <v>99</v>
      </c>
      <c r="G180" s="28" t="n">
        <v>657</v>
      </c>
      <c r="H180" s="28" t="n">
        <v>0</v>
      </c>
      <c r="I180" s="28" t="n">
        <v>480</v>
      </c>
      <c r="J180" s="28" t="n">
        <v>457</v>
      </c>
      <c r="K180" s="28">
        <f>TABL12[[#This Row],[ (T/B) SAR]]+TABL12[[#This Row],[ (S/S) SAR]]</f>
        <v/>
      </c>
      <c r="L180" s="28" t="n">
        <v>280</v>
      </c>
      <c r="M180" s="29" t="n">
        <v>22.1</v>
      </c>
      <c r="N180" s="30" t="n">
        <v>7.5</v>
      </c>
      <c r="O180" s="3" t="n">
        <v>398</v>
      </c>
      <c r="P180" s="3">
        <f>TABL12[[#This Row],[ (S/S) SAR]]-TABL12[[#This Row],[(S/S) AJD]]</f>
        <v/>
      </c>
      <c r="Q180" s="3" t="n">
        <v>440</v>
      </c>
      <c r="R180" s="3">
        <f>TABL12[[#This Row],[ (T/B) SAR]]-TABL12[[#This Row],[(T/B) AJD]]</f>
        <v/>
      </c>
      <c r="S180" s="3">
        <f>TABL12[[#This Row],[S/S_CON.]]+TABL12[[#This Row],[T/B-CON.]]</f>
        <v/>
      </c>
      <c r="T180" s="3">
        <f>O180+Q180</f>
        <v/>
      </c>
      <c r="U180" s="3" t="n">
        <v>508</v>
      </c>
      <c r="V180" s="3" t="n">
        <v>248</v>
      </c>
      <c r="W180" s="3">
        <f>U180+V180</f>
        <v/>
      </c>
      <c r="X180" s="3">
        <f>T180-W180</f>
        <v/>
      </c>
      <c r="Y180" s="4" t="n">
        <v>91.92</v>
      </c>
      <c r="Z180" s="3" t="n">
        <v>0</v>
      </c>
      <c r="AA180" s="3">
        <f>TABL12[[#This Row],[(RESV. STORGE) AJD]]/10</f>
        <v/>
      </c>
      <c r="AB180" s="3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32">
        <f>TABL12[[#This Row],[(A/S) AJD]]-TABL12[[#This Row],[SER_IN]]</f>
        <v/>
      </c>
    </row>
    <row r="181">
      <c r="A181" s="2" t="n">
        <v>45837</v>
      </c>
      <c r="B181" s="28" t="n">
        <v>36</v>
      </c>
      <c r="C181" s="28" t="n">
        <v>288</v>
      </c>
      <c r="D181" s="28" t="n">
        <v>36</v>
      </c>
      <c r="E181" s="28" t="n">
        <v>0</v>
      </c>
      <c r="F181" s="28" t="n">
        <v>99</v>
      </c>
      <c r="G181" s="28" t="n">
        <v>651</v>
      </c>
      <c r="H181" s="28" t="n">
        <v>0</v>
      </c>
      <c r="I181" s="28" t="n">
        <v>473</v>
      </c>
      <c r="J181" s="28" t="n">
        <v>457</v>
      </c>
      <c r="K181" s="28">
        <f>TABL12[[#This Row],[ (T/B) SAR]]+TABL12[[#This Row],[ (S/S) SAR]]</f>
        <v/>
      </c>
      <c r="L181" s="28" t="n">
        <v>279</v>
      </c>
      <c r="M181" s="29" t="n">
        <v>22.1</v>
      </c>
      <c r="N181" s="30" t="n">
        <v>7.5</v>
      </c>
      <c r="O181" s="3" t="n">
        <v>405</v>
      </c>
      <c r="P181" s="3">
        <f>TABL12[[#This Row],[ (S/S) SAR]]-TABL12[[#This Row],[(S/S) AJD]]</f>
        <v/>
      </c>
      <c r="Q181" s="3" t="n">
        <v>446</v>
      </c>
      <c r="R181" s="3">
        <f>TABL12[[#This Row],[ (T/B) SAR]]-TABL12[[#This Row],[(T/B) AJD]]</f>
        <v/>
      </c>
      <c r="S181" s="3">
        <f>TABL12[[#This Row],[S/S_CON.]]+TABL12[[#This Row],[T/B-CON.]]</f>
        <v/>
      </c>
      <c r="T181" s="3">
        <f>O181+Q181</f>
        <v/>
      </c>
      <c r="U181" s="3" t="n">
        <v>528</v>
      </c>
      <c r="V181" s="3" t="n">
        <v>258</v>
      </c>
      <c r="W181" s="3">
        <f>U181+V181</f>
        <v/>
      </c>
      <c r="X181" s="3">
        <f>T181-W181</f>
        <v/>
      </c>
      <c r="Y181" s="4" t="n">
        <v>91.923</v>
      </c>
      <c r="Z181" s="3" t="n">
        <v>154284</v>
      </c>
      <c r="AA181" s="3">
        <f>TABL12[[#This Row],[(RESV. STORGE) AJD]]/10</f>
        <v/>
      </c>
      <c r="AB181" s="3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32">
        <f>TABL12[[#This Row],[(A/S) AJD]]-TABL12[[#This Row],[SER_IN]]</f>
        <v/>
      </c>
    </row>
    <row r="182">
      <c r="A182" s="2" t="n">
        <v>45838</v>
      </c>
      <c r="B182" s="28" t="n">
        <v>36</v>
      </c>
      <c r="C182" s="28" t="n">
        <v>275</v>
      </c>
      <c r="D182" s="28" t="n">
        <v>36</v>
      </c>
      <c r="E182" s="28" t="n">
        <v>0</v>
      </c>
      <c r="F182" s="28" t="n">
        <v>100</v>
      </c>
      <c r="G182" s="28" t="n">
        <v>657</v>
      </c>
      <c r="H182" s="28" t="n">
        <v>0</v>
      </c>
      <c r="I182" s="28" t="n">
        <v>477</v>
      </c>
      <c r="J182" s="28" t="n">
        <v>461</v>
      </c>
      <c r="K182" s="28">
        <f>TABL12[[#This Row],[ (T/B) SAR]]+TABL12[[#This Row],[ (S/S) SAR]]</f>
        <v/>
      </c>
      <c r="L182" s="28" t="n">
        <v>281</v>
      </c>
      <c r="M182" s="29" t="n">
        <v>22.1</v>
      </c>
      <c r="N182" s="30" t="n">
        <v>7.6</v>
      </c>
      <c r="O182" s="3" t="n">
        <v>407</v>
      </c>
      <c r="P182" s="3">
        <f>TABL12[[#This Row],[ (S/S) SAR]]-TABL12[[#This Row],[(S/S) AJD]]</f>
        <v/>
      </c>
      <c r="Q182" s="3" t="n">
        <v>448</v>
      </c>
      <c r="R182" s="3">
        <f>TABL12[[#This Row],[ (T/B) SAR]]-TABL12[[#This Row],[(T/B) AJD]]</f>
        <v/>
      </c>
      <c r="S182" s="3">
        <f>TABL12[[#This Row],[S/S_CON.]]+TABL12[[#This Row],[T/B-CON.]]</f>
        <v/>
      </c>
      <c r="T182" s="3">
        <f>O182+Q182</f>
        <v/>
      </c>
      <c r="U182" s="3" t="n">
        <v>528</v>
      </c>
      <c r="V182" s="3" t="n">
        <v>273</v>
      </c>
      <c r="W182" s="3">
        <f>U182+V182</f>
        <v/>
      </c>
      <c r="X182" s="3">
        <f>T182-W182</f>
        <v/>
      </c>
      <c r="Y182" s="4" t="n">
        <v>91.97799999999999</v>
      </c>
      <c r="Z182" s="3" t="n">
        <v>186798</v>
      </c>
      <c r="AA182" s="3">
        <f>TABL12[[#This Row],[(RESV. STORGE) AJD]]/10</f>
        <v/>
      </c>
      <c r="AB182" s="3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32">
        <f>TABL12[[#This Row],[(A/S) AJD]]-TABL12[[#This Row],[SER_IN]]</f>
        <v/>
      </c>
    </row>
    <row r="183" ht="15.75" customHeight="1">
      <c r="A183" s="2" t="n">
        <v>45839</v>
      </c>
      <c r="B183" s="28" t="n">
        <v>36</v>
      </c>
      <c r="C183" s="28" t="n">
        <v>273</v>
      </c>
      <c r="D183" s="28" t="n">
        <v>36</v>
      </c>
      <c r="E183" s="28" t="n">
        <v>0</v>
      </c>
      <c r="F183" s="28" t="n">
        <v>101</v>
      </c>
      <c r="G183" s="28" t="n">
        <v>655</v>
      </c>
      <c r="H183" s="28" t="n">
        <v>0</v>
      </c>
      <c r="I183" s="28" t="n">
        <v>475</v>
      </c>
      <c r="J183" s="28" t="n">
        <v>461</v>
      </c>
      <c r="K183" s="28">
        <f>TABL12[[#This Row],[ (T/B) SAR]]+TABL12[[#This Row],[ (S/S) SAR]]</f>
        <v/>
      </c>
      <c r="L183" s="28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3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32">
        <f>TABL12[[#This Row],[(A/S) AJD]]-TABL12[[#This Row],[SER_IN]]</f>
        <v/>
      </c>
    </row>
    <row r="184" ht="15.75" customHeight="1">
      <c r="A184" s="2" t="n">
        <v>45840</v>
      </c>
      <c r="B184" s="28" t="n">
        <v>33</v>
      </c>
      <c r="C184" s="28" t="n">
        <v>274</v>
      </c>
      <c r="D184" s="28" t="n">
        <v>33</v>
      </c>
      <c r="E184" s="28" t="n">
        <v>0</v>
      </c>
      <c r="F184" s="28" t="n">
        <v>101</v>
      </c>
      <c r="G184" s="28" t="n">
        <v>661</v>
      </c>
      <c r="H184" s="28" t="n">
        <v>0</v>
      </c>
      <c r="I184" s="28" t="n">
        <v>478</v>
      </c>
      <c r="J184" s="28" t="n">
        <v>462</v>
      </c>
      <c r="K184" s="28">
        <f>TABL12[[#This Row],[ (T/B) SAR]]+TABL12[[#This Row],[ (S/S) SAR]]</f>
        <v/>
      </c>
      <c r="L184" s="28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3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32">
        <f>TABL12[[#This Row],[(A/S) AJD]]-TABL12[[#This Row],[SER_IN]]</f>
        <v/>
      </c>
    </row>
    <row r="185" ht="15.75" customHeight="1">
      <c r="A185" s="2" t="n">
        <v>45841</v>
      </c>
      <c r="B185" s="28" t="n">
        <v>33</v>
      </c>
      <c r="C185" s="28" t="n">
        <v>274</v>
      </c>
      <c r="D185" s="28" t="n">
        <v>33</v>
      </c>
      <c r="E185" s="28" t="n">
        <v>0</v>
      </c>
      <c r="F185" s="28" t="n">
        <v>102</v>
      </c>
      <c r="G185" s="28" t="n">
        <v>659</v>
      </c>
      <c r="H185" s="28" t="n">
        <v>0</v>
      </c>
      <c r="I185" s="28" t="n">
        <v>479</v>
      </c>
      <c r="J185" s="28" t="n">
        <v>459</v>
      </c>
      <c r="K185" s="28">
        <f>TABL12[[#This Row],[ (T/B) SAR]]+TABL12[[#This Row],[ (S/S) SAR]]</f>
        <v/>
      </c>
      <c r="L185" s="28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3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32">
        <f>TABL12[[#This Row],[(A/S) AJD]]-TABL12[[#This Row],[SER_IN]]</f>
        <v/>
      </c>
    </row>
    <row r="186" ht="15.75" customHeight="1">
      <c r="A186" s="2" t="n">
        <v>45842</v>
      </c>
      <c r="B186" s="28" t="n">
        <v>32</v>
      </c>
      <c r="C186" s="28" t="n">
        <v>263</v>
      </c>
      <c r="D186" s="28" t="n">
        <v>33</v>
      </c>
      <c r="E186" s="28" t="n">
        <v>0</v>
      </c>
      <c r="F186" s="28" t="n">
        <v>102</v>
      </c>
      <c r="G186" s="28" t="n">
        <v>661</v>
      </c>
      <c r="H186" s="28" t="n">
        <v>0</v>
      </c>
      <c r="I186" s="28" t="n">
        <v>477</v>
      </c>
      <c r="J186" s="28" t="n">
        <v>461</v>
      </c>
      <c r="K186" s="28">
        <f>TABL12[[#This Row],[ (T/B) SAR]]+TABL12[[#This Row],[ (S/S) SAR]]</f>
        <v/>
      </c>
      <c r="L186" s="28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3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32">
        <f>TABL12[[#This Row],[(A/S) AJD]]-TABL12[[#This Row],[SER_IN]]</f>
        <v/>
      </c>
    </row>
    <row r="187" ht="15.75" customHeight="1">
      <c r="A187" s="2" t="n">
        <v>45843</v>
      </c>
      <c r="B187" s="28" t="n">
        <v>32</v>
      </c>
      <c r="C187" s="28" t="n">
        <v>259</v>
      </c>
      <c r="D187" s="28" t="n">
        <v>32</v>
      </c>
      <c r="E187" s="28" t="n">
        <v>0</v>
      </c>
      <c r="F187" s="28" t="n">
        <v>102</v>
      </c>
      <c r="G187" s="28" t="n">
        <v>661</v>
      </c>
      <c r="H187" s="28" t="n">
        <v>0</v>
      </c>
      <c r="I187" s="28" t="n">
        <v>476</v>
      </c>
      <c r="J187" s="28" t="n">
        <v>462</v>
      </c>
      <c r="K187" s="28">
        <f>TABL12[[#This Row],[ (T/B) SAR]]+TABL12[[#This Row],[ (S/S) SAR]]</f>
        <v/>
      </c>
      <c r="L187" s="28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3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32">
        <f>TABL12[[#This Row],[(A/S) AJD]]-TABL12[[#This Row],[SER_IN]]</f>
        <v/>
      </c>
    </row>
    <row r="188" ht="15.75" customHeight="1">
      <c r="A188" s="2" t="n">
        <v>45844</v>
      </c>
      <c r="B188" s="28" t="n">
        <v>32</v>
      </c>
      <c r="C188" s="28" t="n">
        <v>252</v>
      </c>
      <c r="D188" s="28" t="n">
        <v>32</v>
      </c>
      <c r="E188" s="28" t="n">
        <v>0</v>
      </c>
      <c r="F188" s="28" t="n">
        <v>102</v>
      </c>
      <c r="G188" s="28" t="n">
        <v>660</v>
      </c>
      <c r="H188" s="28" t="n">
        <v>0</v>
      </c>
      <c r="I188" s="28" t="n">
        <v>475</v>
      </c>
      <c r="J188" s="28" t="n">
        <v>460</v>
      </c>
      <c r="K188" s="28">
        <f>TABL12[[#This Row],[ (T/B) SAR]]+TABL12[[#This Row],[ (S/S) SAR]]</f>
        <v/>
      </c>
      <c r="L188" s="28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3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32">
        <f>TABL12[[#This Row],[(A/S) AJD]]-TABL12[[#This Row],[SER_IN]]</f>
        <v/>
      </c>
    </row>
    <row r="189" ht="15.75" customHeight="1">
      <c r="A189" s="2" t="n">
        <v>45845</v>
      </c>
      <c r="B189" s="28" t="n">
        <v>36</v>
      </c>
      <c r="C189" s="28" t="n">
        <v>251</v>
      </c>
      <c r="D189" s="28" t="n">
        <v>32</v>
      </c>
      <c r="E189" s="28" t="n">
        <v>0</v>
      </c>
      <c r="F189" s="28" t="n">
        <v>102</v>
      </c>
      <c r="G189" s="28" t="n">
        <v>652</v>
      </c>
      <c r="H189" s="28" t="n">
        <v>0</v>
      </c>
      <c r="I189" s="28" t="n">
        <v>470</v>
      </c>
      <c r="J189" s="28" t="n">
        <v>455</v>
      </c>
      <c r="K189" s="28">
        <f>TABL12[[#This Row],[ (T/B) SAR]]+TABL12[[#This Row],[ (S/S) SAR]]</f>
        <v/>
      </c>
      <c r="L189" s="28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3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32">
        <f>TABL12[[#This Row],[(A/S) AJD]]-TABL12[[#This Row],[SER_IN]]</f>
        <v/>
      </c>
    </row>
    <row r="190" ht="15.75" customHeight="1">
      <c r="A190" s="2" t="n">
        <v>45846</v>
      </c>
      <c r="B190" s="28" t="n">
        <v>30</v>
      </c>
      <c r="C190" s="28" t="n">
        <v>243</v>
      </c>
      <c r="D190" s="28" t="n">
        <v>31</v>
      </c>
      <c r="E190" s="28" t="n">
        <v>0</v>
      </c>
      <c r="F190" s="28" t="n">
        <v>102</v>
      </c>
      <c r="G190" s="28" t="n">
        <v>658</v>
      </c>
      <c r="H190" s="28" t="n">
        <v>0</v>
      </c>
      <c r="I190" s="28" t="n">
        <v>471</v>
      </c>
      <c r="J190" s="28" t="n">
        <v>458</v>
      </c>
      <c r="K190" s="28">
        <f>TABL12[[#This Row],[ (T/B) SAR]]+TABL12[[#This Row],[ (S/S) SAR]]</f>
        <v/>
      </c>
      <c r="L190" s="28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3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32">
        <f>TABL12[[#This Row],[(A/S) AJD]]-TABL12[[#This Row],[SER_IN]]</f>
        <v/>
      </c>
    </row>
    <row r="191" ht="15.75" customHeight="1">
      <c r="A191" s="2" t="n">
        <v>45847</v>
      </c>
      <c r="B191" s="28" t="n">
        <v>30</v>
      </c>
      <c r="C191" s="28" t="n">
        <v>242</v>
      </c>
      <c r="D191" s="28" t="n">
        <v>31</v>
      </c>
      <c r="E191" s="28" t="n">
        <v>0</v>
      </c>
      <c r="F191" s="28" t="n">
        <v>102</v>
      </c>
      <c r="G191" s="28" t="n">
        <v>677</v>
      </c>
      <c r="H191" s="28" t="n">
        <v>0</v>
      </c>
      <c r="I191" s="28" t="n">
        <v>490</v>
      </c>
      <c r="J191" s="28" t="n">
        <v>458</v>
      </c>
      <c r="K191" s="28">
        <f>TABL12[[#This Row],[ (T/B) SAR]]+TABL12[[#This Row],[ (S/S) SAR]]</f>
        <v/>
      </c>
      <c r="L191" s="28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3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32">
        <f>TABL12[[#This Row],[(A/S) AJD]]-TABL12[[#This Row],[SER_IN]]</f>
        <v/>
      </c>
    </row>
    <row r="192" ht="15.75" customHeight="1">
      <c r="A192" s="2" t="n">
        <v>45848</v>
      </c>
      <c r="B192" s="28" t="n">
        <v>31</v>
      </c>
      <c r="C192" s="28" t="n">
        <v>251</v>
      </c>
      <c r="D192" s="28" t="n">
        <v>31</v>
      </c>
      <c r="E192" s="28" t="n">
        <v>0</v>
      </c>
      <c r="F192" s="28" t="n">
        <v>102</v>
      </c>
      <c r="G192" s="28" t="n">
        <v>668</v>
      </c>
      <c r="H192" s="28" t="n">
        <v>0</v>
      </c>
      <c r="I192" s="28" t="n">
        <v>461</v>
      </c>
      <c r="J192" s="28" t="n">
        <v>456</v>
      </c>
      <c r="K192" s="28">
        <f>TABL12[[#This Row],[ (T/B) SAR]]+TABL12[[#This Row],[ (S/S) SAR]]</f>
        <v/>
      </c>
      <c r="L192" s="28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3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32">
        <f>TABL12[[#This Row],[(A/S) AJD]]-TABL12[[#This Row],[SER_IN]]</f>
        <v/>
      </c>
    </row>
    <row r="193" ht="15.75" customHeight="1">
      <c r="A193" s="2" t="n">
        <v>45849</v>
      </c>
      <c r="B193" s="28" t="n">
        <v>31</v>
      </c>
      <c r="C193" s="28" t="n">
        <v>257</v>
      </c>
      <c r="D193" s="28" t="n">
        <v>31</v>
      </c>
      <c r="E193" s="28" t="n">
        <v>0</v>
      </c>
      <c r="F193" s="28" t="n">
        <v>102</v>
      </c>
      <c r="G193" s="28" t="n">
        <v>668</v>
      </c>
      <c r="H193" s="28" t="n">
        <v>0</v>
      </c>
      <c r="I193" s="28" t="n">
        <v>470</v>
      </c>
      <c r="J193" s="28" t="n">
        <v>453</v>
      </c>
      <c r="K193" s="28">
        <f>TABL12[[#This Row],[ (T/B) SAR]]+TABL12[[#This Row],[ (S/S) SAR]]</f>
        <v/>
      </c>
      <c r="L193" s="28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3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32">
        <f>TABL12[[#This Row],[(A/S) AJD]]-TABL12[[#This Row],[SER_IN]]</f>
        <v/>
      </c>
    </row>
    <row r="194" ht="15.75" customHeight="1">
      <c r="A194" s="2" t="n">
        <v>45850</v>
      </c>
      <c r="B194" s="28" t="n">
        <v>31</v>
      </c>
      <c r="C194" s="28" t="n">
        <v>259</v>
      </c>
      <c r="D194" s="28" t="n">
        <v>31</v>
      </c>
      <c r="E194" s="28" t="n">
        <v>0</v>
      </c>
      <c r="F194" s="28" t="n">
        <v>102</v>
      </c>
      <c r="G194" s="28" t="n">
        <v>669</v>
      </c>
      <c r="H194" s="28" t="n">
        <v>0</v>
      </c>
      <c r="I194" s="28" t="n">
        <v>468</v>
      </c>
      <c r="J194" s="28" t="n">
        <v>448</v>
      </c>
      <c r="K194" s="28">
        <f>TABL12[[#This Row],[ (T/B) SAR]]+TABL12[[#This Row],[ (S/S) SAR]]</f>
        <v/>
      </c>
      <c r="L194" s="28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3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32">
        <f>TABL12[[#This Row],[(A/S) AJD]]-TABL12[[#This Row],[SER_IN]]</f>
        <v/>
      </c>
    </row>
    <row r="195" ht="15.75" customHeight="1">
      <c r="A195" s="2" t="n">
        <v>45851</v>
      </c>
      <c r="B195" s="28" t="n">
        <v>30</v>
      </c>
      <c r="C195" s="28" t="n">
        <v>258</v>
      </c>
      <c r="D195" s="28" t="n">
        <v>30</v>
      </c>
      <c r="E195" s="28" t="n">
        <v>0</v>
      </c>
      <c r="F195" s="28" t="n">
        <v>102</v>
      </c>
      <c r="G195" s="28" t="n">
        <v>668</v>
      </c>
      <c r="H195" s="28" t="n">
        <v>0</v>
      </c>
      <c r="I195" s="28" t="n">
        <v>466</v>
      </c>
      <c r="J195" s="28" t="n">
        <v>449</v>
      </c>
      <c r="K195" s="28">
        <f>TABL12[[#This Row],[ (T/B) SAR]]+TABL12[[#This Row],[ (S/S) SAR]]</f>
        <v/>
      </c>
      <c r="L195" s="28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3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32">
        <f>TABL12[[#This Row],[(A/S) AJD]]-TABL12[[#This Row],[SER_IN]]</f>
        <v/>
      </c>
    </row>
    <row r="196" ht="15.75" customHeight="1">
      <c r="A196" s="2" t="n">
        <v>45852</v>
      </c>
      <c r="B196" s="28" t="n">
        <v>30</v>
      </c>
      <c r="C196" s="28" t="n">
        <v>256</v>
      </c>
      <c r="D196" s="28" t="n">
        <v>30</v>
      </c>
      <c r="E196" s="28" t="n">
        <v>0</v>
      </c>
      <c r="F196" s="28" t="n">
        <v>102</v>
      </c>
      <c r="G196" s="28" t="n">
        <v>662</v>
      </c>
      <c r="H196" s="28" t="n">
        <v>0</v>
      </c>
      <c r="I196" s="28" t="n">
        <v>465</v>
      </c>
      <c r="J196" s="28" t="n">
        <v>446</v>
      </c>
      <c r="K196" s="28">
        <f>TABL12[[#This Row],[ (T/B) SAR]]+TABL12[[#This Row],[ (S/S) SAR]]</f>
        <v/>
      </c>
      <c r="L196" s="28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3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32">
        <f>TABL12[[#This Row],[(A/S) AJD]]-TABL12[[#This Row],[SER_IN]]</f>
        <v/>
      </c>
    </row>
    <row r="197" ht="15.75" customHeight="1">
      <c r="A197" s="2" t="n">
        <v>45853</v>
      </c>
      <c r="B197" s="28" t="n">
        <v>30</v>
      </c>
      <c r="C197" s="28" t="n">
        <v>251</v>
      </c>
      <c r="D197" s="28" t="n">
        <v>30</v>
      </c>
      <c r="E197" s="28" t="n">
        <v>0</v>
      </c>
      <c r="F197" s="28" t="n">
        <v>101</v>
      </c>
      <c r="G197" s="28" t="n">
        <v>669</v>
      </c>
      <c r="H197" s="28" t="n">
        <v>1</v>
      </c>
      <c r="I197" s="28" t="n">
        <v>467</v>
      </c>
      <c r="J197" s="28" t="n">
        <v>451</v>
      </c>
      <c r="K197" s="28">
        <f>TABL12[[#This Row],[ (T/B) SAR]]+TABL12[[#This Row],[ (S/S) SAR]]</f>
        <v/>
      </c>
      <c r="L197" s="28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3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32">
        <f>TABL12[[#This Row],[(A/S) AJD]]-TABL12[[#This Row],[SER_IN]]</f>
        <v/>
      </c>
    </row>
    <row r="198" ht="15.75" customHeight="1">
      <c r="A198" s="2" t="n">
        <v>45854</v>
      </c>
      <c r="B198" s="28" t="n">
        <v>30</v>
      </c>
      <c r="C198" s="28" t="n">
        <v>254</v>
      </c>
      <c r="D198" s="28" t="n">
        <v>30</v>
      </c>
      <c r="E198" s="28" t="n">
        <v>0</v>
      </c>
      <c r="F198" s="28" t="n">
        <v>102</v>
      </c>
      <c r="G198" s="28" t="n">
        <v>680</v>
      </c>
      <c r="H198" s="28" t="n">
        <v>0</v>
      </c>
      <c r="I198" s="28" t="n">
        <v>472</v>
      </c>
      <c r="J198" s="28" t="n">
        <v>458</v>
      </c>
      <c r="K198" s="28">
        <f>TABL12[[#This Row],[ (T/B) SAR]]+TABL12[[#This Row],[ (S/S) SAR]]</f>
        <v/>
      </c>
      <c r="L198" s="28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3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32">
        <f>TABL12[[#This Row],[(A/S) AJD]]-TABL12[[#This Row],[SER_IN]]</f>
        <v/>
      </c>
    </row>
    <row r="199" ht="15.75" customHeight="1">
      <c r="A199" s="2" t="n">
        <v>45855</v>
      </c>
      <c r="B199" s="28" t="n">
        <v>30</v>
      </c>
      <c r="C199" s="28" t="n">
        <v>252</v>
      </c>
      <c r="D199" s="28" t="n">
        <v>30</v>
      </c>
      <c r="E199" s="28" t="n">
        <v>0</v>
      </c>
      <c r="F199" s="28" t="n">
        <v>103</v>
      </c>
      <c r="G199" s="28" t="n">
        <v>685</v>
      </c>
      <c r="H199" s="28" t="n">
        <v>0</v>
      </c>
      <c r="I199" s="28" t="n">
        <v>475</v>
      </c>
      <c r="J199" s="28" t="n">
        <v>459</v>
      </c>
      <c r="K199" s="28">
        <f>TABL12[[#This Row],[ (T/B) SAR]]+TABL12[[#This Row],[ (S/S) SAR]]</f>
        <v/>
      </c>
      <c r="L199" s="28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3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32">
        <f>TABL12[[#This Row],[(A/S) AJD]]-TABL12[[#This Row],[SER_IN]]</f>
        <v/>
      </c>
    </row>
    <row r="200" ht="15.75" customHeight="1">
      <c r="A200" s="2" t="n">
        <v>45856</v>
      </c>
      <c r="B200" s="28" t="n">
        <v>30</v>
      </c>
      <c r="C200" s="28" t="n">
        <v>251</v>
      </c>
      <c r="D200" s="28" t="n">
        <v>30</v>
      </c>
      <c r="E200" s="28" t="n">
        <v>0</v>
      </c>
      <c r="F200" s="28" t="n">
        <v>103</v>
      </c>
      <c r="G200" s="28" t="n">
        <v>684</v>
      </c>
      <c r="H200" s="28" t="n">
        <v>0</v>
      </c>
      <c r="I200" s="28" t="n">
        <v>475</v>
      </c>
      <c r="J200" s="28" t="n">
        <v>459</v>
      </c>
      <c r="K200" s="28">
        <f>TABL12[[#This Row],[ (T/B) SAR]]+TABL12[[#This Row],[ (S/S) SAR]]</f>
        <v/>
      </c>
      <c r="L200" s="28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3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32">
        <f>TABL12[[#This Row],[(A/S) AJD]]-TABL12[[#This Row],[SER_IN]]</f>
        <v/>
      </c>
    </row>
    <row r="201" ht="15.75" customHeight="1">
      <c r="A201" s="2" t="n">
        <v>45857</v>
      </c>
      <c r="B201" s="28" t="n">
        <v>30</v>
      </c>
      <c r="C201" s="28" t="n">
        <v>247</v>
      </c>
      <c r="D201" s="28" t="n">
        <v>30</v>
      </c>
      <c r="E201" s="28" t="n">
        <v>0</v>
      </c>
      <c r="F201" s="28" t="n">
        <v>103</v>
      </c>
      <c r="G201" s="28" t="n">
        <v>677</v>
      </c>
      <c r="H201" s="28" t="n">
        <v>0</v>
      </c>
      <c r="I201" s="28" t="n">
        <v>471</v>
      </c>
      <c r="J201" s="28" t="n">
        <v>455</v>
      </c>
      <c r="K201" s="28">
        <f>TABL12[[#This Row],[ (T/B) SAR]]+TABL12[[#This Row],[ (S/S) SAR]]</f>
        <v/>
      </c>
      <c r="L201" s="28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3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32">
        <f>TABL12[[#This Row],[(A/S) AJD]]-TABL12[[#This Row],[SER_IN]]</f>
        <v/>
      </c>
    </row>
    <row r="202" ht="15.75" customHeight="1">
      <c r="A202" s="2" t="n">
        <v>45858</v>
      </c>
      <c r="B202" s="28" t="n">
        <v>29</v>
      </c>
      <c r="C202" s="28" t="n">
        <v>246</v>
      </c>
      <c r="D202" s="28" t="n">
        <v>29</v>
      </c>
      <c r="E202" s="28" t="n">
        <v>0</v>
      </c>
      <c r="F202" s="28" t="n">
        <v>103</v>
      </c>
      <c r="G202" s="28" t="n">
        <v>676</v>
      </c>
      <c r="H202" s="28" t="n">
        <v>0</v>
      </c>
      <c r="I202" s="28" t="n">
        <v>470</v>
      </c>
      <c r="J202" s="28" t="n">
        <v>454</v>
      </c>
      <c r="K202" s="28">
        <f>TABL12[[#This Row],[ (T/B) SAR]]+TABL12[[#This Row],[ (S/S) SAR]]</f>
        <v/>
      </c>
      <c r="L202" s="28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3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32">
        <f>TABL12[[#This Row],[(A/S) AJD]]-TABL12[[#This Row],[SER_IN]]</f>
        <v/>
      </c>
    </row>
    <row r="203" ht="15.75" customHeight="1">
      <c r="A203" s="2" t="n">
        <v>45859</v>
      </c>
      <c r="B203" s="28" t="n">
        <v>29</v>
      </c>
      <c r="C203" s="28" t="n">
        <v>251</v>
      </c>
      <c r="D203" s="28" t="n">
        <v>29</v>
      </c>
      <c r="E203" s="28" t="n">
        <v>0</v>
      </c>
      <c r="F203" s="28" t="n">
        <v>103</v>
      </c>
      <c r="G203" s="28" t="n">
        <v>676</v>
      </c>
      <c r="H203" s="28" t="n">
        <v>0</v>
      </c>
      <c r="I203" s="28" t="n">
        <v>470</v>
      </c>
      <c r="J203" s="28" t="n">
        <v>453</v>
      </c>
      <c r="K203" s="28">
        <f>TABL12[[#This Row],[ (T/B) SAR]]+TABL12[[#This Row],[ (S/S) SAR]]</f>
        <v/>
      </c>
      <c r="L203" s="28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3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32">
        <f>TABL12[[#This Row],[(A/S) AJD]]-TABL12[[#This Row],[SER_IN]]</f>
        <v/>
      </c>
    </row>
    <row r="204" ht="15.75" customHeight="1">
      <c r="A204" s="2" t="n">
        <v>45860</v>
      </c>
      <c r="B204" s="28" t="n">
        <v>29</v>
      </c>
      <c r="C204" s="28" t="n">
        <v>244</v>
      </c>
      <c r="D204" s="28" t="n">
        <v>29</v>
      </c>
      <c r="E204" s="28" t="n">
        <v>0</v>
      </c>
      <c r="F204" s="28" t="n">
        <v>103</v>
      </c>
      <c r="G204" s="28" t="n">
        <v>671</v>
      </c>
      <c r="H204" s="28" t="n">
        <v>0</v>
      </c>
      <c r="I204" s="28" t="n">
        <v>468</v>
      </c>
      <c r="J204" s="28" t="n">
        <v>450</v>
      </c>
      <c r="K204" s="28">
        <f>TABL12[[#This Row],[ (T/B) SAR]]+TABL12[[#This Row],[ (S/S) SAR]]</f>
        <v/>
      </c>
      <c r="L204" s="28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3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32">
        <f>TABL12[[#This Row],[(A/S) AJD]]-TABL12[[#This Row],[SER_IN]]</f>
        <v/>
      </c>
    </row>
    <row r="205" ht="15.75" customHeight="1">
      <c r="A205" s="2" t="n">
        <v>45861</v>
      </c>
      <c r="B205" s="28" t="n">
        <v>30</v>
      </c>
      <c r="C205" s="28" t="n">
        <v>248</v>
      </c>
      <c r="D205" s="28" t="n">
        <v>30</v>
      </c>
      <c r="E205" s="28" t="n">
        <v>0</v>
      </c>
      <c r="F205" s="28" t="n">
        <v>103</v>
      </c>
      <c r="G205" s="28" t="n">
        <v>676</v>
      </c>
      <c r="H205" s="28" t="n">
        <v>0</v>
      </c>
      <c r="I205" s="28" t="n">
        <v>469</v>
      </c>
      <c r="J205" s="28" t="n">
        <v>452</v>
      </c>
      <c r="K205" s="28">
        <f>TABL12[[#This Row],[ (T/B) SAR]]+TABL12[[#This Row],[ (S/S) SAR]]</f>
        <v/>
      </c>
      <c r="L205" s="28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3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32">
        <f>TABL12[[#This Row],[(A/S) AJD]]-TABL12[[#This Row],[SER_IN]]</f>
        <v/>
      </c>
    </row>
    <row r="206" ht="15.75" customHeight="1">
      <c r="A206" s="2" t="n">
        <v>45862</v>
      </c>
      <c r="B206" s="28" t="n">
        <v>31</v>
      </c>
      <c r="C206" s="28" t="n">
        <v>252</v>
      </c>
      <c r="D206" s="28" t="n">
        <v>31</v>
      </c>
      <c r="E206" s="28" t="n">
        <v>0</v>
      </c>
      <c r="F206" s="28" t="n">
        <v>103</v>
      </c>
      <c r="G206" s="28" t="n">
        <v>675</v>
      </c>
      <c r="H206" s="28" t="n">
        <v>0</v>
      </c>
      <c r="I206" s="28" t="n">
        <v>469</v>
      </c>
      <c r="J206" s="28" t="n">
        <v>451</v>
      </c>
      <c r="K206" s="28">
        <f>TABL12[[#This Row],[ (T/B) SAR]]+TABL12[[#This Row],[ (S/S) SAR]]</f>
        <v/>
      </c>
      <c r="L206" s="28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3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32">
        <f>TABL12[[#This Row],[(A/S) AJD]]-TABL12[[#This Row],[SER_IN]]</f>
        <v/>
      </c>
    </row>
    <row r="207" ht="15.75" customHeight="1">
      <c r="A207" s="2" t="n">
        <v>45863</v>
      </c>
      <c r="B207" s="28" t="n">
        <v>31</v>
      </c>
      <c r="C207" s="28" t="n">
        <v>250</v>
      </c>
      <c r="D207" s="28" t="n">
        <v>31</v>
      </c>
      <c r="E207" s="28" t="n">
        <v>0</v>
      </c>
      <c r="F207" s="28" t="n">
        <v>103</v>
      </c>
      <c r="G207" s="28" t="n">
        <v>675</v>
      </c>
      <c r="H207" s="28" t="n">
        <v>0</v>
      </c>
      <c r="I207" s="28" t="n">
        <v>468</v>
      </c>
      <c r="J207" s="28" t="n">
        <v>452</v>
      </c>
      <c r="K207" s="28">
        <f>TABL12[[#This Row],[ (T/B) SAR]]+TABL12[[#This Row],[ (S/S) SAR]]</f>
        <v/>
      </c>
      <c r="L207" s="28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3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32">
        <f>TABL12[[#This Row],[(A/S) AJD]]-TABL12[[#This Row],[SER_IN]]</f>
        <v/>
      </c>
    </row>
    <row r="208" ht="15.75" customHeight="1">
      <c r="A208" s="2" t="n">
        <v>45864</v>
      </c>
      <c r="B208" s="28" t="n">
        <v>31</v>
      </c>
      <c r="C208" s="28" t="n">
        <v>247</v>
      </c>
      <c r="D208" s="28" t="n">
        <v>31</v>
      </c>
      <c r="E208" s="28" t="n">
        <v>0</v>
      </c>
      <c r="F208" s="28" t="n">
        <v>103</v>
      </c>
      <c r="G208" s="28" t="n">
        <v>675</v>
      </c>
      <c r="H208" s="28" t="n">
        <v>0</v>
      </c>
      <c r="I208" s="28" t="n">
        <v>468</v>
      </c>
      <c r="J208" s="28" t="n">
        <v>452</v>
      </c>
      <c r="K208" s="28">
        <f>TABL12[[#This Row],[ (T/B) SAR]]+TABL12[[#This Row],[ (S/S) SAR]]</f>
        <v/>
      </c>
      <c r="L208" s="28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3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32">
        <f>TABL12[[#This Row],[(A/S) AJD]]-TABL12[[#This Row],[SER_IN]]</f>
        <v/>
      </c>
    </row>
    <row r="209" ht="15.75" customHeight="1">
      <c r="A209" s="2" t="n">
        <v>45865</v>
      </c>
      <c r="B209" s="28" t="n">
        <v>31</v>
      </c>
      <c r="C209" s="28" t="n">
        <v>249</v>
      </c>
      <c r="D209" s="28" t="n">
        <v>31</v>
      </c>
      <c r="E209" s="28" t="n">
        <v>0</v>
      </c>
      <c r="F209" s="28" t="n">
        <v>103</v>
      </c>
      <c r="G209" s="28" t="n">
        <v>675</v>
      </c>
      <c r="H209" s="28" t="n">
        <v>0</v>
      </c>
      <c r="I209" s="28" t="n">
        <v>468</v>
      </c>
      <c r="J209" s="28" t="n">
        <v>452</v>
      </c>
      <c r="K209" s="28">
        <f>TABL12[[#This Row],[ (T/B) SAR]]+TABL12[[#This Row],[ (S/S) SAR]]</f>
        <v/>
      </c>
      <c r="L209" s="28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3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32">
        <f>TABL12[[#This Row],[(A/S) AJD]]-TABL12[[#This Row],[SER_IN]]</f>
        <v/>
      </c>
    </row>
    <row r="210" ht="15.75" customHeight="1">
      <c r="A210" s="2" t="n">
        <v>45866</v>
      </c>
      <c r="B210" s="28" t="n">
        <v>31</v>
      </c>
      <c r="C210" s="28" t="n">
        <v>254</v>
      </c>
      <c r="D210" s="28" t="n">
        <v>31</v>
      </c>
      <c r="E210" s="28" t="n">
        <v>0</v>
      </c>
      <c r="F210" s="28" t="n">
        <v>103</v>
      </c>
      <c r="G210" s="28" t="n">
        <v>675</v>
      </c>
      <c r="H210" s="28" t="n">
        <v>0</v>
      </c>
      <c r="I210" s="28" t="n">
        <v>469</v>
      </c>
      <c r="J210" s="28" t="n">
        <v>453</v>
      </c>
      <c r="K210" s="28">
        <f>TABL12[[#This Row],[ (T/B) SAR]]+TABL12[[#This Row],[ (S/S) SAR]]</f>
        <v/>
      </c>
      <c r="L210" s="28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3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32">
        <f>TABL12[[#This Row],[(A/S) AJD]]-TABL12[[#This Row],[SER_IN]]</f>
        <v/>
      </c>
    </row>
    <row r="211" ht="15.75" customHeight="1">
      <c r="A211" s="2" t="n">
        <v>45867</v>
      </c>
      <c r="B211" s="28" t="n">
        <v>31</v>
      </c>
      <c r="C211" s="28" t="n">
        <v>255</v>
      </c>
      <c r="D211" s="28" t="n">
        <v>31</v>
      </c>
      <c r="E211" s="28" t="n">
        <v>0</v>
      </c>
      <c r="F211" s="28" t="n">
        <v>103</v>
      </c>
      <c r="G211" s="28" t="n">
        <v>677</v>
      </c>
      <c r="H211" s="28" t="n">
        <v>0</v>
      </c>
      <c r="I211" s="28" t="n">
        <v>455</v>
      </c>
      <c r="J211" s="28" t="n">
        <v>437</v>
      </c>
      <c r="K211" s="28">
        <f>TABL12[[#This Row],[ (T/B) SAR]]+TABL12[[#This Row],[ (S/S) SAR]]</f>
        <v/>
      </c>
      <c r="L211" s="28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3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32">
        <f>TABL12[[#This Row],[(A/S) AJD]]-TABL12[[#This Row],[SER_IN]]</f>
        <v/>
      </c>
    </row>
    <row r="212" ht="15.75" customHeight="1">
      <c r="A212" s="2" t="n">
        <v>45868</v>
      </c>
      <c r="B212" s="28" t="n">
        <v>33</v>
      </c>
      <c r="C212" s="28" t="n">
        <v>267</v>
      </c>
      <c r="D212" s="28" t="n">
        <v>33</v>
      </c>
      <c r="E212" s="28" t="n">
        <v>0</v>
      </c>
      <c r="F212" s="28" t="n">
        <v>103</v>
      </c>
      <c r="G212" s="28" t="n">
        <v>677</v>
      </c>
      <c r="H212" s="28" t="n">
        <v>0</v>
      </c>
      <c r="I212" s="28" t="n">
        <v>455</v>
      </c>
      <c r="J212" s="28" t="n">
        <v>437</v>
      </c>
      <c r="K212" s="28">
        <f>TABL12[[#This Row],[ (T/B) SAR]]+TABL12[[#This Row],[ (S/S) SAR]]</f>
        <v/>
      </c>
      <c r="L212" s="28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3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32">
        <f>TABL12[[#This Row],[(A/S) AJD]]-TABL12[[#This Row],[SER_IN]]</f>
        <v/>
      </c>
    </row>
    <row r="213" ht="15.75" customHeight="1">
      <c r="A213" s="2" t="n">
        <v>45869</v>
      </c>
      <c r="B213" s="28" t="n">
        <v>33</v>
      </c>
      <c r="C213" s="28" t="n">
        <v>276</v>
      </c>
      <c r="D213" s="28" t="n">
        <v>33</v>
      </c>
      <c r="E213" s="28" t="n">
        <v>0</v>
      </c>
      <c r="F213" s="28" t="n">
        <v>103</v>
      </c>
      <c r="G213" s="28" t="n">
        <v>677</v>
      </c>
      <c r="H213" s="28" t="n">
        <v>0</v>
      </c>
      <c r="I213" s="28" t="n">
        <v>457</v>
      </c>
      <c r="J213" s="28" t="n">
        <v>440</v>
      </c>
      <c r="K213" s="28">
        <f>TABL12[[#This Row],[ (T/B) SAR]]+TABL12[[#This Row],[ (S/S) SAR]]</f>
        <v/>
      </c>
      <c r="L213" s="28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3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32">
        <f>TABL12[[#This Row],[(A/S) AJD]]-TABL12[[#This Row],[SER_IN]]</f>
        <v/>
      </c>
    </row>
    <row r="214">
      <c r="A214" s="2" t="n">
        <v>45870</v>
      </c>
      <c r="B214" s="28" t="n">
        <v>33</v>
      </c>
      <c r="C214" s="28" t="n">
        <v>272</v>
      </c>
      <c r="D214" s="28" t="n">
        <v>33</v>
      </c>
      <c r="E214" s="28" t="n">
        <v>0</v>
      </c>
      <c r="F214" s="28" t="n">
        <v>103</v>
      </c>
      <c r="G214" s="28" t="n">
        <v>676</v>
      </c>
      <c r="H214" s="28" t="n">
        <v>0</v>
      </c>
      <c r="I214" s="28" t="n">
        <v>457</v>
      </c>
      <c r="J214" s="28" t="n">
        <v>442</v>
      </c>
      <c r="K214" s="28">
        <f>TABL12[[#This Row],[ (T/B) SAR]]+TABL12[[#This Row],[ (S/S) SAR]]</f>
        <v/>
      </c>
      <c r="L214" s="28" t="n">
        <v>223</v>
      </c>
      <c r="M214" s="29" t="n">
        <v>18.3</v>
      </c>
      <c r="N214" s="30" t="n">
        <v>7.76</v>
      </c>
      <c r="O214" s="3" t="n">
        <v>391</v>
      </c>
      <c r="P214" s="3">
        <f>TABL12[[#This Row],[ (S/S) SAR]]-TABL12[[#This Row],[(S/S) AJD]]</f>
        <v/>
      </c>
      <c r="Q214" s="3" t="n">
        <v>429</v>
      </c>
      <c r="R214" s="3">
        <f>TABL12[[#This Row],[ (T/B) SAR]]-TABL12[[#This Row],[(T/B) AJD]]</f>
        <v/>
      </c>
      <c r="S214" s="3">
        <f>TABL12[[#This Row],[S/S_CON.]]+TABL12[[#This Row],[T/B-CON.]]</f>
        <v/>
      </c>
      <c r="T214" s="3">
        <f>O214+Q214</f>
        <v/>
      </c>
      <c r="U214" s="3" t="n">
        <v>519</v>
      </c>
      <c r="V214" s="3" t="n">
        <v>293</v>
      </c>
      <c r="W214" s="3">
        <f>U214+V214</f>
        <v/>
      </c>
      <c r="X214" s="3">
        <f>T214-W214</f>
        <v/>
      </c>
      <c r="Y214" s="4" t="n">
        <v>92.48699999999999</v>
      </c>
      <c r="Z214" s="3" t="n">
        <v>488888</v>
      </c>
      <c r="AA214" s="3">
        <f>TABL12[[#This Row],[(RESV. STORGE) AJD]]/10</f>
        <v/>
      </c>
      <c r="AB214" s="3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32">
        <f>TABL12[[#This Row],[(A/S) AJD]]-TABL12[[#This Row],[SER_IN]]</f>
        <v/>
      </c>
    </row>
    <row r="215">
      <c r="A215" s="2" t="n">
        <v>45871</v>
      </c>
      <c r="B215" s="28" t="n">
        <v>34</v>
      </c>
      <c r="C215" s="28" t="n">
        <v>279</v>
      </c>
      <c r="D215" s="28" t="n">
        <v>34</v>
      </c>
      <c r="E215" s="28" t="n">
        <v>0</v>
      </c>
      <c r="F215" s="28" t="n">
        <v>103</v>
      </c>
      <c r="G215" s="28" t="n">
        <v>679</v>
      </c>
      <c r="H215" s="28" t="n">
        <v>0</v>
      </c>
      <c r="I215" s="28" t="n">
        <v>477</v>
      </c>
      <c r="J215" s="28" t="n">
        <v>462</v>
      </c>
      <c r="K215" s="28">
        <f>TABL12[[#This Row],[ (T/B) SAR]]+TABL12[[#This Row],[ (S/S) SAR]]</f>
        <v/>
      </c>
      <c r="L215" s="28" t="n">
        <v>260</v>
      </c>
      <c r="M215" s="29" t="n">
        <v>20.4</v>
      </c>
      <c r="N215" s="30" t="n">
        <v>7.8</v>
      </c>
      <c r="O215" s="3" t="n">
        <v>395</v>
      </c>
      <c r="P215" s="3">
        <f>TABL12[[#This Row],[ (S/S) SAR]]-TABL12[[#This Row],[(S/S) AJD]]</f>
        <v/>
      </c>
      <c r="Q215" s="3" t="n">
        <v>434</v>
      </c>
      <c r="R215" s="3">
        <f>TABL12[[#This Row],[ (T/B) SAR]]-TABL12[[#This Row],[(T/B) AJD]]</f>
        <v/>
      </c>
      <c r="S215" s="3">
        <f>TABL12[[#This Row],[S/S_CON.]]+TABL12[[#This Row],[T/B-CON.]]</f>
        <v/>
      </c>
      <c r="T215" s="3">
        <f>O215+Q215</f>
        <v/>
      </c>
      <c r="U215" s="3" t="n">
        <v>517</v>
      </c>
      <c r="V215" s="3" t="n">
        <v>272</v>
      </c>
      <c r="W215" s="3">
        <f>U215+V215</f>
        <v/>
      </c>
      <c r="X215" s="3">
        <f>T215-W215</f>
        <v/>
      </c>
      <c r="Y215" s="4" t="n">
        <v>92.512</v>
      </c>
      <c r="Z215" s="3" t="n">
        <v>503774</v>
      </c>
      <c r="AA215" s="3">
        <f>TABL12[[#This Row],[(RESV. STORGE) AJD]]/10</f>
        <v/>
      </c>
      <c r="AB215" s="3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32">
        <f>TABL12[[#This Row],[(A/S) AJD]]-TABL12[[#This Row],[SER_IN]]</f>
        <v/>
      </c>
    </row>
    <row r="216">
      <c r="A216" s="2" t="n">
        <v>45872</v>
      </c>
      <c r="B216" s="28" t="n">
        <v>33</v>
      </c>
      <c r="C216" s="28" t="n">
        <v>230</v>
      </c>
      <c r="D216" s="28" t="n">
        <v>33</v>
      </c>
      <c r="E216" s="28" t="n">
        <v>0</v>
      </c>
      <c r="F216" s="28" t="n">
        <v>103</v>
      </c>
      <c r="G216" s="28" t="n">
        <v>671</v>
      </c>
      <c r="H216" s="28" t="n">
        <v>0</v>
      </c>
      <c r="I216" s="28" t="n">
        <v>477</v>
      </c>
      <c r="J216" s="28" t="n">
        <v>462</v>
      </c>
      <c r="K216" s="28">
        <f>TABL12[[#This Row],[ (T/B) SAR]]+TABL12[[#This Row],[ (S/S) SAR]]</f>
        <v/>
      </c>
      <c r="L216" s="28" t="n">
        <v>268</v>
      </c>
      <c r="M216" s="29" t="n">
        <v>20.4</v>
      </c>
      <c r="N216" s="30" t="n">
        <v>7.74</v>
      </c>
      <c r="O216" s="3" t="n">
        <v>410</v>
      </c>
      <c r="P216" s="3">
        <f>TABL12[[#This Row],[ (S/S) SAR]]-TABL12[[#This Row],[(S/S) AJD]]</f>
        <v/>
      </c>
      <c r="Q216" s="3" t="n">
        <v>449</v>
      </c>
      <c r="R216" s="3">
        <f>TABL12[[#This Row],[ (T/B) SAR]]-TABL12[[#This Row],[(T/B) AJD]]</f>
        <v/>
      </c>
      <c r="S216" s="3">
        <f>TABL12[[#This Row],[S/S_CON.]]+TABL12[[#This Row],[T/B-CON.]]</f>
        <v/>
      </c>
      <c r="T216" s="3">
        <f>O216+Q216</f>
        <v/>
      </c>
      <c r="U216" s="3" t="n">
        <v>518</v>
      </c>
      <c r="V216" s="3" t="n">
        <v>285</v>
      </c>
      <c r="W216" s="3">
        <f>U216+V216</f>
        <v/>
      </c>
      <c r="X216" s="3">
        <f>T216-W216</f>
        <v/>
      </c>
      <c r="Y216" s="4" t="n">
        <v>92.56399999999999</v>
      </c>
      <c r="Z216" s="3" t="n">
        <v>534766</v>
      </c>
      <c r="AA216" s="3">
        <f>TABL12[[#This Row],[(RESV. STORGE) AJD]]/10</f>
        <v/>
      </c>
      <c r="AB216" s="3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32">
        <f>TABL12[[#This Row],[(A/S) AJD]]-TABL12[[#This Row],[SER_IN]]</f>
        <v/>
      </c>
    </row>
    <row r="217">
      <c r="A217" s="2" t="n">
        <v>45873</v>
      </c>
      <c r="B217" s="28" t="n">
        <v>24</v>
      </c>
      <c r="C217" s="28" t="n">
        <v>150</v>
      </c>
      <c r="D217" s="28" t="n">
        <v>24</v>
      </c>
      <c r="E217" s="28" t="n">
        <v>0</v>
      </c>
      <c r="F217" s="28" t="n">
        <v>103</v>
      </c>
      <c r="G217" s="28" t="n">
        <v>659</v>
      </c>
      <c r="H217" s="28" t="n">
        <v>0</v>
      </c>
      <c r="I217" s="28" t="n">
        <v>454</v>
      </c>
      <c r="J217" s="28" t="n">
        <v>438</v>
      </c>
      <c r="K217" s="28">
        <f>TABL12[[#This Row],[ (T/B) SAR]]+TABL12[[#This Row],[ (S/S) SAR]]</f>
        <v/>
      </c>
      <c r="L217" s="28" t="n">
        <v>233</v>
      </c>
      <c r="M217" s="29" t="n">
        <v>19.2</v>
      </c>
      <c r="N217" s="30" t="n">
        <v>7.12</v>
      </c>
      <c r="O217" s="3" t="n">
        <v>406</v>
      </c>
      <c r="P217" s="3">
        <f>TABL12[[#This Row],[ (S/S) SAR]]-TABL12[[#This Row],[(S/S) AJD]]</f>
        <v/>
      </c>
      <c r="Q217" s="3" t="n">
        <v>446</v>
      </c>
      <c r="R217" s="3">
        <f>TABL12[[#This Row],[ (T/B) SAR]]-TABL12[[#This Row],[(T/B) AJD]]</f>
        <v/>
      </c>
      <c r="S217" s="3">
        <f>TABL12[[#This Row],[S/S_CON.]]+TABL12[[#This Row],[T/B-CON.]]</f>
        <v/>
      </c>
      <c r="T217" s="3">
        <f>O217+Q217</f>
        <v/>
      </c>
      <c r="U217" s="3" t="n">
        <v>513</v>
      </c>
      <c r="V217" s="3" t="n">
        <v>275</v>
      </c>
      <c r="W217" s="3">
        <f>U217+V217</f>
        <v/>
      </c>
      <c r="X217" s="3">
        <f>T217-W217</f>
        <v/>
      </c>
      <c r="Y217" s="4" t="n">
        <v>92.634</v>
      </c>
      <c r="Z217" s="3" t="n">
        <v>576521</v>
      </c>
      <c r="AA217" s="3">
        <f>TABL12[[#This Row],[(RESV. STORGE) AJD]]/10</f>
        <v/>
      </c>
      <c r="AB217" s="3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32">
        <f>TABL12[[#This Row],[(A/S) AJD]]-TABL12[[#This Row],[SER_IN]]</f>
        <v/>
      </c>
    </row>
    <row r="218">
      <c r="A218" s="2" t="n">
        <v>45874</v>
      </c>
      <c r="B218" s="28" t="n">
        <v>21</v>
      </c>
      <c r="C218" s="28" t="n">
        <v>201</v>
      </c>
      <c r="D218" s="28" t="n">
        <v>21</v>
      </c>
      <c r="E218" s="28" t="n">
        <v>0</v>
      </c>
      <c r="F218" s="28" t="n">
        <v>103</v>
      </c>
      <c r="G218" s="28" t="n">
        <v>659</v>
      </c>
      <c r="H218" s="28" t="n">
        <v>0</v>
      </c>
      <c r="I218" s="28" t="n">
        <v>430</v>
      </c>
      <c r="J218" s="28" t="n">
        <v>414</v>
      </c>
      <c r="K218" s="28">
        <f>TABL12[[#This Row],[ (T/B) SAR]]+TABL12[[#This Row],[ (S/S) SAR]]</f>
        <v/>
      </c>
      <c r="L218" s="28" t="n">
        <v>185</v>
      </c>
      <c r="M218" s="29" t="n">
        <v>16.3</v>
      </c>
      <c r="N218" s="30" t="n">
        <v>6.7</v>
      </c>
      <c r="O218" s="3" t="n">
        <v>391</v>
      </c>
      <c r="P218" s="3">
        <f>TABL12[[#This Row],[ (S/S) SAR]]-TABL12[[#This Row],[(S/S) AJD]]</f>
        <v/>
      </c>
      <c r="Q218" s="3" t="n">
        <v>430</v>
      </c>
      <c r="R218" s="3">
        <f>TABL12[[#This Row],[ (T/B) SAR]]-TABL12[[#This Row],[(T/B) AJD]]</f>
        <v/>
      </c>
      <c r="S218" s="3">
        <f>TABL12[[#This Row],[S/S_CON.]]+TABL12[[#This Row],[T/B-CON.]]</f>
        <v/>
      </c>
      <c r="T218" s="3">
        <f>O218+Q218</f>
        <v/>
      </c>
      <c r="U218" s="3" t="n">
        <v>510</v>
      </c>
      <c r="V218" s="3" t="n">
        <v>258</v>
      </c>
      <c r="W218" s="3">
        <f>U218+V218</f>
        <v/>
      </c>
      <c r="X218" s="3">
        <f>T218-W218</f>
        <v/>
      </c>
      <c r="Y218" s="4" t="n">
        <v>92.679</v>
      </c>
      <c r="Z218" s="3" t="n">
        <v>603307</v>
      </c>
      <c r="AA218" s="3">
        <f>TABL12[[#This Row],[(RESV. STORGE) AJD]]/10</f>
        <v/>
      </c>
      <c r="AB218" s="3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32">
        <f>TABL12[[#This Row],[(A/S) AJD]]-TABL12[[#This Row],[SER_IN]]</f>
        <v/>
      </c>
    </row>
    <row r="219">
      <c r="A219" s="2" t="n">
        <v>45875</v>
      </c>
      <c r="B219" s="28" t="n">
        <v>25</v>
      </c>
      <c r="C219" s="28" t="n">
        <v>222</v>
      </c>
      <c r="D219" s="28" t="n">
        <v>25</v>
      </c>
      <c r="E219" s="28" t="n">
        <v>0</v>
      </c>
      <c r="F219" s="28" t="n">
        <v>103</v>
      </c>
      <c r="G219" s="28" t="n">
        <v>659</v>
      </c>
      <c r="H219" s="28" t="n">
        <v>0</v>
      </c>
      <c r="I219" s="28" t="n">
        <v>430</v>
      </c>
      <c r="J219" s="28" t="n">
        <v>414</v>
      </c>
      <c r="K219" s="28">
        <f>TABL12[[#This Row],[ (T/B) SAR]]+TABL12[[#This Row],[ (S/S) SAR]]</f>
        <v/>
      </c>
      <c r="L219" s="28" t="n">
        <v>185</v>
      </c>
      <c r="M219" s="29" t="n">
        <v>16.3</v>
      </c>
      <c r="N219" s="30" t="n">
        <v>6.77</v>
      </c>
      <c r="O219" s="3" t="n">
        <v>367</v>
      </c>
      <c r="P219" s="3">
        <f>TABL12[[#This Row],[ (S/S) SAR]]-TABL12[[#This Row],[(S/S) AJD]]</f>
        <v/>
      </c>
      <c r="Q219" s="3" t="n">
        <v>405</v>
      </c>
      <c r="R219" s="3">
        <f>TABL12[[#This Row],[ (T/B) SAR]]-TABL12[[#This Row],[(T/B) AJD]]</f>
        <v/>
      </c>
      <c r="S219" s="3">
        <f>TABL12[[#This Row],[S/S_CON.]]+TABL12[[#This Row],[T/B-CON.]]</f>
        <v/>
      </c>
      <c r="T219" s="3">
        <f>O219+Q219</f>
        <v/>
      </c>
      <c r="U219" s="3" t="n">
        <v>513</v>
      </c>
      <c r="V219" s="3" t="n">
        <v>262</v>
      </c>
      <c r="W219" s="3">
        <f>U219+V219</f>
        <v/>
      </c>
      <c r="X219" s="3">
        <f>T219-W219</f>
        <v/>
      </c>
      <c r="Y219" s="4" t="n">
        <v>92.624</v>
      </c>
      <c r="Z219" s="3" t="n">
        <v>570532</v>
      </c>
      <c r="AA219" s="3">
        <f>TABL12[[#This Row],[(RESV. STORGE) AJD]]/10</f>
        <v/>
      </c>
      <c r="AB219" s="3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32">
        <f>TABL12[[#This Row],[(A/S) AJD]]-TABL12[[#This Row],[SER_IN]]</f>
        <v/>
      </c>
    </row>
    <row r="220">
      <c r="A220" s="2" t="n">
        <v>45876</v>
      </c>
      <c r="B220" s="28" t="n">
        <v>28</v>
      </c>
      <c r="C220" s="28" t="n">
        <v>239</v>
      </c>
      <c r="D220" s="28" t="n">
        <v>28</v>
      </c>
      <c r="E220" s="28" t="n">
        <v>0</v>
      </c>
      <c r="F220" s="28" t="n">
        <v>103</v>
      </c>
      <c r="G220" s="28" t="n">
        <v>660</v>
      </c>
      <c r="H220" s="28" t="n">
        <v>0</v>
      </c>
      <c r="I220" s="28" t="n">
        <v>430</v>
      </c>
      <c r="J220" s="28" t="n">
        <v>415</v>
      </c>
      <c r="K220" s="28">
        <f>TABL12[[#This Row],[ (T/B) SAR]]+TABL12[[#This Row],[ (S/S) SAR]]</f>
        <v/>
      </c>
      <c r="L220" s="28" t="n">
        <v>185</v>
      </c>
      <c r="M220" s="29" t="n">
        <v>16.3</v>
      </c>
      <c r="N220" s="30" t="n">
        <v>7.03</v>
      </c>
      <c r="O220" s="3" t="n">
        <v>367</v>
      </c>
      <c r="P220" s="3">
        <f>TABL12[[#This Row],[ (S/S) SAR]]-TABL12[[#This Row],[(S/S) AJD]]</f>
        <v/>
      </c>
      <c r="Q220" s="3" t="n">
        <v>404</v>
      </c>
      <c r="R220" s="3">
        <f>TABL12[[#This Row],[ (T/B) SAR]]-TABL12[[#This Row],[(T/B) AJD]]</f>
        <v/>
      </c>
      <c r="S220" s="3">
        <f>TABL12[[#This Row],[S/S_CON.]]+TABL12[[#This Row],[T/B-CON.]]</f>
        <v/>
      </c>
      <c r="T220" s="3">
        <f>O220+Q220</f>
        <v/>
      </c>
      <c r="U220" s="3" t="n">
        <v>515</v>
      </c>
      <c r="V220" s="3" t="n">
        <v>275</v>
      </c>
      <c r="W220" s="3">
        <f>U220+V220</f>
        <v/>
      </c>
      <c r="X220" s="3">
        <f>T220-W220</f>
        <v/>
      </c>
      <c r="Y220" s="4" t="n">
        <v>92.55</v>
      </c>
      <c r="Z220" s="3" t="n">
        <v>526629</v>
      </c>
      <c r="AA220" s="3">
        <f>TABL12[[#This Row],[(RESV. STORGE) AJD]]/10</f>
        <v/>
      </c>
      <c r="AB220" s="3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32">
        <f>TABL12[[#This Row],[(A/S) AJD]]-TABL12[[#This Row],[SER_IN]]</f>
        <v/>
      </c>
    </row>
    <row r="221">
      <c r="A221" s="2" t="n">
        <v>45877</v>
      </c>
      <c r="B221" s="28" t="n">
        <v>30</v>
      </c>
      <c r="C221" s="28" t="n">
        <v>231</v>
      </c>
      <c r="D221" s="28" t="n">
        <v>30</v>
      </c>
      <c r="E221" s="28" t="n">
        <v>0</v>
      </c>
      <c r="F221" s="28" t="n">
        <v>103</v>
      </c>
      <c r="G221" s="28" t="n">
        <v>659</v>
      </c>
      <c r="H221" s="28" t="n">
        <v>0</v>
      </c>
      <c r="I221" s="28" t="n">
        <v>430</v>
      </c>
      <c r="J221" s="28" t="n">
        <v>417</v>
      </c>
      <c r="K221" s="28">
        <f>TABL12[[#This Row],[ (T/B) SAR]]+TABL12[[#This Row],[ (S/S) SAR]]</f>
        <v/>
      </c>
      <c r="L221" s="28" t="n">
        <v>188</v>
      </c>
      <c r="M221" s="29" t="n">
        <v>16.3</v>
      </c>
      <c r="N221" s="30" t="n">
        <v>7.32</v>
      </c>
      <c r="O221" s="3" t="n">
        <v>368</v>
      </c>
      <c r="P221" s="3">
        <f>TABL12[[#This Row],[ (S/S) SAR]]-TABL12[[#This Row],[(S/S) AJD]]</f>
        <v/>
      </c>
      <c r="Q221" s="3" t="n">
        <v>404</v>
      </c>
      <c r="R221" s="3">
        <f>TABL12[[#This Row],[ (T/B) SAR]]-TABL12[[#This Row],[(T/B) AJD]]</f>
        <v/>
      </c>
      <c r="S221" s="3">
        <f>TABL12[[#This Row],[S/S_CON.]]+TABL12[[#This Row],[T/B-CON.]]</f>
        <v/>
      </c>
      <c r="T221" s="3">
        <f>O221+Q221</f>
        <v/>
      </c>
      <c r="U221" s="3" t="n">
        <v>506</v>
      </c>
      <c r="V221" s="3" t="n">
        <v>272</v>
      </c>
      <c r="W221" s="3">
        <f>U221+V221</f>
        <v/>
      </c>
      <c r="X221" s="3">
        <f>T221-W221</f>
        <v/>
      </c>
      <c r="Y221" s="4" t="n">
        <v>92.502</v>
      </c>
      <c r="Z221" s="3" t="n">
        <v>526629</v>
      </c>
      <c r="AA221" s="3">
        <f>TABL12[[#This Row],[(RESV. STORGE) AJD]]/10</f>
        <v/>
      </c>
      <c r="AB221" s="3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32">
        <f>TABL12[[#This Row],[(A/S) AJD]]-TABL12[[#This Row],[SER_IN]]</f>
        <v/>
      </c>
    </row>
    <row r="222">
      <c r="A222" s="2" t="n">
        <v>45878</v>
      </c>
      <c r="B222" s="28" t="n">
        <v>31</v>
      </c>
      <c r="C222" s="28" t="n">
        <v>236</v>
      </c>
      <c r="D222" s="28" t="n">
        <v>31</v>
      </c>
      <c r="E222" s="28" t="n">
        <v>0</v>
      </c>
      <c r="F222" s="28" t="n">
        <v>103</v>
      </c>
      <c r="G222" s="28" t="n">
        <v>659</v>
      </c>
      <c r="H222" s="28" t="n">
        <v>0</v>
      </c>
      <c r="I222" s="28" t="n">
        <v>432</v>
      </c>
      <c r="J222" s="28" t="n">
        <v>417</v>
      </c>
      <c r="K222" s="28">
        <f>TABL12[[#This Row],[ (T/B) SAR]]+TABL12[[#This Row],[ (S/S) SAR]]</f>
        <v/>
      </c>
      <c r="L222" s="28" t="n">
        <v>190</v>
      </c>
      <c r="M222" s="29" t="n">
        <v>16.3</v>
      </c>
      <c r="N222" s="30" t="n">
        <v>7.55</v>
      </c>
      <c r="O222" s="3" t="n">
        <v>373</v>
      </c>
      <c r="P222" s="3">
        <f>TABL12[[#This Row],[ (S/S) SAR]]-TABL12[[#This Row],[(S/S) AJD]]</f>
        <v/>
      </c>
      <c r="Q222" s="3" t="n">
        <v>407</v>
      </c>
      <c r="R222" s="3">
        <f>TABL12[[#This Row],[ (T/B) SAR]]-TABL12[[#This Row],[(T/B) AJD]]</f>
        <v/>
      </c>
      <c r="S222" s="3">
        <f>TABL12[[#This Row],[S/S_CON.]]+TABL12[[#This Row],[T/B-CON.]]</f>
        <v/>
      </c>
      <c r="T222" s="3">
        <f>O222+Q222</f>
        <v/>
      </c>
      <c r="U222" s="3" t="n">
        <v>505</v>
      </c>
      <c r="V222" s="3" t="n">
        <v>249</v>
      </c>
      <c r="W222" s="3">
        <f>U222+V222</f>
        <v/>
      </c>
      <c r="X222" s="3">
        <f>T222-W222</f>
        <v/>
      </c>
      <c r="Y222" s="4" t="n">
        <v>92.5</v>
      </c>
      <c r="Z222" s="3" t="n">
        <v>496624</v>
      </c>
      <c r="AA222" s="3">
        <f>TABL12[[#This Row],[(RESV. STORGE) AJD]]/10</f>
        <v/>
      </c>
      <c r="AB222" s="3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32">
        <f>TABL12[[#This Row],[(A/S) AJD]]-TABL12[[#This Row],[SER_IN]]</f>
        <v/>
      </c>
    </row>
    <row r="223">
      <c r="A223" s="2" t="n">
        <v>45879</v>
      </c>
      <c r="B223" s="28" t="n">
        <v>31</v>
      </c>
      <c r="C223" s="28" t="n">
        <v>244</v>
      </c>
      <c r="D223" s="28" t="n">
        <v>31</v>
      </c>
      <c r="E223" s="28" t="n">
        <v>0</v>
      </c>
      <c r="F223" s="28" t="n">
        <v>103</v>
      </c>
      <c r="G223" s="28" t="n">
        <v>658</v>
      </c>
      <c r="H223" s="28" t="n">
        <v>0</v>
      </c>
      <c r="I223" s="28" t="n">
        <v>446</v>
      </c>
      <c r="J223" s="28" t="n">
        <v>430</v>
      </c>
      <c r="K223" s="28">
        <f>TABL12[[#This Row],[ (T/B) SAR]]+TABL12[[#This Row],[ (S/S) SAR]]</f>
        <v/>
      </c>
      <c r="L223" s="28" t="n">
        <v>218</v>
      </c>
      <c r="M223" s="29" t="n">
        <v>17.6</v>
      </c>
      <c r="N223" s="30" t="n">
        <v>7.73</v>
      </c>
      <c r="O223" s="3" t="n">
        <v>376</v>
      </c>
      <c r="P223" s="3">
        <f>TABL12[[#This Row],[ (S/S) SAR]]-TABL12[[#This Row],[(S/S) AJD]]</f>
        <v/>
      </c>
      <c r="Q223" s="3" t="n">
        <v>410</v>
      </c>
      <c r="R223" s="3">
        <f>TABL12[[#This Row],[ (T/B) SAR]]-TABL12[[#This Row],[(T/B) AJD]]</f>
        <v/>
      </c>
      <c r="S223" s="3">
        <f>TABL12[[#This Row],[S/S_CON.]]+TABL12[[#This Row],[T/B-CON.]]</f>
        <v/>
      </c>
      <c r="T223" s="3">
        <f>O223+Q223</f>
        <v/>
      </c>
      <c r="U223" s="3" t="n">
        <v>508</v>
      </c>
      <c r="V223" s="3" t="n">
        <v>254</v>
      </c>
      <c r="W223" s="3">
        <f>U223+V223</f>
        <v/>
      </c>
      <c r="X223" s="3">
        <f>T223-W223</f>
        <v/>
      </c>
      <c r="Y223" s="4" t="n">
        <v>92.515</v>
      </c>
      <c r="Z223" s="3" t="n">
        <v>505560</v>
      </c>
      <c r="AA223" s="3">
        <f>TABL12[[#This Row],[(RESV. STORGE) AJD]]/10</f>
        <v/>
      </c>
      <c r="AB223" s="3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32">
        <f>TABL12[[#This Row],[(A/S) AJD]]-TABL12[[#This Row],[SER_IN]]</f>
        <v/>
      </c>
    </row>
    <row r="224">
      <c r="A224" s="2" t="n">
        <v>45880</v>
      </c>
      <c r="B224" s="28" t="n">
        <v>30</v>
      </c>
      <c r="C224" s="28" t="n">
        <v>240</v>
      </c>
      <c r="D224" s="28" t="n">
        <v>30</v>
      </c>
      <c r="E224" s="28" t="n">
        <v>0</v>
      </c>
      <c r="F224" s="28" t="n">
        <v>103</v>
      </c>
      <c r="G224" s="28" t="n">
        <v>677</v>
      </c>
      <c r="H224" s="28" t="n">
        <v>0</v>
      </c>
      <c r="I224" s="28" t="n">
        <v>464</v>
      </c>
      <c r="J224" s="28" t="n">
        <v>449</v>
      </c>
      <c r="K224" s="28">
        <f>TABL12[[#This Row],[ (T/B) SAR]]+TABL12[[#This Row],[ (S/S) SAR]]</f>
        <v/>
      </c>
      <c r="L224" s="28" t="n">
        <v>236</v>
      </c>
      <c r="M224" s="29" t="n">
        <v>18.5</v>
      </c>
      <c r="N224" s="30" t="n">
        <v>7.75</v>
      </c>
      <c r="O224" s="3" t="n">
        <v>384</v>
      </c>
      <c r="P224" s="3">
        <f>TABL12[[#This Row],[ (S/S) SAR]]-TABL12[[#This Row],[(S/S) AJD]]</f>
        <v/>
      </c>
      <c r="Q224" s="3" t="n">
        <v>420</v>
      </c>
      <c r="R224" s="3">
        <f>TABL12[[#This Row],[ (T/B) SAR]]-TABL12[[#This Row],[(T/B) AJD]]</f>
        <v/>
      </c>
      <c r="S224" s="3">
        <f>TABL12[[#This Row],[S/S_CON.]]+TABL12[[#This Row],[T/B-CON.]]</f>
        <v/>
      </c>
      <c r="T224" s="3">
        <f>O224+Q224</f>
        <v/>
      </c>
      <c r="U224" s="3" t="n">
        <v>510</v>
      </c>
      <c r="V224" s="3" t="n">
        <v>233</v>
      </c>
      <c r="W224" s="3">
        <f>U224+V224</f>
        <v/>
      </c>
      <c r="X224" s="3">
        <f>T224-W224</f>
        <v/>
      </c>
      <c r="Y224" s="4" t="n">
        <v>92.55500000000001</v>
      </c>
      <c r="Z224" s="3" t="n">
        <v>529591</v>
      </c>
      <c r="AA224" s="3">
        <f>TABL12[[#This Row],[(RESV. STORGE) AJD]]/10</f>
        <v/>
      </c>
      <c r="AB224" s="3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32">
        <f>TABL12[[#This Row],[(A/S) AJD]]-TABL12[[#This Row],[SER_IN]]</f>
        <v/>
      </c>
    </row>
    <row r="225">
      <c r="A225" s="2" t="n">
        <v>45881</v>
      </c>
      <c r="B225" s="28" t="n">
        <v>36</v>
      </c>
      <c r="C225" s="28" t="n">
        <v>266</v>
      </c>
      <c r="D225" s="28" t="n">
        <v>36</v>
      </c>
      <c r="E225" s="28" t="n">
        <v>0</v>
      </c>
      <c r="F225" s="28" t="n">
        <v>86</v>
      </c>
      <c r="G225" s="28" t="n">
        <v>568</v>
      </c>
      <c r="H225" s="28" t="n">
        <v>17</v>
      </c>
      <c r="I225" s="28" t="n">
        <v>410</v>
      </c>
      <c r="J225" s="28" t="n">
        <v>396</v>
      </c>
      <c r="K225" s="28">
        <f>TABL12[[#This Row],[ (T/B) SAR]]+TABL12[[#This Row],[ (S/S) SAR]]</f>
        <v/>
      </c>
      <c r="L225" s="28" t="n">
        <v>238</v>
      </c>
      <c r="M225" s="29" t="n">
        <v>18.5</v>
      </c>
      <c r="N225" s="30" t="n">
        <v>7.87</v>
      </c>
      <c r="O225" s="3" t="n">
        <v>395</v>
      </c>
      <c r="P225" s="3">
        <f>TABL12[[#This Row],[ (S/S) SAR]]-TABL12[[#This Row],[(S/S) AJD]]</f>
        <v/>
      </c>
      <c r="Q225" s="3" t="n">
        <v>433</v>
      </c>
      <c r="R225" s="3">
        <f>TABL12[[#This Row],[ (T/B) SAR]]-TABL12[[#This Row],[(T/B) AJD]]</f>
        <v/>
      </c>
      <c r="S225" s="3">
        <f>TABL12[[#This Row],[S/S_CON.]]+TABL12[[#This Row],[T/B-CON.]]</f>
        <v/>
      </c>
      <c r="T225" s="3">
        <f>O225+Q225</f>
        <v/>
      </c>
      <c r="U225" s="3" t="n">
        <v>521</v>
      </c>
      <c r="V225" s="3" t="n">
        <v>258</v>
      </c>
      <c r="W225" s="3">
        <f>U225+V225</f>
        <v/>
      </c>
      <c r="X225" s="3">
        <f>T225-W225</f>
        <v/>
      </c>
      <c r="Y225" s="4" t="n">
        <v>92.592</v>
      </c>
      <c r="Z225" s="3" t="n">
        <v>552655</v>
      </c>
      <c r="AA225" s="3">
        <f>TABL12[[#This Row],[(RESV. STORGE) AJD]]/10</f>
        <v/>
      </c>
      <c r="AB225" s="3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32">
        <f>TABL12[[#This Row],[(A/S) AJD]]-TABL12[[#This Row],[SER_IN]]</f>
        <v/>
      </c>
    </row>
    <row r="226">
      <c r="A226" s="2" t="n">
        <v>45882</v>
      </c>
      <c r="B226" s="28" t="n">
        <v>37</v>
      </c>
      <c r="C226" s="28" t="n">
        <v>291</v>
      </c>
      <c r="D226" s="28" t="n">
        <v>37</v>
      </c>
      <c r="E226" s="28" t="n">
        <v>0</v>
      </c>
      <c r="F226" s="28" t="n">
        <v>103</v>
      </c>
      <c r="G226" s="28" t="n">
        <v>682</v>
      </c>
      <c r="H226" s="28" t="n">
        <v>0</v>
      </c>
      <c r="I226" s="28" t="n">
        <v>480</v>
      </c>
      <c r="J226" s="28" t="n">
        <v>466</v>
      </c>
      <c r="K226" s="28">
        <f>TABL12[[#This Row],[ (T/B) SAR]]+TABL12[[#This Row],[ (S/S) SAR]]</f>
        <v/>
      </c>
      <c r="L226" s="28" t="n">
        <v>264</v>
      </c>
      <c r="M226" s="29" t="n">
        <v>19.5</v>
      </c>
      <c r="N226" s="30" t="n">
        <v>8.06</v>
      </c>
      <c r="O226" s="3" t="n">
        <v>370</v>
      </c>
      <c r="P226" s="3">
        <f>TABL12[[#This Row],[ (S/S) SAR]]-TABL12[[#This Row],[(S/S) AJD]]</f>
        <v/>
      </c>
      <c r="Q226" s="3" t="n">
        <v>407</v>
      </c>
      <c r="R226" s="3">
        <f>TABL12[[#This Row],[ (T/B) SAR]]-TABL12[[#This Row],[(T/B) AJD]]</f>
        <v/>
      </c>
      <c r="S226" s="3">
        <f>TABL12[[#This Row],[S/S_CON.]]+TABL12[[#This Row],[T/B-CON.]]</f>
        <v/>
      </c>
      <c r="T226" s="3">
        <f>O226+Q226</f>
        <v/>
      </c>
      <c r="U226" s="3" t="n">
        <v>518</v>
      </c>
      <c r="V226" s="3" t="n">
        <v>270</v>
      </c>
      <c r="W226" s="3">
        <f>U226+V226</f>
        <v/>
      </c>
      <c r="X226" s="3">
        <f>T226-W226</f>
        <v/>
      </c>
      <c r="Y226" s="4" t="n">
        <v>92.529</v>
      </c>
      <c r="Z226" s="3" t="n">
        <v>512711</v>
      </c>
      <c r="AA226" s="3">
        <f>TABL12[[#This Row],[(RESV. STORGE) AJD]]/10</f>
        <v/>
      </c>
      <c r="AB226" s="3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32">
        <f>TABL12[[#This Row],[(A/S) AJD]]-TABL12[[#This Row],[SER_IN]]</f>
        <v/>
      </c>
    </row>
    <row r="227">
      <c r="A227" s="2" t="n">
        <v>45883</v>
      </c>
      <c r="B227" s="28" t="n">
        <v>37</v>
      </c>
      <c r="C227" s="28" t="n">
        <v>297</v>
      </c>
      <c r="D227" s="28" t="n">
        <v>37</v>
      </c>
      <c r="E227" s="28" t="n">
        <v>0</v>
      </c>
      <c r="F227" s="28" t="n">
        <v>103</v>
      </c>
      <c r="G227" s="28" t="n">
        <v>685</v>
      </c>
      <c r="H227" s="28" t="n">
        <v>0</v>
      </c>
      <c r="I227" s="28" t="n">
        <v>485</v>
      </c>
      <c r="J227" s="28" t="n">
        <v>471</v>
      </c>
      <c r="K227" s="28">
        <f>TABL12[[#This Row],[ (T/B) SAR]]+TABL12[[#This Row],[ (S/S) SAR]]</f>
        <v/>
      </c>
      <c r="L227" s="28" t="n">
        <v>271</v>
      </c>
      <c r="M227" s="29" t="n">
        <v>20.4</v>
      </c>
      <c r="N227" s="30" t="n">
        <v>8.220000000000001</v>
      </c>
      <c r="O227" s="3" t="n">
        <v>413</v>
      </c>
      <c r="P227" s="3">
        <f>TABL12[[#This Row],[ (S/S) SAR]]-TABL12[[#This Row],[(S/S) AJD]]</f>
        <v/>
      </c>
      <c r="Q227" s="3" t="n">
        <v>447</v>
      </c>
      <c r="R227" s="3">
        <f>TABL12[[#This Row],[ (T/B) SAR]]-TABL12[[#This Row],[(T/B) AJD]]</f>
        <v/>
      </c>
      <c r="S227" s="3">
        <f>TABL12[[#This Row],[S/S_CON.]]+TABL12[[#This Row],[T/B-CON.]]</f>
        <v/>
      </c>
      <c r="T227" s="3">
        <f>O227+Q227</f>
        <v/>
      </c>
      <c r="U227" s="3" t="n">
        <v>521</v>
      </c>
      <c r="V227" s="3" t="n">
        <v>280</v>
      </c>
      <c r="W227" s="3">
        <f>U227+V227</f>
        <v/>
      </c>
      <c r="X227" s="3">
        <f>T227-W227</f>
        <v/>
      </c>
      <c r="Y227" s="4" t="n">
        <v>92.57899999999999</v>
      </c>
      <c r="Z227" s="3" t="n">
        <v>543710</v>
      </c>
      <c r="AA227" s="3">
        <f>TABL12[[#This Row],[(RESV. STORGE) AJD]]/10</f>
        <v/>
      </c>
      <c r="AB227" s="3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32">
        <f>TABL12[[#This Row],[(A/S) AJD]]-TABL12[[#This Row],[SER_IN]]</f>
        <v/>
      </c>
    </row>
    <row r="228">
      <c r="A228" s="2" t="n">
        <v>45884</v>
      </c>
      <c r="B228" s="28" t="n">
        <v>38</v>
      </c>
      <c r="C228" s="28" t="n">
        <v>309</v>
      </c>
      <c r="D228" s="28" t="n">
        <v>38</v>
      </c>
      <c r="E228" s="28" t="n">
        <v>0</v>
      </c>
      <c r="F228" s="28" t="n">
        <v>103</v>
      </c>
      <c r="G228" s="28" t="n">
        <v>671</v>
      </c>
      <c r="H228" s="28" t="n">
        <v>0</v>
      </c>
      <c r="I228" s="28" t="n">
        <v>501</v>
      </c>
      <c r="J228" s="28" t="n">
        <v>489</v>
      </c>
      <c r="K228" s="28">
        <f>TABL12[[#This Row],[ (T/B) SAR]]+TABL12[[#This Row],[ (S/S) SAR]]</f>
        <v/>
      </c>
      <c r="L228" s="28" t="n">
        <v>319</v>
      </c>
      <c r="M228" s="29" t="n">
        <v>23.7</v>
      </c>
      <c r="N228" s="30" t="n">
        <v>8.210000000000001</v>
      </c>
      <c r="O228" s="3" t="n">
        <v>423</v>
      </c>
      <c r="P228" s="3">
        <f>TABL12[[#This Row],[ (S/S) SAR]]-TABL12[[#This Row],[(S/S) AJD]]</f>
        <v/>
      </c>
      <c r="Q228" s="3" t="n">
        <v>461</v>
      </c>
      <c r="R228" s="3">
        <f>TABL12[[#This Row],[ (T/B) SAR]]-TABL12[[#This Row],[(T/B) AJD]]</f>
        <v/>
      </c>
      <c r="S228" s="3">
        <f>TABL12[[#This Row],[S/S_CON.]]+TABL12[[#This Row],[T/B-CON.]]</f>
        <v/>
      </c>
      <c r="T228" s="3">
        <f>O228+Q228</f>
        <v/>
      </c>
      <c r="U228" s="3" t="n">
        <v>571</v>
      </c>
      <c r="V228" s="3" t="n">
        <v>284</v>
      </c>
      <c r="W228" s="3">
        <f>U228+V228</f>
        <v/>
      </c>
      <c r="X228" s="3">
        <f>T228-W228</f>
        <v/>
      </c>
      <c r="Y228" s="4" t="n">
        <v>92.577</v>
      </c>
      <c r="Z228" s="3" t="n">
        <v>543725</v>
      </c>
      <c r="AA228" s="3">
        <f>TABL12[[#This Row],[(RESV. STORGE) AJD]]/10</f>
        <v/>
      </c>
      <c r="AB228" s="3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32">
        <f>TABL12[[#This Row],[(A/S) AJD]]-TABL12[[#This Row],[SER_IN]]</f>
        <v/>
      </c>
    </row>
    <row r="229">
      <c r="A229" s="2" t="n">
        <v>45885</v>
      </c>
      <c r="B229" s="28" t="n">
        <v>38</v>
      </c>
      <c r="C229" s="28" t="n">
        <v>323</v>
      </c>
      <c r="D229" s="28" t="n">
        <v>38</v>
      </c>
      <c r="E229" s="28" t="n">
        <v>0</v>
      </c>
      <c r="F229" s="28" t="n">
        <v>103</v>
      </c>
      <c r="G229" s="28" t="n">
        <v>669</v>
      </c>
      <c r="H229" s="28" t="n">
        <v>0</v>
      </c>
      <c r="I229" s="28" t="n">
        <v>502</v>
      </c>
      <c r="J229" s="28" t="n">
        <v>490</v>
      </c>
      <c r="K229" s="28">
        <f>TABL12[[#This Row],[ (T/B) SAR]]+TABL12[[#This Row],[ (S/S) SAR]]</f>
        <v/>
      </c>
      <c r="L229" s="28" t="n">
        <v>323</v>
      </c>
      <c r="M229" s="29" t="n">
        <v>23.7</v>
      </c>
      <c r="N229" s="30" t="n">
        <v>8.25</v>
      </c>
      <c r="O229" s="3" t="n">
        <v>438</v>
      </c>
      <c r="P229" s="3">
        <f>TABL12[[#This Row],[ (S/S) SAR]]-TABL12[[#This Row],[(S/S) AJD]]</f>
        <v/>
      </c>
      <c r="Q229" s="3" t="n">
        <v>475</v>
      </c>
      <c r="R229" s="3">
        <f>TABL12[[#This Row],[ (T/B) SAR]]-TABL12[[#This Row],[(T/B) AJD]]</f>
        <v/>
      </c>
      <c r="S229" s="3">
        <f>TABL12[[#This Row],[S/S_CON.]]+TABL12[[#This Row],[T/B-CON.]]</f>
        <v/>
      </c>
      <c r="T229" s="3">
        <f>O229+Q229</f>
        <v/>
      </c>
      <c r="U229" s="3" t="n">
        <v>587</v>
      </c>
      <c r="V229" s="3" t="n">
        <v>264</v>
      </c>
      <c r="W229" s="3">
        <f>U229+V229</f>
        <v/>
      </c>
      <c r="X229" s="3">
        <f>T229-W229</f>
        <v/>
      </c>
      <c r="Y229" s="4" t="n">
        <v>92.637</v>
      </c>
      <c r="Z229" s="3" t="n">
        <v>578503</v>
      </c>
      <c r="AA229" s="3">
        <f>TABL12[[#This Row],[(RESV. STORGE) AJD]]/10</f>
        <v/>
      </c>
      <c r="AB229" s="3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32">
        <f>TABL12[[#This Row],[(A/S) AJD]]-TABL12[[#This Row],[SER_IN]]</f>
        <v/>
      </c>
    </row>
    <row r="230">
      <c r="A230" s="2" t="n">
        <v>45886</v>
      </c>
      <c r="B230" s="28" t="n">
        <v>38</v>
      </c>
      <c r="C230" s="28" t="n">
        <v>319</v>
      </c>
      <c r="D230" s="28" t="n">
        <v>38</v>
      </c>
      <c r="E230" s="28" t="n">
        <v>0</v>
      </c>
      <c r="F230" s="28" t="n">
        <v>103</v>
      </c>
      <c r="G230" s="28" t="n">
        <v>667</v>
      </c>
      <c r="H230" s="28" t="n">
        <v>0</v>
      </c>
      <c r="I230" s="28" t="n">
        <v>500</v>
      </c>
      <c r="J230" s="28" t="n">
        <v>490</v>
      </c>
      <c r="K230" s="28">
        <f>TABL12[[#This Row],[ (T/B) SAR]]+TABL12[[#This Row],[ (S/S) SAR]]</f>
        <v/>
      </c>
      <c r="L230" s="28" t="n">
        <v>323</v>
      </c>
      <c r="M230" s="29" t="n">
        <v>23.7</v>
      </c>
      <c r="N230" s="30" t="n">
        <v>8.27</v>
      </c>
      <c r="O230" s="3" t="n">
        <v>437</v>
      </c>
      <c r="P230" s="3">
        <f>TABL12[[#This Row],[ (S/S) SAR]]-TABL12[[#This Row],[(S/S) AJD]]</f>
        <v/>
      </c>
      <c r="Q230" s="3" t="n">
        <v>477</v>
      </c>
      <c r="R230" s="3">
        <f>TABL12[[#This Row],[ (T/B) SAR]]-TABL12[[#This Row],[(T/B) AJD]]</f>
        <v/>
      </c>
      <c r="S230" s="3">
        <f>TABL12[[#This Row],[S/S_CON.]]+TABL12[[#This Row],[T/B-CON.]]</f>
        <v/>
      </c>
      <c r="T230" s="3">
        <f>O230+Q230</f>
        <v/>
      </c>
      <c r="U230" s="3" t="n">
        <v>580</v>
      </c>
      <c r="V230" s="3" t="n">
        <v>292</v>
      </c>
      <c r="W230" s="3">
        <f>U230+V230</f>
        <v/>
      </c>
      <c r="X230" s="3">
        <f>T230-W230</f>
        <v/>
      </c>
      <c r="Y230" s="4" t="n">
        <v>92.679</v>
      </c>
      <c r="Z230" s="3" t="n">
        <v>605173</v>
      </c>
      <c r="AA230" s="3">
        <f>TABL12[[#This Row],[(RESV. STORGE) AJD]]/10</f>
        <v/>
      </c>
      <c r="AB230" s="3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32">
        <f>TABL12[[#This Row],[(A/S) AJD]]-TABL12[[#This Row],[SER_IN]]</f>
        <v/>
      </c>
    </row>
    <row r="231">
      <c r="A231" s="2" t="n">
        <v>45887</v>
      </c>
      <c r="B231" s="28" t="n">
        <v>39</v>
      </c>
      <c r="C231" s="28" t="n">
        <v>324</v>
      </c>
      <c r="D231" s="28" t="n">
        <v>39</v>
      </c>
      <c r="E231" s="28" t="n">
        <v>0</v>
      </c>
      <c r="F231" s="28" t="n">
        <v>103</v>
      </c>
      <c r="G231" s="28" t="n">
        <v>657</v>
      </c>
      <c r="H231" s="28" t="n">
        <v>0</v>
      </c>
      <c r="I231" s="28" t="n">
        <v>512</v>
      </c>
      <c r="J231" s="28" t="n">
        <v>490</v>
      </c>
      <c r="K231" s="28">
        <f>TABL12[[#This Row],[ (T/B) SAR]]+TABL12[[#This Row],[ (S/S) SAR]]</f>
        <v/>
      </c>
      <c r="L231" s="28" t="n">
        <v>345</v>
      </c>
      <c r="M231" s="29" t="n">
        <v>24.9</v>
      </c>
      <c r="N231" s="30" t="n">
        <v>8.140000000000001</v>
      </c>
      <c r="O231" s="3" t="n">
        <v>428</v>
      </c>
      <c r="P231" s="3">
        <f>TABL12[[#This Row],[ (S/S) SAR]]-TABL12[[#This Row],[(S/S) AJD]]</f>
        <v/>
      </c>
      <c r="Q231" s="3" t="n">
        <v>465</v>
      </c>
      <c r="R231" s="3">
        <f>TABL12[[#This Row],[ (T/B) SAR]]-TABL12[[#This Row],[(T/B) AJD]]</f>
        <v/>
      </c>
      <c r="S231" s="3">
        <f>TABL12[[#This Row],[S/S_CON.]]+TABL12[[#This Row],[T/B-CON.]]</f>
        <v/>
      </c>
      <c r="T231" s="3">
        <f>O231+Q231</f>
        <v/>
      </c>
      <c r="U231" s="3" t="n">
        <v>561</v>
      </c>
      <c r="V231" s="3" t="n">
        <v>307</v>
      </c>
      <c r="W231" s="3">
        <f>U231+V231</f>
        <v/>
      </c>
      <c r="X231" s="3">
        <f>T231-W231</f>
        <v/>
      </c>
      <c r="Y231" s="4" t="n">
        <v>92.679</v>
      </c>
      <c r="Z231" s="3" t="n">
        <v>604700</v>
      </c>
      <c r="AA231" s="3">
        <f>TABL12[[#This Row],[(RESV. STORGE) AJD]]/10</f>
        <v/>
      </c>
      <c r="AB231" s="3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32">
        <f>TABL12[[#This Row],[(A/S) AJD]]-TABL12[[#This Row],[SER_IN]]</f>
        <v/>
      </c>
    </row>
    <row r="232">
      <c r="A232" s="2" t="n">
        <v>45888</v>
      </c>
      <c r="B232" s="28" t="n">
        <v>40</v>
      </c>
      <c r="C232" s="28" t="n">
        <v>327</v>
      </c>
      <c r="D232" s="28" t="n">
        <v>40</v>
      </c>
      <c r="E232" s="28" t="n">
        <v>0</v>
      </c>
      <c r="F232" s="28" t="n">
        <v>103</v>
      </c>
      <c r="G232" s="28" t="n">
        <v>679</v>
      </c>
      <c r="H232" s="28" t="n">
        <v>0</v>
      </c>
      <c r="I232" s="28" t="n">
        <v>520</v>
      </c>
      <c r="J232" s="28" t="n">
        <v>501</v>
      </c>
      <c r="K232" s="28">
        <f>TABL12[[#This Row],[ (T/B) SAR]]+TABL12[[#This Row],[ (S/S) SAR]]</f>
        <v/>
      </c>
      <c r="L232" s="28" t="n">
        <v>342</v>
      </c>
      <c r="M232" s="29" t="n">
        <v>24.9</v>
      </c>
      <c r="N232" s="30" t="n">
        <v>8.029999999999999</v>
      </c>
      <c r="O232" s="3" t="n">
        <v>460</v>
      </c>
      <c r="P232" s="3">
        <f>TABL12[[#This Row],[ (S/S) SAR]]-TABL12[[#This Row],[(S/S) AJD]]</f>
        <v/>
      </c>
      <c r="Q232" s="3" t="n">
        <v>502</v>
      </c>
      <c r="R232" s="3">
        <f>TABL12[[#This Row],[ (T/B) SAR]]-TABL12[[#This Row],[(T/B) AJD]]</f>
        <v/>
      </c>
      <c r="S232" s="3">
        <f>TABL12[[#This Row],[S/S_CON.]]+TABL12[[#This Row],[T/B-CON.]]</f>
        <v/>
      </c>
      <c r="T232" s="3">
        <f>O232+Q232</f>
        <v/>
      </c>
      <c r="U232" s="3" t="n">
        <v>561</v>
      </c>
      <c r="V232" s="3" t="n">
        <v>321</v>
      </c>
      <c r="W232" s="3">
        <f>U232+V232</f>
        <v/>
      </c>
      <c r="X232" s="3">
        <f>T232-W232</f>
        <v/>
      </c>
      <c r="Y232" s="4" t="n">
        <v>92.73399999999999</v>
      </c>
      <c r="Z232" s="3" t="n">
        <v>638239</v>
      </c>
      <c r="AA232" s="3">
        <f>TABL12[[#This Row],[(RESV. STORGE) AJD]]/10</f>
        <v/>
      </c>
      <c r="AB232" s="3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32">
        <f>TABL12[[#This Row],[(A/S) AJD]]-TABL12[[#This Row],[SER_IN]]</f>
        <v/>
      </c>
    </row>
    <row r="233">
      <c r="A233" s="2" t="n">
        <v>45889</v>
      </c>
      <c r="B233" s="28" t="n">
        <v>39</v>
      </c>
      <c r="C233" s="28" t="n">
        <v>327</v>
      </c>
      <c r="D233" s="28" t="n">
        <v>39</v>
      </c>
      <c r="E233" s="28" t="n">
        <v>0</v>
      </c>
      <c r="F233" s="28" t="n">
        <v>103</v>
      </c>
      <c r="G233" s="28" t="n">
        <v>668</v>
      </c>
      <c r="H233" s="28" t="n">
        <v>0</v>
      </c>
      <c r="I233" s="28" t="n">
        <v>508</v>
      </c>
      <c r="J233" s="28" t="n">
        <v>500</v>
      </c>
      <c r="K233" s="28">
        <f>TABL12[[#This Row],[ (T/B) SAR]]+TABL12[[#This Row],[ (S/S) SAR]]</f>
        <v/>
      </c>
      <c r="L233" s="28" t="n">
        <v>340</v>
      </c>
      <c r="M233" s="29" t="n">
        <v>24.9</v>
      </c>
      <c r="N233" s="30" t="n">
        <v>7.96</v>
      </c>
      <c r="O233" s="3" t="n">
        <v>449</v>
      </c>
      <c r="P233" s="3">
        <f>TABL12[[#This Row],[ (S/S) SAR]]-TABL12[[#This Row],[(S/S) AJD]]</f>
        <v/>
      </c>
      <c r="Q233" s="3" t="n">
        <v>490</v>
      </c>
      <c r="R233" s="3">
        <f>TABL12[[#This Row],[ (T/B) SAR]]-TABL12[[#This Row],[(T/B) AJD]]</f>
        <v/>
      </c>
      <c r="S233" s="3">
        <f>TABL12[[#This Row],[S/S_CON.]]+TABL12[[#This Row],[T/B-CON.]]</f>
        <v/>
      </c>
      <c r="T233" s="3">
        <f>O233+Q233</f>
        <v/>
      </c>
      <c r="U233" s="3" t="n">
        <v>570</v>
      </c>
      <c r="V233" s="3" t="n">
        <v>329</v>
      </c>
      <c r="W233" s="3">
        <f>U233+V233</f>
        <v/>
      </c>
      <c r="X233" s="3">
        <f>T233-W233</f>
        <v/>
      </c>
      <c r="Y233" s="4" t="n">
        <v>92.742</v>
      </c>
      <c r="Z233" s="3" t="n">
        <v>638031</v>
      </c>
      <c r="AA233" s="3">
        <f>TABL12[[#This Row],[(RESV. STORGE) AJD]]/10</f>
        <v/>
      </c>
      <c r="AB233" s="3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32">
        <f>TABL12[[#This Row],[(A/S) AJD]]-TABL12[[#This Row],[SER_IN]]</f>
        <v/>
      </c>
    </row>
    <row r="234">
      <c r="A234" s="2" t="n">
        <v>45890</v>
      </c>
      <c r="B234" s="28" t="n">
        <v>41</v>
      </c>
      <c r="C234" s="28" t="n">
        <v>326</v>
      </c>
      <c r="D234" s="28" t="n">
        <v>41</v>
      </c>
      <c r="E234" s="28" t="n">
        <v>0</v>
      </c>
      <c r="F234" s="28" t="n">
        <v>103</v>
      </c>
      <c r="G234" s="28" t="n">
        <v>675</v>
      </c>
      <c r="H234" s="28" t="n">
        <v>0</v>
      </c>
      <c r="I234" s="28" t="n">
        <v>513</v>
      </c>
      <c r="J234" s="28" t="n">
        <v>502</v>
      </c>
      <c r="K234" s="28">
        <f>TABL12[[#This Row],[ (T/B) SAR]]+TABL12[[#This Row],[ (S/S) SAR]]</f>
        <v/>
      </c>
      <c r="L234" s="28" t="n">
        <v>340</v>
      </c>
      <c r="M234" s="29" t="n">
        <v>24.9</v>
      </c>
      <c r="N234" s="30" t="n">
        <v>7.89</v>
      </c>
      <c r="O234" s="3" t="n">
        <v>451</v>
      </c>
      <c r="P234" s="3">
        <f>TABL12[[#This Row],[ (S/S) SAR]]-TABL12[[#This Row],[(S/S) AJD]]</f>
        <v/>
      </c>
      <c r="Q234" s="3" t="n">
        <v>491</v>
      </c>
      <c r="R234" s="3">
        <f>TABL12[[#This Row],[ (T/B) SAR]]-TABL12[[#This Row],[(T/B) AJD]]</f>
        <v/>
      </c>
      <c r="S234" s="3">
        <f>TABL12[[#This Row],[S/S_CON.]]+TABL12[[#This Row],[T/B-CON.]]</f>
        <v/>
      </c>
      <c r="T234" s="3">
        <f>O234+Q234</f>
        <v/>
      </c>
      <c r="U234" s="3" t="n">
        <v>562</v>
      </c>
      <c r="V234" s="3" t="n">
        <v>331</v>
      </c>
      <c r="W234" s="3">
        <f>U234+V234</f>
        <v/>
      </c>
      <c r="X234" s="3">
        <f>T234-W234</f>
        <v/>
      </c>
      <c r="Y234" s="4" t="n">
        <v>92.76900000000001</v>
      </c>
      <c r="Z234" s="3" t="n">
        <v>657157</v>
      </c>
      <c r="AA234" s="3">
        <f>TABL12[[#This Row],[(RESV. STORGE) AJD]]/10</f>
        <v/>
      </c>
      <c r="AB234" s="3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32">
        <f>TABL12[[#This Row],[(A/S) AJD]]-TABL12[[#This Row],[SER_IN]]</f>
        <v/>
      </c>
    </row>
    <row r="235">
      <c r="A235" s="2" t="n">
        <v>45891</v>
      </c>
      <c r="B235" s="28" t="n">
        <v>41</v>
      </c>
      <c r="C235" s="28" t="n">
        <v>335</v>
      </c>
      <c r="D235" s="28" t="n">
        <v>41</v>
      </c>
      <c r="E235" s="28" t="n">
        <v>0</v>
      </c>
      <c r="F235" s="28" t="n">
        <v>103</v>
      </c>
      <c r="G235" s="28" t="n">
        <v>674</v>
      </c>
      <c r="H235" s="28" t="n">
        <v>0</v>
      </c>
      <c r="I235" s="28" t="n">
        <v>512</v>
      </c>
      <c r="J235" s="28" t="n">
        <v>501</v>
      </c>
      <c r="K235" s="28">
        <f>TABL12[[#This Row],[ (T/B) SAR]]+TABL12[[#This Row],[ (S/S) SAR]]</f>
        <v/>
      </c>
      <c r="L235" s="28" t="n">
        <v>339</v>
      </c>
      <c r="M235" s="29" t="n">
        <v>24.9</v>
      </c>
      <c r="N235" s="30" t="n">
        <v>7.87</v>
      </c>
      <c r="O235" s="3" t="n">
        <v>449</v>
      </c>
      <c r="P235" s="3">
        <f>TABL12[[#This Row],[ (S/S) SAR]]-TABL12[[#This Row],[(S/S) AJD]]</f>
        <v/>
      </c>
      <c r="Q235" s="3" t="n">
        <v>489</v>
      </c>
      <c r="R235" s="3">
        <f>TABL12[[#This Row],[ (T/B) SAR]]-TABL12[[#This Row],[(T/B) AJD]]</f>
        <v/>
      </c>
      <c r="S235" s="3">
        <f>TABL12[[#This Row],[S/S_CON.]]+TABL12[[#This Row],[T/B-CON.]]</f>
        <v/>
      </c>
      <c r="T235" s="3">
        <f>O235+Q235</f>
        <v/>
      </c>
      <c r="U235" s="3" t="n">
        <v>570</v>
      </c>
      <c r="V235" s="3" t="n">
        <v>264</v>
      </c>
      <c r="W235" s="3">
        <f>U235+V235</f>
        <v/>
      </c>
      <c r="X235" s="3">
        <f>T235-W235</f>
        <v/>
      </c>
      <c r="Y235" s="4" t="n">
        <v>92.779</v>
      </c>
      <c r="Z235" s="3" t="n">
        <v>663138</v>
      </c>
      <c r="AA235" s="3">
        <f>TABL12[[#This Row],[(RESV. STORGE) AJD]]/10</f>
        <v/>
      </c>
      <c r="AB235" s="3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32">
        <f>TABL12[[#This Row],[(A/S) AJD]]-TABL12[[#This Row],[SER_IN]]</f>
        <v/>
      </c>
    </row>
    <row r="236">
      <c r="A236" s="2" t="n">
        <v>45892</v>
      </c>
      <c r="B236" s="28" t="n">
        <v>41</v>
      </c>
      <c r="C236" s="28" t="n">
        <v>340</v>
      </c>
      <c r="D236" s="28" t="n">
        <v>41</v>
      </c>
      <c r="E236" s="28" t="n">
        <v>0</v>
      </c>
      <c r="F236" s="28" t="n">
        <v>103</v>
      </c>
      <c r="G236" s="28" t="n">
        <v>682</v>
      </c>
      <c r="H236" s="28" t="n">
        <v>0</v>
      </c>
      <c r="I236" s="28" t="n">
        <v>522</v>
      </c>
      <c r="J236" s="28" t="n">
        <v>500</v>
      </c>
      <c r="K236" s="28">
        <f>TABL12[[#This Row],[ (T/B) SAR]]+TABL12[[#This Row],[ (S/S) SAR]]</f>
        <v/>
      </c>
      <c r="L236" s="28" t="n">
        <v>340</v>
      </c>
      <c r="M236" s="29" t="n">
        <v>24.9</v>
      </c>
      <c r="N236" s="30" t="n">
        <v>7.92</v>
      </c>
      <c r="O236" s="3" t="n">
        <v>429</v>
      </c>
      <c r="P236" s="3">
        <f>TABL12[[#This Row],[ (S/S) SAR]]-TABL12[[#This Row],[(S/S) AJD]]</f>
        <v/>
      </c>
      <c r="Q236" s="3" t="n">
        <v>468</v>
      </c>
      <c r="R236" s="3">
        <f>TABL12[[#This Row],[ (T/B) SAR]]-TABL12[[#This Row],[(T/B) AJD]]</f>
        <v/>
      </c>
      <c r="S236" s="3">
        <f>TABL12[[#This Row],[S/S_CON.]]+TABL12[[#This Row],[T/B-CON.]]</f>
        <v/>
      </c>
      <c r="T236" s="3">
        <f>O236+Q236</f>
        <v/>
      </c>
      <c r="U236" s="3" t="n">
        <v>539</v>
      </c>
      <c r="V236" s="3" t="n">
        <v>331</v>
      </c>
      <c r="W236" s="3">
        <f>U236+V236</f>
        <v/>
      </c>
      <c r="X236" s="3">
        <f>T236-W236</f>
        <v/>
      </c>
      <c r="Y236" s="4" t="n">
        <v>92.729</v>
      </c>
      <c r="Z236" s="3" t="n">
        <v>633248</v>
      </c>
      <c r="AA236" s="3">
        <f>TABL12[[#This Row],[(RESV. STORGE) AJD]]/10</f>
        <v/>
      </c>
      <c r="AB236" s="3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32">
        <f>TABL12[[#This Row],[(A/S) AJD]]-TABL12[[#This Row],[SER_IN]]</f>
        <v/>
      </c>
    </row>
    <row r="237">
      <c r="A237" s="2" t="n">
        <v>45893</v>
      </c>
      <c r="B237" s="28" t="n">
        <v>42</v>
      </c>
      <c r="C237" s="28" t="n">
        <v>326</v>
      </c>
      <c r="D237" s="28" t="n">
        <v>42</v>
      </c>
      <c r="E237" s="28" t="n">
        <v>0</v>
      </c>
      <c r="F237" s="28" t="n">
        <v>102</v>
      </c>
      <c r="G237" s="28" t="n">
        <v>665</v>
      </c>
      <c r="H237" s="28" t="n">
        <v>1</v>
      </c>
      <c r="I237" s="28" t="n">
        <v>510</v>
      </c>
      <c r="J237" s="28" t="n">
        <v>495</v>
      </c>
      <c r="K237" s="28">
        <f>TABL12[[#This Row],[ (T/B) SAR]]+TABL12[[#This Row],[ (S/S) SAR]]</f>
        <v/>
      </c>
      <c r="L237" s="28" t="n">
        <v>340</v>
      </c>
      <c r="M237" s="29" t="n">
        <v>24.9</v>
      </c>
      <c r="N237" s="30" t="n">
        <v>7.89</v>
      </c>
      <c r="O237" s="3" t="n">
        <v>445</v>
      </c>
      <c r="P237" s="3">
        <f>TABL12[[#This Row],[ (S/S) SAR]]-TABL12[[#This Row],[(S/S) AJD]]</f>
        <v/>
      </c>
      <c r="Q237" s="3" t="n">
        <v>486</v>
      </c>
      <c r="R237" s="3">
        <f>TABL12[[#This Row],[ (T/B) SAR]]-TABL12[[#This Row],[(T/B) AJD]]</f>
        <v/>
      </c>
      <c r="S237" s="3">
        <f>TABL12[[#This Row],[S/S_CON.]]+TABL12[[#This Row],[T/B-CON.]]</f>
        <v/>
      </c>
      <c r="T237" s="3">
        <f>O237+Q237</f>
        <v/>
      </c>
      <c r="U237" s="3" t="n">
        <v>553</v>
      </c>
      <c r="V237" s="3" t="n">
        <v>362</v>
      </c>
      <c r="W237" s="3">
        <f>U237+V237</f>
        <v/>
      </c>
      <c r="X237" s="3">
        <f>T237-W237</f>
        <v/>
      </c>
      <c r="Y237" s="4" t="n">
        <v>92.669</v>
      </c>
      <c r="Z237" s="3" t="n">
        <v>597410</v>
      </c>
      <c r="AA237" s="3">
        <f>TABL12[[#This Row],[(RESV. STORGE) AJD]]/10</f>
        <v/>
      </c>
      <c r="AB237" s="3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32">
        <f>TABL12[[#This Row],[(A/S) AJD]]-TABL12[[#This Row],[SER_IN]]</f>
        <v/>
      </c>
    </row>
    <row r="238">
      <c r="A238" s="2" t="n">
        <v>45894</v>
      </c>
      <c r="B238" s="28" t="n">
        <v>42</v>
      </c>
      <c r="C238" s="28" t="n">
        <v>344</v>
      </c>
      <c r="D238" s="28" t="n">
        <v>42</v>
      </c>
      <c r="E238" s="28" t="n">
        <v>0</v>
      </c>
      <c r="F238" s="28" t="n">
        <v>103</v>
      </c>
      <c r="G238" s="28" t="n">
        <v>673</v>
      </c>
      <c r="H238" s="28" t="n">
        <v>0</v>
      </c>
      <c r="I238" s="28" t="n">
        <v>512</v>
      </c>
      <c r="J238" s="28" t="n">
        <v>500</v>
      </c>
      <c r="K238" s="28">
        <f>TABL12[[#This Row],[ (T/B) SAR]]+TABL12[[#This Row],[ (S/S) SAR]]</f>
        <v/>
      </c>
      <c r="L238" s="28" t="n">
        <v>339</v>
      </c>
      <c r="M238" s="29" t="n">
        <v>24.9</v>
      </c>
      <c r="N238" s="30" t="n">
        <v>7.89</v>
      </c>
      <c r="O238" s="3" t="n">
        <v>443</v>
      </c>
      <c r="P238" s="3">
        <f>TABL12[[#This Row],[ (S/S) SAR]]-TABL12[[#This Row],[(S/S) AJD]]</f>
        <v/>
      </c>
      <c r="Q238" s="3" t="n">
        <v>484</v>
      </c>
      <c r="R238" s="3">
        <f>TABL12[[#This Row],[ (T/B) SAR]]-TABL12[[#This Row],[(T/B) AJD]]</f>
        <v/>
      </c>
      <c r="S238" s="3">
        <f>TABL12[[#This Row],[S/S_CON.]]+TABL12[[#This Row],[T/B-CON.]]</f>
        <v/>
      </c>
      <c r="T238" s="3">
        <f>O238+Q238</f>
        <v/>
      </c>
      <c r="U238" s="3" t="n">
        <v>565</v>
      </c>
      <c r="V238" s="3" t="n">
        <v>401</v>
      </c>
      <c r="W238" s="3">
        <f>U238+V238</f>
        <v/>
      </c>
      <c r="X238" s="3">
        <f>T238-W238</f>
        <v/>
      </c>
      <c r="Y238" s="4" t="n">
        <v>92.614</v>
      </c>
      <c r="Z238" s="3" t="n">
        <v>566373</v>
      </c>
      <c r="AA238" s="3">
        <f>TABL12[[#This Row],[(RESV. STORGE) AJD]]/10</f>
        <v/>
      </c>
      <c r="AB238" s="3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32">
        <f>TABL12[[#This Row],[(A/S) AJD]]-TABL12[[#This Row],[SER_IN]]</f>
        <v/>
      </c>
    </row>
    <row r="239">
      <c r="A239" s="2" t="n">
        <v>45895</v>
      </c>
      <c r="B239" s="28" t="n">
        <v>42</v>
      </c>
      <c r="C239" s="28" t="n">
        <v>359</v>
      </c>
      <c r="D239" s="28" t="n">
        <v>42</v>
      </c>
      <c r="E239" s="28" t="n">
        <v>0</v>
      </c>
      <c r="F239" s="28" t="n">
        <v>103</v>
      </c>
      <c r="G239" s="28" t="n">
        <v>684</v>
      </c>
      <c r="H239" s="28" t="n">
        <v>0</v>
      </c>
      <c r="I239" s="28" t="n">
        <v>512</v>
      </c>
      <c r="J239" s="28" t="n">
        <v>505</v>
      </c>
      <c r="K239" s="28">
        <f>TABL12[[#This Row],[ (T/B) SAR]]+TABL12[[#This Row],[ (S/S) SAR]]</f>
        <v/>
      </c>
      <c r="L239" s="28" t="n">
        <v>338</v>
      </c>
      <c r="M239" s="29" t="n">
        <v>24.9</v>
      </c>
      <c r="N239" s="30" t="n">
        <v>8</v>
      </c>
      <c r="O239" s="3" t="n">
        <v>446</v>
      </c>
      <c r="P239" s="3">
        <f>TABL12[[#This Row],[ (S/S) SAR]]-TABL12[[#This Row],[(S/S) AJD]]</f>
        <v/>
      </c>
      <c r="Q239" s="3" t="n">
        <v>486</v>
      </c>
      <c r="R239" s="3">
        <f>TABL12[[#This Row],[ (T/B) SAR]]-TABL12[[#This Row],[(T/B) AJD]]</f>
        <v/>
      </c>
      <c r="S239" s="3">
        <f>TABL12[[#This Row],[S/S_CON.]]+TABL12[[#This Row],[T/B-CON.]]</f>
        <v/>
      </c>
      <c r="T239" s="3">
        <f>O239+Q239</f>
        <v/>
      </c>
      <c r="U239" s="3" t="n">
        <v>565</v>
      </c>
      <c r="V239" s="3" t="n">
        <v>350</v>
      </c>
      <c r="W239" s="3">
        <f>U239+V239</f>
        <v/>
      </c>
      <c r="X239" s="3">
        <f>T239-W239</f>
        <v/>
      </c>
      <c r="Y239" s="4" t="n">
        <v>92.562</v>
      </c>
      <c r="Z239" s="3" t="n">
        <v>533570</v>
      </c>
      <c r="AA239" s="3">
        <f>TABL12[[#This Row],[(RESV. STORGE) AJD]]/10</f>
        <v/>
      </c>
      <c r="AB239" s="3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32">
        <f>TABL12[[#This Row],[(A/S) AJD]]-TABL12[[#This Row],[SER_IN]]</f>
        <v/>
      </c>
    </row>
    <row r="240">
      <c r="A240" s="2" t="n">
        <v>45896</v>
      </c>
      <c r="B240" s="28" t="n">
        <v>43</v>
      </c>
      <c r="C240" s="28" t="n">
        <v>357</v>
      </c>
      <c r="D240" s="28" t="n">
        <v>43</v>
      </c>
      <c r="E240" s="28" t="n">
        <v>0</v>
      </c>
      <c r="F240" s="28" t="n">
        <v>103</v>
      </c>
      <c r="G240" s="28" t="n">
        <v>680</v>
      </c>
      <c r="H240" s="28" t="n">
        <v>0</v>
      </c>
      <c r="I240" s="28" t="n">
        <v>510</v>
      </c>
      <c r="J240" s="28" t="n">
        <v>497</v>
      </c>
      <c r="K240" s="28">
        <f>TABL12[[#This Row],[ (T/B) SAR]]+TABL12[[#This Row],[ (S/S) SAR]]</f>
        <v/>
      </c>
      <c r="L240" s="28" t="n">
        <v>345</v>
      </c>
      <c r="M240" s="29" t="n">
        <v>24.9</v>
      </c>
      <c r="N240" s="30" t="n">
        <v>8.16</v>
      </c>
      <c r="O240" s="3" t="n">
        <v>445</v>
      </c>
      <c r="P240" s="3">
        <f>TABL12[[#This Row],[ (S/S) SAR]]-TABL12[[#This Row],[(S/S) AJD]]</f>
        <v/>
      </c>
      <c r="Q240" s="3" t="n">
        <v>486</v>
      </c>
      <c r="R240" s="3">
        <f>TABL12[[#This Row],[ (T/B) SAR]]-TABL12[[#This Row],[(T/B) AJD]]</f>
        <v/>
      </c>
      <c r="S240" s="3">
        <f>TABL12[[#This Row],[S/S_CON.]]+TABL12[[#This Row],[T/B-CON.]]</f>
        <v/>
      </c>
      <c r="T240" s="3">
        <f>O240+Q240</f>
        <v/>
      </c>
      <c r="U240" s="3" t="n">
        <v>566</v>
      </c>
      <c r="V240" s="3" t="n">
        <v>361</v>
      </c>
      <c r="W240" s="3">
        <f>U240+V240</f>
        <v/>
      </c>
      <c r="X240" s="3">
        <f>T240-W240</f>
        <v/>
      </c>
      <c r="Y240" s="4" t="n">
        <v>92.515</v>
      </c>
      <c r="Z240" s="3" t="n">
        <v>505560</v>
      </c>
      <c r="AA240" s="3">
        <f>TABL12[[#This Row],[(RESV. STORGE) AJD]]/10</f>
        <v/>
      </c>
      <c r="AB240" s="3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32">
        <f>TABL12[[#This Row],[(A/S) AJD]]-TABL12[[#This Row],[SER_IN]]</f>
        <v/>
      </c>
    </row>
    <row r="241">
      <c r="A241" s="2" t="n">
        <v>45897</v>
      </c>
      <c r="B241" s="28" t="n">
        <v>42</v>
      </c>
      <c r="C241" s="28" t="n">
        <v>353</v>
      </c>
      <c r="D241" s="28" t="n">
        <v>42</v>
      </c>
      <c r="E241" s="28" t="n">
        <v>0</v>
      </c>
      <c r="F241" s="28" t="n">
        <v>103</v>
      </c>
      <c r="G241" s="28" t="n">
        <v>661</v>
      </c>
      <c r="H241" s="28" t="n">
        <v>0</v>
      </c>
      <c r="I241" s="28" t="n">
        <v>522</v>
      </c>
      <c r="J241" s="28" t="n">
        <v>508</v>
      </c>
      <c r="K241" s="28">
        <f>TABL12[[#This Row],[ (T/B) SAR]]+TABL12[[#This Row],[ (S/S) SAR]]</f>
        <v/>
      </c>
      <c r="L241" s="28" t="n">
        <v>369</v>
      </c>
      <c r="M241" s="29" t="n">
        <v>26.2</v>
      </c>
      <c r="N241" s="30" t="n">
        <v>8.09</v>
      </c>
      <c r="O241" s="3" t="n">
        <v>448</v>
      </c>
      <c r="P241" s="3">
        <f>TABL12[[#This Row],[ (S/S) SAR]]-TABL12[[#This Row],[(S/S) AJD]]</f>
        <v/>
      </c>
      <c r="Q241" s="3" t="n">
        <v>488</v>
      </c>
      <c r="R241" s="3">
        <f>TABL12[[#This Row],[ (T/B) SAR]]-TABL12[[#This Row],[(T/B) AJD]]</f>
        <v/>
      </c>
      <c r="S241" s="3">
        <f>TABL12[[#This Row],[S/S_CON.]]+TABL12[[#This Row],[T/B-CON.]]</f>
        <v/>
      </c>
      <c r="T241" s="3">
        <f>O241+Q241</f>
        <v/>
      </c>
      <c r="U241" s="3" t="n">
        <v>561</v>
      </c>
      <c r="V241" s="3" t="n">
        <v>360</v>
      </c>
      <c r="W241" s="3">
        <f>U241+V241</f>
        <v/>
      </c>
      <c r="X241" s="3">
        <f>T241-W241</f>
        <v/>
      </c>
      <c r="Y241" s="4" t="n">
        <v>92.48999999999999</v>
      </c>
      <c r="Z241" s="3" t="n">
        <v>490672</v>
      </c>
      <c r="AA241" s="3">
        <f>TABL12[[#This Row],[(RESV. STORGE) AJD]]/10</f>
        <v/>
      </c>
      <c r="AB241" s="3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32">
        <f>TABL12[[#This Row],[(A/S) AJD]]-TABL12[[#This Row],[SER_IN]]</f>
        <v/>
      </c>
    </row>
    <row r="242">
      <c r="A242" s="2" t="n">
        <v>45898</v>
      </c>
      <c r="B242" s="28" t="n">
        <v>43</v>
      </c>
      <c r="C242" s="28" t="n">
        <v>357</v>
      </c>
      <c r="D242" s="28" t="n">
        <v>43</v>
      </c>
      <c r="E242" s="28" t="n">
        <v>0</v>
      </c>
      <c r="F242" s="28" t="n">
        <v>103</v>
      </c>
      <c r="G242" s="28" t="n">
        <v>655</v>
      </c>
      <c r="H242" s="28" t="n">
        <v>0</v>
      </c>
      <c r="I242" s="28" t="n">
        <v>518</v>
      </c>
      <c r="J242" s="28" t="n">
        <v>504</v>
      </c>
      <c r="K242" s="28">
        <f>TABL12[[#This Row],[ (T/B) SAR]]+TABL12[[#This Row],[ (S/S) SAR]]</f>
        <v/>
      </c>
      <c r="L242" s="28" t="n">
        <v>367</v>
      </c>
      <c r="M242" s="29" t="n">
        <v>26.2</v>
      </c>
      <c r="N242" s="30" t="n">
        <v>8.01</v>
      </c>
      <c r="O242" s="3" t="n">
        <v>453</v>
      </c>
      <c r="P242" s="3">
        <f>TABL12[[#This Row],[ (S/S) SAR]]-TABL12[[#This Row],[(S/S) AJD]]</f>
        <v/>
      </c>
      <c r="Q242" s="3" t="n">
        <v>495</v>
      </c>
      <c r="R242" s="3">
        <f>TABL12[[#This Row],[ (T/B) SAR]]-TABL12[[#This Row],[(T/B) AJD]]</f>
        <v/>
      </c>
      <c r="S242" s="3">
        <f>TABL12[[#This Row],[S/S_CON.]]+TABL12[[#This Row],[T/B-CON.]]</f>
        <v/>
      </c>
      <c r="T242" s="3">
        <f>O242+Q242</f>
        <v/>
      </c>
      <c r="U242" s="3" t="n">
        <v>561</v>
      </c>
      <c r="V242" s="3" t="n">
        <v>370</v>
      </c>
      <c r="W242" s="3">
        <f>U242+V242</f>
        <v/>
      </c>
      <c r="X242" s="3">
        <f>T242-W242</f>
        <v/>
      </c>
      <c r="Y242" s="4" t="n">
        <v>92.47499999999999</v>
      </c>
      <c r="Z242" s="3" t="n">
        <v>481734</v>
      </c>
      <c r="AA242" s="3">
        <f>TABL12[[#This Row],[(RESV. STORGE) AJD]]/10</f>
        <v/>
      </c>
      <c r="AB242" s="3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32">
        <f>TABL12[[#This Row],[(A/S) AJD]]-TABL12[[#This Row],[SER_IN]]</f>
        <v/>
      </c>
    </row>
    <row r="243">
      <c r="A243" s="2" t="n">
        <v>45899</v>
      </c>
      <c r="B243" s="28" t="n">
        <v>43</v>
      </c>
      <c r="C243" s="28" t="n">
        <v>355</v>
      </c>
      <c r="D243" s="28" t="n">
        <v>43</v>
      </c>
      <c r="E243" s="28" t="n">
        <v>0</v>
      </c>
      <c r="F243" s="28" t="n">
        <v>103</v>
      </c>
      <c r="G243" s="28" t="n">
        <v>659</v>
      </c>
      <c r="H243" s="28" t="n">
        <v>0</v>
      </c>
      <c r="I243" s="28" t="n">
        <v>519</v>
      </c>
      <c r="J243" s="28" t="n">
        <v>505</v>
      </c>
      <c r="K243" s="28">
        <f>TABL12[[#This Row],[ (T/B) SAR]]+TABL12[[#This Row],[ (S/S) SAR]]</f>
        <v/>
      </c>
      <c r="L243" s="28" t="n">
        <v>365</v>
      </c>
      <c r="M243" s="29" t="n">
        <v>26.2</v>
      </c>
      <c r="N243" s="30" t="n">
        <v>7.97</v>
      </c>
      <c r="O243" s="3" t="n">
        <v>453</v>
      </c>
      <c r="P243" s="3">
        <f>TABL12[[#This Row],[ (S/S) SAR]]-TABL12[[#This Row],[(S/S) AJD]]</f>
        <v/>
      </c>
      <c r="Q243" s="3" t="n">
        <v>495</v>
      </c>
      <c r="R243" s="3">
        <f>TABL12[[#This Row],[ (T/B) SAR]]-TABL12[[#This Row],[(T/B) AJD]]</f>
        <v/>
      </c>
      <c r="S243" s="3">
        <f>TABL12[[#This Row],[S/S_CON.]]+TABL12[[#This Row],[T/B-CON.]]</f>
        <v/>
      </c>
      <c r="T243" s="3">
        <f>O243+Q243</f>
        <v/>
      </c>
      <c r="U243" s="3" t="n">
        <v>562</v>
      </c>
      <c r="V243" s="3" t="n">
        <v>349</v>
      </c>
      <c r="W243" s="3">
        <f>U243+V243</f>
        <v/>
      </c>
      <c r="X243" s="3">
        <f>T243-W243</f>
        <v/>
      </c>
      <c r="Y243" s="4" t="n">
        <v>92.485</v>
      </c>
      <c r="Z243" s="3" t="n">
        <v>487691</v>
      </c>
      <c r="AA243" s="3">
        <f>TABL12[[#This Row],[(RESV. STORGE) AJD]]/10</f>
        <v/>
      </c>
      <c r="AB243" s="3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32">
        <f>TABL12[[#This Row],[(A/S) AJD]]-TABL12[[#This Row],[SER_IN]]</f>
        <v/>
      </c>
    </row>
    <row r="244" ht="15.75" customHeight="1" thickBot="1">
      <c r="A244" s="2" t="n">
        <v>45900</v>
      </c>
      <c r="B244" s="28" t="n">
        <v>43</v>
      </c>
      <c r="C244" s="28" t="n">
        <v>355</v>
      </c>
      <c r="D244" s="28" t="n">
        <v>43</v>
      </c>
      <c r="E244" s="28" t="n">
        <v>0</v>
      </c>
      <c r="F244" s="28" t="n">
        <v>103</v>
      </c>
      <c r="G244" s="28" t="n">
        <v>659</v>
      </c>
      <c r="H244" s="28" t="n">
        <v>0</v>
      </c>
      <c r="I244" s="28" t="n">
        <v>528</v>
      </c>
      <c r="J244" s="28" t="n">
        <v>511</v>
      </c>
      <c r="K244" s="28">
        <f>TABL12[[#This Row],[ (T/B) SAR]]+TABL12[[#This Row],[ (S/S) SAR]]</f>
        <v/>
      </c>
      <c r="L244" s="28" t="n">
        <v>366</v>
      </c>
      <c r="M244" s="29" t="n">
        <v>26.2</v>
      </c>
      <c r="N244" s="30" t="n">
        <v>7.93</v>
      </c>
      <c r="O244" s="3" t="n">
        <v>456</v>
      </c>
      <c r="P244" s="3">
        <f>TABL12[[#This Row],[ (S/S) SAR]]-TABL12[[#This Row],[(S/S) AJD]]</f>
        <v/>
      </c>
      <c r="Q244" s="3" t="n">
        <v>496</v>
      </c>
      <c r="R244" s="3">
        <f>TABL12[[#This Row],[ (T/B) SAR]]-TABL12[[#This Row],[(T/B) AJD]]</f>
        <v/>
      </c>
      <c r="S244" s="3">
        <f>TABL12[[#This Row],[S/S_CON.]]+TABL12[[#This Row],[T/B-CON.]]</f>
        <v/>
      </c>
      <c r="T244" s="3">
        <f>O244+Q244</f>
        <v/>
      </c>
      <c r="U244" s="3" t="n">
        <v>565</v>
      </c>
      <c r="V244" s="3" t="n">
        <v>343</v>
      </c>
      <c r="W244" s="3">
        <f>U244+V244</f>
        <v/>
      </c>
      <c r="X244" s="3">
        <f>T244-W244</f>
        <v/>
      </c>
      <c r="Y244" s="4" t="n">
        <v>92.524</v>
      </c>
      <c r="Z244" s="3" t="n">
        <v>510919</v>
      </c>
      <c r="AA244" s="3">
        <f>TABL12[[#This Row],[(RESV. STORGE) AJD]]/10</f>
        <v/>
      </c>
      <c r="AB244" s="3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32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">
        <f>O245+Q245</f>
        <v/>
      </c>
      <c r="U245" s="14" t="n">
        <v>565</v>
      </c>
      <c r="V245" s="14" t="n">
        <v>371</v>
      </c>
      <c r="W245" s="9">
        <f>U245+V245</f>
        <v/>
      </c>
      <c r="X245" s="9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3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32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">
        <f>O246+Q246</f>
        <v/>
      </c>
      <c r="U246" s="14" t="n">
        <v>567</v>
      </c>
      <c r="V246" s="14" t="n">
        <v>383</v>
      </c>
      <c r="W246" s="9">
        <f>U246+V246</f>
        <v/>
      </c>
      <c r="X246" s="9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3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32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">
        <f>O247+Q247</f>
        <v/>
      </c>
      <c r="U247" s="14" t="n">
        <v>545</v>
      </c>
      <c r="V247" s="14" t="n">
        <v>370</v>
      </c>
      <c r="W247" s="9">
        <f>U247+V247</f>
        <v/>
      </c>
      <c r="X247" s="9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3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32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">
        <f>O248+Q248</f>
        <v/>
      </c>
      <c r="U248" s="14" t="n">
        <v>566</v>
      </c>
      <c r="V248" s="14" t="n">
        <v>381</v>
      </c>
      <c r="W248" s="9">
        <f>U248+V248</f>
        <v/>
      </c>
      <c r="X248" s="9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3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32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">
        <f>O249+Q249</f>
        <v/>
      </c>
      <c r="U249" s="14" t="n">
        <v>544</v>
      </c>
      <c r="V249" s="14" t="n">
        <v>356</v>
      </c>
      <c r="W249" s="9">
        <f>U249+V249</f>
        <v/>
      </c>
      <c r="X249" s="9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3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32">
        <f>TABL12[[#This Row],[(A/S) AJD]]-TABL12[[#This Row],[SER_IN]]</f>
        <v/>
      </c>
    </row>
    <row r="250">
      <c r="A250" s="2" t="n">
        <v>45906</v>
      </c>
      <c r="B250" s="28" t="n">
        <v>42</v>
      </c>
      <c r="C250" s="28" t="n">
        <v>342</v>
      </c>
      <c r="D250" s="28" t="n">
        <v>42</v>
      </c>
      <c r="E250" s="35" t="n"/>
      <c r="F250" s="28" t="n">
        <v>103</v>
      </c>
      <c r="G250" s="28" t="n">
        <v>666</v>
      </c>
      <c r="H250" s="28" t="n"/>
      <c r="I250" s="28" t="n">
        <v>518</v>
      </c>
      <c r="J250" s="28" t="n">
        <v>505</v>
      </c>
      <c r="K250" s="28">
        <f>TABL12[[#This Row],[ (T/B) SAR]]+TABL12[[#This Row],[ (S/S) SAR]]</f>
        <v/>
      </c>
      <c r="L250" s="28" t="n">
        <v>357</v>
      </c>
      <c r="M250" s="29" t="n">
        <v>26.2</v>
      </c>
      <c r="N250" s="30" t="n">
        <v>7.51</v>
      </c>
      <c r="O250" s="9" t="n">
        <v>449</v>
      </c>
      <c r="P250" s="9">
        <f>TABL12[[#This Row],[ (S/S) SAR]]-TABL12[[#This Row],[(S/S) AJD]]</f>
        <v/>
      </c>
      <c r="Q250" s="9" t="n">
        <v>490</v>
      </c>
      <c r="R250" s="9">
        <f>TABL12[[#This Row],[ (T/B) SAR]]-TABL12[[#This Row],[(T/B) AJD]]</f>
        <v/>
      </c>
      <c r="S250" s="9">
        <f>TABL12[[#This Row],[S/S_CON.]]+TABL12[[#This Row],[T/B-CON.]]</f>
        <v/>
      </c>
      <c r="T250" s="9">
        <f>O250+Q250</f>
        <v/>
      </c>
      <c r="U250" s="9" t="n">
        <v>555</v>
      </c>
      <c r="V250" s="9" t="n">
        <v>368</v>
      </c>
      <c r="W250" s="9">
        <f>U250+V250</f>
        <v/>
      </c>
      <c r="X250" s="9">
        <f>T250-W250</f>
        <v/>
      </c>
      <c r="Y250" s="18" t="n">
        <v>92.402</v>
      </c>
      <c r="Z250" s="9" t="n">
        <v>438288</v>
      </c>
      <c r="AA250" s="9">
        <f>TABL12[[#This Row],[(RESV. STORGE) AJD]]/10</f>
        <v/>
      </c>
      <c r="AB250" s="3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32">
        <f>TABL12[[#This Row],[(A/S) AJD]]-TABL12[[#This Row],[SER_IN]]</f>
        <v/>
      </c>
    </row>
    <row r="251">
      <c r="A251" s="2" t="n">
        <v>45907</v>
      </c>
      <c r="B251" s="28" t="n">
        <v>41</v>
      </c>
      <c r="C251" s="28" t="n">
        <v>340</v>
      </c>
      <c r="D251" s="28" t="n">
        <v>41</v>
      </c>
      <c r="E251" s="35" t="n"/>
      <c r="F251" s="28" t="n">
        <v>103</v>
      </c>
      <c r="G251" s="28" t="n">
        <v>648</v>
      </c>
      <c r="H251" s="28" t="n"/>
      <c r="I251" s="28" t="n">
        <v>510</v>
      </c>
      <c r="J251" s="28" t="n">
        <v>495</v>
      </c>
      <c r="K251" s="28">
        <f>TABL12[[#This Row],[ (T/B) SAR]]+TABL12[[#This Row],[ (S/S) SAR]]</f>
        <v/>
      </c>
      <c r="L251" s="28" t="n">
        <v>357</v>
      </c>
      <c r="M251" s="29" t="n">
        <v>26.2</v>
      </c>
      <c r="N251" s="30" t="n">
        <v>7.44</v>
      </c>
      <c r="O251" s="9" t="n">
        <v>450</v>
      </c>
      <c r="P251" s="9">
        <f>TABL12[[#This Row],[ (S/S) SAR]]-TABL12[[#This Row],[(S/S) AJD]]</f>
        <v/>
      </c>
      <c r="Q251" s="9" t="n">
        <v>491</v>
      </c>
      <c r="R251" s="9">
        <f>TABL12[[#This Row],[ (T/B) SAR]]-TABL12[[#This Row],[(T/B) AJD]]</f>
        <v/>
      </c>
      <c r="S251" s="9">
        <f>TABL12[[#This Row],[S/S_CON.]]+TABL12[[#This Row],[T/B-CON.]]</f>
        <v/>
      </c>
      <c r="T251" s="9">
        <f>O251+Q251</f>
        <v/>
      </c>
      <c r="U251" s="9" t="n">
        <v>561</v>
      </c>
      <c r="V251" s="9" t="n">
        <v>374</v>
      </c>
      <c r="W251" s="9">
        <f>U251+V251</f>
        <v/>
      </c>
      <c r="X251" s="9">
        <f>T251-W251</f>
        <v/>
      </c>
      <c r="Y251" s="18" t="n">
        <v>92.375</v>
      </c>
      <c r="Z251" s="9" t="n">
        <v>422229</v>
      </c>
      <c r="AA251" s="9">
        <f>TABL12[[#This Row],[(RESV. STORGE) AJD]]/10</f>
        <v/>
      </c>
      <c r="AB251" s="3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32">
        <f>TABL12[[#This Row],[(A/S) AJD]]-TABL12[[#This Row],[SER_IN]]</f>
        <v/>
      </c>
    </row>
    <row r="252">
      <c r="A252" s="2" t="n">
        <v>45908</v>
      </c>
      <c r="B252" s="28" t="n">
        <v>42</v>
      </c>
      <c r="C252" s="28" t="n">
        <v>354</v>
      </c>
      <c r="D252" s="28" t="n">
        <v>42</v>
      </c>
      <c r="E252" s="35" t="n"/>
      <c r="F252" s="28" t="n">
        <v>103</v>
      </c>
      <c r="G252" s="28" t="n">
        <v>648</v>
      </c>
      <c r="H252" s="28" t="n"/>
      <c r="I252" s="28" t="n">
        <v>510</v>
      </c>
      <c r="J252" s="28" t="n">
        <v>495</v>
      </c>
      <c r="K252" s="28">
        <f>TABL12[[#This Row],[ (T/B) SAR]]+TABL12[[#This Row],[ (S/S) SAR]]</f>
        <v/>
      </c>
      <c r="L252" s="28" t="n">
        <v>357</v>
      </c>
      <c r="M252" s="29" t="n">
        <v>26.2</v>
      </c>
      <c r="N252" s="30" t="n">
        <v>7.42</v>
      </c>
      <c r="O252" s="9" t="n">
        <v>446</v>
      </c>
      <c r="P252" s="9">
        <f>TABL12[[#This Row],[ (S/S) SAR]]-TABL12[[#This Row],[(S/S) AJD]]</f>
        <v/>
      </c>
      <c r="Q252" s="9" t="n">
        <v>485</v>
      </c>
      <c r="R252" s="9">
        <f>TABL12[[#This Row],[ (T/B) SAR]]-TABL12[[#This Row],[(T/B) AJD]]</f>
        <v/>
      </c>
      <c r="S252" s="9">
        <f>TABL12[[#This Row],[S/S_CON.]]+TABL12[[#This Row],[T/B-CON.]]</f>
        <v/>
      </c>
      <c r="T252" s="9">
        <f>O252+Q252</f>
        <v/>
      </c>
      <c r="U252" s="9" t="n">
        <v>564</v>
      </c>
      <c r="V252" s="9" t="n">
        <v>374</v>
      </c>
      <c r="W252" s="9">
        <f>U252+V252</f>
        <v/>
      </c>
      <c r="X252" s="9">
        <f>T252-W252</f>
        <v/>
      </c>
      <c r="Y252" s="18" t="n">
        <v>92.31999999999999</v>
      </c>
      <c r="Z252" s="9" t="n">
        <v>389536</v>
      </c>
      <c r="AA252" s="9">
        <f>TABL12[[#This Row],[(RESV. STORGE) AJD]]/10</f>
        <v/>
      </c>
      <c r="AB252" s="3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32">
        <f>TABL12[[#This Row],[(A/S) AJD]]-TABL12[[#This Row],[SER_IN]]</f>
        <v/>
      </c>
    </row>
    <row r="253">
      <c r="A253" s="2" t="n">
        <v>45909</v>
      </c>
      <c r="B253" s="28" t="n">
        <v>42</v>
      </c>
      <c r="C253" s="28" t="n">
        <v>336</v>
      </c>
      <c r="D253" s="28" t="n">
        <v>24</v>
      </c>
      <c r="E253" s="35" t="n"/>
      <c r="F253" s="28" t="n">
        <v>102</v>
      </c>
      <c r="G253" s="28" t="n">
        <v>648</v>
      </c>
      <c r="H253" s="28" t="n"/>
      <c r="I253" s="28" t="n">
        <v>508</v>
      </c>
      <c r="J253" s="28" t="n">
        <v>494</v>
      </c>
      <c r="K253" s="28">
        <f>TABL12[[#This Row],[ (T/B) SAR]]+TABL12[[#This Row],[ (S/S) SAR]]</f>
        <v/>
      </c>
      <c r="L253" s="28" t="n">
        <v>354</v>
      </c>
      <c r="M253" s="29" t="n">
        <v>26.2</v>
      </c>
      <c r="N253" s="30" t="n">
        <v>7.39</v>
      </c>
      <c r="O253" s="9" t="n">
        <v>446</v>
      </c>
      <c r="P253" s="9">
        <f>TABL12[[#This Row],[ (S/S) SAR]]-TABL12[[#This Row],[(S/S) AJD]]</f>
        <v/>
      </c>
      <c r="Q253" s="9" t="n">
        <v>485</v>
      </c>
      <c r="R253" s="9">
        <f>TABL12[[#This Row],[ (T/B) SAR]]-TABL12[[#This Row],[(T/B) AJD]]</f>
        <v/>
      </c>
      <c r="S253" s="9">
        <f>TABL12[[#This Row],[S/S_CON.]]+TABL12[[#This Row],[T/B-CON.]]</f>
        <v/>
      </c>
      <c r="T253" s="9">
        <f>O253+Q253</f>
        <v/>
      </c>
      <c r="U253" s="9" t="n">
        <v>550</v>
      </c>
      <c r="V253" s="9" t="n">
        <v>369</v>
      </c>
      <c r="W253" s="9">
        <f>U253+V253</f>
        <v/>
      </c>
      <c r="X253" s="9">
        <f>T253-W253</f>
        <v/>
      </c>
      <c r="Y253" s="18" t="n">
        <v>92.29300000000001</v>
      </c>
      <c r="Z253" s="9" t="n">
        <v>376464</v>
      </c>
      <c r="AA253" s="9">
        <f>TABL12[[#This Row],[(RESV. STORGE) AJD]]/10</f>
        <v/>
      </c>
      <c r="AB253" s="3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32">
        <f>TABL12[[#This Row],[(A/S) AJD]]-TABL12[[#This Row],[SER_IN]]</f>
        <v/>
      </c>
    </row>
    <row r="254">
      <c r="A254" s="2" t="n">
        <v>45910</v>
      </c>
      <c r="B254" s="28" t="n">
        <v>42</v>
      </c>
      <c r="C254" s="28" t="n">
        <v>327</v>
      </c>
      <c r="D254" s="28" t="n">
        <v>42</v>
      </c>
      <c r="E254" s="35" t="n"/>
      <c r="F254" s="28" t="n">
        <v>103</v>
      </c>
      <c r="G254" s="28" t="n">
        <v>652</v>
      </c>
      <c r="H254" s="28" t="n"/>
      <c r="I254" s="28" t="n">
        <v>504</v>
      </c>
      <c r="J254" s="28" t="n">
        <v>492</v>
      </c>
      <c r="K254" s="28">
        <f>TABL12[[#This Row],[ (T/B) SAR]]+TABL12[[#This Row],[ (S/S) SAR]]</f>
        <v/>
      </c>
      <c r="L254" s="28" t="n">
        <v>344</v>
      </c>
      <c r="M254" s="29" t="n">
        <v>25.9</v>
      </c>
      <c r="N254" s="30" t="n">
        <v>7.35</v>
      </c>
      <c r="O254" s="9" t="n">
        <v>439</v>
      </c>
      <c r="P254" s="9">
        <f>TABL12[[#This Row],[ (S/S) SAR]]-TABL12[[#This Row],[(S/S) AJD]]</f>
        <v/>
      </c>
      <c r="Q254" s="9" t="n">
        <v>480</v>
      </c>
      <c r="R254" s="9">
        <f>TABL12[[#This Row],[ (T/B) SAR]]-TABL12[[#This Row],[(T/B) AJD]]</f>
        <v/>
      </c>
      <c r="S254" s="9">
        <f>TABL12[[#This Row],[S/S_CON.]]+TABL12[[#This Row],[T/B-CON.]]</f>
        <v/>
      </c>
      <c r="T254" s="9">
        <f>O254+Q254</f>
        <v/>
      </c>
      <c r="U254" s="9" t="n">
        <v>562</v>
      </c>
      <c r="V254" s="9" t="n">
        <v>351</v>
      </c>
      <c r="W254" s="9">
        <f>U254+V254</f>
        <v/>
      </c>
      <c r="X254" s="9">
        <f>T254-W254</f>
        <v/>
      </c>
      <c r="Y254" s="18" t="n">
        <v>92.268</v>
      </c>
      <c r="Z254" s="9" t="n">
        <v>358647</v>
      </c>
      <c r="AA254" s="9">
        <f>TABL12[[#This Row],[(RESV. STORGE) AJD]]/10</f>
        <v/>
      </c>
      <c r="AB254" s="3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32">
        <f>TABL12[[#This Row],[(A/S) AJD]]-TABL12[[#This Row],[SER_IN]]</f>
        <v/>
      </c>
    </row>
    <row r="255">
      <c r="A255" s="2" t="n">
        <v>45911</v>
      </c>
      <c r="B255" s="28" t="n">
        <v>41</v>
      </c>
      <c r="C255" s="28" t="n">
        <v>336</v>
      </c>
      <c r="D255" s="28" t="n">
        <v>41</v>
      </c>
      <c r="E255" s="35" t="n"/>
      <c r="F255" s="28" t="n">
        <v>103</v>
      </c>
      <c r="G255" s="28" t="n">
        <v>656</v>
      </c>
      <c r="H255" s="28" t="n"/>
      <c r="I255" s="28" t="n">
        <v>506</v>
      </c>
      <c r="J255" s="28" t="n">
        <v>490</v>
      </c>
      <c r="K255" s="28">
        <f>TABL12[[#This Row],[ (T/B) SAR]]+TABL12[[#This Row],[ (S/S) SAR]]</f>
        <v/>
      </c>
      <c r="L255" s="28" t="n">
        <v>340</v>
      </c>
      <c r="M255" s="29" t="n">
        <v>25.9</v>
      </c>
      <c r="N255" s="30" t="n">
        <v>7.27</v>
      </c>
      <c r="O255" s="9" t="n">
        <v>438</v>
      </c>
      <c r="P255" s="9">
        <f>TABL12[[#This Row],[ (S/S) SAR]]-TABL12[[#This Row],[(S/S) AJD]]</f>
        <v/>
      </c>
      <c r="Q255" s="9" t="n">
        <v>478</v>
      </c>
      <c r="R255" s="9">
        <f>TABL12[[#This Row],[ (T/B) SAR]]-TABL12[[#This Row],[(T/B) AJD]]</f>
        <v/>
      </c>
      <c r="S255" s="9">
        <f>TABL12[[#This Row],[S/S_CON.]]+TABL12[[#This Row],[T/B-CON.]]</f>
        <v/>
      </c>
      <c r="T255" s="9">
        <f>O255+Q255</f>
        <v/>
      </c>
      <c r="U255" s="9" t="n">
        <v>564</v>
      </c>
      <c r="V255" s="9" t="n">
        <v>354</v>
      </c>
      <c r="W255" s="9">
        <f>U255+V255</f>
        <v/>
      </c>
      <c r="X255" s="9">
        <f>T255-W255</f>
        <v/>
      </c>
      <c r="Y255" s="18" t="n">
        <v>92.214</v>
      </c>
      <c r="Z255" s="9" t="n">
        <v>327181</v>
      </c>
      <c r="AA255" s="9">
        <f>TABL12[[#This Row],[(RESV. STORGE) AJD]]/10</f>
        <v/>
      </c>
      <c r="AB255" s="3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32">
        <f>TABL12[[#This Row],[(A/S) AJD]]-TABL12[[#This Row],[SER_IN]]</f>
        <v/>
      </c>
    </row>
    <row r="256">
      <c r="A256" s="2" t="n">
        <v>45912</v>
      </c>
      <c r="B256" s="28" t="n">
        <v>41</v>
      </c>
      <c r="C256" s="28" t="n">
        <v>347</v>
      </c>
      <c r="D256" s="28" t="n">
        <v>41</v>
      </c>
      <c r="E256" s="35" t="n"/>
      <c r="F256" s="28" t="n">
        <v>103</v>
      </c>
      <c r="G256" s="28" t="n">
        <v>658</v>
      </c>
      <c r="H256" s="28" t="n"/>
      <c r="I256" s="28" t="n">
        <v>508</v>
      </c>
      <c r="J256" s="28" t="n">
        <v>495</v>
      </c>
      <c r="K256" s="28">
        <f>TABL12[[#This Row],[ (T/B) SAR]]+TABL12[[#This Row],[ (S/S) SAR]]</f>
        <v/>
      </c>
      <c r="L256" s="28" t="n">
        <v>345</v>
      </c>
      <c r="M256" s="29" t="n">
        <v>25.9</v>
      </c>
      <c r="N256" s="30" t="n">
        <v>7.31</v>
      </c>
      <c r="O256" s="9" t="n">
        <v>441</v>
      </c>
      <c r="P256" s="9">
        <f>TABL12[[#This Row],[ (S/S) SAR]]-TABL12[[#This Row],[(S/S) AJD]]</f>
        <v/>
      </c>
      <c r="Q256" s="9" t="n">
        <v>481</v>
      </c>
      <c r="R256" s="9">
        <f>TABL12[[#This Row],[ (T/B) SAR]]-TABL12[[#This Row],[(T/B) AJD]]</f>
        <v/>
      </c>
      <c r="S256" s="9">
        <f>TABL12[[#This Row],[S/S_CON.]]+TABL12[[#This Row],[T/B-CON.]]</f>
        <v/>
      </c>
      <c r="T256" s="9">
        <f>O256+Q256</f>
        <v/>
      </c>
      <c r="U256" s="9" t="n">
        <v>551</v>
      </c>
      <c r="V256" s="9" t="n">
        <v>351</v>
      </c>
      <c r="W256" s="9">
        <f>U256+V256</f>
        <v/>
      </c>
      <c r="X256" s="9">
        <f>T256-W256</f>
        <v/>
      </c>
      <c r="Y256" s="18" t="n">
        <v>92.20999999999999</v>
      </c>
      <c r="Z256" s="9" t="n">
        <v>324223</v>
      </c>
      <c r="AA256" s="9">
        <f>TABL12[[#This Row],[(RESV. STORGE) AJD]]/10</f>
        <v/>
      </c>
      <c r="AB256" s="3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32">
        <f>TABL12[[#This Row],[(A/S) AJD]]-TABL12[[#This Row],[SER_IN]]</f>
        <v/>
      </c>
    </row>
    <row r="257">
      <c r="A257" s="2" t="n">
        <v>45913</v>
      </c>
      <c r="B257" s="28" t="n">
        <v>40</v>
      </c>
      <c r="C257" s="28" t="n">
        <v>344</v>
      </c>
      <c r="D257" s="28" t="n">
        <v>40</v>
      </c>
      <c r="E257" s="35" t="n"/>
      <c r="F257" s="28" t="n">
        <v>103</v>
      </c>
      <c r="G257" s="28" t="n">
        <v>658</v>
      </c>
      <c r="H257" s="28" t="n"/>
      <c r="I257" s="28" t="n">
        <v>508</v>
      </c>
      <c r="J257" s="28" t="n">
        <v>495</v>
      </c>
      <c r="K257" s="28">
        <f>TABL12[[#This Row],[ (T/B) SAR]]+TABL12[[#This Row],[ (S/S) SAR]]</f>
        <v/>
      </c>
      <c r="L257" s="28" t="n">
        <v>345</v>
      </c>
      <c r="M257" s="29" t="n">
        <v>25.9</v>
      </c>
      <c r="N257" s="30" t="n">
        <v>7.33</v>
      </c>
      <c r="O257" s="9" t="n">
        <v>441</v>
      </c>
      <c r="P257" s="9">
        <f>TABL12[[#This Row],[ (S/S) SAR]]-TABL12[[#This Row],[(S/S) AJD]]</f>
        <v/>
      </c>
      <c r="Q257" s="9" t="n">
        <v>482</v>
      </c>
      <c r="R257" s="9">
        <f>TABL12[[#This Row],[ (T/B) SAR]]-TABL12[[#This Row],[(T/B) AJD]]</f>
        <v/>
      </c>
      <c r="S257" s="9">
        <f>TABL12[[#This Row],[S/S_CON.]]+TABL12[[#This Row],[T/B-CON.]]</f>
        <v/>
      </c>
      <c r="T257" s="9">
        <f>O257+Q257</f>
        <v/>
      </c>
      <c r="U257" s="9" t="n">
        <v>534</v>
      </c>
      <c r="V257" s="9" t="n">
        <v>330</v>
      </c>
      <c r="W257" s="9">
        <f>U257+V257</f>
        <v/>
      </c>
      <c r="X257" s="9">
        <f>T257-W257</f>
        <v/>
      </c>
      <c r="Y257" s="18" t="n">
        <v>92.27</v>
      </c>
      <c r="Z257" s="9" t="n">
        <v>359834</v>
      </c>
      <c r="AA257" s="9">
        <f>TABL12[[#This Row],[(RESV. STORGE) AJD]]/10</f>
        <v/>
      </c>
      <c r="AB257" s="3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32">
        <f>TABL12[[#This Row],[(A/S) AJD]]-TABL12[[#This Row],[SER_IN]]</f>
        <v/>
      </c>
    </row>
    <row r="258">
      <c r="A258" s="2" t="n">
        <v>45914</v>
      </c>
      <c r="B258" s="28" t="n">
        <v>41</v>
      </c>
      <c r="C258" s="28" t="n">
        <v>343</v>
      </c>
      <c r="D258" s="28" t="n">
        <v>41</v>
      </c>
      <c r="E258" s="35" t="n"/>
      <c r="F258" s="28" t="n">
        <v>103</v>
      </c>
      <c r="G258" s="28" t="n">
        <v>658</v>
      </c>
      <c r="H258" s="28" t="n"/>
      <c r="I258" s="28" t="n">
        <v>508</v>
      </c>
      <c r="J258" s="28" t="n">
        <v>495</v>
      </c>
      <c r="K258" s="28">
        <f>TABL12[[#This Row],[ (T/B) SAR]]+TABL12[[#This Row],[ (S/S) SAR]]</f>
        <v/>
      </c>
      <c r="L258" s="28" t="n">
        <v>345</v>
      </c>
      <c r="M258" s="29" t="n">
        <v>25.9</v>
      </c>
      <c r="N258" s="30" t="n">
        <v>7.33</v>
      </c>
      <c r="O258" s="9" t="n">
        <v>440</v>
      </c>
      <c r="P258" s="9">
        <f>TABL12[[#This Row],[ (S/S) SAR]]-TABL12[[#This Row],[(S/S) AJD]]</f>
        <v/>
      </c>
      <c r="Q258" s="9" t="n">
        <v>482</v>
      </c>
      <c r="R258" s="9">
        <f>TABL12[[#This Row],[ (T/B) SAR]]-TABL12[[#This Row],[(T/B) AJD]]</f>
        <v/>
      </c>
      <c r="S258" s="9">
        <f>TABL12[[#This Row],[S/S_CON.]]+TABL12[[#This Row],[T/B-CON.]]</f>
        <v/>
      </c>
      <c r="T258" s="9">
        <f>O258+Q258</f>
        <v/>
      </c>
      <c r="U258" s="9" t="n">
        <v>535</v>
      </c>
      <c r="V258" s="9" t="n">
        <v>328</v>
      </c>
      <c r="W258" s="9">
        <f>U258+V258</f>
        <v/>
      </c>
      <c r="X258" s="9">
        <f>T258-W258</f>
        <v/>
      </c>
      <c r="Y258" s="18" t="n">
        <v>92.33499999999999</v>
      </c>
      <c r="Z258" s="9" t="n">
        <v>396667</v>
      </c>
      <c r="AA258" s="9">
        <f>TABL12[[#This Row],[(RESV. STORGE) AJD]]/10</f>
        <v/>
      </c>
      <c r="AB258" s="3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32">
        <f>TABL12[[#This Row],[(A/S) AJD]]-TABL12[[#This Row],[SER_IN]]</f>
        <v/>
      </c>
    </row>
    <row r="259">
      <c r="A259" s="2" t="n">
        <v>45915</v>
      </c>
      <c r="B259" s="28" t="n">
        <v>40</v>
      </c>
      <c r="C259" s="28" t="n">
        <v>336</v>
      </c>
      <c r="D259" s="28" t="n">
        <v>40</v>
      </c>
      <c r="E259" s="35" t="n"/>
      <c r="F259" s="28" t="n">
        <v>103</v>
      </c>
      <c r="G259" s="28" t="n">
        <v>658</v>
      </c>
      <c r="H259" s="28" t="n"/>
      <c r="I259" s="28" t="n">
        <v>508</v>
      </c>
      <c r="J259" s="28" t="n">
        <v>495</v>
      </c>
      <c r="K259" s="28">
        <f>TABL12[[#This Row],[ (T/B) SAR]]+TABL12[[#This Row],[ (S/S) SAR]]</f>
        <v/>
      </c>
      <c r="L259" s="28" t="n">
        <v>345</v>
      </c>
      <c r="M259" s="29" t="n">
        <v>25.9</v>
      </c>
      <c r="N259" s="30" t="n">
        <v>7.33</v>
      </c>
      <c r="O259" s="9" t="n">
        <v>439</v>
      </c>
      <c r="P259" s="9">
        <f>TABL12[[#This Row],[ (S/S) SAR]]-TABL12[[#This Row],[(S/S) AJD]]</f>
        <v/>
      </c>
      <c r="Q259" s="9" t="n">
        <v>480</v>
      </c>
      <c r="R259" s="9">
        <f>TABL12[[#This Row],[ (T/B) SAR]]-TABL12[[#This Row],[(T/B) AJD]]</f>
        <v/>
      </c>
      <c r="S259" s="9">
        <f>TABL12[[#This Row],[S/S_CON.]]+TABL12[[#This Row],[T/B-CON.]]</f>
        <v/>
      </c>
      <c r="T259" s="9">
        <f>O259+Q259</f>
        <v/>
      </c>
      <c r="U259" s="9" t="n">
        <v>532</v>
      </c>
      <c r="V259" s="9" t="n">
        <v>331</v>
      </c>
      <c r="W259" s="9">
        <f>U259+V259</f>
        <v/>
      </c>
      <c r="X259" s="9">
        <f>T259-W259</f>
        <v/>
      </c>
      <c r="Y259" s="18" t="n">
        <v>92.38200000000001</v>
      </c>
      <c r="Z259" s="9" t="n">
        <v>426394</v>
      </c>
      <c r="AA259" s="9">
        <f>TABL12[[#This Row],[(RESV. STORGE) AJD]]/10</f>
        <v/>
      </c>
      <c r="AB259" s="3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32">
        <f>TABL12[[#This Row],[(A/S) AJD]]-TABL12[[#This Row],[SER_IN]]</f>
        <v/>
      </c>
    </row>
    <row r="260">
      <c r="A260" s="2" t="n">
        <v>45916</v>
      </c>
      <c r="B260" s="28" t="n">
        <v>40</v>
      </c>
      <c r="C260" s="28" t="n">
        <v>326</v>
      </c>
      <c r="D260" s="28" t="n">
        <v>40</v>
      </c>
      <c r="E260" s="35" t="n"/>
      <c r="F260" s="28" t="n">
        <v>103</v>
      </c>
      <c r="G260" s="28" t="n">
        <v>655</v>
      </c>
      <c r="H260" s="28" t="n"/>
      <c r="I260" s="28" t="n">
        <v>505</v>
      </c>
      <c r="J260" s="28" t="n">
        <v>495</v>
      </c>
      <c r="K260" s="28">
        <f>TABL12[[#This Row],[ (T/B) SAR]]+TABL12[[#This Row],[ (S/S) SAR]]</f>
        <v/>
      </c>
      <c r="L260" s="28" t="n">
        <v>345</v>
      </c>
      <c r="M260" s="29" t="n">
        <v>25.9</v>
      </c>
      <c r="N260" s="30" t="n">
        <v>7.26</v>
      </c>
      <c r="O260" s="9" t="n">
        <v>438</v>
      </c>
      <c r="P260" s="9">
        <f>TABL12[[#This Row],[ (S/S) SAR]]-TABL12[[#This Row],[(S/S) AJD]]</f>
        <v/>
      </c>
      <c r="Q260" s="9" t="n">
        <v>478</v>
      </c>
      <c r="R260" s="9">
        <f>TABL12[[#This Row],[ (T/B) SAR]]-TABL12[[#This Row],[(T/B) AJD]]</f>
        <v/>
      </c>
      <c r="S260" s="9">
        <f>TABL12[[#This Row],[S/S_CON.]]+TABL12[[#This Row],[T/B-CON.]]</f>
        <v/>
      </c>
      <c r="T260" s="9">
        <f>O260+Q260</f>
        <v/>
      </c>
      <c r="U260" s="9" t="n">
        <v>532</v>
      </c>
      <c r="V260" s="9" t="n">
        <v>310</v>
      </c>
      <c r="W260" s="9">
        <f>U260+V260</f>
        <v/>
      </c>
      <c r="X260" s="9">
        <f>T260-W260</f>
        <v/>
      </c>
      <c r="Y260" s="18" t="n">
        <v>92.465</v>
      </c>
      <c r="Z260" s="9" t="n">
        <v>475779</v>
      </c>
      <c r="AA260" s="9">
        <f>TABL12[[#This Row],[(RESV. STORGE) AJD]]/10</f>
        <v/>
      </c>
      <c r="AB260" s="3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32">
        <f>TABL12[[#This Row],[(A/S) AJD]]-TABL12[[#This Row],[SER_IN]]</f>
        <v/>
      </c>
    </row>
    <row r="261">
      <c r="A261" s="2" t="n">
        <v>45917</v>
      </c>
      <c r="B261" s="28" t="n">
        <v>41</v>
      </c>
      <c r="C261" s="28" t="n">
        <v>338</v>
      </c>
      <c r="D261" s="28" t="n">
        <v>41</v>
      </c>
      <c r="E261" s="35" t="n"/>
      <c r="F261" s="28" t="n">
        <v>103</v>
      </c>
      <c r="G261" s="28" t="n">
        <v>654</v>
      </c>
      <c r="H261" s="28" t="n"/>
      <c r="I261" s="28" t="n">
        <v>502</v>
      </c>
      <c r="J261" s="28" t="n">
        <v>492</v>
      </c>
      <c r="K261" s="28">
        <f>TABL12[[#This Row],[ (T/B) SAR]]+TABL12[[#This Row],[ (S/S) SAR]]</f>
        <v/>
      </c>
      <c r="L261" s="28" t="n">
        <v>340</v>
      </c>
      <c r="M261" s="29" t="n">
        <v>25.9</v>
      </c>
      <c r="N261" s="30" t="n">
        <v>7.25</v>
      </c>
      <c r="O261" s="9" t="n">
        <v>439</v>
      </c>
      <c r="P261" s="9">
        <f>TABL12[[#This Row],[ (S/S) SAR]]-TABL12[[#This Row],[(S/S) AJD]]</f>
        <v/>
      </c>
      <c r="Q261" s="9" t="n">
        <v>479</v>
      </c>
      <c r="R261" s="9">
        <f>TABL12[[#This Row],[ (T/B) SAR]]-TABL12[[#This Row],[(T/B) AJD]]</f>
        <v/>
      </c>
      <c r="S261" s="9">
        <f>TABL12[[#This Row],[S/S_CON.]]+TABL12[[#This Row],[T/B-CON.]]</f>
        <v/>
      </c>
      <c r="T261" s="9">
        <f>O261+Q261</f>
        <v/>
      </c>
      <c r="U261" s="9" t="n">
        <v>536</v>
      </c>
      <c r="V261" s="9" t="n">
        <v>296</v>
      </c>
      <c r="W261" s="9">
        <f>U261+V261</f>
        <v/>
      </c>
      <c r="X261" s="9">
        <f>T261-W261</f>
        <v/>
      </c>
      <c r="Y261" s="18" t="n">
        <v>92.56399999999999</v>
      </c>
      <c r="Z261" s="9" t="n">
        <v>534761</v>
      </c>
      <c r="AA261" s="9">
        <f>TABL12[[#This Row],[(RESV. STORGE) AJD]]/10</f>
        <v/>
      </c>
      <c r="AB261" s="3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32">
        <f>TABL12[[#This Row],[(A/S) AJD]]-TABL12[[#This Row],[SER_IN]]</f>
        <v/>
      </c>
    </row>
    <row r="262">
      <c r="A262" s="2" t="n">
        <v>45918</v>
      </c>
      <c r="B262" s="28" t="n">
        <v>41</v>
      </c>
      <c r="C262" s="28" t="n">
        <v>345</v>
      </c>
      <c r="D262" s="28" t="n">
        <v>41</v>
      </c>
      <c r="E262" s="35" t="n"/>
      <c r="F262" s="28" t="n">
        <v>103</v>
      </c>
      <c r="G262" s="28" t="n">
        <v>668</v>
      </c>
      <c r="H262" s="28" t="n"/>
      <c r="I262" s="28" t="n">
        <v>512</v>
      </c>
      <c r="J262" s="28" t="n">
        <v>499</v>
      </c>
      <c r="K262" s="28">
        <f>TABL12[[#This Row],[ (T/B) SAR]]+TABL12[[#This Row],[ (S/S) SAR]]</f>
        <v/>
      </c>
      <c r="L262" s="28" t="n">
        <v>343</v>
      </c>
      <c r="M262" s="29" t="n">
        <v>25.9</v>
      </c>
      <c r="N262" s="30" t="n">
        <v>7.29</v>
      </c>
      <c r="O262" s="9" t="n">
        <v>441</v>
      </c>
      <c r="P262" s="9">
        <f>TABL12[[#This Row],[ (S/S) SAR]]-TABL12[[#This Row],[(S/S) AJD]]</f>
        <v/>
      </c>
      <c r="Q262" s="9" t="n">
        <v>480</v>
      </c>
      <c r="R262" s="9">
        <f>TABL12[[#This Row],[ (T/B) SAR]]-TABL12[[#This Row],[(T/B) AJD]]</f>
        <v/>
      </c>
      <c r="S262" s="9">
        <f>TABL12[[#This Row],[S/S_CON.]]+TABL12[[#This Row],[T/B-CON.]]</f>
        <v/>
      </c>
      <c r="T262" s="9">
        <f>O262+Q262</f>
        <v/>
      </c>
      <c r="U262" s="9" t="n">
        <v>529</v>
      </c>
      <c r="V262" s="9" t="n">
        <v>334</v>
      </c>
      <c r="W262" s="9">
        <f>U262+V262</f>
        <v/>
      </c>
      <c r="X262" s="9">
        <f>T262-W262</f>
        <v/>
      </c>
      <c r="Y262" s="18" t="n">
        <v>92.614</v>
      </c>
      <c r="Z262" s="9" t="n">
        <v>564584</v>
      </c>
      <c r="AA262" s="9">
        <f>TABL12[[#This Row],[(RESV. STORGE) AJD]]/10</f>
        <v/>
      </c>
      <c r="AB262" s="3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32">
        <f>TABL12[[#This Row],[(A/S) AJD]]-TABL12[[#This Row],[SER_IN]]</f>
        <v/>
      </c>
    </row>
    <row r="263">
      <c r="A263" s="2" t="n">
        <v>45919</v>
      </c>
      <c r="B263" s="28" t="n">
        <v>41</v>
      </c>
      <c r="C263" s="28" t="n">
        <v>344</v>
      </c>
      <c r="D263" s="28" t="n">
        <v>41</v>
      </c>
      <c r="E263" s="35" t="n"/>
      <c r="F263" s="28" t="n">
        <v>103</v>
      </c>
      <c r="G263" s="28" t="n">
        <v>661</v>
      </c>
      <c r="H263" s="28" t="n"/>
      <c r="I263" s="28" t="n">
        <v>508</v>
      </c>
      <c r="J263" s="28" t="n">
        <v>496</v>
      </c>
      <c r="K263" s="28">
        <f>TABL12[[#This Row],[ (T/B) SAR]]+TABL12[[#This Row],[ (S/S) SAR]]</f>
        <v/>
      </c>
      <c r="L263" s="28" t="n">
        <v>343</v>
      </c>
      <c r="M263" s="29" t="n">
        <v>25.9</v>
      </c>
      <c r="N263" s="30" t="n">
        <v>7.33</v>
      </c>
      <c r="O263" s="9" t="n">
        <v>446</v>
      </c>
      <c r="P263" s="9">
        <f>TABL12[[#This Row],[ (S/S) SAR]]-TABL12[[#This Row],[(S/S) AJD]]</f>
        <v/>
      </c>
      <c r="Q263" s="9" t="n">
        <v>486</v>
      </c>
      <c r="R263" s="9">
        <f>TABL12[[#This Row],[ (T/B) SAR]]-TABL12[[#This Row],[(T/B) AJD]]</f>
        <v/>
      </c>
      <c r="S263" s="9">
        <f>TABL12[[#This Row],[S/S_CON.]]+TABL12[[#This Row],[T/B-CON.]]</f>
        <v/>
      </c>
      <c r="T263" s="9">
        <f>O263+Q263</f>
        <v/>
      </c>
      <c r="U263" s="9" t="n">
        <v>536</v>
      </c>
      <c r="V263" s="9" t="n">
        <v>297</v>
      </c>
      <c r="W263" s="9">
        <f>U263+V263</f>
        <v/>
      </c>
      <c r="X263" s="9">
        <f>T263-W263</f>
        <v/>
      </c>
      <c r="Y263" s="18" t="n">
        <v>92.717</v>
      </c>
      <c r="Z263" s="9" t="n">
        <v>626082</v>
      </c>
      <c r="AA263" s="9">
        <f>TABL12[[#This Row],[(RESV. STORGE) AJD]]/10</f>
        <v/>
      </c>
      <c r="AB263" s="3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32">
        <f>TABL12[[#This Row],[(A/S) AJD]]-TABL12[[#This Row],[SER_IN]]</f>
        <v/>
      </c>
    </row>
    <row r="264">
      <c r="A264" s="2" t="n">
        <v>45920</v>
      </c>
      <c r="B264" s="28" t="n">
        <v>41</v>
      </c>
      <c r="C264" s="28" t="n">
        <v>336</v>
      </c>
      <c r="D264" s="28" t="n">
        <v>41</v>
      </c>
      <c r="E264" s="35" t="n"/>
      <c r="F264" s="28" t="n">
        <v>103</v>
      </c>
      <c r="G264" s="28" t="n">
        <v>663</v>
      </c>
      <c r="H264" s="28" t="n"/>
      <c r="I264" s="28" t="n">
        <v>510</v>
      </c>
      <c r="J264" s="28" t="n">
        <v>496</v>
      </c>
      <c r="K264" s="28">
        <f>TABL12[[#This Row],[ (T/B) SAR]]+TABL12[[#This Row],[ (S/S) SAR]]</f>
        <v/>
      </c>
      <c r="L264" s="28" t="n">
        <v>343</v>
      </c>
      <c r="M264" s="29" t="n">
        <v>25.9</v>
      </c>
      <c r="N264" s="30" t="n">
        <v>7.33</v>
      </c>
      <c r="O264" s="9" t="n">
        <v>444</v>
      </c>
      <c r="P264" s="9">
        <f>TABL12[[#This Row],[ (S/S) SAR]]-TABL12[[#This Row],[(S/S) AJD]]</f>
        <v/>
      </c>
      <c r="Q264" s="9" t="n">
        <v>484</v>
      </c>
      <c r="R264" s="9">
        <f>TABL12[[#This Row],[ (T/B) SAR]]-TABL12[[#This Row],[(T/B) AJD]]</f>
        <v/>
      </c>
      <c r="S264" s="9">
        <f>TABL12[[#This Row],[S/S_CON.]]+TABL12[[#This Row],[T/B-CON.]]</f>
        <v/>
      </c>
      <c r="T264" s="9">
        <f>O264+Q264</f>
        <v/>
      </c>
      <c r="U264" s="9" t="n">
        <v>532</v>
      </c>
      <c r="V264" s="9" t="n">
        <v>298</v>
      </c>
      <c r="W264" s="9">
        <f>U264+V264</f>
        <v/>
      </c>
      <c r="X264" s="9">
        <f>T264-W264</f>
        <v/>
      </c>
      <c r="Y264" s="18" t="n">
        <v>92.82899999999999</v>
      </c>
      <c r="Z264" s="9" t="n">
        <v>693049</v>
      </c>
      <c r="AA264" s="9">
        <f>TABL12[[#This Row],[(RESV. STORGE) AJD]]/10</f>
        <v/>
      </c>
      <c r="AB264" s="3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32">
        <f>TABL12[[#This Row],[(A/S) AJD]]-TABL12[[#This Row],[SER_IN]]</f>
        <v/>
      </c>
    </row>
    <row r="265">
      <c r="A265" s="2" t="n">
        <v>45921</v>
      </c>
      <c r="B265" s="28" t="n">
        <v>41</v>
      </c>
      <c r="C265" s="28" t="n">
        <v>332</v>
      </c>
      <c r="D265" s="28" t="n">
        <v>41</v>
      </c>
      <c r="E265" s="35" t="n"/>
      <c r="F265" s="28" t="n">
        <v>103</v>
      </c>
      <c r="G265" s="28" t="n">
        <v>663</v>
      </c>
      <c r="H265" s="28" t="n"/>
      <c r="I265" s="28" t="n">
        <v>510</v>
      </c>
      <c r="J265" s="28" t="n">
        <v>496</v>
      </c>
      <c r="K265" s="28">
        <f>TABL12[[#This Row],[ (T/B) SAR]]+TABL12[[#This Row],[ (S/S) SAR]]</f>
        <v/>
      </c>
      <c r="L265" s="28" t="n">
        <v>343</v>
      </c>
      <c r="M265" s="29" t="n">
        <v>25.9</v>
      </c>
      <c r="N265" s="30" t="n">
        <v>7.32</v>
      </c>
      <c r="O265" s="9" t="n">
        <v>444</v>
      </c>
      <c r="P265" s="9">
        <f>TABL12[[#This Row],[ (S/S) SAR]]-TABL12[[#This Row],[(S/S) AJD]]</f>
        <v/>
      </c>
      <c r="Q265" s="9" t="n">
        <v>485</v>
      </c>
      <c r="R265" s="9">
        <f>TABL12[[#This Row],[ (T/B) SAR]]-TABL12[[#This Row],[(T/B) AJD]]</f>
        <v/>
      </c>
      <c r="S265" s="9">
        <f>TABL12[[#This Row],[S/S_CON.]]+TABL12[[#This Row],[T/B-CON.]]</f>
        <v/>
      </c>
      <c r="T265" s="9">
        <f>O265+Q265</f>
        <v/>
      </c>
      <c r="U265" s="9" t="n">
        <v>530</v>
      </c>
      <c r="V265" s="9" t="n">
        <v>304</v>
      </c>
      <c r="W265" s="9">
        <f>U265+V265</f>
        <v/>
      </c>
      <c r="X265" s="9">
        <f>T265-W265</f>
        <v/>
      </c>
      <c r="Y265" s="18" t="n">
        <v>92.926</v>
      </c>
      <c r="Z265" s="9" t="n">
        <v>751131</v>
      </c>
      <c r="AA265" s="9">
        <f>TABL12[[#This Row],[(RESV. STORGE) AJD]]/10</f>
        <v/>
      </c>
      <c r="AB265" s="3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32">
        <f>TABL12[[#This Row],[(A/S) AJD]]-TABL12[[#This Row],[SER_IN]]</f>
        <v/>
      </c>
    </row>
    <row r="266">
      <c r="A266" s="2" t="n">
        <v>45922</v>
      </c>
      <c r="B266" s="28" t="n">
        <v>40</v>
      </c>
      <c r="C266" s="28" t="n">
        <v>320</v>
      </c>
      <c r="D266" s="28" t="n">
        <v>40</v>
      </c>
      <c r="E266" s="35" t="n"/>
      <c r="F266" s="28" t="n">
        <v>103</v>
      </c>
      <c r="G266" s="28" t="n">
        <v>656</v>
      </c>
      <c r="H266" s="28" t="n"/>
      <c r="I266" s="28" t="n">
        <v>502</v>
      </c>
      <c r="J266" s="28" t="n">
        <v>496</v>
      </c>
      <c r="K266" s="28">
        <f>TABL12[[#This Row],[ (T/B) SAR]]+TABL12[[#This Row],[ (S/S) SAR]]</f>
        <v/>
      </c>
      <c r="L266" s="28" t="n">
        <v>342</v>
      </c>
      <c r="M266" s="29" t="n">
        <v>25.9</v>
      </c>
      <c r="N266" s="30" t="n">
        <v>7.29</v>
      </c>
      <c r="O266" s="9" t="n">
        <v>445</v>
      </c>
      <c r="P266" s="9">
        <f>TABL12[[#This Row],[ (S/S) SAR]]-TABL12[[#This Row],[(S/S) AJD]]</f>
        <v/>
      </c>
      <c r="Q266" s="9" t="n">
        <v>485</v>
      </c>
      <c r="R266" s="9">
        <f>TABL12[[#This Row],[ (T/B) SAR]]-TABL12[[#This Row],[(T/B) AJD]]</f>
        <v/>
      </c>
      <c r="S266" s="9">
        <f>TABL12[[#This Row],[S/S_CON.]]+TABL12[[#This Row],[T/B-CON.]]</f>
        <v/>
      </c>
      <c r="T266" s="9">
        <f>O266+Q266</f>
        <v/>
      </c>
      <c r="U266" s="9" t="n">
        <v>536</v>
      </c>
      <c r="V266" s="9" t="n">
        <v>291</v>
      </c>
      <c r="W266" s="9">
        <f>U266+V266</f>
        <v/>
      </c>
      <c r="X266" s="9">
        <f>T266-W266</f>
        <v/>
      </c>
      <c r="Y266" s="18" t="n">
        <v>93.039</v>
      </c>
      <c r="Z266" s="9" t="n">
        <v>818878</v>
      </c>
      <c r="AA266" s="9">
        <f>TABL12[[#This Row],[(RESV. STORGE) AJD]]/10</f>
        <v/>
      </c>
      <c r="AB266" s="3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32">
        <f>TABL12[[#This Row],[(A/S) AJD]]-TABL12[[#This Row],[SER_IN]]</f>
        <v/>
      </c>
    </row>
    <row r="267">
      <c r="A267" s="2" t="n">
        <v>45923</v>
      </c>
      <c r="B267" s="28" t="n">
        <v>40</v>
      </c>
      <c r="C267" s="28" t="n">
        <v>322</v>
      </c>
      <c r="D267" s="28" t="n">
        <v>40</v>
      </c>
      <c r="E267" s="35" t="n"/>
      <c r="F267" s="28" t="n">
        <v>103</v>
      </c>
      <c r="G267" s="28" t="n">
        <v>663</v>
      </c>
      <c r="H267" s="28" t="n"/>
      <c r="I267" s="28" t="n">
        <v>508</v>
      </c>
      <c r="J267" s="28" t="n">
        <v>495</v>
      </c>
      <c r="K267" s="28">
        <f>TABL12[[#This Row],[ (T/B) SAR]]+TABL12[[#This Row],[ (S/S) SAR]]</f>
        <v/>
      </c>
      <c r="L267" s="28" t="n">
        <v>340</v>
      </c>
      <c r="M267" s="29" t="n">
        <v>25.9</v>
      </c>
      <c r="N267" s="30" t="n">
        <v>7.2</v>
      </c>
      <c r="O267" s="9" t="n">
        <v>445</v>
      </c>
      <c r="P267" s="9">
        <f>TABL12[[#This Row],[ (S/S) SAR]]-TABL12[[#This Row],[(S/S) AJD]]</f>
        <v/>
      </c>
      <c r="Q267" s="9" t="n">
        <v>484</v>
      </c>
      <c r="R267" s="9">
        <f>TABL12[[#This Row],[ (T/B) SAR]]-TABL12[[#This Row],[(T/B) AJD]]</f>
        <v/>
      </c>
      <c r="S267" s="9">
        <f>TABL12[[#This Row],[S/S_CON.]]+TABL12[[#This Row],[T/B-CON.]]</f>
        <v/>
      </c>
      <c r="T267" s="9">
        <f>O267+Q267</f>
        <v/>
      </c>
      <c r="U267" s="9" t="n">
        <v>527</v>
      </c>
      <c r="V267" s="9" t="n">
        <v>319</v>
      </c>
      <c r="W267" s="9">
        <f>U267+V267</f>
        <v/>
      </c>
      <c r="X267" s="9">
        <f>T267-W267</f>
        <v/>
      </c>
      <c r="Y267" s="18" t="n">
        <v>93.111</v>
      </c>
      <c r="Z267" s="9" t="n">
        <v>862121</v>
      </c>
      <c r="AA267" s="9">
        <f>TABL12[[#This Row],[(RESV. STORGE) AJD]]/10</f>
        <v/>
      </c>
      <c r="AB267" s="3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32">
        <f>TABL12[[#This Row],[(A/S) AJD]]-TABL12[[#This Row],[SER_IN]]</f>
        <v/>
      </c>
    </row>
    <row r="268">
      <c r="A268" s="2" t="n">
        <v>45924</v>
      </c>
      <c r="B268" s="28" t="n">
        <v>39</v>
      </c>
      <c r="C268" s="28" t="n">
        <v>313</v>
      </c>
      <c r="D268" s="28" t="n">
        <v>39</v>
      </c>
      <c r="E268" s="35" t="n"/>
      <c r="F268" s="28" t="n">
        <v>103</v>
      </c>
      <c r="G268" s="28" t="n">
        <v>660</v>
      </c>
      <c r="H268" s="28" t="n"/>
      <c r="I268" s="28" t="n">
        <v>505</v>
      </c>
      <c r="J268" s="28" t="n">
        <v>493</v>
      </c>
      <c r="K268" s="28">
        <f>TABL12[[#This Row],[ (T/B) SAR]]+TABL12[[#This Row],[ (S/S) SAR]]</f>
        <v/>
      </c>
      <c r="L268" s="28" t="n">
        <v>338</v>
      </c>
      <c r="M268" s="29" t="n">
        <v>25.9</v>
      </c>
      <c r="N268" s="30" t="n">
        <v>7.06</v>
      </c>
      <c r="O268" s="9" t="n">
        <v>484</v>
      </c>
      <c r="P268" s="9">
        <f>TABL12[[#This Row],[ (S/S) SAR]]-TABL12[[#This Row],[(S/S) AJD]]</f>
        <v/>
      </c>
      <c r="Q268" s="9" t="n">
        <v>445</v>
      </c>
      <c r="R268" s="9">
        <f>TABL12[[#This Row],[ (T/B) SAR]]-TABL12[[#This Row],[(T/B) AJD]]</f>
        <v/>
      </c>
      <c r="S268" s="9">
        <f>TABL12[[#This Row],[S/S_CON.]]+TABL12[[#This Row],[T/B-CON.]]</f>
        <v/>
      </c>
      <c r="T268" s="9">
        <f>O268+Q268</f>
        <v/>
      </c>
      <c r="U268" s="9" t="n">
        <v>537</v>
      </c>
      <c r="V268" s="9" t="n">
        <v>362</v>
      </c>
      <c r="W268" s="9">
        <f>U268+V268</f>
        <v/>
      </c>
      <c r="X268" s="9">
        <f>T268-W268</f>
        <v/>
      </c>
      <c r="Y268" s="18" t="n">
        <v>93.093</v>
      </c>
      <c r="Z268" s="9" t="n">
        <v>851311</v>
      </c>
      <c r="AA268" s="9">
        <f>TABL12[[#This Row],[(RESV. STORGE) AJD]]/10</f>
        <v/>
      </c>
      <c r="AB268" s="3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32">
        <f>TABL12[[#This Row],[(A/S) AJD]]-TABL12[[#This Row],[SER_IN]]</f>
        <v/>
      </c>
    </row>
    <row r="269">
      <c r="A269" s="2" t="n">
        <v>45925</v>
      </c>
      <c r="B269" s="28" t="n">
        <v>39</v>
      </c>
      <c r="C269" s="28" t="n">
        <v>318</v>
      </c>
      <c r="D269" s="28" t="n">
        <v>39</v>
      </c>
      <c r="E269" s="35" t="n"/>
      <c r="F269" s="28" t="n">
        <v>103</v>
      </c>
      <c r="G269" s="28" t="n">
        <v>664</v>
      </c>
      <c r="H269" s="28" t="n"/>
      <c r="I269" s="28" t="n">
        <v>491</v>
      </c>
      <c r="J269" s="28" t="n">
        <v>483</v>
      </c>
      <c r="K269" s="28">
        <f>TABL12[[#This Row],[ (T/B) SAR]]+TABL12[[#This Row],[ (S/S) SAR]]</f>
        <v/>
      </c>
      <c r="L269" s="28" t="n">
        <v>310</v>
      </c>
      <c r="M269" s="29" t="n">
        <v>24.6</v>
      </c>
      <c r="N269" s="30" t="n">
        <v>7.17</v>
      </c>
      <c r="O269" s="9" t="n">
        <v>440</v>
      </c>
      <c r="P269" s="9">
        <f>TABL12[[#This Row],[ (S/S) SAR]]-TABL12[[#This Row],[(S/S) AJD]]</f>
        <v/>
      </c>
      <c r="Q269" s="9" t="n">
        <v>482</v>
      </c>
      <c r="R269" s="9">
        <f>TABL12[[#This Row],[ (T/B) SAR]]-TABL12[[#This Row],[(T/B) AJD]]</f>
        <v/>
      </c>
      <c r="S269" s="9">
        <f>TABL12[[#This Row],[S/S_CON.]]+TABL12[[#This Row],[T/B-CON.]]</f>
        <v/>
      </c>
      <c r="T269" s="9">
        <f>O269+Q269</f>
        <v/>
      </c>
      <c r="U269" s="9" t="n">
        <v>530</v>
      </c>
      <c r="V269" s="9" t="n">
        <v>372</v>
      </c>
      <c r="W269" s="9">
        <f>U269+V269</f>
        <v/>
      </c>
      <c r="X269" s="9">
        <f>T269-W269</f>
        <v/>
      </c>
      <c r="Y269" s="18" t="n">
        <v>93.056</v>
      </c>
      <c r="Z269" s="9" t="n">
        <v>827894</v>
      </c>
      <c r="AA269" s="9">
        <f>TABL12[[#This Row],[(RESV. STORGE) AJD]]/10</f>
        <v/>
      </c>
      <c r="AB269" s="3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32">
        <f>TABL12[[#This Row],[(A/S) AJD]]-TABL12[[#This Row],[SER_IN]]</f>
        <v/>
      </c>
    </row>
    <row r="270">
      <c r="A270" s="2" t="n">
        <v>45926</v>
      </c>
      <c r="B270" s="28" t="n">
        <v>39</v>
      </c>
      <c r="C270" s="28" t="n">
        <v>320</v>
      </c>
      <c r="D270" s="28" t="n">
        <v>39</v>
      </c>
      <c r="E270" s="35" t="n"/>
      <c r="F270" s="28" t="n">
        <v>103</v>
      </c>
      <c r="G270" s="28" t="n">
        <v>714</v>
      </c>
      <c r="H270" s="28" t="n"/>
      <c r="I270" s="28" t="n">
        <v>494</v>
      </c>
      <c r="J270" s="28" t="n">
        <v>481</v>
      </c>
      <c r="K270" s="28">
        <f>TABL12[[#This Row],[ (T/B) SAR]]+TABL12[[#This Row],[ (S/S) SAR]]</f>
        <v/>
      </c>
      <c r="L270" s="28" t="n">
        <v>311</v>
      </c>
      <c r="M270" s="29" t="n">
        <v>24.6</v>
      </c>
      <c r="N270" s="30" t="n">
        <v>7.25</v>
      </c>
      <c r="O270" s="9" t="n">
        <v>428</v>
      </c>
      <c r="P270" s="9">
        <f>TABL12[[#This Row],[ (S/S) SAR]]-TABL12[[#This Row],[(S/S) AJD]]</f>
        <v/>
      </c>
      <c r="Q270" s="9" t="n">
        <v>469</v>
      </c>
      <c r="R270" s="9">
        <f>TABL12[[#This Row],[ (T/B) SAR]]-TABL12[[#This Row],[(T/B) AJD]]</f>
        <v/>
      </c>
      <c r="S270" s="9">
        <f>TABL12[[#This Row],[S/S_CON.]]+TABL12[[#This Row],[T/B-CON.]]</f>
        <v/>
      </c>
      <c r="T270" s="9">
        <f>O270+Q270</f>
        <v/>
      </c>
      <c r="U270" s="9" t="n">
        <v>533</v>
      </c>
      <c r="V270" s="9" t="n">
        <v>357</v>
      </c>
      <c r="W270" s="9">
        <f>U270+V270</f>
        <v/>
      </c>
      <c r="X270" s="9">
        <f>T270-W270</f>
        <v/>
      </c>
      <c r="Y270" s="18" t="n">
        <v>92.998</v>
      </c>
      <c r="Z270" s="9" t="n">
        <v>794293</v>
      </c>
      <c r="AA270" s="9">
        <f>TABL12[[#This Row],[(RESV. STORGE) AJD]]/10</f>
        <v/>
      </c>
      <c r="AB270" s="3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32">
        <f>TABL12[[#This Row],[(A/S) AJD]]-TABL12[[#This Row],[SER_IN]]</f>
        <v/>
      </c>
    </row>
    <row r="271">
      <c r="A271" s="2" t="n">
        <v>45927</v>
      </c>
      <c r="B271" s="28" t="n">
        <v>39</v>
      </c>
      <c r="C271" s="28" t="n">
        <v>329</v>
      </c>
      <c r="D271" s="28" t="n">
        <v>39</v>
      </c>
      <c r="E271" s="35" t="n"/>
      <c r="F271" s="28" t="n">
        <v>103</v>
      </c>
      <c r="G271" s="28" t="n">
        <v>654</v>
      </c>
      <c r="H271" s="28" t="n"/>
      <c r="I271" s="28" t="n">
        <v>490</v>
      </c>
      <c r="J271" s="28" t="n">
        <v>477</v>
      </c>
      <c r="K271" s="28">
        <f>TABL12[[#This Row],[ (T/B) SAR]]+TABL12[[#This Row],[ (S/S) SAR]]</f>
        <v/>
      </c>
      <c r="L271" s="28" t="n">
        <v>313</v>
      </c>
      <c r="M271" s="29" t="n">
        <v>24.6</v>
      </c>
      <c r="N271" s="30" t="n">
        <v>7.37</v>
      </c>
      <c r="O271" s="9" t="n">
        <v>434</v>
      </c>
      <c r="P271" s="9">
        <f>TABL12[[#This Row],[ (S/S) SAR]]-TABL12[[#This Row],[(S/S) AJD]]</f>
        <v/>
      </c>
      <c r="Q271" s="9" t="n">
        <v>471</v>
      </c>
      <c r="R271" s="9">
        <f>TABL12[[#This Row],[ (T/B) SAR]]-TABL12[[#This Row],[(T/B) AJD]]</f>
        <v/>
      </c>
      <c r="S271" s="9">
        <f>TABL12[[#This Row],[S/S_CON.]]+TABL12[[#This Row],[T/B-CON.]]</f>
        <v/>
      </c>
      <c r="T271" s="9">
        <f>O271+Q271</f>
        <v/>
      </c>
      <c r="U271" s="9" t="n">
        <v>537</v>
      </c>
      <c r="V271" s="9" t="n">
        <v>365</v>
      </c>
      <c r="W271" s="9">
        <f>U271+V271</f>
        <v/>
      </c>
      <c r="X271" s="9">
        <f>T271-W271</f>
        <v/>
      </c>
      <c r="Y271" s="18" t="n">
        <v>92.946</v>
      </c>
      <c r="Z271" s="9" t="n">
        <v>763115</v>
      </c>
      <c r="AA271" s="9">
        <f>TABL12[[#This Row],[(RESV. STORGE) AJD]]/10</f>
        <v/>
      </c>
      <c r="AB271" s="3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32">
        <f>TABL12[[#This Row],[(A/S) AJD]]-TABL12[[#This Row],[SER_IN]]</f>
        <v/>
      </c>
    </row>
    <row r="272">
      <c r="A272" s="2" t="n">
        <v>45928</v>
      </c>
      <c r="B272" s="28" t="n">
        <v>39</v>
      </c>
      <c r="C272" s="28" t="n">
        <v>349</v>
      </c>
      <c r="D272" s="28" t="n">
        <v>39</v>
      </c>
      <c r="E272" s="35" t="n"/>
      <c r="F272" s="28" t="n">
        <v>103</v>
      </c>
      <c r="G272" s="28" t="n">
        <v>653</v>
      </c>
      <c r="H272" s="28" t="n"/>
      <c r="I272" s="28" t="n">
        <v>490</v>
      </c>
      <c r="J272" s="28" t="n">
        <v>478</v>
      </c>
      <c r="K272" s="28">
        <f>TABL12[[#This Row],[ (T/B) SAR]]+TABL12[[#This Row],[ (S/S) SAR]]</f>
        <v/>
      </c>
      <c r="L272" s="28" t="n">
        <v>315</v>
      </c>
      <c r="M272" s="29" t="n">
        <v>24.6</v>
      </c>
      <c r="N272" s="30" t="n">
        <v>7.46</v>
      </c>
      <c r="O272" s="9" t="n">
        <v>430</v>
      </c>
      <c r="P272" s="9">
        <f>TABL12[[#This Row],[ (S/S) SAR]]-TABL12[[#This Row],[(S/S) AJD]]</f>
        <v/>
      </c>
      <c r="Q272" s="9" t="n">
        <v>469</v>
      </c>
      <c r="R272" s="9">
        <f>TABL12[[#This Row],[ (T/B) SAR]]-TABL12[[#This Row],[(T/B) AJD]]</f>
        <v/>
      </c>
      <c r="S272" s="9">
        <f>TABL12[[#This Row],[S/S_CON.]]+TABL12[[#This Row],[T/B-CON.]]</f>
        <v/>
      </c>
      <c r="T272" s="9">
        <f>O272+Q272</f>
        <v/>
      </c>
      <c r="U272" s="9" t="n">
        <v>534</v>
      </c>
      <c r="V272" s="9" t="n">
        <v>357</v>
      </c>
      <c r="W272" s="9">
        <f>U272+V272</f>
        <v/>
      </c>
      <c r="X272" s="9">
        <f>T272-W272</f>
        <v/>
      </c>
      <c r="Y272" s="18" t="n">
        <v>92.89100000000001</v>
      </c>
      <c r="Z272" s="9" t="n">
        <v>730163</v>
      </c>
      <c r="AA272" s="9">
        <f>TABL12[[#This Row],[(RESV. STORGE) AJD]]/10</f>
        <v/>
      </c>
      <c r="AB272" s="3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32">
        <f>TABL12[[#This Row],[(A/S) AJD]]-TABL12[[#This Row],[SER_IN]]</f>
        <v/>
      </c>
    </row>
    <row r="273">
      <c r="A273" s="2" t="n">
        <v>45929</v>
      </c>
      <c r="B273" s="28" t="n">
        <v>39</v>
      </c>
      <c r="C273" s="28" t="n">
        <v>317</v>
      </c>
      <c r="D273" s="28" t="n">
        <v>39</v>
      </c>
      <c r="E273" s="35" t="n"/>
      <c r="F273" s="28" t="n">
        <v>103</v>
      </c>
      <c r="G273" s="28" t="n">
        <v>654</v>
      </c>
      <c r="H273" s="28" t="n"/>
      <c r="I273" s="28" t="n">
        <v>491</v>
      </c>
      <c r="J273" s="28" t="n">
        <v>478</v>
      </c>
      <c r="K273" s="28">
        <f>TABL12[[#This Row],[ (T/B) SAR]]+TABL12[[#This Row],[ (S/S) SAR]]</f>
        <v/>
      </c>
      <c r="L273" s="28" t="n">
        <v>315</v>
      </c>
      <c r="M273" s="29" t="n">
        <v>24.6</v>
      </c>
      <c r="N273" s="30" t="n">
        <v>7.46</v>
      </c>
      <c r="O273" s="9" t="n">
        <v>432</v>
      </c>
      <c r="P273" s="9">
        <f>TABL12[[#This Row],[ (S/S) SAR]]-TABL12[[#This Row],[(S/S) AJD]]</f>
        <v/>
      </c>
      <c r="Q273" s="9" t="n">
        <v>468</v>
      </c>
      <c r="R273" s="9">
        <f>TABL12[[#This Row],[ (T/B) SAR]]-TABL12[[#This Row],[(T/B) AJD]]</f>
        <v/>
      </c>
      <c r="S273" s="9">
        <f>TABL12[[#This Row],[S/S_CON.]]+TABL12[[#This Row],[T/B-CON.]]</f>
        <v/>
      </c>
      <c r="T273" s="9">
        <f>O273+Q273</f>
        <v/>
      </c>
      <c r="U273" s="9" t="n">
        <v>534</v>
      </c>
      <c r="V273" s="9" t="n">
        <v>339</v>
      </c>
      <c r="W273" s="9">
        <f>U273+V273</f>
        <v/>
      </c>
      <c r="X273" s="9">
        <f>T273-W273</f>
        <v/>
      </c>
      <c r="Y273" s="18" t="n">
        <v>92.881</v>
      </c>
      <c r="Z273" s="9" t="n">
        <v>724173</v>
      </c>
      <c r="AA273" s="9">
        <f>TABL12[[#This Row],[(RESV. STORGE) AJD]]/10</f>
        <v/>
      </c>
      <c r="AB273" s="3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32">
        <f>TABL12[[#This Row],[(A/S) AJD]]-TABL12[[#This Row],[SER_IN]]</f>
        <v/>
      </c>
    </row>
    <row r="274">
      <c r="A274" s="2" t="n">
        <v>45930</v>
      </c>
      <c r="B274" s="28" t="n">
        <v>39</v>
      </c>
      <c r="C274" s="28" t="n">
        <v>322</v>
      </c>
      <c r="D274" s="28" t="n">
        <v>39</v>
      </c>
      <c r="E274" s="35" t="n"/>
      <c r="F274" s="28" t="n">
        <v>103</v>
      </c>
      <c r="G274" s="28" t="n">
        <v>652</v>
      </c>
      <c r="H274" s="28" t="n"/>
      <c r="I274" s="28" t="n">
        <v>491</v>
      </c>
      <c r="J274" s="28" t="n">
        <v>477</v>
      </c>
      <c r="K274" s="28">
        <f>TABL12[[#This Row],[ (T/B) SAR]]+TABL12[[#This Row],[ (S/S) SAR]]</f>
        <v/>
      </c>
      <c r="L274" s="28" t="n">
        <v>316</v>
      </c>
      <c r="M274" s="29" t="n">
        <v>24.6</v>
      </c>
      <c r="N274" s="30" t="n">
        <v>7.58</v>
      </c>
      <c r="O274" s="9" t="n">
        <v>429</v>
      </c>
      <c r="P274" s="9">
        <f>TABL12[[#This Row],[ (S/S) SAR]]-TABL12[[#This Row],[(S/S) AJD]]</f>
        <v/>
      </c>
      <c r="Q274" s="9" t="n">
        <v>468</v>
      </c>
      <c r="R274" s="9">
        <f>TABL12[[#This Row],[ (T/B) SAR]]-TABL12[[#This Row],[(T/B) AJD]]</f>
        <v/>
      </c>
      <c r="S274" s="9">
        <f>TABL12[[#This Row],[S/S_CON.]]+TABL12[[#This Row],[T/B-CON.]]</f>
        <v/>
      </c>
      <c r="T274" s="9">
        <f>O274+Q274</f>
        <v/>
      </c>
      <c r="U274" s="9" t="n">
        <v>536</v>
      </c>
      <c r="V274" s="9" t="n">
        <v>349</v>
      </c>
      <c r="W274" s="9">
        <f>U274+V274</f>
        <v/>
      </c>
      <c r="X274" s="9">
        <f>T274-W274</f>
        <v/>
      </c>
      <c r="Y274" s="18" t="n">
        <v>92.834</v>
      </c>
      <c r="Z274" s="9" t="n">
        <v>697030</v>
      </c>
      <c r="AA274" s="9">
        <f>TABL12[[#This Row],[(RESV. STORGE) AJD]]/10</f>
        <v/>
      </c>
      <c r="AB274" s="3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32">
        <f>TABL12[[#This Row],[(A/S) AJD]]-TABL12[[#This Row],[SER_IN]]</f>
        <v/>
      </c>
    </row>
    <row r="275">
      <c r="A275" s="2" t="n">
        <v>45931</v>
      </c>
      <c r="B275" s="28" t="n">
        <v>39</v>
      </c>
      <c r="C275" s="28" t="n">
        <v>316</v>
      </c>
      <c r="D275" s="28" t="n">
        <v>39</v>
      </c>
      <c r="E275" s="28" t="n">
        <v>0</v>
      </c>
      <c r="F275" s="28" t="n">
        <v>103</v>
      </c>
      <c r="G275" s="28" t="n">
        <v>654</v>
      </c>
      <c r="H275" s="28" t="n">
        <v>0</v>
      </c>
      <c r="I275" s="28" t="n">
        <v>491</v>
      </c>
      <c r="J275" s="28" t="n">
        <v>479</v>
      </c>
      <c r="K275" s="28">
        <f>TABL12[[#This Row],[ (T/B) SAR]]+TABL12[[#This Row],[ (S/S) SAR]]</f>
        <v/>
      </c>
      <c r="L275" s="28" t="n">
        <v>316</v>
      </c>
      <c r="M275" s="29" t="n">
        <v>24.6</v>
      </c>
      <c r="N275" s="30" t="n">
        <v>7.62</v>
      </c>
      <c r="O275" s="14" t="n">
        <v>430</v>
      </c>
      <c r="P275" s="9">
        <f>TABL12[[#This Row],[ (S/S) SAR]]-TABL12[[#This Row],[(S/S) AJD]]</f>
        <v/>
      </c>
      <c r="Q275" s="14" t="n">
        <v>469</v>
      </c>
      <c r="R275" s="9">
        <f>TABL12[[#This Row],[ (T/B) SAR]]-TABL12[[#This Row],[(T/B) AJD]]</f>
        <v/>
      </c>
      <c r="S275" s="9">
        <f>TABL12[[#This Row],[S/S_CON.]]+TABL12[[#This Row],[T/B-CON.]]</f>
        <v/>
      </c>
      <c r="T275" s="9">
        <f>O275+Q275</f>
        <v/>
      </c>
      <c r="U275" s="14" t="n">
        <v>538</v>
      </c>
      <c r="V275" s="14" t="n">
        <v>355</v>
      </c>
      <c r="W275" s="9">
        <f>U275+V275</f>
        <v/>
      </c>
      <c r="X275" s="9">
        <f>T275-W275</f>
        <v/>
      </c>
      <c r="Y275" s="18" t="n">
        <v>92.779</v>
      </c>
      <c r="Z275" s="9" t="n">
        <v>664126</v>
      </c>
      <c r="AA275" s="9">
        <f>TABL12[[#This Row],[(RESV. STORGE) AJD]]/10</f>
        <v/>
      </c>
      <c r="AB275" s="3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32">
        <f>TABL12[[#This Row],[(A/S) AJD]]-TABL12[[#This Row],[SER_IN]]</f>
        <v/>
      </c>
    </row>
    <row r="276">
      <c r="A276" s="2" t="n">
        <v>45932</v>
      </c>
      <c r="B276" s="28" t="n">
        <v>37</v>
      </c>
      <c r="C276" s="28" t="n">
        <v>308</v>
      </c>
      <c r="D276" s="28" t="n">
        <v>37</v>
      </c>
      <c r="E276" s="28" t="n">
        <v>0</v>
      </c>
      <c r="F276" s="28" t="n">
        <v>38</v>
      </c>
      <c r="G276" s="28" t="n">
        <v>654</v>
      </c>
      <c r="H276" s="28" t="n">
        <v>65</v>
      </c>
      <c r="I276" s="28" t="n">
        <v>565</v>
      </c>
      <c r="J276" s="28" t="n">
        <v>0</v>
      </c>
      <c r="K276" s="28">
        <f>TABL12[[#This Row],[ (T/B) SAR]]+TABL12[[#This Row],[ (S/S) SAR]]</f>
        <v/>
      </c>
      <c r="L276" s="28" t="n">
        <v>317</v>
      </c>
      <c r="M276" s="29" t="n">
        <v>24.6</v>
      </c>
      <c r="N276" s="30" t="n">
        <v>7.59</v>
      </c>
      <c r="O276" s="14" t="n">
        <v>390</v>
      </c>
      <c r="P276" s="9">
        <f>TABL12[[#This Row],[ (S/S) SAR]]-TABL12[[#This Row],[(S/S) AJD]]</f>
        <v/>
      </c>
      <c r="Q276" s="14" t="n">
        <v>441</v>
      </c>
      <c r="R276" s="9">
        <f>TABL12[[#This Row],[ (T/B) SAR]]-TABL12[[#This Row],[(T/B) AJD]]</f>
        <v/>
      </c>
      <c r="S276" s="9">
        <f>TABL12[[#This Row],[S/S_CON.]]+TABL12[[#This Row],[T/B-CON.]]</f>
        <v/>
      </c>
      <c r="T276" s="9">
        <f>O276+Q276</f>
        <v/>
      </c>
      <c r="U276" s="14" t="n">
        <v>520</v>
      </c>
      <c r="V276" s="14" t="n">
        <v>246</v>
      </c>
      <c r="W276" s="9">
        <f>U276+V276</f>
        <v/>
      </c>
      <c r="X276" s="9">
        <f>T276-W276</f>
        <v/>
      </c>
      <c r="Y276" s="18" t="n">
        <v>92.824</v>
      </c>
      <c r="Z276" s="9" t="n">
        <v>690054</v>
      </c>
      <c r="AA276" s="9">
        <f>TABL12[[#This Row],[(RESV. STORGE) AJD]]/10</f>
        <v/>
      </c>
      <c r="AB276" s="3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32">
        <f>TABL12[[#This Row],[(A/S) AJD]]-TABL12[[#This Row],[SER_IN]]</f>
        <v/>
      </c>
    </row>
    <row r="277">
      <c r="A277" s="2" t="n">
        <v>45933</v>
      </c>
      <c r="B277" s="28" t="n">
        <v>39</v>
      </c>
      <c r="C277" s="28" t="n">
        <v>330</v>
      </c>
      <c r="D277" s="35" t="n">
        <v>39</v>
      </c>
      <c r="E277" s="28" t="n">
        <v>0</v>
      </c>
      <c r="F277" s="28" t="n">
        <v>38</v>
      </c>
      <c r="G277" s="28" t="n">
        <v>249</v>
      </c>
      <c r="H277" s="28" t="n">
        <v>65</v>
      </c>
      <c r="I277" s="28" t="n">
        <v>567</v>
      </c>
      <c r="J277" s="28" t="n">
        <v>0</v>
      </c>
      <c r="K277" s="28">
        <f>TABL12[[#This Row],[ (T/B) SAR]]+TABL12[[#This Row],[ (S/S) SAR]]</f>
        <v/>
      </c>
      <c r="L277" s="28" t="n">
        <v>318</v>
      </c>
      <c r="M277" s="29" t="n">
        <v>24.6</v>
      </c>
      <c r="N277" s="30" t="n">
        <v>7.64</v>
      </c>
      <c r="O277" s="14" t="n">
        <v>82</v>
      </c>
      <c r="P277" s="9">
        <f>TABL12[[#This Row],[ (S/S) SAR]]-TABL12[[#This Row],[(S/S) AJD]]</f>
        <v/>
      </c>
      <c r="Q277" s="14" t="n">
        <v>496</v>
      </c>
      <c r="R277" s="9">
        <f>TABL12[[#This Row],[ (T/B) SAR]]-TABL12[[#This Row],[(T/B) AJD]]</f>
        <v/>
      </c>
      <c r="S277" s="9">
        <f>TABL12[[#This Row],[S/S_CON.]]+TABL12[[#This Row],[T/B-CON.]]</f>
        <v/>
      </c>
      <c r="T277" s="9">
        <f>O277+Q277</f>
        <v/>
      </c>
      <c r="U277" s="14" t="n">
        <v>515</v>
      </c>
      <c r="V277" s="14" t="n">
        <v>164</v>
      </c>
      <c r="W277" s="9">
        <f>U277+V277</f>
        <v/>
      </c>
      <c r="X277" s="9">
        <f>T277-W277</f>
        <v/>
      </c>
      <c r="Y277" s="18" t="n">
        <v>92.634</v>
      </c>
      <c r="Z277" s="9" t="n">
        <v>576521</v>
      </c>
      <c r="AA277" s="9">
        <f>TABL12[[#This Row],[(RESV. STORGE) AJD]]/10</f>
        <v/>
      </c>
      <c r="AB277" s="3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32">
        <f>TABL12[[#This Row],[(A/S) AJD]]-TABL12[[#This Row],[SER_IN]]</f>
        <v/>
      </c>
    </row>
    <row r="278">
      <c r="A278" s="2" t="n">
        <v>45934</v>
      </c>
      <c r="B278" s="28" t="n">
        <v>39</v>
      </c>
      <c r="C278" s="28" t="n">
        <v>319</v>
      </c>
      <c r="D278" s="35" t="n">
        <v>39</v>
      </c>
      <c r="E278" s="28" t="n">
        <v>0</v>
      </c>
      <c r="F278" s="28" t="n">
        <v>51</v>
      </c>
      <c r="G278" s="28" t="n">
        <v>326</v>
      </c>
      <c r="H278" s="28" t="n">
        <v>52</v>
      </c>
      <c r="I278" s="28" t="n">
        <v>645</v>
      </c>
      <c r="J278" s="28" t="n">
        <v>0</v>
      </c>
      <c r="K278" s="28">
        <f>TABL12[[#This Row],[ (T/B) SAR]]+TABL12[[#This Row],[ (S/S) SAR]]</f>
        <v/>
      </c>
      <c r="L278" s="28" t="n">
        <v>319</v>
      </c>
      <c r="M278" s="29" t="n">
        <v>24.6</v>
      </c>
      <c r="N278" s="30" t="n">
        <v>7.72</v>
      </c>
      <c r="O278" s="14" t="n">
        <v>0</v>
      </c>
      <c r="P278" s="9">
        <f>TABL12[[#This Row],[ (S/S) SAR]]-TABL12[[#This Row],[(S/S) AJD]]</f>
        <v/>
      </c>
      <c r="Q278" s="14" t="n">
        <v>559</v>
      </c>
      <c r="R278" s="9">
        <f>TABL12[[#This Row],[ (T/B) SAR]]-TABL12[[#This Row],[(T/B) AJD]]</f>
        <v/>
      </c>
      <c r="S278" s="9">
        <f>TABL12[[#This Row],[S/S_CON.]]+TABL12[[#This Row],[T/B-CON.]]</f>
        <v/>
      </c>
      <c r="T278" s="9">
        <f>O278+Q278</f>
        <v/>
      </c>
      <c r="U278" s="14" t="n">
        <v>525</v>
      </c>
      <c r="V278" s="14" t="n">
        <v>94</v>
      </c>
      <c r="W278" s="9">
        <f>U278+V278</f>
        <v/>
      </c>
      <c r="X278" s="9">
        <f>T278-W278</f>
        <v/>
      </c>
      <c r="Y278" s="18" t="n">
        <v>92.462</v>
      </c>
      <c r="Z278" s="9" t="n">
        <v>473934</v>
      </c>
      <c r="AA278" s="9">
        <f>TABL12[[#This Row],[(RESV. STORGE) AJD]]/10</f>
        <v/>
      </c>
      <c r="AB278" s="3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32">
        <f>TABL12[[#This Row],[(A/S) AJD]]-TABL12[[#This Row],[SER_IN]]</f>
        <v/>
      </c>
    </row>
    <row r="279">
      <c r="A279" s="2" t="n">
        <v>45935</v>
      </c>
      <c r="B279" s="28" t="n">
        <v>38</v>
      </c>
      <c r="C279" s="28" t="n">
        <v>322</v>
      </c>
      <c r="D279" s="35" t="n">
        <v>39</v>
      </c>
      <c r="E279" s="28" t="n">
        <v>0</v>
      </c>
      <c r="F279" s="28" t="n">
        <v>51</v>
      </c>
      <c r="G279" s="28" t="n">
        <v>330</v>
      </c>
      <c r="H279" s="28" t="n">
        <v>52</v>
      </c>
      <c r="I279" s="28" t="n">
        <v>648</v>
      </c>
      <c r="J279" s="28" t="n">
        <v>0</v>
      </c>
      <c r="K279" s="28">
        <f>TABL12[[#This Row],[ (T/B) SAR]]+TABL12[[#This Row],[ (S/S) SAR]]</f>
        <v/>
      </c>
      <c r="L279" s="28" t="n">
        <v>318</v>
      </c>
      <c r="M279" s="29" t="n">
        <v>24.6</v>
      </c>
      <c r="N279" s="30" t="n">
        <v>7.73</v>
      </c>
      <c r="O279" s="14" t="n">
        <v>0</v>
      </c>
      <c r="P279" s="9">
        <f>TABL12[[#This Row],[ (S/S) SAR]]-TABL12[[#This Row],[(S/S) AJD]]</f>
        <v/>
      </c>
      <c r="Q279" s="14" t="n">
        <v>602</v>
      </c>
      <c r="R279" s="9">
        <f>TABL12[[#This Row],[ (T/B) SAR]]-TABL12[[#This Row],[(T/B) AJD]]</f>
        <v/>
      </c>
      <c r="S279" s="9">
        <f>TABL12[[#This Row],[S/S_CON.]]+TABL12[[#This Row],[T/B-CON.]]</f>
        <v/>
      </c>
      <c r="T279" s="9">
        <f>O279+Q279</f>
        <v/>
      </c>
      <c r="U279" s="14" t="n">
        <v>513</v>
      </c>
      <c r="V279" s="14" t="n">
        <v>92</v>
      </c>
      <c r="W279" s="9">
        <f>U279+V279</f>
        <v/>
      </c>
      <c r="X279" s="9">
        <f>T279-W279</f>
        <v/>
      </c>
      <c r="Y279" s="18" t="n">
        <v>92.41500000000001</v>
      </c>
      <c r="Z279" s="9" t="n">
        <v>446022</v>
      </c>
      <c r="AA279" s="9">
        <f>TABL12[[#This Row],[(RESV. STORGE) AJD]]/10</f>
        <v/>
      </c>
      <c r="AB279" s="3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32">
        <f>TABL12[[#This Row],[(A/S) AJD]]-TABL12[[#This Row],[SER_IN]]</f>
        <v/>
      </c>
    </row>
    <row r="280">
      <c r="A280" s="2" t="n">
        <v>45936</v>
      </c>
      <c r="B280" s="28" t="n">
        <v>39</v>
      </c>
      <c r="C280" s="28" t="n">
        <v>314</v>
      </c>
      <c r="D280" s="35" t="n">
        <v>39</v>
      </c>
      <c r="E280" s="28" t="n">
        <v>0</v>
      </c>
      <c r="F280" s="28" t="n">
        <v>51</v>
      </c>
      <c r="G280" s="28" t="n">
        <v>330</v>
      </c>
      <c r="H280" s="28" t="n">
        <v>52</v>
      </c>
      <c r="I280" s="28" t="n">
        <v>650</v>
      </c>
      <c r="J280" s="28" t="n">
        <v>0</v>
      </c>
      <c r="K280" s="28">
        <f>TABL12[[#This Row],[ (T/B) SAR]]+TABL12[[#This Row],[ (S/S) SAR]]</f>
        <v/>
      </c>
      <c r="L280" s="28" t="n">
        <v>320</v>
      </c>
      <c r="M280" s="29" t="n">
        <v>24.6</v>
      </c>
      <c r="N280" s="30" t="n">
        <v>7.8</v>
      </c>
      <c r="O280" s="14" t="n">
        <v>0</v>
      </c>
      <c r="P280" s="9">
        <f>TABL12[[#This Row],[ (S/S) SAR]]-TABL12[[#This Row],[(S/S) AJD]]</f>
        <v/>
      </c>
      <c r="Q280" s="14" t="n">
        <v>604</v>
      </c>
      <c r="R280" s="9">
        <f>TABL12[[#This Row],[ (T/B) SAR]]-TABL12[[#This Row],[(T/B) AJD]]</f>
        <v/>
      </c>
      <c r="S280" s="9">
        <f>TABL12[[#This Row],[S/S_CON.]]+TABL12[[#This Row],[T/B-CON.]]</f>
        <v/>
      </c>
      <c r="T280" s="9">
        <f>O280+Q280</f>
        <v/>
      </c>
      <c r="U280" s="14" t="n">
        <v>464</v>
      </c>
      <c r="V280" s="14" t="n">
        <v>93</v>
      </c>
      <c r="W280" s="9">
        <f>U280+V280</f>
        <v/>
      </c>
      <c r="X280" s="9">
        <f>T280-W280</f>
        <v/>
      </c>
      <c r="Y280" s="18" t="n">
        <v>92.435</v>
      </c>
      <c r="Z280" s="9" t="n">
        <v>457921</v>
      </c>
      <c r="AA280" s="9">
        <f>TABL12[[#This Row],[(RESV. STORGE) AJD]]/10</f>
        <v/>
      </c>
      <c r="AB280" s="3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32">
        <f>TABL12[[#This Row],[(A/S) AJD]]-TABL12[[#This Row],[SER_IN]]</f>
        <v/>
      </c>
    </row>
    <row r="281">
      <c r="A281" s="2" t="n">
        <v>45937</v>
      </c>
      <c r="B281" s="28" t="n">
        <v>39</v>
      </c>
      <c r="C281" s="28" t="n">
        <v>315</v>
      </c>
      <c r="D281" s="35" t="n">
        <v>39</v>
      </c>
      <c r="E281" s="28" t="n">
        <v>0</v>
      </c>
      <c r="F281" s="28" t="n">
        <v>51</v>
      </c>
      <c r="G281" s="28" t="n">
        <v>330</v>
      </c>
      <c r="H281" s="28" t="n">
        <v>52</v>
      </c>
      <c r="I281" s="28" t="n">
        <v>645</v>
      </c>
      <c r="J281" s="28" t="n">
        <v>0</v>
      </c>
      <c r="K281" s="28">
        <f>TABL12[[#This Row],[ (T/B) SAR]]+TABL12[[#This Row],[ (S/S) SAR]]</f>
        <v/>
      </c>
      <c r="L281" s="28" t="n">
        <v>315</v>
      </c>
      <c r="M281" s="29" t="n">
        <v>24.6</v>
      </c>
      <c r="N281" s="30" t="n">
        <v>7.77</v>
      </c>
      <c r="O281" s="14" t="n">
        <v>0</v>
      </c>
      <c r="P281" s="9">
        <f>TABL12[[#This Row],[ (S/S) SAR]]-TABL12[[#This Row],[(S/S) AJD]]</f>
        <v/>
      </c>
      <c r="Q281" s="14" t="n">
        <v>601</v>
      </c>
      <c r="R281" s="9">
        <f>TABL12[[#This Row],[ (T/B) SAR]]-TABL12[[#This Row],[(T/B) AJD]]</f>
        <v/>
      </c>
      <c r="S281" s="9">
        <f>TABL12[[#This Row],[S/S_CON.]]+TABL12[[#This Row],[T/B-CON.]]</f>
        <v/>
      </c>
      <c r="T281" s="9">
        <f>O281+Q281</f>
        <v/>
      </c>
      <c r="U281" s="14" t="n">
        <v>508</v>
      </c>
      <c r="V281" s="14" t="n">
        <v>92</v>
      </c>
      <c r="W281" s="9">
        <f>U281+V281</f>
        <v/>
      </c>
      <c r="X281" s="9">
        <f>T281-W281</f>
        <v/>
      </c>
      <c r="Y281" s="18" t="n">
        <v>92.39700000000001</v>
      </c>
      <c r="Z281" s="9" t="n">
        <v>435315</v>
      </c>
      <c r="AA281" s="9">
        <f>TABL12[[#This Row],[(RESV. STORGE) AJD]]/10</f>
        <v/>
      </c>
      <c r="AB281" s="3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32">
        <f>TABL12[[#This Row],[(A/S) AJD]]-TABL12[[#This Row],[SER_IN]]</f>
        <v/>
      </c>
    </row>
    <row r="282">
      <c r="A282" s="2" t="n">
        <v>45938</v>
      </c>
      <c r="B282" s="28" t="n">
        <v>39</v>
      </c>
      <c r="C282" s="28" t="n">
        <v>320</v>
      </c>
      <c r="D282" s="35" t="n">
        <v>39</v>
      </c>
      <c r="E282" s="28" t="n">
        <v>0</v>
      </c>
      <c r="F282" s="28" t="n">
        <v>51</v>
      </c>
      <c r="G282" s="28" t="n">
        <v>330</v>
      </c>
      <c r="H282" s="28" t="n">
        <v>52</v>
      </c>
      <c r="I282" s="28" t="n">
        <v>652</v>
      </c>
      <c r="J282" s="28" t="n">
        <v>0</v>
      </c>
      <c r="K282" s="28">
        <f>TABL12[[#This Row],[ (T/B) SAR]]+TABL12[[#This Row],[ (S/S) SAR]]</f>
        <v/>
      </c>
      <c r="L282" s="28" t="n">
        <v>322</v>
      </c>
      <c r="M282" s="29" t="n">
        <v>24.6</v>
      </c>
      <c r="N282" s="30" t="n">
        <v>7.83</v>
      </c>
      <c r="O282" s="14" t="n">
        <v>0</v>
      </c>
      <c r="P282" s="9">
        <f>TABL12[[#This Row],[ (S/S) SAR]]-TABL12[[#This Row],[(S/S) AJD]]</f>
        <v/>
      </c>
      <c r="Q282" s="14" t="n">
        <v>600</v>
      </c>
      <c r="R282" s="9">
        <f>TABL12[[#This Row],[ (T/B) SAR]]-TABL12[[#This Row],[(T/B) AJD]]</f>
        <v/>
      </c>
      <c r="S282" s="9">
        <f>TABL12[[#This Row],[S/S_CON.]]+TABL12[[#This Row],[T/B-CON.]]</f>
        <v/>
      </c>
      <c r="T282" s="9">
        <f>O282+Q282</f>
        <v/>
      </c>
      <c r="U282" s="14" t="n">
        <v>513</v>
      </c>
      <c r="V282" s="14" t="n">
        <v>92</v>
      </c>
      <c r="W282" s="9">
        <f>U282+V282</f>
        <v/>
      </c>
      <c r="X282" s="9">
        <f>T282-W282</f>
        <v/>
      </c>
      <c r="Y282" s="18" t="n">
        <v>92.342</v>
      </c>
      <c r="Z282" s="9" t="n">
        <v>402612</v>
      </c>
      <c r="AA282" s="9">
        <f>TABL12[[#This Row],[(RESV. STORGE) AJD]]/10</f>
        <v/>
      </c>
      <c r="AB282" s="3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32">
        <f>TABL12[[#This Row],[(A/S) AJD]]-TABL12[[#This Row],[SER_IN]]</f>
        <v/>
      </c>
    </row>
    <row r="283">
      <c r="A283" s="2" t="n">
        <v>45939</v>
      </c>
      <c r="B283" s="28" t="n">
        <v>39</v>
      </c>
      <c r="C283" s="28" t="n">
        <v>296</v>
      </c>
      <c r="D283" s="35" t="n">
        <v>39</v>
      </c>
      <c r="E283" s="28" t="n">
        <v>0</v>
      </c>
      <c r="F283" s="28" t="n">
        <v>51</v>
      </c>
      <c r="G283" s="28" t="n">
        <v>330</v>
      </c>
      <c r="H283" s="28" t="n">
        <v>52</v>
      </c>
      <c r="I283" s="28" t="n">
        <v>652</v>
      </c>
      <c r="J283" s="28" t="n">
        <v>0</v>
      </c>
      <c r="K283" s="28">
        <f>TABL12[[#This Row],[ (T/B) SAR]]+TABL12[[#This Row],[ (S/S) SAR]]</f>
        <v/>
      </c>
      <c r="L283" s="28" t="n">
        <v>322</v>
      </c>
      <c r="M283" s="29" t="n">
        <v>24.6</v>
      </c>
      <c r="N283" s="30" t="n">
        <v>7.78</v>
      </c>
      <c r="O283" s="14" t="n">
        <v>0</v>
      </c>
      <c r="P283" s="9">
        <f>TABL12[[#This Row],[ (S/S) SAR]]-TABL12[[#This Row],[(S/S) AJD]]</f>
        <v/>
      </c>
      <c r="Q283" s="14" t="n">
        <v>606</v>
      </c>
      <c r="R283" s="9">
        <f>TABL12[[#This Row],[ (T/B) SAR]]-TABL12[[#This Row],[(T/B) AJD]]</f>
        <v/>
      </c>
      <c r="S283" s="9">
        <f>TABL12[[#This Row],[S/S_CON.]]+TABL12[[#This Row],[T/B-CON.]]</f>
        <v/>
      </c>
      <c r="T283" s="9">
        <f>O283+Q283</f>
        <v/>
      </c>
      <c r="U283" s="14" t="n">
        <v>450</v>
      </c>
      <c r="V283" s="14" t="n">
        <v>91</v>
      </c>
      <c r="W283" s="9">
        <f>U283+V283</f>
        <v/>
      </c>
      <c r="X283" s="9">
        <f>T283-W283</f>
        <v/>
      </c>
      <c r="Y283" s="18" t="n">
        <v>92.41500000000001</v>
      </c>
      <c r="Z283" s="9" t="n">
        <v>446022</v>
      </c>
      <c r="AA283" s="9">
        <f>TABL12[[#This Row],[(RESV. STORGE) AJD]]/10</f>
        <v/>
      </c>
      <c r="AB283" s="3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32">
        <f>TABL12[[#This Row],[(A/S) AJD]]-TABL12[[#This Row],[SER_IN]]</f>
        <v/>
      </c>
    </row>
    <row r="284">
      <c r="A284" s="2" t="n">
        <v>45940</v>
      </c>
      <c r="B284" s="28" t="n">
        <v>39</v>
      </c>
      <c r="C284" s="28" t="n">
        <v>306</v>
      </c>
      <c r="D284" s="35" t="n">
        <v>39</v>
      </c>
      <c r="E284" s="28" t="n">
        <v>0</v>
      </c>
      <c r="F284" s="28" t="n">
        <v>52</v>
      </c>
      <c r="G284" s="28" t="n">
        <v>330</v>
      </c>
      <c r="H284" s="28" t="n">
        <v>52</v>
      </c>
      <c r="I284" s="28" t="n">
        <v>645</v>
      </c>
      <c r="J284" s="28" t="n">
        <v>0</v>
      </c>
      <c r="K284" s="28">
        <f>TABL12[[#This Row],[ (T/B) SAR]]+TABL12[[#This Row],[ (S/S) SAR]]</f>
        <v/>
      </c>
      <c r="L284" s="28" t="n">
        <v>315</v>
      </c>
      <c r="M284" s="29" t="n">
        <v>24.6</v>
      </c>
      <c r="N284" s="30" t="n">
        <v>7.71</v>
      </c>
      <c r="O284" s="14" t="n">
        <v>0</v>
      </c>
      <c r="P284" s="9">
        <f>TABL12[[#This Row],[ (S/S) SAR]]-TABL12[[#This Row],[(S/S) AJD]]</f>
        <v/>
      </c>
      <c r="Q284" s="14" t="n">
        <v>603</v>
      </c>
      <c r="R284" s="9">
        <f>TABL12[[#This Row],[ (T/B) SAR]]-TABL12[[#This Row],[(T/B) AJD]]</f>
        <v/>
      </c>
      <c r="S284" s="9">
        <f>TABL12[[#This Row],[S/S_CON.]]+TABL12[[#This Row],[T/B-CON.]]</f>
        <v/>
      </c>
      <c r="T284" s="9">
        <f>O284+Q284</f>
        <v/>
      </c>
      <c r="U284" s="14" t="n">
        <v>509</v>
      </c>
      <c r="V284" s="14" t="n">
        <v>92</v>
      </c>
      <c r="W284" s="9">
        <f>U284+V284</f>
        <v/>
      </c>
      <c r="X284" s="9">
        <f>T284-W284</f>
        <v/>
      </c>
      <c r="Y284" s="18" t="n">
        <v>92.36</v>
      </c>
      <c r="Z284" s="9" t="n">
        <v>413311</v>
      </c>
      <c r="AA284" s="9">
        <f>TABL12[[#This Row],[(RESV. STORGE) AJD]]/10</f>
        <v/>
      </c>
      <c r="AB284" s="3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32">
        <f>TABL12[[#This Row],[(A/S) AJD]]-TABL12[[#This Row],[SER_IN]]</f>
        <v/>
      </c>
    </row>
    <row r="285">
      <c r="A285" s="2" t="n">
        <v>45941</v>
      </c>
      <c r="B285" s="28" t="n">
        <v>37</v>
      </c>
      <c r="C285" s="28" t="n">
        <v>278</v>
      </c>
      <c r="D285" s="35" t="n">
        <v>37</v>
      </c>
      <c r="E285" s="28" t="n">
        <v>0</v>
      </c>
      <c r="F285" s="28" t="n">
        <v>57</v>
      </c>
      <c r="G285" s="28" t="n">
        <v>370</v>
      </c>
      <c r="H285" s="28" t="n">
        <v>46</v>
      </c>
      <c r="I285" s="28" t="n">
        <v>685</v>
      </c>
      <c r="J285" s="28" t="n">
        <v>0</v>
      </c>
      <c r="K285" s="28">
        <f>TABL12[[#This Row],[ (T/B) SAR]]+TABL12[[#This Row],[ (S/S) SAR]]</f>
        <v/>
      </c>
      <c r="L285" s="28" t="n">
        <v>315</v>
      </c>
      <c r="M285" s="29" t="n">
        <v>24.6</v>
      </c>
      <c r="N285" s="30" t="n">
        <v>7.55</v>
      </c>
      <c r="O285" s="14" t="n">
        <v>0</v>
      </c>
      <c r="P285" s="9">
        <f>TABL12[[#This Row],[ (S/S) SAR]]-TABL12[[#This Row],[(S/S) AJD]]</f>
        <v/>
      </c>
      <c r="Q285" s="14" t="n">
        <v>573</v>
      </c>
      <c r="R285" s="9">
        <f>TABL12[[#This Row],[ (T/B) SAR]]-TABL12[[#This Row],[(T/B) AJD]]</f>
        <v/>
      </c>
      <c r="S285" s="9">
        <f>TABL12[[#This Row],[S/S_CON.]]+TABL12[[#This Row],[T/B-CON.]]</f>
        <v/>
      </c>
      <c r="T285" s="9">
        <f>O285+Q285</f>
        <v/>
      </c>
      <c r="U285" s="14" t="n">
        <v>509</v>
      </c>
      <c r="V285" s="14" t="n">
        <v>92</v>
      </c>
      <c r="W285" s="9">
        <f>U285+V285</f>
        <v/>
      </c>
      <c r="X285" s="9">
        <f>T285-W285</f>
        <v/>
      </c>
      <c r="Y285" s="18" t="n">
        <v>92.273</v>
      </c>
      <c r="Z285" s="9" t="n">
        <v>361619</v>
      </c>
      <c r="AA285" s="9">
        <f>TABL12[[#This Row],[(RESV. STORGE) AJD]]/10</f>
        <v/>
      </c>
      <c r="AB285" s="3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32">
        <f>TABL12[[#This Row],[(A/S) AJD]]-TABL12[[#This Row],[SER_IN]]</f>
        <v/>
      </c>
    </row>
    <row r="286">
      <c r="A286" s="2" t="n">
        <v>45942</v>
      </c>
      <c r="B286" s="28" t="n">
        <v>37</v>
      </c>
      <c r="C286" s="28" t="n">
        <v>303</v>
      </c>
      <c r="D286" s="35" t="n">
        <v>38</v>
      </c>
      <c r="E286" s="28" t="n">
        <v>0</v>
      </c>
      <c r="F286" s="28" t="n">
        <v>53</v>
      </c>
      <c r="G286" s="28" t="n">
        <v>350</v>
      </c>
      <c r="H286" s="28" t="n">
        <v>50</v>
      </c>
      <c r="I286" s="28" t="n">
        <v>665</v>
      </c>
      <c r="J286" s="28" t="n">
        <v>0</v>
      </c>
      <c r="K286" s="28">
        <f>TABL12[[#This Row],[ (T/B) SAR]]+TABL12[[#This Row],[ (S/S) SAR]]</f>
        <v/>
      </c>
      <c r="L286" s="28" t="n">
        <v>315</v>
      </c>
      <c r="M286" s="29" t="n">
        <v>24.9</v>
      </c>
      <c r="N286" s="30" t="n">
        <v>7.54</v>
      </c>
      <c r="O286" s="14" t="n">
        <v>0</v>
      </c>
      <c r="P286" s="9">
        <f>TABL12[[#This Row],[ (S/S) SAR]]-TABL12[[#This Row],[(S/S) AJD]]</f>
        <v/>
      </c>
      <c r="Q286" s="14" t="n">
        <v>597</v>
      </c>
      <c r="R286" s="9">
        <f>TABL12[[#This Row],[ (T/B) SAR]]-TABL12[[#This Row],[(T/B) AJD]]</f>
        <v/>
      </c>
      <c r="S286" s="9">
        <f>TABL12[[#This Row],[S/S_CON.]]+TABL12[[#This Row],[T/B-CON.]]</f>
        <v/>
      </c>
      <c r="T286" s="9">
        <f>O286+Q286</f>
        <v/>
      </c>
      <c r="U286" s="14" t="n">
        <v>509</v>
      </c>
      <c r="V286" s="14" t="n">
        <v>90</v>
      </c>
      <c r="W286" s="9">
        <f>U286+V286</f>
        <v/>
      </c>
      <c r="X286" s="9">
        <f>T286-W286</f>
        <v/>
      </c>
      <c r="Y286" s="18" t="n">
        <v>92.255</v>
      </c>
      <c r="Z286" s="9" t="n">
        <v>350929</v>
      </c>
      <c r="AA286" s="9">
        <f>TABL12[[#This Row],[(RESV. STORGE) AJD]]/10</f>
        <v/>
      </c>
      <c r="AB286" s="3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32">
        <f>TABL12[[#This Row],[(A/S) AJD]]-TABL12[[#This Row],[SER_IN]]</f>
        <v/>
      </c>
    </row>
    <row r="287">
      <c r="A287" s="2" t="n">
        <v>45943</v>
      </c>
      <c r="B287" s="28" t="n">
        <v>38</v>
      </c>
      <c r="C287" s="28" t="n">
        <v>312</v>
      </c>
      <c r="D287" s="35" t="n">
        <v>38</v>
      </c>
      <c r="E287" s="28" t="n">
        <v>0</v>
      </c>
      <c r="F287" s="28" t="n">
        <v>53</v>
      </c>
      <c r="G287" s="28" t="n">
        <v>345</v>
      </c>
      <c r="H287" s="28" t="n">
        <v>50</v>
      </c>
      <c r="I287" s="28" t="n">
        <v>660</v>
      </c>
      <c r="J287" s="28" t="n">
        <v>0</v>
      </c>
      <c r="K287" s="28">
        <f>TABL12[[#This Row],[ (T/B) SAR]]+TABL12[[#This Row],[ (S/S) SAR]]</f>
        <v/>
      </c>
      <c r="L287" s="28" t="n">
        <v>315</v>
      </c>
      <c r="M287" s="29" t="n">
        <v>24.6</v>
      </c>
      <c r="N287" s="30" t="n">
        <v>7.54</v>
      </c>
      <c r="O287" s="14" t="n">
        <v>0</v>
      </c>
      <c r="P287" s="9">
        <f>TABL12[[#This Row],[ (S/S) SAR]]-TABL12[[#This Row],[(S/S) AJD]]</f>
        <v/>
      </c>
      <c r="Q287" s="14" t="n">
        <v>637</v>
      </c>
      <c r="R287" s="9">
        <f>TABL12[[#This Row],[ (T/B) SAR]]-TABL12[[#This Row],[(T/B) AJD]]</f>
        <v/>
      </c>
      <c r="S287" s="9">
        <f>TABL12[[#This Row],[S/S_CON.]]+TABL12[[#This Row],[T/B-CON.]]</f>
        <v/>
      </c>
      <c r="T287" s="9">
        <f>O287+Q287</f>
        <v/>
      </c>
      <c r="U287" s="14" t="n">
        <v>459</v>
      </c>
      <c r="V287" s="14" t="n">
        <v>92</v>
      </c>
      <c r="W287" s="9">
        <f>U287+V287</f>
        <v/>
      </c>
      <c r="X287" s="9">
        <f>T287-W287</f>
        <v/>
      </c>
      <c r="Y287" s="18" t="n">
        <v>92.325</v>
      </c>
      <c r="Z287" s="9" t="n">
        <v>392505</v>
      </c>
      <c r="AA287" s="9">
        <f>TABL12[[#This Row],[(RESV. STORGE) AJD]]/10</f>
        <v/>
      </c>
      <c r="AB287" s="3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32">
        <f>TABL12[[#This Row],[(A/S) AJD]]-TABL12[[#This Row],[SER_IN]]</f>
        <v/>
      </c>
    </row>
    <row r="288">
      <c r="A288" s="2" t="n">
        <v>45944</v>
      </c>
      <c r="B288" s="28" t="n">
        <v>38</v>
      </c>
      <c r="C288" s="28" t="n">
        <v>301</v>
      </c>
      <c r="D288" s="35" t="n">
        <v>38</v>
      </c>
      <c r="E288" s="28" t="n">
        <v>0</v>
      </c>
      <c r="F288" s="28" t="n">
        <v>53</v>
      </c>
      <c r="G288" s="28" t="n">
        <v>340</v>
      </c>
      <c r="H288" s="28" t="n">
        <v>50</v>
      </c>
      <c r="I288" s="28" t="n">
        <v>655</v>
      </c>
      <c r="J288" s="28" t="n">
        <v>0</v>
      </c>
      <c r="K288" s="28">
        <f>TABL12[[#This Row],[ (T/B) SAR]]+TABL12[[#This Row],[ (S/S) SAR]]</f>
        <v/>
      </c>
      <c r="L288" s="28" t="n">
        <v>315</v>
      </c>
      <c r="M288" s="29" t="n">
        <v>24.6</v>
      </c>
      <c r="N288" s="30" t="n">
        <v>7.55</v>
      </c>
      <c r="O288" s="14" t="n">
        <v>0</v>
      </c>
      <c r="P288" s="9">
        <f>TABL12[[#This Row],[ (S/S) SAR]]-TABL12[[#This Row],[(S/S) AJD]]</f>
        <v/>
      </c>
      <c r="Q288" s="14" t="n">
        <v>605</v>
      </c>
      <c r="R288" s="9">
        <f>TABL12[[#This Row],[ (T/B) SAR]]-TABL12[[#This Row],[(T/B) AJD]]</f>
        <v/>
      </c>
      <c r="S288" s="9">
        <f>TABL12[[#This Row],[S/S_CON.]]+TABL12[[#This Row],[T/B-CON.]]</f>
        <v/>
      </c>
      <c r="T288" s="9">
        <f>O288+Q288</f>
        <v/>
      </c>
      <c r="U288" s="14" t="n">
        <v>498</v>
      </c>
      <c r="V288" s="14" t="n">
        <v>91</v>
      </c>
      <c r="W288" s="9">
        <f>U288+V288</f>
        <v/>
      </c>
      <c r="X288" s="9">
        <f>T288-W288</f>
        <v/>
      </c>
      <c r="Y288" s="18" t="n">
        <v>92.31</v>
      </c>
      <c r="Z288" s="9" t="n">
        <v>383593</v>
      </c>
      <c r="AA288" s="9">
        <f>TABL12[[#This Row],[(RESV. STORGE) AJD]]/10</f>
        <v/>
      </c>
      <c r="AB288" s="3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32">
        <f>TABL12[[#This Row],[(A/S) AJD]]-TABL12[[#This Row],[SER_IN]]</f>
        <v/>
      </c>
    </row>
    <row r="289">
      <c r="A289" s="2" t="n">
        <v>45945</v>
      </c>
      <c r="B289" s="28" t="n">
        <v>37</v>
      </c>
      <c r="C289" s="28" t="n">
        <v>298</v>
      </c>
      <c r="D289" s="35" t="n">
        <v>38</v>
      </c>
      <c r="E289" s="28" t="n">
        <v>0</v>
      </c>
      <c r="F289" s="28" t="n">
        <v>58</v>
      </c>
      <c r="G289" s="28" t="n">
        <v>362</v>
      </c>
      <c r="H289" s="28" t="n">
        <v>45</v>
      </c>
      <c r="I289" s="28" t="n">
        <v>635</v>
      </c>
      <c r="J289" s="28" t="n">
        <v>42</v>
      </c>
      <c r="K289" s="28">
        <f>TABL12[[#This Row],[ (T/B) SAR]]+TABL12[[#This Row],[ (S/S) SAR]]</f>
        <v/>
      </c>
      <c r="L289" s="28" t="n">
        <v>315</v>
      </c>
      <c r="M289" s="29" t="n">
        <v>24.6</v>
      </c>
      <c r="N289" s="30" t="n">
        <v>7.5</v>
      </c>
      <c r="O289" s="14" t="n">
        <v>0</v>
      </c>
      <c r="P289" s="9">
        <f>TABL12[[#This Row],[ (S/S) SAR]]-TABL12[[#This Row],[(S/S) AJD]]</f>
        <v/>
      </c>
      <c r="Q289" s="14" t="n">
        <v>596</v>
      </c>
      <c r="R289" s="9">
        <f>TABL12[[#This Row],[ (T/B) SAR]]-TABL12[[#This Row],[(T/B) AJD]]</f>
        <v/>
      </c>
      <c r="S289" s="9">
        <f>TABL12[[#This Row],[S/S_CON.]]+TABL12[[#This Row],[T/B-CON.]]</f>
        <v/>
      </c>
      <c r="T289" s="9">
        <f>O289+Q289</f>
        <v/>
      </c>
      <c r="U289" s="14" t="n">
        <v>492</v>
      </c>
      <c r="V289" s="14" t="n">
        <v>91</v>
      </c>
      <c r="W289" s="9">
        <f>U289+V289</f>
        <v/>
      </c>
      <c r="X289" s="9">
        <f>T289-W289</f>
        <v/>
      </c>
      <c r="Y289" s="18" t="n">
        <v>92.273</v>
      </c>
      <c r="Z289" s="9" t="n">
        <v>362803</v>
      </c>
      <c r="AA289" s="9">
        <f>TABL12[[#This Row],[(RESV. STORGE) AJD]]/10</f>
        <v/>
      </c>
      <c r="AB289" s="3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32">
        <f>TABL12[[#This Row],[(A/S) AJD]]-TABL12[[#This Row],[SER_IN]]</f>
        <v/>
      </c>
    </row>
    <row r="290">
      <c r="A290" s="2" t="n">
        <v>45946</v>
      </c>
      <c r="B290" s="28" t="n">
        <v>38</v>
      </c>
      <c r="C290" s="28" t="n">
        <v>307</v>
      </c>
      <c r="D290" s="35" t="n">
        <v>38</v>
      </c>
      <c r="E290" s="28" t="n">
        <v>0</v>
      </c>
      <c r="F290" s="28" t="n">
        <v>61</v>
      </c>
      <c r="G290" s="28" t="n">
        <v>378</v>
      </c>
      <c r="H290" s="28" t="n">
        <v>50</v>
      </c>
      <c r="I290" s="28" t="n">
        <v>655</v>
      </c>
      <c r="J290" s="28" t="n">
        <v>38</v>
      </c>
      <c r="K290" s="28">
        <f>TABL12[[#This Row],[ (T/B) SAR]]+TABL12[[#This Row],[ (S/S) SAR]]</f>
        <v/>
      </c>
      <c r="L290" s="28" t="n">
        <v>315</v>
      </c>
      <c r="M290" s="29" t="n">
        <v>24.6</v>
      </c>
      <c r="N290" s="30" t="n">
        <v>7.5</v>
      </c>
      <c r="O290" s="14" t="n">
        <v>0</v>
      </c>
      <c r="P290" s="9">
        <f>TABL12[[#This Row],[ (S/S) SAR]]-TABL12[[#This Row],[(S/S) AJD]]</f>
        <v/>
      </c>
      <c r="Q290" s="14" t="n">
        <v>585</v>
      </c>
      <c r="R290" s="9">
        <f>TABL12[[#This Row],[ (T/B) SAR]]-TABL12[[#This Row],[(T/B) AJD]]</f>
        <v/>
      </c>
      <c r="S290" s="9">
        <f>TABL12[[#This Row],[S/S_CON.]]+TABL12[[#This Row],[T/B-CON.]]</f>
        <v/>
      </c>
      <c r="T290" s="9">
        <f>O290+Q290</f>
        <v/>
      </c>
      <c r="U290" s="14" t="n">
        <v>455</v>
      </c>
      <c r="V290" s="14" t="n">
        <v>91</v>
      </c>
      <c r="W290" s="9">
        <f>U290+V290</f>
        <v/>
      </c>
      <c r="X290" s="9">
        <f>T290-W290</f>
        <v/>
      </c>
      <c r="Y290" s="18" t="n">
        <v>92.298</v>
      </c>
      <c r="Z290" s="9" t="n">
        <v>376464</v>
      </c>
      <c r="AA290" s="9">
        <f>TABL12[[#This Row],[(RESV. STORGE) AJD]]/10</f>
        <v/>
      </c>
      <c r="AB290" s="3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32">
        <f>TABL12[[#This Row],[(A/S) AJD]]-TABL12[[#This Row],[SER_IN]]</f>
        <v/>
      </c>
    </row>
    <row r="291">
      <c r="A291" s="2" t="n">
        <v>45947</v>
      </c>
      <c r="B291" s="28" t="n">
        <v>38</v>
      </c>
      <c r="C291" s="28" t="n">
        <v>306</v>
      </c>
      <c r="D291" s="28" t="n">
        <v>38</v>
      </c>
      <c r="E291" s="28" t="n">
        <v>0</v>
      </c>
      <c r="F291" s="28" t="n">
        <v>61</v>
      </c>
      <c r="G291" s="28" t="n">
        <v>375</v>
      </c>
      <c r="H291" s="28" t="n">
        <v>42</v>
      </c>
      <c r="I291" s="28" t="n">
        <v>650</v>
      </c>
      <c r="J291" s="28" t="n">
        <v>40</v>
      </c>
      <c r="K291" s="28">
        <f>TABL12[[#This Row],[ (T/B) SAR]]+TABL12[[#This Row],[ (S/S) SAR]]</f>
        <v/>
      </c>
      <c r="L291" s="28" t="n">
        <v>315</v>
      </c>
      <c r="M291" s="29" t="n">
        <v>24.6</v>
      </c>
      <c r="N291" s="30" t="n">
        <v>7.5</v>
      </c>
      <c r="O291" s="14" t="n">
        <v>0</v>
      </c>
      <c r="P291" s="9">
        <f>TABL12[[#This Row],[ (S/S) SAR]]-TABL12[[#This Row],[(S/S) AJD]]</f>
        <v/>
      </c>
      <c r="Q291" s="14" t="n">
        <v>597</v>
      </c>
      <c r="R291" s="9">
        <f>TABL12[[#This Row],[ (T/B) SAR]]-TABL12[[#This Row],[(T/B) AJD]]</f>
        <v/>
      </c>
      <c r="S291" s="9">
        <f>TABL12[[#This Row],[S/S_CON.]]+TABL12[[#This Row],[T/B-CON.]]</f>
        <v/>
      </c>
      <c r="T291" s="9">
        <f>O291+Q291</f>
        <v/>
      </c>
      <c r="U291" s="14" t="n">
        <v>503</v>
      </c>
      <c r="V291" s="14" t="n">
        <v>91</v>
      </c>
      <c r="W291" s="9">
        <f>U291+V291</f>
        <v/>
      </c>
      <c r="X291" s="9">
        <f>T291-W291</f>
        <v/>
      </c>
      <c r="Y291" s="18" t="n">
        <v>92.265</v>
      </c>
      <c r="Z291" s="9" t="n">
        <v>358647</v>
      </c>
      <c r="AA291" s="9">
        <f>TABL12[[#This Row],[(RESV. STORGE) AJD]]/10</f>
        <v/>
      </c>
      <c r="AB291" s="3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32">
        <f>TABL12[[#This Row],[(A/S) AJD]]-TABL12[[#This Row],[SER_IN]]</f>
        <v/>
      </c>
    </row>
    <row r="292">
      <c r="A292" s="2" t="n">
        <v>45948</v>
      </c>
      <c r="B292" s="28" t="n">
        <v>38</v>
      </c>
      <c r="C292" s="28" t="n">
        <v>311</v>
      </c>
      <c r="D292" s="28" t="n">
        <v>38</v>
      </c>
      <c r="E292" s="28" t="n">
        <v>0</v>
      </c>
      <c r="F292" s="28" t="n">
        <v>61</v>
      </c>
      <c r="G292" s="28" t="n">
        <v>371</v>
      </c>
      <c r="H292" s="28" t="n">
        <v>42</v>
      </c>
      <c r="I292" s="28" t="n">
        <v>648</v>
      </c>
      <c r="J292" s="28" t="n">
        <v>38</v>
      </c>
      <c r="K292" s="28">
        <f>TABL12[[#This Row],[ (T/B) SAR]]+TABL12[[#This Row],[ (S/S) SAR]]</f>
        <v/>
      </c>
      <c r="L292" s="28" t="n">
        <v>315</v>
      </c>
      <c r="M292" s="29" t="n">
        <v>24.6</v>
      </c>
      <c r="N292" s="30" t="n">
        <v>7.5</v>
      </c>
      <c r="O292" s="9" t="n">
        <v>0</v>
      </c>
      <c r="P292" s="9">
        <f>TABL12[[#This Row],[ (S/S) SAR]]-TABL12[[#This Row],[(S/S) AJD]]</f>
        <v/>
      </c>
      <c r="Q292" s="9" t="n">
        <v>595</v>
      </c>
      <c r="R292" s="9">
        <f>TABL12[[#This Row],[ (T/B) SAR]]-TABL12[[#This Row],[(T/B) AJD]]</f>
        <v/>
      </c>
      <c r="S292" s="9">
        <f>TABL12[[#This Row],[S/S_CON.]]+TABL12[[#This Row],[T/B-CON.]]</f>
        <v/>
      </c>
      <c r="T292" s="9">
        <f>O292+Q292</f>
        <v/>
      </c>
      <c r="U292" s="9" t="n">
        <v>503</v>
      </c>
      <c r="V292" s="9" t="n">
        <v>91</v>
      </c>
      <c r="W292" s="9">
        <f>U292+V292</f>
        <v/>
      </c>
      <c r="X292" s="9">
        <f>T292-W292</f>
        <v/>
      </c>
      <c r="Y292" s="18" t="n">
        <v>92.215</v>
      </c>
      <c r="Z292" s="9" t="n">
        <v>327188</v>
      </c>
      <c r="AA292" s="9">
        <f>TABL12[[#This Row],[(RESV. STORGE) AJD]]/10</f>
        <v/>
      </c>
      <c r="AB292" s="3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32">
        <f>TABL12[[#This Row],[(A/S) AJD]]-TABL12[[#This Row],[SER_IN]]</f>
        <v/>
      </c>
    </row>
    <row r="293">
      <c r="A293" s="2" t="n">
        <v>45949</v>
      </c>
      <c r="B293" s="28" t="n">
        <v>37</v>
      </c>
      <c r="C293" s="28" t="n">
        <v>312</v>
      </c>
      <c r="D293" s="28" t="n">
        <v>38</v>
      </c>
      <c r="E293" s="28" t="n">
        <v>0</v>
      </c>
      <c r="F293" s="28" t="n">
        <v>61</v>
      </c>
      <c r="G293" s="28" t="n">
        <v>379</v>
      </c>
      <c r="H293" s="28" t="n">
        <v>42</v>
      </c>
      <c r="I293" s="28" t="n">
        <v>655</v>
      </c>
      <c r="J293" s="28" t="n">
        <v>39</v>
      </c>
      <c r="K293" s="28">
        <f>TABL12[[#This Row],[ (T/B) SAR]]+TABL12[[#This Row],[ (S/S) SAR]]</f>
        <v/>
      </c>
      <c r="L293" s="28" t="n">
        <v>315</v>
      </c>
      <c r="M293" s="29" t="n">
        <v>24.6</v>
      </c>
      <c r="N293" s="30" t="n">
        <v>7.5</v>
      </c>
      <c r="O293" s="9" t="n">
        <v>0</v>
      </c>
      <c r="P293" s="9">
        <f>TABL12[[#This Row],[ (S/S) SAR]]-TABL12[[#This Row],[(S/S) AJD]]</f>
        <v/>
      </c>
      <c r="Q293" s="9" t="n">
        <v>600</v>
      </c>
      <c r="R293" s="9">
        <f>TABL12[[#This Row],[ (T/B) SAR]]-TABL12[[#This Row],[(T/B) AJD]]</f>
        <v/>
      </c>
      <c r="S293" s="9">
        <f>TABL12[[#This Row],[S/S_CON.]]+TABL12[[#This Row],[T/B-CON.]]</f>
        <v/>
      </c>
      <c r="T293" s="9">
        <f>O293+Q293</f>
        <v/>
      </c>
      <c r="U293" s="9" t="n">
        <v>489</v>
      </c>
      <c r="V293" s="9" t="n">
        <v>91</v>
      </c>
      <c r="W293" s="9">
        <f>U293+V293</f>
        <v/>
      </c>
      <c r="X293" s="9">
        <f>T293-W293</f>
        <v/>
      </c>
      <c r="Y293" s="18" t="n">
        <v>92.203</v>
      </c>
      <c r="Z293" s="9" t="n">
        <v>320073</v>
      </c>
      <c r="AA293" s="9">
        <f>TABL12[[#This Row],[(RESV. STORGE) AJD]]/10</f>
        <v/>
      </c>
      <c r="AB293" s="3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32">
        <f>TABL12[[#This Row],[(A/S) AJD]]-TABL12[[#This Row],[SER_IN]]</f>
        <v/>
      </c>
    </row>
    <row r="294">
      <c r="A294" s="2" t="n">
        <v>45950</v>
      </c>
      <c r="B294" s="28" t="n">
        <v>38</v>
      </c>
      <c r="C294" s="28" t="n">
        <v>305</v>
      </c>
      <c r="D294" s="28" t="n">
        <v>38</v>
      </c>
      <c r="E294" s="28" t="n">
        <v>0</v>
      </c>
      <c r="F294" s="28" t="n">
        <v>61</v>
      </c>
      <c r="G294" s="28" t="n">
        <v>383</v>
      </c>
      <c r="H294" s="28" t="n">
        <v>42</v>
      </c>
      <c r="I294" s="28" t="n">
        <v>658</v>
      </c>
      <c r="J294" s="28" t="n">
        <v>40</v>
      </c>
      <c r="K294" s="28">
        <f>TABL12[[#This Row],[ (T/B) SAR]]+TABL12[[#This Row],[ (S/S) SAR]]</f>
        <v/>
      </c>
      <c r="L294" s="28" t="n">
        <v>315</v>
      </c>
      <c r="M294" s="29" t="n">
        <v>24.6</v>
      </c>
      <c r="N294" s="30" t="n">
        <v>7.5</v>
      </c>
      <c r="O294" s="9" t="n">
        <v>0</v>
      </c>
      <c r="P294" s="9">
        <f>TABL12[[#This Row],[ (S/S) SAR]]-TABL12[[#This Row],[(S/S) AJD]]</f>
        <v/>
      </c>
      <c r="Q294" s="9" t="n">
        <v>603</v>
      </c>
      <c r="R294" s="9">
        <f>TABL12[[#This Row],[ (T/B) SAR]]-TABL12[[#This Row],[(T/B) AJD]]</f>
        <v/>
      </c>
      <c r="S294" s="9">
        <f>TABL12[[#This Row],[S/S_CON.]]+TABL12[[#This Row],[T/B-CON.]]</f>
        <v/>
      </c>
      <c r="T294" s="9">
        <f>O294+Q294</f>
        <v/>
      </c>
      <c r="U294" s="9" t="n">
        <v>459</v>
      </c>
      <c r="V294" s="9" t="n">
        <v>91</v>
      </c>
      <c r="W294" s="9">
        <f>U294+V294</f>
        <v/>
      </c>
      <c r="X294" s="9">
        <f>T294-W294</f>
        <v/>
      </c>
      <c r="Y294" s="18" t="n">
        <v>92.25</v>
      </c>
      <c r="Z294" s="9" t="n">
        <v>347962</v>
      </c>
      <c r="AA294" s="9">
        <f>TABL12[[#This Row],[(RESV. STORGE) AJD]]/10</f>
        <v/>
      </c>
      <c r="AB294" s="3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32">
        <f>TABL12[[#This Row],[(A/S) AJD]]-TABL12[[#This Row],[SER_IN]]</f>
        <v/>
      </c>
    </row>
    <row r="295">
      <c r="A295" s="2" t="n">
        <v>45951</v>
      </c>
      <c r="B295" s="28" t="n">
        <v>37</v>
      </c>
      <c r="C295" s="28" t="n">
        <v>307</v>
      </c>
      <c r="D295" s="28" t="n">
        <v>37</v>
      </c>
      <c r="E295" s="28" t="n">
        <v>0</v>
      </c>
      <c r="F295" s="28" t="n">
        <v>61</v>
      </c>
      <c r="G295" s="28" t="n">
        <v>383</v>
      </c>
      <c r="H295" s="28" t="n">
        <v>42</v>
      </c>
      <c r="I295" s="28" t="n">
        <v>658</v>
      </c>
      <c r="J295" s="28" t="n">
        <v>40</v>
      </c>
      <c r="K295" s="28">
        <f>TABL12[[#This Row],[ (T/B) SAR]]+TABL12[[#This Row],[ (S/S) SAR]]</f>
        <v/>
      </c>
      <c r="L295" s="28" t="n">
        <v>315</v>
      </c>
      <c r="M295" s="29" t="n">
        <v>24.6</v>
      </c>
      <c r="N295" s="30" t="n">
        <v>7.48</v>
      </c>
      <c r="O295" s="9" t="n">
        <v>0</v>
      </c>
      <c r="P295" s="9">
        <f>TABL12[[#This Row],[ (S/S) SAR]]-TABL12[[#This Row],[(S/S) AJD]]</f>
        <v/>
      </c>
      <c r="Q295" s="9" t="n">
        <v>605</v>
      </c>
      <c r="R295" s="9">
        <f>TABL12[[#This Row],[ (T/B) SAR]]-TABL12[[#This Row],[(T/B) AJD]]</f>
        <v/>
      </c>
      <c r="S295" s="9">
        <f>TABL12[[#This Row],[S/S_CON.]]+TABL12[[#This Row],[T/B-CON.]]</f>
        <v/>
      </c>
      <c r="T295" s="9">
        <f>O295+Q295</f>
        <v/>
      </c>
      <c r="U295" s="9" t="n">
        <v>496</v>
      </c>
      <c r="V295" s="9" t="n">
        <v>91</v>
      </c>
      <c r="W295" s="9">
        <f>U295+V295</f>
        <v/>
      </c>
      <c r="X295" s="9">
        <f>T295-W295</f>
        <v/>
      </c>
      <c r="Y295" s="18" t="n">
        <v>92.242</v>
      </c>
      <c r="Z295" s="9" t="n">
        <v>342024</v>
      </c>
      <c r="AA295" s="9">
        <f>TABL12[[#This Row],[(RESV. STORGE) AJD]]/10</f>
        <v/>
      </c>
      <c r="AB295" s="3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32">
        <f>TABL12[[#This Row],[(A/S) AJD]]-TABL12[[#This Row],[SER_IN]]</f>
        <v/>
      </c>
    </row>
    <row r="296">
      <c r="A296" s="2" t="n">
        <v>45952</v>
      </c>
      <c r="B296" s="28" t="n">
        <v>37</v>
      </c>
      <c r="C296" s="28" t="n">
        <v>307</v>
      </c>
      <c r="D296" s="28" t="n">
        <v>37</v>
      </c>
      <c r="E296" s="28" t="n">
        <v>0</v>
      </c>
      <c r="F296" s="28" t="n">
        <v>61</v>
      </c>
      <c r="G296" s="28" t="n">
        <v>344</v>
      </c>
      <c r="H296" s="28" t="n">
        <v>42</v>
      </c>
      <c r="I296" s="28" t="n">
        <v>622</v>
      </c>
      <c r="J296" s="28" t="n">
        <v>37</v>
      </c>
      <c r="K296" s="28">
        <f>TABL12[[#This Row],[ (T/B) SAR]]+TABL12[[#This Row],[ (S/S) SAR]]</f>
        <v/>
      </c>
      <c r="L296" s="28" t="n">
        <v>315</v>
      </c>
      <c r="M296" s="29" t="n">
        <v>24.6</v>
      </c>
      <c r="N296" s="30" t="n">
        <v>7.48</v>
      </c>
      <c r="O296" s="9" t="n">
        <v>0</v>
      </c>
      <c r="P296" s="9">
        <f>TABL12[[#This Row],[ (S/S) SAR]]-TABL12[[#This Row],[(S/S) AJD]]</f>
        <v/>
      </c>
      <c r="Q296" s="9" t="n">
        <v>604</v>
      </c>
      <c r="R296" s="9">
        <f>TABL12[[#This Row],[ (T/B) SAR]]-TABL12[[#This Row],[(T/B) AJD]]</f>
        <v/>
      </c>
      <c r="S296" s="9">
        <f>TABL12[[#This Row],[S/S_CON.]]+TABL12[[#This Row],[T/B-CON.]]</f>
        <v/>
      </c>
      <c r="T296" s="9">
        <f>O296+Q296</f>
        <v/>
      </c>
      <c r="U296" s="9" t="n">
        <v>496</v>
      </c>
      <c r="V296" s="9" t="n">
        <v>92</v>
      </c>
      <c r="W296" s="9">
        <f>U296+V296</f>
        <v/>
      </c>
      <c r="X296" s="9">
        <f>T296-W296</f>
        <v/>
      </c>
      <c r="Y296" s="18" t="n">
        <v>92.21299999999999</v>
      </c>
      <c r="Z296" s="9" t="n">
        <v>324227</v>
      </c>
      <c r="AA296" s="9">
        <f>TABL12[[#This Row],[(RESV. STORGE) AJD]]/10</f>
        <v/>
      </c>
      <c r="AB296" s="3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32">
        <f>TABL12[[#This Row],[(A/S) AJD]]-TABL12[[#This Row],[SER_IN]]</f>
        <v/>
      </c>
    </row>
    <row r="297">
      <c r="A297" s="2" t="n">
        <v>45953</v>
      </c>
      <c r="B297" s="28" t="n">
        <v>37</v>
      </c>
      <c r="C297" s="28" t="n">
        <v>305</v>
      </c>
      <c r="D297" s="28" t="n">
        <v>37</v>
      </c>
      <c r="E297" s="28" t="n">
        <v>0</v>
      </c>
      <c r="F297" s="28" t="n">
        <v>61</v>
      </c>
      <c r="G297" s="28" t="n">
        <v>376</v>
      </c>
      <c r="H297" s="28" t="n">
        <v>42</v>
      </c>
      <c r="I297" s="28" t="n">
        <v>652</v>
      </c>
      <c r="J297" s="28" t="n">
        <v>39</v>
      </c>
      <c r="K297" s="28">
        <f>TABL12[[#This Row],[ (T/B) SAR]]+TABL12[[#This Row],[ (S/S) SAR]]</f>
        <v/>
      </c>
      <c r="L297" s="28" t="n">
        <v>315</v>
      </c>
      <c r="M297" s="29" t="n">
        <v>24.6</v>
      </c>
      <c r="N297" s="30" t="n">
        <v>7.47</v>
      </c>
      <c r="O297" s="9" t="n">
        <v>0</v>
      </c>
      <c r="P297" s="9">
        <f>TABL12[[#This Row],[ (S/S) SAR]]-TABL12[[#This Row],[(S/S) AJD]]</f>
        <v/>
      </c>
      <c r="Q297" s="9" t="n">
        <v>567</v>
      </c>
      <c r="R297" s="9">
        <f>TABL12[[#This Row],[ (T/B) SAR]]-TABL12[[#This Row],[(T/B) AJD]]</f>
        <v/>
      </c>
      <c r="S297" s="9">
        <f>TABL12[[#This Row],[S/S_CON.]]+TABL12[[#This Row],[T/B-CON.]]</f>
        <v/>
      </c>
      <c r="T297" s="9">
        <f>O297+Q297</f>
        <v/>
      </c>
      <c r="U297" s="9" t="n">
        <v>452</v>
      </c>
      <c r="V297" s="9" t="n">
        <v>89</v>
      </c>
      <c r="W297" s="9">
        <f>U297+V297</f>
        <v/>
      </c>
      <c r="X297" s="9">
        <f>T297-W297</f>
        <v/>
      </c>
      <c r="Y297" s="18" t="n">
        <v>92.223</v>
      </c>
      <c r="Z297" s="9" t="n">
        <v>331937</v>
      </c>
      <c r="AA297" s="9">
        <f>TABL12[[#This Row],[(RESV. STORGE) AJD]]/10</f>
        <v/>
      </c>
      <c r="AB297" s="3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32">
        <f>TABL12[[#This Row],[(A/S) AJD]]-TABL12[[#This Row],[SER_IN]]</f>
        <v/>
      </c>
    </row>
    <row r="298">
      <c r="A298" s="2" t="n">
        <v>45954</v>
      </c>
      <c r="B298" s="28" t="n">
        <v>36</v>
      </c>
      <c r="C298" s="28" t="n">
        <v>302</v>
      </c>
      <c r="D298" s="28" t="n">
        <v>36</v>
      </c>
      <c r="E298" s="28" t="n">
        <v>0</v>
      </c>
      <c r="F298" s="28" t="n">
        <v>61</v>
      </c>
      <c r="G298" s="28" t="n">
        <v>389</v>
      </c>
      <c r="H298" s="28" t="n">
        <v>42</v>
      </c>
      <c r="I298" s="28" t="n">
        <v>665</v>
      </c>
      <c r="J298" s="28" t="n">
        <v>39</v>
      </c>
      <c r="K298" s="28">
        <f>TABL12[[#This Row],[ (T/B) SAR]]+TABL12[[#This Row],[ (S/S) SAR]]</f>
        <v/>
      </c>
      <c r="L298" s="28" t="n">
        <v>315</v>
      </c>
      <c r="M298" s="29" t="n">
        <v>24.6</v>
      </c>
      <c r="N298" s="30" t="n">
        <v>7.46</v>
      </c>
      <c r="O298" s="9" t="n">
        <v>0</v>
      </c>
      <c r="P298" s="9">
        <f>TABL12[[#This Row],[ (S/S) SAR]]-TABL12[[#This Row],[(S/S) AJD]]</f>
        <v/>
      </c>
      <c r="Q298" s="9" t="n">
        <v>602</v>
      </c>
      <c r="R298" s="9">
        <f>TABL12[[#This Row],[ (T/B) SAR]]-TABL12[[#This Row],[(T/B) AJD]]</f>
        <v/>
      </c>
      <c r="S298" s="9">
        <f>TABL12[[#This Row],[S/S_CON.]]+TABL12[[#This Row],[T/B-CON.]]</f>
        <v/>
      </c>
      <c r="T298" s="9">
        <f>O298+Q298</f>
        <v/>
      </c>
      <c r="U298" s="9" t="n">
        <v>510</v>
      </c>
      <c r="V298" s="9" t="n">
        <v>90</v>
      </c>
      <c r="W298" s="9">
        <f>U298+V298</f>
        <v/>
      </c>
      <c r="X298" s="9">
        <f>T298-W298</f>
        <v/>
      </c>
      <c r="Y298" s="18" t="n">
        <v>92.185</v>
      </c>
      <c r="Z298" s="9" t="n">
        <v>309393</v>
      </c>
      <c r="AA298" s="9">
        <f>TABL12[[#This Row],[(RESV. STORGE) AJD]]/10</f>
        <v/>
      </c>
      <c r="AB298" s="3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32">
        <f>TABL12[[#This Row],[(A/S) AJD]]-TABL12[[#This Row],[SER_IN]]</f>
        <v/>
      </c>
    </row>
    <row r="299">
      <c r="A299" s="2" t="n">
        <v>45955</v>
      </c>
      <c r="B299" s="28" t="n">
        <v>36</v>
      </c>
      <c r="C299" s="28" t="n">
        <v>299</v>
      </c>
      <c r="D299" s="28" t="n">
        <v>36</v>
      </c>
      <c r="E299" s="28" t="n">
        <v>0</v>
      </c>
      <c r="F299" s="28" t="n">
        <v>61</v>
      </c>
      <c r="G299" s="28" t="n">
        <v>389</v>
      </c>
      <c r="H299" s="28" t="n">
        <v>42</v>
      </c>
      <c r="I299" s="28" t="n">
        <v>665</v>
      </c>
      <c r="J299" s="28" t="n">
        <v>39</v>
      </c>
      <c r="K299" s="28">
        <f>TABL12[[#This Row],[ (T/B) SAR]]+TABL12[[#This Row],[ (S/S) SAR]]</f>
        <v/>
      </c>
      <c r="L299" s="28" t="n">
        <v>315</v>
      </c>
      <c r="M299" s="29" t="n">
        <v>24.6</v>
      </c>
      <c r="N299" s="30" t="n">
        <v>7.42</v>
      </c>
      <c r="O299" s="9" t="n">
        <v>0</v>
      </c>
      <c r="P299" s="9">
        <f>TABL12[[#This Row],[ (S/S) SAR]]-TABL12[[#This Row],[(S/S) AJD]]</f>
        <v/>
      </c>
      <c r="Q299" s="9" t="n">
        <v>610</v>
      </c>
      <c r="R299" s="9">
        <f>TABL12[[#This Row],[ (T/B) SAR]]-TABL12[[#This Row],[(T/B) AJD]]</f>
        <v/>
      </c>
      <c r="S299" s="9">
        <f>TABL12[[#This Row],[S/S_CON.]]+TABL12[[#This Row],[T/B-CON.]]</f>
        <v/>
      </c>
      <c r="T299" s="9">
        <f>O299+Q299</f>
        <v/>
      </c>
      <c r="U299" s="9" t="n">
        <v>453</v>
      </c>
      <c r="V299" s="9" t="n">
        <v>91</v>
      </c>
      <c r="W299" s="9">
        <f>U299+V299</f>
        <v/>
      </c>
      <c r="X299" s="9">
        <f>T299-W299</f>
        <v/>
      </c>
      <c r="Y299" s="18" t="n">
        <v>92.252</v>
      </c>
      <c r="Z299" s="9" t="n">
        <v>349925</v>
      </c>
      <c r="AA299" s="9">
        <f>TABL12[[#This Row],[(RESV. STORGE) AJD]]/10</f>
        <v/>
      </c>
      <c r="AB299" s="3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32">
        <f>TABL12[[#This Row],[(A/S) AJD]]-TABL12[[#This Row],[SER_IN]]</f>
        <v/>
      </c>
    </row>
    <row r="300">
      <c r="A300" s="2" t="n">
        <v>45956</v>
      </c>
      <c r="B300" s="28" t="n">
        <v>37</v>
      </c>
      <c r="C300" s="28" t="n">
        <v>282</v>
      </c>
      <c r="D300" s="28" t="n">
        <v>37</v>
      </c>
      <c r="E300" s="28" t="n">
        <v>0</v>
      </c>
      <c r="F300" s="28" t="n">
        <v>61</v>
      </c>
      <c r="G300" s="28" t="n">
        <v>389</v>
      </c>
      <c r="H300" s="28" t="n">
        <v>42</v>
      </c>
      <c r="I300" s="28" t="n">
        <v>665</v>
      </c>
      <c r="J300" s="28" t="n">
        <v>39</v>
      </c>
      <c r="K300" s="28">
        <f>TABL12[[#This Row],[ (T/B) SAR]]+TABL12[[#This Row],[ (S/S) SAR]]</f>
        <v/>
      </c>
      <c r="L300" s="28" t="n">
        <v>315</v>
      </c>
      <c r="M300" s="29" t="n">
        <v>24.6</v>
      </c>
      <c r="N300" s="30" t="n">
        <v>7.34</v>
      </c>
      <c r="O300" s="9" t="n">
        <v>0</v>
      </c>
      <c r="P300" s="9">
        <f>TABL12[[#This Row],[ (S/S) SAR]]-TABL12[[#This Row],[(S/S) AJD]]</f>
        <v/>
      </c>
      <c r="Q300" s="9" t="n">
        <v>607</v>
      </c>
      <c r="R300" s="9">
        <f>TABL12[[#This Row],[ (T/B) SAR]]-TABL12[[#This Row],[(T/B) AJD]]</f>
        <v/>
      </c>
      <c r="S300" s="9">
        <f>TABL12[[#This Row],[S/S_CON.]]+TABL12[[#This Row],[T/B-CON.]]</f>
        <v/>
      </c>
      <c r="T300" s="9">
        <f>O300+Q300</f>
        <v/>
      </c>
      <c r="U300" s="9" t="n">
        <v>461</v>
      </c>
      <c r="V300" s="9" t="n">
        <v>91</v>
      </c>
      <c r="W300" s="9">
        <f>U300+V300</f>
        <v/>
      </c>
      <c r="X300" s="9">
        <f>T300-W300</f>
        <v/>
      </c>
      <c r="Y300" s="18" t="n">
        <v>92.298</v>
      </c>
      <c r="Z300" s="9" t="n">
        <v>376678</v>
      </c>
      <c r="AA300" s="9">
        <f>TABL12[[#This Row],[(RESV. STORGE) AJD]]/10</f>
        <v/>
      </c>
      <c r="AB300" s="3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32">
        <f>TABL12[[#This Row],[(A/S) AJD]]-TABL12[[#This Row],[SER_IN]]</f>
        <v/>
      </c>
    </row>
    <row r="301">
      <c r="A301" s="2" t="n">
        <v>45957</v>
      </c>
      <c r="B301" s="28" t="n">
        <v>38</v>
      </c>
      <c r="C301" s="28" t="n">
        <v>298</v>
      </c>
      <c r="D301" s="28" t="n">
        <v>38</v>
      </c>
      <c r="E301" s="28" t="n">
        <v>0</v>
      </c>
      <c r="F301" s="28" t="n">
        <v>61</v>
      </c>
      <c r="G301" s="28" t="n">
        <v>389</v>
      </c>
      <c r="H301" s="28" t="n">
        <v>42</v>
      </c>
      <c r="I301" s="28" t="n">
        <v>665</v>
      </c>
      <c r="J301" s="28" t="n">
        <v>39</v>
      </c>
      <c r="K301" s="28">
        <f>TABL12[[#This Row],[ (T/B) SAR]]+TABL12[[#This Row],[ (S/S) SAR]]</f>
        <v/>
      </c>
      <c r="L301" s="28" t="n">
        <v>315</v>
      </c>
      <c r="M301" s="29" t="n">
        <v>24.6</v>
      </c>
      <c r="N301" s="30" t="n">
        <v>7.29</v>
      </c>
      <c r="O301" s="9" t="n">
        <v>0</v>
      </c>
      <c r="P301" s="9">
        <f>TABL12[[#This Row],[ (S/S) SAR]]-TABL12[[#This Row],[(S/S) AJD]]</f>
        <v/>
      </c>
      <c r="Q301" s="9" t="n">
        <v>606</v>
      </c>
      <c r="R301" s="9">
        <f>TABL12[[#This Row],[ (T/B) SAR]]-TABL12[[#This Row],[(T/B) AJD]]</f>
        <v/>
      </c>
      <c r="S301" s="9">
        <f>TABL12[[#This Row],[S/S_CON.]]+TABL12[[#This Row],[T/B-CON.]]</f>
        <v/>
      </c>
      <c r="T301" s="9">
        <f>O301+Q301</f>
        <v/>
      </c>
      <c r="U301" s="9" t="n">
        <v>502</v>
      </c>
      <c r="V301" s="9" t="n">
        <v>83</v>
      </c>
      <c r="W301" s="9">
        <f>U301+V301</f>
        <v/>
      </c>
      <c r="X301" s="9">
        <f>T301-W301</f>
        <v/>
      </c>
      <c r="Y301" s="18" t="n">
        <v>92.28</v>
      </c>
      <c r="Z301" s="9" t="n">
        <v>365774</v>
      </c>
      <c r="AA301" s="9">
        <f>TABL12[[#This Row],[(RESV. STORGE) AJD]]/10</f>
        <v/>
      </c>
      <c r="AB301" s="3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32">
        <f>TABL12[[#This Row],[(A/S) AJD]]-TABL12[[#This Row],[SER_IN]]</f>
        <v/>
      </c>
    </row>
    <row r="302">
      <c r="A302" s="2" t="n">
        <v>45958</v>
      </c>
      <c r="B302" s="28" t="n">
        <v>38</v>
      </c>
      <c r="C302" s="28" t="n">
        <v>310</v>
      </c>
      <c r="D302" s="28" t="n">
        <v>38</v>
      </c>
      <c r="E302" s="28" t="n">
        <v>0</v>
      </c>
      <c r="F302" s="28" t="n">
        <v>61</v>
      </c>
      <c r="G302" s="28" t="n">
        <v>384</v>
      </c>
      <c r="H302" s="28" t="n">
        <v>42</v>
      </c>
      <c r="I302" s="28" t="n">
        <v>660</v>
      </c>
      <c r="J302" s="28" t="n">
        <v>39</v>
      </c>
      <c r="K302" s="28">
        <f>TABL12[[#This Row],[ (T/B) SAR]]+TABL12[[#This Row],[ (S/S) SAR]]</f>
        <v/>
      </c>
      <c r="L302" s="28" t="n">
        <v>315</v>
      </c>
      <c r="M302" s="29" t="n">
        <v>24.6</v>
      </c>
      <c r="N302" s="30" t="n">
        <v>7.3</v>
      </c>
      <c r="O302" s="9" t="n">
        <v>0</v>
      </c>
      <c r="P302" s="9">
        <f>TABL12[[#This Row],[ (S/S) SAR]]-TABL12[[#This Row],[(S/S) AJD]]</f>
        <v/>
      </c>
      <c r="Q302" s="9" t="n">
        <v>604</v>
      </c>
      <c r="R302" s="9">
        <f>TABL12[[#This Row],[ (T/B) SAR]]-TABL12[[#This Row],[(T/B) AJD]]</f>
        <v/>
      </c>
      <c r="S302" s="9">
        <f>TABL12[[#This Row],[S/S_CON.]]+TABL12[[#This Row],[T/B-CON.]]</f>
        <v/>
      </c>
      <c r="T302" s="9">
        <f>O302+Q302</f>
        <v/>
      </c>
      <c r="U302" s="9" t="n">
        <v>562</v>
      </c>
      <c r="V302" s="9" t="n">
        <v>90</v>
      </c>
      <c r="W302" s="9">
        <f>U302+V302</f>
        <v/>
      </c>
      <c r="X302" s="9">
        <f>T302-W302</f>
        <v/>
      </c>
      <c r="Y302" s="18" t="n">
        <v>92.148</v>
      </c>
      <c r="Z302" s="9" t="n">
        <v>287457</v>
      </c>
      <c r="AA302" s="9">
        <f>TABL12[[#This Row],[(RESV. STORGE) AJD]]/10</f>
        <v/>
      </c>
      <c r="AB302" s="3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32">
        <f>TABL12[[#This Row],[(A/S) AJD]]-TABL12[[#This Row],[SER_IN]]</f>
        <v/>
      </c>
    </row>
    <row r="303">
      <c r="A303" s="2" t="n">
        <v>45959</v>
      </c>
      <c r="B303" s="28" t="n">
        <v>39</v>
      </c>
      <c r="C303" s="28" t="n">
        <v>317</v>
      </c>
      <c r="D303" s="28" t="n">
        <v>39</v>
      </c>
      <c r="E303" s="28" t="n">
        <v>0</v>
      </c>
      <c r="F303" s="28" t="n">
        <v>61</v>
      </c>
      <c r="G303" s="28" t="n">
        <v>389</v>
      </c>
      <c r="H303" s="28" t="n">
        <v>42</v>
      </c>
      <c r="I303" s="28" t="n">
        <v>665</v>
      </c>
      <c r="J303" s="28" t="n">
        <v>34</v>
      </c>
      <c r="K303" s="28">
        <f>TABL12[[#This Row],[ (T/B) SAR]]+TABL12[[#This Row],[ (S/S) SAR]]</f>
        <v/>
      </c>
      <c r="L303" s="28" t="n">
        <v>315</v>
      </c>
      <c r="M303" s="29" t="n">
        <v>24.6</v>
      </c>
      <c r="N303" s="30" t="n">
        <v>7.35</v>
      </c>
      <c r="O303" s="9" t="n">
        <v>9</v>
      </c>
      <c r="P303" s="9">
        <f>TABL12[[#This Row],[ (S/S) SAR]]-TABL12[[#This Row],[(S/S) AJD]]</f>
        <v/>
      </c>
      <c r="Q303" s="9" t="n">
        <v>600</v>
      </c>
      <c r="R303" s="9">
        <f>TABL12[[#This Row],[ (T/B) SAR]]-TABL12[[#This Row],[(T/B) AJD]]</f>
        <v/>
      </c>
      <c r="S303" s="9">
        <f>TABL12[[#This Row],[S/S_CON.]]+TABL12[[#This Row],[T/B-CON.]]</f>
        <v/>
      </c>
      <c r="T303" s="9">
        <f>O303+Q303</f>
        <v/>
      </c>
      <c r="U303" s="9" t="n">
        <v>572</v>
      </c>
      <c r="V303" s="9" t="n">
        <v>90</v>
      </c>
      <c r="W303" s="9">
        <f>U303+V303</f>
        <v/>
      </c>
      <c r="X303" s="9">
        <f>T303-W303</f>
        <v/>
      </c>
      <c r="Y303" s="18" t="n">
        <v>92.023</v>
      </c>
      <c r="Z303" s="9" t="n">
        <v>213424</v>
      </c>
      <c r="AA303" s="9">
        <f>TABL12[[#This Row],[(RESV. STORGE) AJD]]/10</f>
        <v/>
      </c>
      <c r="AB303" s="3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32">
        <f>TABL12[[#This Row],[(A/S) AJD]]-TABL12[[#This Row],[SER_IN]]</f>
        <v/>
      </c>
    </row>
    <row r="304">
      <c r="A304" s="2" t="n">
        <v>45960</v>
      </c>
      <c r="B304" s="28" t="n">
        <v>39</v>
      </c>
      <c r="C304" s="28" t="n">
        <v>318</v>
      </c>
      <c r="D304" s="28" t="n">
        <v>39</v>
      </c>
      <c r="E304" s="28" t="n">
        <v>0</v>
      </c>
      <c r="F304" s="28" t="n">
        <v>55</v>
      </c>
      <c r="G304" s="28" t="n">
        <v>344</v>
      </c>
      <c r="H304" s="28" t="n">
        <v>48</v>
      </c>
      <c r="I304" s="28" t="n">
        <v>336</v>
      </c>
      <c r="J304" s="28" t="n">
        <v>323</v>
      </c>
      <c r="K304" s="28">
        <f>TABL12[[#This Row],[ (T/B) SAR]]+TABL12[[#This Row],[ (S/S) SAR]]</f>
        <v/>
      </c>
      <c r="L304" s="28" t="n">
        <v>315</v>
      </c>
      <c r="M304" s="29" t="n">
        <v>24.6</v>
      </c>
      <c r="N304" s="30" t="n">
        <v>7.44</v>
      </c>
      <c r="O304" s="9" t="n">
        <v>41</v>
      </c>
      <c r="P304" s="9">
        <f>TABL12[[#This Row],[ (S/S) SAR]]-TABL12[[#This Row],[(S/S) AJD]]</f>
        <v/>
      </c>
      <c r="Q304" s="9" t="n">
        <v>528</v>
      </c>
      <c r="R304" s="9">
        <f>TABL12[[#This Row],[ (T/B) SAR]]-TABL12[[#This Row],[(T/B) AJD]]</f>
        <v/>
      </c>
      <c r="S304" s="9">
        <f>TABL12[[#This Row],[S/S_CON.]]+TABL12[[#This Row],[T/B-CON.]]</f>
        <v/>
      </c>
      <c r="T304" s="9">
        <f>O304+Q304</f>
        <v/>
      </c>
      <c r="U304" s="9" t="n">
        <v>501</v>
      </c>
      <c r="V304" s="9" t="n">
        <v>90</v>
      </c>
      <c r="W304" s="9">
        <f>U304+V304</f>
        <v/>
      </c>
      <c r="X304" s="9">
        <f>T304-W304</f>
        <v/>
      </c>
      <c r="Y304" s="18" t="n">
        <v>91.93600000000001</v>
      </c>
      <c r="Z304" s="9" t="n">
        <v>166967</v>
      </c>
      <c r="AA304" s="9">
        <f>TABL12[[#This Row],[(RESV. STORGE) AJD]]/10</f>
        <v/>
      </c>
      <c r="AB304" s="3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32">
        <f>TABL12[[#This Row],[(A/S) AJD]]-TABL12[[#This Row],[SER_IN]]</f>
        <v/>
      </c>
    </row>
    <row r="305">
      <c r="A305" s="2" t="n">
        <v>45961</v>
      </c>
      <c r="B305" s="28" t="n">
        <v>38</v>
      </c>
      <c r="C305" s="28" t="n">
        <v>317</v>
      </c>
      <c r="D305" s="28" t="n">
        <v>39</v>
      </c>
      <c r="E305" s="28" t="n">
        <v>0</v>
      </c>
      <c r="F305" s="28" t="n">
        <v>100</v>
      </c>
      <c r="G305" s="28" t="n">
        <v>631</v>
      </c>
      <c r="H305" s="28" t="n">
        <v>3</v>
      </c>
      <c r="I305" s="28" t="n">
        <v>480</v>
      </c>
      <c r="J305" s="28" t="n">
        <v>466</v>
      </c>
      <c r="K305" s="28">
        <f>TABL12[[#This Row],[ (T/B) SAR]]+TABL12[[#This Row],[ (S/S) SAR]]</f>
        <v/>
      </c>
      <c r="L305" s="28" t="n">
        <v>315</v>
      </c>
      <c r="M305" s="29" t="n">
        <v>24.6</v>
      </c>
      <c r="N305" s="30" t="n">
        <v>7.49</v>
      </c>
      <c r="O305" s="9" t="n">
        <v>280</v>
      </c>
      <c r="P305" s="9">
        <f>TABL12[[#This Row],[ (S/S) SAR]]-TABL12[[#This Row],[(S/S) AJD]]</f>
        <v/>
      </c>
      <c r="Q305" s="9" t="n">
        <v>317</v>
      </c>
      <c r="R305" s="9">
        <f>TABL12[[#This Row],[ (T/B) SAR]]-TABL12[[#This Row],[(T/B) AJD]]</f>
        <v/>
      </c>
      <c r="S305" s="9">
        <f>TABL12[[#This Row],[S/S_CON.]]+TABL12[[#This Row],[T/B-CON.]]</f>
        <v/>
      </c>
      <c r="T305" s="9">
        <f>O305+Q305</f>
        <v/>
      </c>
      <c r="U305" s="9" t="n">
        <v>541</v>
      </c>
      <c r="V305" s="9" t="n">
        <v>91</v>
      </c>
      <c r="W305" s="9">
        <f>U305+V305</f>
        <v/>
      </c>
      <c r="X305" s="9">
        <f>T305-W305</f>
        <v/>
      </c>
      <c r="Y305" s="18" t="n">
        <v>91.92</v>
      </c>
      <c r="Z305" s="9" t="n">
        <v>152512</v>
      </c>
      <c r="AA305" s="9">
        <f>TABL12[[#This Row],[(RESV. STORGE) AJD]]/10</f>
        <v/>
      </c>
      <c r="AB305" s="3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32">
        <f>TABL12[[#This Row],[(A/S) AJD]]-TABL12[[#This Row],[SER_IN]]</f>
        <v/>
      </c>
    </row>
    <row r="306" ht="18.75" customHeight="1">
      <c r="A306" s="2" t="n">
        <v>45962</v>
      </c>
      <c r="B306" s="28" t="n">
        <v>39</v>
      </c>
      <c r="C306" s="28" t="n">
        <v>320</v>
      </c>
      <c r="D306" s="28" t="n">
        <v>39</v>
      </c>
      <c r="E306" s="28" t="n">
        <v>0</v>
      </c>
      <c r="F306" s="28" t="n">
        <v>100</v>
      </c>
      <c r="G306" s="28" t="n">
        <v>637</v>
      </c>
      <c r="H306" s="28" t="n">
        <v>3</v>
      </c>
      <c r="I306" s="28" t="n">
        <v>482</v>
      </c>
      <c r="J306" s="28" t="n">
        <v>470</v>
      </c>
      <c r="K306" s="28">
        <f>TABL12[[#This Row],[ (T/B) SAR]]+TABL12[[#This Row],[ (S/S) SAR]]</f>
        <v/>
      </c>
      <c r="L306" s="28" t="n">
        <v>315</v>
      </c>
      <c r="M306" s="29" t="n">
        <v>24.6</v>
      </c>
      <c r="N306" s="30" t="n">
        <v>7.53</v>
      </c>
      <c r="O306" s="39" t="n">
        <v>432</v>
      </c>
      <c r="P306" s="9">
        <f>TABL12[[#This Row],[ (S/S) SAR]]-TABL12[[#This Row],[(S/S) AJD]]</f>
        <v/>
      </c>
      <c r="Q306" s="9" t="n">
        <v>423</v>
      </c>
      <c r="R306" s="9">
        <f>TABL12[[#This Row],[ (T/B) SAR]]-TABL12[[#This Row],[(T/B) AJD]]</f>
        <v/>
      </c>
      <c r="S306" s="9">
        <f>TABL12[[#This Row],[S/S_CON.]]+TABL12[[#This Row],[T/B-CON.]]</f>
        <v/>
      </c>
      <c r="T306" s="9">
        <f>O306+Q306</f>
        <v/>
      </c>
      <c r="U306" s="9" t="n">
        <v>525</v>
      </c>
      <c r="V306" s="9" t="n">
        <v>89</v>
      </c>
      <c r="W306" s="9">
        <f>U306+V306</f>
        <v/>
      </c>
      <c r="X306" s="9">
        <f>T306-W306</f>
        <v/>
      </c>
      <c r="Y306" s="18" t="n">
        <v>92.247</v>
      </c>
      <c r="Z306" s="9" t="n">
        <v>346182</v>
      </c>
      <c r="AA306" s="9">
        <f>TABL12[[#This Row],[(RESV. STORGE) AJD]]/10</f>
        <v/>
      </c>
      <c r="AB306" s="3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32">
        <f>TABL12[[#This Row],[(A/S) AJD]]-TABL12[[#This Row],[SER_IN]]</f>
        <v/>
      </c>
    </row>
    <row r="307" ht="18.75" customHeight="1">
      <c r="A307" s="2" t="n">
        <v>45963</v>
      </c>
      <c r="B307" s="28" t="n">
        <v>38</v>
      </c>
      <c r="C307" s="28" t="n">
        <v>316</v>
      </c>
      <c r="D307" s="28" t="n">
        <v>38</v>
      </c>
      <c r="E307" s="28" t="n">
        <v>0</v>
      </c>
      <c r="F307" s="28" t="n">
        <v>100</v>
      </c>
      <c r="G307" s="28" t="n">
        <v>645</v>
      </c>
      <c r="H307" s="28" t="n">
        <v>3</v>
      </c>
      <c r="I307" s="28" t="n">
        <v>485</v>
      </c>
      <c r="J307" s="28" t="n">
        <v>475</v>
      </c>
      <c r="K307" s="28">
        <f>TABL12[[#This Row],[ (T/B) SAR]]+TABL12[[#This Row],[ (S/S) SAR]]</f>
        <v/>
      </c>
      <c r="L307" s="28" t="n">
        <v>315</v>
      </c>
      <c r="M307" s="29" t="n">
        <v>24.6</v>
      </c>
      <c r="N307" s="30" t="n">
        <v>7.56</v>
      </c>
      <c r="O307" s="40" t="n">
        <v>446</v>
      </c>
      <c r="P307" s="9">
        <f>TABL12[[#This Row],[ (S/S) SAR]]-TABL12[[#This Row],[(S/S) AJD]]</f>
        <v/>
      </c>
      <c r="Q307" s="9" t="n">
        <v>435</v>
      </c>
      <c r="R307" s="9">
        <f>TABL12[[#This Row],[ (T/B) SAR]]-TABL12[[#This Row],[(T/B) AJD]]</f>
        <v/>
      </c>
      <c r="S307" s="9">
        <f>TABL12[[#This Row],[S/S_CON.]]+TABL12[[#This Row],[T/B-CON.]]</f>
        <v/>
      </c>
      <c r="T307" s="9">
        <f>O307+Q307</f>
        <v/>
      </c>
      <c r="U307" s="9" t="n">
        <v>588</v>
      </c>
      <c r="V307" s="9" t="n">
        <v>90</v>
      </c>
      <c r="W307" s="9">
        <f>U307+V307</f>
        <v/>
      </c>
      <c r="X307" s="9">
        <f>T307-W307</f>
        <v/>
      </c>
      <c r="Y307" s="18" t="n">
        <v>92.547</v>
      </c>
      <c r="Z307" s="9" t="n">
        <v>524636</v>
      </c>
      <c r="AA307" s="9">
        <f>TABL12[[#This Row],[(RESV. STORGE) AJD]]/10</f>
        <v/>
      </c>
      <c r="AB307" s="3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32">
        <f>TABL12[[#This Row],[(A/S) AJD]]-TABL12[[#This Row],[SER_IN]]</f>
        <v/>
      </c>
    </row>
    <row r="308" ht="18.75" customHeight="1">
      <c r="A308" s="2" t="n">
        <v>45964</v>
      </c>
      <c r="B308" s="28" t="n">
        <v>39</v>
      </c>
      <c r="C308" s="28" t="n">
        <v>320</v>
      </c>
      <c r="D308" s="28" t="n">
        <v>39</v>
      </c>
      <c r="E308" s="28" t="n">
        <v>0</v>
      </c>
      <c r="F308" s="28" t="n">
        <v>100</v>
      </c>
      <c r="G308" s="28" t="n">
        <v>648</v>
      </c>
      <c r="H308" s="28" t="n">
        <v>3</v>
      </c>
      <c r="I308" s="28" t="n">
        <v>487</v>
      </c>
      <c r="J308" s="28" t="n">
        <v>476</v>
      </c>
      <c r="K308" s="28">
        <f>TABL12[[#This Row],[ (T/B) SAR]]+TABL12[[#This Row],[ (S/S) SAR]]</f>
        <v/>
      </c>
      <c r="L308" s="28" t="n">
        <v>315</v>
      </c>
      <c r="M308" s="29" t="n">
        <v>24.6</v>
      </c>
      <c r="N308" s="30" t="n">
        <v>7.61</v>
      </c>
      <c r="O308" s="39" t="n">
        <v>453</v>
      </c>
      <c r="P308" s="9">
        <f>TABL12[[#This Row],[ (S/S) SAR]]-TABL12[[#This Row],[(S/S) AJD]]</f>
        <v/>
      </c>
      <c r="Q308" s="9" t="n">
        <v>445</v>
      </c>
      <c r="R308" s="9">
        <f>TABL12[[#This Row],[ (T/B) SAR]]-TABL12[[#This Row],[(T/B) AJD]]</f>
        <v/>
      </c>
      <c r="S308" s="9">
        <f>TABL12[[#This Row],[S/S_CON.]]+TABL12[[#This Row],[T/B-CON.]]</f>
        <v/>
      </c>
      <c r="T308" s="9">
        <f>O308+Q308</f>
        <v/>
      </c>
      <c r="U308" s="9" t="n">
        <v>596</v>
      </c>
      <c r="V308" s="9" t="n">
        <v>92</v>
      </c>
      <c r="W308" s="9">
        <f>U308+V308</f>
        <v/>
      </c>
      <c r="X308" s="9">
        <f>T308-W308</f>
        <v/>
      </c>
      <c r="Y308" s="18" t="n">
        <v>92.855</v>
      </c>
      <c r="Z308" s="9" t="n">
        <v>702222</v>
      </c>
      <c r="AA308" s="9">
        <f>TABL12[[#This Row],[(RESV. STORGE) AJD]]/10</f>
        <v/>
      </c>
      <c r="AB308" s="3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32">
        <f>TABL12[[#This Row],[(A/S) AJD]]-TABL12[[#This Row],[SER_IN]]</f>
        <v/>
      </c>
    </row>
    <row r="309" ht="18.75" customHeight="1">
      <c r="A309" s="2" t="n">
        <v>45965</v>
      </c>
      <c r="B309" s="28" t="n">
        <v>39</v>
      </c>
      <c r="C309" s="28" t="n">
        <v>317</v>
      </c>
      <c r="D309" s="28" t="n">
        <v>39</v>
      </c>
      <c r="E309" s="28" t="n">
        <v>0</v>
      </c>
      <c r="F309" s="28" t="n">
        <v>99</v>
      </c>
      <c r="G309" s="28" t="n">
        <v>639</v>
      </c>
      <c r="H309" s="28" t="n">
        <v>4</v>
      </c>
      <c r="I309" s="28" t="n">
        <v>487</v>
      </c>
      <c r="J309" s="28" t="n">
        <v>472</v>
      </c>
      <c r="K309" s="28">
        <f>TABL12[[#This Row],[ (T/B) SAR]]+TABL12[[#This Row],[ (S/S) SAR]]</f>
        <v/>
      </c>
      <c r="L309" s="28" t="n">
        <v>320</v>
      </c>
      <c r="M309" s="29" t="n">
        <v>24.6</v>
      </c>
      <c r="N309" s="30" t="n">
        <v>7.68</v>
      </c>
      <c r="O309" s="40" t="n">
        <v>455</v>
      </c>
      <c r="P309" s="9">
        <f>TABL12[[#This Row],[ (S/S) SAR]]-TABL12[[#This Row],[(S/S) AJD]]</f>
        <v/>
      </c>
      <c r="Q309" s="9" t="n">
        <v>446</v>
      </c>
      <c r="R309" s="9">
        <f>TABL12[[#This Row],[ (T/B) SAR]]-TABL12[[#This Row],[(T/B) AJD]]</f>
        <v/>
      </c>
      <c r="S309" s="9">
        <f>TABL12[[#This Row],[S/S_CON.]]+TABL12[[#This Row],[T/B-CON.]]</f>
        <v/>
      </c>
      <c r="T309" s="9">
        <f>O309+Q309</f>
        <v/>
      </c>
      <c r="U309" s="9" t="n">
        <v>583</v>
      </c>
      <c r="V309" s="9" t="n">
        <v>107</v>
      </c>
      <c r="W309" s="9">
        <f>U309+V309</f>
        <v/>
      </c>
      <c r="X309" s="9">
        <f>T309-W309</f>
        <v/>
      </c>
      <c r="Y309" s="18" t="n">
        <v>93.14100000000001</v>
      </c>
      <c r="Z309" s="9" t="n">
        <v>880343</v>
      </c>
      <c r="AA309" s="9">
        <f>TABL12[[#This Row],[(RESV. STORGE) AJD]]/10</f>
        <v/>
      </c>
      <c r="AB309" s="3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32">
        <f>TABL12[[#This Row],[(A/S) AJD]]-TABL12[[#This Row],[SER_IN]]</f>
        <v/>
      </c>
    </row>
    <row r="310" ht="18.75" customHeight="1">
      <c r="A310" s="2" t="n">
        <v>45966</v>
      </c>
      <c r="B310" s="28" t="n">
        <v>39</v>
      </c>
      <c r="C310" s="28" t="n">
        <v>309</v>
      </c>
      <c r="D310" s="28" t="n">
        <v>39</v>
      </c>
      <c r="E310" s="28" t="n">
        <v>0</v>
      </c>
      <c r="F310" s="28" t="n">
        <v>100</v>
      </c>
      <c r="G310" s="28" t="n">
        <v>645</v>
      </c>
      <c r="H310" s="28" t="n">
        <v>3</v>
      </c>
      <c r="I310" s="28" t="n">
        <v>489</v>
      </c>
      <c r="J310" s="28" t="n">
        <v>476</v>
      </c>
      <c r="K310" s="28">
        <f>TABL12[[#This Row],[ (T/B) SAR]]+TABL12[[#This Row],[ (S/S) SAR]]</f>
        <v/>
      </c>
      <c r="L310" s="28" t="n">
        <v>320</v>
      </c>
      <c r="M310" s="29" t="n">
        <v>24.6</v>
      </c>
      <c r="N310" s="30" t="n">
        <v>7.67</v>
      </c>
      <c r="O310" s="39" t="n">
        <v>447</v>
      </c>
      <c r="P310" s="9">
        <f>TABL12[[#This Row],[ (S/S) SAR]]-TABL12[[#This Row],[(S/S) AJD]]</f>
        <v/>
      </c>
      <c r="Q310" s="9" t="n">
        <v>445</v>
      </c>
      <c r="R310" s="9">
        <f>TABL12[[#This Row],[ (T/B) SAR]]-TABL12[[#This Row],[(T/B) AJD]]</f>
        <v/>
      </c>
      <c r="S310" s="9">
        <f>TABL12[[#This Row],[S/S_CON.]]+TABL12[[#This Row],[T/B-CON.]]</f>
        <v/>
      </c>
      <c r="T310" s="9">
        <f>O310+Q310</f>
        <v/>
      </c>
      <c r="U310" s="9" t="n">
        <v>573</v>
      </c>
      <c r="V310" s="9" t="n">
        <v>173</v>
      </c>
      <c r="W310" s="9">
        <f>U310+V310</f>
        <v/>
      </c>
      <c r="X310" s="9">
        <f>T310-W310</f>
        <v/>
      </c>
      <c r="Y310" s="18" t="n">
        <v>93.313</v>
      </c>
      <c r="Z310" s="9" t="n">
        <v>983826</v>
      </c>
      <c r="AA310" s="9">
        <f>TABL12[[#This Row],[(RESV. STORGE) AJD]]/10</f>
        <v/>
      </c>
      <c r="AB310" s="3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32">
        <f>TABL12[[#This Row],[(A/S) AJD]]-TABL12[[#This Row],[SER_IN]]</f>
        <v/>
      </c>
    </row>
    <row r="311" ht="18.75" customHeight="1">
      <c r="A311" s="2" t="n">
        <v>45967</v>
      </c>
      <c r="B311" s="28" t="n">
        <v>38</v>
      </c>
      <c r="C311" s="28" t="n">
        <v>302</v>
      </c>
      <c r="D311" s="28" t="n">
        <v>38</v>
      </c>
      <c r="E311" s="28" t="n">
        <v>0</v>
      </c>
      <c r="F311" s="28" t="n">
        <v>100</v>
      </c>
      <c r="G311" s="28" t="n">
        <v>639</v>
      </c>
      <c r="H311" s="28" t="n">
        <v>3</v>
      </c>
      <c r="I311" s="28" t="n">
        <v>489</v>
      </c>
      <c r="J311" s="28" t="n">
        <v>470</v>
      </c>
      <c r="K311" s="28">
        <f>TABL12[[#This Row],[ (T/B) SAR]]+TABL12[[#This Row],[ (S/S) SAR]]</f>
        <v/>
      </c>
      <c r="L311" s="28" t="n">
        <v>320</v>
      </c>
      <c r="M311" s="29" t="n">
        <v>24.6</v>
      </c>
      <c r="N311" s="30" t="n">
        <v>7.64</v>
      </c>
      <c r="O311" s="40" t="n">
        <v>447</v>
      </c>
      <c r="P311" s="9">
        <f>TABL12[[#This Row],[ (S/S) SAR]]-TABL12[[#This Row],[(S/S) AJD]]</f>
        <v/>
      </c>
      <c r="Q311" s="9" t="n">
        <v>448</v>
      </c>
      <c r="R311" s="9">
        <f>TABL12[[#This Row],[ (T/B) SAR]]-TABL12[[#This Row],[(T/B) AJD]]</f>
        <v/>
      </c>
      <c r="S311" s="9">
        <f>TABL12[[#This Row],[S/S_CON.]]+TABL12[[#This Row],[T/B-CON.]]</f>
        <v/>
      </c>
      <c r="T311" s="9">
        <f>O311+Q311</f>
        <v/>
      </c>
      <c r="U311" s="9" t="n">
        <v>576</v>
      </c>
      <c r="V311" s="9" t="n">
        <v>256</v>
      </c>
      <c r="W311" s="9">
        <f>U311+V311</f>
        <v/>
      </c>
      <c r="X311" s="9">
        <f>T311-W311</f>
        <v/>
      </c>
      <c r="Y311" s="18" t="n">
        <v>93.351</v>
      </c>
      <c r="Z311" s="9" t="n">
        <v>1004723</v>
      </c>
      <c r="AA311" s="9">
        <f>TABL12[[#This Row],[(RESV. STORGE) AJD]]/10</f>
        <v/>
      </c>
      <c r="AB311" s="3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32">
        <f>TABL12[[#This Row],[(A/S) AJD]]-TABL12[[#This Row],[SER_IN]]</f>
        <v/>
      </c>
    </row>
    <row r="312" ht="18.75" customHeight="1">
      <c r="A312" s="2" t="n">
        <v>45968</v>
      </c>
      <c r="B312" s="28" t="n">
        <v>38</v>
      </c>
      <c r="C312" s="28" t="n">
        <v>307</v>
      </c>
      <c r="D312" s="28" t="n">
        <v>38</v>
      </c>
      <c r="E312" s="28" t="n">
        <v>0</v>
      </c>
      <c r="F312" s="28" t="n">
        <v>100</v>
      </c>
      <c r="G312" s="28" t="n">
        <v>644</v>
      </c>
      <c r="H312" s="28" t="n">
        <v>3</v>
      </c>
      <c r="I312" s="28" t="n">
        <v>489</v>
      </c>
      <c r="J312" s="28" t="n">
        <v>475</v>
      </c>
      <c r="K312" s="28">
        <f>TABL12[[#This Row],[ (T/B) SAR]]+TABL12[[#This Row],[ (S/S) SAR]]</f>
        <v/>
      </c>
      <c r="L312" s="28" t="n">
        <v>320</v>
      </c>
      <c r="M312" s="29" t="n">
        <v>24.6</v>
      </c>
      <c r="N312" s="30" t="n">
        <v>7.63</v>
      </c>
      <c r="O312" s="39" t="n">
        <v>447</v>
      </c>
      <c r="P312" s="9">
        <f>TABL12[[#This Row],[ (S/S) SAR]]-TABL12[[#This Row],[(S/S) AJD]]</f>
        <v/>
      </c>
      <c r="Q312" s="9" t="n">
        <v>447</v>
      </c>
      <c r="R312" s="9">
        <f>TABL12[[#This Row],[ (T/B) SAR]]-TABL12[[#This Row],[(T/B) AJD]]</f>
        <v/>
      </c>
      <c r="S312" s="9">
        <f>TABL12[[#This Row],[S/S_CON.]]+TABL12[[#This Row],[T/B-CON.]]</f>
        <v/>
      </c>
      <c r="T312" s="9">
        <f>O312+Q312</f>
        <v/>
      </c>
      <c r="U312" s="9" t="n">
        <v>593</v>
      </c>
      <c r="V312" s="9" t="n">
        <v>324</v>
      </c>
      <c r="W312" s="9">
        <f>U312+V312</f>
        <v/>
      </c>
      <c r="X312" s="9">
        <f>T312-W312</f>
        <v/>
      </c>
      <c r="Y312" s="18" t="n">
        <v>93.241</v>
      </c>
      <c r="Z312" s="9" t="n">
        <v>940282</v>
      </c>
      <c r="AA312" s="9">
        <f>TABL12[[#This Row],[(RESV. STORGE) AJD]]/10</f>
        <v/>
      </c>
      <c r="AB312" s="3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32">
        <f>TABL12[[#This Row],[(A/S) AJD]]-TABL12[[#This Row],[SER_IN]]</f>
        <v/>
      </c>
    </row>
    <row r="313" ht="18.75" customHeight="1">
      <c r="A313" s="2" t="n">
        <v>45969</v>
      </c>
      <c r="B313" s="28" t="n">
        <v>37</v>
      </c>
      <c r="C313" s="28" t="n">
        <v>292</v>
      </c>
      <c r="D313" s="28" t="n">
        <v>37</v>
      </c>
      <c r="E313" s="28" t="n">
        <v>0</v>
      </c>
      <c r="F313" s="28" t="n">
        <v>100</v>
      </c>
      <c r="G313" s="28" t="n">
        <v>646</v>
      </c>
      <c r="H313" s="28" t="n">
        <v>3</v>
      </c>
      <c r="I313" s="28" t="n">
        <v>490</v>
      </c>
      <c r="J313" s="28" t="n">
        <v>475</v>
      </c>
      <c r="K313" s="28">
        <f>TABL12[[#This Row],[ (T/B) SAR]]+TABL12[[#This Row],[ (S/S) SAR]]</f>
        <v/>
      </c>
      <c r="L313" s="28" t="n">
        <v>320</v>
      </c>
      <c r="M313" s="29" t="n">
        <v>24.6</v>
      </c>
      <c r="N313" s="30" t="n">
        <v>7.56</v>
      </c>
      <c r="O313" s="40" t="n">
        <v>447</v>
      </c>
      <c r="P313" s="9">
        <f>TABL12[[#This Row],[ (S/S) SAR]]-TABL12[[#This Row],[(S/S) AJD]]</f>
        <v/>
      </c>
      <c r="Q313" s="9" t="n">
        <v>447</v>
      </c>
      <c r="R313" s="9">
        <f>TABL12[[#This Row],[ (T/B) SAR]]-TABL12[[#This Row],[(T/B) AJD]]</f>
        <v/>
      </c>
      <c r="S313" s="9">
        <f>TABL12[[#This Row],[S/S_CON.]]+TABL12[[#This Row],[T/B-CON.]]</f>
        <v/>
      </c>
      <c r="T313" s="9">
        <f>O313+Q313</f>
        <v/>
      </c>
      <c r="U313" s="9" t="n">
        <v>592</v>
      </c>
      <c r="V313" s="9" t="n">
        <v>358</v>
      </c>
      <c r="W313" s="9">
        <f>U313+V313</f>
        <v/>
      </c>
      <c r="X313" s="9">
        <f>T313-W313</f>
        <v/>
      </c>
      <c r="Y313" s="18" t="n">
        <v>93.063</v>
      </c>
      <c r="Z313" s="9" t="n">
        <v>883298</v>
      </c>
      <c r="AA313" s="9">
        <f>TABL12[[#This Row],[(RESV. STORGE) AJD]]/10</f>
        <v/>
      </c>
      <c r="AB313" s="3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32">
        <f>TABL12[[#This Row],[(A/S) AJD]]-TABL12[[#This Row],[SER_IN]]</f>
        <v/>
      </c>
    </row>
    <row r="314" ht="18.75" customHeight="1">
      <c r="A314" s="2" t="n">
        <v>45970</v>
      </c>
      <c r="B314" s="28" t="n">
        <v>37</v>
      </c>
      <c r="C314" s="28" t="n">
        <v>284</v>
      </c>
      <c r="D314" s="28" t="n">
        <v>37</v>
      </c>
      <c r="E314" s="28" t="n">
        <v>0</v>
      </c>
      <c r="F314" s="28" t="n">
        <v>100</v>
      </c>
      <c r="G314" s="28" t="n">
        <v>642</v>
      </c>
      <c r="H314" s="28" t="n">
        <v>3</v>
      </c>
      <c r="I314" s="28" t="n">
        <v>485</v>
      </c>
      <c r="J314" s="28" t="n">
        <v>472</v>
      </c>
      <c r="K314" s="28">
        <f>TABL12[[#This Row],[ (T/B) SAR]]+TABL12[[#This Row],[ (S/S) SAR]]</f>
        <v/>
      </c>
      <c r="L314" s="28" t="n">
        <v>315</v>
      </c>
      <c r="M314" s="29" t="n">
        <v>24.6</v>
      </c>
      <c r="N314" s="30" t="n">
        <v>7.49</v>
      </c>
      <c r="O314" s="39" t="n">
        <v>448</v>
      </c>
      <c r="P314" s="9">
        <f>TABL12[[#This Row],[ (S/S) SAR]]-TABL12[[#This Row],[(S/S) AJD]]</f>
        <v/>
      </c>
      <c r="Q314" s="9" t="n">
        <v>447</v>
      </c>
      <c r="R314" s="9">
        <f>TABL12[[#This Row],[ (T/B) SAR]]-TABL12[[#This Row],[(T/B) AJD]]</f>
        <v/>
      </c>
      <c r="S314" s="9">
        <f>TABL12[[#This Row],[S/S_CON.]]+TABL12[[#This Row],[T/B-CON.]]</f>
        <v/>
      </c>
      <c r="T314" s="9">
        <f>O314+Q314</f>
        <v/>
      </c>
      <c r="U314" s="9" t="n">
        <v>557</v>
      </c>
      <c r="V314" s="9" t="n">
        <v>371</v>
      </c>
      <c r="W314" s="9">
        <f>U314+V314</f>
        <v/>
      </c>
      <c r="X314" s="9">
        <f>T314-W314</f>
        <v/>
      </c>
      <c r="Y314" s="18" t="n">
        <v>92.95399999999999</v>
      </c>
      <c r="Z314" s="9" t="n">
        <v>766110</v>
      </c>
      <c r="AA314" s="9">
        <f>TABL12[[#This Row],[(RESV. STORGE) AJD]]/10</f>
        <v/>
      </c>
      <c r="AB314" s="3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32">
        <f>TABL12[[#This Row],[(A/S) AJD]]-TABL12[[#This Row],[SER_IN]]</f>
        <v/>
      </c>
    </row>
    <row r="315" ht="18.75" customHeight="1">
      <c r="A315" s="2" t="n">
        <v>45971</v>
      </c>
      <c r="B315" s="28" t="n">
        <v>37</v>
      </c>
      <c r="C315" s="28" t="n">
        <v>292</v>
      </c>
      <c r="D315" s="28" t="n">
        <v>37</v>
      </c>
      <c r="E315" s="28" t="n">
        <v>0</v>
      </c>
      <c r="F315" s="28" t="n">
        <v>100</v>
      </c>
      <c r="G315" s="28" t="n">
        <v>643</v>
      </c>
      <c r="H315" s="28" t="n">
        <v>3</v>
      </c>
      <c r="I315" s="28" t="n">
        <v>486</v>
      </c>
      <c r="J315" s="28" t="n">
        <v>472</v>
      </c>
      <c r="K315" s="28">
        <f>TABL12[[#This Row],[ (T/B) SAR]]+TABL12[[#This Row],[ (S/S) SAR]]</f>
        <v/>
      </c>
      <c r="L315" s="28" t="n">
        <v>315</v>
      </c>
      <c r="M315" s="29" t="n">
        <v>24.6</v>
      </c>
      <c r="N315" s="30" t="n">
        <v>7.4</v>
      </c>
      <c r="O315" s="40" t="n">
        <v>445</v>
      </c>
      <c r="P315" s="9">
        <f>TABL12[[#This Row],[ (S/S) SAR]]-TABL12[[#This Row],[(S/S) AJD]]</f>
        <v/>
      </c>
      <c r="Q315" s="9" t="n">
        <v>444</v>
      </c>
      <c r="R315" s="9">
        <f>TABL12[[#This Row],[ (T/B) SAR]]-TABL12[[#This Row],[(T/B) AJD]]</f>
        <v/>
      </c>
      <c r="S315" s="9">
        <f>TABL12[[#This Row],[S/S_CON.]]+TABL12[[#This Row],[T/B-CON.]]</f>
        <v/>
      </c>
      <c r="T315" s="9">
        <f>O315+Q315</f>
        <v/>
      </c>
      <c r="U315" s="9" t="n">
        <v>583</v>
      </c>
      <c r="V315" s="9" t="n">
        <v>390</v>
      </c>
      <c r="W315" s="9">
        <f>U315+V315</f>
        <v/>
      </c>
      <c r="X315" s="9">
        <f>T315-W315</f>
        <v/>
      </c>
      <c r="Y315" s="18" t="n">
        <v>92.742</v>
      </c>
      <c r="Z315" s="9" t="n">
        <v>641017</v>
      </c>
      <c r="AA315" s="9">
        <f>TABL12[[#This Row],[(RESV. STORGE) AJD]]/10</f>
        <v/>
      </c>
      <c r="AB315" s="3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32">
        <f>TABL12[[#This Row],[(A/S) AJD]]-TABL12[[#This Row],[SER_IN]]</f>
        <v/>
      </c>
    </row>
    <row r="316" ht="18.75" customHeight="1">
      <c r="A316" s="2" t="n">
        <v>45972</v>
      </c>
      <c r="B316" s="28" t="n">
        <v>37</v>
      </c>
      <c r="C316" s="28" t="n">
        <v>298</v>
      </c>
      <c r="D316" s="28" t="n">
        <v>37</v>
      </c>
      <c r="E316" s="28" t="n">
        <v>0</v>
      </c>
      <c r="F316" s="28" t="n">
        <v>100</v>
      </c>
      <c r="G316" s="28" t="n">
        <v>640</v>
      </c>
      <c r="H316" s="28" t="n">
        <v>3</v>
      </c>
      <c r="I316" s="28" t="n">
        <v>485</v>
      </c>
      <c r="J316" s="28" t="n">
        <v>470</v>
      </c>
      <c r="K316" s="28">
        <f>TABL12[[#This Row],[ (T/B) SAR]]+TABL12[[#This Row],[ (S/S) SAR]]</f>
        <v/>
      </c>
      <c r="L316" s="28" t="n">
        <v>315</v>
      </c>
      <c r="M316" s="29" t="n">
        <v>24.6</v>
      </c>
      <c r="N316" s="30" t="n">
        <v>7.38</v>
      </c>
      <c r="O316" s="39" t="n">
        <v>445</v>
      </c>
      <c r="P316" s="9">
        <f>TABL12[[#This Row],[ (S/S) SAR]]-TABL12[[#This Row],[(S/S) AJD]]</f>
        <v/>
      </c>
      <c r="Q316" s="9" t="n">
        <v>443</v>
      </c>
      <c r="R316" s="9">
        <f>TABL12[[#This Row],[ (T/B) SAR]]-TABL12[[#This Row],[(T/B) AJD]]</f>
        <v/>
      </c>
      <c r="S316" s="9">
        <f>TABL12[[#This Row],[S/S_CON.]]+TABL12[[#This Row],[T/B-CON.]]</f>
        <v/>
      </c>
      <c r="T316" s="9">
        <f>O316+Q316</f>
        <v/>
      </c>
      <c r="U316" s="9" t="n">
        <v>595</v>
      </c>
      <c r="V316" s="9" t="n">
        <v>403</v>
      </c>
      <c r="W316" s="9">
        <f>U316+V316</f>
        <v/>
      </c>
      <c r="X316" s="9">
        <f>T316-W316</f>
        <v/>
      </c>
      <c r="Y316" s="18" t="n">
        <v>92.51000000000001</v>
      </c>
      <c r="Z316" s="9" t="n">
        <v>502583</v>
      </c>
      <c r="AA316" s="9">
        <f>TABL12[[#This Row],[(RESV. STORGE) AJD]]/10</f>
        <v/>
      </c>
      <c r="AB316" s="3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32">
        <f>TABL12[[#This Row],[(A/S) AJD]]-TABL12[[#This Row],[SER_IN]]</f>
        <v/>
      </c>
    </row>
    <row r="317" ht="18.75" customHeight="1">
      <c r="A317" s="2" t="n">
        <v>45973</v>
      </c>
      <c r="B317" s="28" t="n">
        <v>37</v>
      </c>
      <c r="C317" s="28" t="n">
        <v>300</v>
      </c>
      <c r="D317" s="28" t="n">
        <v>37</v>
      </c>
      <c r="E317" s="28" t="n">
        <v>0</v>
      </c>
      <c r="F317" s="28" t="n">
        <v>100</v>
      </c>
      <c r="G317" s="28" t="n">
        <v>638</v>
      </c>
      <c r="H317" s="28" t="n">
        <v>3</v>
      </c>
      <c r="I317" s="28" t="n">
        <v>485</v>
      </c>
      <c r="J317" s="28" t="n">
        <v>468</v>
      </c>
      <c r="K317" s="28">
        <f>TABL12[[#This Row],[ (T/B) SAR]]+TABL12[[#This Row],[ (S/S) SAR]]</f>
        <v/>
      </c>
      <c r="L317" s="28" t="n">
        <v>315</v>
      </c>
      <c r="M317" s="29" t="n">
        <v>24.6</v>
      </c>
      <c r="N317" s="30" t="n">
        <v>7.36</v>
      </c>
      <c r="O317" s="40" t="n">
        <v>442</v>
      </c>
      <c r="P317" s="9">
        <f>TABL12[[#This Row],[ (S/S) SAR]]-TABL12[[#This Row],[(S/S) AJD]]</f>
        <v/>
      </c>
      <c r="Q317" s="9" t="n">
        <v>442</v>
      </c>
      <c r="R317" s="9">
        <f>TABL12[[#This Row],[ (T/B) SAR]]-TABL12[[#This Row],[(T/B) AJD]]</f>
        <v/>
      </c>
      <c r="S317" s="9">
        <f>TABL12[[#This Row],[S/S_CON.]]+TABL12[[#This Row],[T/B-CON.]]</f>
        <v/>
      </c>
      <c r="T317" s="9">
        <f>O317+Q317</f>
        <v/>
      </c>
      <c r="U317" s="9" t="n">
        <v>592</v>
      </c>
      <c r="V317" s="9" t="n">
        <v>319</v>
      </c>
      <c r="W317" s="9">
        <f>U317+V317</f>
        <v/>
      </c>
      <c r="X317" s="9">
        <f>T317-W317</f>
        <v/>
      </c>
      <c r="Y317" s="18" t="n">
        <v>92.42</v>
      </c>
      <c r="Z317" s="9" t="n">
        <v>448996</v>
      </c>
      <c r="AA317" s="9">
        <f>TABL12[[#This Row],[(RESV. STORGE) AJD]]/10</f>
        <v/>
      </c>
      <c r="AB317" s="3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32">
        <f>TABL12[[#This Row],[(A/S) AJD]]-TABL12[[#This Row],[SER_IN]]</f>
        <v/>
      </c>
    </row>
    <row r="318" ht="18.75" customHeight="1">
      <c r="A318" s="2" t="n">
        <v>45974</v>
      </c>
      <c r="B318" s="28" t="n">
        <v>37</v>
      </c>
      <c r="C318" s="28" t="n">
        <v>300</v>
      </c>
      <c r="D318" s="28" t="n">
        <v>37</v>
      </c>
      <c r="E318" s="28" t="n">
        <v>0</v>
      </c>
      <c r="F318" s="28" t="n">
        <v>100</v>
      </c>
      <c r="G318" s="28" t="n">
        <v>638</v>
      </c>
      <c r="H318" s="28" t="n">
        <v>3</v>
      </c>
      <c r="I318" s="28" t="n">
        <v>485</v>
      </c>
      <c r="J318" s="28" t="n">
        <v>468</v>
      </c>
      <c r="K318" s="28">
        <f>TABL12[[#This Row],[ (T/B) SAR]]+TABL12[[#This Row],[ (S/S) SAR]]</f>
        <v/>
      </c>
      <c r="L318" s="28" t="n">
        <v>315</v>
      </c>
      <c r="M318" s="29" t="n">
        <v>24.6</v>
      </c>
      <c r="N318" s="30" t="n">
        <v>7.31</v>
      </c>
      <c r="O318" s="39" t="n">
        <v>441</v>
      </c>
      <c r="P318" s="9">
        <f>TABL12[[#This Row],[ (S/S) SAR]]-TABL12[[#This Row],[(S/S) AJD]]</f>
        <v/>
      </c>
      <c r="Q318" s="9" t="n">
        <v>440</v>
      </c>
      <c r="R318" s="9">
        <f>TABL12[[#This Row],[ (T/B) SAR]]-TABL12[[#This Row],[(T/B) AJD]]</f>
        <v/>
      </c>
      <c r="S318" s="9">
        <f>TABL12[[#This Row],[S/S_CON.]]+TABL12[[#This Row],[T/B-CON.]]</f>
        <v/>
      </c>
      <c r="T318" s="9">
        <f>O318+Q318</f>
        <v/>
      </c>
      <c r="U318" s="9" t="n">
        <v>598</v>
      </c>
      <c r="V318" s="9" t="n">
        <v>324</v>
      </c>
      <c r="W318" s="9">
        <f>U318+V318</f>
        <v/>
      </c>
      <c r="X318" s="9">
        <f>T318-W318</f>
        <v/>
      </c>
      <c r="Y318" s="18" t="n">
        <v>92.3</v>
      </c>
      <c r="Z318" s="9" t="n">
        <v>377659</v>
      </c>
      <c r="AA318" s="9">
        <f>TABL12[[#This Row],[(RESV. STORGE) AJD]]/10</f>
        <v/>
      </c>
      <c r="AB318" s="3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32">
        <f>TABL12[[#This Row],[(A/S) AJD]]-TABL12[[#This Row],[SER_IN]]</f>
        <v/>
      </c>
    </row>
    <row r="319" ht="18.75" customHeight="1">
      <c r="A319" s="2" t="n">
        <v>45975</v>
      </c>
      <c r="B319" s="28" t="n">
        <v>38</v>
      </c>
      <c r="C319" s="28" t="n">
        <v>303</v>
      </c>
      <c r="D319" s="28" t="n">
        <v>38</v>
      </c>
      <c r="E319" s="28" t="n">
        <v>0</v>
      </c>
      <c r="F319" s="28" t="n">
        <v>100</v>
      </c>
      <c r="G319" s="28" t="n">
        <v>636</v>
      </c>
      <c r="H319" s="28" t="n">
        <v>3</v>
      </c>
      <c r="I319" s="28" t="n">
        <v>483</v>
      </c>
      <c r="J319" s="28" t="n">
        <v>468</v>
      </c>
      <c r="K319" s="28">
        <f>TABL12[[#This Row],[ (T/B) SAR]]+TABL12[[#This Row],[ (S/S) SAR]]</f>
        <v/>
      </c>
      <c r="L319" s="28" t="n">
        <v>315</v>
      </c>
      <c r="M319" s="29" t="n">
        <v>24.6</v>
      </c>
      <c r="N319" s="30" t="n">
        <v>7.3</v>
      </c>
      <c r="O319" s="40" t="n">
        <v>441</v>
      </c>
      <c r="P319" s="9">
        <f>TABL12[[#This Row],[ (S/S) SAR]]-TABL12[[#This Row],[(S/S) AJD]]</f>
        <v/>
      </c>
      <c r="Q319" s="9" t="n">
        <v>439</v>
      </c>
      <c r="R319" s="9">
        <f>TABL12[[#This Row],[ (T/B) SAR]]-TABL12[[#This Row],[(T/B) AJD]]</f>
        <v/>
      </c>
      <c r="S319" s="9">
        <f>TABL12[[#This Row],[S/S_CON.]]+TABL12[[#This Row],[T/B-CON.]]</f>
        <v/>
      </c>
      <c r="T319" s="9">
        <f>O319+Q319</f>
        <v/>
      </c>
      <c r="U319" s="9" t="n">
        <v>599</v>
      </c>
      <c r="V319" s="9" t="n">
        <v>270</v>
      </c>
      <c r="W319" s="9">
        <f>U319+V319</f>
        <v/>
      </c>
      <c r="X319" s="9">
        <f>T319-W319</f>
        <v/>
      </c>
      <c r="Y319" s="18" t="n">
        <v>92.273</v>
      </c>
      <c r="Z319" s="9" t="n">
        <v>361619</v>
      </c>
      <c r="AA319" s="9">
        <f>TABL12[[#This Row],[(RESV. STORGE) AJD]]/10</f>
        <v/>
      </c>
      <c r="AB319" s="3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32">
        <f>TABL12[[#This Row],[(A/S) AJD]]-TABL12[[#This Row],[SER_IN]]</f>
        <v/>
      </c>
    </row>
    <row r="320" ht="18.75" customHeight="1">
      <c r="A320" s="2" t="n">
        <v>45976</v>
      </c>
      <c r="B320" s="28" t="n">
        <v>38</v>
      </c>
      <c r="C320" s="28" t="n">
        <v>305</v>
      </c>
      <c r="D320" s="28" t="n">
        <v>37</v>
      </c>
      <c r="E320" s="28" t="n">
        <v>0</v>
      </c>
      <c r="F320" s="28" t="n">
        <v>100</v>
      </c>
      <c r="G320" s="28" t="n">
        <v>637</v>
      </c>
      <c r="H320" s="28" t="n">
        <v>3</v>
      </c>
      <c r="I320" s="28" t="n">
        <v>483</v>
      </c>
      <c r="J320" s="28" t="n">
        <v>469</v>
      </c>
      <c r="K320" s="28">
        <f>TABL12[[#This Row],[ (T/B) SAR]]+TABL12[[#This Row],[ (S/S) SAR]]</f>
        <v/>
      </c>
      <c r="L320" s="28" t="n">
        <v>315</v>
      </c>
      <c r="M320" s="29" t="n">
        <v>24.6</v>
      </c>
      <c r="N320" s="30" t="n">
        <v>7.29</v>
      </c>
      <c r="O320" s="39" t="n">
        <v>440</v>
      </c>
      <c r="P320" s="9">
        <f>TABL12[[#This Row],[ (S/S) SAR]]-TABL12[[#This Row],[(S/S) AJD]]</f>
        <v/>
      </c>
      <c r="Q320" s="9" t="n">
        <v>440</v>
      </c>
      <c r="R320" s="9">
        <f>TABL12[[#This Row],[ (T/B) SAR]]-TABL12[[#This Row],[(T/B) AJD]]</f>
        <v/>
      </c>
      <c r="S320" s="9">
        <f>TABL12[[#This Row],[S/S_CON.]]+TABL12[[#This Row],[T/B-CON.]]</f>
        <v/>
      </c>
      <c r="T320" s="9">
        <f>O320+Q320</f>
        <v/>
      </c>
      <c r="U320" s="9" t="n">
        <v>602</v>
      </c>
      <c r="V320" s="9" t="n">
        <v>262</v>
      </c>
      <c r="W320" s="9">
        <f>U320+V320</f>
        <v/>
      </c>
      <c r="X320" s="9">
        <f>T320-W320</f>
        <v/>
      </c>
      <c r="Y320" s="18" t="n">
        <v>92.247</v>
      </c>
      <c r="Z320" s="9" t="n">
        <v>346182</v>
      </c>
      <c r="AA320" s="9">
        <f>TABL12[[#This Row],[(RESV. STORGE) AJD]]/10</f>
        <v/>
      </c>
      <c r="AB320" s="3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32">
        <f>TABL12[[#This Row],[(A/S) AJD]]-TABL12[[#This Row],[SER_IN]]</f>
        <v/>
      </c>
    </row>
    <row r="321" ht="18.75" customHeight="1">
      <c r="A321" s="2" t="n">
        <v>45977</v>
      </c>
      <c r="B321" s="28" t="n">
        <v>38</v>
      </c>
      <c r="C321" s="28" t="n">
        <v>316</v>
      </c>
      <c r="D321" s="28" t="n">
        <v>38</v>
      </c>
      <c r="E321" s="28" t="n">
        <v>0</v>
      </c>
      <c r="F321" s="28" t="n">
        <v>100</v>
      </c>
      <c r="G321" s="28" t="n">
        <v>634</v>
      </c>
      <c r="H321" s="28" t="n">
        <v>3</v>
      </c>
      <c r="I321" s="28" t="n">
        <v>482</v>
      </c>
      <c r="J321" s="28" t="n">
        <v>467</v>
      </c>
      <c r="K321" s="28">
        <f>TABL12[[#This Row],[ (T/B) SAR]]+TABL12[[#This Row],[ (S/S) SAR]]</f>
        <v/>
      </c>
      <c r="L321" s="28" t="n">
        <v>315</v>
      </c>
      <c r="M321" s="29" t="n">
        <v>24.6</v>
      </c>
      <c r="N321" s="30" t="n">
        <v>7.32</v>
      </c>
      <c r="O321" s="40" t="n">
        <v>439</v>
      </c>
      <c r="P321" s="9">
        <f>TABL12[[#This Row],[ (S/S) SAR]]-TABL12[[#This Row],[(S/S) AJD]]</f>
        <v/>
      </c>
      <c r="Q321" s="9" t="n">
        <v>440</v>
      </c>
      <c r="R321" s="9">
        <f>TABL12[[#This Row],[ (T/B) SAR]]-TABL12[[#This Row],[(T/B) AJD]]</f>
        <v/>
      </c>
      <c r="S321" s="9">
        <f>TABL12[[#This Row],[S/S_CON.]]+TABL12[[#This Row],[T/B-CON.]]</f>
        <v/>
      </c>
      <c r="T321" s="9">
        <f>O321+Q321</f>
        <v/>
      </c>
      <c r="U321" s="9" t="n">
        <v>604</v>
      </c>
      <c r="V321" s="9" t="n">
        <v>258</v>
      </c>
      <c r="W321" s="9">
        <f>U321+V321</f>
        <v/>
      </c>
      <c r="X321" s="9">
        <f>T321-W321</f>
        <v/>
      </c>
      <c r="Y321" s="18" t="n">
        <v>92.23999999999999</v>
      </c>
      <c r="Z321" s="9" t="n">
        <v>342029</v>
      </c>
      <c r="AA321" s="9">
        <f>TABL12[[#This Row],[(RESV. STORGE) AJD]]/10</f>
        <v/>
      </c>
      <c r="AB321" s="3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32">
        <f>TABL12[[#This Row],[(A/S) AJD]]-TABL12[[#This Row],[SER_IN]]</f>
        <v/>
      </c>
    </row>
    <row r="322" ht="18.75" customHeight="1">
      <c r="A322" s="2" t="n">
        <v>45978</v>
      </c>
      <c r="B322" s="28" t="n">
        <v>38</v>
      </c>
      <c r="C322" s="28" t="n">
        <v>319</v>
      </c>
      <c r="D322" s="28" t="n">
        <v>38</v>
      </c>
      <c r="E322" s="28" t="n">
        <v>0</v>
      </c>
      <c r="F322" s="28" t="n">
        <v>100</v>
      </c>
      <c r="G322" s="28" t="n">
        <v>637</v>
      </c>
      <c r="H322" s="28" t="n">
        <v>3</v>
      </c>
      <c r="I322" s="28" t="n">
        <v>482</v>
      </c>
      <c r="J322" s="28" t="n">
        <v>470</v>
      </c>
      <c r="K322" s="28">
        <f>TABL12[[#This Row],[ (T/B) SAR]]+TABL12[[#This Row],[ (S/S) SAR]]</f>
        <v/>
      </c>
      <c r="L322" s="28" t="n">
        <v>315</v>
      </c>
      <c r="M322" s="29" t="n">
        <v>24.6</v>
      </c>
      <c r="N322" s="30" t="n">
        <v>7.39</v>
      </c>
      <c r="O322" s="39" t="n">
        <v>440</v>
      </c>
      <c r="P322" s="9">
        <f>TABL12[[#This Row],[ (S/S) SAR]]-TABL12[[#This Row],[(S/S) AJD]]</f>
        <v/>
      </c>
      <c r="Q322" s="9" t="n">
        <v>439</v>
      </c>
      <c r="R322" s="9">
        <f>TABL12[[#This Row],[ (T/B) SAR]]-TABL12[[#This Row],[(T/B) AJD]]</f>
        <v/>
      </c>
      <c r="S322" s="9">
        <f>TABL12[[#This Row],[S/S_CON.]]+TABL12[[#This Row],[T/B-CON.]]</f>
        <v/>
      </c>
      <c r="T322" s="9">
        <f>O322+Q322</f>
        <v/>
      </c>
      <c r="U322" s="9" t="n">
        <v>613</v>
      </c>
      <c r="V322" s="9" t="n">
        <v>264</v>
      </c>
      <c r="W322" s="9">
        <f>U322+V322</f>
        <v/>
      </c>
      <c r="X322" s="9">
        <f>T322-W322</f>
        <v/>
      </c>
      <c r="Y322" s="18" t="n">
        <v>92.2</v>
      </c>
      <c r="Z322" s="9" t="n">
        <v>318290</v>
      </c>
      <c r="AA322" s="9">
        <f>TABL12[[#This Row],[(RESV. STORGE) AJD]]/10</f>
        <v/>
      </c>
      <c r="AB322" s="3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32">
        <f>TABL12[[#This Row],[(A/S) AJD]]-TABL12[[#This Row],[SER_IN]]</f>
        <v/>
      </c>
    </row>
    <row r="323" ht="18.75" customHeight="1">
      <c r="A323" s="2" t="n">
        <v>45979</v>
      </c>
      <c r="B323" s="28" t="n">
        <v>38</v>
      </c>
      <c r="C323" s="28" t="n">
        <v>312</v>
      </c>
      <c r="D323" s="28" t="n">
        <v>38</v>
      </c>
      <c r="E323" s="28" t="n">
        <v>0</v>
      </c>
      <c r="F323" s="28" t="n">
        <v>100</v>
      </c>
      <c r="G323" s="28" t="n">
        <v>623</v>
      </c>
      <c r="H323" s="28" t="n">
        <v>3</v>
      </c>
      <c r="I323" s="28" t="n">
        <v>475</v>
      </c>
      <c r="J323" s="28" t="n">
        <v>463</v>
      </c>
      <c r="K323" s="28">
        <f>TABL12[[#This Row],[ (T/B) SAR]]+TABL12[[#This Row],[ (S/S) SAR]]</f>
        <v/>
      </c>
      <c r="L323" s="28" t="n">
        <v>315</v>
      </c>
      <c r="M323" s="29" t="n">
        <v>24.6</v>
      </c>
      <c r="N323" s="30" t="n">
        <v>7.43</v>
      </c>
      <c r="O323" s="40" t="n">
        <v>436</v>
      </c>
      <c r="P323" s="9">
        <f>TABL12[[#This Row],[ (S/S) SAR]]-TABL12[[#This Row],[(S/S) AJD]]</f>
        <v/>
      </c>
      <c r="Q323" s="9" t="n">
        <v>436</v>
      </c>
      <c r="R323" s="9">
        <f>TABL12[[#This Row],[ (T/B) SAR]]-TABL12[[#This Row],[(T/B) AJD]]</f>
        <v/>
      </c>
      <c r="S323" s="9">
        <f>TABL12[[#This Row],[S/S_CON.]]+TABL12[[#This Row],[T/B-CON.]]</f>
        <v/>
      </c>
      <c r="T323" s="9">
        <f>O323+Q323</f>
        <v/>
      </c>
      <c r="U323" s="9" t="n">
        <v>614</v>
      </c>
      <c r="V323" s="9" t="n">
        <v>299</v>
      </c>
      <c r="W323" s="9">
        <f>U323+V323</f>
        <v/>
      </c>
      <c r="X323" s="9">
        <f>T323-W323</f>
        <v/>
      </c>
      <c r="Y323" s="18" t="n">
        <v>92.081</v>
      </c>
      <c r="Z323" s="9" t="n">
        <v>247758</v>
      </c>
      <c r="AA323" s="9">
        <f>TABL12[[#This Row],[(RESV. STORGE) AJD]]/10</f>
        <v/>
      </c>
      <c r="AB323" s="3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32">
        <f>TABL12[[#This Row],[(A/S) AJD]]-TABL12[[#This Row],[SER_IN]]</f>
        <v/>
      </c>
    </row>
    <row r="324" ht="18.75" customHeight="1">
      <c r="A324" s="2" t="n">
        <v>45980</v>
      </c>
      <c r="B324" s="28" t="n">
        <v>37</v>
      </c>
      <c r="C324" s="28" t="n">
        <v>309</v>
      </c>
      <c r="D324" s="28" t="n">
        <v>37</v>
      </c>
      <c r="E324" s="28" t="n">
        <v>0</v>
      </c>
      <c r="F324" s="28" t="n">
        <v>98</v>
      </c>
      <c r="G324" s="28" t="n">
        <v>619</v>
      </c>
      <c r="H324" s="28" t="n">
        <v>5</v>
      </c>
      <c r="I324" s="28" t="n">
        <v>474</v>
      </c>
      <c r="J324" s="28" t="n">
        <v>459</v>
      </c>
      <c r="K324" s="28">
        <f>TABL12[[#This Row],[ (T/B) SAR]]+TABL12[[#This Row],[ (S/S) SAR]]</f>
        <v/>
      </c>
      <c r="L324" s="28" t="n">
        <v>314</v>
      </c>
      <c r="M324" s="29" t="n">
        <v>24.6</v>
      </c>
      <c r="N324" s="30" t="n">
        <v>7.44</v>
      </c>
      <c r="O324" s="39" t="n">
        <v>436</v>
      </c>
      <c r="P324" s="9">
        <f>TABL12[[#This Row],[ (S/S) SAR]]-TABL12[[#This Row],[(S/S) AJD]]</f>
        <v/>
      </c>
      <c r="Q324" s="9" t="n">
        <v>435</v>
      </c>
      <c r="R324" s="9">
        <f>TABL12[[#This Row],[ (T/B) SAR]]-TABL12[[#This Row],[(T/B) AJD]]</f>
        <v/>
      </c>
      <c r="S324" s="9">
        <f>TABL12[[#This Row],[S/S_CON.]]+TABL12[[#This Row],[T/B-CON.]]</f>
        <v/>
      </c>
      <c r="T324" s="9">
        <f>O324+Q324</f>
        <v/>
      </c>
      <c r="U324" s="9" t="n">
        <v>615</v>
      </c>
      <c r="V324" s="9" t="n">
        <v>276</v>
      </c>
      <c r="W324" s="9">
        <f>U324+V324</f>
        <v/>
      </c>
      <c r="X324" s="9">
        <f>T324-W324</f>
        <v/>
      </c>
      <c r="Y324" s="18" t="n">
        <v>92.011</v>
      </c>
      <c r="Z324" s="9" t="n">
        <v>206322</v>
      </c>
      <c r="AA324" s="9">
        <f>TABL12[[#This Row],[(RESV. STORGE) AJD]]/10</f>
        <v/>
      </c>
      <c r="AB324" s="3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32">
        <f>TABL12[[#This Row],[(A/S) AJD]]-TABL12[[#This Row],[SER_IN]]</f>
        <v/>
      </c>
    </row>
    <row r="325" ht="18.75" customHeight="1">
      <c r="A325" s="2" t="n">
        <v>45981</v>
      </c>
      <c r="B325" s="28" t="n">
        <v>38</v>
      </c>
      <c r="C325" s="28" t="n">
        <v>306</v>
      </c>
      <c r="D325" s="28" t="n">
        <v>38</v>
      </c>
      <c r="E325" s="28" t="n">
        <v>0</v>
      </c>
      <c r="F325" s="28" t="n">
        <v>98</v>
      </c>
      <c r="G325" s="28" t="n">
        <v>615</v>
      </c>
      <c r="H325" s="28" t="n">
        <v>5</v>
      </c>
      <c r="I325" s="28" t="n">
        <v>472</v>
      </c>
      <c r="J325" s="28" t="n">
        <v>458</v>
      </c>
      <c r="K325" s="28">
        <f>TABL12[[#This Row],[ (T/B) SAR]]+TABL12[[#This Row],[ (S/S) SAR]]</f>
        <v/>
      </c>
      <c r="L325" s="28" t="n">
        <v>315</v>
      </c>
      <c r="M325" s="29" t="n">
        <v>24.6</v>
      </c>
      <c r="N325" s="30" t="n">
        <v>7.45</v>
      </c>
      <c r="O325" s="40" t="n">
        <v>432</v>
      </c>
      <c r="P325" s="9">
        <f>TABL12[[#This Row],[ (S/S) SAR]]-TABL12[[#This Row],[(S/S) AJD]]</f>
        <v/>
      </c>
      <c r="Q325" s="9" t="n">
        <v>431</v>
      </c>
      <c r="R325" s="9">
        <f>TABL12[[#This Row],[ (T/B) SAR]]-TABL12[[#This Row],[(T/B) AJD]]</f>
        <v/>
      </c>
      <c r="S325" s="9">
        <f>TABL12[[#This Row],[S/S_CON.]]+TABL12[[#This Row],[T/B-CON.]]</f>
        <v/>
      </c>
      <c r="T325" s="9">
        <f>O325+Q325</f>
        <v/>
      </c>
      <c r="U325" s="9" t="n">
        <v>577</v>
      </c>
      <c r="V325" s="9" t="n">
        <v>237</v>
      </c>
      <c r="W325" s="9">
        <f>U325+V325</f>
        <v/>
      </c>
      <c r="X325" s="9">
        <f>T325-W325</f>
        <v/>
      </c>
      <c r="Y325" s="18" t="n">
        <v>92.065</v>
      </c>
      <c r="Z325" s="9" t="n">
        <v>238284</v>
      </c>
      <c r="AA325" s="9">
        <f>TABL12[[#This Row],[(RESV. STORGE) AJD]]/10</f>
        <v/>
      </c>
      <c r="AB325" s="3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32">
        <f>TABL12[[#This Row],[(A/S) AJD]]-TABL12[[#This Row],[SER_IN]]</f>
        <v/>
      </c>
    </row>
    <row r="326" ht="18.75" customHeight="1">
      <c r="A326" s="2" t="n">
        <v>45982</v>
      </c>
      <c r="B326" s="28" t="n">
        <v>37</v>
      </c>
      <c r="C326" s="28" t="n">
        <v>298</v>
      </c>
      <c r="D326" s="28" t="n">
        <v>37</v>
      </c>
      <c r="E326" s="28" t="n">
        <v>0</v>
      </c>
      <c r="F326" s="28" t="n">
        <v>98</v>
      </c>
      <c r="G326" s="28" t="n">
        <v>615</v>
      </c>
      <c r="H326" s="28" t="n">
        <v>5</v>
      </c>
      <c r="I326" s="28" t="n">
        <v>472</v>
      </c>
      <c r="J326" s="28" t="n">
        <v>458</v>
      </c>
      <c r="K326" s="28">
        <f>TABL12[[#This Row],[ (T/B) SAR]]+TABL12[[#This Row],[ (S/S) SAR]]</f>
        <v/>
      </c>
      <c r="L326" s="28" t="n">
        <v>315</v>
      </c>
      <c r="M326" s="29" t="n">
        <v>24.6</v>
      </c>
      <c r="N326" s="30" t="n">
        <v>7.42</v>
      </c>
      <c r="O326" s="39" t="n">
        <v>432</v>
      </c>
      <c r="P326" s="9">
        <f>TABL12[[#This Row],[ (S/S) SAR]]-TABL12[[#This Row],[(S/S) AJD]]</f>
        <v/>
      </c>
      <c r="Q326" s="9" t="n">
        <v>430</v>
      </c>
      <c r="R326" s="9">
        <f>TABL12[[#This Row],[ (T/B) SAR]]-TABL12[[#This Row],[(T/B) AJD]]</f>
        <v/>
      </c>
      <c r="S326" s="9">
        <f>TABL12[[#This Row],[S/S_CON.]]+TABL12[[#This Row],[T/B-CON.]]</f>
        <v/>
      </c>
      <c r="T326" s="9">
        <f>O326+Q326</f>
        <v/>
      </c>
      <c r="U326" s="9" t="n">
        <v>583</v>
      </c>
      <c r="V326" s="9" t="n">
        <v>199</v>
      </c>
      <c r="W326" s="9">
        <f>U326+V326</f>
        <v/>
      </c>
      <c r="X326" s="9">
        <f>T326-W326</f>
        <v/>
      </c>
      <c r="Y326" s="18" t="n">
        <v>92.15600000000001</v>
      </c>
      <c r="Z326" s="9" t="n">
        <v>297535</v>
      </c>
      <c r="AA326" s="9">
        <f>TABL12[[#This Row],[(RESV. STORGE) AJD]]/10</f>
        <v/>
      </c>
      <c r="AB326" s="3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32">
        <f>TABL12[[#This Row],[(A/S) AJD]]-TABL12[[#This Row],[SER_IN]]</f>
        <v/>
      </c>
    </row>
    <row r="327" ht="18.75" customHeight="1">
      <c r="A327" s="2" t="n">
        <v>45983</v>
      </c>
      <c r="B327" s="28" t="n">
        <v>38</v>
      </c>
      <c r="C327" s="28" t="n">
        <v>304</v>
      </c>
      <c r="D327" s="28" t="n">
        <v>38</v>
      </c>
      <c r="E327" s="28" t="n">
        <v>0</v>
      </c>
      <c r="F327" s="28" t="n">
        <v>98</v>
      </c>
      <c r="G327" s="28" t="n">
        <v>617</v>
      </c>
      <c r="H327" s="28" t="n">
        <v>5</v>
      </c>
      <c r="I327" s="28" t="n">
        <v>472</v>
      </c>
      <c r="J327" s="28" t="n">
        <v>457</v>
      </c>
      <c r="K327" s="28">
        <f>TABL12[[#This Row],[ (T/B) SAR]]+TABL12[[#This Row],[ (S/S) SAR]]</f>
        <v/>
      </c>
      <c r="L327" s="28" t="n">
        <v>312</v>
      </c>
      <c r="M327" s="29" t="n">
        <v>24.6</v>
      </c>
      <c r="N327" s="30" t="n">
        <v>7.39</v>
      </c>
      <c r="O327" s="40" t="n">
        <v>431</v>
      </c>
      <c r="P327" s="9">
        <f>TABL12[[#This Row],[ (S/S) SAR]]-TABL12[[#This Row],[(S/S) AJD]]</f>
        <v/>
      </c>
      <c r="Q327" s="9" t="n">
        <v>432</v>
      </c>
      <c r="R327" s="9">
        <f>TABL12[[#This Row],[ (T/B) SAR]]-TABL12[[#This Row],[(T/B) AJD]]</f>
        <v/>
      </c>
      <c r="S327" s="9">
        <f>TABL12[[#This Row],[S/S_CON.]]+TABL12[[#This Row],[T/B-CON.]]</f>
        <v/>
      </c>
      <c r="T327" s="9">
        <f>O327+Q327</f>
        <v/>
      </c>
      <c r="U327" s="9" t="n">
        <v>613</v>
      </c>
      <c r="V327" s="9" t="n">
        <v>209</v>
      </c>
      <c r="W327" s="9">
        <f>U327+V327</f>
        <v/>
      </c>
      <c r="X327" s="9">
        <f>T327-W327</f>
        <v/>
      </c>
      <c r="Y327" s="18" t="n">
        <v>92.18000000000001</v>
      </c>
      <c r="Z327" s="9" t="n">
        <v>306429</v>
      </c>
      <c r="AA327" s="9">
        <f>TABL12[[#This Row],[(RESV. STORGE) AJD]]/10</f>
        <v/>
      </c>
      <c r="AB327" s="3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32">
        <f>TABL12[[#This Row],[(A/S) AJD]]-TABL12[[#This Row],[SER_IN]]</f>
        <v/>
      </c>
    </row>
    <row r="328" ht="18.75" customHeight="1">
      <c r="A328" s="2" t="n">
        <v>45984</v>
      </c>
      <c r="B328" s="28" t="n">
        <v>38</v>
      </c>
      <c r="C328" s="28" t="n">
        <v>297</v>
      </c>
      <c r="D328" s="28" t="n">
        <v>38</v>
      </c>
      <c r="E328" s="28" t="n">
        <v>0</v>
      </c>
      <c r="F328" s="28" t="n">
        <v>98</v>
      </c>
      <c r="G328" s="28" t="n">
        <v>619</v>
      </c>
      <c r="H328" s="28" t="n">
        <v>5</v>
      </c>
      <c r="I328" s="28" t="n">
        <v>472</v>
      </c>
      <c r="J328" s="28" t="n">
        <v>458</v>
      </c>
      <c r="K328" s="28">
        <f>TABL12[[#This Row],[ (T/B) SAR]]+TABL12[[#This Row],[ (S/S) SAR]]</f>
        <v/>
      </c>
      <c r="L328" s="28" t="n">
        <v>311</v>
      </c>
      <c r="M328" s="29" t="n">
        <v>24.6</v>
      </c>
      <c r="N328" s="30" t="n">
        <v>7.33</v>
      </c>
      <c r="O328" s="39" t="n">
        <v>431</v>
      </c>
      <c r="P328" s="9">
        <f>TABL12[[#This Row],[ (S/S) SAR]]-TABL12[[#This Row],[(S/S) AJD]]</f>
        <v/>
      </c>
      <c r="Q328" s="9" t="n">
        <v>430</v>
      </c>
      <c r="R328" s="9">
        <f>TABL12[[#This Row],[ (T/B) SAR]]-TABL12[[#This Row],[(T/B) AJD]]</f>
        <v/>
      </c>
      <c r="S328" s="9">
        <f>TABL12[[#This Row],[S/S_CON.]]+TABL12[[#This Row],[T/B-CON.]]</f>
        <v/>
      </c>
      <c r="T328" s="9">
        <f>O328+Q328</f>
        <v/>
      </c>
      <c r="U328" s="9" t="n">
        <v>595</v>
      </c>
      <c r="V328" s="9" t="n">
        <v>195</v>
      </c>
      <c r="W328" s="9">
        <f>U328+V328</f>
        <v/>
      </c>
      <c r="X328" s="9">
        <f>T328-W328</f>
        <v/>
      </c>
      <c r="Y328" s="18" t="n">
        <v>92.282</v>
      </c>
      <c r="Z328" s="9" t="n">
        <v>366961</v>
      </c>
      <c r="AA328" s="9">
        <f>TABL12[[#This Row],[(RESV. STORGE) AJD]]/10</f>
        <v/>
      </c>
      <c r="AB328" s="3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32">
        <f>TABL12[[#This Row],[(A/S) AJD]]-TABL12[[#This Row],[SER_IN]]</f>
        <v/>
      </c>
    </row>
    <row r="329" ht="18.75" customHeight="1">
      <c r="A329" s="2" t="n">
        <v>45985</v>
      </c>
      <c r="B329" s="28" t="n">
        <v>39</v>
      </c>
      <c r="C329" s="28" t="n">
        <v>299</v>
      </c>
      <c r="D329" s="28" t="n">
        <v>39</v>
      </c>
      <c r="E329" s="28" t="n">
        <v>0</v>
      </c>
      <c r="F329" s="28" t="n">
        <v>98</v>
      </c>
      <c r="G329" s="28" t="n">
        <v>611</v>
      </c>
      <c r="H329" s="28" t="n">
        <v>5</v>
      </c>
      <c r="I329" s="28" t="n">
        <v>469</v>
      </c>
      <c r="J329" s="28" t="n">
        <v>456</v>
      </c>
      <c r="K329" s="28">
        <f>TABL12[[#This Row],[ (T/B) SAR]]+TABL12[[#This Row],[ (S/S) SAR]]</f>
        <v/>
      </c>
      <c r="L329" s="28" t="n">
        <v>314</v>
      </c>
      <c r="M329" s="29" t="n">
        <v>24.6</v>
      </c>
      <c r="N329" s="30" t="n">
        <v>7.28</v>
      </c>
      <c r="O329" s="40" t="n">
        <v>429</v>
      </c>
      <c r="P329" s="9">
        <f>TABL12[[#This Row],[ (S/S) SAR]]-TABL12[[#This Row],[(S/S) AJD]]</f>
        <v/>
      </c>
      <c r="Q329" s="9" t="n">
        <v>430</v>
      </c>
      <c r="R329" s="9">
        <f>TABL12[[#This Row],[ (T/B) SAR]]-TABL12[[#This Row],[(T/B) AJD]]</f>
        <v/>
      </c>
      <c r="S329" s="9">
        <f>TABL12[[#This Row],[S/S_CON.]]+TABL12[[#This Row],[T/B-CON.]]</f>
        <v/>
      </c>
      <c r="T329" s="9">
        <f>O329+Q329</f>
        <v/>
      </c>
      <c r="U329" s="9" t="n">
        <v>610</v>
      </c>
      <c r="V329" s="9" t="n">
        <v>204</v>
      </c>
      <c r="W329" s="9">
        <f>U329+V329</f>
        <v/>
      </c>
      <c r="X329" s="9">
        <f>T329-W329</f>
        <v/>
      </c>
      <c r="Y329" s="18" t="n">
        <v>92.33499999999999</v>
      </c>
      <c r="Z329" s="9" t="n">
        <v>396449</v>
      </c>
      <c r="AA329" s="9">
        <f>TABL12[[#This Row],[(RESV. STORGE) AJD]]/10</f>
        <v/>
      </c>
      <c r="AB329" s="3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32">
        <f>TABL12[[#This Row],[(A/S) AJD]]-TABL12[[#This Row],[SER_IN]]</f>
        <v/>
      </c>
    </row>
    <row r="330" ht="18.75" customHeight="1">
      <c r="A330" s="2" t="n">
        <v>45986</v>
      </c>
      <c r="B330" s="28" t="n">
        <v>39</v>
      </c>
      <c r="C330" s="28" t="n">
        <v>319</v>
      </c>
      <c r="D330" s="28" t="n">
        <v>39</v>
      </c>
      <c r="E330" s="28" t="n">
        <v>0</v>
      </c>
      <c r="F330" s="28" t="n">
        <v>98</v>
      </c>
      <c r="G330" s="28" t="n">
        <v>622</v>
      </c>
      <c r="H330" s="28" t="n">
        <v>5</v>
      </c>
      <c r="I330" s="28" t="n">
        <v>474</v>
      </c>
      <c r="J330" s="28" t="n">
        <v>460</v>
      </c>
      <c r="K330" s="28">
        <f>TABL12[[#This Row],[ (T/B) SAR]]+TABL12[[#This Row],[ (S/S) SAR]]</f>
        <v/>
      </c>
      <c r="L330" s="28" t="n">
        <v>312</v>
      </c>
      <c r="M330" s="29" t="n">
        <v>24.6</v>
      </c>
      <c r="N330" s="30" t="n">
        <v>7.3</v>
      </c>
      <c r="O330" s="39" t="n">
        <v>430</v>
      </c>
      <c r="P330" s="9">
        <f>TABL12[[#This Row],[ (S/S) SAR]]-TABL12[[#This Row],[(S/S) AJD]]</f>
        <v/>
      </c>
      <c r="Q330" s="9" t="n">
        <v>429</v>
      </c>
      <c r="R330" s="9">
        <f>TABL12[[#This Row],[ (T/B) SAR]]-TABL12[[#This Row],[(T/B) AJD]]</f>
        <v/>
      </c>
      <c r="S330" s="9">
        <f>TABL12[[#This Row],[S/S_CON.]]+TABL12[[#This Row],[T/B-CON.]]</f>
        <v/>
      </c>
      <c r="T330" s="9">
        <f>O330+Q330</f>
        <v/>
      </c>
      <c r="U330" s="9" t="n">
        <v>611</v>
      </c>
      <c r="V330" s="9" t="n">
        <v>202</v>
      </c>
      <c r="W330" s="9">
        <f>U330+V330</f>
        <v/>
      </c>
      <c r="X330" s="9">
        <f>T330-W330</f>
        <v/>
      </c>
      <c r="Y330" s="18" t="n">
        <v>92.34</v>
      </c>
      <c r="Z330" s="9" t="n">
        <v>402612</v>
      </c>
      <c r="AA330" s="9">
        <f>TABL12[[#This Row],[(RESV. STORGE) AJD]]/10</f>
        <v/>
      </c>
      <c r="AB330" s="3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32">
        <f>TABL12[[#This Row],[(A/S) AJD]]-TABL12[[#This Row],[SER_IN]]</f>
        <v/>
      </c>
    </row>
    <row r="331" ht="18.75" customHeight="1">
      <c r="A331" s="2" t="n">
        <v>45987</v>
      </c>
      <c r="B331" s="28" t="n">
        <v>39</v>
      </c>
      <c r="C331" s="28" t="n">
        <v>330</v>
      </c>
      <c r="D331" s="28" t="n">
        <v>39</v>
      </c>
      <c r="E331" s="28" t="n">
        <v>0</v>
      </c>
      <c r="F331" s="28" t="n">
        <v>99</v>
      </c>
      <c r="G331" s="28" t="n">
        <v>640</v>
      </c>
      <c r="H331" s="28" t="n">
        <v>4</v>
      </c>
      <c r="I331" s="28" t="n">
        <v>484</v>
      </c>
      <c r="J331" s="28" t="n">
        <v>469</v>
      </c>
      <c r="K331" s="28">
        <f>TABL12[[#This Row],[ (T/B) SAR]]+TABL12[[#This Row],[ (S/S) SAR]]</f>
        <v/>
      </c>
      <c r="L331" s="28" t="n">
        <v>313</v>
      </c>
      <c r="M331" s="29" t="n">
        <v>24.6</v>
      </c>
      <c r="N331" s="30" t="n">
        <v>7.34</v>
      </c>
      <c r="O331" s="40" t="n">
        <v>433</v>
      </c>
      <c r="P331" s="9">
        <f>TABL12[[#This Row],[ (S/S) SAR]]-TABL12[[#This Row],[(S/S) AJD]]</f>
        <v/>
      </c>
      <c r="Q331" s="9" t="n">
        <v>434</v>
      </c>
      <c r="R331" s="9">
        <f>TABL12[[#This Row],[ (T/B) SAR]]-TABL12[[#This Row],[(T/B) AJD]]</f>
        <v/>
      </c>
      <c r="S331" s="9">
        <f>TABL12[[#This Row],[S/S_CON.]]+TABL12[[#This Row],[T/B-CON.]]</f>
        <v/>
      </c>
      <c r="T331" s="9">
        <f>O331+Q331</f>
        <v/>
      </c>
      <c r="U331" s="9" t="n">
        <v>614</v>
      </c>
      <c r="V331" s="9" t="n">
        <v>205</v>
      </c>
      <c r="W331" s="9">
        <f>U331+V331</f>
        <v/>
      </c>
      <c r="X331" s="9">
        <f>T331-W331</f>
        <v/>
      </c>
      <c r="Y331" s="18" t="n">
        <v>92.393</v>
      </c>
      <c r="Z331" s="9" t="n">
        <v>432933</v>
      </c>
      <c r="AA331" s="9">
        <f>TABL12[[#This Row],[(RESV. STORGE) AJD]]/10</f>
        <v/>
      </c>
      <c r="AB331" s="3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32">
        <f>TABL12[[#This Row],[(A/S) AJD]]-TABL12[[#This Row],[SER_IN]]</f>
        <v/>
      </c>
    </row>
    <row r="332" ht="18.75" customHeight="1">
      <c r="A332" s="2" t="n">
        <v>45988</v>
      </c>
      <c r="B332" s="28" t="n">
        <v>39</v>
      </c>
      <c r="C332" s="28" t="n">
        <v>310</v>
      </c>
      <c r="D332" s="28" t="n">
        <v>39</v>
      </c>
      <c r="E332" s="28" t="n">
        <v>0</v>
      </c>
      <c r="F332" s="28" t="n">
        <v>99</v>
      </c>
      <c r="G332" s="28" t="n">
        <v>622</v>
      </c>
      <c r="H332" s="28" t="n">
        <v>4</v>
      </c>
      <c r="I332" s="28" t="n">
        <v>474</v>
      </c>
      <c r="J332" s="28" t="n">
        <v>460</v>
      </c>
      <c r="K332" s="28">
        <f>TABL12[[#This Row],[ (T/B) SAR]]+TABL12[[#This Row],[ (S/S) SAR]]</f>
        <v/>
      </c>
      <c r="L332" s="28" t="n">
        <v>312</v>
      </c>
      <c r="M332" s="29" t="n">
        <v>24.6</v>
      </c>
      <c r="N332" s="30" t="n">
        <v>7.35</v>
      </c>
      <c r="O332" s="39" t="n">
        <v>436</v>
      </c>
      <c r="P332" s="9">
        <f>TABL12[[#This Row],[ (S/S) SAR]]-TABL12[[#This Row],[(S/S) AJD]]</f>
        <v/>
      </c>
      <c r="Q332" s="9" t="n">
        <v>438</v>
      </c>
      <c r="R332" s="9">
        <f>TABL12[[#This Row],[ (T/B) SAR]]-TABL12[[#This Row],[(T/B) AJD]]</f>
        <v/>
      </c>
      <c r="S332" s="9">
        <f>TABL12[[#This Row],[S/S_CON.]]+TABL12[[#This Row],[T/B-CON.]]</f>
        <v/>
      </c>
      <c r="T332" s="9">
        <f>O332+Q332</f>
        <v/>
      </c>
      <c r="U332" s="9" t="n">
        <v>610</v>
      </c>
      <c r="V332" s="9" t="n">
        <v>239</v>
      </c>
      <c r="W332" s="9">
        <f>U332+V332</f>
        <v/>
      </c>
      <c r="X332" s="9">
        <f>T332-W332</f>
        <v/>
      </c>
      <c r="Y332" s="18" t="n">
        <v>92.417</v>
      </c>
      <c r="Z332" s="9" t="n">
        <v>447212</v>
      </c>
      <c r="AA332" s="9">
        <f>TABL12[[#This Row],[(RESV. STORGE) AJD]]/10</f>
        <v/>
      </c>
      <c r="AB332" s="3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32">
        <f>TABL12[[#This Row],[(A/S) AJD]]-TABL12[[#This Row],[SER_IN]]</f>
        <v/>
      </c>
    </row>
    <row r="333" ht="18.75" customHeight="1">
      <c r="A333" s="2" t="n">
        <v>45989</v>
      </c>
      <c r="B333" s="28" t="n">
        <v>39</v>
      </c>
      <c r="C333" s="28" t="n">
        <v>307</v>
      </c>
      <c r="D333" s="28" t="n">
        <v>39</v>
      </c>
      <c r="E333" s="28" t="n">
        <v>0</v>
      </c>
      <c r="F333" s="28" t="n">
        <v>99</v>
      </c>
      <c r="G333" s="28" t="n">
        <v>618</v>
      </c>
      <c r="H333" s="28" t="n">
        <v>4</v>
      </c>
      <c r="I333" s="28" t="n">
        <v>472</v>
      </c>
      <c r="J333" s="28" t="n">
        <v>458</v>
      </c>
      <c r="K333" s="28">
        <f>TABL12[[#This Row],[ (T/B) SAR]]+TABL12[[#This Row],[ (S/S) SAR]]</f>
        <v/>
      </c>
      <c r="L333" s="28" t="n">
        <v>312</v>
      </c>
      <c r="M333" s="29" t="n">
        <v>24.6</v>
      </c>
      <c r="N333" s="30" t="n">
        <v>7.38</v>
      </c>
      <c r="O333" s="40" t="n">
        <v>435</v>
      </c>
      <c r="P333" s="9">
        <f>TABL12[[#This Row],[ (S/S) SAR]]-TABL12[[#This Row],[(S/S) AJD]]</f>
        <v/>
      </c>
      <c r="Q333" s="9" t="n">
        <v>419</v>
      </c>
      <c r="R333" s="9">
        <f>TABL12[[#This Row],[ (T/B) SAR]]-TABL12[[#This Row],[(T/B) AJD]]</f>
        <v/>
      </c>
      <c r="S333" s="9">
        <f>TABL12[[#This Row],[S/S_CON.]]+TABL12[[#This Row],[T/B-CON.]]</f>
        <v/>
      </c>
      <c r="T333" s="9">
        <f>O333+Q333</f>
        <v/>
      </c>
      <c r="U333" s="9" t="n">
        <v>615</v>
      </c>
      <c r="V333" s="9" t="n">
        <v>268</v>
      </c>
      <c r="W333" s="9">
        <f>U333+V333</f>
        <v/>
      </c>
      <c r="X333" s="9">
        <f>T333-W333</f>
        <v/>
      </c>
      <c r="Y333" s="18" t="n">
        <v>92.32299999999999</v>
      </c>
      <c r="Z333" s="9" t="n">
        <v>392505</v>
      </c>
      <c r="AA333" s="9">
        <f>TABL12[[#This Row],[(RESV. STORGE) AJD]]/10</f>
        <v/>
      </c>
      <c r="AB333" s="3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32">
        <f>TABL12[[#This Row],[(A/S) AJD]]-TABL12[[#This Row],[SER_IN]]</f>
        <v/>
      </c>
    </row>
    <row r="334" ht="18.75" customHeight="1">
      <c r="A334" s="2" t="n">
        <v>45990</v>
      </c>
      <c r="B334" s="28" t="n">
        <v>38</v>
      </c>
      <c r="C334" s="28" t="n">
        <v>316</v>
      </c>
      <c r="D334" s="28" t="n">
        <v>38</v>
      </c>
      <c r="E334" s="28" t="n">
        <v>0</v>
      </c>
      <c r="F334" s="28" t="n">
        <v>99</v>
      </c>
      <c r="G334" s="28" t="n">
        <v>616</v>
      </c>
      <c r="H334" s="28" t="n">
        <v>4</v>
      </c>
      <c r="I334" s="28" t="n">
        <v>472</v>
      </c>
      <c r="J334" s="28" t="n">
        <v>458</v>
      </c>
      <c r="K334" s="28">
        <f>TABL12[[#This Row],[ (T/B) SAR]]+TABL12[[#This Row],[ (S/S) SAR]]</f>
        <v/>
      </c>
      <c r="L334" s="28" t="n">
        <v>314</v>
      </c>
      <c r="M334" s="29" t="n">
        <v>24.6</v>
      </c>
      <c r="N334" s="30" t="n">
        <v>7.37</v>
      </c>
      <c r="O334" s="39" t="n">
        <v>431</v>
      </c>
      <c r="P334" s="9">
        <f>TABL12[[#This Row],[ (S/S) SAR]]-TABL12[[#This Row],[(S/S) AJD]]</f>
        <v/>
      </c>
      <c r="Q334" s="9" t="n">
        <v>430</v>
      </c>
      <c r="R334" s="9">
        <f>TABL12[[#This Row],[ (T/B) SAR]]-TABL12[[#This Row],[(T/B) AJD]]</f>
        <v/>
      </c>
      <c r="S334" s="9">
        <f>TABL12[[#This Row],[S/S_CON.]]+TABL12[[#This Row],[T/B-CON.]]</f>
        <v/>
      </c>
      <c r="T334" s="9">
        <f>O334+Q334</f>
        <v/>
      </c>
      <c r="U334" s="9" t="n">
        <v>605</v>
      </c>
      <c r="V334" s="9" t="n">
        <v>287</v>
      </c>
      <c r="W334" s="9">
        <f>U334+V334</f>
        <v/>
      </c>
      <c r="X334" s="9">
        <f>T334-W334</f>
        <v/>
      </c>
      <c r="Y334" s="18" t="n">
        <v>92.25</v>
      </c>
      <c r="Z334" s="9" t="n">
        <v>346186</v>
      </c>
      <c r="AA334" s="9">
        <f>TABL12[[#This Row],[(RESV. STORGE) AJD]]/10</f>
        <v/>
      </c>
      <c r="AB334" s="3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32">
        <f>TABL12[[#This Row],[(A/S) AJD]]-TABL12[[#This Row],[SER_IN]]</f>
        <v/>
      </c>
    </row>
    <row r="335" ht="18.75" customHeight="1">
      <c r="A335" s="2" t="n">
        <v>45991</v>
      </c>
      <c r="B335" s="28" t="n">
        <v>39</v>
      </c>
      <c r="C335" s="28" t="n">
        <v>311</v>
      </c>
      <c r="D335" s="28" t="n">
        <v>39</v>
      </c>
      <c r="E335" s="28" t="n">
        <v>0</v>
      </c>
      <c r="F335" s="28" t="n">
        <v>99</v>
      </c>
      <c r="G335" s="28" t="n">
        <v>613</v>
      </c>
      <c r="H335" s="28" t="n">
        <v>4</v>
      </c>
      <c r="I335" s="28" t="n">
        <v>471</v>
      </c>
      <c r="J335" s="28" t="n">
        <v>457</v>
      </c>
      <c r="K335" s="28">
        <f>TABL12[[#This Row],[ (T/B) SAR]]+TABL12[[#This Row],[ (S/S) SAR]]</f>
        <v/>
      </c>
      <c r="L335" s="28" t="n">
        <v>315</v>
      </c>
      <c r="M335" s="29" t="n">
        <v>24.7</v>
      </c>
      <c r="N335" s="30" t="n">
        <v>7.42</v>
      </c>
      <c r="O335" s="40" t="n">
        <v>430</v>
      </c>
      <c r="P335" s="9">
        <f>TABL12[[#This Row],[ (S/S) SAR]]-TABL12[[#This Row],[(S/S) AJD]]</f>
        <v/>
      </c>
      <c r="Q335" s="9" t="n">
        <v>430</v>
      </c>
      <c r="R335" s="9">
        <f>TABL12[[#This Row],[ (T/B) SAR]]-TABL12[[#This Row],[(T/B) AJD]]</f>
        <v/>
      </c>
      <c r="S335" s="9">
        <f>TABL12[[#This Row],[S/S_CON.]]+TABL12[[#This Row],[T/B-CON.]]</f>
        <v/>
      </c>
      <c r="T335" s="9">
        <f>O335+Q335</f>
        <v/>
      </c>
      <c r="U335" s="9" t="n">
        <v>603</v>
      </c>
      <c r="V335" s="9" t="n">
        <v>247</v>
      </c>
      <c r="W335" s="9">
        <f>U335+V335</f>
        <v/>
      </c>
      <c r="X335" s="9">
        <f>T335-W335</f>
        <v/>
      </c>
      <c r="Y335" s="18" t="n">
        <v>92.255</v>
      </c>
      <c r="Z335" s="9" t="n">
        <v>350929</v>
      </c>
      <c r="AA335" s="9">
        <f>TABL12[[#This Row],[(RESV. STORGE) AJD]]/10</f>
        <v/>
      </c>
      <c r="AB335" s="3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32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28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">
        <f>TABL12[[#This Row],[ (S/S) SAR]]-TABL12[[#This Row],[(S/S) AJD]]</f>
        <v/>
      </c>
      <c r="Q336" s="39" t="n">
        <v>423</v>
      </c>
      <c r="R336" s="9">
        <f>TABL12[[#This Row],[ (T/B) SAR]]-TABL12[[#This Row],[(T/B) AJD]]</f>
        <v/>
      </c>
      <c r="S336" s="9">
        <f>TABL12[[#This Row],[S/S_CON.]]+TABL12[[#This Row],[T/B-CON.]]</f>
        <v/>
      </c>
      <c r="T336" s="9">
        <f>O336+Q336</f>
        <v/>
      </c>
      <c r="U336" s="41" t="n">
        <v>525</v>
      </c>
      <c r="V336" s="41" t="n">
        <v>89</v>
      </c>
      <c r="W336" s="9">
        <f>U336+V336</f>
        <v/>
      </c>
      <c r="X336" s="9">
        <f>T336-W336</f>
        <v/>
      </c>
      <c r="Y336" s="41" t="n">
        <v>92.22499999999999</v>
      </c>
      <c r="Z336" s="43" t="n">
        <v>333123</v>
      </c>
      <c r="AA336" s="9">
        <f>TABL12[[#This Row],[(RESV. STORGE) AJD]]/10</f>
        <v/>
      </c>
      <c r="AB336" s="3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32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28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">
        <f>TABL12[[#This Row],[ (S/S) SAR]]-TABL12[[#This Row],[(S/S) AJD]]</f>
        <v/>
      </c>
      <c r="Q337" s="40" t="n">
        <v>424</v>
      </c>
      <c r="R337" s="9">
        <f>TABL12[[#This Row],[ (T/B) SAR]]-TABL12[[#This Row],[(T/B) AJD]]</f>
        <v/>
      </c>
      <c r="S337" s="9">
        <f>TABL12[[#This Row],[S/S_CON.]]+TABL12[[#This Row],[T/B-CON.]]</f>
        <v/>
      </c>
      <c r="T337" s="9">
        <f>O337+Q337</f>
        <v/>
      </c>
      <c r="U337" s="44" t="n">
        <v>601</v>
      </c>
      <c r="V337" s="44" t="n">
        <v>234</v>
      </c>
      <c r="W337" s="9">
        <f>U337+V337</f>
        <v/>
      </c>
      <c r="X337" s="9">
        <f>T337-W337</f>
        <v/>
      </c>
      <c r="Y337" s="44" t="n">
        <v>92.205</v>
      </c>
      <c r="Z337" s="45" t="n">
        <v>321262</v>
      </c>
      <c r="AA337" s="9">
        <f>TABL12[[#This Row],[(RESV. STORGE) AJD]]/10</f>
        <v/>
      </c>
      <c r="AB337" s="3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32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28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">
        <f>TABL12[[#This Row],[ (S/S) SAR]]-TABL12[[#This Row],[(S/S) AJD]]</f>
        <v/>
      </c>
      <c r="Q338" s="39" t="n">
        <v>428</v>
      </c>
      <c r="R338" s="9">
        <f>TABL12[[#This Row],[ (T/B) SAR]]-TABL12[[#This Row],[(T/B) AJD]]</f>
        <v/>
      </c>
      <c r="S338" s="9">
        <f>TABL12[[#This Row],[S/S_CON.]]+TABL12[[#This Row],[T/B-CON.]]</f>
        <v/>
      </c>
      <c r="T338" s="9">
        <f>O338+Q338</f>
        <v/>
      </c>
      <c r="U338" s="41" t="n">
        <v>603</v>
      </c>
      <c r="V338" s="41" t="n">
        <v>243</v>
      </c>
      <c r="W338" s="9">
        <f>U338+V338</f>
        <v/>
      </c>
      <c r="X338" s="9">
        <f>T338-W338</f>
        <v/>
      </c>
      <c r="Y338" s="41" t="n">
        <v>92.193</v>
      </c>
      <c r="Z338" s="43" t="n">
        <v>314140</v>
      </c>
      <c r="AA338" s="9">
        <f>TABL12[[#This Row],[(RESV. STORGE) AJD]]/10</f>
        <v/>
      </c>
      <c r="AB338" s="3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32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28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">
        <f>TABL12[[#This Row],[ (S/S) SAR]]-TABL12[[#This Row],[(S/S) AJD]]</f>
        <v/>
      </c>
      <c r="Q339" s="40" t="n">
        <v>446</v>
      </c>
      <c r="R339" s="9">
        <f>TABL12[[#This Row],[ (T/B) SAR]]-TABL12[[#This Row],[(T/B) AJD]]</f>
        <v/>
      </c>
      <c r="S339" s="9">
        <f>TABL12[[#This Row],[S/S_CON.]]+TABL12[[#This Row],[T/B-CON.]]</f>
        <v/>
      </c>
      <c r="T339" s="9">
        <f>O339+Q339</f>
        <v/>
      </c>
      <c r="U339" s="44" t="n">
        <v>583</v>
      </c>
      <c r="V339" s="47" t="n">
        <v>107</v>
      </c>
      <c r="W339" s="9">
        <f>U339+V339</f>
        <v/>
      </c>
      <c r="X339" s="9">
        <f>T339-W339</f>
        <v/>
      </c>
      <c r="Y339" s="44" t="n">
        <v>92.155</v>
      </c>
      <c r="Z339" s="45" t="n">
        <v>291604</v>
      </c>
      <c r="AA339" s="9">
        <f>TABL12[[#This Row],[(RESV. STORGE) AJD]]/10</f>
        <v/>
      </c>
      <c r="AB339" s="3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32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28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">
        <f>TABL12[[#This Row],[ (S/S) SAR]]-TABL12[[#This Row],[(S/S) AJD]]</f>
        <v/>
      </c>
      <c r="Q340" s="39" t="n">
        <v>430</v>
      </c>
      <c r="R340" s="9">
        <f>TABL12[[#This Row],[ (T/B) SAR]]-TABL12[[#This Row],[(T/B) AJD]]</f>
        <v/>
      </c>
      <c r="S340" s="9">
        <f>TABL12[[#This Row],[S/S_CON.]]+TABL12[[#This Row],[T/B-CON.]]</f>
        <v/>
      </c>
      <c r="T340" s="9">
        <f>O340+Q340</f>
        <v/>
      </c>
      <c r="U340" s="41" t="n">
        <v>594</v>
      </c>
      <c r="V340" s="41" t="n">
        <v>253</v>
      </c>
      <c r="W340" s="9">
        <f>U340+V340</f>
        <v/>
      </c>
      <c r="X340" s="9">
        <f>T340-W340</f>
        <v/>
      </c>
      <c r="Y340" s="41" t="n">
        <v>92.163</v>
      </c>
      <c r="Z340" s="43" t="n">
        <v>294349</v>
      </c>
      <c r="AA340" s="9">
        <f>TABL12[[#This Row],[(RESV. STORGE) AJD]]/10</f>
        <v/>
      </c>
      <c r="AB340" s="3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32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28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">
        <f>TABL12[[#This Row],[ (S/S) SAR]]-TABL12[[#This Row],[(S/S) AJD]]</f>
        <v/>
      </c>
      <c r="Q341" s="40" t="n">
        <v>434</v>
      </c>
      <c r="R341" s="9">
        <f>TABL12[[#This Row],[ (T/B) SAR]]-TABL12[[#This Row],[(T/B) AJD]]</f>
        <v/>
      </c>
      <c r="S341" s="9">
        <f>TABL12[[#This Row],[S/S_CON.]]+TABL12[[#This Row],[T/B-CON.]]</f>
        <v/>
      </c>
      <c r="T341" s="9">
        <f>O341+Q341</f>
        <v/>
      </c>
      <c r="U341" s="44" t="n">
        <v>597</v>
      </c>
      <c r="V341" s="44" t="n">
        <v>238</v>
      </c>
      <c r="W341" s="9">
        <f>U341+V341</f>
        <v/>
      </c>
      <c r="X341" s="9">
        <f>T341-W341</f>
        <v/>
      </c>
      <c r="Y341" s="44" t="n">
        <v>92.208</v>
      </c>
      <c r="Z341" s="45" t="n">
        <v>321259</v>
      </c>
      <c r="AA341" s="9">
        <f>TABL12[[#This Row],[(RESV. STORGE) AJD]]/10</f>
        <v/>
      </c>
      <c r="AB341" s="3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32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28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">
        <f>TABL12[[#This Row],[ (S/S) SAR]]-TABL12[[#This Row],[(S/S) AJD]]</f>
        <v/>
      </c>
      <c r="Q342" s="39" t="n">
        <v>432</v>
      </c>
      <c r="R342" s="9">
        <f>TABL12[[#This Row],[ (T/B) SAR]]-TABL12[[#This Row],[(T/B) AJD]]</f>
        <v/>
      </c>
      <c r="S342" s="9">
        <f>TABL12[[#This Row],[S/S_CON.]]+TABL12[[#This Row],[T/B-CON.]]</f>
        <v/>
      </c>
      <c r="T342" s="9">
        <f>O342+Q342</f>
        <v/>
      </c>
      <c r="U342" s="41" t="n">
        <v>599</v>
      </c>
      <c r="V342" s="41" t="n">
        <v>252</v>
      </c>
      <c r="W342" s="9">
        <f>U342+V342</f>
        <v/>
      </c>
      <c r="X342" s="9">
        <f>T342-W342</f>
        <v/>
      </c>
      <c r="Y342" s="41" t="n">
        <v>92.17</v>
      </c>
      <c r="Z342" s="43" t="n">
        <v>300498</v>
      </c>
      <c r="AA342" s="9">
        <f>TABL12[[#This Row],[(RESV. STORGE) AJD]]/10</f>
        <v/>
      </c>
      <c r="AB342" s="3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32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28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">
        <f>TABL12[[#This Row],[ (S/S) SAR]]-TABL12[[#This Row],[(S/S) AJD]]</f>
        <v/>
      </c>
      <c r="Q343" s="40" t="n">
        <v>432</v>
      </c>
      <c r="R343" s="9">
        <f>TABL12[[#This Row],[ (T/B) SAR]]-TABL12[[#This Row],[(T/B) AJD]]</f>
        <v/>
      </c>
      <c r="S343" s="9">
        <f>TABL12[[#This Row],[S/S_CON.]]+TABL12[[#This Row],[T/B-CON.]]</f>
        <v/>
      </c>
      <c r="T343" s="9">
        <f>O343+Q343</f>
        <v/>
      </c>
      <c r="U343" s="44" t="n">
        <v>605</v>
      </c>
      <c r="V343" s="44" t="n">
        <v>214</v>
      </c>
      <c r="W343" s="9">
        <f>U343+V343</f>
        <v/>
      </c>
      <c r="X343" s="9">
        <f>T343-W343</f>
        <v/>
      </c>
      <c r="Y343" s="44" t="n">
        <v>92.23</v>
      </c>
      <c r="Z343" s="45" t="n">
        <v>336094</v>
      </c>
      <c r="AA343" s="9">
        <f>TABL12[[#This Row],[(RESV. STORGE) AJD]]/10</f>
        <v/>
      </c>
      <c r="AB343" s="3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32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28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">
        <f>TABL12[[#This Row],[ (S/S) SAR]]-TABL12[[#This Row],[(S/S) AJD]]</f>
        <v/>
      </c>
      <c r="Q344" s="39" t="n">
        <v>433</v>
      </c>
      <c r="R344" s="9">
        <f>TABL12[[#This Row],[ (T/B) SAR]]-TABL12[[#This Row],[(T/B) AJD]]</f>
        <v/>
      </c>
      <c r="S344" s="9">
        <f>TABL12[[#This Row],[S/S_CON.]]+TABL12[[#This Row],[T/B-CON.]]</f>
        <v/>
      </c>
      <c r="T344" s="9">
        <f>O344+Q344</f>
        <v/>
      </c>
      <c r="U344" s="41" t="n">
        <v>596</v>
      </c>
      <c r="V344" s="41" t="n">
        <v>238</v>
      </c>
      <c r="W344" s="9">
        <f>U344+V344</f>
        <v/>
      </c>
      <c r="X344" s="9">
        <f>T344-W344</f>
        <v/>
      </c>
      <c r="Y344" s="41" t="n">
        <v>92.28</v>
      </c>
      <c r="Z344" s="43" t="n">
        <v>365775</v>
      </c>
      <c r="AA344" s="9">
        <f>TABL12[[#This Row],[(RESV. STORGE) AJD]]/10</f>
        <v/>
      </c>
      <c r="AB344" s="3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32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28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">
        <f>TABL12[[#This Row],[ (S/S) SAR]]-TABL12[[#This Row],[(S/S) AJD]]</f>
        <v/>
      </c>
      <c r="Q345" s="40" t="n">
        <v>435</v>
      </c>
      <c r="R345" s="9">
        <f>TABL12[[#This Row],[ (T/B) SAR]]-TABL12[[#This Row],[(T/B) AJD]]</f>
        <v/>
      </c>
      <c r="S345" s="9">
        <f>TABL12[[#This Row],[S/S_CON.]]+TABL12[[#This Row],[T/B-CON.]]</f>
        <v/>
      </c>
      <c r="T345" s="9">
        <f>O345+Q345</f>
        <v/>
      </c>
      <c r="U345" s="44" t="n">
        <v>603</v>
      </c>
      <c r="V345" s="44" t="n">
        <v>183</v>
      </c>
      <c r="W345" s="9">
        <f>U345+V345</f>
        <v/>
      </c>
      <c r="X345" s="9">
        <f>T345-W345</f>
        <v/>
      </c>
      <c r="Y345" s="44" t="n">
        <v>92.34</v>
      </c>
      <c r="Z345" s="45" t="n">
        <v>401419</v>
      </c>
      <c r="AA345" s="9">
        <f>TABL12[[#This Row],[(RESV. STORGE) AJD]]/10</f>
        <v/>
      </c>
      <c r="AB345" s="3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32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28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">
        <f>TABL12[[#This Row],[ (S/S) SAR]]-TABL12[[#This Row],[(S/S) AJD]]</f>
        <v/>
      </c>
      <c r="Q346" s="39" t="n">
        <v>435</v>
      </c>
      <c r="R346" s="9">
        <f>TABL12[[#This Row],[ (T/B) SAR]]-TABL12[[#This Row],[(T/B) AJD]]</f>
        <v/>
      </c>
      <c r="S346" s="9">
        <f>TABL12[[#This Row],[S/S_CON.]]+TABL12[[#This Row],[T/B-CON.]]</f>
        <v/>
      </c>
      <c r="T346" s="9">
        <f>O346+Q346</f>
        <v/>
      </c>
      <c r="U346" s="41" t="n">
        <v>602</v>
      </c>
      <c r="V346" s="41" t="n">
        <v>228</v>
      </c>
      <c r="W346" s="9">
        <f>U346+V346</f>
        <v/>
      </c>
      <c r="X346" s="9">
        <f>T346-W346</f>
        <v/>
      </c>
      <c r="Y346" s="41" t="n">
        <v>92.358</v>
      </c>
      <c r="Z346" s="43" t="n">
        <v>412122</v>
      </c>
      <c r="AA346" s="9">
        <f>TABL12[[#This Row],[(RESV. STORGE) AJD]]/10</f>
        <v/>
      </c>
      <c r="AB346" s="3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32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28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">
        <f>TABL12[[#This Row],[ (S/S) SAR]]-TABL12[[#This Row],[(S/S) AJD]]</f>
        <v/>
      </c>
      <c r="Q347" s="40" t="n">
        <v>436</v>
      </c>
      <c r="R347" s="9">
        <f>TABL12[[#This Row],[ (T/B) SAR]]-TABL12[[#This Row],[(T/B) AJD]]</f>
        <v/>
      </c>
      <c r="S347" s="9">
        <f>TABL12[[#This Row],[S/S_CON.]]+TABL12[[#This Row],[T/B-CON.]]</f>
        <v/>
      </c>
      <c r="T347" s="9">
        <f>O347+Q347</f>
        <v/>
      </c>
      <c r="U347" s="44" t="n">
        <v>601</v>
      </c>
      <c r="V347" s="44" t="n">
        <v>258</v>
      </c>
      <c r="W347" s="9">
        <f>U347+V347</f>
        <v/>
      </c>
      <c r="X347" s="9">
        <f>T347-W347</f>
        <v/>
      </c>
      <c r="Y347" s="44" t="n">
        <v>92.34699999999999</v>
      </c>
      <c r="Z347" s="45" t="n">
        <v>405582</v>
      </c>
      <c r="AA347" s="9">
        <f>TABL12[[#This Row],[(RESV. STORGE) AJD]]/10</f>
        <v/>
      </c>
      <c r="AB347" s="3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32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28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">
        <f>TABL12[[#This Row],[ (S/S) SAR]]-TABL12[[#This Row],[(S/S) AJD]]</f>
        <v/>
      </c>
      <c r="Q348" s="39" t="n">
        <v>440</v>
      </c>
      <c r="R348" s="9">
        <f>TABL12[[#This Row],[ (T/B) SAR]]-TABL12[[#This Row],[(T/B) AJD]]</f>
        <v/>
      </c>
      <c r="S348" s="9">
        <f>TABL12[[#This Row],[S/S_CON.]]+TABL12[[#This Row],[T/B-CON.]]</f>
        <v/>
      </c>
      <c r="T348" s="9">
        <f>O348+Q348</f>
        <v/>
      </c>
      <c r="U348" s="41" t="n">
        <v>603</v>
      </c>
      <c r="V348" s="41" t="n">
        <v>274</v>
      </c>
      <c r="W348" s="9">
        <f>U348+V348</f>
        <v/>
      </c>
      <c r="X348" s="9">
        <f>T348-W348</f>
        <v/>
      </c>
      <c r="Y348" s="41" t="n">
        <v>92.30200000000001</v>
      </c>
      <c r="Z348" s="43" t="n">
        <v>378843</v>
      </c>
      <c r="AA348" s="9">
        <f>TABL12[[#This Row],[(RESV. STORGE) AJD]]/10</f>
        <v/>
      </c>
      <c r="AB348" s="3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32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28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">
        <f>TABL12[[#This Row],[ (S/S) SAR]]-TABL12[[#This Row],[(S/S) AJD]]</f>
        <v/>
      </c>
      <c r="Q349" s="40" t="n">
        <v>438</v>
      </c>
      <c r="R349" s="9">
        <f>TABL12[[#This Row],[ (T/B) SAR]]-TABL12[[#This Row],[(T/B) AJD]]</f>
        <v/>
      </c>
      <c r="S349" s="9">
        <f>TABL12[[#This Row],[S/S_CON.]]+TABL12[[#This Row],[T/B-CON.]]</f>
        <v/>
      </c>
      <c r="T349" s="9">
        <f>O349+Q349</f>
        <v/>
      </c>
      <c r="U349" s="44" t="n">
        <v>605</v>
      </c>
      <c r="V349" s="44" t="n">
        <v>241</v>
      </c>
      <c r="W349" s="9">
        <f>U349+V349</f>
        <v/>
      </c>
      <c r="X349" s="9">
        <f>T349-W349</f>
        <v/>
      </c>
      <c r="Y349" s="44" t="n">
        <v>92.312</v>
      </c>
      <c r="Z349" s="45" t="n">
        <v>386567</v>
      </c>
      <c r="AA349" s="9">
        <f>TABL12[[#This Row],[(RESV. STORGE) AJD]]/10</f>
        <v/>
      </c>
      <c r="AB349" s="3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32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28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">
        <f>TABL12[[#This Row],[ (S/S) SAR]]-TABL12[[#This Row],[(S/S) AJD]]</f>
        <v/>
      </c>
      <c r="Q350" s="39" t="n">
        <v>436</v>
      </c>
      <c r="R350" s="9">
        <f>TABL12[[#This Row],[ (T/B) SAR]]-TABL12[[#This Row],[(T/B) AJD]]</f>
        <v/>
      </c>
      <c r="S350" s="9">
        <f>TABL12[[#This Row],[S/S_CON.]]+TABL12[[#This Row],[T/B-CON.]]</f>
        <v/>
      </c>
      <c r="T350" s="9">
        <f>O350+Q350</f>
        <v/>
      </c>
      <c r="U350" s="41" t="n">
        <v>600</v>
      </c>
      <c r="V350" s="41" t="n">
        <v>234</v>
      </c>
      <c r="W350" s="9">
        <f>U350+V350</f>
        <v/>
      </c>
      <c r="X350" s="9">
        <f>T350-W350</f>
        <v/>
      </c>
      <c r="Y350" s="41" t="n">
        <v>92.34</v>
      </c>
      <c r="Z350" s="43" t="n">
        <v>401419</v>
      </c>
      <c r="AA350" s="9">
        <f>TABL12[[#This Row],[(RESV. STORGE) AJD]]/10</f>
        <v/>
      </c>
      <c r="AB350" s="3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32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28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">
        <f>TABL12[[#This Row],[ (S/S) SAR]]-TABL12[[#This Row],[(S/S) AJD]]</f>
        <v/>
      </c>
      <c r="Q351" s="40" t="n">
        <v>437</v>
      </c>
      <c r="R351" s="9">
        <f>TABL12[[#This Row],[ (T/B) SAR]]-TABL12[[#This Row],[(T/B) AJD]]</f>
        <v/>
      </c>
      <c r="S351" s="9">
        <f>TABL12[[#This Row],[S/S_CON.]]+TABL12[[#This Row],[T/B-CON.]]</f>
        <v/>
      </c>
      <c r="T351" s="9">
        <f>O351+Q351</f>
        <v/>
      </c>
      <c r="U351" s="44" t="n">
        <v>606</v>
      </c>
      <c r="V351" s="44" t="n">
        <v>242</v>
      </c>
      <c r="W351" s="9">
        <f>U351+V351</f>
        <v/>
      </c>
      <c r="X351" s="9">
        <f>T351-W351</f>
        <v/>
      </c>
      <c r="Y351" s="44" t="n">
        <v>92.34699999999999</v>
      </c>
      <c r="Z351" s="45" t="n">
        <v>407365</v>
      </c>
      <c r="AA351" s="9">
        <f>TABL12[[#This Row],[(RESV. STORGE) AJD]]/10</f>
        <v/>
      </c>
      <c r="AB351" s="3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32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28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">
        <f>TABL12[[#This Row],[ (S/S) SAR]]-TABL12[[#This Row],[(S/S) AJD]]</f>
        <v/>
      </c>
      <c r="Q352" s="39" t="n">
        <v>437</v>
      </c>
      <c r="R352" s="9">
        <f>TABL12[[#This Row],[ (T/B) SAR]]-TABL12[[#This Row],[(T/B) AJD]]</f>
        <v/>
      </c>
      <c r="S352" s="9">
        <f>TABL12[[#This Row],[S/S_CON.]]+TABL12[[#This Row],[T/B-CON.]]</f>
        <v/>
      </c>
      <c r="T352" s="9">
        <f>O352+Q352</f>
        <v/>
      </c>
      <c r="U352" s="41" t="n">
        <v>598</v>
      </c>
      <c r="V352" s="41" t="n">
        <v>240</v>
      </c>
      <c r="W352" s="9">
        <f>U352+V352</f>
        <v/>
      </c>
      <c r="X352" s="9">
        <f>T352-W352</f>
        <v/>
      </c>
      <c r="Y352" s="41" t="n">
        <v>92.363</v>
      </c>
      <c r="Z352" s="43" t="n">
        <v>414499</v>
      </c>
      <c r="AA352" s="9">
        <f>TABL12[[#This Row],[(RESV. STORGE) AJD]]/10</f>
        <v/>
      </c>
      <c r="AB352" s="3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32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28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">
        <f>TABL12[[#This Row],[ (S/S) SAR]]-TABL12[[#This Row],[(S/S) AJD]]</f>
        <v/>
      </c>
      <c r="Q353" s="40" t="n">
        <v>438</v>
      </c>
      <c r="R353" s="9">
        <f>TABL12[[#This Row],[ (T/B) SAR]]-TABL12[[#This Row],[(T/B) AJD]]</f>
        <v/>
      </c>
      <c r="S353" s="9">
        <f>TABL12[[#This Row],[S/S_CON.]]+TABL12[[#This Row],[T/B-CON.]]</f>
        <v/>
      </c>
      <c r="T353" s="9">
        <f>O353+Q353</f>
        <v/>
      </c>
      <c r="U353" s="44" t="n">
        <v>600</v>
      </c>
      <c r="V353" s="44" t="n">
        <v>242</v>
      </c>
      <c r="W353" s="9">
        <f>U353+V353</f>
        <v/>
      </c>
      <c r="X353" s="9">
        <f>T353-W353</f>
        <v/>
      </c>
      <c r="Y353" s="44" t="n">
        <v>92.377</v>
      </c>
      <c r="Z353" s="45" t="n">
        <v>423418</v>
      </c>
      <c r="AA353" s="9">
        <f>TABL12[[#This Row],[(RESV. STORGE) AJD]]/10</f>
        <v/>
      </c>
      <c r="AB353" s="3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32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28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">
        <f>TABL12[[#This Row],[ (S/S) SAR]]-TABL12[[#This Row],[(S/S) AJD]]</f>
        <v/>
      </c>
      <c r="Q354" s="39" t="n">
        <v>438</v>
      </c>
      <c r="R354" s="9">
        <f>TABL12[[#This Row],[ (T/B) SAR]]-TABL12[[#This Row],[(T/B) AJD]]</f>
        <v/>
      </c>
      <c r="S354" s="9">
        <f>TABL12[[#This Row],[S/S_CON.]]+TABL12[[#This Row],[T/B-CON.]]</f>
        <v/>
      </c>
      <c r="T354" s="9">
        <f>O354+Q354</f>
        <v/>
      </c>
      <c r="U354" s="41" t="n">
        <v>599</v>
      </c>
      <c r="V354" s="41" t="n">
        <v>250</v>
      </c>
      <c r="W354" s="9">
        <f>U354+V354</f>
        <v/>
      </c>
      <c r="X354" s="9">
        <f>T354-W354</f>
        <v/>
      </c>
      <c r="Y354" s="41" t="n">
        <v>92.38500000000001</v>
      </c>
      <c r="Z354" s="43" t="n">
        <v>428177</v>
      </c>
      <c r="AA354" s="9">
        <f>TABL12[[#This Row],[(RESV. STORGE) AJD]]/10</f>
        <v/>
      </c>
      <c r="AB354" s="3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32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28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">
        <f>TABL12[[#This Row],[ (S/S) SAR]]-TABL12[[#This Row],[(S/S) AJD]]</f>
        <v/>
      </c>
      <c r="Q355" s="40" t="n">
        <v>439</v>
      </c>
      <c r="R355" s="9">
        <f>TABL12[[#This Row],[ (T/B) SAR]]-TABL12[[#This Row],[(T/B) AJD]]</f>
        <v/>
      </c>
      <c r="S355" s="9">
        <f>TABL12[[#This Row],[S/S_CON.]]+TABL12[[#This Row],[T/B-CON.]]</f>
        <v/>
      </c>
      <c r="T355" s="9">
        <f>O355+Q355</f>
        <v/>
      </c>
      <c r="U355" s="44" t="n">
        <v>591</v>
      </c>
      <c r="V355" s="44" t="n">
        <v>246</v>
      </c>
      <c r="W355" s="9">
        <f>U355+V355</f>
        <v/>
      </c>
      <c r="X355" s="9">
        <f>T355-W355</f>
        <v/>
      </c>
      <c r="Y355" s="44" t="n">
        <v>92.42700000000001</v>
      </c>
      <c r="Z355" s="45" t="n">
        <v>453163</v>
      </c>
      <c r="AA355" s="9">
        <f>TABL12[[#This Row],[(RESV. STORGE) AJD]]/10</f>
        <v/>
      </c>
      <c r="AB355" s="3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32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28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">
        <f>TABL12[[#This Row],[ (S/S) SAR]]-TABL12[[#This Row],[(S/S) AJD]]</f>
        <v/>
      </c>
      <c r="Q356" s="39" t="n">
        <v>437</v>
      </c>
      <c r="R356" s="9">
        <f>TABL12[[#This Row],[ (T/B) SAR]]-TABL12[[#This Row],[(T/B) AJD]]</f>
        <v/>
      </c>
      <c r="S356" s="9">
        <f>TABL12[[#This Row],[S/S_CON.]]+TABL12[[#This Row],[T/B-CON.]]</f>
        <v/>
      </c>
      <c r="T356" s="9">
        <f>O356+Q356</f>
        <v/>
      </c>
      <c r="U356" s="41" t="n">
        <v>594</v>
      </c>
      <c r="V356" s="41" t="n">
        <v>239</v>
      </c>
      <c r="W356" s="9">
        <f>U356+V356</f>
        <v/>
      </c>
      <c r="X356" s="9">
        <f>T356-W356</f>
        <v/>
      </c>
      <c r="Y356" s="41" t="n">
        <v>92.47199999999999</v>
      </c>
      <c r="Z356" s="43" t="n">
        <v>479956</v>
      </c>
      <c r="AA356" s="9">
        <f>TABL12[[#This Row],[(RESV. STORGE) AJD]]/10</f>
        <v/>
      </c>
      <c r="AB356" s="3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32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28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">
        <f>TABL12[[#This Row],[ (S/S) SAR]]-TABL12[[#This Row],[(S/S) AJD]]</f>
        <v/>
      </c>
      <c r="Q357" s="40" t="n">
        <v>438</v>
      </c>
      <c r="R357" s="9">
        <f>TABL12[[#This Row],[ (T/B) SAR]]-TABL12[[#This Row],[(T/B) AJD]]</f>
        <v/>
      </c>
      <c r="S357" s="9">
        <f>TABL12[[#This Row],[S/S_CON.]]+TABL12[[#This Row],[T/B-CON.]]</f>
        <v/>
      </c>
      <c r="T357" s="9">
        <f>O357+Q357</f>
        <v/>
      </c>
      <c r="U357" s="44" t="n">
        <v>593</v>
      </c>
      <c r="V357" s="44" t="n">
        <v>245</v>
      </c>
      <c r="W357" s="9">
        <f>U357+V357</f>
        <v/>
      </c>
      <c r="X357" s="9">
        <f>T357-W357</f>
        <v/>
      </c>
      <c r="Y357" s="44" t="n">
        <v>92.485</v>
      </c>
      <c r="Z357" s="45" t="n">
        <v>487691</v>
      </c>
      <c r="AA357" s="9">
        <f>TABL12[[#This Row],[(RESV. STORGE) AJD]]/10</f>
        <v/>
      </c>
      <c r="AB357" s="3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32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28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">
        <f>TABL12[[#This Row],[ (S/S) SAR]]-TABL12[[#This Row],[(S/S) AJD]]</f>
        <v/>
      </c>
      <c r="Q358" s="39" t="n">
        <v>440</v>
      </c>
      <c r="R358" s="9">
        <f>TABL12[[#This Row],[ (T/B) SAR]]-TABL12[[#This Row],[(T/B) AJD]]</f>
        <v/>
      </c>
      <c r="S358" s="9">
        <f>TABL12[[#This Row],[S/S_CON.]]+TABL12[[#This Row],[T/B-CON.]]</f>
        <v/>
      </c>
      <c r="T358" s="9">
        <f>O358+Q358</f>
        <v/>
      </c>
      <c r="U358" s="41" t="n">
        <v>593</v>
      </c>
      <c r="V358" s="41" t="n">
        <v>237</v>
      </c>
      <c r="W358" s="9">
        <f>U358+V358</f>
        <v/>
      </c>
      <c r="X358" s="9">
        <f>T358-W358</f>
        <v/>
      </c>
      <c r="Y358" s="41" t="n">
        <v>92.52</v>
      </c>
      <c r="Z358" s="43" t="n">
        <v>508538</v>
      </c>
      <c r="AA358" s="9">
        <f>TABL12[[#This Row],[(RESV. STORGE) AJD]]/10</f>
        <v/>
      </c>
      <c r="AB358" s="3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32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28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">
        <f>TABL12[[#This Row],[ (S/S) SAR]]-TABL12[[#This Row],[(S/S) AJD]]</f>
        <v/>
      </c>
      <c r="Q359" s="40" t="n">
        <v>437</v>
      </c>
      <c r="R359" s="9">
        <f>TABL12[[#This Row],[ (T/B) SAR]]-TABL12[[#This Row],[(T/B) AJD]]</f>
        <v/>
      </c>
      <c r="S359" s="9">
        <f>TABL12[[#This Row],[S/S_CON.]]+TABL12[[#This Row],[T/B-CON.]]</f>
        <v/>
      </c>
      <c r="T359" s="9">
        <f>O359+Q359</f>
        <v/>
      </c>
      <c r="U359" s="44" t="n">
        <v>578</v>
      </c>
      <c r="V359" s="44" t="n">
        <v>231</v>
      </c>
      <c r="W359" s="9">
        <f>U359+V359</f>
        <v/>
      </c>
      <c r="X359" s="9">
        <f>T359-W359</f>
        <v/>
      </c>
      <c r="Y359" s="44" t="n">
        <v>92.57899999999999</v>
      </c>
      <c r="Z359" s="45" t="n">
        <v>543705</v>
      </c>
      <c r="AA359" s="9">
        <f>TABL12[[#This Row],[(RESV. STORGE) AJD]]/10</f>
        <v/>
      </c>
      <c r="AB359" s="3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32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28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">
        <f>TABL12[[#This Row],[ (S/S) SAR]]-TABL12[[#This Row],[(S/S) AJD]]</f>
        <v/>
      </c>
      <c r="Q360" s="39" t="n">
        <v>437</v>
      </c>
      <c r="R360" s="9">
        <f>TABL12[[#This Row],[ (T/B) SAR]]-TABL12[[#This Row],[(T/B) AJD]]</f>
        <v/>
      </c>
      <c r="S360" s="9">
        <f>TABL12[[#This Row],[S/S_CON.]]+TABL12[[#This Row],[T/B-CON.]]</f>
        <v/>
      </c>
      <c r="T360" s="9">
        <f>O360+Q360</f>
        <v/>
      </c>
      <c r="U360" s="41" t="n">
        <v>592</v>
      </c>
      <c r="V360" s="41" t="n">
        <v>250</v>
      </c>
      <c r="W360" s="9">
        <f>U360+V360</f>
        <v/>
      </c>
      <c r="X360" s="9">
        <f>T360-W360</f>
        <v/>
      </c>
      <c r="Y360" s="41" t="n">
        <v>92.587</v>
      </c>
      <c r="Z360" s="43" t="n">
        <v>548478</v>
      </c>
      <c r="AA360" s="9">
        <f>TABL12[[#This Row],[(RESV. STORGE) AJD]]/10</f>
        <v/>
      </c>
      <c r="AB360" s="3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32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28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">
        <f>TABL12[[#This Row],[ (S/S) SAR]]-TABL12[[#This Row],[(S/S) AJD]]</f>
        <v/>
      </c>
      <c r="Q361" s="40" t="n">
        <v>436</v>
      </c>
      <c r="R361" s="9">
        <f>TABL12[[#This Row],[ (T/B) SAR]]-TABL12[[#This Row],[(T/B) AJD]]</f>
        <v/>
      </c>
      <c r="S361" s="9">
        <f>TABL12[[#This Row],[S/S_CON.]]+TABL12[[#This Row],[T/B-CON.]]</f>
        <v/>
      </c>
      <c r="T361" s="9">
        <f>O361+Q361</f>
        <v/>
      </c>
      <c r="U361" s="44" t="n">
        <v>590</v>
      </c>
      <c r="V361" s="44" t="n">
        <v>299</v>
      </c>
      <c r="W361" s="9">
        <f>U361+V361</f>
        <v/>
      </c>
      <c r="X361" s="9">
        <f>T361-W361</f>
        <v/>
      </c>
      <c r="Y361" s="44" t="n">
        <v>92.50700000000001</v>
      </c>
      <c r="Z361" s="45" t="n">
        <v>500797</v>
      </c>
      <c r="AA361" s="9">
        <f>TABL12[[#This Row],[(RESV. STORGE) AJD]]/10</f>
        <v/>
      </c>
      <c r="AB361" s="3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32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28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">
        <f>TABL12[[#This Row],[ (S/S) SAR]]-TABL12[[#This Row],[(S/S) AJD]]</f>
        <v/>
      </c>
      <c r="Q362" s="39" t="n">
        <v>437</v>
      </c>
      <c r="R362" s="9">
        <f>TABL12[[#This Row],[ (T/B) SAR]]-TABL12[[#This Row],[(T/B) AJD]]</f>
        <v/>
      </c>
      <c r="S362" s="9">
        <f>TABL12[[#This Row],[S/S_CON.]]+TABL12[[#This Row],[T/B-CON.]]</f>
        <v/>
      </c>
      <c r="T362" s="9">
        <f>O362+Q362</f>
        <v/>
      </c>
      <c r="U362" s="41" t="n">
        <v>593</v>
      </c>
      <c r="V362" s="41" t="n">
        <v>300</v>
      </c>
      <c r="W362" s="9">
        <f>U362+V362</f>
        <v/>
      </c>
      <c r="X362" s="9">
        <f>T362-W362</f>
        <v/>
      </c>
      <c r="Y362" s="41" t="n">
        <v>92.435</v>
      </c>
      <c r="Z362" s="43" t="n">
        <v>457921</v>
      </c>
      <c r="AA362" s="9">
        <f>TABL12[[#This Row],[(RESV. STORGE) AJD]]/10</f>
        <v/>
      </c>
      <c r="AB362" s="3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32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28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">
        <f>TABL12[[#This Row],[ (S/S) SAR]]-TABL12[[#This Row],[(S/S) AJD]]</f>
        <v/>
      </c>
      <c r="Q363" s="40" t="n">
        <v>437</v>
      </c>
      <c r="R363" s="9">
        <f>TABL12[[#This Row],[ (T/B) SAR]]-TABL12[[#This Row],[(T/B) AJD]]</f>
        <v/>
      </c>
      <c r="S363" s="9">
        <f>TABL12[[#This Row],[S/S_CON.]]+TABL12[[#This Row],[T/B-CON.]]</f>
        <v/>
      </c>
      <c r="T363" s="9">
        <f>O363+Q363</f>
        <v/>
      </c>
      <c r="U363" s="44" t="n">
        <v>600</v>
      </c>
      <c r="V363" s="44" t="n">
        <v>296</v>
      </c>
      <c r="W363" s="9">
        <f>U363+V363</f>
        <v/>
      </c>
      <c r="X363" s="9">
        <f>T363-W363</f>
        <v/>
      </c>
      <c r="Y363" s="44" t="n">
        <v>92.34999999999999</v>
      </c>
      <c r="Z363" s="45" t="n">
        <v>407365</v>
      </c>
      <c r="AA363" s="9">
        <f>TABL12[[#This Row],[(RESV. STORGE) AJD]]/10</f>
        <v/>
      </c>
      <c r="AB363" s="3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32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28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">
        <f>TABL12[[#This Row],[ (S/S) SAR]]-TABL12[[#This Row],[(S/S) AJD]]</f>
        <v/>
      </c>
      <c r="Q364" s="39" t="n">
        <v>436</v>
      </c>
      <c r="R364" s="9">
        <f>TABL12[[#This Row],[ (T/B) SAR]]-TABL12[[#This Row],[(T/B) AJD]]</f>
        <v/>
      </c>
      <c r="S364" s="9">
        <f>TABL12[[#This Row],[S/S_CON.]]+TABL12[[#This Row],[T/B-CON.]]</f>
        <v/>
      </c>
      <c r="T364" s="9">
        <f>O364+Q364</f>
        <v/>
      </c>
      <c r="U364" s="41" t="n">
        <v>550</v>
      </c>
      <c r="V364" s="41" t="n">
        <v>242</v>
      </c>
      <c r="W364" s="9">
        <f>U364+V364</f>
        <v/>
      </c>
      <c r="X364" s="9">
        <f>T364-W364</f>
        <v/>
      </c>
      <c r="Y364" s="41" t="n">
        <v>92.40000000000001</v>
      </c>
      <c r="Z364" s="43" t="n">
        <v>437093</v>
      </c>
      <c r="AA364" s="9">
        <f>TABL12[[#This Row],[(RESV. STORGE) AJD]]/10</f>
        <v/>
      </c>
      <c r="AB364" s="3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32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28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">
        <f>TABL12[[#This Row],[ (S/S) SAR]]-TABL12[[#This Row],[(S/S) AJD]]</f>
        <v/>
      </c>
      <c r="Q365" s="40" t="n">
        <v>435</v>
      </c>
      <c r="R365" s="9">
        <f>TABL12[[#This Row],[ (T/B) SAR]]-TABL12[[#This Row],[(T/B) AJD]]</f>
        <v/>
      </c>
      <c r="S365" s="9">
        <f>TABL12[[#This Row],[S/S_CON.]]+TABL12[[#This Row],[T/B-CON.]]</f>
        <v/>
      </c>
      <c r="T365" s="9">
        <f>O365+Q365</f>
        <v/>
      </c>
      <c r="U365" s="44" t="n">
        <v>588</v>
      </c>
      <c r="V365" s="44" t="n">
        <v>219</v>
      </c>
      <c r="W365" s="9">
        <f>U365+V365</f>
        <v/>
      </c>
      <c r="X365" s="9">
        <f>T365-W365</f>
        <v/>
      </c>
      <c r="Y365" s="44" t="n">
        <v>92.45</v>
      </c>
      <c r="Z365" s="45" t="n">
        <v>465064</v>
      </c>
      <c r="AA365" s="9">
        <f>TABL12[[#This Row],[(RESV. STORGE) AJD]]/10</f>
        <v/>
      </c>
      <c r="AB365" s="3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32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3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32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topLeftCell="A283" zoomScaleNormal="100" workbookViewId="0">
      <selection activeCell="A301" sqref="A301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3.5" customWidth="1" style="7" min="29" max="29"/>
    <col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28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3">
        <f>TABL123[[#This Row],[ (S/S) SAR]]-TABL123[[#This Row],[(S/S) AJD]]</f>
        <v/>
      </c>
      <c r="Q2" s="39" t="n">
        <v>432</v>
      </c>
      <c r="R2" s="3">
        <f>TABL123[[#This Row],[ (T/B) SAR]]-TABL123[[#This Row],[(T/B) AJD]]</f>
        <v/>
      </c>
      <c r="S2" s="3">
        <f>TABL123[[#This Row],[T/B-CON.]]+TABL123[[#This Row],[S/S_CON.]]</f>
        <v/>
      </c>
      <c r="T2" s="3">
        <f>TABL123[[#This Row],[(S/S) AJD]]+TABL123[[#This Row],[(T/B) AJD]]</f>
        <v/>
      </c>
      <c r="U2" s="41" t="n">
        <v>586</v>
      </c>
      <c r="V2" s="41" t="n">
        <v>240</v>
      </c>
      <c r="W2" s="3">
        <f>TABL123[[#This Row],[(A/B) AJD]]+TABL123[[#This Row],[(A/S) AJD]]</f>
        <v/>
      </c>
      <c r="X2" s="3">
        <f>TABL123[[#This Row],[( S/S+T/B) AJD]]-TABL123[[#This Row],[(A/B + A/S) AJD]]</f>
        <v/>
      </c>
      <c r="Y2" s="41" t="n">
        <v>92.502</v>
      </c>
      <c r="Z2" s="43" t="n">
        <v>496624</v>
      </c>
      <c r="AA2" s="3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43" t="n">
        <v>755</v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88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32">
        <f>TABL123[[#This Row],[(A/S) AJD]]-TABL123[[#This Row],[SER_IN]]</f>
        <v/>
      </c>
    </row>
    <row r="3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28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3">
        <f>TABL123[[#This Row],[ (S/S) SAR]]-TABL123[[#This Row],[(S/S) AJD]]</f>
        <v/>
      </c>
      <c r="Q3" s="40" t="n">
        <v>437</v>
      </c>
      <c r="R3" s="3">
        <f>TABL123[[#This Row],[ (T/B) SAR]]-TABL123[[#This Row],[(T/B) AJD]]</f>
        <v/>
      </c>
      <c r="S3" s="3">
        <f>TABL123[[#This Row],[T/B-CON.]]+TABL123[[#This Row],[S/S_CON.]]</f>
        <v/>
      </c>
      <c r="T3" s="3">
        <f>TABL123[[#This Row],[(S/S) AJD]]+TABL123[[#This Row],[(T/B) AJD]]</f>
        <v/>
      </c>
      <c r="U3" s="44" t="n">
        <v>587</v>
      </c>
      <c r="V3" s="44" t="n">
        <v>262</v>
      </c>
      <c r="W3" s="3">
        <f>TABL123[[#This Row],[(A/B) AJD]]+TABL123[[#This Row],[(A/S) AJD]]</f>
        <v/>
      </c>
      <c r="X3" s="3">
        <f>TABL123[[#This Row],[( S/S+T/B) AJD]]-TABL123[[#This Row],[(A/B + A/S) AJD]]</f>
        <v/>
      </c>
      <c r="Y3" s="44" t="n">
        <v>92.52</v>
      </c>
      <c r="Z3" s="45" t="n">
        <v>508538</v>
      </c>
      <c r="AA3" s="3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45" t="n">
        <v>1581</v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87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32">
        <f>TABL123[[#This Row],[(A/S) AJD]]-TABL123[[#This Row],[SER_IN]]</f>
        <v/>
      </c>
    </row>
    <row r="4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28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3">
        <f>TABL123[[#This Row],[ (S/S) SAR]]-TABL123[[#This Row],[(S/S) AJD]]</f>
        <v/>
      </c>
      <c r="Q4" s="39" t="n">
        <v>438</v>
      </c>
      <c r="R4" s="3">
        <f>TABL123[[#This Row],[ (T/B) SAR]]-TABL123[[#This Row],[(T/B) AJD]]</f>
        <v/>
      </c>
      <c r="S4" s="3">
        <f>TABL123[[#This Row],[T/B-CON.]]+TABL123[[#This Row],[S/S_CON.]]</f>
        <v/>
      </c>
      <c r="T4" s="3">
        <f>TABL123[[#This Row],[(S/S) AJD]]+TABL123[[#This Row],[(T/B) AJD]]</f>
        <v/>
      </c>
      <c r="U4" s="41" t="n">
        <v>589</v>
      </c>
      <c r="V4" s="41" t="n">
        <v>279</v>
      </c>
      <c r="W4" s="3">
        <f>TABL123[[#This Row],[(A/B) AJD]]+TABL123[[#This Row],[(A/S) AJD]]</f>
        <v/>
      </c>
      <c r="X4" s="3">
        <f>TABL123[[#This Row],[( S/S+T/B) AJD]]-TABL123[[#This Row],[(A/B + A/S) AJD]]</f>
        <v/>
      </c>
      <c r="Y4" s="41" t="n">
        <v>92.495</v>
      </c>
      <c r="Z4" s="43" t="n">
        <v>491857</v>
      </c>
      <c r="AA4" s="3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43" t="n">
        <v>1731</v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87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32">
        <f>TABL123[[#This Row],[(A/S) AJD]]-TABL123[[#This Row],[SER_IN]]</f>
        <v/>
      </c>
    </row>
    <row r="5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28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3">
        <f>TABL123[[#This Row],[ (S/S) SAR]]-TABL123[[#This Row],[(S/S) AJD]]</f>
        <v/>
      </c>
      <c r="Q5" s="40" t="n">
        <v>437</v>
      </c>
      <c r="R5" s="3">
        <f>TABL123[[#This Row],[ (T/B) SAR]]-TABL123[[#This Row],[(T/B) AJD]]</f>
        <v/>
      </c>
      <c r="S5" s="3">
        <f>TABL123[[#This Row],[T/B-CON.]]+TABL123[[#This Row],[S/S_CON.]]</f>
        <v/>
      </c>
      <c r="T5" s="3">
        <f>TABL123[[#This Row],[(S/S) AJD]]+TABL123[[#This Row],[(T/B) AJD]]</f>
        <v/>
      </c>
      <c r="U5" s="44" t="n">
        <v>592</v>
      </c>
      <c r="V5" s="44" t="n">
        <v>239</v>
      </c>
      <c r="W5" s="3">
        <f>TABL123[[#This Row],[(A/B) AJD]]+TABL123[[#This Row],[(A/S) AJD]]</f>
        <v/>
      </c>
      <c r="X5" s="3">
        <f>TABL123[[#This Row],[( S/S+T/B) AJD]]-TABL123[[#This Row],[(A/B + A/S) AJD]]</f>
        <v/>
      </c>
      <c r="Y5" s="44" t="n">
        <v>92.52</v>
      </c>
      <c r="Z5" s="45" t="n">
        <v>508538</v>
      </c>
      <c r="AA5" s="3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45" t="n">
        <v>1450</v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87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32">
        <f>TABL123[[#This Row],[(A/S) AJD]]-TABL123[[#This Row],[SER_IN]]</f>
        <v/>
      </c>
    </row>
    <row r="6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28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3">
        <f>TABL123[[#This Row],[ (S/S) SAR]]-TABL123[[#This Row],[(S/S) AJD]]</f>
        <v/>
      </c>
      <c r="Q6" s="39" t="n">
        <v>437</v>
      </c>
      <c r="R6" s="3">
        <f>TABL123[[#This Row],[ (T/B) SAR]]-TABL123[[#This Row],[(T/B) AJD]]</f>
        <v/>
      </c>
      <c r="S6" s="3">
        <f>TABL123[[#This Row],[T/B-CON.]]+TABL123[[#This Row],[S/S_CON.]]</f>
        <v/>
      </c>
      <c r="T6" s="3">
        <f>TABL123[[#This Row],[(S/S) AJD]]+TABL123[[#This Row],[(T/B) AJD]]</f>
        <v/>
      </c>
      <c r="U6" s="41" t="n">
        <v>592</v>
      </c>
      <c r="V6" s="41" t="n">
        <v>239</v>
      </c>
      <c r="W6" s="3">
        <f>TABL123[[#This Row],[(A/B) AJD]]+TABL123[[#This Row],[(A/S) AJD]]</f>
        <v/>
      </c>
      <c r="X6" s="3">
        <f>TABL123[[#This Row],[( S/S+T/B) AJD]]-TABL123[[#This Row],[(A/B + A/S) AJD]]</f>
        <v/>
      </c>
      <c r="Y6" s="41" t="n">
        <v>92.55</v>
      </c>
      <c r="Z6" s="43" t="n">
        <v>526426</v>
      </c>
      <c r="AA6" s="3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43" t="n">
        <v>1548</v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87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32">
        <f>TABL123[[#This Row],[(A/S) AJD]]-TABL123[[#This Row],[SER_IN]]</f>
        <v/>
      </c>
    </row>
    <row r="7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28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3">
        <f>TABL123[[#This Row],[ (S/S) SAR]]-TABL123[[#This Row],[(S/S) AJD]]</f>
        <v/>
      </c>
      <c r="Q7" s="40" t="n">
        <v>428</v>
      </c>
      <c r="R7" s="3">
        <f>TABL123[[#This Row],[ (T/B) SAR]]-TABL123[[#This Row],[(T/B) AJD]]</f>
        <v/>
      </c>
      <c r="S7" s="3">
        <f>TABL123[[#This Row],[T/B-CON.]]+TABL123[[#This Row],[S/S_CON.]]</f>
        <v/>
      </c>
      <c r="T7" s="3">
        <f>TABL123[[#This Row],[(S/S) AJD]]+TABL123[[#This Row],[(T/B) AJD]]</f>
        <v/>
      </c>
      <c r="U7" s="44" t="n">
        <v>225</v>
      </c>
      <c r="V7" s="44" t="n">
        <v>317</v>
      </c>
      <c r="W7" s="3">
        <f>TABL123[[#This Row],[(A/B) AJD]]+TABL123[[#This Row],[(A/S) AJD]]</f>
        <v/>
      </c>
      <c r="X7" s="3">
        <f>TABL123[[#This Row],[( S/S+T/B) AJD]]-TABL123[[#This Row],[(A/B + A/S) AJD]]</f>
        <v/>
      </c>
      <c r="Y7" s="67" t="n">
        <v>93.026</v>
      </c>
      <c r="Z7" s="45" t="n">
        <v>809891</v>
      </c>
      <c r="AA7" s="3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45" t="n">
        <v>2355</v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87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32">
        <f>TABL123[[#This Row],[(A/S) AJD]]-TABL123[[#This Row],[SER_IN]]</f>
        <v/>
      </c>
    </row>
    <row r="8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28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3">
        <f>TABL123[[#This Row],[ (S/S) SAR]]-TABL123[[#This Row],[(S/S) AJD]]</f>
        <v/>
      </c>
      <c r="Q8" s="39" t="n">
        <v>331</v>
      </c>
      <c r="R8" s="3">
        <f>TABL123[[#This Row],[ (T/B) SAR]]-TABL123[[#This Row],[(T/B) AJD]]</f>
        <v/>
      </c>
      <c r="S8" s="3">
        <f>TABL123[[#This Row],[T/B-CON.]]+TABL123[[#This Row],[S/S_CON.]]</f>
        <v/>
      </c>
      <c r="T8" s="3">
        <f>TABL123[[#This Row],[(S/S) AJD]]+TABL123[[#This Row],[(T/B) AJD]]</f>
        <v/>
      </c>
      <c r="U8" s="41" t="n">
        <v>150</v>
      </c>
      <c r="V8" s="41" t="n">
        <v>386</v>
      </c>
      <c r="W8" s="3">
        <f>TABL123[[#This Row],[(A/B) AJD]]+TABL123[[#This Row],[(A/S) AJD]]</f>
        <v/>
      </c>
      <c r="X8" s="3">
        <f>TABL123[[#This Row],[( S/S+T/B) AJD]]-TABL123[[#This Row],[(A/B + A/S) AJD]]</f>
        <v/>
      </c>
      <c r="Y8" s="41" t="n">
        <v>93.10599999999999</v>
      </c>
      <c r="Z8" s="43" t="n">
        <v>859119</v>
      </c>
      <c r="AA8" s="3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43" t="n">
        <v>1960</v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87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32">
        <f>TABL123[[#This Row],[(A/S) AJD]]-TABL123[[#This Row],[SER_IN]]</f>
        <v/>
      </c>
    </row>
    <row r="9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28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3">
        <f>TABL123[[#This Row],[ (S/S) SAR]]-TABL123[[#This Row],[(S/S) AJD]]</f>
        <v/>
      </c>
      <c r="Q9" s="40" t="n">
        <v>307</v>
      </c>
      <c r="R9" s="3">
        <f>TABL123[[#This Row],[ (T/B) SAR]]-TABL123[[#This Row],[(T/B) AJD]]</f>
        <v/>
      </c>
      <c r="S9" s="3">
        <f>TABL123[[#This Row],[T/B-CON.]]+TABL123[[#This Row],[S/S_CON.]]</f>
        <v/>
      </c>
      <c r="T9" s="3">
        <f>TABL123[[#This Row],[(S/S) AJD]]+TABL123[[#This Row],[(T/B) AJD]]</f>
        <v/>
      </c>
      <c r="U9" s="44" t="n">
        <v>149</v>
      </c>
      <c r="V9" s="44" t="n">
        <v>397</v>
      </c>
      <c r="W9" s="3">
        <f>TABL123[[#This Row],[(A/B) AJD]]+TABL123[[#This Row],[(A/S) AJD]]</f>
        <v/>
      </c>
      <c r="X9" s="3">
        <f>TABL123[[#This Row],[( S/S+T/B) AJD]]-TABL123[[#This Row],[(A/B + A/S) AJD]]</f>
        <v/>
      </c>
      <c r="Y9" s="44" t="n">
        <v>93.173</v>
      </c>
      <c r="Z9" s="45" t="n">
        <v>902393</v>
      </c>
      <c r="AA9" s="3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45" t="n">
        <v>1307</v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87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32">
        <f>TABL123[[#This Row],[(A/S) AJD]]-TABL123[[#This Row],[SER_IN]]</f>
        <v/>
      </c>
    </row>
    <row r="10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28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3">
        <f>TABL123[[#This Row],[ (S/S) SAR]]-TABL123[[#This Row],[(S/S) AJD]]</f>
        <v/>
      </c>
      <c r="Q10" s="39" t="n">
        <v>304</v>
      </c>
      <c r="R10" s="3">
        <f>TABL123[[#This Row],[ (T/B) SAR]]-TABL123[[#This Row],[(T/B) AJD]]</f>
        <v/>
      </c>
      <c r="S10" s="3">
        <f>TABL123[[#This Row],[T/B-CON.]]+TABL123[[#This Row],[S/S_CON.]]</f>
        <v/>
      </c>
      <c r="T10" s="3">
        <f>TABL123[[#This Row],[(S/S) AJD]]+TABL123[[#This Row],[(T/B) AJD]]</f>
        <v/>
      </c>
      <c r="U10" s="41" t="n">
        <v>149</v>
      </c>
      <c r="V10" s="41" t="n">
        <v>422</v>
      </c>
      <c r="W10" s="3">
        <f>TABL123[[#This Row],[(A/B) AJD]]+TABL123[[#This Row],[(A/S) AJD]]</f>
        <v/>
      </c>
      <c r="X10" s="3">
        <f>TABL123[[#This Row],[( S/S+T/B) AJD]]-TABL123[[#This Row],[(A/B + A/S) AJD]]</f>
        <v/>
      </c>
      <c r="Y10" s="41" t="n">
        <v>93.17100000000001</v>
      </c>
      <c r="Z10" s="43" t="n">
        <v>898177</v>
      </c>
      <c r="AA10" s="3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43" t="n">
        <v>1307</v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87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32">
        <f>TABL123[[#This Row],[(A/S) AJD]]-TABL123[[#This Row],[SER_IN]]</f>
        <v/>
      </c>
    </row>
    <row r="1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28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3">
        <f>TABL123[[#This Row],[ (S/S) SAR]]-TABL123[[#This Row],[(S/S) AJD]]</f>
        <v/>
      </c>
      <c r="Q11" s="40" t="n">
        <v>289</v>
      </c>
      <c r="R11" s="3">
        <f>TABL123[[#This Row],[ (T/B) SAR]]-TABL123[[#This Row],[(T/B) AJD]]</f>
        <v/>
      </c>
      <c r="S11" s="3">
        <f>TABL123[[#This Row],[T/B-CON.]]+TABL123[[#This Row],[S/S_CON.]]</f>
        <v/>
      </c>
      <c r="T11" s="3">
        <f>TABL123[[#This Row],[(S/S) AJD]]+TABL123[[#This Row],[(T/B) AJD]]</f>
        <v/>
      </c>
      <c r="U11" s="44" t="n">
        <v>148</v>
      </c>
      <c r="V11" s="44" t="n">
        <v>409</v>
      </c>
      <c r="W11" s="3">
        <f>TABL123[[#This Row],[(A/B) AJD]]+TABL123[[#This Row],[(A/S) AJD]]</f>
        <v/>
      </c>
      <c r="X11" s="3">
        <f>TABL123[[#This Row],[( S/S+T/B) AJD]]-TABL123[[#This Row],[(A/B + A/S) AJD]]</f>
        <v/>
      </c>
      <c r="Y11" s="44" t="n">
        <v>93.158</v>
      </c>
      <c r="Z11" s="45" t="n">
        <v>892169</v>
      </c>
      <c r="AA11" s="3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45" t="n">
        <v>1960</v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87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32">
        <f>TABL123[[#This Row],[(A/S) AJD]]-TABL123[[#This Row],[SER_IN]]</f>
        <v/>
      </c>
    </row>
    <row r="12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28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3">
        <f>TABL123[[#This Row],[ (S/S) SAR]]-TABL123[[#This Row],[(S/S) AJD]]</f>
        <v/>
      </c>
      <c r="Q12" s="39" t="n">
        <v>280</v>
      </c>
      <c r="R12" s="3">
        <f>TABL123[[#This Row],[ (T/B) SAR]]-TABL123[[#This Row],[(T/B) AJD]]</f>
        <v/>
      </c>
      <c r="S12" s="3">
        <f>TABL123[[#This Row],[T/B-CON.]]+TABL123[[#This Row],[S/S_CON.]]</f>
        <v/>
      </c>
      <c r="T12" s="3">
        <f>TABL123[[#This Row],[(S/S) AJD]]+TABL123[[#This Row],[(T/B) AJD]]</f>
        <v/>
      </c>
      <c r="U12" s="41" t="n">
        <v>148</v>
      </c>
      <c r="V12" s="41" t="n">
        <v>371</v>
      </c>
      <c r="W12" s="3">
        <f>TABL123[[#This Row],[(A/B) AJD]]+TABL123[[#This Row],[(A/S) AJD]]</f>
        <v/>
      </c>
      <c r="X12" s="3">
        <f>TABL123[[#This Row],[( S/S+T/B) AJD]]-TABL123[[#This Row],[(A/B + A/S) AJD]]</f>
        <v/>
      </c>
      <c r="Y12" s="41" t="n">
        <v>93.166</v>
      </c>
      <c r="Z12" s="43" t="n">
        <v>895173</v>
      </c>
      <c r="AA12" s="3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68" t="n">
        <v>1307</v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87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32">
        <f>TABL123[[#This Row],[(A/S) AJD]]-TABL123[[#This Row],[SER_IN]]</f>
        <v/>
      </c>
    </row>
    <row r="13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28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3">
        <f>TABL123[[#This Row],[ (S/S) SAR]]-TABL123[[#This Row],[(S/S) AJD]]</f>
        <v/>
      </c>
      <c r="Q13" s="40" t="n">
        <v>269</v>
      </c>
      <c r="R13" s="3">
        <f>TABL123[[#This Row],[ (T/B) SAR]]-TABL123[[#This Row],[(T/B) AJD]]</f>
        <v/>
      </c>
      <c r="S13" s="3">
        <f>TABL123[[#This Row],[T/B-CON.]]+TABL123[[#This Row],[S/S_CON.]]</f>
        <v/>
      </c>
      <c r="T13" s="3">
        <f>TABL123[[#This Row],[(S/S) AJD]]+TABL123[[#This Row],[(T/B) AJD]]</f>
        <v/>
      </c>
      <c r="U13" s="44" t="n">
        <v>147</v>
      </c>
      <c r="V13" s="44" t="n">
        <v>370</v>
      </c>
      <c r="W13" s="3">
        <f>TABL123[[#This Row],[(A/B) AJD]]+TABL123[[#This Row],[(A/S) AJD]]</f>
        <v/>
      </c>
      <c r="X13" s="3">
        <f>TABL123[[#This Row],[( S/S+T/B) AJD]]-TABL123[[#This Row],[(A/B + A/S) AJD]]</f>
        <v/>
      </c>
      <c r="Y13" s="44" t="n">
        <v>93.151</v>
      </c>
      <c r="Z13" s="45" t="n">
        <v>884153</v>
      </c>
      <c r="AA13" s="3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45" t="n">
        <v>1306</v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87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32">
        <f>TABL123[[#This Row],[(A/S) AJD]]-TABL123[[#This Row],[SER_IN]]</f>
        <v/>
      </c>
    </row>
    <row r="14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28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3">
        <f>TABL123[[#This Row],[ (S/S) SAR]]-TABL123[[#This Row],[(S/S) AJD]]</f>
        <v/>
      </c>
      <c r="Q14" s="39" t="n">
        <v>261</v>
      </c>
      <c r="R14" s="3">
        <f>TABL123[[#This Row],[ (T/B) SAR]]-TABL123[[#This Row],[(T/B) AJD]]</f>
        <v/>
      </c>
      <c r="S14" s="3">
        <f>TABL123[[#This Row],[T/B-CON.]]+TABL123[[#This Row],[S/S_CON.]]</f>
        <v/>
      </c>
      <c r="T14" s="3">
        <f>TABL123[[#This Row],[(S/S) AJD]]+TABL123[[#This Row],[(T/B) AJD]]</f>
        <v/>
      </c>
      <c r="U14" s="41" t="n">
        <v>147</v>
      </c>
      <c r="V14" s="41" t="n">
        <v>380</v>
      </c>
      <c r="W14" s="3">
        <f>TABL123[[#This Row],[(A/B) AJD]]+TABL123[[#This Row],[(A/S) AJD]]</f>
        <v/>
      </c>
      <c r="X14" s="3">
        <f>TABL123[[#This Row],[( S/S+T/B) AJD]]-TABL123[[#This Row],[(A/B + A/S) AJD]]</f>
        <v/>
      </c>
      <c r="Y14" s="41" t="n">
        <v>93.068</v>
      </c>
      <c r="Z14" s="43" t="n">
        <v>836298</v>
      </c>
      <c r="AA14" s="3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43" t="n">
        <v>1306</v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87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32">
        <f>TABL123[[#This Row],[(A/S) AJD]]-TABL123[[#This Row],[SER_IN]]</f>
        <v/>
      </c>
    </row>
    <row r="15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28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3">
        <f>TABL123[[#This Row],[ (S/S) SAR]]-TABL123[[#This Row],[(S/S) AJD]]</f>
        <v/>
      </c>
      <c r="Q15" s="40" t="n">
        <v>246</v>
      </c>
      <c r="R15" s="3">
        <f>TABL123[[#This Row],[ (T/B) SAR]]-TABL123[[#This Row],[(T/B) AJD]]</f>
        <v/>
      </c>
      <c r="S15" s="3">
        <f>TABL123[[#This Row],[T/B-CON.]]+TABL123[[#This Row],[S/S_CON.]]</f>
        <v/>
      </c>
      <c r="T15" s="3">
        <f>TABL123[[#This Row],[(S/S) AJD]]+TABL123[[#This Row],[(T/B) AJD]]</f>
        <v/>
      </c>
      <c r="U15" s="44" t="n">
        <v>148</v>
      </c>
      <c r="V15" s="44" t="n">
        <v>378</v>
      </c>
      <c r="W15" s="3">
        <f>TABL123[[#This Row],[(A/B) AJD]]+TABL123[[#This Row],[(A/S) AJD]]</f>
        <v/>
      </c>
      <c r="X15" s="3">
        <f>TABL123[[#This Row],[( S/S+T/B) AJD]]-TABL123[[#This Row],[(A/B + A/S) AJD]]</f>
        <v/>
      </c>
      <c r="Y15" s="44" t="n">
        <v>92.996</v>
      </c>
      <c r="Z15" s="45" t="n">
        <v>793094</v>
      </c>
      <c r="AA15" s="3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45" t="n">
        <v>653</v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87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32">
        <f>TABL123[[#This Row],[(A/S) AJD]]-TABL123[[#This Row],[SER_IN]]</f>
        <v/>
      </c>
    </row>
    <row r="16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28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3">
        <f>TABL123[[#This Row],[ (S/S) SAR]]-TABL123[[#This Row],[(S/S) AJD]]</f>
        <v/>
      </c>
      <c r="Q16" s="39" t="n">
        <v>237</v>
      </c>
      <c r="R16" s="3">
        <f>TABL123[[#This Row],[ (T/B) SAR]]-TABL123[[#This Row],[(T/B) AJD]]</f>
        <v/>
      </c>
      <c r="S16" s="3">
        <f>TABL123[[#This Row],[T/B-CON.]]+TABL123[[#This Row],[S/S_CON.]]</f>
        <v/>
      </c>
      <c r="T16" s="3">
        <f>TABL123[[#This Row],[(S/S) AJD]]+TABL123[[#This Row],[(T/B) AJD]]</f>
        <v/>
      </c>
      <c r="U16" s="41" t="n">
        <v>149</v>
      </c>
      <c r="V16" s="41" t="n">
        <v>378</v>
      </c>
      <c r="W16" s="3">
        <f>TABL123[[#This Row],[(A/B) AJD]]+TABL123[[#This Row],[(A/S) AJD]]</f>
        <v/>
      </c>
      <c r="X16" s="3">
        <f>TABL123[[#This Row],[( S/S+T/B) AJD]]-TABL123[[#This Row],[(A/B + A/S) AJD]]</f>
        <v/>
      </c>
      <c r="Y16" s="41" t="n">
        <v>92.934</v>
      </c>
      <c r="Z16" s="43" t="n">
        <v>755922</v>
      </c>
      <c r="AA16" s="3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43" t="n">
        <v>653</v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87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32">
        <f>TABL123[[#This Row],[(A/S) AJD]]-TABL123[[#This Row],[SER_IN]]</f>
        <v/>
      </c>
    </row>
    <row r="17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28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3">
        <f>TABL123[[#This Row],[ (S/S) SAR]]-TABL123[[#This Row],[(S/S) AJD]]</f>
        <v/>
      </c>
      <c r="Q17" s="40" t="n">
        <v>240</v>
      </c>
      <c r="R17" s="3">
        <f>TABL123[[#This Row],[ (T/B) SAR]]-TABL123[[#This Row],[(T/B) AJD]]</f>
        <v/>
      </c>
      <c r="S17" s="3">
        <f>TABL123[[#This Row],[T/B-CON.]]+TABL123[[#This Row],[S/S_CON.]]</f>
        <v/>
      </c>
      <c r="T17" s="3">
        <f>TABL123[[#This Row],[(S/S) AJD]]+TABL123[[#This Row],[(T/B) AJD]]</f>
        <v/>
      </c>
      <c r="U17" s="44" t="n">
        <v>151</v>
      </c>
      <c r="V17" s="44" t="n">
        <v>395</v>
      </c>
      <c r="W17" s="3">
        <f>TABL123[[#This Row],[(A/B) AJD]]+TABL123[[#This Row],[(A/S) AJD]]</f>
        <v/>
      </c>
      <c r="X17" s="3">
        <f>TABL123[[#This Row],[( S/S+T/B) AJD]]-TABL123[[#This Row],[(A/B + A/S) AJD]]</f>
        <v/>
      </c>
      <c r="Y17" s="44" t="n">
        <v>92.849</v>
      </c>
      <c r="Z17" s="45" t="n">
        <v>705016</v>
      </c>
      <c r="AA17" s="3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45" t="n">
        <v>1306</v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87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32">
        <f>TABL123[[#This Row],[(A/S) AJD]]-TABL123[[#This Row],[SER_IN]]</f>
        <v/>
      </c>
    </row>
    <row r="18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28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3">
        <f>TABL123[[#This Row],[ (S/S) SAR]]-TABL123[[#This Row],[(S/S) AJD]]</f>
        <v/>
      </c>
      <c r="Q18" s="39" t="n">
        <v>281</v>
      </c>
      <c r="R18" s="3">
        <f>TABL123[[#This Row],[ (T/B) SAR]]-TABL123[[#This Row],[(T/B) AJD]]</f>
        <v/>
      </c>
      <c r="S18" s="3">
        <f>TABL123[[#This Row],[T/B-CON.]]+TABL123[[#This Row],[S/S_CON.]]</f>
        <v/>
      </c>
      <c r="T18" s="3">
        <f>TABL123[[#This Row],[(S/S) AJD]]+TABL123[[#This Row],[(T/B) AJD]]</f>
        <v/>
      </c>
      <c r="U18" s="41" t="n">
        <v>248</v>
      </c>
      <c r="V18" s="41" t="n">
        <v>393</v>
      </c>
      <c r="W18" s="3">
        <f>TABL123[[#This Row],[(A/B) AJD]]+TABL123[[#This Row],[(A/S) AJD]]</f>
        <v/>
      </c>
      <c r="X18" s="3">
        <f>TABL123[[#This Row],[( S/S+T/B) AJD]]-TABL123[[#This Row],[(A/B + A/S) AJD]]</f>
        <v/>
      </c>
      <c r="Y18" s="41" t="n">
        <v>92.69199999999999</v>
      </c>
      <c r="Z18" s="43" t="n">
        <v>611147</v>
      </c>
      <c r="AA18" s="3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43" t="n">
        <v>653</v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87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32">
        <f>TABL123[[#This Row],[(A/S) AJD]]-TABL123[[#This Row],[SER_IN]]</f>
        <v/>
      </c>
    </row>
    <row r="19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28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3">
        <f>TABL123[[#This Row],[ (S/S) SAR]]-TABL123[[#This Row],[(S/S) AJD]]</f>
        <v/>
      </c>
      <c r="Q19" s="40" t="n">
        <v>255</v>
      </c>
      <c r="R19" s="3">
        <f>TABL123[[#This Row],[ (T/B) SAR]]-TABL123[[#This Row],[(T/B) AJD]]</f>
        <v/>
      </c>
      <c r="S19" s="3">
        <f>TABL123[[#This Row],[T/B-CON.]]+TABL123[[#This Row],[S/S_CON.]]</f>
        <v/>
      </c>
      <c r="T19" s="3">
        <f>TABL123[[#This Row],[(S/S) AJD]]+TABL123[[#This Row],[(T/B) AJD]]</f>
        <v/>
      </c>
      <c r="U19" s="44" t="n">
        <v>246</v>
      </c>
      <c r="V19" s="44" t="n">
        <v>375</v>
      </c>
      <c r="W19" s="3">
        <f>TABL123[[#This Row],[(A/B) AJD]]+TABL123[[#This Row],[(A/S) AJD]]</f>
        <v/>
      </c>
      <c r="X19" s="3">
        <f>TABL123[[#This Row],[( S/S+T/B) AJD]]-TABL123[[#This Row],[(A/B + A/S) AJD]]</f>
        <v/>
      </c>
      <c r="Y19" s="44" t="n">
        <v>92.754</v>
      </c>
      <c r="Z19" s="45" t="n">
        <v>646310</v>
      </c>
      <c r="AA19" s="3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45" t="n">
        <v>1279</v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87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32">
        <f>TABL123[[#This Row],[(A/S) AJD]]-TABL123[[#This Row],[SER_IN]]</f>
        <v/>
      </c>
    </row>
    <row r="20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28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3">
        <f>TABL123[[#This Row],[ (S/S) SAR]]-TABL123[[#This Row],[(S/S) AJD]]</f>
        <v/>
      </c>
      <c r="Q20" s="39" t="n">
        <v>416</v>
      </c>
      <c r="R20" s="3">
        <f>TABL123[[#This Row],[ (T/B) SAR]]-TABL123[[#This Row],[(T/B) AJD]]</f>
        <v/>
      </c>
      <c r="S20" s="3">
        <f>TABL123[[#This Row],[T/B-CON.]]+TABL123[[#This Row],[S/S_CON.]]</f>
        <v/>
      </c>
      <c r="T20" s="3">
        <f>TABL123[[#This Row],[(S/S) AJD]]+TABL123[[#This Row],[(T/B) AJD]]</f>
        <v/>
      </c>
      <c r="U20" s="41" t="n">
        <v>461</v>
      </c>
      <c r="V20" s="41" t="n">
        <v>395</v>
      </c>
      <c r="W20" s="3">
        <f>TABL123[[#This Row],[(A/B) AJD]]+TABL123[[#This Row],[(A/S) AJD]]</f>
        <v/>
      </c>
      <c r="X20" s="3">
        <f>TABL123[[#This Row],[( S/S+T/B) AJD]]-TABL123[[#This Row],[(A/B + A/S) AJD]]</f>
        <v/>
      </c>
      <c r="Y20" s="41" t="n">
        <v>92.61199999999999</v>
      </c>
      <c r="Z20" s="43" t="n">
        <v>563391</v>
      </c>
      <c r="AA20" s="3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43" t="n">
        <v>1317</v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87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32">
        <f>TABL123[[#This Row],[(A/S) AJD]]-TABL123[[#This Row],[SER_IN]]</f>
        <v/>
      </c>
    </row>
    <row r="2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28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3">
        <f>TABL123[[#This Row],[ (S/S) SAR]]-TABL123[[#This Row],[(S/S) AJD]]</f>
        <v/>
      </c>
      <c r="Q21" s="40" t="n">
        <v>426</v>
      </c>
      <c r="R21" s="3">
        <f>TABL123[[#This Row],[ (T/B) SAR]]-TABL123[[#This Row],[(T/B) AJD]]</f>
        <v/>
      </c>
      <c r="S21" s="3">
        <f>TABL123[[#This Row],[T/B-CON.]]+TABL123[[#This Row],[S/S_CON.]]</f>
        <v/>
      </c>
      <c r="T21" s="3">
        <f>TABL123[[#This Row],[(S/S) AJD]]+TABL123[[#This Row],[(T/B) AJD]]</f>
        <v/>
      </c>
      <c r="U21" s="44" t="n">
        <v>533</v>
      </c>
      <c r="V21" s="44" t="n">
        <v>384</v>
      </c>
      <c r="W21" s="3">
        <f>TABL123[[#This Row],[(A/B) AJD]]+TABL123[[#This Row],[(A/S) AJD]]</f>
        <v/>
      </c>
      <c r="X21" s="3">
        <f>TABL123[[#This Row],[( S/S+T/B) AJD]]-TABL123[[#This Row],[(A/B + A/S) AJD]]</f>
        <v/>
      </c>
      <c r="Y21" s="44" t="n">
        <v>92.405</v>
      </c>
      <c r="Z21" s="45" t="n">
        <v>440072</v>
      </c>
      <c r="AA21" s="3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45" t="n">
        <v>2000</v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87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32">
        <f>TABL123[[#This Row],[(A/S) AJD]]-TABL123[[#This Row],[SER_IN]]</f>
        <v/>
      </c>
    </row>
    <row r="22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28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3">
        <f>TABL123[[#This Row],[ (S/S) SAR]]-TABL123[[#This Row],[(S/S) AJD]]</f>
        <v/>
      </c>
      <c r="Q22" s="39" t="n">
        <v>447</v>
      </c>
      <c r="R22" s="3">
        <f>TABL123[[#This Row],[ (T/B) SAR]]-TABL123[[#This Row],[(T/B) AJD]]</f>
        <v/>
      </c>
      <c r="S22" s="3">
        <f>TABL123[[#This Row],[T/B-CON.]]+TABL123[[#This Row],[S/S_CON.]]</f>
        <v/>
      </c>
      <c r="T22" s="3">
        <f>TABL123[[#This Row],[(S/S) AJD]]+TABL123[[#This Row],[(T/B) AJD]]</f>
        <v/>
      </c>
      <c r="U22" s="41" t="n">
        <v>526</v>
      </c>
      <c r="V22" s="41" t="n">
        <v>338</v>
      </c>
      <c r="W22" s="3">
        <f>TABL123[[#This Row],[(A/B) AJD]]+TABL123[[#This Row],[(A/S) AJD]]</f>
        <v/>
      </c>
      <c r="X22" s="3">
        <f>TABL123[[#This Row],[( S/S+T/B) AJD]]-TABL123[[#This Row],[(A/B + A/S) AJD]]</f>
        <v/>
      </c>
      <c r="Y22" s="41" t="n">
        <v>92.33</v>
      </c>
      <c r="Z22" s="43" t="n">
        <v>396667</v>
      </c>
      <c r="AA22" s="3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43" t="n">
        <v>1858</v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87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32">
        <f>TABL123[[#This Row],[(A/S) AJD]]-TABL123[[#This Row],[SER_IN]]</f>
        <v/>
      </c>
    </row>
    <row r="23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28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3">
        <f>TABL123[[#This Row],[ (S/S) SAR]]-TABL123[[#This Row],[(S/S) AJD]]</f>
        <v/>
      </c>
      <c r="Q23" s="40" t="n">
        <v>449</v>
      </c>
      <c r="R23" s="3">
        <f>TABL123[[#This Row],[ (T/B) SAR]]-TABL123[[#This Row],[(T/B) AJD]]</f>
        <v/>
      </c>
      <c r="S23" s="3">
        <f>TABL123[[#This Row],[T/B-CON.]]+TABL123[[#This Row],[S/S_CON.]]</f>
        <v/>
      </c>
      <c r="T23" s="3">
        <f>TABL123[[#This Row],[(S/S) AJD]]+TABL123[[#This Row],[(T/B) AJD]]</f>
        <v/>
      </c>
      <c r="U23" s="44" t="n">
        <v>527</v>
      </c>
      <c r="V23" s="44" t="n">
        <v>288</v>
      </c>
      <c r="W23" s="3">
        <f>TABL123[[#This Row],[(A/B) AJD]]+TABL123[[#This Row],[(A/S) AJD]]</f>
        <v/>
      </c>
      <c r="X23" s="3">
        <f>TABL123[[#This Row],[( S/S+T/B) AJD]]-TABL123[[#This Row],[(A/B + A/S) AJD]]</f>
        <v/>
      </c>
      <c r="Y23" s="44" t="n">
        <v>92.40000000000001</v>
      </c>
      <c r="Z23" s="45" t="n">
        <v>438288</v>
      </c>
      <c r="AA23" s="3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45" t="n">
        <v>1769</v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87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32">
        <f>TABL123[[#This Row],[(A/S) AJD]]-TABL123[[#This Row],[SER_IN]]</f>
        <v/>
      </c>
    </row>
    <row r="24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28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3">
        <f>TABL123[[#This Row],[ (S/S) SAR]]-TABL123[[#This Row],[(S/S) AJD]]</f>
        <v/>
      </c>
      <c r="Q24" s="39" t="n">
        <v>449</v>
      </c>
      <c r="R24" s="3">
        <f>TABL123[[#This Row],[ (T/B) SAR]]-TABL123[[#This Row],[(T/B) AJD]]</f>
        <v/>
      </c>
      <c r="S24" s="3">
        <f>TABL123[[#This Row],[T/B-CON.]]+TABL123[[#This Row],[S/S_CON.]]</f>
        <v/>
      </c>
      <c r="T24" s="3">
        <f>TABL123[[#This Row],[(S/S) AJD]]+TABL123[[#This Row],[(T/B) AJD]]</f>
        <v/>
      </c>
      <c r="U24" s="41" t="n">
        <v>550</v>
      </c>
      <c r="V24" s="41" t="n">
        <v>308</v>
      </c>
      <c r="W24" s="3">
        <f>TABL123[[#This Row],[(A/B) AJD]]+TABL123[[#This Row],[(A/S) AJD]]</f>
        <v/>
      </c>
      <c r="X24" s="3">
        <f>TABL123[[#This Row],[( S/S+T/B) AJD]]-TABL123[[#This Row],[(A/B + A/S) AJD]]</f>
        <v/>
      </c>
      <c r="Y24" s="41" t="n">
        <v>92.405</v>
      </c>
      <c r="Z24" s="43" t="n">
        <v>440076</v>
      </c>
      <c r="AA24" s="3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43" t="n">
        <v>1660</v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87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32">
        <f>TABL123[[#This Row],[(A/S) AJD]]-TABL123[[#This Row],[SER_IN]]</f>
        <v/>
      </c>
    </row>
    <row r="25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28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3">
        <f>TABL123[[#This Row],[ (S/S) SAR]]-TABL123[[#This Row],[(S/S) AJD]]</f>
        <v/>
      </c>
      <c r="Q25" s="40" t="n">
        <v>449</v>
      </c>
      <c r="R25" s="3">
        <f>TABL123[[#This Row],[ (T/B) SAR]]-TABL123[[#This Row],[(T/B) AJD]]</f>
        <v/>
      </c>
      <c r="S25" s="3">
        <f>TABL123[[#This Row],[T/B-CON.]]+TABL123[[#This Row],[S/S_CON.]]</f>
        <v/>
      </c>
      <c r="T25" s="3">
        <f>TABL123[[#This Row],[(S/S) AJD]]+TABL123[[#This Row],[(T/B) AJD]]</f>
        <v/>
      </c>
      <c r="U25" s="44" t="n">
        <v>538</v>
      </c>
      <c r="V25" s="44" t="n">
        <v>314</v>
      </c>
      <c r="W25" s="3">
        <f>TABL123[[#This Row],[(A/B) AJD]]+TABL123[[#This Row],[(A/S) AJD]]</f>
        <v/>
      </c>
      <c r="X25" s="3">
        <f>TABL123[[#This Row],[( S/S+T/B) AJD]]-TABL123[[#This Row],[(A/B + A/S) AJD]]</f>
        <v/>
      </c>
      <c r="Y25" s="44" t="n">
        <v>92.337</v>
      </c>
      <c r="Z25" s="45" t="n">
        <v>423423</v>
      </c>
      <c r="AA25" s="3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45" t="n">
        <v>1780</v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87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32">
        <f>TABL123[[#This Row],[(A/S) AJD]]-TABL123[[#This Row],[SER_IN]]</f>
        <v/>
      </c>
    </row>
    <row r="26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28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3">
        <f>TABL123[[#This Row],[ (S/S) SAR]]-TABL123[[#This Row],[(S/S) AJD]]</f>
        <v/>
      </c>
      <c r="Q26" s="39" t="n">
        <v>448</v>
      </c>
      <c r="R26" s="3">
        <f>TABL123[[#This Row],[ (T/B) SAR]]-TABL123[[#This Row],[(T/B) AJD]]</f>
        <v/>
      </c>
      <c r="S26" s="3">
        <f>TABL123[[#This Row],[T/B-CON.]]+TABL123[[#This Row],[S/S_CON.]]</f>
        <v/>
      </c>
      <c r="T26" s="3">
        <f>TABL123[[#This Row],[(S/S) AJD]]+TABL123[[#This Row],[(T/B) AJD]]</f>
        <v/>
      </c>
      <c r="U26" s="41" t="n">
        <v>534</v>
      </c>
      <c r="V26" s="41" t="n">
        <v>283</v>
      </c>
      <c r="W26" s="3">
        <f>TABL123[[#This Row],[(A/B) AJD]]+TABL123[[#This Row],[(A/S) AJD]]</f>
        <v/>
      </c>
      <c r="X26" s="3">
        <f>TABL123[[#This Row],[( S/S+T/B) AJD]]-TABL123[[#This Row],[(A/B + A/S) AJD]]</f>
        <v/>
      </c>
      <c r="Y26" s="41" t="n">
        <v>92.417</v>
      </c>
      <c r="Z26" s="43" t="n">
        <v>447212</v>
      </c>
      <c r="AA26" s="3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43" t="n">
        <v>1666</v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87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32">
        <f>TABL123[[#This Row],[(A/S) AJD]]-TABL123[[#This Row],[SER_IN]]</f>
        <v/>
      </c>
    </row>
    <row r="27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28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3">
        <f>TABL123[[#This Row],[ (S/S) SAR]]-TABL123[[#This Row],[(S/S) AJD]]</f>
        <v/>
      </c>
      <c r="Q27" s="40" t="n">
        <v>444</v>
      </c>
      <c r="R27" s="3">
        <f>TABL123[[#This Row],[ (T/B) SAR]]-TABL123[[#This Row],[(T/B) AJD]]</f>
        <v/>
      </c>
      <c r="S27" s="3">
        <f>TABL123[[#This Row],[T/B-CON.]]+TABL123[[#This Row],[S/S_CON.]]</f>
        <v/>
      </c>
      <c r="T27" s="3">
        <f>TABL123[[#This Row],[(S/S) AJD]]+TABL123[[#This Row],[(T/B) AJD]]</f>
        <v/>
      </c>
      <c r="U27" s="44" t="n">
        <v>527</v>
      </c>
      <c r="V27" s="44" t="n">
        <v>316</v>
      </c>
      <c r="W27" s="3">
        <f>TABL123[[#This Row],[(A/B) AJD]]+TABL123[[#This Row],[(A/S) AJD]]</f>
        <v/>
      </c>
      <c r="X27" s="3">
        <f>TABL123[[#This Row],[( S/S+T/B) AJD]]-TABL123[[#This Row],[(A/B + A/S) AJD]]</f>
        <v/>
      </c>
      <c r="Y27" s="44" t="n">
        <v>92.36</v>
      </c>
      <c r="Z27" s="45" t="n">
        <v>419340</v>
      </c>
      <c r="AA27" s="3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45" t="n">
        <v>0</v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87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32">
        <f>TABL123[[#This Row],[(A/S) AJD]]-TABL123[[#This Row],[SER_IN]]</f>
        <v/>
      </c>
    </row>
    <row r="28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28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3">
        <f>TABL123[[#This Row],[ (S/S) SAR]]-TABL123[[#This Row],[(S/S) AJD]]</f>
        <v/>
      </c>
      <c r="Q28" s="39" t="n">
        <v>442</v>
      </c>
      <c r="R28" s="3">
        <f>TABL123[[#This Row],[ (T/B) SAR]]-TABL123[[#This Row],[(T/B) AJD]]</f>
        <v/>
      </c>
      <c r="S28" s="3">
        <f>TABL123[[#This Row],[T/B-CON.]]+TABL123[[#This Row],[S/S_CON.]]</f>
        <v/>
      </c>
      <c r="T28" s="3">
        <f>TABL123[[#This Row],[(S/S) AJD]]+TABL123[[#This Row],[(T/B) AJD]]</f>
        <v/>
      </c>
      <c r="U28" s="41" t="n">
        <v>534</v>
      </c>
      <c r="V28" s="41" t="n">
        <v>323</v>
      </c>
      <c r="W28" s="3">
        <f>TABL123[[#This Row],[(A/B) AJD]]+TABL123[[#This Row],[(A/S) AJD]]</f>
        <v/>
      </c>
      <c r="X28" s="3">
        <f>TABL123[[#This Row],[( S/S+T/B) AJD]]-TABL123[[#This Row],[(A/B + A/S) AJD]]</f>
        <v/>
      </c>
      <c r="Y28" s="41" t="n">
        <v>92.31999999999999</v>
      </c>
      <c r="Z28" s="43" t="n">
        <v>389536</v>
      </c>
      <c r="AA28" s="3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43" t="n">
        <v>0</v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87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32">
        <f>TABL123[[#This Row],[(A/S) AJD]]-TABL123[[#This Row],[SER_IN]]</f>
        <v/>
      </c>
    </row>
    <row r="29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28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3">
        <f>TABL123[[#This Row],[ (S/S) SAR]]-TABL123[[#This Row],[(S/S) AJD]]</f>
        <v/>
      </c>
      <c r="Q29" s="40" t="n">
        <v>441</v>
      </c>
      <c r="R29" s="3">
        <f>TABL123[[#This Row],[ (T/B) SAR]]-TABL123[[#This Row],[(T/B) AJD]]</f>
        <v/>
      </c>
      <c r="S29" s="3">
        <f>TABL123[[#This Row],[T/B-CON.]]+TABL123[[#This Row],[S/S_CON.]]</f>
        <v/>
      </c>
      <c r="T29" s="3">
        <f>TABL123[[#This Row],[(S/S) AJD]]+TABL123[[#This Row],[(T/B) AJD]]</f>
        <v/>
      </c>
      <c r="U29" s="44" t="n">
        <v>526</v>
      </c>
      <c r="V29" s="44" t="n">
        <v>315</v>
      </c>
      <c r="W29" s="3">
        <f>TABL123[[#This Row],[(A/B) AJD]]+TABL123[[#This Row],[(A/S) AJD]]</f>
        <v/>
      </c>
      <c r="X29" s="3">
        <f>TABL123[[#This Row],[( S/S+T/B) AJD]]-TABL123[[#This Row],[(A/B + A/S) AJD]]</f>
        <v/>
      </c>
      <c r="Y29" s="44" t="n">
        <v>92.33199999999999</v>
      </c>
      <c r="Z29" s="45" t="n">
        <v>396667</v>
      </c>
      <c r="AA29" s="3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45" t="n">
        <v>657</v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87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32">
        <f>TABL123[[#This Row],[(A/S) AJD]]-TABL123[[#This Row],[SER_IN]]</f>
        <v/>
      </c>
    </row>
    <row r="30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28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3">
        <f>TABL123[[#This Row],[ (S/S) SAR]]-TABL123[[#This Row],[(S/S) AJD]]</f>
        <v/>
      </c>
      <c r="Q30" s="39" t="n">
        <v>444</v>
      </c>
      <c r="R30" s="3">
        <f>TABL123[[#This Row],[ (T/B) SAR]]-TABL123[[#This Row],[(T/B) AJD]]</f>
        <v/>
      </c>
      <c r="S30" s="3">
        <f>TABL123[[#This Row],[T/B-CON.]]+TABL123[[#This Row],[S/S_CON.]]</f>
        <v/>
      </c>
      <c r="T30" s="3">
        <f>TABL123[[#This Row],[(S/S) AJD]]+TABL123[[#This Row],[(T/B) AJD]]</f>
        <v/>
      </c>
      <c r="U30" s="41" t="n">
        <v>527</v>
      </c>
      <c r="V30" s="41" t="n">
        <v>323</v>
      </c>
      <c r="W30" s="3">
        <f>TABL123[[#This Row],[(A/B) AJD]]+TABL123[[#This Row],[(A/S) AJD]]</f>
        <v/>
      </c>
      <c r="X30" s="3">
        <f>TABL123[[#This Row],[( S/S+T/B) AJD]]-TABL123[[#This Row],[(A/B + A/S) AJD]]</f>
        <v/>
      </c>
      <c r="Y30" s="41" t="n">
        <v>92.27</v>
      </c>
      <c r="Z30" s="43" t="n">
        <v>359834</v>
      </c>
      <c r="AA30" s="3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43" t="n">
        <v>724</v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87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32">
        <f>TABL123[[#This Row],[(A/S) AJD]]-TABL123[[#This Row],[SER_IN]]</f>
        <v/>
      </c>
    </row>
    <row r="3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28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3">
        <f>TABL123[[#This Row],[ (S/S) SAR]]-TABL123[[#This Row],[(S/S) AJD]]</f>
        <v/>
      </c>
      <c r="Q31" s="40" t="n">
        <v>445</v>
      </c>
      <c r="R31" s="3">
        <f>TABL123[[#This Row],[ (T/B) SAR]]-TABL123[[#This Row],[(T/B) AJD]]</f>
        <v/>
      </c>
      <c r="S31" s="3">
        <f>TABL123[[#This Row],[T/B-CON.]]+TABL123[[#This Row],[S/S_CON.]]</f>
        <v/>
      </c>
      <c r="T31" s="3">
        <f>TABL123[[#This Row],[(S/S) AJD]]+TABL123[[#This Row],[(T/B) AJD]]</f>
        <v/>
      </c>
      <c r="U31" s="44" t="n">
        <v>531</v>
      </c>
      <c r="V31" s="44" t="n">
        <v>279</v>
      </c>
      <c r="W31" s="3">
        <f>TABL123[[#This Row],[(A/B) AJD]]+TABL123[[#This Row],[(A/S) AJD]]</f>
        <v/>
      </c>
      <c r="X31" s="3">
        <f>TABL123[[#This Row],[( S/S+T/B) AJD]]-TABL123[[#This Row],[(A/B + A/S) AJD]]</f>
        <v/>
      </c>
      <c r="Y31" s="44" t="n">
        <v>92.31</v>
      </c>
      <c r="Z31" s="45" t="n">
        <v>383593</v>
      </c>
      <c r="AA31" s="3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45" t="n">
        <v>1376</v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87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32">
        <f>TABL123[[#This Row],[(A/S) AJD]]-TABL123[[#This Row],[SER_IN]]</f>
        <v/>
      </c>
    </row>
    <row r="32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28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3">
        <f>TABL123[[#This Row],[ (S/S) SAR]]-TABL123[[#This Row],[(S/S) AJD]]</f>
        <v/>
      </c>
      <c r="Q32" s="39" t="n">
        <v>444</v>
      </c>
      <c r="R32" s="3">
        <f>TABL123[[#This Row],[ (T/B) SAR]]-TABL123[[#This Row],[(T/B) AJD]]</f>
        <v/>
      </c>
      <c r="S32" s="3">
        <f>TABL123[[#This Row],[T/B-CON.]]+TABL123[[#This Row],[S/S_CON.]]</f>
        <v/>
      </c>
      <c r="T32" s="3">
        <f>TABL123[[#This Row],[(S/S) AJD]]+TABL123[[#This Row],[(T/B) AJD]]</f>
        <v/>
      </c>
      <c r="U32" s="41" t="n">
        <v>536</v>
      </c>
      <c r="V32" s="41" t="n">
        <v>286</v>
      </c>
      <c r="W32" s="3">
        <f>TABL123[[#This Row],[(A/B) AJD]]+TABL123[[#This Row],[(A/S) AJD]]</f>
        <v/>
      </c>
      <c r="X32" s="3">
        <f>TABL123[[#This Row],[( S/S+T/B) AJD]]-TABL123[[#This Row],[(A/B + A/S) AJD]]</f>
        <v/>
      </c>
      <c r="Y32" s="41" t="n">
        <v>92.31999999999999</v>
      </c>
      <c r="Z32" s="43" t="n">
        <v>391313</v>
      </c>
      <c r="AA32" s="3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43" t="n">
        <v>1103</v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87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32">
        <f>TABL123[[#This Row],[(A/S) AJD]]-TABL123[[#This Row],[SER_IN]]</f>
        <v/>
      </c>
    </row>
    <row r="33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28">
        <f>103-F33</f>
        <v/>
      </c>
      <c r="I33" s="39" t="n">
        <v>468</v>
      </c>
      <c r="J33" s="39" t="n">
        <v>451</v>
      </c>
      <c r="K33" s="28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3">
        <f>TABL123[[#This Row],[ (S/S) SAR]]-TABL123[[#This Row],[(S/S) AJD]]</f>
        <v/>
      </c>
      <c r="Q33" s="39" t="n">
        <v>443</v>
      </c>
      <c r="R33" s="3">
        <f>TABL123[[#This Row],[ (T/B) SAR]]-TABL123[[#This Row],[(T/B) AJD]]</f>
        <v/>
      </c>
      <c r="S33" s="3">
        <f>TABL123[[#This Row],[T/B-CON.]]+TABL123[[#This Row],[S/S_CON.]]</f>
        <v/>
      </c>
      <c r="T33" s="3">
        <f>TABL123[[#This Row],[(S/S) AJD]]+TABL123[[#This Row],[(T/B) AJD]]</f>
        <v/>
      </c>
      <c r="U33" s="41" t="n">
        <v>528</v>
      </c>
      <c r="V33" s="41" t="n">
        <v>294</v>
      </c>
      <c r="W33" s="3">
        <f>TABL123[[#This Row],[(A/B) AJD]]+TABL123[[#This Row],[(A/S) AJD]]</f>
        <v/>
      </c>
      <c r="X33" s="3">
        <f>TABL123[[#This Row],[( S/S+T/B) AJD]]-TABL123[[#This Row],[(A/B + A/S) AJD]]</f>
        <v/>
      </c>
      <c r="Y33" s="41" t="n">
        <v>92.33</v>
      </c>
      <c r="Z33" s="43" t="n">
        <v>394292</v>
      </c>
      <c r="AA33" s="3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43" t="n">
        <v>1832</v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87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32">
        <f>TABL123[[#This Row],[(A/S) AJD]]-TABL123[[#This Row],[SER_IN]]</f>
        <v/>
      </c>
    </row>
    <row r="34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28">
        <f>103-F34</f>
        <v/>
      </c>
      <c r="I34" s="40" t="n">
        <v>455</v>
      </c>
      <c r="J34" s="44" t="n">
        <v>440</v>
      </c>
      <c r="K34" s="28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3">
        <f>TABL123[[#This Row],[ (S/S) SAR]]-TABL123[[#This Row],[(S/S) AJD]]</f>
        <v/>
      </c>
      <c r="Q34" s="40" t="n">
        <v>440</v>
      </c>
      <c r="R34" s="3">
        <f>TABL123[[#This Row],[ (T/B) SAR]]-TABL123[[#This Row],[(T/B) AJD]]</f>
        <v/>
      </c>
      <c r="S34" s="3">
        <f>TABL123[[#This Row],[T/B-CON.]]+TABL123[[#This Row],[S/S_CON.]]</f>
        <v/>
      </c>
      <c r="T34" s="3">
        <f>TABL123[[#This Row],[(S/S) AJD]]+TABL123[[#This Row],[(T/B) AJD]]</f>
        <v/>
      </c>
      <c r="U34" s="44" t="n">
        <v>529</v>
      </c>
      <c r="V34" s="44" t="n">
        <v>263</v>
      </c>
      <c r="W34" s="3">
        <f>TABL123[[#This Row],[(A/B) AJD]]+TABL123[[#This Row],[(A/S) AJD]]</f>
        <v/>
      </c>
      <c r="X34" s="3">
        <f>TABL123[[#This Row],[( S/S+T/B) AJD]]-TABL123[[#This Row],[(A/B + A/S) AJD]]</f>
        <v/>
      </c>
      <c r="Y34" s="44" t="n">
        <v>92.393</v>
      </c>
      <c r="Z34" s="45" t="n">
        <v>432933</v>
      </c>
      <c r="AA34" s="3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45" t="n">
        <v>0</v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87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32">
        <f>TABL123[[#This Row],[(A/S) AJD]]-TABL123[[#This Row],[SER_IN]]</f>
        <v/>
      </c>
    </row>
    <row r="35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28">
        <f>103-F35</f>
        <v/>
      </c>
      <c r="I35" s="39" t="n">
        <v>445</v>
      </c>
      <c r="J35" s="39" t="n">
        <v>430</v>
      </c>
      <c r="K35" s="28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3">
        <f>TABL123[[#This Row],[ (S/S) SAR]]-TABL123[[#This Row],[(S/S) AJD]]</f>
        <v/>
      </c>
      <c r="Q35" s="39" t="n">
        <v>432</v>
      </c>
      <c r="R35" s="3">
        <f>TABL123[[#This Row],[ (T/B) SAR]]-TABL123[[#This Row],[(T/B) AJD]]</f>
        <v/>
      </c>
      <c r="S35" s="3">
        <f>TABL123[[#This Row],[T/B-CON.]]+TABL123[[#This Row],[S/S_CON.]]</f>
        <v/>
      </c>
      <c r="T35" s="3">
        <f>TABL123[[#This Row],[(S/S) AJD]]+TABL123[[#This Row],[(T/B) AJD]]</f>
        <v/>
      </c>
      <c r="U35" s="41" t="n">
        <v>553</v>
      </c>
      <c r="V35" s="41" t="n">
        <v>270</v>
      </c>
      <c r="W35" s="3">
        <f>TABL123[[#This Row],[(A/B) AJD]]+TABL123[[#This Row],[(A/S) AJD]]</f>
        <v/>
      </c>
      <c r="X35" s="3">
        <f>TABL123[[#This Row],[( S/S+T/B) AJD]]-TABL123[[#This Row],[(A/B + A/S) AJD]]</f>
        <v/>
      </c>
      <c r="Y35" s="41" t="n">
        <v>92.38200000000001</v>
      </c>
      <c r="Z35" s="43" t="n">
        <v>426394</v>
      </c>
      <c r="AA35" s="3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43" t="n">
        <v>1361</v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87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32">
        <f>TABL123[[#This Row],[(A/S) AJD]]-TABL123[[#This Row],[SER_IN]]</f>
        <v/>
      </c>
    </row>
    <row r="36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28">
        <f>103-F36</f>
        <v/>
      </c>
      <c r="I36" s="40" t="n">
        <v>440</v>
      </c>
      <c r="J36" s="44" t="n">
        <v>424</v>
      </c>
      <c r="K36" s="28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3">
        <f>TABL123[[#This Row],[ (S/S) SAR]]-TABL123[[#This Row],[(S/S) AJD]]</f>
        <v/>
      </c>
      <c r="Q36" s="40" t="n">
        <v>420</v>
      </c>
      <c r="R36" s="3">
        <f>TABL123[[#This Row],[ (T/B) SAR]]-TABL123[[#This Row],[(T/B) AJD]]</f>
        <v/>
      </c>
      <c r="S36" s="3">
        <f>TABL123[[#This Row],[T/B-CON.]]+TABL123[[#This Row],[S/S_CON.]]</f>
        <v/>
      </c>
      <c r="T36" s="3">
        <f>TABL123[[#This Row],[(S/S) AJD]]+TABL123[[#This Row],[(T/B) AJD]]</f>
        <v/>
      </c>
      <c r="U36" s="44" t="n">
        <v>549</v>
      </c>
      <c r="V36" s="44" t="n">
        <v>266</v>
      </c>
      <c r="W36" s="3">
        <f>TABL123[[#This Row],[(A/B) AJD]]+TABL123[[#This Row],[(A/S) AJD]]</f>
        <v/>
      </c>
      <c r="X36" s="3">
        <f>TABL123[[#This Row],[( S/S+T/B) AJD]]-TABL123[[#This Row],[(A/B + A/S) AJD]]</f>
        <v/>
      </c>
      <c r="Y36" s="44" t="n">
        <v>92.328</v>
      </c>
      <c r="Z36" s="45" t="n">
        <v>394292</v>
      </c>
      <c r="AA36" s="3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45" t="n">
        <v>1137</v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87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32">
        <f>TABL123[[#This Row],[(A/S) AJD]]-TABL123[[#This Row],[SER_IN]]</f>
        <v/>
      </c>
    </row>
    <row r="37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28">
        <f>103-F37</f>
        <v/>
      </c>
      <c r="I37" s="39" t="n">
        <v>425</v>
      </c>
      <c r="J37" s="39" t="n">
        <v>428</v>
      </c>
      <c r="K37" s="28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3">
        <f>TABL123[[#This Row],[ (S/S) SAR]]-TABL123[[#This Row],[(S/S) AJD]]</f>
        <v/>
      </c>
      <c r="Q37" s="39" t="n">
        <v>414</v>
      </c>
      <c r="R37" s="3">
        <f>TABL123[[#This Row],[ (T/B) SAR]]-TABL123[[#This Row],[(T/B) AJD]]</f>
        <v/>
      </c>
      <c r="S37" s="3">
        <f>TABL123[[#This Row],[T/B-CON.]]+TABL123[[#This Row],[S/S_CON.]]</f>
        <v/>
      </c>
      <c r="T37" s="3">
        <f>TABL123[[#This Row],[(S/S) AJD]]+TABL123[[#This Row],[(T/B) AJD]]</f>
        <v/>
      </c>
      <c r="U37" s="41" t="n">
        <v>545</v>
      </c>
      <c r="V37" s="41" t="n">
        <v>271</v>
      </c>
      <c r="W37" s="3">
        <f>TABL123[[#This Row],[(A/B) AJD]]+TABL123[[#This Row],[(A/S) AJD]]</f>
        <v/>
      </c>
      <c r="X37" s="3">
        <f>TABL123[[#This Row],[( S/S+T/B) AJD]]-TABL123[[#This Row],[(A/B + A/S) AJD]]</f>
        <v/>
      </c>
      <c r="Y37" s="41" t="n">
        <v>92.238</v>
      </c>
      <c r="Z37" s="43" t="n">
        <v>340835</v>
      </c>
      <c r="AA37" s="3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43" t="n">
        <v>871</v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87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32">
        <f>TABL123[[#This Row],[(A/S) AJD]]-TABL123[[#This Row],[SER_IN]]</f>
        <v/>
      </c>
    </row>
    <row r="38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28">
        <f>103-F38</f>
        <v/>
      </c>
      <c r="I38" s="40" t="n">
        <v>440</v>
      </c>
      <c r="J38" s="44" t="n">
        <v>428</v>
      </c>
      <c r="K38" s="28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3">
        <f>TABL123[[#This Row],[ (S/S) SAR]]-TABL123[[#This Row],[(S/S) AJD]]</f>
        <v/>
      </c>
      <c r="Q38" s="40" t="n">
        <v>419</v>
      </c>
      <c r="R38" s="3">
        <f>TABL123[[#This Row],[ (T/B) SAR]]-TABL123[[#This Row],[(T/B) AJD]]</f>
        <v/>
      </c>
      <c r="S38" s="3">
        <f>TABL123[[#This Row],[T/B-CON.]]+TABL123[[#This Row],[S/S_CON.]]</f>
        <v/>
      </c>
      <c r="T38" s="3">
        <f>TABL123[[#This Row],[(S/S) AJD]]+TABL123[[#This Row],[(T/B) AJD]]</f>
        <v/>
      </c>
      <c r="U38" s="44" t="n">
        <v>557</v>
      </c>
      <c r="V38" s="44" t="n">
        <v>267</v>
      </c>
      <c r="W38" s="3">
        <f>TABL123[[#This Row],[(A/B) AJD]]+TABL123[[#This Row],[(A/S) AJD]]</f>
        <v/>
      </c>
      <c r="X38" s="3">
        <f>TABL123[[#This Row],[( S/S+T/B) AJD]]-TABL123[[#This Row],[(A/B + A/S) AJD]]</f>
        <v/>
      </c>
      <c r="Y38" s="44" t="n">
        <v>92.17</v>
      </c>
      <c r="Z38" s="45" t="n">
        <v>300498</v>
      </c>
      <c r="AA38" s="3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45" t="n">
        <v>1510</v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87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32">
        <f>TABL123[[#This Row],[(A/S) AJD]]-TABL123[[#This Row],[SER_IN]]</f>
        <v/>
      </c>
    </row>
    <row r="39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28">
        <f>103-F39</f>
        <v/>
      </c>
      <c r="I39" s="39" t="n">
        <v>442</v>
      </c>
      <c r="J39" s="39" t="n">
        <v>430</v>
      </c>
      <c r="K39" s="28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3">
        <f>TABL123[[#This Row],[ (S/S) SAR]]-TABL123[[#This Row],[(S/S) AJD]]</f>
        <v/>
      </c>
      <c r="Q39" s="39" t="n">
        <v>414</v>
      </c>
      <c r="R39" s="3">
        <f>TABL123[[#This Row],[ (T/B) SAR]]-TABL123[[#This Row],[(T/B) AJD]]</f>
        <v/>
      </c>
      <c r="S39" s="3">
        <f>TABL123[[#This Row],[T/B-CON.]]+TABL123[[#This Row],[S/S_CON.]]</f>
        <v/>
      </c>
      <c r="T39" s="3">
        <f>TABL123[[#This Row],[(S/S) AJD]]+TABL123[[#This Row],[(T/B) AJD]]</f>
        <v/>
      </c>
      <c r="U39" s="41" t="n">
        <v>476</v>
      </c>
      <c r="V39" s="41" t="n">
        <v>258</v>
      </c>
      <c r="W39" s="3">
        <f>TABL123[[#This Row],[(A/B) AJD]]+TABL123[[#This Row],[(A/S) AJD]]</f>
        <v/>
      </c>
      <c r="X39" s="3">
        <f>TABL123[[#This Row],[( S/S+T/B) AJD]]-TABL123[[#This Row],[(A/B + A/S) AJD]]</f>
        <v/>
      </c>
      <c r="Y39" s="41" t="n">
        <v>92.223</v>
      </c>
      <c r="Z39" s="43" t="n">
        <v>331937</v>
      </c>
      <c r="AA39" s="3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43" t="n">
        <v>1679</v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87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32">
        <f>TABL123[[#This Row],[(A/S) AJD]]-TABL123[[#This Row],[SER_IN]]</f>
        <v/>
      </c>
    </row>
    <row r="40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28">
        <f>103-F40</f>
        <v/>
      </c>
      <c r="I40" s="40" t="n">
        <v>442</v>
      </c>
      <c r="J40" s="44" t="n">
        <v>430</v>
      </c>
      <c r="K40" s="28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3">
        <f>TABL123[[#This Row],[ (S/S) SAR]]-TABL123[[#This Row],[(S/S) AJD]]</f>
        <v/>
      </c>
      <c r="Q40" s="40" t="n">
        <v>419</v>
      </c>
      <c r="R40" s="3">
        <f>TABL123[[#This Row],[ (T/B) SAR]]-TABL123[[#This Row],[(T/B) AJD]]</f>
        <v/>
      </c>
      <c r="S40" s="3">
        <f>TABL123[[#This Row],[T/B-CON.]]+TABL123[[#This Row],[S/S_CON.]]</f>
        <v/>
      </c>
      <c r="T40" s="3">
        <f>TABL123[[#This Row],[(S/S) AJD]]+TABL123[[#This Row],[(T/B) AJD]]</f>
        <v/>
      </c>
      <c r="U40" s="44" t="n">
        <v>553</v>
      </c>
      <c r="V40" s="44" t="n">
        <v>257</v>
      </c>
      <c r="W40" s="3">
        <f>TABL123[[#This Row],[(A/B) AJD]]+TABL123[[#This Row],[(A/S) AJD]]</f>
        <v/>
      </c>
      <c r="X40" s="3">
        <f>TABL123[[#This Row],[( S/S+T/B) AJD]]-TABL123[[#This Row],[(A/B + A/S) AJD]]</f>
        <v/>
      </c>
      <c r="Y40" s="44" t="n">
        <v>92.17</v>
      </c>
      <c r="Z40" s="45" t="n">
        <v>300498</v>
      </c>
      <c r="AA40" s="3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45" t="n">
        <v>1447</v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87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32">
        <f>TABL123[[#This Row],[(A/S) AJD]]-TABL123[[#This Row],[SER_IN]]</f>
        <v/>
      </c>
    </row>
    <row r="4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28">
        <f>103-F41</f>
        <v/>
      </c>
      <c r="I41" s="39" t="n">
        <v>442</v>
      </c>
      <c r="J41" s="39" t="n">
        <v>430</v>
      </c>
      <c r="K41" s="28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3">
        <f>TABL123[[#This Row],[ (S/S) SAR]]-TABL123[[#This Row],[(S/S) AJD]]</f>
        <v/>
      </c>
      <c r="Q41" s="39" t="n">
        <v>421</v>
      </c>
      <c r="R41" s="3">
        <f>TABL123[[#This Row],[ (T/B) SAR]]-TABL123[[#This Row],[(T/B) AJD]]</f>
        <v/>
      </c>
      <c r="S41" s="3">
        <f>TABL123[[#This Row],[T/B-CON.]]+TABL123[[#This Row],[S/S_CON.]]</f>
        <v/>
      </c>
      <c r="T41" s="3">
        <f>TABL123[[#This Row],[(S/S) AJD]]+TABL123[[#This Row],[(T/B) AJD]]</f>
        <v/>
      </c>
      <c r="U41" s="41" t="n">
        <v>554</v>
      </c>
      <c r="V41" s="41" t="n">
        <v>250</v>
      </c>
      <c r="W41" s="3">
        <f>TABL123[[#This Row],[(A/B) AJD]]+TABL123[[#This Row],[(A/S) AJD]]</f>
        <v/>
      </c>
      <c r="X41" s="3">
        <f>TABL123[[#This Row],[( S/S+T/B) AJD]]-TABL123[[#This Row],[(A/B + A/S) AJD]]</f>
        <v/>
      </c>
      <c r="Y41" s="41" t="n">
        <v>92.14</v>
      </c>
      <c r="Z41" s="43" t="n">
        <v>282713</v>
      </c>
      <c r="AA41" s="3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43" t="n">
        <v>1498</v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87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32">
        <f>TABL123[[#This Row],[(A/S) AJD]]-TABL123[[#This Row],[SER_IN]]</f>
        <v/>
      </c>
    </row>
    <row r="42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28">
        <f>103-F42</f>
        <v/>
      </c>
      <c r="I42" s="40" t="n">
        <v>444</v>
      </c>
      <c r="J42" s="44" t="n">
        <v>430</v>
      </c>
      <c r="K42" s="28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3">
        <f>TABL123[[#This Row],[ (S/S) SAR]]-TABL123[[#This Row],[(S/S) AJD]]</f>
        <v/>
      </c>
      <c r="Q42" s="40" t="n">
        <v>418</v>
      </c>
      <c r="R42" s="3">
        <f>TABL123[[#This Row],[ (T/B) SAR]]-TABL123[[#This Row],[(T/B) AJD]]</f>
        <v/>
      </c>
      <c r="S42" s="3">
        <f>TABL123[[#This Row],[T/B-CON.]]+TABL123[[#This Row],[S/S_CON.]]</f>
        <v/>
      </c>
      <c r="T42" s="3">
        <f>TABL123[[#This Row],[(S/S) AJD]]+TABL123[[#This Row],[(T/B) AJD]]</f>
        <v/>
      </c>
      <c r="U42" s="44" t="n">
        <v>562</v>
      </c>
      <c r="V42" s="44" t="n">
        <v>246</v>
      </c>
      <c r="W42" s="3">
        <f>TABL123[[#This Row],[(A/B) AJD]]+TABL123[[#This Row],[(A/S) AJD]]</f>
        <v/>
      </c>
      <c r="X42" s="3">
        <f>TABL123[[#This Row],[( S/S+T/B) AJD]]-TABL123[[#This Row],[(A/B + A/S) AJD]]</f>
        <v/>
      </c>
      <c r="Y42" s="44" t="n">
        <v>92.128</v>
      </c>
      <c r="Z42" s="45" t="n">
        <v>275600</v>
      </c>
      <c r="AA42" s="3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45" t="n">
        <v>1891</v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87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32">
        <f>TABL123[[#This Row],[(A/S) AJD]]-TABL123[[#This Row],[SER_IN]]</f>
        <v/>
      </c>
    </row>
    <row r="43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28">
        <f>103-F43</f>
        <v/>
      </c>
      <c r="I43" s="39" t="n">
        <v>449</v>
      </c>
      <c r="J43" s="39" t="n">
        <v>431</v>
      </c>
      <c r="K43" s="28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3">
        <f>TABL123[[#This Row],[ (S/S) SAR]]-TABL123[[#This Row],[(S/S) AJD]]</f>
        <v/>
      </c>
      <c r="Q43" s="39" t="n">
        <v>421</v>
      </c>
      <c r="R43" s="3">
        <f>TABL123[[#This Row],[ (T/B) SAR]]-TABL123[[#This Row],[(T/B) AJD]]</f>
        <v/>
      </c>
      <c r="S43" s="3">
        <f>TABL123[[#This Row],[T/B-CON.]]+TABL123[[#This Row],[S/S_CON.]]</f>
        <v/>
      </c>
      <c r="T43" s="3">
        <f>TABL123[[#This Row],[(S/S) AJD]]+TABL123[[#This Row],[(T/B) AJD]]</f>
        <v/>
      </c>
      <c r="U43" s="41" t="n">
        <v>556</v>
      </c>
      <c r="V43" s="41" t="n">
        <v>275</v>
      </c>
      <c r="W43" s="3">
        <f>TABL123[[#This Row],[(A/B) AJD]]+TABL123[[#This Row],[(A/S) AJD]]</f>
        <v/>
      </c>
      <c r="X43" s="3">
        <f>TABL123[[#This Row],[( S/S+T/B) AJD]]-TABL123[[#This Row],[(A/B + A/S) AJD]]</f>
        <v/>
      </c>
      <c r="Y43" s="41" t="n">
        <v>92.07299999999999</v>
      </c>
      <c r="Z43" s="43" t="n">
        <v>244202</v>
      </c>
      <c r="AA43" s="3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43" t="n">
        <v>1552</v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87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32">
        <f>TABL123[[#This Row],[(A/S) AJD]]-TABL123[[#This Row],[SER_IN]]</f>
        <v/>
      </c>
    </row>
    <row r="44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28">
        <f>103-F44</f>
        <v/>
      </c>
      <c r="I44" s="40" t="n">
        <v>447</v>
      </c>
      <c r="J44" s="44" t="n">
        <v>433</v>
      </c>
      <c r="K44" s="28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3">
        <f>TABL123[[#This Row],[ (S/S) SAR]]-TABL123[[#This Row],[(S/S) AJD]]</f>
        <v/>
      </c>
      <c r="Q44" s="40" t="n">
        <v>418</v>
      </c>
      <c r="R44" s="3">
        <f>TABL123[[#This Row],[ (T/B) SAR]]-TABL123[[#This Row],[(T/B) AJD]]</f>
        <v/>
      </c>
      <c r="S44" s="3">
        <f>TABL123[[#This Row],[T/B-CON.]]+TABL123[[#This Row],[S/S_CON.]]</f>
        <v/>
      </c>
      <c r="T44" s="3">
        <f>TABL123[[#This Row],[(S/S) AJD]]+TABL123[[#This Row],[(T/B) AJD]]</f>
        <v/>
      </c>
      <c r="U44" s="44" t="n">
        <v>538</v>
      </c>
      <c r="V44" s="44" t="n">
        <v>264</v>
      </c>
      <c r="W44" s="3">
        <f>TABL123[[#This Row],[(A/B) AJD]]+TABL123[[#This Row],[(A/S) AJD]]</f>
        <v/>
      </c>
      <c r="X44" s="3">
        <f>TABL123[[#This Row],[( S/S+T/B) AJD]]-TABL123[[#This Row],[(A/B + A/S) AJD]]</f>
        <v/>
      </c>
      <c r="Y44" s="44" t="n">
        <v>92.018</v>
      </c>
      <c r="Z44" s="45" t="n">
        <v>210460</v>
      </c>
      <c r="AA44" s="3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45" t="n">
        <v>1927</v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87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32">
        <f>TABL123[[#This Row],[(A/S) AJD]]-TABL123[[#This Row],[SER_IN]]</f>
        <v/>
      </c>
    </row>
    <row r="45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28">
        <f>103-F45</f>
        <v/>
      </c>
      <c r="I45" s="39" t="n">
        <v>427</v>
      </c>
      <c r="J45" s="39" t="n">
        <v>412</v>
      </c>
      <c r="K45" s="28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3">
        <f>TABL123[[#This Row],[ (S/S) SAR]]-TABL123[[#This Row],[(S/S) AJD]]</f>
        <v/>
      </c>
      <c r="Q45" s="39" t="n">
        <v>420</v>
      </c>
      <c r="R45" s="3">
        <f>TABL123[[#This Row],[ (T/B) SAR]]-TABL123[[#This Row],[(T/B) AJD]]</f>
        <v/>
      </c>
      <c r="S45" s="3">
        <f>TABL123[[#This Row],[T/B-CON.]]+TABL123[[#This Row],[S/S_CON.]]</f>
        <v/>
      </c>
      <c r="T45" s="3">
        <f>TABL123[[#This Row],[(S/S) AJD]]+TABL123[[#This Row],[(T/B) AJD]]</f>
        <v/>
      </c>
      <c r="U45" s="41" t="n">
        <v>519</v>
      </c>
      <c r="V45" s="41" t="n">
        <v>267</v>
      </c>
      <c r="W45" s="3">
        <f>TABL123[[#This Row],[(A/B) AJD]]+TABL123[[#This Row],[(A/S) AJD]]</f>
        <v/>
      </c>
      <c r="X45" s="3">
        <f>TABL123[[#This Row],[( S/S+T/B) AJD]]-TABL123[[#This Row],[(A/B + A/S) AJD]]</f>
        <v/>
      </c>
      <c r="Y45" s="41" t="n">
        <v>92.02500000000001</v>
      </c>
      <c r="Z45" s="43" t="n">
        <v>214606</v>
      </c>
      <c r="AA45" s="3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43" t="n">
        <v>1266</v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87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32">
        <f>TABL123[[#This Row],[(A/S) AJD]]-TABL123[[#This Row],[SER_IN]]</f>
        <v/>
      </c>
    </row>
    <row r="46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28">
        <f>103-F46</f>
        <v/>
      </c>
      <c r="I46" s="40" t="n">
        <v>427</v>
      </c>
      <c r="J46" s="44" t="n">
        <v>412</v>
      </c>
      <c r="K46" s="28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3">
        <f>TABL123[[#This Row],[ (S/S) SAR]]-TABL123[[#This Row],[(S/S) AJD]]</f>
        <v/>
      </c>
      <c r="Q46" s="40" t="n">
        <v>422</v>
      </c>
      <c r="R46" s="3">
        <f>TABL123[[#This Row],[ (T/B) SAR]]-TABL123[[#This Row],[(T/B) AJD]]</f>
        <v/>
      </c>
      <c r="S46" s="3">
        <f>TABL123[[#This Row],[T/B-CON.]]+TABL123[[#This Row],[S/S_CON.]]</f>
        <v/>
      </c>
      <c r="T46" s="3">
        <f>TABL123[[#This Row],[(S/S) AJD]]+TABL123[[#This Row],[(T/B) AJD]]</f>
        <v/>
      </c>
      <c r="U46" s="44" t="n">
        <v>521</v>
      </c>
      <c r="V46" s="44" t="n">
        <v>244</v>
      </c>
      <c r="W46" s="3">
        <f>TABL123[[#This Row],[(A/B) AJD]]+TABL123[[#This Row],[(A/S) AJD]]</f>
        <v/>
      </c>
      <c r="X46" s="3">
        <f>TABL123[[#This Row],[( S/S+T/B) AJD]]-TABL123[[#This Row],[(A/B + A/S) AJD]]</f>
        <v/>
      </c>
      <c r="Y46" s="44" t="n">
        <v>92.09999999999999</v>
      </c>
      <c r="Z46" s="45" t="n">
        <v>259010</v>
      </c>
      <c r="AA46" s="3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45" t="n">
        <v>1150</v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87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32">
        <f>TABL123[[#This Row],[(A/S) AJD]]-TABL123[[#This Row],[SER_IN]]</f>
        <v/>
      </c>
    </row>
    <row r="47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28">
        <f>103-F47</f>
        <v/>
      </c>
      <c r="I47" s="39" t="n">
        <v>439</v>
      </c>
      <c r="J47" s="39" t="n">
        <v>431</v>
      </c>
      <c r="K47" s="28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3">
        <f>TABL123[[#This Row],[ (S/S) SAR]]-TABL123[[#This Row],[(S/S) AJD]]</f>
        <v/>
      </c>
      <c r="Q47" s="39" t="n">
        <v>422</v>
      </c>
      <c r="R47" s="3">
        <f>TABL123[[#This Row],[ (T/B) SAR]]-TABL123[[#This Row],[(T/B) AJD]]</f>
        <v/>
      </c>
      <c r="S47" s="3">
        <f>TABL123[[#This Row],[T/B-CON.]]+TABL123[[#This Row],[S/S_CON.]]</f>
        <v/>
      </c>
      <c r="T47" s="3">
        <f>TABL123[[#This Row],[(S/S) AJD]]+TABL123[[#This Row],[(T/B) AJD]]</f>
        <v/>
      </c>
      <c r="U47" s="41" t="n">
        <v>446</v>
      </c>
      <c r="V47" s="41" t="n">
        <v>250</v>
      </c>
      <c r="W47" s="3">
        <f>TABL123[[#This Row],[(A/B) AJD]]+TABL123[[#This Row],[(A/S) AJD]]</f>
        <v/>
      </c>
      <c r="X47" s="3">
        <f>TABL123[[#This Row],[( S/S+T/B) AJD]]-TABL123[[#This Row],[(A/B + A/S) AJD]]</f>
        <v/>
      </c>
      <c r="Y47" s="41" t="n">
        <v>92.21299999999999</v>
      </c>
      <c r="Z47" s="43" t="n">
        <v>326002</v>
      </c>
      <c r="AA47" s="3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43" t="n">
        <v>1557</v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87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32">
        <f>TABL123[[#This Row],[(A/S) AJD]]-TABL123[[#This Row],[SER_IN]]</f>
        <v/>
      </c>
    </row>
    <row r="48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28">
        <f>103-F48</f>
        <v/>
      </c>
      <c r="I48" s="40" t="n">
        <v>445</v>
      </c>
      <c r="J48" s="44" t="n">
        <v>432</v>
      </c>
      <c r="K48" s="28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3">
        <f>TABL123[[#This Row],[ (S/S) SAR]]-TABL123[[#This Row],[(S/S) AJD]]</f>
        <v/>
      </c>
      <c r="Q48" s="40" t="n">
        <v>422</v>
      </c>
      <c r="R48" s="3">
        <f>TABL123[[#This Row],[ (T/B) SAR]]-TABL123[[#This Row],[(T/B) AJD]]</f>
        <v/>
      </c>
      <c r="S48" s="3">
        <f>TABL123[[#This Row],[T/B-CON.]]+TABL123[[#This Row],[S/S_CON.]]</f>
        <v/>
      </c>
      <c r="T48" s="3">
        <f>TABL123[[#This Row],[(S/S) AJD]]+TABL123[[#This Row],[(T/B) AJD]]</f>
        <v/>
      </c>
      <c r="U48" s="44" t="n">
        <v>516</v>
      </c>
      <c r="V48" s="44" t="n">
        <v>248</v>
      </c>
      <c r="W48" s="3">
        <f>TABL123[[#This Row],[(A/B) AJD]]+TABL123[[#This Row],[(A/S) AJD]]</f>
        <v/>
      </c>
      <c r="X48" s="3">
        <f>TABL123[[#This Row],[( S/S+T/B) AJD]]-TABL123[[#This Row],[(A/B + A/S) AJD]]</f>
        <v/>
      </c>
      <c r="Y48" s="44" t="n">
        <v>92.268</v>
      </c>
      <c r="Z48" s="45" t="n">
        <v>358650</v>
      </c>
      <c r="AA48" s="3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45" t="n">
        <v>1815</v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87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32">
        <f>TABL123[[#This Row],[(A/S) AJD]]-TABL123[[#This Row],[SER_IN]]</f>
        <v/>
      </c>
    </row>
    <row r="49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28">
        <f>103-F49</f>
        <v/>
      </c>
      <c r="I49" s="39" t="n">
        <v>450</v>
      </c>
      <c r="J49" s="39" t="n">
        <v>433</v>
      </c>
      <c r="K49" s="28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3">
        <f>TABL123[[#This Row],[ (S/S) SAR]]-TABL123[[#This Row],[(S/S) AJD]]</f>
        <v/>
      </c>
      <c r="Q49" s="39" t="n">
        <v>422</v>
      </c>
      <c r="R49" s="3">
        <f>TABL123[[#This Row],[ (T/B) SAR]]-TABL123[[#This Row],[(T/B) AJD]]</f>
        <v/>
      </c>
      <c r="S49" s="3">
        <f>TABL123[[#This Row],[T/B-CON.]]+TABL123[[#This Row],[S/S_CON.]]</f>
        <v/>
      </c>
      <c r="T49" s="3">
        <f>TABL123[[#This Row],[(S/S) AJD]]+TABL123[[#This Row],[(T/B) AJD]]</f>
        <v/>
      </c>
      <c r="U49" s="41" t="n">
        <v>521</v>
      </c>
      <c r="V49" s="41" t="n">
        <v>249</v>
      </c>
      <c r="W49" s="3">
        <f>TABL123[[#This Row],[(A/B) AJD]]+TABL123[[#This Row],[(A/S) AJD]]</f>
        <v/>
      </c>
      <c r="X49" s="3">
        <f>TABL123[[#This Row],[( S/S+T/B) AJD]]-TABL123[[#This Row],[(A/B + A/S) AJD]]</f>
        <v/>
      </c>
      <c r="Y49" s="41" t="n">
        <v>92.268</v>
      </c>
      <c r="Z49" s="43" t="n">
        <v>356867</v>
      </c>
      <c r="AA49" s="3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43" t="n">
        <v>1481</v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87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32">
        <f>TABL123[[#This Row],[(A/S) AJD]]-TABL123[[#This Row],[SER_IN]]</f>
        <v/>
      </c>
    </row>
    <row r="50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28">
        <f>103-F50</f>
        <v/>
      </c>
      <c r="I50" s="40" t="n">
        <v>460</v>
      </c>
      <c r="J50" s="44" t="n">
        <v>440</v>
      </c>
      <c r="K50" s="28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3">
        <f>TABL123[[#This Row],[ (S/S) SAR]]-TABL123[[#This Row],[(S/S) AJD]]</f>
        <v/>
      </c>
      <c r="Q50" s="40" t="n">
        <v>422</v>
      </c>
      <c r="R50" s="3">
        <f>TABL123[[#This Row],[ (T/B) SAR]]-TABL123[[#This Row],[(T/B) AJD]]</f>
        <v/>
      </c>
      <c r="S50" s="3">
        <f>TABL123[[#This Row],[T/B-CON.]]+TABL123[[#This Row],[S/S_CON.]]</f>
        <v/>
      </c>
      <c r="T50" s="3">
        <f>TABL123[[#This Row],[(S/S) AJD]]+TABL123[[#This Row],[(T/B) AJD]]</f>
        <v/>
      </c>
      <c r="U50" s="44" t="n">
        <v>516</v>
      </c>
      <c r="V50" s="44" t="n">
        <v>248</v>
      </c>
      <c r="W50" s="3">
        <f>TABL123[[#This Row],[(A/B) AJD]]+TABL123[[#This Row],[(A/S) AJD]]</f>
        <v/>
      </c>
      <c r="X50" s="3">
        <f>TABL123[[#This Row],[( S/S+T/B) AJD]]-TABL123[[#This Row],[(A/B + A/S) AJD]]</f>
        <v/>
      </c>
      <c r="Y50" s="44" t="n">
        <v>92.68000000000001</v>
      </c>
      <c r="Z50" s="45" t="n">
        <v>358650</v>
      </c>
      <c r="AA50" s="3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45" t="n">
        <v>1801</v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87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32">
        <f>TABL123[[#This Row],[(A/S) AJD]]-TABL123[[#This Row],[SER_IN]]</f>
        <v/>
      </c>
    </row>
    <row r="5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28">
        <f>103-F51</f>
        <v/>
      </c>
      <c r="I51" s="39" t="n">
        <v>462</v>
      </c>
      <c r="J51" s="39" t="n">
        <v>448</v>
      </c>
      <c r="K51" s="28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3">
        <f>TABL123[[#This Row],[ (S/S) SAR]]-TABL123[[#This Row],[(S/S) AJD]]</f>
        <v/>
      </c>
      <c r="Q51" s="39" t="n">
        <v>429</v>
      </c>
      <c r="R51" s="3">
        <f>TABL123[[#This Row],[ (T/B) SAR]]-TABL123[[#This Row],[(T/B) AJD]]</f>
        <v/>
      </c>
      <c r="S51" s="3">
        <f>TABL123[[#This Row],[T/B-CON.]]+TABL123[[#This Row],[S/S_CON.]]</f>
        <v/>
      </c>
      <c r="T51" s="3">
        <f>TABL123[[#This Row],[(S/S) AJD]]+TABL123[[#This Row],[(T/B) AJD]]</f>
        <v/>
      </c>
      <c r="U51" s="41" t="n">
        <v>515</v>
      </c>
      <c r="V51" s="41" t="n">
        <v>250</v>
      </c>
      <c r="W51" s="3">
        <f>TABL123[[#This Row],[(A/B) AJD]]+TABL123[[#This Row],[(A/S) AJD]]</f>
        <v/>
      </c>
      <c r="X51" s="3">
        <f>TABL123[[#This Row],[( S/S+T/B) AJD]]-TABL123[[#This Row],[(A/B + A/S) AJD]]</f>
        <v/>
      </c>
      <c r="Y51" s="41" t="n">
        <v>92.31699999999999</v>
      </c>
      <c r="Z51" s="43" t="n">
        <v>389536</v>
      </c>
      <c r="AA51" s="3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43" t="n">
        <v>1794</v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87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32">
        <f>TABL123[[#This Row],[(A/S) AJD]]-TABL123[[#This Row],[SER_IN]]</f>
        <v/>
      </c>
    </row>
    <row r="52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28">
        <f>103-F52</f>
        <v/>
      </c>
      <c r="I52" s="40" t="n">
        <v>459</v>
      </c>
      <c r="J52" s="44" t="n">
        <v>442</v>
      </c>
      <c r="K52" s="28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3">
        <f>TABL123[[#This Row],[ (S/S) SAR]]-TABL123[[#This Row],[(S/S) AJD]]</f>
        <v/>
      </c>
      <c r="Q52" s="40" t="n">
        <v>435</v>
      </c>
      <c r="R52" s="3">
        <f>TABL123[[#This Row],[ (T/B) SAR]]-TABL123[[#This Row],[(T/B) AJD]]</f>
        <v/>
      </c>
      <c r="S52" s="3">
        <f>TABL123[[#This Row],[T/B-CON.]]+TABL123[[#This Row],[S/S_CON.]]</f>
        <v/>
      </c>
      <c r="T52" s="3">
        <f>TABL123[[#This Row],[(S/S) AJD]]+TABL123[[#This Row],[(T/B) AJD]]</f>
        <v/>
      </c>
      <c r="U52" s="44" t="n">
        <v>531</v>
      </c>
      <c r="V52" s="44" t="n">
        <v>246</v>
      </c>
      <c r="W52" s="3">
        <f>TABL123[[#This Row],[(A/B) AJD]]+TABL123[[#This Row],[(A/S) AJD]]</f>
        <v/>
      </c>
      <c r="X52" s="3">
        <f>TABL123[[#This Row],[( S/S+T/B) AJD]]-TABL123[[#This Row],[(A/B + A/S) AJD]]</f>
        <v/>
      </c>
      <c r="Y52" s="44" t="n">
        <v>92.405</v>
      </c>
      <c r="Z52" s="45" t="n">
        <v>440072</v>
      </c>
      <c r="AA52" s="3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45" t="n">
        <v>1359</v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87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32">
        <f>TABL123[[#This Row],[(A/S) AJD]]-TABL123[[#This Row],[SER_IN]]</f>
        <v/>
      </c>
    </row>
    <row r="53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28">
        <f>103-F53</f>
        <v/>
      </c>
      <c r="I53" s="39" t="n">
        <v>458</v>
      </c>
      <c r="J53" s="39" t="n">
        <v>442</v>
      </c>
      <c r="K53" s="28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3">
        <f>TABL123[[#This Row],[ (S/S) SAR]]-TABL123[[#This Row],[(S/S) AJD]]</f>
        <v/>
      </c>
      <c r="Q53" s="39" t="n">
        <v>431</v>
      </c>
      <c r="R53" s="3">
        <f>TABL123[[#This Row],[ (T/B) SAR]]-TABL123[[#This Row],[(T/B) AJD]]</f>
        <v/>
      </c>
      <c r="S53" s="3">
        <f>TABL123[[#This Row],[T/B-CON.]]+TABL123[[#This Row],[S/S_CON.]]</f>
        <v/>
      </c>
      <c r="T53" s="3">
        <f>TABL123[[#This Row],[(S/S) AJD]]+TABL123[[#This Row],[(T/B) AJD]]</f>
        <v/>
      </c>
      <c r="U53" s="41" t="n">
        <v>520</v>
      </c>
      <c r="V53" s="41" t="n">
        <v>247</v>
      </c>
      <c r="W53" s="3">
        <f>TABL123[[#This Row],[(A/B) AJD]]+TABL123[[#This Row],[(A/S) AJD]]</f>
        <v/>
      </c>
      <c r="X53" s="3">
        <f>TABL123[[#This Row],[( S/S+T/B) AJD]]-TABL123[[#This Row],[(A/B + A/S) AJD]]</f>
        <v/>
      </c>
      <c r="Y53" s="41" t="n">
        <v>92.44499999999999</v>
      </c>
      <c r="Z53" s="43" t="n">
        <v>463896</v>
      </c>
      <c r="AA53" s="3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43" t="n">
        <v>1442</v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87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32">
        <f>TABL123[[#This Row],[(A/S) AJD]]-TABL123[[#This Row],[SER_IN]]</f>
        <v/>
      </c>
    </row>
    <row r="54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28">
        <f>103-F54</f>
        <v/>
      </c>
      <c r="I54" s="40" t="n">
        <v>458</v>
      </c>
      <c r="J54" s="44" t="n">
        <v>442</v>
      </c>
      <c r="K54" s="28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3">
        <f>TABL123[[#This Row],[ (S/S) SAR]]-TABL123[[#This Row],[(S/S) AJD]]</f>
        <v/>
      </c>
      <c r="Q54" s="40" t="n">
        <v>433</v>
      </c>
      <c r="R54" s="3">
        <f>TABL123[[#This Row],[ (T/B) SAR]]-TABL123[[#This Row],[(T/B) AJD]]</f>
        <v/>
      </c>
      <c r="S54" s="3">
        <f>TABL123[[#This Row],[T/B-CON.]]+TABL123[[#This Row],[S/S_CON.]]</f>
        <v/>
      </c>
      <c r="T54" s="3">
        <f>TABL123[[#This Row],[(S/S) AJD]]+TABL123[[#This Row],[(T/B) AJD]]</f>
        <v/>
      </c>
      <c r="U54" s="44" t="n">
        <v>540</v>
      </c>
      <c r="V54" s="44" t="n">
        <v>279</v>
      </c>
      <c r="W54" s="3">
        <f>TABL123[[#This Row],[(A/B) AJD]]+TABL123[[#This Row],[(A/S) AJD]]</f>
        <v/>
      </c>
      <c r="X54" s="3">
        <f>TABL123[[#This Row],[( S/S+T/B) AJD]]-TABL123[[#This Row],[(A/B + A/S) AJD]]</f>
        <v/>
      </c>
      <c r="Y54" s="44" t="n">
        <v>92.435</v>
      </c>
      <c r="Z54" s="45" t="n">
        <v>457921</v>
      </c>
      <c r="AA54" s="3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45" t="n">
        <v>1542</v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87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32">
        <f>TABL123[[#This Row],[(A/S) AJD]]-TABL123[[#This Row],[SER_IN]]</f>
        <v/>
      </c>
    </row>
    <row r="55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28">
        <f>103-F55</f>
        <v/>
      </c>
      <c r="I55" s="39" t="n">
        <v>460</v>
      </c>
      <c r="J55" s="39" t="n">
        <v>448</v>
      </c>
      <c r="K55" s="28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3">
        <f>TABL123[[#This Row],[ (S/S) SAR]]-TABL123[[#This Row],[(S/S) AJD]]</f>
        <v/>
      </c>
      <c r="Q55" s="39" t="n">
        <v>433</v>
      </c>
      <c r="R55" s="3">
        <f>TABL123[[#This Row],[ (T/B) SAR]]-TABL123[[#This Row],[(T/B) AJD]]</f>
        <v/>
      </c>
      <c r="S55" s="3">
        <f>TABL123[[#This Row],[T/B-CON.]]+TABL123[[#This Row],[S/S_CON.]]</f>
        <v/>
      </c>
      <c r="T55" s="3">
        <f>TABL123[[#This Row],[(S/S) AJD]]+TABL123[[#This Row],[(T/B) AJD]]</f>
        <v/>
      </c>
      <c r="U55" s="41" t="n">
        <v>506</v>
      </c>
      <c r="V55" s="41" t="n">
        <v>246</v>
      </c>
      <c r="W55" s="3">
        <f>TABL123[[#This Row],[(A/B) AJD]]+TABL123[[#This Row],[(A/S) AJD]]</f>
        <v/>
      </c>
      <c r="X55" s="3">
        <f>TABL123[[#This Row],[( S/S+T/B) AJD]]-TABL123[[#This Row],[(A/B + A/S) AJD]]</f>
        <v/>
      </c>
      <c r="Y55" s="41" t="n">
        <v>92.56399999999999</v>
      </c>
      <c r="Z55" s="43" t="n">
        <v>534766</v>
      </c>
      <c r="AA55" s="3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43" t="n">
        <v>1085</v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87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32">
        <f>TABL123[[#This Row],[(A/S) AJD]]-TABL123[[#This Row],[SER_IN]]</f>
        <v/>
      </c>
    </row>
    <row r="56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28">
        <f>103-F56</f>
        <v/>
      </c>
      <c r="I56" s="40" t="n">
        <v>460</v>
      </c>
      <c r="J56" s="44" t="n">
        <v>448</v>
      </c>
      <c r="K56" s="28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3">
        <f>TABL123[[#This Row],[ (S/S) SAR]]-TABL123[[#This Row],[(S/S) AJD]]</f>
        <v/>
      </c>
      <c r="Q56" s="40" t="n">
        <v>436</v>
      </c>
      <c r="R56" s="3">
        <f>TABL123[[#This Row],[ (T/B) SAR]]-TABL123[[#This Row],[(T/B) AJD]]</f>
        <v/>
      </c>
      <c r="S56" s="3">
        <f>TABL123[[#This Row],[T/B-CON.]]+TABL123[[#This Row],[S/S_CON.]]</f>
        <v/>
      </c>
      <c r="T56" s="3">
        <f>TABL123[[#This Row],[(S/S) AJD]]+TABL123[[#This Row],[(T/B) AJD]]</f>
        <v/>
      </c>
      <c r="U56" s="44" t="n">
        <v>543</v>
      </c>
      <c r="V56" s="44" t="n">
        <v>236</v>
      </c>
      <c r="W56" s="3">
        <f>TABL123[[#This Row],[(A/B) AJD]]+TABL123[[#This Row],[(A/S) AJD]]</f>
        <v/>
      </c>
      <c r="X56" s="3">
        <f>TABL123[[#This Row],[( S/S+T/B) AJD]]-TABL123[[#This Row],[(A/B + A/S) AJD]]</f>
        <v/>
      </c>
      <c r="Y56" s="44" t="n">
        <v>92.629</v>
      </c>
      <c r="Z56" s="45" t="n">
        <v>573543</v>
      </c>
      <c r="AA56" s="3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45" t="n">
        <v>1692</v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87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32">
        <f>TABL123[[#This Row],[(A/S) AJD]]-TABL123[[#This Row],[SER_IN]]</f>
        <v/>
      </c>
    </row>
    <row r="57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28">
        <f>103-F57</f>
        <v/>
      </c>
      <c r="I57" s="39" t="n">
        <v>462</v>
      </c>
      <c r="J57" s="39" t="n">
        <v>442</v>
      </c>
      <c r="K57" s="28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3">
        <f>TABL123[[#This Row],[ (S/S) SAR]]-TABL123[[#This Row],[(S/S) AJD]]</f>
        <v/>
      </c>
      <c r="Q57" s="39" t="n">
        <v>407</v>
      </c>
      <c r="R57" s="3">
        <f>TABL123[[#This Row],[ (T/B) SAR]]-TABL123[[#This Row],[(T/B) AJD]]</f>
        <v/>
      </c>
      <c r="S57" s="3">
        <f>TABL123[[#This Row],[T/B-CON.]]+TABL123[[#This Row],[S/S_CON.]]</f>
        <v/>
      </c>
      <c r="T57" s="3">
        <f>TABL123[[#This Row],[(S/S) AJD]]+TABL123[[#This Row],[(T/B) AJD]]</f>
        <v/>
      </c>
      <c r="U57" s="41" t="n">
        <v>565</v>
      </c>
      <c r="V57" s="41" t="n">
        <v>223</v>
      </c>
      <c r="W57" s="3">
        <f>TABL123[[#This Row],[(A/B) AJD]]+TABL123[[#This Row],[(A/S) AJD]]</f>
        <v/>
      </c>
      <c r="X57" s="3">
        <f>TABL123[[#This Row],[( S/S+T/B) AJD]]-TABL123[[#This Row],[(A/B + A/S) AJD]]</f>
        <v/>
      </c>
      <c r="Y57" s="41" t="n">
        <v>92.669</v>
      </c>
      <c r="Z57" s="43" t="n">
        <v>597410</v>
      </c>
      <c r="AA57" s="3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43" t="n">
        <v>1785</v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87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32">
        <f>TABL123[[#This Row],[(A/S) AJD]]-TABL123[[#This Row],[SER_IN]]</f>
        <v/>
      </c>
    </row>
    <row r="58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28">
        <f>103-F58</f>
        <v/>
      </c>
      <c r="I58" s="40" t="n">
        <v>462</v>
      </c>
      <c r="J58" s="44" t="n">
        <v>442</v>
      </c>
      <c r="K58" s="28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3">
        <f>TABL123[[#This Row],[ (S/S) SAR]]-TABL123[[#This Row],[(S/S) AJD]]</f>
        <v/>
      </c>
      <c r="Q58" s="40" t="n">
        <v>403</v>
      </c>
      <c r="R58" s="3">
        <f>TABL123[[#This Row],[ (T/B) SAR]]-TABL123[[#This Row],[(T/B) AJD]]</f>
        <v/>
      </c>
      <c r="S58" s="3">
        <f>TABL123[[#This Row],[T/B-CON.]]+TABL123[[#This Row],[S/S_CON.]]</f>
        <v/>
      </c>
      <c r="T58" s="3">
        <f>TABL123[[#This Row],[(S/S) AJD]]+TABL123[[#This Row],[(T/B) AJD]]</f>
        <v/>
      </c>
      <c r="U58" s="44" t="n">
        <v>570</v>
      </c>
      <c r="V58" s="44" t="n">
        <v>238</v>
      </c>
      <c r="W58" s="3">
        <f>TABL123[[#This Row],[(A/B) AJD]]+TABL123[[#This Row],[(A/S) AJD]]</f>
        <v/>
      </c>
      <c r="X58" s="3">
        <f>TABL123[[#This Row],[( S/S+T/B) AJD]]-TABL123[[#This Row],[(A/B + A/S) AJD]]</f>
        <v/>
      </c>
      <c r="Y58" s="44" t="n">
        <v>92.669</v>
      </c>
      <c r="Z58" s="45" t="n">
        <v>597410</v>
      </c>
      <c r="AA58" s="3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45" t="n">
        <v>1758</v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87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32">
        <f>TABL123[[#This Row],[(A/S) AJD]]-TABL123[[#This Row],[SER_IN]]</f>
        <v/>
      </c>
    </row>
    <row r="59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28">
        <f>103-F59</f>
        <v/>
      </c>
      <c r="I59" s="39" t="n">
        <v>462</v>
      </c>
      <c r="J59" s="39" t="n">
        <v>442</v>
      </c>
      <c r="K59" s="28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3">
        <f>TABL123[[#This Row],[ (S/S) SAR]]-TABL123[[#This Row],[(S/S) AJD]]</f>
        <v/>
      </c>
      <c r="Q59" s="39" t="n">
        <v>392</v>
      </c>
      <c r="R59" s="3">
        <f>TABL123[[#This Row],[ (T/B) SAR]]-TABL123[[#This Row],[(T/B) AJD]]</f>
        <v/>
      </c>
      <c r="S59" s="3">
        <f>TABL123[[#This Row],[T/B-CON.]]+TABL123[[#This Row],[S/S_CON.]]</f>
        <v/>
      </c>
      <c r="T59" s="3">
        <f>TABL123[[#This Row],[(S/S) AJD]]+TABL123[[#This Row],[(T/B) AJD]]</f>
        <v/>
      </c>
      <c r="U59" s="41" t="n">
        <v>556</v>
      </c>
      <c r="V59" s="41" t="n">
        <v>251</v>
      </c>
      <c r="W59" s="3">
        <f>TABL123[[#This Row],[(A/B) AJD]]+TABL123[[#This Row],[(A/S) AJD]]</f>
        <v/>
      </c>
      <c r="X59" s="3">
        <f>TABL123[[#This Row],[( S/S+T/B) AJD]]-TABL123[[#This Row],[(A/B + A/S) AJD]]</f>
        <v/>
      </c>
      <c r="Y59" s="41" t="n">
        <v>92.629</v>
      </c>
      <c r="Z59" s="43" t="n">
        <v>572344</v>
      </c>
      <c r="AA59" s="3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43" t="n">
        <v>2583</v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87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32">
        <f>TABL123[[#This Row],[(A/S) AJD]]-TABL123[[#This Row],[SER_IN]]</f>
        <v/>
      </c>
    </row>
    <row r="60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28">
        <f>103-F60</f>
        <v/>
      </c>
      <c r="I60" s="40" t="n">
        <v>460</v>
      </c>
      <c r="J60" s="44" t="n">
        <v>440</v>
      </c>
      <c r="K60" s="28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3">
        <f>TABL123[[#This Row],[ (S/S) SAR]]-TABL123[[#This Row],[(S/S) AJD]]</f>
        <v/>
      </c>
      <c r="Q60" s="40" t="n">
        <v>412</v>
      </c>
      <c r="R60" s="3">
        <f>TABL123[[#This Row],[ (T/B) SAR]]-TABL123[[#This Row],[(T/B) AJD]]</f>
        <v/>
      </c>
      <c r="S60" s="3">
        <f>TABL123[[#This Row],[T/B-CON.]]+TABL123[[#This Row],[S/S_CON.]]</f>
        <v/>
      </c>
      <c r="T60" s="3">
        <f>TABL123[[#This Row],[(S/S) AJD]]+TABL123[[#This Row],[(T/B) AJD]]</f>
        <v/>
      </c>
      <c r="U60" s="44" t="n">
        <v>572</v>
      </c>
      <c r="V60" s="44" t="n">
        <v>260</v>
      </c>
      <c r="W60" s="3">
        <f>TABL123[[#This Row],[(A/B) AJD]]+TABL123[[#This Row],[(A/S) AJD]]</f>
        <v/>
      </c>
      <c r="X60" s="3">
        <f>TABL123[[#This Row],[( S/S+T/B) AJD]]-TABL123[[#This Row],[(A/B + A/S) AJD]]</f>
        <v/>
      </c>
      <c r="Y60" s="44" t="n">
        <v>92.602</v>
      </c>
      <c r="Z60" s="45" t="n">
        <v>557425</v>
      </c>
      <c r="AA60" s="3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45" t="n">
        <v>2001</v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87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32">
        <f>TABL123[[#This Row],[(A/S) AJD]]-TABL123[[#This Row],[SER_IN]]</f>
        <v/>
      </c>
    </row>
    <row r="6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28">
        <f>103-F61</f>
        <v/>
      </c>
      <c r="I61" s="39" t="n">
        <v>459</v>
      </c>
      <c r="J61" s="39" t="n">
        <v>441</v>
      </c>
      <c r="K61" s="28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3">
        <f>TABL123[[#This Row],[ (S/S) SAR]]-TABL123[[#This Row],[(S/S) AJD]]</f>
        <v/>
      </c>
      <c r="Q61" s="39" t="n">
        <v>430</v>
      </c>
      <c r="R61" s="3">
        <f>TABL123[[#This Row],[ (T/B) SAR]]-TABL123[[#This Row],[(T/B) AJD]]</f>
        <v/>
      </c>
      <c r="S61" s="3">
        <f>TABL123[[#This Row],[T/B-CON.]]+TABL123[[#This Row],[S/S_CON.]]</f>
        <v/>
      </c>
      <c r="T61" s="3">
        <f>TABL123[[#This Row],[(S/S) AJD]]+TABL123[[#This Row],[(T/B) AJD]]</f>
        <v/>
      </c>
      <c r="U61" s="41" t="n">
        <v>559</v>
      </c>
      <c r="V61" s="41" t="n">
        <v>268</v>
      </c>
      <c r="W61" s="3">
        <f>TABL123[[#This Row],[(A/B) AJD]]+TABL123[[#This Row],[(A/S) AJD]]</f>
        <v/>
      </c>
      <c r="X61" s="3">
        <f>TABL123[[#This Row],[( S/S+T/B) AJD]]-TABL123[[#This Row],[(A/B + A/S) AJD]]</f>
        <v/>
      </c>
      <c r="Y61" s="41" t="n">
        <v>92.53700000000001</v>
      </c>
      <c r="Z61" s="43" t="n">
        <v>518672</v>
      </c>
      <c r="AA61" s="3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43" t="n">
        <v>1596</v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87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32">
        <f>TABL123[[#This Row],[(A/S) AJD]]-TABL123[[#This Row],[SER_IN]]</f>
        <v/>
      </c>
    </row>
    <row r="62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28">
        <f>103-F62</f>
        <v/>
      </c>
      <c r="I62" s="40" t="n">
        <v>460</v>
      </c>
      <c r="J62" s="44" t="n">
        <v>441</v>
      </c>
      <c r="K62" s="28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3">
        <f>TABL123[[#This Row],[ (S/S) SAR]]-TABL123[[#This Row],[(S/S) AJD]]</f>
        <v/>
      </c>
      <c r="Q62" s="40" t="n">
        <v>430</v>
      </c>
      <c r="R62" s="3">
        <f>TABL123[[#This Row],[ (T/B) SAR]]-TABL123[[#This Row],[(T/B) AJD]]</f>
        <v/>
      </c>
      <c r="S62" s="3">
        <f>TABL123[[#This Row],[T/B-CON.]]+TABL123[[#This Row],[S/S_CON.]]</f>
        <v/>
      </c>
      <c r="T62" s="3">
        <f>TABL123[[#This Row],[(S/S) AJD]]+TABL123[[#This Row],[(T/B) AJD]]</f>
        <v/>
      </c>
      <c r="U62" s="44" t="n">
        <v>559</v>
      </c>
      <c r="V62" s="44" t="n">
        <v>265</v>
      </c>
      <c r="W62" s="3">
        <f>TABL123[[#This Row],[(A/B) AJD]]+TABL123[[#This Row],[(A/S) AJD]]</f>
        <v/>
      </c>
      <c r="X62" s="3">
        <f>TABL123[[#This Row],[( S/S+T/B) AJD]]-TABL123[[#This Row],[(A/B + A/S) AJD]]</f>
        <v/>
      </c>
      <c r="Y62" s="44" t="n">
        <v>92.517</v>
      </c>
      <c r="Z62" s="45" t="n">
        <v>506715</v>
      </c>
      <c r="AA62" s="3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45" t="n">
        <v>1914</v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87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32">
        <f>TABL123[[#This Row],[(A/S) AJD]]-TABL123[[#This Row],[SER_IN]]</f>
        <v/>
      </c>
    </row>
    <row r="63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28">
        <f>103-F63</f>
        <v/>
      </c>
      <c r="I63" s="39" t="n">
        <v>460</v>
      </c>
      <c r="J63" s="39" t="n">
        <v>440</v>
      </c>
      <c r="K63" s="28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3">
        <f>TABL123[[#This Row],[ (S/S) SAR]]-TABL123[[#This Row],[(S/S) AJD]]</f>
        <v/>
      </c>
      <c r="Q63" s="39" t="n">
        <v>428</v>
      </c>
      <c r="R63" s="3">
        <f>TABL123[[#This Row],[ (T/B) SAR]]-TABL123[[#This Row],[(T/B) AJD]]</f>
        <v/>
      </c>
      <c r="S63" s="3">
        <f>TABL123[[#This Row],[T/B-CON.]]+TABL123[[#This Row],[S/S_CON.]]</f>
        <v/>
      </c>
      <c r="T63" s="3">
        <f>TABL123[[#This Row],[(S/S) AJD]]+TABL123[[#This Row],[(T/B) AJD]]</f>
        <v/>
      </c>
      <c r="U63" s="41" t="n">
        <v>574</v>
      </c>
      <c r="V63" s="41" t="n">
        <v>249</v>
      </c>
      <c r="W63" s="3">
        <f>TABL123[[#This Row],[(A/B) AJD]]+TABL123[[#This Row],[(A/S) AJD]]</f>
        <v/>
      </c>
      <c r="X63" s="3">
        <f>TABL123[[#This Row],[( S/S+T/B) AJD]]-TABL123[[#This Row],[(A/B + A/S) AJD]]</f>
        <v/>
      </c>
      <c r="Y63" s="41" t="n">
        <v>92.48</v>
      </c>
      <c r="Z63" s="43" t="n">
        <v>484715</v>
      </c>
      <c r="AA63" s="3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43" t="n">
        <v>1457</v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87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32">
        <f>TABL123[[#This Row],[(A/S) AJD]]-TABL123[[#This Row],[SER_IN]]</f>
        <v/>
      </c>
    </row>
    <row r="64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28" t="n"/>
      <c r="F64" s="44" t="n">
        <v>96</v>
      </c>
      <c r="G64" s="40" t="n">
        <v>608</v>
      </c>
      <c r="H64" s="28">
        <f>103-F64</f>
        <v/>
      </c>
      <c r="I64" s="40" t="n">
        <v>460</v>
      </c>
      <c r="J64" s="44" t="n">
        <v>440</v>
      </c>
      <c r="K64" s="28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3">
        <f>TABL123[[#This Row],[ (S/S) SAR]]-TABL123[[#This Row],[(S/S) AJD]]</f>
        <v/>
      </c>
      <c r="Q64" s="40" t="n">
        <v>429</v>
      </c>
      <c r="R64" s="3">
        <f>TABL123[[#This Row],[ (T/B) SAR]]-TABL123[[#This Row],[(T/B) AJD]]</f>
        <v/>
      </c>
      <c r="S64" s="3">
        <f>TABL123[[#This Row],[T/B-CON.]]+TABL123[[#This Row],[S/S_CON.]]</f>
        <v/>
      </c>
      <c r="T64" s="3">
        <f>TABL123[[#This Row],[(S/S) AJD]]+TABL123[[#This Row],[(T/B) AJD]]</f>
        <v/>
      </c>
      <c r="U64" s="44" t="n">
        <v>579</v>
      </c>
      <c r="V64" s="44" t="n">
        <v>200</v>
      </c>
      <c r="W64" s="3">
        <f>TABL123[[#This Row],[(A/B) AJD]]+TABL123[[#This Row],[(A/S) AJD]]</f>
        <v/>
      </c>
      <c r="X64" s="3">
        <f>TABL123[[#This Row],[( S/S+T/B) AJD]]-TABL123[[#This Row],[(A/B + A/S) AJD]]</f>
        <v/>
      </c>
      <c r="Y64" s="44" t="n">
        <v>92.517</v>
      </c>
      <c r="Z64" s="45" t="n">
        <v>506751</v>
      </c>
      <c r="AA64" s="3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45" t="n">
        <v>1889</v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87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32">
        <f>TABL123[[#This Row],[(A/S) AJD]]-TABL123[[#This Row],[SER_IN]]</f>
        <v/>
      </c>
    </row>
    <row r="65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28" t="n"/>
      <c r="F65" s="41" t="n">
        <v>96</v>
      </c>
      <c r="G65" s="39" t="n">
        <v>608</v>
      </c>
      <c r="H65" s="28">
        <f>103-F65</f>
        <v/>
      </c>
      <c r="I65" s="39" t="n">
        <v>460</v>
      </c>
      <c r="J65" s="39" t="n">
        <v>440</v>
      </c>
      <c r="K65" s="28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3">
        <f>TABL123[[#This Row],[ (S/S) SAR]]-TABL123[[#This Row],[(S/S) AJD]]</f>
        <v/>
      </c>
      <c r="Q65" s="39" t="n">
        <v>428</v>
      </c>
      <c r="R65" s="3">
        <f>TABL123[[#This Row],[ (T/B) SAR]]-TABL123[[#This Row],[(T/B) AJD]]</f>
        <v/>
      </c>
      <c r="S65" s="3">
        <f>TABL123[[#This Row],[T/B-CON.]]+TABL123[[#This Row],[S/S_CON.]]</f>
        <v/>
      </c>
      <c r="T65" s="3">
        <f>TABL123[[#This Row],[(S/S) AJD]]+TABL123[[#This Row],[(T/B) AJD]]</f>
        <v/>
      </c>
      <c r="U65" s="41" t="n">
        <v>577</v>
      </c>
      <c r="V65" s="41" t="n">
        <v>211</v>
      </c>
      <c r="W65" s="3">
        <f>TABL123[[#This Row],[(A/B) AJD]]+TABL123[[#This Row],[(A/S) AJD]]</f>
        <v/>
      </c>
      <c r="X65" s="3">
        <f>TABL123[[#This Row],[( S/S+T/B) AJD]]-TABL123[[#This Row],[(A/B + A/S) AJD]]</f>
        <v/>
      </c>
      <c r="Y65" s="41" t="n">
        <v>92.50700000000001</v>
      </c>
      <c r="Z65" s="43" t="n">
        <v>500797</v>
      </c>
      <c r="AA65" s="3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43" t="n">
        <v>2876</v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87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32">
        <f>TABL123[[#This Row],[(A/S) AJD]]-TABL123[[#This Row],[SER_IN]]</f>
        <v/>
      </c>
    </row>
    <row r="66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28" t="n"/>
      <c r="F66" s="44" t="n">
        <v>96</v>
      </c>
      <c r="G66" s="40" t="n">
        <v>608</v>
      </c>
      <c r="H66" s="28">
        <f>103-F66</f>
        <v/>
      </c>
      <c r="I66" s="40" t="n">
        <v>458</v>
      </c>
      <c r="J66" s="44" t="n">
        <v>438</v>
      </c>
      <c r="K66" s="28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3">
        <f>TABL123[[#This Row],[ (S/S) SAR]]-TABL123[[#This Row],[(S/S) AJD]]</f>
        <v/>
      </c>
      <c r="Q66" s="40" t="n">
        <v>427</v>
      </c>
      <c r="R66" s="3">
        <f>TABL123[[#This Row],[ (T/B) SAR]]-TABL123[[#This Row],[(T/B) AJD]]</f>
        <v/>
      </c>
      <c r="S66" s="3">
        <f>TABL123[[#This Row],[T/B-CON.]]+TABL123[[#This Row],[S/S_CON.]]</f>
        <v/>
      </c>
      <c r="T66" s="3">
        <f>TABL123[[#This Row],[(S/S) AJD]]+TABL123[[#This Row],[(T/B) AJD]]</f>
        <v/>
      </c>
      <c r="U66" s="44" t="n">
        <v>569</v>
      </c>
      <c r="V66" s="44" t="n">
        <v>254</v>
      </c>
      <c r="W66" s="3">
        <f>TABL123[[#This Row],[(A/B) AJD]]+TABL123[[#This Row],[(A/S) AJD]]</f>
        <v/>
      </c>
      <c r="X66" s="3">
        <f>TABL123[[#This Row],[( S/S+T/B) AJD]]-TABL123[[#This Row],[(A/B + A/S) AJD]]</f>
        <v/>
      </c>
      <c r="Y66" s="44" t="n">
        <v>92.462</v>
      </c>
      <c r="Z66" s="45" t="n">
        <v>473994</v>
      </c>
      <c r="AA66" s="3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45" t="n">
        <v>1339</v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87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32">
        <f>TABL123[[#This Row],[(A/S) AJD]]-TABL123[[#This Row],[SER_IN]]</f>
        <v/>
      </c>
    </row>
    <row r="67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28" t="n"/>
      <c r="F67" s="41" t="n">
        <v>96</v>
      </c>
      <c r="G67" s="39" t="n">
        <v>608</v>
      </c>
      <c r="H67" s="28">
        <f>103-F67</f>
        <v/>
      </c>
      <c r="I67" s="39" t="n">
        <v>458</v>
      </c>
      <c r="J67" s="39" t="n">
        <v>438</v>
      </c>
      <c r="K67" s="28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3">
        <f>TABL123[[#This Row],[ (S/S) SAR]]-TABL123[[#This Row],[(S/S) AJD]]</f>
        <v/>
      </c>
      <c r="Q67" s="39" t="n">
        <v>428</v>
      </c>
      <c r="R67" s="3">
        <f>TABL123[[#This Row],[ (T/B) SAR]]-TABL123[[#This Row],[(T/B) AJD]]</f>
        <v/>
      </c>
      <c r="S67" s="3">
        <f>TABL123[[#This Row],[T/B-CON.]]+TABL123[[#This Row],[S/S_CON.]]</f>
        <v/>
      </c>
      <c r="T67" s="3">
        <f>TABL123[[#This Row],[(S/S) AJD]]+TABL123[[#This Row],[(T/B) AJD]]</f>
        <v/>
      </c>
      <c r="U67" s="41" t="n">
        <v>574</v>
      </c>
      <c r="V67" s="41" t="n">
        <v>255</v>
      </c>
      <c r="W67" s="3">
        <f>TABL123[[#This Row],[(A/B) AJD]]+TABL123[[#This Row],[(A/S) AJD]]</f>
        <v/>
      </c>
      <c r="X67" s="3">
        <f>TABL123[[#This Row],[( S/S+T/B) AJD]]-TABL123[[#This Row],[(A/B + A/S) AJD]]</f>
        <v/>
      </c>
      <c r="Y67" s="41" t="n">
        <v>92.417</v>
      </c>
      <c r="Z67" s="43" t="n">
        <v>447212</v>
      </c>
      <c r="AA67" s="3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43" t="n">
        <v>1920</v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87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32">
        <f>TABL123[[#This Row],[(A/S) AJD]]-TABL123[[#This Row],[SER_IN]]</f>
        <v/>
      </c>
    </row>
    <row r="68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28" t="n"/>
      <c r="F68" s="44" t="n">
        <v>96</v>
      </c>
      <c r="G68" s="40" t="n">
        <v>608</v>
      </c>
      <c r="H68" s="28">
        <f>103-F68</f>
        <v/>
      </c>
      <c r="I68" s="40" t="n">
        <v>458</v>
      </c>
      <c r="J68" s="44" t="n">
        <v>438</v>
      </c>
      <c r="K68" s="28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3">
        <f>TABL123[[#This Row],[ (S/S) SAR]]-TABL123[[#This Row],[(S/S) AJD]]</f>
        <v/>
      </c>
      <c r="Q68" s="40" t="n">
        <v>424</v>
      </c>
      <c r="R68" s="3">
        <f>TABL123[[#This Row],[ (T/B) SAR]]-TABL123[[#This Row],[(T/B) AJD]]</f>
        <v/>
      </c>
      <c r="S68" s="3">
        <f>TABL123[[#This Row],[T/B-CON.]]+TABL123[[#This Row],[S/S_CON.]]</f>
        <v/>
      </c>
      <c r="T68" s="3">
        <f>TABL123[[#This Row],[(S/S) AJD]]+TABL123[[#This Row],[(T/B) AJD]]</f>
        <v/>
      </c>
      <c r="U68" s="44" t="n">
        <v>583</v>
      </c>
      <c r="V68" s="44" t="n">
        <v>256</v>
      </c>
      <c r="W68" s="3">
        <f>TABL123[[#This Row],[(A/B) AJD]]+TABL123[[#This Row],[(A/S) AJD]]</f>
        <v/>
      </c>
      <c r="X68" s="3">
        <f>TABL123[[#This Row],[( S/S+T/B) AJD]]-TABL123[[#This Row],[(A/B + A/S) AJD]]</f>
        <v/>
      </c>
      <c r="Y68" s="44" t="n">
        <v>92.325</v>
      </c>
      <c r="Z68" s="45" t="n">
        <v>392505</v>
      </c>
      <c r="AA68" s="3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45" t="n">
        <v>998</v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87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32">
        <f>TABL123[[#This Row],[(A/S) AJD]]-TABL123[[#This Row],[SER_IN]]</f>
        <v/>
      </c>
    </row>
    <row r="69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28" t="n"/>
      <c r="F69" s="41" t="n">
        <v>96</v>
      </c>
      <c r="G69" s="39" t="n">
        <v>596</v>
      </c>
      <c r="H69" s="28">
        <f>103-F69</f>
        <v/>
      </c>
      <c r="I69" s="39" t="n">
        <v>428</v>
      </c>
      <c r="J69" s="39" t="n">
        <v>418</v>
      </c>
      <c r="K69" s="28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3">
        <f>TABL123[[#This Row],[ (S/S) SAR]]-TABL123[[#This Row],[(S/S) AJD]]</f>
        <v/>
      </c>
      <c r="Q69" s="39" t="n">
        <v>422</v>
      </c>
      <c r="R69" s="3">
        <f>TABL123[[#This Row],[ (T/B) SAR]]-TABL123[[#This Row],[(T/B) AJD]]</f>
        <v/>
      </c>
      <c r="S69" s="3">
        <f>TABL123[[#This Row],[T/B-CON.]]+TABL123[[#This Row],[S/S_CON.]]</f>
        <v/>
      </c>
      <c r="T69" s="3">
        <f>TABL123[[#This Row],[(S/S) AJD]]+TABL123[[#This Row],[(T/B) AJD]]</f>
        <v/>
      </c>
      <c r="U69" s="41" t="n">
        <v>557</v>
      </c>
      <c r="V69" s="41" t="n">
        <v>255</v>
      </c>
      <c r="W69" s="3">
        <f>TABL123[[#This Row],[(A/B) AJD]]+TABL123[[#This Row],[(A/S) AJD]]</f>
        <v/>
      </c>
      <c r="X69" s="3">
        <f>TABL123[[#This Row],[( S/S+T/B) AJD]]-TABL123[[#This Row],[(A/B + A/S) AJD]]</f>
        <v/>
      </c>
      <c r="Y69" s="41" t="n">
        <v>92.285</v>
      </c>
      <c r="Z69" s="43" t="n">
        <v>368746</v>
      </c>
      <c r="AA69" s="3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43" t="n">
        <v>1599</v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87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32">
        <f>TABL123[[#This Row],[(A/S) AJD]]-TABL123[[#This Row],[SER_IN]]</f>
        <v/>
      </c>
    </row>
    <row r="70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28" t="n"/>
      <c r="F70" s="44" t="n">
        <v>96</v>
      </c>
      <c r="G70" s="40" t="n">
        <v>602</v>
      </c>
      <c r="H70" s="28">
        <f>103-F70</f>
        <v/>
      </c>
      <c r="I70" s="40" t="n">
        <v>432</v>
      </c>
      <c r="J70" s="44" t="n">
        <v>420</v>
      </c>
      <c r="K70" s="28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3">
        <f>TABL123[[#This Row],[ (S/S) SAR]]-TABL123[[#This Row],[(S/S) AJD]]</f>
        <v/>
      </c>
      <c r="Q70" s="40" t="n">
        <v>411</v>
      </c>
      <c r="R70" s="3">
        <f>TABL123[[#This Row],[ (T/B) SAR]]-TABL123[[#This Row],[(T/B) AJD]]</f>
        <v/>
      </c>
      <c r="S70" s="3">
        <f>TABL123[[#This Row],[T/B-CON.]]+TABL123[[#This Row],[S/S_CON.]]</f>
        <v/>
      </c>
      <c r="T70" s="3">
        <f>TABL123[[#This Row],[(S/S) AJD]]+TABL123[[#This Row],[(T/B) AJD]]</f>
        <v/>
      </c>
      <c r="U70" s="44" t="n">
        <v>532</v>
      </c>
      <c r="V70" s="44" t="n">
        <v>245</v>
      </c>
      <c r="W70" s="3">
        <f>TABL123[[#This Row],[(A/B) AJD]]+TABL123[[#This Row],[(A/S) AJD]]</f>
        <v/>
      </c>
      <c r="X70" s="3">
        <f>TABL123[[#This Row],[( S/S+T/B) AJD]]-TABL123[[#This Row],[(A/B + A/S) AJD]]</f>
        <v/>
      </c>
      <c r="Y70" s="44" t="n">
        <v>92.27</v>
      </c>
      <c r="Z70" s="45" t="n">
        <v>359834</v>
      </c>
      <c r="AA70" s="3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45" t="n">
        <v>1589</v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87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32">
        <f>TABL123[[#This Row],[(A/S) AJD]]-TABL123[[#This Row],[SER_IN]]</f>
        <v/>
      </c>
    </row>
    <row r="7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28" t="n"/>
      <c r="F71" s="41" t="n">
        <v>96</v>
      </c>
      <c r="G71" s="39" t="n">
        <v>602</v>
      </c>
      <c r="H71" s="28">
        <f>103-F71</f>
        <v/>
      </c>
      <c r="I71" s="39" t="n">
        <v>432</v>
      </c>
      <c r="J71" s="39" t="n">
        <v>420</v>
      </c>
      <c r="K71" s="28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3">
        <f>TABL123[[#This Row],[ (S/S) SAR]]-TABL123[[#This Row],[(S/S) AJD]]</f>
        <v/>
      </c>
      <c r="Q71" s="39" t="n">
        <v>408</v>
      </c>
      <c r="R71" s="3">
        <f>TABL123[[#This Row],[ (T/B) SAR]]-TABL123[[#This Row],[(T/B) AJD]]</f>
        <v/>
      </c>
      <c r="S71" s="3">
        <f>TABL123[[#This Row],[T/B-CON.]]+TABL123[[#This Row],[S/S_CON.]]</f>
        <v/>
      </c>
      <c r="T71" s="3">
        <f>TABL123[[#This Row],[(S/S) AJD]]+TABL123[[#This Row],[(T/B) AJD]]</f>
        <v/>
      </c>
      <c r="U71" s="41" t="n">
        <v>513</v>
      </c>
      <c r="V71" s="41" t="n">
        <v>245</v>
      </c>
      <c r="W71" s="3">
        <f>TABL123[[#This Row],[(A/B) AJD]]+TABL123[[#This Row],[(A/S) AJD]]</f>
        <v/>
      </c>
      <c r="X71" s="3">
        <f>TABL123[[#This Row],[( S/S+T/B) AJD]]-TABL123[[#This Row],[(A/B + A/S) AJD]]</f>
        <v/>
      </c>
      <c r="Y71" s="41" t="n">
        <v>92.28</v>
      </c>
      <c r="Z71" s="43" t="n">
        <v>365774</v>
      </c>
      <c r="AA71" s="3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68" t="n">
        <v>1399</v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87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32">
        <f>TABL123[[#This Row],[(A/S) AJD]]-TABL123[[#This Row],[SER_IN]]</f>
        <v/>
      </c>
    </row>
    <row r="72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28" t="n"/>
      <c r="F72" s="44" t="n">
        <v>96</v>
      </c>
      <c r="G72" s="40" t="n">
        <v>603</v>
      </c>
      <c r="H72" s="28">
        <f>103-F72</f>
        <v/>
      </c>
      <c r="I72" s="40" t="n">
        <v>438</v>
      </c>
      <c r="J72" s="44" t="n">
        <v>420</v>
      </c>
      <c r="K72" s="28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3">
        <f>TABL123[[#This Row],[ (S/S) SAR]]-TABL123[[#This Row],[(S/S) AJD]]</f>
        <v/>
      </c>
      <c r="Q72" s="40" t="n">
        <v>407</v>
      </c>
      <c r="R72" s="3">
        <f>TABL123[[#This Row],[ (T/B) SAR]]-TABL123[[#This Row],[(T/B) AJD]]</f>
        <v/>
      </c>
      <c r="S72" s="3">
        <f>TABL123[[#This Row],[T/B-CON.]]+TABL123[[#This Row],[S/S_CON.]]</f>
        <v/>
      </c>
      <c r="T72" s="3">
        <f>TABL123[[#This Row],[(S/S) AJD]]+TABL123[[#This Row],[(T/B) AJD]]</f>
        <v/>
      </c>
      <c r="U72" s="44" t="n">
        <v>546</v>
      </c>
      <c r="V72" s="44" t="n">
        <v>281</v>
      </c>
      <c r="W72" s="3">
        <f>TABL123[[#This Row],[(A/B) AJD]]+TABL123[[#This Row],[(A/S) AJD]]</f>
        <v/>
      </c>
      <c r="X72" s="3">
        <f>TABL123[[#This Row],[( S/S+T/B) AJD]]-TABL123[[#This Row],[(A/B + A/S) AJD]]</f>
        <v/>
      </c>
      <c r="Y72" s="44" t="n">
        <v>92.16500000000001</v>
      </c>
      <c r="Z72" s="45" t="n">
        <v>297535</v>
      </c>
      <c r="AA72" s="3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45" t="n">
        <v>1498</v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87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32">
        <f>TABL123[[#This Row],[(A/S) AJD]]-TABL123[[#This Row],[SER_IN]]</f>
        <v/>
      </c>
    </row>
    <row r="73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28" t="n"/>
      <c r="F73" s="41" t="n">
        <v>96</v>
      </c>
      <c r="G73" s="39" t="n">
        <v>603</v>
      </c>
      <c r="H73" s="28">
        <f>103-F73</f>
        <v/>
      </c>
      <c r="I73" s="39" t="n">
        <v>438</v>
      </c>
      <c r="J73" s="39" t="n">
        <v>420</v>
      </c>
      <c r="K73" s="28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3">
        <f>TABL123[[#This Row],[ (S/S) SAR]]-TABL123[[#This Row],[(S/S) AJD]]</f>
        <v/>
      </c>
      <c r="Q73" s="39" t="n">
        <v>409</v>
      </c>
      <c r="R73" s="3">
        <f>TABL123[[#This Row],[ (T/B) SAR]]-TABL123[[#This Row],[(T/B) AJD]]</f>
        <v/>
      </c>
      <c r="S73" s="3">
        <f>TABL123[[#This Row],[T/B-CON.]]+TABL123[[#This Row],[S/S_CON.]]</f>
        <v/>
      </c>
      <c r="T73" s="3">
        <f>TABL123[[#This Row],[(S/S) AJD]]+TABL123[[#This Row],[(T/B) AJD]]</f>
        <v/>
      </c>
      <c r="U73" s="41" t="n">
        <v>557</v>
      </c>
      <c r="V73" s="41" t="n">
        <v>254</v>
      </c>
      <c r="W73" s="3">
        <f>TABL123[[#This Row],[(A/B) AJD]]+TABL123[[#This Row],[(A/S) AJD]]</f>
        <v/>
      </c>
      <c r="X73" s="3">
        <f>TABL123[[#This Row],[( S/S+T/B) AJD]]-TABL123[[#This Row],[(A/B + A/S) AJD]]</f>
        <v/>
      </c>
      <c r="Y73" s="41" t="n">
        <v>92.08799999999999</v>
      </c>
      <c r="Z73" s="43" t="n">
        <v>251902</v>
      </c>
      <c r="AA73" s="3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43" t="n">
        <v>1498</v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87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32">
        <f>TABL123[[#This Row],[(A/S) AJD]]-TABL123[[#This Row],[SER_IN]]</f>
        <v/>
      </c>
    </row>
    <row r="74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28" t="n"/>
      <c r="F74" s="44" t="n">
        <v>96</v>
      </c>
      <c r="G74" s="40" t="n">
        <v>603</v>
      </c>
      <c r="H74" s="28">
        <f>103-F74</f>
        <v/>
      </c>
      <c r="I74" s="40" t="n">
        <v>438</v>
      </c>
      <c r="J74" s="44" t="n">
        <v>420</v>
      </c>
      <c r="K74" s="28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3">
        <f>TABL123[[#This Row],[ (S/S) SAR]]-TABL123[[#This Row],[(S/S) AJD]]</f>
        <v/>
      </c>
      <c r="Q74" s="40" t="n">
        <v>411</v>
      </c>
      <c r="R74" s="3">
        <f>TABL123[[#This Row],[ (T/B) SAR]]-TABL123[[#This Row],[(T/B) AJD]]</f>
        <v/>
      </c>
      <c r="S74" s="3">
        <f>TABL123[[#This Row],[T/B-CON.]]+TABL123[[#This Row],[S/S_CON.]]</f>
        <v/>
      </c>
      <c r="T74" s="3">
        <f>TABL123[[#This Row],[(S/S) AJD]]+TABL123[[#This Row],[(T/B) AJD]]</f>
        <v/>
      </c>
      <c r="U74" s="44" t="n">
        <v>542</v>
      </c>
      <c r="V74" s="44" t="n">
        <v>206</v>
      </c>
      <c r="W74" s="3">
        <f>TABL123[[#This Row],[(A/B) AJD]]+TABL123[[#This Row],[(A/S) AJD]]</f>
        <v/>
      </c>
      <c r="X74" s="3">
        <f>TABL123[[#This Row],[( S/S+T/B) AJD]]-TABL123[[#This Row],[(A/B + A/S) AJD]]</f>
        <v/>
      </c>
      <c r="Y74" s="44" t="n">
        <v>92.15000000000001</v>
      </c>
      <c r="Z74" s="45" t="n">
        <v>288642</v>
      </c>
      <c r="AA74" s="3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45" t="n">
        <v>1250</v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87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32">
        <f>TABL123[[#This Row],[(A/S) AJD]]-TABL123[[#This Row],[SER_IN]]</f>
        <v/>
      </c>
    </row>
    <row r="75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28" t="n"/>
      <c r="F75" s="41" t="n">
        <v>96</v>
      </c>
      <c r="G75" s="39" t="n">
        <v>603</v>
      </c>
      <c r="H75" s="28">
        <f>103-F75</f>
        <v/>
      </c>
      <c r="I75" s="39" t="n">
        <v>438</v>
      </c>
      <c r="J75" s="39" t="n">
        <v>420</v>
      </c>
      <c r="K75" s="28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3">
        <f>TABL123[[#This Row],[ (S/S) SAR]]-TABL123[[#This Row],[(S/S) AJD]]</f>
        <v/>
      </c>
      <c r="Q75" s="39" t="n">
        <v>411</v>
      </c>
      <c r="R75" s="3">
        <f>TABL123[[#This Row],[ (T/B) SAR]]-TABL123[[#This Row],[(T/B) AJD]]</f>
        <v/>
      </c>
      <c r="S75" s="3">
        <f>TABL123[[#This Row],[T/B-CON.]]+TABL123[[#This Row],[S/S_CON.]]</f>
        <v/>
      </c>
      <c r="T75" s="3">
        <f>TABL123[[#This Row],[(S/S) AJD]]+TABL123[[#This Row],[(T/B) AJD]]</f>
        <v/>
      </c>
      <c r="U75" s="41" t="n">
        <v>559</v>
      </c>
      <c r="V75" s="41" t="n">
        <v>190</v>
      </c>
      <c r="W75" s="3">
        <f>TABL123[[#This Row],[(A/B) AJD]]+TABL123[[#This Row],[(A/S) AJD]]</f>
        <v/>
      </c>
      <c r="X75" s="3">
        <f>TABL123[[#This Row],[( S/S+T/B) AJD]]-TABL123[[#This Row],[(A/B + A/S) AJD]]</f>
        <v/>
      </c>
      <c r="Y75" s="41" t="n">
        <v>92.19499999999999</v>
      </c>
      <c r="Z75" s="43" t="n">
        <v>315325</v>
      </c>
      <c r="AA75" s="3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43" t="n">
        <v>1367</v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87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32">
        <f>TABL123[[#This Row],[(A/S) AJD]]-TABL123[[#This Row],[SER_IN]]</f>
        <v/>
      </c>
    </row>
    <row r="76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28" t="n"/>
      <c r="F76" s="44" t="n">
        <v>96</v>
      </c>
      <c r="G76" s="40" t="n">
        <v>600</v>
      </c>
      <c r="H76" s="28">
        <f>103-F76</f>
        <v/>
      </c>
      <c r="I76" s="40" t="n">
        <v>440</v>
      </c>
      <c r="J76" s="44" t="n">
        <v>422</v>
      </c>
      <c r="K76" s="28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3">
        <f>TABL123[[#This Row],[ (S/S) SAR]]-TABL123[[#This Row],[(S/S) AJD]]</f>
        <v/>
      </c>
      <c r="Q76" s="40" t="n">
        <v>411</v>
      </c>
      <c r="R76" s="3">
        <f>TABL123[[#This Row],[ (T/B) SAR]]-TABL123[[#This Row],[(T/B) AJD]]</f>
        <v/>
      </c>
      <c r="S76" s="3">
        <f>TABL123[[#This Row],[T/B-CON.]]+TABL123[[#This Row],[S/S_CON.]]</f>
        <v/>
      </c>
      <c r="T76" s="3">
        <f>TABL123[[#This Row],[(S/S) AJD]]+TABL123[[#This Row],[(T/B) AJD]]</f>
        <v/>
      </c>
      <c r="U76" s="44" t="n">
        <v>551</v>
      </c>
      <c r="V76" s="44" t="n">
        <v>166</v>
      </c>
      <c r="W76" s="3">
        <f>TABL123[[#This Row],[(A/B) AJD]]+TABL123[[#This Row],[(A/S) AJD]]</f>
        <v/>
      </c>
      <c r="X76" s="3">
        <f>TABL123[[#This Row],[( S/S+T/B) AJD]]-TABL123[[#This Row],[(A/B + A/S) AJD]]</f>
        <v/>
      </c>
      <c r="Y76" s="44" t="n">
        <v>92.268</v>
      </c>
      <c r="Z76" s="45" t="n">
        <v>359839</v>
      </c>
      <c r="AA76" s="3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45" t="n">
        <v>1830</v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87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32">
        <f>TABL123[[#This Row],[(A/S) AJD]]-TABL123[[#This Row],[SER_IN]]</f>
        <v/>
      </c>
    </row>
    <row r="77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28" t="n"/>
      <c r="F77" s="41" t="n">
        <v>96</v>
      </c>
      <c r="G77" s="39" t="n">
        <v>600</v>
      </c>
      <c r="H77" s="28">
        <f>103-F77</f>
        <v/>
      </c>
      <c r="I77" s="39" t="n">
        <v>440</v>
      </c>
      <c r="J77" s="39" t="n">
        <v>422</v>
      </c>
      <c r="K77" s="28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3">
        <f>TABL123[[#This Row],[ (S/S) SAR]]-TABL123[[#This Row],[(S/S) AJD]]</f>
        <v/>
      </c>
      <c r="Q77" s="39" t="n">
        <v>411</v>
      </c>
      <c r="R77" s="3">
        <f>TABL123[[#This Row],[ (T/B) SAR]]-TABL123[[#This Row],[(T/B) AJD]]</f>
        <v/>
      </c>
      <c r="S77" s="3">
        <f>TABL123[[#This Row],[T/B-CON.]]+TABL123[[#This Row],[S/S_CON.]]</f>
        <v/>
      </c>
      <c r="T77" s="3">
        <f>TABL123[[#This Row],[(S/S) AJD]]+TABL123[[#This Row],[(T/B) AJD]]</f>
        <v/>
      </c>
      <c r="U77" s="41" t="n">
        <v>548</v>
      </c>
      <c r="V77" s="41" t="n">
        <v>191</v>
      </c>
      <c r="W77" s="3">
        <f>TABL123[[#This Row],[(A/B) AJD]]+TABL123[[#This Row],[(A/S) AJD]]</f>
        <v/>
      </c>
      <c r="X77" s="3">
        <f>TABL123[[#This Row],[( S/S+T/B) AJD]]-TABL123[[#This Row],[(A/B + A/S) AJD]]</f>
        <v/>
      </c>
      <c r="Y77" s="41" t="n">
        <v>92.312</v>
      </c>
      <c r="Z77" s="43" t="n">
        <v>384781</v>
      </c>
      <c r="AA77" s="3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43" t="n">
        <v>1621</v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87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32">
        <f>TABL123[[#This Row],[(A/S) AJD]]-TABL123[[#This Row],[SER_IN]]</f>
        <v/>
      </c>
    </row>
    <row r="78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28" t="n"/>
      <c r="F78" s="44" t="n">
        <v>96</v>
      </c>
      <c r="G78" s="40" t="n">
        <v>603</v>
      </c>
      <c r="H78" s="28">
        <f>103-F78</f>
        <v/>
      </c>
      <c r="I78" s="40" t="n">
        <v>445</v>
      </c>
      <c r="J78" s="44" t="n">
        <v>430</v>
      </c>
      <c r="K78" s="28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3">
        <f>TABL123[[#This Row],[ (S/S) SAR]]-TABL123[[#This Row],[(S/S) AJD]]</f>
        <v/>
      </c>
      <c r="Q78" s="40" t="n">
        <v>413</v>
      </c>
      <c r="R78" s="3">
        <f>TABL123[[#This Row],[ (T/B) SAR]]-TABL123[[#This Row],[(T/B) AJD]]</f>
        <v/>
      </c>
      <c r="S78" s="3">
        <f>TABL123[[#This Row],[T/B-CON.]]+TABL123[[#This Row],[S/S_CON.]]</f>
        <v/>
      </c>
      <c r="T78" s="3">
        <f>TABL123[[#This Row],[(S/S) AJD]]+TABL123[[#This Row],[(T/B) AJD]]</f>
        <v/>
      </c>
      <c r="U78" s="44" t="n">
        <v>546</v>
      </c>
      <c r="V78" s="44" t="n">
        <v>215</v>
      </c>
      <c r="W78" s="3">
        <f>TABL123[[#This Row],[(A/B) AJD]]+TABL123[[#This Row],[(A/S) AJD]]</f>
        <v/>
      </c>
      <c r="X78" s="3">
        <f>TABL123[[#This Row],[( S/S+T/B) AJD]]-TABL123[[#This Row],[(A/B + A/S) AJD]]</f>
        <v/>
      </c>
      <c r="Y78" s="44" t="n">
        <v>92.342</v>
      </c>
      <c r="Z78" s="45" t="n">
        <v>402617</v>
      </c>
      <c r="AA78" s="3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45" t="n">
        <v>1308</v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87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32">
        <f>TABL123[[#This Row],[(A/S) AJD]]-TABL123[[#This Row],[SER_IN]]</f>
        <v/>
      </c>
    </row>
    <row r="79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28" t="n"/>
      <c r="F79" s="41" t="n">
        <v>96</v>
      </c>
      <c r="G79" s="39" t="n">
        <v>603</v>
      </c>
      <c r="H79" s="28">
        <f>103-F79</f>
        <v/>
      </c>
      <c r="I79" s="39" t="n">
        <v>445</v>
      </c>
      <c r="J79" s="39" t="n">
        <v>430</v>
      </c>
      <c r="K79" s="28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3">
        <f>TABL123[[#This Row],[ (S/S) SAR]]-TABL123[[#This Row],[(S/S) AJD]]</f>
        <v/>
      </c>
      <c r="Q79" s="39" t="n">
        <v>418</v>
      </c>
      <c r="R79" s="3">
        <f>TABL123[[#This Row],[ (T/B) SAR]]-TABL123[[#This Row],[(T/B) AJD]]</f>
        <v/>
      </c>
      <c r="S79" s="3">
        <f>TABL123[[#This Row],[T/B-CON.]]+TABL123[[#This Row],[S/S_CON.]]</f>
        <v/>
      </c>
      <c r="T79" s="3">
        <f>TABL123[[#This Row],[(S/S) AJD]]+TABL123[[#This Row],[(T/B) AJD]]</f>
        <v/>
      </c>
      <c r="U79" s="41" t="n">
        <v>571</v>
      </c>
      <c r="V79" s="41" t="n">
        <v>202</v>
      </c>
      <c r="W79" s="3">
        <f>TABL123[[#This Row],[(A/B) AJD]]+TABL123[[#This Row],[(A/S) AJD]]</f>
        <v/>
      </c>
      <c r="X79" s="3">
        <f>TABL123[[#This Row],[( S/S+T/B) AJD]]-TABL123[[#This Row],[(A/B + A/S) AJD]]</f>
        <v/>
      </c>
      <c r="Y79" s="41" t="n">
        <v>92.432</v>
      </c>
      <c r="Z79" s="43" t="n">
        <v>456137</v>
      </c>
      <c r="AA79" s="3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43" t="n">
        <v>1838</v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87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32">
        <f>TABL123[[#This Row],[(A/S) AJD]]-TABL123[[#This Row],[SER_IN]]</f>
        <v/>
      </c>
    </row>
    <row r="80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28" t="n"/>
      <c r="F80" s="44" t="n">
        <v>96</v>
      </c>
      <c r="G80" s="40" t="n">
        <v>603</v>
      </c>
      <c r="H80" s="28">
        <f>103-F80</f>
        <v/>
      </c>
      <c r="I80" s="40" t="n">
        <v>445</v>
      </c>
      <c r="J80" s="44" t="n">
        <v>430</v>
      </c>
      <c r="K80" s="28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3">
        <f>TABL123[[#This Row],[ (S/S) SAR]]-TABL123[[#This Row],[(S/S) AJD]]</f>
        <v/>
      </c>
      <c r="Q80" s="40" t="n">
        <v>419</v>
      </c>
      <c r="R80" s="3">
        <f>TABL123[[#This Row],[ (T/B) SAR]]-TABL123[[#This Row],[(T/B) AJD]]</f>
        <v/>
      </c>
      <c r="S80" s="3">
        <f>TABL123[[#This Row],[T/B-CON.]]+TABL123[[#This Row],[S/S_CON.]]</f>
        <v/>
      </c>
      <c r="T80" s="3">
        <f>TABL123[[#This Row],[(S/S) AJD]]+TABL123[[#This Row],[(T/B) AJD]]</f>
        <v/>
      </c>
      <c r="U80" s="44" t="n">
        <v>552</v>
      </c>
      <c r="V80" s="44" t="n">
        <v>228</v>
      </c>
      <c r="W80" s="3">
        <f>TABL123[[#This Row],[(A/B) AJD]]+TABL123[[#This Row],[(A/S) AJD]]</f>
        <v/>
      </c>
      <c r="X80" s="3">
        <f>TABL123[[#This Row],[( S/S+T/B) AJD]]-TABL123[[#This Row],[(A/B + A/S) AJD]]</f>
        <v/>
      </c>
      <c r="Y80" s="44" t="n">
        <v>92.40000000000001</v>
      </c>
      <c r="Z80" s="45" t="n">
        <v>437099</v>
      </c>
      <c r="AA80" s="3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45" t="n">
        <v>2000</v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87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32">
        <f>TABL123[[#This Row],[(A/S) AJD]]-TABL123[[#This Row],[SER_IN]]</f>
        <v/>
      </c>
    </row>
    <row r="8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28" t="n"/>
      <c r="F81" s="41" t="n">
        <v>96</v>
      </c>
      <c r="G81" s="39" t="n">
        <v>603</v>
      </c>
      <c r="H81" s="28">
        <f>103-F81</f>
        <v/>
      </c>
      <c r="I81" s="39" t="n">
        <v>445</v>
      </c>
      <c r="J81" s="39" t="n">
        <v>430</v>
      </c>
      <c r="K81" s="28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3">
        <f>TABL123[[#This Row],[ (S/S) SAR]]-TABL123[[#This Row],[(S/S) AJD]]</f>
        <v/>
      </c>
      <c r="Q81" s="39" t="n">
        <v>420</v>
      </c>
      <c r="R81" s="3">
        <f>TABL123[[#This Row],[ (T/B) SAR]]-TABL123[[#This Row],[(T/B) AJD]]</f>
        <v/>
      </c>
      <c r="S81" s="3">
        <f>TABL123[[#This Row],[T/B-CON.]]+TABL123[[#This Row],[S/S_CON.]]</f>
        <v/>
      </c>
      <c r="T81" s="3">
        <f>TABL123[[#This Row],[(S/S) AJD]]+TABL123[[#This Row],[(T/B) AJD]]</f>
        <v/>
      </c>
      <c r="U81" s="41" t="n">
        <v>550</v>
      </c>
      <c r="V81" s="41" t="n">
        <v>220</v>
      </c>
      <c r="W81" s="3">
        <f>TABL123[[#This Row],[(A/B) AJD]]+TABL123[[#This Row],[(A/S) AJD]]</f>
        <v/>
      </c>
      <c r="X81" s="3">
        <f>TABL123[[#This Row],[( S/S+T/B) AJD]]-TABL123[[#This Row],[(A/B + A/S) AJD]]</f>
        <v/>
      </c>
      <c r="Y81" s="41" t="n">
        <v>92.47499999999999</v>
      </c>
      <c r="Z81" s="43" t="n">
        <v>481734</v>
      </c>
      <c r="AA81" s="3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43" t="n">
        <v>656</v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87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32">
        <f>TABL123[[#This Row],[(A/S) AJD]]-TABL123[[#This Row],[SER_IN]]</f>
        <v/>
      </c>
    </row>
    <row r="82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28" t="n"/>
      <c r="F82" s="44" t="n">
        <v>96</v>
      </c>
      <c r="G82" s="40" t="n">
        <v>603</v>
      </c>
      <c r="H82" s="28">
        <f>103-F82</f>
        <v/>
      </c>
      <c r="I82" s="40" t="n">
        <v>445</v>
      </c>
      <c r="J82" s="44" t="n">
        <v>430</v>
      </c>
      <c r="K82" s="28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3">
        <f>TABL123[[#This Row],[ (S/S) SAR]]-TABL123[[#This Row],[(S/S) AJD]]</f>
        <v/>
      </c>
      <c r="Q82" s="40" t="n">
        <v>434</v>
      </c>
      <c r="R82" s="3">
        <f>TABL123[[#This Row],[ (T/B) SAR]]-TABL123[[#This Row],[(T/B) AJD]]</f>
        <v/>
      </c>
      <c r="S82" s="3">
        <f>TABL123[[#This Row],[T/B-CON.]]+TABL123[[#This Row],[S/S_CON.]]</f>
        <v/>
      </c>
      <c r="T82" s="3">
        <f>TABL123[[#This Row],[(S/S) AJD]]+TABL123[[#This Row],[(T/B) AJD]]</f>
        <v/>
      </c>
      <c r="U82" s="44" t="n">
        <v>570</v>
      </c>
      <c r="V82" s="44" t="n">
        <v>226</v>
      </c>
      <c r="W82" s="3">
        <f>TABL123[[#This Row],[(A/B) AJD]]+TABL123[[#This Row],[(A/S) AJD]]</f>
        <v/>
      </c>
      <c r="X82" s="3">
        <f>TABL123[[#This Row],[( S/S+T/B) AJD]]-TABL123[[#This Row],[(A/B + A/S) AJD]]</f>
        <v/>
      </c>
      <c r="Y82" s="44" t="n">
        <v>92.485</v>
      </c>
      <c r="Z82" s="45" t="n">
        <v>488881</v>
      </c>
      <c r="AA82" s="3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45" t="n">
        <v>2216</v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87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32">
        <f>TABL123[[#This Row],[(A/S) AJD]]-TABL123[[#This Row],[SER_IN]]</f>
        <v/>
      </c>
    </row>
    <row r="83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28" t="n"/>
      <c r="F83" s="41" t="n">
        <v>96</v>
      </c>
      <c r="G83" s="39" t="n">
        <v>603</v>
      </c>
      <c r="H83" s="28">
        <f>103-F83</f>
        <v/>
      </c>
      <c r="I83" s="39" t="n">
        <v>445</v>
      </c>
      <c r="J83" s="39" t="n">
        <v>430</v>
      </c>
      <c r="K83" s="28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3">
        <f>TABL123[[#This Row],[ (S/S) SAR]]-TABL123[[#This Row],[(S/S) AJD]]</f>
        <v/>
      </c>
      <c r="Q83" s="39" t="n">
        <v>403</v>
      </c>
      <c r="R83" s="3">
        <f>TABL123[[#This Row],[ (T/B) SAR]]-TABL123[[#This Row],[(T/B) AJD]]</f>
        <v/>
      </c>
      <c r="S83" s="3">
        <f>TABL123[[#This Row],[T/B-CON.]]+TABL123[[#This Row],[S/S_CON.]]</f>
        <v/>
      </c>
      <c r="T83" s="3">
        <f>TABL123[[#This Row],[(S/S) AJD]]+TABL123[[#This Row],[(T/B) AJD]]</f>
        <v/>
      </c>
      <c r="U83" s="41" t="n">
        <v>527</v>
      </c>
      <c r="V83" s="41" t="n">
        <v>208</v>
      </c>
      <c r="W83" s="3">
        <f>TABL123[[#This Row],[(A/B) AJD]]+TABL123[[#This Row],[(A/S) AJD]]</f>
        <v/>
      </c>
      <c r="X83" s="3">
        <f>TABL123[[#This Row],[( S/S+T/B) AJD]]-TABL123[[#This Row],[(A/B + A/S) AJD]]</f>
        <v/>
      </c>
      <c r="Y83" s="41" t="n">
        <v>92.482</v>
      </c>
      <c r="Z83" s="43" t="n">
        <v>485905</v>
      </c>
      <c r="AA83" s="3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43" t="n">
        <v>1695</v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87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32">
        <f>TABL123[[#This Row],[(A/S) AJD]]-TABL123[[#This Row],[SER_IN]]</f>
        <v/>
      </c>
    </row>
    <row r="84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28" t="n"/>
      <c r="F84" s="44" t="n">
        <v>96</v>
      </c>
      <c r="G84" s="40" t="n">
        <v>603</v>
      </c>
      <c r="H84" s="28">
        <f>103-F84</f>
        <v/>
      </c>
      <c r="I84" s="40" t="n">
        <v>445</v>
      </c>
      <c r="J84" s="44" t="n">
        <v>430</v>
      </c>
      <c r="K84" s="28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3">
        <f>TABL123[[#This Row],[ (S/S) SAR]]-TABL123[[#This Row],[(S/S) AJD]]</f>
        <v/>
      </c>
      <c r="Q84" s="40" t="n">
        <v>416</v>
      </c>
      <c r="R84" s="3">
        <f>TABL123[[#This Row],[ (T/B) SAR]]-TABL123[[#This Row],[(T/B) AJD]]</f>
        <v/>
      </c>
      <c r="S84" s="3">
        <f>TABL123[[#This Row],[T/B-CON.]]+TABL123[[#This Row],[S/S_CON.]]</f>
        <v/>
      </c>
      <c r="T84" s="3">
        <f>TABL123[[#This Row],[(S/S) AJD]]+TABL123[[#This Row],[(T/B) AJD]]</f>
        <v/>
      </c>
      <c r="U84" s="44" t="n">
        <v>550</v>
      </c>
      <c r="V84" s="44" t="n">
        <v>222</v>
      </c>
      <c r="W84" s="3">
        <f>TABL123[[#This Row],[(A/B) AJD]]+TABL123[[#This Row],[(A/S) AJD]]</f>
        <v/>
      </c>
      <c r="X84" s="3">
        <f>TABL123[[#This Row],[( S/S+T/B) AJD]]-TABL123[[#This Row],[(A/B + A/S) AJD]]</f>
        <v/>
      </c>
      <c r="Y84" s="44" t="n">
        <v>92.48699999999999</v>
      </c>
      <c r="Z84" s="45" t="n">
        <v>488881</v>
      </c>
      <c r="AA84" s="3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45" t="n">
        <v>2035</v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87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32">
        <f>TABL123[[#This Row],[(A/S) AJD]]-TABL123[[#This Row],[SER_IN]]</f>
        <v/>
      </c>
    </row>
    <row r="85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28" t="n"/>
      <c r="F85" s="41" t="n">
        <v>96</v>
      </c>
      <c r="G85" s="39" t="n">
        <v>603</v>
      </c>
      <c r="H85" s="28">
        <f>103-F85</f>
        <v/>
      </c>
      <c r="I85" s="39" t="n">
        <v>445</v>
      </c>
      <c r="J85" s="39" t="n">
        <v>430</v>
      </c>
      <c r="K85" s="28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3">
        <f>TABL123[[#This Row],[ (S/S) SAR]]-TABL123[[#This Row],[(S/S) AJD]]</f>
        <v/>
      </c>
      <c r="Q85" s="39" t="n">
        <v>418</v>
      </c>
      <c r="R85" s="3">
        <f>TABL123[[#This Row],[ (T/B) SAR]]-TABL123[[#This Row],[(T/B) AJD]]</f>
        <v/>
      </c>
      <c r="S85" s="3">
        <f>TABL123[[#This Row],[T/B-CON.]]+TABL123[[#This Row],[S/S_CON.]]</f>
        <v/>
      </c>
      <c r="T85" s="3">
        <f>TABL123[[#This Row],[(S/S) AJD]]+TABL123[[#This Row],[(T/B) AJD]]</f>
        <v/>
      </c>
      <c r="U85" s="41" t="n">
        <v>546</v>
      </c>
      <c r="V85" s="41" t="n">
        <v>211</v>
      </c>
      <c r="W85" s="3">
        <f>TABL123[[#This Row],[(A/B) AJD]]+TABL123[[#This Row],[(A/S) AJD]]</f>
        <v/>
      </c>
      <c r="X85" s="3">
        <f>TABL123[[#This Row],[( S/S+T/B) AJD]]-TABL123[[#This Row],[(A/B + A/S) AJD]]</f>
        <v/>
      </c>
      <c r="Y85" s="41" t="n">
        <v>92.557</v>
      </c>
      <c r="Z85" s="43" t="n">
        <v>530591</v>
      </c>
      <c r="AA85" s="3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43" t="n">
        <v>923</v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87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32">
        <f>TABL123[[#This Row],[(A/S) AJD]]-TABL123[[#This Row],[SER_IN]]</f>
        <v/>
      </c>
    </row>
    <row r="86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28" t="n"/>
      <c r="F86" s="44" t="n">
        <v>96</v>
      </c>
      <c r="G86" s="40" t="n">
        <v>603</v>
      </c>
      <c r="H86" s="28">
        <f>103-F86</f>
        <v/>
      </c>
      <c r="I86" s="40" t="n">
        <v>445</v>
      </c>
      <c r="J86" s="44" t="n">
        <v>430</v>
      </c>
      <c r="K86" s="28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3">
        <f>TABL123[[#This Row],[ (S/S) SAR]]-TABL123[[#This Row],[(S/S) AJD]]</f>
        <v/>
      </c>
      <c r="Q86" s="40" t="n">
        <v>416</v>
      </c>
      <c r="R86" s="3">
        <f>TABL123[[#This Row],[ (T/B) SAR]]-TABL123[[#This Row],[(T/B) AJD]]</f>
        <v/>
      </c>
      <c r="S86" s="3">
        <f>TABL123[[#This Row],[T/B-CON.]]+TABL123[[#This Row],[S/S_CON.]]</f>
        <v/>
      </c>
      <c r="T86" s="3">
        <f>TABL123[[#This Row],[(S/S) AJD]]+TABL123[[#This Row],[(T/B) AJD]]</f>
        <v/>
      </c>
      <c r="U86" s="44" t="n">
        <v>541</v>
      </c>
      <c r="V86" s="44" t="n">
        <v>206</v>
      </c>
      <c r="W86" s="3">
        <f>TABL123[[#This Row],[(A/B) AJD]]+TABL123[[#This Row],[(A/S) AJD]]</f>
        <v/>
      </c>
      <c r="X86" s="3">
        <f>TABL123[[#This Row],[( S/S+T/B) AJD]]-TABL123[[#This Row],[(A/B + A/S) AJD]]</f>
        <v/>
      </c>
      <c r="Y86" s="44" t="n">
        <v>92.572</v>
      </c>
      <c r="Z86" s="45" t="n">
        <v>539534</v>
      </c>
      <c r="AA86" s="3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45" t="n">
        <v>844</v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87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32">
        <f>TABL123[[#This Row],[(A/S) AJD]]-TABL123[[#This Row],[SER_IN]]</f>
        <v/>
      </c>
    </row>
    <row r="87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28" t="n"/>
      <c r="F87" s="41" t="n">
        <v>96</v>
      </c>
      <c r="G87" s="39" t="n">
        <v>603</v>
      </c>
      <c r="H87" s="28">
        <f>103-F87</f>
        <v/>
      </c>
      <c r="I87" s="39" t="n">
        <v>445</v>
      </c>
      <c r="J87" s="39" t="n">
        <v>430</v>
      </c>
      <c r="K87" s="28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3">
        <f>TABL123[[#This Row],[ (S/S) SAR]]-TABL123[[#This Row],[(S/S) AJD]]</f>
        <v/>
      </c>
      <c r="Q87" s="39" t="n">
        <v>416</v>
      </c>
      <c r="R87" s="3">
        <f>TABL123[[#This Row],[ (T/B) SAR]]-TABL123[[#This Row],[(T/B) AJD]]</f>
        <v/>
      </c>
      <c r="S87" s="3">
        <f>TABL123[[#This Row],[T/B-CON.]]+TABL123[[#This Row],[S/S_CON.]]</f>
        <v/>
      </c>
      <c r="T87" s="3">
        <f>TABL123[[#This Row],[(S/S) AJD]]+TABL123[[#This Row],[(T/B) AJD]]</f>
        <v/>
      </c>
      <c r="U87" s="41" t="n">
        <v>549</v>
      </c>
      <c r="V87" s="41" t="n">
        <v>227</v>
      </c>
      <c r="W87" s="3">
        <f>TABL123[[#This Row],[(A/B) AJD]]+TABL123[[#This Row],[(A/S) AJD]]</f>
        <v/>
      </c>
      <c r="X87" s="3">
        <f>TABL123[[#This Row],[( S/S+T/B) AJD]]-TABL123[[#This Row],[(A/B + A/S) AJD]]</f>
        <v/>
      </c>
      <c r="Y87" s="41" t="n">
        <v>92.587</v>
      </c>
      <c r="Z87" s="43" t="n">
        <v>548478</v>
      </c>
      <c r="AA87" s="3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43" t="n">
        <v>1744</v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87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32">
        <f>TABL123[[#This Row],[(A/S) AJD]]-TABL123[[#This Row],[SER_IN]]</f>
        <v/>
      </c>
    </row>
    <row r="88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28" t="n"/>
      <c r="F88" s="44" t="n">
        <v>96</v>
      </c>
      <c r="G88" s="40" t="n">
        <v>603</v>
      </c>
      <c r="H88" s="28">
        <f>103-F88</f>
        <v/>
      </c>
      <c r="I88" s="40" t="n">
        <v>445</v>
      </c>
      <c r="J88" s="44" t="n">
        <v>430</v>
      </c>
      <c r="K88" s="28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3">
        <f>TABL123[[#This Row],[ (S/S) SAR]]-TABL123[[#This Row],[(S/S) AJD]]</f>
        <v/>
      </c>
      <c r="Q88" s="40" t="n">
        <v>417</v>
      </c>
      <c r="R88" s="3">
        <f>TABL123[[#This Row],[ (T/B) SAR]]-TABL123[[#This Row],[(T/B) AJD]]</f>
        <v/>
      </c>
      <c r="S88" s="3">
        <f>TABL123[[#This Row],[T/B-CON.]]+TABL123[[#This Row],[S/S_CON.]]</f>
        <v/>
      </c>
      <c r="T88" s="3">
        <f>TABL123[[#This Row],[(S/S) AJD]]+TABL123[[#This Row],[(T/B) AJD]]</f>
        <v/>
      </c>
      <c r="U88" s="44" t="n">
        <v>553</v>
      </c>
      <c r="V88" s="44" t="n">
        <v>214</v>
      </c>
      <c r="W88" s="3">
        <f>TABL123[[#This Row],[(A/B) AJD]]+TABL123[[#This Row],[(A/S) AJD]]</f>
        <v/>
      </c>
      <c r="X88" s="3">
        <f>TABL123[[#This Row],[( S/S+T/B) AJD]]-TABL123[[#This Row],[(A/B + A/S) AJD]]</f>
        <v/>
      </c>
      <c r="Y88" s="44" t="n">
        <v>92.58499999999999</v>
      </c>
      <c r="Z88" s="45" t="n">
        <v>547286</v>
      </c>
      <c r="AA88" s="3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45" t="n">
        <v>0</v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87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32">
        <f>TABL123[[#This Row],[(A/S) AJD]]-TABL123[[#This Row],[SER_IN]]</f>
        <v/>
      </c>
    </row>
    <row r="89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28" t="n"/>
      <c r="F89" s="41" t="n">
        <v>96</v>
      </c>
      <c r="G89" s="39" t="n">
        <v>603</v>
      </c>
      <c r="H89" s="28">
        <f>103-F89</f>
        <v/>
      </c>
      <c r="I89" s="39" t="n">
        <v>445</v>
      </c>
      <c r="J89" s="39" t="n">
        <v>430</v>
      </c>
      <c r="K89" s="28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3">
        <f>TABL123[[#This Row],[ (S/S) SAR]]-TABL123[[#This Row],[(S/S) AJD]]</f>
        <v/>
      </c>
      <c r="Q89" s="39" t="n">
        <v>418</v>
      </c>
      <c r="R89" s="3">
        <f>TABL123[[#This Row],[ (T/B) SAR]]-TABL123[[#This Row],[(T/B) AJD]]</f>
        <v/>
      </c>
      <c r="S89" s="3">
        <f>TABL123[[#This Row],[T/B-CON.]]+TABL123[[#This Row],[S/S_CON.]]</f>
        <v/>
      </c>
      <c r="T89" s="3">
        <f>TABL123[[#This Row],[(S/S) AJD]]+TABL123[[#This Row],[(T/B) AJD]]</f>
        <v/>
      </c>
      <c r="U89" s="41" t="n">
        <v>543</v>
      </c>
      <c r="V89" s="41" t="n">
        <v>212</v>
      </c>
      <c r="W89" s="3">
        <f>TABL123[[#This Row],[(A/B) AJD]]+TABL123[[#This Row],[(A/S) AJD]]</f>
        <v/>
      </c>
      <c r="X89" s="3">
        <f>TABL123[[#This Row],[( S/S+T/B) AJD]]-TABL123[[#This Row],[(A/B + A/S) AJD]]</f>
        <v/>
      </c>
      <c r="Y89" s="41" t="n">
        <v>92.64700000000001</v>
      </c>
      <c r="Z89" s="43" t="n">
        <v>584280</v>
      </c>
      <c r="AA89" s="3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43" t="n">
        <v>723</v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87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32">
        <f>TABL123[[#This Row],[(A/S) AJD]]-TABL123[[#This Row],[SER_IN]]</f>
        <v/>
      </c>
    </row>
    <row r="90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28" t="n"/>
      <c r="F90" s="44" t="n">
        <v>96</v>
      </c>
      <c r="G90" s="40" t="n">
        <v>603</v>
      </c>
      <c r="H90" s="28">
        <f>103-F90</f>
        <v/>
      </c>
      <c r="I90" s="40" t="n">
        <v>445</v>
      </c>
      <c r="J90" s="44" t="n">
        <v>430</v>
      </c>
      <c r="K90" s="28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3">
        <f>TABL123[[#This Row],[ (S/S) SAR]]-TABL123[[#This Row],[(S/S) AJD]]</f>
        <v/>
      </c>
      <c r="Q90" s="40" t="n">
        <v>416</v>
      </c>
      <c r="R90" s="3">
        <f>TABL123[[#This Row],[ (T/B) SAR]]-TABL123[[#This Row],[(T/B) AJD]]</f>
        <v/>
      </c>
      <c r="S90" s="3">
        <f>TABL123[[#This Row],[T/B-CON.]]+TABL123[[#This Row],[S/S_CON.]]</f>
        <v/>
      </c>
      <c r="T90" s="3">
        <f>TABL123[[#This Row],[(S/S) AJD]]+TABL123[[#This Row],[(T/B) AJD]]</f>
        <v/>
      </c>
      <c r="U90" s="44" t="n">
        <v>567</v>
      </c>
      <c r="V90" s="44" t="n">
        <v>265</v>
      </c>
      <c r="W90" s="3">
        <f>TABL123[[#This Row],[(A/B) AJD]]+TABL123[[#This Row],[(A/S) AJD]]</f>
        <v/>
      </c>
      <c r="X90" s="3">
        <f>TABL123[[#This Row],[( S/S+T/B) AJD]]-TABL123[[#This Row],[(A/B + A/S) AJD]]</f>
        <v/>
      </c>
      <c r="Y90" s="44" t="n">
        <v>92.545</v>
      </c>
      <c r="Z90" s="45" t="n">
        <v>522841</v>
      </c>
      <c r="AA90" s="3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45" t="n">
        <v>1451</v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87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32">
        <f>TABL123[[#This Row],[(A/S) AJD]]-TABL123[[#This Row],[SER_IN]]</f>
        <v/>
      </c>
    </row>
    <row r="9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28" t="n"/>
      <c r="F91" s="41" t="n">
        <v>96</v>
      </c>
      <c r="G91" s="39" t="n">
        <v>603</v>
      </c>
      <c r="H91" s="28">
        <f>103-F91</f>
        <v/>
      </c>
      <c r="I91" s="39" t="n">
        <v>445</v>
      </c>
      <c r="J91" s="39" t="n">
        <v>430</v>
      </c>
      <c r="K91" s="28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3">
        <f>TABL123[[#This Row],[ (S/S) SAR]]-TABL123[[#This Row],[(S/S) AJD]]</f>
        <v/>
      </c>
      <c r="Q91" s="39" t="n">
        <v>417</v>
      </c>
      <c r="R91" s="3">
        <f>TABL123[[#This Row],[ (T/B) SAR]]-TABL123[[#This Row],[(T/B) AJD]]</f>
        <v/>
      </c>
      <c r="S91" s="3">
        <f>TABL123[[#This Row],[T/B-CON.]]+TABL123[[#This Row],[S/S_CON.]]</f>
        <v/>
      </c>
      <c r="T91" s="3">
        <f>TABL123[[#This Row],[(S/S) AJD]]+TABL123[[#This Row],[(T/B) AJD]]</f>
        <v/>
      </c>
      <c r="U91" s="41" t="n">
        <v>576</v>
      </c>
      <c r="V91" s="41" t="n">
        <v>220</v>
      </c>
      <c r="W91" s="3">
        <f>TABL123[[#This Row],[(A/B) AJD]]+TABL123[[#This Row],[(A/S) AJD]]</f>
        <v/>
      </c>
      <c r="X91" s="3">
        <f>TABL123[[#This Row],[( S/S+T/B) AJD]]-TABL123[[#This Row],[(A/B + A/S) AJD]]</f>
        <v/>
      </c>
      <c r="Y91" s="41" t="n">
        <v>92.485</v>
      </c>
      <c r="Z91" s="43" t="n">
        <v>487691</v>
      </c>
      <c r="AA91" s="3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43" t="n">
        <v>2143</v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87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32">
        <f>TABL123[[#This Row],[(A/S) AJD]]-TABL123[[#This Row],[SER_IN]]</f>
        <v/>
      </c>
    </row>
    <row r="92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28">
        <f>103-F92</f>
        <v/>
      </c>
      <c r="I92" s="39" t="n">
        <v>445</v>
      </c>
      <c r="J92" s="39" t="n">
        <v>430</v>
      </c>
      <c r="K92" s="28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3">
        <f>TABL123[[#This Row],[ (S/S) SAR]]-TABL123[[#This Row],[(S/S) AJD]]</f>
        <v/>
      </c>
      <c r="Q92" s="39" t="n">
        <v>416</v>
      </c>
      <c r="R92" s="3">
        <f>TABL123[[#This Row],[ (T/B) SAR]]-TABL123[[#This Row],[(T/B) AJD]]</f>
        <v/>
      </c>
      <c r="S92" s="3">
        <f>TABL123[[#This Row],[T/B-CON.]]+TABL123[[#This Row],[S/S_CON.]]</f>
        <v/>
      </c>
      <c r="T92" s="3">
        <f>TABL123[[#This Row],[(S/S) AJD]]+TABL123[[#This Row],[(T/B) AJD]]</f>
        <v/>
      </c>
      <c r="U92" s="41" t="n">
        <v>565</v>
      </c>
      <c r="V92" s="41" t="n">
        <v>220</v>
      </c>
      <c r="W92" s="3">
        <f>TABL123[[#This Row],[(A/B) AJD]]+TABL123[[#This Row],[(A/S) AJD]]</f>
        <v/>
      </c>
      <c r="X92" s="3">
        <f>TABL123[[#This Row],[( S/S+T/B) AJD]]-TABL123[[#This Row],[(A/B + A/S) AJD]]</f>
        <v/>
      </c>
      <c r="Y92" s="41" t="n">
        <v>92.462</v>
      </c>
      <c r="Z92" s="43" t="n">
        <v>475779</v>
      </c>
      <c r="AA92" s="3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43" t="n">
        <v>1522</v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87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32">
        <f>TABL123[[#This Row],[(A/S) AJD]]-TABL123[[#This Row],[SER_IN]]</f>
        <v/>
      </c>
    </row>
    <row r="93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28">
        <f>103-F93</f>
        <v/>
      </c>
      <c r="I93" s="40" t="n">
        <v>379</v>
      </c>
      <c r="J93" s="44" t="n">
        <v>343</v>
      </c>
      <c r="K93" s="28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3">
        <f>TABL123[[#This Row],[ (S/S) SAR]]-TABL123[[#This Row],[(S/S) AJD]]</f>
        <v/>
      </c>
      <c r="Q93" s="40" t="n">
        <v>392</v>
      </c>
      <c r="R93" s="3">
        <f>TABL123[[#This Row],[ (T/B) SAR]]-TABL123[[#This Row],[(T/B) AJD]]</f>
        <v/>
      </c>
      <c r="S93" s="3">
        <f>TABL123[[#This Row],[T/B-CON.]]+TABL123[[#This Row],[S/S_CON.]]</f>
        <v/>
      </c>
      <c r="T93" s="3">
        <f>TABL123[[#This Row],[(S/S) AJD]]+TABL123[[#This Row],[(T/B) AJD]]</f>
        <v/>
      </c>
      <c r="U93" s="44" t="n">
        <v>564</v>
      </c>
      <c r="V93" s="44" t="n">
        <v>217</v>
      </c>
      <c r="W93" s="3">
        <f>TABL123[[#This Row],[(A/B) AJD]]+TABL123[[#This Row],[(A/S) AJD]]</f>
        <v/>
      </c>
      <c r="X93" s="3">
        <f>TABL123[[#This Row],[( S/S+T/B) AJD]]-TABL123[[#This Row],[(A/B + A/S) AJD]]</f>
        <v/>
      </c>
      <c r="Y93" s="44" t="n">
        <v>92.40000000000001</v>
      </c>
      <c r="Z93" s="45" t="n">
        <v>437099</v>
      </c>
      <c r="AA93" s="3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45" t="n">
        <v>1053</v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87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32">
        <f>TABL123[[#This Row],[(A/S) AJD]]-TABL123[[#This Row],[SER_IN]]</f>
        <v/>
      </c>
    </row>
    <row r="94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28">
        <f>103-F94</f>
        <v/>
      </c>
      <c r="I94" s="39" t="n">
        <v>445</v>
      </c>
      <c r="J94" s="39" t="n">
        <v>425</v>
      </c>
      <c r="K94" s="28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3">
        <f>TABL123[[#This Row],[ (S/S) SAR]]-TABL123[[#This Row],[(S/S) AJD]]</f>
        <v/>
      </c>
      <c r="Q94" s="39" t="n">
        <v>371</v>
      </c>
      <c r="R94" s="3">
        <f>TABL123[[#This Row],[ (T/B) SAR]]-TABL123[[#This Row],[(T/B) AJD]]</f>
        <v/>
      </c>
      <c r="S94" s="3">
        <f>TABL123[[#This Row],[T/B-CON.]]+TABL123[[#This Row],[S/S_CON.]]</f>
        <v/>
      </c>
      <c r="T94" s="3">
        <f>TABL123[[#This Row],[(S/S) AJD]]+TABL123[[#This Row],[(T/B) AJD]]</f>
        <v/>
      </c>
      <c r="U94" s="41" t="n">
        <v>561</v>
      </c>
      <c r="V94" s="41" t="n">
        <v>220</v>
      </c>
      <c r="W94" s="3">
        <f>TABL123[[#This Row],[(A/B) AJD]]+TABL123[[#This Row],[(A/S) AJD]]</f>
        <v/>
      </c>
      <c r="X94" s="3">
        <f>TABL123[[#This Row],[( S/S+T/B) AJD]]-TABL123[[#This Row],[(A/B + A/S) AJD]]</f>
        <v/>
      </c>
      <c r="Y94" s="41" t="n">
        <v>92.23</v>
      </c>
      <c r="Z94" s="43" t="n">
        <v>336094</v>
      </c>
      <c r="AA94" s="3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43" t="n">
        <v>1732</v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87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32">
        <f>TABL123[[#This Row],[(A/S) AJD]]-TABL123[[#This Row],[SER_IN]]</f>
        <v/>
      </c>
    </row>
    <row r="95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28">
        <f>103-F95</f>
        <v/>
      </c>
      <c r="I95" s="40" t="n">
        <v>450</v>
      </c>
      <c r="J95" s="44" t="n">
        <v>432</v>
      </c>
      <c r="K95" s="28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3">
        <f>TABL123[[#This Row],[ (S/S) SAR]]-TABL123[[#This Row],[(S/S) AJD]]</f>
        <v/>
      </c>
      <c r="Q95" s="40" t="n">
        <v>413</v>
      </c>
      <c r="R95" s="3">
        <f>TABL123[[#This Row],[ (T/B) SAR]]-TABL123[[#This Row],[(T/B) AJD]]</f>
        <v/>
      </c>
      <c r="S95" s="3">
        <f>TABL123[[#This Row],[T/B-CON.]]+TABL123[[#This Row],[S/S_CON.]]</f>
        <v/>
      </c>
      <c r="T95" s="3">
        <f>TABL123[[#This Row],[(S/S) AJD]]+TABL123[[#This Row],[(T/B) AJD]]</f>
        <v/>
      </c>
      <c r="U95" s="44" t="n">
        <v>571</v>
      </c>
      <c r="V95" s="44" t="n">
        <v>215</v>
      </c>
      <c r="W95" s="3">
        <f>TABL123[[#This Row],[(A/B) AJD]]+TABL123[[#This Row],[(A/S) AJD]]</f>
        <v/>
      </c>
      <c r="X95" s="3">
        <f>TABL123[[#This Row],[( S/S+T/B) AJD]]-TABL123[[#This Row],[(A/B + A/S) AJD]]</f>
        <v/>
      </c>
      <c r="Y95" s="44" t="n">
        <v>92.16</v>
      </c>
      <c r="Z95" s="45" t="n">
        <v>294572</v>
      </c>
      <c r="AA95" s="3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45" t="n">
        <v>1401</v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87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32">
        <f>TABL123[[#This Row],[(A/S) AJD]]-TABL123[[#This Row],[SER_IN]]</f>
        <v/>
      </c>
    </row>
    <row r="96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28">
        <f>103-F96</f>
        <v/>
      </c>
      <c r="I96" s="39" t="n">
        <v>445</v>
      </c>
      <c r="J96" s="39" t="n">
        <v>430</v>
      </c>
      <c r="K96" s="28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3">
        <f>TABL123[[#This Row],[ (S/S) SAR]]-TABL123[[#This Row],[(S/S) AJD]]</f>
        <v/>
      </c>
      <c r="Q96" s="39" t="n">
        <v>417</v>
      </c>
      <c r="R96" s="3">
        <f>TABL123[[#This Row],[ (T/B) SAR]]-TABL123[[#This Row],[(T/B) AJD]]</f>
        <v/>
      </c>
      <c r="S96" s="3">
        <f>TABL123[[#This Row],[T/B-CON.]]+TABL123[[#This Row],[S/S_CON.]]</f>
        <v/>
      </c>
      <c r="T96" s="3">
        <f>TABL123[[#This Row],[(S/S) AJD]]+TABL123[[#This Row],[(T/B) AJD]]</f>
        <v/>
      </c>
      <c r="U96" s="41" t="n">
        <v>575</v>
      </c>
      <c r="V96" s="41" t="n">
        <v>221</v>
      </c>
      <c r="W96" s="3">
        <f>TABL123[[#This Row],[(A/B) AJD]]+TABL123[[#This Row],[(A/S) AJD]]</f>
        <v/>
      </c>
      <c r="X96" s="3">
        <f>TABL123[[#This Row],[( S/S+T/B) AJD]]-TABL123[[#This Row],[(A/B + A/S) AJD]]</f>
        <v/>
      </c>
      <c r="Y96" s="41" t="n">
        <v>92.185</v>
      </c>
      <c r="Z96" s="43" t="n">
        <v>309393</v>
      </c>
      <c r="AA96" s="3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43" t="n">
        <v>2793</v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87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32">
        <f>TABL123[[#This Row],[(A/S) AJD]]-TABL123[[#This Row],[SER_IN]]</f>
        <v/>
      </c>
    </row>
    <row r="97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28">
        <f>103-F97</f>
        <v/>
      </c>
      <c r="I97" s="40" t="n">
        <v>437</v>
      </c>
      <c r="J97" s="44" t="n">
        <v>455</v>
      </c>
      <c r="K97" s="28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3">
        <f>TABL123[[#This Row],[ (S/S) SAR]]-TABL123[[#This Row],[(S/S) AJD]]</f>
        <v/>
      </c>
      <c r="Q97" s="40" t="n">
        <v>420</v>
      </c>
      <c r="R97" s="3">
        <f>TABL123[[#This Row],[ (T/B) SAR]]-TABL123[[#This Row],[(T/B) AJD]]</f>
        <v/>
      </c>
      <c r="S97" s="3">
        <f>TABL123[[#This Row],[T/B-CON.]]+TABL123[[#This Row],[S/S_CON.]]</f>
        <v/>
      </c>
      <c r="T97" s="3">
        <f>TABL123[[#This Row],[(S/S) AJD]]+TABL123[[#This Row],[(T/B) AJD]]</f>
        <v/>
      </c>
      <c r="U97" s="44" t="n">
        <v>581</v>
      </c>
      <c r="V97" s="44" t="n">
        <v>203</v>
      </c>
      <c r="W97" s="3">
        <f>TABL123[[#This Row],[(A/B) AJD]]+TABL123[[#This Row],[(A/S) AJD]]</f>
        <v/>
      </c>
      <c r="X97" s="3">
        <f>TABL123[[#This Row],[( S/S+T/B) AJD]]-TABL123[[#This Row],[(A/B + A/S) AJD]]</f>
        <v/>
      </c>
      <c r="Y97" s="44" t="n">
        <v>92.155</v>
      </c>
      <c r="Z97" s="45" t="n">
        <v>291604</v>
      </c>
      <c r="AA97" s="3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45" t="n">
        <v>2286</v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87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32">
        <f>TABL123[[#This Row],[(A/S) AJD]]-TABL123[[#This Row],[SER_IN]]</f>
        <v/>
      </c>
    </row>
    <row r="98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28">
        <f>103-F98</f>
        <v/>
      </c>
      <c r="I98" s="39" t="n">
        <v>449</v>
      </c>
      <c r="J98" s="39" t="n">
        <v>433</v>
      </c>
      <c r="K98" s="28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3">
        <f>TABL123[[#This Row],[ (S/S) SAR]]-TABL123[[#This Row],[(S/S) AJD]]</f>
        <v/>
      </c>
      <c r="Q98" s="39" t="n">
        <v>410</v>
      </c>
      <c r="R98" s="3">
        <f>TABL123[[#This Row],[ (T/B) SAR]]-TABL123[[#This Row],[(T/B) AJD]]</f>
        <v/>
      </c>
      <c r="S98" s="3">
        <f>TABL123[[#This Row],[T/B-CON.]]+TABL123[[#This Row],[S/S_CON.]]</f>
        <v/>
      </c>
      <c r="T98" s="3">
        <f>TABL123[[#This Row],[(S/S) AJD]]+TABL123[[#This Row],[(T/B) AJD]]</f>
        <v/>
      </c>
      <c r="U98" s="41" t="n">
        <v>579</v>
      </c>
      <c r="V98" s="41" t="n">
        <v>198</v>
      </c>
      <c r="W98" s="3">
        <f>TABL123[[#This Row],[(A/B) AJD]]+TABL123[[#This Row],[(A/S) AJD]]</f>
        <v/>
      </c>
      <c r="X98" s="3">
        <f>TABL123[[#This Row],[( S/S+T/B) AJD]]-TABL123[[#This Row],[(A/B + A/S) AJD]]</f>
        <v/>
      </c>
      <c r="Y98" s="41" t="n">
        <v>92.175</v>
      </c>
      <c r="Z98" s="43" t="n">
        <v>303466</v>
      </c>
      <c r="AA98" s="3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43" t="n">
        <v>2223</v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87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32">
        <f>TABL123[[#This Row],[(A/S) AJD]]-TABL123[[#This Row],[SER_IN]]</f>
        <v/>
      </c>
    </row>
    <row r="99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28">
        <f>103-F99</f>
        <v/>
      </c>
      <c r="I99" s="40" t="n">
        <v>449</v>
      </c>
      <c r="J99" s="44" t="n">
        <v>432</v>
      </c>
      <c r="K99" s="28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3">
        <f>TABL123[[#This Row],[ (S/S) SAR]]-TABL123[[#This Row],[(S/S) AJD]]</f>
        <v/>
      </c>
      <c r="Q99" s="40" t="n">
        <v>432</v>
      </c>
      <c r="R99" s="3">
        <f>TABL123[[#This Row],[ (T/B) SAR]]-TABL123[[#This Row],[(T/B) AJD]]</f>
        <v/>
      </c>
      <c r="S99" s="3">
        <f>TABL123[[#This Row],[T/B-CON.]]+TABL123[[#This Row],[S/S_CON.]]</f>
        <v/>
      </c>
      <c r="T99" s="3">
        <f>TABL123[[#This Row],[(S/S) AJD]]+TABL123[[#This Row],[(T/B) AJD]]</f>
        <v/>
      </c>
      <c r="U99" s="44" t="n">
        <v>574</v>
      </c>
      <c r="V99" s="44" t="n">
        <v>199</v>
      </c>
      <c r="W99" s="3">
        <f>TABL123[[#This Row],[(A/B) AJD]]+TABL123[[#This Row],[(A/S) AJD]]</f>
        <v/>
      </c>
      <c r="X99" s="3">
        <f>TABL123[[#This Row],[( S/S+T/B) AJD]]-TABL123[[#This Row],[(A/B + A/S) AJD]]</f>
        <v/>
      </c>
      <c r="Y99" s="44" t="n">
        <v>92.205</v>
      </c>
      <c r="Z99" s="45" t="n">
        <v>321759</v>
      </c>
      <c r="AA99" s="3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45" t="n">
        <v>2060</v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87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32">
        <f>TABL123[[#This Row],[(A/S) AJD]]-TABL123[[#This Row],[SER_IN]]</f>
        <v/>
      </c>
    </row>
    <row r="100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28">
        <f>103-F100</f>
        <v/>
      </c>
      <c r="I100" s="39" t="n">
        <v>451</v>
      </c>
      <c r="J100" s="39" t="n">
        <v>436</v>
      </c>
      <c r="K100" s="28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3">
        <f>TABL123[[#This Row],[ (S/S) SAR]]-TABL123[[#This Row],[(S/S) AJD]]</f>
        <v/>
      </c>
      <c r="Q100" s="39" t="n">
        <v>421</v>
      </c>
      <c r="R100" s="3">
        <f>TABL123[[#This Row],[ (T/B) SAR]]-TABL123[[#This Row],[(T/B) AJD]]</f>
        <v/>
      </c>
      <c r="S100" s="3">
        <f>TABL123[[#This Row],[T/B-CON.]]+TABL123[[#This Row],[S/S_CON.]]</f>
        <v/>
      </c>
      <c r="T100" s="3">
        <f>TABL123[[#This Row],[(S/S) AJD]]+TABL123[[#This Row],[(T/B) AJD]]</f>
        <v/>
      </c>
      <c r="U100" s="41" t="n">
        <v>575</v>
      </c>
      <c r="V100" s="41" t="n">
        <v>216</v>
      </c>
      <c r="W100" s="3">
        <f>TABL123[[#This Row],[(A/B) AJD]]+TABL123[[#This Row],[(A/S) AJD]]</f>
        <v/>
      </c>
      <c r="X100" s="3">
        <f>TABL123[[#This Row],[( S/S+T/B) AJD]]-TABL123[[#This Row],[(A/B + A/S) AJD]]</f>
        <v/>
      </c>
      <c r="Y100" s="41" t="n">
        <v>92.2</v>
      </c>
      <c r="Z100" s="43" t="n">
        <v>318290</v>
      </c>
      <c r="AA100" s="3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43" t="n">
        <v>1674</v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87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32">
        <f>TABL123[[#This Row],[(A/S) AJD]]-TABL123[[#This Row],[SER_IN]]</f>
        <v/>
      </c>
    </row>
    <row r="10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28">
        <f>103-F101</f>
        <v/>
      </c>
      <c r="I101" s="40" t="n">
        <v>455</v>
      </c>
      <c r="J101" s="44" t="n">
        <v>437</v>
      </c>
      <c r="K101" s="28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3">
        <f>TABL123[[#This Row],[ (S/S) SAR]]-TABL123[[#This Row],[(S/S) AJD]]</f>
        <v/>
      </c>
      <c r="Q101" s="40" t="n">
        <v>424</v>
      </c>
      <c r="R101" s="3">
        <f>TABL123[[#This Row],[ (T/B) SAR]]-TABL123[[#This Row],[(T/B) AJD]]</f>
        <v/>
      </c>
      <c r="S101" s="3">
        <f>TABL123[[#This Row],[T/B-CON.]]+TABL123[[#This Row],[S/S_CON.]]</f>
        <v/>
      </c>
      <c r="T101" s="3">
        <f>TABL123[[#This Row],[(S/S) AJD]]+TABL123[[#This Row],[(T/B) AJD]]</f>
        <v/>
      </c>
      <c r="U101" s="44" t="n">
        <v>575</v>
      </c>
      <c r="V101" s="44" t="n">
        <v>236</v>
      </c>
      <c r="W101" s="3">
        <f>TABL123[[#This Row],[(A/B) AJD]]+TABL123[[#This Row],[(A/S) AJD]]</f>
        <v/>
      </c>
      <c r="X101" s="3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3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45" t="n">
        <v>1612</v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87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32">
        <f>TABL123[[#This Row],[(A/S) AJD]]-TABL123[[#This Row],[SER_IN]]</f>
        <v/>
      </c>
    </row>
    <row r="102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28">
        <f>103-F102</f>
        <v/>
      </c>
      <c r="I102" s="39" t="n">
        <v>451</v>
      </c>
      <c r="J102" s="39" t="n">
        <v>434</v>
      </c>
      <c r="K102" s="28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3">
        <f>TABL123[[#This Row],[ (S/S) SAR]]-TABL123[[#This Row],[(S/S) AJD]]</f>
        <v/>
      </c>
      <c r="Q102" s="39" t="n">
        <v>428</v>
      </c>
      <c r="R102" s="3">
        <f>TABL123[[#This Row],[ (T/B) SAR]]-TABL123[[#This Row],[(T/B) AJD]]</f>
        <v/>
      </c>
      <c r="S102" s="3">
        <f>TABL123[[#This Row],[T/B-CON.]]+TABL123[[#This Row],[S/S_CON.]]</f>
        <v/>
      </c>
      <c r="T102" s="3">
        <f>TABL123[[#This Row],[(S/S) AJD]]+TABL123[[#This Row],[(T/B) AJD]]</f>
        <v/>
      </c>
      <c r="U102" s="41" t="n">
        <v>579</v>
      </c>
      <c r="V102" s="41" t="n">
        <v>254</v>
      </c>
      <c r="W102" s="3">
        <f>TABL123[[#This Row],[(A/B) AJD]]+TABL123[[#This Row],[(A/S) AJD]]</f>
        <v/>
      </c>
      <c r="X102" s="3">
        <f>TABL123[[#This Row],[( S/S+T/B) AJD]]-TABL123[[#This Row],[(A/B + A/S) AJD]]</f>
        <v/>
      </c>
      <c r="Y102" s="41" t="n">
        <v>92.108</v>
      </c>
      <c r="Z102" s="43" t="n">
        <v>263752</v>
      </c>
      <c r="AA102" s="3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43" t="n">
        <v>2327</v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87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32">
        <f>TABL123[[#This Row],[(A/S) AJD]]-TABL123[[#This Row],[SER_IN]]</f>
        <v/>
      </c>
    </row>
    <row r="103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28">
        <f>103-F103</f>
        <v/>
      </c>
      <c r="I103" s="40" t="n">
        <v>444</v>
      </c>
      <c r="J103" s="44" t="n">
        <v>429</v>
      </c>
      <c r="K103" s="28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3">
        <f>TABL123[[#This Row],[ (S/S) SAR]]-TABL123[[#This Row],[(S/S) AJD]]</f>
        <v/>
      </c>
      <c r="Q103" s="40" t="n">
        <v>424</v>
      </c>
      <c r="R103" s="3">
        <f>TABL123[[#This Row],[ (T/B) SAR]]-TABL123[[#This Row],[(T/B) AJD]]</f>
        <v/>
      </c>
      <c r="S103" s="3">
        <f>TABL123[[#This Row],[T/B-CON.]]+TABL123[[#This Row],[S/S_CON.]]</f>
        <v/>
      </c>
      <c r="T103" s="3">
        <f>TABL123[[#This Row],[(S/S) AJD]]+TABL123[[#This Row],[(T/B) AJD]]</f>
        <v/>
      </c>
      <c r="U103" s="44" t="n">
        <v>581</v>
      </c>
      <c r="V103" s="44" t="n">
        <v>251</v>
      </c>
      <c r="W103" s="3">
        <f>TABL123[[#This Row],[(A/B) AJD]]+TABL123[[#This Row],[(A/S) AJD]]</f>
        <v/>
      </c>
      <c r="X103" s="3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3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45" t="n">
        <v>2234</v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87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32">
        <f>TABL123[[#This Row],[(A/S) AJD]]-TABL123[[#This Row],[SER_IN]]</f>
        <v/>
      </c>
    </row>
    <row r="104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28">
        <f>103-F104</f>
        <v/>
      </c>
      <c r="I104" s="39" t="n">
        <v>447</v>
      </c>
      <c r="J104" s="39" t="n">
        <v>431</v>
      </c>
      <c r="K104" s="28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3">
        <f>TABL123[[#This Row],[ (S/S) SAR]]-TABL123[[#This Row],[(S/S) AJD]]</f>
        <v/>
      </c>
      <c r="Q104" s="39" t="n">
        <v>420</v>
      </c>
      <c r="R104" s="3">
        <f>TABL123[[#This Row],[ (T/B) SAR]]-TABL123[[#This Row],[(T/B) AJD]]</f>
        <v/>
      </c>
      <c r="S104" s="3">
        <f>TABL123[[#This Row],[T/B-CON.]]+TABL123[[#This Row],[S/S_CON.]]</f>
        <v/>
      </c>
      <c r="T104" s="3">
        <f>TABL123[[#This Row],[(S/S) AJD]]+TABL123[[#This Row],[(T/B) AJD]]</f>
        <v/>
      </c>
      <c r="U104" s="41" t="n">
        <v>562</v>
      </c>
      <c r="V104" s="41" t="n">
        <v>222</v>
      </c>
      <c r="W104" s="3">
        <f>TABL123[[#This Row],[(A/B) AJD]]+TABL123[[#This Row],[(A/S) AJD]]</f>
        <v/>
      </c>
      <c r="X104" s="3">
        <f>TABL123[[#This Row],[( S/S+T/B) AJD]]-TABL123[[#This Row],[(A/B + A/S) AJD]]</f>
        <v/>
      </c>
      <c r="Y104" s="41" t="n">
        <v>92.036</v>
      </c>
      <c r="Z104" s="43" t="n">
        <v>221338</v>
      </c>
      <c r="AA104" s="3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43" t="n">
        <v>1762</v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87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32">
        <f>TABL123[[#This Row],[(A/S) AJD]]-TABL123[[#This Row],[SER_IN]]</f>
        <v/>
      </c>
    </row>
    <row r="105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28">
        <f>103-F105</f>
        <v/>
      </c>
      <c r="I105" s="40" t="n">
        <v>441</v>
      </c>
      <c r="J105" s="44" t="n">
        <v>425</v>
      </c>
      <c r="K105" s="28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3">
        <f>TABL123[[#This Row],[ (S/S) SAR]]-TABL123[[#This Row],[(S/S) AJD]]</f>
        <v/>
      </c>
      <c r="Q105" s="40" t="n">
        <v>420</v>
      </c>
      <c r="R105" s="3">
        <f>TABL123[[#This Row],[ (T/B) SAR]]-TABL123[[#This Row],[(T/B) AJD]]</f>
        <v/>
      </c>
      <c r="S105" s="3">
        <f>TABL123[[#This Row],[T/B-CON.]]+TABL123[[#This Row],[S/S_CON.]]</f>
        <v/>
      </c>
      <c r="T105" s="3">
        <f>TABL123[[#This Row],[(S/S) AJD]]+TABL123[[#This Row],[(T/B) AJD]]</f>
        <v/>
      </c>
      <c r="U105" s="44" t="n">
        <v>564</v>
      </c>
      <c r="V105" s="44" t="n">
        <v>232</v>
      </c>
      <c r="W105" s="3">
        <f>TABL123[[#This Row],[(A/B) AJD]]+TABL123[[#This Row],[(A/S) AJD]]</f>
        <v/>
      </c>
      <c r="X105" s="3">
        <f>TABL123[[#This Row],[( S/S+T/B) AJD]]-TABL123[[#This Row],[(A/B + A/S) AJD]]</f>
        <v/>
      </c>
      <c r="Y105" s="44" t="n">
        <v>92.018</v>
      </c>
      <c r="Z105" s="45" t="n">
        <v>210461</v>
      </c>
      <c r="AA105" s="3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45" t="n">
        <v>2035</v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87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32">
        <f>TABL123[[#This Row],[(A/S) AJD]]-TABL123[[#This Row],[SER_IN]]</f>
        <v/>
      </c>
    </row>
    <row r="106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28">
        <f>103-F106</f>
        <v/>
      </c>
      <c r="I106" s="39" t="n">
        <v>445</v>
      </c>
      <c r="J106" s="39" t="n">
        <v>429</v>
      </c>
      <c r="K106" s="28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3">
        <f>TABL123[[#This Row],[ (S/S) SAR]]-TABL123[[#This Row],[(S/S) AJD]]</f>
        <v/>
      </c>
      <c r="Q106" s="39" t="n">
        <v>419</v>
      </c>
      <c r="R106" s="3">
        <f>TABL123[[#This Row],[ (T/B) SAR]]-TABL123[[#This Row],[(T/B) AJD]]</f>
        <v/>
      </c>
      <c r="S106" s="3">
        <f>TABL123[[#This Row],[T/B-CON.]]+TABL123[[#This Row],[S/S_CON.]]</f>
        <v/>
      </c>
      <c r="T106" s="3">
        <f>TABL123[[#This Row],[(S/S) AJD]]+TABL123[[#This Row],[(T/B) AJD]]</f>
        <v/>
      </c>
      <c r="U106" s="41" t="n">
        <v>554</v>
      </c>
      <c r="V106" s="41" t="n">
        <v>234</v>
      </c>
      <c r="W106" s="3">
        <f>TABL123[[#This Row],[(A/B) AJD]]+TABL123[[#This Row],[(A/S) AJD]]</f>
        <v/>
      </c>
      <c r="X106" s="3">
        <f>TABL123[[#This Row],[( S/S+T/B) AJD]]-TABL123[[#This Row],[(A/B + A/S) AJD]]</f>
        <v/>
      </c>
      <c r="Y106" s="41" t="n">
        <v>92.006</v>
      </c>
      <c r="Z106" s="43" t="n">
        <v>203360</v>
      </c>
      <c r="AA106" s="3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43" t="n">
        <v>2840</v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87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32">
        <f>TABL123[[#This Row],[(A/S) AJD]]-TABL123[[#This Row],[SER_IN]]</f>
        <v/>
      </c>
    </row>
    <row r="107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28">
        <f>103-F107</f>
        <v/>
      </c>
      <c r="I107" s="40" t="n">
        <v>446</v>
      </c>
      <c r="J107" s="44" t="n">
        <v>430</v>
      </c>
      <c r="K107" s="28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3">
        <f>TABL123[[#This Row],[ (S/S) SAR]]-TABL123[[#This Row],[(S/S) AJD]]</f>
        <v/>
      </c>
      <c r="Q107" s="40" t="n">
        <v>418</v>
      </c>
      <c r="R107" s="3">
        <f>TABL123[[#This Row],[ (T/B) SAR]]-TABL123[[#This Row],[(T/B) AJD]]</f>
        <v/>
      </c>
      <c r="S107" s="3">
        <f>TABL123[[#This Row],[T/B-CON.]]+TABL123[[#This Row],[S/S_CON.]]</f>
        <v/>
      </c>
      <c r="T107" s="3">
        <f>TABL123[[#This Row],[(S/S) AJD]]+TABL123[[#This Row],[(T/B) AJD]]</f>
        <v/>
      </c>
      <c r="U107" s="44" t="n">
        <v>553</v>
      </c>
      <c r="V107" s="44" t="n">
        <v>231</v>
      </c>
      <c r="W107" s="3">
        <f>TABL123[[#This Row],[(A/B) AJD]]+TABL123[[#This Row],[(A/S) AJD]]</f>
        <v/>
      </c>
      <c r="X107" s="3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3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45" t="n">
        <v>1745</v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87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32">
        <f>TABL123[[#This Row],[(A/S) AJD]]-TABL123[[#This Row],[SER_IN]]</f>
        <v/>
      </c>
    </row>
    <row r="108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28">
        <f>103-F108</f>
        <v/>
      </c>
      <c r="I108" s="39" t="n">
        <v>448</v>
      </c>
      <c r="J108" s="39" t="n">
        <v>431</v>
      </c>
      <c r="K108" s="28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3">
        <f>TABL123[[#This Row],[ (S/S) SAR]]-TABL123[[#This Row],[(S/S) AJD]]</f>
        <v/>
      </c>
      <c r="Q108" s="39" t="n">
        <v>419</v>
      </c>
      <c r="R108" s="3">
        <f>TABL123[[#This Row],[ (T/B) SAR]]-TABL123[[#This Row],[(T/B) AJD]]</f>
        <v/>
      </c>
      <c r="S108" s="3">
        <f>TABL123[[#This Row],[T/B-CON.]]+TABL123[[#This Row],[S/S_CON.]]</f>
        <v/>
      </c>
      <c r="T108" s="3">
        <f>TABL123[[#This Row],[(S/S) AJD]]+TABL123[[#This Row],[(T/B) AJD]]</f>
        <v/>
      </c>
      <c r="U108" s="41" t="n">
        <v>553</v>
      </c>
      <c r="V108" s="41" t="n">
        <v>227</v>
      </c>
      <c r="W108" s="3">
        <f>TABL123[[#This Row],[(A/B) AJD]]+TABL123[[#This Row],[(A/S) AJD]]</f>
        <v/>
      </c>
      <c r="X108" s="3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3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43" t="n">
        <v>2275</v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87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32">
        <f>TABL123[[#This Row],[(A/S) AJD]]-TABL123[[#This Row],[SER_IN]]</f>
        <v/>
      </c>
    </row>
    <row r="109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28">
        <f>103-F109</f>
        <v/>
      </c>
      <c r="I109" s="40" t="n">
        <v>455</v>
      </c>
      <c r="J109" s="44" t="n">
        <v>439</v>
      </c>
      <c r="K109" s="28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3">
        <f>TABL123[[#This Row],[ (S/S) SAR]]-TABL123[[#This Row],[(S/S) AJD]]</f>
        <v/>
      </c>
      <c r="Q109" s="40" t="n">
        <v>422</v>
      </c>
      <c r="R109" s="3">
        <f>TABL123[[#This Row],[ (T/B) SAR]]-TABL123[[#This Row],[(T/B) AJD]]</f>
        <v/>
      </c>
      <c r="S109" s="3">
        <f>TABL123[[#This Row],[T/B-CON.]]+TABL123[[#This Row],[S/S_CON.]]</f>
        <v/>
      </c>
      <c r="T109" s="3">
        <f>TABL123[[#This Row],[(S/S) AJD]]+TABL123[[#This Row],[(T/B) AJD]]</f>
        <v/>
      </c>
      <c r="U109" s="44" t="n">
        <v>553</v>
      </c>
      <c r="V109" s="44" t="n">
        <v>243</v>
      </c>
      <c r="W109" s="3">
        <f>TABL123[[#This Row],[(A/B) AJD]]+TABL123[[#This Row],[(A/S) AJD]]</f>
        <v/>
      </c>
      <c r="X109" s="3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3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45" t="n">
        <v>2309</v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87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32">
        <f>TABL123[[#This Row],[(A/S) AJD]]-TABL123[[#This Row],[SER_IN]]</f>
        <v/>
      </c>
    </row>
    <row r="110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28">
        <f>103-F110</f>
        <v/>
      </c>
      <c r="I110" s="39" t="n">
        <v>463</v>
      </c>
      <c r="J110" s="39" t="n">
        <v>446</v>
      </c>
      <c r="K110" s="28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3">
        <f>TABL123[[#This Row],[ (S/S) SAR]]-TABL123[[#This Row],[(S/S) AJD]]</f>
        <v/>
      </c>
      <c r="Q110" s="39" t="n">
        <v>428</v>
      </c>
      <c r="R110" s="3">
        <f>TABL123[[#This Row],[ (T/B) SAR]]-TABL123[[#This Row],[(T/B) AJD]]</f>
        <v/>
      </c>
      <c r="S110" s="3">
        <f>TABL123[[#This Row],[T/B-CON.]]+TABL123[[#This Row],[S/S_CON.]]</f>
        <v/>
      </c>
      <c r="T110" s="3">
        <f>TABL123[[#This Row],[(S/S) AJD]]+TABL123[[#This Row],[(T/B) AJD]]</f>
        <v/>
      </c>
      <c r="U110" s="41" t="n">
        <v>552</v>
      </c>
      <c r="V110" s="41" t="n">
        <v>198</v>
      </c>
      <c r="W110" s="3">
        <f>TABL123[[#This Row],[(A/B) AJD]]+TABL123[[#This Row],[(A/S) AJD]]</f>
        <v/>
      </c>
      <c r="X110" s="3">
        <f>TABL123[[#This Row],[( S/S+T/B) AJD]]-TABL123[[#This Row],[(A/B + A/S) AJD]]</f>
        <v/>
      </c>
      <c r="Y110" s="41" t="n">
        <v>92.108</v>
      </c>
      <c r="Z110" s="43" t="n">
        <v>263752</v>
      </c>
      <c r="AA110" s="3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43" t="n">
        <v>2424</v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87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32">
        <f>TABL123[[#This Row],[(A/S) AJD]]-TABL123[[#This Row],[SER_IN]]</f>
        <v/>
      </c>
    </row>
    <row r="11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28">
        <f>103-F111</f>
        <v/>
      </c>
      <c r="I111" s="40" t="n">
        <v>463</v>
      </c>
      <c r="J111" s="44" t="n">
        <v>446</v>
      </c>
      <c r="K111" s="28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3">
        <f>TABL123[[#This Row],[ (S/S) SAR]]-TABL123[[#This Row],[(S/S) AJD]]</f>
        <v/>
      </c>
      <c r="Q111" s="40" t="n">
        <v>435</v>
      </c>
      <c r="R111" s="3">
        <f>TABL123[[#This Row],[ (T/B) SAR]]-TABL123[[#This Row],[(T/B) AJD]]</f>
        <v/>
      </c>
      <c r="S111" s="3">
        <f>TABL123[[#This Row],[T/B-CON.]]+TABL123[[#This Row],[S/S_CON.]]</f>
        <v/>
      </c>
      <c r="T111" s="3">
        <f>TABL123[[#This Row],[(S/S) AJD]]+TABL123[[#This Row],[(T/B) AJD]]</f>
        <v/>
      </c>
      <c r="U111" s="44" t="n">
        <v>559</v>
      </c>
      <c r="V111" s="44" t="n">
        <v>207</v>
      </c>
      <c r="W111" s="3">
        <f>TABL123[[#This Row],[(A/B) AJD]]+TABL123[[#This Row],[(A/S) AJD]]</f>
        <v/>
      </c>
      <c r="X111" s="3">
        <f>TABL123[[#This Row],[( S/S+T/B) AJD]]-TABL123[[#This Row],[(A/B + A/S) AJD]]</f>
        <v/>
      </c>
      <c r="Y111" s="44" t="n">
        <v>92.185</v>
      </c>
      <c r="Z111" s="45" t="n">
        <v>309396</v>
      </c>
      <c r="AA111" s="3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45" t="n">
        <v>2063</v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87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32">
        <f>TABL123[[#This Row],[(A/S) AJD]]-TABL123[[#This Row],[SER_IN]]</f>
        <v/>
      </c>
    </row>
    <row r="112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28">
        <f>103-F112</f>
        <v/>
      </c>
      <c r="I112" s="39" t="n">
        <v>460</v>
      </c>
      <c r="J112" s="39" t="n">
        <v>444</v>
      </c>
      <c r="K112" s="28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3">
        <f>TABL123[[#This Row],[ (S/S) SAR]]-TABL123[[#This Row],[(S/S) AJD]]</f>
        <v/>
      </c>
      <c r="Q112" s="39" t="n">
        <v>435</v>
      </c>
      <c r="R112" s="3">
        <f>TABL123[[#This Row],[ (T/B) SAR]]-TABL123[[#This Row],[(T/B) AJD]]</f>
        <v/>
      </c>
      <c r="S112" s="3">
        <f>TABL123[[#This Row],[T/B-CON.]]+TABL123[[#This Row],[S/S_CON.]]</f>
        <v/>
      </c>
      <c r="T112" s="3">
        <f>TABL123[[#This Row],[(S/S) AJD]]+TABL123[[#This Row],[(T/B) AJD]]</f>
        <v/>
      </c>
      <c r="U112" s="41" t="n">
        <v>564</v>
      </c>
      <c r="V112" s="41" t="n">
        <v>240</v>
      </c>
      <c r="W112" s="3">
        <f>TABL123[[#This Row],[(A/B) AJD]]+TABL123[[#This Row],[(A/S) AJD]]</f>
        <v/>
      </c>
      <c r="X112" s="3">
        <f>TABL123[[#This Row],[( S/S+T/B) AJD]]-TABL123[[#This Row],[(A/B + A/S) AJD]]</f>
        <v/>
      </c>
      <c r="Y112" s="41" t="n">
        <v>92.215</v>
      </c>
      <c r="Z112" s="43" t="n">
        <v>327188</v>
      </c>
      <c r="AA112" s="3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43" t="n">
        <v>2278</v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87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32">
        <f>TABL123[[#This Row],[(A/S) AJD]]-TABL123[[#This Row],[SER_IN]]</f>
        <v/>
      </c>
    </row>
    <row r="113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28">
        <f>103-F113</f>
        <v/>
      </c>
      <c r="I113" s="40" t="n">
        <v>457</v>
      </c>
      <c r="J113" s="44" t="n">
        <v>440</v>
      </c>
      <c r="K113" s="28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3">
        <f>TABL123[[#This Row],[ (S/S) SAR]]-TABL123[[#This Row],[(S/S) AJD]]</f>
        <v/>
      </c>
      <c r="Q113" s="40" t="n">
        <v>432</v>
      </c>
      <c r="R113" s="3">
        <f>TABL123[[#This Row],[ (T/B) SAR]]-TABL123[[#This Row],[(T/B) AJD]]</f>
        <v/>
      </c>
      <c r="S113" s="3">
        <f>TABL123[[#This Row],[T/B-CON.]]+TABL123[[#This Row],[S/S_CON.]]</f>
        <v/>
      </c>
      <c r="T113" s="3">
        <f>TABL123[[#This Row],[(S/S) AJD]]+TABL123[[#This Row],[(T/B) AJD]]</f>
        <v/>
      </c>
      <c r="U113" s="44" t="n">
        <v>584</v>
      </c>
      <c r="V113" s="44" t="n">
        <v>254</v>
      </c>
      <c r="W113" s="3">
        <f>TABL123[[#This Row],[(A/B) AJD]]+TABL123[[#This Row],[(A/S) AJD]]</f>
        <v/>
      </c>
      <c r="X113" s="3">
        <f>TABL123[[#This Row],[( S/S+T/B) AJD]]-TABL123[[#This Row],[(A/B + A/S) AJD]]</f>
        <v/>
      </c>
      <c r="Y113" s="44" t="n">
        <v>92.145</v>
      </c>
      <c r="Z113" s="45" t="n">
        <v>285675</v>
      </c>
      <c r="AA113" s="3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45" t="n">
        <v>2396</v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87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32">
        <f>TABL123[[#This Row],[(A/S) AJD]]-TABL123[[#This Row],[SER_IN]]</f>
        <v/>
      </c>
    </row>
    <row r="114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28">
        <f>103-F114</f>
        <v/>
      </c>
      <c r="I114" s="39" t="n">
        <v>459</v>
      </c>
      <c r="J114" s="39" t="n">
        <v>444</v>
      </c>
      <c r="K114" s="28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3">
        <f>TABL123[[#This Row],[ (S/S) SAR]]-TABL123[[#This Row],[(S/S) AJD]]</f>
        <v/>
      </c>
      <c r="Q114" s="39" t="n">
        <v>430</v>
      </c>
      <c r="R114" s="3">
        <f>TABL123[[#This Row],[ (T/B) SAR]]-TABL123[[#This Row],[(T/B) AJD]]</f>
        <v/>
      </c>
      <c r="S114" s="3">
        <f>TABL123[[#This Row],[T/B-CON.]]+TABL123[[#This Row],[S/S_CON.]]</f>
        <v/>
      </c>
      <c r="T114" s="3">
        <f>TABL123[[#This Row],[(S/S) AJD]]+TABL123[[#This Row],[(T/B) AJD]]</f>
        <v/>
      </c>
      <c r="U114" s="41" t="n">
        <v>597</v>
      </c>
      <c r="V114" s="41" t="n">
        <v>261</v>
      </c>
      <c r="W114" s="3">
        <f>TABL123[[#This Row],[(A/B) AJD]]+TABL123[[#This Row],[(A/S) AJD]]</f>
        <v/>
      </c>
      <c r="X114" s="3">
        <f>TABL123[[#This Row],[( S/S+T/B) AJD]]-TABL123[[#This Row],[(A/B + A/S) AJD]]</f>
        <v/>
      </c>
      <c r="Y114" s="41" t="n">
        <v>92.038</v>
      </c>
      <c r="Z114" s="43" t="n">
        <v>222300</v>
      </c>
      <c r="AA114" s="3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43" t="n">
        <v>2308</v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87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32">
        <f>TABL123[[#This Row],[(A/S) AJD]]-TABL123[[#This Row],[SER_IN]]</f>
        <v/>
      </c>
    </row>
    <row r="115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28">
        <f>103-F115</f>
        <v/>
      </c>
      <c r="I115" s="40" t="n">
        <v>460</v>
      </c>
      <c r="J115" s="44" t="n">
        <v>443</v>
      </c>
      <c r="K115" s="28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3">
        <f>TABL123[[#This Row],[ (S/S) SAR]]-TABL123[[#This Row],[(S/S) AJD]]</f>
        <v/>
      </c>
      <c r="Q115" s="40" t="n">
        <v>431</v>
      </c>
      <c r="R115" s="3">
        <f>TABL123[[#This Row],[ (T/B) SAR]]-TABL123[[#This Row],[(T/B) AJD]]</f>
        <v/>
      </c>
      <c r="S115" s="3">
        <f>TABL123[[#This Row],[T/B-CON.]]+TABL123[[#This Row],[S/S_CON.]]</f>
        <v/>
      </c>
      <c r="T115" s="3">
        <f>TABL123[[#This Row],[(S/S) AJD]]+TABL123[[#This Row],[(T/B) AJD]]</f>
        <v/>
      </c>
      <c r="U115" s="44" t="n">
        <v>588</v>
      </c>
      <c r="V115" s="44" t="n">
        <v>213</v>
      </c>
      <c r="W115" s="3">
        <f>TABL123[[#This Row],[(A/B) AJD]]+TABL123[[#This Row],[(A/S) AJD]]</f>
        <v/>
      </c>
      <c r="X115" s="3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3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45" t="n">
        <v>2472</v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87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32">
        <f>TABL123[[#This Row],[(A/S) AJD]]-TABL123[[#This Row],[SER_IN]]</f>
        <v/>
      </c>
    </row>
    <row r="116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28">
        <f>103-F116</f>
        <v/>
      </c>
      <c r="I116" s="39" t="n">
        <v>466</v>
      </c>
      <c r="J116" s="39" t="n">
        <v>448</v>
      </c>
      <c r="K116" s="28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3">
        <f>TABL123[[#This Row],[ (S/S) SAR]]-TABL123[[#This Row],[(S/S) AJD]]</f>
        <v/>
      </c>
      <c r="Q116" s="39" t="n">
        <v>434</v>
      </c>
      <c r="R116" s="3">
        <f>TABL123[[#This Row],[ (T/B) SAR]]-TABL123[[#This Row],[(T/B) AJD]]</f>
        <v/>
      </c>
      <c r="S116" s="3">
        <f>TABL123[[#This Row],[T/B-CON.]]+TABL123[[#This Row],[S/S_CON.]]</f>
        <v/>
      </c>
      <c r="T116" s="3">
        <f>TABL123[[#This Row],[(S/S) AJD]]+TABL123[[#This Row],[(T/B) AJD]]</f>
        <v/>
      </c>
      <c r="U116" s="41" t="n">
        <v>587</v>
      </c>
      <c r="V116" s="41" t="n">
        <v>207</v>
      </c>
      <c r="W116" s="3">
        <f>TABL123[[#This Row],[(A/B) AJD]]+TABL123[[#This Row],[(A/S) AJD]]</f>
        <v/>
      </c>
      <c r="X116" s="3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3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43" t="n">
        <v>2012</v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87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32">
        <f>TABL123[[#This Row],[(A/S) AJD]]-TABL123[[#This Row],[SER_IN]]</f>
        <v/>
      </c>
    </row>
    <row r="117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28">
        <f>103-F117</f>
        <v/>
      </c>
      <c r="I117" s="40" t="n">
        <v>469</v>
      </c>
      <c r="J117" s="44" t="n">
        <v>451</v>
      </c>
      <c r="K117" s="28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3">
        <f>TABL123[[#This Row],[ (S/S) SAR]]-TABL123[[#This Row],[(S/S) AJD]]</f>
        <v/>
      </c>
      <c r="Q117" s="40" t="n">
        <v>440</v>
      </c>
      <c r="R117" s="3">
        <f>TABL123[[#This Row],[ (T/B) SAR]]-TABL123[[#This Row],[(T/B) AJD]]</f>
        <v/>
      </c>
      <c r="S117" s="3">
        <f>TABL123[[#This Row],[T/B-CON.]]+TABL123[[#This Row],[S/S_CON.]]</f>
        <v/>
      </c>
      <c r="T117" s="3">
        <f>TABL123[[#This Row],[(S/S) AJD]]+TABL123[[#This Row],[(T/B) AJD]]</f>
        <v/>
      </c>
      <c r="U117" s="44" t="n">
        <v>590</v>
      </c>
      <c r="V117" s="44" t="n">
        <v>230</v>
      </c>
      <c r="W117" s="3">
        <f>TABL123[[#This Row],[(A/B) AJD]]+TABL123[[#This Row],[(A/S) AJD]]</f>
        <v/>
      </c>
      <c r="X117" s="3">
        <f>TABL123[[#This Row],[( S/S+T/B) AJD]]-TABL123[[#This Row],[(A/B + A/S) AJD]]</f>
        <v/>
      </c>
      <c r="Y117" s="44" t="n">
        <v>92.125</v>
      </c>
      <c r="Z117" s="45" t="n">
        <v>273824</v>
      </c>
      <c r="AA117" s="3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45" t="n">
        <v>2203</v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87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32">
        <f>TABL123[[#This Row],[(A/S) AJD]]-TABL123[[#This Row],[SER_IN]]</f>
        <v/>
      </c>
    </row>
    <row r="118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28">
        <f>103-F118</f>
        <v/>
      </c>
      <c r="I118" s="39" t="n">
        <v>389</v>
      </c>
      <c r="J118" s="39" t="n">
        <v>376</v>
      </c>
      <c r="K118" s="28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3">
        <f>TABL123[[#This Row],[ (S/S) SAR]]-TABL123[[#This Row],[(S/S) AJD]]</f>
        <v/>
      </c>
      <c r="Q118" s="39" t="n">
        <v>440</v>
      </c>
      <c r="R118" s="3">
        <f>TABL123[[#This Row],[ (T/B) SAR]]-TABL123[[#This Row],[(T/B) AJD]]</f>
        <v/>
      </c>
      <c r="S118" s="3">
        <f>TABL123[[#This Row],[T/B-CON.]]+TABL123[[#This Row],[S/S_CON.]]</f>
        <v/>
      </c>
      <c r="T118" s="3">
        <f>TABL123[[#This Row],[(S/S) AJD]]+TABL123[[#This Row],[(T/B) AJD]]</f>
        <v/>
      </c>
      <c r="U118" s="41" t="n">
        <v>586</v>
      </c>
      <c r="V118" s="41" t="n">
        <v>237</v>
      </c>
      <c r="W118" s="3">
        <f>TABL123[[#This Row],[(A/B) AJD]]+TABL123[[#This Row],[(A/S) AJD]]</f>
        <v/>
      </c>
      <c r="X118" s="3">
        <f>TABL123[[#This Row],[( S/S+T/B) AJD]]-TABL123[[#This Row],[(A/B + A/S) AJD]]</f>
        <v/>
      </c>
      <c r="Y118" s="41" t="n">
        <v>92.11</v>
      </c>
      <c r="Z118" s="43" t="n">
        <v>264936</v>
      </c>
      <c r="AA118" s="3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43" t="n">
        <v>2328</v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87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32">
        <f>TABL123[[#This Row],[(A/S) AJD]]-TABL123[[#This Row],[SER_IN]]</f>
        <v/>
      </c>
    </row>
    <row r="119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28">
        <f>103-F119</f>
        <v/>
      </c>
      <c r="I119" s="40" t="n">
        <v>465</v>
      </c>
      <c r="J119" s="44" t="n">
        <v>448</v>
      </c>
      <c r="K119" s="28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3">
        <f>TABL123[[#This Row],[ (S/S) SAR]]-TABL123[[#This Row],[(S/S) AJD]]</f>
        <v/>
      </c>
      <c r="Q119" s="40" t="n">
        <v>440</v>
      </c>
      <c r="R119" s="3">
        <f>TABL123[[#This Row],[ (T/B) SAR]]-TABL123[[#This Row],[(T/B) AJD]]</f>
        <v/>
      </c>
      <c r="S119" s="3">
        <f>TABL123[[#This Row],[T/B-CON.]]+TABL123[[#This Row],[S/S_CON.]]</f>
        <v/>
      </c>
      <c r="T119" s="3">
        <f>TABL123[[#This Row],[(S/S) AJD]]+TABL123[[#This Row],[(T/B) AJD]]</f>
        <v/>
      </c>
      <c r="U119" s="44" t="n">
        <v>586</v>
      </c>
      <c r="V119" s="44" t="n">
        <v>237</v>
      </c>
      <c r="W119" s="3">
        <f>TABL123[[#This Row],[(A/B) AJD]]+TABL123[[#This Row],[(A/S) AJD]]</f>
        <v/>
      </c>
      <c r="X119" s="3">
        <f>TABL123[[#This Row],[( S/S+T/B) AJD]]-TABL123[[#This Row],[(A/B + A/S) AJD]]</f>
        <v/>
      </c>
      <c r="Y119" s="44" t="n">
        <v>92.11</v>
      </c>
      <c r="Z119" s="45" t="n">
        <v>264936</v>
      </c>
      <c r="AA119" s="3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45" t="n">
        <v>1387</v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87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32">
        <f>TABL123[[#This Row],[(A/S) AJD]]-TABL123[[#This Row],[SER_IN]]</f>
        <v/>
      </c>
    </row>
    <row r="120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28">
        <f>103-F120</f>
        <v/>
      </c>
      <c r="I120" s="39" t="n">
        <v>462</v>
      </c>
      <c r="J120" s="39" t="n">
        <v>445</v>
      </c>
      <c r="K120" s="28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3">
        <f>TABL123[[#This Row],[ (S/S) SAR]]-TABL123[[#This Row],[(S/S) AJD]]</f>
        <v/>
      </c>
      <c r="Q120" s="39" t="n">
        <v>428</v>
      </c>
      <c r="R120" s="3">
        <f>TABL123[[#This Row],[ (T/B) SAR]]-TABL123[[#This Row],[(T/B) AJD]]</f>
        <v/>
      </c>
      <c r="S120" s="3">
        <f>TABL123[[#This Row],[T/B-CON.]]+TABL123[[#This Row],[S/S_CON.]]</f>
        <v/>
      </c>
      <c r="T120" s="3">
        <f>TABL123[[#This Row],[(S/S) AJD]]+TABL123[[#This Row],[(T/B) AJD]]</f>
        <v/>
      </c>
      <c r="U120" s="41" t="n">
        <v>508</v>
      </c>
      <c r="V120" s="41" t="n">
        <v>224</v>
      </c>
      <c r="W120" s="3">
        <f>TABL123[[#This Row],[(A/B) AJD]]+TABL123[[#This Row],[(A/S) AJD]]</f>
        <v/>
      </c>
      <c r="X120" s="3">
        <f>TABL123[[#This Row],[( S/S+T/B) AJD]]-TABL123[[#This Row],[(A/B + A/S) AJD]]</f>
        <v/>
      </c>
      <c r="Y120" s="41" t="n">
        <v>92.217</v>
      </c>
      <c r="Z120" s="43" t="n">
        <v>328379</v>
      </c>
      <c r="AA120" s="3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43" t="n">
        <v>2254</v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87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32">
        <f>TABL123[[#This Row],[(A/S) AJD]]-TABL123[[#This Row],[SER_IN]]</f>
        <v/>
      </c>
    </row>
    <row r="12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28">
        <f>103-F121</f>
        <v/>
      </c>
      <c r="I121" s="40" t="n">
        <v>463</v>
      </c>
      <c r="J121" s="44" t="n">
        <v>446</v>
      </c>
      <c r="K121" s="28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3">
        <f>TABL123[[#This Row],[ (S/S) SAR]]-TABL123[[#This Row],[(S/S) AJD]]</f>
        <v/>
      </c>
      <c r="Q121" s="40" t="n">
        <v>433</v>
      </c>
      <c r="R121" s="3">
        <f>TABL123[[#This Row],[ (T/B) SAR]]-TABL123[[#This Row],[(T/B) AJD]]</f>
        <v/>
      </c>
      <c r="S121" s="3">
        <f>TABL123[[#This Row],[T/B-CON.]]+TABL123[[#This Row],[S/S_CON.]]</f>
        <v/>
      </c>
      <c r="T121" s="3">
        <f>TABL123[[#This Row],[(S/S) AJD]]+TABL123[[#This Row],[(T/B) AJD]]</f>
        <v/>
      </c>
      <c r="U121" s="44" t="n">
        <v>529</v>
      </c>
      <c r="V121" s="44" t="n">
        <v>198</v>
      </c>
      <c r="W121" s="3">
        <f>TABL123[[#This Row],[(A/B) AJD]]+TABL123[[#This Row],[(A/S) AJD]]</f>
        <v/>
      </c>
      <c r="X121" s="3">
        <f>TABL123[[#This Row],[( S/S+T/B) AJD]]-TABL123[[#This Row],[(A/B + A/S) AJD]]</f>
        <v/>
      </c>
      <c r="Y121" s="44" t="n">
        <v>92.342</v>
      </c>
      <c r="Z121" s="45" t="n">
        <v>402612</v>
      </c>
      <c r="AA121" s="3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45" t="n">
        <v>2060</v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87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32">
        <f>TABL123[[#This Row],[(A/S) AJD]]-TABL123[[#This Row],[SER_IN]]</f>
        <v/>
      </c>
    </row>
    <row r="122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28">
        <f>103-F122</f>
        <v/>
      </c>
      <c r="I122" s="39" t="n">
        <v>468</v>
      </c>
      <c r="J122" s="39" t="n">
        <v>447</v>
      </c>
      <c r="K122" s="28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3">
        <f>TABL123[[#This Row],[ (S/S) SAR]]-TABL123[[#This Row],[(S/S) AJD]]</f>
        <v/>
      </c>
      <c r="Q122" s="39" t="n">
        <v>451</v>
      </c>
      <c r="R122" s="3">
        <f>TABL123[[#This Row],[ (T/B) SAR]]-TABL123[[#This Row],[(T/B) AJD]]</f>
        <v/>
      </c>
      <c r="S122" s="3">
        <f>TABL123[[#This Row],[T/B-CON.]]+TABL123[[#This Row],[S/S_CON.]]</f>
        <v/>
      </c>
      <c r="T122" s="3">
        <f>TABL123[[#This Row],[(S/S) AJD]]+TABL123[[#This Row],[(T/B) AJD]]</f>
        <v/>
      </c>
      <c r="U122" s="41" t="n">
        <v>580</v>
      </c>
      <c r="V122" s="41" t="n">
        <v>268</v>
      </c>
      <c r="W122" s="3">
        <f>TABL123[[#This Row],[(A/B) AJD]]+TABL123[[#This Row],[(A/S) AJD]]</f>
        <v/>
      </c>
      <c r="X122" s="3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3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43" t="n">
        <v>2028</v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87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32">
        <f>TABL123[[#This Row],[(A/S) AJD]]-TABL123[[#This Row],[SER_IN]]</f>
        <v/>
      </c>
    </row>
    <row r="123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28">
        <f>103-F123</f>
        <v/>
      </c>
      <c r="I123" s="40" t="n">
        <v>460</v>
      </c>
      <c r="J123" s="44" t="n">
        <v>445</v>
      </c>
      <c r="K123" s="28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3">
        <f>TABL123[[#This Row],[ (S/S) SAR]]-TABL123[[#This Row],[(S/S) AJD]]</f>
        <v/>
      </c>
      <c r="Q123" s="40" t="n">
        <v>419</v>
      </c>
      <c r="R123" s="3">
        <f>TABL123[[#This Row],[ (T/B) SAR]]-TABL123[[#This Row],[(T/B) AJD]]</f>
        <v/>
      </c>
      <c r="S123" s="3">
        <f>TABL123[[#This Row],[T/B-CON.]]+TABL123[[#This Row],[S/S_CON.]]</f>
        <v/>
      </c>
      <c r="T123" s="3">
        <f>TABL123[[#This Row],[(S/S) AJD]]+TABL123[[#This Row],[(T/B) AJD]]</f>
        <v/>
      </c>
      <c r="U123" s="44" t="n">
        <v>541</v>
      </c>
      <c r="V123" s="44" t="n">
        <v>275</v>
      </c>
      <c r="W123" s="3">
        <f>TABL123[[#This Row],[(A/B) AJD]]+TABL123[[#This Row],[(A/S) AJD]]</f>
        <v/>
      </c>
      <c r="X123" s="3">
        <f>TABL123[[#This Row],[( S/S+T/B) AJD]]-TABL123[[#This Row],[(A/B + A/S) AJD]]</f>
        <v/>
      </c>
      <c r="Y123" s="44" t="n">
        <v>92.268</v>
      </c>
      <c r="Z123" s="45" t="n">
        <v>358647</v>
      </c>
      <c r="AA123" s="3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45" t="n">
        <v>1999</v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87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32">
        <f>TABL123[[#This Row],[(A/S) AJD]]-TABL123[[#This Row],[SER_IN]]</f>
        <v/>
      </c>
    </row>
    <row r="124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28">
        <f>103-F124</f>
        <v/>
      </c>
      <c r="I124" s="39" t="n">
        <v>450</v>
      </c>
      <c r="J124" s="39" t="n">
        <v>455</v>
      </c>
      <c r="K124" s="28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3">
        <f>TABL123[[#This Row],[ (S/S) SAR]]-TABL123[[#This Row],[(S/S) AJD]]</f>
        <v/>
      </c>
      <c r="Q124" s="39" t="n">
        <v>435</v>
      </c>
      <c r="R124" s="3">
        <f>TABL123[[#This Row],[ (T/B) SAR]]-TABL123[[#This Row],[(T/B) AJD]]</f>
        <v/>
      </c>
      <c r="S124" s="3">
        <f>TABL123[[#This Row],[T/B-CON.]]+TABL123[[#This Row],[S/S_CON.]]</f>
        <v/>
      </c>
      <c r="T124" s="3">
        <f>TABL123[[#This Row],[(S/S) AJD]]+TABL123[[#This Row],[(T/B) AJD]]</f>
        <v/>
      </c>
      <c r="U124" s="41" t="n">
        <v>563</v>
      </c>
      <c r="V124" s="41" t="n">
        <v>273</v>
      </c>
      <c r="W124" s="3">
        <f>TABL123[[#This Row],[(A/B) AJD]]+TABL123[[#This Row],[(A/S) AJD]]</f>
        <v/>
      </c>
      <c r="X124" s="3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3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43" t="n">
        <v>2387</v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87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32">
        <f>TABL123[[#This Row],[(A/S) AJD]]-TABL123[[#This Row],[SER_IN]]</f>
        <v/>
      </c>
    </row>
    <row r="125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28">
        <f>103-F125</f>
        <v/>
      </c>
      <c r="I125" s="40" t="n">
        <v>471</v>
      </c>
      <c r="J125" s="44" t="n">
        <v>456</v>
      </c>
      <c r="K125" s="28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3">
        <f>TABL123[[#This Row],[ (S/S) SAR]]-TABL123[[#This Row],[(S/S) AJD]]</f>
        <v/>
      </c>
      <c r="Q125" s="40" t="n">
        <v>438</v>
      </c>
      <c r="R125" s="3">
        <f>TABL123[[#This Row],[ (T/B) SAR]]-TABL123[[#This Row],[(T/B) AJD]]</f>
        <v/>
      </c>
      <c r="S125" s="3">
        <f>TABL123[[#This Row],[T/B-CON.]]+TABL123[[#This Row],[S/S_CON.]]</f>
        <v/>
      </c>
      <c r="T125" s="3">
        <f>TABL123[[#This Row],[(S/S) AJD]]+TABL123[[#This Row],[(T/B) AJD]]</f>
        <v/>
      </c>
      <c r="U125" s="44" t="n">
        <v>566</v>
      </c>
      <c r="V125" s="44" t="n">
        <v>278</v>
      </c>
      <c r="W125" s="3">
        <f>TABL123[[#This Row],[(A/B) AJD]]+TABL123[[#This Row],[(A/S) AJD]]</f>
        <v/>
      </c>
      <c r="X125" s="3">
        <f>TABL123[[#This Row],[( S/S+T/B) AJD]]-TABL123[[#This Row],[(A/B + A/S) AJD]]</f>
        <v/>
      </c>
      <c r="Y125" s="44" t="n">
        <v>92.193</v>
      </c>
      <c r="Z125" s="45" t="n">
        <v>314136</v>
      </c>
      <c r="AA125" s="3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45" t="n">
        <v>2000</v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87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32">
        <f>TABL123[[#This Row],[(A/S) AJD]]-TABL123[[#This Row],[SER_IN]]</f>
        <v/>
      </c>
    </row>
    <row r="126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28">
        <f>103-F126</f>
        <v/>
      </c>
      <c r="I126" s="39" t="n">
        <v>467</v>
      </c>
      <c r="J126" s="39" t="n">
        <v>451</v>
      </c>
      <c r="K126" s="28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3">
        <f>TABL123[[#This Row],[ (S/S) SAR]]-TABL123[[#This Row],[(S/S) AJD]]</f>
        <v/>
      </c>
      <c r="Q126" s="39" t="n">
        <v>442</v>
      </c>
      <c r="R126" s="3">
        <f>TABL123[[#This Row],[ (T/B) SAR]]-TABL123[[#This Row],[(T/B) AJD]]</f>
        <v/>
      </c>
      <c r="S126" s="3">
        <f>TABL123[[#This Row],[T/B-CON.]]+TABL123[[#This Row],[S/S_CON.]]</f>
        <v/>
      </c>
      <c r="T126" s="3">
        <f>TABL123[[#This Row],[(S/S) AJD]]+TABL123[[#This Row],[(T/B) AJD]]</f>
        <v/>
      </c>
      <c r="U126" s="41" t="n">
        <v>563</v>
      </c>
      <c r="V126" s="41" t="n">
        <v>238</v>
      </c>
      <c r="W126" s="3">
        <f>TABL123[[#This Row],[(A/B) AJD]]+TABL123[[#This Row],[(A/S) AJD]]</f>
        <v/>
      </c>
      <c r="X126" s="3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3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43" t="n">
        <v>2795</v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87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32">
        <f>TABL123[[#This Row],[(A/S) AJD]]-TABL123[[#This Row],[SER_IN]]</f>
        <v/>
      </c>
    </row>
    <row r="127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28">
        <f>103-F127</f>
        <v/>
      </c>
      <c r="I127" s="40" t="n">
        <v>477</v>
      </c>
      <c r="J127" s="44" t="n">
        <v>460</v>
      </c>
      <c r="K127" s="28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3">
        <f>TABL123[[#This Row],[ (S/S) SAR]]-TABL123[[#This Row],[(S/S) AJD]]</f>
        <v/>
      </c>
      <c r="Q127" s="40" t="n">
        <v>444</v>
      </c>
      <c r="R127" s="3">
        <f>TABL123[[#This Row],[ (T/B) SAR]]-TABL123[[#This Row],[(T/B) AJD]]</f>
        <v/>
      </c>
      <c r="S127" s="3">
        <f>TABL123[[#This Row],[T/B-CON.]]+TABL123[[#This Row],[S/S_CON.]]</f>
        <v/>
      </c>
      <c r="T127" s="3">
        <f>TABL123[[#This Row],[(S/S) AJD]]+TABL123[[#This Row],[(T/B) AJD]]</f>
        <v/>
      </c>
      <c r="U127" s="44" t="n">
        <v>566</v>
      </c>
      <c r="V127" s="44" t="n">
        <v>230</v>
      </c>
      <c r="W127" s="3">
        <f>TABL123[[#This Row],[(A/B) AJD]]+TABL123[[#This Row],[(A/S) AJD]]</f>
        <v/>
      </c>
      <c r="X127" s="3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3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45" t="n">
        <v>2691</v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87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32">
        <f>TABL123[[#This Row],[(A/S) AJD]]-TABL123[[#This Row],[SER_IN]]</f>
        <v/>
      </c>
    </row>
    <row r="128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28">
        <f>103-F128</f>
        <v/>
      </c>
      <c r="I128" s="39" t="n">
        <v>475</v>
      </c>
      <c r="J128" s="39" t="n">
        <v>459</v>
      </c>
      <c r="K128" s="28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3">
        <f>TABL123[[#This Row],[ (S/S) SAR]]-TABL123[[#This Row],[(S/S) AJD]]</f>
        <v/>
      </c>
      <c r="Q128" s="39" t="n">
        <v>448</v>
      </c>
      <c r="R128" s="3">
        <f>TABL123[[#This Row],[ (T/B) SAR]]-TABL123[[#This Row],[(T/B) AJD]]</f>
        <v/>
      </c>
      <c r="S128" s="3">
        <f>TABL123[[#This Row],[T/B-CON.]]+TABL123[[#This Row],[S/S_CON.]]</f>
        <v/>
      </c>
      <c r="T128" s="3">
        <f>TABL123[[#This Row],[(S/S) AJD]]+TABL123[[#This Row],[(T/B) AJD]]</f>
        <v/>
      </c>
      <c r="U128" s="41" t="n">
        <v>561</v>
      </c>
      <c r="V128" s="41" t="n">
        <v>223</v>
      </c>
      <c r="W128" s="3">
        <f>TABL123[[#This Row],[(A/B) AJD]]+TABL123[[#This Row],[(A/S) AJD]]</f>
        <v/>
      </c>
      <c r="X128" s="3">
        <f>TABL123[[#This Row],[( S/S+T/B) AJD]]-TABL123[[#This Row],[(A/B + A/S) AJD]]</f>
        <v/>
      </c>
      <c r="Y128" s="41" t="n">
        <v>92.372</v>
      </c>
      <c r="Z128" s="43" t="n">
        <v>420446</v>
      </c>
      <c r="AA128" s="3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43" t="n">
        <v>2509</v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87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32">
        <f>TABL123[[#This Row],[(A/S) AJD]]-TABL123[[#This Row],[SER_IN]]</f>
        <v/>
      </c>
    </row>
    <row r="129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28">
        <f>103-F129</f>
        <v/>
      </c>
      <c r="I129" s="40" t="n">
        <v>475</v>
      </c>
      <c r="J129" s="44" t="n">
        <v>460</v>
      </c>
      <c r="K129" s="28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3">
        <f>TABL123[[#This Row],[ (S/S) SAR]]-TABL123[[#This Row],[(S/S) AJD]]</f>
        <v/>
      </c>
      <c r="Q129" s="40" t="n">
        <v>448</v>
      </c>
      <c r="R129" s="3">
        <f>TABL123[[#This Row],[ (T/B) SAR]]-TABL123[[#This Row],[(T/B) AJD]]</f>
        <v/>
      </c>
      <c r="S129" s="3">
        <f>TABL123[[#This Row],[T/B-CON.]]+TABL123[[#This Row],[S/S_CON.]]</f>
        <v/>
      </c>
      <c r="T129" s="3">
        <f>TABL123[[#This Row],[(S/S) AJD]]+TABL123[[#This Row],[(T/B) AJD]]</f>
        <v/>
      </c>
      <c r="U129" s="44" t="n">
        <v>510</v>
      </c>
      <c r="V129" s="44" t="n">
        <v>218</v>
      </c>
      <c r="W129" s="3">
        <f>TABL123[[#This Row],[(A/B) AJD]]+TABL123[[#This Row],[(A/S) AJD]]</f>
        <v/>
      </c>
      <c r="X129" s="3">
        <f>TABL123[[#This Row],[( S/S+T/B) AJD]]-TABL123[[#This Row],[(A/B + A/S) AJD]]</f>
        <v/>
      </c>
      <c r="Y129" s="44" t="n">
        <v>92.545</v>
      </c>
      <c r="Z129" s="45" t="n">
        <v>522841</v>
      </c>
      <c r="AA129" s="3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45" t="n">
        <v>3585</v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87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32">
        <f>TABL123[[#This Row],[(A/S) AJD]]-TABL123[[#This Row],[SER_IN]]</f>
        <v/>
      </c>
    </row>
    <row r="130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28">
        <f>103-F130</f>
        <v/>
      </c>
      <c r="I130" s="39" t="n">
        <v>475</v>
      </c>
      <c r="J130" s="39" t="n">
        <v>460</v>
      </c>
      <c r="K130" s="28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3">
        <f>TABL123[[#This Row],[ (S/S) SAR]]-TABL123[[#This Row],[(S/S) AJD]]</f>
        <v/>
      </c>
      <c r="Q130" s="39" t="n">
        <v>449</v>
      </c>
      <c r="R130" s="3">
        <f>TABL123[[#This Row],[ (T/B) SAR]]-TABL123[[#This Row],[(T/B) AJD]]</f>
        <v/>
      </c>
      <c r="S130" s="3">
        <f>TABL123[[#This Row],[T/B-CON.]]+TABL123[[#This Row],[S/S_CON.]]</f>
        <v/>
      </c>
      <c r="T130" s="3">
        <f>TABL123[[#This Row],[(S/S) AJD]]+TABL123[[#This Row],[(T/B) AJD]]</f>
        <v/>
      </c>
      <c r="U130" s="41" t="n">
        <v>545</v>
      </c>
      <c r="V130" s="41" t="n">
        <v>235</v>
      </c>
      <c r="W130" s="3">
        <f>TABL123[[#This Row],[(A/B) AJD]]+TABL123[[#This Row],[(A/S) AJD]]</f>
        <v/>
      </c>
      <c r="X130" s="3">
        <f>TABL123[[#This Row],[( S/S+T/B) AJD]]-TABL123[[#This Row],[(A/B + A/S) AJD]]</f>
        <v/>
      </c>
      <c r="Y130" s="41" t="n">
        <v>92.624</v>
      </c>
      <c r="Z130" s="43" t="n">
        <v>570552</v>
      </c>
      <c r="AA130" s="3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43" t="n">
        <v>2499</v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87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32">
        <f>TABL123[[#This Row],[(A/S) AJD]]-TABL123[[#This Row],[SER_IN]]</f>
        <v/>
      </c>
    </row>
    <row r="13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28">
        <f>103-F131</f>
        <v/>
      </c>
      <c r="I131" s="40" t="n">
        <v>475</v>
      </c>
      <c r="J131" s="44" t="n">
        <v>460</v>
      </c>
      <c r="K131" s="28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3">
        <f>TABL123[[#This Row],[ (S/S) SAR]]-TABL123[[#This Row],[(S/S) AJD]]</f>
        <v/>
      </c>
      <c r="Q131" s="40" t="n">
        <v>450</v>
      </c>
      <c r="R131" s="3">
        <f>TABL123[[#This Row],[ (T/B) SAR]]-TABL123[[#This Row],[(T/B) AJD]]</f>
        <v/>
      </c>
      <c r="S131" s="3">
        <f>TABL123[[#This Row],[T/B-CON.]]+TABL123[[#This Row],[S/S_CON.]]</f>
        <v/>
      </c>
      <c r="T131" s="3">
        <f>TABL123[[#This Row],[(S/S) AJD]]+TABL123[[#This Row],[(T/B) AJD]]</f>
        <v/>
      </c>
      <c r="U131" s="44" t="n">
        <v>581</v>
      </c>
      <c r="V131" s="44" t="n">
        <v>257</v>
      </c>
      <c r="W131" s="3">
        <f>TABL123[[#This Row],[(A/B) AJD]]+TABL123[[#This Row],[(A/S) AJD]]</f>
        <v/>
      </c>
      <c r="X131" s="3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3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45" t="n">
        <v>2263</v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87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32">
        <f>TABL123[[#This Row],[(A/S) AJD]]-TABL123[[#This Row],[SER_IN]]</f>
        <v/>
      </c>
    </row>
    <row r="132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28">
        <f>103-F132</f>
        <v/>
      </c>
      <c r="I132" s="39" t="n">
        <v>475</v>
      </c>
      <c r="J132" s="39" t="n">
        <v>460</v>
      </c>
      <c r="K132" s="28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3">
        <f>TABL123[[#This Row],[ (S/S) SAR]]-TABL123[[#This Row],[(S/S) AJD]]</f>
        <v/>
      </c>
      <c r="Q132" s="39" t="n">
        <v>440</v>
      </c>
      <c r="R132" s="3">
        <f>TABL123[[#This Row],[ (T/B) SAR]]-TABL123[[#This Row],[(T/B) AJD]]</f>
        <v/>
      </c>
      <c r="S132" s="3">
        <f>TABL123[[#This Row],[T/B-CON.]]+TABL123[[#This Row],[S/S_CON.]]</f>
        <v/>
      </c>
      <c r="T132" s="3">
        <f>TABL123[[#This Row],[(S/S) AJD]]+TABL123[[#This Row],[(T/B) AJD]]</f>
        <v/>
      </c>
      <c r="U132" s="41" t="n">
        <v>581</v>
      </c>
      <c r="V132" s="41" t="n">
        <v>259</v>
      </c>
      <c r="W132" s="3">
        <f>TABL123[[#This Row],[(A/B) AJD]]+TABL123[[#This Row],[(A/S) AJD]]</f>
        <v/>
      </c>
      <c r="X132" s="3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3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68" t="n">
        <v>2195</v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87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32">
        <f>TABL123[[#This Row],[(A/S) AJD]]-TABL123[[#This Row],[SER_IN]]</f>
        <v/>
      </c>
    </row>
    <row r="133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28">
        <f>103-F133</f>
        <v/>
      </c>
      <c r="I133" s="40" t="n">
        <v>472</v>
      </c>
      <c r="J133" s="44" t="n">
        <v>458</v>
      </c>
      <c r="K133" s="28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3">
        <f>TABL123[[#This Row],[ (S/S) SAR]]-TABL123[[#This Row],[(S/S) AJD]]</f>
        <v/>
      </c>
      <c r="Q133" s="40" t="n">
        <v>442</v>
      </c>
      <c r="R133" s="3">
        <f>TABL123[[#This Row],[ (T/B) SAR]]-TABL123[[#This Row],[(T/B) AJD]]</f>
        <v/>
      </c>
      <c r="S133" s="3">
        <f>TABL123[[#This Row],[T/B-CON.]]+TABL123[[#This Row],[S/S_CON.]]</f>
        <v/>
      </c>
      <c r="T133" s="3">
        <f>TABL123[[#This Row],[(S/S) AJD]]+TABL123[[#This Row],[(T/B) AJD]]</f>
        <v/>
      </c>
      <c r="U133" s="44" t="n">
        <v>581</v>
      </c>
      <c r="V133" s="44" t="n">
        <v>274</v>
      </c>
      <c r="W133" s="3">
        <f>TABL123[[#This Row],[(A/B) AJD]]+TABL123[[#This Row],[(A/S) AJD]]</f>
        <v/>
      </c>
      <c r="X133" s="3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3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45" t="n">
        <v>2368</v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87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32">
        <f>TABL123[[#This Row],[(A/S) AJD]]-TABL123[[#This Row],[SER_IN]]</f>
        <v/>
      </c>
    </row>
    <row r="134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28">
        <f>103-F134</f>
        <v/>
      </c>
      <c r="I134" s="39" t="n">
        <v>472</v>
      </c>
      <c r="J134" s="39" t="n">
        <v>458</v>
      </c>
      <c r="K134" s="28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3">
        <f>TABL123[[#This Row],[ (S/S) SAR]]-TABL123[[#This Row],[(S/S) AJD]]</f>
        <v/>
      </c>
      <c r="Q134" s="39" t="n">
        <v>441</v>
      </c>
      <c r="R134" s="3">
        <f>TABL123[[#This Row],[ (T/B) SAR]]-TABL123[[#This Row],[(T/B) AJD]]</f>
        <v/>
      </c>
      <c r="S134" s="3">
        <f>TABL123[[#This Row],[T/B-CON.]]+TABL123[[#This Row],[S/S_CON.]]</f>
        <v/>
      </c>
      <c r="T134" s="3">
        <f>TABL123[[#This Row],[(S/S) AJD]]+TABL123[[#This Row],[(T/B) AJD]]</f>
        <v/>
      </c>
      <c r="U134" s="41" t="n">
        <v>542</v>
      </c>
      <c r="V134" s="41" t="n">
        <v>256</v>
      </c>
      <c r="W134" s="3">
        <f>TABL123[[#This Row],[(A/B) AJD]]+TABL123[[#This Row],[(A/S) AJD]]</f>
        <v/>
      </c>
      <c r="X134" s="3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3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43" t="n">
        <v>2312</v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87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32">
        <f>TABL123[[#This Row],[(A/S) AJD]]-TABL123[[#This Row],[SER_IN]]</f>
        <v/>
      </c>
    </row>
    <row r="135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28">
        <f>103-F135</f>
        <v/>
      </c>
      <c r="I135" s="40" t="n">
        <v>472</v>
      </c>
      <c r="J135" s="44" t="n">
        <v>458</v>
      </c>
      <c r="K135" s="28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3">
        <f>TABL123[[#This Row],[ (S/S) SAR]]-TABL123[[#This Row],[(S/S) AJD]]</f>
        <v/>
      </c>
      <c r="Q135" s="40" t="n">
        <v>440</v>
      </c>
      <c r="R135" s="3">
        <f>TABL123[[#This Row],[ (T/B) SAR]]-TABL123[[#This Row],[(T/B) AJD]]</f>
        <v/>
      </c>
      <c r="S135" s="3">
        <f>TABL123[[#This Row],[T/B-CON.]]+TABL123[[#This Row],[S/S_CON.]]</f>
        <v/>
      </c>
      <c r="T135" s="3">
        <f>TABL123[[#This Row],[(S/S) AJD]]+TABL123[[#This Row],[(T/B) AJD]]</f>
        <v/>
      </c>
      <c r="U135" s="44" t="n">
        <v>596</v>
      </c>
      <c r="V135" s="44" t="n">
        <v>264</v>
      </c>
      <c r="W135" s="3">
        <f>TABL123[[#This Row],[(A/B) AJD]]+TABL123[[#This Row],[(A/S) AJD]]</f>
        <v/>
      </c>
      <c r="X135" s="3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3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45" t="n">
        <v>2503</v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87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32">
        <f>TABL123[[#This Row],[(A/S) AJD]]-TABL123[[#This Row],[SER_IN]]</f>
        <v/>
      </c>
    </row>
    <row r="136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28">
        <f>103-F136</f>
        <v/>
      </c>
      <c r="I136" s="39" t="n">
        <v>472</v>
      </c>
      <c r="J136" s="39" t="n">
        <v>458</v>
      </c>
      <c r="K136" s="28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3">
        <f>TABL123[[#This Row],[ (S/S) SAR]]-TABL123[[#This Row],[(S/S) AJD]]</f>
        <v/>
      </c>
      <c r="Q136" s="39" t="n">
        <v>441</v>
      </c>
      <c r="R136" s="3">
        <f>TABL123[[#This Row],[ (T/B) SAR]]-TABL123[[#This Row],[(T/B) AJD]]</f>
        <v/>
      </c>
      <c r="S136" s="3">
        <f>TABL123[[#This Row],[T/B-CON.]]+TABL123[[#This Row],[S/S_CON.]]</f>
        <v/>
      </c>
      <c r="T136" s="3">
        <f>TABL123[[#This Row],[(S/S) AJD]]+TABL123[[#This Row],[(T/B) AJD]]</f>
        <v/>
      </c>
      <c r="U136" s="41" t="n">
        <v>600</v>
      </c>
      <c r="V136" s="41" t="n">
        <v>295</v>
      </c>
      <c r="W136" s="3">
        <f>TABL123[[#This Row],[(A/B) AJD]]+TABL123[[#This Row],[(A/S) AJD]]</f>
        <v/>
      </c>
      <c r="X136" s="3">
        <f>TABL123[[#This Row],[( S/S+T/B) AJD]]-TABL123[[#This Row],[(A/B + A/S) AJD]]</f>
        <v/>
      </c>
      <c r="Y136" s="41" t="n">
        <v>92.34</v>
      </c>
      <c r="Z136" s="43" t="n">
        <v>401419</v>
      </c>
      <c r="AA136" s="3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43" t="n">
        <v>2154</v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87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32">
        <f>TABL123[[#This Row],[(A/S) AJD]]-TABL123[[#This Row],[SER_IN]]</f>
        <v/>
      </c>
    </row>
    <row r="137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28">
        <f>103-F137</f>
        <v/>
      </c>
      <c r="I137" s="40" t="n">
        <v>472</v>
      </c>
      <c r="J137" s="44" t="n">
        <v>458</v>
      </c>
      <c r="K137" s="28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3">
        <f>TABL123[[#This Row],[ (S/S) SAR]]-TABL123[[#This Row],[(S/S) AJD]]</f>
        <v/>
      </c>
      <c r="Q137" s="40" t="n">
        <v>443</v>
      </c>
      <c r="R137" s="3">
        <f>TABL123[[#This Row],[ (T/B) SAR]]-TABL123[[#This Row],[(T/B) AJD]]</f>
        <v/>
      </c>
      <c r="S137" s="3">
        <f>TABL123[[#This Row],[T/B-CON.]]+TABL123[[#This Row],[S/S_CON.]]</f>
        <v/>
      </c>
      <c r="T137" s="3">
        <f>TABL123[[#This Row],[(S/S) AJD]]+TABL123[[#This Row],[(T/B) AJD]]</f>
        <v/>
      </c>
      <c r="U137" s="44" t="n">
        <v>594</v>
      </c>
      <c r="V137" s="44" t="n">
        <v>291</v>
      </c>
      <c r="W137" s="3">
        <f>TABL123[[#This Row],[(A/B) AJD]]+TABL123[[#This Row],[(A/S) AJD]]</f>
        <v/>
      </c>
      <c r="X137" s="3">
        <f>TABL123[[#This Row],[( S/S+T/B) AJD]]-TABL123[[#This Row],[(A/B + A/S) AJD]]</f>
        <v/>
      </c>
      <c r="Y137" s="44" t="n">
        <v>92.22</v>
      </c>
      <c r="Z137" s="45" t="n">
        <v>330158</v>
      </c>
      <c r="AA137" s="3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45" t="n">
        <v>3171</v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87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32">
        <f>TABL123[[#This Row],[(A/S) AJD]]-TABL123[[#This Row],[SER_IN]]</f>
        <v/>
      </c>
    </row>
    <row r="138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28">
        <f>103-F138</f>
        <v/>
      </c>
      <c r="I138" s="39" t="n">
        <v>472</v>
      </c>
      <c r="J138" s="39" t="n">
        <v>458</v>
      </c>
      <c r="K138" s="28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3">
        <f>TABL123[[#This Row],[ (S/S) SAR]]-TABL123[[#This Row],[(S/S) AJD]]</f>
        <v/>
      </c>
      <c r="Q138" s="39" t="n">
        <v>445</v>
      </c>
      <c r="R138" s="3">
        <f>TABL123[[#This Row],[ (T/B) SAR]]-TABL123[[#This Row],[(T/B) AJD]]</f>
        <v/>
      </c>
      <c r="S138" s="3">
        <f>TABL123[[#This Row],[T/B-CON.]]+TABL123[[#This Row],[S/S_CON.]]</f>
        <v/>
      </c>
      <c r="T138" s="3">
        <f>TABL123[[#This Row],[(S/S) AJD]]+TABL123[[#This Row],[(T/B) AJD]]</f>
        <v/>
      </c>
      <c r="U138" s="41" t="n">
        <v>600</v>
      </c>
      <c r="V138" s="41" t="n">
        <v>247</v>
      </c>
      <c r="W138" s="3">
        <f>TABL123[[#This Row],[(A/B) AJD]]+TABL123[[#This Row],[(A/S) AJD]]</f>
        <v/>
      </c>
      <c r="X138" s="3">
        <f>TABL123[[#This Row],[( S/S+T/B) AJD]]-TABL123[[#This Row],[(A/B + A/S) AJD]]</f>
        <v/>
      </c>
      <c r="Y138" s="41" t="n">
        <v>92.185</v>
      </c>
      <c r="Z138" s="43" t="n">
        <v>309393</v>
      </c>
      <c r="AA138" s="3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43" t="n">
        <v>3153</v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87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32">
        <f>TABL123[[#This Row],[(A/S) AJD]]-TABL123[[#This Row],[SER_IN]]</f>
        <v/>
      </c>
    </row>
    <row r="139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28">
        <f>103-F139</f>
        <v/>
      </c>
      <c r="I139" s="40" t="n">
        <v>470</v>
      </c>
      <c r="J139" s="44" t="n">
        <v>455</v>
      </c>
      <c r="K139" s="28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3">
        <f>TABL123[[#This Row],[ (S/S) SAR]]-TABL123[[#This Row],[(S/S) AJD]]</f>
        <v/>
      </c>
      <c r="Q139" s="40" t="n">
        <v>436</v>
      </c>
      <c r="R139" s="3">
        <f>TABL123[[#This Row],[ (T/B) SAR]]-TABL123[[#This Row],[(T/B) AJD]]</f>
        <v/>
      </c>
      <c r="S139" s="3">
        <f>TABL123[[#This Row],[T/B-CON.]]+TABL123[[#This Row],[S/S_CON.]]</f>
        <v/>
      </c>
      <c r="T139" s="3">
        <f>TABL123[[#This Row],[(S/S) AJD]]+TABL123[[#This Row],[(T/B) AJD]]</f>
        <v/>
      </c>
      <c r="U139" s="44" t="n">
        <v>608</v>
      </c>
      <c r="V139" s="44" t="n">
        <v>224</v>
      </c>
      <c r="W139" s="3">
        <f>TABL123[[#This Row],[(A/B) AJD]]+TABL123[[#This Row],[(A/S) AJD]]</f>
        <v/>
      </c>
      <c r="X139" s="3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3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45" t="n">
        <v>3547</v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87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32">
        <f>TABL123[[#This Row],[(A/S) AJD]]-TABL123[[#This Row],[SER_IN]]</f>
        <v/>
      </c>
    </row>
    <row r="140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28">
        <f>103-F140</f>
        <v/>
      </c>
      <c r="I140" s="39" t="n">
        <v>468</v>
      </c>
      <c r="J140" s="39" t="n">
        <v>452</v>
      </c>
      <c r="K140" s="28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3">
        <f>TABL123[[#This Row],[ (S/S) SAR]]-TABL123[[#This Row],[(S/S) AJD]]</f>
        <v/>
      </c>
      <c r="Q140" s="39" t="n">
        <v>438</v>
      </c>
      <c r="R140" s="3">
        <f>TABL123[[#This Row],[ (T/B) SAR]]-TABL123[[#This Row],[(T/B) AJD]]</f>
        <v/>
      </c>
      <c r="S140" s="3">
        <f>TABL123[[#This Row],[T/B-CON.]]+TABL123[[#This Row],[S/S_CON.]]</f>
        <v/>
      </c>
      <c r="T140" s="3">
        <f>TABL123[[#This Row],[(S/S) AJD]]+TABL123[[#This Row],[(T/B) AJD]]</f>
        <v/>
      </c>
      <c r="U140" s="41" t="n">
        <v>600</v>
      </c>
      <c r="V140" s="41" t="n">
        <v>231</v>
      </c>
      <c r="W140" s="3">
        <f>TABL123[[#This Row],[(A/B) AJD]]+TABL123[[#This Row],[(A/S) AJD]]</f>
        <v/>
      </c>
      <c r="X140" s="3">
        <f>TABL123[[#This Row],[( S/S+T/B) AJD]]-TABL123[[#This Row],[(A/B + A/S) AJD]]</f>
        <v/>
      </c>
      <c r="Y140" s="41" t="n">
        <v>92.148</v>
      </c>
      <c r="Z140" s="43" t="n">
        <v>287457</v>
      </c>
      <c r="AA140" s="3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43" t="n">
        <v>3566</v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87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32">
        <f>TABL123[[#This Row],[(A/S) AJD]]-TABL123[[#This Row],[SER_IN]]</f>
        <v/>
      </c>
    </row>
    <row r="14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28">
        <f>103-F141</f>
        <v/>
      </c>
      <c r="I141" s="40" t="n">
        <v>468</v>
      </c>
      <c r="J141" s="44" t="n">
        <v>453</v>
      </c>
      <c r="K141" s="28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3">
        <f>TABL123[[#This Row],[ (S/S) SAR]]-TABL123[[#This Row],[(S/S) AJD]]</f>
        <v/>
      </c>
      <c r="Q141" s="40" t="n">
        <v>431</v>
      </c>
      <c r="R141" s="3">
        <f>TABL123[[#This Row],[ (T/B) SAR]]-TABL123[[#This Row],[(T/B) AJD]]</f>
        <v/>
      </c>
      <c r="S141" s="3">
        <f>TABL123[[#This Row],[T/B-CON.]]+TABL123[[#This Row],[S/S_CON.]]</f>
        <v/>
      </c>
      <c r="T141" s="3">
        <f>TABL123[[#This Row],[(S/S) AJD]]+TABL123[[#This Row],[(T/B) AJD]]</f>
        <v/>
      </c>
      <c r="U141" s="44" t="n">
        <v>600</v>
      </c>
      <c r="V141" s="44" t="n">
        <v>218</v>
      </c>
      <c r="W141" s="3">
        <f>TABL123[[#This Row],[(A/B) AJD]]+TABL123[[#This Row],[(A/S) AJD]]</f>
        <v/>
      </c>
      <c r="X141" s="3">
        <f>TABL123[[#This Row],[( S/S+T/B) AJD]]-TABL123[[#This Row],[(A/B + A/S) AJD]]</f>
        <v/>
      </c>
      <c r="Y141" s="44" t="n">
        <v>92.12</v>
      </c>
      <c r="Z141" s="45" t="n">
        <v>270862</v>
      </c>
      <c r="AA141" s="3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45" t="n">
        <v>2253</v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87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32">
        <f>TABL123[[#This Row],[(A/S) AJD]]-TABL123[[#This Row],[SER_IN]]</f>
        <v/>
      </c>
    </row>
    <row r="142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28">
        <f>103-F142</f>
        <v/>
      </c>
      <c r="I142" s="39" t="n">
        <v>469</v>
      </c>
      <c r="J142" s="39" t="n">
        <v>455</v>
      </c>
      <c r="K142" s="28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3">
        <f>TABL123[[#This Row],[ (S/S) SAR]]-TABL123[[#This Row],[(S/S) AJD]]</f>
        <v/>
      </c>
      <c r="Q142" s="39" t="n">
        <v>435</v>
      </c>
      <c r="R142" s="3">
        <f>TABL123[[#This Row],[ (T/B) SAR]]-TABL123[[#This Row],[(T/B) AJD]]</f>
        <v/>
      </c>
      <c r="S142" s="3">
        <f>TABL123[[#This Row],[T/B-CON.]]+TABL123[[#This Row],[S/S_CON.]]</f>
        <v/>
      </c>
      <c r="T142" s="3">
        <f>TABL123[[#This Row],[(S/S) AJD]]+TABL123[[#This Row],[(T/B) AJD]]</f>
        <v/>
      </c>
      <c r="U142" s="41" t="n">
        <v>568</v>
      </c>
      <c r="V142" s="41" t="n">
        <v>220</v>
      </c>
      <c r="W142" s="3">
        <f>TABL123[[#This Row],[(A/B) AJD]]+TABL123[[#This Row],[(A/S) AJD]]</f>
        <v/>
      </c>
      <c r="X142" s="3">
        <f>TABL123[[#This Row],[( S/S+T/B) AJD]]-TABL123[[#This Row],[(A/B + A/S) AJD]]</f>
        <v/>
      </c>
      <c r="Y142" s="41" t="n">
        <v>92.175</v>
      </c>
      <c r="Z142" s="43" t="n">
        <v>303466</v>
      </c>
      <c r="AA142" s="3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43" t="n">
        <v>2439</v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87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32">
        <f>TABL123[[#This Row],[(A/S) AJD]]-TABL123[[#This Row],[SER_IN]]</f>
        <v/>
      </c>
    </row>
    <row r="143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28">
        <f>103-F143</f>
        <v/>
      </c>
      <c r="I143" s="40" t="n">
        <v>470</v>
      </c>
      <c r="J143" s="44" t="n">
        <v>456</v>
      </c>
      <c r="K143" s="28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3">
        <f>TABL123[[#This Row],[ (S/S) SAR]]-TABL123[[#This Row],[(S/S) AJD]]</f>
        <v/>
      </c>
      <c r="Q143" s="40" t="n">
        <v>437</v>
      </c>
      <c r="R143" s="3">
        <f>TABL123[[#This Row],[ (T/B) SAR]]-TABL123[[#This Row],[(T/B) AJD]]</f>
        <v/>
      </c>
      <c r="S143" s="3">
        <f>TABL123[[#This Row],[T/B-CON.]]+TABL123[[#This Row],[S/S_CON.]]</f>
        <v/>
      </c>
      <c r="T143" s="3">
        <f>TABL123[[#This Row],[(S/S) AJD]]+TABL123[[#This Row],[(T/B) AJD]]</f>
        <v/>
      </c>
      <c r="U143" s="44" t="n">
        <v>557</v>
      </c>
      <c r="V143" s="44" t="n">
        <v>249</v>
      </c>
      <c r="W143" s="3">
        <f>TABL123[[#This Row],[(A/B) AJD]]+TABL123[[#This Row],[(A/S) AJD]]</f>
        <v/>
      </c>
      <c r="X143" s="3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3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45" t="n">
        <v>2427</v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87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32">
        <f>TABL123[[#This Row],[(A/S) AJD]]-TABL123[[#This Row],[SER_IN]]</f>
        <v/>
      </c>
    </row>
    <row r="144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28">
        <f>103-F144</f>
        <v/>
      </c>
      <c r="I144" s="39" t="n">
        <v>471</v>
      </c>
      <c r="J144" s="39" t="n">
        <v>456</v>
      </c>
      <c r="K144" s="28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3">
        <f>TABL123[[#This Row],[ (S/S) SAR]]-TABL123[[#This Row],[(S/S) AJD]]</f>
        <v/>
      </c>
      <c r="Q144" s="39" t="n">
        <v>445</v>
      </c>
      <c r="R144" s="3">
        <f>TABL123[[#This Row],[ (T/B) SAR]]-TABL123[[#This Row],[(T/B) AJD]]</f>
        <v/>
      </c>
      <c r="S144" s="3">
        <f>TABL123[[#This Row],[T/B-CON.]]+TABL123[[#This Row],[S/S_CON.]]</f>
        <v/>
      </c>
      <c r="T144" s="3">
        <f>TABL123[[#This Row],[(S/S) AJD]]+TABL123[[#This Row],[(T/B) AJD]]</f>
        <v/>
      </c>
      <c r="U144" s="41" t="n">
        <v>539</v>
      </c>
      <c r="V144" s="41" t="n">
        <v>258</v>
      </c>
      <c r="W144" s="3">
        <f>TABL123[[#This Row],[(A/B) AJD]]+TABL123[[#This Row],[(A/S) AJD]]</f>
        <v/>
      </c>
      <c r="X144" s="3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3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43" t="n">
        <v>1575</v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87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32">
        <f>TABL123[[#This Row],[(A/S) AJD]]-TABL123[[#This Row],[SER_IN]]</f>
        <v/>
      </c>
    </row>
    <row r="145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28">
        <f>103-F145</f>
        <v/>
      </c>
      <c r="I145" s="40" t="n">
        <v>472</v>
      </c>
      <c r="J145" s="44" t="n">
        <v>458</v>
      </c>
      <c r="K145" s="28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3">
        <f>TABL123[[#This Row],[ (S/S) SAR]]-TABL123[[#This Row],[(S/S) AJD]]</f>
        <v/>
      </c>
      <c r="Q145" s="40" t="n">
        <v>446</v>
      </c>
      <c r="R145" s="3">
        <f>TABL123[[#This Row],[ (T/B) SAR]]-TABL123[[#This Row],[(T/B) AJD]]</f>
        <v/>
      </c>
      <c r="S145" s="3">
        <f>TABL123[[#This Row],[T/B-CON.]]+TABL123[[#This Row],[S/S_CON.]]</f>
        <v/>
      </c>
      <c r="T145" s="3">
        <f>TABL123[[#This Row],[(S/S) AJD]]+TABL123[[#This Row],[(T/B) AJD]]</f>
        <v/>
      </c>
      <c r="U145" s="44" t="n">
        <v>537</v>
      </c>
      <c r="V145" s="44" t="n">
        <v>258</v>
      </c>
      <c r="W145" s="3">
        <f>TABL123[[#This Row],[(A/B) AJD]]+TABL123[[#This Row],[(A/S) AJD]]</f>
        <v/>
      </c>
      <c r="X145" s="3">
        <f>TABL123[[#This Row],[( S/S+T/B) AJD]]-TABL123[[#This Row],[(A/B + A/S) AJD]]</f>
        <v/>
      </c>
      <c r="Y145" s="44" t="n">
        <v>92.315</v>
      </c>
      <c r="Z145" s="45" t="n">
        <v>386567</v>
      </c>
      <c r="AA145" s="3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45" t="n">
        <v>2421</v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87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32">
        <f>TABL123[[#This Row],[(A/S) AJD]]-TABL123[[#This Row],[SER_IN]]</f>
        <v/>
      </c>
    </row>
    <row r="146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28">
        <f>103-F146</f>
        <v/>
      </c>
      <c r="I146" s="39" t="n">
        <v>473</v>
      </c>
      <c r="J146" s="39" t="n">
        <v>460</v>
      </c>
      <c r="K146" s="28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3">
        <f>TABL123[[#This Row],[ (S/S) SAR]]-TABL123[[#This Row],[(S/S) AJD]]</f>
        <v/>
      </c>
      <c r="Q146" s="39" t="n">
        <v>446</v>
      </c>
      <c r="R146" s="3">
        <f>TABL123[[#This Row],[ (T/B) SAR]]-TABL123[[#This Row],[(T/B) AJD]]</f>
        <v/>
      </c>
      <c r="S146" s="3">
        <f>TABL123[[#This Row],[T/B-CON.]]+TABL123[[#This Row],[S/S_CON.]]</f>
        <v/>
      </c>
      <c r="T146" s="3">
        <f>TABL123[[#This Row],[(S/S) AJD]]+TABL123[[#This Row],[(T/B) AJD]]</f>
        <v/>
      </c>
      <c r="U146" s="41" t="n">
        <v>530</v>
      </c>
      <c r="V146" s="41" t="n">
        <v>259</v>
      </c>
      <c r="W146" s="3">
        <f>TABL123[[#This Row],[(A/B) AJD]]+TABL123[[#This Row],[(A/S) AJD]]</f>
        <v/>
      </c>
      <c r="X146" s="3">
        <f>TABL123[[#This Row],[( S/S+T/B) AJD]]-TABL123[[#This Row],[(A/B + A/S) AJD]]</f>
        <v/>
      </c>
      <c r="Y146" s="41" t="n">
        <v>92.375</v>
      </c>
      <c r="Z146" s="43" t="n">
        <v>422229</v>
      </c>
      <c r="AA146" s="3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43" t="n">
        <v>2190</v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87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32">
        <f>TABL123[[#This Row],[(A/S) AJD]]-TABL123[[#This Row],[SER_IN]]</f>
        <v/>
      </c>
    </row>
    <row r="147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28">
        <f>103-F147</f>
        <v/>
      </c>
      <c r="I147" s="40" t="n">
        <v>473</v>
      </c>
      <c r="J147" s="44" t="n">
        <v>460</v>
      </c>
      <c r="K147" s="28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3">
        <f>TABL123[[#This Row],[ (S/S) SAR]]-TABL123[[#This Row],[(S/S) AJD]]</f>
        <v/>
      </c>
      <c r="Q147" s="40" t="n">
        <v>447</v>
      </c>
      <c r="R147" s="3">
        <f>TABL123[[#This Row],[ (T/B) SAR]]-TABL123[[#This Row],[(T/B) AJD]]</f>
        <v/>
      </c>
      <c r="S147" s="3">
        <f>TABL123[[#This Row],[T/B-CON.]]+TABL123[[#This Row],[S/S_CON.]]</f>
        <v/>
      </c>
      <c r="T147" s="3">
        <f>TABL123[[#This Row],[(S/S) AJD]]+TABL123[[#This Row],[(T/B) AJD]]</f>
        <v/>
      </c>
      <c r="U147" s="44" t="n">
        <v>523</v>
      </c>
      <c r="V147" s="44" t="n">
        <v>264</v>
      </c>
      <c r="W147" s="3">
        <f>TABL123[[#This Row],[(A/B) AJD]]+TABL123[[#This Row],[(A/S) AJD]]</f>
        <v/>
      </c>
      <c r="X147" s="3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3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45" t="n">
        <v>2189</v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87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32">
        <f>TABL123[[#This Row],[(A/S) AJD]]-TABL123[[#This Row],[SER_IN]]</f>
        <v/>
      </c>
    </row>
    <row r="148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28">
        <f>103-F148</f>
        <v/>
      </c>
      <c r="I148" s="39" t="n">
        <v>475</v>
      </c>
      <c r="J148" s="39" t="n">
        <v>462</v>
      </c>
      <c r="K148" s="28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3">
        <f>TABL123[[#This Row],[ (S/S) SAR]]-TABL123[[#This Row],[(S/S) AJD]]</f>
        <v/>
      </c>
      <c r="Q148" s="39" t="n">
        <v>448</v>
      </c>
      <c r="R148" s="3">
        <f>TABL123[[#This Row],[ (T/B) SAR]]-TABL123[[#This Row],[(T/B) AJD]]</f>
        <v/>
      </c>
      <c r="S148" s="3">
        <f>TABL123[[#This Row],[T/B-CON.]]+TABL123[[#This Row],[S/S_CON.]]</f>
        <v/>
      </c>
      <c r="T148" s="3">
        <f>TABL123[[#This Row],[(S/S) AJD]]+TABL123[[#This Row],[(T/B) AJD]]</f>
        <v/>
      </c>
      <c r="U148" s="41" t="n">
        <v>534</v>
      </c>
      <c r="V148" s="41" t="n">
        <v>274</v>
      </c>
      <c r="W148" s="3">
        <f>TABL123[[#This Row],[(A/B) AJD]]+TABL123[[#This Row],[(A/S) AJD]]</f>
        <v/>
      </c>
      <c r="X148" s="3">
        <f>TABL123[[#This Row],[( S/S+T/B) AJD]]-TABL123[[#This Row],[(A/B + A/S) AJD]]</f>
        <v/>
      </c>
      <c r="Y148" s="41" t="n">
        <v>92.482</v>
      </c>
      <c r="Z148" s="43" t="n">
        <v>485905</v>
      </c>
      <c r="AA148" s="3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43" t="n">
        <v>2302</v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87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32">
        <f>TABL123[[#This Row],[(A/S) AJD]]-TABL123[[#This Row],[SER_IN]]</f>
        <v/>
      </c>
    </row>
    <row r="149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28">
        <f>103-F149</f>
        <v/>
      </c>
      <c r="I149" s="40" t="n">
        <v>475</v>
      </c>
      <c r="J149" s="44" t="n">
        <v>462</v>
      </c>
      <c r="K149" s="28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3">
        <f>TABL123[[#This Row],[ (S/S) SAR]]-TABL123[[#This Row],[(S/S) AJD]]</f>
        <v/>
      </c>
      <c r="Q149" s="40" t="n">
        <v>449</v>
      </c>
      <c r="R149" s="3">
        <f>TABL123[[#This Row],[ (T/B) SAR]]-TABL123[[#This Row],[(T/B) AJD]]</f>
        <v/>
      </c>
      <c r="S149" s="3">
        <f>TABL123[[#This Row],[T/B-CON.]]+TABL123[[#This Row],[S/S_CON.]]</f>
        <v/>
      </c>
      <c r="T149" s="3">
        <f>TABL123[[#This Row],[(S/S) AJD]]+TABL123[[#This Row],[(T/B) AJD]]</f>
        <v/>
      </c>
      <c r="U149" s="44" t="n">
        <v>531</v>
      </c>
      <c r="V149" s="44" t="n">
        <v>272</v>
      </c>
      <c r="W149" s="3">
        <f>TABL123[[#This Row],[(A/B) AJD]]+TABL123[[#This Row],[(A/S) AJD]]</f>
        <v/>
      </c>
      <c r="X149" s="3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3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45" t="n">
        <v>2558</v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87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32">
        <f>TABL123[[#This Row],[(A/S) AJD]]-TABL123[[#This Row],[SER_IN]]</f>
        <v/>
      </c>
    </row>
    <row r="150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28">
        <f>103-F150</f>
        <v/>
      </c>
      <c r="I150" s="39" t="n">
        <v>477</v>
      </c>
      <c r="J150" s="39" t="n">
        <v>463</v>
      </c>
      <c r="K150" s="28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3">
        <f>TABL123[[#This Row],[ (S/S) SAR]]-TABL123[[#This Row],[(S/S) AJD]]</f>
        <v/>
      </c>
      <c r="Q150" s="39" t="n">
        <v>451</v>
      </c>
      <c r="R150" s="3">
        <f>TABL123[[#This Row],[ (T/B) SAR]]-TABL123[[#This Row],[(T/B) AJD]]</f>
        <v/>
      </c>
      <c r="S150" s="3">
        <f>TABL123[[#This Row],[T/B-CON.]]+TABL123[[#This Row],[S/S_CON.]]</f>
        <v/>
      </c>
      <c r="T150" s="3">
        <f>TABL123[[#This Row],[(S/S) AJD]]+TABL123[[#This Row],[(T/B) AJD]]</f>
        <v/>
      </c>
      <c r="U150" s="41" t="n">
        <v>507</v>
      </c>
      <c r="V150" s="41" t="n">
        <v>321</v>
      </c>
      <c r="W150" s="3">
        <f>TABL123[[#This Row],[(A/B) AJD]]+TABL123[[#This Row],[(A/S) AJD]]</f>
        <v/>
      </c>
      <c r="X150" s="3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3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43" t="n">
        <v>2502</v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87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32">
        <f>TABL123[[#This Row],[(A/S) AJD]]-TABL123[[#This Row],[SER_IN]]</f>
        <v/>
      </c>
    </row>
    <row r="15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28">
        <f>103-F151</f>
        <v/>
      </c>
      <c r="I151" s="40" t="n">
        <v>475</v>
      </c>
      <c r="J151" s="44" t="n">
        <v>462</v>
      </c>
      <c r="K151" s="28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3">
        <f>TABL123[[#This Row],[ (S/S) SAR]]-TABL123[[#This Row],[(S/S) AJD]]</f>
        <v/>
      </c>
      <c r="Q151" s="40" t="n">
        <v>452</v>
      </c>
      <c r="R151" s="3">
        <f>TABL123[[#This Row],[ (T/B) SAR]]-TABL123[[#This Row],[(T/B) AJD]]</f>
        <v/>
      </c>
      <c r="S151" s="3">
        <f>TABL123[[#This Row],[T/B-CON.]]+TABL123[[#This Row],[S/S_CON.]]</f>
        <v/>
      </c>
      <c r="T151" s="3">
        <f>TABL123[[#This Row],[(S/S) AJD]]+TABL123[[#This Row],[(T/B) AJD]]</f>
        <v/>
      </c>
      <c r="U151" s="44" t="n">
        <v>534</v>
      </c>
      <c r="V151" s="44" t="n">
        <v>318</v>
      </c>
      <c r="W151" s="3">
        <f>TABL123[[#This Row],[(A/B) AJD]]+TABL123[[#This Row],[(A/S) AJD]]</f>
        <v/>
      </c>
      <c r="X151" s="3">
        <f>TABL123[[#This Row],[( S/S+T/B) AJD]]-TABL123[[#This Row],[(A/B + A/S) AJD]]</f>
        <v/>
      </c>
      <c r="Y151" s="44" t="n">
        <v>92.527</v>
      </c>
      <c r="Z151" s="45" t="n">
        <v>513897</v>
      </c>
      <c r="AA151" s="3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45" t="n">
        <v>2502</v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87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32">
        <f>TABL123[[#This Row],[(A/S) AJD]]-TABL123[[#This Row],[SER_IN]]</f>
        <v/>
      </c>
    </row>
    <row r="152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28" t="n"/>
      <c r="F152" s="41" t="n">
        <v>94</v>
      </c>
      <c r="G152" s="39" t="n">
        <v>350</v>
      </c>
      <c r="H152" s="28">
        <f>103-F152</f>
        <v/>
      </c>
      <c r="I152" s="39" t="n">
        <v>350</v>
      </c>
      <c r="J152" s="39" t="n">
        <v>340</v>
      </c>
      <c r="K152" s="28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3">
        <f>TABL123[[#This Row],[ (S/S) SAR]]-TABL123[[#This Row],[(S/S) AJD]]</f>
        <v/>
      </c>
      <c r="Q152" s="39" t="n">
        <v>429</v>
      </c>
      <c r="R152" s="3">
        <f>TABL123[[#This Row],[ (T/B) SAR]]-TABL123[[#This Row],[(T/B) AJD]]</f>
        <v/>
      </c>
      <c r="S152" s="3">
        <f>TABL123[[#This Row],[T/B-CON.]]+TABL123[[#This Row],[S/S_CON.]]</f>
        <v/>
      </c>
      <c r="T152" s="3">
        <f>TABL123[[#This Row],[(S/S) AJD]]+TABL123[[#This Row],[(T/B) AJD]]</f>
        <v/>
      </c>
      <c r="U152" s="41" t="n">
        <v>503</v>
      </c>
      <c r="V152" s="41" t="n">
        <v>269</v>
      </c>
      <c r="W152" s="3">
        <f>TABL123[[#This Row],[(A/B) AJD]]+TABL123[[#This Row],[(A/S) AJD]]</f>
        <v/>
      </c>
      <c r="X152" s="3">
        <f>TABL123[[#This Row],[( S/S+T/B) AJD]]-TABL123[[#This Row],[(A/B + A/S) AJD]]</f>
        <v/>
      </c>
      <c r="Y152" s="41" t="n">
        <v>92.55</v>
      </c>
      <c r="Z152" s="43" t="n">
        <v>524629</v>
      </c>
      <c r="AA152" s="3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43" t="n">
        <v>2331</v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87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32">
        <f>TABL123[[#This Row],[(A/S) AJD]]-TABL123[[#This Row],[SER_IN]]</f>
        <v/>
      </c>
    </row>
    <row r="153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28" t="n"/>
      <c r="F153" s="41" t="n">
        <v>95</v>
      </c>
      <c r="G153" s="39" t="n">
        <v>597</v>
      </c>
      <c r="H153" s="28">
        <f>103-F153</f>
        <v/>
      </c>
      <c r="I153" s="39" t="n">
        <v>475</v>
      </c>
      <c r="J153" s="39" t="n">
        <v>462</v>
      </c>
      <c r="K153" s="28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3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43" t="n">
        <v>2282</v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87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32">
        <f>TABL123[[#This Row],[(A/S) AJD]]-TABL123[[#This Row],[SER_IN]]</f>
        <v/>
      </c>
    </row>
    <row r="154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28" t="n"/>
      <c r="F154" s="44" t="n">
        <v>95</v>
      </c>
      <c r="G154" s="40" t="n">
        <v>597</v>
      </c>
      <c r="H154" s="28">
        <f>103-F154</f>
        <v/>
      </c>
      <c r="I154" s="40" t="n">
        <v>475</v>
      </c>
      <c r="J154" s="44" t="n">
        <v>462</v>
      </c>
      <c r="K154" s="28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3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45" t="n">
        <v>2015</v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87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32">
        <f>TABL123[[#This Row],[(A/S) AJD]]-TABL123[[#This Row],[SER_IN]]</f>
        <v/>
      </c>
    </row>
    <row r="155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28" t="n"/>
      <c r="F155" s="41" t="n">
        <v>95</v>
      </c>
      <c r="G155" s="39" t="n">
        <v>599</v>
      </c>
      <c r="H155" s="28">
        <f>103-F155</f>
        <v/>
      </c>
      <c r="I155" s="39" t="n">
        <v>475</v>
      </c>
      <c r="J155" s="39" t="n">
        <v>462</v>
      </c>
      <c r="K155" s="28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3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43" t="n">
        <v>2490</v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87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32">
        <f>TABL123[[#This Row],[(A/S) AJD]]-TABL123[[#This Row],[SER_IN]]</f>
        <v/>
      </c>
    </row>
    <row r="156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28" t="n"/>
      <c r="F156" s="44" t="n">
        <v>95</v>
      </c>
      <c r="G156" s="40" t="n">
        <v>599</v>
      </c>
      <c r="H156" s="28">
        <f>103-F156</f>
        <v/>
      </c>
      <c r="I156" s="40" t="n">
        <v>476</v>
      </c>
      <c r="J156" s="44" t="n">
        <v>463</v>
      </c>
      <c r="K156" s="28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3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45" t="n">
        <v>2490</v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87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32">
        <f>TABL123[[#This Row],[(A/S) AJD]]-TABL123[[#This Row],[SER_IN]]</f>
        <v/>
      </c>
    </row>
    <row r="157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28" t="n"/>
      <c r="F157" s="41" t="n">
        <v>95</v>
      </c>
      <c r="G157" s="39" t="n">
        <v>602</v>
      </c>
      <c r="H157" s="28">
        <f>103-F157</f>
        <v/>
      </c>
      <c r="I157" s="39" t="n">
        <v>473</v>
      </c>
      <c r="J157" s="39" t="n">
        <v>462</v>
      </c>
      <c r="K157" s="28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3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43" t="n">
        <v>2005</v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87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32">
        <f>TABL123[[#This Row],[(A/S) AJD]]-TABL123[[#This Row],[SER_IN]]</f>
        <v/>
      </c>
    </row>
    <row r="158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28" t="n"/>
      <c r="F158" s="44" t="n">
        <v>95</v>
      </c>
      <c r="G158" s="40" t="n">
        <v>603</v>
      </c>
      <c r="H158" s="28">
        <f>103-F158</f>
        <v/>
      </c>
      <c r="I158" s="40" t="n">
        <v>474</v>
      </c>
      <c r="J158" s="44" t="n">
        <v>461</v>
      </c>
      <c r="K158" s="28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3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45" t="n">
        <v>2587</v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87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32">
        <f>TABL123[[#This Row],[(A/S) AJD]]-TABL123[[#This Row],[SER_IN]]</f>
        <v/>
      </c>
    </row>
    <row r="159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28" t="n"/>
      <c r="F159" s="41" t="n">
        <v>95</v>
      </c>
      <c r="G159" s="39" t="n">
        <v>603</v>
      </c>
      <c r="H159" s="28">
        <f>103-F159</f>
        <v/>
      </c>
      <c r="I159" s="39" t="n">
        <v>475</v>
      </c>
      <c r="J159" s="39" t="n">
        <v>460</v>
      </c>
      <c r="K159" s="28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3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43" t="n">
        <v>2325</v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87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32">
        <f>TABL123[[#This Row],[(A/S) AJD]]-TABL123[[#This Row],[SER_IN]]</f>
        <v/>
      </c>
    </row>
    <row r="160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28" t="n"/>
      <c r="F160" s="44" t="n">
        <v>95</v>
      </c>
      <c r="G160" s="40" t="n">
        <v>615</v>
      </c>
      <c r="H160" s="28">
        <f>103-F160</f>
        <v/>
      </c>
      <c r="I160" s="40" t="n">
        <v>475</v>
      </c>
      <c r="J160" s="44" t="n">
        <v>465</v>
      </c>
      <c r="K160" s="28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3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45" t="n">
        <v>2485</v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87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32">
        <f>TABL123[[#This Row],[(A/S) AJD]]-TABL123[[#This Row],[SER_IN]]</f>
        <v/>
      </c>
    </row>
    <row r="16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28" t="n"/>
      <c r="F161" s="41" t="n">
        <v>95</v>
      </c>
      <c r="G161" s="39" t="n">
        <v>615</v>
      </c>
      <c r="H161" s="28">
        <f>103-F161</f>
        <v/>
      </c>
      <c r="I161" s="39" t="n">
        <v>480</v>
      </c>
      <c r="J161" s="39" t="n">
        <v>470</v>
      </c>
      <c r="K161" s="28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3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43" t="n">
        <v>3009</v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87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32">
        <f>TABL123[[#This Row],[(A/S) AJD]]-TABL123[[#This Row],[SER_IN]]</f>
        <v/>
      </c>
    </row>
    <row r="162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28" t="n"/>
      <c r="F162" s="44" t="n">
        <v>95</v>
      </c>
      <c r="G162" s="40" t="n">
        <v>620</v>
      </c>
      <c r="H162" s="28">
        <f>103-F162</f>
        <v/>
      </c>
      <c r="I162" s="40" t="n">
        <v>485</v>
      </c>
      <c r="J162" s="44" t="n">
        <v>475</v>
      </c>
      <c r="K162" s="28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3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45" t="n">
        <v>2160</v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87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32">
        <f>TABL123[[#This Row],[(A/S) AJD]]-TABL123[[#This Row],[SER_IN]]</f>
        <v/>
      </c>
    </row>
    <row r="163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28" t="n"/>
      <c r="F163" s="41" t="n">
        <v>95</v>
      </c>
      <c r="G163" s="39" t="n">
        <v>620</v>
      </c>
      <c r="H163" s="28">
        <f>103-F163</f>
        <v/>
      </c>
      <c r="I163" s="39" t="n">
        <v>486</v>
      </c>
      <c r="J163" s="39" t="n">
        <v>476</v>
      </c>
      <c r="K163" s="28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3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43" t="n">
        <v>3000</v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87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32">
        <f>TABL123[[#This Row],[(A/S) AJD]]-TABL123[[#This Row],[SER_IN]]</f>
        <v/>
      </c>
    </row>
    <row r="164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28" t="n"/>
      <c r="F164" s="44" t="n">
        <v>95</v>
      </c>
      <c r="G164" s="40" t="n">
        <v>621</v>
      </c>
      <c r="H164" s="28">
        <f>103-F164</f>
        <v/>
      </c>
      <c r="I164" s="40" t="n">
        <v>487</v>
      </c>
      <c r="J164" s="44" t="n">
        <v>476</v>
      </c>
      <c r="K164" s="28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3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45" t="n">
        <v>2911</v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87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32">
        <f>TABL123[[#This Row],[(A/S) AJD]]-TABL123[[#This Row],[SER_IN]]</f>
        <v/>
      </c>
    </row>
    <row r="165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28" t="n"/>
      <c r="F165" s="41" t="n">
        <v>95</v>
      </c>
      <c r="G165" s="39" t="n">
        <v>622</v>
      </c>
      <c r="H165" s="28">
        <f>103-F165</f>
        <v/>
      </c>
      <c r="I165" s="39" t="n">
        <v>489</v>
      </c>
      <c r="J165" s="39" t="n">
        <v>478</v>
      </c>
      <c r="K165" s="28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3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43" t="n">
        <v>2000</v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87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32">
        <f>TABL123[[#This Row],[(A/S) AJD]]-TABL123[[#This Row],[SER_IN]]</f>
        <v/>
      </c>
    </row>
    <row r="166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28" t="n"/>
      <c r="F166" s="44" t="n">
        <v>95</v>
      </c>
      <c r="G166" s="40" t="n">
        <v>645</v>
      </c>
      <c r="H166" s="28">
        <f>103-F166</f>
        <v/>
      </c>
      <c r="I166" s="40" t="n">
        <v>508</v>
      </c>
      <c r="J166" s="44" t="n">
        <v>490</v>
      </c>
      <c r="K166" s="28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3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45" t="n">
        <v>2960</v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87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32">
        <f>TABL123[[#This Row],[(A/S) AJD]]-TABL123[[#This Row],[SER_IN]]</f>
        <v/>
      </c>
    </row>
    <row r="167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28" t="n"/>
      <c r="F167" s="41" t="n">
        <v>94</v>
      </c>
      <c r="G167" s="39" t="n">
        <v>650</v>
      </c>
      <c r="H167" s="28">
        <f>103-F167</f>
        <v/>
      </c>
      <c r="I167" s="39" t="n">
        <v>503</v>
      </c>
      <c r="J167" s="39" t="n">
        <v>491</v>
      </c>
      <c r="K167" s="28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3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43" t="n">
        <v>2965</v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87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32">
        <f>TABL123[[#This Row],[(A/S) AJD]]-TABL123[[#This Row],[SER_IN]]</f>
        <v/>
      </c>
    </row>
    <row r="168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28" t="n"/>
      <c r="F168" s="44" t="n">
        <v>93</v>
      </c>
      <c r="G168" s="40" t="n">
        <v>646</v>
      </c>
      <c r="H168" s="28">
        <f>103-F168</f>
        <v/>
      </c>
      <c r="I168" s="40" t="n">
        <v>501</v>
      </c>
      <c r="J168" s="44" t="n">
        <v>488</v>
      </c>
      <c r="K168" s="28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3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45" t="n">
        <v>1999</v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87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32">
        <f>TABL123[[#This Row],[(A/S) AJD]]-TABL123[[#This Row],[SER_IN]]</f>
        <v/>
      </c>
    </row>
    <row r="169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28" t="n"/>
      <c r="F169" s="41" t="n">
        <v>93</v>
      </c>
      <c r="G169" s="39" t="n">
        <v>644</v>
      </c>
      <c r="H169" s="28">
        <f>103-F169</f>
        <v/>
      </c>
      <c r="I169" s="39" t="n">
        <v>501</v>
      </c>
      <c r="J169" s="39" t="n">
        <v>488</v>
      </c>
      <c r="K169" s="28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3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43" t="n">
        <v>2999</v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87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32">
        <f>TABL123[[#This Row],[(A/S) AJD]]-TABL123[[#This Row],[SER_IN]]</f>
        <v/>
      </c>
    </row>
    <row r="170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28" t="n"/>
      <c r="F170" s="44" t="n">
        <v>93</v>
      </c>
      <c r="G170" s="40" t="n">
        <v>644</v>
      </c>
      <c r="H170" s="28">
        <f>103-F170</f>
        <v/>
      </c>
      <c r="I170" s="40" t="n">
        <v>501</v>
      </c>
      <c r="J170" s="44" t="n">
        <v>488</v>
      </c>
      <c r="K170" s="28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3">
        <f>TABL123[[#This Row],[ (S/S) SAR]]-TABL123[[#This Row],[(S/S) AJD]]</f>
        <v/>
      </c>
      <c r="Q170" s="40" t="n">
        <v>440</v>
      </c>
      <c r="R170" s="3">
        <f>TABL123[[#This Row],[ (T/B) SAR]]-TABL123[[#This Row],[(T/B) AJD]]</f>
        <v/>
      </c>
      <c r="S170" s="3">
        <f>TABL123[[#This Row],[T/B-CON.]]+TABL123[[#This Row],[S/S_CON.]]</f>
        <v/>
      </c>
      <c r="T170" s="3">
        <f>TABL123[[#This Row],[(S/S) AJD]]+TABL123[[#This Row],[(T/B) AJD]]</f>
        <v/>
      </c>
      <c r="U170" s="44" t="n">
        <v>570</v>
      </c>
      <c r="V170" s="44" t="n">
        <v>269</v>
      </c>
      <c r="W170" s="3">
        <f>TABL123[[#This Row],[(A/B) AJD]]+TABL123[[#This Row],[(A/S) AJD]]</f>
        <v/>
      </c>
      <c r="X170" s="3">
        <f>TABL123[[#This Row],[( S/S+T/B) AJD]]-TABL123[[#This Row],[(A/B + A/S) AJD]]</f>
        <v/>
      </c>
      <c r="Y170" s="44" t="n">
        <v>92.45</v>
      </c>
      <c r="Z170" s="45" t="n">
        <v>466849</v>
      </c>
      <c r="AA170" s="3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45" t="n">
        <v>2965</v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87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32">
        <f>TABL123[[#This Row],[(A/S) AJD]]-TABL123[[#This Row],[SER_IN]]</f>
        <v/>
      </c>
    </row>
    <row r="17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28" t="n"/>
      <c r="F171" s="41" t="n">
        <v>93</v>
      </c>
      <c r="G171" s="39" t="n">
        <v>654</v>
      </c>
      <c r="H171" s="28">
        <f>103-F171</f>
        <v/>
      </c>
      <c r="I171" s="39" t="n">
        <v>507</v>
      </c>
      <c r="J171" s="39" t="n">
        <v>492</v>
      </c>
      <c r="K171" s="28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3">
        <f>TABL123[[#This Row],[ (S/S) SAR]]-TABL123[[#This Row],[(S/S) AJD]]</f>
        <v/>
      </c>
      <c r="Q171" s="39" t="n">
        <v>442</v>
      </c>
      <c r="R171" s="3">
        <f>TABL123[[#This Row],[ (T/B) SAR]]-TABL123[[#This Row],[(T/B) AJD]]</f>
        <v/>
      </c>
      <c r="S171" s="3">
        <f>TABL123[[#This Row],[T/B-CON.]]+TABL123[[#This Row],[S/S_CON.]]</f>
        <v/>
      </c>
      <c r="T171" s="3">
        <f>TABL123[[#This Row],[(S/S) AJD]]+TABL123[[#This Row],[(T/B) AJD]]</f>
        <v/>
      </c>
      <c r="U171" s="41" t="n">
        <v>566</v>
      </c>
      <c r="V171" s="41" t="n">
        <v>276</v>
      </c>
      <c r="W171" s="3">
        <f>TABL123[[#This Row],[(A/B) AJD]]+TABL123[[#This Row],[(A/S) AJD]]</f>
        <v/>
      </c>
      <c r="X171" s="3">
        <f>TABL123[[#This Row],[( S/S+T/B) AJD]]-TABL123[[#This Row],[(A/B + A/S) AJD]]</f>
        <v/>
      </c>
      <c r="Y171" s="41" t="n">
        <v>92.422</v>
      </c>
      <c r="Z171" s="43" t="n">
        <v>450191</v>
      </c>
      <c r="AA171" s="3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43" t="n">
        <v>1999</v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87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32">
        <f>TABL123[[#This Row],[(A/S) AJD]]-TABL123[[#This Row],[SER_IN]]</f>
        <v/>
      </c>
    </row>
    <row r="172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28" t="n"/>
      <c r="F172" s="44" t="n">
        <v>93</v>
      </c>
      <c r="G172" s="40" t="n">
        <v>653</v>
      </c>
      <c r="H172" s="28">
        <f>103-F172</f>
        <v/>
      </c>
      <c r="I172" s="40" t="n">
        <v>504</v>
      </c>
      <c r="J172" s="40" t="n">
        <v>491</v>
      </c>
      <c r="K172" s="28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3">
        <f>TABL123[[#This Row],[ (S/S) SAR]]-TABL123[[#This Row],[(S/S) AJD]]</f>
        <v/>
      </c>
      <c r="Q172" s="40" t="n">
        <v>445</v>
      </c>
      <c r="R172" s="3">
        <f>TABL123[[#This Row],[ (T/B) SAR]]-TABL123[[#This Row],[(T/B) AJD]]</f>
        <v/>
      </c>
      <c r="S172" s="3">
        <f>TABL123[[#This Row],[T/B-CON.]]+TABL123[[#This Row],[S/S_CON.]]</f>
        <v/>
      </c>
      <c r="T172" s="3">
        <f>TABL123[[#This Row],[(S/S) AJD]]+TABL123[[#This Row],[(T/B) AJD]]</f>
        <v/>
      </c>
      <c r="U172" s="44" t="n">
        <v>590</v>
      </c>
      <c r="V172" s="44" t="n">
        <v>278</v>
      </c>
      <c r="W172" s="3">
        <f>TABL123[[#This Row],[(A/B) AJD]]+TABL123[[#This Row],[(A/S) AJD]]</f>
        <v/>
      </c>
      <c r="X172" s="3">
        <f>TABL123[[#This Row],[( S/S+T/B) AJD]]-TABL123[[#This Row],[(A/B + A/S) AJD]]</f>
        <v/>
      </c>
      <c r="Y172" s="44" t="n">
        <v>92.375</v>
      </c>
      <c r="Z172" s="45" t="n">
        <v>422239</v>
      </c>
      <c r="AA172" s="3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45" t="n">
        <v>2498</v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87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32">
        <f>TABL123[[#This Row],[(A/S) AJD]]-TABL123[[#This Row],[SER_IN]]</f>
        <v/>
      </c>
    </row>
    <row r="173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28" t="n"/>
      <c r="F173" s="41" t="n">
        <v>93</v>
      </c>
      <c r="G173" s="39" t="n">
        <v>653</v>
      </c>
      <c r="H173" s="28">
        <f>103-F173</f>
        <v/>
      </c>
      <c r="I173" s="39" t="n">
        <v>506</v>
      </c>
      <c r="J173" s="39" t="n">
        <v>492</v>
      </c>
      <c r="K173" s="28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3">
        <f>TABL123[[#This Row],[ (S/S) SAR]]-TABL123[[#This Row],[(S/S) AJD]]</f>
        <v/>
      </c>
      <c r="Q173" s="39" t="n">
        <v>444</v>
      </c>
      <c r="R173" s="3">
        <f>TABL123[[#This Row],[ (T/B) SAR]]-TABL123[[#This Row],[(T/B) AJD]]</f>
        <v/>
      </c>
      <c r="S173" s="3">
        <f>TABL123[[#This Row],[T/B-CON.]]+TABL123[[#This Row],[S/S_CON.]]</f>
        <v/>
      </c>
      <c r="T173" s="3">
        <f>TABL123[[#This Row],[(S/S) AJD]]+TABL123[[#This Row],[(T/B) AJD]]</f>
        <v/>
      </c>
      <c r="U173" s="41" t="n">
        <v>566</v>
      </c>
      <c r="V173" s="41" t="n">
        <v>274</v>
      </c>
      <c r="W173" s="3">
        <f>TABL123[[#This Row],[(A/B) AJD]]+TABL123[[#This Row],[(A/S) AJD]]</f>
        <v/>
      </c>
      <c r="X173" s="3">
        <f>TABL123[[#This Row],[( S/S+T/B) AJD]]-TABL123[[#This Row],[(A/B + A/S) AJD]]</f>
        <v/>
      </c>
      <c r="Y173" s="41" t="n">
        <v>92.366</v>
      </c>
      <c r="Z173" s="43" t="n">
        <v>416282</v>
      </c>
      <c r="AA173" s="3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43" t="n">
        <v>2287</v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87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32">
        <f>TABL123[[#This Row],[(A/S) AJD]]-TABL123[[#This Row],[SER_IN]]</f>
        <v/>
      </c>
    </row>
    <row r="174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28" t="n"/>
      <c r="F174" s="44" t="n">
        <v>93</v>
      </c>
      <c r="G174" s="40" t="n">
        <v>658</v>
      </c>
      <c r="H174" s="28">
        <f>103-F174</f>
        <v/>
      </c>
      <c r="I174" s="40" t="n">
        <v>507</v>
      </c>
      <c r="J174" s="44" t="n">
        <v>493</v>
      </c>
      <c r="K174" s="28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3">
        <f>TABL123[[#This Row],[ (S/S) SAR]]-TABL123[[#This Row],[(S/S) AJD]]</f>
        <v/>
      </c>
      <c r="Q174" s="40" t="n">
        <v>444</v>
      </c>
      <c r="R174" s="3">
        <f>TABL123[[#This Row],[ (T/B) SAR]]-TABL123[[#This Row],[(T/B) AJD]]</f>
        <v/>
      </c>
      <c r="S174" s="3">
        <f>TABL123[[#This Row],[T/B-CON.]]+TABL123[[#This Row],[S/S_CON.]]</f>
        <v/>
      </c>
      <c r="T174" s="3">
        <f>TABL123[[#This Row],[(S/S) AJD]]+TABL123[[#This Row],[(T/B) AJD]]</f>
        <v/>
      </c>
      <c r="U174" s="44" t="n">
        <v>565</v>
      </c>
      <c r="V174" s="44" t="n">
        <v>264</v>
      </c>
      <c r="W174" s="3">
        <f>TABL123[[#This Row],[(A/B) AJD]]+TABL123[[#This Row],[(A/S) AJD]]</f>
        <v/>
      </c>
      <c r="X174" s="3">
        <f>TABL123[[#This Row],[( S/S+T/B) AJD]]-TABL123[[#This Row],[(A/B + A/S) AJD]]</f>
        <v/>
      </c>
      <c r="Y174" s="44" t="n">
        <v>92.358</v>
      </c>
      <c r="Z174" s="45" t="n">
        <v>412122</v>
      </c>
      <c r="AA174" s="3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45" t="n">
        <v>2015</v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87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32">
        <f>TABL123[[#This Row],[(A/S) AJD]]-TABL123[[#This Row],[SER_IN]]</f>
        <v/>
      </c>
    </row>
    <row r="175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28" t="n"/>
      <c r="F175" s="41" t="n">
        <v>93</v>
      </c>
      <c r="G175" s="39" t="n">
        <v>652</v>
      </c>
      <c r="H175" s="28">
        <f>103-F175</f>
        <v/>
      </c>
      <c r="I175" s="39" t="n">
        <v>507</v>
      </c>
      <c r="J175" s="39" t="n">
        <v>494</v>
      </c>
      <c r="K175" s="28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3">
        <f>TABL123[[#This Row],[ (S/S) SAR]]-TABL123[[#This Row],[(S/S) AJD]]</f>
        <v/>
      </c>
      <c r="Q175" s="39" t="n">
        <v>444</v>
      </c>
      <c r="R175" s="3">
        <f>TABL123[[#This Row],[ (T/B) SAR]]-TABL123[[#This Row],[(T/B) AJD]]</f>
        <v/>
      </c>
      <c r="S175" s="3">
        <f>TABL123[[#This Row],[T/B-CON.]]+TABL123[[#This Row],[S/S_CON.]]</f>
        <v/>
      </c>
      <c r="T175" s="3">
        <f>TABL123[[#This Row],[(S/S) AJD]]+TABL123[[#This Row],[(T/B) AJD]]</f>
        <v/>
      </c>
      <c r="U175" s="41" t="n">
        <v>558</v>
      </c>
      <c r="V175" s="41" t="n">
        <v>274</v>
      </c>
      <c r="W175" s="3">
        <f>TABL123[[#This Row],[(A/B) AJD]]+TABL123[[#This Row],[(A/S) AJD]]</f>
        <v/>
      </c>
      <c r="X175" s="3">
        <f>TABL123[[#This Row],[( S/S+T/B) AJD]]-TABL123[[#This Row],[(A/B + A/S) AJD]]</f>
        <v/>
      </c>
      <c r="Y175" s="41" t="n">
        <v>92.36</v>
      </c>
      <c r="Z175" s="43" t="n">
        <v>413311</v>
      </c>
      <c r="AA175" s="3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43" t="n">
        <v>2524</v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87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32">
        <f>TABL123[[#This Row],[(A/S) AJD]]-TABL123[[#This Row],[SER_IN]]</f>
        <v/>
      </c>
    </row>
    <row r="176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28" t="n"/>
      <c r="F176" s="44" t="n">
        <v>0</v>
      </c>
      <c r="G176" s="40" t="n">
        <v>642</v>
      </c>
      <c r="H176" s="28">
        <f>103-F176</f>
        <v/>
      </c>
      <c r="I176" s="40" t="n">
        <v>507</v>
      </c>
      <c r="J176" s="44" t="n">
        <v>480</v>
      </c>
      <c r="K176" s="28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3">
        <f>TABL123[[#This Row],[ (S/S) SAR]]-TABL123[[#This Row],[(S/S) AJD]]</f>
        <v/>
      </c>
      <c r="Q176" s="40" t="n">
        <v>443</v>
      </c>
      <c r="R176" s="3">
        <f>TABL123[[#This Row],[ (T/B) SAR]]-TABL123[[#This Row],[(T/B) AJD]]</f>
        <v/>
      </c>
      <c r="S176" s="3">
        <f>TABL123[[#This Row],[T/B-CON.]]+TABL123[[#This Row],[S/S_CON.]]</f>
        <v/>
      </c>
      <c r="T176" s="3">
        <f>TABL123[[#This Row],[(S/S) AJD]]+TABL123[[#This Row],[(T/B) AJD]]</f>
        <v/>
      </c>
      <c r="U176" s="44" t="n">
        <v>547</v>
      </c>
      <c r="V176" s="44" t="n">
        <v>297</v>
      </c>
      <c r="W176" s="3">
        <f>TABL123[[#This Row],[(A/B) AJD]]+TABL123[[#This Row],[(A/S) AJD]]</f>
        <v/>
      </c>
      <c r="X176" s="3">
        <f>TABL123[[#This Row],[( S/S+T/B) AJD]]-TABL123[[#This Row],[(A/B + A/S) AJD]]</f>
        <v/>
      </c>
      <c r="Y176" s="44" t="n">
        <v>92.33</v>
      </c>
      <c r="Z176" s="45" t="n">
        <v>395479</v>
      </c>
      <c r="AA176" s="3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45" t="n">
        <v>2060</v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87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32">
        <f>TABL123[[#This Row],[(A/S) AJD]]-TABL123[[#This Row],[SER_IN]]</f>
        <v/>
      </c>
    </row>
    <row r="177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28" t="n"/>
      <c r="F177" s="41" t="n">
        <v>92</v>
      </c>
      <c r="G177" s="39" t="n">
        <v>629</v>
      </c>
      <c r="H177" s="28">
        <f>103-F177</f>
        <v/>
      </c>
      <c r="I177" s="39" t="n">
        <v>478</v>
      </c>
      <c r="J177" s="39" t="n">
        <v>465</v>
      </c>
      <c r="K177" s="28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3">
        <f>TABL123[[#This Row],[ (S/S) SAR]]-TABL123[[#This Row],[(S/S) AJD]]</f>
        <v/>
      </c>
      <c r="Q177" s="39" t="n">
        <v>392</v>
      </c>
      <c r="R177" s="3">
        <f>TABL123[[#This Row],[ (T/B) SAR]]-TABL123[[#This Row],[(T/B) AJD]]</f>
        <v/>
      </c>
      <c r="S177" s="3">
        <f>TABL123[[#This Row],[T/B-CON.]]+TABL123[[#This Row],[S/S_CON.]]</f>
        <v/>
      </c>
      <c r="T177" s="3">
        <f>TABL123[[#This Row],[(S/S) AJD]]+TABL123[[#This Row],[(T/B) AJD]]</f>
        <v/>
      </c>
      <c r="U177" s="41" t="n">
        <v>519</v>
      </c>
      <c r="V177" s="41" t="n">
        <v>271</v>
      </c>
      <c r="W177" s="3">
        <f>TABL123[[#This Row],[(A/B) AJD]]+TABL123[[#This Row],[(A/S) AJD]]</f>
        <v/>
      </c>
      <c r="X177" s="3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3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43" t="n">
        <v>2157</v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87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32">
        <f>TABL123[[#This Row],[(A/S) AJD]]-TABL123[[#This Row],[SER_IN]]</f>
        <v/>
      </c>
    </row>
    <row r="178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28" t="n"/>
      <c r="F178" s="44" t="n">
        <v>92</v>
      </c>
      <c r="G178" s="40" t="n">
        <v>625</v>
      </c>
      <c r="H178" s="28">
        <f>103-F178</f>
        <v/>
      </c>
      <c r="I178" s="40" t="n">
        <v>479</v>
      </c>
      <c r="J178" s="44" t="n">
        <v>464</v>
      </c>
      <c r="K178" s="28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3">
        <f>TABL123[[#This Row],[ (S/S) SAR]]-TABL123[[#This Row],[(S/S) AJD]]</f>
        <v/>
      </c>
      <c r="Q178" s="40" t="n">
        <v>405</v>
      </c>
      <c r="R178" s="3">
        <f>TABL123[[#This Row],[ (T/B) SAR]]-TABL123[[#This Row],[(T/B) AJD]]</f>
        <v/>
      </c>
      <c r="S178" s="3">
        <f>TABL123[[#This Row],[T/B-CON.]]+TABL123[[#This Row],[S/S_CON.]]</f>
        <v/>
      </c>
      <c r="T178" s="3">
        <f>TABL123[[#This Row],[(S/S) AJD]]+TABL123[[#This Row],[(T/B) AJD]]</f>
        <v/>
      </c>
      <c r="U178" s="44" t="n">
        <v>553</v>
      </c>
      <c r="V178" s="44" t="n">
        <v>259</v>
      </c>
      <c r="W178" s="3">
        <f>TABL123[[#This Row],[(A/B) AJD]]+TABL123[[#This Row],[(A/S) AJD]]</f>
        <v/>
      </c>
      <c r="X178" s="3">
        <f>TABL123[[#This Row],[( S/S+T/B) AJD]]-TABL123[[#This Row],[(A/B + A/S) AJD]]</f>
        <v/>
      </c>
      <c r="Y178" s="44" t="n">
        <v>92.148</v>
      </c>
      <c r="Z178" s="45" t="n">
        <v>287457</v>
      </c>
      <c r="AA178" s="3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45" t="n">
        <v>2513</v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87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32">
        <f>TABL123[[#This Row],[(A/S) AJD]]-TABL123[[#This Row],[SER_IN]]</f>
        <v/>
      </c>
    </row>
    <row r="179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28" t="n"/>
      <c r="F179" s="41" t="n">
        <v>92</v>
      </c>
      <c r="G179" s="39" t="n">
        <v>631</v>
      </c>
      <c r="H179" s="28">
        <f>103-F179</f>
        <v/>
      </c>
      <c r="I179" s="39" t="n">
        <v>482</v>
      </c>
      <c r="J179" s="39" t="n">
        <v>470</v>
      </c>
      <c r="K179" s="28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3">
        <f>TABL123[[#This Row],[ (S/S) SAR]]-TABL123[[#This Row],[(S/S) AJD]]</f>
        <v/>
      </c>
      <c r="Q179" s="39" t="n">
        <v>420</v>
      </c>
      <c r="R179" s="3">
        <f>TABL123[[#This Row],[ (T/B) SAR]]-TABL123[[#This Row],[(T/B) AJD]]</f>
        <v/>
      </c>
      <c r="S179" s="3">
        <f>TABL123[[#This Row],[T/B-CON.]]+TABL123[[#This Row],[S/S_CON.]]</f>
        <v/>
      </c>
      <c r="T179" s="3">
        <f>TABL123[[#This Row],[(S/S) AJD]]+TABL123[[#This Row],[(T/B) AJD]]</f>
        <v/>
      </c>
      <c r="U179" s="41" t="n">
        <v>555</v>
      </c>
      <c r="V179" s="41" t="n">
        <v>286</v>
      </c>
      <c r="W179" s="3">
        <f>TABL123[[#This Row],[(A/B) AJD]]+TABL123[[#This Row],[(A/S) AJD]]</f>
        <v/>
      </c>
      <c r="X179" s="3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3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43" t="n">
        <v>2643</v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87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32">
        <f>TABL123[[#This Row],[(A/S) AJD]]-TABL123[[#This Row],[SER_IN]]</f>
        <v/>
      </c>
    </row>
    <row r="180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28" t="n"/>
      <c r="F180" s="44" t="n">
        <v>92</v>
      </c>
      <c r="G180" s="40" t="n">
        <v>637</v>
      </c>
      <c r="H180" s="28">
        <f>103-F180</f>
        <v/>
      </c>
      <c r="I180" s="40" t="n">
        <v>486</v>
      </c>
      <c r="J180" s="44" t="n">
        <v>473</v>
      </c>
      <c r="K180" s="28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3">
        <f>TABL123[[#This Row],[ (S/S) SAR]]-TABL123[[#This Row],[(S/S) AJD]]</f>
        <v/>
      </c>
      <c r="Q180" s="40" t="n">
        <v>423</v>
      </c>
      <c r="R180" s="3">
        <f>TABL123[[#This Row],[ (T/B) SAR]]-TABL123[[#This Row],[(T/B) AJD]]</f>
        <v/>
      </c>
      <c r="S180" s="3">
        <f>TABL123[[#This Row],[T/B-CON.]]+TABL123[[#This Row],[S/S_CON.]]</f>
        <v/>
      </c>
      <c r="T180" s="3">
        <f>TABL123[[#This Row],[(S/S) AJD]]+TABL123[[#This Row],[(T/B) AJD]]</f>
        <v/>
      </c>
      <c r="U180" s="44" t="n">
        <v>554</v>
      </c>
      <c r="V180" s="44" t="n">
        <v>245</v>
      </c>
      <c r="W180" s="3">
        <f>TABL123[[#This Row],[(A/B) AJD]]+TABL123[[#This Row],[(A/S) AJD]]</f>
        <v/>
      </c>
      <c r="X180" s="3">
        <f>TABL123[[#This Row],[( S/S+T/B) AJD]]-TABL123[[#This Row],[(A/B + A/S) AJD]]</f>
        <v/>
      </c>
      <c r="Y180" s="44" t="n">
        <v>92.036</v>
      </c>
      <c r="Z180" s="45" t="n">
        <v>221117</v>
      </c>
      <c r="AA180" s="3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45" t="n">
        <v>2627</v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87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32">
        <f>TABL123[[#This Row],[(A/S) AJD]]-TABL123[[#This Row],[SER_IN]]</f>
        <v/>
      </c>
    </row>
    <row r="18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28" t="n"/>
      <c r="F181" s="41" t="n">
        <v>93</v>
      </c>
      <c r="G181" s="39" t="n">
        <v>617</v>
      </c>
      <c r="H181" s="28">
        <f>103-F181</f>
        <v/>
      </c>
      <c r="I181" s="39" t="n">
        <v>506</v>
      </c>
      <c r="J181" s="39" t="n">
        <v>492</v>
      </c>
      <c r="K181" s="28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3">
        <f>TABL123[[#This Row],[ (S/S) SAR]]-TABL123[[#This Row],[(S/S) AJD]]</f>
        <v/>
      </c>
      <c r="Q181" s="39" t="n">
        <v>429</v>
      </c>
      <c r="R181" s="3">
        <f>TABL123[[#This Row],[ (T/B) SAR]]-TABL123[[#This Row],[(T/B) AJD]]</f>
        <v/>
      </c>
      <c r="S181" s="3">
        <f>TABL123[[#This Row],[T/B-CON.]]+TABL123[[#This Row],[S/S_CON.]]</f>
        <v/>
      </c>
      <c r="T181" s="3">
        <f>TABL123[[#This Row],[(S/S) AJD]]+TABL123[[#This Row],[(T/B) AJD]]</f>
        <v/>
      </c>
      <c r="U181" s="41" t="n">
        <v>553</v>
      </c>
      <c r="V181" s="41" t="n">
        <v>250</v>
      </c>
      <c r="W181" s="3">
        <f>TABL123[[#This Row],[(A/B) AJD]]+TABL123[[#This Row],[(A/S) AJD]]</f>
        <v/>
      </c>
      <c r="X181" s="3">
        <f>TABL123[[#This Row],[( S/S+T/B) AJD]]-TABL123[[#This Row],[(A/B + A/S) AJD]]</f>
        <v/>
      </c>
      <c r="Y181" s="41" t="n">
        <v>92.018</v>
      </c>
      <c r="Z181" s="43" t="n">
        <v>210461</v>
      </c>
      <c r="AA181" s="3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43" t="n">
        <v>2659</v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87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32">
        <f>TABL123[[#This Row],[(A/S) AJD]]-TABL123[[#This Row],[SER_IN]]</f>
        <v/>
      </c>
    </row>
    <row r="182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28" t="n"/>
      <c r="F182" s="44" t="n">
        <v>93</v>
      </c>
      <c r="G182" s="40" t="n">
        <v>617</v>
      </c>
      <c r="H182" s="28">
        <f>103-F182</f>
        <v/>
      </c>
      <c r="I182" s="40" t="n">
        <v>510</v>
      </c>
      <c r="J182" s="44" t="n">
        <v>498</v>
      </c>
      <c r="K182" s="28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3">
        <f>TABL123[[#This Row],[ (S/S) SAR]]-TABL123[[#This Row],[(S/S) AJD]]</f>
        <v/>
      </c>
      <c r="Q182" s="40" t="n">
        <v>442</v>
      </c>
      <c r="R182" s="3">
        <f>TABL123[[#This Row],[ (T/B) SAR]]-TABL123[[#This Row],[(T/B) AJD]]</f>
        <v/>
      </c>
      <c r="S182" s="3">
        <f>TABL123[[#This Row],[T/B-CON.]]+TABL123[[#This Row],[S/S_CON.]]</f>
        <v/>
      </c>
      <c r="T182" s="3">
        <f>TABL123[[#This Row],[(S/S) AJD]]+TABL123[[#This Row],[(T/B) AJD]]</f>
        <v/>
      </c>
      <c r="U182" s="44" t="n">
        <v>557</v>
      </c>
      <c r="V182" s="44" t="n">
        <v>230</v>
      </c>
      <c r="W182" s="3">
        <f>TABL123[[#This Row],[(A/B) AJD]]+TABL123[[#This Row],[(A/S) AJD]]</f>
        <v/>
      </c>
      <c r="X182" s="3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3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45" t="n">
        <v>2601</v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87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32">
        <f>TABL123[[#This Row],[(A/S) AJD]]-TABL123[[#This Row],[SER_IN]]</f>
        <v/>
      </c>
    </row>
    <row r="183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28">
        <f>103-F183</f>
        <v/>
      </c>
      <c r="I183" s="39" t="n">
        <v>525</v>
      </c>
      <c r="J183" s="39" t="n">
        <v>509</v>
      </c>
      <c r="K183" s="28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3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43" t="n">
        <v>2802</v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87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32">
        <f>TABL123[[#This Row],[(A/S) AJD]]-TABL123[[#This Row],[SER_IN]]</f>
        <v/>
      </c>
    </row>
    <row r="184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28">
        <f>103-F184</f>
        <v/>
      </c>
      <c r="I184" s="40" t="n">
        <v>525</v>
      </c>
      <c r="J184" s="44" t="n">
        <v>516</v>
      </c>
      <c r="K184" s="28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3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45" t="n">
        <v>2364</v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87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32">
        <f>TABL123[[#This Row],[(A/S) AJD]]-TABL123[[#This Row],[SER_IN]]</f>
        <v/>
      </c>
    </row>
    <row r="185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28">
        <f>103-F185</f>
        <v/>
      </c>
      <c r="I185" s="39" t="n">
        <v>520</v>
      </c>
      <c r="J185" s="39" t="n">
        <v>505</v>
      </c>
      <c r="K185" s="28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3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43" t="n">
        <v>2465</v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87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32">
        <f>TABL123[[#This Row],[(A/S) AJD]]-TABL123[[#This Row],[SER_IN]]</f>
        <v/>
      </c>
    </row>
    <row r="186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28">
        <f>103-F186</f>
        <v/>
      </c>
      <c r="I186" s="40" t="n">
        <v>522</v>
      </c>
      <c r="J186" s="44" t="n">
        <v>507</v>
      </c>
      <c r="K186" s="28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3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45" t="n">
        <v>2999</v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87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32">
        <f>TABL123[[#This Row],[(A/S) AJD]]-TABL123[[#This Row],[SER_IN]]</f>
        <v/>
      </c>
    </row>
    <row r="187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28">
        <f>103-F187</f>
        <v/>
      </c>
      <c r="I187" s="39" t="n">
        <v>525</v>
      </c>
      <c r="J187" s="39" t="n">
        <v>510</v>
      </c>
      <c r="K187" s="28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3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43" t="n">
        <v>2728</v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87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32">
        <f>TABL123[[#This Row],[(A/S) AJD]]-TABL123[[#This Row],[SER_IN]]</f>
        <v/>
      </c>
    </row>
    <row r="188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28">
        <f>103-F188</f>
        <v/>
      </c>
      <c r="I188" s="40" t="n">
        <v>532</v>
      </c>
      <c r="J188" s="44" t="n">
        <v>518</v>
      </c>
      <c r="K188" s="28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3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45" t="n">
        <v>2999</v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87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32">
        <f>TABL123[[#This Row],[(A/S) AJD]]-TABL123[[#This Row],[SER_IN]]</f>
        <v/>
      </c>
    </row>
    <row r="189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28">
        <f>103-F189</f>
        <v/>
      </c>
      <c r="I189" s="39" t="n">
        <v>533</v>
      </c>
      <c r="J189" s="39" t="n">
        <v>518</v>
      </c>
      <c r="K189" s="28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3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43" t="n">
        <v>2987</v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87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32">
        <f>TABL123[[#This Row],[(A/S) AJD]]-TABL123[[#This Row],[SER_IN]]</f>
        <v/>
      </c>
    </row>
    <row r="190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28">
        <f>103-F190</f>
        <v/>
      </c>
      <c r="I190" s="40" t="n">
        <v>537</v>
      </c>
      <c r="J190" s="44" t="n">
        <v>520</v>
      </c>
      <c r="K190" s="28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3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45" t="n">
        <v>2999</v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87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32">
        <f>TABL123[[#This Row],[(A/S) AJD]]-TABL123[[#This Row],[SER_IN]]</f>
        <v/>
      </c>
    </row>
    <row r="19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28">
        <f>103-F191</f>
        <v/>
      </c>
      <c r="I191" s="39" t="n">
        <v>540</v>
      </c>
      <c r="J191" s="39" t="n">
        <v>525</v>
      </c>
      <c r="K191" s="28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3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43" t="n">
        <v>2999</v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87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32">
        <f>TABL123[[#This Row],[(A/S) AJD]]-TABL123[[#This Row],[SER_IN]]</f>
        <v/>
      </c>
    </row>
    <row r="192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28">
        <f>103-F192</f>
        <v/>
      </c>
      <c r="I192" s="40" t="n">
        <v>560</v>
      </c>
      <c r="J192" s="44" t="n">
        <v>535</v>
      </c>
      <c r="K192" s="28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3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45" t="n">
        <v>2999</v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87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32">
        <f>TABL123[[#This Row],[(A/S) AJD]]-TABL123[[#This Row],[SER_IN]]</f>
        <v/>
      </c>
    </row>
    <row r="193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28">
        <f>103-F193</f>
        <v/>
      </c>
      <c r="I193" s="39" t="n">
        <v>558</v>
      </c>
      <c r="J193" s="39" t="n">
        <v>532</v>
      </c>
      <c r="K193" s="28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3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68" t="n">
        <v>3000</v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87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32">
        <f>TABL123[[#This Row],[(A/S) AJD]]-TABL123[[#This Row],[SER_IN]]</f>
        <v/>
      </c>
    </row>
    <row r="194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28">
        <f>103-F194</f>
        <v/>
      </c>
      <c r="I194" s="40" t="n">
        <v>558</v>
      </c>
      <c r="J194" s="44" t="n">
        <v>535</v>
      </c>
      <c r="K194" s="28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3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45" t="n">
        <v>2987</v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87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32">
        <f>TABL123[[#This Row],[(A/S) AJD]]-TABL123[[#This Row],[SER_IN]]</f>
        <v/>
      </c>
    </row>
    <row r="195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28">
        <f>103-F195</f>
        <v/>
      </c>
      <c r="I195" s="39" t="n">
        <v>555</v>
      </c>
      <c r="J195" s="39" t="n">
        <v>530</v>
      </c>
      <c r="K195" s="28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3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43" t="n">
        <v>2414</v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87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32">
        <f>TABL123[[#This Row],[(A/S) AJD]]-TABL123[[#This Row],[SER_IN]]</f>
        <v/>
      </c>
    </row>
    <row r="196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28">
        <f>103-F196</f>
        <v/>
      </c>
      <c r="I196" s="40" t="n">
        <v>550</v>
      </c>
      <c r="J196" s="44" t="n">
        <v>532</v>
      </c>
      <c r="K196" s="28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3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45" t="n">
        <v>2367</v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87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32">
        <f>TABL123[[#This Row],[(A/S) AJD]]-TABL123[[#This Row],[SER_IN]]</f>
        <v/>
      </c>
    </row>
    <row r="197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28">
        <f>103-F197</f>
        <v/>
      </c>
      <c r="I197" s="39" t="n">
        <v>444</v>
      </c>
      <c r="J197" s="39" t="n">
        <v>428</v>
      </c>
      <c r="K197" s="28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3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43" t="n">
        <v>2635</v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87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32">
        <f>TABL123[[#This Row],[(A/S) AJD]]-TABL123[[#This Row],[SER_IN]]</f>
        <v/>
      </c>
    </row>
    <row r="198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28">
        <f>103-F198</f>
        <v/>
      </c>
      <c r="I198" s="40" t="n">
        <v>540</v>
      </c>
      <c r="J198" s="44" t="n">
        <v>526</v>
      </c>
      <c r="K198" s="28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3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45" t="n">
        <v>2357</v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87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32">
        <f>TABL123[[#This Row],[(A/S) AJD]]-TABL123[[#This Row],[SER_IN]]</f>
        <v/>
      </c>
    </row>
    <row r="199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28">
        <f>103-F199</f>
        <v/>
      </c>
      <c r="I199" s="39" t="n">
        <v>537</v>
      </c>
      <c r="J199" s="39" t="n">
        <v>525</v>
      </c>
      <c r="K199" s="28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3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43" t="n">
        <v>2400</v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87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32">
        <f>TABL123[[#This Row],[(A/S) AJD]]-TABL123[[#This Row],[SER_IN]]</f>
        <v/>
      </c>
    </row>
    <row r="200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28">
        <f>103-F200</f>
        <v/>
      </c>
      <c r="I200" s="40" t="n">
        <v>470</v>
      </c>
      <c r="J200" s="44" t="n">
        <v>480</v>
      </c>
      <c r="K200" s="28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3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45" t="n">
        <v>2999</v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87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32">
        <f>TABL123[[#This Row],[(A/S) AJD]]-TABL123[[#This Row],[SER_IN]]</f>
        <v/>
      </c>
    </row>
    <row r="20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28">
        <f>103-F201</f>
        <v/>
      </c>
      <c r="I201" s="39" t="n">
        <v>465</v>
      </c>
      <c r="J201" s="39" t="n">
        <v>460</v>
      </c>
      <c r="K201" s="28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3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43" t="n">
        <v>3004</v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87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32">
        <f>TABL123[[#This Row],[(A/S) AJD]]-TABL123[[#This Row],[SER_IN]]</f>
        <v/>
      </c>
    </row>
    <row r="202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28">
        <f>103-F202</f>
        <v/>
      </c>
      <c r="I202" s="40" t="n">
        <v>459</v>
      </c>
      <c r="J202" s="44" t="n">
        <v>445</v>
      </c>
      <c r="K202" s="28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3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45" t="n">
        <v>2492</v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87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32">
        <f>TABL123[[#This Row],[(A/S) AJD]]-TABL123[[#This Row],[SER_IN]]</f>
        <v/>
      </c>
    </row>
    <row r="203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28">
        <f>103-F203</f>
        <v/>
      </c>
      <c r="I203" s="39" t="n">
        <v>451</v>
      </c>
      <c r="J203" s="39" t="n">
        <v>438</v>
      </c>
      <c r="K203" s="28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3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43" t="n">
        <v>2144</v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87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32">
        <f>TABL123[[#This Row],[(A/S) AJD]]-TABL123[[#This Row],[SER_IN]]</f>
        <v/>
      </c>
    </row>
    <row r="204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28">
        <f>103-F204</f>
        <v/>
      </c>
      <c r="I204" s="40" t="n">
        <v>499</v>
      </c>
      <c r="J204" s="44" t="n">
        <v>487</v>
      </c>
      <c r="K204" s="28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3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45" t="n">
        <v>3061</v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87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32">
        <f>TABL123[[#This Row],[(A/S) AJD]]-TABL123[[#This Row],[SER_IN]]</f>
        <v/>
      </c>
    </row>
    <row r="205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28">
        <f>103-F205</f>
        <v/>
      </c>
      <c r="I205" s="39" t="n">
        <v>499</v>
      </c>
      <c r="J205" s="39" t="n">
        <v>487</v>
      </c>
      <c r="K205" s="28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3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43" t="n">
        <v>3209</v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87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32">
        <f>TABL123[[#This Row],[(A/S) AJD]]-TABL123[[#This Row],[SER_IN]]</f>
        <v/>
      </c>
    </row>
    <row r="206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28">
        <f>103-F206</f>
        <v/>
      </c>
      <c r="I206" s="40" t="n">
        <v>408</v>
      </c>
      <c r="J206" s="44" t="n">
        <v>395</v>
      </c>
      <c r="K206" s="28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3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45" t="n">
        <v>3149</v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87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32">
        <f>TABL123[[#This Row],[(A/S) AJD]]-TABL123[[#This Row],[SER_IN]]</f>
        <v/>
      </c>
    </row>
    <row r="207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28">
        <f>103-F207</f>
        <v/>
      </c>
      <c r="I207" s="39" t="n">
        <v>267</v>
      </c>
      <c r="J207" s="39" t="n">
        <v>246</v>
      </c>
      <c r="K207" s="28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3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43" t="n">
        <v>2999</v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87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32">
        <f>TABL123[[#This Row],[(A/S) AJD]]-TABL123[[#This Row],[SER_IN]]</f>
        <v/>
      </c>
    </row>
    <row r="208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28">
        <f>103-F208</f>
        <v/>
      </c>
      <c r="I208" s="40" t="n">
        <v>417</v>
      </c>
      <c r="J208" s="44" t="n">
        <v>407</v>
      </c>
      <c r="K208" s="28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3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45" t="n">
        <v>2999</v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87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32">
        <f>TABL123[[#This Row],[(A/S) AJD]]-TABL123[[#This Row],[SER_IN]]</f>
        <v/>
      </c>
    </row>
    <row r="209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28">
        <f>103-F209</f>
        <v/>
      </c>
      <c r="I209" s="39" t="n">
        <v>432</v>
      </c>
      <c r="J209" s="39" t="n">
        <v>419</v>
      </c>
      <c r="K209" s="28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3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43" t="n">
        <v>2999</v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87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32">
        <f>TABL123[[#This Row],[(A/S) AJD]]-TABL123[[#This Row],[SER_IN]]</f>
        <v/>
      </c>
    </row>
    <row r="210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28">
        <f>103-F210</f>
        <v/>
      </c>
      <c r="I210" s="40" t="n">
        <v>518</v>
      </c>
      <c r="J210" s="44" t="n">
        <v>506</v>
      </c>
      <c r="K210" s="28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3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45" t="n">
        <v>2999</v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87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32">
        <f>TABL123[[#This Row],[(A/S) AJD]]-TABL123[[#This Row],[SER_IN]]</f>
        <v/>
      </c>
    </row>
    <row r="21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28">
        <f>103-F211</f>
        <v/>
      </c>
      <c r="I211" s="39" t="n">
        <v>554</v>
      </c>
      <c r="J211" s="39" t="n">
        <v>534</v>
      </c>
      <c r="K211" s="28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3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43" t="n">
        <v>3000</v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87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32">
        <f>TABL123[[#This Row],[(A/S) AJD]]-TABL123[[#This Row],[SER_IN]]</f>
        <v/>
      </c>
    </row>
    <row r="212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28">
        <f>103-F212</f>
        <v/>
      </c>
      <c r="I212" s="40" t="n">
        <v>482</v>
      </c>
      <c r="J212" s="44" t="n">
        <v>471</v>
      </c>
      <c r="K212" s="28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3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45" t="n">
        <v>2814</v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87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32">
        <f>TABL123[[#This Row],[(A/S) AJD]]-TABL123[[#This Row],[SER_IN]]</f>
        <v/>
      </c>
    </row>
    <row r="213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28">
        <f>103-F213</f>
        <v/>
      </c>
      <c r="I213" s="39" t="n">
        <v>490</v>
      </c>
      <c r="J213" s="39" t="n">
        <v>477</v>
      </c>
      <c r="K213" s="28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3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43" t="n">
        <v>3157</v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87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32">
        <f>TABL123[[#This Row],[(A/S) AJD]]-TABL123[[#This Row],[SER_IN]]</f>
        <v/>
      </c>
    </row>
    <row r="214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28" t="n"/>
      <c r="F214" s="41" t="n">
        <v>90</v>
      </c>
      <c r="G214" s="39" t="n">
        <v>604</v>
      </c>
      <c r="H214" s="28">
        <f>103-F214</f>
        <v/>
      </c>
      <c r="I214" s="39" t="n">
        <v>347</v>
      </c>
      <c r="J214" s="39" t="n">
        <v>326</v>
      </c>
      <c r="K214" s="28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3">
        <f>TABL123[[#This Row],[ (S/S) SAR]]-TABL123[[#This Row],[(S/S) AJD]]</f>
        <v/>
      </c>
      <c r="Q214" s="39" t="n">
        <v>429</v>
      </c>
      <c r="R214" s="3">
        <f>TABL123[[#This Row],[ (T/B) SAR]]-TABL123[[#This Row],[(T/B) AJD]]</f>
        <v/>
      </c>
      <c r="S214" s="3">
        <f>TABL123[[#This Row],[T/B-CON.]]+TABL123[[#This Row],[S/S_CON.]]</f>
        <v/>
      </c>
      <c r="T214" s="3">
        <f>TABL123[[#This Row],[(S/S) AJD]]+TABL123[[#This Row],[(T/B) AJD]]</f>
        <v/>
      </c>
      <c r="U214" s="41" t="n">
        <v>494</v>
      </c>
      <c r="V214" s="41" t="n">
        <v>224</v>
      </c>
      <c r="W214" s="3">
        <f>TABL123[[#This Row],[(A/B) AJD]]+TABL123[[#This Row],[(A/S) AJD]]</f>
        <v/>
      </c>
      <c r="X214" s="3">
        <f>TABL123[[#This Row],[( S/S+T/B) AJD]]-TABL123[[#This Row],[(A/B + A/S) AJD]]</f>
        <v/>
      </c>
      <c r="Y214" s="41" t="n">
        <v>92.846</v>
      </c>
      <c r="Z214" s="43" t="n">
        <v>703222</v>
      </c>
      <c r="AA214" s="3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43" t="n">
        <v>3175</v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87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32">
        <f>TABL123[[#This Row],[(A/S) AJD]]-TABL123[[#This Row],[SER_IN]]</f>
        <v/>
      </c>
    </row>
    <row r="215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28" t="n"/>
      <c r="F215" s="44" t="n">
        <v>91</v>
      </c>
      <c r="G215" s="40" t="n">
        <v>604</v>
      </c>
      <c r="H215" s="28">
        <f>103-F215</f>
        <v/>
      </c>
      <c r="I215" s="40" t="n">
        <v>445</v>
      </c>
      <c r="J215" s="44" t="n">
        <v>429</v>
      </c>
      <c r="K215" s="28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3">
        <f>TABL123[[#This Row],[ (S/S) SAR]]-TABL123[[#This Row],[(S/S) AJD]]</f>
        <v/>
      </c>
      <c r="Q215" s="40" t="n">
        <v>397</v>
      </c>
      <c r="R215" s="3">
        <f>TABL123[[#This Row],[ (T/B) SAR]]-TABL123[[#This Row],[(T/B) AJD]]</f>
        <v/>
      </c>
      <c r="S215" s="3">
        <f>TABL123[[#This Row],[T/B-CON.]]+TABL123[[#This Row],[S/S_CON.]]</f>
        <v/>
      </c>
      <c r="T215" s="3">
        <f>TABL123[[#This Row],[(S/S) AJD]]+TABL123[[#This Row],[(T/B) AJD]]</f>
        <v/>
      </c>
      <c r="U215" s="44" t="n">
        <v>526</v>
      </c>
      <c r="V215" s="44" t="n">
        <v>189</v>
      </c>
      <c r="W215" s="3">
        <f>TABL123[[#This Row],[(A/B) AJD]]+TABL123[[#This Row],[(A/S) AJD]]</f>
        <v/>
      </c>
      <c r="X215" s="3">
        <f>TABL123[[#This Row],[( S/S+T/B) AJD]]-TABL123[[#This Row],[(A/B + A/S) AJD]]</f>
        <v/>
      </c>
      <c r="Y215" s="44" t="n">
        <v>92.848</v>
      </c>
      <c r="Z215" s="45" t="n">
        <v>703214</v>
      </c>
      <c r="AA215" s="3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45" t="n">
        <v>3422</v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87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32">
        <f>TABL123[[#This Row],[(A/S) AJD]]-TABL123[[#This Row],[SER_IN]]</f>
        <v/>
      </c>
    </row>
    <row r="216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28" t="n"/>
      <c r="F216" s="41" t="n">
        <v>92</v>
      </c>
      <c r="G216" s="39" t="n">
        <v>611</v>
      </c>
      <c r="H216" s="28">
        <f>103-F216</f>
        <v/>
      </c>
      <c r="I216" s="39" t="n">
        <v>472</v>
      </c>
      <c r="J216" s="39" t="n">
        <v>460</v>
      </c>
      <c r="K216" s="28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3">
        <f>TABL123[[#This Row],[ (S/S) SAR]]-TABL123[[#This Row],[(S/S) AJD]]</f>
        <v/>
      </c>
      <c r="Q216" s="39" t="n">
        <v>390</v>
      </c>
      <c r="R216" s="3">
        <f>TABL123[[#This Row],[ (T/B) SAR]]-TABL123[[#This Row],[(T/B) AJD]]</f>
        <v/>
      </c>
      <c r="S216" s="3">
        <f>TABL123[[#This Row],[T/B-CON.]]+TABL123[[#This Row],[S/S_CON.]]</f>
        <v/>
      </c>
      <c r="T216" s="3">
        <f>TABL123[[#This Row],[(S/S) AJD]]+TABL123[[#This Row],[(T/B) AJD]]</f>
        <v/>
      </c>
      <c r="U216" s="41" t="n">
        <v>557</v>
      </c>
      <c r="V216" s="41" t="n">
        <v>210</v>
      </c>
      <c r="W216" s="3">
        <f>TABL123[[#This Row],[(A/B) AJD]]+TABL123[[#This Row],[(A/S) AJD]]</f>
        <v/>
      </c>
      <c r="X216" s="3">
        <f>TABL123[[#This Row],[( S/S+T/B) AJD]]-TABL123[[#This Row],[(A/B + A/S) AJD]]</f>
        <v/>
      </c>
      <c r="Y216" s="41" t="n">
        <v>92.759</v>
      </c>
      <c r="Z216" s="43" t="n">
        <v>651182</v>
      </c>
      <c r="AA216" s="3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43" t="n">
        <v>3161</v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87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32">
        <f>TABL123[[#This Row],[(A/S) AJD]]-TABL123[[#This Row],[SER_IN]]</f>
        <v/>
      </c>
    </row>
    <row r="217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28" t="n"/>
      <c r="F217" s="44" t="n">
        <v>92</v>
      </c>
      <c r="G217" s="40" t="n">
        <v>611</v>
      </c>
      <c r="H217" s="28">
        <f>103-F217</f>
        <v/>
      </c>
      <c r="I217" s="40" t="n">
        <v>515</v>
      </c>
      <c r="J217" s="44" t="n">
        <v>499</v>
      </c>
      <c r="K217" s="28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3">
        <f>TABL123[[#This Row],[ (S/S) SAR]]-TABL123[[#This Row],[(S/S) AJD]]</f>
        <v/>
      </c>
      <c r="Q217" s="40" t="n">
        <v>414</v>
      </c>
      <c r="R217" s="3">
        <f>TABL123[[#This Row],[ (T/B) SAR]]-TABL123[[#This Row],[(T/B) AJD]]</f>
        <v/>
      </c>
      <c r="S217" s="3">
        <f>TABL123[[#This Row],[T/B-CON.]]+TABL123[[#This Row],[S/S_CON.]]</f>
        <v/>
      </c>
      <c r="T217" s="3">
        <f>TABL123[[#This Row],[(S/S) AJD]]+TABL123[[#This Row],[(T/B) AJD]]</f>
        <v/>
      </c>
      <c r="U217" s="44" t="n">
        <v>572</v>
      </c>
      <c r="V217" s="44" t="n">
        <v>221</v>
      </c>
      <c r="W217" s="3">
        <f>TABL123[[#This Row],[(A/B) AJD]]+TABL123[[#This Row],[(A/S) AJD]]</f>
        <v/>
      </c>
      <c r="X217" s="3">
        <f>TABL123[[#This Row],[( S/S+T/B) AJD]]-TABL123[[#This Row],[(A/B + A/S) AJD]]</f>
        <v/>
      </c>
      <c r="Y217" s="44" t="n">
        <v>92.714</v>
      </c>
      <c r="Z217" s="45" t="n">
        <v>624286</v>
      </c>
      <c r="AA217" s="3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45" t="n">
        <v>3232</v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87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32">
        <f>TABL123[[#This Row],[(A/S) AJD]]-TABL123[[#This Row],[SER_IN]]</f>
        <v/>
      </c>
    </row>
    <row r="218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28" t="n"/>
      <c r="F218" s="41" t="n">
        <v>92</v>
      </c>
      <c r="G218" s="39" t="n">
        <v>611</v>
      </c>
      <c r="H218" s="28">
        <f>103-F218</f>
        <v/>
      </c>
      <c r="I218" s="39" t="n">
        <v>525</v>
      </c>
      <c r="J218" s="39" t="n">
        <v>510</v>
      </c>
      <c r="K218" s="28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3">
        <f>TABL123[[#This Row],[ (S/S) SAR]]-TABL123[[#This Row],[(S/S) AJD]]</f>
        <v/>
      </c>
      <c r="Q218" s="39" t="n">
        <v>426</v>
      </c>
      <c r="R218" s="3">
        <f>TABL123[[#This Row],[ (T/B) SAR]]-TABL123[[#This Row],[(T/B) AJD]]</f>
        <v/>
      </c>
      <c r="S218" s="3">
        <f>TABL123[[#This Row],[T/B-CON.]]+TABL123[[#This Row],[S/S_CON.]]</f>
        <v/>
      </c>
      <c r="T218" s="3">
        <f>TABL123[[#This Row],[(S/S) AJD]]+TABL123[[#This Row],[(T/B) AJD]]</f>
        <v/>
      </c>
      <c r="U218" s="41" t="n">
        <v>570</v>
      </c>
      <c r="V218" s="41" t="n">
        <v>231</v>
      </c>
      <c r="W218" s="3">
        <f>TABL123[[#This Row],[(A/B) AJD]]+TABL123[[#This Row],[(A/S) AJD]]</f>
        <v/>
      </c>
      <c r="X218" s="3">
        <f>TABL123[[#This Row],[( S/S+T/B) AJD]]-TABL123[[#This Row],[(A/B + A/S) AJD]]</f>
        <v/>
      </c>
      <c r="Y218" s="41" t="n">
        <v>92.782</v>
      </c>
      <c r="Z218" s="43" t="n">
        <v>664931</v>
      </c>
      <c r="AA218" s="3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43" t="n">
        <v>3320</v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87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32">
        <f>TABL123[[#This Row],[(A/S) AJD]]-TABL123[[#This Row],[SER_IN]]</f>
        <v/>
      </c>
    </row>
    <row r="219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28" t="n"/>
      <c r="F219" s="44" t="n">
        <v>92</v>
      </c>
      <c r="G219" s="40" t="n">
        <v>611</v>
      </c>
      <c r="H219" s="28">
        <f>103-F219</f>
        <v/>
      </c>
      <c r="I219" s="40" t="n">
        <v>530</v>
      </c>
      <c r="J219" s="44" t="n">
        <v>515</v>
      </c>
      <c r="K219" s="28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3">
        <f>TABL123[[#This Row],[ (S/S) SAR]]-TABL123[[#This Row],[(S/S) AJD]]</f>
        <v/>
      </c>
      <c r="Q219" s="40" t="n">
        <v>467</v>
      </c>
      <c r="R219" s="3">
        <f>TABL123[[#This Row],[ (T/B) SAR]]-TABL123[[#This Row],[(T/B) AJD]]</f>
        <v/>
      </c>
      <c r="S219" s="3">
        <f>TABL123[[#This Row],[T/B-CON.]]+TABL123[[#This Row],[S/S_CON.]]</f>
        <v/>
      </c>
      <c r="T219" s="3">
        <f>TABL123[[#This Row],[(S/S) AJD]]+TABL123[[#This Row],[(T/B) AJD]]</f>
        <v/>
      </c>
      <c r="U219" s="44" t="n">
        <v>558</v>
      </c>
      <c r="V219" s="44" t="n">
        <v>249</v>
      </c>
      <c r="W219" s="3">
        <f>TABL123[[#This Row],[(A/B) AJD]]+TABL123[[#This Row],[(A/S) AJD]]</f>
        <v/>
      </c>
      <c r="X219" s="3">
        <f>TABL123[[#This Row],[( S/S+T/B) AJD]]-TABL123[[#This Row],[(A/B + A/S) AJD]]</f>
        <v/>
      </c>
      <c r="Y219" s="44" t="n">
        <v>92.889</v>
      </c>
      <c r="Z219" s="45" t="n">
        <v>728953</v>
      </c>
      <c r="AA219" s="3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45" t="n">
        <v>3320</v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87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32">
        <f>TABL123[[#This Row],[(A/S) AJD]]-TABL123[[#This Row],[SER_IN]]</f>
        <v/>
      </c>
    </row>
    <row r="220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28" t="n"/>
      <c r="F220" s="41" t="n">
        <v>92</v>
      </c>
      <c r="G220" s="39" t="n">
        <v>611</v>
      </c>
      <c r="H220" s="28">
        <f>103-F220</f>
        <v/>
      </c>
      <c r="I220" s="39" t="n">
        <v>535</v>
      </c>
      <c r="J220" s="39" t="n">
        <v>520</v>
      </c>
      <c r="K220" s="28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3">
        <f>TABL123[[#This Row],[ (S/S) SAR]]-TABL123[[#This Row],[(S/S) AJD]]</f>
        <v/>
      </c>
      <c r="Q220" s="39" t="n">
        <v>471</v>
      </c>
      <c r="R220" s="3">
        <f>TABL123[[#This Row],[ (T/B) SAR]]-TABL123[[#This Row],[(T/B) AJD]]</f>
        <v/>
      </c>
      <c r="S220" s="3">
        <f>TABL123[[#This Row],[T/B-CON.]]+TABL123[[#This Row],[S/S_CON.]]</f>
        <v/>
      </c>
      <c r="T220" s="3">
        <f>TABL123[[#This Row],[(S/S) AJD]]+TABL123[[#This Row],[(T/B) AJD]]</f>
        <v/>
      </c>
      <c r="U220" s="41" t="n">
        <v>551</v>
      </c>
      <c r="V220" s="41" t="n">
        <v>295</v>
      </c>
      <c r="W220" s="3">
        <f>TABL123[[#This Row],[(A/B) AJD]]+TABL123[[#This Row],[(A/S) AJD]]</f>
        <v/>
      </c>
      <c r="X220" s="3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3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43" t="n">
        <v>3121</v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87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32">
        <f>TABL123[[#This Row],[(A/S) AJD]]-TABL123[[#This Row],[SER_IN]]</f>
        <v/>
      </c>
    </row>
    <row r="22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28" t="n"/>
      <c r="F221" s="44" t="n">
        <v>92</v>
      </c>
      <c r="G221" s="40" t="n">
        <v>611</v>
      </c>
      <c r="H221" s="28">
        <f>103-F221</f>
        <v/>
      </c>
      <c r="I221" s="40" t="n">
        <v>537</v>
      </c>
      <c r="J221" s="44" t="n">
        <v>522</v>
      </c>
      <c r="K221" s="28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3">
        <f>TABL123[[#This Row],[ (S/S) SAR]]-TABL123[[#This Row],[(S/S) AJD]]</f>
        <v/>
      </c>
      <c r="Q221" s="40" t="n">
        <v>478</v>
      </c>
      <c r="R221" s="3">
        <f>TABL123[[#This Row],[ (T/B) SAR]]-TABL123[[#This Row],[(T/B) AJD]]</f>
        <v/>
      </c>
      <c r="S221" s="3">
        <f>TABL123[[#This Row],[T/B-CON.]]+TABL123[[#This Row],[S/S_CON.]]</f>
        <v/>
      </c>
      <c r="T221" s="3">
        <f>TABL123[[#This Row],[(S/S) AJD]]+TABL123[[#This Row],[(T/B) AJD]]</f>
        <v/>
      </c>
      <c r="U221" s="44" t="n">
        <v>546</v>
      </c>
      <c r="V221" s="44" t="n">
        <v>304</v>
      </c>
      <c r="W221" s="3">
        <f>TABL123[[#This Row],[(A/B) AJD]]+TABL123[[#This Row],[(A/S) AJD]]</f>
        <v/>
      </c>
      <c r="X221" s="3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3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45" t="n">
        <v>3007</v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87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32">
        <f>TABL123[[#This Row],[(A/S) AJD]]-TABL123[[#This Row],[SER_IN]]</f>
        <v/>
      </c>
    </row>
    <row r="222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28" t="n"/>
      <c r="F222" s="41" t="n">
        <v>92</v>
      </c>
      <c r="G222" s="39" t="n">
        <v>611</v>
      </c>
      <c r="H222" s="28">
        <f>103-F222</f>
        <v/>
      </c>
      <c r="I222" s="39" t="n">
        <v>537</v>
      </c>
      <c r="J222" s="39" t="n">
        <v>523</v>
      </c>
      <c r="K222" s="28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3">
        <f>TABL123[[#This Row],[ (S/S) SAR]]-TABL123[[#This Row],[(S/S) AJD]]</f>
        <v/>
      </c>
      <c r="Q222" s="39" t="n">
        <v>479</v>
      </c>
      <c r="R222" s="3">
        <f>TABL123[[#This Row],[ (T/B) SAR]]-TABL123[[#This Row],[(T/B) AJD]]</f>
        <v/>
      </c>
      <c r="S222" s="3">
        <f>TABL123[[#This Row],[T/B-CON.]]+TABL123[[#This Row],[S/S_CON.]]</f>
        <v/>
      </c>
      <c r="T222" s="3">
        <f>TABL123[[#This Row],[(S/S) AJD]]+TABL123[[#This Row],[(T/B) AJD]]</f>
        <v/>
      </c>
      <c r="U222" s="41" t="n">
        <v>524</v>
      </c>
      <c r="V222" s="41" t="n">
        <v>302</v>
      </c>
      <c r="W222" s="3">
        <f>TABL123[[#This Row],[(A/B) AJD]]+TABL123[[#This Row],[(A/S) AJD]]</f>
        <v/>
      </c>
      <c r="X222" s="3">
        <f>TABL123[[#This Row],[( S/S+T/B) AJD]]-TABL123[[#This Row],[(A/B + A/S) AJD]]</f>
        <v/>
      </c>
      <c r="Y222" s="41" t="n">
        <v>93.068</v>
      </c>
      <c r="Z222" s="43" t="n">
        <v>836298</v>
      </c>
      <c r="AA222" s="3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43" t="n">
        <v>2984</v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87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32">
        <f>TABL123[[#This Row],[(A/S) AJD]]-TABL123[[#This Row],[SER_IN]]</f>
        <v/>
      </c>
    </row>
    <row r="223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28" t="n"/>
      <c r="F223" s="44" t="n">
        <v>92</v>
      </c>
      <c r="G223" s="40" t="n">
        <v>611</v>
      </c>
      <c r="H223" s="28">
        <f>103-F223</f>
        <v/>
      </c>
      <c r="I223" s="40" t="n">
        <v>537</v>
      </c>
      <c r="J223" s="44" t="n">
        <v>522</v>
      </c>
      <c r="K223" s="28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3">
        <f>TABL123[[#This Row],[ (S/S) SAR]]-TABL123[[#This Row],[(S/S) AJD]]</f>
        <v/>
      </c>
      <c r="Q223" s="40" t="n">
        <v>478</v>
      </c>
      <c r="R223" s="3">
        <f>TABL123[[#This Row],[ (T/B) SAR]]-TABL123[[#This Row],[(T/B) AJD]]</f>
        <v/>
      </c>
      <c r="S223" s="3">
        <f>TABL123[[#This Row],[T/B-CON.]]+TABL123[[#This Row],[S/S_CON.]]</f>
        <v/>
      </c>
      <c r="T223" s="3">
        <f>TABL123[[#This Row],[(S/S) AJD]]+TABL123[[#This Row],[(T/B) AJD]]</f>
        <v/>
      </c>
      <c r="U223" s="44" t="n">
        <v>528</v>
      </c>
      <c r="V223" s="44" t="n">
        <v>324</v>
      </c>
      <c r="W223" s="3">
        <f>TABL123[[#This Row],[(A/B) AJD]]+TABL123[[#This Row],[(A/S) AJD]]</f>
        <v/>
      </c>
      <c r="X223" s="3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3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45" t="n">
        <v>3039</v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87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32">
        <f>TABL123[[#This Row],[(A/S) AJD]]-TABL123[[#This Row],[SER_IN]]</f>
        <v/>
      </c>
    </row>
    <row r="224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28" t="n"/>
      <c r="F224" s="41" t="n">
        <v>92</v>
      </c>
      <c r="G224" s="39" t="n">
        <v>611</v>
      </c>
      <c r="H224" s="28">
        <f>103-F224</f>
        <v/>
      </c>
      <c r="I224" s="39" t="n">
        <v>537</v>
      </c>
      <c r="J224" s="39" t="n">
        <v>522</v>
      </c>
      <c r="K224" s="28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3">
        <f>TABL123[[#This Row],[ (S/S) SAR]]-TABL123[[#This Row],[(S/S) AJD]]</f>
        <v/>
      </c>
      <c r="Q224" s="39" t="n">
        <v>479</v>
      </c>
      <c r="R224" s="3">
        <f>TABL123[[#This Row],[ (T/B) SAR]]-TABL123[[#This Row],[(T/B) AJD]]</f>
        <v/>
      </c>
      <c r="S224" s="3">
        <f>TABL123[[#This Row],[T/B-CON.]]+TABL123[[#This Row],[S/S_CON.]]</f>
        <v/>
      </c>
      <c r="T224" s="3">
        <f>TABL123[[#This Row],[(S/S) AJD]]+TABL123[[#This Row],[(T/B) AJD]]</f>
        <v/>
      </c>
      <c r="U224" s="41" t="n">
        <v>558</v>
      </c>
      <c r="V224" s="41" t="n">
        <v>348</v>
      </c>
      <c r="W224" s="3">
        <f>TABL123[[#This Row],[(A/B) AJD]]+TABL123[[#This Row],[(A/S) AJD]]</f>
        <v/>
      </c>
      <c r="X224" s="3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3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68" t="n">
        <v>2902</v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87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32">
        <f>TABL123[[#This Row],[(A/S) AJD]]-TABL123[[#This Row],[SER_IN]]</f>
        <v/>
      </c>
    </row>
    <row r="225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28" t="n"/>
      <c r="F225" s="44" t="n">
        <v>92</v>
      </c>
      <c r="G225" s="40" t="n">
        <v>611</v>
      </c>
      <c r="H225" s="28">
        <f>103-F225</f>
        <v/>
      </c>
      <c r="I225" s="40" t="n">
        <v>537</v>
      </c>
      <c r="J225" s="44" t="n">
        <v>522</v>
      </c>
      <c r="K225" s="28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3">
        <f>TABL123[[#This Row],[ (S/S) SAR]]-TABL123[[#This Row],[(S/S) AJD]]</f>
        <v/>
      </c>
      <c r="Q225" s="40" t="n">
        <v>479</v>
      </c>
      <c r="R225" s="3">
        <f>TABL123[[#This Row],[ (T/B) SAR]]-TABL123[[#This Row],[(T/B) AJD]]</f>
        <v/>
      </c>
      <c r="S225" s="3">
        <f>TABL123[[#This Row],[T/B-CON.]]+TABL123[[#This Row],[S/S_CON.]]</f>
        <v/>
      </c>
      <c r="T225" s="3">
        <f>TABL123[[#This Row],[(S/S) AJD]]+TABL123[[#This Row],[(T/B) AJD]]</f>
        <v/>
      </c>
      <c r="U225" s="44" t="n">
        <v>594</v>
      </c>
      <c r="V225" s="44" t="n">
        <v>352</v>
      </c>
      <c r="W225" s="3">
        <f>TABL123[[#This Row],[(A/B) AJD]]+TABL123[[#This Row],[(A/S) AJD]]</f>
        <v/>
      </c>
      <c r="X225" s="3">
        <f>TABL123[[#This Row],[( S/S+T/B) AJD]]-TABL123[[#This Row],[(A/B + A/S) AJD]]</f>
        <v/>
      </c>
      <c r="Y225" s="44" t="n">
        <v>92.926</v>
      </c>
      <c r="Z225" s="45" t="n">
        <v>751131</v>
      </c>
      <c r="AA225" s="3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45" t="n">
        <v>3169</v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87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32">
        <f>TABL123[[#This Row],[(A/S) AJD]]-TABL123[[#This Row],[SER_IN]]</f>
        <v/>
      </c>
    </row>
    <row r="226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28" t="n"/>
      <c r="F226" s="41" t="n">
        <v>92</v>
      </c>
      <c r="G226" s="39" t="n">
        <v>611</v>
      </c>
      <c r="H226" s="28">
        <f>103-F226</f>
        <v/>
      </c>
      <c r="I226" s="39" t="n">
        <v>535</v>
      </c>
      <c r="J226" s="39" t="n">
        <v>522</v>
      </c>
      <c r="K226" s="28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3">
        <f>TABL123[[#This Row],[ (S/S) SAR]]-TABL123[[#This Row],[(S/S) AJD]]</f>
        <v/>
      </c>
      <c r="Q226" s="39" t="n">
        <v>481</v>
      </c>
      <c r="R226" s="3">
        <f>TABL123[[#This Row],[ (T/B) SAR]]-TABL123[[#This Row],[(T/B) AJD]]</f>
        <v/>
      </c>
      <c r="S226" s="3">
        <f>TABL123[[#This Row],[T/B-CON.]]+TABL123[[#This Row],[S/S_CON.]]</f>
        <v/>
      </c>
      <c r="T226" s="3">
        <f>TABL123[[#This Row],[(S/S) AJD]]+TABL123[[#This Row],[(T/B) AJD]]</f>
        <v/>
      </c>
      <c r="U226" s="41" t="n">
        <v>612</v>
      </c>
      <c r="V226" s="41" t="n">
        <v>357</v>
      </c>
      <c r="W226" s="3">
        <f>TABL123[[#This Row],[(A/B) AJD]]+TABL123[[#This Row],[(A/S) AJD]]</f>
        <v/>
      </c>
      <c r="X226" s="3">
        <f>TABL123[[#This Row],[( S/S+T/B) AJD]]-TABL123[[#This Row],[(A/B + A/S) AJD]]</f>
        <v/>
      </c>
      <c r="Y226" s="41" t="n">
        <v>92.789</v>
      </c>
      <c r="Z226" s="43" t="n">
        <v>669119</v>
      </c>
      <c r="AA226" s="3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43" t="n">
        <v>3395</v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87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32">
        <f>TABL123[[#This Row],[(A/S) AJD]]-TABL123[[#This Row],[SER_IN]]</f>
        <v/>
      </c>
    </row>
    <row r="227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28" t="n"/>
      <c r="F227" s="44" t="n">
        <v>92</v>
      </c>
      <c r="G227" s="40" t="n">
        <v>611</v>
      </c>
      <c r="H227" s="28">
        <f>103-F227</f>
        <v/>
      </c>
      <c r="I227" s="40" t="n">
        <v>537</v>
      </c>
      <c r="J227" s="44" t="n">
        <v>522</v>
      </c>
      <c r="K227" s="28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3">
        <f>TABL123[[#This Row],[ (S/S) SAR]]-TABL123[[#This Row],[(S/S) AJD]]</f>
        <v/>
      </c>
      <c r="Q227" s="40" t="n">
        <v>479</v>
      </c>
      <c r="R227" s="3">
        <f>TABL123[[#This Row],[ (T/B) SAR]]-TABL123[[#This Row],[(T/B) AJD]]</f>
        <v/>
      </c>
      <c r="S227" s="3">
        <f>TABL123[[#This Row],[T/B-CON.]]+TABL123[[#This Row],[S/S_CON.]]</f>
        <v/>
      </c>
      <c r="T227" s="3">
        <f>TABL123[[#This Row],[(S/S) AJD]]+TABL123[[#This Row],[(T/B) AJD]]</f>
        <v/>
      </c>
      <c r="U227" s="44" t="n">
        <v>616</v>
      </c>
      <c r="V227" s="44" t="n">
        <v>359</v>
      </c>
      <c r="W227" s="3">
        <f>TABL123[[#This Row],[(A/B) AJD]]+TABL123[[#This Row],[(A/S) AJD]]</f>
        <v/>
      </c>
      <c r="X227" s="3">
        <f>TABL123[[#This Row],[( S/S+T/B) AJD]]-TABL123[[#This Row],[(A/B + A/S) AJD]]</f>
        <v/>
      </c>
      <c r="Y227" s="44" t="n">
        <v>92.639</v>
      </c>
      <c r="Z227" s="45" t="n">
        <v>579503</v>
      </c>
      <c r="AA227" s="3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45" t="n">
        <v>2763</v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87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32">
        <f>TABL123[[#This Row],[(A/S) AJD]]-TABL123[[#This Row],[SER_IN]]</f>
        <v/>
      </c>
    </row>
    <row r="228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28" t="n"/>
      <c r="F228" s="41" t="n">
        <v>92</v>
      </c>
      <c r="G228" s="39" t="n">
        <v>611</v>
      </c>
      <c r="H228" s="28">
        <f>103-F228</f>
        <v/>
      </c>
      <c r="I228" s="39" t="n">
        <v>535</v>
      </c>
      <c r="J228" s="39" t="n">
        <v>522</v>
      </c>
      <c r="K228" s="28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3">
        <f>TABL123[[#This Row],[ (S/S) SAR]]-TABL123[[#This Row],[(S/S) AJD]]</f>
        <v/>
      </c>
      <c r="Q228" s="39" t="n">
        <v>477</v>
      </c>
      <c r="R228" s="3">
        <f>TABL123[[#This Row],[ (T/B) SAR]]-TABL123[[#This Row],[(T/B) AJD]]</f>
        <v/>
      </c>
      <c r="S228" s="3">
        <f>TABL123[[#This Row],[T/B-CON.]]+TABL123[[#This Row],[S/S_CON.]]</f>
        <v/>
      </c>
      <c r="T228" s="3">
        <f>TABL123[[#This Row],[(S/S) AJD]]+TABL123[[#This Row],[(T/B) AJD]]</f>
        <v/>
      </c>
      <c r="U228" s="41" t="n">
        <v>616</v>
      </c>
      <c r="V228" s="41" t="n">
        <v>328</v>
      </c>
      <c r="W228" s="3">
        <f>TABL123[[#This Row],[(A/B) AJD]]+TABL123[[#This Row],[(A/S) AJD]]</f>
        <v/>
      </c>
      <c r="X228" s="3">
        <f>TABL123[[#This Row],[( S/S+T/B) AJD]]-TABL123[[#This Row],[(A/B + A/S) AJD]]</f>
        <v/>
      </c>
      <c r="Y228" s="41" t="n">
        <v>92.529</v>
      </c>
      <c r="Z228" s="43" t="n">
        <v>513902</v>
      </c>
      <c r="AA228" s="3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43" t="n">
        <v>2696</v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87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32">
        <f>TABL123[[#This Row],[(A/S) AJD]]-TABL123[[#This Row],[SER_IN]]</f>
        <v/>
      </c>
    </row>
    <row r="229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28" t="n"/>
      <c r="F229" s="44" t="n">
        <v>92</v>
      </c>
      <c r="G229" s="40" t="n">
        <v>611</v>
      </c>
      <c r="H229" s="28">
        <f>103-F229</f>
        <v/>
      </c>
      <c r="I229" s="40" t="n">
        <v>528</v>
      </c>
      <c r="J229" s="44" t="n">
        <v>510</v>
      </c>
      <c r="K229" s="28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3">
        <f>TABL123[[#This Row],[ (S/S) SAR]]-TABL123[[#This Row],[(S/S) AJD]]</f>
        <v/>
      </c>
      <c r="Q229" s="40" t="n">
        <v>440</v>
      </c>
      <c r="R229" s="3">
        <f>TABL123[[#This Row],[ (T/B) SAR]]-TABL123[[#This Row],[(T/B) AJD]]</f>
        <v/>
      </c>
      <c r="S229" s="3">
        <f>TABL123[[#This Row],[T/B-CON.]]+TABL123[[#This Row],[S/S_CON.]]</f>
        <v/>
      </c>
      <c r="T229" s="3">
        <f>TABL123[[#This Row],[(S/S) AJD]]+TABL123[[#This Row],[(T/B) AJD]]</f>
        <v/>
      </c>
      <c r="U229" s="44" t="n">
        <v>615</v>
      </c>
      <c r="V229" s="44" t="n">
        <v>341</v>
      </c>
      <c r="W229" s="3">
        <f>TABL123[[#This Row],[(A/B) AJD]]+TABL123[[#This Row],[(A/S) AJD]]</f>
        <v/>
      </c>
      <c r="X229" s="3">
        <f>TABL123[[#This Row],[( S/S+T/B) AJD]]-TABL123[[#This Row],[(A/B + A/S) AJD]]</f>
        <v/>
      </c>
      <c r="Y229" s="44" t="n">
        <v>92.402</v>
      </c>
      <c r="Z229" s="45" t="n">
        <v>438288</v>
      </c>
      <c r="AA229" s="3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45" t="n">
        <v>2670</v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87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32">
        <f>TABL123[[#This Row],[(A/S) AJD]]-TABL123[[#This Row],[SER_IN]]</f>
        <v/>
      </c>
    </row>
    <row r="230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28" t="n"/>
      <c r="F230" s="41" t="n">
        <v>93</v>
      </c>
      <c r="G230" s="39" t="n">
        <v>617</v>
      </c>
      <c r="H230" s="28">
        <f>103-F230</f>
        <v/>
      </c>
      <c r="I230" s="39" t="n">
        <v>530</v>
      </c>
      <c r="J230" s="39" t="n">
        <v>515</v>
      </c>
      <c r="K230" s="28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3">
        <f>TABL123[[#This Row],[ (S/S) SAR]]-TABL123[[#This Row],[(S/S) AJD]]</f>
        <v/>
      </c>
      <c r="Q230" s="39" t="n">
        <v>466</v>
      </c>
      <c r="R230" s="3">
        <f>TABL123[[#This Row],[ (T/B) SAR]]-TABL123[[#This Row],[(T/B) AJD]]</f>
        <v/>
      </c>
      <c r="S230" s="3">
        <f>TABL123[[#This Row],[T/B-CON.]]+TABL123[[#This Row],[S/S_CON.]]</f>
        <v/>
      </c>
      <c r="T230" s="3">
        <f>TABL123[[#This Row],[(S/S) AJD]]+TABL123[[#This Row],[(T/B) AJD]]</f>
        <v/>
      </c>
      <c r="U230" s="41" t="n">
        <v>591</v>
      </c>
      <c r="V230" s="41" t="n">
        <v>320</v>
      </c>
      <c r="W230" s="3">
        <f>TABL123[[#This Row],[(A/B) AJD]]+TABL123[[#This Row],[(A/S) AJD]]</f>
        <v/>
      </c>
      <c r="X230" s="3">
        <f>TABL123[[#This Row],[( S/S+T/B) AJD]]-TABL123[[#This Row],[(A/B + A/S) AJD]]</f>
        <v/>
      </c>
      <c r="Y230" s="41" t="n">
        <v>92.34</v>
      </c>
      <c r="Z230" s="43" t="n">
        <v>401419</v>
      </c>
      <c r="AA230" s="3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43" t="n">
        <v>3283</v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87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32">
        <f>TABL123[[#This Row],[(A/S) AJD]]-TABL123[[#This Row],[SER_IN]]</f>
        <v/>
      </c>
    </row>
    <row r="23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28" t="n"/>
      <c r="F231" s="44" t="n">
        <v>93</v>
      </c>
      <c r="G231" s="40" t="n">
        <v>617</v>
      </c>
      <c r="H231" s="28">
        <f>103-F231</f>
        <v/>
      </c>
      <c r="I231" s="40" t="n">
        <v>533</v>
      </c>
      <c r="J231" s="44" t="n">
        <v>519</v>
      </c>
      <c r="K231" s="28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3">
        <f>TABL123[[#This Row],[ (S/S) SAR]]-TABL123[[#This Row],[(S/S) AJD]]</f>
        <v/>
      </c>
      <c r="Q231" s="40" t="n">
        <v>469</v>
      </c>
      <c r="R231" s="3">
        <f>TABL123[[#This Row],[ (T/B) SAR]]-TABL123[[#This Row],[(T/B) AJD]]</f>
        <v/>
      </c>
      <c r="S231" s="3">
        <f>TABL123[[#This Row],[T/B-CON.]]+TABL123[[#This Row],[S/S_CON.]]</f>
        <v/>
      </c>
      <c r="T231" s="3">
        <f>TABL123[[#This Row],[(S/S) AJD]]+TABL123[[#This Row],[(T/B) AJD]]</f>
        <v/>
      </c>
      <c r="U231" s="44" t="n">
        <v>599</v>
      </c>
      <c r="V231" s="44" t="n">
        <v>290</v>
      </c>
      <c r="W231" s="3">
        <f>TABL123[[#This Row],[(A/B) AJD]]+TABL123[[#This Row],[(A/S) AJD]]</f>
        <v/>
      </c>
      <c r="X231" s="3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3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45" t="n">
        <v>3534</v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87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32">
        <f>TABL123[[#This Row],[(A/S) AJD]]-TABL123[[#This Row],[SER_IN]]</f>
        <v/>
      </c>
    </row>
    <row r="232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28" t="n"/>
      <c r="F232" s="41" t="n">
        <v>93</v>
      </c>
      <c r="G232" s="39" t="n">
        <v>617</v>
      </c>
      <c r="H232" s="28">
        <f>103-F232</f>
        <v/>
      </c>
      <c r="I232" s="71" t="n">
        <v>530</v>
      </c>
      <c r="J232" s="39" t="n">
        <v>516</v>
      </c>
      <c r="K232" s="28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3">
        <f>TABL123[[#This Row],[ (S/S) SAR]]-TABL123[[#This Row],[(S/S) AJD]]</f>
        <v/>
      </c>
      <c r="Q232" s="39" t="n">
        <v>469</v>
      </c>
      <c r="R232" s="3">
        <f>TABL123[[#This Row],[ (T/B) SAR]]-TABL123[[#This Row],[(T/B) AJD]]</f>
        <v/>
      </c>
      <c r="S232" s="3">
        <f>TABL123[[#This Row],[T/B-CON.]]+TABL123[[#This Row],[S/S_CON.]]</f>
        <v/>
      </c>
      <c r="T232" s="3">
        <f>TABL123[[#This Row],[(S/S) AJD]]+TABL123[[#This Row],[(T/B) AJD]]</f>
        <v/>
      </c>
      <c r="U232" s="41" t="n">
        <v>598</v>
      </c>
      <c r="V232" s="41" t="n">
        <v>238</v>
      </c>
      <c r="W232" s="3">
        <f>TABL123[[#This Row],[(A/B) AJD]]+TABL123[[#This Row],[(A/S) AJD]]</f>
        <v/>
      </c>
      <c r="X232" s="3">
        <f>TABL123[[#This Row],[( S/S+T/B) AJD]]-TABL123[[#This Row],[(A/B + A/S) AJD]]</f>
        <v/>
      </c>
      <c r="Y232" s="41" t="n">
        <v>92.393</v>
      </c>
      <c r="Z232" s="43" t="n">
        <v>432933</v>
      </c>
      <c r="AA232" s="3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43" t="n">
        <v>3604</v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87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32">
        <f>TABL123[[#This Row],[(A/S) AJD]]-TABL123[[#This Row],[SER_IN]]</f>
        <v/>
      </c>
    </row>
    <row r="233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28" t="n"/>
      <c r="F233" s="44" t="n">
        <v>93</v>
      </c>
      <c r="G233" s="40" t="n">
        <v>617</v>
      </c>
      <c r="H233" s="28">
        <f>103-F233</f>
        <v/>
      </c>
      <c r="I233" s="40" t="n">
        <v>536</v>
      </c>
      <c r="J233" s="44" t="n">
        <v>522</v>
      </c>
      <c r="K233" s="28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3">
        <f>TABL123[[#This Row],[ (S/S) SAR]]-TABL123[[#This Row],[(S/S) AJD]]</f>
        <v/>
      </c>
      <c r="Q233" s="40" t="n">
        <v>467</v>
      </c>
      <c r="R233" s="3">
        <f>TABL123[[#This Row],[ (T/B) SAR]]-TABL123[[#This Row],[(T/B) AJD]]</f>
        <v/>
      </c>
      <c r="S233" s="3">
        <f>TABL123[[#This Row],[T/B-CON.]]+TABL123[[#This Row],[S/S_CON.]]</f>
        <v/>
      </c>
      <c r="T233" s="3">
        <f>TABL123[[#This Row],[(S/S) AJD]]+TABL123[[#This Row],[(T/B) AJD]]</f>
        <v/>
      </c>
      <c r="U233" s="44" t="n">
        <v>593</v>
      </c>
      <c r="V233" s="44" t="n">
        <v>288</v>
      </c>
      <c r="W233" s="3">
        <f>TABL123[[#This Row],[(A/B) AJD]]+TABL123[[#This Row],[(A/S) AJD]]</f>
        <v/>
      </c>
      <c r="X233" s="3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3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45" t="n">
        <v>3023</v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87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32">
        <f>TABL123[[#This Row],[(A/S) AJD]]-TABL123[[#This Row],[SER_IN]]</f>
        <v/>
      </c>
    </row>
    <row r="234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28" t="n"/>
      <c r="F234" s="41" t="n">
        <v>89</v>
      </c>
      <c r="G234" s="39" t="n">
        <v>597</v>
      </c>
      <c r="H234" s="28">
        <f>103-F234</f>
        <v/>
      </c>
      <c r="I234" s="39" t="n">
        <v>275</v>
      </c>
      <c r="J234" s="39" t="n">
        <v>240</v>
      </c>
      <c r="K234" s="28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3">
        <f>TABL123[[#This Row],[ (S/S) SAR]]-TABL123[[#This Row],[(S/S) AJD]]</f>
        <v/>
      </c>
      <c r="Q234" s="39" t="n">
        <v>469</v>
      </c>
      <c r="R234" s="3">
        <f>TABL123[[#This Row],[ (T/B) SAR]]-TABL123[[#This Row],[(T/B) AJD]]</f>
        <v/>
      </c>
      <c r="S234" s="3">
        <f>TABL123[[#This Row],[T/B-CON.]]+TABL123[[#This Row],[S/S_CON.]]</f>
        <v/>
      </c>
      <c r="T234" s="3">
        <f>TABL123[[#This Row],[(S/S) AJD]]+TABL123[[#This Row],[(T/B) AJD]]</f>
        <v/>
      </c>
      <c r="U234" s="41" t="n">
        <v>521</v>
      </c>
      <c r="V234" s="41" t="n">
        <v>281</v>
      </c>
      <c r="W234" s="3">
        <f>TABL123[[#This Row],[(A/B) AJD]]+TABL123[[#This Row],[(A/S) AJD]]</f>
        <v/>
      </c>
      <c r="X234" s="3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3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43" t="n">
        <v>3138</v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87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32">
        <f>TABL123[[#This Row],[(A/S) AJD]]-TABL123[[#This Row],[SER_IN]]</f>
        <v/>
      </c>
    </row>
    <row r="235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28" t="n"/>
      <c r="F235" s="44" t="n">
        <v>88</v>
      </c>
      <c r="G235" s="40" t="n">
        <v>524</v>
      </c>
      <c r="H235" s="28">
        <f>103-F235</f>
        <v/>
      </c>
      <c r="I235" s="40" t="n">
        <v>261</v>
      </c>
      <c r="J235" s="44" t="n">
        <v>250</v>
      </c>
      <c r="K235" s="28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3">
        <f>TABL123[[#This Row],[ (S/S) SAR]]-TABL123[[#This Row],[(S/S) AJD]]</f>
        <v/>
      </c>
      <c r="Q235" s="40" t="n">
        <v>359</v>
      </c>
      <c r="R235" s="3">
        <f>TABL123[[#This Row],[ (T/B) SAR]]-TABL123[[#This Row],[(T/B) AJD]]</f>
        <v/>
      </c>
      <c r="S235" s="3">
        <f>TABL123[[#This Row],[T/B-CON.]]+TABL123[[#This Row],[S/S_CON.]]</f>
        <v/>
      </c>
      <c r="T235" s="3">
        <f>TABL123[[#This Row],[(S/S) AJD]]+TABL123[[#This Row],[(T/B) AJD]]</f>
        <v/>
      </c>
      <c r="U235" s="44" t="n">
        <v>489</v>
      </c>
      <c r="V235" s="44" t="n">
        <v>211</v>
      </c>
      <c r="W235" s="3">
        <f>TABL123[[#This Row],[(A/B) AJD]]+TABL123[[#This Row],[(A/S) AJD]]</f>
        <v/>
      </c>
      <c r="X235" s="3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3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45" t="n">
        <v>3356</v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87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32">
        <f>TABL123[[#This Row],[(A/S) AJD]]-TABL123[[#This Row],[SER_IN]]</f>
        <v/>
      </c>
    </row>
    <row r="236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28" t="n"/>
      <c r="F236" s="41" t="n">
        <v>88</v>
      </c>
      <c r="G236" s="39" t="n">
        <v>524</v>
      </c>
      <c r="H236" s="28">
        <f>103-F236</f>
        <v/>
      </c>
      <c r="I236" s="39" t="n">
        <v>453</v>
      </c>
      <c r="J236" s="39" t="n">
        <v>440</v>
      </c>
      <c r="K236" s="28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3">
        <f>TABL123[[#This Row],[ (S/S) SAR]]-TABL123[[#This Row],[(S/S) AJD]]</f>
        <v/>
      </c>
      <c r="Q236" s="39" t="n">
        <v>325</v>
      </c>
      <c r="R236" s="3">
        <f>TABL123[[#This Row],[ (T/B) SAR]]-TABL123[[#This Row],[(T/B) AJD]]</f>
        <v/>
      </c>
      <c r="S236" s="3">
        <f>TABL123[[#This Row],[T/B-CON.]]+TABL123[[#This Row],[S/S_CON.]]</f>
        <v/>
      </c>
      <c r="T236" s="3">
        <f>TABL123[[#This Row],[(S/S) AJD]]+TABL123[[#This Row],[(T/B) AJD]]</f>
        <v/>
      </c>
      <c r="U236" s="41" t="n">
        <v>467</v>
      </c>
      <c r="V236" s="41" t="n">
        <v>232</v>
      </c>
      <c r="W236" s="3">
        <f>TABL123[[#This Row],[(A/B) AJD]]+TABL123[[#This Row],[(A/S) AJD]]</f>
        <v/>
      </c>
      <c r="X236" s="3">
        <f>TABL123[[#This Row],[( S/S+T/B) AJD]]-TABL123[[#This Row],[(A/B + A/S) AJD]]</f>
        <v/>
      </c>
      <c r="Y236" s="41" t="n">
        <v>92.27</v>
      </c>
      <c r="Z236" s="43" t="n">
        <v>359834</v>
      </c>
      <c r="AA236" s="3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43" t="n">
        <v>3209</v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87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32">
        <f>TABL123[[#This Row],[(A/S) AJD]]-TABL123[[#This Row],[SER_IN]]</f>
        <v/>
      </c>
    </row>
    <row r="237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28" t="n"/>
      <c r="F237" s="44" t="n">
        <v>93</v>
      </c>
      <c r="G237" s="40" t="n">
        <v>617</v>
      </c>
      <c r="H237" s="28">
        <f>103-F237</f>
        <v/>
      </c>
      <c r="I237" s="40" t="n">
        <v>497</v>
      </c>
      <c r="J237" s="44" t="n">
        <v>485</v>
      </c>
      <c r="K237" s="28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3">
        <f>TABL123[[#This Row],[ (S/S) SAR]]-TABL123[[#This Row],[(S/S) AJD]]</f>
        <v/>
      </c>
      <c r="Q237" s="40" t="n">
        <v>363</v>
      </c>
      <c r="R237" s="3">
        <f>TABL123[[#This Row],[ (T/B) SAR]]-TABL123[[#This Row],[(T/B) AJD]]</f>
        <v/>
      </c>
      <c r="S237" s="3">
        <f>TABL123[[#This Row],[T/B-CON.]]+TABL123[[#This Row],[S/S_CON.]]</f>
        <v/>
      </c>
      <c r="T237" s="3">
        <f>TABL123[[#This Row],[(S/S) AJD]]+TABL123[[#This Row],[(T/B) AJD]]</f>
        <v/>
      </c>
      <c r="U237" s="44" t="n">
        <v>517</v>
      </c>
      <c r="V237" s="44" t="n">
        <v>249</v>
      </c>
      <c r="W237" s="3">
        <f>TABL123[[#This Row],[(A/B) AJD]]+TABL123[[#This Row],[(A/S) AJD]]</f>
        <v/>
      </c>
      <c r="X237" s="3">
        <f>TABL123[[#This Row],[( S/S+T/B) AJD]]-TABL123[[#This Row],[(A/B + A/S) AJD]]</f>
        <v/>
      </c>
      <c r="Y237" s="44" t="n">
        <v>92.113</v>
      </c>
      <c r="Z237" s="45" t="n">
        <v>266714</v>
      </c>
      <c r="AA237" s="3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45" t="n">
        <v>2981</v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87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32">
        <f>TABL123[[#This Row],[(A/S) AJD]]-TABL123[[#This Row],[SER_IN]]</f>
        <v/>
      </c>
    </row>
    <row r="238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28" t="n"/>
      <c r="F238" s="41" t="n">
        <v>93</v>
      </c>
      <c r="G238" s="39" t="n">
        <v>617</v>
      </c>
      <c r="H238" s="28">
        <f>103-F238</f>
        <v/>
      </c>
      <c r="I238" s="39" t="n">
        <v>527</v>
      </c>
      <c r="J238" s="39" t="n">
        <v>512</v>
      </c>
      <c r="K238" s="28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3">
        <f>TABL123[[#This Row],[ (S/S) SAR]]-TABL123[[#This Row],[(S/S) AJD]]</f>
        <v/>
      </c>
      <c r="Q238" s="39" t="n">
        <v>431</v>
      </c>
      <c r="R238" s="3">
        <f>TABL123[[#This Row],[ (T/B) SAR]]-TABL123[[#This Row],[(T/B) AJD]]</f>
        <v/>
      </c>
      <c r="S238" s="3">
        <f>TABL123[[#This Row],[T/B-CON.]]+TABL123[[#This Row],[S/S_CON.]]</f>
        <v/>
      </c>
      <c r="T238" s="3">
        <f>TABL123[[#This Row],[(S/S) AJD]]+TABL123[[#This Row],[(T/B) AJD]]</f>
        <v/>
      </c>
      <c r="U238" s="41" t="n">
        <v>464</v>
      </c>
      <c r="V238" s="41" t="n">
        <v>249</v>
      </c>
      <c r="W238" s="3">
        <f>TABL123[[#This Row],[(A/B) AJD]]+TABL123[[#This Row],[(A/S) AJD]]</f>
        <v/>
      </c>
      <c r="X238" s="3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3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43" t="n">
        <v>3197</v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87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32">
        <f>TABL123[[#This Row],[(A/S) AJD]]-TABL123[[#This Row],[SER_IN]]</f>
        <v/>
      </c>
    </row>
    <row r="239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28" t="n"/>
      <c r="F239" s="44" t="n">
        <v>93</v>
      </c>
      <c r="G239" s="40" t="n">
        <v>617</v>
      </c>
      <c r="H239" s="28">
        <f>103-F239</f>
        <v/>
      </c>
      <c r="I239" s="40" t="n">
        <v>534</v>
      </c>
      <c r="J239" s="44" t="n">
        <v>520</v>
      </c>
      <c r="K239" s="28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3">
        <f>TABL123[[#This Row],[ (S/S) SAR]]-TABL123[[#This Row],[(S/S) AJD]]</f>
        <v/>
      </c>
      <c r="Q239" s="40" t="n">
        <v>463</v>
      </c>
      <c r="R239" s="3">
        <f>TABL123[[#This Row],[ (T/B) SAR]]-TABL123[[#This Row],[(T/B) AJD]]</f>
        <v/>
      </c>
      <c r="S239" s="3">
        <f>TABL123[[#This Row],[T/B-CON.]]+TABL123[[#This Row],[S/S_CON.]]</f>
        <v/>
      </c>
      <c r="T239" s="3">
        <f>TABL123[[#This Row],[(S/S) AJD]]+TABL123[[#This Row],[(T/B) AJD]]</f>
        <v/>
      </c>
      <c r="U239" s="44" t="n">
        <v>514</v>
      </c>
      <c r="V239" s="44" t="n">
        <v>248</v>
      </c>
      <c r="W239" s="3">
        <f>TABL123[[#This Row],[(A/B) AJD]]+TABL123[[#This Row],[(A/S) AJD]]</f>
        <v/>
      </c>
      <c r="X239" s="3">
        <f>TABL123[[#This Row],[( S/S+T/B) AJD]]-TABL123[[#This Row],[(A/B + A/S) AJD]]</f>
        <v/>
      </c>
      <c r="Y239" s="44" t="n">
        <v>92.452</v>
      </c>
      <c r="Z239" s="45" t="n">
        <v>458044</v>
      </c>
      <c r="AA239" s="3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45" t="n">
        <v>3343</v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87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32">
        <f>TABL123[[#This Row],[(A/S) AJD]]-TABL123[[#This Row],[SER_IN]]</f>
        <v/>
      </c>
    </row>
    <row r="240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28" t="n"/>
      <c r="F240" s="41" t="n">
        <v>93</v>
      </c>
      <c r="G240" s="39" t="n">
        <v>617</v>
      </c>
      <c r="H240" s="28">
        <f>103-F240</f>
        <v/>
      </c>
      <c r="I240" s="39" t="n">
        <v>534</v>
      </c>
      <c r="J240" s="39" t="n">
        <v>520</v>
      </c>
      <c r="K240" s="28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3">
        <f>TABL123[[#This Row],[ (S/S) SAR]]-TABL123[[#This Row],[(S/S) AJD]]</f>
        <v/>
      </c>
      <c r="Q240" s="39" t="n">
        <v>470</v>
      </c>
      <c r="R240" s="3">
        <f>TABL123[[#This Row],[ (T/B) SAR]]-TABL123[[#This Row],[(T/B) AJD]]</f>
        <v/>
      </c>
      <c r="S240" s="3">
        <f>TABL123[[#This Row],[T/B-CON.]]+TABL123[[#This Row],[S/S_CON.]]</f>
        <v/>
      </c>
      <c r="T240" s="3">
        <f>TABL123[[#This Row],[(S/S) AJD]]+TABL123[[#This Row],[(T/B) AJD]]</f>
        <v/>
      </c>
      <c r="U240" s="41" t="n">
        <v>537</v>
      </c>
      <c r="V240" s="41" t="n">
        <v>247</v>
      </c>
      <c r="W240" s="3">
        <f>TABL123[[#This Row],[(A/B) AJD]]+TABL123[[#This Row],[(A/S) AJD]]</f>
        <v/>
      </c>
      <c r="X240" s="3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3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43" t="n">
        <v>3512</v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87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32">
        <f>TABL123[[#This Row],[(A/S) AJD]]-TABL123[[#This Row],[SER_IN]]</f>
        <v/>
      </c>
    </row>
    <row r="24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28" t="n"/>
      <c r="F241" s="44" t="n">
        <v>93</v>
      </c>
      <c r="G241" s="40" t="n">
        <v>617</v>
      </c>
      <c r="H241" s="28">
        <f>103-F241</f>
        <v/>
      </c>
      <c r="I241" s="40" t="n">
        <v>535</v>
      </c>
      <c r="J241" s="44" t="n">
        <v>523</v>
      </c>
      <c r="K241" s="28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3">
        <f>TABL123[[#This Row],[ (S/S) SAR]]-TABL123[[#This Row],[(S/S) AJD]]</f>
        <v/>
      </c>
      <c r="Q241" s="40" t="n">
        <v>473</v>
      </c>
      <c r="R241" s="3">
        <f>TABL123[[#This Row],[ (T/B) SAR]]-TABL123[[#This Row],[(T/B) AJD]]</f>
        <v/>
      </c>
      <c r="S241" s="3">
        <f>TABL123[[#This Row],[T/B-CON.]]+TABL123[[#This Row],[S/S_CON.]]</f>
        <v/>
      </c>
      <c r="T241" s="3">
        <f>TABL123[[#This Row],[(S/S) AJD]]+TABL123[[#This Row],[(T/B) AJD]]</f>
        <v/>
      </c>
      <c r="U241" s="44" t="n">
        <v>542</v>
      </c>
      <c r="V241" s="44" t="n">
        <v>272</v>
      </c>
      <c r="W241" s="3">
        <f>TABL123[[#This Row],[(A/B) AJD]]+TABL123[[#This Row],[(A/S) AJD]]</f>
        <v/>
      </c>
      <c r="X241" s="3">
        <f>TABL123[[#This Row],[( S/S+T/B) AJD]]-TABL123[[#This Row],[(A/B + A/S) AJD]]</f>
        <v/>
      </c>
      <c r="Y241" s="44" t="n">
        <v>92.717</v>
      </c>
      <c r="Z241" s="45" t="n">
        <v>626082</v>
      </c>
      <c r="AA241" s="3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45" t="n">
        <v>35790</v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87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32">
        <f>TABL123[[#This Row],[(A/S) AJD]]-TABL123[[#This Row],[SER_IN]]</f>
        <v/>
      </c>
    </row>
    <row r="242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28" t="n"/>
      <c r="F242" s="41" t="n">
        <v>93</v>
      </c>
      <c r="G242" s="39" t="n">
        <v>617</v>
      </c>
      <c r="H242" s="28">
        <f>103-F242</f>
        <v/>
      </c>
      <c r="I242" s="39" t="n">
        <v>535</v>
      </c>
      <c r="J242" s="39" t="n">
        <v>521</v>
      </c>
      <c r="K242" s="28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3">
        <f>TABL123[[#This Row],[ (S/S) SAR]]-TABL123[[#This Row],[(S/S) AJD]]</f>
        <v/>
      </c>
      <c r="Q242" s="39" t="n">
        <v>473</v>
      </c>
      <c r="R242" s="3">
        <f>TABL123[[#This Row],[ (T/B) SAR]]-TABL123[[#This Row],[(T/B) AJD]]</f>
        <v/>
      </c>
      <c r="S242" s="3">
        <f>TABL123[[#This Row],[T/B-CON.]]+TABL123[[#This Row],[S/S_CON.]]</f>
        <v/>
      </c>
      <c r="T242" s="3">
        <f>TABL123[[#This Row],[(S/S) AJD]]+TABL123[[#This Row],[(T/B) AJD]]</f>
        <v/>
      </c>
      <c r="U242" s="41" t="n">
        <v>549</v>
      </c>
      <c r="V242" s="41" t="n">
        <v>260</v>
      </c>
      <c r="W242" s="3">
        <f>TABL123[[#This Row],[(A/B) AJD]]+TABL123[[#This Row],[(A/S) AJD]]</f>
        <v/>
      </c>
      <c r="X242" s="3">
        <f>TABL123[[#This Row],[( S/S+T/B) AJD]]-TABL123[[#This Row],[(A/B + A/S) AJD]]</f>
        <v/>
      </c>
      <c r="Y242" s="41" t="n">
        <v>92.861</v>
      </c>
      <c r="Z242" s="43" t="n">
        <v>712200</v>
      </c>
      <c r="AA242" s="3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43" t="n">
        <v>1386</v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87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32">
        <f>TABL123[[#This Row],[(A/S) AJD]]-TABL123[[#This Row],[SER_IN]]</f>
        <v/>
      </c>
    </row>
    <row r="243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28" t="n"/>
      <c r="F243" s="44" t="n">
        <v>93</v>
      </c>
      <c r="G243" s="40" t="n">
        <v>617</v>
      </c>
      <c r="H243" s="28">
        <f>103-F243</f>
        <v/>
      </c>
      <c r="I243" s="40" t="n">
        <v>532</v>
      </c>
      <c r="J243" s="44" t="n">
        <v>510</v>
      </c>
      <c r="K243" s="28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3">
        <f>TABL123[[#This Row],[ (S/S) SAR]]-TABL123[[#This Row],[(S/S) AJD]]</f>
        <v/>
      </c>
      <c r="Q243" s="40" t="n">
        <v>471</v>
      </c>
      <c r="R243" s="3">
        <f>TABL123[[#This Row],[ (T/B) SAR]]-TABL123[[#This Row],[(T/B) AJD]]</f>
        <v/>
      </c>
      <c r="S243" s="3">
        <f>TABL123[[#This Row],[T/B-CON.]]+TABL123[[#This Row],[S/S_CON.]]</f>
        <v/>
      </c>
      <c r="T243" s="3">
        <f>TABL123[[#This Row],[(S/S) AJD]]+TABL123[[#This Row],[(T/B) AJD]]</f>
        <v/>
      </c>
      <c r="U243" s="44" t="n">
        <v>572</v>
      </c>
      <c r="V243" s="44" t="n">
        <v>290</v>
      </c>
      <c r="W243" s="3">
        <f>TABL123[[#This Row],[(A/B) AJD]]+TABL123[[#This Row],[(A/S) AJD]]</f>
        <v/>
      </c>
      <c r="X243" s="3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3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45" t="n">
        <v>3431</v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87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32">
        <f>TABL123[[#This Row],[(A/S) AJD]]-TABL123[[#This Row],[SER_IN]]</f>
        <v/>
      </c>
    </row>
    <row r="244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28" t="n"/>
      <c r="F244" s="41" t="n">
        <v>93</v>
      </c>
      <c r="G244" s="39" t="n">
        <v>617</v>
      </c>
      <c r="H244" s="28">
        <f>103-F244</f>
        <v/>
      </c>
      <c r="I244" s="39" t="n">
        <v>520</v>
      </c>
      <c r="J244" s="39" t="n">
        <v>506</v>
      </c>
      <c r="K244" s="28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3">
        <f>TABL123[[#This Row],[ (S/S) SAR]]-TABL123[[#This Row],[(S/S) AJD]]</f>
        <v/>
      </c>
      <c r="Q244" s="39" t="n">
        <v>468</v>
      </c>
      <c r="R244" s="3">
        <f>TABL123[[#This Row],[ (T/B) SAR]]-TABL123[[#This Row],[(T/B) AJD]]</f>
        <v/>
      </c>
      <c r="S244" s="3">
        <f>TABL123[[#This Row],[T/B-CON.]]+TABL123[[#This Row],[S/S_CON.]]</f>
        <v/>
      </c>
      <c r="T244" s="3">
        <f>TABL123[[#This Row],[(S/S) AJD]]+TABL123[[#This Row],[(T/B) AJD]]</f>
        <v/>
      </c>
      <c r="U244" s="41" t="n">
        <v>581</v>
      </c>
      <c r="V244" s="41" t="n">
        <v>335</v>
      </c>
      <c r="W244" s="3">
        <f>TABL123[[#This Row],[(A/B) AJD]]+TABL123[[#This Row],[(A/S) AJD]]</f>
        <v/>
      </c>
      <c r="X244" s="3">
        <f>TABL123[[#This Row],[( S/S+T/B) AJD]]-TABL123[[#This Row],[(A/B + A/S) AJD]]</f>
        <v/>
      </c>
      <c r="Y244" s="41" t="n">
        <v>92.779</v>
      </c>
      <c r="Z244" s="43" t="n">
        <v>663138</v>
      </c>
      <c r="AA244" s="3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43" t="n">
        <v>3535</v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87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32">
        <f>TABL123[[#This Row],[(A/S) AJD]]-TABL123[[#This Row],[SER_IN]]</f>
        <v/>
      </c>
    </row>
    <row r="245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">
        <f>TABL123[[#This Row],[(S/S) AJD]]+TABL123[[#This Row],[(T/B) AJD]]</f>
        <v/>
      </c>
      <c r="U245" s="41" t="n">
        <v>588</v>
      </c>
      <c r="V245" s="41" t="n">
        <v>346</v>
      </c>
      <c r="W245" s="9">
        <f>TABL123[[#This Row],[(A/B) AJD]]+TABL123[[#This Row],[(A/S) AJD]]</f>
        <v/>
      </c>
      <c r="X245" s="9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3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43" t="n">
        <v>3233</v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87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32">
        <f>TABL123[[#This Row],[(A/S) AJD]]-TABL123[[#This Row],[SER_IN]]</f>
        <v/>
      </c>
    </row>
    <row r="246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">
        <f>TABL123[[#This Row],[(S/S) AJD]]+TABL123[[#This Row],[(T/B) AJD]]</f>
        <v/>
      </c>
      <c r="U246" s="44" t="n">
        <v>583</v>
      </c>
      <c r="V246" s="44" t="n">
        <v>308</v>
      </c>
      <c r="W246" s="9">
        <f>TABL123[[#This Row],[(A/B) AJD]]+TABL123[[#This Row],[(A/S) AJD]]</f>
        <v/>
      </c>
      <c r="X246" s="9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3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45" t="n">
        <v>3102</v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87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32">
        <f>TABL123[[#This Row],[(A/S) AJD]]-TABL123[[#This Row],[SER_IN]]</f>
        <v/>
      </c>
    </row>
    <row r="247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">
        <f>TABL123[[#This Row],[(S/S) AJD]]+TABL123[[#This Row],[(T/B) AJD]]</f>
        <v/>
      </c>
      <c r="U247" s="41" t="n">
        <v>600</v>
      </c>
      <c r="V247" s="41" t="n">
        <v>287</v>
      </c>
      <c r="W247" s="9">
        <f>TABL123[[#This Row],[(A/B) AJD]]+TABL123[[#This Row],[(A/S) AJD]]</f>
        <v/>
      </c>
      <c r="X247" s="9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3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43" t="n">
        <v>2981</v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87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32">
        <f>TABL123[[#This Row],[(A/S) AJD]]-TABL123[[#This Row],[SER_IN]]</f>
        <v/>
      </c>
    </row>
    <row r="248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">
        <f>TABL123[[#This Row],[(S/S) AJD]]+TABL123[[#This Row],[(T/B) AJD]]</f>
        <v/>
      </c>
      <c r="U248" s="44" t="n">
        <v>576</v>
      </c>
      <c r="V248" s="44" t="n">
        <v>272</v>
      </c>
      <c r="W248" s="9">
        <f>TABL123[[#This Row],[(A/B) AJD]]+TABL123[[#This Row],[(A/S) AJD]]</f>
        <v/>
      </c>
      <c r="X248" s="9">
        <f>TABL123[[#This Row],[( S/S+T/B) AJD]]-TABL123[[#This Row],[(A/B + A/S) AJD]]</f>
        <v/>
      </c>
      <c r="Y248" s="44" t="n">
        <v>92.133</v>
      </c>
      <c r="Z248" s="45" t="n">
        <v>278567</v>
      </c>
      <c r="AA248" s="3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45" t="n">
        <v>2979</v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87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32">
        <f>TABL123[[#This Row],[(A/S) AJD]]-TABL123[[#This Row],[SER_IN]]</f>
        <v/>
      </c>
    </row>
    <row r="249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">
        <f>TABL123[[#This Row],[(S/S) AJD]]+TABL123[[#This Row],[(T/B) AJD]]</f>
        <v/>
      </c>
      <c r="U249" s="41" t="n">
        <v>568</v>
      </c>
      <c r="V249" s="41" t="n">
        <v>267</v>
      </c>
      <c r="W249" s="9">
        <f>TABL123[[#This Row],[(A/B) AJD]]+TABL123[[#This Row],[(A/S) AJD]]</f>
        <v/>
      </c>
      <c r="X249" s="9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3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43" t="n">
        <v>3227</v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87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32">
        <f>TABL123[[#This Row],[(A/S) AJD]]-TABL123[[#This Row],[SER_IN]]</f>
        <v/>
      </c>
    </row>
    <row r="250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28">
        <f>103-F250</f>
        <v/>
      </c>
      <c r="I250" s="40" t="n">
        <v>510</v>
      </c>
      <c r="J250" s="44" t="n">
        <v>495</v>
      </c>
      <c r="K250" s="28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">
        <f>TABL123[[#This Row],[ (S/S) SAR]]-TABL123[[#This Row],[(S/S) AJD]]</f>
        <v/>
      </c>
      <c r="Q250" s="40" t="n">
        <v>453</v>
      </c>
      <c r="R250" s="9">
        <f>TABL123[[#This Row],[ (T/B) SAR]]-TABL123[[#This Row],[(T/B) AJD]]</f>
        <v/>
      </c>
      <c r="S250" s="9">
        <f>TABL123[[#This Row],[T/B-CON.]]+TABL123[[#This Row],[S/S_CON.]]</f>
        <v/>
      </c>
      <c r="T250" s="9">
        <f>TABL123[[#This Row],[(S/S) AJD]]+TABL123[[#This Row],[(T/B) AJD]]</f>
        <v/>
      </c>
      <c r="U250" s="44" t="n">
        <v>558</v>
      </c>
      <c r="V250" s="44" t="n">
        <v>250</v>
      </c>
      <c r="W250" s="9">
        <f>TABL123[[#This Row],[(A/B) AJD]]+TABL123[[#This Row],[(A/S) AJD]]</f>
        <v/>
      </c>
      <c r="X250" s="9">
        <f>TABL123[[#This Row],[( S/S+T/B) AJD]]-TABL123[[#This Row],[(A/B + A/S) AJD]]</f>
        <v/>
      </c>
      <c r="Y250" s="44" t="n">
        <v>92.17</v>
      </c>
      <c r="Z250" s="45" t="n">
        <v>300501</v>
      </c>
      <c r="AA250" s="3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45" t="n">
        <v>2770</v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87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32">
        <f>TABL123[[#This Row],[(A/S) AJD]]-TABL123[[#This Row],[SER_IN]]</f>
        <v/>
      </c>
    </row>
    <row r="25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28">
        <f>103-F251</f>
        <v/>
      </c>
      <c r="I251" s="39" t="n">
        <v>512</v>
      </c>
      <c r="J251" s="39" t="n">
        <v>498</v>
      </c>
      <c r="K251" s="28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">
        <f>TABL123[[#This Row],[ (S/S) SAR]]-TABL123[[#This Row],[(S/S) AJD]]</f>
        <v/>
      </c>
      <c r="Q251" s="39" t="n">
        <v>450</v>
      </c>
      <c r="R251" s="9">
        <f>TABL123[[#This Row],[ (T/B) SAR]]-TABL123[[#This Row],[(T/B) AJD]]</f>
        <v/>
      </c>
      <c r="S251" s="9">
        <f>TABL123[[#This Row],[T/B-CON.]]+TABL123[[#This Row],[S/S_CON.]]</f>
        <v/>
      </c>
      <c r="T251" s="9">
        <f>TABL123[[#This Row],[(S/S) AJD]]+TABL123[[#This Row],[(T/B) AJD]]</f>
        <v/>
      </c>
      <c r="U251" s="41" t="n">
        <v>563</v>
      </c>
      <c r="V251" s="41" t="n">
        <v>257</v>
      </c>
      <c r="W251" s="9">
        <f>TABL123[[#This Row],[(A/B) AJD]]+TABL123[[#This Row],[(A/S) AJD]]</f>
        <v/>
      </c>
      <c r="X251" s="9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3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43" t="n">
        <v>2877</v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87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32">
        <f>TABL123[[#This Row],[(A/S) AJD]]-TABL123[[#This Row],[SER_IN]]</f>
        <v/>
      </c>
    </row>
    <row r="252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28">
        <f>103-F252</f>
        <v/>
      </c>
      <c r="I252" s="40" t="n">
        <v>515</v>
      </c>
      <c r="J252" s="44" t="n">
        <v>505</v>
      </c>
      <c r="K252" s="28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">
        <f>TABL123[[#This Row],[ (S/S) SAR]]-TABL123[[#This Row],[(S/S) AJD]]</f>
        <v/>
      </c>
      <c r="Q252" s="40" t="n">
        <v>458</v>
      </c>
      <c r="R252" s="9">
        <f>TABL123[[#This Row],[ (T/B) SAR]]-TABL123[[#This Row],[(T/B) AJD]]</f>
        <v/>
      </c>
      <c r="S252" s="9">
        <f>TABL123[[#This Row],[T/B-CON.]]+TABL123[[#This Row],[S/S_CON.]]</f>
        <v/>
      </c>
      <c r="T252" s="9">
        <f>TABL123[[#This Row],[(S/S) AJD]]+TABL123[[#This Row],[(T/B) AJD]]</f>
        <v/>
      </c>
      <c r="U252" s="44" t="n">
        <v>581</v>
      </c>
      <c r="V252" s="44" t="n">
        <v>273</v>
      </c>
      <c r="W252" s="9">
        <f>TABL123[[#This Row],[(A/B) AJD]]+TABL123[[#This Row],[(A/S) AJD]]</f>
        <v/>
      </c>
      <c r="X252" s="9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3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45" t="n">
        <v>3190</v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87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32">
        <f>TABL123[[#This Row],[(A/S) AJD]]-TABL123[[#This Row],[SER_IN]]</f>
        <v/>
      </c>
    </row>
    <row r="253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28">
        <f>103-F253</f>
        <v/>
      </c>
      <c r="I253" s="39" t="n">
        <v>515</v>
      </c>
      <c r="J253" s="39" t="n">
        <v>505</v>
      </c>
      <c r="K253" s="28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">
        <f>TABL123[[#This Row],[ (S/S) SAR]]-TABL123[[#This Row],[(S/S) AJD]]</f>
        <v/>
      </c>
      <c r="Q253" s="39" t="n">
        <v>458</v>
      </c>
      <c r="R253" s="9">
        <f>TABL123[[#This Row],[ (T/B) SAR]]-TABL123[[#This Row],[(T/B) AJD]]</f>
        <v/>
      </c>
      <c r="S253" s="9">
        <f>TABL123[[#This Row],[T/B-CON.]]+TABL123[[#This Row],[S/S_CON.]]</f>
        <v/>
      </c>
      <c r="T253" s="9">
        <f>TABL123[[#This Row],[(S/S) AJD]]+TABL123[[#This Row],[(T/B) AJD]]</f>
        <v/>
      </c>
      <c r="U253" s="41" t="n">
        <v>558</v>
      </c>
      <c r="V253" s="41" t="n">
        <v>260</v>
      </c>
      <c r="W253" s="9">
        <f>TABL123[[#This Row],[(A/B) AJD]]+TABL123[[#This Row],[(A/S) AJD]]</f>
        <v/>
      </c>
      <c r="X253" s="9">
        <f>TABL123[[#This Row],[( S/S+T/B) AJD]]-TABL123[[#This Row],[(A/B + A/S) AJD]]</f>
        <v/>
      </c>
      <c r="Y253" s="41" t="n">
        <v>92.282</v>
      </c>
      <c r="Z253" s="43" t="n">
        <v>366961</v>
      </c>
      <c r="AA253" s="3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43" t="n">
        <v>2721</v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87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32">
        <f>TABL123[[#This Row],[(A/S) AJD]]-TABL123[[#This Row],[SER_IN]]</f>
        <v/>
      </c>
    </row>
    <row r="254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28">
        <f>103-F254</f>
        <v/>
      </c>
      <c r="I254" s="40" t="n">
        <v>510</v>
      </c>
      <c r="J254" s="44" t="n">
        <v>497</v>
      </c>
      <c r="K254" s="28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">
        <f>TABL123[[#This Row],[ (S/S) SAR]]-TABL123[[#This Row],[(S/S) AJD]]</f>
        <v/>
      </c>
      <c r="Q254" s="40" t="n">
        <v>455</v>
      </c>
      <c r="R254" s="9">
        <f>TABL123[[#This Row],[ (T/B) SAR]]-TABL123[[#This Row],[(T/B) AJD]]</f>
        <v/>
      </c>
      <c r="S254" s="9">
        <f>TABL123[[#This Row],[T/B-CON.]]+TABL123[[#This Row],[S/S_CON.]]</f>
        <v/>
      </c>
      <c r="T254" s="9">
        <f>TABL123[[#This Row],[(S/S) AJD]]+TABL123[[#This Row],[(T/B) AJD]]</f>
        <v/>
      </c>
      <c r="U254" s="44" t="n">
        <v>557</v>
      </c>
      <c r="V254" s="44" t="n">
        <v>225</v>
      </c>
      <c r="W254" s="9">
        <f>TABL123[[#This Row],[(A/B) AJD]]+TABL123[[#This Row],[(A/S) AJD]]</f>
        <v/>
      </c>
      <c r="X254" s="9">
        <f>TABL123[[#This Row],[( S/S+T/B) AJD]]-TABL123[[#This Row],[(A/B + A/S) AJD]]</f>
        <v/>
      </c>
      <c r="Y254" s="44" t="n">
        <v>92.41</v>
      </c>
      <c r="Z254" s="45" t="n">
        <v>441261</v>
      </c>
      <c r="AA254" s="3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45" t="n">
        <v>2646</v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87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32">
        <f>TABL123[[#This Row],[(A/S) AJD]]-TABL123[[#This Row],[SER_IN]]</f>
        <v/>
      </c>
    </row>
    <row r="255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28">
        <f>103-F255</f>
        <v/>
      </c>
      <c r="I255" s="39" t="n">
        <v>485</v>
      </c>
      <c r="J255" s="39" t="n">
        <v>470</v>
      </c>
      <c r="K255" s="28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">
        <f>TABL123[[#This Row],[ (S/S) SAR]]-TABL123[[#This Row],[(S/S) AJD]]</f>
        <v/>
      </c>
      <c r="Q255" s="39" t="n">
        <v>448</v>
      </c>
      <c r="R255" s="9">
        <f>TABL123[[#This Row],[ (T/B) SAR]]-TABL123[[#This Row],[(T/B) AJD]]</f>
        <v/>
      </c>
      <c r="S255" s="9">
        <f>TABL123[[#This Row],[T/B-CON.]]+TABL123[[#This Row],[S/S_CON.]]</f>
        <v/>
      </c>
      <c r="T255" s="9">
        <f>TABL123[[#This Row],[(S/S) AJD]]+TABL123[[#This Row],[(T/B) AJD]]</f>
        <v/>
      </c>
      <c r="U255" s="41" t="n">
        <v>573</v>
      </c>
      <c r="V255" s="41" t="n">
        <v>236</v>
      </c>
      <c r="W255" s="9">
        <f>TABL123[[#This Row],[(A/B) AJD]]+TABL123[[#This Row],[(A/S) AJD]]</f>
        <v/>
      </c>
      <c r="X255" s="9">
        <f>TABL123[[#This Row],[( S/S+T/B) AJD]]-TABL123[[#This Row],[(A/B + A/S) AJD]]</f>
        <v/>
      </c>
      <c r="Y255" s="41" t="n">
        <v>92.452</v>
      </c>
      <c r="Z255" s="43" t="n">
        <v>468044</v>
      </c>
      <c r="AA255" s="3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43" t="n">
        <v>3135</v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87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32">
        <f>TABL123[[#This Row],[(A/S) AJD]]-TABL123[[#This Row],[SER_IN]]</f>
        <v/>
      </c>
    </row>
    <row r="256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28">
        <f>103-F256</f>
        <v/>
      </c>
      <c r="I256" s="40" t="n">
        <v>485</v>
      </c>
      <c r="J256" s="44" t="n">
        <v>475</v>
      </c>
      <c r="K256" s="28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">
        <f>TABL123[[#This Row],[ (S/S) SAR]]-TABL123[[#This Row],[(S/S) AJD]]</f>
        <v/>
      </c>
      <c r="Q256" s="40" t="n">
        <v>423</v>
      </c>
      <c r="R256" s="9">
        <f>TABL123[[#This Row],[ (T/B) SAR]]-TABL123[[#This Row],[(T/B) AJD]]</f>
        <v/>
      </c>
      <c r="S256" s="9">
        <f>TABL123[[#This Row],[T/B-CON.]]+TABL123[[#This Row],[S/S_CON.]]</f>
        <v/>
      </c>
      <c r="T256" s="9">
        <f>TABL123[[#This Row],[(S/S) AJD]]+TABL123[[#This Row],[(T/B) AJD]]</f>
        <v/>
      </c>
      <c r="U256" s="44" t="n">
        <v>564</v>
      </c>
      <c r="V256" s="44" t="n">
        <v>236</v>
      </c>
      <c r="W256" s="9">
        <f>TABL123[[#This Row],[(A/B) AJD]]+TABL123[[#This Row],[(A/S) AJD]]</f>
        <v/>
      </c>
      <c r="X256" s="9">
        <f>TABL123[[#This Row],[( S/S+T/B) AJD]]-TABL123[[#This Row],[(A/B + A/S) AJD]]</f>
        <v/>
      </c>
      <c r="Y256" s="44" t="n">
        <v>92.435</v>
      </c>
      <c r="Z256" s="45" t="n">
        <v>457921</v>
      </c>
      <c r="AA256" s="3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45" t="n">
        <v>3114</v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87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32">
        <f>TABL123[[#This Row],[(A/S) AJD]]-TABL123[[#This Row],[SER_IN]]</f>
        <v/>
      </c>
    </row>
    <row r="257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28">
        <f>103-F257</f>
        <v/>
      </c>
      <c r="I257" s="39" t="n">
        <v>482</v>
      </c>
      <c r="J257" s="39" t="n">
        <v>472</v>
      </c>
      <c r="K257" s="28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">
        <f>TABL123[[#This Row],[ (S/S) SAR]]-TABL123[[#This Row],[(S/S) AJD]]</f>
        <v/>
      </c>
      <c r="Q257" s="39" t="n">
        <v>389</v>
      </c>
      <c r="R257" s="9">
        <f>TABL123[[#This Row],[ (T/B) SAR]]-TABL123[[#This Row],[(T/B) AJD]]</f>
        <v/>
      </c>
      <c r="S257" s="9">
        <f>TABL123[[#This Row],[T/B-CON.]]+TABL123[[#This Row],[S/S_CON.]]</f>
        <v/>
      </c>
      <c r="T257" s="9">
        <f>TABL123[[#This Row],[(S/S) AJD]]+TABL123[[#This Row],[(T/B) AJD]]</f>
        <v/>
      </c>
      <c r="U257" s="41" t="n">
        <v>534</v>
      </c>
      <c r="V257" s="41" t="n">
        <v>209</v>
      </c>
      <c r="W257" s="9">
        <f>TABL123[[#This Row],[(A/B) AJD]]+TABL123[[#This Row],[(A/S) AJD]]</f>
        <v/>
      </c>
      <c r="X257" s="9">
        <f>TABL123[[#This Row],[( S/S+T/B) AJD]]-TABL123[[#This Row],[(A/B + A/S) AJD]]</f>
        <v/>
      </c>
      <c r="Y257" s="41" t="n">
        <v>92.5</v>
      </c>
      <c r="Z257" s="43" t="n">
        <v>496624</v>
      </c>
      <c r="AA257" s="3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43" t="n">
        <v>2696</v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87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32">
        <f>TABL123[[#This Row],[(A/S) AJD]]-TABL123[[#This Row],[SER_IN]]</f>
        <v/>
      </c>
    </row>
    <row r="258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28">
        <f>103-F258</f>
        <v/>
      </c>
      <c r="I258" s="40" t="n">
        <v>478</v>
      </c>
      <c r="J258" s="44" t="n">
        <v>486</v>
      </c>
      <c r="K258" s="28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">
        <f>TABL123[[#This Row],[ (S/S) SAR]]-TABL123[[#This Row],[(S/S) AJD]]</f>
        <v/>
      </c>
      <c r="Q258" s="40" t="n">
        <v>420</v>
      </c>
      <c r="R258" s="9">
        <f>TABL123[[#This Row],[ (T/B) SAR]]-TABL123[[#This Row],[(T/B) AJD]]</f>
        <v/>
      </c>
      <c r="S258" s="9">
        <f>TABL123[[#This Row],[T/B-CON.]]+TABL123[[#This Row],[S/S_CON.]]</f>
        <v/>
      </c>
      <c r="T258" s="9">
        <f>TABL123[[#This Row],[(S/S) AJD]]+TABL123[[#This Row],[(T/B) AJD]]</f>
        <v/>
      </c>
      <c r="U258" s="44" t="n">
        <v>570</v>
      </c>
      <c r="V258" s="44" t="n">
        <v>201</v>
      </c>
      <c r="W258" s="9">
        <f>TABL123[[#This Row],[(A/B) AJD]]+TABL123[[#This Row],[(A/S) AJD]]</f>
        <v/>
      </c>
      <c r="X258" s="9">
        <f>TABL123[[#This Row],[( S/S+T/B) AJD]]-TABL123[[#This Row],[(A/B + A/S) AJD]]</f>
        <v/>
      </c>
      <c r="Y258" s="44" t="n">
        <v>92.515</v>
      </c>
      <c r="Z258" s="45" t="n">
        <v>503774</v>
      </c>
      <c r="AA258" s="3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45" t="n">
        <v>2429</v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87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32">
        <f>TABL123[[#This Row],[(A/S) AJD]]-TABL123[[#This Row],[SER_IN]]</f>
        <v/>
      </c>
    </row>
    <row r="259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28">
        <f>103-F259</f>
        <v/>
      </c>
      <c r="I259" s="39" t="n">
        <v>280</v>
      </c>
      <c r="J259" s="39" t="n">
        <v>270</v>
      </c>
      <c r="K259" s="28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">
        <f>TABL123[[#This Row],[ (S/S) SAR]]-TABL123[[#This Row],[(S/S) AJD]]</f>
        <v/>
      </c>
      <c r="Q259" s="39" t="n">
        <v>421</v>
      </c>
      <c r="R259" s="9">
        <f>TABL123[[#This Row],[ (T/B) SAR]]-TABL123[[#This Row],[(T/B) AJD]]</f>
        <v/>
      </c>
      <c r="S259" s="9">
        <f>TABL123[[#This Row],[T/B-CON.]]+TABL123[[#This Row],[S/S_CON.]]</f>
        <v/>
      </c>
      <c r="T259" s="9">
        <f>TABL123[[#This Row],[(S/S) AJD]]+TABL123[[#This Row],[(T/B) AJD]]</f>
        <v/>
      </c>
      <c r="U259" s="41" t="n">
        <v>522</v>
      </c>
      <c r="V259" s="41" t="n">
        <v>192</v>
      </c>
      <c r="W259" s="9">
        <f>TABL123[[#This Row],[(A/B) AJD]]+TABL123[[#This Row],[(A/S) AJD]]</f>
        <v/>
      </c>
      <c r="X259" s="9">
        <f>TABL123[[#This Row],[( S/S+T/B) AJD]]-TABL123[[#This Row],[(A/B + A/S) AJD]]</f>
        <v/>
      </c>
      <c r="Y259" s="41" t="n">
        <v>92.622</v>
      </c>
      <c r="Z259" s="43" t="n">
        <v>569359</v>
      </c>
      <c r="AA259" s="3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43" t="n">
        <v>2706</v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87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32">
        <f>TABL123[[#This Row],[(A/S) AJD]]-TABL123[[#This Row],[SER_IN]]</f>
        <v/>
      </c>
    </row>
    <row r="260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28">
        <f>103-F260</f>
        <v/>
      </c>
      <c r="I260" s="40" t="n">
        <v>465</v>
      </c>
      <c r="J260" s="44" t="n">
        <v>460</v>
      </c>
      <c r="K260" s="28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">
        <f>TABL123[[#This Row],[ (S/S) SAR]]-TABL123[[#This Row],[(S/S) AJD]]</f>
        <v/>
      </c>
      <c r="Q260" s="40" t="n">
        <v>382</v>
      </c>
      <c r="R260" s="9">
        <f>TABL123[[#This Row],[ (T/B) SAR]]-TABL123[[#This Row],[(T/B) AJD]]</f>
        <v/>
      </c>
      <c r="S260" s="9">
        <f>TABL123[[#This Row],[T/B-CON.]]+TABL123[[#This Row],[S/S_CON.]]</f>
        <v/>
      </c>
      <c r="T260" s="9">
        <f>TABL123[[#This Row],[(S/S) AJD]]+TABL123[[#This Row],[(T/B) AJD]]</f>
        <v/>
      </c>
      <c r="U260" s="44" t="n">
        <v>536</v>
      </c>
      <c r="V260" s="44" t="n">
        <v>237</v>
      </c>
      <c r="W260" s="9">
        <f>TABL123[[#This Row],[(A/B) AJD]]+TABL123[[#This Row],[(A/S) AJD]]</f>
        <v/>
      </c>
      <c r="X260" s="9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3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45" t="n">
        <v>2470</v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87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32">
        <f>TABL123[[#This Row],[(A/S) AJD]]-TABL123[[#This Row],[SER_IN]]</f>
        <v/>
      </c>
    </row>
    <row r="26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28">
        <f>103-F261</f>
        <v/>
      </c>
      <c r="I261" s="39" t="n">
        <v>496</v>
      </c>
      <c r="J261" s="39" t="n">
        <v>490</v>
      </c>
      <c r="K261" s="28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">
        <f>TABL123[[#This Row],[ (S/S) SAR]]-TABL123[[#This Row],[(S/S) AJD]]</f>
        <v/>
      </c>
      <c r="Q261" s="39" t="n">
        <v>425</v>
      </c>
      <c r="R261" s="9">
        <f>TABL123[[#This Row],[ (T/B) SAR]]-TABL123[[#This Row],[(T/B) AJD]]</f>
        <v/>
      </c>
      <c r="S261" s="9">
        <f>TABL123[[#This Row],[T/B-CON.]]+TABL123[[#This Row],[S/S_CON.]]</f>
        <v/>
      </c>
      <c r="T261" s="9">
        <f>TABL123[[#This Row],[(S/S) AJD]]+TABL123[[#This Row],[(T/B) AJD]]</f>
        <v/>
      </c>
      <c r="U261" s="41" t="n">
        <v>570</v>
      </c>
      <c r="V261" s="41" t="n">
        <v>259</v>
      </c>
      <c r="W261" s="9">
        <f>TABL123[[#This Row],[(A/B) AJD]]+TABL123[[#This Row],[(A/S) AJD]]</f>
        <v/>
      </c>
      <c r="X261" s="9">
        <f>TABL123[[#This Row],[( S/S+T/B) AJD]]-TABL123[[#This Row],[(A/B + A/S) AJD]]</f>
        <v/>
      </c>
      <c r="Y261" s="41" t="n">
        <v>92.447</v>
      </c>
      <c r="Z261" s="43" t="n">
        <v>465064</v>
      </c>
      <c r="AA261" s="3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43" t="n">
        <v>2992</v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87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32">
        <f>TABL123[[#This Row],[(A/S) AJD]]-TABL123[[#This Row],[SER_IN]]</f>
        <v/>
      </c>
    </row>
    <row r="262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28">
        <f>103-F262</f>
        <v/>
      </c>
      <c r="I262" s="40" t="n">
        <v>499</v>
      </c>
      <c r="J262" s="44" t="n">
        <v>492</v>
      </c>
      <c r="K262" s="28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">
        <f>TABL123[[#This Row],[ (S/S) SAR]]-TABL123[[#This Row],[(S/S) AJD]]</f>
        <v/>
      </c>
      <c r="Q262" s="40" t="n">
        <v>441</v>
      </c>
      <c r="R262" s="9">
        <f>TABL123[[#This Row],[ (T/B) SAR]]-TABL123[[#This Row],[(T/B) AJD]]</f>
        <v/>
      </c>
      <c r="S262" s="9">
        <f>TABL123[[#This Row],[T/B-CON.]]+TABL123[[#This Row],[S/S_CON.]]</f>
        <v/>
      </c>
      <c r="T262" s="9">
        <f>TABL123[[#This Row],[(S/S) AJD]]+TABL123[[#This Row],[(T/B) AJD]]</f>
        <v/>
      </c>
      <c r="U262" s="44" t="n">
        <v>566</v>
      </c>
      <c r="V262" s="44" t="n">
        <v>294</v>
      </c>
      <c r="W262" s="9">
        <f>TABL123[[#This Row],[(A/B) AJD]]+TABL123[[#This Row],[(A/S) AJD]]</f>
        <v/>
      </c>
      <c r="X262" s="9">
        <f>TABL123[[#This Row],[( S/S+T/B) AJD]]-TABL123[[#This Row],[(A/B + A/S) AJD]]</f>
        <v/>
      </c>
      <c r="Y262" s="44" t="n">
        <v>92.375</v>
      </c>
      <c r="Z262" s="45" t="n">
        <v>422229</v>
      </c>
      <c r="AA262" s="3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45" t="n">
        <v>2292</v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87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32">
        <f>TABL123[[#This Row],[(A/S) AJD]]-TABL123[[#This Row],[SER_IN]]</f>
        <v/>
      </c>
    </row>
    <row r="263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28">
        <f>103-F263</f>
        <v/>
      </c>
      <c r="I263" s="39" t="n">
        <v>492</v>
      </c>
      <c r="J263" s="39" t="n">
        <v>487</v>
      </c>
      <c r="K263" s="28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">
        <f>TABL123[[#This Row],[ (S/S) SAR]]-TABL123[[#This Row],[(S/S) AJD]]</f>
        <v/>
      </c>
      <c r="Q263" s="39" t="n">
        <v>442</v>
      </c>
      <c r="R263" s="9">
        <f>TABL123[[#This Row],[ (T/B) SAR]]-TABL123[[#This Row],[(T/B) AJD]]</f>
        <v/>
      </c>
      <c r="S263" s="9">
        <f>TABL123[[#This Row],[T/B-CON.]]+TABL123[[#This Row],[S/S_CON.]]</f>
        <v/>
      </c>
      <c r="T263" s="9">
        <f>TABL123[[#This Row],[(S/S) AJD]]+TABL123[[#This Row],[(T/B) AJD]]</f>
        <v/>
      </c>
      <c r="U263" s="41" t="n">
        <v>571</v>
      </c>
      <c r="V263" s="41" t="n">
        <v>257</v>
      </c>
      <c r="W263" s="9">
        <f>TABL123[[#This Row],[(A/B) AJD]]+TABL123[[#This Row],[(A/S) AJD]]</f>
        <v/>
      </c>
      <c r="X263" s="9">
        <f>TABL123[[#This Row],[( S/S+T/B) AJD]]-TABL123[[#This Row],[(A/B + A/S) AJD]]</f>
        <v/>
      </c>
      <c r="Y263" s="41" t="n">
        <v>92.367</v>
      </c>
      <c r="Z263" s="43" t="n">
        <v>417476</v>
      </c>
      <c r="AA263" s="3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43" t="n">
        <v>2947</v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87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32">
        <f>TABL123[[#This Row],[(A/S) AJD]]-TABL123[[#This Row],[SER_IN]]</f>
        <v/>
      </c>
    </row>
    <row r="264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28">
        <f>103-F264</f>
        <v/>
      </c>
      <c r="I264" s="40" t="n">
        <v>491</v>
      </c>
      <c r="J264" s="44" t="n">
        <v>484</v>
      </c>
      <c r="K264" s="28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">
        <f>TABL123[[#This Row],[ (S/S) SAR]]-TABL123[[#This Row],[(S/S) AJD]]</f>
        <v/>
      </c>
      <c r="Q264" s="40" t="n">
        <v>433</v>
      </c>
      <c r="R264" s="9">
        <f>TABL123[[#This Row],[ (T/B) SAR]]-TABL123[[#This Row],[(T/B) AJD]]</f>
        <v/>
      </c>
      <c r="S264" s="9">
        <f>TABL123[[#This Row],[T/B-CON.]]+TABL123[[#This Row],[S/S_CON.]]</f>
        <v/>
      </c>
      <c r="T264" s="9">
        <f>TABL123[[#This Row],[(S/S) AJD]]+TABL123[[#This Row],[(T/B) AJD]]</f>
        <v/>
      </c>
      <c r="U264" s="44" t="n">
        <v>568</v>
      </c>
      <c r="V264" s="44" t="n">
        <v>233</v>
      </c>
      <c r="W264" s="9">
        <f>TABL123[[#This Row],[(A/B) AJD]]+TABL123[[#This Row],[(A/S) AJD]]</f>
        <v/>
      </c>
      <c r="X264" s="9">
        <f>TABL123[[#This Row],[( S/S+T/B) AJD]]-TABL123[[#This Row],[(A/B + A/S) AJD]]</f>
        <v/>
      </c>
      <c r="Y264" s="44" t="n">
        <v>92.38</v>
      </c>
      <c r="Z264" s="45" t="n">
        <v>425201</v>
      </c>
      <c r="AA264" s="3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45" t="n">
        <v>3601</v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87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32">
        <f>TABL123[[#This Row],[(A/S) AJD]]-TABL123[[#This Row],[SER_IN]]</f>
        <v/>
      </c>
    </row>
    <row r="265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28">
        <f>103-F265</f>
        <v/>
      </c>
      <c r="I265" s="39" t="n">
        <v>489</v>
      </c>
      <c r="J265" s="39" t="n">
        <v>480</v>
      </c>
      <c r="K265" s="28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">
        <f>TABL123[[#This Row],[ (S/S) SAR]]-TABL123[[#This Row],[(S/S) AJD]]</f>
        <v/>
      </c>
      <c r="Q265" s="39" t="n">
        <v>430</v>
      </c>
      <c r="R265" s="9">
        <f>TABL123[[#This Row],[ (T/B) SAR]]-TABL123[[#This Row],[(T/B) AJD]]</f>
        <v/>
      </c>
      <c r="S265" s="9">
        <f>TABL123[[#This Row],[T/B-CON.]]+TABL123[[#This Row],[S/S_CON.]]</f>
        <v/>
      </c>
      <c r="T265" s="9">
        <f>TABL123[[#This Row],[(S/S) AJD]]+TABL123[[#This Row],[(T/B) AJD]]</f>
        <v/>
      </c>
      <c r="U265" s="41" t="n">
        <v>568</v>
      </c>
      <c r="V265" s="41" t="n">
        <v>210</v>
      </c>
      <c r="W265" s="9">
        <f>TABL123[[#This Row],[(A/B) AJD]]+TABL123[[#This Row],[(A/S) AJD]]</f>
        <v/>
      </c>
      <c r="X265" s="9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3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43" t="n">
        <v>3092</v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87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32">
        <f>TABL123[[#This Row],[(A/S) AJD]]-TABL123[[#This Row],[SER_IN]]</f>
        <v/>
      </c>
    </row>
    <row r="266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28">
        <f>103-F266</f>
        <v/>
      </c>
      <c r="I266" s="40" t="n">
        <v>494</v>
      </c>
      <c r="J266" s="44" t="n">
        <v>484</v>
      </c>
      <c r="K266" s="28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">
        <f>TABL123[[#This Row],[ (S/S) SAR]]-TABL123[[#This Row],[(S/S) AJD]]</f>
        <v/>
      </c>
      <c r="Q266" s="40" t="n">
        <v>431</v>
      </c>
      <c r="R266" s="9">
        <f>TABL123[[#This Row],[ (T/B) SAR]]-TABL123[[#This Row],[(T/B) AJD]]</f>
        <v/>
      </c>
      <c r="S266" s="9">
        <f>TABL123[[#This Row],[T/B-CON.]]+TABL123[[#This Row],[S/S_CON.]]</f>
        <v/>
      </c>
      <c r="T266" s="9">
        <f>TABL123[[#This Row],[(S/S) AJD]]+TABL123[[#This Row],[(T/B) AJD]]</f>
        <v/>
      </c>
      <c r="U266" s="44" t="n">
        <v>565</v>
      </c>
      <c r="V266" s="44" t="n">
        <v>201</v>
      </c>
      <c r="W266" s="9">
        <f>TABL123[[#This Row],[(A/B) AJD]]+TABL123[[#This Row],[(A/S) AJD]]</f>
        <v/>
      </c>
      <c r="X266" s="9">
        <f>TABL123[[#This Row],[( S/S+T/B) AJD]]-TABL123[[#This Row],[(A/B + A/S) AJD]]</f>
        <v/>
      </c>
      <c r="Y266" s="44" t="n">
        <v>92.5</v>
      </c>
      <c r="Z266" s="45" t="n">
        <v>496624</v>
      </c>
      <c r="AA266" s="3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45" t="n">
        <v>3287</v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87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32">
        <f>TABL123[[#This Row],[(A/S) AJD]]-TABL123[[#This Row],[SER_IN]]</f>
        <v/>
      </c>
    </row>
    <row r="267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28">
        <f>103-F267</f>
        <v/>
      </c>
      <c r="I267" s="39" t="n">
        <v>498</v>
      </c>
      <c r="J267" s="39" t="n">
        <v>488</v>
      </c>
      <c r="K267" s="28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">
        <f>TABL123[[#This Row],[ (S/S) SAR]]-TABL123[[#This Row],[(S/S) AJD]]</f>
        <v/>
      </c>
      <c r="Q267" s="39" t="n">
        <v>435</v>
      </c>
      <c r="R267" s="9">
        <f>TABL123[[#This Row],[ (T/B) SAR]]-TABL123[[#This Row],[(T/B) AJD]]</f>
        <v/>
      </c>
      <c r="S267" s="9">
        <f>TABL123[[#This Row],[T/B-CON.]]+TABL123[[#This Row],[S/S_CON.]]</f>
        <v/>
      </c>
      <c r="T267" s="9">
        <f>TABL123[[#This Row],[(S/S) AJD]]+TABL123[[#This Row],[(T/B) AJD]]</f>
        <v/>
      </c>
      <c r="U267" s="41" t="n">
        <v>565</v>
      </c>
      <c r="V267" s="41" t="n">
        <v>205</v>
      </c>
      <c r="W267" s="9">
        <f>TABL123[[#This Row],[(A/B) AJD]]+TABL123[[#This Row],[(A/S) AJD]]</f>
        <v/>
      </c>
      <c r="X267" s="9">
        <f>TABL123[[#This Row],[( S/S+T/B) AJD]]-TABL123[[#This Row],[(A/B + A/S) AJD]]</f>
        <v/>
      </c>
      <c r="Y267" s="41" t="n">
        <v>92.574</v>
      </c>
      <c r="Z267" s="43" t="n">
        <v>540725</v>
      </c>
      <c r="AA267" s="3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43" t="n">
        <v>2389</v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87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32">
        <f>TABL123[[#This Row],[(A/S) AJD]]-TABL123[[#This Row],[SER_IN]]</f>
        <v/>
      </c>
    </row>
    <row r="268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28">
        <f>103-F268</f>
        <v/>
      </c>
      <c r="I268" s="40" t="n">
        <v>485</v>
      </c>
      <c r="J268" s="44" t="n">
        <v>476</v>
      </c>
      <c r="K268" s="28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">
        <f>TABL123[[#This Row],[ (S/S) SAR]]-TABL123[[#This Row],[(S/S) AJD]]</f>
        <v/>
      </c>
      <c r="Q268" s="40" t="n">
        <v>436</v>
      </c>
      <c r="R268" s="9">
        <f>TABL123[[#This Row],[ (T/B) SAR]]-TABL123[[#This Row],[(T/B) AJD]]</f>
        <v/>
      </c>
      <c r="S268" s="9">
        <f>TABL123[[#This Row],[T/B-CON.]]+TABL123[[#This Row],[S/S_CON.]]</f>
        <v/>
      </c>
      <c r="T268" s="9">
        <f>TABL123[[#This Row],[(S/S) AJD]]+TABL123[[#This Row],[(T/B) AJD]]</f>
        <v/>
      </c>
      <c r="U268" s="44" t="n">
        <v>572</v>
      </c>
      <c r="V268" s="44" t="n">
        <v>254</v>
      </c>
      <c r="W268" s="9">
        <f>TABL123[[#This Row],[(A/B) AJD]]+TABL123[[#This Row],[(A/S) AJD]]</f>
        <v/>
      </c>
      <c r="X268" s="9">
        <f>TABL123[[#This Row],[( S/S+T/B) AJD]]-TABL123[[#This Row],[(A/B + A/S) AJD]]</f>
        <v/>
      </c>
      <c r="Y268" s="44" t="n">
        <v>92.545</v>
      </c>
      <c r="Z268" s="45" t="n">
        <v>522841</v>
      </c>
      <c r="AA268" s="3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45" t="n">
        <v>2389</v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87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32">
        <f>TABL123[[#This Row],[(A/S) AJD]]-TABL123[[#This Row],[SER_IN]]</f>
        <v/>
      </c>
    </row>
    <row r="269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">
        <f>TABL123[[#This Row],[ (S/S) SAR]]-TABL123[[#This Row],[(S/S) AJD]]</f>
        <v/>
      </c>
      <c r="Q269" s="14" t="n">
        <v>425</v>
      </c>
      <c r="R269" s="9">
        <f>TABL123[[#This Row],[ (T/B) SAR]]-TABL123[[#This Row],[(T/B) AJD]]</f>
        <v/>
      </c>
      <c r="S269" s="9">
        <f>TABL123[[#This Row],[T/B-CON.]]+TABL123[[#This Row],[S/S_CON.]]</f>
        <v/>
      </c>
      <c r="T269" s="9">
        <f>TABL123[[#This Row],[(S/S) AJD]]+TABL123[[#This Row],[(T/B) AJD]]</f>
        <v/>
      </c>
      <c r="U269" s="14" t="n">
        <v>570</v>
      </c>
      <c r="V269" s="14" t="n">
        <v>245</v>
      </c>
      <c r="W269" s="9">
        <f>TABL123[[#This Row],[(A/B) AJD]]+TABL123[[#This Row],[(A/S) AJD]]</f>
        <v/>
      </c>
      <c r="X269" s="9">
        <f>TABL123[[#This Row],[( S/S+T/B) AJD]]-TABL123[[#This Row],[(A/B + A/S) AJD]]</f>
        <v/>
      </c>
      <c r="Y269" s="15" t="n">
        <v>92.502</v>
      </c>
      <c r="Z269" s="16" t="n">
        <v>497815</v>
      </c>
      <c r="AA269" s="3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43" t="n"/>
      <c r="AI269" s="78" t="n"/>
      <c r="AJ269" s="78">
        <f>TABL123[[#This Row],[(A/B) AJD]]-TABL123[[#This Row],[BER_IN]]</f>
        <v/>
      </c>
      <c r="AK269" s="78" t="n"/>
      <c r="AL269" s="68" t="n"/>
      <c r="AM269" s="87" t="n"/>
      <c r="AN269" s="87">
        <f>TABL123[[#This Row],[ (RESV. STORGE) SER]]/10</f>
        <v/>
      </c>
      <c r="AO269" s="43" t="n"/>
      <c r="AP269" s="32">
        <f>TABL123[[#This Row],[(A/S) AJD]]-TABL123[[#This Row],[SER_IN]]</f>
        <v/>
      </c>
    </row>
    <row r="270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">
        <f>TABL123[[#This Row],[ (S/S) SAR]]-TABL123[[#This Row],[(S/S) AJD]]</f>
        <v/>
      </c>
      <c r="Q270" s="14" t="n">
        <v>420</v>
      </c>
      <c r="R270" s="9">
        <f>TABL123[[#This Row],[ (T/B) SAR]]-TABL123[[#This Row],[(T/B) AJD]]</f>
        <v/>
      </c>
      <c r="S270" s="9">
        <f>TABL123[[#This Row],[T/B-CON.]]+TABL123[[#This Row],[S/S_CON.]]</f>
        <v/>
      </c>
      <c r="T270" s="9">
        <f>TABL123[[#This Row],[(S/S) AJD]]+TABL123[[#This Row],[(T/B) AJD]]</f>
        <v/>
      </c>
      <c r="U270" s="14" t="n">
        <v>549</v>
      </c>
      <c r="V270" s="14" t="n">
        <v>244</v>
      </c>
      <c r="W270" s="9">
        <f>TABL123[[#This Row],[(A/B) AJD]]+TABL123[[#This Row],[(A/S) AJD]]</f>
        <v/>
      </c>
      <c r="X270" s="9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3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45" t="n"/>
      <c r="AI270" s="78" t="n"/>
      <c r="AJ270" s="78">
        <f>TABL123[[#This Row],[(A/B) AJD]]-TABL123[[#This Row],[BER_IN]]</f>
        <v/>
      </c>
      <c r="AK270" s="78" t="n"/>
      <c r="AL270" s="68" t="n"/>
      <c r="AM270" s="87" t="n"/>
      <c r="AN270" s="87">
        <f>TABL123[[#This Row],[ (RESV. STORGE) SER]]/10</f>
        <v/>
      </c>
      <c r="AO270" s="45" t="n"/>
      <c r="AP270" s="32">
        <f>TABL123[[#This Row],[(A/S) AJD]]-TABL123[[#This Row],[SER_IN]]</f>
        <v/>
      </c>
    </row>
    <row r="271" ht="19.5" customHeight="1" thickBot="1">
      <c r="A271" s="2" t="n">
        <v>46292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">
        <f>TABL123[[#This Row],[ (S/S) SAR]]-TABL123[[#This Row],[(S/S) AJD]]</f>
        <v/>
      </c>
      <c r="Q271" s="14" t="n">
        <v>409</v>
      </c>
      <c r="R271" s="9">
        <f>TABL123[[#This Row],[ (T/B) SAR]]-TABL123[[#This Row],[(T/B) AJD]]</f>
        <v/>
      </c>
      <c r="S271" s="9">
        <f>TABL123[[#This Row],[T/B-CON.]]+TABL123[[#This Row],[S/S_CON.]]</f>
        <v/>
      </c>
      <c r="T271" s="9">
        <f>TABL123[[#This Row],[(S/S) AJD]]+TABL123[[#This Row],[(T/B) AJD]]</f>
        <v/>
      </c>
      <c r="U271" s="14" t="n">
        <v>543</v>
      </c>
      <c r="V271" s="14" t="n">
        <v>236</v>
      </c>
      <c r="W271" s="9">
        <f>TABL123[[#This Row],[(A/B) AJD]]+TABL123[[#This Row],[(A/S) AJD]]</f>
        <v/>
      </c>
      <c r="X271" s="9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3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43" t="n"/>
      <c r="AI271" s="78" t="n"/>
      <c r="AJ271" s="78">
        <f>TABL123[[#This Row],[(A/B) AJD]]-TABL123[[#This Row],[BER_IN]]</f>
        <v/>
      </c>
      <c r="AK271" s="78" t="n"/>
      <c r="AL271" s="68" t="n"/>
      <c r="AM271" s="87" t="n"/>
      <c r="AN271" s="87">
        <f>TABL123[[#This Row],[ (RESV. STORGE) SER]]/10</f>
        <v/>
      </c>
      <c r="AO271" s="43" t="n"/>
      <c r="AP271" s="32">
        <f>TABL123[[#This Row],[(A/S) AJD]]-TABL123[[#This Row],[SER_IN]]</f>
        <v/>
      </c>
    </row>
    <row r="272" ht="19.5" customHeight="1" thickBot="1">
      <c r="A272" s="2" t="n">
        <v>46293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">
        <f>TABL123[[#This Row],[ (S/S) SAR]]-TABL123[[#This Row],[(S/S) AJD]]</f>
        <v/>
      </c>
      <c r="Q272" s="14" t="n">
        <v>414</v>
      </c>
      <c r="R272" s="9">
        <f>TABL123[[#This Row],[ (T/B) SAR]]-TABL123[[#This Row],[(T/B) AJD]]</f>
        <v/>
      </c>
      <c r="S272" s="9">
        <f>TABL123[[#This Row],[T/B-CON.]]+TABL123[[#This Row],[S/S_CON.]]</f>
        <v/>
      </c>
      <c r="T272" s="9">
        <f>TABL123[[#This Row],[(S/S) AJD]]+TABL123[[#This Row],[(T/B) AJD]]</f>
        <v/>
      </c>
      <c r="U272" s="14" t="n">
        <v>545</v>
      </c>
      <c r="V272" s="14" t="n">
        <v>216</v>
      </c>
      <c r="W272" s="9">
        <f>TABL123[[#This Row],[(A/B) AJD]]+TABL123[[#This Row],[(A/S) AJD]]</f>
        <v/>
      </c>
      <c r="X272" s="9">
        <f>TABL123[[#This Row],[( S/S+T/B) AJD]]-TABL123[[#This Row],[(A/B + A/S) AJD]]</f>
        <v/>
      </c>
      <c r="Y272" s="15" t="n">
        <v>92.47</v>
      </c>
      <c r="Z272" s="16" t="n">
        <v>478759</v>
      </c>
      <c r="AA272" s="3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45" t="n"/>
      <c r="AI272" s="78" t="n"/>
      <c r="AJ272" s="78">
        <f>TABL123[[#This Row],[(A/B) AJD]]-TABL123[[#This Row],[BER_IN]]</f>
        <v/>
      </c>
      <c r="AK272" s="78" t="n"/>
      <c r="AL272" s="68" t="n"/>
      <c r="AM272" s="87" t="n"/>
      <c r="AN272" s="87">
        <f>TABL123[[#This Row],[ (RESV. STORGE) SER]]/10</f>
        <v/>
      </c>
      <c r="AO272" s="6" t="n"/>
      <c r="AP272" s="32">
        <f>TABL123[[#This Row],[(A/S) AJD]]-TABL123[[#This Row],[SER_IN]]</f>
        <v/>
      </c>
    </row>
    <row r="273" ht="19.5" customHeight="1" thickBot="1">
      <c r="A273" s="2" t="n">
        <v>46294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TABL123[[#This Row],[ (T/B) SAR]]+TABL123[[#This Row],[ (S/S) SAR]]</f>
        <v/>
      </c>
      <c r="L273" s="28" t="n"/>
      <c r="M273" s="29" t="n"/>
      <c r="N273" s="30" t="n"/>
      <c r="O273" s="14" t="n">
        <v>393</v>
      </c>
      <c r="P273" s="9">
        <f>TABL123[[#This Row],[ (S/S) SAR]]-TABL123[[#This Row],[(S/S) AJD]]</f>
        <v/>
      </c>
      <c r="Q273" s="14" t="n">
        <v>423</v>
      </c>
      <c r="R273" s="9">
        <f>TABL123[[#This Row],[ (T/B) SAR]]-TABL123[[#This Row],[(T/B) AJD]]</f>
        <v/>
      </c>
      <c r="S273" s="9">
        <f>TABL123[[#This Row],[T/B-CON.]]+TABL123[[#This Row],[S/S_CON.]]</f>
        <v/>
      </c>
      <c r="T273" s="9">
        <f>TABL123[[#This Row],[(S/S) AJD]]+TABL123[[#This Row],[(T/B) AJD]]</f>
        <v/>
      </c>
      <c r="U273" s="14" t="n">
        <v>538</v>
      </c>
      <c r="V273" s="14" t="n">
        <v>213</v>
      </c>
      <c r="W273" s="9">
        <f>TABL123[[#This Row],[(A/B) AJD]]+TABL123[[#This Row],[(A/S) AJD]]</f>
        <v/>
      </c>
      <c r="X273" s="9">
        <f>TABL123[[#This Row],[( S/S+T/B) AJD]]-TABL123[[#This Row],[(A/B + A/S) AJD]]</f>
        <v/>
      </c>
      <c r="Y273" s="15" t="n">
        <v>92.542</v>
      </c>
      <c r="Z273" s="16" t="n">
        <v>521650</v>
      </c>
      <c r="AA273" s="3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43" t="n"/>
      <c r="AI273" s="78" t="n"/>
      <c r="AJ273" s="78">
        <f>TABL123[[#This Row],[(A/B) AJD]]-TABL123[[#This Row],[BER_IN]]</f>
        <v/>
      </c>
      <c r="AK273" s="78" t="n"/>
      <c r="AL273" s="68" t="n"/>
      <c r="AM273" s="87" t="n"/>
      <c r="AN273" s="87">
        <f>TABL123[[#This Row],[ (RESV. STORGE) SER]]/10</f>
        <v/>
      </c>
      <c r="AO273" s="6" t="n"/>
      <c r="AP273" s="32">
        <f>TABL123[[#This Row],[(A/S) AJD]]-TABL123[[#This Row],[SER_IN]]</f>
        <v/>
      </c>
    </row>
    <row r="274" ht="19.5" customHeight="1" thickBot="1">
      <c r="A274" s="2" t="n">
        <v>46295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TABL123[[#This Row],[ (T/B) SAR]]+TABL123[[#This Row],[ (S/S) SAR]]</f>
        <v/>
      </c>
      <c r="L274" s="28" t="n"/>
      <c r="M274" s="29" t="n"/>
      <c r="N274" s="30" t="n"/>
      <c r="O274" s="77" t="n">
        <v>395</v>
      </c>
      <c r="P274" s="9">
        <f>TABL123[[#This Row],[ (S/S) SAR]]-TABL123[[#This Row],[(S/S) AJD]]</f>
        <v/>
      </c>
      <c r="Q274" s="77" t="n">
        <v>428</v>
      </c>
      <c r="R274" s="9">
        <f>TABL123[[#This Row],[ (T/B) SAR]]-TABL123[[#This Row],[(T/B) AJD]]</f>
        <v/>
      </c>
      <c r="S274" s="9">
        <f>TABL123[[#This Row],[T/B-CON.]]+TABL123[[#This Row],[S/S_CON.]]</f>
        <v/>
      </c>
      <c r="T274" s="9">
        <f>TABL123[[#This Row],[(S/S) AJD]]+TABL123[[#This Row],[(T/B) AJD]]</f>
        <v/>
      </c>
      <c r="U274" s="77" t="n">
        <v>536</v>
      </c>
      <c r="V274" s="77" t="n">
        <v>212</v>
      </c>
      <c r="W274" s="9">
        <f>TABL123[[#This Row],[(A/B) AJD]]+TABL123[[#This Row],[(A/S) AJD]]</f>
        <v/>
      </c>
      <c r="X274" s="9">
        <f>TABL123[[#This Row],[( S/S+T/B) AJD]]-TABL123[[#This Row],[(A/B + A/S) AJD]]</f>
        <v/>
      </c>
      <c r="Y274" s="85" t="n">
        <v>92.617</v>
      </c>
      <c r="Z274" s="86" t="n">
        <v>566373</v>
      </c>
      <c r="AA274" s="3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6" t="n"/>
      <c r="AI274" s="78" t="n"/>
      <c r="AJ274" s="78">
        <f>TABL123[[#This Row],[(A/B) AJD]]-TABL123[[#This Row],[BER_IN]]</f>
        <v/>
      </c>
      <c r="AK274" s="78" t="n"/>
      <c r="AL274" s="68" t="n"/>
      <c r="AM274" s="87" t="n"/>
      <c r="AN274" s="87">
        <f>TABL123[[#This Row],[ (RESV. STORGE) SER]]/10</f>
        <v/>
      </c>
      <c r="AO274" s="6" t="n"/>
      <c r="AP274" s="32">
        <f>TABL123[[#This Row],[(A/S) AJD]]-TABL123[[#This Row],[SER_IN]]</f>
        <v/>
      </c>
    </row>
    <row r="275" ht="19.5" customHeight="1" thickBot="1">
      <c r="A275" s="2" t="n">
        <v>46296</v>
      </c>
      <c r="B275" s="28" t="n">
        <v>38</v>
      </c>
      <c r="C275" s="28" t="n">
        <v>300</v>
      </c>
      <c r="D275" s="28" t="n">
        <v>38</v>
      </c>
      <c r="E275" s="28" t="n">
        <v>0</v>
      </c>
      <c r="F275" s="28" t="n">
        <v>93</v>
      </c>
      <c r="G275" s="28" t="n">
        <v>617</v>
      </c>
      <c r="H275" s="28" t="n">
        <v>0</v>
      </c>
      <c r="I275" s="28" t="n"/>
      <c r="J275" s="28" t="n"/>
      <c r="K275" s="28">
        <f>TABL123[[#This Row],[ (T/B) SAR]]+TABL123[[#This Row],[ (S/S) SAR]]</f>
        <v/>
      </c>
      <c r="L275" s="28" t="n">
        <v>313</v>
      </c>
      <c r="M275" s="29" t="n">
        <v>22.6</v>
      </c>
      <c r="N275" s="30" t="n">
        <v>7.71</v>
      </c>
      <c r="O275" s="14" t="n">
        <v>395</v>
      </c>
      <c r="P275" s="9">
        <f>TABL123[[#This Row],[ (S/S) SAR]]-TABL123[[#This Row],[(S/S) AJD]]</f>
        <v/>
      </c>
      <c r="Q275" s="14" t="n">
        <v>427</v>
      </c>
      <c r="R275" s="9">
        <f>TABL123[[#This Row],[ (T/B) SAR]]-TABL123[[#This Row],[(T/B) AJD]]</f>
        <v/>
      </c>
      <c r="S275" s="9">
        <f>TABL123[[#This Row],[T/B-CON.]]+TABL123[[#This Row],[S/S_CON.]]</f>
        <v/>
      </c>
      <c r="T275" s="9">
        <f>TABL123[[#This Row],[(S/S) AJD]]+TABL123[[#This Row],[(T/B) AJD]]</f>
        <v/>
      </c>
      <c r="U275" s="14" t="n">
        <v>538</v>
      </c>
      <c r="V275" s="14" t="n">
        <v>222</v>
      </c>
      <c r="W275" s="9">
        <f>TABL123[[#This Row],[(A/B) AJD]]+TABL123[[#This Row],[(A/S) AJD]]</f>
        <v/>
      </c>
      <c r="X275" s="9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3">
        <f>TABL123[[#This Row],[(RESV. STORGE) AJD]]/10</f>
        <v/>
      </c>
      <c r="AB275" s="45">
        <f>IF(TRIM(Z275)="",,(Z275-Z274)/1000)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6" t="n"/>
      <c r="AI275" s="78" t="n"/>
      <c r="AJ275" s="78">
        <f>TABL123[[#This Row],[(A/B) AJD]]-TABL123[[#This Row],[BER_IN]]</f>
        <v/>
      </c>
      <c r="AK275" s="78" t="n">
        <v>0</v>
      </c>
      <c r="AL275" s="68" t="n">
        <v>42.0324</v>
      </c>
      <c r="AM275" s="87" t="n">
        <v>2588030</v>
      </c>
      <c r="AN275" s="87">
        <f>TABL123[[#This Row],[ (RESV. STORGE) SER]]/10</f>
        <v/>
      </c>
      <c r="AO275" s="6" t="n">
        <v>1870</v>
      </c>
      <c r="AP275" s="32">
        <f>TABL123[[#This Row],[(A/S) AJD]]-TABL123[[#This Row],[SER_IN]]</f>
        <v/>
      </c>
    </row>
    <row r="276" ht="19.5" customHeight="1" thickBot="1">
      <c r="A276" s="2" t="n">
        <v>46297</v>
      </c>
      <c r="B276" s="28" t="n">
        <v>38</v>
      </c>
      <c r="C276" s="28" t="n">
        <v>295</v>
      </c>
      <c r="D276" s="28" t="n">
        <v>38</v>
      </c>
      <c r="E276" s="28" t="n">
        <v>0</v>
      </c>
      <c r="F276" s="28" t="n">
        <v>93</v>
      </c>
      <c r="G276" s="28" t="n">
        <v>617</v>
      </c>
      <c r="H276" s="28">
        <f>103-F276</f>
        <v/>
      </c>
      <c r="I276" s="28" t="n"/>
      <c r="J276" s="28" t="n"/>
      <c r="K276" s="28">
        <f>TABL123[[#This Row],[ (T/B) SAR]]+TABL123[[#This Row],[ (S/S) SAR]]</f>
        <v/>
      </c>
      <c r="L276" s="28" t="n">
        <v>310</v>
      </c>
      <c r="M276" s="29" t="n">
        <v>22.6</v>
      </c>
      <c r="N276" s="30" t="n">
        <v>7.82</v>
      </c>
      <c r="O276" s="14" t="n">
        <v>396</v>
      </c>
      <c r="P276" s="9">
        <f>TABL123[[#This Row],[ (S/S) SAR]]-TABL123[[#This Row],[(S/S) AJD]]</f>
        <v/>
      </c>
      <c r="Q276" s="14" t="n">
        <v>427</v>
      </c>
      <c r="R276" s="9">
        <f>TABL123[[#This Row],[ (T/B) SAR]]-TABL123[[#This Row],[(T/B) AJD]]</f>
        <v/>
      </c>
      <c r="S276" s="9">
        <f>TABL123[[#This Row],[T/B-CON.]]+TABL123[[#This Row],[S/S_CON.]]</f>
        <v/>
      </c>
      <c r="T276" s="9">
        <f>TABL123[[#This Row],[(S/S) AJD]]+TABL123[[#This Row],[(T/B) AJD]]</f>
        <v/>
      </c>
      <c r="U276" s="14" t="n">
        <v>529</v>
      </c>
      <c r="V276" s="14" t="n">
        <v>260</v>
      </c>
      <c r="W276" s="9">
        <f>TABL123[[#This Row],[(A/B) AJD]]+TABL123[[#This Row],[(A/S) AJD]]</f>
        <v/>
      </c>
      <c r="X276" s="9">
        <f>TABL123[[#This Row],[( S/S+T/B) AJD]]-TABL123[[#This Row],[(A/B + A/S) AJD]]</f>
        <v/>
      </c>
      <c r="Y276" s="15" t="n">
        <v>92.697</v>
      </c>
      <c r="Z276" s="16" t="n">
        <v>614131</v>
      </c>
      <c r="AA276" s="3">
        <f>TABL123[[#This Row],[(RESV. STORGE) AJD]]/10</f>
        <v/>
      </c>
      <c r="AB276" s="45">
        <f>IF(TRIM(Z276)="",,(Z276-Z275)/1000)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6" t="n"/>
      <c r="AI276" s="78" t="n"/>
      <c r="AJ276" s="78">
        <f>TABL123[[#This Row],[(A/B) AJD]]-TABL123[[#This Row],[BER_IN]]</f>
        <v/>
      </c>
      <c r="AK276" s="78" t="n">
        <v>0</v>
      </c>
      <c r="AL276" s="68" t="n">
        <v>42.0172</v>
      </c>
      <c r="AM276" s="87" t="n">
        <v>2580010</v>
      </c>
      <c r="AN276" s="87">
        <f>TABL123[[#This Row],[ (RESV. STORGE) SER]]/10</f>
        <v/>
      </c>
      <c r="AO276" s="6" t="n">
        <v>1850</v>
      </c>
      <c r="AP276" s="32">
        <f>TABL123[[#This Row],[(A/S) AJD]]-TABL123[[#This Row],[SER_IN]]</f>
        <v/>
      </c>
    </row>
    <row r="277" ht="19.5" customHeight="1" thickBot="1">
      <c r="A277" s="2" t="n">
        <v>46298</v>
      </c>
      <c r="B277" s="28" t="n">
        <v>37</v>
      </c>
      <c r="C277" s="28" t="n">
        <v>292</v>
      </c>
      <c r="D277" s="35" t="n">
        <v>37</v>
      </c>
      <c r="E277" s="28" t="n">
        <v>0</v>
      </c>
      <c r="F277" s="28" t="n">
        <v>93</v>
      </c>
      <c r="G277" s="28" t="n">
        <v>617</v>
      </c>
      <c r="H277" s="28">
        <f>103-F277</f>
        <v/>
      </c>
      <c r="I277" s="28" t="n"/>
      <c r="J277" s="28" t="n"/>
      <c r="K277" s="28">
        <f>TABL123[[#This Row],[ (T/B) SAR]]+TABL123[[#This Row],[ (S/S) SAR]]</f>
        <v/>
      </c>
      <c r="L277" s="28" t="n">
        <v>320</v>
      </c>
      <c r="M277" s="29" t="n">
        <v>22.9</v>
      </c>
      <c r="N277" s="30" t="n">
        <v>7.8</v>
      </c>
      <c r="O277" s="14" t="n">
        <v>397</v>
      </c>
      <c r="P277" s="9">
        <f>TABL123[[#This Row],[ (S/S) SAR]]-TABL123[[#This Row],[(S/S) AJD]]</f>
        <v/>
      </c>
      <c r="Q277" s="14" t="n">
        <v>431</v>
      </c>
      <c r="R277" s="9">
        <f>TABL123[[#This Row],[ (T/B) SAR]]-TABL123[[#This Row],[(T/B) AJD]]</f>
        <v/>
      </c>
      <c r="S277" s="9">
        <f>TABL123[[#This Row],[T/B-CON.]]+TABL123[[#This Row],[S/S_CON.]]</f>
        <v/>
      </c>
      <c r="T277" s="9">
        <f>TABL123[[#This Row],[(S/S) AJD]]+TABL123[[#This Row],[(T/B) AJD]]</f>
        <v/>
      </c>
      <c r="U277" s="14" t="n">
        <v>538</v>
      </c>
      <c r="V277" s="14" t="n">
        <v>261</v>
      </c>
      <c r="W277" s="9">
        <f>TABL123[[#This Row],[(A/B) AJD]]+TABL123[[#This Row],[(A/S) AJD]]</f>
        <v/>
      </c>
      <c r="X277" s="9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3">
        <f>TABL123[[#This Row],[(RESV. STORGE) AJD]]/10</f>
        <v/>
      </c>
      <c r="AB277" s="45">
        <f>IF(TRIM(Z277)="",,(Z277-Z276)/1000)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6" t="n"/>
      <c r="AI277" s="78" t="n"/>
      <c r="AJ277" s="78">
        <f>TABL123[[#This Row],[(A/B) AJD]]-TABL123[[#This Row],[BER_IN]]</f>
        <v/>
      </c>
      <c r="AK277" s="78" t="n">
        <v>32</v>
      </c>
      <c r="AL277" s="68" t="n">
        <v>42.0709</v>
      </c>
      <c r="AM277" s="87" t="n">
        <v>2608570</v>
      </c>
      <c r="AN277" s="87">
        <f>TABL123[[#This Row],[ (RESV. STORGE) SER]]/10</f>
        <v/>
      </c>
      <c r="AO277" s="6" t="n">
        <v>1800</v>
      </c>
      <c r="AP277" s="32">
        <f>TABL123[[#This Row],[(A/S) AJD]]-TABL123[[#This Row],[SER_IN]]</f>
        <v/>
      </c>
    </row>
    <row r="278" ht="19.5" customHeight="1" thickBot="1">
      <c r="A278" s="2" t="n">
        <v>46299</v>
      </c>
      <c r="B278" s="28" t="n">
        <v>36</v>
      </c>
      <c r="C278" s="28" t="n">
        <v>286</v>
      </c>
      <c r="D278" s="35" t="n">
        <v>37</v>
      </c>
      <c r="E278" s="28" t="n">
        <v>0</v>
      </c>
      <c r="F278" s="28" t="n">
        <v>93</v>
      </c>
      <c r="G278" s="28" t="n">
        <v>617</v>
      </c>
      <c r="H278" s="28">
        <f>103-F278</f>
        <v/>
      </c>
      <c r="I278" s="28" t="n"/>
      <c r="J278" s="28" t="n"/>
      <c r="K278" s="28">
        <f>TABL123[[#This Row],[ (T/B) SAR]]+TABL123[[#This Row],[ (S/S) SAR]]</f>
        <v/>
      </c>
      <c r="L278" s="28" t="n">
        <v>340</v>
      </c>
      <c r="M278" s="29" t="n">
        <v>24.1</v>
      </c>
      <c r="N278" s="30" t="n">
        <v>7.69</v>
      </c>
      <c r="O278" s="14" t="n">
        <v>402</v>
      </c>
      <c r="P278" s="9">
        <f>TABL123[[#This Row],[ (S/S) SAR]]-TABL123[[#This Row],[(S/S) AJD]]</f>
        <v/>
      </c>
      <c r="Q278" s="14" t="n">
        <v>436</v>
      </c>
      <c r="R278" s="9">
        <f>TABL123[[#This Row],[ (T/B) SAR]]-TABL123[[#This Row],[(T/B) AJD]]</f>
        <v/>
      </c>
      <c r="S278" s="9">
        <f>TABL123[[#This Row],[T/B-CON.]]+TABL123[[#This Row],[S/S_CON.]]</f>
        <v/>
      </c>
      <c r="T278" s="9">
        <f>TABL123[[#This Row],[(S/S) AJD]]+TABL123[[#This Row],[(T/B) AJD]]</f>
        <v/>
      </c>
      <c r="U278" s="14" t="n">
        <v>539</v>
      </c>
      <c r="V278" s="14" t="n">
        <v>263</v>
      </c>
      <c r="W278" s="9">
        <f>TABL123[[#This Row],[(A/B) AJD]]+TABL123[[#This Row],[(A/S) AJD]]</f>
        <v/>
      </c>
      <c r="X278" s="9">
        <f>TABL123[[#This Row],[( S/S+T/B) AJD]]-TABL123[[#This Row],[(A/B + A/S) AJD]]</f>
        <v/>
      </c>
      <c r="Y278" s="15" t="n">
        <v>92.697</v>
      </c>
      <c r="Z278" s="16" t="n">
        <v>614131</v>
      </c>
      <c r="AA278" s="3">
        <f>TABL123[[#This Row],[(RESV. STORGE) AJD]]/10</f>
        <v/>
      </c>
      <c r="AB278" s="45">
        <f>IF(TRIM(Z278)="",,(Z278-Z277)/1000)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6" t="n"/>
      <c r="AI278" s="78" t="n"/>
      <c r="AJ278" s="78">
        <f>TABL123[[#This Row],[(A/B) AJD]]-TABL123[[#This Row],[BER_IN]]</f>
        <v/>
      </c>
      <c r="AK278" s="78" t="n">
        <v>38</v>
      </c>
      <c r="AL278" s="68" t="n">
        <v>42.1394</v>
      </c>
      <c r="AM278" s="87" t="n">
        <v>2645160</v>
      </c>
      <c r="AN278" s="87">
        <f>TABL123[[#This Row],[ (RESV. STORGE) SER]]/10</f>
        <v/>
      </c>
      <c r="AO278" s="6" t="n">
        <v>1410</v>
      </c>
      <c r="AP278" s="32">
        <f>TABL123[[#This Row],[(A/S) AJD]]-TABL123[[#This Row],[SER_IN]]</f>
        <v/>
      </c>
    </row>
    <row r="279" ht="19.5" customHeight="1" thickBot="1">
      <c r="A279" s="2" t="n">
        <v>46300</v>
      </c>
      <c r="B279" s="28" t="n">
        <v>35</v>
      </c>
      <c r="C279" s="28" t="n">
        <v>273</v>
      </c>
      <c r="D279" s="35" t="n">
        <v>35</v>
      </c>
      <c r="E279" s="28" t="n">
        <v>0</v>
      </c>
      <c r="F279" s="28" t="n">
        <v>93</v>
      </c>
      <c r="G279" s="28" t="n">
        <v>617</v>
      </c>
      <c r="H279" s="28">
        <f>103-F279</f>
        <v/>
      </c>
      <c r="I279" s="28" t="n"/>
      <c r="J279" s="28" t="n"/>
      <c r="K279" s="28">
        <f>TABL123[[#This Row],[ (T/B) SAR]]+TABL123[[#This Row],[ (S/S) SAR]]</f>
        <v/>
      </c>
      <c r="L279" s="28" t="n">
        <v>336</v>
      </c>
      <c r="M279" s="29" t="n">
        <v>24.1</v>
      </c>
      <c r="N279" s="30" t="n">
        <v>7.55</v>
      </c>
      <c r="O279" s="14" t="n">
        <v>406</v>
      </c>
      <c r="P279" s="9">
        <f>TABL123[[#This Row],[ (S/S) SAR]]-TABL123[[#This Row],[(S/S) AJD]]</f>
        <v/>
      </c>
      <c r="Q279" s="14" t="n">
        <v>440</v>
      </c>
      <c r="R279" s="9">
        <f>TABL123[[#This Row],[ (T/B) SAR]]-TABL123[[#This Row],[(T/B) AJD]]</f>
        <v/>
      </c>
      <c r="S279" s="9">
        <f>TABL123[[#This Row],[T/B-CON.]]+TABL123[[#This Row],[S/S_CON.]]</f>
        <v/>
      </c>
      <c r="T279" s="9">
        <f>TABL123[[#This Row],[(S/S) AJD]]+TABL123[[#This Row],[(T/B) AJD]]</f>
        <v/>
      </c>
      <c r="U279" s="14" t="n">
        <v>542</v>
      </c>
      <c r="V279" s="14" t="n">
        <v>262</v>
      </c>
      <c r="W279" s="9">
        <f>TABL123[[#This Row],[(A/B) AJD]]+TABL123[[#This Row],[(A/S) AJD]]</f>
        <v/>
      </c>
      <c r="X279" s="9">
        <f>TABL123[[#This Row],[( S/S+T/B) AJD]]-TABL123[[#This Row],[(A/B + A/S) AJD]]</f>
        <v/>
      </c>
      <c r="Y279" s="15" t="n">
        <v>92.712</v>
      </c>
      <c r="Z279" s="16" t="n">
        <v>623091</v>
      </c>
      <c r="AA279" s="3">
        <f>TABL123[[#This Row],[(RESV. STORGE) AJD]]/10</f>
        <v/>
      </c>
      <c r="AB279" s="45">
        <f>IF(TRIM(Z279)="",,(Z279-Z278)/1000)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6" t="n"/>
      <c r="AI279" s="78" t="n"/>
      <c r="AJ279" s="78">
        <f>TABL123[[#This Row],[(A/B) AJD]]-TABL123[[#This Row],[BER_IN]]</f>
        <v/>
      </c>
      <c r="AK279" s="78" t="n">
        <v>26</v>
      </c>
      <c r="AL279" s="68" t="n">
        <v>42.1632</v>
      </c>
      <c r="AM279" s="87" t="n">
        <v>2658010</v>
      </c>
      <c r="AN279" s="87">
        <f>TABL123[[#This Row],[ (RESV. STORGE) SER]]/10</f>
        <v/>
      </c>
      <c r="AO279" s="6" t="n">
        <v>1900</v>
      </c>
      <c r="AP279" s="32">
        <f>TABL123[[#This Row],[(A/S) AJD]]-TABL123[[#This Row],[SER_IN]]</f>
        <v/>
      </c>
    </row>
    <row r="280" ht="19.5" customHeight="1" thickBot="1">
      <c r="A280" s="2" t="n">
        <v>46301</v>
      </c>
      <c r="B280" s="28" t="n">
        <v>35</v>
      </c>
      <c r="C280" s="28" t="n">
        <v>281</v>
      </c>
      <c r="D280" s="35" t="n">
        <v>35</v>
      </c>
      <c r="E280" s="28" t="n">
        <v>0</v>
      </c>
      <c r="F280" s="28" t="n">
        <v>93</v>
      </c>
      <c r="G280" s="28" t="n">
        <v>617</v>
      </c>
      <c r="H280" s="28">
        <f>103-F280</f>
        <v/>
      </c>
      <c r="I280" s="28" t="n"/>
      <c r="J280" s="28" t="n"/>
      <c r="K280" s="28">
        <f>TABL123[[#This Row],[ (T/B) SAR]]+TABL123[[#This Row],[ (S/S) SAR]]</f>
        <v/>
      </c>
      <c r="L280" s="28" t="n">
        <v>335</v>
      </c>
      <c r="M280" s="29" t="n">
        <v>24.1</v>
      </c>
      <c r="N280" s="30" t="n">
        <v>7.48</v>
      </c>
      <c r="O280" s="14" t="n">
        <v>404</v>
      </c>
      <c r="P280" s="9">
        <f>TABL123[[#This Row],[ (S/S) SAR]]-TABL123[[#This Row],[(S/S) AJD]]</f>
        <v/>
      </c>
      <c r="Q280" s="14" t="n">
        <v>437</v>
      </c>
      <c r="R280" s="9">
        <f>TABL123[[#This Row],[ (T/B) SAR]]-TABL123[[#This Row],[(T/B) AJD]]</f>
        <v/>
      </c>
      <c r="S280" s="9">
        <f>TABL123[[#This Row],[T/B-CON.]]+TABL123[[#This Row],[S/S_CON.]]</f>
        <v/>
      </c>
      <c r="T280" s="9">
        <f>TABL123[[#This Row],[(S/S) AJD]]+TABL123[[#This Row],[(T/B) AJD]]</f>
        <v/>
      </c>
      <c r="U280" s="14" t="n">
        <v>551</v>
      </c>
      <c r="V280" s="14" t="n">
        <v>263</v>
      </c>
      <c r="W280" s="9">
        <f>TABL123[[#This Row],[(A/B) AJD]]+TABL123[[#This Row],[(A/S) AJD]]</f>
        <v/>
      </c>
      <c r="X280" s="9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3">
        <f>TABL123[[#This Row],[(RESV. STORGE) AJD]]/10</f>
        <v/>
      </c>
      <c r="AB280" s="45">
        <f>IF(TRIM(Z280)="",,(Z280-Z279)/1000)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6" t="n"/>
      <c r="AI280" s="78" t="n"/>
      <c r="AJ280" s="78">
        <f>TABL123[[#This Row],[(A/B) AJD]]-TABL123[[#This Row],[BER_IN]]</f>
        <v/>
      </c>
      <c r="AK280" s="78" t="n">
        <v>27</v>
      </c>
      <c r="AL280" s="68" t="n">
        <v>42.1809</v>
      </c>
      <c r="AM280" s="87" t="n">
        <v>2667610</v>
      </c>
      <c r="AN280" s="87">
        <f>TABL123[[#This Row],[ (RESV. STORGE) SER]]/10</f>
        <v/>
      </c>
      <c r="AO280" s="6" t="n">
        <v>1920</v>
      </c>
      <c r="AP280" s="32">
        <f>TABL123[[#This Row],[(A/S) AJD]]-TABL123[[#This Row],[SER_IN]]</f>
        <v/>
      </c>
    </row>
    <row r="281" ht="19.5" customHeight="1" thickBot="1">
      <c r="A281" s="2" t="n">
        <v>46302</v>
      </c>
      <c r="B281" s="28" t="n">
        <v>35</v>
      </c>
      <c r="C281" s="28" t="n">
        <v>283</v>
      </c>
      <c r="D281" s="35" t="n">
        <v>35</v>
      </c>
      <c r="E281" s="28" t="n">
        <v>0</v>
      </c>
      <c r="F281" s="28" t="n">
        <v>93</v>
      </c>
      <c r="G281" s="28" t="n">
        <v>617</v>
      </c>
      <c r="H281" s="28">
        <f>103-F281</f>
        <v/>
      </c>
      <c r="I281" s="28" t="n"/>
      <c r="J281" s="28" t="n"/>
      <c r="K281" s="28">
        <f>TABL123[[#This Row],[ (T/B) SAR]]+TABL123[[#This Row],[ (S/S) SAR]]</f>
        <v/>
      </c>
      <c r="L281" s="28" t="n">
        <v>332</v>
      </c>
      <c r="M281" s="29" t="n">
        <v>24.1</v>
      </c>
      <c r="N281" s="30" t="n">
        <v>7.39</v>
      </c>
      <c r="O281" s="14" t="n">
        <v>402</v>
      </c>
      <c r="P281" s="9">
        <f>TABL123[[#This Row],[ (S/S) SAR]]-TABL123[[#This Row],[(S/S) AJD]]</f>
        <v/>
      </c>
      <c r="Q281" s="14" t="n">
        <v>435</v>
      </c>
      <c r="R281" s="9">
        <f>TABL123[[#This Row],[ (T/B) SAR]]-TABL123[[#This Row],[(T/B) AJD]]</f>
        <v/>
      </c>
      <c r="S281" s="9">
        <f>TABL123[[#This Row],[T/B-CON.]]+TABL123[[#This Row],[S/S_CON.]]</f>
        <v/>
      </c>
      <c r="T281" s="9">
        <f>TABL123[[#This Row],[(S/S) AJD]]+TABL123[[#This Row],[(T/B) AJD]]</f>
        <v/>
      </c>
      <c r="U281" s="14" t="n">
        <v>545</v>
      </c>
      <c r="V281" s="14" t="n">
        <v>257</v>
      </c>
      <c r="W281" s="9">
        <f>TABL123[[#This Row],[(A/B) AJD]]+TABL123[[#This Row],[(A/S) AJD]]</f>
        <v/>
      </c>
      <c r="X281" s="9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3">
        <f>TABL123[[#This Row],[(RESV. STORGE) AJD]]/10</f>
        <v/>
      </c>
      <c r="AB281" s="45">
        <f>IF(TRIM(Z281)="",,(Z281-Z280)/1000)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6" t="n"/>
      <c r="AI281" s="78" t="n"/>
      <c r="AJ281" s="78">
        <f>TABL123[[#This Row],[(A/B) AJD]]-TABL123[[#This Row],[BER_IN]]</f>
        <v/>
      </c>
      <c r="AK281" s="78" t="n">
        <v>27</v>
      </c>
      <c r="AL281" s="68" t="n">
        <v>42.2015</v>
      </c>
      <c r="AM281" s="87" t="n">
        <v>2678640</v>
      </c>
      <c r="AN281" s="87">
        <f>TABL123[[#This Row],[ (RESV. STORGE) SER]]/10</f>
        <v/>
      </c>
      <c r="AO281" s="6" t="n">
        <v>1850</v>
      </c>
      <c r="AP281" s="32">
        <f>TABL123[[#This Row],[(A/S) AJD]]-TABL123[[#This Row],[SER_IN]]</f>
        <v/>
      </c>
    </row>
    <row r="282" ht="19.5" customHeight="1" thickBot="1">
      <c r="A282" s="2" t="n">
        <v>46303</v>
      </c>
      <c r="B282" s="28" t="n">
        <v>35</v>
      </c>
      <c r="C282" s="28" t="n">
        <v>285</v>
      </c>
      <c r="D282" s="35" t="n">
        <v>35</v>
      </c>
      <c r="E282" s="28" t="n">
        <v>0</v>
      </c>
      <c r="F282" s="28" t="n">
        <v>93</v>
      </c>
      <c r="G282" s="28" t="n">
        <v>617</v>
      </c>
      <c r="H282" s="28">
        <f>103-F282</f>
        <v/>
      </c>
      <c r="I282" s="28" t="n"/>
      <c r="J282" s="28" t="n"/>
      <c r="K282" s="28">
        <f>TABL123[[#This Row],[ (T/B) SAR]]+TABL123[[#This Row],[ (S/S) SAR]]</f>
        <v/>
      </c>
      <c r="L282" s="28" t="n">
        <v>330</v>
      </c>
      <c r="M282" s="29" t="n">
        <v>24.1</v>
      </c>
      <c r="N282" s="30" t="n">
        <v>7.34</v>
      </c>
      <c r="O282" s="14" t="n">
        <v>402</v>
      </c>
      <c r="P282" s="9">
        <f>TABL123[[#This Row],[ (S/S) SAR]]-TABL123[[#This Row],[(S/S) AJD]]</f>
        <v/>
      </c>
      <c r="Q282" s="14" t="n">
        <v>433</v>
      </c>
      <c r="R282" s="9">
        <f>TABL123[[#This Row],[ (T/B) SAR]]-TABL123[[#This Row],[(T/B) AJD]]</f>
        <v/>
      </c>
      <c r="S282" s="9">
        <f>TABL123[[#This Row],[T/B-CON.]]+TABL123[[#This Row],[S/S_CON.]]</f>
        <v/>
      </c>
      <c r="T282" s="9">
        <f>TABL123[[#This Row],[(S/S) AJD]]+TABL123[[#This Row],[(T/B) AJD]]</f>
        <v/>
      </c>
      <c r="U282" s="14" t="n">
        <v>543</v>
      </c>
      <c r="V282" s="14" t="n">
        <v>254</v>
      </c>
      <c r="W282" s="9">
        <f>TABL123[[#This Row],[(A/B) AJD]]+TABL123[[#This Row],[(A/S) AJD]]</f>
        <v/>
      </c>
      <c r="X282" s="9">
        <f>TABL123[[#This Row],[( S/S+T/B) AJD]]-TABL123[[#This Row],[(A/B + A/S) AJD]]</f>
        <v/>
      </c>
      <c r="Y282" s="15" t="n">
        <v>92.717</v>
      </c>
      <c r="Z282" s="16" t="n">
        <v>626082</v>
      </c>
      <c r="AA282" s="3">
        <f>TABL123[[#This Row],[(RESV. STORGE) AJD]]/10</f>
        <v/>
      </c>
      <c r="AB282" s="45">
        <f>IF(TRIM(Z282)="",,(Z282-Z281)/1000)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6" t="n"/>
      <c r="AI282" s="78" t="n"/>
      <c r="AJ282" s="78">
        <f>TABL123[[#This Row],[(A/B) AJD]]-TABL123[[#This Row],[BER_IN]]</f>
        <v/>
      </c>
      <c r="AK282" s="78" t="n">
        <v>27</v>
      </c>
      <c r="AL282" s="68" t="n">
        <v>42.2175</v>
      </c>
      <c r="AM282" s="87" t="n">
        <v>2686880</v>
      </c>
      <c r="AN282" s="87">
        <f>TABL123[[#This Row],[ (RESV. STORGE) SER]]/10</f>
        <v/>
      </c>
      <c r="AO282" s="6" t="n">
        <v>1935</v>
      </c>
      <c r="AP282" s="32">
        <f>TABL123[[#This Row],[(A/S) AJD]]-TABL123[[#This Row],[SER_IN]]</f>
        <v/>
      </c>
    </row>
    <row r="283" ht="19.5" customHeight="1" thickBot="1">
      <c r="A283" s="2" t="n">
        <v>46304</v>
      </c>
      <c r="B283" s="28" t="n">
        <v>35</v>
      </c>
      <c r="C283" s="28" t="n">
        <v>275</v>
      </c>
      <c r="D283" s="35" t="n">
        <v>35</v>
      </c>
      <c r="E283" s="28" t="n">
        <v>0</v>
      </c>
      <c r="F283" s="28" t="n">
        <v>93</v>
      </c>
      <c r="G283" s="28" t="n">
        <v>617</v>
      </c>
      <c r="H283" s="28">
        <f>103-F283</f>
        <v/>
      </c>
      <c r="I283" s="28" t="n"/>
      <c r="J283" s="28" t="n"/>
      <c r="K283" s="28">
        <f>TABL123[[#This Row],[ (T/B) SAR]]+TABL123[[#This Row],[ (S/S) SAR]]</f>
        <v/>
      </c>
      <c r="L283" s="28" t="n">
        <v>330</v>
      </c>
      <c r="M283" s="29" t="n">
        <v>24.1</v>
      </c>
      <c r="N283" s="30" t="n">
        <v>7.24</v>
      </c>
      <c r="O283" s="14" t="n">
        <v>401</v>
      </c>
      <c r="P283" s="9">
        <f>TABL123[[#This Row],[ (S/S) SAR]]-TABL123[[#This Row],[(S/S) AJD]]</f>
        <v/>
      </c>
      <c r="Q283" s="14" t="n">
        <v>432</v>
      </c>
      <c r="R283" s="9">
        <f>TABL123[[#This Row],[ (T/B) SAR]]-TABL123[[#This Row],[(T/B) AJD]]</f>
        <v/>
      </c>
      <c r="S283" s="9">
        <f>TABL123[[#This Row],[T/B-CON.]]+TABL123[[#This Row],[S/S_CON.]]</f>
        <v/>
      </c>
      <c r="T283" s="9">
        <f>TABL123[[#This Row],[(S/S) AJD]]+TABL123[[#This Row],[(T/B) AJD]]</f>
        <v/>
      </c>
      <c r="U283" s="14" t="n">
        <v>552</v>
      </c>
      <c r="V283" s="14" t="n">
        <v>248</v>
      </c>
      <c r="W283" s="9">
        <f>TABL123[[#This Row],[(A/B) AJD]]+TABL123[[#This Row],[(A/S) AJD]]</f>
        <v/>
      </c>
      <c r="X283" s="9">
        <f>TABL123[[#This Row],[( S/S+T/B) AJD]]-TABL123[[#This Row],[(A/B + A/S) AJD]]</f>
        <v/>
      </c>
      <c r="Y283" s="15" t="n">
        <v>92.732</v>
      </c>
      <c r="Z283" s="16" t="n">
        <v>635044</v>
      </c>
      <c r="AA283" s="3">
        <f>TABL123[[#This Row],[(RESV. STORGE) AJD]]/10</f>
        <v/>
      </c>
      <c r="AB283" s="45">
        <f>IF(TRIM(Z283)="",,(Z283-Z282)/1000)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6" t="n"/>
      <c r="AI283" s="78" t="n"/>
      <c r="AJ283" s="78">
        <f>TABL123[[#This Row],[(A/B) AJD]]-TABL123[[#This Row],[BER_IN]]</f>
        <v/>
      </c>
      <c r="AK283" s="78" t="n">
        <v>27</v>
      </c>
      <c r="AL283" s="68" t="n">
        <v>42.2362</v>
      </c>
      <c r="AM283" s="87" t="n">
        <v>2697770</v>
      </c>
      <c r="AN283" s="87">
        <f>TABL123[[#This Row],[ (RESV. STORGE) SER]]/10</f>
        <v/>
      </c>
      <c r="AO283" s="6" t="n">
        <v>1920</v>
      </c>
      <c r="AP283" s="32">
        <f>TABL123[[#This Row],[(A/S) AJD]]-TABL123[[#This Row],[SER_IN]]</f>
        <v/>
      </c>
    </row>
    <row r="284" ht="19.5" customHeight="1" thickBot="1">
      <c r="A284" s="2" t="n">
        <v>46305</v>
      </c>
      <c r="B284" s="28" t="n">
        <v>35</v>
      </c>
      <c r="C284" s="28" t="n">
        <v>277</v>
      </c>
      <c r="D284" s="35" t="n">
        <v>35</v>
      </c>
      <c r="E284" s="28" t="n">
        <v>0</v>
      </c>
      <c r="F284" s="28" t="n">
        <v>93</v>
      </c>
      <c r="G284" s="28" t="n">
        <v>617</v>
      </c>
      <c r="H284" s="28">
        <f>103-F284</f>
        <v/>
      </c>
      <c r="I284" s="28" t="n"/>
      <c r="J284" s="28" t="n"/>
      <c r="K284" s="28">
        <f>TABL123[[#This Row],[ (T/B) SAR]]+TABL123[[#This Row],[ (S/S) SAR]]</f>
        <v/>
      </c>
      <c r="L284" s="28" t="n">
        <v>325</v>
      </c>
      <c r="M284" s="29" t="n">
        <v>24.1</v>
      </c>
      <c r="N284" s="30" t="n">
        <v>7.16</v>
      </c>
      <c r="O284" s="14" t="n">
        <v>399</v>
      </c>
      <c r="P284" s="9">
        <f>TABL123[[#This Row],[ (S/S) SAR]]-TABL123[[#This Row],[(S/S) AJD]]</f>
        <v/>
      </c>
      <c r="Q284" s="14" t="n">
        <v>432</v>
      </c>
      <c r="R284" s="9">
        <f>TABL123[[#This Row],[ (T/B) SAR]]-TABL123[[#This Row],[(T/B) AJD]]</f>
        <v/>
      </c>
      <c r="S284" s="9">
        <f>TABL123[[#This Row],[T/B-CON.]]+TABL123[[#This Row],[S/S_CON.]]</f>
        <v/>
      </c>
      <c r="T284" s="9">
        <f>TABL123[[#This Row],[(S/S) AJD]]+TABL123[[#This Row],[(T/B) AJD]]</f>
        <v/>
      </c>
      <c r="U284" s="14" t="n">
        <v>549</v>
      </c>
      <c r="V284" s="14" t="n">
        <v>241</v>
      </c>
      <c r="W284" s="9">
        <f>TABL123[[#This Row],[(A/B) AJD]]+TABL123[[#This Row],[(A/S) AJD]]</f>
        <v/>
      </c>
      <c r="X284" s="9">
        <f>TABL123[[#This Row],[( S/S+T/B) AJD]]-TABL123[[#This Row],[(A/B + A/S) AJD]]</f>
        <v/>
      </c>
      <c r="Y284" s="15" t="n">
        <v>92.744</v>
      </c>
      <c r="Z284" s="16" t="n">
        <v>642216</v>
      </c>
      <c r="AA284" s="3">
        <f>TABL123[[#This Row],[(RESV. STORGE) AJD]]/10</f>
        <v/>
      </c>
      <c r="AB284" s="45">
        <f>IF(TRIM(Z284)="",,(Z284-Z283)/1000)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6" t="n"/>
      <c r="AI284" s="78" t="n"/>
      <c r="AJ284" s="78">
        <f>TABL123[[#This Row],[(A/B) AJD]]-TABL123[[#This Row],[BER_IN]]</f>
        <v/>
      </c>
      <c r="AK284" s="78" t="n">
        <v>27</v>
      </c>
      <c r="AL284" s="68" t="n">
        <v>42.2849</v>
      </c>
      <c r="AM284" s="87" t="n">
        <v>2723060</v>
      </c>
      <c r="AN284" s="87">
        <f>TABL123[[#This Row],[ (RESV. STORGE) SER]]/10</f>
        <v/>
      </c>
      <c r="AO284" s="6" t="n">
        <v>1710</v>
      </c>
      <c r="AP284" s="32">
        <f>TABL123[[#This Row],[(A/S) AJD]]-TABL123[[#This Row],[SER_IN]]</f>
        <v/>
      </c>
    </row>
    <row r="285" ht="19.5" customHeight="1" thickBot="1">
      <c r="A285" s="2" t="n">
        <v>46306</v>
      </c>
      <c r="B285" s="28" t="n">
        <v>35</v>
      </c>
      <c r="C285" s="28" t="n">
        <v>281</v>
      </c>
      <c r="D285" s="35" t="n">
        <v>35</v>
      </c>
      <c r="E285" s="28" t="n">
        <v>0</v>
      </c>
      <c r="F285" s="28" t="n">
        <v>93</v>
      </c>
      <c r="G285" s="28" t="n">
        <v>617</v>
      </c>
      <c r="H285" s="28">
        <f>103-F285</f>
        <v/>
      </c>
      <c r="I285" s="28" t="n"/>
      <c r="J285" s="28" t="n"/>
      <c r="K285" s="28">
        <f>TABL123[[#This Row],[ (T/B) SAR]]+TABL123[[#This Row],[ (S/S) SAR]]</f>
        <v/>
      </c>
      <c r="L285" s="28" t="n">
        <v>320</v>
      </c>
      <c r="M285" s="29" t="n">
        <v>24.1</v>
      </c>
      <c r="N285" s="30" t="n">
        <v>7.09</v>
      </c>
      <c r="O285" s="14" t="n">
        <v>395</v>
      </c>
      <c r="P285" s="9">
        <f>TABL123[[#This Row],[ (S/S) SAR]]-TABL123[[#This Row],[(S/S) AJD]]</f>
        <v/>
      </c>
      <c r="Q285" s="14" t="n">
        <v>429</v>
      </c>
      <c r="R285" s="9">
        <f>TABL123[[#This Row],[ (T/B) SAR]]-TABL123[[#This Row],[(T/B) AJD]]</f>
        <v/>
      </c>
      <c r="S285" s="9">
        <f>TABL123[[#This Row],[T/B-CON.]]+TABL123[[#This Row],[S/S_CON.]]</f>
        <v/>
      </c>
      <c r="T285" s="9">
        <f>TABL123[[#This Row],[(S/S) AJD]]+TABL123[[#This Row],[(T/B) AJD]]</f>
        <v/>
      </c>
      <c r="U285" s="14" t="n">
        <v>548</v>
      </c>
      <c r="V285" s="14" t="n">
        <v>237</v>
      </c>
      <c r="W285" s="9">
        <f>TABL123[[#This Row],[(A/B) AJD]]+TABL123[[#This Row],[(A/S) AJD]]</f>
        <v/>
      </c>
      <c r="X285" s="9">
        <f>TABL123[[#This Row],[( S/S+T/B) AJD]]-TABL123[[#This Row],[(A/B + A/S) AJD]]</f>
        <v/>
      </c>
      <c r="Y285" s="15" t="n">
        <v>92.767</v>
      </c>
      <c r="Z285" s="16" t="n">
        <v>655962</v>
      </c>
      <c r="AA285" s="3">
        <f>TABL123[[#This Row],[(RESV. STORGE) AJD]]/10</f>
        <v/>
      </c>
      <c r="AB285" s="45">
        <f>IF(TRIM(Z285)="",,(Z285-Z284)/1000)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6" t="n"/>
      <c r="AI285" s="78" t="n"/>
      <c r="AJ285" s="78">
        <f>TABL123[[#This Row],[(A/B) AJD]]-TABL123[[#This Row],[BER_IN]]</f>
        <v/>
      </c>
      <c r="AK285" s="78" t="n">
        <v>28</v>
      </c>
      <c r="AL285" s="68" t="n">
        <v>42.2712</v>
      </c>
      <c r="AM285" s="87" t="n">
        <v>2716130</v>
      </c>
      <c r="AN285" s="87">
        <f>TABL123[[#This Row],[ (RESV. STORGE) SER]]/10</f>
        <v/>
      </c>
      <c r="AO285" s="6" t="n">
        <v>1755</v>
      </c>
      <c r="AP285" s="32">
        <f>TABL123[[#This Row],[(A/S) AJD]]-TABL123[[#This Row],[SER_IN]]</f>
        <v/>
      </c>
    </row>
    <row r="286" ht="19.5" customHeight="1" thickBot="1">
      <c r="A286" s="2" t="n">
        <v>46307</v>
      </c>
      <c r="B286" s="28" t="n">
        <v>35</v>
      </c>
      <c r="C286" s="28" t="n">
        <v>292</v>
      </c>
      <c r="D286" s="35" t="n">
        <v>35</v>
      </c>
      <c r="E286" s="28" t="n">
        <v>0</v>
      </c>
      <c r="F286" s="28" t="n">
        <v>93</v>
      </c>
      <c r="G286" s="28" t="n">
        <v>617</v>
      </c>
      <c r="H286" s="28">
        <f>103-F286</f>
        <v/>
      </c>
      <c r="I286" s="28" t="n"/>
      <c r="J286" s="28" t="n"/>
      <c r="K286" s="28">
        <f>TABL123[[#This Row],[ (T/B) SAR]]+TABL123[[#This Row],[ (S/S) SAR]]</f>
        <v/>
      </c>
      <c r="L286" s="28" t="n">
        <v>320</v>
      </c>
      <c r="M286" s="29" t="n">
        <v>24.1</v>
      </c>
      <c r="N286" s="30" t="n">
        <v>7.03</v>
      </c>
      <c r="O286" s="14" t="n">
        <v>395</v>
      </c>
      <c r="P286" s="9">
        <f>TABL123[[#This Row],[ (S/S) SAR]]-TABL123[[#This Row],[(S/S) AJD]]</f>
        <v/>
      </c>
      <c r="Q286" s="14" t="n">
        <v>428</v>
      </c>
      <c r="R286" s="9">
        <f>TABL123[[#This Row],[ (T/B) SAR]]-TABL123[[#This Row],[(T/B) AJD]]</f>
        <v/>
      </c>
      <c r="S286" s="9">
        <f>TABL123[[#This Row],[T/B-CON.]]+TABL123[[#This Row],[S/S_CON.]]</f>
        <v/>
      </c>
      <c r="T286" s="9">
        <f>TABL123[[#This Row],[(S/S) AJD]]+TABL123[[#This Row],[(T/B) AJD]]</f>
        <v/>
      </c>
      <c r="U286" s="14" t="n">
        <v>548</v>
      </c>
      <c r="V286" s="14" t="n">
        <v>244</v>
      </c>
      <c r="W286" s="9">
        <f>TABL123[[#This Row],[(A/B) AJD]]+TABL123[[#This Row],[(A/S) AJD]]</f>
        <v/>
      </c>
      <c r="X286" s="9">
        <f>TABL123[[#This Row],[( S/S+T/B) AJD]]-TABL123[[#This Row],[(A/B + A/S) AJD]]</f>
        <v/>
      </c>
      <c r="Y286" s="15" t="n">
        <v>92.777</v>
      </c>
      <c r="Z286" s="16" t="n">
        <v>661943</v>
      </c>
      <c r="AA286" s="3">
        <f>TABL123[[#This Row],[(RESV. STORGE) AJD]]/10</f>
        <v/>
      </c>
      <c r="AB286" s="45">
        <f>IF(TRIM(Z286)="",,(Z286-Z285)/1000)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/>
      <c r="AF286" s="68" t="n"/>
      <c r="AG286" s="68" t="n"/>
      <c r="AH286" s="6" t="n"/>
      <c r="AI286" s="78" t="n"/>
      <c r="AJ286" s="78">
        <f>TABL123[[#This Row],[(A/B) AJD]]-TABL123[[#This Row],[BER_IN]]</f>
        <v/>
      </c>
      <c r="AK286" s="78" t="n">
        <v>28</v>
      </c>
      <c r="AL286" s="68" t="n">
        <v>42.267</v>
      </c>
      <c r="AM286" s="87" t="n">
        <v>2714150</v>
      </c>
      <c r="AN286" s="87">
        <f>TABL123[[#This Row],[ (RESV. STORGE) SER]]/10</f>
        <v/>
      </c>
      <c r="AO286" s="6" t="n">
        <v>1960</v>
      </c>
      <c r="AP286" s="32">
        <f>TABL123[[#This Row],[(A/S) AJD]]-TABL123[[#This Row],[SER_IN]]</f>
        <v/>
      </c>
    </row>
    <row r="287" ht="19.5" customHeight="1" thickBot="1">
      <c r="A287" s="2" t="n">
        <v>46308</v>
      </c>
      <c r="B287" s="28" t="n">
        <v>35</v>
      </c>
      <c r="C287" s="28" t="n">
        <v>276</v>
      </c>
      <c r="D287" s="35" t="n">
        <v>35</v>
      </c>
      <c r="E287" s="28" t="n">
        <v>0</v>
      </c>
      <c r="F287" s="28" t="n">
        <v>93</v>
      </c>
      <c r="G287" s="28" t="n">
        <v>617</v>
      </c>
      <c r="H287" s="28">
        <f>103-F287</f>
        <v/>
      </c>
      <c r="I287" s="28" t="n"/>
      <c r="J287" s="28" t="n"/>
      <c r="K287" s="28">
        <f>TABL123[[#This Row],[ (T/B) SAR]]+TABL123[[#This Row],[ (S/S) SAR]]</f>
        <v/>
      </c>
      <c r="L287" s="28" t="n">
        <v>315</v>
      </c>
      <c r="M287" s="29" t="n">
        <v>24.1</v>
      </c>
      <c r="N287" s="30" t="n">
        <v>6.93</v>
      </c>
      <c r="O287" s="14" t="n">
        <v>397</v>
      </c>
      <c r="P287" s="9">
        <f>TABL123[[#This Row],[ (S/S) SAR]]-TABL123[[#This Row],[(S/S) AJD]]</f>
        <v/>
      </c>
      <c r="Q287" s="14" t="n">
        <v>428</v>
      </c>
      <c r="R287" s="9">
        <f>TABL123[[#This Row],[ (T/B) SAR]]-TABL123[[#This Row],[(T/B) AJD]]</f>
        <v/>
      </c>
      <c r="S287" s="9">
        <f>TABL123[[#This Row],[T/B-CON.]]+TABL123[[#This Row],[S/S_CON.]]</f>
        <v/>
      </c>
      <c r="T287" s="9">
        <f>TABL123[[#This Row],[(S/S) AJD]]+TABL123[[#This Row],[(T/B) AJD]]</f>
        <v/>
      </c>
      <c r="U287" s="14" t="n">
        <v>561</v>
      </c>
      <c r="V287" s="14" t="n">
        <v>261</v>
      </c>
      <c r="W287" s="9">
        <f>TABL123[[#This Row],[(A/B) AJD]]+TABL123[[#This Row],[(A/S) AJD]]</f>
        <v/>
      </c>
      <c r="X287" s="9">
        <f>TABL123[[#This Row],[( S/S+T/B) AJD]]-TABL123[[#This Row],[(A/B + A/S) AJD]]</f>
        <v/>
      </c>
      <c r="Y287" s="15" t="n">
        <v>92.724</v>
      </c>
      <c r="Z287" s="16" t="n">
        <v>630252</v>
      </c>
      <c r="AA287" s="3">
        <f>TABL123[[#This Row],[(RESV. STORGE) AJD]]/10</f>
        <v/>
      </c>
      <c r="AB287" s="45">
        <f>IF(TRIM(Z287)="",,(Z287-Z286)/1000)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/>
      <c r="AF287" s="68" t="n"/>
      <c r="AG287" s="68" t="n"/>
      <c r="AH287" s="6" t="n"/>
      <c r="AI287" s="78" t="n"/>
      <c r="AJ287" s="78">
        <f>TABL123[[#This Row],[(A/B) AJD]]-TABL123[[#This Row],[BER_IN]]</f>
        <v/>
      </c>
      <c r="AK287" s="78" t="n">
        <v>28</v>
      </c>
      <c r="AL287" s="68" t="n">
        <v>42.2964</v>
      </c>
      <c r="AM287" s="87" t="n">
        <v>2729150</v>
      </c>
      <c r="AN287" s="87">
        <f>TABL123[[#This Row],[ (RESV. STORGE) SER]]/10</f>
        <v/>
      </c>
      <c r="AO287" s="6" t="n">
        <v>1940</v>
      </c>
      <c r="AP287" s="32">
        <f>TABL123[[#This Row],[(A/S) AJD]]-TABL123[[#This Row],[SER_IN]]</f>
        <v/>
      </c>
    </row>
    <row r="288" ht="19.5" customHeight="1" thickBot="1">
      <c r="A288" s="2" t="n">
        <v>46309</v>
      </c>
      <c r="B288" s="28" t="n">
        <v>35</v>
      </c>
      <c r="C288" s="28" t="n">
        <v>288</v>
      </c>
      <c r="D288" s="35" t="n">
        <v>35</v>
      </c>
      <c r="E288" s="28" t="n">
        <v>0</v>
      </c>
      <c r="F288" s="28" t="n">
        <v>93</v>
      </c>
      <c r="G288" s="28" t="n">
        <v>617</v>
      </c>
      <c r="H288" s="28" t="n"/>
      <c r="I288" s="28" t="n"/>
      <c r="J288" s="28" t="n"/>
      <c r="K288" s="28">
        <f>TABL123[[#This Row],[ (T/B) SAR]]+TABL123[[#This Row],[ (S/S) SAR]]</f>
        <v/>
      </c>
      <c r="L288" s="28" t="n">
        <v>315</v>
      </c>
      <c r="M288" s="29" t="n">
        <v>24.1</v>
      </c>
      <c r="N288" s="30" t="n">
        <v>6.9</v>
      </c>
      <c r="O288" s="14" t="n">
        <v>398</v>
      </c>
      <c r="P288" s="9">
        <f>TABL123[[#This Row],[ (S/S) SAR]]-TABL123[[#This Row],[(S/S) AJD]]</f>
        <v/>
      </c>
      <c r="Q288" s="14" t="n">
        <v>428</v>
      </c>
      <c r="R288" s="9">
        <f>TABL123[[#This Row],[ (T/B) SAR]]-TABL123[[#This Row],[(T/B) AJD]]</f>
        <v/>
      </c>
      <c r="S288" s="9">
        <f>TABL123[[#This Row],[T/B-CON.]]+TABL123[[#This Row],[S/S_CON.]]</f>
        <v/>
      </c>
      <c r="T288" s="9">
        <f>TABL123[[#This Row],[(S/S) AJD]]+TABL123[[#This Row],[(T/B) AJD]]</f>
        <v/>
      </c>
      <c r="U288" s="14" t="n">
        <v>561</v>
      </c>
      <c r="V288" s="14" t="n">
        <v>266</v>
      </c>
      <c r="W288" s="9">
        <f>TABL123[[#This Row],[(A/B) AJD]]+TABL123[[#This Row],[(A/S) AJD]]</f>
        <v/>
      </c>
      <c r="X288" s="9">
        <f>TABL123[[#This Row],[( S/S+T/B) AJD]]-TABL123[[#This Row],[(A/B + A/S) AJD]]</f>
        <v/>
      </c>
      <c r="Y288" s="15" t="n">
        <v>92.697</v>
      </c>
      <c r="Z288" s="16" t="n">
        <v>614122</v>
      </c>
      <c r="AA288" s="3">
        <f>TABL123[[#This Row],[(RESV. STORGE) AJD]]/10</f>
        <v/>
      </c>
      <c r="AB288" s="45">
        <f>IF(TRIM(Z288)="",,(Z288-Z287)/1000)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/>
      <c r="AF288" s="68" t="n"/>
      <c r="AG288" s="68" t="n"/>
      <c r="AH288" s="6" t="n"/>
      <c r="AI288" s="78" t="n"/>
      <c r="AJ288" s="78">
        <f>TABL123[[#This Row],[(A/B) AJD]]-TABL123[[#This Row],[BER_IN]]</f>
        <v/>
      </c>
      <c r="AK288" s="78" t="n">
        <v>28</v>
      </c>
      <c r="AL288" s="68" t="n">
        <v>42.3233</v>
      </c>
      <c r="AM288" s="87" t="n">
        <v>2743630</v>
      </c>
      <c r="AN288" s="87">
        <f>TABL123[[#This Row],[ (RESV. STORGE) SER]]/10</f>
        <v/>
      </c>
      <c r="AO288" s="6" t="n">
        <v>1960</v>
      </c>
      <c r="AP288" s="32">
        <f>TABL123[[#This Row],[(A/S) AJD]]-TABL123[[#This Row],[SER_IN]]</f>
        <v/>
      </c>
    </row>
    <row r="289" ht="19.5" customHeight="1" thickBot="1">
      <c r="A289" s="2" t="n">
        <v>46310</v>
      </c>
      <c r="B289" s="28" t="n">
        <v>34</v>
      </c>
      <c r="C289" s="28" t="n">
        <v>279</v>
      </c>
      <c r="D289" s="35" t="n">
        <v>35</v>
      </c>
      <c r="E289" s="28" t="n">
        <v>0</v>
      </c>
      <c r="F289" s="28" t="n">
        <v>93</v>
      </c>
      <c r="G289" s="28" t="n">
        <v>617</v>
      </c>
      <c r="H289" s="28">
        <f>103-F289</f>
        <v/>
      </c>
      <c r="I289" s="28" t="n"/>
      <c r="J289" s="28" t="n"/>
      <c r="K289" s="28">
        <f>TABL123[[#This Row],[ (T/B) SAR]]+TABL123[[#This Row],[ (S/S) SAR]]</f>
        <v/>
      </c>
      <c r="L289" s="28" t="n">
        <v>315</v>
      </c>
      <c r="M289" s="29" t="n">
        <v>24.1</v>
      </c>
      <c r="N289" s="30" t="n">
        <v>6.87</v>
      </c>
      <c r="O289" s="14" t="n">
        <v>402</v>
      </c>
      <c r="P289" s="9">
        <f>TABL123[[#This Row],[ (S/S) SAR]]-TABL123[[#This Row],[(S/S) AJD]]</f>
        <v/>
      </c>
      <c r="Q289" s="14" t="n">
        <v>430</v>
      </c>
      <c r="R289" s="9">
        <f>TABL123[[#This Row],[ (T/B) SAR]]-TABL123[[#This Row],[(T/B) AJD]]</f>
        <v/>
      </c>
      <c r="S289" s="9">
        <f>TABL123[[#This Row],[T/B-CON.]]+TABL123[[#This Row],[S/S_CON.]]</f>
        <v/>
      </c>
      <c r="T289" s="9">
        <f>TABL123[[#This Row],[(S/S) AJD]]+TABL123[[#This Row],[(T/B) AJD]]</f>
        <v/>
      </c>
      <c r="U289" s="14" t="n">
        <v>563</v>
      </c>
      <c r="V289" s="14" t="n">
        <v>278</v>
      </c>
      <c r="W289" s="9">
        <f>TABL123[[#This Row],[(A/B) AJD]]+TABL123[[#This Row],[(A/S) AJD]]</f>
        <v/>
      </c>
      <c r="X289" s="9">
        <f>TABL123[[#This Row],[( S/S+T/B) AJD]]-TABL123[[#This Row],[(A/B + A/S) AJD]]</f>
        <v/>
      </c>
      <c r="Y289" s="15" t="n">
        <v>92.617</v>
      </c>
      <c r="Z289" s="16" t="n">
        <v>566373</v>
      </c>
      <c r="AA289" s="3">
        <f>TABL123[[#This Row],[(RESV. STORGE) AJD]]/10</f>
        <v/>
      </c>
      <c r="AB289" s="45">
        <f>IF(TRIM(Z289)="",,(Z289-Z288)/1000)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/>
      <c r="AF289" s="68" t="n"/>
      <c r="AG289" s="68" t="n"/>
      <c r="AH289" s="6" t="n"/>
      <c r="AI289" s="78" t="n"/>
      <c r="AJ289" s="78">
        <f>TABL123[[#This Row],[(A/B) AJD]]-TABL123[[#This Row],[BER_IN]]</f>
        <v/>
      </c>
      <c r="AK289" s="78" t="n">
        <v>28</v>
      </c>
      <c r="AL289" s="68" t="n">
        <v>42.3229</v>
      </c>
      <c r="AM289" s="87" t="n">
        <v>2743610</v>
      </c>
      <c r="AN289" s="87">
        <f>TABL123[[#This Row],[ (RESV. STORGE) SER]]/10</f>
        <v/>
      </c>
      <c r="AO289" s="6" t="n">
        <v>1970</v>
      </c>
      <c r="AP289" s="32">
        <f>TABL123[[#This Row],[(A/S) AJD]]-TABL123[[#This Row],[SER_IN]]</f>
        <v/>
      </c>
    </row>
    <row r="290" ht="19.5" customHeight="1" thickBot="1">
      <c r="A290" s="2" t="n">
        <v>46311</v>
      </c>
      <c r="B290" s="28" t="n"/>
      <c r="C290" s="28" t="n"/>
      <c r="D290" s="35" t="n"/>
      <c r="E290" s="28" t="n"/>
      <c r="F290" s="28" t="n">
        <v>93</v>
      </c>
      <c r="G290" s="28" t="n">
        <v>617</v>
      </c>
      <c r="H290" s="28" t="n"/>
      <c r="I290" s="28" t="n"/>
      <c r="J290" s="28" t="n"/>
      <c r="K290" s="28">
        <f>TABL123[[#This Row],[ (T/B) SAR]]+TABL123[[#This Row],[ (S/S) SAR]]</f>
        <v/>
      </c>
      <c r="L290" s="28" t="n">
        <v>310</v>
      </c>
      <c r="M290" s="29" t="n">
        <v>23.6</v>
      </c>
      <c r="N290" s="30" t="n">
        <v>6.91</v>
      </c>
      <c r="O290" s="14" t="n">
        <v>398</v>
      </c>
      <c r="P290" s="9">
        <f>TABL123[[#This Row],[ (S/S) SAR]]-TABL123[[#This Row],[(S/S) AJD]]</f>
        <v/>
      </c>
      <c r="Q290" s="14" t="n">
        <v>429</v>
      </c>
      <c r="R290" s="9">
        <f>TABL123[[#This Row],[ (T/B) SAR]]-TABL123[[#This Row],[(T/B) AJD]]</f>
        <v/>
      </c>
      <c r="S290" s="9">
        <f>TABL123[[#This Row],[T/B-CON.]]+TABL123[[#This Row],[S/S_CON.]]</f>
        <v/>
      </c>
      <c r="T290" s="9">
        <f>TABL123[[#This Row],[(S/S) AJD]]+TABL123[[#This Row],[(T/B) AJD]]</f>
        <v/>
      </c>
      <c r="U290" s="14" t="n">
        <v>558</v>
      </c>
      <c r="V290" s="14" t="n">
        <v>253</v>
      </c>
      <c r="W290" s="9">
        <f>TABL123[[#This Row],[(A/B) AJD]]+TABL123[[#This Row],[(A/S) AJD]]</f>
        <v/>
      </c>
      <c r="X290" s="9">
        <f>TABL123[[#This Row],[( S/S+T/B) AJD]]-TABL123[[#This Row],[(A/B + A/S) AJD]]</f>
        <v/>
      </c>
      <c r="Y290" s="15" t="n">
        <v>92.607</v>
      </c>
      <c r="Z290" s="16" t="n">
        <v>560410</v>
      </c>
      <c r="AA290" s="3">
        <f>TABL123[[#This Row],[(RESV. STORGE) AJD]]/10</f>
        <v/>
      </c>
      <c r="AB290" s="45">
        <f>IF(TRIM(Z290)="",,(Z290-Z289)/1000)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/>
      <c r="AF290" s="68" t="n"/>
      <c r="AG290" s="68" t="n"/>
      <c r="AH290" s="6" t="n"/>
      <c r="AI290" s="78" t="n"/>
      <c r="AJ290" s="78">
        <f>TABL123[[#This Row],[(A/B) AJD]]-TABL123[[#This Row],[BER_IN]]</f>
        <v/>
      </c>
      <c r="AK290" s="78" t="n">
        <v>28</v>
      </c>
      <c r="AL290" s="68" t="n">
        <v>42.3156</v>
      </c>
      <c r="AM290" s="87" t="n">
        <v>2739880</v>
      </c>
      <c r="AN290" s="87">
        <f>TABL123[[#This Row],[ (RESV. STORGE) SER]]/10</f>
        <v/>
      </c>
      <c r="AO290" s="6" t="n">
        <v>1830</v>
      </c>
      <c r="AP290" s="32">
        <f>TABL123[[#This Row],[(A/S) AJD]]-TABL123[[#This Row],[SER_IN]]</f>
        <v/>
      </c>
    </row>
    <row r="291" ht="19.5" customHeight="1" thickBot="1">
      <c r="A291" s="2" t="n">
        <v>46312</v>
      </c>
      <c r="B291" s="28" t="n">
        <v>32</v>
      </c>
      <c r="C291" s="28" t="n">
        <v>251</v>
      </c>
      <c r="D291" s="28" t="n">
        <v>35</v>
      </c>
      <c r="E291" s="28" t="n">
        <v>0</v>
      </c>
      <c r="F291" s="28" t="n">
        <v>93</v>
      </c>
      <c r="G291" s="28" t="n">
        <v>617</v>
      </c>
      <c r="H291" s="28">
        <f>103-F291</f>
        <v/>
      </c>
      <c r="I291" s="28" t="n"/>
      <c r="J291" s="28" t="n"/>
      <c r="K291" s="28">
        <f>TABL123[[#This Row],[ (T/B) SAR]]+TABL123[[#This Row],[ (S/S) SAR]]</f>
        <v/>
      </c>
      <c r="L291" s="28" t="n">
        <v>310</v>
      </c>
      <c r="M291" s="29" t="n">
        <v>23.6</v>
      </c>
      <c r="N291" s="30" t="n">
        <v>6.81</v>
      </c>
      <c r="O291" s="14" t="n">
        <v>397</v>
      </c>
      <c r="P291" s="9">
        <f>TABL123[[#This Row],[ (S/S) SAR]]-TABL123[[#This Row],[(S/S) AJD]]</f>
        <v/>
      </c>
      <c r="Q291" s="14" t="n">
        <v>428</v>
      </c>
      <c r="R291" s="9">
        <f>TABL123[[#This Row],[ (T/B) SAR]]-TABL123[[#This Row],[(T/B) AJD]]</f>
        <v/>
      </c>
      <c r="S291" s="9">
        <f>TABL123[[#This Row],[T/B-CON.]]+TABL123[[#This Row],[S/S_CON.]]</f>
        <v/>
      </c>
      <c r="T291" s="9">
        <f>TABL123[[#This Row],[(S/S) AJD]]+TABL123[[#This Row],[(T/B) AJD]]</f>
        <v/>
      </c>
      <c r="U291" s="14" t="n">
        <v>558</v>
      </c>
      <c r="V291" s="14" t="n">
        <v>224</v>
      </c>
      <c r="W291" s="9">
        <f>TABL123[[#This Row],[(A/B) AJD]]+TABL123[[#This Row],[(A/S) AJD]]</f>
        <v/>
      </c>
      <c r="X291" s="9">
        <f>TABL123[[#This Row],[( S/S+T/B) AJD]]-TABL123[[#This Row],[(A/B + A/S) AJD]]</f>
        <v/>
      </c>
      <c r="Y291" s="15" t="n">
        <v>92.624</v>
      </c>
      <c r="Z291" s="16" t="n">
        <v>570552</v>
      </c>
      <c r="AA291" s="3">
        <f>TABL123[[#This Row],[(RESV. STORGE) AJD]]/10</f>
        <v/>
      </c>
      <c r="AB291" s="45">
        <f>IF(TRIM(Z291)="",,(Z291-Z290)/1000)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/>
      <c r="AF291" s="68" t="n"/>
      <c r="AG291" s="68" t="n"/>
      <c r="AH291" s="6" t="n"/>
      <c r="AI291" s="78" t="n"/>
      <c r="AJ291" s="78">
        <f>TABL123[[#This Row],[(A/B) AJD]]-TABL123[[#This Row],[BER_IN]]</f>
        <v/>
      </c>
      <c r="AK291" s="78" t="n">
        <v>28</v>
      </c>
      <c r="AL291" s="68" t="n">
        <v>42.3233</v>
      </c>
      <c r="AM291" s="87" t="n">
        <v>2743630</v>
      </c>
      <c r="AN291" s="87">
        <f>TABL123[[#This Row],[ (RESV. STORGE) SER]]/10</f>
        <v/>
      </c>
      <c r="AO291" s="6" t="n">
        <v>1850</v>
      </c>
      <c r="AP291" s="32">
        <f>TABL123[[#This Row],[(A/S) AJD]]-TABL123[[#This Row],[SER_IN]]</f>
        <v/>
      </c>
    </row>
    <row r="292" ht="19.5" customHeight="1" thickBot="1">
      <c r="A292" s="2" t="n">
        <v>46313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TABL123[[#This Row],[ (T/B) SAR]]+TABL123[[#This Row],[ (S/S) SAR]]</f>
        <v/>
      </c>
      <c r="L292" s="28" t="n"/>
      <c r="M292" s="29" t="n"/>
      <c r="N292" s="30" t="n"/>
      <c r="O292" s="14" t="n">
        <v>393</v>
      </c>
      <c r="P292" s="9">
        <f>TABL123[[#This Row],[ (S/S) SAR]]-TABL123[[#This Row],[(S/S) AJD]]</f>
        <v/>
      </c>
      <c r="Q292" s="14" t="n">
        <v>426</v>
      </c>
      <c r="R292" s="9">
        <f>TABL123[[#This Row],[ (T/B) SAR]]-TABL123[[#This Row],[(T/B) AJD]]</f>
        <v/>
      </c>
      <c r="S292" s="9">
        <f>TABL123[[#This Row],[T/B-CON.]]+TABL123[[#This Row],[S/S_CON.]]</f>
        <v/>
      </c>
      <c r="T292" s="9">
        <f>TABL123[[#This Row],[(S/S) AJD]]+TABL123[[#This Row],[(T/B) AJD]]</f>
        <v/>
      </c>
      <c r="U292" s="14" t="n">
        <v>565</v>
      </c>
      <c r="V292" s="14" t="n">
        <v>217</v>
      </c>
      <c r="W292" s="9">
        <f>TABL123[[#This Row],[(A/B) AJD]]+TABL123[[#This Row],[(A/S) AJD]]</f>
        <v/>
      </c>
      <c r="X292" s="9">
        <f>TABL123[[#This Row],[( S/S+T/B) AJD]]-TABL123[[#This Row],[(A/B + A/S) AJD]]</f>
        <v/>
      </c>
      <c r="Y292" s="15" t="n">
        <v>92.652</v>
      </c>
      <c r="Z292" s="16" t="n">
        <v>587262</v>
      </c>
      <c r="AA292" s="3">
        <f>TABL123[[#This Row],[(RESV. STORGE) AJD]]/10</f>
        <v/>
      </c>
      <c r="AB292" s="45">
        <f>IF(TRIM(Z292)="",,(Z292-Z291)/1000)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/>
      <c r="AF292" s="68" t="n"/>
      <c r="AG292" s="68" t="n"/>
      <c r="AH292" s="6" t="n"/>
      <c r="AI292" s="78" t="n"/>
      <c r="AJ292" s="78">
        <f>TABL123[[#This Row],[(A/B) AJD]]-TABL123[[#This Row],[BER_IN]]</f>
        <v/>
      </c>
      <c r="AK292" s="78" t="n"/>
      <c r="AL292" s="68" t="n"/>
      <c r="AM292" s="87" t="n"/>
      <c r="AN292" s="87">
        <f>TABL123[[#This Row],[ (RESV. STORGE) SER]]/10</f>
        <v/>
      </c>
      <c r="AO292" s="6" t="n"/>
      <c r="AP292" s="32">
        <f>TABL123[[#This Row],[(A/S) AJD]]-TABL123[[#This Row],[SER_IN]]</f>
        <v/>
      </c>
    </row>
    <row r="293" ht="19.5" customHeight="1" thickBot="1">
      <c r="A293" s="2" t="n">
        <v>46314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TABL123[[#This Row],[ (T/B) SAR]]+TABL123[[#This Row],[ (S/S) SAR]]</f>
        <v/>
      </c>
      <c r="L293" s="28" t="n"/>
      <c r="M293" s="29" t="n"/>
      <c r="N293" s="30" t="n"/>
      <c r="O293" s="14" t="n">
        <v>387</v>
      </c>
      <c r="P293" s="9">
        <f>TABL123[[#This Row],[ (S/S) SAR]]-TABL123[[#This Row],[(S/S) AJD]]</f>
        <v/>
      </c>
      <c r="Q293" s="14" t="n">
        <v>417</v>
      </c>
      <c r="R293" s="9">
        <f>TABL123[[#This Row],[ (T/B) SAR]]-TABL123[[#This Row],[(T/B) AJD]]</f>
        <v/>
      </c>
      <c r="S293" s="9">
        <f>TABL123[[#This Row],[T/B-CON.]]+TABL123[[#This Row],[S/S_CON.]]</f>
        <v/>
      </c>
      <c r="T293" s="9">
        <f>TABL123[[#This Row],[(S/S) AJD]]+TABL123[[#This Row],[(T/B) AJD]]</f>
        <v/>
      </c>
      <c r="U293" s="14" t="n">
        <v>568</v>
      </c>
      <c r="V293" s="14" t="n">
        <v>216</v>
      </c>
      <c r="W293" s="9">
        <f>TABL123[[#This Row],[(A/B) AJD]]+TABL123[[#This Row],[(A/S) AJD]]</f>
        <v/>
      </c>
      <c r="X293" s="9">
        <f>TABL123[[#This Row],[( S/S+T/B) AJD]]-TABL123[[#This Row],[(A/B + A/S) AJD]]</f>
        <v/>
      </c>
      <c r="Y293" s="15" t="n">
        <v>92.634</v>
      </c>
      <c r="Z293" s="16" t="n">
        <v>576521</v>
      </c>
      <c r="AA293" s="3">
        <f>TABL123[[#This Row],[(RESV. STORGE) AJD]]/10</f>
        <v/>
      </c>
      <c r="AB293" s="45">
        <f>IF(TRIM(Z293)="",,(Z293-Z292)/1000)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/>
      <c r="AF293" s="68" t="n"/>
      <c r="AG293" s="68" t="n"/>
      <c r="AH293" s="6" t="n"/>
      <c r="AI293" s="78" t="n"/>
      <c r="AJ293" s="78">
        <f>TABL123[[#This Row],[(A/B) AJD]]-TABL123[[#This Row],[BER_IN]]</f>
        <v/>
      </c>
      <c r="AK293" s="78" t="n"/>
      <c r="AL293" s="68" t="n"/>
      <c r="AM293" s="87" t="n"/>
      <c r="AN293" s="87">
        <f>TABL123[[#This Row],[ (RESV. STORGE) SER]]/10</f>
        <v/>
      </c>
      <c r="AO293" s="6" t="n"/>
      <c r="AP293" s="32">
        <f>TABL123[[#This Row],[(A/S) AJD]]-TABL123[[#This Row],[SER_IN]]</f>
        <v/>
      </c>
    </row>
    <row r="294" ht="19.5" customHeight="1" thickBot="1">
      <c r="A294" s="2" t="n">
        <v>46315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TABL123[[#This Row],[ (T/B) SAR]]+TABL123[[#This Row],[ (S/S) SAR]]</f>
        <v/>
      </c>
      <c r="L294" s="28" t="n"/>
      <c r="M294" s="29" t="n"/>
      <c r="N294" s="30" t="n"/>
      <c r="O294" s="14" t="n">
        <v>379</v>
      </c>
      <c r="P294" s="9">
        <f>TABL123[[#This Row],[ (S/S) SAR]]-TABL123[[#This Row],[(S/S) AJD]]</f>
        <v/>
      </c>
      <c r="Q294" s="14" t="n">
        <v>409</v>
      </c>
      <c r="R294" s="9">
        <f>TABL123[[#This Row],[ (T/B) SAR]]-TABL123[[#This Row],[(T/B) AJD]]</f>
        <v/>
      </c>
      <c r="S294" s="9">
        <f>TABL123[[#This Row],[T/B-CON.]]+TABL123[[#This Row],[S/S_CON.]]</f>
        <v/>
      </c>
      <c r="T294" s="9">
        <f>TABL123[[#This Row],[(S/S) AJD]]+TABL123[[#This Row],[(T/B) AJD]]</f>
        <v/>
      </c>
      <c r="U294" s="14" t="n">
        <v>564</v>
      </c>
      <c r="V294" s="14" t="n">
        <v>227</v>
      </c>
      <c r="W294" s="9">
        <f>TABL123[[#This Row],[(A/B) AJD]]+TABL123[[#This Row],[(A/S) AJD]]</f>
        <v/>
      </c>
      <c r="X294" s="9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3">
        <f>TABL123[[#This Row],[(RESV. STORGE) AJD]]/10</f>
        <v/>
      </c>
      <c r="AB294" s="45">
        <f>IF(TRIM(Z294)="",,(Z294-Z293)/1000)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/>
      <c r="AF294" s="68" t="n"/>
      <c r="AG294" s="68" t="n"/>
      <c r="AH294" s="6" t="n"/>
      <c r="AI294" s="78" t="n"/>
      <c r="AJ294" s="78">
        <f>TABL123[[#This Row],[(A/B) AJD]]-TABL123[[#This Row],[BER_IN]]</f>
        <v/>
      </c>
      <c r="AK294" s="78" t="n"/>
      <c r="AL294" s="68" t="n"/>
      <c r="AM294" s="87" t="n"/>
      <c r="AN294" s="87">
        <f>TABL123[[#This Row],[ (RESV. STORGE) SER]]/10</f>
        <v/>
      </c>
      <c r="AO294" s="6" t="n"/>
      <c r="AP294" s="32">
        <f>TABL123[[#This Row],[(A/S) AJD]]-TABL123[[#This Row],[SER_IN]]</f>
        <v/>
      </c>
    </row>
    <row r="295" ht="19.5" customHeight="1" thickBot="1">
      <c r="A295" s="2" t="n">
        <v>46316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TABL123[[#This Row],[ (T/B) SAR]]+TABL123[[#This Row],[ (S/S) SAR]]</f>
        <v/>
      </c>
      <c r="L295" s="28" t="n"/>
      <c r="M295" s="29" t="n"/>
      <c r="N295" s="30" t="n"/>
      <c r="O295" s="14" t="n">
        <v>381</v>
      </c>
      <c r="P295" s="9">
        <f>TABL123[[#This Row],[ (S/S) SAR]]-TABL123[[#This Row],[(S/S) AJD]]</f>
        <v/>
      </c>
      <c r="Q295" s="14" t="n">
        <v>412</v>
      </c>
      <c r="R295" s="9">
        <f>TABL123[[#This Row],[ (T/B) SAR]]-TABL123[[#This Row],[(T/B) AJD]]</f>
        <v/>
      </c>
      <c r="S295" s="9">
        <f>TABL123[[#This Row],[T/B-CON.]]+TABL123[[#This Row],[S/S_CON.]]</f>
        <v/>
      </c>
      <c r="T295" s="9">
        <f>TABL123[[#This Row],[(S/S) AJD]]+TABL123[[#This Row],[(T/B) AJD]]</f>
        <v/>
      </c>
      <c r="U295" s="14" t="n">
        <v>565</v>
      </c>
      <c r="V295" s="14" t="n">
        <v>225</v>
      </c>
      <c r="W295" s="9">
        <f>TABL123[[#This Row],[(A/B) AJD]]+TABL123[[#This Row],[(A/S) AJD]]</f>
        <v/>
      </c>
      <c r="X295" s="9">
        <f>TABL123[[#This Row],[( S/S+T/B) AJD]]-TABL123[[#This Row],[(A/B + A/S) AJD]]</f>
        <v/>
      </c>
      <c r="Y295" s="15" t="n">
        <v>92.527</v>
      </c>
      <c r="Z295" s="16" t="n">
        <v>512711</v>
      </c>
      <c r="AA295" s="3">
        <f>TABL123[[#This Row],[(RESV. STORGE) AJD]]/10</f>
        <v/>
      </c>
      <c r="AB295" s="45">
        <f>IF(TRIM(Z295)="",,(Z295-Z294)/1000)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/>
      <c r="AF295" s="68" t="n"/>
      <c r="AG295" s="68" t="n"/>
      <c r="AH295" s="6" t="n"/>
      <c r="AI295" s="78" t="n"/>
      <c r="AJ295" s="78">
        <f>TABL123[[#This Row],[(A/B) AJD]]-TABL123[[#This Row],[BER_IN]]</f>
        <v/>
      </c>
      <c r="AK295" s="78" t="n"/>
      <c r="AL295" s="68" t="n"/>
      <c r="AM295" s="87" t="n"/>
      <c r="AN295" s="87">
        <f>TABL123[[#This Row],[ (RESV. STORGE) SER]]/10</f>
        <v/>
      </c>
      <c r="AO295" s="6" t="n"/>
      <c r="AP295" s="32">
        <f>TABL123[[#This Row],[(A/S) AJD]]-TABL123[[#This Row],[SER_IN]]</f>
        <v/>
      </c>
    </row>
    <row r="296" ht="19.5" customHeight="1" thickBot="1">
      <c r="A296" s="2" t="n">
        <v>46317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TABL123[[#This Row],[ (T/B) SAR]]+TABL123[[#This Row],[ (S/S) SAR]]</f>
        <v/>
      </c>
      <c r="L296" s="28" t="n"/>
      <c r="M296" s="29" t="n"/>
      <c r="N296" s="30" t="n"/>
      <c r="O296" s="14" t="n">
        <v>382</v>
      </c>
      <c r="P296" s="9">
        <f>TABL123[[#This Row],[ (S/S) SAR]]-TABL123[[#This Row],[(S/S) AJD]]</f>
        <v/>
      </c>
      <c r="Q296" s="14" t="n">
        <v>412</v>
      </c>
      <c r="R296" s="9">
        <f>TABL123[[#This Row],[ (T/B) SAR]]-TABL123[[#This Row],[(T/B) AJD]]</f>
        <v/>
      </c>
      <c r="S296" s="9">
        <f>TABL123[[#This Row],[T/B-CON.]]+TABL123[[#This Row],[S/S_CON.]]</f>
        <v/>
      </c>
      <c r="T296" s="9">
        <f>TABL123[[#This Row],[(S/S) AJD]]+TABL123[[#This Row],[(T/B) AJD]]</f>
        <v/>
      </c>
      <c r="U296" s="14" t="n">
        <v>558</v>
      </c>
      <c r="V296" s="14" t="n">
        <v>263</v>
      </c>
      <c r="W296" s="9">
        <f>TABL123[[#This Row],[(A/B) AJD]]+TABL123[[#This Row],[(A/S) AJD]]</f>
        <v/>
      </c>
      <c r="X296" s="9">
        <f>TABL123[[#This Row],[( S/S+T/B) AJD]]-TABL123[[#This Row],[(A/B + A/S) AJD]]</f>
        <v/>
      </c>
      <c r="Y296" s="15" t="n">
        <v>92.447</v>
      </c>
      <c r="Z296" s="16" t="n">
        <v>465064</v>
      </c>
      <c r="AA296" s="3">
        <f>TABL123[[#This Row],[(RESV. STORGE) AJD]]/10</f>
        <v/>
      </c>
      <c r="AB296" s="45">
        <f>IF(TRIM(Z296)="",,(Z296-Z295)/1000)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/>
      <c r="AF296" s="68" t="n"/>
      <c r="AG296" s="68" t="n"/>
      <c r="AH296" s="6" t="n"/>
      <c r="AI296" s="78" t="n"/>
      <c r="AJ296" s="78">
        <f>TABL123[[#This Row],[(A/B) AJD]]-TABL123[[#This Row],[BER_IN]]</f>
        <v/>
      </c>
      <c r="AK296" s="78" t="n"/>
      <c r="AL296" s="68" t="n"/>
      <c r="AM296" s="87" t="n"/>
      <c r="AN296" s="87">
        <f>TABL123[[#This Row],[ (RESV. STORGE) SER]]/10</f>
        <v/>
      </c>
      <c r="AO296" s="6" t="n"/>
      <c r="AP296" s="32">
        <f>TABL123[[#This Row],[(A/S) AJD]]-TABL123[[#This Row],[SER_IN]]</f>
        <v/>
      </c>
    </row>
    <row r="297" ht="19.5" customHeight="1" thickBot="1">
      <c r="A297" s="2" t="n">
        <v>46318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TABL123[[#This Row],[ (T/B) SAR]]+TABL123[[#This Row],[ (S/S) SAR]]</f>
        <v/>
      </c>
      <c r="L297" s="28" t="n"/>
      <c r="M297" s="29" t="n"/>
      <c r="N297" s="30" t="n"/>
      <c r="O297" s="14" t="n">
        <v>383</v>
      </c>
      <c r="P297" s="9">
        <f>TABL123[[#This Row],[ (S/S) SAR]]-TABL123[[#This Row],[(S/S) AJD]]</f>
        <v/>
      </c>
      <c r="Q297" s="14" t="n">
        <v>411</v>
      </c>
      <c r="R297" s="9">
        <f>TABL123[[#This Row],[ (T/B) SAR]]-TABL123[[#This Row],[(T/B) AJD]]</f>
        <v/>
      </c>
      <c r="S297" s="9">
        <f>TABL123[[#This Row],[T/B-CON.]]+TABL123[[#This Row],[S/S_CON.]]</f>
        <v/>
      </c>
      <c r="T297" s="9">
        <f>TABL123[[#This Row],[(S/S) AJD]]+TABL123[[#This Row],[(T/B) AJD]]</f>
        <v/>
      </c>
      <c r="U297" s="14" t="n">
        <v>551</v>
      </c>
      <c r="V297" s="14" t="n">
        <v>260</v>
      </c>
      <c r="W297" s="9">
        <f>TABL123[[#This Row],[(A/B) AJD]]+TABL123[[#This Row],[(A/S) AJD]]</f>
        <v/>
      </c>
      <c r="X297" s="9">
        <f>TABL123[[#This Row],[( S/S+T/B) AJD]]-TABL123[[#This Row],[(A/B + A/S) AJD]]</f>
        <v/>
      </c>
      <c r="Y297" s="15" t="n">
        <v>92.37</v>
      </c>
      <c r="Z297" s="16" t="n">
        <v>422229</v>
      </c>
      <c r="AA297" s="3">
        <f>TABL123[[#This Row],[(RESV. STORGE) AJD]]/10</f>
        <v/>
      </c>
      <c r="AB297" s="45">
        <f>IF(TRIM(Z297)="",,(Z297-Z296)/1000)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/>
      <c r="AF297" s="68" t="n"/>
      <c r="AG297" s="68" t="n"/>
      <c r="AH297" s="6" t="n"/>
      <c r="AI297" s="78" t="n"/>
      <c r="AJ297" s="78">
        <f>TABL123[[#This Row],[(A/B) AJD]]-TABL123[[#This Row],[BER_IN]]</f>
        <v/>
      </c>
      <c r="AK297" s="78" t="n"/>
      <c r="AL297" s="68" t="n"/>
      <c r="AM297" s="87" t="n"/>
      <c r="AN297" s="87">
        <f>TABL123[[#This Row],[ (RESV. STORGE) SER]]/10</f>
        <v/>
      </c>
      <c r="AO297" s="6" t="n"/>
      <c r="AP297" s="32">
        <f>TABL123[[#This Row],[(A/S) AJD]]-TABL123[[#This Row],[SER_IN]]</f>
        <v/>
      </c>
    </row>
    <row r="298" ht="19.5" customHeight="1" thickBot="1">
      <c r="A298" s="2" t="n">
        <v>46319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TABL123[[#This Row],[ (T/B) SAR]]+TABL123[[#This Row],[ (S/S) SAR]]</f>
        <v/>
      </c>
      <c r="L298" s="28" t="n"/>
      <c r="M298" s="29" t="n"/>
      <c r="N298" s="30" t="n"/>
      <c r="O298" s="14" t="n">
        <v>404</v>
      </c>
      <c r="P298" s="9">
        <f>TABL123[[#This Row],[ (S/S) SAR]]-TABL123[[#This Row],[(S/S) AJD]]</f>
        <v/>
      </c>
      <c r="Q298" s="14" t="n">
        <v>436</v>
      </c>
      <c r="R298" s="9">
        <f>TABL123[[#This Row],[ (T/B) SAR]]-TABL123[[#This Row],[(T/B) AJD]]</f>
        <v/>
      </c>
      <c r="S298" s="9">
        <f>TABL123[[#This Row],[T/B-CON.]]+TABL123[[#This Row],[S/S_CON.]]</f>
        <v/>
      </c>
      <c r="T298" s="9">
        <f>TABL123[[#This Row],[(S/S) AJD]]+TABL123[[#This Row],[(T/B) AJD]]</f>
        <v/>
      </c>
      <c r="U298" s="14" t="n">
        <v>543</v>
      </c>
      <c r="V298" s="14" t="n">
        <v>257</v>
      </c>
      <c r="W298" s="9">
        <f>TABL123[[#This Row],[(A/B) AJD]]+TABL123[[#This Row],[(A/S) AJD]]</f>
        <v/>
      </c>
      <c r="X298" s="9">
        <f>TABL123[[#This Row],[( S/S+T/B) AJD]]-TABL123[[#This Row],[(A/B + A/S) AJD]]</f>
        <v/>
      </c>
      <c r="Y298" s="15" t="n">
        <v>92.41</v>
      </c>
      <c r="Z298" s="16" t="n">
        <v>443049</v>
      </c>
      <c r="AA298" s="3">
        <f>TABL123[[#This Row],[(RESV. STORGE) AJD]]/10</f>
        <v/>
      </c>
      <c r="AB298" s="45">
        <f>IF(TRIM(Z298)="",,(Z298-Z297)/1000)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/>
      <c r="AF298" s="68" t="n"/>
      <c r="AG298" s="68" t="n"/>
      <c r="AH298" s="6" t="n"/>
      <c r="AI298" s="78" t="n"/>
      <c r="AJ298" s="78">
        <f>TABL123[[#This Row],[(A/B) AJD]]-TABL123[[#This Row],[BER_IN]]</f>
        <v/>
      </c>
      <c r="AK298" s="78" t="n"/>
      <c r="AL298" s="68" t="n"/>
      <c r="AM298" s="87" t="n"/>
      <c r="AN298" s="87">
        <f>TABL123[[#This Row],[ (RESV. STORGE) SER]]/10</f>
        <v/>
      </c>
      <c r="AO298" s="6" t="n"/>
      <c r="AP298" s="32">
        <f>TABL123[[#This Row],[(A/S) AJD]]-TABL123[[#This Row],[SER_IN]]</f>
        <v/>
      </c>
    </row>
    <row r="299" ht="19.5" customHeight="1" thickBot="1">
      <c r="A299" s="2" t="n">
        <v>46320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TABL123[[#This Row],[ (T/B) SAR]]+TABL123[[#This Row],[ (S/S) SAR]]</f>
        <v/>
      </c>
      <c r="L299" s="28" t="n"/>
      <c r="M299" s="29" t="n"/>
      <c r="N299" s="30" t="n"/>
      <c r="O299" s="14" t="n">
        <v>413</v>
      </c>
      <c r="P299" s="9">
        <f>TABL123[[#This Row],[ (S/S) SAR]]-TABL123[[#This Row],[(S/S) AJD]]</f>
        <v/>
      </c>
      <c r="Q299" s="14" t="n">
        <v>446</v>
      </c>
      <c r="R299" s="9">
        <f>TABL123[[#This Row],[ (T/B) SAR]]-TABL123[[#This Row],[(T/B) AJD]]</f>
        <v/>
      </c>
      <c r="S299" s="9">
        <f>TABL123[[#This Row],[T/B-CON.]]+TABL123[[#This Row],[S/S_CON.]]</f>
        <v/>
      </c>
      <c r="T299" s="9">
        <f>TABL123[[#This Row],[(S/S) AJD]]+TABL123[[#This Row],[(T/B) AJD]]</f>
        <v/>
      </c>
      <c r="U299" s="14" t="n">
        <v>527</v>
      </c>
      <c r="V299" s="14" t="n">
        <v>264</v>
      </c>
      <c r="W299" s="9">
        <f>TABL123[[#This Row],[(A/B) AJD]]+TABL123[[#This Row],[(A/S) AJD]]</f>
        <v/>
      </c>
      <c r="X299" s="9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3">
        <f>TABL123[[#This Row],[(RESV. STORGE) AJD]]/10</f>
        <v/>
      </c>
      <c r="AB299" s="45">
        <f>IF(TRIM(Z299)="",,(Z299-Z298)/1000)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/>
      <c r="AF299" s="68" t="n"/>
      <c r="AG299" s="68" t="n"/>
      <c r="AH299" s="6" t="n"/>
      <c r="AI299" s="78" t="n"/>
      <c r="AJ299" s="78">
        <f>TABL123[[#This Row],[(A/B) AJD]]-TABL123[[#This Row],[BER_IN]]</f>
        <v/>
      </c>
      <c r="AK299" s="78" t="n"/>
      <c r="AL299" s="68" t="n"/>
      <c r="AM299" s="87" t="n"/>
      <c r="AN299" s="87">
        <f>TABL123[[#This Row],[ (RESV. STORGE) SER]]/10</f>
        <v/>
      </c>
      <c r="AO299" s="6" t="n"/>
      <c r="AP299" s="32">
        <f>TABL123[[#This Row],[(A/S) AJD]]-TABL123[[#This Row],[SER_IN]]</f>
        <v/>
      </c>
    </row>
    <row r="300" ht="18.75" customHeight="1">
      <c r="A300" s="2" t="n">
        <v>46321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TABL123[[#This Row],[ (T/B) SAR]]+TABL123[[#This Row],[ (S/S) SAR]]</f>
        <v/>
      </c>
      <c r="L300" s="28" t="n"/>
      <c r="M300" s="29" t="n"/>
      <c r="N300" s="30" t="n"/>
      <c r="O300" s="14" t="n"/>
      <c r="P300" s="9">
        <f>TABL123[[#This Row],[ (S/S) SAR]]-TABL123[[#This Row],[(S/S) AJD]]</f>
        <v/>
      </c>
      <c r="Q300" s="14" t="n"/>
      <c r="R300" s="9">
        <f>TABL123[[#This Row],[ (T/B) SAR]]-TABL123[[#This Row],[(T/B) AJD]]</f>
        <v/>
      </c>
      <c r="S300" s="9">
        <f>TABL123[[#This Row],[T/B-CON.]]+TABL123[[#This Row],[S/S_CON.]]</f>
        <v/>
      </c>
      <c r="T300" s="9">
        <f>TABL123[[#This Row],[(S/S) AJD]]+TABL123[[#This Row],[(T/B) AJD]]</f>
        <v/>
      </c>
      <c r="U300" s="14" t="n"/>
      <c r="V300" s="14" t="n"/>
      <c r="W300" s="9">
        <f>TABL123[[#This Row],[(A/B) AJD]]+TABL123[[#This Row],[(A/S) AJD]]</f>
        <v/>
      </c>
      <c r="X300" s="9">
        <f>TABL123[[#This Row],[( S/S+T/B) AJD]]-TABL123[[#This Row],[(A/B + A/S) AJD]]</f>
        <v/>
      </c>
      <c r="Y300" s="18" t="n"/>
      <c r="Z300" s="9" t="n"/>
      <c r="AA300" s="3">
        <f>TABL123[[#This Row],[(RESV. STORGE) AJD]]/10</f>
        <v/>
      </c>
      <c r="AB300" s="45">
        <f>IF(TRIM(Z300)="",,(Z300-Z299)/1000)</f>
        <v/>
      </c>
      <c r="AC300" s="5" t="n"/>
      <c r="AD300" s="83">
        <f>TABL123[[#This Row],[( S/S+T/B) AJD]]-(TABL123[[#This Row],[(A/B + A/S) AJD]]+TABL123[[#This Row],[(STORGE DIFF.) AJD]]+(TABL123[[#This Row],[AJD_Evaporation]])/1000)</f>
        <v/>
      </c>
      <c r="AE300" s="68" t="n"/>
      <c r="AF300" s="68" t="n"/>
      <c r="AG300" s="68" t="n"/>
      <c r="AH300" s="6" t="n"/>
      <c r="AI300" s="78" t="n"/>
      <c r="AJ300" s="78" t="n"/>
      <c r="AK300" s="78" t="n"/>
      <c r="AL300" s="68" t="n"/>
      <c r="AM300" s="87" t="n"/>
      <c r="AN300" s="87" t="n"/>
      <c r="AO300" s="6" t="n"/>
      <c r="AP300" s="32" t="n"/>
    </row>
    <row r="301" ht="18.75" customHeight="1">
      <c r="A301" s="2" t="n">
        <v>46322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TABL123[[#This Row],[ (T/B) SAR]]+TABL123[[#This Row],[ (S/S) SAR]]</f>
        <v/>
      </c>
      <c r="L301" s="28" t="n"/>
      <c r="M301" s="29" t="n"/>
      <c r="N301" s="30" t="n"/>
      <c r="O301" s="14" t="n"/>
      <c r="P301" s="9">
        <f>TABL123[[#This Row],[ (S/S) SAR]]-TABL123[[#This Row],[(S/S) AJD]]</f>
        <v/>
      </c>
      <c r="Q301" s="14" t="n"/>
      <c r="R301" s="9">
        <f>TABL123[[#This Row],[ (T/B) SAR]]-TABL123[[#This Row],[(T/B) AJD]]</f>
        <v/>
      </c>
      <c r="S301" s="9">
        <f>TABL123[[#This Row],[T/B-CON.]]+TABL123[[#This Row],[S/S_CON.]]</f>
        <v/>
      </c>
      <c r="T301" s="9">
        <f>TABL123[[#This Row],[(S/S) AJD]]+TABL123[[#This Row],[(T/B) AJD]]</f>
        <v/>
      </c>
      <c r="U301" s="14" t="n"/>
      <c r="V301" s="14" t="n"/>
      <c r="W301" s="9">
        <f>TABL123[[#This Row],[(A/B) AJD]]+TABL123[[#This Row],[(A/S) AJD]]</f>
        <v/>
      </c>
      <c r="X301" s="9">
        <f>TABL123[[#This Row],[( S/S+T/B) AJD]]-TABL123[[#This Row],[(A/B + A/S) AJD]]</f>
        <v/>
      </c>
      <c r="Y301" s="18" t="n"/>
      <c r="Z301" s="9" t="n"/>
      <c r="AA301" s="3">
        <f>TABL123[[#This Row],[(RESV. STORGE) AJD]]/10</f>
        <v/>
      </c>
      <c r="AB301" s="45">
        <f>IF(TRIM(Z301)="",,(Z301-Z300)/1000)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/>
      <c r="AF301" s="68" t="n"/>
      <c r="AG301" s="68" t="n"/>
      <c r="AH301" s="6" t="n"/>
      <c r="AI301" s="78" t="n"/>
      <c r="AJ301" s="78" t="n"/>
      <c r="AK301" s="78" t="n"/>
      <c r="AL301" s="68" t="n"/>
      <c r="AM301" s="87" t="n"/>
      <c r="AN301" s="87" t="n"/>
      <c r="AO301" s="6" t="n"/>
      <c r="AP301" s="32" t="n"/>
    </row>
    <row r="302" ht="18.75" customHeight="1">
      <c r="A302" s="2" t="n">
        <v>46323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TABL123[[#This Row],[ (T/B) SAR]]+TABL123[[#This Row],[ (S/S) SAR]]</f>
        <v/>
      </c>
      <c r="L302" s="28" t="n"/>
      <c r="M302" s="29" t="n"/>
      <c r="N302" s="30" t="n"/>
      <c r="O302" s="14" t="n"/>
      <c r="P302" s="9">
        <f>TABL123[[#This Row],[ (S/S) SAR]]-TABL123[[#This Row],[(S/S) AJD]]</f>
        <v/>
      </c>
      <c r="Q302" s="14" t="n"/>
      <c r="R302" s="9">
        <f>TABL123[[#This Row],[ (T/B) SAR]]-TABL123[[#This Row],[(T/B) AJD]]</f>
        <v/>
      </c>
      <c r="S302" s="9">
        <f>TABL123[[#This Row],[T/B-CON.]]+TABL123[[#This Row],[S/S_CON.]]</f>
        <v/>
      </c>
      <c r="T302" s="9">
        <f>TABL123[[#This Row],[(S/S) AJD]]+TABL123[[#This Row],[(T/B) AJD]]</f>
        <v/>
      </c>
      <c r="U302" s="14" t="n"/>
      <c r="V302" s="14" t="n"/>
      <c r="W302" s="9">
        <f>TABL123[[#This Row],[(A/B) AJD]]+TABL123[[#This Row],[(A/S) AJD]]</f>
        <v/>
      </c>
      <c r="X302" s="9">
        <f>TABL123[[#This Row],[( S/S+T/B) AJD]]-TABL123[[#This Row],[(A/B + A/S) AJD]]</f>
        <v/>
      </c>
      <c r="Y302" s="18" t="n"/>
      <c r="Z302" s="9" t="n"/>
      <c r="AA302" s="3">
        <f>TABL123[[#This Row],[(RESV. STORGE) AJD]]/10</f>
        <v/>
      </c>
      <c r="AB302" s="45">
        <f>IF(TRIM(Z302)="",,(Z302-Z301)/1000)</f>
        <v/>
      </c>
      <c r="AC302" s="5" t="n"/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6" t="n"/>
      <c r="AI302" s="78" t="n"/>
      <c r="AJ302" s="78">
        <f>TABL123[[#This Row],[(A/B) AJD]]-TABL123[[#This Row],[BER_IN]]</f>
        <v/>
      </c>
      <c r="AK302" s="78" t="n"/>
      <c r="AL302" s="68" t="n"/>
      <c r="AM302" s="87" t="n"/>
      <c r="AN302" s="87">
        <f>TABL123[[#This Row],[ (RESV. STORGE) SER]]/10</f>
        <v/>
      </c>
      <c r="AO302" s="6" t="n"/>
      <c r="AP302" s="32">
        <f>TABL123[[#This Row],[(A/S) AJD]]-TABL123[[#This Row],[SER_IN]]</f>
        <v/>
      </c>
    </row>
    <row r="303" ht="18.75" customHeight="1">
      <c r="A303" s="2" t="n">
        <v>46324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TABL123[[#This Row],[ (T/B) SAR]]+TABL123[[#This Row],[ (S/S) SAR]]</f>
        <v/>
      </c>
      <c r="L303" s="28" t="n"/>
      <c r="M303" s="29" t="n"/>
      <c r="N303" s="30" t="n"/>
      <c r="O303" s="14" t="n"/>
      <c r="P303" s="9">
        <f>TABL123[[#This Row],[ (S/S) SAR]]-TABL123[[#This Row],[(S/S) AJD]]</f>
        <v/>
      </c>
      <c r="Q303" s="14" t="n"/>
      <c r="R303" s="9">
        <f>TABL123[[#This Row],[ (T/B) SAR]]-TABL123[[#This Row],[(T/B) AJD]]</f>
        <v/>
      </c>
      <c r="S303" s="9">
        <f>TABL123[[#This Row],[T/B-CON.]]+TABL123[[#This Row],[S/S_CON.]]</f>
        <v/>
      </c>
      <c r="T303" s="9">
        <f>TABL123[[#This Row],[(S/S) AJD]]+TABL123[[#This Row],[(T/B) AJD]]</f>
        <v/>
      </c>
      <c r="U303" s="14" t="n"/>
      <c r="V303" s="14" t="n"/>
      <c r="W303" s="9">
        <f>TABL123[[#This Row],[(A/B) AJD]]+TABL123[[#This Row],[(A/S) AJD]]</f>
        <v/>
      </c>
      <c r="X303" s="9">
        <f>TABL123[[#This Row],[( S/S+T/B) AJD]]-TABL123[[#This Row],[(A/B + A/S) AJD]]</f>
        <v/>
      </c>
      <c r="Y303" s="18" t="n"/>
      <c r="Z303" s="9" t="n"/>
      <c r="AA303" s="3">
        <f>TABL123[[#This Row],[(RESV. STORGE) AJD]]/10</f>
        <v/>
      </c>
      <c r="AB303" s="45">
        <f>IF(TRIM(Z303)="",,(Z303-Z302)/1000)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6" t="n"/>
      <c r="AI303" s="78" t="n"/>
      <c r="AJ303" s="78">
        <f>TABL123[[#This Row],[(A/B) AJD]]-TABL123[[#This Row],[BER_IN]]</f>
        <v/>
      </c>
      <c r="AK303" s="78" t="n"/>
      <c r="AL303" s="68" t="n"/>
      <c r="AM303" s="87" t="n"/>
      <c r="AN303" s="87">
        <f>TABL123[[#This Row],[ (RESV. STORGE) SER]]/10</f>
        <v/>
      </c>
      <c r="AO303" s="6" t="n"/>
      <c r="AP303" s="32">
        <f>TABL123[[#This Row],[(A/S) AJD]]-TABL123[[#This Row],[SER_IN]]</f>
        <v/>
      </c>
    </row>
    <row r="304" ht="18.75" customHeight="1">
      <c r="A304" s="2" t="n">
        <v>46325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TABL123[[#This Row],[ (T/B) SAR]]+TABL123[[#This Row],[ (S/S) SAR]]</f>
        <v/>
      </c>
      <c r="L304" s="28" t="n"/>
      <c r="M304" s="29" t="n"/>
      <c r="N304" s="30" t="n"/>
      <c r="O304" s="14" t="n"/>
      <c r="P304" s="9">
        <f>TABL123[[#This Row],[ (S/S) SAR]]-TABL123[[#This Row],[(S/S) AJD]]</f>
        <v/>
      </c>
      <c r="Q304" s="14" t="n"/>
      <c r="R304" s="9">
        <f>TABL123[[#This Row],[ (T/B) SAR]]-TABL123[[#This Row],[(T/B) AJD]]</f>
        <v/>
      </c>
      <c r="S304" s="9">
        <f>TABL123[[#This Row],[T/B-CON.]]+TABL123[[#This Row],[S/S_CON.]]</f>
        <v/>
      </c>
      <c r="T304" s="9">
        <f>TABL123[[#This Row],[(S/S) AJD]]+TABL123[[#This Row],[(T/B) AJD]]</f>
        <v/>
      </c>
      <c r="U304" s="14" t="n"/>
      <c r="V304" s="14" t="n"/>
      <c r="W304" s="9">
        <f>TABL123[[#This Row],[(A/B) AJD]]+TABL123[[#This Row],[(A/S) AJD]]</f>
        <v/>
      </c>
      <c r="X304" s="9">
        <f>TABL123[[#This Row],[( S/S+T/B) AJD]]-TABL123[[#This Row],[(A/B + A/S) AJD]]</f>
        <v/>
      </c>
      <c r="Y304" s="18" t="n"/>
      <c r="Z304" s="9" t="n"/>
      <c r="AA304" s="3">
        <f>TABL123[[#This Row],[(RESV. STORGE) AJD]]/10</f>
        <v/>
      </c>
      <c r="AB304" s="45">
        <f>IF(TRIM(Z304)="",,(Z304-Z303)/1000)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6" t="n"/>
      <c r="AI304" s="78" t="n"/>
      <c r="AJ304" s="78">
        <f>TABL123[[#This Row],[(A/B) AJD]]-TABL123[[#This Row],[BER_IN]]</f>
        <v/>
      </c>
      <c r="AK304" s="78" t="n"/>
      <c r="AL304" s="68" t="n"/>
      <c r="AM304" s="87" t="n"/>
      <c r="AN304" s="87">
        <f>TABL123[[#This Row],[ (RESV. STORGE) SER]]/10</f>
        <v/>
      </c>
      <c r="AO304" s="6" t="n"/>
      <c r="AP304" s="32">
        <f>TABL123[[#This Row],[(A/S) AJD]]-TABL123[[#This Row],[SER_IN]]</f>
        <v/>
      </c>
    </row>
    <row r="305" ht="18.75" customHeight="1">
      <c r="A305" s="2" t="n">
        <v>46326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TABL123[[#This Row],[ (T/B) SAR]]+TABL123[[#This Row],[ (S/S) SAR]]</f>
        <v/>
      </c>
      <c r="L305" s="28" t="n"/>
      <c r="M305" s="29" t="n"/>
      <c r="N305" s="30" t="n"/>
      <c r="O305" s="14" t="n"/>
      <c r="P305" s="9">
        <f>TABL123[[#This Row],[ (S/S) SAR]]-TABL123[[#This Row],[(S/S) AJD]]</f>
        <v/>
      </c>
      <c r="Q305" s="14" t="n"/>
      <c r="R305" s="9">
        <f>TABL123[[#This Row],[ (T/B) SAR]]-TABL123[[#This Row],[(T/B) AJD]]</f>
        <v/>
      </c>
      <c r="S305" s="9">
        <f>TABL123[[#This Row],[T/B-CON.]]+TABL123[[#This Row],[S/S_CON.]]</f>
        <v/>
      </c>
      <c r="T305" s="9">
        <f>TABL123[[#This Row],[(S/S) AJD]]+TABL123[[#This Row],[(T/B) AJD]]</f>
        <v/>
      </c>
      <c r="U305" s="14" t="n"/>
      <c r="V305" s="14" t="n"/>
      <c r="W305" s="9">
        <f>TABL123[[#This Row],[(A/B) AJD]]+TABL123[[#This Row],[(A/S) AJD]]</f>
        <v/>
      </c>
      <c r="X305" s="9">
        <f>TABL123[[#This Row],[( S/S+T/B) AJD]]-TABL123[[#This Row],[(A/B + A/S) AJD]]</f>
        <v/>
      </c>
      <c r="Y305" s="18" t="n"/>
      <c r="Z305" s="9" t="n"/>
      <c r="AA305" s="3">
        <f>TABL123[[#This Row],[(RESV. STORGE) AJD]]/10</f>
        <v/>
      </c>
      <c r="AB305" s="45">
        <f>IF(TRIM(Z305)="",,(Z305-Z304)/1000)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6" t="n"/>
      <c r="AI305" s="78" t="n"/>
      <c r="AJ305" s="78">
        <f>TABL123[[#This Row],[(A/B) AJD]]-TABL123[[#This Row],[BER_IN]]</f>
        <v/>
      </c>
      <c r="AK305" s="78" t="n"/>
      <c r="AL305" s="68" t="n"/>
      <c r="AM305" s="87" t="n"/>
      <c r="AN305" s="87">
        <f>TABL123[[#This Row],[ (RESV. STORGE) SER]]/10</f>
        <v/>
      </c>
      <c r="AO305" s="6" t="n"/>
      <c r="AP305" s="32">
        <f>TABL123[[#This Row],[(A/S) AJD]]-TABL123[[#This Row],[SER_IN]]</f>
        <v/>
      </c>
    </row>
    <row r="306" ht="18.75" customHeight="1">
      <c r="A306" s="2" t="n">
        <v>46327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TABL123[[#This Row],[ (T/B) SAR]]+TABL123[[#This Row],[ (S/S) SAR]]</f>
        <v/>
      </c>
      <c r="L306" s="28" t="n"/>
      <c r="M306" s="29" t="n"/>
      <c r="N306" s="30" t="n"/>
      <c r="O306" s="39" t="n"/>
      <c r="P306" s="9">
        <f>TABL123[[#This Row],[ (S/S) SAR]]-TABL123[[#This Row],[(S/S) AJD]]</f>
        <v/>
      </c>
      <c r="Q306" s="9" t="n"/>
      <c r="R306" s="9">
        <f>TABL123[[#This Row],[ (T/B) SAR]]-TABL123[[#This Row],[(T/B) AJD]]</f>
        <v/>
      </c>
      <c r="S306" s="9">
        <f>TABL123[[#This Row],[T/B-CON.]]+TABL123[[#This Row],[S/S_CON.]]</f>
        <v/>
      </c>
      <c r="T306" s="9">
        <f>TABL123[[#This Row],[(S/S) AJD]]+TABL123[[#This Row],[(T/B) AJD]]</f>
        <v/>
      </c>
      <c r="U306" s="9" t="n"/>
      <c r="V306" s="9" t="n"/>
      <c r="W306" s="9">
        <f>TABL123[[#This Row],[(A/B) AJD]]+TABL123[[#This Row],[(A/S) AJD]]</f>
        <v/>
      </c>
      <c r="X306" s="9">
        <f>TABL123[[#This Row],[( S/S+T/B) AJD]]-TABL123[[#This Row],[(A/B + A/S) AJD]]</f>
        <v/>
      </c>
      <c r="Y306" s="18" t="n"/>
      <c r="Z306" s="9" t="n"/>
      <c r="AA306" s="3">
        <f>TABL123[[#This Row],[(RESV. STORGE) AJD]]/10</f>
        <v/>
      </c>
      <c r="AB306" s="45">
        <f>IF(TRIM(Z306)="",,(Z306-Z305)/1000)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6" t="n"/>
      <c r="AI306" s="78" t="n"/>
      <c r="AJ306" s="78">
        <f>TABL123[[#This Row],[(A/B) AJD]]-TABL123[[#This Row],[BER_IN]]</f>
        <v/>
      </c>
      <c r="AK306" s="78" t="n"/>
      <c r="AL306" s="68" t="n"/>
      <c r="AM306" s="87" t="n"/>
      <c r="AN306" s="87">
        <f>TABL123[[#This Row],[ (RESV. STORGE) SER]]/10</f>
        <v/>
      </c>
      <c r="AO306" s="6" t="n"/>
      <c r="AP306" s="32">
        <f>TABL123[[#This Row],[(A/S) AJD]]-TABL123[[#This Row],[SER_IN]]</f>
        <v/>
      </c>
    </row>
    <row r="307" ht="18.75" customHeight="1">
      <c r="A307" s="2" t="n">
        <v>46328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TABL123[[#This Row],[ (T/B) SAR]]+TABL123[[#This Row],[ (S/S) SAR]]</f>
        <v/>
      </c>
      <c r="L307" s="28" t="n"/>
      <c r="M307" s="29" t="n"/>
      <c r="N307" s="30" t="n"/>
      <c r="O307" s="40" t="n"/>
      <c r="P307" s="9">
        <f>TABL123[[#This Row],[ (S/S) SAR]]-TABL123[[#This Row],[(S/S) AJD]]</f>
        <v/>
      </c>
      <c r="Q307" s="9" t="n"/>
      <c r="R307" s="9">
        <f>TABL123[[#This Row],[ (T/B) SAR]]-TABL123[[#This Row],[(T/B) AJD]]</f>
        <v/>
      </c>
      <c r="S307" s="9">
        <f>TABL123[[#This Row],[T/B-CON.]]+TABL123[[#This Row],[S/S_CON.]]</f>
        <v/>
      </c>
      <c r="T307" s="9">
        <f>TABL123[[#This Row],[(S/S) AJD]]+TABL123[[#This Row],[(T/B) AJD]]</f>
        <v/>
      </c>
      <c r="U307" s="9" t="n"/>
      <c r="V307" s="9" t="n"/>
      <c r="W307" s="9">
        <f>TABL123[[#This Row],[(A/B) AJD]]+TABL123[[#This Row],[(A/S) AJD]]</f>
        <v/>
      </c>
      <c r="X307" s="9">
        <f>TABL123[[#This Row],[( S/S+T/B) AJD]]-TABL123[[#This Row],[(A/B + A/S) AJD]]</f>
        <v/>
      </c>
      <c r="Y307" s="18" t="n"/>
      <c r="Z307" s="9" t="n"/>
      <c r="AA307" s="3">
        <f>TABL123[[#This Row],[(RESV. STORGE) AJD]]/10</f>
        <v/>
      </c>
      <c r="AB307" s="45">
        <f>IF(TRIM(Z307)="",,(Z307-Z306)/1000)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6" t="n"/>
      <c r="AI307" s="78" t="n"/>
      <c r="AJ307" s="78">
        <f>TABL123[[#This Row],[(A/B) AJD]]-TABL123[[#This Row],[BER_IN]]</f>
        <v/>
      </c>
      <c r="AK307" s="78" t="n"/>
      <c r="AL307" s="68" t="n"/>
      <c r="AM307" s="87" t="n"/>
      <c r="AN307" s="87">
        <f>TABL123[[#This Row],[ (RESV. STORGE) SER]]/10</f>
        <v/>
      </c>
      <c r="AO307" s="6" t="n"/>
      <c r="AP307" s="32">
        <f>TABL123[[#This Row],[(A/S) AJD]]-TABL123[[#This Row],[SER_IN]]</f>
        <v/>
      </c>
    </row>
    <row r="308" ht="18.75" customHeight="1">
      <c r="A308" s="2" t="n">
        <v>46329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TABL123[[#This Row],[ (T/B) SAR]]+TABL123[[#This Row],[ (S/S) SAR]]</f>
        <v/>
      </c>
      <c r="L308" s="28" t="n"/>
      <c r="M308" s="29" t="n"/>
      <c r="N308" s="30" t="n"/>
      <c r="O308" s="39" t="n"/>
      <c r="P308" s="9">
        <f>TABL123[[#This Row],[ (S/S) SAR]]-TABL123[[#This Row],[(S/S) AJD]]</f>
        <v/>
      </c>
      <c r="Q308" s="9" t="n"/>
      <c r="R308" s="9">
        <f>TABL123[[#This Row],[ (T/B) SAR]]-TABL123[[#This Row],[(T/B) AJD]]</f>
        <v/>
      </c>
      <c r="S308" s="9">
        <f>TABL123[[#This Row],[T/B-CON.]]+TABL123[[#This Row],[S/S_CON.]]</f>
        <v/>
      </c>
      <c r="T308" s="9">
        <f>TABL123[[#This Row],[(S/S) AJD]]+TABL123[[#This Row],[(T/B) AJD]]</f>
        <v/>
      </c>
      <c r="U308" s="9" t="n"/>
      <c r="V308" s="9" t="n"/>
      <c r="W308" s="9">
        <f>TABL123[[#This Row],[(A/B) AJD]]+TABL123[[#This Row],[(A/S) AJD]]</f>
        <v/>
      </c>
      <c r="X308" s="9">
        <f>TABL123[[#This Row],[( S/S+T/B) AJD]]-TABL123[[#This Row],[(A/B + A/S) AJD]]</f>
        <v/>
      </c>
      <c r="Y308" s="18" t="n"/>
      <c r="Z308" s="9" t="n"/>
      <c r="AA308" s="3">
        <f>TABL123[[#This Row],[(RESV. STORGE) AJD]]/10</f>
        <v/>
      </c>
      <c r="AB308" s="45">
        <f>IF(TRIM(Z308)="",,(Z308-Z307)/1000)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6" t="n"/>
      <c r="AI308" s="78" t="n"/>
      <c r="AJ308" s="78">
        <f>TABL123[[#This Row],[(A/B) AJD]]-TABL123[[#This Row],[BER_IN]]</f>
        <v/>
      </c>
      <c r="AK308" s="78" t="n"/>
      <c r="AL308" s="68" t="n"/>
      <c r="AM308" s="87" t="n"/>
      <c r="AN308" s="87">
        <f>TABL123[[#This Row],[ (RESV. STORGE) SER]]/10</f>
        <v/>
      </c>
      <c r="AO308" s="6" t="n"/>
      <c r="AP308" s="32">
        <f>TABL123[[#This Row],[(A/S) AJD]]-TABL123[[#This Row],[SER_IN]]</f>
        <v/>
      </c>
    </row>
    <row r="309" ht="18.75" customHeight="1">
      <c r="A309" s="2" t="n">
        <v>46330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TABL123[[#This Row],[ (T/B) SAR]]+TABL123[[#This Row],[ (S/S) SAR]]</f>
        <v/>
      </c>
      <c r="L309" s="28" t="n"/>
      <c r="M309" s="29" t="n"/>
      <c r="N309" s="30" t="n"/>
      <c r="O309" s="40" t="n"/>
      <c r="P309" s="9">
        <f>TABL123[[#This Row],[ (S/S) SAR]]-TABL123[[#This Row],[(S/S) AJD]]</f>
        <v/>
      </c>
      <c r="Q309" s="9" t="n"/>
      <c r="R309" s="9">
        <f>TABL123[[#This Row],[ (T/B) SAR]]-TABL123[[#This Row],[(T/B) AJD]]</f>
        <v/>
      </c>
      <c r="S309" s="9">
        <f>TABL123[[#This Row],[T/B-CON.]]+TABL123[[#This Row],[S/S_CON.]]</f>
        <v/>
      </c>
      <c r="T309" s="9">
        <f>TABL123[[#This Row],[(S/S) AJD]]+TABL123[[#This Row],[(T/B) AJD]]</f>
        <v/>
      </c>
      <c r="U309" s="9" t="n"/>
      <c r="V309" s="9" t="n"/>
      <c r="W309" s="9">
        <f>TABL123[[#This Row],[(A/B) AJD]]+TABL123[[#This Row],[(A/S) AJD]]</f>
        <v/>
      </c>
      <c r="X309" s="9">
        <f>TABL123[[#This Row],[( S/S+T/B) AJD]]-TABL123[[#This Row],[(A/B + A/S) AJD]]</f>
        <v/>
      </c>
      <c r="Y309" s="18" t="n"/>
      <c r="Z309" s="9" t="n"/>
      <c r="AA309" s="3">
        <f>TABL123[[#This Row],[(RESV. STORGE) AJD]]/10</f>
        <v/>
      </c>
      <c r="AB309" s="45">
        <f>IF(TRIM(Z309)="",,(Z309-Z308)/1000)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6" t="n"/>
      <c r="AI309" s="78" t="n"/>
      <c r="AJ309" s="78">
        <f>TABL123[[#This Row],[(A/B) AJD]]-TABL123[[#This Row],[BER_IN]]</f>
        <v/>
      </c>
      <c r="AK309" s="78" t="n"/>
      <c r="AL309" s="68" t="n"/>
      <c r="AM309" s="87" t="n"/>
      <c r="AN309" s="87">
        <f>TABL123[[#This Row],[ (RESV. STORGE) SER]]/10</f>
        <v/>
      </c>
      <c r="AO309" s="6" t="n"/>
      <c r="AP309" s="32">
        <f>TABL123[[#This Row],[(A/S) AJD]]-TABL123[[#This Row],[SER_IN]]</f>
        <v/>
      </c>
    </row>
    <row r="310" ht="18.75" customHeight="1">
      <c r="A310" s="2" t="n">
        <v>46331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TABL123[[#This Row],[ (T/B) SAR]]+TABL123[[#This Row],[ (S/S) SAR]]</f>
        <v/>
      </c>
      <c r="L310" s="28" t="n"/>
      <c r="M310" s="29" t="n"/>
      <c r="N310" s="30" t="n"/>
      <c r="O310" s="39" t="n"/>
      <c r="P310" s="9">
        <f>TABL123[[#This Row],[ (S/S) SAR]]-TABL123[[#This Row],[(S/S) AJD]]</f>
        <v/>
      </c>
      <c r="Q310" s="9" t="n"/>
      <c r="R310" s="9">
        <f>TABL123[[#This Row],[ (T/B) SAR]]-TABL123[[#This Row],[(T/B) AJD]]</f>
        <v/>
      </c>
      <c r="S310" s="9">
        <f>TABL123[[#This Row],[T/B-CON.]]+TABL123[[#This Row],[S/S_CON.]]</f>
        <v/>
      </c>
      <c r="T310" s="9">
        <f>TABL123[[#This Row],[(S/S) AJD]]+TABL123[[#This Row],[(T/B) AJD]]</f>
        <v/>
      </c>
      <c r="U310" s="9" t="n"/>
      <c r="V310" s="9" t="n"/>
      <c r="W310" s="9">
        <f>TABL123[[#This Row],[(A/B) AJD]]+TABL123[[#This Row],[(A/S) AJD]]</f>
        <v/>
      </c>
      <c r="X310" s="9">
        <f>TABL123[[#This Row],[( S/S+T/B) AJD]]-TABL123[[#This Row],[(A/B + A/S) AJD]]</f>
        <v/>
      </c>
      <c r="Y310" s="18" t="n"/>
      <c r="Z310" s="9" t="n"/>
      <c r="AA310" s="3">
        <f>TABL123[[#This Row],[(RESV. STORGE) AJD]]/10</f>
        <v/>
      </c>
      <c r="AB310" s="45">
        <f>IF(TRIM(Z310)="",,(Z310-Z309)/1000)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6" t="n"/>
      <c r="AI310" s="78" t="n"/>
      <c r="AJ310" s="78">
        <f>TABL123[[#This Row],[(A/B) AJD]]-TABL123[[#This Row],[BER_IN]]</f>
        <v/>
      </c>
      <c r="AK310" s="78" t="n"/>
      <c r="AL310" s="68" t="n"/>
      <c r="AM310" s="87" t="n"/>
      <c r="AN310" s="87">
        <f>TABL123[[#This Row],[ (RESV. STORGE) SER]]/10</f>
        <v/>
      </c>
      <c r="AO310" s="6" t="n"/>
      <c r="AP310" s="32">
        <f>TABL123[[#This Row],[(A/S) AJD]]-TABL123[[#This Row],[SER_IN]]</f>
        <v/>
      </c>
    </row>
    <row r="311" ht="18.75" customHeight="1">
      <c r="A311" s="2" t="n">
        <v>46332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TABL123[[#This Row],[ (T/B) SAR]]+TABL123[[#This Row],[ (S/S) SAR]]</f>
        <v/>
      </c>
      <c r="L311" s="28" t="n"/>
      <c r="M311" s="29" t="n"/>
      <c r="N311" s="30" t="n"/>
      <c r="O311" s="40" t="n"/>
      <c r="P311" s="9">
        <f>TABL123[[#This Row],[ (S/S) SAR]]-TABL123[[#This Row],[(S/S) AJD]]</f>
        <v/>
      </c>
      <c r="Q311" s="9" t="n"/>
      <c r="R311" s="9">
        <f>TABL123[[#This Row],[ (T/B) SAR]]-TABL123[[#This Row],[(T/B) AJD]]</f>
        <v/>
      </c>
      <c r="S311" s="9">
        <f>TABL123[[#This Row],[T/B-CON.]]+TABL123[[#This Row],[S/S_CON.]]</f>
        <v/>
      </c>
      <c r="T311" s="9">
        <f>TABL123[[#This Row],[(S/S) AJD]]+TABL123[[#This Row],[(T/B) AJD]]</f>
        <v/>
      </c>
      <c r="U311" s="9" t="n"/>
      <c r="V311" s="9" t="n"/>
      <c r="W311" s="9">
        <f>TABL123[[#This Row],[(A/B) AJD]]+TABL123[[#This Row],[(A/S) AJD]]</f>
        <v/>
      </c>
      <c r="X311" s="9">
        <f>TABL123[[#This Row],[( S/S+T/B) AJD]]-TABL123[[#This Row],[(A/B + A/S) AJD]]</f>
        <v/>
      </c>
      <c r="Y311" s="18" t="n"/>
      <c r="Z311" s="9" t="n"/>
      <c r="AA311" s="3">
        <f>TABL123[[#This Row],[(RESV. STORGE) AJD]]/10</f>
        <v/>
      </c>
      <c r="AB311" s="45">
        <f>IF(TRIM(Z311)="",,(Z311-Z310)/1000)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6" t="n"/>
      <c r="AI311" s="78" t="n"/>
      <c r="AJ311" s="78">
        <f>TABL123[[#This Row],[(A/B) AJD]]-TABL123[[#This Row],[BER_IN]]</f>
        <v/>
      </c>
      <c r="AK311" s="78" t="n"/>
      <c r="AL311" s="68" t="n"/>
      <c r="AM311" s="87" t="n"/>
      <c r="AN311" s="87">
        <f>TABL123[[#This Row],[ (RESV. STORGE) SER]]/10</f>
        <v/>
      </c>
      <c r="AO311" s="6" t="n"/>
      <c r="AP311" s="32">
        <f>TABL123[[#This Row],[(A/S) AJD]]-TABL123[[#This Row],[SER_IN]]</f>
        <v/>
      </c>
    </row>
    <row r="312" ht="18.75" customHeight="1">
      <c r="A312" s="2" t="n">
        <v>46333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TABL123[[#This Row],[ (T/B) SAR]]+TABL123[[#This Row],[ (S/S) SAR]]</f>
        <v/>
      </c>
      <c r="L312" s="28" t="n"/>
      <c r="M312" s="29" t="n"/>
      <c r="N312" s="30" t="n"/>
      <c r="O312" s="39" t="n"/>
      <c r="P312" s="9">
        <f>TABL123[[#This Row],[ (S/S) SAR]]-TABL123[[#This Row],[(S/S) AJD]]</f>
        <v/>
      </c>
      <c r="Q312" s="9" t="n"/>
      <c r="R312" s="9">
        <f>TABL123[[#This Row],[ (T/B) SAR]]-TABL123[[#This Row],[(T/B) AJD]]</f>
        <v/>
      </c>
      <c r="S312" s="9">
        <f>TABL123[[#This Row],[T/B-CON.]]+TABL123[[#This Row],[S/S_CON.]]</f>
        <v/>
      </c>
      <c r="T312" s="9">
        <f>TABL123[[#This Row],[(S/S) AJD]]+TABL123[[#This Row],[(T/B) AJD]]</f>
        <v/>
      </c>
      <c r="U312" s="9" t="n"/>
      <c r="V312" s="9" t="n"/>
      <c r="W312" s="9">
        <f>TABL123[[#This Row],[(A/B) AJD]]+TABL123[[#This Row],[(A/S) AJD]]</f>
        <v/>
      </c>
      <c r="X312" s="9">
        <f>TABL123[[#This Row],[( S/S+T/B) AJD]]-TABL123[[#This Row],[(A/B + A/S) AJD]]</f>
        <v/>
      </c>
      <c r="Y312" s="18" t="n"/>
      <c r="Z312" s="9" t="n"/>
      <c r="AA312" s="3">
        <f>TABL123[[#This Row],[(RESV. STORGE) AJD]]/10</f>
        <v/>
      </c>
      <c r="AB312" s="45">
        <f>IF(TRIM(Z312)="",,(Z312-Z311)/1000)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6" t="n"/>
      <c r="AI312" s="78" t="n"/>
      <c r="AJ312" s="78">
        <f>TABL123[[#This Row],[(A/B) AJD]]-TABL123[[#This Row],[BER_IN]]</f>
        <v/>
      </c>
      <c r="AK312" s="78" t="n"/>
      <c r="AL312" s="68" t="n"/>
      <c r="AM312" s="87" t="n"/>
      <c r="AN312" s="87">
        <f>TABL123[[#This Row],[ (RESV. STORGE) SER]]/10</f>
        <v/>
      </c>
      <c r="AO312" s="6" t="n"/>
      <c r="AP312" s="32">
        <f>TABL123[[#This Row],[(A/S) AJD]]-TABL123[[#This Row],[SER_IN]]</f>
        <v/>
      </c>
    </row>
    <row r="313" ht="18.75" customHeight="1">
      <c r="A313" s="2" t="n">
        <v>46334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TABL123[[#This Row],[ (T/B) SAR]]+TABL123[[#This Row],[ (S/S) SAR]]</f>
        <v/>
      </c>
      <c r="L313" s="28" t="n"/>
      <c r="M313" s="29" t="n"/>
      <c r="N313" s="30" t="n"/>
      <c r="O313" s="40" t="n"/>
      <c r="P313" s="9">
        <f>TABL123[[#This Row],[ (S/S) SAR]]-TABL123[[#This Row],[(S/S) AJD]]</f>
        <v/>
      </c>
      <c r="Q313" s="9" t="n"/>
      <c r="R313" s="9">
        <f>TABL123[[#This Row],[ (T/B) SAR]]-TABL123[[#This Row],[(T/B) AJD]]</f>
        <v/>
      </c>
      <c r="S313" s="9">
        <f>TABL123[[#This Row],[T/B-CON.]]+TABL123[[#This Row],[S/S_CON.]]</f>
        <v/>
      </c>
      <c r="T313" s="9">
        <f>TABL123[[#This Row],[(S/S) AJD]]+TABL123[[#This Row],[(T/B) AJD]]</f>
        <v/>
      </c>
      <c r="U313" s="9" t="n"/>
      <c r="V313" s="9" t="n"/>
      <c r="W313" s="9">
        <f>TABL123[[#This Row],[(A/B) AJD]]+TABL123[[#This Row],[(A/S) AJD]]</f>
        <v/>
      </c>
      <c r="X313" s="9">
        <f>TABL123[[#This Row],[( S/S+T/B) AJD]]-TABL123[[#This Row],[(A/B + A/S) AJD]]</f>
        <v/>
      </c>
      <c r="Y313" s="18" t="n"/>
      <c r="Z313" s="9" t="n"/>
      <c r="AA313" s="3">
        <f>TABL123[[#This Row],[(RESV. STORGE) AJD]]/10</f>
        <v/>
      </c>
      <c r="AB313" s="45">
        <f>IF(TRIM(Z313)="",,(Z313-Z312)/1000)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6" t="n"/>
      <c r="AI313" s="78" t="n"/>
      <c r="AJ313" s="78">
        <f>TABL123[[#This Row],[(A/B) AJD]]-TABL123[[#This Row],[BER_IN]]</f>
        <v/>
      </c>
      <c r="AK313" s="78" t="n"/>
      <c r="AL313" s="68" t="n"/>
      <c r="AM313" s="87" t="n"/>
      <c r="AN313" s="87">
        <f>TABL123[[#This Row],[ (RESV. STORGE) SER]]/10</f>
        <v/>
      </c>
      <c r="AO313" s="6" t="n"/>
      <c r="AP313" s="32">
        <f>TABL123[[#This Row],[(A/S) AJD]]-TABL123[[#This Row],[SER_IN]]</f>
        <v/>
      </c>
    </row>
    <row r="314" ht="18.75" customHeight="1">
      <c r="A314" s="2" t="n">
        <v>46335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TABL123[[#This Row],[ (T/B) SAR]]+TABL123[[#This Row],[ (S/S) SAR]]</f>
        <v/>
      </c>
      <c r="L314" s="28" t="n"/>
      <c r="M314" s="29" t="n"/>
      <c r="N314" s="30" t="n"/>
      <c r="O314" s="39" t="n"/>
      <c r="P314" s="9">
        <f>TABL123[[#This Row],[ (S/S) SAR]]-TABL123[[#This Row],[(S/S) AJD]]</f>
        <v/>
      </c>
      <c r="Q314" s="9" t="n"/>
      <c r="R314" s="9">
        <f>TABL123[[#This Row],[ (T/B) SAR]]-TABL123[[#This Row],[(T/B) AJD]]</f>
        <v/>
      </c>
      <c r="S314" s="9">
        <f>TABL123[[#This Row],[T/B-CON.]]+TABL123[[#This Row],[S/S_CON.]]</f>
        <v/>
      </c>
      <c r="T314" s="9">
        <f>TABL123[[#This Row],[(S/S) AJD]]+TABL123[[#This Row],[(T/B) AJD]]</f>
        <v/>
      </c>
      <c r="U314" s="9" t="n"/>
      <c r="V314" s="9" t="n"/>
      <c r="W314" s="9">
        <f>TABL123[[#This Row],[(A/B) AJD]]+TABL123[[#This Row],[(A/S) AJD]]</f>
        <v/>
      </c>
      <c r="X314" s="9">
        <f>TABL123[[#This Row],[( S/S+T/B) AJD]]-TABL123[[#This Row],[(A/B + A/S) AJD]]</f>
        <v/>
      </c>
      <c r="Y314" s="18" t="n"/>
      <c r="Z314" s="9" t="n"/>
      <c r="AA314" s="3">
        <f>TABL123[[#This Row],[(RESV. STORGE) AJD]]/10</f>
        <v/>
      </c>
      <c r="AB314" s="45">
        <f>IF(TRIM(Z314)="",,(Z314-Z313)/1000)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6" t="n"/>
      <c r="AI314" s="78" t="n"/>
      <c r="AJ314" s="78">
        <f>TABL123[[#This Row],[(A/B) AJD]]-TABL123[[#This Row],[BER_IN]]</f>
        <v/>
      </c>
      <c r="AK314" s="78" t="n"/>
      <c r="AL314" s="68" t="n"/>
      <c r="AM314" s="87" t="n"/>
      <c r="AN314" s="87">
        <f>TABL123[[#This Row],[ (RESV. STORGE) SER]]/10</f>
        <v/>
      </c>
      <c r="AO314" s="6" t="n"/>
      <c r="AP314" s="32">
        <f>TABL123[[#This Row],[(A/S) AJD]]-TABL123[[#This Row],[SER_IN]]</f>
        <v/>
      </c>
    </row>
    <row r="315" ht="18.75" customHeight="1">
      <c r="A315" s="2" t="n">
        <v>46336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TABL123[[#This Row],[ (T/B) SAR]]+TABL123[[#This Row],[ (S/S) SAR]]</f>
        <v/>
      </c>
      <c r="L315" s="28" t="n"/>
      <c r="M315" s="29" t="n"/>
      <c r="N315" s="30" t="n"/>
      <c r="O315" s="40" t="n"/>
      <c r="P315" s="9">
        <f>TABL123[[#This Row],[ (S/S) SAR]]-TABL123[[#This Row],[(S/S) AJD]]</f>
        <v/>
      </c>
      <c r="Q315" s="9" t="n"/>
      <c r="R315" s="9">
        <f>TABL123[[#This Row],[ (T/B) SAR]]-TABL123[[#This Row],[(T/B) AJD]]</f>
        <v/>
      </c>
      <c r="S315" s="9">
        <f>TABL123[[#This Row],[T/B-CON.]]+TABL123[[#This Row],[S/S_CON.]]</f>
        <v/>
      </c>
      <c r="T315" s="9">
        <f>TABL123[[#This Row],[(S/S) AJD]]+TABL123[[#This Row],[(T/B) AJD]]</f>
        <v/>
      </c>
      <c r="U315" s="9" t="n"/>
      <c r="V315" s="9" t="n"/>
      <c r="W315" s="9">
        <f>TABL123[[#This Row],[(A/B) AJD]]+TABL123[[#This Row],[(A/S) AJD]]</f>
        <v/>
      </c>
      <c r="X315" s="9">
        <f>TABL123[[#This Row],[( S/S+T/B) AJD]]-TABL123[[#This Row],[(A/B + A/S) AJD]]</f>
        <v/>
      </c>
      <c r="Y315" s="18" t="n"/>
      <c r="Z315" s="9" t="n"/>
      <c r="AA315" s="3">
        <f>TABL123[[#This Row],[(RESV. STORGE) AJD]]/10</f>
        <v/>
      </c>
      <c r="AB315" s="45">
        <f>IF(TRIM(Z315)="",,(Z315-Z314)/1000)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6" t="n"/>
      <c r="AI315" s="78" t="n"/>
      <c r="AJ315" s="78">
        <f>TABL123[[#This Row],[(A/B) AJD]]-TABL123[[#This Row],[BER_IN]]</f>
        <v/>
      </c>
      <c r="AK315" s="78" t="n"/>
      <c r="AL315" s="68" t="n"/>
      <c r="AM315" s="87" t="n"/>
      <c r="AN315" s="87">
        <f>TABL123[[#This Row],[ (RESV. STORGE) SER]]/10</f>
        <v/>
      </c>
      <c r="AO315" s="6" t="n"/>
      <c r="AP315" s="32">
        <f>TABL123[[#This Row],[(A/S) AJD]]-TABL123[[#This Row],[SER_IN]]</f>
        <v/>
      </c>
    </row>
    <row r="316" ht="18.75" customHeight="1">
      <c r="A316" s="2" t="n">
        <v>46337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TABL123[[#This Row],[ (T/B) SAR]]+TABL123[[#This Row],[ (S/S) SAR]]</f>
        <v/>
      </c>
      <c r="L316" s="28" t="n"/>
      <c r="M316" s="29" t="n"/>
      <c r="N316" s="30" t="n"/>
      <c r="O316" s="39" t="n"/>
      <c r="P316" s="9">
        <f>TABL123[[#This Row],[ (S/S) SAR]]-TABL123[[#This Row],[(S/S) AJD]]</f>
        <v/>
      </c>
      <c r="Q316" s="9" t="n"/>
      <c r="R316" s="9">
        <f>TABL123[[#This Row],[ (T/B) SAR]]-TABL123[[#This Row],[(T/B) AJD]]</f>
        <v/>
      </c>
      <c r="S316" s="9">
        <f>TABL123[[#This Row],[T/B-CON.]]+TABL123[[#This Row],[S/S_CON.]]</f>
        <v/>
      </c>
      <c r="T316" s="9">
        <f>TABL123[[#This Row],[(S/S) AJD]]+TABL123[[#This Row],[(T/B) AJD]]</f>
        <v/>
      </c>
      <c r="U316" s="9" t="n"/>
      <c r="V316" s="9" t="n"/>
      <c r="W316" s="9">
        <f>TABL123[[#This Row],[(A/B) AJD]]+TABL123[[#This Row],[(A/S) AJD]]</f>
        <v/>
      </c>
      <c r="X316" s="9">
        <f>TABL123[[#This Row],[( S/S+T/B) AJD]]-TABL123[[#This Row],[(A/B + A/S) AJD]]</f>
        <v/>
      </c>
      <c r="Y316" s="18" t="n"/>
      <c r="Z316" s="9" t="n"/>
      <c r="AA316" s="3">
        <f>TABL123[[#This Row],[(RESV. STORGE) AJD]]/10</f>
        <v/>
      </c>
      <c r="AB316" s="45">
        <f>IF(TRIM(Z316)="",,(Z316-Z315)/1000)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6" t="n"/>
      <c r="AI316" s="78" t="n"/>
      <c r="AJ316" s="78">
        <f>TABL123[[#This Row],[(A/B) AJD]]-TABL123[[#This Row],[BER_IN]]</f>
        <v/>
      </c>
      <c r="AK316" s="78" t="n"/>
      <c r="AL316" s="68" t="n"/>
      <c r="AM316" s="87" t="n"/>
      <c r="AN316" s="87">
        <f>TABL123[[#This Row],[ (RESV. STORGE) SER]]/10</f>
        <v/>
      </c>
      <c r="AO316" s="6" t="n"/>
      <c r="AP316" s="32">
        <f>TABL123[[#This Row],[(A/S) AJD]]-TABL123[[#This Row],[SER_IN]]</f>
        <v/>
      </c>
    </row>
    <row r="317" ht="18.75" customHeight="1">
      <c r="A317" s="2" t="n">
        <v>46338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TABL123[[#This Row],[ (T/B) SAR]]+TABL123[[#This Row],[ (S/S) SAR]]</f>
        <v/>
      </c>
      <c r="L317" s="28" t="n"/>
      <c r="M317" s="29" t="n"/>
      <c r="N317" s="30" t="n"/>
      <c r="O317" s="40" t="n"/>
      <c r="P317" s="9">
        <f>TABL123[[#This Row],[ (S/S) SAR]]-TABL123[[#This Row],[(S/S) AJD]]</f>
        <v/>
      </c>
      <c r="Q317" s="9" t="n"/>
      <c r="R317" s="9">
        <f>TABL123[[#This Row],[ (T/B) SAR]]-TABL123[[#This Row],[(T/B) AJD]]</f>
        <v/>
      </c>
      <c r="S317" s="9">
        <f>TABL123[[#This Row],[T/B-CON.]]+TABL123[[#This Row],[S/S_CON.]]</f>
        <v/>
      </c>
      <c r="T317" s="9">
        <f>TABL123[[#This Row],[(S/S) AJD]]+TABL123[[#This Row],[(T/B) AJD]]</f>
        <v/>
      </c>
      <c r="U317" s="9" t="n"/>
      <c r="V317" s="9" t="n"/>
      <c r="W317" s="9">
        <f>TABL123[[#This Row],[(A/B) AJD]]+TABL123[[#This Row],[(A/S) AJD]]</f>
        <v/>
      </c>
      <c r="X317" s="9">
        <f>TABL123[[#This Row],[( S/S+T/B) AJD]]-TABL123[[#This Row],[(A/B + A/S) AJD]]</f>
        <v/>
      </c>
      <c r="Y317" s="18" t="n"/>
      <c r="Z317" s="9" t="n"/>
      <c r="AA317" s="3">
        <f>TABL123[[#This Row],[(RESV. STORGE) AJD]]/10</f>
        <v/>
      </c>
      <c r="AB317" s="45">
        <f>IF(TRIM(Z317)="",,(Z317-Z316)/1000)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6" t="n"/>
      <c r="AI317" s="78" t="n"/>
      <c r="AJ317" s="78">
        <f>TABL123[[#This Row],[(A/B) AJD]]-TABL123[[#This Row],[BER_IN]]</f>
        <v/>
      </c>
      <c r="AK317" s="78" t="n"/>
      <c r="AL317" s="68" t="n"/>
      <c r="AM317" s="87" t="n"/>
      <c r="AN317" s="87">
        <f>TABL123[[#This Row],[ (RESV. STORGE) SER]]/10</f>
        <v/>
      </c>
      <c r="AO317" s="6" t="n"/>
      <c r="AP317" s="32">
        <f>TABL123[[#This Row],[(A/S) AJD]]-TABL123[[#This Row],[SER_IN]]</f>
        <v/>
      </c>
    </row>
    <row r="318" ht="18.75" customHeight="1">
      <c r="A318" s="2" t="n">
        <v>46339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TABL123[[#This Row],[ (T/B) SAR]]+TABL123[[#This Row],[ (S/S) SAR]]</f>
        <v/>
      </c>
      <c r="L318" s="28" t="n"/>
      <c r="M318" s="29" t="n"/>
      <c r="N318" s="30" t="n"/>
      <c r="O318" s="39" t="n"/>
      <c r="P318" s="9">
        <f>TABL123[[#This Row],[ (S/S) SAR]]-TABL123[[#This Row],[(S/S) AJD]]</f>
        <v/>
      </c>
      <c r="Q318" s="9" t="n"/>
      <c r="R318" s="9">
        <f>TABL123[[#This Row],[ (T/B) SAR]]-TABL123[[#This Row],[(T/B) AJD]]</f>
        <v/>
      </c>
      <c r="S318" s="9">
        <f>TABL123[[#This Row],[T/B-CON.]]+TABL123[[#This Row],[S/S_CON.]]</f>
        <v/>
      </c>
      <c r="T318" s="9">
        <f>TABL123[[#This Row],[(S/S) AJD]]+TABL123[[#This Row],[(T/B) AJD]]</f>
        <v/>
      </c>
      <c r="U318" s="9" t="n"/>
      <c r="V318" s="9" t="n"/>
      <c r="W318" s="9">
        <f>TABL123[[#This Row],[(A/B) AJD]]+TABL123[[#This Row],[(A/S) AJD]]</f>
        <v/>
      </c>
      <c r="X318" s="9">
        <f>TABL123[[#This Row],[( S/S+T/B) AJD]]-TABL123[[#This Row],[(A/B + A/S) AJD]]</f>
        <v/>
      </c>
      <c r="Y318" s="18" t="n"/>
      <c r="Z318" s="9" t="n"/>
      <c r="AA318" s="3">
        <f>TABL123[[#This Row],[(RESV. STORGE) AJD]]/10</f>
        <v/>
      </c>
      <c r="AB318" s="45">
        <f>IF(TRIM(Z318)="",,(Z318-Z317)/1000)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6" t="n"/>
      <c r="AI318" s="78" t="n"/>
      <c r="AJ318" s="78">
        <f>TABL123[[#This Row],[(A/B) AJD]]-TABL123[[#This Row],[BER_IN]]</f>
        <v/>
      </c>
      <c r="AK318" s="78" t="n"/>
      <c r="AL318" s="68" t="n"/>
      <c r="AM318" s="87" t="n"/>
      <c r="AN318" s="87">
        <f>TABL123[[#This Row],[ (RESV. STORGE) SER]]/10</f>
        <v/>
      </c>
      <c r="AO318" s="6" t="n"/>
      <c r="AP318" s="32">
        <f>TABL123[[#This Row],[(A/S) AJD]]-TABL123[[#This Row],[SER_IN]]</f>
        <v/>
      </c>
    </row>
    <row r="319" ht="18.75" customHeight="1">
      <c r="A319" s="2" t="n">
        <v>46340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TABL123[[#This Row],[ (T/B) SAR]]+TABL123[[#This Row],[ (S/S) SAR]]</f>
        <v/>
      </c>
      <c r="L319" s="28" t="n"/>
      <c r="M319" s="29" t="n"/>
      <c r="N319" s="30" t="n"/>
      <c r="O319" s="40" t="n"/>
      <c r="P319" s="9">
        <f>TABL123[[#This Row],[ (S/S) SAR]]-TABL123[[#This Row],[(S/S) AJD]]</f>
        <v/>
      </c>
      <c r="Q319" s="9" t="n"/>
      <c r="R319" s="9">
        <f>TABL123[[#This Row],[ (T/B) SAR]]-TABL123[[#This Row],[(T/B) AJD]]</f>
        <v/>
      </c>
      <c r="S319" s="9">
        <f>TABL123[[#This Row],[T/B-CON.]]+TABL123[[#This Row],[S/S_CON.]]</f>
        <v/>
      </c>
      <c r="T319" s="9">
        <f>TABL123[[#This Row],[(S/S) AJD]]+TABL123[[#This Row],[(T/B) AJD]]</f>
        <v/>
      </c>
      <c r="U319" s="9" t="n"/>
      <c r="V319" s="9" t="n"/>
      <c r="W319" s="9">
        <f>TABL123[[#This Row],[(A/B) AJD]]+TABL123[[#This Row],[(A/S) AJD]]</f>
        <v/>
      </c>
      <c r="X319" s="9">
        <f>TABL123[[#This Row],[( S/S+T/B) AJD]]-TABL123[[#This Row],[(A/B + A/S) AJD]]</f>
        <v/>
      </c>
      <c r="Y319" s="18" t="n"/>
      <c r="Z319" s="9" t="n"/>
      <c r="AA319" s="3">
        <f>TABL123[[#This Row],[(RESV. STORGE) AJD]]/10</f>
        <v/>
      </c>
      <c r="AB319" s="45">
        <f>IF(TRIM(Z319)="",,(Z319-Z318)/1000)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6" t="n"/>
      <c r="AI319" s="78" t="n"/>
      <c r="AJ319" s="78">
        <f>TABL123[[#This Row],[(A/B) AJD]]-TABL123[[#This Row],[BER_IN]]</f>
        <v/>
      </c>
      <c r="AK319" s="78" t="n"/>
      <c r="AL319" s="68" t="n"/>
      <c r="AM319" s="87" t="n"/>
      <c r="AN319" s="87">
        <f>TABL123[[#This Row],[ (RESV. STORGE) SER]]/10</f>
        <v/>
      </c>
      <c r="AO319" s="6" t="n"/>
      <c r="AP319" s="32">
        <f>TABL123[[#This Row],[(A/S) AJD]]-TABL123[[#This Row],[SER_IN]]</f>
        <v/>
      </c>
    </row>
    <row r="320" ht="18.75" customHeight="1">
      <c r="A320" s="2" t="n">
        <v>46341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TABL123[[#This Row],[ (T/B) SAR]]+TABL123[[#This Row],[ (S/S) SAR]]</f>
        <v/>
      </c>
      <c r="L320" s="28" t="n"/>
      <c r="M320" s="29" t="n"/>
      <c r="N320" s="30" t="n"/>
      <c r="O320" s="39" t="n"/>
      <c r="P320" s="9">
        <f>TABL123[[#This Row],[ (S/S) SAR]]-TABL123[[#This Row],[(S/S) AJD]]</f>
        <v/>
      </c>
      <c r="Q320" s="9" t="n"/>
      <c r="R320" s="9">
        <f>TABL123[[#This Row],[ (T/B) SAR]]-TABL123[[#This Row],[(T/B) AJD]]</f>
        <v/>
      </c>
      <c r="S320" s="9">
        <f>TABL123[[#This Row],[T/B-CON.]]+TABL123[[#This Row],[S/S_CON.]]</f>
        <v/>
      </c>
      <c r="T320" s="9">
        <f>TABL123[[#This Row],[(S/S) AJD]]+TABL123[[#This Row],[(T/B) AJD]]</f>
        <v/>
      </c>
      <c r="U320" s="9" t="n"/>
      <c r="V320" s="9" t="n"/>
      <c r="W320" s="9">
        <f>TABL123[[#This Row],[(A/B) AJD]]+TABL123[[#This Row],[(A/S) AJD]]</f>
        <v/>
      </c>
      <c r="X320" s="9">
        <f>TABL123[[#This Row],[( S/S+T/B) AJD]]-TABL123[[#This Row],[(A/B + A/S) AJD]]</f>
        <v/>
      </c>
      <c r="Y320" s="18" t="n"/>
      <c r="Z320" s="9" t="n"/>
      <c r="AA320" s="3">
        <f>TABL123[[#This Row],[(RESV. STORGE) AJD]]/10</f>
        <v/>
      </c>
      <c r="AB320" s="45">
        <f>IF(TRIM(Z320)="",,(Z320-Z319)/1000)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6" t="n"/>
      <c r="AI320" s="78" t="n"/>
      <c r="AJ320" s="78">
        <f>TABL123[[#This Row],[(A/B) AJD]]-TABL123[[#This Row],[BER_IN]]</f>
        <v/>
      </c>
      <c r="AK320" s="78" t="n"/>
      <c r="AL320" s="68" t="n"/>
      <c r="AM320" s="87" t="n"/>
      <c r="AN320" s="87">
        <f>TABL123[[#This Row],[ (RESV. STORGE) SER]]/10</f>
        <v/>
      </c>
      <c r="AO320" s="6" t="n"/>
      <c r="AP320" s="32">
        <f>TABL123[[#This Row],[(A/S) AJD]]-TABL123[[#This Row],[SER_IN]]</f>
        <v/>
      </c>
    </row>
    <row r="321" ht="18.75" customHeight="1">
      <c r="A321" s="2" t="n">
        <v>46342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TABL123[[#This Row],[ (T/B) SAR]]+TABL123[[#This Row],[ (S/S) SAR]]</f>
        <v/>
      </c>
      <c r="L321" s="28" t="n"/>
      <c r="M321" s="29" t="n"/>
      <c r="N321" s="30" t="n"/>
      <c r="O321" s="40" t="n"/>
      <c r="P321" s="9">
        <f>TABL123[[#This Row],[ (S/S) SAR]]-TABL123[[#This Row],[(S/S) AJD]]</f>
        <v/>
      </c>
      <c r="Q321" s="9" t="n"/>
      <c r="R321" s="9">
        <f>TABL123[[#This Row],[ (T/B) SAR]]-TABL123[[#This Row],[(T/B) AJD]]</f>
        <v/>
      </c>
      <c r="S321" s="9">
        <f>TABL123[[#This Row],[T/B-CON.]]+TABL123[[#This Row],[S/S_CON.]]</f>
        <v/>
      </c>
      <c r="T321" s="9">
        <f>TABL123[[#This Row],[(S/S) AJD]]+TABL123[[#This Row],[(T/B) AJD]]</f>
        <v/>
      </c>
      <c r="U321" s="9" t="n"/>
      <c r="V321" s="9" t="n"/>
      <c r="W321" s="9">
        <f>TABL123[[#This Row],[(A/B) AJD]]+TABL123[[#This Row],[(A/S) AJD]]</f>
        <v/>
      </c>
      <c r="X321" s="9">
        <f>TABL123[[#This Row],[( S/S+T/B) AJD]]-TABL123[[#This Row],[(A/B + A/S) AJD]]</f>
        <v/>
      </c>
      <c r="Y321" s="18" t="n"/>
      <c r="Z321" s="9" t="n"/>
      <c r="AA321" s="3">
        <f>TABL123[[#This Row],[(RESV. STORGE) AJD]]/10</f>
        <v/>
      </c>
      <c r="AB321" s="45">
        <f>IF(TRIM(Z321)="",,(Z321-Z320)/1000)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6" t="n"/>
      <c r="AI321" s="78" t="n"/>
      <c r="AJ321" s="78">
        <f>TABL123[[#This Row],[(A/B) AJD]]-TABL123[[#This Row],[BER_IN]]</f>
        <v/>
      </c>
      <c r="AK321" s="78" t="n"/>
      <c r="AL321" s="68" t="n"/>
      <c r="AM321" s="87" t="n"/>
      <c r="AN321" s="87">
        <f>TABL123[[#This Row],[ (RESV. STORGE) SER]]/10</f>
        <v/>
      </c>
      <c r="AO321" s="6" t="n"/>
      <c r="AP321" s="32">
        <f>TABL123[[#This Row],[(A/S) AJD]]-TABL123[[#This Row],[SER_IN]]</f>
        <v/>
      </c>
    </row>
    <row r="322" ht="18.75" customHeight="1">
      <c r="A322" s="2" t="n">
        <v>46343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TABL123[[#This Row],[ (T/B) SAR]]+TABL123[[#This Row],[ (S/S) SAR]]</f>
        <v/>
      </c>
      <c r="L322" s="28" t="n"/>
      <c r="M322" s="29" t="n"/>
      <c r="N322" s="30" t="n"/>
      <c r="O322" s="39" t="n"/>
      <c r="P322" s="9">
        <f>TABL123[[#This Row],[ (S/S) SAR]]-TABL123[[#This Row],[(S/S) AJD]]</f>
        <v/>
      </c>
      <c r="Q322" s="9" t="n"/>
      <c r="R322" s="9">
        <f>TABL123[[#This Row],[ (T/B) SAR]]-TABL123[[#This Row],[(T/B) AJD]]</f>
        <v/>
      </c>
      <c r="S322" s="9">
        <f>TABL123[[#This Row],[T/B-CON.]]+TABL123[[#This Row],[S/S_CON.]]</f>
        <v/>
      </c>
      <c r="T322" s="9">
        <f>TABL123[[#This Row],[(S/S) AJD]]+TABL123[[#This Row],[(T/B) AJD]]</f>
        <v/>
      </c>
      <c r="U322" s="9" t="n"/>
      <c r="V322" s="9" t="n"/>
      <c r="W322" s="9">
        <f>TABL123[[#This Row],[(A/B) AJD]]+TABL123[[#This Row],[(A/S) AJD]]</f>
        <v/>
      </c>
      <c r="X322" s="9">
        <f>TABL123[[#This Row],[( S/S+T/B) AJD]]-TABL123[[#This Row],[(A/B + A/S) AJD]]</f>
        <v/>
      </c>
      <c r="Y322" s="18" t="n"/>
      <c r="Z322" s="9" t="n"/>
      <c r="AA322" s="3">
        <f>TABL123[[#This Row],[(RESV. STORGE) AJD]]/10</f>
        <v/>
      </c>
      <c r="AB322" s="45">
        <f>IF(TRIM(Z322)="",,(Z322-Z321)/1000)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6" t="n"/>
      <c r="AI322" s="78" t="n"/>
      <c r="AJ322" s="78">
        <f>TABL123[[#This Row],[(A/B) AJD]]-TABL123[[#This Row],[BER_IN]]</f>
        <v/>
      </c>
      <c r="AK322" s="78" t="n"/>
      <c r="AL322" s="68" t="n"/>
      <c r="AM322" s="87" t="n"/>
      <c r="AN322" s="87">
        <f>TABL123[[#This Row],[ (RESV. STORGE) SER]]/10</f>
        <v/>
      </c>
      <c r="AO322" s="6" t="n"/>
      <c r="AP322" s="32">
        <f>TABL123[[#This Row],[(A/S) AJD]]-TABL123[[#This Row],[SER_IN]]</f>
        <v/>
      </c>
    </row>
    <row r="323" ht="18.75" customHeight="1">
      <c r="A323" s="2" t="n">
        <v>46344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TABL123[[#This Row],[ (T/B) SAR]]+TABL123[[#This Row],[ (S/S) SAR]]</f>
        <v/>
      </c>
      <c r="L323" s="28" t="n"/>
      <c r="M323" s="29" t="n"/>
      <c r="N323" s="30" t="n"/>
      <c r="O323" s="40" t="n"/>
      <c r="P323" s="9">
        <f>TABL123[[#This Row],[ (S/S) SAR]]-TABL123[[#This Row],[(S/S) AJD]]</f>
        <v/>
      </c>
      <c r="Q323" s="9" t="n"/>
      <c r="R323" s="9">
        <f>TABL123[[#This Row],[ (T/B) SAR]]-TABL123[[#This Row],[(T/B) AJD]]</f>
        <v/>
      </c>
      <c r="S323" s="9">
        <f>TABL123[[#This Row],[T/B-CON.]]+TABL123[[#This Row],[S/S_CON.]]</f>
        <v/>
      </c>
      <c r="T323" s="9">
        <f>TABL123[[#This Row],[(S/S) AJD]]+TABL123[[#This Row],[(T/B) AJD]]</f>
        <v/>
      </c>
      <c r="U323" s="9" t="n"/>
      <c r="V323" s="9" t="n"/>
      <c r="W323" s="9">
        <f>TABL123[[#This Row],[(A/B) AJD]]+TABL123[[#This Row],[(A/S) AJD]]</f>
        <v/>
      </c>
      <c r="X323" s="9">
        <f>TABL123[[#This Row],[( S/S+T/B) AJD]]-TABL123[[#This Row],[(A/B + A/S) AJD]]</f>
        <v/>
      </c>
      <c r="Y323" s="18" t="n"/>
      <c r="Z323" s="9" t="n"/>
      <c r="AA323" s="3">
        <f>TABL123[[#This Row],[(RESV. STORGE) AJD]]/10</f>
        <v/>
      </c>
      <c r="AB323" s="45">
        <f>IF(TRIM(Z323)="",,(Z323-Z322)/1000)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6" t="n"/>
      <c r="AI323" s="78" t="n"/>
      <c r="AJ323" s="78">
        <f>TABL123[[#This Row],[(A/B) AJD]]-TABL123[[#This Row],[BER_IN]]</f>
        <v/>
      </c>
      <c r="AK323" s="78" t="n"/>
      <c r="AL323" s="68" t="n"/>
      <c r="AM323" s="87" t="n"/>
      <c r="AN323" s="87">
        <f>TABL123[[#This Row],[ (RESV. STORGE) SER]]/10</f>
        <v/>
      </c>
      <c r="AO323" s="6" t="n"/>
      <c r="AP323" s="32">
        <f>TABL123[[#This Row],[(A/S) AJD]]-TABL123[[#This Row],[SER_IN]]</f>
        <v/>
      </c>
    </row>
    <row r="324" ht="18.75" customHeight="1">
      <c r="A324" s="2" t="n">
        <v>46345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TABL123[[#This Row],[ (T/B) SAR]]+TABL123[[#This Row],[ (S/S) SAR]]</f>
        <v/>
      </c>
      <c r="L324" s="28" t="n"/>
      <c r="M324" s="29" t="n"/>
      <c r="N324" s="30" t="n"/>
      <c r="O324" s="39" t="n"/>
      <c r="P324" s="9">
        <f>TABL123[[#This Row],[ (S/S) SAR]]-TABL123[[#This Row],[(S/S) AJD]]</f>
        <v/>
      </c>
      <c r="Q324" s="9" t="n"/>
      <c r="R324" s="9">
        <f>TABL123[[#This Row],[ (T/B) SAR]]-TABL123[[#This Row],[(T/B) AJD]]</f>
        <v/>
      </c>
      <c r="S324" s="9">
        <f>TABL123[[#This Row],[T/B-CON.]]+TABL123[[#This Row],[S/S_CON.]]</f>
        <v/>
      </c>
      <c r="T324" s="9">
        <f>TABL123[[#This Row],[(S/S) AJD]]+TABL123[[#This Row],[(T/B) AJD]]</f>
        <v/>
      </c>
      <c r="U324" s="9" t="n"/>
      <c r="V324" s="9" t="n"/>
      <c r="W324" s="9">
        <f>TABL123[[#This Row],[(A/B) AJD]]+TABL123[[#This Row],[(A/S) AJD]]</f>
        <v/>
      </c>
      <c r="X324" s="9">
        <f>TABL123[[#This Row],[( S/S+T/B) AJD]]-TABL123[[#This Row],[(A/B + A/S) AJD]]</f>
        <v/>
      </c>
      <c r="Y324" s="18" t="n"/>
      <c r="Z324" s="9" t="n"/>
      <c r="AA324" s="3">
        <f>TABL123[[#This Row],[(RESV. STORGE) AJD]]/10</f>
        <v/>
      </c>
      <c r="AB324" s="45">
        <f>IF(TRIM(Z324)="",,(Z324-Z323)/1000)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6" t="n"/>
      <c r="AI324" s="78" t="n"/>
      <c r="AJ324" s="78">
        <f>TABL123[[#This Row],[(A/B) AJD]]-TABL123[[#This Row],[BER_IN]]</f>
        <v/>
      </c>
      <c r="AK324" s="78" t="n"/>
      <c r="AL324" s="68" t="n"/>
      <c r="AM324" s="87" t="n"/>
      <c r="AN324" s="87">
        <f>TABL123[[#This Row],[ (RESV. STORGE) SER]]/10</f>
        <v/>
      </c>
      <c r="AO324" s="6" t="n"/>
      <c r="AP324" s="32">
        <f>TABL123[[#This Row],[(A/S) AJD]]-TABL123[[#This Row],[SER_IN]]</f>
        <v/>
      </c>
    </row>
    <row r="325" ht="18.75" customHeight="1">
      <c r="A325" s="2" t="n">
        <v>46346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TABL123[[#This Row],[ (T/B) SAR]]+TABL123[[#This Row],[ (S/S) SAR]]</f>
        <v/>
      </c>
      <c r="L325" s="28" t="n"/>
      <c r="M325" s="29" t="n"/>
      <c r="N325" s="30" t="n"/>
      <c r="O325" s="40" t="n"/>
      <c r="P325" s="9">
        <f>TABL123[[#This Row],[ (S/S) SAR]]-TABL123[[#This Row],[(S/S) AJD]]</f>
        <v/>
      </c>
      <c r="Q325" s="9" t="n"/>
      <c r="R325" s="9">
        <f>TABL123[[#This Row],[ (T/B) SAR]]-TABL123[[#This Row],[(T/B) AJD]]</f>
        <v/>
      </c>
      <c r="S325" s="9">
        <f>TABL123[[#This Row],[T/B-CON.]]+TABL123[[#This Row],[S/S_CON.]]</f>
        <v/>
      </c>
      <c r="T325" s="9">
        <f>TABL123[[#This Row],[(S/S) AJD]]+TABL123[[#This Row],[(T/B) AJD]]</f>
        <v/>
      </c>
      <c r="U325" s="9" t="n"/>
      <c r="V325" s="9" t="n"/>
      <c r="W325" s="9">
        <f>TABL123[[#This Row],[(A/B) AJD]]+TABL123[[#This Row],[(A/S) AJD]]</f>
        <v/>
      </c>
      <c r="X325" s="9">
        <f>TABL123[[#This Row],[( S/S+T/B) AJD]]-TABL123[[#This Row],[(A/B + A/S) AJD]]</f>
        <v/>
      </c>
      <c r="Y325" s="18" t="n"/>
      <c r="Z325" s="9" t="n"/>
      <c r="AA325" s="3">
        <f>TABL123[[#This Row],[(RESV. STORGE) AJD]]/10</f>
        <v/>
      </c>
      <c r="AB325" s="45">
        <f>IF(TRIM(Z325)="",,(Z325-Z324)/1000)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6" t="n"/>
      <c r="AI325" s="78" t="n"/>
      <c r="AJ325" s="78">
        <f>TABL123[[#This Row],[(A/B) AJD]]-TABL123[[#This Row],[BER_IN]]</f>
        <v/>
      </c>
      <c r="AK325" s="78" t="n"/>
      <c r="AL325" s="68" t="n"/>
      <c r="AM325" s="87" t="n"/>
      <c r="AN325" s="87">
        <f>TABL123[[#This Row],[ (RESV. STORGE) SER]]/10</f>
        <v/>
      </c>
      <c r="AO325" s="6" t="n"/>
      <c r="AP325" s="32">
        <f>TABL123[[#This Row],[(A/S) AJD]]-TABL123[[#This Row],[SER_IN]]</f>
        <v/>
      </c>
    </row>
    <row r="326" ht="18.75" customHeight="1">
      <c r="A326" s="2" t="n">
        <v>46347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TABL123[[#This Row],[ (T/B) SAR]]+TABL123[[#This Row],[ (S/S) SAR]]</f>
        <v/>
      </c>
      <c r="L326" s="28" t="n"/>
      <c r="M326" s="29" t="n"/>
      <c r="N326" s="30" t="n"/>
      <c r="O326" s="39" t="n"/>
      <c r="P326" s="9">
        <f>TABL123[[#This Row],[ (S/S) SAR]]-TABL123[[#This Row],[(S/S) AJD]]</f>
        <v/>
      </c>
      <c r="Q326" s="9" t="n"/>
      <c r="R326" s="9">
        <f>TABL123[[#This Row],[ (T/B) SAR]]-TABL123[[#This Row],[(T/B) AJD]]</f>
        <v/>
      </c>
      <c r="S326" s="9">
        <f>TABL123[[#This Row],[T/B-CON.]]+TABL123[[#This Row],[S/S_CON.]]</f>
        <v/>
      </c>
      <c r="T326" s="9">
        <f>TABL123[[#This Row],[(S/S) AJD]]+TABL123[[#This Row],[(T/B) AJD]]</f>
        <v/>
      </c>
      <c r="U326" s="9" t="n"/>
      <c r="V326" s="9" t="n"/>
      <c r="W326" s="9">
        <f>TABL123[[#This Row],[(A/B) AJD]]+TABL123[[#This Row],[(A/S) AJD]]</f>
        <v/>
      </c>
      <c r="X326" s="9">
        <f>TABL123[[#This Row],[( S/S+T/B) AJD]]-TABL123[[#This Row],[(A/B + A/S) AJD]]</f>
        <v/>
      </c>
      <c r="Y326" s="18" t="n"/>
      <c r="Z326" s="9" t="n"/>
      <c r="AA326" s="3">
        <f>TABL123[[#This Row],[(RESV. STORGE) AJD]]/10</f>
        <v/>
      </c>
      <c r="AB326" s="45">
        <f>IF(TRIM(Z326)="",,(Z326-Z325)/1000)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6" t="n"/>
      <c r="AI326" s="78" t="n"/>
      <c r="AJ326" s="78">
        <f>TABL123[[#This Row],[(A/B) AJD]]-TABL123[[#This Row],[BER_IN]]</f>
        <v/>
      </c>
      <c r="AK326" s="78" t="n"/>
      <c r="AL326" s="68" t="n"/>
      <c r="AM326" s="87" t="n"/>
      <c r="AN326" s="87">
        <f>TABL123[[#This Row],[ (RESV. STORGE) SER]]/10</f>
        <v/>
      </c>
      <c r="AO326" s="6" t="n"/>
      <c r="AP326" s="32">
        <f>TABL123[[#This Row],[(A/S) AJD]]-TABL123[[#This Row],[SER_IN]]</f>
        <v/>
      </c>
    </row>
    <row r="327" ht="18.75" customHeight="1">
      <c r="A327" s="2" t="n">
        <v>46348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TABL123[[#This Row],[ (T/B) SAR]]+TABL123[[#This Row],[ (S/S) SAR]]</f>
        <v/>
      </c>
      <c r="L327" s="28" t="n"/>
      <c r="M327" s="29" t="n"/>
      <c r="N327" s="30" t="n"/>
      <c r="O327" s="40" t="n"/>
      <c r="P327" s="9">
        <f>TABL123[[#This Row],[ (S/S) SAR]]-TABL123[[#This Row],[(S/S) AJD]]</f>
        <v/>
      </c>
      <c r="Q327" s="9" t="n"/>
      <c r="R327" s="9">
        <f>TABL123[[#This Row],[ (T/B) SAR]]-TABL123[[#This Row],[(T/B) AJD]]</f>
        <v/>
      </c>
      <c r="S327" s="9">
        <f>TABL123[[#This Row],[T/B-CON.]]+TABL123[[#This Row],[S/S_CON.]]</f>
        <v/>
      </c>
      <c r="T327" s="9">
        <f>TABL123[[#This Row],[(S/S) AJD]]+TABL123[[#This Row],[(T/B) AJD]]</f>
        <v/>
      </c>
      <c r="U327" s="9" t="n"/>
      <c r="V327" s="9" t="n"/>
      <c r="W327" s="9">
        <f>TABL123[[#This Row],[(A/B) AJD]]+TABL123[[#This Row],[(A/S) AJD]]</f>
        <v/>
      </c>
      <c r="X327" s="9">
        <f>TABL123[[#This Row],[( S/S+T/B) AJD]]-TABL123[[#This Row],[(A/B + A/S) AJD]]</f>
        <v/>
      </c>
      <c r="Y327" s="18" t="n"/>
      <c r="Z327" s="9" t="n"/>
      <c r="AA327" s="3">
        <f>TABL123[[#This Row],[(RESV. STORGE) AJD]]/10</f>
        <v/>
      </c>
      <c r="AB327" s="45">
        <f>IF(TRIM(Z327)="",,(Z327-Z326)/1000)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6" t="n"/>
      <c r="AI327" s="78" t="n"/>
      <c r="AJ327" s="78">
        <f>TABL123[[#This Row],[(A/B) AJD]]-TABL123[[#This Row],[BER_IN]]</f>
        <v/>
      </c>
      <c r="AK327" s="78" t="n"/>
      <c r="AL327" s="68" t="n"/>
      <c r="AM327" s="87" t="n"/>
      <c r="AN327" s="87">
        <f>TABL123[[#This Row],[ (RESV. STORGE) SER]]/10</f>
        <v/>
      </c>
      <c r="AO327" s="6" t="n"/>
      <c r="AP327" s="32">
        <f>TABL123[[#This Row],[(A/S) AJD]]-TABL123[[#This Row],[SER_IN]]</f>
        <v/>
      </c>
    </row>
    <row r="328" ht="18.75" customHeight="1">
      <c r="A328" s="2" t="n">
        <v>46349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TABL123[[#This Row],[ (T/B) SAR]]+TABL123[[#This Row],[ (S/S) SAR]]</f>
        <v/>
      </c>
      <c r="L328" s="28" t="n"/>
      <c r="M328" s="29" t="n"/>
      <c r="N328" s="30" t="n"/>
      <c r="O328" s="39" t="n"/>
      <c r="P328" s="9">
        <f>TABL123[[#This Row],[ (S/S) SAR]]-TABL123[[#This Row],[(S/S) AJD]]</f>
        <v/>
      </c>
      <c r="Q328" s="9" t="n"/>
      <c r="R328" s="9">
        <f>TABL123[[#This Row],[ (T/B) SAR]]-TABL123[[#This Row],[(T/B) AJD]]</f>
        <v/>
      </c>
      <c r="S328" s="9">
        <f>TABL123[[#This Row],[T/B-CON.]]+TABL123[[#This Row],[S/S_CON.]]</f>
        <v/>
      </c>
      <c r="T328" s="9">
        <f>TABL123[[#This Row],[(S/S) AJD]]+TABL123[[#This Row],[(T/B) AJD]]</f>
        <v/>
      </c>
      <c r="U328" s="9" t="n"/>
      <c r="V328" s="9" t="n"/>
      <c r="W328" s="9">
        <f>TABL123[[#This Row],[(A/B) AJD]]+TABL123[[#This Row],[(A/S) AJD]]</f>
        <v/>
      </c>
      <c r="X328" s="9">
        <f>TABL123[[#This Row],[( S/S+T/B) AJD]]-TABL123[[#This Row],[(A/B + A/S) AJD]]</f>
        <v/>
      </c>
      <c r="Y328" s="18" t="n"/>
      <c r="Z328" s="9" t="n"/>
      <c r="AA328" s="3">
        <f>TABL123[[#This Row],[(RESV. STORGE) AJD]]/10</f>
        <v/>
      </c>
      <c r="AB328" s="45">
        <f>IF(TRIM(Z328)="",,(Z328-Z327)/1000)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6" t="n"/>
      <c r="AI328" s="78" t="n"/>
      <c r="AJ328" s="78">
        <f>TABL123[[#This Row],[(A/B) AJD]]-TABL123[[#This Row],[BER_IN]]</f>
        <v/>
      </c>
      <c r="AK328" s="78" t="n"/>
      <c r="AL328" s="68" t="n"/>
      <c r="AM328" s="87" t="n"/>
      <c r="AN328" s="87">
        <f>TABL123[[#This Row],[ (RESV. STORGE) SER]]/10</f>
        <v/>
      </c>
      <c r="AO328" s="6" t="n"/>
      <c r="AP328" s="32">
        <f>TABL123[[#This Row],[(A/S) AJD]]-TABL123[[#This Row],[SER_IN]]</f>
        <v/>
      </c>
    </row>
    <row r="329" ht="18.75" customHeight="1">
      <c r="A329" s="2" t="n">
        <v>46350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TABL123[[#This Row],[ (T/B) SAR]]+TABL123[[#This Row],[ (S/S) SAR]]</f>
        <v/>
      </c>
      <c r="L329" s="28" t="n"/>
      <c r="M329" s="29" t="n"/>
      <c r="N329" s="30" t="n"/>
      <c r="O329" s="40" t="n"/>
      <c r="P329" s="9">
        <f>TABL123[[#This Row],[ (S/S) SAR]]-TABL123[[#This Row],[(S/S) AJD]]</f>
        <v/>
      </c>
      <c r="Q329" s="9" t="n"/>
      <c r="R329" s="9">
        <f>TABL123[[#This Row],[ (T/B) SAR]]-TABL123[[#This Row],[(T/B) AJD]]</f>
        <v/>
      </c>
      <c r="S329" s="9">
        <f>TABL123[[#This Row],[T/B-CON.]]+TABL123[[#This Row],[S/S_CON.]]</f>
        <v/>
      </c>
      <c r="T329" s="9">
        <f>TABL123[[#This Row],[(S/S) AJD]]+TABL123[[#This Row],[(T/B) AJD]]</f>
        <v/>
      </c>
      <c r="U329" s="9" t="n"/>
      <c r="V329" s="9" t="n"/>
      <c r="W329" s="9">
        <f>TABL123[[#This Row],[(A/B) AJD]]+TABL123[[#This Row],[(A/S) AJD]]</f>
        <v/>
      </c>
      <c r="X329" s="9">
        <f>TABL123[[#This Row],[( S/S+T/B) AJD]]-TABL123[[#This Row],[(A/B + A/S) AJD]]</f>
        <v/>
      </c>
      <c r="Y329" s="18" t="n"/>
      <c r="Z329" s="9" t="n"/>
      <c r="AA329" s="3">
        <f>TABL123[[#This Row],[(RESV. STORGE) AJD]]/10</f>
        <v/>
      </c>
      <c r="AB329" s="45">
        <f>IF(TRIM(Z329)="",,(Z329-Z328)/1000)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6" t="n"/>
      <c r="AI329" s="78" t="n"/>
      <c r="AJ329" s="78">
        <f>TABL123[[#This Row],[(A/B) AJD]]-TABL123[[#This Row],[BER_IN]]</f>
        <v/>
      </c>
      <c r="AK329" s="78" t="n"/>
      <c r="AL329" s="68" t="n"/>
      <c r="AM329" s="87" t="n"/>
      <c r="AN329" s="87">
        <f>TABL123[[#This Row],[ (RESV. STORGE) SER]]/10</f>
        <v/>
      </c>
      <c r="AO329" s="6" t="n"/>
      <c r="AP329" s="32">
        <f>TABL123[[#This Row],[(A/S) AJD]]-TABL123[[#This Row],[SER_IN]]</f>
        <v/>
      </c>
    </row>
    <row r="330" ht="18.75" customHeight="1">
      <c r="A330" s="2" t="n">
        <v>46351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TABL123[[#This Row],[ (T/B) SAR]]+TABL123[[#This Row],[ (S/S) SAR]]</f>
        <v/>
      </c>
      <c r="L330" s="28" t="n"/>
      <c r="M330" s="29" t="n"/>
      <c r="N330" s="30" t="n"/>
      <c r="O330" s="39" t="n"/>
      <c r="P330" s="9">
        <f>TABL123[[#This Row],[ (S/S) SAR]]-TABL123[[#This Row],[(S/S) AJD]]</f>
        <v/>
      </c>
      <c r="Q330" s="9" t="n"/>
      <c r="R330" s="9">
        <f>TABL123[[#This Row],[ (T/B) SAR]]-TABL123[[#This Row],[(T/B) AJD]]</f>
        <v/>
      </c>
      <c r="S330" s="9">
        <f>TABL123[[#This Row],[T/B-CON.]]+TABL123[[#This Row],[S/S_CON.]]</f>
        <v/>
      </c>
      <c r="T330" s="9">
        <f>TABL123[[#This Row],[(S/S) AJD]]+TABL123[[#This Row],[(T/B) AJD]]</f>
        <v/>
      </c>
      <c r="U330" s="9" t="n"/>
      <c r="V330" s="9" t="n"/>
      <c r="W330" s="9">
        <f>TABL123[[#This Row],[(A/B) AJD]]+TABL123[[#This Row],[(A/S) AJD]]</f>
        <v/>
      </c>
      <c r="X330" s="9">
        <f>TABL123[[#This Row],[( S/S+T/B) AJD]]-TABL123[[#This Row],[(A/B + A/S) AJD]]</f>
        <v/>
      </c>
      <c r="Y330" s="18" t="n"/>
      <c r="Z330" s="9" t="n"/>
      <c r="AA330" s="3">
        <f>TABL123[[#This Row],[(RESV. STORGE) AJD]]/10</f>
        <v/>
      </c>
      <c r="AB330" s="45">
        <f>IF(TRIM(Z330)="",,(Z330-Z329)/1000)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6" t="n"/>
      <c r="AI330" s="78" t="n"/>
      <c r="AJ330" s="78">
        <f>TABL123[[#This Row],[(A/B) AJD]]-TABL123[[#This Row],[BER_IN]]</f>
        <v/>
      </c>
      <c r="AK330" s="78" t="n"/>
      <c r="AL330" s="68" t="n"/>
      <c r="AM330" s="87" t="n"/>
      <c r="AN330" s="87">
        <f>TABL123[[#This Row],[ (RESV. STORGE) SER]]/10</f>
        <v/>
      </c>
      <c r="AO330" s="6" t="n"/>
      <c r="AP330" s="32">
        <f>TABL123[[#This Row],[(A/S) AJD]]-TABL123[[#This Row],[SER_IN]]</f>
        <v/>
      </c>
    </row>
    <row r="331" ht="18.75" customHeight="1">
      <c r="A331" s="2" t="n">
        <v>46352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TABL123[[#This Row],[ (T/B) SAR]]+TABL123[[#This Row],[ (S/S) SAR]]</f>
        <v/>
      </c>
      <c r="L331" s="28" t="n"/>
      <c r="M331" s="29" t="n"/>
      <c r="N331" s="30" t="n"/>
      <c r="O331" s="40" t="n"/>
      <c r="P331" s="9">
        <f>TABL123[[#This Row],[ (S/S) SAR]]-TABL123[[#This Row],[(S/S) AJD]]</f>
        <v/>
      </c>
      <c r="Q331" s="9" t="n"/>
      <c r="R331" s="9">
        <f>TABL123[[#This Row],[ (T/B) SAR]]-TABL123[[#This Row],[(T/B) AJD]]</f>
        <v/>
      </c>
      <c r="S331" s="9">
        <f>TABL123[[#This Row],[T/B-CON.]]+TABL123[[#This Row],[S/S_CON.]]</f>
        <v/>
      </c>
      <c r="T331" s="9">
        <f>TABL123[[#This Row],[(S/S) AJD]]+TABL123[[#This Row],[(T/B) AJD]]</f>
        <v/>
      </c>
      <c r="U331" s="9" t="n"/>
      <c r="V331" s="9" t="n"/>
      <c r="W331" s="9">
        <f>TABL123[[#This Row],[(A/B) AJD]]+TABL123[[#This Row],[(A/S) AJD]]</f>
        <v/>
      </c>
      <c r="X331" s="9">
        <f>TABL123[[#This Row],[( S/S+T/B) AJD]]-TABL123[[#This Row],[(A/B + A/S) AJD]]</f>
        <v/>
      </c>
      <c r="Y331" s="18" t="n"/>
      <c r="Z331" s="9" t="n"/>
      <c r="AA331" s="3">
        <f>TABL123[[#This Row],[(RESV. STORGE) AJD]]/10</f>
        <v/>
      </c>
      <c r="AB331" s="45">
        <f>IF(TRIM(Z331)="",,(Z331-Z330)/1000)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6" t="n"/>
      <c r="AI331" s="78" t="n"/>
      <c r="AJ331" s="78">
        <f>TABL123[[#This Row],[(A/B) AJD]]-TABL123[[#This Row],[BER_IN]]</f>
        <v/>
      </c>
      <c r="AK331" s="78" t="n"/>
      <c r="AL331" s="68" t="n"/>
      <c r="AM331" s="87" t="n"/>
      <c r="AN331" s="87">
        <f>TABL123[[#This Row],[ (RESV. STORGE) SER]]/10</f>
        <v/>
      </c>
      <c r="AO331" s="6" t="n"/>
      <c r="AP331" s="32">
        <f>TABL123[[#This Row],[(A/S) AJD]]-TABL123[[#This Row],[SER_IN]]</f>
        <v/>
      </c>
    </row>
    <row r="332" ht="18.75" customHeight="1">
      <c r="A332" s="2" t="n">
        <v>46353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TABL123[[#This Row],[ (T/B) SAR]]+TABL123[[#This Row],[ (S/S) SAR]]</f>
        <v/>
      </c>
      <c r="L332" s="28" t="n"/>
      <c r="M332" s="29" t="n"/>
      <c r="N332" s="30" t="n"/>
      <c r="O332" s="39" t="n"/>
      <c r="P332" s="9">
        <f>TABL123[[#This Row],[ (S/S) SAR]]-TABL123[[#This Row],[(S/S) AJD]]</f>
        <v/>
      </c>
      <c r="Q332" s="9" t="n"/>
      <c r="R332" s="9">
        <f>TABL123[[#This Row],[ (T/B) SAR]]-TABL123[[#This Row],[(T/B) AJD]]</f>
        <v/>
      </c>
      <c r="S332" s="9">
        <f>TABL123[[#This Row],[T/B-CON.]]+TABL123[[#This Row],[S/S_CON.]]</f>
        <v/>
      </c>
      <c r="T332" s="9">
        <f>TABL123[[#This Row],[(S/S) AJD]]+TABL123[[#This Row],[(T/B) AJD]]</f>
        <v/>
      </c>
      <c r="U332" s="9" t="n"/>
      <c r="V332" s="9" t="n"/>
      <c r="W332" s="9">
        <f>TABL123[[#This Row],[(A/B) AJD]]+TABL123[[#This Row],[(A/S) AJD]]</f>
        <v/>
      </c>
      <c r="X332" s="9">
        <f>TABL123[[#This Row],[( S/S+T/B) AJD]]-TABL123[[#This Row],[(A/B + A/S) AJD]]</f>
        <v/>
      </c>
      <c r="Y332" s="18" t="n"/>
      <c r="Z332" s="9" t="n"/>
      <c r="AA332" s="3">
        <f>TABL123[[#This Row],[(RESV. STORGE) AJD]]/10</f>
        <v/>
      </c>
      <c r="AB332" s="45">
        <f>IF(TRIM(Z332)="",,(Z332-Z331)/1000)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6" t="n"/>
      <c r="AI332" s="78" t="n"/>
      <c r="AJ332" s="78">
        <f>TABL123[[#This Row],[(A/B) AJD]]-TABL123[[#This Row],[BER_IN]]</f>
        <v/>
      </c>
      <c r="AK332" s="78" t="n"/>
      <c r="AL332" s="68" t="n"/>
      <c r="AM332" s="87" t="n"/>
      <c r="AN332" s="87">
        <f>TABL123[[#This Row],[ (RESV. STORGE) SER]]/10</f>
        <v/>
      </c>
      <c r="AO332" s="6" t="n"/>
      <c r="AP332" s="32">
        <f>TABL123[[#This Row],[(A/S) AJD]]-TABL123[[#This Row],[SER_IN]]</f>
        <v/>
      </c>
    </row>
    <row r="333" ht="18.75" customHeight="1">
      <c r="A333" s="2" t="n">
        <v>46354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TABL123[[#This Row],[ (T/B) SAR]]+TABL123[[#This Row],[ (S/S) SAR]]</f>
        <v/>
      </c>
      <c r="L333" s="28" t="n"/>
      <c r="M333" s="29" t="n"/>
      <c r="N333" s="30" t="n"/>
      <c r="O333" s="40" t="n"/>
      <c r="P333" s="9">
        <f>TABL123[[#This Row],[ (S/S) SAR]]-TABL123[[#This Row],[(S/S) AJD]]</f>
        <v/>
      </c>
      <c r="Q333" s="9" t="n"/>
      <c r="R333" s="9">
        <f>TABL123[[#This Row],[ (T/B) SAR]]-TABL123[[#This Row],[(T/B) AJD]]</f>
        <v/>
      </c>
      <c r="S333" s="9">
        <f>TABL123[[#This Row],[T/B-CON.]]+TABL123[[#This Row],[S/S_CON.]]</f>
        <v/>
      </c>
      <c r="T333" s="9">
        <f>TABL123[[#This Row],[(S/S) AJD]]+TABL123[[#This Row],[(T/B) AJD]]</f>
        <v/>
      </c>
      <c r="U333" s="9" t="n"/>
      <c r="V333" s="9" t="n"/>
      <c r="W333" s="9">
        <f>TABL123[[#This Row],[(A/B) AJD]]+TABL123[[#This Row],[(A/S) AJD]]</f>
        <v/>
      </c>
      <c r="X333" s="9">
        <f>TABL123[[#This Row],[( S/S+T/B) AJD]]-TABL123[[#This Row],[(A/B + A/S) AJD]]</f>
        <v/>
      </c>
      <c r="Y333" s="18" t="n"/>
      <c r="Z333" s="9" t="n"/>
      <c r="AA333" s="3">
        <f>TABL123[[#This Row],[(RESV. STORGE) AJD]]/10</f>
        <v/>
      </c>
      <c r="AB333" s="45">
        <f>IF(TRIM(Z333)="",,(Z333-Z332)/1000)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6" t="n"/>
      <c r="AI333" s="78" t="n"/>
      <c r="AJ333" s="78">
        <f>TABL123[[#This Row],[(A/B) AJD]]-TABL123[[#This Row],[BER_IN]]</f>
        <v/>
      </c>
      <c r="AK333" s="78" t="n"/>
      <c r="AL333" s="68" t="n"/>
      <c r="AM333" s="87" t="n"/>
      <c r="AN333" s="87">
        <f>TABL123[[#This Row],[ (RESV. STORGE) SER]]/10</f>
        <v/>
      </c>
      <c r="AO333" s="6" t="n"/>
      <c r="AP333" s="32">
        <f>TABL123[[#This Row],[(A/S) AJD]]-TABL123[[#This Row],[SER_IN]]</f>
        <v/>
      </c>
    </row>
    <row r="334" ht="18.75" customHeight="1">
      <c r="A334" s="2" t="n">
        <v>46355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TABL123[[#This Row],[ (T/B) SAR]]+TABL123[[#This Row],[ (S/S) SAR]]</f>
        <v/>
      </c>
      <c r="L334" s="28" t="n"/>
      <c r="M334" s="29" t="n"/>
      <c r="N334" s="30" t="n"/>
      <c r="O334" s="39" t="n"/>
      <c r="P334" s="9">
        <f>TABL123[[#This Row],[ (S/S) SAR]]-TABL123[[#This Row],[(S/S) AJD]]</f>
        <v/>
      </c>
      <c r="Q334" s="9" t="n"/>
      <c r="R334" s="9">
        <f>TABL123[[#This Row],[ (T/B) SAR]]-TABL123[[#This Row],[(T/B) AJD]]</f>
        <v/>
      </c>
      <c r="S334" s="9">
        <f>TABL123[[#This Row],[T/B-CON.]]+TABL123[[#This Row],[S/S_CON.]]</f>
        <v/>
      </c>
      <c r="T334" s="9">
        <f>TABL123[[#This Row],[(S/S) AJD]]+TABL123[[#This Row],[(T/B) AJD]]</f>
        <v/>
      </c>
      <c r="U334" s="9" t="n"/>
      <c r="V334" s="9" t="n"/>
      <c r="W334" s="9">
        <f>TABL123[[#This Row],[(A/B) AJD]]+TABL123[[#This Row],[(A/S) AJD]]</f>
        <v/>
      </c>
      <c r="X334" s="9">
        <f>TABL123[[#This Row],[( S/S+T/B) AJD]]-TABL123[[#This Row],[(A/B + A/S) AJD]]</f>
        <v/>
      </c>
      <c r="Y334" s="18" t="n"/>
      <c r="Z334" s="9" t="n"/>
      <c r="AA334" s="3">
        <f>TABL123[[#This Row],[(RESV. STORGE) AJD]]/10</f>
        <v/>
      </c>
      <c r="AB334" s="45">
        <f>IF(TRIM(Z334)="",,(Z334-Z333)/1000)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6" t="n"/>
      <c r="AI334" s="78" t="n"/>
      <c r="AJ334" s="78">
        <f>TABL123[[#This Row],[(A/B) AJD]]-TABL123[[#This Row],[BER_IN]]</f>
        <v/>
      </c>
      <c r="AK334" s="78" t="n"/>
      <c r="AL334" s="68" t="n"/>
      <c r="AM334" s="87" t="n"/>
      <c r="AN334" s="87">
        <f>TABL123[[#This Row],[ (RESV. STORGE) SER]]/10</f>
        <v/>
      </c>
      <c r="AO334" s="6" t="n"/>
      <c r="AP334" s="32">
        <f>TABL123[[#This Row],[(A/S) AJD]]-TABL123[[#This Row],[SER_IN]]</f>
        <v/>
      </c>
    </row>
    <row r="335" ht="18.75" customHeight="1">
      <c r="A335" s="2" t="n">
        <v>46356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TABL123[[#This Row],[ (T/B) SAR]]+TABL123[[#This Row],[ (S/S) SAR]]</f>
        <v/>
      </c>
      <c r="L335" s="28" t="n"/>
      <c r="M335" s="29" t="n"/>
      <c r="N335" s="30" t="n"/>
      <c r="O335" s="40" t="n"/>
      <c r="P335" s="9">
        <f>TABL123[[#This Row],[ (S/S) SAR]]-TABL123[[#This Row],[(S/S) AJD]]</f>
        <v/>
      </c>
      <c r="Q335" s="9" t="n"/>
      <c r="R335" s="9">
        <f>TABL123[[#This Row],[ (T/B) SAR]]-TABL123[[#This Row],[(T/B) AJD]]</f>
        <v/>
      </c>
      <c r="S335" s="9">
        <f>TABL123[[#This Row],[T/B-CON.]]+TABL123[[#This Row],[S/S_CON.]]</f>
        <v/>
      </c>
      <c r="T335" s="9">
        <f>TABL123[[#This Row],[(S/S) AJD]]+TABL123[[#This Row],[(T/B) AJD]]</f>
        <v/>
      </c>
      <c r="U335" s="9" t="n"/>
      <c r="V335" s="9" t="n"/>
      <c r="W335" s="9">
        <f>TABL123[[#This Row],[(A/B) AJD]]+TABL123[[#This Row],[(A/S) AJD]]</f>
        <v/>
      </c>
      <c r="X335" s="9">
        <f>TABL123[[#This Row],[( S/S+T/B) AJD]]-TABL123[[#This Row],[(A/B + A/S) AJD]]</f>
        <v/>
      </c>
      <c r="Y335" s="18" t="n"/>
      <c r="Z335" s="9" t="n"/>
      <c r="AA335" s="3">
        <f>TABL123[[#This Row],[(RESV. STORGE) AJD]]/10</f>
        <v/>
      </c>
      <c r="AB335" s="45">
        <f>IF(TRIM(Z335)="",,(Z335-Z334)/1000)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6" t="n"/>
      <c r="AI335" s="78" t="n"/>
      <c r="AJ335" s="78">
        <f>TABL123[[#This Row],[(A/B) AJD]]-TABL123[[#This Row],[BER_IN]]</f>
        <v/>
      </c>
      <c r="AK335" s="78" t="n"/>
      <c r="AL335" s="68" t="n"/>
      <c r="AM335" s="87" t="n"/>
      <c r="AN335" s="87">
        <f>TABL123[[#This Row],[ (RESV. STORGE) SER]]/10</f>
        <v/>
      </c>
      <c r="AO335" s="6" t="n"/>
      <c r="AP335" s="32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TABL123[[#This Row],[ (T/B) SAR]]+TABL123[[#This Row],[ (S/S) SAR]]</f>
        <v/>
      </c>
      <c r="L336" s="41" t="n"/>
      <c r="M336" s="42" t="n"/>
      <c r="N336" s="42" t="n"/>
      <c r="O336" s="39" t="n"/>
      <c r="P336" s="9">
        <f>TABL123[[#This Row],[ (S/S) SAR]]-TABL123[[#This Row],[(S/S) AJD]]</f>
        <v/>
      </c>
      <c r="Q336" s="39" t="n"/>
      <c r="R336" s="9">
        <f>TABL123[[#This Row],[ (T/B) SAR]]-TABL123[[#This Row],[(T/B) AJD]]</f>
        <v/>
      </c>
      <c r="S336" s="9">
        <f>TABL123[[#This Row],[T/B-CON.]]+TABL123[[#This Row],[S/S_CON.]]</f>
        <v/>
      </c>
      <c r="T336" s="9">
        <f>TABL123[[#This Row],[(S/S) AJD]]+TABL123[[#This Row],[(T/B) AJD]]</f>
        <v/>
      </c>
      <c r="U336" s="41" t="n"/>
      <c r="V336" s="41" t="n"/>
      <c r="W336" s="9">
        <f>TABL123[[#This Row],[(A/B) AJD]]+TABL123[[#This Row],[(A/S) AJD]]</f>
        <v/>
      </c>
      <c r="X336" s="9">
        <f>TABL123[[#This Row],[( S/S+T/B) AJD]]-TABL123[[#This Row],[(A/B + A/S) AJD]]</f>
        <v/>
      </c>
      <c r="Y336" s="41" t="n"/>
      <c r="Z336" s="43" t="n"/>
      <c r="AA336" s="3">
        <f>TABL123[[#This Row],[(RESV. STORGE) AJD]]/10</f>
        <v/>
      </c>
      <c r="AB336" s="45">
        <f>IF(TRIM(Z336)="",,(Z336-Z335)/1000)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43" t="n"/>
      <c r="AI336" s="78" t="n"/>
      <c r="AJ336" s="78">
        <f>TABL123[[#This Row],[(A/B) AJD]]-TABL123[[#This Row],[BER_IN]]</f>
        <v/>
      </c>
      <c r="AK336" s="78" t="n"/>
      <c r="AL336" s="68" t="n"/>
      <c r="AM336" s="87" t="n"/>
      <c r="AN336" s="87">
        <f>TABL123[[#This Row],[ (RESV. STORGE) SER]]/10</f>
        <v/>
      </c>
      <c r="AO336" s="43" t="n"/>
      <c r="AP336" s="32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TABL123[[#This Row],[ (T/B) SAR]]+TABL123[[#This Row],[ (S/S) SAR]]</f>
        <v/>
      </c>
      <c r="L337" s="45" t="n"/>
      <c r="M337" s="46" t="n"/>
      <c r="N337" s="46" t="n"/>
      <c r="O337" s="40" t="n"/>
      <c r="P337" s="9">
        <f>TABL123[[#This Row],[ (S/S) SAR]]-TABL123[[#This Row],[(S/S) AJD]]</f>
        <v/>
      </c>
      <c r="Q337" s="40" t="n"/>
      <c r="R337" s="9">
        <f>TABL123[[#This Row],[ (T/B) SAR]]-TABL123[[#This Row],[(T/B) AJD]]</f>
        <v/>
      </c>
      <c r="S337" s="9">
        <f>TABL123[[#This Row],[T/B-CON.]]+TABL123[[#This Row],[S/S_CON.]]</f>
        <v/>
      </c>
      <c r="T337" s="9">
        <f>TABL123[[#This Row],[(S/S) AJD]]+TABL123[[#This Row],[(T/B) AJD]]</f>
        <v/>
      </c>
      <c r="U337" s="44" t="n"/>
      <c r="V337" s="44" t="n"/>
      <c r="W337" s="9">
        <f>TABL123[[#This Row],[(A/B) AJD]]+TABL123[[#This Row],[(A/S) AJD]]</f>
        <v/>
      </c>
      <c r="X337" s="9">
        <f>TABL123[[#This Row],[( S/S+T/B) AJD]]-TABL123[[#This Row],[(A/B + A/S) AJD]]</f>
        <v/>
      </c>
      <c r="Y337" s="44" t="n"/>
      <c r="Z337" s="45" t="n"/>
      <c r="AA337" s="3">
        <f>TABL123[[#This Row],[(RESV. STORGE) AJD]]/10</f>
        <v/>
      </c>
      <c r="AB337" s="45">
        <f>IF(TRIM(Z337)="",,(Z337-Z336)/1000)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45" t="n"/>
      <c r="AI337" s="78" t="n"/>
      <c r="AJ337" s="78">
        <f>TABL123[[#This Row],[(A/B) AJD]]-TABL123[[#This Row],[BER_IN]]</f>
        <v/>
      </c>
      <c r="AK337" s="78" t="n"/>
      <c r="AL337" s="68" t="n"/>
      <c r="AM337" s="87" t="n"/>
      <c r="AN337" s="87">
        <f>TABL123[[#This Row],[ (RESV. STORGE) SER]]/10</f>
        <v/>
      </c>
      <c r="AO337" s="45" t="n"/>
      <c r="AP337" s="32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TABL123[[#This Row],[ (T/B) SAR]]+TABL123[[#This Row],[ (S/S) SAR]]</f>
        <v/>
      </c>
      <c r="L338" s="41" t="n"/>
      <c r="M338" s="42" t="n"/>
      <c r="N338" s="42" t="n"/>
      <c r="O338" s="39" t="n"/>
      <c r="P338" s="9">
        <f>TABL123[[#This Row],[ (S/S) SAR]]-TABL123[[#This Row],[(S/S) AJD]]</f>
        <v/>
      </c>
      <c r="Q338" s="39" t="n"/>
      <c r="R338" s="9">
        <f>TABL123[[#This Row],[ (T/B) SAR]]-TABL123[[#This Row],[(T/B) AJD]]</f>
        <v/>
      </c>
      <c r="S338" s="9">
        <f>TABL123[[#This Row],[T/B-CON.]]+TABL123[[#This Row],[S/S_CON.]]</f>
        <v/>
      </c>
      <c r="T338" s="9">
        <f>TABL123[[#This Row],[(S/S) AJD]]+TABL123[[#This Row],[(T/B) AJD]]</f>
        <v/>
      </c>
      <c r="U338" s="41" t="n"/>
      <c r="V338" s="41" t="n"/>
      <c r="W338" s="9">
        <f>TABL123[[#This Row],[(A/B) AJD]]+TABL123[[#This Row],[(A/S) AJD]]</f>
        <v/>
      </c>
      <c r="X338" s="9">
        <f>TABL123[[#This Row],[( S/S+T/B) AJD]]-TABL123[[#This Row],[(A/B + A/S) AJD]]</f>
        <v/>
      </c>
      <c r="Y338" s="41" t="n"/>
      <c r="Z338" s="43" t="n"/>
      <c r="AA338" s="3">
        <f>TABL123[[#This Row],[(RESV. STORGE) AJD]]/10</f>
        <v/>
      </c>
      <c r="AB338" s="45">
        <f>IF(TRIM(Z338)="",,(Z338-Z337)/1000)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43" t="n"/>
      <c r="AI338" s="78" t="n"/>
      <c r="AJ338" s="78">
        <f>TABL123[[#This Row],[(A/B) AJD]]-TABL123[[#This Row],[BER_IN]]</f>
        <v/>
      </c>
      <c r="AK338" s="78" t="n"/>
      <c r="AL338" s="68" t="n"/>
      <c r="AM338" s="87" t="n"/>
      <c r="AN338" s="87">
        <f>TABL123[[#This Row],[ (RESV. STORGE) SER]]/10</f>
        <v/>
      </c>
      <c r="AO338" s="43" t="n"/>
      <c r="AP338" s="32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TABL123[[#This Row],[ (T/B) SAR]]+TABL123[[#This Row],[ (S/S) SAR]]</f>
        <v/>
      </c>
      <c r="L339" s="45" t="n"/>
      <c r="M339" s="46" t="n"/>
      <c r="N339" s="46" t="n"/>
      <c r="O339" s="40" t="n"/>
      <c r="P339" s="9">
        <f>TABL123[[#This Row],[ (S/S) SAR]]-TABL123[[#This Row],[(S/S) AJD]]</f>
        <v/>
      </c>
      <c r="Q339" s="40" t="n"/>
      <c r="R339" s="9">
        <f>TABL123[[#This Row],[ (T/B) SAR]]-TABL123[[#This Row],[(T/B) AJD]]</f>
        <v/>
      </c>
      <c r="S339" s="9">
        <f>TABL123[[#This Row],[T/B-CON.]]+TABL123[[#This Row],[S/S_CON.]]</f>
        <v/>
      </c>
      <c r="T339" s="9">
        <f>TABL123[[#This Row],[(S/S) AJD]]+TABL123[[#This Row],[(T/B) AJD]]</f>
        <v/>
      </c>
      <c r="U339" s="44" t="n"/>
      <c r="V339" s="47" t="n"/>
      <c r="W339" s="9">
        <f>TABL123[[#This Row],[(A/B) AJD]]+TABL123[[#This Row],[(A/S) AJD]]</f>
        <v/>
      </c>
      <c r="X339" s="9">
        <f>TABL123[[#This Row],[( S/S+T/B) AJD]]-TABL123[[#This Row],[(A/B + A/S) AJD]]</f>
        <v/>
      </c>
      <c r="Y339" s="44" t="n"/>
      <c r="Z339" s="45" t="n"/>
      <c r="AA339" s="3">
        <f>TABL123[[#This Row],[(RESV. STORGE) AJD]]/10</f>
        <v/>
      </c>
      <c r="AB339" s="45">
        <f>IF(TRIM(Z339)="",,(Z339-Z338)/1000)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45" t="n"/>
      <c r="AI339" s="78" t="n"/>
      <c r="AJ339" s="78">
        <f>TABL123[[#This Row],[(A/B) AJD]]-TABL123[[#This Row],[BER_IN]]</f>
        <v/>
      </c>
      <c r="AK339" s="78" t="n"/>
      <c r="AL339" s="68" t="n"/>
      <c r="AM339" s="87" t="n"/>
      <c r="AN339" s="87">
        <f>TABL123[[#This Row],[ (RESV. STORGE) SER]]/10</f>
        <v/>
      </c>
      <c r="AO339" s="45" t="n"/>
      <c r="AP339" s="32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TABL123[[#This Row],[ (T/B) SAR]]+TABL123[[#This Row],[ (S/S) SAR]]</f>
        <v/>
      </c>
      <c r="L340" s="41" t="n"/>
      <c r="M340" s="42" t="n"/>
      <c r="N340" s="42" t="n"/>
      <c r="O340" s="39" t="n"/>
      <c r="P340" s="9">
        <f>TABL123[[#This Row],[ (S/S) SAR]]-TABL123[[#This Row],[(S/S) AJD]]</f>
        <v/>
      </c>
      <c r="Q340" s="39" t="n"/>
      <c r="R340" s="9">
        <f>TABL123[[#This Row],[ (T/B) SAR]]-TABL123[[#This Row],[(T/B) AJD]]</f>
        <v/>
      </c>
      <c r="S340" s="9">
        <f>TABL123[[#This Row],[T/B-CON.]]+TABL123[[#This Row],[S/S_CON.]]</f>
        <v/>
      </c>
      <c r="T340" s="9">
        <f>TABL123[[#This Row],[(S/S) AJD]]+TABL123[[#This Row],[(T/B) AJD]]</f>
        <v/>
      </c>
      <c r="U340" s="41" t="n"/>
      <c r="V340" s="41" t="n"/>
      <c r="W340" s="9">
        <f>TABL123[[#This Row],[(A/B) AJD]]+TABL123[[#This Row],[(A/S) AJD]]</f>
        <v/>
      </c>
      <c r="X340" s="9">
        <f>TABL123[[#This Row],[( S/S+T/B) AJD]]-TABL123[[#This Row],[(A/B + A/S) AJD]]</f>
        <v/>
      </c>
      <c r="Y340" s="41" t="n"/>
      <c r="Z340" s="43" t="n"/>
      <c r="AA340" s="3">
        <f>TABL123[[#This Row],[(RESV. STORGE) AJD]]/10</f>
        <v/>
      </c>
      <c r="AB340" s="45">
        <f>IF(TRIM(Z340)="",,(Z340-Z339)/1000)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43" t="n"/>
      <c r="AI340" s="78" t="n"/>
      <c r="AJ340" s="78">
        <f>TABL123[[#This Row],[(A/B) AJD]]-TABL123[[#This Row],[BER_IN]]</f>
        <v/>
      </c>
      <c r="AK340" s="78" t="n"/>
      <c r="AL340" s="68" t="n"/>
      <c r="AM340" s="87" t="n"/>
      <c r="AN340" s="87">
        <f>TABL123[[#This Row],[ (RESV. STORGE) SER]]/10</f>
        <v/>
      </c>
      <c r="AO340" s="43" t="n"/>
      <c r="AP340" s="32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TABL123[[#This Row],[ (T/B) SAR]]+TABL123[[#This Row],[ (S/S) SAR]]</f>
        <v/>
      </c>
      <c r="L341" s="45" t="n"/>
      <c r="M341" s="46" t="n"/>
      <c r="N341" s="46" t="n"/>
      <c r="O341" s="40" t="n"/>
      <c r="P341" s="9">
        <f>TABL123[[#This Row],[ (S/S) SAR]]-TABL123[[#This Row],[(S/S) AJD]]</f>
        <v/>
      </c>
      <c r="Q341" s="40" t="n"/>
      <c r="R341" s="9">
        <f>TABL123[[#This Row],[ (T/B) SAR]]-TABL123[[#This Row],[(T/B) AJD]]</f>
        <v/>
      </c>
      <c r="S341" s="9">
        <f>TABL123[[#This Row],[T/B-CON.]]+TABL123[[#This Row],[S/S_CON.]]</f>
        <v/>
      </c>
      <c r="T341" s="9">
        <f>TABL123[[#This Row],[(S/S) AJD]]+TABL123[[#This Row],[(T/B) AJD]]</f>
        <v/>
      </c>
      <c r="U341" s="44" t="n"/>
      <c r="V341" s="44" t="n"/>
      <c r="W341" s="9">
        <f>TABL123[[#This Row],[(A/B) AJD]]+TABL123[[#This Row],[(A/S) AJD]]</f>
        <v/>
      </c>
      <c r="X341" s="9">
        <f>TABL123[[#This Row],[( S/S+T/B) AJD]]-TABL123[[#This Row],[(A/B + A/S) AJD]]</f>
        <v/>
      </c>
      <c r="Y341" s="44" t="n"/>
      <c r="Z341" s="45" t="n"/>
      <c r="AA341" s="3">
        <f>TABL123[[#This Row],[(RESV. STORGE) AJD]]/10</f>
        <v/>
      </c>
      <c r="AB341" s="45">
        <f>IF(TRIM(Z341)="",,(Z341-Z340)/1000)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45" t="n"/>
      <c r="AI341" s="78" t="n"/>
      <c r="AJ341" s="78">
        <f>TABL123[[#This Row],[(A/B) AJD]]-TABL123[[#This Row],[BER_IN]]</f>
        <v/>
      </c>
      <c r="AK341" s="78" t="n"/>
      <c r="AL341" s="68" t="n"/>
      <c r="AM341" s="87" t="n"/>
      <c r="AN341" s="87">
        <f>TABL123[[#This Row],[ (RESV. STORGE) SER]]/10</f>
        <v/>
      </c>
      <c r="AO341" s="45" t="n"/>
      <c r="AP341" s="32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TABL123[[#This Row],[ (T/B) SAR]]+TABL123[[#This Row],[ (S/S) SAR]]</f>
        <v/>
      </c>
      <c r="L342" s="41" t="n"/>
      <c r="M342" s="42" t="n"/>
      <c r="N342" s="42" t="n"/>
      <c r="O342" s="39" t="n"/>
      <c r="P342" s="9">
        <f>TABL123[[#This Row],[ (S/S) SAR]]-TABL123[[#This Row],[(S/S) AJD]]</f>
        <v/>
      </c>
      <c r="Q342" s="39" t="n"/>
      <c r="R342" s="9">
        <f>TABL123[[#This Row],[ (T/B) SAR]]-TABL123[[#This Row],[(T/B) AJD]]</f>
        <v/>
      </c>
      <c r="S342" s="9">
        <f>TABL123[[#This Row],[T/B-CON.]]+TABL123[[#This Row],[S/S_CON.]]</f>
        <v/>
      </c>
      <c r="T342" s="9">
        <f>TABL123[[#This Row],[(S/S) AJD]]+TABL123[[#This Row],[(T/B) AJD]]</f>
        <v/>
      </c>
      <c r="U342" s="41" t="n"/>
      <c r="V342" s="41" t="n"/>
      <c r="W342" s="9">
        <f>TABL123[[#This Row],[(A/B) AJD]]+TABL123[[#This Row],[(A/S) AJD]]</f>
        <v/>
      </c>
      <c r="X342" s="9">
        <f>TABL123[[#This Row],[( S/S+T/B) AJD]]-TABL123[[#This Row],[(A/B + A/S) AJD]]</f>
        <v/>
      </c>
      <c r="Y342" s="41" t="n"/>
      <c r="Z342" s="43" t="n"/>
      <c r="AA342" s="3">
        <f>TABL123[[#This Row],[(RESV. STORGE) AJD]]/10</f>
        <v/>
      </c>
      <c r="AB342" s="45">
        <f>IF(TRIM(Z342)="",,(Z342-Z341)/1000)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43" t="n"/>
      <c r="AI342" s="78" t="n"/>
      <c r="AJ342" s="78">
        <f>TABL123[[#This Row],[(A/B) AJD]]-TABL123[[#This Row],[BER_IN]]</f>
        <v/>
      </c>
      <c r="AK342" s="78" t="n"/>
      <c r="AL342" s="68" t="n"/>
      <c r="AM342" s="87" t="n"/>
      <c r="AN342" s="87">
        <f>TABL123[[#This Row],[ (RESV. STORGE) SER]]/10</f>
        <v/>
      </c>
      <c r="AO342" s="43" t="n"/>
      <c r="AP342" s="32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TABL123[[#This Row],[ (T/B) SAR]]+TABL123[[#This Row],[ (S/S) SAR]]</f>
        <v/>
      </c>
      <c r="L343" s="45" t="n"/>
      <c r="M343" s="46" t="n"/>
      <c r="N343" s="46" t="n"/>
      <c r="O343" s="40" t="n"/>
      <c r="P343" s="9">
        <f>TABL123[[#This Row],[ (S/S) SAR]]-TABL123[[#This Row],[(S/S) AJD]]</f>
        <v/>
      </c>
      <c r="Q343" s="40" t="n"/>
      <c r="R343" s="9">
        <f>TABL123[[#This Row],[ (T/B) SAR]]-TABL123[[#This Row],[(T/B) AJD]]</f>
        <v/>
      </c>
      <c r="S343" s="9">
        <f>TABL123[[#This Row],[T/B-CON.]]+TABL123[[#This Row],[S/S_CON.]]</f>
        <v/>
      </c>
      <c r="T343" s="9">
        <f>TABL123[[#This Row],[(S/S) AJD]]+TABL123[[#This Row],[(T/B) AJD]]</f>
        <v/>
      </c>
      <c r="U343" s="44" t="n"/>
      <c r="V343" s="44" t="n"/>
      <c r="W343" s="9">
        <f>TABL123[[#This Row],[(A/B) AJD]]+TABL123[[#This Row],[(A/S) AJD]]</f>
        <v/>
      </c>
      <c r="X343" s="9">
        <f>TABL123[[#This Row],[( S/S+T/B) AJD]]-TABL123[[#This Row],[(A/B + A/S) AJD]]</f>
        <v/>
      </c>
      <c r="Y343" s="44" t="n"/>
      <c r="Z343" s="45" t="n"/>
      <c r="AA343" s="3">
        <f>TABL123[[#This Row],[(RESV. STORGE) AJD]]/10</f>
        <v/>
      </c>
      <c r="AB343" s="45">
        <f>IF(TRIM(Z343)="",,(Z343-Z342)/1000)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45" t="n"/>
      <c r="AI343" s="78" t="n"/>
      <c r="AJ343" s="78">
        <f>TABL123[[#This Row],[(A/B) AJD]]-TABL123[[#This Row],[BER_IN]]</f>
        <v/>
      </c>
      <c r="AK343" s="78" t="n"/>
      <c r="AL343" s="68" t="n"/>
      <c r="AM343" s="87" t="n"/>
      <c r="AN343" s="87">
        <f>TABL123[[#This Row],[ (RESV. STORGE) SER]]/10</f>
        <v/>
      </c>
      <c r="AO343" s="45" t="n"/>
      <c r="AP343" s="32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TABL123[[#This Row],[ (T/B) SAR]]+TABL123[[#This Row],[ (S/S) SAR]]</f>
        <v/>
      </c>
      <c r="L344" s="41" t="n"/>
      <c r="M344" s="42" t="n"/>
      <c r="N344" s="42" t="n"/>
      <c r="O344" s="39" t="n"/>
      <c r="P344" s="9">
        <f>TABL123[[#This Row],[ (S/S) SAR]]-TABL123[[#This Row],[(S/S) AJD]]</f>
        <v/>
      </c>
      <c r="Q344" s="39" t="n"/>
      <c r="R344" s="9">
        <f>TABL123[[#This Row],[ (T/B) SAR]]-TABL123[[#This Row],[(T/B) AJD]]</f>
        <v/>
      </c>
      <c r="S344" s="9">
        <f>TABL123[[#This Row],[T/B-CON.]]+TABL123[[#This Row],[S/S_CON.]]</f>
        <v/>
      </c>
      <c r="T344" s="9">
        <f>TABL123[[#This Row],[(S/S) AJD]]+TABL123[[#This Row],[(T/B) AJD]]</f>
        <v/>
      </c>
      <c r="U344" s="41" t="n"/>
      <c r="V344" s="41" t="n"/>
      <c r="W344" s="9">
        <f>TABL123[[#This Row],[(A/B) AJD]]+TABL123[[#This Row],[(A/S) AJD]]</f>
        <v/>
      </c>
      <c r="X344" s="9">
        <f>TABL123[[#This Row],[( S/S+T/B) AJD]]-TABL123[[#This Row],[(A/B + A/S) AJD]]</f>
        <v/>
      </c>
      <c r="Y344" s="41" t="n"/>
      <c r="Z344" s="43" t="n"/>
      <c r="AA344" s="3">
        <f>TABL123[[#This Row],[(RESV. STORGE) AJD]]/10</f>
        <v/>
      </c>
      <c r="AB344" s="45">
        <f>IF(TRIM(Z344)="",,(Z344-Z343)/1000)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43" t="n"/>
      <c r="AI344" s="78" t="n"/>
      <c r="AJ344" s="78">
        <f>TABL123[[#This Row],[(A/B) AJD]]-TABL123[[#This Row],[BER_IN]]</f>
        <v/>
      </c>
      <c r="AK344" s="78" t="n"/>
      <c r="AL344" s="68" t="n"/>
      <c r="AM344" s="87" t="n"/>
      <c r="AN344" s="87">
        <f>TABL123[[#This Row],[ (RESV. STORGE) SER]]/10</f>
        <v/>
      </c>
      <c r="AO344" s="43" t="n"/>
      <c r="AP344" s="32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TABL123[[#This Row],[ (T/B) SAR]]+TABL123[[#This Row],[ (S/S) SAR]]</f>
        <v/>
      </c>
      <c r="L345" s="45" t="n"/>
      <c r="M345" s="46" t="n"/>
      <c r="N345" s="46" t="n"/>
      <c r="O345" s="40" t="n"/>
      <c r="P345" s="9">
        <f>TABL123[[#This Row],[ (S/S) SAR]]-TABL123[[#This Row],[(S/S) AJD]]</f>
        <v/>
      </c>
      <c r="Q345" s="40" t="n"/>
      <c r="R345" s="9">
        <f>TABL123[[#This Row],[ (T/B) SAR]]-TABL123[[#This Row],[(T/B) AJD]]</f>
        <v/>
      </c>
      <c r="S345" s="9">
        <f>TABL123[[#This Row],[T/B-CON.]]+TABL123[[#This Row],[S/S_CON.]]</f>
        <v/>
      </c>
      <c r="T345" s="9">
        <f>TABL123[[#This Row],[(S/S) AJD]]+TABL123[[#This Row],[(T/B) AJD]]</f>
        <v/>
      </c>
      <c r="U345" s="44" t="n"/>
      <c r="V345" s="44" t="n"/>
      <c r="W345" s="9">
        <f>TABL123[[#This Row],[(A/B) AJD]]+TABL123[[#This Row],[(A/S) AJD]]</f>
        <v/>
      </c>
      <c r="X345" s="9">
        <f>TABL123[[#This Row],[( S/S+T/B) AJD]]-TABL123[[#This Row],[(A/B + A/S) AJD]]</f>
        <v/>
      </c>
      <c r="Y345" s="44" t="n"/>
      <c r="Z345" s="45" t="n"/>
      <c r="AA345" s="3">
        <f>TABL123[[#This Row],[(RESV. STORGE) AJD]]/10</f>
        <v/>
      </c>
      <c r="AB345" s="45">
        <f>IF(TRIM(Z345)="",,(Z345-Z344)/1000)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45" t="n"/>
      <c r="AI345" s="78" t="n"/>
      <c r="AJ345" s="78">
        <f>TABL123[[#This Row],[(A/B) AJD]]-TABL123[[#This Row],[BER_IN]]</f>
        <v/>
      </c>
      <c r="AK345" s="78" t="n"/>
      <c r="AL345" s="68" t="n"/>
      <c r="AM345" s="87" t="n"/>
      <c r="AN345" s="87">
        <f>TABL123[[#This Row],[ (RESV. STORGE) SER]]/10</f>
        <v/>
      </c>
      <c r="AO345" s="45" t="n"/>
      <c r="AP345" s="32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TABL123[[#This Row],[ (T/B) SAR]]+TABL123[[#This Row],[ (S/S) SAR]]</f>
        <v/>
      </c>
      <c r="L346" s="41" t="n"/>
      <c r="M346" s="42" t="n"/>
      <c r="N346" s="42" t="n"/>
      <c r="O346" s="39" t="n"/>
      <c r="P346" s="9">
        <f>TABL123[[#This Row],[ (S/S) SAR]]-TABL123[[#This Row],[(S/S) AJD]]</f>
        <v/>
      </c>
      <c r="Q346" s="39" t="n"/>
      <c r="R346" s="9">
        <f>TABL123[[#This Row],[ (T/B) SAR]]-TABL123[[#This Row],[(T/B) AJD]]</f>
        <v/>
      </c>
      <c r="S346" s="9">
        <f>TABL123[[#This Row],[T/B-CON.]]+TABL123[[#This Row],[S/S_CON.]]</f>
        <v/>
      </c>
      <c r="T346" s="9">
        <f>TABL123[[#This Row],[(S/S) AJD]]+TABL123[[#This Row],[(T/B) AJD]]</f>
        <v/>
      </c>
      <c r="U346" s="41" t="n"/>
      <c r="V346" s="41" t="n"/>
      <c r="W346" s="9">
        <f>TABL123[[#This Row],[(A/B) AJD]]+TABL123[[#This Row],[(A/S) AJD]]</f>
        <v/>
      </c>
      <c r="X346" s="9">
        <f>TABL123[[#This Row],[( S/S+T/B) AJD]]-TABL123[[#This Row],[(A/B + A/S) AJD]]</f>
        <v/>
      </c>
      <c r="Y346" s="41" t="n"/>
      <c r="Z346" s="43" t="n"/>
      <c r="AA346" s="3">
        <f>TABL123[[#This Row],[(RESV. STORGE) AJD]]/10</f>
        <v/>
      </c>
      <c r="AB346" s="45">
        <f>IF(TRIM(Z346)="",,(Z346-Z345)/1000)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48" t="n"/>
      <c r="AI346" s="78" t="n"/>
      <c r="AJ346" s="78">
        <f>TABL123[[#This Row],[(A/B) AJD]]-TABL123[[#This Row],[BER_IN]]</f>
        <v/>
      </c>
      <c r="AK346" s="78" t="n"/>
      <c r="AL346" s="68" t="n"/>
      <c r="AM346" s="87" t="n"/>
      <c r="AN346" s="87">
        <f>TABL123[[#This Row],[ (RESV. STORGE) SER]]/10</f>
        <v/>
      </c>
      <c r="AO346" s="43" t="n"/>
      <c r="AP346" s="32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TABL123[[#This Row],[ (T/B) SAR]]+TABL123[[#This Row],[ (S/S) SAR]]</f>
        <v/>
      </c>
      <c r="L347" s="45" t="n"/>
      <c r="M347" s="46" t="n"/>
      <c r="N347" s="46" t="n"/>
      <c r="O347" s="40" t="n"/>
      <c r="P347" s="9">
        <f>TABL123[[#This Row],[ (S/S) SAR]]-TABL123[[#This Row],[(S/S) AJD]]</f>
        <v/>
      </c>
      <c r="Q347" s="40" t="n"/>
      <c r="R347" s="9">
        <f>TABL123[[#This Row],[ (T/B) SAR]]-TABL123[[#This Row],[(T/B) AJD]]</f>
        <v/>
      </c>
      <c r="S347" s="9">
        <f>TABL123[[#This Row],[T/B-CON.]]+TABL123[[#This Row],[S/S_CON.]]</f>
        <v/>
      </c>
      <c r="T347" s="9">
        <f>TABL123[[#This Row],[(S/S) AJD]]+TABL123[[#This Row],[(T/B) AJD]]</f>
        <v/>
      </c>
      <c r="U347" s="44" t="n"/>
      <c r="V347" s="44" t="n"/>
      <c r="W347" s="9">
        <f>TABL123[[#This Row],[(A/B) AJD]]+TABL123[[#This Row],[(A/S) AJD]]</f>
        <v/>
      </c>
      <c r="X347" s="9">
        <f>TABL123[[#This Row],[( S/S+T/B) AJD]]-TABL123[[#This Row],[(A/B + A/S) AJD]]</f>
        <v/>
      </c>
      <c r="Y347" s="44" t="n"/>
      <c r="Z347" s="45" t="n"/>
      <c r="AA347" s="3">
        <f>TABL123[[#This Row],[(RESV. STORGE) AJD]]/10</f>
        <v/>
      </c>
      <c r="AB347" s="45">
        <f>IF(TRIM(Z347)="",,(Z347-Z346)/1000)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45" t="n"/>
      <c r="AI347" s="78" t="n"/>
      <c r="AJ347" s="78">
        <f>TABL123[[#This Row],[(A/B) AJD]]-TABL123[[#This Row],[BER_IN]]</f>
        <v/>
      </c>
      <c r="AK347" s="78" t="n"/>
      <c r="AL347" s="68" t="n"/>
      <c r="AM347" s="87" t="n"/>
      <c r="AN347" s="87">
        <f>TABL123[[#This Row],[ (RESV. STORGE) SER]]/10</f>
        <v/>
      </c>
      <c r="AO347" s="45" t="n"/>
      <c r="AP347" s="32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TABL123[[#This Row],[ (T/B) SAR]]+TABL123[[#This Row],[ (S/S) SAR]]</f>
        <v/>
      </c>
      <c r="L348" s="41" t="n"/>
      <c r="M348" s="42" t="n"/>
      <c r="N348" s="42" t="n"/>
      <c r="O348" s="39" t="n"/>
      <c r="P348" s="9">
        <f>TABL123[[#This Row],[ (S/S) SAR]]-TABL123[[#This Row],[(S/S) AJD]]</f>
        <v/>
      </c>
      <c r="Q348" s="39" t="n"/>
      <c r="R348" s="9">
        <f>TABL123[[#This Row],[ (T/B) SAR]]-TABL123[[#This Row],[(T/B) AJD]]</f>
        <v/>
      </c>
      <c r="S348" s="9">
        <f>TABL123[[#This Row],[T/B-CON.]]+TABL123[[#This Row],[S/S_CON.]]</f>
        <v/>
      </c>
      <c r="T348" s="9">
        <f>TABL123[[#This Row],[(S/S) AJD]]+TABL123[[#This Row],[(T/B) AJD]]</f>
        <v/>
      </c>
      <c r="U348" s="41" t="n"/>
      <c r="V348" s="41" t="n"/>
      <c r="W348" s="9">
        <f>TABL123[[#This Row],[(A/B) AJD]]+TABL123[[#This Row],[(A/S) AJD]]</f>
        <v/>
      </c>
      <c r="X348" s="9">
        <f>TABL123[[#This Row],[( S/S+T/B) AJD]]-TABL123[[#This Row],[(A/B + A/S) AJD]]</f>
        <v/>
      </c>
      <c r="Y348" s="41" t="n"/>
      <c r="Z348" s="43" t="n"/>
      <c r="AA348" s="3">
        <f>TABL123[[#This Row],[(RESV. STORGE) AJD]]/10</f>
        <v/>
      </c>
      <c r="AB348" s="45">
        <f>IF(TRIM(Z348)="",,(Z348-Z347)/1000)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43" t="n"/>
      <c r="AI348" s="78" t="n"/>
      <c r="AJ348" s="78">
        <f>TABL123[[#This Row],[(A/B) AJD]]-TABL123[[#This Row],[BER_IN]]</f>
        <v/>
      </c>
      <c r="AK348" s="78" t="n"/>
      <c r="AL348" s="68" t="n"/>
      <c r="AM348" s="87" t="n"/>
      <c r="AN348" s="87">
        <f>TABL123[[#This Row],[ (RESV. STORGE) SER]]/10</f>
        <v/>
      </c>
      <c r="AO348" s="43" t="n"/>
      <c r="AP348" s="32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TABL123[[#This Row],[ (T/B) SAR]]+TABL123[[#This Row],[ (S/S) SAR]]</f>
        <v/>
      </c>
      <c r="L349" s="45" t="n"/>
      <c r="M349" s="46" t="n"/>
      <c r="N349" s="46" t="n"/>
      <c r="O349" s="40" t="n"/>
      <c r="P349" s="9">
        <f>TABL123[[#This Row],[ (S/S) SAR]]-TABL123[[#This Row],[(S/S) AJD]]</f>
        <v/>
      </c>
      <c r="Q349" s="40" t="n"/>
      <c r="R349" s="9">
        <f>TABL123[[#This Row],[ (T/B) SAR]]-TABL123[[#This Row],[(T/B) AJD]]</f>
        <v/>
      </c>
      <c r="S349" s="9">
        <f>TABL123[[#This Row],[T/B-CON.]]+TABL123[[#This Row],[S/S_CON.]]</f>
        <v/>
      </c>
      <c r="T349" s="9">
        <f>TABL123[[#This Row],[(S/S) AJD]]+TABL123[[#This Row],[(T/B) AJD]]</f>
        <v/>
      </c>
      <c r="U349" s="44" t="n"/>
      <c r="V349" s="44" t="n"/>
      <c r="W349" s="9">
        <f>TABL123[[#This Row],[(A/B) AJD]]+TABL123[[#This Row],[(A/S) AJD]]</f>
        <v/>
      </c>
      <c r="X349" s="9">
        <f>TABL123[[#This Row],[( S/S+T/B) AJD]]-TABL123[[#This Row],[(A/B + A/S) AJD]]</f>
        <v/>
      </c>
      <c r="Y349" s="44" t="n"/>
      <c r="Z349" s="45" t="n"/>
      <c r="AA349" s="3">
        <f>TABL123[[#This Row],[(RESV. STORGE) AJD]]/10</f>
        <v/>
      </c>
      <c r="AB349" s="45">
        <f>IF(TRIM(Z349)="",,(Z349-Z348)/1000)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45" t="n"/>
      <c r="AI349" s="78" t="n"/>
      <c r="AJ349" s="78">
        <f>TABL123[[#This Row],[(A/B) AJD]]-TABL123[[#This Row],[BER_IN]]</f>
        <v/>
      </c>
      <c r="AK349" s="78" t="n"/>
      <c r="AL349" s="68" t="n"/>
      <c r="AM349" s="87" t="n"/>
      <c r="AN349" s="87">
        <f>TABL123[[#This Row],[ (RESV. STORGE) SER]]/10</f>
        <v/>
      </c>
      <c r="AO349" s="45" t="n"/>
      <c r="AP349" s="32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TABL123[[#This Row],[ (T/B) SAR]]+TABL123[[#This Row],[ (S/S) SAR]]</f>
        <v/>
      </c>
      <c r="L350" s="41" t="n"/>
      <c r="M350" s="42" t="n"/>
      <c r="N350" s="42" t="n"/>
      <c r="O350" s="39" t="n"/>
      <c r="P350" s="9">
        <f>TABL123[[#This Row],[ (S/S) SAR]]-TABL123[[#This Row],[(S/S) AJD]]</f>
        <v/>
      </c>
      <c r="Q350" s="39" t="n"/>
      <c r="R350" s="9">
        <f>TABL123[[#This Row],[ (T/B) SAR]]-TABL123[[#This Row],[(T/B) AJD]]</f>
        <v/>
      </c>
      <c r="S350" s="9">
        <f>TABL123[[#This Row],[T/B-CON.]]+TABL123[[#This Row],[S/S_CON.]]</f>
        <v/>
      </c>
      <c r="T350" s="9">
        <f>TABL123[[#This Row],[(S/S) AJD]]+TABL123[[#This Row],[(T/B) AJD]]</f>
        <v/>
      </c>
      <c r="U350" s="41" t="n"/>
      <c r="V350" s="41" t="n"/>
      <c r="W350" s="9">
        <f>TABL123[[#This Row],[(A/B) AJD]]+TABL123[[#This Row],[(A/S) AJD]]</f>
        <v/>
      </c>
      <c r="X350" s="9">
        <f>TABL123[[#This Row],[( S/S+T/B) AJD]]-TABL123[[#This Row],[(A/B + A/S) AJD]]</f>
        <v/>
      </c>
      <c r="Y350" s="41" t="n"/>
      <c r="Z350" s="43" t="n"/>
      <c r="AA350" s="3">
        <f>TABL123[[#This Row],[(RESV. STORGE) AJD]]/10</f>
        <v/>
      </c>
      <c r="AB350" s="45">
        <f>IF(TRIM(Z350)="",,(Z350-Z349)/1000)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43" t="n"/>
      <c r="AI350" s="78" t="n"/>
      <c r="AJ350" s="78">
        <f>TABL123[[#This Row],[(A/B) AJD]]-TABL123[[#This Row],[BER_IN]]</f>
        <v/>
      </c>
      <c r="AK350" s="78" t="n"/>
      <c r="AL350" s="68" t="n"/>
      <c r="AM350" s="87" t="n"/>
      <c r="AN350" s="87">
        <f>TABL123[[#This Row],[ (RESV. STORGE) SER]]/10</f>
        <v/>
      </c>
      <c r="AO350" s="43" t="n"/>
      <c r="AP350" s="32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TABL123[[#This Row],[ (T/B) SAR]]+TABL123[[#This Row],[ (S/S) SAR]]</f>
        <v/>
      </c>
      <c r="L351" s="45" t="n"/>
      <c r="M351" s="46" t="n"/>
      <c r="N351" s="46" t="n"/>
      <c r="O351" s="40" t="n"/>
      <c r="P351" s="9">
        <f>TABL123[[#This Row],[ (S/S) SAR]]-TABL123[[#This Row],[(S/S) AJD]]</f>
        <v/>
      </c>
      <c r="Q351" s="40" t="n"/>
      <c r="R351" s="9">
        <f>TABL123[[#This Row],[ (T/B) SAR]]-TABL123[[#This Row],[(T/B) AJD]]</f>
        <v/>
      </c>
      <c r="S351" s="9">
        <f>TABL123[[#This Row],[T/B-CON.]]+TABL123[[#This Row],[S/S_CON.]]</f>
        <v/>
      </c>
      <c r="T351" s="9">
        <f>TABL123[[#This Row],[(S/S) AJD]]+TABL123[[#This Row],[(T/B) AJD]]</f>
        <v/>
      </c>
      <c r="U351" s="44" t="n"/>
      <c r="V351" s="44" t="n"/>
      <c r="W351" s="9">
        <f>TABL123[[#This Row],[(A/B) AJD]]+TABL123[[#This Row],[(A/S) AJD]]</f>
        <v/>
      </c>
      <c r="X351" s="9">
        <f>TABL123[[#This Row],[( S/S+T/B) AJD]]-TABL123[[#This Row],[(A/B + A/S) AJD]]</f>
        <v/>
      </c>
      <c r="Y351" s="44" t="n"/>
      <c r="Z351" s="45" t="n"/>
      <c r="AA351" s="3">
        <f>TABL123[[#This Row],[(RESV. STORGE) AJD]]/10</f>
        <v/>
      </c>
      <c r="AB351" s="45">
        <f>IF(TRIM(Z351)="",,(Z351-Z350)/1000)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45" t="n"/>
      <c r="AI351" s="78" t="n"/>
      <c r="AJ351" s="78">
        <f>TABL123[[#This Row],[(A/B) AJD]]-TABL123[[#This Row],[BER_IN]]</f>
        <v/>
      </c>
      <c r="AK351" s="78" t="n"/>
      <c r="AL351" s="68" t="n"/>
      <c r="AM351" s="87" t="n"/>
      <c r="AN351" s="87">
        <f>TABL123[[#This Row],[ (RESV. STORGE) SER]]/10</f>
        <v/>
      </c>
      <c r="AO351" s="45" t="n"/>
      <c r="AP351" s="32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TABL123[[#This Row],[ (T/B) SAR]]+TABL123[[#This Row],[ (S/S) SAR]]</f>
        <v/>
      </c>
      <c r="L352" s="41" t="n"/>
      <c r="M352" s="42" t="n"/>
      <c r="N352" s="42" t="n"/>
      <c r="O352" s="39" t="n"/>
      <c r="P352" s="9">
        <f>TABL123[[#This Row],[ (S/S) SAR]]-TABL123[[#This Row],[(S/S) AJD]]</f>
        <v/>
      </c>
      <c r="Q352" s="39" t="n"/>
      <c r="R352" s="9">
        <f>TABL123[[#This Row],[ (T/B) SAR]]-TABL123[[#This Row],[(T/B) AJD]]</f>
        <v/>
      </c>
      <c r="S352" s="9">
        <f>TABL123[[#This Row],[T/B-CON.]]+TABL123[[#This Row],[S/S_CON.]]</f>
        <v/>
      </c>
      <c r="T352" s="9">
        <f>TABL123[[#This Row],[(S/S) AJD]]+TABL123[[#This Row],[(T/B) AJD]]</f>
        <v/>
      </c>
      <c r="U352" s="41" t="n"/>
      <c r="V352" s="41" t="n"/>
      <c r="W352" s="9">
        <f>TABL123[[#This Row],[(A/B) AJD]]+TABL123[[#This Row],[(A/S) AJD]]</f>
        <v/>
      </c>
      <c r="X352" s="9">
        <f>TABL123[[#This Row],[( S/S+T/B) AJD]]-TABL123[[#This Row],[(A/B + A/S) AJD]]</f>
        <v/>
      </c>
      <c r="Y352" s="41" t="n"/>
      <c r="Z352" s="43" t="n"/>
      <c r="AA352" s="3">
        <f>TABL123[[#This Row],[(RESV. STORGE) AJD]]/10</f>
        <v/>
      </c>
      <c r="AB352" s="45">
        <f>IF(TRIM(Z352)="",,(Z352-Z351)/1000)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43" t="n"/>
      <c r="AI352" s="78" t="n"/>
      <c r="AJ352" s="78">
        <f>TABL123[[#This Row],[(A/B) AJD]]-TABL123[[#This Row],[BER_IN]]</f>
        <v/>
      </c>
      <c r="AK352" s="78" t="n"/>
      <c r="AL352" s="68" t="n"/>
      <c r="AM352" s="87" t="n"/>
      <c r="AN352" s="87">
        <f>TABL123[[#This Row],[ (RESV. STORGE) SER]]/10</f>
        <v/>
      </c>
      <c r="AO352" s="43" t="n"/>
      <c r="AP352" s="32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TABL123[[#This Row],[ (T/B) SAR]]+TABL123[[#This Row],[ (S/S) SAR]]</f>
        <v/>
      </c>
      <c r="L353" s="45" t="n"/>
      <c r="M353" s="46" t="n"/>
      <c r="N353" s="46" t="n"/>
      <c r="O353" s="40" t="n"/>
      <c r="P353" s="9">
        <f>TABL123[[#This Row],[ (S/S) SAR]]-TABL123[[#This Row],[(S/S) AJD]]</f>
        <v/>
      </c>
      <c r="Q353" s="40" t="n"/>
      <c r="R353" s="9">
        <f>TABL123[[#This Row],[ (T/B) SAR]]-TABL123[[#This Row],[(T/B) AJD]]</f>
        <v/>
      </c>
      <c r="S353" s="9">
        <f>TABL123[[#This Row],[T/B-CON.]]+TABL123[[#This Row],[S/S_CON.]]</f>
        <v/>
      </c>
      <c r="T353" s="9">
        <f>TABL123[[#This Row],[(S/S) AJD]]+TABL123[[#This Row],[(T/B) AJD]]</f>
        <v/>
      </c>
      <c r="U353" s="44" t="n"/>
      <c r="V353" s="44" t="n"/>
      <c r="W353" s="9">
        <f>TABL123[[#This Row],[(A/B) AJD]]+TABL123[[#This Row],[(A/S) AJD]]</f>
        <v/>
      </c>
      <c r="X353" s="9">
        <f>TABL123[[#This Row],[( S/S+T/B) AJD]]-TABL123[[#This Row],[(A/B + A/S) AJD]]</f>
        <v/>
      </c>
      <c r="Y353" s="44" t="n"/>
      <c r="Z353" s="45" t="n"/>
      <c r="AA353" s="3">
        <f>TABL123[[#This Row],[(RESV. STORGE) AJD]]/10</f>
        <v/>
      </c>
      <c r="AB353" s="45">
        <f>IF(TRIM(Z353)="",,(Z353-Z352)/1000)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45" t="n"/>
      <c r="AI353" s="78" t="n"/>
      <c r="AJ353" s="78">
        <f>TABL123[[#This Row],[(A/B) AJD]]-TABL123[[#This Row],[BER_IN]]</f>
        <v/>
      </c>
      <c r="AK353" s="78" t="n"/>
      <c r="AL353" s="68" t="n"/>
      <c r="AM353" s="87" t="n"/>
      <c r="AN353" s="87">
        <f>TABL123[[#This Row],[ (RESV. STORGE) SER]]/10</f>
        <v/>
      </c>
      <c r="AO353" s="45" t="n"/>
      <c r="AP353" s="32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TABL123[[#This Row],[ (T/B) SAR]]+TABL123[[#This Row],[ (S/S) SAR]]</f>
        <v/>
      </c>
      <c r="L354" s="41" t="n"/>
      <c r="M354" s="42" t="n"/>
      <c r="N354" s="42" t="n"/>
      <c r="O354" s="39" t="n"/>
      <c r="P354" s="9">
        <f>TABL123[[#This Row],[ (S/S) SAR]]-TABL123[[#This Row],[(S/S) AJD]]</f>
        <v/>
      </c>
      <c r="Q354" s="39" t="n"/>
      <c r="R354" s="9">
        <f>TABL123[[#This Row],[ (T/B) SAR]]-TABL123[[#This Row],[(T/B) AJD]]</f>
        <v/>
      </c>
      <c r="S354" s="9">
        <f>TABL123[[#This Row],[T/B-CON.]]+TABL123[[#This Row],[S/S_CON.]]</f>
        <v/>
      </c>
      <c r="T354" s="9">
        <f>TABL123[[#This Row],[(S/S) AJD]]+TABL123[[#This Row],[(T/B) AJD]]</f>
        <v/>
      </c>
      <c r="U354" s="41" t="n"/>
      <c r="V354" s="41" t="n"/>
      <c r="W354" s="9">
        <f>TABL123[[#This Row],[(A/B) AJD]]+TABL123[[#This Row],[(A/S) AJD]]</f>
        <v/>
      </c>
      <c r="X354" s="9">
        <f>TABL123[[#This Row],[( S/S+T/B) AJD]]-TABL123[[#This Row],[(A/B + A/S) AJD]]</f>
        <v/>
      </c>
      <c r="Y354" s="41" t="n"/>
      <c r="Z354" s="43" t="n"/>
      <c r="AA354" s="3">
        <f>TABL123[[#This Row],[(RESV. STORGE) AJD]]/10</f>
        <v/>
      </c>
      <c r="AB354" s="45">
        <f>IF(TRIM(Z354)="",,(Z354-Z353)/1000)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43" t="n"/>
      <c r="AI354" s="78" t="n"/>
      <c r="AJ354" s="78">
        <f>TABL123[[#This Row],[(A/B) AJD]]-TABL123[[#This Row],[BER_IN]]</f>
        <v/>
      </c>
      <c r="AK354" s="78" t="n"/>
      <c r="AL354" s="68" t="n"/>
      <c r="AM354" s="87" t="n"/>
      <c r="AN354" s="87">
        <f>TABL123[[#This Row],[ (RESV. STORGE) SER]]/10</f>
        <v/>
      </c>
      <c r="AO354" s="43" t="n"/>
      <c r="AP354" s="32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TABL123[[#This Row],[ (T/B) SAR]]+TABL123[[#This Row],[ (S/S) SAR]]</f>
        <v/>
      </c>
      <c r="L355" s="45" t="n"/>
      <c r="M355" s="46" t="n"/>
      <c r="N355" s="46" t="n"/>
      <c r="O355" s="40" t="n"/>
      <c r="P355" s="9">
        <f>TABL123[[#This Row],[ (S/S) SAR]]-TABL123[[#This Row],[(S/S) AJD]]</f>
        <v/>
      </c>
      <c r="Q355" s="40" t="n"/>
      <c r="R355" s="9">
        <f>TABL123[[#This Row],[ (T/B) SAR]]-TABL123[[#This Row],[(T/B) AJD]]</f>
        <v/>
      </c>
      <c r="S355" s="9">
        <f>TABL123[[#This Row],[T/B-CON.]]+TABL123[[#This Row],[S/S_CON.]]</f>
        <v/>
      </c>
      <c r="T355" s="9">
        <f>TABL123[[#This Row],[(S/S) AJD]]+TABL123[[#This Row],[(T/B) AJD]]</f>
        <v/>
      </c>
      <c r="U355" s="44" t="n"/>
      <c r="V355" s="44" t="n"/>
      <c r="W355" s="9">
        <f>TABL123[[#This Row],[(A/B) AJD]]+TABL123[[#This Row],[(A/S) AJD]]</f>
        <v/>
      </c>
      <c r="X355" s="9">
        <f>TABL123[[#This Row],[( S/S+T/B) AJD]]-TABL123[[#This Row],[(A/B + A/S) AJD]]</f>
        <v/>
      </c>
      <c r="Y355" s="44" t="n"/>
      <c r="Z355" s="45" t="n"/>
      <c r="AA355" s="3">
        <f>TABL123[[#This Row],[(RESV. STORGE) AJD]]/10</f>
        <v/>
      </c>
      <c r="AB355" s="45">
        <f>IF(TRIM(Z355)="",,(Z355-Z354)/1000)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45" t="n"/>
      <c r="AI355" s="78" t="n"/>
      <c r="AJ355" s="78">
        <f>TABL123[[#This Row],[(A/B) AJD]]-TABL123[[#This Row],[BER_IN]]</f>
        <v/>
      </c>
      <c r="AK355" s="78" t="n"/>
      <c r="AL355" s="68" t="n"/>
      <c r="AM355" s="87" t="n"/>
      <c r="AN355" s="87">
        <f>TABL123[[#This Row],[ (RESV. STORGE) SER]]/10</f>
        <v/>
      </c>
      <c r="AO355" s="45" t="n"/>
      <c r="AP355" s="32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TABL123[[#This Row],[ (T/B) SAR]]+TABL123[[#This Row],[ (S/S) SAR]]</f>
        <v/>
      </c>
      <c r="L356" s="41" t="n"/>
      <c r="M356" s="42" t="n"/>
      <c r="N356" s="42" t="n"/>
      <c r="O356" s="39" t="n"/>
      <c r="P356" s="9">
        <f>TABL123[[#This Row],[ (S/S) SAR]]-TABL123[[#This Row],[(S/S) AJD]]</f>
        <v/>
      </c>
      <c r="Q356" s="39" t="n"/>
      <c r="R356" s="9">
        <f>TABL123[[#This Row],[ (T/B) SAR]]-TABL123[[#This Row],[(T/B) AJD]]</f>
        <v/>
      </c>
      <c r="S356" s="9">
        <f>TABL123[[#This Row],[T/B-CON.]]+TABL123[[#This Row],[S/S_CON.]]</f>
        <v/>
      </c>
      <c r="T356" s="9">
        <f>TABL123[[#This Row],[(S/S) AJD]]+TABL123[[#This Row],[(T/B) AJD]]</f>
        <v/>
      </c>
      <c r="U356" s="41" t="n"/>
      <c r="V356" s="41" t="n"/>
      <c r="W356" s="9">
        <f>TABL123[[#This Row],[(A/B) AJD]]+TABL123[[#This Row],[(A/S) AJD]]</f>
        <v/>
      </c>
      <c r="X356" s="9">
        <f>TABL123[[#This Row],[( S/S+T/B) AJD]]-TABL123[[#This Row],[(A/B + A/S) AJD]]</f>
        <v/>
      </c>
      <c r="Y356" s="41" t="n"/>
      <c r="Z356" s="43" t="n"/>
      <c r="AA356" s="3">
        <f>TABL123[[#This Row],[(RESV. STORGE) AJD]]/10</f>
        <v/>
      </c>
      <c r="AB356" s="45">
        <f>IF(TRIM(Z356)="",,(Z356-Z355)/1000)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43" t="n"/>
      <c r="AI356" s="78" t="n"/>
      <c r="AJ356" s="78">
        <f>TABL123[[#This Row],[(A/B) AJD]]-TABL123[[#This Row],[BER_IN]]</f>
        <v/>
      </c>
      <c r="AK356" s="78" t="n"/>
      <c r="AL356" s="68" t="n"/>
      <c r="AM356" s="87" t="n"/>
      <c r="AN356" s="87">
        <f>TABL123[[#This Row],[ (RESV. STORGE) SER]]/10</f>
        <v/>
      </c>
      <c r="AO356" s="43" t="n"/>
      <c r="AP356" s="32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TABL123[[#This Row],[ (T/B) SAR]]+TABL123[[#This Row],[ (S/S) SAR]]</f>
        <v/>
      </c>
      <c r="L357" s="45" t="n"/>
      <c r="M357" s="46" t="n"/>
      <c r="N357" s="46" t="n"/>
      <c r="O357" s="40" t="n"/>
      <c r="P357" s="9">
        <f>TABL123[[#This Row],[ (S/S) SAR]]-TABL123[[#This Row],[(S/S) AJD]]</f>
        <v/>
      </c>
      <c r="Q357" s="40" t="n"/>
      <c r="R357" s="9">
        <f>TABL123[[#This Row],[ (T/B) SAR]]-TABL123[[#This Row],[(T/B) AJD]]</f>
        <v/>
      </c>
      <c r="S357" s="9">
        <f>TABL123[[#This Row],[T/B-CON.]]+TABL123[[#This Row],[S/S_CON.]]</f>
        <v/>
      </c>
      <c r="T357" s="9">
        <f>TABL123[[#This Row],[(S/S) AJD]]+TABL123[[#This Row],[(T/B) AJD]]</f>
        <v/>
      </c>
      <c r="U357" s="44" t="n"/>
      <c r="V357" s="44" t="n"/>
      <c r="W357" s="9">
        <f>TABL123[[#This Row],[(A/B) AJD]]+TABL123[[#This Row],[(A/S) AJD]]</f>
        <v/>
      </c>
      <c r="X357" s="9">
        <f>TABL123[[#This Row],[( S/S+T/B) AJD]]-TABL123[[#This Row],[(A/B + A/S) AJD]]</f>
        <v/>
      </c>
      <c r="Y357" s="44" t="n"/>
      <c r="Z357" s="45" t="n"/>
      <c r="AA357" s="3">
        <f>TABL123[[#This Row],[(RESV. STORGE) AJD]]/10</f>
        <v/>
      </c>
      <c r="AB357" s="45">
        <f>IF(TRIM(Z357)="",,(Z357-Z356)/1000)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45" t="n"/>
      <c r="AI357" s="78" t="n"/>
      <c r="AJ357" s="78">
        <f>TABL123[[#This Row],[(A/B) AJD]]-TABL123[[#This Row],[BER_IN]]</f>
        <v/>
      </c>
      <c r="AK357" s="78" t="n"/>
      <c r="AL357" s="68" t="n"/>
      <c r="AM357" s="87" t="n"/>
      <c r="AN357" s="87">
        <f>TABL123[[#This Row],[ (RESV. STORGE) SER]]/10</f>
        <v/>
      </c>
      <c r="AO357" s="45" t="n"/>
      <c r="AP357" s="32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TABL123[[#This Row],[ (T/B) SAR]]+TABL123[[#This Row],[ (S/S) SAR]]</f>
        <v/>
      </c>
      <c r="L358" s="41" t="n"/>
      <c r="M358" s="42" t="n"/>
      <c r="N358" s="42" t="n"/>
      <c r="O358" s="39" t="n"/>
      <c r="P358" s="9">
        <f>TABL123[[#This Row],[ (S/S) SAR]]-TABL123[[#This Row],[(S/S) AJD]]</f>
        <v/>
      </c>
      <c r="Q358" s="39" t="n"/>
      <c r="R358" s="9">
        <f>TABL123[[#This Row],[ (T/B) SAR]]-TABL123[[#This Row],[(T/B) AJD]]</f>
        <v/>
      </c>
      <c r="S358" s="9">
        <f>TABL123[[#This Row],[T/B-CON.]]+TABL123[[#This Row],[S/S_CON.]]</f>
        <v/>
      </c>
      <c r="T358" s="9">
        <f>TABL123[[#This Row],[(S/S) AJD]]+TABL123[[#This Row],[(T/B) AJD]]</f>
        <v/>
      </c>
      <c r="U358" s="41" t="n"/>
      <c r="V358" s="41" t="n"/>
      <c r="W358" s="9">
        <f>TABL123[[#This Row],[(A/B) AJD]]+TABL123[[#This Row],[(A/S) AJD]]</f>
        <v/>
      </c>
      <c r="X358" s="9">
        <f>TABL123[[#This Row],[( S/S+T/B) AJD]]-TABL123[[#This Row],[(A/B + A/S) AJD]]</f>
        <v/>
      </c>
      <c r="Y358" s="41" t="n"/>
      <c r="Z358" s="43" t="n"/>
      <c r="AA358" s="3">
        <f>TABL123[[#This Row],[(RESV. STORGE) AJD]]/10</f>
        <v/>
      </c>
      <c r="AB358" s="45">
        <f>IF(TRIM(Z358)="",,(Z358-Z357)/1000)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43" t="n"/>
      <c r="AI358" s="78" t="n"/>
      <c r="AJ358" s="78">
        <f>TABL123[[#This Row],[(A/B) AJD]]-TABL123[[#This Row],[BER_IN]]</f>
        <v/>
      </c>
      <c r="AK358" s="78" t="n"/>
      <c r="AL358" s="68" t="n"/>
      <c r="AM358" s="87" t="n"/>
      <c r="AN358" s="87">
        <f>TABL123[[#This Row],[ (RESV. STORGE) SER]]/10</f>
        <v/>
      </c>
      <c r="AO358" s="43" t="n"/>
      <c r="AP358" s="32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TABL123[[#This Row],[ (T/B) SAR]]+TABL123[[#This Row],[ (S/S) SAR]]</f>
        <v/>
      </c>
      <c r="L359" s="45" t="n"/>
      <c r="M359" s="46" t="n"/>
      <c r="N359" s="46" t="n"/>
      <c r="O359" s="40" t="n"/>
      <c r="P359" s="9">
        <f>TABL123[[#This Row],[ (S/S) SAR]]-TABL123[[#This Row],[(S/S) AJD]]</f>
        <v/>
      </c>
      <c r="Q359" s="40" t="n"/>
      <c r="R359" s="9">
        <f>TABL123[[#This Row],[ (T/B) SAR]]-TABL123[[#This Row],[(T/B) AJD]]</f>
        <v/>
      </c>
      <c r="S359" s="9">
        <f>TABL123[[#This Row],[T/B-CON.]]+TABL123[[#This Row],[S/S_CON.]]</f>
        <v/>
      </c>
      <c r="T359" s="9">
        <f>TABL123[[#This Row],[(S/S) AJD]]+TABL123[[#This Row],[(T/B) AJD]]</f>
        <v/>
      </c>
      <c r="U359" s="44" t="n"/>
      <c r="V359" s="44" t="n"/>
      <c r="W359" s="9">
        <f>TABL123[[#This Row],[(A/B) AJD]]+TABL123[[#This Row],[(A/S) AJD]]</f>
        <v/>
      </c>
      <c r="X359" s="9">
        <f>TABL123[[#This Row],[( S/S+T/B) AJD]]-TABL123[[#This Row],[(A/B + A/S) AJD]]</f>
        <v/>
      </c>
      <c r="Y359" s="44" t="n"/>
      <c r="Z359" s="45" t="n"/>
      <c r="AA359" s="3">
        <f>TABL123[[#This Row],[(RESV. STORGE) AJD]]/10</f>
        <v/>
      </c>
      <c r="AB359" s="45">
        <f>IF(TRIM(Z359)="",,(Z359-Z358)/1000)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45" t="n"/>
      <c r="AI359" s="78" t="n"/>
      <c r="AJ359" s="78">
        <f>TABL123[[#This Row],[(A/B) AJD]]-TABL123[[#This Row],[BER_IN]]</f>
        <v/>
      </c>
      <c r="AK359" s="78" t="n"/>
      <c r="AL359" s="68" t="n"/>
      <c r="AM359" s="87" t="n"/>
      <c r="AN359" s="87">
        <f>TABL123[[#This Row],[ (RESV. STORGE) SER]]/10</f>
        <v/>
      </c>
      <c r="AO359" s="45" t="n"/>
      <c r="AP359" s="32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TABL123[[#This Row],[ (T/B) SAR]]+TABL123[[#This Row],[ (S/S) SAR]]</f>
        <v/>
      </c>
      <c r="L360" s="41" t="n"/>
      <c r="M360" s="42" t="n"/>
      <c r="N360" s="42" t="n"/>
      <c r="O360" s="39" t="n"/>
      <c r="P360" s="9">
        <f>TABL123[[#This Row],[ (S/S) SAR]]-TABL123[[#This Row],[(S/S) AJD]]</f>
        <v/>
      </c>
      <c r="Q360" s="39" t="n"/>
      <c r="R360" s="9">
        <f>TABL123[[#This Row],[ (T/B) SAR]]-TABL123[[#This Row],[(T/B) AJD]]</f>
        <v/>
      </c>
      <c r="S360" s="9">
        <f>TABL123[[#This Row],[T/B-CON.]]+TABL123[[#This Row],[S/S_CON.]]</f>
        <v/>
      </c>
      <c r="T360" s="9">
        <f>TABL123[[#This Row],[(S/S) AJD]]+TABL123[[#This Row],[(T/B) AJD]]</f>
        <v/>
      </c>
      <c r="U360" s="41" t="n"/>
      <c r="V360" s="41" t="n"/>
      <c r="W360" s="9">
        <f>TABL123[[#This Row],[(A/B) AJD]]+TABL123[[#This Row],[(A/S) AJD]]</f>
        <v/>
      </c>
      <c r="X360" s="9">
        <f>TABL123[[#This Row],[( S/S+T/B) AJD]]-TABL123[[#This Row],[(A/B + A/S) AJD]]</f>
        <v/>
      </c>
      <c r="Y360" s="41" t="n"/>
      <c r="Z360" s="43" t="n"/>
      <c r="AA360" s="3">
        <f>TABL123[[#This Row],[(RESV. STORGE) AJD]]/10</f>
        <v/>
      </c>
      <c r="AB360" s="45">
        <f>IF(TRIM(Z360)="",,(Z360-Z359)/1000)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43" t="n"/>
      <c r="AI360" s="78" t="n"/>
      <c r="AJ360" s="78">
        <f>TABL123[[#This Row],[(A/B) AJD]]-TABL123[[#This Row],[BER_IN]]</f>
        <v/>
      </c>
      <c r="AK360" s="78" t="n"/>
      <c r="AL360" s="68" t="n"/>
      <c r="AM360" s="87" t="n"/>
      <c r="AN360" s="87">
        <f>TABL123[[#This Row],[ (RESV. STORGE) SER]]/10</f>
        <v/>
      </c>
      <c r="AO360" s="43" t="n"/>
      <c r="AP360" s="32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TABL123[[#This Row],[ (T/B) SAR]]+TABL123[[#This Row],[ (S/S) SAR]]</f>
        <v/>
      </c>
      <c r="L361" s="45" t="n"/>
      <c r="M361" s="46" t="n"/>
      <c r="N361" s="46" t="n"/>
      <c r="O361" s="40" t="n"/>
      <c r="P361" s="9">
        <f>TABL123[[#This Row],[ (S/S) SAR]]-TABL123[[#This Row],[(S/S) AJD]]</f>
        <v/>
      </c>
      <c r="Q361" s="40" t="n"/>
      <c r="R361" s="9">
        <f>TABL123[[#This Row],[ (T/B) SAR]]-TABL123[[#This Row],[(T/B) AJD]]</f>
        <v/>
      </c>
      <c r="S361" s="9">
        <f>TABL123[[#This Row],[T/B-CON.]]+TABL123[[#This Row],[S/S_CON.]]</f>
        <v/>
      </c>
      <c r="T361" s="9">
        <f>TABL123[[#This Row],[(S/S) AJD]]+TABL123[[#This Row],[(T/B) AJD]]</f>
        <v/>
      </c>
      <c r="U361" s="44" t="n"/>
      <c r="V361" s="44" t="n"/>
      <c r="W361" s="9">
        <f>TABL123[[#This Row],[(A/B) AJD]]+TABL123[[#This Row],[(A/S) AJD]]</f>
        <v/>
      </c>
      <c r="X361" s="9">
        <f>TABL123[[#This Row],[( S/S+T/B) AJD]]-TABL123[[#This Row],[(A/B + A/S) AJD]]</f>
        <v/>
      </c>
      <c r="Y361" s="44" t="n"/>
      <c r="Z361" s="45" t="n"/>
      <c r="AA361" s="3">
        <f>TABL123[[#This Row],[(RESV. STORGE) AJD]]/10</f>
        <v/>
      </c>
      <c r="AB361" s="45">
        <f>IF(TRIM(Z361)="",,(Z361-Z360)/1000)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45" t="n"/>
      <c r="AI361" s="78" t="n"/>
      <c r="AJ361" s="78">
        <f>TABL123[[#This Row],[(A/B) AJD]]-TABL123[[#This Row],[BER_IN]]</f>
        <v/>
      </c>
      <c r="AK361" s="78" t="n"/>
      <c r="AL361" s="68" t="n"/>
      <c r="AM361" s="87" t="n"/>
      <c r="AN361" s="87">
        <f>TABL123[[#This Row],[ (RESV. STORGE) SER]]/10</f>
        <v/>
      </c>
      <c r="AO361" s="45" t="n"/>
      <c r="AP361" s="32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TABL123[[#This Row],[ (T/B) SAR]]+TABL123[[#This Row],[ (S/S) SAR]]</f>
        <v/>
      </c>
      <c r="L362" s="41" t="n"/>
      <c r="M362" s="42" t="n"/>
      <c r="N362" s="42" t="n"/>
      <c r="O362" s="39" t="n"/>
      <c r="P362" s="9">
        <f>TABL123[[#This Row],[ (S/S) SAR]]-TABL123[[#This Row],[(S/S) AJD]]</f>
        <v/>
      </c>
      <c r="Q362" s="39" t="n"/>
      <c r="R362" s="9">
        <f>TABL123[[#This Row],[ (T/B) SAR]]-TABL123[[#This Row],[(T/B) AJD]]</f>
        <v/>
      </c>
      <c r="S362" s="9">
        <f>TABL123[[#This Row],[T/B-CON.]]+TABL123[[#This Row],[S/S_CON.]]</f>
        <v/>
      </c>
      <c r="T362" s="9">
        <f>TABL123[[#This Row],[(S/S) AJD]]+TABL123[[#This Row],[(T/B) AJD]]</f>
        <v/>
      </c>
      <c r="U362" s="41" t="n"/>
      <c r="V362" s="41" t="n"/>
      <c r="W362" s="9">
        <f>TABL123[[#This Row],[(A/B) AJD]]+TABL123[[#This Row],[(A/S) AJD]]</f>
        <v/>
      </c>
      <c r="X362" s="9">
        <f>TABL123[[#This Row],[( S/S+T/B) AJD]]-TABL123[[#This Row],[(A/B + A/S) AJD]]</f>
        <v/>
      </c>
      <c r="Y362" s="41" t="n"/>
      <c r="Z362" s="43" t="n"/>
      <c r="AA362" s="3">
        <f>TABL123[[#This Row],[(RESV. STORGE) AJD]]/10</f>
        <v/>
      </c>
      <c r="AB362" s="45">
        <f>IF(TRIM(Z362)="",,(Z362-Z361)/1000)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43" t="n"/>
      <c r="AI362" s="78" t="n"/>
      <c r="AJ362" s="78">
        <f>TABL123[[#This Row],[(A/B) AJD]]-TABL123[[#This Row],[BER_IN]]</f>
        <v/>
      </c>
      <c r="AK362" s="78" t="n"/>
      <c r="AL362" s="68" t="n"/>
      <c r="AM362" s="87" t="n"/>
      <c r="AN362" s="87">
        <f>TABL123[[#This Row],[ (RESV. STORGE) SER]]/10</f>
        <v/>
      </c>
      <c r="AO362" s="43" t="n"/>
      <c r="AP362" s="32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TABL123[[#This Row],[ (T/B) SAR]]+TABL123[[#This Row],[ (S/S) SAR]]</f>
        <v/>
      </c>
      <c r="L363" s="45" t="n"/>
      <c r="M363" s="46" t="n"/>
      <c r="N363" s="46" t="n"/>
      <c r="O363" s="40" t="n"/>
      <c r="P363" s="9">
        <f>TABL123[[#This Row],[ (S/S) SAR]]-TABL123[[#This Row],[(S/S) AJD]]</f>
        <v/>
      </c>
      <c r="Q363" s="40" t="n"/>
      <c r="R363" s="9">
        <f>TABL123[[#This Row],[ (T/B) SAR]]-TABL123[[#This Row],[(T/B) AJD]]</f>
        <v/>
      </c>
      <c r="S363" s="9">
        <f>TABL123[[#This Row],[T/B-CON.]]+TABL123[[#This Row],[S/S_CON.]]</f>
        <v/>
      </c>
      <c r="T363" s="9">
        <f>TABL123[[#This Row],[(S/S) AJD]]+TABL123[[#This Row],[(T/B) AJD]]</f>
        <v/>
      </c>
      <c r="U363" s="44" t="n"/>
      <c r="V363" s="44" t="n"/>
      <c r="W363" s="9">
        <f>TABL123[[#This Row],[(A/B) AJD]]+TABL123[[#This Row],[(A/S) AJD]]</f>
        <v/>
      </c>
      <c r="X363" s="9">
        <f>TABL123[[#This Row],[( S/S+T/B) AJD]]-TABL123[[#This Row],[(A/B + A/S) AJD]]</f>
        <v/>
      </c>
      <c r="Y363" s="44" t="n"/>
      <c r="Z363" s="45" t="n"/>
      <c r="AA363" s="3">
        <f>TABL123[[#This Row],[(RESV. STORGE) AJD]]/10</f>
        <v/>
      </c>
      <c r="AB363" s="45">
        <f>IF(TRIM(Z363)="",,(Z363-Z362)/1000)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45" t="n"/>
      <c r="AI363" s="78" t="n"/>
      <c r="AJ363" s="78">
        <f>TABL123[[#This Row],[(A/B) AJD]]-TABL123[[#This Row],[BER_IN]]</f>
        <v/>
      </c>
      <c r="AK363" s="78" t="n"/>
      <c r="AL363" s="68" t="n"/>
      <c r="AM363" s="87" t="n"/>
      <c r="AN363" s="87">
        <f>TABL123[[#This Row],[ (RESV. STORGE) SER]]/10</f>
        <v/>
      </c>
      <c r="AO363" s="45" t="n"/>
      <c r="AP363" s="32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TABL123[[#This Row],[ (T/B) SAR]]+TABL123[[#This Row],[ (S/S) SAR]]</f>
        <v/>
      </c>
      <c r="L364" s="41" t="n"/>
      <c r="M364" s="42" t="n"/>
      <c r="N364" s="42" t="n"/>
      <c r="O364" s="39" t="n"/>
      <c r="P364" s="9">
        <f>TABL123[[#This Row],[ (S/S) SAR]]-TABL123[[#This Row],[(S/S) AJD]]</f>
        <v/>
      </c>
      <c r="Q364" s="39" t="n"/>
      <c r="R364" s="9">
        <f>TABL123[[#This Row],[ (T/B) SAR]]-TABL123[[#This Row],[(T/B) AJD]]</f>
        <v/>
      </c>
      <c r="S364" s="9">
        <f>TABL123[[#This Row],[T/B-CON.]]+TABL123[[#This Row],[S/S_CON.]]</f>
        <v/>
      </c>
      <c r="T364" s="9">
        <f>TABL123[[#This Row],[(S/S) AJD]]+TABL123[[#This Row],[(T/B) AJD]]</f>
        <v/>
      </c>
      <c r="U364" s="41" t="n"/>
      <c r="V364" s="41" t="n"/>
      <c r="W364" s="9">
        <f>TABL123[[#This Row],[(A/B) AJD]]+TABL123[[#This Row],[(A/S) AJD]]</f>
        <v/>
      </c>
      <c r="X364" s="9">
        <f>TABL123[[#This Row],[( S/S+T/B) AJD]]-TABL123[[#This Row],[(A/B + A/S) AJD]]</f>
        <v/>
      </c>
      <c r="Y364" s="41" t="n"/>
      <c r="Z364" s="43" t="n"/>
      <c r="AA364" s="3">
        <f>TABL123[[#This Row],[(RESV. STORGE) AJD]]/10</f>
        <v/>
      </c>
      <c r="AB364" s="45">
        <f>IF(TRIM(Z364)="",,(Z364-Z363)/1000)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43" t="n"/>
      <c r="AI364" s="78" t="n"/>
      <c r="AJ364" s="78">
        <f>TABL123[[#This Row],[(A/B) AJD]]-TABL123[[#This Row],[BER_IN]]</f>
        <v/>
      </c>
      <c r="AK364" s="78" t="n"/>
      <c r="AL364" s="68" t="n"/>
      <c r="AM364" s="87" t="n"/>
      <c r="AN364" s="87">
        <f>TABL123[[#This Row],[ (RESV. STORGE) SER]]/10</f>
        <v/>
      </c>
      <c r="AO364" s="43" t="n"/>
      <c r="AP364" s="32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TABL123[[#This Row],[ (T/B) SAR]]+TABL123[[#This Row],[ (S/S) SAR]]</f>
        <v/>
      </c>
      <c r="L365" s="45" t="n"/>
      <c r="M365" s="46" t="n"/>
      <c r="N365" s="46" t="n"/>
      <c r="O365" s="40" t="n"/>
      <c r="P365" s="9">
        <f>TABL123[[#This Row],[ (S/S) SAR]]-TABL123[[#This Row],[(S/S) AJD]]</f>
        <v/>
      </c>
      <c r="Q365" s="40" t="n"/>
      <c r="R365" s="9">
        <f>TABL123[[#This Row],[ (T/B) SAR]]-TABL123[[#This Row],[(T/B) AJD]]</f>
        <v/>
      </c>
      <c r="S365" s="9">
        <f>TABL123[[#This Row],[T/B-CON.]]+TABL123[[#This Row],[S/S_CON.]]</f>
        <v/>
      </c>
      <c r="T365" s="9">
        <f>TABL123[[#This Row],[(S/S) AJD]]+TABL123[[#This Row],[(T/B) AJD]]</f>
        <v/>
      </c>
      <c r="U365" s="44" t="n"/>
      <c r="V365" s="44" t="n"/>
      <c r="W365" s="9">
        <f>TABL123[[#This Row],[(A/B) AJD]]+TABL123[[#This Row],[(A/S) AJD]]</f>
        <v/>
      </c>
      <c r="X365" s="9">
        <f>TABL123[[#This Row],[( S/S+T/B) AJD]]-TABL123[[#This Row],[(A/B + A/S) AJD]]</f>
        <v/>
      </c>
      <c r="Y365" s="44" t="n"/>
      <c r="Z365" s="45" t="n"/>
      <c r="AA365" s="3">
        <f>TABL123[[#This Row],[(RESV. STORGE) AJD]]/10</f>
        <v/>
      </c>
      <c r="AB365" s="45">
        <f>IF(TRIM(Z365)="",,(Z365-Z364)/1000)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45" t="n"/>
      <c r="AI365" s="78" t="n"/>
      <c r="AJ365" s="78">
        <f>TABL123[[#This Row],[(A/B) AJD]]-TABL123[[#This Row],[BER_IN]]</f>
        <v/>
      </c>
      <c r="AK365" s="78" t="n"/>
      <c r="AL365" s="68" t="n"/>
      <c r="AM365" s="87" t="n"/>
      <c r="AN365" s="87">
        <f>TABL123[[#This Row],[ (RESV. STORGE) SER]]/10</f>
        <v/>
      </c>
      <c r="AO365" s="45" t="n"/>
      <c r="AP365" s="32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3">
        <f>TABL123[[#This Row],[(RESV. STORGE) AJD]]/10</f>
        <v/>
      </c>
      <c r="AB366" s="45">
        <f>IF(TRIM(Z366)="",,(Z366-Z365)/1000)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43" t="n"/>
      <c r="AI366" s="80" t="n"/>
      <c r="AJ366" s="80">
        <f>TABL123[[#This Row],[(A/B) AJD]]-TABL123[[#This Row],[BER_IN]]</f>
        <v/>
      </c>
      <c r="AK366" s="80" t="n"/>
      <c r="AL366" s="82" t="n"/>
      <c r="AM366" s="89" t="n"/>
      <c r="AN366" s="89">
        <f>TABL123[[#This Row],[ (RESV. STORGE) SER]]/10</f>
        <v/>
      </c>
      <c r="AO366" s="43" t="n"/>
      <c r="AP366" s="32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28">
        <f>TABL1234[[#This Row],[ (T/B) SAR]]+TABL1234[[#This Row],[ (S/S) SAR]]</f>
        <v/>
      </c>
      <c r="L2" s="41" t="n"/>
      <c r="M2" s="42" t="n"/>
      <c r="N2" s="42" t="n"/>
      <c r="O2" s="39" t="n"/>
      <c r="P2" s="3">
        <f>TABL1234[[#This Row],[ (S/S) SAR]]-TABL1234[[#This Row],[(S/S) AJD]]</f>
        <v/>
      </c>
      <c r="Q2" s="39" t="n"/>
      <c r="R2" s="3">
        <f>TABL1234[[#This Row],[ (T/B) SAR]]-TABL1234[[#This Row],[(T/B) AJD]]</f>
        <v/>
      </c>
      <c r="S2" s="3">
        <f>TABL1234[[#This Row],[T/B-CON.]]+TABL1234[[#This Row],[S/S_CON.]]</f>
        <v/>
      </c>
      <c r="T2" s="3">
        <f>TABL1234[[#This Row],[(S/S) AJD]]+TABL1234[[#This Row],[(T/B) AJD]]</f>
        <v/>
      </c>
      <c r="U2" s="41" t="n"/>
      <c r="V2" s="41" t="n"/>
      <c r="W2" s="3">
        <f>TABL1234[[#This Row],[(A/B) AJD]]+TABL1234[[#This Row],[(A/S) AJD]]</f>
        <v/>
      </c>
      <c r="X2" s="3">
        <f>TABL1234[[#This Row],[( S/S+T/B) AJD]]-TABL1234[[#This Row],[(A/B + A/S) AJD]]</f>
        <v/>
      </c>
      <c r="Y2" s="41" t="n"/>
      <c r="Z2" s="43" t="n"/>
      <c r="AA2" s="3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32">
        <f>TABL1234[[#This Row],[(A/S) AJD]]-TABL1234[[#This Row],[SER_IN]]</f>
        <v/>
      </c>
    </row>
    <row r="3" ht="18.75" customHeight="1">
      <c r="A3" s="2" t="n">
        <v>46389</v>
      </c>
      <c r="B3" s="28" t="n"/>
      <c r="C3" s="28" t="n"/>
      <c r="D3" s="28" t="n"/>
      <c r="E3" s="28" t="n"/>
      <c r="F3" s="28" t="n"/>
      <c r="G3" s="28" t="n"/>
      <c r="H3" s="28">
        <f>103-F3</f>
        <v/>
      </c>
      <c r="I3" s="28" t="n"/>
      <c r="J3" s="28" t="n"/>
      <c r="K3" s="28">
        <f>TABL1234[[#This Row],[ (T/B) SAR]]+TABL1234[[#This Row],[ (S/S) SAR]]</f>
        <v/>
      </c>
      <c r="L3" s="28" t="n"/>
      <c r="M3" s="29" t="n"/>
      <c r="N3" s="30" t="n"/>
      <c r="O3" s="3" t="n"/>
      <c r="P3" s="3">
        <f>TABL1234[[#This Row],[ (S/S) SAR]]-TABL1234[[#This Row],[(S/S) AJD]]</f>
        <v/>
      </c>
      <c r="Q3" s="3" t="n"/>
      <c r="R3" s="3">
        <f>TABL1234[[#This Row],[ (T/B) SAR]]-TABL1234[[#This Row],[(T/B) AJD]]</f>
        <v/>
      </c>
      <c r="S3" s="3">
        <f>TABL1234[[#This Row],[T/B-CON.]]+TABL1234[[#This Row],[S/S_CON.]]</f>
        <v/>
      </c>
      <c r="T3" s="3">
        <f>TABL1234[[#This Row],[(S/S) AJD]]+TABL1234[[#This Row],[(T/B) AJD]]</f>
        <v/>
      </c>
      <c r="U3" s="3" t="n"/>
      <c r="V3" s="3" t="n"/>
      <c r="W3" s="3">
        <f>TABL1234[[#This Row],[(A/B) AJD]]+TABL1234[[#This Row],[(A/S) AJD]]</f>
        <v/>
      </c>
      <c r="X3" s="3">
        <f>TABL1234[[#This Row],[( S/S+T/B) AJD]]-TABL1234[[#This Row],[(A/B + A/S) AJD]]</f>
        <v/>
      </c>
      <c r="Y3" s="4" t="n"/>
      <c r="Z3" s="3" t="n"/>
      <c r="AA3" s="3">
        <f>TABL1234[[#This Row],[(RESV. STORGE) AJD]]/10</f>
        <v/>
      </c>
      <c r="AB3" s="3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32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28" t="n"/>
      <c r="C4" s="28" t="n"/>
      <c r="D4" s="28" t="n"/>
      <c r="E4" s="28" t="n"/>
      <c r="F4" s="28" t="n"/>
      <c r="G4" s="28" t="n"/>
      <c r="H4" s="28">
        <f>103-F4</f>
        <v/>
      </c>
      <c r="I4" s="28" t="n"/>
      <c r="J4" s="28" t="n"/>
      <c r="K4" s="28">
        <f>TABL1234[[#This Row],[ (T/B) SAR]]+TABL1234[[#This Row],[ (S/S) SAR]]</f>
        <v/>
      </c>
      <c r="L4" s="28" t="n"/>
      <c r="M4" s="29" t="n"/>
      <c r="N4" s="30" t="n"/>
      <c r="O4" s="3" t="n"/>
      <c r="P4" s="3">
        <f>TABL1234[[#This Row],[ (S/S) SAR]]-TABL1234[[#This Row],[(S/S) AJD]]</f>
        <v/>
      </c>
      <c r="Q4" s="3" t="n"/>
      <c r="R4" s="3">
        <f>TABL1234[[#This Row],[ (T/B) SAR]]-TABL1234[[#This Row],[(T/B) AJD]]</f>
        <v/>
      </c>
      <c r="S4" s="3">
        <f>TABL1234[[#This Row],[T/B-CON.]]+TABL1234[[#This Row],[S/S_CON.]]</f>
        <v/>
      </c>
      <c r="T4" s="3">
        <f>TABL1234[[#This Row],[(S/S) AJD]]+TABL1234[[#This Row],[(T/B) AJD]]</f>
        <v/>
      </c>
      <c r="U4" s="3" t="n"/>
      <c r="V4" s="3" t="n"/>
      <c r="W4" s="3">
        <f>TABL1234[[#This Row],[(A/B) AJD]]+TABL1234[[#This Row],[(A/S) AJD]]</f>
        <v/>
      </c>
      <c r="X4" s="3">
        <f>TABL1234[[#This Row],[( S/S+T/B) AJD]]-TABL1234[[#This Row],[(A/B + A/S) AJD]]</f>
        <v/>
      </c>
      <c r="Y4" s="4" t="n"/>
      <c r="Z4" s="3" t="n"/>
      <c r="AA4" s="3">
        <f>TABL1234[[#This Row],[(RESV. STORGE) AJD]]/10</f>
        <v/>
      </c>
      <c r="AB4" s="3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32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28" t="n"/>
      <c r="C5" s="28" t="n"/>
      <c r="D5" s="28" t="n"/>
      <c r="E5" s="28" t="n"/>
      <c r="F5" s="28" t="n"/>
      <c r="G5" s="28" t="n"/>
      <c r="H5" s="28">
        <f>103-F5</f>
        <v/>
      </c>
      <c r="I5" s="28" t="n"/>
      <c r="J5" s="28" t="n"/>
      <c r="K5" s="28">
        <f>TABL1234[[#This Row],[ (T/B) SAR]]+TABL1234[[#This Row],[ (S/S) SAR]]</f>
        <v/>
      </c>
      <c r="L5" s="28" t="n"/>
      <c r="M5" s="29" t="n"/>
      <c r="N5" s="30" t="n"/>
      <c r="O5" s="3" t="n"/>
      <c r="P5" s="3">
        <f>TABL1234[[#This Row],[ (S/S) SAR]]-TABL1234[[#This Row],[(S/S) AJD]]</f>
        <v/>
      </c>
      <c r="Q5" s="3" t="n"/>
      <c r="R5" s="3">
        <f>TABL1234[[#This Row],[ (T/B) SAR]]-TABL1234[[#This Row],[(T/B) AJD]]</f>
        <v/>
      </c>
      <c r="S5" s="3">
        <f>TABL1234[[#This Row],[T/B-CON.]]+TABL1234[[#This Row],[S/S_CON.]]</f>
        <v/>
      </c>
      <c r="T5" s="3">
        <f>TABL1234[[#This Row],[(S/S) AJD]]+TABL1234[[#This Row],[(T/B) AJD]]</f>
        <v/>
      </c>
      <c r="U5" s="3" t="n"/>
      <c r="V5" s="3" t="n"/>
      <c r="W5" s="3">
        <f>TABL1234[[#This Row],[(A/B) AJD]]+TABL1234[[#This Row],[(A/S) AJD]]</f>
        <v/>
      </c>
      <c r="X5" s="3">
        <f>TABL1234[[#This Row],[( S/S+T/B) AJD]]-TABL1234[[#This Row],[(A/B + A/S) AJD]]</f>
        <v/>
      </c>
      <c r="Y5" s="4" t="n"/>
      <c r="Z5" s="3" t="n"/>
      <c r="AA5" s="3">
        <f>TABL1234[[#This Row],[(RESV. STORGE) AJD]]/10</f>
        <v/>
      </c>
      <c r="AB5" s="3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32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28" t="n"/>
      <c r="C6" s="28" t="n"/>
      <c r="D6" s="28" t="n"/>
      <c r="E6" s="28" t="n"/>
      <c r="F6" s="28" t="n"/>
      <c r="G6" s="28" t="n"/>
      <c r="H6" s="28">
        <f>103-F6</f>
        <v/>
      </c>
      <c r="I6" s="28" t="n"/>
      <c r="J6" s="28" t="n"/>
      <c r="K6" s="28">
        <f>TABL1234[[#This Row],[ (T/B) SAR]]+TABL1234[[#This Row],[ (S/S) SAR]]</f>
        <v/>
      </c>
      <c r="L6" s="28" t="n"/>
      <c r="M6" s="29" t="n"/>
      <c r="N6" s="30" t="n"/>
      <c r="O6" s="3" t="n"/>
      <c r="P6" s="3">
        <f>TABL1234[[#This Row],[ (S/S) SAR]]-TABL1234[[#This Row],[(S/S) AJD]]</f>
        <v/>
      </c>
      <c r="Q6" s="3" t="n"/>
      <c r="R6" s="3">
        <f>TABL1234[[#This Row],[ (T/B) SAR]]-TABL1234[[#This Row],[(T/B) AJD]]</f>
        <v/>
      </c>
      <c r="S6" s="3">
        <f>TABL1234[[#This Row],[T/B-CON.]]+TABL1234[[#This Row],[S/S_CON.]]</f>
        <v/>
      </c>
      <c r="T6" s="3">
        <f>TABL1234[[#This Row],[(S/S) AJD]]+TABL1234[[#This Row],[(T/B) AJD]]</f>
        <v/>
      </c>
      <c r="U6" s="3" t="n"/>
      <c r="V6" s="3" t="n"/>
      <c r="W6" s="3">
        <f>TABL1234[[#This Row],[(A/B) AJD]]+TABL1234[[#This Row],[(A/S) AJD]]</f>
        <v/>
      </c>
      <c r="X6" s="3">
        <f>TABL1234[[#This Row],[( S/S+T/B) AJD]]-TABL1234[[#This Row],[(A/B + A/S) AJD]]</f>
        <v/>
      </c>
      <c r="Y6" s="4" t="n"/>
      <c r="Z6" s="3" t="n"/>
      <c r="AA6" s="3">
        <f>TABL1234[[#This Row],[(RESV. STORGE) AJD]]/10</f>
        <v/>
      </c>
      <c r="AB6" s="3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32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28" t="n"/>
      <c r="C7" s="28" t="n"/>
      <c r="D7" s="28" t="n"/>
      <c r="E7" s="28" t="n"/>
      <c r="F7" s="28" t="n"/>
      <c r="G7" s="28" t="n"/>
      <c r="H7" s="28">
        <f>103-F7</f>
        <v/>
      </c>
      <c r="I7" s="28" t="n"/>
      <c r="J7" s="28" t="n"/>
      <c r="K7" s="28">
        <f>TABL1234[[#This Row],[ (T/B) SAR]]+TABL1234[[#This Row],[ (S/S) SAR]]</f>
        <v/>
      </c>
      <c r="L7" s="28" t="n"/>
      <c r="M7" s="29" t="n"/>
      <c r="N7" s="30" t="n"/>
      <c r="O7" s="3" t="n"/>
      <c r="P7" s="3">
        <f>TABL1234[[#This Row],[ (S/S) SAR]]-TABL1234[[#This Row],[(S/S) AJD]]</f>
        <v/>
      </c>
      <c r="Q7" s="3" t="n"/>
      <c r="R7" s="3">
        <f>TABL1234[[#This Row],[ (T/B) SAR]]-TABL1234[[#This Row],[(T/B) AJD]]</f>
        <v/>
      </c>
      <c r="S7" s="3">
        <f>TABL1234[[#This Row],[T/B-CON.]]+TABL1234[[#This Row],[S/S_CON.]]</f>
        <v/>
      </c>
      <c r="T7" s="3">
        <f>TABL1234[[#This Row],[(S/S) AJD]]+TABL1234[[#This Row],[(T/B) AJD]]</f>
        <v/>
      </c>
      <c r="U7" s="3" t="n"/>
      <c r="V7" s="3" t="n"/>
      <c r="W7" s="3">
        <f>TABL1234[[#This Row],[(A/B) AJD]]+TABL1234[[#This Row],[(A/S) AJD]]</f>
        <v/>
      </c>
      <c r="X7" s="3">
        <f>TABL1234[[#This Row],[( S/S+T/B) AJD]]-TABL1234[[#This Row],[(A/B + A/S) AJD]]</f>
        <v/>
      </c>
      <c r="Y7" s="4" t="n"/>
      <c r="Z7" s="3" t="n"/>
      <c r="AA7" s="3">
        <f>TABL1234[[#This Row],[(RESV. STORGE) AJD]]/10</f>
        <v/>
      </c>
      <c r="AB7" s="3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32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28" t="n"/>
      <c r="C8" s="28" t="n"/>
      <c r="D8" s="28" t="n"/>
      <c r="E8" s="28" t="n"/>
      <c r="F8" s="28" t="n"/>
      <c r="G8" s="28" t="n"/>
      <c r="H8" s="28">
        <f>103-F8</f>
        <v/>
      </c>
      <c r="I8" s="28" t="n"/>
      <c r="J8" s="28" t="n"/>
      <c r="K8" s="28">
        <f>TABL1234[[#This Row],[ (T/B) SAR]]+TABL1234[[#This Row],[ (S/S) SAR]]</f>
        <v/>
      </c>
      <c r="L8" s="28" t="n"/>
      <c r="M8" s="29" t="n"/>
      <c r="N8" s="30" t="n"/>
      <c r="O8" s="3" t="n"/>
      <c r="P8" s="3">
        <f>TABL1234[[#This Row],[ (S/S) SAR]]-TABL1234[[#This Row],[(S/S) AJD]]</f>
        <v/>
      </c>
      <c r="Q8" s="3" t="n"/>
      <c r="R8" s="3">
        <f>TABL1234[[#This Row],[ (T/B) SAR]]-TABL1234[[#This Row],[(T/B) AJD]]</f>
        <v/>
      </c>
      <c r="S8" s="3">
        <f>TABL1234[[#This Row],[T/B-CON.]]+TABL1234[[#This Row],[S/S_CON.]]</f>
        <v/>
      </c>
      <c r="T8" s="3">
        <f>TABL1234[[#This Row],[(S/S) AJD]]+TABL1234[[#This Row],[(T/B) AJD]]</f>
        <v/>
      </c>
      <c r="U8" s="3" t="n"/>
      <c r="V8" s="3" t="n"/>
      <c r="W8" s="3">
        <f>TABL1234[[#This Row],[(A/B) AJD]]+TABL1234[[#This Row],[(A/S) AJD]]</f>
        <v/>
      </c>
      <c r="X8" s="3">
        <f>TABL1234[[#This Row],[( S/S+T/B) AJD]]-TABL1234[[#This Row],[(A/B + A/S) AJD]]</f>
        <v/>
      </c>
      <c r="Y8" s="4" t="n"/>
      <c r="Z8" s="3" t="n"/>
      <c r="AA8" s="3">
        <f>TABL1234[[#This Row],[(RESV. STORGE) AJD]]/10</f>
        <v/>
      </c>
      <c r="AB8" s="3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32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28" t="n"/>
      <c r="C9" s="28" t="n"/>
      <c r="D9" s="28" t="n"/>
      <c r="E9" s="28" t="n"/>
      <c r="F9" s="28" t="n"/>
      <c r="G9" s="28" t="n"/>
      <c r="H9" s="28">
        <f>103-F9</f>
        <v/>
      </c>
      <c r="I9" s="28" t="n"/>
      <c r="J9" s="28" t="n"/>
      <c r="K9" s="28">
        <f>TABL1234[[#This Row],[ (T/B) SAR]]+TABL1234[[#This Row],[ (S/S) SAR]]</f>
        <v/>
      </c>
      <c r="L9" s="28" t="n"/>
      <c r="M9" s="29" t="n"/>
      <c r="N9" s="30" t="n"/>
      <c r="O9" s="3" t="n"/>
      <c r="P9" s="3">
        <f>TABL1234[[#This Row],[ (S/S) SAR]]-TABL1234[[#This Row],[(S/S) AJD]]</f>
        <v/>
      </c>
      <c r="Q9" s="3" t="n"/>
      <c r="R9" s="3">
        <f>TABL1234[[#This Row],[ (T/B) SAR]]-TABL1234[[#This Row],[(T/B) AJD]]</f>
        <v/>
      </c>
      <c r="S9" s="3">
        <f>TABL1234[[#This Row],[T/B-CON.]]+TABL1234[[#This Row],[S/S_CON.]]</f>
        <v/>
      </c>
      <c r="T9" s="3">
        <f>TABL1234[[#This Row],[(S/S) AJD]]+TABL1234[[#This Row],[(T/B) AJD]]</f>
        <v/>
      </c>
      <c r="U9" s="3" t="n"/>
      <c r="V9" s="3" t="n"/>
      <c r="W9" s="3">
        <f>TABL1234[[#This Row],[(A/B) AJD]]+TABL1234[[#This Row],[(A/S) AJD]]</f>
        <v/>
      </c>
      <c r="X9" s="3">
        <f>TABL1234[[#This Row],[( S/S+T/B) AJD]]-TABL1234[[#This Row],[(A/B + A/S) AJD]]</f>
        <v/>
      </c>
      <c r="Y9" s="4" t="n"/>
      <c r="Z9" s="3" t="n"/>
      <c r="AA9" s="3">
        <f>TABL1234[[#This Row],[(RESV. STORGE) AJD]]/10</f>
        <v/>
      </c>
      <c r="AB9" s="3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32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28" t="n"/>
      <c r="C10" s="28" t="n"/>
      <c r="D10" s="28" t="n"/>
      <c r="E10" s="28" t="n"/>
      <c r="F10" s="28" t="n"/>
      <c r="G10" s="28" t="n"/>
      <c r="H10" s="28">
        <f>103-F10</f>
        <v/>
      </c>
      <c r="I10" s="28" t="n"/>
      <c r="J10" s="28" t="n"/>
      <c r="K10" s="28">
        <f>TABL1234[[#This Row],[ (T/B) SAR]]+TABL1234[[#This Row],[ (S/S) SAR]]</f>
        <v/>
      </c>
      <c r="L10" s="28" t="n"/>
      <c r="M10" s="29" t="n"/>
      <c r="N10" s="30" t="n"/>
      <c r="O10" s="3" t="n"/>
      <c r="P10" s="3">
        <f>TABL1234[[#This Row],[ (S/S) SAR]]-TABL1234[[#This Row],[(S/S) AJD]]</f>
        <v/>
      </c>
      <c r="Q10" s="3" t="n"/>
      <c r="R10" s="3">
        <f>TABL1234[[#This Row],[ (T/B) SAR]]-TABL1234[[#This Row],[(T/B) AJD]]</f>
        <v/>
      </c>
      <c r="S10" s="3">
        <f>TABL1234[[#This Row],[T/B-CON.]]+TABL1234[[#This Row],[S/S_CON.]]</f>
        <v/>
      </c>
      <c r="T10" s="3">
        <f>TABL1234[[#This Row],[(S/S) AJD]]+TABL1234[[#This Row],[(T/B) AJD]]</f>
        <v/>
      </c>
      <c r="U10" s="3" t="n"/>
      <c r="V10" s="3" t="n"/>
      <c r="W10" s="3">
        <f>TABL1234[[#This Row],[(A/B) AJD]]+TABL1234[[#This Row],[(A/S) AJD]]</f>
        <v/>
      </c>
      <c r="X10" s="3">
        <f>TABL1234[[#This Row],[( S/S+T/B) AJD]]-TABL1234[[#This Row],[(A/B + A/S) AJD]]</f>
        <v/>
      </c>
      <c r="Y10" s="4" t="n"/>
      <c r="Z10" s="3" t="n"/>
      <c r="AA10" s="3">
        <f>TABL1234[[#This Row],[(RESV. STORGE) AJD]]/10</f>
        <v/>
      </c>
      <c r="AB10" s="3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32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28" t="n"/>
      <c r="C11" s="28" t="n"/>
      <c r="D11" s="28" t="n"/>
      <c r="E11" s="28" t="n"/>
      <c r="F11" s="28" t="n"/>
      <c r="G11" s="28" t="n"/>
      <c r="H11" s="28">
        <f>103-F11</f>
        <v/>
      </c>
      <c r="I11" s="28" t="n"/>
      <c r="J11" s="28" t="n"/>
      <c r="K11" s="28">
        <f>TABL1234[[#This Row],[ (T/B) SAR]]+TABL1234[[#This Row],[ (S/S) SAR]]</f>
        <v/>
      </c>
      <c r="L11" s="28" t="n"/>
      <c r="M11" s="29" t="n"/>
      <c r="N11" s="30" t="n"/>
      <c r="O11" s="3" t="n"/>
      <c r="P11" s="3">
        <f>TABL1234[[#This Row],[ (S/S) SAR]]-TABL1234[[#This Row],[(S/S) AJD]]</f>
        <v/>
      </c>
      <c r="Q11" s="3" t="n"/>
      <c r="R11" s="3">
        <f>TABL1234[[#This Row],[ (T/B) SAR]]-TABL1234[[#This Row],[(T/B) AJD]]</f>
        <v/>
      </c>
      <c r="S11" s="3">
        <f>TABL1234[[#This Row],[T/B-CON.]]+TABL1234[[#This Row],[S/S_CON.]]</f>
        <v/>
      </c>
      <c r="T11" s="3">
        <f>TABL1234[[#This Row],[(S/S) AJD]]+TABL1234[[#This Row],[(T/B) AJD]]</f>
        <v/>
      </c>
      <c r="U11" s="3" t="n"/>
      <c r="V11" s="3" t="n"/>
      <c r="W11" s="3">
        <f>TABL1234[[#This Row],[(A/B) AJD]]+TABL1234[[#This Row],[(A/S) AJD]]</f>
        <v/>
      </c>
      <c r="X11" s="3">
        <f>TABL1234[[#This Row],[( S/S+T/B) AJD]]-TABL1234[[#This Row],[(A/B + A/S) AJD]]</f>
        <v/>
      </c>
      <c r="Y11" s="4" t="n"/>
      <c r="Z11" s="3" t="n"/>
      <c r="AA11" s="3">
        <f>TABL1234[[#This Row],[(RESV. STORGE) AJD]]/10</f>
        <v/>
      </c>
      <c r="AB11" s="3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32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28" t="n"/>
      <c r="C12" s="28" t="n"/>
      <c r="D12" s="28" t="n"/>
      <c r="E12" s="28" t="n"/>
      <c r="F12" s="28" t="n"/>
      <c r="G12" s="28" t="n"/>
      <c r="H12" s="28">
        <f>103-F12</f>
        <v/>
      </c>
      <c r="I12" s="28" t="n"/>
      <c r="J12" s="28" t="n"/>
      <c r="K12" s="28">
        <f>TABL1234[[#This Row],[ (T/B) SAR]]+TABL1234[[#This Row],[ (S/S) SAR]]</f>
        <v/>
      </c>
      <c r="L12" s="28" t="n"/>
      <c r="M12" s="29" t="n"/>
      <c r="N12" s="30" t="n"/>
      <c r="O12" s="3" t="n"/>
      <c r="P12" s="3">
        <f>TABL1234[[#This Row],[ (S/S) SAR]]-TABL1234[[#This Row],[(S/S) AJD]]</f>
        <v/>
      </c>
      <c r="Q12" s="3" t="n"/>
      <c r="R12" s="3">
        <f>TABL1234[[#This Row],[ (T/B) SAR]]-TABL1234[[#This Row],[(T/B) AJD]]</f>
        <v/>
      </c>
      <c r="S12" s="3">
        <f>TABL1234[[#This Row],[T/B-CON.]]+TABL1234[[#This Row],[S/S_CON.]]</f>
        <v/>
      </c>
      <c r="T12" s="3">
        <f>TABL1234[[#This Row],[(S/S) AJD]]+TABL1234[[#This Row],[(T/B) AJD]]</f>
        <v/>
      </c>
      <c r="U12" s="3" t="n"/>
      <c r="V12" s="3" t="n"/>
      <c r="W12" s="3">
        <f>TABL1234[[#This Row],[(A/B) AJD]]+TABL1234[[#This Row],[(A/S) AJD]]</f>
        <v/>
      </c>
      <c r="X12" s="3">
        <f>TABL1234[[#This Row],[( S/S+T/B) AJD]]-TABL1234[[#This Row],[(A/B + A/S) AJD]]</f>
        <v/>
      </c>
      <c r="Y12" s="4" t="n"/>
      <c r="Z12" s="3" t="n"/>
      <c r="AA12" s="3">
        <f>TABL1234[[#This Row],[(RESV. STORGE) AJD]]/10</f>
        <v/>
      </c>
      <c r="AB12" s="3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32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28" t="n"/>
      <c r="C13" s="28" t="n"/>
      <c r="D13" s="28" t="n"/>
      <c r="E13" s="28" t="n"/>
      <c r="F13" s="28" t="n"/>
      <c r="G13" s="28" t="n"/>
      <c r="H13" s="28">
        <f>103-F13</f>
        <v/>
      </c>
      <c r="I13" s="28" t="n"/>
      <c r="J13" s="28" t="n"/>
      <c r="K13" s="28">
        <f>TABL1234[[#This Row],[ (T/B) SAR]]+TABL1234[[#This Row],[ (S/S) SAR]]</f>
        <v/>
      </c>
      <c r="L13" s="28" t="n"/>
      <c r="M13" s="29" t="n"/>
      <c r="N13" s="30" t="n"/>
      <c r="O13" s="3" t="n"/>
      <c r="P13" s="3">
        <f>TABL1234[[#This Row],[ (S/S) SAR]]-TABL1234[[#This Row],[(S/S) AJD]]</f>
        <v/>
      </c>
      <c r="Q13" s="3" t="n"/>
      <c r="R13" s="3">
        <f>TABL1234[[#This Row],[ (T/B) SAR]]-TABL1234[[#This Row],[(T/B) AJD]]</f>
        <v/>
      </c>
      <c r="S13" s="3">
        <f>TABL1234[[#This Row],[T/B-CON.]]+TABL1234[[#This Row],[S/S_CON.]]</f>
        <v/>
      </c>
      <c r="T13" s="3">
        <f>TABL1234[[#This Row],[(S/S) AJD]]+TABL1234[[#This Row],[(T/B) AJD]]</f>
        <v/>
      </c>
      <c r="U13" s="3" t="n"/>
      <c r="V13" s="3" t="n"/>
      <c r="W13" s="3">
        <f>TABL1234[[#This Row],[(A/B) AJD]]+TABL1234[[#This Row],[(A/S) AJD]]</f>
        <v/>
      </c>
      <c r="X13" s="3">
        <f>TABL1234[[#This Row],[( S/S+T/B) AJD]]-TABL1234[[#This Row],[(A/B + A/S) AJD]]</f>
        <v/>
      </c>
      <c r="Y13" s="4" t="n"/>
      <c r="Z13" s="3" t="n"/>
      <c r="AA13" s="3">
        <f>TABL1234[[#This Row],[(RESV. STORGE) AJD]]/10</f>
        <v/>
      </c>
      <c r="AB13" s="3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32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28" t="n"/>
      <c r="C14" s="28" t="n"/>
      <c r="D14" s="28" t="n"/>
      <c r="E14" s="28" t="n"/>
      <c r="F14" s="28" t="n"/>
      <c r="G14" s="28" t="n"/>
      <c r="H14" s="28">
        <f>103-F14</f>
        <v/>
      </c>
      <c r="I14" s="28" t="n"/>
      <c r="J14" s="28" t="n"/>
      <c r="K14" s="28">
        <f>TABL1234[[#This Row],[ (T/B) SAR]]+TABL1234[[#This Row],[ (S/S) SAR]]</f>
        <v/>
      </c>
      <c r="L14" s="28" t="n"/>
      <c r="M14" s="29" t="n"/>
      <c r="N14" s="30" t="n"/>
      <c r="O14" s="3" t="n"/>
      <c r="P14" s="3">
        <f>TABL1234[[#This Row],[ (S/S) SAR]]-TABL1234[[#This Row],[(S/S) AJD]]</f>
        <v/>
      </c>
      <c r="Q14" s="3" t="n"/>
      <c r="R14" s="3">
        <f>TABL1234[[#This Row],[ (T/B) SAR]]-TABL1234[[#This Row],[(T/B) AJD]]</f>
        <v/>
      </c>
      <c r="S14" s="3">
        <f>TABL1234[[#This Row],[T/B-CON.]]+TABL1234[[#This Row],[S/S_CON.]]</f>
        <v/>
      </c>
      <c r="T14" s="3">
        <f>TABL1234[[#This Row],[(S/S) AJD]]+TABL1234[[#This Row],[(T/B) AJD]]</f>
        <v/>
      </c>
      <c r="U14" s="3" t="n"/>
      <c r="V14" s="3" t="n"/>
      <c r="W14" s="3">
        <f>TABL1234[[#This Row],[(A/B) AJD]]+TABL1234[[#This Row],[(A/S) AJD]]</f>
        <v/>
      </c>
      <c r="X14" s="3">
        <f>TABL1234[[#This Row],[( S/S+T/B) AJD]]-TABL1234[[#This Row],[(A/B + A/S) AJD]]</f>
        <v/>
      </c>
      <c r="Y14" s="4" t="n"/>
      <c r="Z14" s="3" t="n"/>
      <c r="AA14" s="3">
        <f>TABL1234[[#This Row],[(RESV. STORGE) AJD]]/10</f>
        <v/>
      </c>
      <c r="AB14" s="3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32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28" t="n"/>
      <c r="C15" s="28" t="n"/>
      <c r="D15" s="28" t="n"/>
      <c r="E15" s="28" t="n"/>
      <c r="F15" s="28" t="n"/>
      <c r="G15" s="28" t="n"/>
      <c r="H15" s="28">
        <f>103-F15</f>
        <v/>
      </c>
      <c r="I15" s="28" t="n"/>
      <c r="J15" s="28" t="n"/>
      <c r="K15" s="28">
        <f>TABL1234[[#This Row],[ (T/B) SAR]]+TABL1234[[#This Row],[ (S/S) SAR]]</f>
        <v/>
      </c>
      <c r="L15" s="28" t="n"/>
      <c r="M15" s="29" t="n"/>
      <c r="N15" s="30" t="n"/>
      <c r="O15" s="3" t="n"/>
      <c r="P15" s="3">
        <f>TABL1234[[#This Row],[ (S/S) SAR]]-TABL1234[[#This Row],[(S/S) AJD]]</f>
        <v/>
      </c>
      <c r="Q15" s="3" t="n"/>
      <c r="R15" s="3">
        <f>TABL1234[[#This Row],[ (T/B) SAR]]-TABL1234[[#This Row],[(T/B) AJD]]</f>
        <v/>
      </c>
      <c r="S15" s="3">
        <f>TABL1234[[#This Row],[T/B-CON.]]+TABL1234[[#This Row],[S/S_CON.]]</f>
        <v/>
      </c>
      <c r="T15" s="3">
        <f>TABL1234[[#This Row],[(S/S) AJD]]+TABL1234[[#This Row],[(T/B) AJD]]</f>
        <v/>
      </c>
      <c r="U15" s="3" t="n"/>
      <c r="V15" s="3" t="n"/>
      <c r="W15" s="3">
        <f>TABL1234[[#This Row],[(A/B) AJD]]+TABL1234[[#This Row],[(A/S) AJD]]</f>
        <v/>
      </c>
      <c r="X15" s="3">
        <f>TABL1234[[#This Row],[( S/S+T/B) AJD]]-TABL1234[[#This Row],[(A/B + A/S) AJD]]</f>
        <v/>
      </c>
      <c r="Y15" s="4" t="n"/>
      <c r="Z15" s="3" t="n"/>
      <c r="AA15" s="3">
        <f>TABL1234[[#This Row],[(RESV. STORGE) AJD]]/10</f>
        <v/>
      </c>
      <c r="AB15" s="3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32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28" t="n"/>
      <c r="C16" s="28" t="n"/>
      <c r="D16" s="28" t="n"/>
      <c r="E16" s="28" t="n"/>
      <c r="F16" s="28" t="n"/>
      <c r="G16" s="28" t="n"/>
      <c r="H16" s="28">
        <f>103-F16</f>
        <v/>
      </c>
      <c r="I16" s="28" t="n"/>
      <c r="J16" s="28" t="n"/>
      <c r="K16" s="28">
        <f>TABL1234[[#This Row],[ (T/B) SAR]]+TABL1234[[#This Row],[ (S/S) SAR]]</f>
        <v/>
      </c>
      <c r="L16" s="28" t="n"/>
      <c r="M16" s="29" t="n"/>
      <c r="N16" s="30" t="n"/>
      <c r="O16" s="3" t="n"/>
      <c r="P16" s="3">
        <f>TABL1234[[#This Row],[ (S/S) SAR]]-TABL1234[[#This Row],[(S/S) AJD]]</f>
        <v/>
      </c>
      <c r="Q16" s="3" t="n"/>
      <c r="R16" s="3">
        <f>TABL1234[[#This Row],[ (T/B) SAR]]-TABL1234[[#This Row],[(T/B) AJD]]</f>
        <v/>
      </c>
      <c r="S16" s="3">
        <f>TABL1234[[#This Row],[T/B-CON.]]+TABL1234[[#This Row],[S/S_CON.]]</f>
        <v/>
      </c>
      <c r="T16" s="3">
        <f>TABL1234[[#This Row],[(S/S) AJD]]+TABL1234[[#This Row],[(T/B) AJD]]</f>
        <v/>
      </c>
      <c r="U16" s="3" t="n"/>
      <c r="V16" s="3" t="n"/>
      <c r="W16" s="3">
        <f>TABL1234[[#This Row],[(A/B) AJD]]+TABL1234[[#This Row],[(A/S) AJD]]</f>
        <v/>
      </c>
      <c r="X16" s="3">
        <f>TABL1234[[#This Row],[( S/S+T/B) AJD]]-TABL1234[[#This Row],[(A/B + A/S) AJD]]</f>
        <v/>
      </c>
      <c r="Y16" s="4" t="n"/>
      <c r="Z16" s="3" t="n"/>
      <c r="AA16" s="3">
        <f>TABL1234[[#This Row],[(RESV. STORGE) AJD]]/10</f>
        <v/>
      </c>
      <c r="AB16" s="3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32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28" t="n"/>
      <c r="C17" s="28" t="n"/>
      <c r="D17" s="28" t="n"/>
      <c r="E17" s="28" t="n"/>
      <c r="F17" s="28" t="n"/>
      <c r="G17" s="28" t="n"/>
      <c r="H17" s="28">
        <f>103-F17</f>
        <v/>
      </c>
      <c r="I17" s="28" t="n"/>
      <c r="J17" s="28" t="n"/>
      <c r="K17" s="28">
        <f>TABL1234[[#This Row],[ (T/B) SAR]]+TABL1234[[#This Row],[ (S/S) SAR]]</f>
        <v/>
      </c>
      <c r="L17" s="28" t="n"/>
      <c r="M17" s="29" t="n"/>
      <c r="N17" s="30" t="n"/>
      <c r="O17" s="3" t="n"/>
      <c r="P17" s="3">
        <f>TABL1234[[#This Row],[ (S/S) SAR]]-TABL1234[[#This Row],[(S/S) AJD]]</f>
        <v/>
      </c>
      <c r="Q17" s="3" t="n"/>
      <c r="R17" s="3">
        <f>TABL1234[[#This Row],[ (T/B) SAR]]-TABL1234[[#This Row],[(T/B) AJD]]</f>
        <v/>
      </c>
      <c r="S17" s="3">
        <f>TABL1234[[#This Row],[T/B-CON.]]+TABL1234[[#This Row],[S/S_CON.]]</f>
        <v/>
      </c>
      <c r="T17" s="3">
        <f>TABL1234[[#This Row],[(S/S) AJD]]+TABL1234[[#This Row],[(T/B) AJD]]</f>
        <v/>
      </c>
      <c r="U17" s="3" t="n"/>
      <c r="V17" s="3" t="n"/>
      <c r="W17" s="3">
        <f>TABL1234[[#This Row],[(A/B) AJD]]+TABL1234[[#This Row],[(A/S) AJD]]</f>
        <v/>
      </c>
      <c r="X17" s="3">
        <f>TABL1234[[#This Row],[( S/S+T/B) AJD]]-TABL1234[[#This Row],[(A/B + A/S) AJD]]</f>
        <v/>
      </c>
      <c r="Y17" s="4" t="n"/>
      <c r="Z17" s="3" t="n"/>
      <c r="AA17" s="3">
        <f>TABL1234[[#This Row],[(RESV. STORGE) AJD]]/10</f>
        <v/>
      </c>
      <c r="AB17" s="3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32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28" t="n"/>
      <c r="C18" s="28" t="n"/>
      <c r="D18" s="28" t="n"/>
      <c r="E18" s="28" t="n"/>
      <c r="F18" s="28" t="n"/>
      <c r="G18" s="28" t="n"/>
      <c r="H18" s="28">
        <f>103-F18</f>
        <v/>
      </c>
      <c r="I18" s="28" t="n"/>
      <c r="J18" s="28" t="n"/>
      <c r="K18" s="28">
        <f>TABL1234[[#This Row],[ (T/B) SAR]]+TABL1234[[#This Row],[ (S/S) SAR]]</f>
        <v/>
      </c>
      <c r="L18" s="28" t="n"/>
      <c r="M18" s="29" t="n"/>
      <c r="N18" s="30" t="n"/>
      <c r="O18" s="3" t="n"/>
      <c r="P18" s="3">
        <f>TABL1234[[#This Row],[ (S/S) SAR]]-TABL1234[[#This Row],[(S/S) AJD]]</f>
        <v/>
      </c>
      <c r="Q18" s="3" t="n"/>
      <c r="R18" s="3">
        <f>TABL1234[[#This Row],[ (T/B) SAR]]-TABL1234[[#This Row],[(T/B) AJD]]</f>
        <v/>
      </c>
      <c r="S18" s="3">
        <f>TABL1234[[#This Row],[T/B-CON.]]+TABL1234[[#This Row],[S/S_CON.]]</f>
        <v/>
      </c>
      <c r="T18" s="3">
        <f>TABL1234[[#This Row],[(S/S) AJD]]+TABL1234[[#This Row],[(T/B) AJD]]</f>
        <v/>
      </c>
      <c r="U18" s="3" t="n"/>
      <c r="V18" s="3" t="n"/>
      <c r="W18" s="3">
        <f>TABL1234[[#This Row],[(A/B) AJD]]+TABL1234[[#This Row],[(A/S) AJD]]</f>
        <v/>
      </c>
      <c r="X18" s="3">
        <f>TABL1234[[#This Row],[( S/S+T/B) AJD]]-TABL1234[[#This Row],[(A/B + A/S) AJD]]</f>
        <v/>
      </c>
      <c r="Y18" s="4" t="n"/>
      <c r="Z18" s="3" t="n"/>
      <c r="AA18" s="3">
        <f>TABL1234[[#This Row],[(RESV. STORGE) AJD]]/10</f>
        <v/>
      </c>
      <c r="AB18" s="3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32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28" t="n"/>
      <c r="C19" s="28" t="n"/>
      <c r="D19" s="28" t="n"/>
      <c r="E19" s="28" t="n"/>
      <c r="F19" s="28" t="n"/>
      <c r="G19" s="28" t="n"/>
      <c r="H19" s="28">
        <f>103-F19</f>
        <v/>
      </c>
      <c r="I19" s="28" t="n"/>
      <c r="J19" s="28" t="n"/>
      <c r="K19" s="28">
        <f>TABL1234[[#This Row],[ (T/B) SAR]]+TABL1234[[#This Row],[ (S/S) SAR]]</f>
        <v/>
      </c>
      <c r="L19" s="28" t="n"/>
      <c r="M19" s="29" t="n"/>
      <c r="N19" s="30" t="n"/>
      <c r="O19" s="3" t="n"/>
      <c r="P19" s="3">
        <f>TABL1234[[#This Row],[ (S/S) SAR]]-TABL1234[[#This Row],[(S/S) AJD]]</f>
        <v/>
      </c>
      <c r="Q19" s="3" t="n"/>
      <c r="R19" s="3">
        <f>TABL1234[[#This Row],[ (T/B) SAR]]-TABL1234[[#This Row],[(T/B) AJD]]</f>
        <v/>
      </c>
      <c r="S19" s="3">
        <f>TABL1234[[#This Row],[T/B-CON.]]+TABL1234[[#This Row],[S/S_CON.]]</f>
        <v/>
      </c>
      <c r="T19" s="3">
        <f>TABL1234[[#This Row],[(S/S) AJD]]+TABL1234[[#This Row],[(T/B) AJD]]</f>
        <v/>
      </c>
      <c r="U19" s="3" t="n"/>
      <c r="V19" s="3" t="n"/>
      <c r="W19" s="3">
        <f>TABL1234[[#This Row],[(A/B) AJD]]+TABL1234[[#This Row],[(A/S) AJD]]</f>
        <v/>
      </c>
      <c r="X19" s="3">
        <f>TABL1234[[#This Row],[( S/S+T/B) AJD]]-TABL1234[[#This Row],[(A/B + A/S) AJD]]</f>
        <v/>
      </c>
      <c r="Y19" s="4" t="n"/>
      <c r="Z19" s="3" t="n"/>
      <c r="AA19" s="3">
        <f>TABL1234[[#This Row],[(RESV. STORGE) AJD]]/10</f>
        <v/>
      </c>
      <c r="AB19" s="3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32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28" t="n"/>
      <c r="C20" s="28" t="n"/>
      <c r="D20" s="28" t="n"/>
      <c r="E20" s="28" t="n"/>
      <c r="F20" s="28" t="n"/>
      <c r="G20" s="28" t="n"/>
      <c r="H20" s="28">
        <f>103-F20</f>
        <v/>
      </c>
      <c r="I20" s="28" t="n"/>
      <c r="J20" s="28" t="n"/>
      <c r="K20" s="28">
        <f>TABL1234[[#This Row],[ (T/B) SAR]]+TABL1234[[#This Row],[ (S/S) SAR]]</f>
        <v/>
      </c>
      <c r="L20" s="28" t="n"/>
      <c r="M20" s="29" t="n"/>
      <c r="N20" s="30" t="n"/>
      <c r="O20" s="3" t="n"/>
      <c r="P20" s="3">
        <f>TABL1234[[#This Row],[ (S/S) SAR]]-TABL1234[[#This Row],[(S/S) AJD]]</f>
        <v/>
      </c>
      <c r="Q20" s="3" t="n"/>
      <c r="R20" s="3">
        <f>TABL1234[[#This Row],[ (T/B) SAR]]-TABL1234[[#This Row],[(T/B) AJD]]</f>
        <v/>
      </c>
      <c r="S20" s="3">
        <f>TABL1234[[#This Row],[T/B-CON.]]+TABL1234[[#This Row],[S/S_CON.]]</f>
        <v/>
      </c>
      <c r="T20" s="3">
        <f>TABL1234[[#This Row],[(S/S) AJD]]+TABL1234[[#This Row],[(T/B) AJD]]</f>
        <v/>
      </c>
      <c r="U20" s="3" t="n"/>
      <c r="V20" s="3" t="n"/>
      <c r="W20" s="3">
        <f>TABL1234[[#This Row],[(A/B) AJD]]+TABL1234[[#This Row],[(A/S) AJD]]</f>
        <v/>
      </c>
      <c r="X20" s="3">
        <f>TABL1234[[#This Row],[( S/S+T/B) AJD]]-TABL1234[[#This Row],[(A/B + A/S) AJD]]</f>
        <v/>
      </c>
      <c r="Y20" s="4" t="n"/>
      <c r="Z20" s="3" t="n"/>
      <c r="AA20" s="3">
        <f>TABL1234[[#This Row],[(RESV. STORGE) AJD]]/10</f>
        <v/>
      </c>
      <c r="AB20" s="3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32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28" t="n"/>
      <c r="C21" s="28" t="n"/>
      <c r="D21" s="28" t="n"/>
      <c r="E21" s="28" t="n"/>
      <c r="F21" s="28" t="n"/>
      <c r="G21" s="28" t="n"/>
      <c r="H21" s="28">
        <f>103-F21</f>
        <v/>
      </c>
      <c r="I21" s="28" t="n"/>
      <c r="J21" s="28" t="n"/>
      <c r="K21" s="28">
        <f>TABL1234[[#This Row],[ (T/B) SAR]]+TABL1234[[#This Row],[ (S/S) SAR]]</f>
        <v/>
      </c>
      <c r="L21" s="28" t="n"/>
      <c r="M21" s="29" t="n"/>
      <c r="N21" s="30" t="n"/>
      <c r="O21" s="3" t="n"/>
      <c r="P21" s="3">
        <f>TABL1234[[#This Row],[ (S/S) SAR]]-TABL1234[[#This Row],[(S/S) AJD]]</f>
        <v/>
      </c>
      <c r="Q21" s="3" t="n"/>
      <c r="R21" s="3">
        <f>TABL1234[[#This Row],[ (T/B) SAR]]-TABL1234[[#This Row],[(T/B) AJD]]</f>
        <v/>
      </c>
      <c r="S21" s="3">
        <f>TABL1234[[#This Row],[T/B-CON.]]+TABL1234[[#This Row],[S/S_CON.]]</f>
        <v/>
      </c>
      <c r="T21" s="3">
        <f>TABL1234[[#This Row],[(S/S) AJD]]+TABL1234[[#This Row],[(T/B) AJD]]</f>
        <v/>
      </c>
      <c r="U21" s="3" t="n"/>
      <c r="V21" s="3" t="n"/>
      <c r="W21" s="3">
        <f>TABL1234[[#This Row],[(A/B) AJD]]+TABL1234[[#This Row],[(A/S) AJD]]</f>
        <v/>
      </c>
      <c r="X21" s="3">
        <f>TABL1234[[#This Row],[( S/S+T/B) AJD]]-TABL1234[[#This Row],[(A/B + A/S) AJD]]</f>
        <v/>
      </c>
      <c r="Y21" s="4" t="n"/>
      <c r="Z21" s="3" t="n"/>
      <c r="AA21" s="3">
        <f>TABL1234[[#This Row],[(RESV. STORGE) AJD]]/10</f>
        <v/>
      </c>
      <c r="AB21" s="3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32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28" t="n"/>
      <c r="C22" s="28" t="n"/>
      <c r="D22" s="28" t="n"/>
      <c r="E22" s="28" t="n"/>
      <c r="F22" s="28" t="n"/>
      <c r="G22" s="28" t="n"/>
      <c r="H22" s="28">
        <f>103-F22</f>
        <v/>
      </c>
      <c r="I22" s="28" t="n"/>
      <c r="J22" s="28" t="n"/>
      <c r="K22" s="28">
        <f>TABL1234[[#This Row],[ (T/B) SAR]]+TABL1234[[#This Row],[ (S/S) SAR]]</f>
        <v/>
      </c>
      <c r="L22" s="28" t="n"/>
      <c r="M22" s="29" t="n"/>
      <c r="N22" s="30" t="n"/>
      <c r="O22" s="3" t="n"/>
      <c r="P22" s="3">
        <f>TABL1234[[#This Row],[ (S/S) SAR]]-TABL1234[[#This Row],[(S/S) AJD]]</f>
        <v/>
      </c>
      <c r="Q22" s="3" t="n"/>
      <c r="R22" s="3">
        <f>TABL1234[[#This Row],[ (T/B) SAR]]-TABL1234[[#This Row],[(T/B) AJD]]</f>
        <v/>
      </c>
      <c r="S22" s="3">
        <f>TABL1234[[#This Row],[T/B-CON.]]+TABL1234[[#This Row],[S/S_CON.]]</f>
        <v/>
      </c>
      <c r="T22" s="3">
        <f>TABL1234[[#This Row],[(S/S) AJD]]+TABL1234[[#This Row],[(T/B) AJD]]</f>
        <v/>
      </c>
      <c r="U22" s="3" t="n"/>
      <c r="V22" s="3" t="n"/>
      <c r="W22" s="3">
        <f>TABL1234[[#This Row],[(A/B) AJD]]+TABL1234[[#This Row],[(A/S) AJD]]</f>
        <v/>
      </c>
      <c r="X22" s="3">
        <f>TABL1234[[#This Row],[( S/S+T/B) AJD]]-TABL1234[[#This Row],[(A/B + A/S) AJD]]</f>
        <v/>
      </c>
      <c r="Y22" s="4" t="n"/>
      <c r="Z22" s="3" t="n"/>
      <c r="AA22" s="3">
        <f>TABL1234[[#This Row],[(RESV. STORGE) AJD]]/10</f>
        <v/>
      </c>
      <c r="AB22" s="3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32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28" t="n"/>
      <c r="C23" s="28" t="n"/>
      <c r="D23" s="28" t="n"/>
      <c r="E23" s="28" t="n"/>
      <c r="F23" s="28" t="n"/>
      <c r="G23" s="28" t="n"/>
      <c r="H23" s="28">
        <f>103-F23</f>
        <v/>
      </c>
      <c r="I23" s="28" t="n"/>
      <c r="J23" s="28" t="n"/>
      <c r="K23" s="28">
        <f>TABL1234[[#This Row],[ (T/B) SAR]]+TABL1234[[#This Row],[ (S/S) SAR]]</f>
        <v/>
      </c>
      <c r="L23" s="28" t="n"/>
      <c r="M23" s="29" t="n"/>
      <c r="N23" s="30" t="n"/>
      <c r="O23" s="3" t="n"/>
      <c r="P23" s="3">
        <f>TABL1234[[#This Row],[ (S/S) SAR]]-TABL1234[[#This Row],[(S/S) AJD]]</f>
        <v/>
      </c>
      <c r="Q23" s="3" t="n"/>
      <c r="R23" s="3">
        <f>TABL1234[[#This Row],[ (T/B) SAR]]-TABL1234[[#This Row],[(T/B) AJD]]</f>
        <v/>
      </c>
      <c r="S23" s="3">
        <f>TABL1234[[#This Row],[T/B-CON.]]+TABL1234[[#This Row],[S/S_CON.]]</f>
        <v/>
      </c>
      <c r="T23" s="3">
        <f>TABL1234[[#This Row],[(S/S) AJD]]+TABL1234[[#This Row],[(T/B) AJD]]</f>
        <v/>
      </c>
      <c r="U23" s="3" t="n"/>
      <c r="V23" s="3" t="n"/>
      <c r="W23" s="3">
        <f>TABL1234[[#This Row],[(A/B) AJD]]+TABL1234[[#This Row],[(A/S) AJD]]</f>
        <v/>
      </c>
      <c r="X23" s="3">
        <f>TABL1234[[#This Row],[( S/S+T/B) AJD]]-TABL1234[[#This Row],[(A/B + A/S) AJD]]</f>
        <v/>
      </c>
      <c r="Y23" s="4" t="n"/>
      <c r="Z23" s="3" t="n"/>
      <c r="AA23" s="3">
        <f>TABL1234[[#This Row],[(RESV. STORGE) AJD]]/10</f>
        <v/>
      </c>
      <c r="AB23" s="3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32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28" t="n"/>
      <c r="C24" s="28" t="n"/>
      <c r="D24" s="28" t="n"/>
      <c r="E24" s="28" t="n"/>
      <c r="F24" s="28" t="n"/>
      <c r="G24" s="28" t="n"/>
      <c r="H24" s="28">
        <f>103-F24</f>
        <v/>
      </c>
      <c r="I24" s="28" t="n"/>
      <c r="J24" s="28" t="n"/>
      <c r="K24" s="28">
        <f>TABL1234[[#This Row],[ (T/B) SAR]]+TABL1234[[#This Row],[ (S/S) SAR]]</f>
        <v/>
      </c>
      <c r="L24" s="28" t="n"/>
      <c r="M24" s="29" t="n"/>
      <c r="N24" s="30" t="n"/>
      <c r="O24" s="3" t="n"/>
      <c r="P24" s="3">
        <f>TABL1234[[#This Row],[ (S/S) SAR]]-TABL1234[[#This Row],[(S/S) AJD]]</f>
        <v/>
      </c>
      <c r="Q24" s="3" t="n"/>
      <c r="R24" s="3">
        <f>TABL1234[[#This Row],[ (T/B) SAR]]-TABL1234[[#This Row],[(T/B) AJD]]</f>
        <v/>
      </c>
      <c r="S24" s="3">
        <f>TABL1234[[#This Row],[T/B-CON.]]+TABL1234[[#This Row],[S/S_CON.]]</f>
        <v/>
      </c>
      <c r="T24" s="3">
        <f>TABL1234[[#This Row],[(S/S) AJD]]+TABL1234[[#This Row],[(T/B) AJD]]</f>
        <v/>
      </c>
      <c r="U24" s="3" t="n"/>
      <c r="V24" s="3" t="n"/>
      <c r="W24" s="3">
        <f>TABL1234[[#This Row],[(A/B) AJD]]+TABL1234[[#This Row],[(A/S) AJD]]</f>
        <v/>
      </c>
      <c r="X24" s="3">
        <f>TABL1234[[#This Row],[( S/S+T/B) AJD]]-TABL1234[[#This Row],[(A/B + A/S) AJD]]</f>
        <v/>
      </c>
      <c r="Y24" s="4" t="n"/>
      <c r="Z24" s="3" t="n"/>
      <c r="AA24" s="3">
        <f>TABL1234[[#This Row],[(RESV. STORGE) AJD]]/10</f>
        <v/>
      </c>
      <c r="AB24" s="3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32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28" t="n"/>
      <c r="C25" s="28" t="n"/>
      <c r="D25" s="28" t="n"/>
      <c r="E25" s="28" t="n"/>
      <c r="F25" s="28" t="n"/>
      <c r="G25" s="28" t="n"/>
      <c r="H25" s="28">
        <f>103-F25</f>
        <v/>
      </c>
      <c r="I25" s="28" t="n"/>
      <c r="J25" s="28" t="n"/>
      <c r="K25" s="28">
        <f>TABL1234[[#This Row],[ (T/B) SAR]]+TABL1234[[#This Row],[ (S/S) SAR]]</f>
        <v/>
      </c>
      <c r="L25" s="28" t="n"/>
      <c r="M25" s="29" t="n"/>
      <c r="N25" s="30" t="n"/>
      <c r="O25" s="3" t="n"/>
      <c r="P25" s="3">
        <f>TABL1234[[#This Row],[ (S/S) SAR]]-TABL1234[[#This Row],[(S/S) AJD]]</f>
        <v/>
      </c>
      <c r="Q25" s="3" t="n"/>
      <c r="R25" s="3">
        <f>TABL1234[[#This Row],[ (T/B) SAR]]-TABL1234[[#This Row],[(T/B) AJD]]</f>
        <v/>
      </c>
      <c r="S25" s="3">
        <f>TABL1234[[#This Row],[T/B-CON.]]+TABL1234[[#This Row],[S/S_CON.]]</f>
        <v/>
      </c>
      <c r="T25" s="3">
        <f>TABL1234[[#This Row],[(S/S) AJD]]+TABL1234[[#This Row],[(T/B) AJD]]</f>
        <v/>
      </c>
      <c r="U25" s="3" t="n"/>
      <c r="V25" s="3" t="n"/>
      <c r="W25" s="3">
        <f>TABL1234[[#This Row],[(A/B) AJD]]+TABL1234[[#This Row],[(A/S) AJD]]</f>
        <v/>
      </c>
      <c r="X25" s="3">
        <f>TABL1234[[#This Row],[( S/S+T/B) AJD]]-TABL1234[[#This Row],[(A/B + A/S) AJD]]</f>
        <v/>
      </c>
      <c r="Y25" s="4" t="n"/>
      <c r="Z25" s="3" t="n"/>
      <c r="AA25" s="3">
        <f>TABL1234[[#This Row],[(RESV. STORGE) AJD]]/10</f>
        <v/>
      </c>
      <c r="AB25" s="3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32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28" t="n"/>
      <c r="C26" s="28" t="n"/>
      <c r="D26" s="28" t="n"/>
      <c r="E26" s="28" t="n"/>
      <c r="F26" s="28" t="n"/>
      <c r="G26" s="28" t="n"/>
      <c r="H26" s="28">
        <f>103-F26</f>
        <v/>
      </c>
      <c r="I26" s="28" t="n"/>
      <c r="J26" s="28" t="n"/>
      <c r="K26" s="28">
        <f>TABL1234[[#This Row],[ (T/B) SAR]]+TABL1234[[#This Row],[ (S/S) SAR]]</f>
        <v/>
      </c>
      <c r="L26" s="28" t="n"/>
      <c r="M26" s="29" t="n"/>
      <c r="N26" s="30" t="n"/>
      <c r="O26" s="3" t="n"/>
      <c r="P26" s="3">
        <f>TABL1234[[#This Row],[ (S/S) SAR]]-TABL1234[[#This Row],[(S/S) AJD]]</f>
        <v/>
      </c>
      <c r="Q26" s="3" t="n"/>
      <c r="R26" s="3">
        <f>TABL1234[[#This Row],[ (T/B) SAR]]-TABL1234[[#This Row],[(T/B) AJD]]</f>
        <v/>
      </c>
      <c r="S26" s="3">
        <f>TABL1234[[#This Row],[T/B-CON.]]+TABL1234[[#This Row],[S/S_CON.]]</f>
        <v/>
      </c>
      <c r="T26" s="3">
        <f>TABL1234[[#This Row],[(S/S) AJD]]+TABL1234[[#This Row],[(T/B) AJD]]</f>
        <v/>
      </c>
      <c r="U26" s="3" t="n"/>
      <c r="V26" s="3" t="n"/>
      <c r="W26" s="3">
        <f>TABL1234[[#This Row],[(A/B) AJD]]+TABL1234[[#This Row],[(A/S) AJD]]</f>
        <v/>
      </c>
      <c r="X26" s="3">
        <f>TABL1234[[#This Row],[( S/S+T/B) AJD]]-TABL1234[[#This Row],[(A/B + A/S) AJD]]</f>
        <v/>
      </c>
      <c r="Y26" s="4" t="n"/>
      <c r="Z26" s="3" t="n"/>
      <c r="AA26" s="3">
        <f>TABL1234[[#This Row],[(RESV. STORGE) AJD]]/10</f>
        <v/>
      </c>
      <c r="AB26" s="3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32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28" t="n"/>
      <c r="C27" s="28" t="n"/>
      <c r="D27" s="28" t="n"/>
      <c r="E27" s="28" t="n"/>
      <c r="F27" s="28" t="n"/>
      <c r="G27" s="28" t="n"/>
      <c r="H27" s="28">
        <f>103-F27</f>
        <v/>
      </c>
      <c r="I27" s="28" t="n"/>
      <c r="J27" s="28" t="n"/>
      <c r="K27" s="28">
        <f>TABL1234[[#This Row],[ (T/B) SAR]]+TABL1234[[#This Row],[ (S/S) SAR]]</f>
        <v/>
      </c>
      <c r="L27" s="28" t="n"/>
      <c r="M27" s="29" t="n"/>
      <c r="N27" s="30" t="n"/>
      <c r="O27" s="3" t="n"/>
      <c r="P27" s="3">
        <f>TABL1234[[#This Row],[ (S/S) SAR]]-TABL1234[[#This Row],[(S/S) AJD]]</f>
        <v/>
      </c>
      <c r="Q27" s="3" t="n"/>
      <c r="R27" s="3">
        <f>TABL1234[[#This Row],[ (T/B) SAR]]-TABL1234[[#This Row],[(T/B) AJD]]</f>
        <v/>
      </c>
      <c r="S27" s="3">
        <f>TABL1234[[#This Row],[T/B-CON.]]+TABL1234[[#This Row],[S/S_CON.]]</f>
        <v/>
      </c>
      <c r="T27" s="3">
        <f>TABL1234[[#This Row],[(S/S) AJD]]+TABL1234[[#This Row],[(T/B) AJD]]</f>
        <v/>
      </c>
      <c r="U27" s="3" t="n"/>
      <c r="V27" s="3" t="n"/>
      <c r="W27" s="3">
        <f>TABL1234[[#This Row],[(A/B) AJD]]+TABL1234[[#This Row],[(A/S) AJD]]</f>
        <v/>
      </c>
      <c r="X27" s="3">
        <f>TABL1234[[#This Row],[( S/S+T/B) AJD]]-TABL1234[[#This Row],[(A/B + A/S) AJD]]</f>
        <v/>
      </c>
      <c r="Y27" s="4" t="n"/>
      <c r="Z27" s="3" t="n"/>
      <c r="AA27" s="3">
        <f>TABL1234[[#This Row],[(RESV. STORGE) AJD]]/10</f>
        <v/>
      </c>
      <c r="AB27" s="3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32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28" t="n"/>
      <c r="C28" s="28" t="n"/>
      <c r="D28" s="28" t="n"/>
      <c r="E28" s="28" t="n"/>
      <c r="F28" s="28" t="n"/>
      <c r="G28" s="28" t="n"/>
      <c r="H28" s="28">
        <f>103-F28</f>
        <v/>
      </c>
      <c r="I28" s="28" t="n"/>
      <c r="J28" s="28" t="n"/>
      <c r="K28" s="28">
        <f>TABL1234[[#This Row],[ (T/B) SAR]]+TABL1234[[#This Row],[ (S/S) SAR]]</f>
        <v/>
      </c>
      <c r="L28" s="28" t="n"/>
      <c r="M28" s="29" t="n"/>
      <c r="N28" s="30" t="n"/>
      <c r="O28" s="3" t="n"/>
      <c r="P28" s="3">
        <f>TABL1234[[#This Row],[ (S/S) SAR]]-TABL1234[[#This Row],[(S/S) AJD]]</f>
        <v/>
      </c>
      <c r="Q28" s="3" t="n"/>
      <c r="R28" s="3">
        <f>TABL1234[[#This Row],[ (T/B) SAR]]-TABL1234[[#This Row],[(T/B) AJD]]</f>
        <v/>
      </c>
      <c r="S28" s="3">
        <f>TABL1234[[#This Row],[T/B-CON.]]+TABL1234[[#This Row],[S/S_CON.]]</f>
        <v/>
      </c>
      <c r="T28" s="3">
        <f>TABL1234[[#This Row],[(S/S) AJD]]+TABL1234[[#This Row],[(T/B) AJD]]</f>
        <v/>
      </c>
      <c r="U28" s="3" t="n"/>
      <c r="V28" s="3" t="n"/>
      <c r="W28" s="3">
        <f>TABL1234[[#This Row],[(A/B) AJD]]+TABL1234[[#This Row],[(A/S) AJD]]</f>
        <v/>
      </c>
      <c r="X28" s="3">
        <f>TABL1234[[#This Row],[( S/S+T/B) AJD]]-TABL1234[[#This Row],[(A/B + A/S) AJD]]</f>
        <v/>
      </c>
      <c r="Y28" s="4" t="n"/>
      <c r="Z28" s="3" t="n"/>
      <c r="AA28" s="3">
        <f>TABL1234[[#This Row],[(RESV. STORGE) AJD]]/10</f>
        <v/>
      </c>
      <c r="AB28" s="3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32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28" t="n"/>
      <c r="C29" s="28" t="n"/>
      <c r="D29" s="28" t="n"/>
      <c r="E29" s="28" t="n"/>
      <c r="F29" s="28" t="n"/>
      <c r="G29" s="28" t="n"/>
      <c r="H29" s="28">
        <f>103-F29</f>
        <v/>
      </c>
      <c r="I29" s="28" t="n"/>
      <c r="J29" s="28" t="n"/>
      <c r="K29" s="28">
        <f>TABL1234[[#This Row],[ (T/B) SAR]]+TABL1234[[#This Row],[ (S/S) SAR]]</f>
        <v/>
      </c>
      <c r="L29" s="28" t="n"/>
      <c r="M29" s="29" t="n"/>
      <c r="N29" s="30" t="n"/>
      <c r="O29" s="3" t="n"/>
      <c r="P29" s="3">
        <f>TABL1234[[#This Row],[ (S/S) SAR]]-TABL1234[[#This Row],[(S/S) AJD]]</f>
        <v/>
      </c>
      <c r="Q29" s="3" t="n"/>
      <c r="R29" s="3">
        <f>TABL1234[[#This Row],[ (T/B) SAR]]-TABL1234[[#This Row],[(T/B) AJD]]</f>
        <v/>
      </c>
      <c r="S29" s="3">
        <f>TABL1234[[#This Row],[T/B-CON.]]+TABL1234[[#This Row],[S/S_CON.]]</f>
        <v/>
      </c>
      <c r="T29" s="3">
        <f>TABL1234[[#This Row],[(S/S) AJD]]+TABL1234[[#This Row],[(T/B) AJD]]</f>
        <v/>
      </c>
      <c r="U29" s="3" t="n"/>
      <c r="V29" s="3" t="n"/>
      <c r="W29" s="3">
        <f>TABL1234[[#This Row],[(A/B) AJD]]+TABL1234[[#This Row],[(A/S) AJD]]</f>
        <v/>
      </c>
      <c r="X29" s="3">
        <f>TABL1234[[#This Row],[( S/S+T/B) AJD]]-TABL1234[[#This Row],[(A/B + A/S) AJD]]</f>
        <v/>
      </c>
      <c r="Y29" s="4" t="n"/>
      <c r="Z29" s="3" t="n"/>
      <c r="AA29" s="3">
        <f>TABL1234[[#This Row],[(RESV. STORGE) AJD]]/10</f>
        <v/>
      </c>
      <c r="AB29" s="3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32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28" t="n"/>
      <c r="C30" s="28" t="n"/>
      <c r="D30" s="28" t="n"/>
      <c r="E30" s="28" t="n"/>
      <c r="F30" s="28" t="n"/>
      <c r="G30" s="28" t="n"/>
      <c r="H30" s="28">
        <f>103-F30</f>
        <v/>
      </c>
      <c r="I30" s="28" t="n"/>
      <c r="J30" s="28" t="n"/>
      <c r="K30" s="28">
        <f>TABL1234[[#This Row],[ (T/B) SAR]]+TABL1234[[#This Row],[ (S/S) SAR]]</f>
        <v/>
      </c>
      <c r="L30" s="28" t="n"/>
      <c r="M30" s="29" t="n"/>
      <c r="N30" s="30" t="n"/>
      <c r="O30" s="3" t="n"/>
      <c r="P30" s="3">
        <f>TABL1234[[#This Row],[ (S/S) SAR]]-TABL1234[[#This Row],[(S/S) AJD]]</f>
        <v/>
      </c>
      <c r="Q30" s="3" t="n"/>
      <c r="R30" s="3">
        <f>TABL1234[[#This Row],[ (T/B) SAR]]-TABL1234[[#This Row],[(T/B) AJD]]</f>
        <v/>
      </c>
      <c r="S30" s="3">
        <f>TABL1234[[#This Row],[T/B-CON.]]+TABL1234[[#This Row],[S/S_CON.]]</f>
        <v/>
      </c>
      <c r="T30" s="3">
        <f>TABL1234[[#This Row],[(S/S) AJD]]+TABL1234[[#This Row],[(T/B) AJD]]</f>
        <v/>
      </c>
      <c r="U30" s="3" t="n"/>
      <c r="V30" s="3" t="n"/>
      <c r="W30" s="3">
        <f>TABL1234[[#This Row],[(A/B) AJD]]+TABL1234[[#This Row],[(A/S) AJD]]</f>
        <v/>
      </c>
      <c r="X30" s="3">
        <f>TABL1234[[#This Row],[( S/S+T/B) AJD]]-TABL1234[[#This Row],[(A/B + A/S) AJD]]</f>
        <v/>
      </c>
      <c r="Y30" s="4" t="n"/>
      <c r="Z30" s="3" t="n"/>
      <c r="AA30" s="3">
        <f>TABL1234[[#This Row],[(RESV. STORGE) AJD]]/10</f>
        <v/>
      </c>
      <c r="AB30" s="3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32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28" t="n"/>
      <c r="C31" s="28" t="n"/>
      <c r="D31" s="28" t="n"/>
      <c r="E31" s="28" t="n"/>
      <c r="F31" s="28" t="n"/>
      <c r="G31" s="28" t="n"/>
      <c r="H31" s="28">
        <f>103-F31</f>
        <v/>
      </c>
      <c r="I31" s="28" t="n"/>
      <c r="J31" s="28" t="n"/>
      <c r="K31" s="28">
        <f>TABL1234[[#This Row],[ (T/B) SAR]]+TABL1234[[#This Row],[ (S/S) SAR]]</f>
        <v/>
      </c>
      <c r="L31" s="28" t="n"/>
      <c r="M31" s="29" t="n"/>
      <c r="N31" s="30" t="n"/>
      <c r="O31" s="3" t="n"/>
      <c r="P31" s="3">
        <f>TABL1234[[#This Row],[ (S/S) SAR]]-TABL1234[[#This Row],[(S/S) AJD]]</f>
        <v/>
      </c>
      <c r="Q31" s="3" t="n"/>
      <c r="R31" s="3">
        <f>TABL1234[[#This Row],[ (T/B) SAR]]-TABL1234[[#This Row],[(T/B) AJD]]</f>
        <v/>
      </c>
      <c r="S31" s="3">
        <f>TABL1234[[#This Row],[T/B-CON.]]+TABL1234[[#This Row],[S/S_CON.]]</f>
        <v/>
      </c>
      <c r="T31" s="3">
        <f>TABL1234[[#This Row],[(S/S) AJD]]+TABL1234[[#This Row],[(T/B) AJD]]</f>
        <v/>
      </c>
      <c r="U31" s="3" t="n"/>
      <c r="V31" s="3" t="n"/>
      <c r="W31" s="3">
        <f>TABL1234[[#This Row],[(A/B) AJD]]+TABL1234[[#This Row],[(A/S) AJD]]</f>
        <v/>
      </c>
      <c r="X31" s="3">
        <f>TABL1234[[#This Row],[( S/S+T/B) AJD]]-TABL1234[[#This Row],[(A/B + A/S) AJD]]</f>
        <v/>
      </c>
      <c r="Y31" s="4" t="n"/>
      <c r="Z31" s="3" t="n"/>
      <c r="AA31" s="3">
        <f>TABL1234[[#This Row],[(RESV. STORGE) AJD]]/10</f>
        <v/>
      </c>
      <c r="AB31" s="3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32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28" t="n"/>
      <c r="C32" s="28" t="n"/>
      <c r="D32" s="28" t="n"/>
      <c r="E32" s="28" t="n"/>
      <c r="F32" s="28" t="n"/>
      <c r="G32" s="28" t="n"/>
      <c r="H32" s="28">
        <f>103-F32</f>
        <v/>
      </c>
      <c r="I32" s="28" t="n"/>
      <c r="J32" s="28" t="n"/>
      <c r="K32" s="28">
        <f>TABL1234[[#This Row],[ (T/B) SAR]]+TABL1234[[#This Row],[ (S/S) SAR]]</f>
        <v/>
      </c>
      <c r="L32" s="28" t="n"/>
      <c r="M32" s="29" t="n"/>
      <c r="N32" s="30" t="n"/>
      <c r="O32" s="3" t="n"/>
      <c r="P32" s="3">
        <f>TABL1234[[#This Row],[ (S/S) SAR]]-TABL1234[[#This Row],[(S/S) AJD]]</f>
        <v/>
      </c>
      <c r="Q32" s="3" t="n"/>
      <c r="R32" s="3">
        <f>TABL1234[[#This Row],[ (T/B) SAR]]-TABL1234[[#This Row],[(T/B) AJD]]</f>
        <v/>
      </c>
      <c r="S32" s="3">
        <f>TABL1234[[#This Row],[T/B-CON.]]+TABL1234[[#This Row],[S/S_CON.]]</f>
        <v/>
      </c>
      <c r="T32" s="3">
        <f>TABL1234[[#This Row],[(S/S) AJD]]+TABL1234[[#This Row],[(T/B) AJD]]</f>
        <v/>
      </c>
      <c r="U32" s="3" t="n"/>
      <c r="V32" s="3" t="n"/>
      <c r="W32" s="3">
        <f>TABL1234[[#This Row],[(A/B) AJD]]+TABL1234[[#This Row],[(A/S) AJD]]</f>
        <v/>
      </c>
      <c r="X32" s="3">
        <f>TABL1234[[#This Row],[( S/S+T/B) AJD]]-TABL1234[[#This Row],[(A/B + A/S) AJD]]</f>
        <v/>
      </c>
      <c r="Y32" s="4" t="n"/>
      <c r="Z32" s="3" t="n"/>
      <c r="AA32" s="3">
        <f>TABL1234[[#This Row],[(RESV. STORGE) AJD]]/10</f>
        <v/>
      </c>
      <c r="AB32" s="3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32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28">
        <f>103-F33</f>
        <v/>
      </c>
      <c r="I33" s="39" t="n"/>
      <c r="J33" s="39" t="n"/>
      <c r="K33" s="28">
        <f>TABL1234[[#This Row],[ (T/B) SAR]]+TABL1234[[#This Row],[ (S/S) SAR]]</f>
        <v/>
      </c>
      <c r="L33" s="41" t="n"/>
      <c r="M33" s="42" t="n"/>
      <c r="N33" s="42" t="n"/>
      <c r="O33" s="39" t="n"/>
      <c r="P33" s="3">
        <f>TABL1234[[#This Row],[ (S/S) SAR]]-TABL1234[[#This Row],[(S/S) AJD]]</f>
        <v/>
      </c>
      <c r="Q33" s="39" t="n"/>
      <c r="R33" s="3">
        <f>TABL1234[[#This Row],[ (T/B) SAR]]-TABL1234[[#This Row],[(T/B) AJD]]</f>
        <v/>
      </c>
      <c r="S33" s="3">
        <f>TABL1234[[#This Row],[T/B-CON.]]+TABL1234[[#This Row],[S/S_CON.]]</f>
        <v/>
      </c>
      <c r="T33" s="3">
        <f>TABL1234[[#This Row],[(S/S) AJD]]+TABL1234[[#This Row],[(T/B) AJD]]</f>
        <v/>
      </c>
      <c r="U33" s="41" t="n"/>
      <c r="V33" s="41" t="n"/>
      <c r="W33" s="3">
        <f>TABL1234[[#This Row],[(A/B) AJD]]+TABL1234[[#This Row],[(A/S) AJD]]</f>
        <v/>
      </c>
      <c r="X33" s="3">
        <f>TABL1234[[#This Row],[( S/S+T/B) AJD]]-TABL1234[[#This Row],[(A/B + A/S) AJD]]</f>
        <v/>
      </c>
      <c r="Y33" s="41" t="n"/>
      <c r="Z33" s="43" t="n"/>
      <c r="AA33" s="3">
        <f>TABL1234[[#This Row],[(RESV. STORGE) AJD]]/10</f>
        <v/>
      </c>
      <c r="AB33" s="3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32" t="n"/>
      <c r="AN33" s="32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28">
        <f>103-F34</f>
        <v/>
      </c>
      <c r="I34" s="40" t="n"/>
      <c r="J34" s="44" t="n"/>
      <c r="K34" s="28">
        <f>TABL1234[[#This Row],[ (T/B) SAR]]+TABL1234[[#This Row],[ (S/S) SAR]]</f>
        <v/>
      </c>
      <c r="L34" s="45" t="n"/>
      <c r="M34" s="46" t="n"/>
      <c r="N34" s="46" t="n"/>
      <c r="O34" s="40" t="n"/>
      <c r="P34" s="3">
        <f>TABL1234[[#This Row],[ (S/S) SAR]]-TABL1234[[#This Row],[(S/S) AJD]]</f>
        <v/>
      </c>
      <c r="Q34" s="40" t="n"/>
      <c r="R34" s="3">
        <f>TABL1234[[#This Row],[ (T/B) SAR]]-TABL1234[[#This Row],[(T/B) AJD]]</f>
        <v/>
      </c>
      <c r="S34" s="3">
        <f>TABL1234[[#This Row],[T/B-CON.]]+TABL1234[[#This Row],[S/S_CON.]]</f>
        <v/>
      </c>
      <c r="T34" s="3">
        <f>TABL1234[[#This Row],[(S/S) AJD]]+TABL1234[[#This Row],[(T/B) AJD]]</f>
        <v/>
      </c>
      <c r="U34" s="44" t="n"/>
      <c r="V34" s="44" t="n"/>
      <c r="W34" s="3">
        <f>TABL1234[[#This Row],[(A/B) AJD]]+TABL1234[[#This Row],[(A/S) AJD]]</f>
        <v/>
      </c>
      <c r="X34" s="3">
        <f>TABL1234[[#This Row],[( S/S+T/B) AJD]]-TABL1234[[#This Row],[(A/B + A/S) AJD]]</f>
        <v/>
      </c>
      <c r="Y34" s="44" t="n"/>
      <c r="Z34" s="45" t="n"/>
      <c r="AA34" s="3">
        <f>TABL1234[[#This Row],[(RESV. STORGE) AJD]]/10</f>
        <v/>
      </c>
      <c r="AB34" s="3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32" t="n"/>
      <c r="AN34" s="32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28">
        <f>103-F35</f>
        <v/>
      </c>
      <c r="I35" s="39" t="n"/>
      <c r="J35" s="39" t="n"/>
      <c r="K35" s="28">
        <f>TABL1234[[#This Row],[ (T/B) SAR]]+TABL1234[[#This Row],[ (S/S) SAR]]</f>
        <v/>
      </c>
      <c r="L35" s="41" t="n"/>
      <c r="M35" s="42" t="n"/>
      <c r="N35" s="42" t="n"/>
      <c r="O35" s="39" t="n"/>
      <c r="P35" s="3">
        <f>TABL1234[[#This Row],[ (S/S) SAR]]-TABL1234[[#This Row],[(S/S) AJD]]</f>
        <v/>
      </c>
      <c r="Q35" s="39" t="n"/>
      <c r="R35" s="3">
        <f>TABL1234[[#This Row],[ (T/B) SAR]]-TABL1234[[#This Row],[(T/B) AJD]]</f>
        <v/>
      </c>
      <c r="S35" s="3">
        <f>TABL1234[[#This Row],[T/B-CON.]]+TABL1234[[#This Row],[S/S_CON.]]</f>
        <v/>
      </c>
      <c r="T35" s="3">
        <f>TABL1234[[#This Row],[(S/S) AJD]]+TABL1234[[#This Row],[(T/B) AJD]]</f>
        <v/>
      </c>
      <c r="U35" s="41" t="n"/>
      <c r="V35" s="41" t="n"/>
      <c r="W35" s="3">
        <f>TABL1234[[#This Row],[(A/B) AJD]]+TABL1234[[#This Row],[(A/S) AJD]]</f>
        <v/>
      </c>
      <c r="X35" s="3">
        <f>TABL1234[[#This Row],[( S/S+T/B) AJD]]-TABL1234[[#This Row],[(A/B + A/S) AJD]]</f>
        <v/>
      </c>
      <c r="Y35" s="41" t="n"/>
      <c r="Z35" s="43" t="n"/>
      <c r="AA35" s="3">
        <f>TABL1234[[#This Row],[(RESV. STORGE) AJD]]/10</f>
        <v/>
      </c>
      <c r="AB35" s="3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32" t="n"/>
      <c r="AN35" s="32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28">
        <f>103-F36</f>
        <v/>
      </c>
      <c r="I36" s="40" t="n"/>
      <c r="J36" s="44" t="n"/>
      <c r="K36" s="28">
        <f>TABL1234[[#This Row],[ (T/B) SAR]]+TABL1234[[#This Row],[ (S/S) SAR]]</f>
        <v/>
      </c>
      <c r="L36" s="45" t="n"/>
      <c r="M36" s="46" t="n"/>
      <c r="N36" s="46" t="n"/>
      <c r="O36" s="40" t="n"/>
      <c r="P36" s="3">
        <f>TABL1234[[#This Row],[ (S/S) SAR]]-TABL1234[[#This Row],[(S/S) AJD]]</f>
        <v/>
      </c>
      <c r="Q36" s="40" t="n"/>
      <c r="R36" s="3">
        <f>TABL1234[[#This Row],[ (T/B) SAR]]-TABL1234[[#This Row],[(T/B) AJD]]</f>
        <v/>
      </c>
      <c r="S36" s="3">
        <f>TABL1234[[#This Row],[T/B-CON.]]+TABL1234[[#This Row],[S/S_CON.]]</f>
        <v/>
      </c>
      <c r="T36" s="3">
        <f>TABL1234[[#This Row],[(S/S) AJD]]+TABL1234[[#This Row],[(T/B) AJD]]</f>
        <v/>
      </c>
      <c r="U36" s="44" t="n"/>
      <c r="V36" s="44" t="n"/>
      <c r="W36" s="3">
        <f>TABL1234[[#This Row],[(A/B) AJD]]+TABL1234[[#This Row],[(A/S) AJD]]</f>
        <v/>
      </c>
      <c r="X36" s="3">
        <f>TABL1234[[#This Row],[( S/S+T/B) AJD]]-TABL1234[[#This Row],[(A/B + A/S) AJD]]</f>
        <v/>
      </c>
      <c r="Y36" s="44" t="n"/>
      <c r="Z36" s="45" t="n"/>
      <c r="AA36" s="3">
        <f>TABL1234[[#This Row],[(RESV. STORGE) AJD]]/10</f>
        <v/>
      </c>
      <c r="AB36" s="3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32" t="n"/>
      <c r="AN36" s="32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28">
        <f>103-F37</f>
        <v/>
      </c>
      <c r="I37" s="39" t="n"/>
      <c r="J37" s="39" t="n"/>
      <c r="K37" s="28">
        <f>TABL1234[[#This Row],[ (T/B) SAR]]+TABL1234[[#This Row],[ (S/S) SAR]]</f>
        <v/>
      </c>
      <c r="L37" s="41" t="n"/>
      <c r="M37" s="42" t="n"/>
      <c r="N37" s="42" t="n"/>
      <c r="O37" s="39" t="n"/>
      <c r="P37" s="3">
        <f>TABL1234[[#This Row],[ (S/S) SAR]]-TABL1234[[#This Row],[(S/S) AJD]]</f>
        <v/>
      </c>
      <c r="Q37" s="39" t="n"/>
      <c r="R37" s="3">
        <f>TABL1234[[#This Row],[ (T/B) SAR]]-TABL1234[[#This Row],[(T/B) AJD]]</f>
        <v/>
      </c>
      <c r="S37" s="3">
        <f>TABL1234[[#This Row],[T/B-CON.]]+TABL1234[[#This Row],[S/S_CON.]]</f>
        <v/>
      </c>
      <c r="T37" s="3">
        <f>TABL1234[[#This Row],[(S/S) AJD]]+TABL1234[[#This Row],[(T/B) AJD]]</f>
        <v/>
      </c>
      <c r="U37" s="41" t="n"/>
      <c r="V37" s="41" t="n"/>
      <c r="W37" s="3">
        <f>TABL1234[[#This Row],[(A/B) AJD]]+TABL1234[[#This Row],[(A/S) AJD]]</f>
        <v/>
      </c>
      <c r="X37" s="3">
        <f>TABL1234[[#This Row],[( S/S+T/B) AJD]]-TABL1234[[#This Row],[(A/B + A/S) AJD]]</f>
        <v/>
      </c>
      <c r="Y37" s="41" t="n"/>
      <c r="Z37" s="43" t="n"/>
      <c r="AA37" s="3">
        <f>TABL1234[[#This Row],[(RESV. STORGE) AJD]]/10</f>
        <v/>
      </c>
      <c r="AB37" s="3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32" t="n"/>
      <c r="AN37" s="32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28">
        <f>103-F38</f>
        <v/>
      </c>
      <c r="I38" s="40" t="n"/>
      <c r="J38" s="44" t="n"/>
      <c r="K38" s="28">
        <f>TABL1234[[#This Row],[ (T/B) SAR]]+TABL1234[[#This Row],[ (S/S) SAR]]</f>
        <v/>
      </c>
      <c r="L38" s="45" t="n"/>
      <c r="M38" s="46" t="n"/>
      <c r="N38" s="46" t="n"/>
      <c r="O38" s="40" t="n"/>
      <c r="P38" s="3">
        <f>TABL1234[[#This Row],[ (S/S) SAR]]-TABL1234[[#This Row],[(S/S) AJD]]</f>
        <v/>
      </c>
      <c r="Q38" s="40" t="n"/>
      <c r="R38" s="3">
        <f>TABL1234[[#This Row],[ (T/B) SAR]]-TABL1234[[#This Row],[(T/B) AJD]]</f>
        <v/>
      </c>
      <c r="S38" s="3">
        <f>TABL1234[[#This Row],[T/B-CON.]]+TABL1234[[#This Row],[S/S_CON.]]</f>
        <v/>
      </c>
      <c r="T38" s="3">
        <f>TABL1234[[#This Row],[(S/S) AJD]]+TABL1234[[#This Row],[(T/B) AJD]]</f>
        <v/>
      </c>
      <c r="U38" s="44" t="n"/>
      <c r="V38" s="44" t="n"/>
      <c r="W38" s="3">
        <f>TABL1234[[#This Row],[(A/B) AJD]]+TABL1234[[#This Row],[(A/S) AJD]]</f>
        <v/>
      </c>
      <c r="X38" s="3">
        <f>TABL1234[[#This Row],[( S/S+T/B) AJD]]-TABL1234[[#This Row],[(A/B + A/S) AJD]]</f>
        <v/>
      </c>
      <c r="Y38" s="44" t="n"/>
      <c r="Z38" s="45" t="n"/>
      <c r="AA38" s="3">
        <f>TABL1234[[#This Row],[(RESV. STORGE) AJD]]/10</f>
        <v/>
      </c>
      <c r="AB38" s="3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32" t="n"/>
      <c r="AN38" s="32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28">
        <f>103-F39</f>
        <v/>
      </c>
      <c r="I39" s="39" t="n"/>
      <c r="J39" s="39" t="n"/>
      <c r="K39" s="28">
        <f>TABL1234[[#This Row],[ (T/B) SAR]]+TABL1234[[#This Row],[ (S/S) SAR]]</f>
        <v/>
      </c>
      <c r="L39" s="41" t="n"/>
      <c r="M39" s="42" t="n"/>
      <c r="N39" s="42" t="n"/>
      <c r="O39" s="39" t="n"/>
      <c r="P39" s="3">
        <f>TABL1234[[#This Row],[ (S/S) SAR]]-TABL1234[[#This Row],[(S/S) AJD]]</f>
        <v/>
      </c>
      <c r="Q39" s="39" t="n"/>
      <c r="R39" s="3">
        <f>TABL1234[[#This Row],[ (T/B) SAR]]-TABL1234[[#This Row],[(T/B) AJD]]</f>
        <v/>
      </c>
      <c r="S39" s="3">
        <f>TABL1234[[#This Row],[T/B-CON.]]+TABL1234[[#This Row],[S/S_CON.]]</f>
        <v/>
      </c>
      <c r="T39" s="3">
        <f>TABL1234[[#This Row],[(S/S) AJD]]+TABL1234[[#This Row],[(T/B) AJD]]</f>
        <v/>
      </c>
      <c r="U39" s="41" t="n"/>
      <c r="V39" s="41" t="n"/>
      <c r="W39" s="3">
        <f>TABL1234[[#This Row],[(A/B) AJD]]+TABL1234[[#This Row],[(A/S) AJD]]</f>
        <v/>
      </c>
      <c r="X39" s="3">
        <f>TABL1234[[#This Row],[( S/S+T/B) AJD]]-TABL1234[[#This Row],[(A/B + A/S) AJD]]</f>
        <v/>
      </c>
      <c r="Y39" s="41" t="n"/>
      <c r="Z39" s="43" t="n"/>
      <c r="AA39" s="3">
        <f>TABL1234[[#This Row],[(RESV. STORGE) AJD]]/10</f>
        <v/>
      </c>
      <c r="AB39" s="3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32" t="n"/>
      <c r="AN39" s="32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28">
        <f>103-F40</f>
        <v/>
      </c>
      <c r="I40" s="40" t="n"/>
      <c r="J40" s="44" t="n"/>
      <c r="K40" s="28">
        <f>TABL1234[[#This Row],[ (T/B) SAR]]+TABL1234[[#This Row],[ (S/S) SAR]]</f>
        <v/>
      </c>
      <c r="L40" s="45" t="n"/>
      <c r="M40" s="46" t="n"/>
      <c r="N40" s="46" t="n"/>
      <c r="O40" s="40" t="n"/>
      <c r="P40" s="3">
        <f>TABL1234[[#This Row],[ (S/S) SAR]]-TABL1234[[#This Row],[(S/S) AJD]]</f>
        <v/>
      </c>
      <c r="Q40" s="40" t="n"/>
      <c r="R40" s="3">
        <f>TABL1234[[#This Row],[ (T/B) SAR]]-TABL1234[[#This Row],[(T/B) AJD]]</f>
        <v/>
      </c>
      <c r="S40" s="3">
        <f>TABL1234[[#This Row],[T/B-CON.]]+TABL1234[[#This Row],[S/S_CON.]]</f>
        <v/>
      </c>
      <c r="T40" s="3">
        <f>TABL1234[[#This Row],[(S/S) AJD]]+TABL1234[[#This Row],[(T/B) AJD]]</f>
        <v/>
      </c>
      <c r="U40" s="44" t="n"/>
      <c r="V40" s="44" t="n"/>
      <c r="W40" s="3">
        <f>TABL1234[[#This Row],[(A/B) AJD]]+TABL1234[[#This Row],[(A/S) AJD]]</f>
        <v/>
      </c>
      <c r="X40" s="3">
        <f>TABL1234[[#This Row],[( S/S+T/B) AJD]]-TABL1234[[#This Row],[(A/B + A/S) AJD]]</f>
        <v/>
      </c>
      <c r="Y40" s="44" t="n"/>
      <c r="Z40" s="45" t="n"/>
      <c r="AA40" s="3">
        <f>TABL1234[[#This Row],[(RESV. STORGE) AJD]]/10</f>
        <v/>
      </c>
      <c r="AB40" s="3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32" t="n"/>
      <c r="AN40" s="32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28">
        <f>103-F41</f>
        <v/>
      </c>
      <c r="I41" s="39" t="n"/>
      <c r="J41" s="39" t="n"/>
      <c r="K41" s="28">
        <f>TABL1234[[#This Row],[ (T/B) SAR]]+TABL1234[[#This Row],[ (S/S) SAR]]</f>
        <v/>
      </c>
      <c r="L41" s="41" t="n"/>
      <c r="M41" s="42" t="n"/>
      <c r="N41" s="42" t="n"/>
      <c r="O41" s="39" t="n"/>
      <c r="P41" s="3">
        <f>TABL1234[[#This Row],[ (S/S) SAR]]-TABL1234[[#This Row],[(S/S) AJD]]</f>
        <v/>
      </c>
      <c r="Q41" s="39" t="n"/>
      <c r="R41" s="3">
        <f>TABL1234[[#This Row],[ (T/B) SAR]]-TABL1234[[#This Row],[(T/B) AJD]]</f>
        <v/>
      </c>
      <c r="S41" s="3">
        <f>TABL1234[[#This Row],[T/B-CON.]]+TABL1234[[#This Row],[S/S_CON.]]</f>
        <v/>
      </c>
      <c r="T41" s="3">
        <f>TABL1234[[#This Row],[(S/S) AJD]]+TABL1234[[#This Row],[(T/B) AJD]]</f>
        <v/>
      </c>
      <c r="U41" s="41" t="n"/>
      <c r="V41" s="41" t="n"/>
      <c r="W41" s="3">
        <f>TABL1234[[#This Row],[(A/B) AJD]]+TABL1234[[#This Row],[(A/S) AJD]]</f>
        <v/>
      </c>
      <c r="X41" s="3">
        <f>TABL1234[[#This Row],[( S/S+T/B) AJD]]-TABL1234[[#This Row],[(A/B + A/S) AJD]]</f>
        <v/>
      </c>
      <c r="Y41" s="41" t="n"/>
      <c r="Z41" s="43" t="n"/>
      <c r="AA41" s="3">
        <f>TABL1234[[#This Row],[(RESV. STORGE) AJD]]/10</f>
        <v/>
      </c>
      <c r="AB41" s="3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32" t="n"/>
      <c r="AN41" s="32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28">
        <f>103-F42</f>
        <v/>
      </c>
      <c r="I42" s="40" t="n"/>
      <c r="J42" s="44" t="n"/>
      <c r="K42" s="28">
        <f>TABL1234[[#This Row],[ (T/B) SAR]]+TABL1234[[#This Row],[ (S/S) SAR]]</f>
        <v/>
      </c>
      <c r="L42" s="45" t="n"/>
      <c r="M42" s="46" t="n"/>
      <c r="N42" s="46" t="n"/>
      <c r="O42" s="40" t="n"/>
      <c r="P42" s="3">
        <f>TABL1234[[#This Row],[ (S/S) SAR]]-TABL1234[[#This Row],[(S/S) AJD]]</f>
        <v/>
      </c>
      <c r="Q42" s="40" t="n"/>
      <c r="R42" s="3">
        <f>TABL1234[[#This Row],[ (T/B) SAR]]-TABL1234[[#This Row],[(T/B) AJD]]</f>
        <v/>
      </c>
      <c r="S42" s="3">
        <f>TABL1234[[#This Row],[T/B-CON.]]+TABL1234[[#This Row],[S/S_CON.]]</f>
        <v/>
      </c>
      <c r="T42" s="3">
        <f>TABL1234[[#This Row],[(S/S) AJD]]+TABL1234[[#This Row],[(T/B) AJD]]</f>
        <v/>
      </c>
      <c r="U42" s="44" t="n"/>
      <c r="V42" s="44" t="n"/>
      <c r="W42" s="3">
        <f>TABL1234[[#This Row],[(A/B) AJD]]+TABL1234[[#This Row],[(A/S) AJD]]</f>
        <v/>
      </c>
      <c r="X42" s="3">
        <f>TABL1234[[#This Row],[( S/S+T/B) AJD]]-TABL1234[[#This Row],[(A/B + A/S) AJD]]</f>
        <v/>
      </c>
      <c r="Y42" s="44" t="n"/>
      <c r="Z42" s="45" t="n"/>
      <c r="AA42" s="3">
        <f>TABL1234[[#This Row],[(RESV. STORGE) AJD]]/10</f>
        <v/>
      </c>
      <c r="AB42" s="3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32" t="n"/>
      <c r="AN42" s="32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28">
        <f>103-F43</f>
        <v/>
      </c>
      <c r="I43" s="39" t="n"/>
      <c r="J43" s="39" t="n"/>
      <c r="K43" s="28">
        <f>TABL1234[[#This Row],[ (T/B) SAR]]+TABL1234[[#This Row],[ (S/S) SAR]]</f>
        <v/>
      </c>
      <c r="L43" s="41" t="n"/>
      <c r="M43" s="42" t="n"/>
      <c r="N43" s="42" t="n"/>
      <c r="O43" s="39" t="n"/>
      <c r="P43" s="3">
        <f>TABL1234[[#This Row],[ (S/S) SAR]]-TABL1234[[#This Row],[(S/S) AJD]]</f>
        <v/>
      </c>
      <c r="Q43" s="39" t="n"/>
      <c r="R43" s="3">
        <f>TABL1234[[#This Row],[ (T/B) SAR]]-TABL1234[[#This Row],[(T/B) AJD]]</f>
        <v/>
      </c>
      <c r="S43" s="3">
        <f>TABL1234[[#This Row],[T/B-CON.]]+TABL1234[[#This Row],[S/S_CON.]]</f>
        <v/>
      </c>
      <c r="T43" s="3">
        <f>TABL1234[[#This Row],[(S/S) AJD]]+TABL1234[[#This Row],[(T/B) AJD]]</f>
        <v/>
      </c>
      <c r="U43" s="41" t="n"/>
      <c r="V43" s="41" t="n"/>
      <c r="W43" s="3">
        <f>TABL1234[[#This Row],[(A/B) AJD]]+TABL1234[[#This Row],[(A/S) AJD]]</f>
        <v/>
      </c>
      <c r="X43" s="3">
        <f>TABL1234[[#This Row],[( S/S+T/B) AJD]]-TABL1234[[#This Row],[(A/B + A/S) AJD]]</f>
        <v/>
      </c>
      <c r="Y43" s="41" t="n"/>
      <c r="Z43" s="43" t="n"/>
      <c r="AA43" s="3">
        <f>TABL1234[[#This Row],[(RESV. STORGE) AJD]]/10</f>
        <v/>
      </c>
      <c r="AB43" s="3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32" t="n"/>
      <c r="AN43" s="32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28">
        <f>103-F44</f>
        <v/>
      </c>
      <c r="I44" s="40" t="n"/>
      <c r="J44" s="44" t="n"/>
      <c r="K44" s="28">
        <f>TABL1234[[#This Row],[ (T/B) SAR]]+TABL1234[[#This Row],[ (S/S) SAR]]</f>
        <v/>
      </c>
      <c r="L44" s="45" t="n"/>
      <c r="M44" s="46" t="n"/>
      <c r="N44" s="46" t="n"/>
      <c r="O44" s="40" t="n"/>
      <c r="P44" s="3">
        <f>TABL1234[[#This Row],[ (S/S) SAR]]-TABL1234[[#This Row],[(S/S) AJD]]</f>
        <v/>
      </c>
      <c r="Q44" s="40" t="n"/>
      <c r="R44" s="3">
        <f>TABL1234[[#This Row],[ (T/B) SAR]]-TABL1234[[#This Row],[(T/B) AJD]]</f>
        <v/>
      </c>
      <c r="S44" s="3">
        <f>TABL1234[[#This Row],[T/B-CON.]]+TABL1234[[#This Row],[S/S_CON.]]</f>
        <v/>
      </c>
      <c r="T44" s="3">
        <f>TABL1234[[#This Row],[(S/S) AJD]]+TABL1234[[#This Row],[(T/B) AJD]]</f>
        <v/>
      </c>
      <c r="U44" s="44" t="n"/>
      <c r="V44" s="44" t="n"/>
      <c r="W44" s="3">
        <f>TABL1234[[#This Row],[(A/B) AJD]]+TABL1234[[#This Row],[(A/S) AJD]]</f>
        <v/>
      </c>
      <c r="X44" s="3">
        <f>TABL1234[[#This Row],[( S/S+T/B) AJD]]-TABL1234[[#This Row],[(A/B + A/S) AJD]]</f>
        <v/>
      </c>
      <c r="Y44" s="44" t="n"/>
      <c r="Z44" s="45" t="n"/>
      <c r="AA44" s="3">
        <f>TABL1234[[#This Row],[(RESV. STORGE) AJD]]/10</f>
        <v/>
      </c>
      <c r="AB44" s="3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32" t="n"/>
      <c r="AN44" s="32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28">
        <f>103-F45</f>
        <v/>
      </c>
      <c r="I45" s="39" t="n"/>
      <c r="J45" s="39" t="n"/>
      <c r="K45" s="28">
        <f>TABL1234[[#This Row],[ (T/B) SAR]]+TABL1234[[#This Row],[ (S/S) SAR]]</f>
        <v/>
      </c>
      <c r="L45" s="41" t="n"/>
      <c r="M45" s="42" t="n"/>
      <c r="N45" s="42" t="n"/>
      <c r="O45" s="39" t="n"/>
      <c r="P45" s="3">
        <f>TABL1234[[#This Row],[ (S/S) SAR]]-TABL1234[[#This Row],[(S/S) AJD]]</f>
        <v/>
      </c>
      <c r="Q45" s="39" t="n"/>
      <c r="R45" s="3">
        <f>TABL1234[[#This Row],[ (T/B) SAR]]-TABL1234[[#This Row],[(T/B) AJD]]</f>
        <v/>
      </c>
      <c r="S45" s="3">
        <f>TABL1234[[#This Row],[T/B-CON.]]+TABL1234[[#This Row],[S/S_CON.]]</f>
        <v/>
      </c>
      <c r="T45" s="3">
        <f>TABL1234[[#This Row],[(S/S) AJD]]+TABL1234[[#This Row],[(T/B) AJD]]</f>
        <v/>
      </c>
      <c r="U45" s="41" t="n"/>
      <c r="V45" s="41" t="n"/>
      <c r="W45" s="3">
        <f>TABL1234[[#This Row],[(A/B) AJD]]+TABL1234[[#This Row],[(A/S) AJD]]</f>
        <v/>
      </c>
      <c r="X45" s="3">
        <f>TABL1234[[#This Row],[( S/S+T/B) AJD]]-TABL1234[[#This Row],[(A/B + A/S) AJD]]</f>
        <v/>
      </c>
      <c r="Y45" s="41" t="n"/>
      <c r="Z45" s="43" t="n"/>
      <c r="AA45" s="3">
        <f>TABL1234[[#This Row],[(RESV. STORGE) AJD]]/10</f>
        <v/>
      </c>
      <c r="AB45" s="3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32" t="n"/>
      <c r="AN45" s="32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28">
        <f>103-F46</f>
        <v/>
      </c>
      <c r="I46" s="40" t="n"/>
      <c r="J46" s="44" t="n"/>
      <c r="K46" s="28">
        <f>TABL1234[[#This Row],[ (T/B) SAR]]+TABL1234[[#This Row],[ (S/S) SAR]]</f>
        <v/>
      </c>
      <c r="L46" s="45" t="n"/>
      <c r="M46" s="46" t="n"/>
      <c r="N46" s="46" t="n"/>
      <c r="O46" s="40" t="n"/>
      <c r="P46" s="3">
        <f>TABL1234[[#This Row],[ (S/S) SAR]]-TABL1234[[#This Row],[(S/S) AJD]]</f>
        <v/>
      </c>
      <c r="Q46" s="40" t="n"/>
      <c r="R46" s="3">
        <f>TABL1234[[#This Row],[ (T/B) SAR]]-TABL1234[[#This Row],[(T/B) AJD]]</f>
        <v/>
      </c>
      <c r="S46" s="3">
        <f>TABL1234[[#This Row],[T/B-CON.]]+TABL1234[[#This Row],[S/S_CON.]]</f>
        <v/>
      </c>
      <c r="T46" s="3">
        <f>TABL1234[[#This Row],[(S/S) AJD]]+TABL1234[[#This Row],[(T/B) AJD]]</f>
        <v/>
      </c>
      <c r="U46" s="44" t="n"/>
      <c r="V46" s="44" t="n"/>
      <c r="W46" s="3">
        <f>TABL1234[[#This Row],[(A/B) AJD]]+TABL1234[[#This Row],[(A/S) AJD]]</f>
        <v/>
      </c>
      <c r="X46" s="3">
        <f>TABL1234[[#This Row],[( S/S+T/B) AJD]]-TABL1234[[#This Row],[(A/B + A/S) AJD]]</f>
        <v/>
      </c>
      <c r="Y46" s="44" t="n"/>
      <c r="Z46" s="45" t="n"/>
      <c r="AA46" s="3">
        <f>TABL1234[[#This Row],[(RESV. STORGE) AJD]]/10</f>
        <v/>
      </c>
      <c r="AB46" s="3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32" t="n"/>
      <c r="AN46" s="32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28">
        <f>103-F47</f>
        <v/>
      </c>
      <c r="I47" s="39" t="n"/>
      <c r="J47" s="39" t="n"/>
      <c r="K47" s="28">
        <f>TABL1234[[#This Row],[ (T/B) SAR]]+TABL1234[[#This Row],[ (S/S) SAR]]</f>
        <v/>
      </c>
      <c r="L47" s="41" t="n"/>
      <c r="M47" s="42" t="n"/>
      <c r="N47" s="42" t="n"/>
      <c r="O47" s="39" t="n"/>
      <c r="P47" s="3">
        <f>TABL1234[[#This Row],[ (S/S) SAR]]-TABL1234[[#This Row],[(S/S) AJD]]</f>
        <v/>
      </c>
      <c r="Q47" s="39" t="n"/>
      <c r="R47" s="3">
        <f>TABL1234[[#This Row],[ (T/B) SAR]]-TABL1234[[#This Row],[(T/B) AJD]]</f>
        <v/>
      </c>
      <c r="S47" s="3">
        <f>TABL1234[[#This Row],[T/B-CON.]]+TABL1234[[#This Row],[S/S_CON.]]</f>
        <v/>
      </c>
      <c r="T47" s="3">
        <f>TABL1234[[#This Row],[(S/S) AJD]]+TABL1234[[#This Row],[(T/B) AJD]]</f>
        <v/>
      </c>
      <c r="U47" s="41" t="n"/>
      <c r="V47" s="41" t="n"/>
      <c r="W47" s="3">
        <f>TABL1234[[#This Row],[(A/B) AJD]]+TABL1234[[#This Row],[(A/S) AJD]]</f>
        <v/>
      </c>
      <c r="X47" s="3">
        <f>TABL1234[[#This Row],[( S/S+T/B) AJD]]-TABL1234[[#This Row],[(A/B + A/S) AJD]]</f>
        <v/>
      </c>
      <c r="Y47" s="41" t="n"/>
      <c r="Z47" s="43" t="n"/>
      <c r="AA47" s="3">
        <f>TABL1234[[#This Row],[(RESV. STORGE) AJD]]/10</f>
        <v/>
      </c>
      <c r="AB47" s="3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32" t="n"/>
      <c r="AN47" s="32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28">
        <f>103-F48</f>
        <v/>
      </c>
      <c r="I48" s="40" t="n"/>
      <c r="J48" s="44" t="n"/>
      <c r="K48" s="28">
        <f>TABL1234[[#This Row],[ (T/B) SAR]]+TABL1234[[#This Row],[ (S/S) SAR]]</f>
        <v/>
      </c>
      <c r="L48" s="45" t="n"/>
      <c r="M48" s="46" t="n"/>
      <c r="N48" s="46" t="n"/>
      <c r="O48" s="40" t="n"/>
      <c r="P48" s="3">
        <f>TABL1234[[#This Row],[ (S/S) SAR]]-TABL1234[[#This Row],[(S/S) AJD]]</f>
        <v/>
      </c>
      <c r="Q48" s="40" t="n"/>
      <c r="R48" s="3">
        <f>TABL1234[[#This Row],[ (T/B) SAR]]-TABL1234[[#This Row],[(T/B) AJD]]</f>
        <v/>
      </c>
      <c r="S48" s="3">
        <f>TABL1234[[#This Row],[T/B-CON.]]+TABL1234[[#This Row],[S/S_CON.]]</f>
        <v/>
      </c>
      <c r="T48" s="3">
        <f>TABL1234[[#This Row],[(S/S) AJD]]+TABL1234[[#This Row],[(T/B) AJD]]</f>
        <v/>
      </c>
      <c r="U48" s="44" t="n"/>
      <c r="V48" s="44" t="n"/>
      <c r="W48" s="3">
        <f>TABL1234[[#This Row],[(A/B) AJD]]+TABL1234[[#This Row],[(A/S) AJD]]</f>
        <v/>
      </c>
      <c r="X48" s="3">
        <f>TABL1234[[#This Row],[( S/S+T/B) AJD]]-TABL1234[[#This Row],[(A/B + A/S) AJD]]</f>
        <v/>
      </c>
      <c r="Y48" s="44" t="n"/>
      <c r="Z48" s="45" t="n"/>
      <c r="AA48" s="3">
        <f>TABL1234[[#This Row],[(RESV. STORGE) AJD]]/10</f>
        <v/>
      </c>
      <c r="AB48" s="3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32" t="n"/>
      <c r="AN48" s="32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28">
        <f>103-F49</f>
        <v/>
      </c>
      <c r="I49" s="39" t="n"/>
      <c r="J49" s="39" t="n"/>
      <c r="K49" s="28">
        <f>TABL1234[[#This Row],[ (T/B) SAR]]+TABL1234[[#This Row],[ (S/S) SAR]]</f>
        <v/>
      </c>
      <c r="L49" s="41" t="n"/>
      <c r="M49" s="42" t="n"/>
      <c r="N49" s="42" t="n"/>
      <c r="O49" s="39" t="n"/>
      <c r="P49" s="3">
        <f>TABL1234[[#This Row],[ (S/S) SAR]]-TABL1234[[#This Row],[(S/S) AJD]]</f>
        <v/>
      </c>
      <c r="Q49" s="39" t="n"/>
      <c r="R49" s="3">
        <f>TABL1234[[#This Row],[ (T/B) SAR]]-TABL1234[[#This Row],[(T/B) AJD]]</f>
        <v/>
      </c>
      <c r="S49" s="3">
        <f>TABL1234[[#This Row],[T/B-CON.]]+TABL1234[[#This Row],[S/S_CON.]]</f>
        <v/>
      </c>
      <c r="T49" s="3">
        <f>TABL1234[[#This Row],[(S/S) AJD]]+TABL1234[[#This Row],[(T/B) AJD]]</f>
        <v/>
      </c>
      <c r="U49" s="41" t="n"/>
      <c r="V49" s="41" t="n"/>
      <c r="W49" s="3">
        <f>TABL1234[[#This Row],[(A/B) AJD]]+TABL1234[[#This Row],[(A/S) AJD]]</f>
        <v/>
      </c>
      <c r="X49" s="3">
        <f>TABL1234[[#This Row],[( S/S+T/B) AJD]]-TABL1234[[#This Row],[(A/B + A/S) AJD]]</f>
        <v/>
      </c>
      <c r="Y49" s="41" t="n"/>
      <c r="Z49" s="43" t="n"/>
      <c r="AA49" s="3">
        <f>TABL1234[[#This Row],[(RESV. STORGE) AJD]]/10</f>
        <v/>
      </c>
      <c r="AB49" s="3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32" t="n"/>
      <c r="AN49" s="32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28">
        <f>103-F50</f>
        <v/>
      </c>
      <c r="I50" s="40" t="n"/>
      <c r="J50" s="44" t="n"/>
      <c r="K50" s="28">
        <f>TABL1234[[#This Row],[ (T/B) SAR]]+TABL1234[[#This Row],[ (S/S) SAR]]</f>
        <v/>
      </c>
      <c r="L50" s="45" t="n"/>
      <c r="M50" s="46" t="n"/>
      <c r="N50" s="46" t="n"/>
      <c r="O50" s="40" t="n"/>
      <c r="P50" s="3">
        <f>TABL1234[[#This Row],[ (S/S) SAR]]-TABL1234[[#This Row],[(S/S) AJD]]</f>
        <v/>
      </c>
      <c r="Q50" s="40" t="n"/>
      <c r="R50" s="3">
        <f>TABL1234[[#This Row],[ (T/B) SAR]]-TABL1234[[#This Row],[(T/B) AJD]]</f>
        <v/>
      </c>
      <c r="S50" s="3">
        <f>TABL1234[[#This Row],[T/B-CON.]]+TABL1234[[#This Row],[S/S_CON.]]</f>
        <v/>
      </c>
      <c r="T50" s="3">
        <f>TABL1234[[#This Row],[(S/S) AJD]]+TABL1234[[#This Row],[(T/B) AJD]]</f>
        <v/>
      </c>
      <c r="U50" s="44" t="n"/>
      <c r="V50" s="44" t="n"/>
      <c r="W50" s="3">
        <f>TABL1234[[#This Row],[(A/B) AJD]]+TABL1234[[#This Row],[(A/S) AJD]]</f>
        <v/>
      </c>
      <c r="X50" s="3">
        <f>TABL1234[[#This Row],[( S/S+T/B) AJD]]-TABL1234[[#This Row],[(A/B + A/S) AJD]]</f>
        <v/>
      </c>
      <c r="Y50" s="44" t="n"/>
      <c r="Z50" s="45" t="n"/>
      <c r="AA50" s="3">
        <f>TABL1234[[#This Row],[(RESV. STORGE) AJD]]/10</f>
        <v/>
      </c>
      <c r="AB50" s="3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32" t="n"/>
      <c r="AN50" s="32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28">
        <f>103-F51</f>
        <v/>
      </c>
      <c r="I51" s="39" t="n"/>
      <c r="J51" s="39" t="n"/>
      <c r="K51" s="28">
        <f>TABL1234[[#This Row],[ (T/B) SAR]]+TABL1234[[#This Row],[ (S/S) SAR]]</f>
        <v/>
      </c>
      <c r="L51" s="41" t="n"/>
      <c r="M51" s="42" t="n"/>
      <c r="N51" s="42" t="n"/>
      <c r="O51" s="39" t="n"/>
      <c r="P51" s="3">
        <f>TABL1234[[#This Row],[ (S/S) SAR]]-TABL1234[[#This Row],[(S/S) AJD]]</f>
        <v/>
      </c>
      <c r="Q51" s="39" t="n"/>
      <c r="R51" s="3">
        <f>TABL1234[[#This Row],[ (T/B) SAR]]-TABL1234[[#This Row],[(T/B) AJD]]</f>
        <v/>
      </c>
      <c r="S51" s="3">
        <f>TABL1234[[#This Row],[T/B-CON.]]+TABL1234[[#This Row],[S/S_CON.]]</f>
        <v/>
      </c>
      <c r="T51" s="3">
        <f>TABL1234[[#This Row],[(S/S) AJD]]+TABL1234[[#This Row],[(T/B) AJD]]</f>
        <v/>
      </c>
      <c r="U51" s="41" t="n"/>
      <c r="V51" s="41" t="n"/>
      <c r="W51" s="3">
        <f>TABL1234[[#This Row],[(A/B) AJD]]+TABL1234[[#This Row],[(A/S) AJD]]</f>
        <v/>
      </c>
      <c r="X51" s="3">
        <f>TABL1234[[#This Row],[( S/S+T/B) AJD]]-TABL1234[[#This Row],[(A/B + A/S) AJD]]</f>
        <v/>
      </c>
      <c r="Y51" s="41" t="n"/>
      <c r="Z51" s="43" t="n"/>
      <c r="AA51" s="3">
        <f>TABL1234[[#This Row],[(RESV. STORGE) AJD]]/10</f>
        <v/>
      </c>
      <c r="AB51" s="3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32" t="n"/>
      <c r="AN51" s="32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28">
        <f>103-F52</f>
        <v/>
      </c>
      <c r="I52" s="40" t="n"/>
      <c r="J52" s="44" t="n"/>
      <c r="K52" s="28">
        <f>TABL1234[[#This Row],[ (T/B) SAR]]+TABL1234[[#This Row],[ (S/S) SAR]]</f>
        <v/>
      </c>
      <c r="L52" s="45" t="n"/>
      <c r="M52" s="46" t="n"/>
      <c r="N52" s="46" t="n"/>
      <c r="O52" s="40" t="n"/>
      <c r="P52" s="3">
        <f>TABL1234[[#This Row],[ (S/S) SAR]]-TABL1234[[#This Row],[(S/S) AJD]]</f>
        <v/>
      </c>
      <c r="Q52" s="40" t="n"/>
      <c r="R52" s="3">
        <f>TABL1234[[#This Row],[ (T/B) SAR]]-TABL1234[[#This Row],[(T/B) AJD]]</f>
        <v/>
      </c>
      <c r="S52" s="3">
        <f>TABL1234[[#This Row],[T/B-CON.]]+TABL1234[[#This Row],[S/S_CON.]]</f>
        <v/>
      </c>
      <c r="T52" s="3">
        <f>TABL1234[[#This Row],[(S/S) AJD]]+TABL1234[[#This Row],[(T/B) AJD]]</f>
        <v/>
      </c>
      <c r="U52" s="44" t="n"/>
      <c r="V52" s="44" t="n"/>
      <c r="W52" s="3">
        <f>TABL1234[[#This Row],[(A/B) AJD]]+TABL1234[[#This Row],[(A/S) AJD]]</f>
        <v/>
      </c>
      <c r="X52" s="3">
        <f>TABL1234[[#This Row],[( S/S+T/B) AJD]]-TABL1234[[#This Row],[(A/B + A/S) AJD]]</f>
        <v/>
      </c>
      <c r="Y52" s="44" t="n"/>
      <c r="Z52" s="45" t="n"/>
      <c r="AA52" s="3">
        <f>TABL1234[[#This Row],[(RESV. STORGE) AJD]]/10</f>
        <v/>
      </c>
      <c r="AB52" s="3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32" t="n"/>
      <c r="AN52" s="32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28">
        <f>103-F53</f>
        <v/>
      </c>
      <c r="I53" s="39" t="n"/>
      <c r="J53" s="39" t="n"/>
      <c r="K53" s="28">
        <f>TABL1234[[#This Row],[ (T/B) SAR]]+TABL1234[[#This Row],[ (S/S) SAR]]</f>
        <v/>
      </c>
      <c r="L53" s="41" t="n"/>
      <c r="M53" s="42" t="n"/>
      <c r="N53" s="42" t="n"/>
      <c r="O53" s="39" t="n"/>
      <c r="P53" s="3">
        <f>TABL1234[[#This Row],[ (S/S) SAR]]-TABL1234[[#This Row],[(S/S) AJD]]</f>
        <v/>
      </c>
      <c r="Q53" s="39" t="n"/>
      <c r="R53" s="3">
        <f>TABL1234[[#This Row],[ (T/B) SAR]]-TABL1234[[#This Row],[(T/B) AJD]]</f>
        <v/>
      </c>
      <c r="S53" s="3">
        <f>TABL1234[[#This Row],[T/B-CON.]]+TABL1234[[#This Row],[S/S_CON.]]</f>
        <v/>
      </c>
      <c r="T53" s="3">
        <f>TABL1234[[#This Row],[(S/S) AJD]]+TABL1234[[#This Row],[(T/B) AJD]]</f>
        <v/>
      </c>
      <c r="U53" s="41" t="n"/>
      <c r="V53" s="41" t="n"/>
      <c r="W53" s="3">
        <f>TABL1234[[#This Row],[(A/B) AJD]]+TABL1234[[#This Row],[(A/S) AJD]]</f>
        <v/>
      </c>
      <c r="X53" s="3">
        <f>TABL1234[[#This Row],[( S/S+T/B) AJD]]-TABL1234[[#This Row],[(A/B + A/S) AJD]]</f>
        <v/>
      </c>
      <c r="Y53" s="41" t="n"/>
      <c r="Z53" s="43" t="n"/>
      <c r="AA53" s="3">
        <f>TABL1234[[#This Row],[(RESV. STORGE) AJD]]/10</f>
        <v/>
      </c>
      <c r="AB53" s="3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32" t="n"/>
      <c r="AN53" s="32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28">
        <f>103-F54</f>
        <v/>
      </c>
      <c r="I54" s="40" t="n"/>
      <c r="J54" s="44" t="n"/>
      <c r="K54" s="28">
        <f>TABL1234[[#This Row],[ (T/B) SAR]]+TABL1234[[#This Row],[ (S/S) SAR]]</f>
        <v/>
      </c>
      <c r="L54" s="45" t="n"/>
      <c r="M54" s="46" t="n"/>
      <c r="N54" s="46" t="n"/>
      <c r="O54" s="40" t="n"/>
      <c r="P54" s="3">
        <f>TABL1234[[#This Row],[ (S/S) SAR]]-TABL1234[[#This Row],[(S/S) AJD]]</f>
        <v/>
      </c>
      <c r="Q54" s="40" t="n"/>
      <c r="R54" s="3">
        <f>TABL1234[[#This Row],[ (T/B) SAR]]-TABL1234[[#This Row],[(T/B) AJD]]</f>
        <v/>
      </c>
      <c r="S54" s="3">
        <f>TABL1234[[#This Row],[T/B-CON.]]+TABL1234[[#This Row],[S/S_CON.]]</f>
        <v/>
      </c>
      <c r="T54" s="3">
        <f>TABL1234[[#This Row],[(S/S) AJD]]+TABL1234[[#This Row],[(T/B) AJD]]</f>
        <v/>
      </c>
      <c r="U54" s="44" t="n"/>
      <c r="V54" s="44" t="n"/>
      <c r="W54" s="3">
        <f>TABL1234[[#This Row],[(A/B) AJD]]+TABL1234[[#This Row],[(A/S) AJD]]</f>
        <v/>
      </c>
      <c r="X54" s="3">
        <f>TABL1234[[#This Row],[( S/S+T/B) AJD]]-TABL1234[[#This Row],[(A/B + A/S) AJD]]</f>
        <v/>
      </c>
      <c r="Y54" s="44" t="n"/>
      <c r="Z54" s="45" t="n"/>
      <c r="AA54" s="3">
        <f>TABL1234[[#This Row],[(RESV. STORGE) AJD]]/10</f>
        <v/>
      </c>
      <c r="AB54" s="3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32" t="n"/>
      <c r="AN54" s="32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28">
        <f>103-F55</f>
        <v/>
      </c>
      <c r="I55" s="39" t="n"/>
      <c r="J55" s="39" t="n"/>
      <c r="K55" s="28">
        <f>TABL1234[[#This Row],[ (T/B) SAR]]+TABL1234[[#This Row],[ (S/S) SAR]]</f>
        <v/>
      </c>
      <c r="L55" s="41" t="n"/>
      <c r="M55" s="42" t="n"/>
      <c r="N55" s="42" t="n"/>
      <c r="O55" s="39" t="n"/>
      <c r="P55" s="3">
        <f>TABL1234[[#This Row],[ (S/S) SAR]]-TABL1234[[#This Row],[(S/S) AJD]]</f>
        <v/>
      </c>
      <c r="Q55" s="39" t="n"/>
      <c r="R55" s="3">
        <f>TABL1234[[#This Row],[ (T/B) SAR]]-TABL1234[[#This Row],[(T/B) AJD]]</f>
        <v/>
      </c>
      <c r="S55" s="3">
        <f>TABL1234[[#This Row],[T/B-CON.]]+TABL1234[[#This Row],[S/S_CON.]]</f>
        <v/>
      </c>
      <c r="T55" s="3">
        <f>TABL1234[[#This Row],[(S/S) AJD]]+TABL1234[[#This Row],[(T/B) AJD]]</f>
        <v/>
      </c>
      <c r="U55" s="41" t="n"/>
      <c r="V55" s="41" t="n"/>
      <c r="W55" s="3">
        <f>TABL1234[[#This Row],[(A/B) AJD]]+TABL1234[[#This Row],[(A/S) AJD]]</f>
        <v/>
      </c>
      <c r="X55" s="3">
        <f>TABL1234[[#This Row],[( S/S+T/B) AJD]]-TABL1234[[#This Row],[(A/B + A/S) AJD]]</f>
        <v/>
      </c>
      <c r="Y55" s="41" t="n"/>
      <c r="Z55" s="43" t="n"/>
      <c r="AA55" s="3">
        <f>TABL1234[[#This Row],[(RESV. STORGE) AJD]]/10</f>
        <v/>
      </c>
      <c r="AB55" s="3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32" t="n"/>
      <c r="AN55" s="32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28">
        <f>103-F56</f>
        <v/>
      </c>
      <c r="I56" s="40" t="n"/>
      <c r="J56" s="44" t="n"/>
      <c r="K56" s="28">
        <f>TABL1234[[#This Row],[ (T/B) SAR]]+TABL1234[[#This Row],[ (S/S) SAR]]</f>
        <v/>
      </c>
      <c r="L56" s="45" t="n"/>
      <c r="M56" s="46" t="n"/>
      <c r="N56" s="46" t="n"/>
      <c r="O56" s="40" t="n"/>
      <c r="P56" s="3">
        <f>TABL1234[[#This Row],[ (S/S) SAR]]-TABL1234[[#This Row],[(S/S) AJD]]</f>
        <v/>
      </c>
      <c r="Q56" s="40" t="n"/>
      <c r="R56" s="3">
        <f>TABL1234[[#This Row],[ (T/B) SAR]]-TABL1234[[#This Row],[(T/B) AJD]]</f>
        <v/>
      </c>
      <c r="S56" s="3">
        <f>TABL1234[[#This Row],[T/B-CON.]]+TABL1234[[#This Row],[S/S_CON.]]</f>
        <v/>
      </c>
      <c r="T56" s="3">
        <f>TABL1234[[#This Row],[(S/S) AJD]]+TABL1234[[#This Row],[(T/B) AJD]]</f>
        <v/>
      </c>
      <c r="U56" s="44" t="n"/>
      <c r="V56" s="44" t="n"/>
      <c r="W56" s="3">
        <f>TABL1234[[#This Row],[(A/B) AJD]]+TABL1234[[#This Row],[(A/S) AJD]]</f>
        <v/>
      </c>
      <c r="X56" s="3">
        <f>TABL1234[[#This Row],[( S/S+T/B) AJD]]-TABL1234[[#This Row],[(A/B + A/S) AJD]]</f>
        <v/>
      </c>
      <c r="Y56" s="44" t="n"/>
      <c r="Z56" s="45" t="n"/>
      <c r="AA56" s="3">
        <f>TABL1234[[#This Row],[(RESV. STORGE) AJD]]/10</f>
        <v/>
      </c>
      <c r="AB56" s="3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32" t="n"/>
      <c r="AN56" s="32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28">
        <f>103-F57</f>
        <v/>
      </c>
      <c r="I57" s="39" t="n"/>
      <c r="J57" s="39" t="n"/>
      <c r="K57" s="28">
        <f>TABL1234[[#This Row],[ (T/B) SAR]]+TABL1234[[#This Row],[ (S/S) SAR]]</f>
        <v/>
      </c>
      <c r="L57" s="41" t="n"/>
      <c r="M57" s="42" t="n"/>
      <c r="N57" s="42" t="n"/>
      <c r="O57" s="39" t="n"/>
      <c r="P57" s="3">
        <f>TABL1234[[#This Row],[ (S/S) SAR]]-TABL1234[[#This Row],[(S/S) AJD]]</f>
        <v/>
      </c>
      <c r="Q57" s="39" t="n"/>
      <c r="R57" s="3">
        <f>TABL1234[[#This Row],[ (T/B) SAR]]-TABL1234[[#This Row],[(T/B) AJD]]</f>
        <v/>
      </c>
      <c r="S57" s="3">
        <f>TABL1234[[#This Row],[T/B-CON.]]+TABL1234[[#This Row],[S/S_CON.]]</f>
        <v/>
      </c>
      <c r="T57" s="3">
        <f>TABL1234[[#This Row],[(S/S) AJD]]+TABL1234[[#This Row],[(T/B) AJD]]</f>
        <v/>
      </c>
      <c r="U57" s="41" t="n"/>
      <c r="V57" s="41" t="n"/>
      <c r="W57" s="3">
        <f>TABL1234[[#This Row],[(A/B) AJD]]+TABL1234[[#This Row],[(A/S) AJD]]</f>
        <v/>
      </c>
      <c r="X57" s="3">
        <f>TABL1234[[#This Row],[( S/S+T/B) AJD]]-TABL1234[[#This Row],[(A/B + A/S) AJD]]</f>
        <v/>
      </c>
      <c r="Y57" s="41" t="n"/>
      <c r="Z57" s="43" t="n"/>
      <c r="AA57" s="3">
        <f>TABL1234[[#This Row],[(RESV. STORGE) AJD]]/10</f>
        <v/>
      </c>
      <c r="AB57" s="3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32" t="n"/>
      <c r="AN57" s="32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28">
        <f>103-F58</f>
        <v/>
      </c>
      <c r="I58" s="40" t="n"/>
      <c r="J58" s="44" t="n"/>
      <c r="K58" s="28">
        <f>TABL1234[[#This Row],[ (T/B) SAR]]+TABL1234[[#This Row],[ (S/S) SAR]]</f>
        <v/>
      </c>
      <c r="L58" s="45" t="n"/>
      <c r="M58" s="46" t="n"/>
      <c r="N58" s="46" t="n"/>
      <c r="O58" s="40" t="n"/>
      <c r="P58" s="3">
        <f>TABL1234[[#This Row],[ (S/S) SAR]]-TABL1234[[#This Row],[(S/S) AJD]]</f>
        <v/>
      </c>
      <c r="Q58" s="40" t="n"/>
      <c r="R58" s="3">
        <f>TABL1234[[#This Row],[ (T/B) SAR]]-TABL1234[[#This Row],[(T/B) AJD]]</f>
        <v/>
      </c>
      <c r="S58" s="3">
        <f>TABL1234[[#This Row],[T/B-CON.]]+TABL1234[[#This Row],[S/S_CON.]]</f>
        <v/>
      </c>
      <c r="T58" s="3">
        <f>TABL1234[[#This Row],[(S/S) AJD]]+TABL1234[[#This Row],[(T/B) AJD]]</f>
        <v/>
      </c>
      <c r="U58" s="44" t="n"/>
      <c r="V58" s="44" t="n"/>
      <c r="W58" s="3">
        <f>TABL1234[[#This Row],[(A/B) AJD]]+TABL1234[[#This Row],[(A/S) AJD]]</f>
        <v/>
      </c>
      <c r="X58" s="3">
        <f>TABL1234[[#This Row],[( S/S+T/B) AJD]]-TABL1234[[#This Row],[(A/B + A/S) AJD]]</f>
        <v/>
      </c>
      <c r="Y58" s="44" t="n"/>
      <c r="Z58" s="45" t="n"/>
      <c r="AA58" s="3">
        <f>TABL1234[[#This Row],[(RESV. STORGE) AJD]]/10</f>
        <v/>
      </c>
      <c r="AB58" s="3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32" t="n"/>
      <c r="AN58" s="32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28">
        <f>103-F59</f>
        <v/>
      </c>
      <c r="I59" s="39" t="n"/>
      <c r="J59" s="39" t="n"/>
      <c r="K59" s="28">
        <f>TABL1234[[#This Row],[ (T/B) SAR]]+TABL1234[[#This Row],[ (S/S) SAR]]</f>
        <v/>
      </c>
      <c r="L59" s="41" t="n"/>
      <c r="M59" s="42" t="n"/>
      <c r="N59" s="42" t="n"/>
      <c r="O59" s="39" t="n"/>
      <c r="P59" s="3">
        <f>TABL1234[[#This Row],[ (S/S) SAR]]-TABL1234[[#This Row],[(S/S) AJD]]</f>
        <v/>
      </c>
      <c r="Q59" s="39" t="n"/>
      <c r="R59" s="3">
        <f>TABL1234[[#This Row],[ (T/B) SAR]]-TABL1234[[#This Row],[(T/B) AJD]]</f>
        <v/>
      </c>
      <c r="S59" s="3">
        <f>TABL1234[[#This Row],[T/B-CON.]]+TABL1234[[#This Row],[S/S_CON.]]</f>
        <v/>
      </c>
      <c r="T59" s="3">
        <f>TABL1234[[#This Row],[(S/S) AJD]]+TABL1234[[#This Row],[(T/B) AJD]]</f>
        <v/>
      </c>
      <c r="U59" s="41" t="n"/>
      <c r="V59" s="41" t="n"/>
      <c r="W59" s="3">
        <f>TABL1234[[#This Row],[(A/B) AJD]]+TABL1234[[#This Row],[(A/S) AJD]]</f>
        <v/>
      </c>
      <c r="X59" s="3">
        <f>TABL1234[[#This Row],[( S/S+T/B) AJD]]-TABL1234[[#This Row],[(A/B + A/S) AJD]]</f>
        <v/>
      </c>
      <c r="Y59" s="41" t="n"/>
      <c r="Z59" s="43" t="n"/>
      <c r="AA59" s="3">
        <f>TABL1234[[#This Row],[(RESV. STORGE) AJD]]/10</f>
        <v/>
      </c>
      <c r="AB59" s="3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32" t="n"/>
      <c r="AN59" s="32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28">
        <f>103-F60</f>
        <v/>
      </c>
      <c r="I60" s="40" t="n"/>
      <c r="J60" s="44" t="n"/>
      <c r="K60" s="28">
        <f>TABL1234[[#This Row],[ (T/B) SAR]]+TABL1234[[#This Row],[ (S/S) SAR]]</f>
        <v/>
      </c>
      <c r="L60" s="45" t="n"/>
      <c r="M60" s="46" t="n"/>
      <c r="N60" s="46" t="n"/>
      <c r="O60" s="40" t="n"/>
      <c r="P60" s="3">
        <f>TABL1234[[#This Row],[ (S/S) SAR]]-TABL1234[[#This Row],[(S/S) AJD]]</f>
        <v/>
      </c>
      <c r="Q60" s="40" t="n"/>
      <c r="R60" s="3">
        <f>TABL1234[[#This Row],[ (T/B) SAR]]-TABL1234[[#This Row],[(T/B) AJD]]</f>
        <v/>
      </c>
      <c r="S60" s="3">
        <f>TABL1234[[#This Row],[T/B-CON.]]+TABL1234[[#This Row],[S/S_CON.]]</f>
        <v/>
      </c>
      <c r="T60" s="3">
        <f>TABL1234[[#This Row],[(S/S) AJD]]+TABL1234[[#This Row],[(T/B) AJD]]</f>
        <v/>
      </c>
      <c r="U60" s="44" t="n"/>
      <c r="V60" s="44" t="n"/>
      <c r="W60" s="3">
        <f>TABL1234[[#This Row],[(A/B) AJD]]+TABL1234[[#This Row],[(A/S) AJD]]</f>
        <v/>
      </c>
      <c r="X60" s="3">
        <f>TABL1234[[#This Row],[( S/S+T/B) AJD]]-TABL1234[[#This Row],[(A/B + A/S) AJD]]</f>
        <v/>
      </c>
      <c r="Y60" s="44" t="n"/>
      <c r="Z60" s="45" t="n"/>
      <c r="AA60" s="3">
        <f>TABL1234[[#This Row],[(RESV. STORGE) AJD]]/10</f>
        <v/>
      </c>
      <c r="AB60" s="3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32" t="n"/>
      <c r="AN60" s="32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28">
        <f>103-F61</f>
        <v/>
      </c>
      <c r="I61" s="39" t="n"/>
      <c r="J61" s="39" t="n"/>
      <c r="K61" s="28">
        <f>TABL1234[[#This Row],[ (T/B) SAR]]+TABL1234[[#This Row],[ (S/S) SAR]]</f>
        <v/>
      </c>
      <c r="L61" s="41" t="n"/>
      <c r="M61" s="42" t="n"/>
      <c r="N61" s="42" t="n"/>
      <c r="O61" s="39" t="n"/>
      <c r="P61" s="3">
        <f>TABL1234[[#This Row],[ (S/S) SAR]]-TABL1234[[#This Row],[(S/S) AJD]]</f>
        <v/>
      </c>
      <c r="Q61" s="39" t="n"/>
      <c r="R61" s="3">
        <f>TABL1234[[#This Row],[ (T/B) SAR]]-TABL1234[[#This Row],[(T/B) AJD]]</f>
        <v/>
      </c>
      <c r="S61" s="3">
        <f>TABL1234[[#This Row],[T/B-CON.]]+TABL1234[[#This Row],[S/S_CON.]]</f>
        <v/>
      </c>
      <c r="T61" s="3">
        <f>TABL1234[[#This Row],[(S/S) AJD]]+TABL1234[[#This Row],[(T/B) AJD]]</f>
        <v/>
      </c>
      <c r="U61" s="41" t="n"/>
      <c r="V61" s="41" t="n"/>
      <c r="W61" s="3">
        <f>TABL1234[[#This Row],[(A/B) AJD]]+TABL1234[[#This Row],[(A/S) AJD]]</f>
        <v/>
      </c>
      <c r="X61" s="3">
        <f>TABL1234[[#This Row],[( S/S+T/B) AJD]]-TABL1234[[#This Row],[(A/B + A/S) AJD]]</f>
        <v/>
      </c>
      <c r="Y61" s="41" t="n"/>
      <c r="Z61" s="43" t="n"/>
      <c r="AA61" s="3">
        <f>TABL1234[[#This Row],[(RESV. STORGE) AJD]]/10</f>
        <v/>
      </c>
      <c r="AB61" s="3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32" t="n"/>
      <c r="AN61" s="32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28">
        <f>103-F62</f>
        <v/>
      </c>
      <c r="I62" s="40" t="n"/>
      <c r="J62" s="44" t="n"/>
      <c r="K62" s="28">
        <f>TABL1234[[#This Row],[ (T/B) SAR]]+TABL1234[[#This Row],[ (S/S) SAR]]</f>
        <v/>
      </c>
      <c r="L62" s="45" t="n"/>
      <c r="M62" s="46" t="n"/>
      <c r="N62" s="46" t="n"/>
      <c r="O62" s="40" t="n"/>
      <c r="P62" s="3">
        <f>TABL1234[[#This Row],[ (S/S) SAR]]-TABL1234[[#This Row],[(S/S) AJD]]</f>
        <v/>
      </c>
      <c r="Q62" s="40" t="n"/>
      <c r="R62" s="3">
        <f>TABL1234[[#This Row],[ (T/B) SAR]]-TABL1234[[#This Row],[(T/B) AJD]]</f>
        <v/>
      </c>
      <c r="S62" s="3">
        <f>TABL1234[[#This Row],[T/B-CON.]]+TABL1234[[#This Row],[S/S_CON.]]</f>
        <v/>
      </c>
      <c r="T62" s="3">
        <f>TABL1234[[#This Row],[(S/S) AJD]]+TABL1234[[#This Row],[(T/B) AJD]]</f>
        <v/>
      </c>
      <c r="U62" s="44" t="n"/>
      <c r="V62" s="44" t="n"/>
      <c r="W62" s="3">
        <f>TABL1234[[#This Row],[(A/B) AJD]]+TABL1234[[#This Row],[(A/S) AJD]]</f>
        <v/>
      </c>
      <c r="X62" s="3">
        <f>TABL1234[[#This Row],[( S/S+T/B) AJD]]-TABL1234[[#This Row],[(A/B + A/S) AJD]]</f>
        <v/>
      </c>
      <c r="Y62" s="44" t="n"/>
      <c r="Z62" s="45" t="n"/>
      <c r="AA62" s="3">
        <f>TABL1234[[#This Row],[(RESV. STORGE) AJD]]/10</f>
        <v/>
      </c>
      <c r="AB62" s="3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32" t="n"/>
      <c r="AN62" s="32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28">
        <f>103-F63</f>
        <v/>
      </c>
      <c r="I63" s="39" t="n"/>
      <c r="J63" s="39" t="n"/>
      <c r="K63" s="28">
        <f>TABL1234[[#This Row],[ (T/B) SAR]]+TABL1234[[#This Row],[ (S/S) SAR]]</f>
        <v/>
      </c>
      <c r="L63" s="41" t="n"/>
      <c r="M63" s="42" t="n"/>
      <c r="N63" s="42" t="n"/>
      <c r="O63" s="39" t="n"/>
      <c r="P63" s="3">
        <f>TABL1234[[#This Row],[ (S/S) SAR]]-TABL1234[[#This Row],[(S/S) AJD]]</f>
        <v/>
      </c>
      <c r="Q63" s="39" t="n"/>
      <c r="R63" s="3">
        <f>TABL1234[[#This Row],[ (T/B) SAR]]-TABL1234[[#This Row],[(T/B) AJD]]</f>
        <v/>
      </c>
      <c r="S63" s="3">
        <f>TABL1234[[#This Row],[T/B-CON.]]+TABL1234[[#This Row],[S/S_CON.]]</f>
        <v/>
      </c>
      <c r="T63" s="3">
        <f>TABL1234[[#This Row],[(S/S) AJD]]+TABL1234[[#This Row],[(T/B) AJD]]</f>
        <v/>
      </c>
      <c r="U63" s="41" t="n"/>
      <c r="V63" s="41" t="n"/>
      <c r="W63" s="3">
        <f>TABL1234[[#This Row],[(A/B) AJD]]+TABL1234[[#This Row],[(A/S) AJD]]</f>
        <v/>
      </c>
      <c r="X63" s="3">
        <f>TABL1234[[#This Row],[( S/S+T/B) AJD]]-TABL1234[[#This Row],[(A/B + A/S) AJD]]</f>
        <v/>
      </c>
      <c r="Y63" s="41" t="n"/>
      <c r="Z63" s="43" t="n"/>
      <c r="AA63" s="3">
        <f>TABL1234[[#This Row],[(RESV. STORGE) AJD]]/10</f>
        <v/>
      </c>
      <c r="AB63" s="3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32" t="n"/>
      <c r="AN63" s="32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28" t="n"/>
      <c r="F64" s="44" t="n"/>
      <c r="G64" s="40" t="n"/>
      <c r="H64" s="28">
        <f>103-F64</f>
        <v/>
      </c>
      <c r="I64" s="40" t="n"/>
      <c r="J64" s="44" t="n"/>
      <c r="K64" s="28">
        <f>TABL1234[[#This Row],[ (T/B) SAR]]+TABL1234[[#This Row],[ (S/S) SAR]]</f>
        <v/>
      </c>
      <c r="L64" s="45" t="n"/>
      <c r="M64" s="46" t="n"/>
      <c r="N64" s="46" t="n"/>
      <c r="O64" s="40" t="n"/>
      <c r="P64" s="3">
        <f>TABL1234[[#This Row],[ (S/S) SAR]]-TABL1234[[#This Row],[(S/S) AJD]]</f>
        <v/>
      </c>
      <c r="Q64" s="40" t="n"/>
      <c r="R64" s="3">
        <f>TABL1234[[#This Row],[ (T/B) SAR]]-TABL1234[[#This Row],[(T/B) AJD]]</f>
        <v/>
      </c>
      <c r="S64" s="3">
        <f>TABL1234[[#This Row],[T/B-CON.]]+TABL1234[[#This Row],[S/S_CON.]]</f>
        <v/>
      </c>
      <c r="T64" s="3">
        <f>TABL1234[[#This Row],[(S/S) AJD]]+TABL1234[[#This Row],[(T/B) AJD]]</f>
        <v/>
      </c>
      <c r="U64" s="44" t="n"/>
      <c r="V64" s="44" t="n"/>
      <c r="W64" s="3">
        <f>TABL1234[[#This Row],[(A/B) AJD]]+TABL1234[[#This Row],[(A/S) AJD]]</f>
        <v/>
      </c>
      <c r="X64" s="3">
        <f>TABL1234[[#This Row],[( S/S+T/B) AJD]]-TABL1234[[#This Row],[(A/B + A/S) AJD]]</f>
        <v/>
      </c>
      <c r="Y64" s="44" t="n"/>
      <c r="Z64" s="45" t="n"/>
      <c r="AA64" s="3">
        <f>TABL1234[[#This Row],[(RESV. STORGE) AJD]]/10</f>
        <v/>
      </c>
      <c r="AB64" s="3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32" t="n"/>
      <c r="AN64" s="32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28" t="n"/>
      <c r="F65" s="41" t="n"/>
      <c r="G65" s="39" t="n"/>
      <c r="H65" s="28">
        <f>103-F65</f>
        <v/>
      </c>
      <c r="I65" s="39" t="n"/>
      <c r="J65" s="39" t="n"/>
      <c r="K65" s="28">
        <f>TABL1234[[#This Row],[ (T/B) SAR]]+TABL1234[[#This Row],[ (S/S) SAR]]</f>
        <v/>
      </c>
      <c r="L65" s="41" t="n"/>
      <c r="M65" s="42" t="n"/>
      <c r="N65" s="42" t="n"/>
      <c r="O65" s="39" t="n"/>
      <c r="P65" s="3">
        <f>TABL1234[[#This Row],[ (S/S) SAR]]-TABL1234[[#This Row],[(S/S) AJD]]</f>
        <v/>
      </c>
      <c r="Q65" s="39" t="n"/>
      <c r="R65" s="3">
        <f>TABL1234[[#This Row],[ (T/B) SAR]]-TABL1234[[#This Row],[(T/B) AJD]]</f>
        <v/>
      </c>
      <c r="S65" s="3">
        <f>TABL1234[[#This Row],[T/B-CON.]]+TABL1234[[#This Row],[S/S_CON.]]</f>
        <v/>
      </c>
      <c r="T65" s="3">
        <f>TABL1234[[#This Row],[(S/S) AJD]]+TABL1234[[#This Row],[(T/B) AJD]]</f>
        <v/>
      </c>
      <c r="U65" s="41" t="n"/>
      <c r="V65" s="41" t="n"/>
      <c r="W65" s="3">
        <f>TABL1234[[#This Row],[(A/B) AJD]]+TABL1234[[#This Row],[(A/S) AJD]]</f>
        <v/>
      </c>
      <c r="X65" s="3">
        <f>TABL1234[[#This Row],[( S/S+T/B) AJD]]-TABL1234[[#This Row],[(A/B + A/S) AJD]]</f>
        <v/>
      </c>
      <c r="Y65" s="41" t="n"/>
      <c r="Z65" s="43" t="n"/>
      <c r="AA65" s="3">
        <f>TABL1234[[#This Row],[(RESV. STORGE) AJD]]/10</f>
        <v/>
      </c>
      <c r="AB65" s="3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32" t="n"/>
      <c r="AN65" s="32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28" t="n"/>
      <c r="F66" s="44" t="n"/>
      <c r="G66" s="40" t="n"/>
      <c r="H66" s="28">
        <f>103-F66</f>
        <v/>
      </c>
      <c r="I66" s="40" t="n"/>
      <c r="J66" s="44" t="n"/>
      <c r="K66" s="28">
        <f>TABL1234[[#This Row],[ (T/B) SAR]]+TABL1234[[#This Row],[ (S/S) SAR]]</f>
        <v/>
      </c>
      <c r="L66" s="45" t="n"/>
      <c r="M66" s="46" t="n"/>
      <c r="N66" s="46" t="n"/>
      <c r="O66" s="40" t="n"/>
      <c r="P66" s="3">
        <f>TABL1234[[#This Row],[ (S/S) SAR]]-TABL1234[[#This Row],[(S/S) AJD]]</f>
        <v/>
      </c>
      <c r="Q66" s="40" t="n"/>
      <c r="R66" s="3">
        <f>TABL1234[[#This Row],[ (T/B) SAR]]-TABL1234[[#This Row],[(T/B) AJD]]</f>
        <v/>
      </c>
      <c r="S66" s="3">
        <f>TABL1234[[#This Row],[T/B-CON.]]+TABL1234[[#This Row],[S/S_CON.]]</f>
        <v/>
      </c>
      <c r="T66" s="3">
        <f>TABL1234[[#This Row],[(S/S) AJD]]+TABL1234[[#This Row],[(T/B) AJD]]</f>
        <v/>
      </c>
      <c r="U66" s="44" t="n"/>
      <c r="V66" s="44" t="n"/>
      <c r="W66" s="3">
        <f>TABL1234[[#This Row],[(A/B) AJD]]+TABL1234[[#This Row],[(A/S) AJD]]</f>
        <v/>
      </c>
      <c r="X66" s="3">
        <f>TABL1234[[#This Row],[( S/S+T/B) AJD]]-TABL1234[[#This Row],[(A/B + A/S) AJD]]</f>
        <v/>
      </c>
      <c r="Y66" s="44" t="n"/>
      <c r="Z66" s="45" t="n"/>
      <c r="AA66" s="3">
        <f>TABL1234[[#This Row],[(RESV. STORGE) AJD]]/10</f>
        <v/>
      </c>
      <c r="AB66" s="3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32" t="n"/>
      <c r="AN66" s="32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28" t="n"/>
      <c r="F67" s="41" t="n"/>
      <c r="G67" s="39" t="n"/>
      <c r="H67" s="28">
        <f>103-F67</f>
        <v/>
      </c>
      <c r="I67" s="39" t="n"/>
      <c r="J67" s="39" t="n"/>
      <c r="K67" s="28">
        <f>TABL1234[[#This Row],[ (T/B) SAR]]+TABL1234[[#This Row],[ (S/S) SAR]]</f>
        <v/>
      </c>
      <c r="L67" s="41" t="n"/>
      <c r="M67" s="42" t="n"/>
      <c r="N67" s="42" t="n"/>
      <c r="O67" s="39" t="n"/>
      <c r="P67" s="3">
        <f>TABL1234[[#This Row],[ (S/S) SAR]]-TABL1234[[#This Row],[(S/S) AJD]]</f>
        <v/>
      </c>
      <c r="Q67" s="39" t="n"/>
      <c r="R67" s="3">
        <f>TABL1234[[#This Row],[ (T/B) SAR]]-TABL1234[[#This Row],[(T/B) AJD]]</f>
        <v/>
      </c>
      <c r="S67" s="3">
        <f>TABL1234[[#This Row],[T/B-CON.]]+TABL1234[[#This Row],[S/S_CON.]]</f>
        <v/>
      </c>
      <c r="T67" s="3">
        <f>TABL1234[[#This Row],[(S/S) AJD]]+TABL1234[[#This Row],[(T/B) AJD]]</f>
        <v/>
      </c>
      <c r="U67" s="41" t="n"/>
      <c r="V67" s="41" t="n"/>
      <c r="W67" s="3">
        <f>TABL1234[[#This Row],[(A/B) AJD]]+TABL1234[[#This Row],[(A/S) AJD]]</f>
        <v/>
      </c>
      <c r="X67" s="3">
        <f>TABL1234[[#This Row],[( S/S+T/B) AJD]]-TABL1234[[#This Row],[(A/B + A/S) AJD]]</f>
        <v/>
      </c>
      <c r="Y67" s="41" t="n"/>
      <c r="Z67" s="43" t="n"/>
      <c r="AA67" s="3">
        <f>TABL1234[[#This Row],[(RESV. STORGE) AJD]]/10</f>
        <v/>
      </c>
      <c r="AB67" s="3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32" t="n"/>
      <c r="AN67" s="32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28" t="n"/>
      <c r="F68" s="44" t="n"/>
      <c r="G68" s="40" t="n"/>
      <c r="H68" s="28">
        <f>103-F68</f>
        <v/>
      </c>
      <c r="I68" s="40" t="n"/>
      <c r="J68" s="44" t="n"/>
      <c r="K68" s="28">
        <f>TABL1234[[#This Row],[ (T/B) SAR]]+TABL1234[[#This Row],[ (S/S) SAR]]</f>
        <v/>
      </c>
      <c r="L68" s="45" t="n"/>
      <c r="M68" s="46" t="n"/>
      <c r="N68" s="46" t="n"/>
      <c r="O68" s="40" t="n"/>
      <c r="P68" s="3">
        <f>TABL1234[[#This Row],[ (S/S) SAR]]-TABL1234[[#This Row],[(S/S) AJD]]</f>
        <v/>
      </c>
      <c r="Q68" s="40" t="n"/>
      <c r="R68" s="3">
        <f>TABL1234[[#This Row],[ (T/B) SAR]]-TABL1234[[#This Row],[(T/B) AJD]]</f>
        <v/>
      </c>
      <c r="S68" s="3">
        <f>TABL1234[[#This Row],[T/B-CON.]]+TABL1234[[#This Row],[S/S_CON.]]</f>
        <v/>
      </c>
      <c r="T68" s="3">
        <f>TABL1234[[#This Row],[(S/S) AJD]]+TABL1234[[#This Row],[(T/B) AJD]]</f>
        <v/>
      </c>
      <c r="U68" s="44" t="n"/>
      <c r="V68" s="44" t="n"/>
      <c r="W68" s="3">
        <f>TABL1234[[#This Row],[(A/B) AJD]]+TABL1234[[#This Row],[(A/S) AJD]]</f>
        <v/>
      </c>
      <c r="X68" s="3">
        <f>TABL1234[[#This Row],[( S/S+T/B) AJD]]-TABL1234[[#This Row],[(A/B + A/S) AJD]]</f>
        <v/>
      </c>
      <c r="Y68" s="44" t="n"/>
      <c r="Z68" s="45" t="n"/>
      <c r="AA68" s="3">
        <f>TABL1234[[#This Row],[(RESV. STORGE) AJD]]/10</f>
        <v/>
      </c>
      <c r="AB68" s="3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32" t="n"/>
      <c r="AN68" s="32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28" t="n"/>
      <c r="F69" s="41" t="n"/>
      <c r="G69" s="39" t="n"/>
      <c r="H69" s="28">
        <f>103-F69</f>
        <v/>
      </c>
      <c r="I69" s="39" t="n"/>
      <c r="J69" s="39" t="n"/>
      <c r="K69" s="28">
        <f>TABL1234[[#This Row],[ (T/B) SAR]]+TABL1234[[#This Row],[ (S/S) SAR]]</f>
        <v/>
      </c>
      <c r="L69" s="41" t="n"/>
      <c r="M69" s="42" t="n"/>
      <c r="N69" s="42" t="n"/>
      <c r="O69" s="39" t="n"/>
      <c r="P69" s="3">
        <f>TABL1234[[#This Row],[ (S/S) SAR]]-TABL1234[[#This Row],[(S/S) AJD]]</f>
        <v/>
      </c>
      <c r="Q69" s="39" t="n"/>
      <c r="R69" s="3">
        <f>TABL1234[[#This Row],[ (T/B) SAR]]-TABL1234[[#This Row],[(T/B) AJD]]</f>
        <v/>
      </c>
      <c r="S69" s="3">
        <f>TABL1234[[#This Row],[T/B-CON.]]+TABL1234[[#This Row],[S/S_CON.]]</f>
        <v/>
      </c>
      <c r="T69" s="3">
        <f>TABL1234[[#This Row],[(S/S) AJD]]+TABL1234[[#This Row],[(T/B) AJD]]</f>
        <v/>
      </c>
      <c r="U69" s="41" t="n"/>
      <c r="V69" s="41" t="n"/>
      <c r="W69" s="3">
        <f>TABL1234[[#This Row],[(A/B) AJD]]+TABL1234[[#This Row],[(A/S) AJD]]</f>
        <v/>
      </c>
      <c r="X69" s="3">
        <f>TABL1234[[#This Row],[( S/S+T/B) AJD]]-TABL1234[[#This Row],[(A/B + A/S) AJD]]</f>
        <v/>
      </c>
      <c r="Y69" s="41" t="n"/>
      <c r="Z69" s="43" t="n"/>
      <c r="AA69" s="3">
        <f>TABL1234[[#This Row],[(RESV. STORGE) AJD]]/10</f>
        <v/>
      </c>
      <c r="AB69" s="3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32" t="n"/>
      <c r="AN69" s="32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28" t="n"/>
      <c r="F70" s="44" t="n"/>
      <c r="G70" s="40" t="n"/>
      <c r="H70" s="28">
        <f>103-F70</f>
        <v/>
      </c>
      <c r="I70" s="40" t="n"/>
      <c r="J70" s="44" t="n"/>
      <c r="K70" s="28">
        <f>TABL1234[[#This Row],[ (T/B) SAR]]+TABL1234[[#This Row],[ (S/S) SAR]]</f>
        <v/>
      </c>
      <c r="L70" s="45" t="n"/>
      <c r="M70" s="46" t="n"/>
      <c r="N70" s="46" t="n"/>
      <c r="O70" s="40" t="n"/>
      <c r="P70" s="3">
        <f>TABL1234[[#This Row],[ (S/S) SAR]]-TABL1234[[#This Row],[(S/S) AJD]]</f>
        <v/>
      </c>
      <c r="Q70" s="40" t="n"/>
      <c r="R70" s="3">
        <f>TABL1234[[#This Row],[ (T/B) SAR]]-TABL1234[[#This Row],[(T/B) AJD]]</f>
        <v/>
      </c>
      <c r="S70" s="3">
        <f>TABL1234[[#This Row],[T/B-CON.]]+TABL1234[[#This Row],[S/S_CON.]]</f>
        <v/>
      </c>
      <c r="T70" s="3">
        <f>TABL1234[[#This Row],[(S/S) AJD]]+TABL1234[[#This Row],[(T/B) AJD]]</f>
        <v/>
      </c>
      <c r="U70" s="44" t="n"/>
      <c r="V70" s="44" t="n"/>
      <c r="W70" s="3">
        <f>TABL1234[[#This Row],[(A/B) AJD]]+TABL1234[[#This Row],[(A/S) AJD]]</f>
        <v/>
      </c>
      <c r="X70" s="3">
        <f>TABL1234[[#This Row],[( S/S+T/B) AJD]]-TABL1234[[#This Row],[(A/B + A/S) AJD]]</f>
        <v/>
      </c>
      <c r="Y70" s="44" t="n"/>
      <c r="Z70" s="45" t="n"/>
      <c r="AA70" s="3">
        <f>TABL1234[[#This Row],[(RESV. STORGE) AJD]]/10</f>
        <v/>
      </c>
      <c r="AB70" s="3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32" t="n"/>
      <c r="AN70" s="32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28" t="n"/>
      <c r="F71" s="41" t="n"/>
      <c r="G71" s="39" t="n"/>
      <c r="H71" s="28">
        <f>103-F71</f>
        <v/>
      </c>
      <c r="I71" s="39" t="n"/>
      <c r="J71" s="39" t="n"/>
      <c r="K71" s="28">
        <f>TABL1234[[#This Row],[ (T/B) SAR]]+TABL1234[[#This Row],[ (S/S) SAR]]</f>
        <v/>
      </c>
      <c r="L71" s="41" t="n"/>
      <c r="M71" s="42" t="n"/>
      <c r="N71" s="42" t="n"/>
      <c r="O71" s="39" t="n"/>
      <c r="P71" s="3">
        <f>TABL1234[[#This Row],[ (S/S) SAR]]-TABL1234[[#This Row],[(S/S) AJD]]</f>
        <v/>
      </c>
      <c r="Q71" s="39" t="n"/>
      <c r="R71" s="3">
        <f>TABL1234[[#This Row],[ (T/B) SAR]]-TABL1234[[#This Row],[(T/B) AJD]]</f>
        <v/>
      </c>
      <c r="S71" s="3">
        <f>TABL1234[[#This Row],[T/B-CON.]]+TABL1234[[#This Row],[S/S_CON.]]</f>
        <v/>
      </c>
      <c r="T71" s="3">
        <f>TABL1234[[#This Row],[(S/S) AJD]]+TABL1234[[#This Row],[(T/B) AJD]]</f>
        <v/>
      </c>
      <c r="U71" s="41" t="n"/>
      <c r="V71" s="41" t="n"/>
      <c r="W71" s="3">
        <f>TABL1234[[#This Row],[(A/B) AJD]]+TABL1234[[#This Row],[(A/S) AJD]]</f>
        <v/>
      </c>
      <c r="X71" s="3">
        <f>TABL1234[[#This Row],[( S/S+T/B) AJD]]-TABL1234[[#This Row],[(A/B + A/S) AJD]]</f>
        <v/>
      </c>
      <c r="Y71" s="41" t="n"/>
      <c r="Z71" s="43" t="n"/>
      <c r="AA71" s="3">
        <f>TABL1234[[#This Row],[(RESV. STORGE) AJD]]/10</f>
        <v/>
      </c>
      <c r="AB71" s="3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32" t="n"/>
      <c r="AN71" s="32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28" t="n"/>
      <c r="F72" s="44" t="n"/>
      <c r="G72" s="40" t="n"/>
      <c r="H72" s="28">
        <f>103-F72</f>
        <v/>
      </c>
      <c r="I72" s="40" t="n"/>
      <c r="J72" s="44" t="n"/>
      <c r="K72" s="28">
        <f>TABL1234[[#This Row],[ (T/B) SAR]]+TABL1234[[#This Row],[ (S/S) SAR]]</f>
        <v/>
      </c>
      <c r="L72" s="45" t="n"/>
      <c r="M72" s="46" t="n"/>
      <c r="N72" s="46" t="n"/>
      <c r="O72" s="40" t="n"/>
      <c r="P72" s="3">
        <f>TABL1234[[#This Row],[ (S/S) SAR]]-TABL1234[[#This Row],[(S/S) AJD]]</f>
        <v/>
      </c>
      <c r="Q72" s="40" t="n"/>
      <c r="R72" s="3">
        <f>TABL1234[[#This Row],[ (T/B) SAR]]-TABL1234[[#This Row],[(T/B) AJD]]</f>
        <v/>
      </c>
      <c r="S72" s="3">
        <f>TABL1234[[#This Row],[T/B-CON.]]+TABL1234[[#This Row],[S/S_CON.]]</f>
        <v/>
      </c>
      <c r="T72" s="3">
        <f>TABL1234[[#This Row],[(S/S) AJD]]+TABL1234[[#This Row],[(T/B) AJD]]</f>
        <v/>
      </c>
      <c r="U72" s="44" t="n"/>
      <c r="V72" s="44" t="n"/>
      <c r="W72" s="3">
        <f>TABL1234[[#This Row],[(A/B) AJD]]+TABL1234[[#This Row],[(A/S) AJD]]</f>
        <v/>
      </c>
      <c r="X72" s="3">
        <f>TABL1234[[#This Row],[( S/S+T/B) AJD]]-TABL1234[[#This Row],[(A/B + A/S) AJD]]</f>
        <v/>
      </c>
      <c r="Y72" s="44" t="n"/>
      <c r="Z72" s="45" t="n"/>
      <c r="AA72" s="3">
        <f>TABL1234[[#This Row],[(RESV. STORGE) AJD]]/10</f>
        <v/>
      </c>
      <c r="AB72" s="3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32" t="n"/>
      <c r="AN72" s="32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28" t="n"/>
      <c r="F73" s="41" t="n"/>
      <c r="G73" s="39" t="n"/>
      <c r="H73" s="28">
        <f>103-F73</f>
        <v/>
      </c>
      <c r="I73" s="39" t="n"/>
      <c r="J73" s="39" t="n"/>
      <c r="K73" s="28">
        <f>TABL1234[[#This Row],[ (T/B) SAR]]+TABL1234[[#This Row],[ (S/S) SAR]]</f>
        <v/>
      </c>
      <c r="L73" s="41" t="n"/>
      <c r="M73" s="42" t="n"/>
      <c r="N73" s="42" t="n"/>
      <c r="O73" s="39" t="n"/>
      <c r="P73" s="3">
        <f>TABL1234[[#This Row],[ (S/S) SAR]]-TABL1234[[#This Row],[(S/S) AJD]]</f>
        <v/>
      </c>
      <c r="Q73" s="39" t="n"/>
      <c r="R73" s="3">
        <f>TABL1234[[#This Row],[ (T/B) SAR]]-TABL1234[[#This Row],[(T/B) AJD]]</f>
        <v/>
      </c>
      <c r="S73" s="3">
        <f>TABL1234[[#This Row],[T/B-CON.]]+TABL1234[[#This Row],[S/S_CON.]]</f>
        <v/>
      </c>
      <c r="T73" s="3">
        <f>TABL1234[[#This Row],[(S/S) AJD]]+TABL1234[[#This Row],[(T/B) AJD]]</f>
        <v/>
      </c>
      <c r="U73" s="41" t="n"/>
      <c r="V73" s="41" t="n"/>
      <c r="W73" s="3">
        <f>TABL1234[[#This Row],[(A/B) AJD]]+TABL1234[[#This Row],[(A/S) AJD]]</f>
        <v/>
      </c>
      <c r="X73" s="3">
        <f>TABL1234[[#This Row],[( S/S+T/B) AJD]]-TABL1234[[#This Row],[(A/B + A/S) AJD]]</f>
        <v/>
      </c>
      <c r="Y73" s="41" t="n"/>
      <c r="Z73" s="43" t="n"/>
      <c r="AA73" s="3">
        <f>TABL1234[[#This Row],[(RESV. STORGE) AJD]]/10</f>
        <v/>
      </c>
      <c r="AB73" s="3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32" t="n"/>
      <c r="AN73" s="32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28" t="n"/>
      <c r="F74" s="44" t="n"/>
      <c r="G74" s="40" t="n"/>
      <c r="H74" s="28">
        <f>103-F74</f>
        <v/>
      </c>
      <c r="I74" s="40" t="n"/>
      <c r="J74" s="44" t="n"/>
      <c r="K74" s="28">
        <f>TABL1234[[#This Row],[ (T/B) SAR]]+TABL1234[[#This Row],[ (S/S) SAR]]</f>
        <v/>
      </c>
      <c r="L74" s="45" t="n"/>
      <c r="M74" s="46" t="n"/>
      <c r="N74" s="46" t="n"/>
      <c r="O74" s="40" t="n"/>
      <c r="P74" s="3">
        <f>TABL1234[[#This Row],[ (S/S) SAR]]-TABL1234[[#This Row],[(S/S) AJD]]</f>
        <v/>
      </c>
      <c r="Q74" s="40" t="n"/>
      <c r="R74" s="3">
        <f>TABL1234[[#This Row],[ (T/B) SAR]]-TABL1234[[#This Row],[(T/B) AJD]]</f>
        <v/>
      </c>
      <c r="S74" s="3">
        <f>TABL1234[[#This Row],[T/B-CON.]]+TABL1234[[#This Row],[S/S_CON.]]</f>
        <v/>
      </c>
      <c r="T74" s="3">
        <f>TABL1234[[#This Row],[(S/S) AJD]]+TABL1234[[#This Row],[(T/B) AJD]]</f>
        <v/>
      </c>
      <c r="U74" s="44" t="n"/>
      <c r="V74" s="44" t="n"/>
      <c r="W74" s="3">
        <f>TABL1234[[#This Row],[(A/B) AJD]]+TABL1234[[#This Row],[(A/S) AJD]]</f>
        <v/>
      </c>
      <c r="X74" s="3">
        <f>TABL1234[[#This Row],[( S/S+T/B) AJD]]-TABL1234[[#This Row],[(A/B + A/S) AJD]]</f>
        <v/>
      </c>
      <c r="Y74" s="44" t="n"/>
      <c r="Z74" s="45" t="n"/>
      <c r="AA74" s="3">
        <f>TABL1234[[#This Row],[(RESV. STORGE) AJD]]/10</f>
        <v/>
      </c>
      <c r="AB74" s="3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32" t="n"/>
      <c r="AN74" s="32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28" t="n"/>
      <c r="F75" s="41" t="n"/>
      <c r="G75" s="39" t="n"/>
      <c r="H75" s="28">
        <f>103-F75</f>
        <v/>
      </c>
      <c r="I75" s="39" t="n"/>
      <c r="J75" s="39" t="n"/>
      <c r="K75" s="28">
        <f>TABL1234[[#This Row],[ (T/B) SAR]]+TABL1234[[#This Row],[ (S/S) SAR]]</f>
        <v/>
      </c>
      <c r="L75" s="41" t="n"/>
      <c r="M75" s="42" t="n"/>
      <c r="N75" s="42" t="n"/>
      <c r="O75" s="39" t="n"/>
      <c r="P75" s="3">
        <f>TABL1234[[#This Row],[ (S/S) SAR]]-TABL1234[[#This Row],[(S/S) AJD]]</f>
        <v/>
      </c>
      <c r="Q75" s="39" t="n"/>
      <c r="R75" s="3">
        <f>TABL1234[[#This Row],[ (T/B) SAR]]-TABL1234[[#This Row],[(T/B) AJD]]</f>
        <v/>
      </c>
      <c r="S75" s="3">
        <f>TABL1234[[#This Row],[T/B-CON.]]+TABL1234[[#This Row],[S/S_CON.]]</f>
        <v/>
      </c>
      <c r="T75" s="3">
        <f>TABL1234[[#This Row],[(S/S) AJD]]+TABL1234[[#This Row],[(T/B) AJD]]</f>
        <v/>
      </c>
      <c r="U75" s="41" t="n"/>
      <c r="V75" s="41" t="n"/>
      <c r="W75" s="3">
        <f>TABL1234[[#This Row],[(A/B) AJD]]+TABL1234[[#This Row],[(A/S) AJD]]</f>
        <v/>
      </c>
      <c r="X75" s="3">
        <f>TABL1234[[#This Row],[( S/S+T/B) AJD]]-TABL1234[[#This Row],[(A/B + A/S) AJD]]</f>
        <v/>
      </c>
      <c r="Y75" s="41" t="n"/>
      <c r="Z75" s="43" t="n"/>
      <c r="AA75" s="3">
        <f>TABL1234[[#This Row],[(RESV. STORGE) AJD]]/10</f>
        <v/>
      </c>
      <c r="AB75" s="3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32" t="n"/>
      <c r="AN75" s="32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28" t="n"/>
      <c r="F76" s="44" t="n"/>
      <c r="G76" s="40" t="n"/>
      <c r="H76" s="28">
        <f>103-F76</f>
        <v/>
      </c>
      <c r="I76" s="40" t="n"/>
      <c r="J76" s="44" t="n"/>
      <c r="K76" s="28">
        <f>TABL1234[[#This Row],[ (T/B) SAR]]+TABL1234[[#This Row],[ (S/S) SAR]]</f>
        <v/>
      </c>
      <c r="L76" s="45" t="n"/>
      <c r="M76" s="46" t="n"/>
      <c r="N76" s="46" t="n"/>
      <c r="O76" s="40" t="n"/>
      <c r="P76" s="3">
        <f>TABL1234[[#This Row],[ (S/S) SAR]]-TABL1234[[#This Row],[(S/S) AJD]]</f>
        <v/>
      </c>
      <c r="Q76" s="40" t="n"/>
      <c r="R76" s="3">
        <f>TABL1234[[#This Row],[ (T/B) SAR]]-TABL1234[[#This Row],[(T/B) AJD]]</f>
        <v/>
      </c>
      <c r="S76" s="3">
        <f>TABL1234[[#This Row],[T/B-CON.]]+TABL1234[[#This Row],[S/S_CON.]]</f>
        <v/>
      </c>
      <c r="T76" s="3">
        <f>TABL1234[[#This Row],[(S/S) AJD]]+TABL1234[[#This Row],[(T/B) AJD]]</f>
        <v/>
      </c>
      <c r="U76" s="44" t="n"/>
      <c r="V76" s="44" t="n"/>
      <c r="W76" s="3">
        <f>TABL1234[[#This Row],[(A/B) AJD]]+TABL1234[[#This Row],[(A/S) AJD]]</f>
        <v/>
      </c>
      <c r="X76" s="3">
        <f>TABL1234[[#This Row],[( S/S+T/B) AJD]]-TABL1234[[#This Row],[(A/B + A/S) AJD]]</f>
        <v/>
      </c>
      <c r="Y76" s="44" t="n"/>
      <c r="Z76" s="45" t="n"/>
      <c r="AA76" s="3">
        <f>TABL1234[[#This Row],[(RESV. STORGE) AJD]]/10</f>
        <v/>
      </c>
      <c r="AB76" s="3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32" t="n"/>
      <c r="AN76" s="32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28" t="n"/>
      <c r="F77" s="41" t="n"/>
      <c r="G77" s="39" t="n"/>
      <c r="H77" s="28">
        <f>103-F77</f>
        <v/>
      </c>
      <c r="I77" s="39" t="n"/>
      <c r="J77" s="39" t="n"/>
      <c r="K77" s="28">
        <f>TABL1234[[#This Row],[ (T/B) SAR]]+TABL1234[[#This Row],[ (S/S) SAR]]</f>
        <v/>
      </c>
      <c r="L77" s="41" t="n"/>
      <c r="M77" s="42" t="n"/>
      <c r="N77" s="42" t="n"/>
      <c r="O77" s="39" t="n"/>
      <c r="P77" s="3">
        <f>TABL1234[[#This Row],[ (S/S) SAR]]-TABL1234[[#This Row],[(S/S) AJD]]</f>
        <v/>
      </c>
      <c r="Q77" s="39" t="n"/>
      <c r="R77" s="3">
        <f>TABL1234[[#This Row],[ (T/B) SAR]]-TABL1234[[#This Row],[(T/B) AJD]]</f>
        <v/>
      </c>
      <c r="S77" s="3">
        <f>TABL1234[[#This Row],[T/B-CON.]]+TABL1234[[#This Row],[S/S_CON.]]</f>
        <v/>
      </c>
      <c r="T77" s="3">
        <f>TABL1234[[#This Row],[(S/S) AJD]]+TABL1234[[#This Row],[(T/B) AJD]]</f>
        <v/>
      </c>
      <c r="U77" s="41" t="n"/>
      <c r="V77" s="41" t="n"/>
      <c r="W77" s="3">
        <f>TABL1234[[#This Row],[(A/B) AJD]]+TABL1234[[#This Row],[(A/S) AJD]]</f>
        <v/>
      </c>
      <c r="X77" s="3">
        <f>TABL1234[[#This Row],[( S/S+T/B) AJD]]-TABL1234[[#This Row],[(A/B + A/S) AJD]]</f>
        <v/>
      </c>
      <c r="Y77" s="41" t="n"/>
      <c r="Z77" s="43" t="n"/>
      <c r="AA77" s="3">
        <f>TABL1234[[#This Row],[(RESV. STORGE) AJD]]/10</f>
        <v/>
      </c>
      <c r="AB77" s="3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32" t="n"/>
      <c r="AN77" s="32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28" t="n"/>
      <c r="F78" s="44" t="n"/>
      <c r="G78" s="40" t="n"/>
      <c r="H78" s="28">
        <f>103-F78</f>
        <v/>
      </c>
      <c r="I78" s="40" t="n"/>
      <c r="J78" s="44" t="n"/>
      <c r="K78" s="28">
        <f>TABL1234[[#This Row],[ (T/B) SAR]]+TABL1234[[#This Row],[ (S/S) SAR]]</f>
        <v/>
      </c>
      <c r="L78" s="45" t="n"/>
      <c r="M78" s="46" t="n"/>
      <c r="N78" s="46" t="n"/>
      <c r="O78" s="40" t="n"/>
      <c r="P78" s="3">
        <f>TABL1234[[#This Row],[ (S/S) SAR]]-TABL1234[[#This Row],[(S/S) AJD]]</f>
        <v/>
      </c>
      <c r="Q78" s="40" t="n"/>
      <c r="R78" s="3">
        <f>TABL1234[[#This Row],[ (T/B) SAR]]-TABL1234[[#This Row],[(T/B) AJD]]</f>
        <v/>
      </c>
      <c r="S78" s="3">
        <f>TABL1234[[#This Row],[T/B-CON.]]+TABL1234[[#This Row],[S/S_CON.]]</f>
        <v/>
      </c>
      <c r="T78" s="3">
        <f>TABL1234[[#This Row],[(S/S) AJD]]+TABL1234[[#This Row],[(T/B) AJD]]</f>
        <v/>
      </c>
      <c r="U78" s="44" t="n"/>
      <c r="V78" s="44" t="n"/>
      <c r="W78" s="3">
        <f>TABL1234[[#This Row],[(A/B) AJD]]+TABL1234[[#This Row],[(A/S) AJD]]</f>
        <v/>
      </c>
      <c r="X78" s="3">
        <f>TABL1234[[#This Row],[( S/S+T/B) AJD]]-TABL1234[[#This Row],[(A/B + A/S) AJD]]</f>
        <v/>
      </c>
      <c r="Y78" s="44" t="n"/>
      <c r="Z78" s="45" t="n"/>
      <c r="AA78" s="3">
        <f>TABL1234[[#This Row],[(RESV. STORGE) AJD]]/10</f>
        <v/>
      </c>
      <c r="AB78" s="3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32" t="n"/>
      <c r="AN78" s="32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28" t="n"/>
      <c r="F79" s="41" t="n"/>
      <c r="G79" s="39" t="n"/>
      <c r="H79" s="28">
        <f>103-F79</f>
        <v/>
      </c>
      <c r="I79" s="39" t="n"/>
      <c r="J79" s="39" t="n"/>
      <c r="K79" s="28">
        <f>TABL1234[[#This Row],[ (T/B) SAR]]+TABL1234[[#This Row],[ (S/S) SAR]]</f>
        <v/>
      </c>
      <c r="L79" s="41" t="n"/>
      <c r="M79" s="42" t="n"/>
      <c r="N79" s="42" t="n"/>
      <c r="O79" s="39" t="n"/>
      <c r="P79" s="3">
        <f>TABL1234[[#This Row],[ (S/S) SAR]]-TABL1234[[#This Row],[(S/S) AJD]]</f>
        <v/>
      </c>
      <c r="Q79" s="39" t="n"/>
      <c r="R79" s="3">
        <f>TABL1234[[#This Row],[ (T/B) SAR]]-TABL1234[[#This Row],[(T/B) AJD]]</f>
        <v/>
      </c>
      <c r="S79" s="3">
        <f>TABL1234[[#This Row],[T/B-CON.]]+TABL1234[[#This Row],[S/S_CON.]]</f>
        <v/>
      </c>
      <c r="T79" s="3">
        <f>TABL1234[[#This Row],[(S/S) AJD]]+TABL1234[[#This Row],[(T/B) AJD]]</f>
        <v/>
      </c>
      <c r="U79" s="41" t="n"/>
      <c r="V79" s="41" t="n"/>
      <c r="W79" s="3">
        <f>TABL1234[[#This Row],[(A/B) AJD]]+TABL1234[[#This Row],[(A/S) AJD]]</f>
        <v/>
      </c>
      <c r="X79" s="3">
        <f>TABL1234[[#This Row],[( S/S+T/B) AJD]]-TABL1234[[#This Row],[(A/B + A/S) AJD]]</f>
        <v/>
      </c>
      <c r="Y79" s="41" t="n"/>
      <c r="Z79" s="43" t="n"/>
      <c r="AA79" s="3">
        <f>TABL1234[[#This Row],[(RESV. STORGE) AJD]]/10</f>
        <v/>
      </c>
      <c r="AB79" s="3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32" t="n"/>
      <c r="AN79" s="32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28" t="n"/>
      <c r="F80" s="44" t="n"/>
      <c r="G80" s="40" t="n"/>
      <c r="H80" s="28">
        <f>103-F80</f>
        <v/>
      </c>
      <c r="I80" s="40" t="n"/>
      <c r="J80" s="44" t="n"/>
      <c r="K80" s="28">
        <f>TABL1234[[#This Row],[ (T/B) SAR]]+TABL1234[[#This Row],[ (S/S) SAR]]</f>
        <v/>
      </c>
      <c r="L80" s="45" t="n"/>
      <c r="M80" s="46" t="n"/>
      <c r="N80" s="46" t="n"/>
      <c r="O80" s="40" t="n"/>
      <c r="P80" s="3">
        <f>TABL1234[[#This Row],[ (S/S) SAR]]-TABL1234[[#This Row],[(S/S) AJD]]</f>
        <v/>
      </c>
      <c r="Q80" s="40" t="n"/>
      <c r="R80" s="3">
        <f>TABL1234[[#This Row],[ (T/B) SAR]]-TABL1234[[#This Row],[(T/B) AJD]]</f>
        <v/>
      </c>
      <c r="S80" s="3">
        <f>TABL1234[[#This Row],[T/B-CON.]]+TABL1234[[#This Row],[S/S_CON.]]</f>
        <v/>
      </c>
      <c r="T80" s="3">
        <f>TABL1234[[#This Row],[(S/S) AJD]]+TABL1234[[#This Row],[(T/B) AJD]]</f>
        <v/>
      </c>
      <c r="U80" s="44" t="n"/>
      <c r="V80" s="44" t="n"/>
      <c r="W80" s="3">
        <f>TABL1234[[#This Row],[(A/B) AJD]]+TABL1234[[#This Row],[(A/S) AJD]]</f>
        <v/>
      </c>
      <c r="X80" s="3">
        <f>TABL1234[[#This Row],[( S/S+T/B) AJD]]-TABL1234[[#This Row],[(A/B + A/S) AJD]]</f>
        <v/>
      </c>
      <c r="Y80" s="44" t="n"/>
      <c r="Z80" s="45" t="n"/>
      <c r="AA80" s="3">
        <f>TABL1234[[#This Row],[(RESV. STORGE) AJD]]/10</f>
        <v/>
      </c>
      <c r="AB80" s="3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32" t="n"/>
      <c r="AN80" s="32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28" t="n"/>
      <c r="F81" s="41" t="n"/>
      <c r="G81" s="39" t="n"/>
      <c r="H81" s="28">
        <f>103-F81</f>
        <v/>
      </c>
      <c r="I81" s="39" t="n"/>
      <c r="J81" s="39" t="n"/>
      <c r="K81" s="28">
        <f>TABL1234[[#This Row],[ (T/B) SAR]]+TABL1234[[#This Row],[ (S/S) SAR]]</f>
        <v/>
      </c>
      <c r="L81" s="41" t="n"/>
      <c r="M81" s="42" t="n"/>
      <c r="N81" s="42" t="n"/>
      <c r="O81" s="39" t="n"/>
      <c r="P81" s="3">
        <f>TABL1234[[#This Row],[ (S/S) SAR]]-TABL1234[[#This Row],[(S/S) AJD]]</f>
        <v/>
      </c>
      <c r="Q81" s="39" t="n"/>
      <c r="R81" s="3">
        <f>TABL1234[[#This Row],[ (T/B) SAR]]-TABL1234[[#This Row],[(T/B) AJD]]</f>
        <v/>
      </c>
      <c r="S81" s="3">
        <f>TABL1234[[#This Row],[T/B-CON.]]+TABL1234[[#This Row],[S/S_CON.]]</f>
        <v/>
      </c>
      <c r="T81" s="3">
        <f>TABL1234[[#This Row],[(S/S) AJD]]+TABL1234[[#This Row],[(T/B) AJD]]</f>
        <v/>
      </c>
      <c r="U81" s="41" t="n"/>
      <c r="V81" s="41" t="n"/>
      <c r="W81" s="3">
        <f>TABL1234[[#This Row],[(A/B) AJD]]+TABL1234[[#This Row],[(A/S) AJD]]</f>
        <v/>
      </c>
      <c r="X81" s="3">
        <f>TABL1234[[#This Row],[( S/S+T/B) AJD]]-TABL1234[[#This Row],[(A/B + A/S) AJD]]</f>
        <v/>
      </c>
      <c r="Y81" s="41" t="n"/>
      <c r="Z81" s="43" t="n"/>
      <c r="AA81" s="3">
        <f>TABL1234[[#This Row],[(RESV. STORGE) AJD]]/10</f>
        <v/>
      </c>
      <c r="AB81" s="3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32" t="n"/>
      <c r="AN81" s="32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28" t="n"/>
      <c r="F82" s="44" t="n"/>
      <c r="G82" s="40" t="n"/>
      <c r="H82" s="28">
        <f>103-F82</f>
        <v/>
      </c>
      <c r="I82" s="40" t="n"/>
      <c r="J82" s="44" t="n"/>
      <c r="K82" s="28">
        <f>TABL1234[[#This Row],[ (T/B) SAR]]+TABL1234[[#This Row],[ (S/S) SAR]]</f>
        <v/>
      </c>
      <c r="L82" s="45" t="n"/>
      <c r="M82" s="46" t="n"/>
      <c r="N82" s="46" t="n"/>
      <c r="O82" s="40" t="n"/>
      <c r="P82" s="3">
        <f>TABL1234[[#This Row],[ (S/S) SAR]]-TABL1234[[#This Row],[(S/S) AJD]]</f>
        <v/>
      </c>
      <c r="Q82" s="40" t="n"/>
      <c r="R82" s="3">
        <f>TABL1234[[#This Row],[ (T/B) SAR]]-TABL1234[[#This Row],[(T/B) AJD]]</f>
        <v/>
      </c>
      <c r="S82" s="3">
        <f>TABL1234[[#This Row],[T/B-CON.]]+TABL1234[[#This Row],[S/S_CON.]]</f>
        <v/>
      </c>
      <c r="T82" s="3">
        <f>TABL1234[[#This Row],[(S/S) AJD]]+TABL1234[[#This Row],[(T/B) AJD]]</f>
        <v/>
      </c>
      <c r="U82" s="44" t="n"/>
      <c r="V82" s="44" t="n"/>
      <c r="W82" s="3">
        <f>TABL1234[[#This Row],[(A/B) AJD]]+TABL1234[[#This Row],[(A/S) AJD]]</f>
        <v/>
      </c>
      <c r="X82" s="3">
        <f>TABL1234[[#This Row],[( S/S+T/B) AJD]]-TABL1234[[#This Row],[(A/B + A/S) AJD]]</f>
        <v/>
      </c>
      <c r="Y82" s="44" t="n"/>
      <c r="Z82" s="45" t="n"/>
      <c r="AA82" s="3">
        <f>TABL1234[[#This Row],[(RESV. STORGE) AJD]]/10</f>
        <v/>
      </c>
      <c r="AB82" s="3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32" t="n"/>
      <c r="AN82" s="32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28" t="n"/>
      <c r="F83" s="41" t="n"/>
      <c r="G83" s="39" t="n"/>
      <c r="H83" s="28">
        <f>103-F83</f>
        <v/>
      </c>
      <c r="I83" s="39" t="n"/>
      <c r="J83" s="39" t="n"/>
      <c r="K83" s="28">
        <f>TABL1234[[#This Row],[ (T/B) SAR]]+TABL1234[[#This Row],[ (S/S) SAR]]</f>
        <v/>
      </c>
      <c r="L83" s="41" t="n"/>
      <c r="M83" s="42" t="n"/>
      <c r="N83" s="42" t="n"/>
      <c r="O83" s="39" t="n"/>
      <c r="P83" s="3">
        <f>TABL1234[[#This Row],[ (S/S) SAR]]-TABL1234[[#This Row],[(S/S) AJD]]</f>
        <v/>
      </c>
      <c r="Q83" s="39" t="n"/>
      <c r="R83" s="3">
        <f>TABL1234[[#This Row],[ (T/B) SAR]]-TABL1234[[#This Row],[(T/B) AJD]]</f>
        <v/>
      </c>
      <c r="S83" s="3">
        <f>TABL1234[[#This Row],[T/B-CON.]]+TABL1234[[#This Row],[S/S_CON.]]</f>
        <v/>
      </c>
      <c r="T83" s="3">
        <f>TABL1234[[#This Row],[(S/S) AJD]]+TABL1234[[#This Row],[(T/B) AJD]]</f>
        <v/>
      </c>
      <c r="U83" s="41" t="n"/>
      <c r="V83" s="41" t="n"/>
      <c r="W83" s="3">
        <f>TABL1234[[#This Row],[(A/B) AJD]]+TABL1234[[#This Row],[(A/S) AJD]]</f>
        <v/>
      </c>
      <c r="X83" s="3">
        <f>TABL1234[[#This Row],[( S/S+T/B) AJD]]-TABL1234[[#This Row],[(A/B + A/S) AJD]]</f>
        <v/>
      </c>
      <c r="Y83" s="41" t="n"/>
      <c r="Z83" s="43" t="n"/>
      <c r="AA83" s="3">
        <f>TABL1234[[#This Row],[(RESV. STORGE) AJD]]/10</f>
        <v/>
      </c>
      <c r="AB83" s="3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32" t="n"/>
      <c r="AN83" s="32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28" t="n"/>
      <c r="F84" s="44" t="n"/>
      <c r="G84" s="40" t="n"/>
      <c r="H84" s="28">
        <f>103-F84</f>
        <v/>
      </c>
      <c r="I84" s="40" t="n"/>
      <c r="J84" s="44" t="n"/>
      <c r="K84" s="28">
        <f>TABL1234[[#This Row],[ (T/B) SAR]]+TABL1234[[#This Row],[ (S/S) SAR]]</f>
        <v/>
      </c>
      <c r="L84" s="45" t="n"/>
      <c r="M84" s="46" t="n"/>
      <c r="N84" s="46" t="n"/>
      <c r="O84" s="40" t="n"/>
      <c r="P84" s="3">
        <f>TABL1234[[#This Row],[ (S/S) SAR]]-TABL1234[[#This Row],[(S/S) AJD]]</f>
        <v/>
      </c>
      <c r="Q84" s="40" t="n"/>
      <c r="R84" s="3">
        <f>TABL1234[[#This Row],[ (T/B) SAR]]-TABL1234[[#This Row],[(T/B) AJD]]</f>
        <v/>
      </c>
      <c r="S84" s="3">
        <f>TABL1234[[#This Row],[T/B-CON.]]+TABL1234[[#This Row],[S/S_CON.]]</f>
        <v/>
      </c>
      <c r="T84" s="3">
        <f>TABL1234[[#This Row],[(S/S) AJD]]+TABL1234[[#This Row],[(T/B) AJD]]</f>
        <v/>
      </c>
      <c r="U84" s="44" t="n"/>
      <c r="V84" s="44" t="n"/>
      <c r="W84" s="3">
        <f>TABL1234[[#This Row],[(A/B) AJD]]+TABL1234[[#This Row],[(A/S) AJD]]</f>
        <v/>
      </c>
      <c r="X84" s="3">
        <f>TABL1234[[#This Row],[( S/S+T/B) AJD]]-TABL1234[[#This Row],[(A/B + A/S) AJD]]</f>
        <v/>
      </c>
      <c r="Y84" s="44" t="n"/>
      <c r="Z84" s="45" t="n"/>
      <c r="AA84" s="3">
        <f>TABL1234[[#This Row],[(RESV. STORGE) AJD]]/10</f>
        <v/>
      </c>
      <c r="AB84" s="3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32" t="n"/>
      <c r="AN84" s="32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28" t="n"/>
      <c r="F85" s="41" t="n"/>
      <c r="G85" s="39" t="n"/>
      <c r="H85" s="28">
        <f>103-F85</f>
        <v/>
      </c>
      <c r="I85" s="39" t="n"/>
      <c r="J85" s="39" t="n"/>
      <c r="K85" s="28">
        <f>TABL1234[[#This Row],[ (T/B) SAR]]+TABL1234[[#This Row],[ (S/S) SAR]]</f>
        <v/>
      </c>
      <c r="L85" s="41" t="n"/>
      <c r="M85" s="42" t="n"/>
      <c r="N85" s="42" t="n"/>
      <c r="O85" s="39" t="n"/>
      <c r="P85" s="3">
        <f>TABL1234[[#This Row],[ (S/S) SAR]]-TABL1234[[#This Row],[(S/S) AJD]]</f>
        <v/>
      </c>
      <c r="Q85" s="39" t="n"/>
      <c r="R85" s="3">
        <f>TABL1234[[#This Row],[ (T/B) SAR]]-TABL1234[[#This Row],[(T/B) AJD]]</f>
        <v/>
      </c>
      <c r="S85" s="3">
        <f>TABL1234[[#This Row],[T/B-CON.]]+TABL1234[[#This Row],[S/S_CON.]]</f>
        <v/>
      </c>
      <c r="T85" s="3">
        <f>TABL1234[[#This Row],[(S/S) AJD]]+TABL1234[[#This Row],[(T/B) AJD]]</f>
        <v/>
      </c>
      <c r="U85" s="41" t="n"/>
      <c r="V85" s="41" t="n"/>
      <c r="W85" s="3">
        <f>TABL1234[[#This Row],[(A/B) AJD]]+TABL1234[[#This Row],[(A/S) AJD]]</f>
        <v/>
      </c>
      <c r="X85" s="3">
        <f>TABL1234[[#This Row],[( S/S+T/B) AJD]]-TABL1234[[#This Row],[(A/B + A/S) AJD]]</f>
        <v/>
      </c>
      <c r="Y85" s="41" t="n"/>
      <c r="Z85" s="43" t="n"/>
      <c r="AA85" s="3">
        <f>TABL1234[[#This Row],[(RESV. STORGE) AJD]]/10</f>
        <v/>
      </c>
      <c r="AB85" s="3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32" t="n"/>
      <c r="AN85" s="32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28" t="n"/>
      <c r="F86" s="44" t="n"/>
      <c r="G86" s="40" t="n"/>
      <c r="H86" s="28">
        <f>103-F86</f>
        <v/>
      </c>
      <c r="I86" s="40" t="n"/>
      <c r="J86" s="44" t="n"/>
      <c r="K86" s="28">
        <f>TABL1234[[#This Row],[ (T/B) SAR]]+TABL1234[[#This Row],[ (S/S) SAR]]</f>
        <v/>
      </c>
      <c r="L86" s="45" t="n"/>
      <c r="M86" s="46" t="n"/>
      <c r="N86" s="46" t="n"/>
      <c r="O86" s="40" t="n"/>
      <c r="P86" s="3">
        <f>TABL1234[[#This Row],[ (S/S) SAR]]-TABL1234[[#This Row],[(S/S) AJD]]</f>
        <v/>
      </c>
      <c r="Q86" s="40" t="n"/>
      <c r="R86" s="3">
        <f>TABL1234[[#This Row],[ (T/B) SAR]]-TABL1234[[#This Row],[(T/B) AJD]]</f>
        <v/>
      </c>
      <c r="S86" s="3">
        <f>TABL1234[[#This Row],[T/B-CON.]]+TABL1234[[#This Row],[S/S_CON.]]</f>
        <v/>
      </c>
      <c r="T86" s="3">
        <f>TABL1234[[#This Row],[(S/S) AJD]]+TABL1234[[#This Row],[(T/B) AJD]]</f>
        <v/>
      </c>
      <c r="U86" s="44" t="n"/>
      <c r="V86" s="44" t="n"/>
      <c r="W86" s="3">
        <f>TABL1234[[#This Row],[(A/B) AJD]]+TABL1234[[#This Row],[(A/S) AJD]]</f>
        <v/>
      </c>
      <c r="X86" s="3">
        <f>TABL1234[[#This Row],[( S/S+T/B) AJD]]-TABL1234[[#This Row],[(A/B + A/S) AJD]]</f>
        <v/>
      </c>
      <c r="Y86" s="44" t="n"/>
      <c r="Z86" s="45" t="n"/>
      <c r="AA86" s="3">
        <f>TABL1234[[#This Row],[(RESV. STORGE) AJD]]/10</f>
        <v/>
      </c>
      <c r="AB86" s="3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32" t="n"/>
      <c r="AN86" s="32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28" t="n"/>
      <c r="F87" s="41" t="n"/>
      <c r="G87" s="39" t="n"/>
      <c r="H87" s="28">
        <f>103-F87</f>
        <v/>
      </c>
      <c r="I87" s="39" t="n"/>
      <c r="J87" s="39" t="n"/>
      <c r="K87" s="28">
        <f>TABL1234[[#This Row],[ (T/B) SAR]]+TABL1234[[#This Row],[ (S/S) SAR]]</f>
        <v/>
      </c>
      <c r="L87" s="41" t="n"/>
      <c r="M87" s="42" t="n"/>
      <c r="N87" s="42" t="n"/>
      <c r="O87" s="39" t="n"/>
      <c r="P87" s="3">
        <f>TABL1234[[#This Row],[ (S/S) SAR]]-TABL1234[[#This Row],[(S/S) AJD]]</f>
        <v/>
      </c>
      <c r="Q87" s="39" t="n"/>
      <c r="R87" s="3">
        <f>TABL1234[[#This Row],[ (T/B) SAR]]-TABL1234[[#This Row],[(T/B) AJD]]</f>
        <v/>
      </c>
      <c r="S87" s="3">
        <f>TABL1234[[#This Row],[T/B-CON.]]+TABL1234[[#This Row],[S/S_CON.]]</f>
        <v/>
      </c>
      <c r="T87" s="3">
        <f>TABL1234[[#This Row],[(S/S) AJD]]+TABL1234[[#This Row],[(T/B) AJD]]</f>
        <v/>
      </c>
      <c r="U87" s="41" t="n"/>
      <c r="V87" s="41" t="n"/>
      <c r="W87" s="3">
        <f>TABL1234[[#This Row],[(A/B) AJD]]+TABL1234[[#This Row],[(A/S) AJD]]</f>
        <v/>
      </c>
      <c r="X87" s="3">
        <f>TABL1234[[#This Row],[( S/S+T/B) AJD]]-TABL1234[[#This Row],[(A/B + A/S) AJD]]</f>
        <v/>
      </c>
      <c r="Y87" s="41" t="n"/>
      <c r="Z87" s="43" t="n"/>
      <c r="AA87" s="3">
        <f>TABL1234[[#This Row],[(RESV. STORGE) AJD]]/10</f>
        <v/>
      </c>
      <c r="AB87" s="3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32" t="n"/>
      <c r="AN87" s="32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28" t="n"/>
      <c r="F88" s="44" t="n"/>
      <c r="G88" s="40" t="n"/>
      <c r="H88" s="28">
        <f>103-F88</f>
        <v/>
      </c>
      <c r="I88" s="40" t="n"/>
      <c r="J88" s="44" t="n"/>
      <c r="K88" s="28">
        <f>TABL1234[[#This Row],[ (T/B) SAR]]+TABL1234[[#This Row],[ (S/S) SAR]]</f>
        <v/>
      </c>
      <c r="L88" s="45" t="n"/>
      <c r="M88" s="46" t="n"/>
      <c r="N88" s="46" t="n"/>
      <c r="O88" s="40" t="n"/>
      <c r="P88" s="3">
        <f>TABL1234[[#This Row],[ (S/S) SAR]]-TABL1234[[#This Row],[(S/S) AJD]]</f>
        <v/>
      </c>
      <c r="Q88" s="40" t="n"/>
      <c r="R88" s="3">
        <f>TABL1234[[#This Row],[ (T/B) SAR]]-TABL1234[[#This Row],[(T/B) AJD]]</f>
        <v/>
      </c>
      <c r="S88" s="3">
        <f>TABL1234[[#This Row],[T/B-CON.]]+TABL1234[[#This Row],[S/S_CON.]]</f>
        <v/>
      </c>
      <c r="T88" s="3">
        <f>TABL1234[[#This Row],[(S/S) AJD]]+TABL1234[[#This Row],[(T/B) AJD]]</f>
        <v/>
      </c>
      <c r="U88" s="44" t="n"/>
      <c r="V88" s="44" t="n"/>
      <c r="W88" s="3">
        <f>TABL1234[[#This Row],[(A/B) AJD]]+TABL1234[[#This Row],[(A/S) AJD]]</f>
        <v/>
      </c>
      <c r="X88" s="3">
        <f>TABL1234[[#This Row],[( S/S+T/B) AJD]]-TABL1234[[#This Row],[(A/B + A/S) AJD]]</f>
        <v/>
      </c>
      <c r="Y88" s="44" t="n"/>
      <c r="Z88" s="45" t="n"/>
      <c r="AA88" s="3">
        <f>TABL1234[[#This Row],[(RESV. STORGE) AJD]]/10</f>
        <v/>
      </c>
      <c r="AB88" s="3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32" t="n"/>
      <c r="AN88" s="32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28" t="n"/>
      <c r="F89" s="41" t="n"/>
      <c r="G89" s="39" t="n"/>
      <c r="H89" s="28">
        <f>103-F89</f>
        <v/>
      </c>
      <c r="I89" s="39" t="n"/>
      <c r="J89" s="39" t="n"/>
      <c r="K89" s="28">
        <f>TABL1234[[#This Row],[ (T/B) SAR]]+TABL1234[[#This Row],[ (S/S) SAR]]</f>
        <v/>
      </c>
      <c r="L89" s="41" t="n"/>
      <c r="M89" s="42" t="n"/>
      <c r="N89" s="42" t="n"/>
      <c r="O89" s="39" t="n"/>
      <c r="P89" s="3">
        <f>TABL1234[[#This Row],[ (S/S) SAR]]-TABL1234[[#This Row],[(S/S) AJD]]</f>
        <v/>
      </c>
      <c r="Q89" s="39" t="n"/>
      <c r="R89" s="3">
        <f>TABL1234[[#This Row],[ (T/B) SAR]]-TABL1234[[#This Row],[(T/B) AJD]]</f>
        <v/>
      </c>
      <c r="S89" s="3">
        <f>TABL1234[[#This Row],[T/B-CON.]]+TABL1234[[#This Row],[S/S_CON.]]</f>
        <v/>
      </c>
      <c r="T89" s="3">
        <f>TABL1234[[#This Row],[(S/S) AJD]]+TABL1234[[#This Row],[(T/B) AJD]]</f>
        <v/>
      </c>
      <c r="U89" s="41" t="n"/>
      <c r="V89" s="41" t="n"/>
      <c r="W89" s="3">
        <f>TABL1234[[#This Row],[(A/B) AJD]]+TABL1234[[#This Row],[(A/S) AJD]]</f>
        <v/>
      </c>
      <c r="X89" s="3">
        <f>TABL1234[[#This Row],[( S/S+T/B) AJD]]-TABL1234[[#This Row],[(A/B + A/S) AJD]]</f>
        <v/>
      </c>
      <c r="Y89" s="41" t="n"/>
      <c r="Z89" s="43" t="n"/>
      <c r="AA89" s="3">
        <f>TABL1234[[#This Row],[(RESV. STORGE) AJD]]/10</f>
        <v/>
      </c>
      <c r="AB89" s="3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32" t="n"/>
      <c r="AN89" s="32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28" t="n"/>
      <c r="F90" s="44" t="n"/>
      <c r="G90" s="40" t="n"/>
      <c r="H90" s="28">
        <f>103-F90</f>
        <v/>
      </c>
      <c r="I90" s="40" t="n"/>
      <c r="J90" s="44" t="n"/>
      <c r="K90" s="28">
        <f>TABL1234[[#This Row],[ (T/B) SAR]]+TABL1234[[#This Row],[ (S/S) SAR]]</f>
        <v/>
      </c>
      <c r="L90" s="45" t="n"/>
      <c r="M90" s="46" t="n"/>
      <c r="N90" s="46" t="n"/>
      <c r="O90" s="40" t="n"/>
      <c r="P90" s="3">
        <f>TABL1234[[#This Row],[ (S/S) SAR]]-TABL1234[[#This Row],[(S/S) AJD]]</f>
        <v/>
      </c>
      <c r="Q90" s="40" t="n"/>
      <c r="R90" s="3">
        <f>TABL1234[[#This Row],[ (T/B) SAR]]-TABL1234[[#This Row],[(T/B) AJD]]</f>
        <v/>
      </c>
      <c r="S90" s="3">
        <f>TABL1234[[#This Row],[T/B-CON.]]+TABL1234[[#This Row],[S/S_CON.]]</f>
        <v/>
      </c>
      <c r="T90" s="3">
        <f>TABL1234[[#This Row],[(S/S) AJD]]+TABL1234[[#This Row],[(T/B) AJD]]</f>
        <v/>
      </c>
      <c r="U90" s="44" t="n"/>
      <c r="V90" s="44" t="n"/>
      <c r="W90" s="3">
        <f>TABL1234[[#This Row],[(A/B) AJD]]+TABL1234[[#This Row],[(A/S) AJD]]</f>
        <v/>
      </c>
      <c r="X90" s="3">
        <f>TABL1234[[#This Row],[( S/S+T/B) AJD]]-TABL1234[[#This Row],[(A/B + A/S) AJD]]</f>
        <v/>
      </c>
      <c r="Y90" s="44" t="n"/>
      <c r="Z90" s="45" t="n"/>
      <c r="AA90" s="3">
        <f>TABL1234[[#This Row],[(RESV. STORGE) AJD]]/10</f>
        <v/>
      </c>
      <c r="AB90" s="3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32" t="n"/>
      <c r="AN90" s="32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28" t="n"/>
      <c r="F91" s="41" t="n"/>
      <c r="G91" s="39" t="n"/>
      <c r="H91" s="28">
        <f>103-F91</f>
        <v/>
      </c>
      <c r="I91" s="39" t="n"/>
      <c r="J91" s="39" t="n"/>
      <c r="K91" s="28">
        <f>TABL1234[[#This Row],[ (T/B) SAR]]+TABL1234[[#This Row],[ (S/S) SAR]]</f>
        <v/>
      </c>
      <c r="L91" s="41" t="n"/>
      <c r="M91" s="42" t="n"/>
      <c r="N91" s="42" t="n"/>
      <c r="O91" s="39" t="n"/>
      <c r="P91" s="3">
        <f>TABL1234[[#This Row],[ (S/S) SAR]]-TABL1234[[#This Row],[(S/S) AJD]]</f>
        <v/>
      </c>
      <c r="Q91" s="39" t="n"/>
      <c r="R91" s="3">
        <f>TABL1234[[#This Row],[ (T/B) SAR]]-TABL1234[[#This Row],[(T/B) AJD]]</f>
        <v/>
      </c>
      <c r="S91" s="3">
        <f>TABL1234[[#This Row],[T/B-CON.]]+TABL1234[[#This Row],[S/S_CON.]]</f>
        <v/>
      </c>
      <c r="T91" s="3">
        <f>TABL1234[[#This Row],[(S/S) AJD]]+TABL1234[[#This Row],[(T/B) AJD]]</f>
        <v/>
      </c>
      <c r="U91" s="41" t="n"/>
      <c r="V91" s="41" t="n"/>
      <c r="W91" s="3">
        <f>TABL1234[[#This Row],[(A/B) AJD]]+TABL1234[[#This Row],[(A/S) AJD]]</f>
        <v/>
      </c>
      <c r="X91" s="3">
        <f>TABL1234[[#This Row],[( S/S+T/B) AJD]]-TABL1234[[#This Row],[(A/B + A/S) AJD]]</f>
        <v/>
      </c>
      <c r="Y91" s="41" t="n"/>
      <c r="Z91" s="43" t="n"/>
      <c r="AA91" s="3">
        <f>TABL1234[[#This Row],[(RESV. STORGE) AJD]]/10</f>
        <v/>
      </c>
      <c r="AB91" s="3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32" t="n"/>
      <c r="AN91" s="32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28">
        <f>103-F92</f>
        <v/>
      </c>
      <c r="I92" s="39" t="n"/>
      <c r="J92" s="39" t="n"/>
      <c r="K92" s="28">
        <f>TABL1234[[#This Row],[ (T/B) SAR]]+TABL1234[[#This Row],[ (S/S) SAR]]</f>
        <v/>
      </c>
      <c r="L92" s="41" t="n"/>
      <c r="M92" s="42" t="n"/>
      <c r="N92" s="42" t="n"/>
      <c r="O92" s="39" t="n"/>
      <c r="P92" s="3">
        <f>TABL1234[[#This Row],[ (S/S) SAR]]-TABL1234[[#This Row],[(S/S) AJD]]</f>
        <v/>
      </c>
      <c r="Q92" s="39" t="n"/>
      <c r="R92" s="3">
        <f>TABL1234[[#This Row],[ (T/B) SAR]]-TABL1234[[#This Row],[(T/B) AJD]]</f>
        <v/>
      </c>
      <c r="S92" s="3">
        <f>TABL1234[[#This Row],[T/B-CON.]]+TABL1234[[#This Row],[S/S_CON.]]</f>
        <v/>
      </c>
      <c r="T92" s="3">
        <f>TABL1234[[#This Row],[(S/S) AJD]]+TABL1234[[#This Row],[(T/B) AJD]]</f>
        <v/>
      </c>
      <c r="U92" s="41" t="n"/>
      <c r="V92" s="41" t="n"/>
      <c r="W92" s="3">
        <f>TABL1234[[#This Row],[(A/B) AJD]]+TABL1234[[#This Row],[(A/S) AJD]]</f>
        <v/>
      </c>
      <c r="X92" s="3">
        <f>TABL1234[[#This Row],[( S/S+T/B) AJD]]-TABL1234[[#This Row],[(A/B + A/S) AJD]]</f>
        <v/>
      </c>
      <c r="Y92" s="41" t="n"/>
      <c r="Z92" s="43" t="n"/>
      <c r="AA92" s="3">
        <f>TABL1234[[#This Row],[(RESV. STORGE) AJD]]/10</f>
        <v/>
      </c>
      <c r="AB92" s="3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32" t="n"/>
      <c r="AN92" s="32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28">
        <f>103-F93</f>
        <v/>
      </c>
      <c r="I93" s="40" t="n"/>
      <c r="J93" s="44" t="n"/>
      <c r="K93" s="28">
        <f>TABL1234[[#This Row],[ (T/B) SAR]]+TABL1234[[#This Row],[ (S/S) SAR]]</f>
        <v/>
      </c>
      <c r="L93" s="45" t="n"/>
      <c r="M93" s="46" t="n"/>
      <c r="N93" s="46" t="n"/>
      <c r="O93" s="40" t="n"/>
      <c r="P93" s="3">
        <f>TABL1234[[#This Row],[ (S/S) SAR]]-TABL1234[[#This Row],[(S/S) AJD]]</f>
        <v/>
      </c>
      <c r="Q93" s="40" t="n"/>
      <c r="R93" s="3">
        <f>TABL1234[[#This Row],[ (T/B) SAR]]-TABL1234[[#This Row],[(T/B) AJD]]</f>
        <v/>
      </c>
      <c r="S93" s="3">
        <f>TABL1234[[#This Row],[T/B-CON.]]+TABL1234[[#This Row],[S/S_CON.]]</f>
        <v/>
      </c>
      <c r="T93" s="3">
        <f>TABL1234[[#This Row],[(S/S) AJD]]+TABL1234[[#This Row],[(T/B) AJD]]</f>
        <v/>
      </c>
      <c r="U93" s="44" t="n"/>
      <c r="V93" s="44" t="n"/>
      <c r="W93" s="3">
        <f>TABL1234[[#This Row],[(A/B) AJD]]+TABL1234[[#This Row],[(A/S) AJD]]</f>
        <v/>
      </c>
      <c r="X93" s="3">
        <f>TABL1234[[#This Row],[( S/S+T/B) AJD]]-TABL1234[[#This Row],[(A/B + A/S) AJD]]</f>
        <v/>
      </c>
      <c r="Y93" s="44" t="n"/>
      <c r="Z93" s="45" t="n"/>
      <c r="AA93" s="3">
        <f>TABL1234[[#This Row],[(RESV. STORGE) AJD]]/10</f>
        <v/>
      </c>
      <c r="AB93" s="3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32" t="n"/>
      <c r="AN93" s="32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28">
        <f>103-F94</f>
        <v/>
      </c>
      <c r="I94" s="39" t="n"/>
      <c r="J94" s="39" t="n"/>
      <c r="K94" s="28">
        <f>TABL1234[[#This Row],[ (T/B) SAR]]+TABL1234[[#This Row],[ (S/S) SAR]]</f>
        <v/>
      </c>
      <c r="L94" s="41" t="n"/>
      <c r="M94" s="42" t="n"/>
      <c r="N94" s="42" t="n"/>
      <c r="O94" s="39" t="n"/>
      <c r="P94" s="3">
        <f>TABL1234[[#This Row],[ (S/S) SAR]]-TABL1234[[#This Row],[(S/S) AJD]]</f>
        <v/>
      </c>
      <c r="Q94" s="39" t="n"/>
      <c r="R94" s="3">
        <f>TABL1234[[#This Row],[ (T/B) SAR]]-TABL1234[[#This Row],[(T/B) AJD]]</f>
        <v/>
      </c>
      <c r="S94" s="3">
        <f>TABL1234[[#This Row],[T/B-CON.]]+TABL1234[[#This Row],[S/S_CON.]]</f>
        <v/>
      </c>
      <c r="T94" s="3">
        <f>TABL1234[[#This Row],[(S/S) AJD]]+TABL1234[[#This Row],[(T/B) AJD]]</f>
        <v/>
      </c>
      <c r="U94" s="41" t="n"/>
      <c r="V94" s="41" t="n"/>
      <c r="W94" s="3">
        <f>TABL1234[[#This Row],[(A/B) AJD]]+TABL1234[[#This Row],[(A/S) AJD]]</f>
        <v/>
      </c>
      <c r="X94" s="3">
        <f>TABL1234[[#This Row],[( S/S+T/B) AJD]]-TABL1234[[#This Row],[(A/B + A/S) AJD]]</f>
        <v/>
      </c>
      <c r="Y94" s="41" t="n"/>
      <c r="Z94" s="43" t="n"/>
      <c r="AA94" s="3">
        <f>TABL1234[[#This Row],[(RESV. STORGE) AJD]]/10</f>
        <v/>
      </c>
      <c r="AB94" s="3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32" t="n"/>
      <c r="AN94" s="32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28">
        <f>103-F95</f>
        <v/>
      </c>
      <c r="I95" s="40" t="n"/>
      <c r="J95" s="44" t="n"/>
      <c r="K95" s="28">
        <f>TABL1234[[#This Row],[ (T/B) SAR]]+TABL1234[[#This Row],[ (S/S) SAR]]</f>
        <v/>
      </c>
      <c r="L95" s="45" t="n"/>
      <c r="M95" s="46" t="n"/>
      <c r="N95" s="46" t="n"/>
      <c r="O95" s="40" t="n"/>
      <c r="P95" s="3">
        <f>TABL1234[[#This Row],[ (S/S) SAR]]-TABL1234[[#This Row],[(S/S) AJD]]</f>
        <v/>
      </c>
      <c r="Q95" s="40" t="n"/>
      <c r="R95" s="3">
        <f>TABL1234[[#This Row],[ (T/B) SAR]]-TABL1234[[#This Row],[(T/B) AJD]]</f>
        <v/>
      </c>
      <c r="S95" s="3">
        <f>TABL1234[[#This Row],[T/B-CON.]]+TABL1234[[#This Row],[S/S_CON.]]</f>
        <v/>
      </c>
      <c r="T95" s="3">
        <f>TABL1234[[#This Row],[(S/S) AJD]]+TABL1234[[#This Row],[(T/B) AJD]]</f>
        <v/>
      </c>
      <c r="U95" s="44" t="n"/>
      <c r="V95" s="44" t="n"/>
      <c r="W95" s="3">
        <f>TABL1234[[#This Row],[(A/B) AJD]]+TABL1234[[#This Row],[(A/S) AJD]]</f>
        <v/>
      </c>
      <c r="X95" s="3">
        <f>TABL1234[[#This Row],[( S/S+T/B) AJD]]-TABL1234[[#This Row],[(A/B + A/S) AJD]]</f>
        <v/>
      </c>
      <c r="Y95" s="44" t="n"/>
      <c r="Z95" s="45" t="n"/>
      <c r="AA95" s="3">
        <f>TABL1234[[#This Row],[(RESV. STORGE) AJD]]/10</f>
        <v/>
      </c>
      <c r="AB95" s="3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32" t="n"/>
      <c r="AN95" s="32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28">
        <f>103-F96</f>
        <v/>
      </c>
      <c r="I96" s="39" t="n"/>
      <c r="J96" s="39" t="n"/>
      <c r="K96" s="28">
        <f>TABL1234[[#This Row],[ (T/B) SAR]]+TABL1234[[#This Row],[ (S/S) SAR]]</f>
        <v/>
      </c>
      <c r="L96" s="41" t="n"/>
      <c r="M96" s="42" t="n"/>
      <c r="N96" s="42" t="n"/>
      <c r="O96" s="39" t="n"/>
      <c r="P96" s="3">
        <f>TABL1234[[#This Row],[ (S/S) SAR]]-TABL1234[[#This Row],[(S/S) AJD]]</f>
        <v/>
      </c>
      <c r="Q96" s="39" t="n"/>
      <c r="R96" s="3">
        <f>TABL1234[[#This Row],[ (T/B) SAR]]-TABL1234[[#This Row],[(T/B) AJD]]</f>
        <v/>
      </c>
      <c r="S96" s="3">
        <f>TABL1234[[#This Row],[T/B-CON.]]+TABL1234[[#This Row],[S/S_CON.]]</f>
        <v/>
      </c>
      <c r="T96" s="3">
        <f>TABL1234[[#This Row],[(S/S) AJD]]+TABL1234[[#This Row],[(T/B) AJD]]</f>
        <v/>
      </c>
      <c r="U96" s="41" t="n"/>
      <c r="V96" s="41" t="n"/>
      <c r="W96" s="3">
        <f>TABL1234[[#This Row],[(A/B) AJD]]+TABL1234[[#This Row],[(A/S) AJD]]</f>
        <v/>
      </c>
      <c r="X96" s="3">
        <f>TABL1234[[#This Row],[( S/S+T/B) AJD]]-TABL1234[[#This Row],[(A/B + A/S) AJD]]</f>
        <v/>
      </c>
      <c r="Y96" s="41" t="n"/>
      <c r="Z96" s="43" t="n"/>
      <c r="AA96" s="3">
        <f>TABL1234[[#This Row],[(RESV. STORGE) AJD]]/10</f>
        <v/>
      </c>
      <c r="AB96" s="3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32" t="n"/>
      <c r="AN96" s="32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28">
        <f>103-F97</f>
        <v/>
      </c>
      <c r="I97" s="40" t="n"/>
      <c r="J97" s="44" t="n"/>
      <c r="K97" s="28">
        <f>TABL1234[[#This Row],[ (T/B) SAR]]+TABL1234[[#This Row],[ (S/S) SAR]]</f>
        <v/>
      </c>
      <c r="L97" s="45" t="n"/>
      <c r="M97" s="46" t="n"/>
      <c r="N97" s="46" t="n"/>
      <c r="O97" s="40" t="n"/>
      <c r="P97" s="3">
        <f>TABL1234[[#This Row],[ (S/S) SAR]]-TABL1234[[#This Row],[(S/S) AJD]]</f>
        <v/>
      </c>
      <c r="Q97" s="40" t="n"/>
      <c r="R97" s="3">
        <f>TABL1234[[#This Row],[ (T/B) SAR]]-TABL1234[[#This Row],[(T/B) AJD]]</f>
        <v/>
      </c>
      <c r="S97" s="3">
        <f>TABL1234[[#This Row],[T/B-CON.]]+TABL1234[[#This Row],[S/S_CON.]]</f>
        <v/>
      </c>
      <c r="T97" s="3">
        <f>TABL1234[[#This Row],[(S/S) AJD]]+TABL1234[[#This Row],[(T/B) AJD]]</f>
        <v/>
      </c>
      <c r="U97" s="44" t="n"/>
      <c r="V97" s="44" t="n"/>
      <c r="W97" s="3">
        <f>TABL1234[[#This Row],[(A/B) AJD]]+TABL1234[[#This Row],[(A/S) AJD]]</f>
        <v/>
      </c>
      <c r="X97" s="3">
        <f>TABL1234[[#This Row],[( S/S+T/B) AJD]]-TABL1234[[#This Row],[(A/B + A/S) AJD]]</f>
        <v/>
      </c>
      <c r="Y97" s="44" t="n"/>
      <c r="Z97" s="45" t="n"/>
      <c r="AA97" s="3">
        <f>TABL1234[[#This Row],[(RESV. STORGE) AJD]]/10</f>
        <v/>
      </c>
      <c r="AB97" s="3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32" t="n"/>
      <c r="AN97" s="32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28">
        <f>103-F98</f>
        <v/>
      </c>
      <c r="I98" s="39" t="n"/>
      <c r="J98" s="39" t="n"/>
      <c r="K98" s="28">
        <f>TABL1234[[#This Row],[ (T/B) SAR]]+TABL1234[[#This Row],[ (S/S) SAR]]</f>
        <v/>
      </c>
      <c r="L98" s="41" t="n"/>
      <c r="M98" s="42" t="n"/>
      <c r="N98" s="42" t="n"/>
      <c r="O98" s="39" t="n"/>
      <c r="P98" s="3">
        <f>TABL1234[[#This Row],[ (S/S) SAR]]-TABL1234[[#This Row],[(S/S) AJD]]</f>
        <v/>
      </c>
      <c r="Q98" s="39" t="n"/>
      <c r="R98" s="3">
        <f>TABL1234[[#This Row],[ (T/B) SAR]]-TABL1234[[#This Row],[(T/B) AJD]]</f>
        <v/>
      </c>
      <c r="S98" s="3">
        <f>TABL1234[[#This Row],[T/B-CON.]]+TABL1234[[#This Row],[S/S_CON.]]</f>
        <v/>
      </c>
      <c r="T98" s="3">
        <f>TABL1234[[#This Row],[(S/S) AJD]]+TABL1234[[#This Row],[(T/B) AJD]]</f>
        <v/>
      </c>
      <c r="U98" s="41" t="n"/>
      <c r="V98" s="41" t="n"/>
      <c r="W98" s="3">
        <f>TABL1234[[#This Row],[(A/B) AJD]]+TABL1234[[#This Row],[(A/S) AJD]]</f>
        <v/>
      </c>
      <c r="X98" s="3">
        <f>TABL1234[[#This Row],[( S/S+T/B) AJD]]-TABL1234[[#This Row],[(A/B + A/S) AJD]]</f>
        <v/>
      </c>
      <c r="Y98" s="41" t="n"/>
      <c r="Z98" s="43" t="n"/>
      <c r="AA98" s="3">
        <f>TABL1234[[#This Row],[(RESV. STORGE) AJD]]/10</f>
        <v/>
      </c>
      <c r="AB98" s="3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32" t="n"/>
      <c r="AN98" s="32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28">
        <f>103-F99</f>
        <v/>
      </c>
      <c r="I99" s="40" t="n"/>
      <c r="J99" s="44" t="n"/>
      <c r="K99" s="28">
        <f>TABL1234[[#This Row],[ (T/B) SAR]]+TABL1234[[#This Row],[ (S/S) SAR]]</f>
        <v/>
      </c>
      <c r="L99" s="45" t="n"/>
      <c r="M99" s="46" t="n"/>
      <c r="N99" s="46" t="n"/>
      <c r="O99" s="40" t="n"/>
      <c r="P99" s="3">
        <f>TABL1234[[#This Row],[ (S/S) SAR]]-TABL1234[[#This Row],[(S/S) AJD]]</f>
        <v/>
      </c>
      <c r="Q99" s="40" t="n"/>
      <c r="R99" s="3">
        <f>TABL1234[[#This Row],[ (T/B) SAR]]-TABL1234[[#This Row],[(T/B) AJD]]</f>
        <v/>
      </c>
      <c r="S99" s="3">
        <f>TABL1234[[#This Row],[T/B-CON.]]+TABL1234[[#This Row],[S/S_CON.]]</f>
        <v/>
      </c>
      <c r="T99" s="3">
        <f>TABL1234[[#This Row],[(S/S) AJD]]+TABL1234[[#This Row],[(T/B) AJD]]</f>
        <v/>
      </c>
      <c r="U99" s="44" t="n"/>
      <c r="V99" s="44" t="n"/>
      <c r="W99" s="3">
        <f>TABL1234[[#This Row],[(A/B) AJD]]+TABL1234[[#This Row],[(A/S) AJD]]</f>
        <v/>
      </c>
      <c r="X99" s="3">
        <f>TABL1234[[#This Row],[( S/S+T/B) AJD]]-TABL1234[[#This Row],[(A/B + A/S) AJD]]</f>
        <v/>
      </c>
      <c r="Y99" s="44" t="n"/>
      <c r="Z99" s="45" t="n"/>
      <c r="AA99" s="3">
        <f>TABL1234[[#This Row],[(RESV. STORGE) AJD]]/10</f>
        <v/>
      </c>
      <c r="AB99" s="3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32" t="n"/>
      <c r="AN99" s="32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28">
        <f>103-F100</f>
        <v/>
      </c>
      <c r="I100" s="39" t="n"/>
      <c r="J100" s="39" t="n"/>
      <c r="K100" s="28">
        <f>TABL1234[[#This Row],[ (T/B) SAR]]+TABL1234[[#This Row],[ (S/S) SAR]]</f>
        <v/>
      </c>
      <c r="L100" s="41" t="n"/>
      <c r="M100" s="42" t="n"/>
      <c r="N100" s="42" t="n"/>
      <c r="O100" s="39" t="n"/>
      <c r="P100" s="3">
        <f>TABL1234[[#This Row],[ (S/S) SAR]]-TABL1234[[#This Row],[(S/S) AJD]]</f>
        <v/>
      </c>
      <c r="Q100" s="39" t="n"/>
      <c r="R100" s="3">
        <f>TABL1234[[#This Row],[ (T/B) SAR]]-TABL1234[[#This Row],[(T/B) AJD]]</f>
        <v/>
      </c>
      <c r="S100" s="3">
        <f>TABL1234[[#This Row],[T/B-CON.]]+TABL1234[[#This Row],[S/S_CON.]]</f>
        <v/>
      </c>
      <c r="T100" s="3">
        <f>TABL1234[[#This Row],[(S/S) AJD]]+TABL1234[[#This Row],[(T/B) AJD]]</f>
        <v/>
      </c>
      <c r="U100" s="41" t="n"/>
      <c r="V100" s="41" t="n"/>
      <c r="W100" s="3">
        <f>TABL1234[[#This Row],[(A/B) AJD]]+TABL1234[[#This Row],[(A/S) AJD]]</f>
        <v/>
      </c>
      <c r="X100" s="3">
        <f>TABL1234[[#This Row],[( S/S+T/B) AJD]]-TABL1234[[#This Row],[(A/B + A/S) AJD]]</f>
        <v/>
      </c>
      <c r="Y100" s="41" t="n"/>
      <c r="Z100" s="43" t="n"/>
      <c r="AA100" s="3">
        <f>TABL1234[[#This Row],[(RESV. STORGE) AJD]]/10</f>
        <v/>
      </c>
      <c r="AB100" s="3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32" t="n"/>
      <c r="AN100" s="32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28">
        <f>103-F101</f>
        <v/>
      </c>
      <c r="I101" s="40" t="n"/>
      <c r="J101" s="44" t="n"/>
      <c r="K101" s="28">
        <f>TABL1234[[#This Row],[ (T/B) SAR]]+TABL1234[[#This Row],[ (S/S) SAR]]</f>
        <v/>
      </c>
      <c r="L101" s="45" t="n"/>
      <c r="M101" s="46" t="n"/>
      <c r="N101" s="46" t="n"/>
      <c r="O101" s="40" t="n"/>
      <c r="P101" s="3">
        <f>TABL1234[[#This Row],[ (S/S) SAR]]-TABL1234[[#This Row],[(S/S) AJD]]</f>
        <v/>
      </c>
      <c r="Q101" s="40" t="n"/>
      <c r="R101" s="3">
        <f>TABL1234[[#This Row],[ (T/B) SAR]]-TABL1234[[#This Row],[(T/B) AJD]]</f>
        <v/>
      </c>
      <c r="S101" s="3">
        <f>TABL1234[[#This Row],[T/B-CON.]]+TABL1234[[#This Row],[S/S_CON.]]</f>
        <v/>
      </c>
      <c r="T101" s="3">
        <f>TABL1234[[#This Row],[(S/S) AJD]]+TABL1234[[#This Row],[(T/B) AJD]]</f>
        <v/>
      </c>
      <c r="U101" s="44" t="n"/>
      <c r="V101" s="44" t="n"/>
      <c r="W101" s="3">
        <f>TABL1234[[#This Row],[(A/B) AJD]]+TABL1234[[#This Row],[(A/S) AJD]]</f>
        <v/>
      </c>
      <c r="X101" s="3">
        <f>TABL1234[[#This Row],[( S/S+T/B) AJD]]-TABL1234[[#This Row],[(A/B + A/S) AJD]]</f>
        <v/>
      </c>
      <c r="Y101" s="44" t="n"/>
      <c r="Z101" s="45" t="n"/>
      <c r="AA101" s="3">
        <f>TABL1234[[#This Row],[(RESV. STORGE) AJD]]/10</f>
        <v/>
      </c>
      <c r="AB101" s="3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32" t="n"/>
      <c r="AN101" s="32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28">
        <f>103-F102</f>
        <v/>
      </c>
      <c r="I102" s="39" t="n"/>
      <c r="J102" s="39" t="n"/>
      <c r="K102" s="28">
        <f>TABL1234[[#This Row],[ (T/B) SAR]]+TABL1234[[#This Row],[ (S/S) SAR]]</f>
        <v/>
      </c>
      <c r="L102" s="41" t="n"/>
      <c r="M102" s="42" t="n"/>
      <c r="N102" s="42" t="n"/>
      <c r="O102" s="39" t="n"/>
      <c r="P102" s="3">
        <f>TABL1234[[#This Row],[ (S/S) SAR]]-TABL1234[[#This Row],[(S/S) AJD]]</f>
        <v/>
      </c>
      <c r="Q102" s="39" t="n"/>
      <c r="R102" s="3">
        <f>TABL1234[[#This Row],[ (T/B) SAR]]-TABL1234[[#This Row],[(T/B) AJD]]</f>
        <v/>
      </c>
      <c r="S102" s="3">
        <f>TABL1234[[#This Row],[T/B-CON.]]+TABL1234[[#This Row],[S/S_CON.]]</f>
        <v/>
      </c>
      <c r="T102" s="3">
        <f>TABL1234[[#This Row],[(S/S) AJD]]+TABL1234[[#This Row],[(T/B) AJD]]</f>
        <v/>
      </c>
      <c r="U102" s="41" t="n"/>
      <c r="V102" s="41" t="n"/>
      <c r="W102" s="3">
        <f>TABL1234[[#This Row],[(A/B) AJD]]+TABL1234[[#This Row],[(A/S) AJD]]</f>
        <v/>
      </c>
      <c r="X102" s="3">
        <f>TABL1234[[#This Row],[( S/S+T/B) AJD]]-TABL1234[[#This Row],[(A/B + A/S) AJD]]</f>
        <v/>
      </c>
      <c r="Y102" s="41" t="n"/>
      <c r="Z102" s="43" t="n"/>
      <c r="AA102" s="3">
        <f>TABL1234[[#This Row],[(RESV. STORGE) AJD]]/10</f>
        <v/>
      </c>
      <c r="AB102" s="3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32" t="n"/>
      <c r="AN102" s="32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28">
        <f>103-F103</f>
        <v/>
      </c>
      <c r="I103" s="40" t="n"/>
      <c r="J103" s="44" t="n"/>
      <c r="K103" s="28">
        <f>TABL1234[[#This Row],[ (T/B) SAR]]+TABL1234[[#This Row],[ (S/S) SAR]]</f>
        <v/>
      </c>
      <c r="L103" s="45" t="n"/>
      <c r="M103" s="46" t="n"/>
      <c r="N103" s="46" t="n"/>
      <c r="O103" s="40" t="n"/>
      <c r="P103" s="3">
        <f>TABL1234[[#This Row],[ (S/S) SAR]]-TABL1234[[#This Row],[(S/S) AJD]]</f>
        <v/>
      </c>
      <c r="Q103" s="40" t="n"/>
      <c r="R103" s="3">
        <f>TABL1234[[#This Row],[ (T/B) SAR]]-TABL1234[[#This Row],[(T/B) AJD]]</f>
        <v/>
      </c>
      <c r="S103" s="3">
        <f>TABL1234[[#This Row],[T/B-CON.]]+TABL1234[[#This Row],[S/S_CON.]]</f>
        <v/>
      </c>
      <c r="T103" s="3">
        <f>TABL1234[[#This Row],[(S/S) AJD]]+TABL1234[[#This Row],[(T/B) AJD]]</f>
        <v/>
      </c>
      <c r="U103" s="44" t="n"/>
      <c r="V103" s="44" t="n"/>
      <c r="W103" s="3">
        <f>TABL1234[[#This Row],[(A/B) AJD]]+TABL1234[[#This Row],[(A/S) AJD]]</f>
        <v/>
      </c>
      <c r="X103" s="3">
        <f>TABL1234[[#This Row],[( S/S+T/B) AJD]]-TABL1234[[#This Row],[(A/B + A/S) AJD]]</f>
        <v/>
      </c>
      <c r="Y103" s="44" t="n"/>
      <c r="Z103" s="45" t="n"/>
      <c r="AA103" s="3">
        <f>TABL1234[[#This Row],[(RESV. STORGE) AJD]]/10</f>
        <v/>
      </c>
      <c r="AB103" s="3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32" t="n"/>
      <c r="AN103" s="32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28">
        <f>103-F104</f>
        <v/>
      </c>
      <c r="I104" s="39" t="n"/>
      <c r="J104" s="39" t="n"/>
      <c r="K104" s="28">
        <f>TABL1234[[#This Row],[ (T/B) SAR]]+TABL1234[[#This Row],[ (S/S) SAR]]</f>
        <v/>
      </c>
      <c r="L104" s="41" t="n"/>
      <c r="M104" s="42" t="n"/>
      <c r="N104" s="42" t="n"/>
      <c r="O104" s="39" t="n"/>
      <c r="P104" s="3">
        <f>TABL1234[[#This Row],[ (S/S) SAR]]-TABL1234[[#This Row],[(S/S) AJD]]</f>
        <v/>
      </c>
      <c r="Q104" s="39" t="n"/>
      <c r="R104" s="3">
        <f>TABL1234[[#This Row],[ (T/B) SAR]]-TABL1234[[#This Row],[(T/B) AJD]]</f>
        <v/>
      </c>
      <c r="S104" s="3">
        <f>TABL1234[[#This Row],[T/B-CON.]]+TABL1234[[#This Row],[S/S_CON.]]</f>
        <v/>
      </c>
      <c r="T104" s="3">
        <f>TABL1234[[#This Row],[(S/S) AJD]]+TABL1234[[#This Row],[(T/B) AJD]]</f>
        <v/>
      </c>
      <c r="U104" s="41" t="n"/>
      <c r="V104" s="41" t="n"/>
      <c r="W104" s="3">
        <f>TABL1234[[#This Row],[(A/B) AJD]]+TABL1234[[#This Row],[(A/S) AJD]]</f>
        <v/>
      </c>
      <c r="X104" s="3">
        <f>TABL1234[[#This Row],[( S/S+T/B) AJD]]-TABL1234[[#This Row],[(A/B + A/S) AJD]]</f>
        <v/>
      </c>
      <c r="Y104" s="41" t="n"/>
      <c r="Z104" s="43" t="n"/>
      <c r="AA104" s="3">
        <f>TABL1234[[#This Row],[(RESV. STORGE) AJD]]/10</f>
        <v/>
      </c>
      <c r="AB104" s="3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32" t="n"/>
      <c r="AN104" s="32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28">
        <f>103-F105</f>
        <v/>
      </c>
      <c r="I105" s="40" t="n"/>
      <c r="J105" s="44" t="n"/>
      <c r="K105" s="28">
        <f>TABL1234[[#This Row],[ (T/B) SAR]]+TABL1234[[#This Row],[ (S/S) SAR]]</f>
        <v/>
      </c>
      <c r="L105" s="45" t="n"/>
      <c r="M105" s="46" t="n"/>
      <c r="N105" s="46" t="n"/>
      <c r="O105" s="40" t="n"/>
      <c r="P105" s="3">
        <f>TABL1234[[#This Row],[ (S/S) SAR]]-TABL1234[[#This Row],[(S/S) AJD]]</f>
        <v/>
      </c>
      <c r="Q105" s="40" t="n"/>
      <c r="R105" s="3">
        <f>TABL1234[[#This Row],[ (T/B) SAR]]-TABL1234[[#This Row],[(T/B) AJD]]</f>
        <v/>
      </c>
      <c r="S105" s="3">
        <f>TABL1234[[#This Row],[T/B-CON.]]+TABL1234[[#This Row],[S/S_CON.]]</f>
        <v/>
      </c>
      <c r="T105" s="3">
        <f>TABL1234[[#This Row],[(S/S) AJD]]+TABL1234[[#This Row],[(T/B) AJD]]</f>
        <v/>
      </c>
      <c r="U105" s="44" t="n"/>
      <c r="V105" s="44" t="n"/>
      <c r="W105" s="3">
        <f>TABL1234[[#This Row],[(A/B) AJD]]+TABL1234[[#This Row],[(A/S) AJD]]</f>
        <v/>
      </c>
      <c r="X105" s="3">
        <f>TABL1234[[#This Row],[( S/S+T/B) AJD]]-TABL1234[[#This Row],[(A/B + A/S) AJD]]</f>
        <v/>
      </c>
      <c r="Y105" s="44" t="n"/>
      <c r="Z105" s="45" t="n"/>
      <c r="AA105" s="3">
        <f>TABL1234[[#This Row],[(RESV. STORGE) AJD]]/10</f>
        <v/>
      </c>
      <c r="AB105" s="3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32" t="n"/>
      <c r="AN105" s="32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28">
        <f>103-F106</f>
        <v/>
      </c>
      <c r="I106" s="39" t="n"/>
      <c r="J106" s="39" t="n"/>
      <c r="K106" s="28">
        <f>TABL1234[[#This Row],[ (T/B) SAR]]+TABL1234[[#This Row],[ (S/S) SAR]]</f>
        <v/>
      </c>
      <c r="L106" s="41" t="n"/>
      <c r="M106" s="42" t="n"/>
      <c r="N106" s="42" t="n"/>
      <c r="O106" s="39" t="n"/>
      <c r="P106" s="3">
        <f>TABL1234[[#This Row],[ (S/S) SAR]]-TABL1234[[#This Row],[(S/S) AJD]]</f>
        <v/>
      </c>
      <c r="Q106" s="39" t="n"/>
      <c r="R106" s="3">
        <f>TABL1234[[#This Row],[ (T/B) SAR]]-TABL1234[[#This Row],[(T/B) AJD]]</f>
        <v/>
      </c>
      <c r="S106" s="3">
        <f>TABL1234[[#This Row],[T/B-CON.]]+TABL1234[[#This Row],[S/S_CON.]]</f>
        <v/>
      </c>
      <c r="T106" s="3">
        <f>TABL1234[[#This Row],[(S/S) AJD]]+TABL1234[[#This Row],[(T/B) AJD]]</f>
        <v/>
      </c>
      <c r="U106" s="41" t="n"/>
      <c r="V106" s="41" t="n"/>
      <c r="W106" s="3">
        <f>TABL1234[[#This Row],[(A/B) AJD]]+TABL1234[[#This Row],[(A/S) AJD]]</f>
        <v/>
      </c>
      <c r="X106" s="3">
        <f>TABL1234[[#This Row],[( S/S+T/B) AJD]]-TABL1234[[#This Row],[(A/B + A/S) AJD]]</f>
        <v/>
      </c>
      <c r="Y106" s="41" t="n"/>
      <c r="Z106" s="43" t="n"/>
      <c r="AA106" s="3">
        <f>TABL1234[[#This Row],[(RESV. STORGE) AJD]]/10</f>
        <v/>
      </c>
      <c r="AB106" s="3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32" t="n"/>
      <c r="AN106" s="32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28">
        <f>103-F107</f>
        <v/>
      </c>
      <c r="I107" s="40" t="n"/>
      <c r="J107" s="44" t="n"/>
      <c r="K107" s="28">
        <f>TABL1234[[#This Row],[ (T/B) SAR]]+TABL1234[[#This Row],[ (S/S) SAR]]</f>
        <v/>
      </c>
      <c r="L107" s="45" t="n"/>
      <c r="M107" s="46" t="n"/>
      <c r="N107" s="46" t="n"/>
      <c r="O107" s="40" t="n"/>
      <c r="P107" s="3">
        <f>TABL1234[[#This Row],[ (S/S) SAR]]-TABL1234[[#This Row],[(S/S) AJD]]</f>
        <v/>
      </c>
      <c r="Q107" s="40" t="n"/>
      <c r="R107" s="3">
        <f>TABL1234[[#This Row],[ (T/B) SAR]]-TABL1234[[#This Row],[(T/B) AJD]]</f>
        <v/>
      </c>
      <c r="S107" s="3">
        <f>TABL1234[[#This Row],[T/B-CON.]]+TABL1234[[#This Row],[S/S_CON.]]</f>
        <v/>
      </c>
      <c r="T107" s="3">
        <f>TABL1234[[#This Row],[(S/S) AJD]]+TABL1234[[#This Row],[(T/B) AJD]]</f>
        <v/>
      </c>
      <c r="U107" s="44" t="n"/>
      <c r="V107" s="44" t="n"/>
      <c r="W107" s="3">
        <f>TABL1234[[#This Row],[(A/B) AJD]]+TABL1234[[#This Row],[(A/S) AJD]]</f>
        <v/>
      </c>
      <c r="X107" s="3">
        <f>TABL1234[[#This Row],[( S/S+T/B) AJD]]-TABL1234[[#This Row],[(A/B + A/S) AJD]]</f>
        <v/>
      </c>
      <c r="Y107" s="44" t="n"/>
      <c r="Z107" s="45" t="n"/>
      <c r="AA107" s="3">
        <f>TABL1234[[#This Row],[(RESV. STORGE) AJD]]/10</f>
        <v/>
      </c>
      <c r="AB107" s="3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32" t="n"/>
      <c r="AN107" s="32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28">
        <f>103-F108</f>
        <v/>
      </c>
      <c r="I108" s="39" t="n"/>
      <c r="J108" s="39" t="n"/>
      <c r="K108" s="28">
        <f>TABL1234[[#This Row],[ (T/B) SAR]]+TABL1234[[#This Row],[ (S/S) SAR]]</f>
        <v/>
      </c>
      <c r="L108" s="41" t="n"/>
      <c r="M108" s="42" t="n"/>
      <c r="N108" s="42" t="n"/>
      <c r="O108" s="39" t="n"/>
      <c r="P108" s="3">
        <f>TABL1234[[#This Row],[ (S/S) SAR]]-TABL1234[[#This Row],[(S/S) AJD]]</f>
        <v/>
      </c>
      <c r="Q108" s="39" t="n"/>
      <c r="R108" s="3">
        <f>TABL1234[[#This Row],[ (T/B) SAR]]-TABL1234[[#This Row],[(T/B) AJD]]</f>
        <v/>
      </c>
      <c r="S108" s="3">
        <f>TABL1234[[#This Row],[T/B-CON.]]+TABL1234[[#This Row],[S/S_CON.]]</f>
        <v/>
      </c>
      <c r="T108" s="3">
        <f>TABL1234[[#This Row],[(S/S) AJD]]+TABL1234[[#This Row],[(T/B) AJD]]</f>
        <v/>
      </c>
      <c r="U108" s="41" t="n"/>
      <c r="V108" s="41" t="n"/>
      <c r="W108" s="3">
        <f>TABL1234[[#This Row],[(A/B) AJD]]+TABL1234[[#This Row],[(A/S) AJD]]</f>
        <v/>
      </c>
      <c r="X108" s="3">
        <f>TABL1234[[#This Row],[( S/S+T/B) AJD]]-TABL1234[[#This Row],[(A/B + A/S) AJD]]</f>
        <v/>
      </c>
      <c r="Y108" s="41" t="n"/>
      <c r="Z108" s="43" t="n"/>
      <c r="AA108" s="3">
        <f>TABL1234[[#This Row],[(RESV. STORGE) AJD]]/10</f>
        <v/>
      </c>
      <c r="AB108" s="3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32" t="n"/>
      <c r="AN108" s="32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28">
        <f>103-F109</f>
        <v/>
      </c>
      <c r="I109" s="40" t="n"/>
      <c r="J109" s="44" t="n"/>
      <c r="K109" s="28">
        <f>TABL1234[[#This Row],[ (T/B) SAR]]+TABL1234[[#This Row],[ (S/S) SAR]]</f>
        <v/>
      </c>
      <c r="L109" s="45" t="n"/>
      <c r="M109" s="46" t="n"/>
      <c r="N109" s="46" t="n"/>
      <c r="O109" s="40" t="n"/>
      <c r="P109" s="3">
        <f>TABL1234[[#This Row],[ (S/S) SAR]]-TABL1234[[#This Row],[(S/S) AJD]]</f>
        <v/>
      </c>
      <c r="Q109" s="40" t="n"/>
      <c r="R109" s="3">
        <f>TABL1234[[#This Row],[ (T/B) SAR]]-TABL1234[[#This Row],[(T/B) AJD]]</f>
        <v/>
      </c>
      <c r="S109" s="3">
        <f>TABL1234[[#This Row],[T/B-CON.]]+TABL1234[[#This Row],[S/S_CON.]]</f>
        <v/>
      </c>
      <c r="T109" s="3">
        <f>TABL1234[[#This Row],[(S/S) AJD]]+TABL1234[[#This Row],[(T/B) AJD]]</f>
        <v/>
      </c>
      <c r="U109" s="44" t="n"/>
      <c r="V109" s="44" t="n"/>
      <c r="W109" s="3">
        <f>TABL1234[[#This Row],[(A/B) AJD]]+TABL1234[[#This Row],[(A/S) AJD]]</f>
        <v/>
      </c>
      <c r="X109" s="3">
        <f>TABL1234[[#This Row],[( S/S+T/B) AJD]]-TABL1234[[#This Row],[(A/B + A/S) AJD]]</f>
        <v/>
      </c>
      <c r="Y109" s="44" t="n"/>
      <c r="Z109" s="45" t="n"/>
      <c r="AA109" s="3">
        <f>TABL1234[[#This Row],[(RESV. STORGE) AJD]]/10</f>
        <v/>
      </c>
      <c r="AB109" s="3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32" t="n"/>
      <c r="AN109" s="32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28">
        <f>103-F110</f>
        <v/>
      </c>
      <c r="I110" s="39" t="n"/>
      <c r="J110" s="39" t="n"/>
      <c r="K110" s="28">
        <f>TABL1234[[#This Row],[ (T/B) SAR]]+TABL1234[[#This Row],[ (S/S) SAR]]</f>
        <v/>
      </c>
      <c r="L110" s="41" t="n"/>
      <c r="M110" s="42" t="n"/>
      <c r="N110" s="42" t="n"/>
      <c r="O110" s="39" t="n"/>
      <c r="P110" s="3">
        <f>TABL1234[[#This Row],[ (S/S) SAR]]-TABL1234[[#This Row],[(S/S) AJD]]</f>
        <v/>
      </c>
      <c r="Q110" s="39" t="n"/>
      <c r="R110" s="3">
        <f>TABL1234[[#This Row],[ (T/B) SAR]]-TABL1234[[#This Row],[(T/B) AJD]]</f>
        <v/>
      </c>
      <c r="S110" s="3">
        <f>TABL1234[[#This Row],[T/B-CON.]]+TABL1234[[#This Row],[S/S_CON.]]</f>
        <v/>
      </c>
      <c r="T110" s="3">
        <f>TABL1234[[#This Row],[(S/S) AJD]]+TABL1234[[#This Row],[(T/B) AJD]]</f>
        <v/>
      </c>
      <c r="U110" s="41" t="n"/>
      <c r="V110" s="41" t="n"/>
      <c r="W110" s="3">
        <f>TABL1234[[#This Row],[(A/B) AJD]]+TABL1234[[#This Row],[(A/S) AJD]]</f>
        <v/>
      </c>
      <c r="X110" s="3">
        <f>TABL1234[[#This Row],[( S/S+T/B) AJD]]-TABL1234[[#This Row],[(A/B + A/S) AJD]]</f>
        <v/>
      </c>
      <c r="Y110" s="41" t="n"/>
      <c r="Z110" s="43" t="n"/>
      <c r="AA110" s="3">
        <f>TABL1234[[#This Row],[(RESV. STORGE) AJD]]/10</f>
        <v/>
      </c>
      <c r="AB110" s="3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32" t="n"/>
      <c r="AN110" s="32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28">
        <f>103-F111</f>
        <v/>
      </c>
      <c r="I111" s="40" t="n"/>
      <c r="J111" s="44" t="n"/>
      <c r="K111" s="28">
        <f>TABL1234[[#This Row],[ (T/B) SAR]]+TABL1234[[#This Row],[ (S/S) SAR]]</f>
        <v/>
      </c>
      <c r="L111" s="45" t="n"/>
      <c r="M111" s="46" t="n"/>
      <c r="N111" s="46" t="n"/>
      <c r="O111" s="40" t="n"/>
      <c r="P111" s="3">
        <f>TABL1234[[#This Row],[ (S/S) SAR]]-TABL1234[[#This Row],[(S/S) AJD]]</f>
        <v/>
      </c>
      <c r="Q111" s="40" t="n"/>
      <c r="R111" s="3">
        <f>TABL1234[[#This Row],[ (T/B) SAR]]-TABL1234[[#This Row],[(T/B) AJD]]</f>
        <v/>
      </c>
      <c r="S111" s="3">
        <f>TABL1234[[#This Row],[T/B-CON.]]+TABL1234[[#This Row],[S/S_CON.]]</f>
        <v/>
      </c>
      <c r="T111" s="3">
        <f>TABL1234[[#This Row],[(S/S) AJD]]+TABL1234[[#This Row],[(T/B) AJD]]</f>
        <v/>
      </c>
      <c r="U111" s="44" t="n"/>
      <c r="V111" s="44" t="n"/>
      <c r="W111" s="3">
        <f>TABL1234[[#This Row],[(A/B) AJD]]+TABL1234[[#This Row],[(A/S) AJD]]</f>
        <v/>
      </c>
      <c r="X111" s="3">
        <f>TABL1234[[#This Row],[( S/S+T/B) AJD]]-TABL1234[[#This Row],[(A/B + A/S) AJD]]</f>
        <v/>
      </c>
      <c r="Y111" s="44" t="n"/>
      <c r="Z111" s="45" t="n"/>
      <c r="AA111" s="3">
        <f>TABL1234[[#This Row],[(RESV. STORGE) AJD]]/10</f>
        <v/>
      </c>
      <c r="AB111" s="3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32" t="n"/>
      <c r="AN111" s="32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28">
        <f>103-F112</f>
        <v/>
      </c>
      <c r="I112" s="39" t="n"/>
      <c r="J112" s="39" t="n"/>
      <c r="K112" s="28">
        <f>TABL1234[[#This Row],[ (T/B) SAR]]+TABL1234[[#This Row],[ (S/S) SAR]]</f>
        <v/>
      </c>
      <c r="L112" s="41" t="n"/>
      <c r="M112" s="42" t="n"/>
      <c r="N112" s="42" t="n"/>
      <c r="O112" s="39" t="n"/>
      <c r="P112" s="3">
        <f>TABL1234[[#This Row],[ (S/S) SAR]]-TABL1234[[#This Row],[(S/S) AJD]]</f>
        <v/>
      </c>
      <c r="Q112" s="39" t="n"/>
      <c r="R112" s="3">
        <f>TABL1234[[#This Row],[ (T/B) SAR]]-TABL1234[[#This Row],[(T/B) AJD]]</f>
        <v/>
      </c>
      <c r="S112" s="3">
        <f>TABL1234[[#This Row],[T/B-CON.]]+TABL1234[[#This Row],[S/S_CON.]]</f>
        <v/>
      </c>
      <c r="T112" s="3">
        <f>TABL1234[[#This Row],[(S/S) AJD]]+TABL1234[[#This Row],[(T/B) AJD]]</f>
        <v/>
      </c>
      <c r="U112" s="41" t="n"/>
      <c r="V112" s="41" t="n"/>
      <c r="W112" s="3">
        <f>TABL1234[[#This Row],[(A/B) AJD]]+TABL1234[[#This Row],[(A/S) AJD]]</f>
        <v/>
      </c>
      <c r="X112" s="3">
        <f>TABL1234[[#This Row],[( S/S+T/B) AJD]]-TABL1234[[#This Row],[(A/B + A/S) AJD]]</f>
        <v/>
      </c>
      <c r="Y112" s="41" t="n"/>
      <c r="Z112" s="43" t="n"/>
      <c r="AA112" s="3">
        <f>TABL1234[[#This Row],[(RESV. STORGE) AJD]]/10</f>
        <v/>
      </c>
      <c r="AB112" s="3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32" t="n"/>
      <c r="AN112" s="32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28">
        <f>103-F113</f>
        <v/>
      </c>
      <c r="I113" s="40" t="n"/>
      <c r="J113" s="44" t="n"/>
      <c r="K113" s="28">
        <f>TABL1234[[#This Row],[ (T/B) SAR]]+TABL1234[[#This Row],[ (S/S) SAR]]</f>
        <v/>
      </c>
      <c r="L113" s="45" t="n"/>
      <c r="M113" s="46" t="n"/>
      <c r="N113" s="46" t="n"/>
      <c r="O113" s="40" t="n"/>
      <c r="P113" s="3">
        <f>TABL1234[[#This Row],[ (S/S) SAR]]-TABL1234[[#This Row],[(S/S) AJD]]</f>
        <v/>
      </c>
      <c r="Q113" s="40" t="n"/>
      <c r="R113" s="3">
        <f>TABL1234[[#This Row],[ (T/B) SAR]]-TABL1234[[#This Row],[(T/B) AJD]]</f>
        <v/>
      </c>
      <c r="S113" s="3">
        <f>TABL1234[[#This Row],[T/B-CON.]]+TABL1234[[#This Row],[S/S_CON.]]</f>
        <v/>
      </c>
      <c r="T113" s="3">
        <f>TABL1234[[#This Row],[(S/S) AJD]]+TABL1234[[#This Row],[(T/B) AJD]]</f>
        <v/>
      </c>
      <c r="U113" s="44" t="n"/>
      <c r="V113" s="44" t="n"/>
      <c r="W113" s="3">
        <f>TABL1234[[#This Row],[(A/B) AJD]]+TABL1234[[#This Row],[(A/S) AJD]]</f>
        <v/>
      </c>
      <c r="X113" s="3">
        <f>TABL1234[[#This Row],[( S/S+T/B) AJD]]-TABL1234[[#This Row],[(A/B + A/S) AJD]]</f>
        <v/>
      </c>
      <c r="Y113" s="44" t="n"/>
      <c r="Z113" s="45" t="n"/>
      <c r="AA113" s="3">
        <f>TABL1234[[#This Row],[(RESV. STORGE) AJD]]/10</f>
        <v/>
      </c>
      <c r="AB113" s="3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32" t="n"/>
      <c r="AN113" s="32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28">
        <f>103-F114</f>
        <v/>
      </c>
      <c r="I114" s="39" t="n"/>
      <c r="J114" s="39" t="n"/>
      <c r="K114" s="28">
        <f>TABL1234[[#This Row],[ (T/B) SAR]]+TABL1234[[#This Row],[ (S/S) SAR]]</f>
        <v/>
      </c>
      <c r="L114" s="41" t="n"/>
      <c r="M114" s="42" t="n"/>
      <c r="N114" s="42" t="n"/>
      <c r="O114" s="39" t="n"/>
      <c r="P114" s="3">
        <f>TABL1234[[#This Row],[ (S/S) SAR]]-TABL1234[[#This Row],[(S/S) AJD]]</f>
        <v/>
      </c>
      <c r="Q114" s="39" t="n"/>
      <c r="R114" s="3">
        <f>TABL1234[[#This Row],[ (T/B) SAR]]-TABL1234[[#This Row],[(T/B) AJD]]</f>
        <v/>
      </c>
      <c r="S114" s="3">
        <f>TABL1234[[#This Row],[T/B-CON.]]+TABL1234[[#This Row],[S/S_CON.]]</f>
        <v/>
      </c>
      <c r="T114" s="3">
        <f>TABL1234[[#This Row],[(S/S) AJD]]+TABL1234[[#This Row],[(T/B) AJD]]</f>
        <v/>
      </c>
      <c r="U114" s="41" t="n"/>
      <c r="V114" s="41" t="n"/>
      <c r="W114" s="3">
        <f>TABL1234[[#This Row],[(A/B) AJD]]+TABL1234[[#This Row],[(A/S) AJD]]</f>
        <v/>
      </c>
      <c r="X114" s="3">
        <f>TABL1234[[#This Row],[( S/S+T/B) AJD]]-TABL1234[[#This Row],[(A/B + A/S) AJD]]</f>
        <v/>
      </c>
      <c r="Y114" s="41" t="n"/>
      <c r="Z114" s="43" t="n"/>
      <c r="AA114" s="3">
        <f>TABL1234[[#This Row],[(RESV. STORGE) AJD]]/10</f>
        <v/>
      </c>
      <c r="AB114" s="3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32" t="n"/>
      <c r="AN114" s="32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28">
        <f>103-F115</f>
        <v/>
      </c>
      <c r="I115" s="40" t="n"/>
      <c r="J115" s="44" t="n"/>
      <c r="K115" s="28">
        <f>TABL1234[[#This Row],[ (T/B) SAR]]+TABL1234[[#This Row],[ (S/S) SAR]]</f>
        <v/>
      </c>
      <c r="L115" s="45" t="n"/>
      <c r="M115" s="46" t="n"/>
      <c r="N115" s="46" t="n"/>
      <c r="O115" s="40" t="n"/>
      <c r="P115" s="3">
        <f>TABL1234[[#This Row],[ (S/S) SAR]]-TABL1234[[#This Row],[(S/S) AJD]]</f>
        <v/>
      </c>
      <c r="Q115" s="40" t="n"/>
      <c r="R115" s="3">
        <f>TABL1234[[#This Row],[ (T/B) SAR]]-TABL1234[[#This Row],[(T/B) AJD]]</f>
        <v/>
      </c>
      <c r="S115" s="3">
        <f>TABL1234[[#This Row],[T/B-CON.]]+TABL1234[[#This Row],[S/S_CON.]]</f>
        <v/>
      </c>
      <c r="T115" s="3">
        <f>TABL1234[[#This Row],[(S/S) AJD]]+TABL1234[[#This Row],[(T/B) AJD]]</f>
        <v/>
      </c>
      <c r="U115" s="44" t="n"/>
      <c r="V115" s="44" t="n"/>
      <c r="W115" s="3">
        <f>TABL1234[[#This Row],[(A/B) AJD]]+TABL1234[[#This Row],[(A/S) AJD]]</f>
        <v/>
      </c>
      <c r="X115" s="3">
        <f>TABL1234[[#This Row],[( S/S+T/B) AJD]]-TABL1234[[#This Row],[(A/B + A/S) AJD]]</f>
        <v/>
      </c>
      <c r="Y115" s="44" t="n"/>
      <c r="Z115" s="45" t="n"/>
      <c r="AA115" s="3">
        <f>TABL1234[[#This Row],[(RESV. STORGE) AJD]]/10</f>
        <v/>
      </c>
      <c r="AB115" s="3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32" t="n"/>
      <c r="AN115" s="32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28">
        <f>103-F116</f>
        <v/>
      </c>
      <c r="I116" s="39" t="n"/>
      <c r="J116" s="39" t="n"/>
      <c r="K116" s="28">
        <f>TABL1234[[#This Row],[ (T/B) SAR]]+TABL1234[[#This Row],[ (S/S) SAR]]</f>
        <v/>
      </c>
      <c r="L116" s="41" t="n"/>
      <c r="M116" s="42" t="n"/>
      <c r="N116" s="42" t="n"/>
      <c r="O116" s="39" t="n"/>
      <c r="P116" s="3">
        <f>TABL1234[[#This Row],[ (S/S) SAR]]-TABL1234[[#This Row],[(S/S) AJD]]</f>
        <v/>
      </c>
      <c r="Q116" s="39" t="n"/>
      <c r="R116" s="3">
        <f>TABL1234[[#This Row],[ (T/B) SAR]]-TABL1234[[#This Row],[(T/B) AJD]]</f>
        <v/>
      </c>
      <c r="S116" s="3">
        <f>TABL1234[[#This Row],[T/B-CON.]]+TABL1234[[#This Row],[S/S_CON.]]</f>
        <v/>
      </c>
      <c r="T116" s="3">
        <f>TABL1234[[#This Row],[(S/S) AJD]]+TABL1234[[#This Row],[(T/B) AJD]]</f>
        <v/>
      </c>
      <c r="U116" s="41" t="n"/>
      <c r="V116" s="41" t="n"/>
      <c r="W116" s="3">
        <f>TABL1234[[#This Row],[(A/B) AJD]]+TABL1234[[#This Row],[(A/S) AJD]]</f>
        <v/>
      </c>
      <c r="X116" s="3">
        <f>TABL1234[[#This Row],[( S/S+T/B) AJD]]-TABL1234[[#This Row],[(A/B + A/S) AJD]]</f>
        <v/>
      </c>
      <c r="Y116" s="41" t="n"/>
      <c r="Z116" s="43" t="n"/>
      <c r="AA116" s="3">
        <f>TABL1234[[#This Row],[(RESV. STORGE) AJD]]/10</f>
        <v/>
      </c>
      <c r="AB116" s="3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32" t="n"/>
      <c r="AN116" s="32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28">
        <f>103-F117</f>
        <v/>
      </c>
      <c r="I117" s="40" t="n"/>
      <c r="J117" s="44" t="n"/>
      <c r="K117" s="28">
        <f>TABL1234[[#This Row],[ (T/B) SAR]]+TABL1234[[#This Row],[ (S/S) SAR]]</f>
        <v/>
      </c>
      <c r="L117" s="45" t="n"/>
      <c r="M117" s="46" t="n"/>
      <c r="N117" s="46" t="n"/>
      <c r="O117" s="40" t="n"/>
      <c r="P117" s="3">
        <f>TABL1234[[#This Row],[ (S/S) SAR]]-TABL1234[[#This Row],[(S/S) AJD]]</f>
        <v/>
      </c>
      <c r="Q117" s="40" t="n"/>
      <c r="R117" s="3">
        <f>TABL1234[[#This Row],[ (T/B) SAR]]-TABL1234[[#This Row],[(T/B) AJD]]</f>
        <v/>
      </c>
      <c r="S117" s="3">
        <f>TABL1234[[#This Row],[T/B-CON.]]+TABL1234[[#This Row],[S/S_CON.]]</f>
        <v/>
      </c>
      <c r="T117" s="3">
        <f>TABL1234[[#This Row],[(S/S) AJD]]+TABL1234[[#This Row],[(T/B) AJD]]</f>
        <v/>
      </c>
      <c r="U117" s="44" t="n"/>
      <c r="V117" s="44" t="n"/>
      <c r="W117" s="3">
        <f>TABL1234[[#This Row],[(A/B) AJD]]+TABL1234[[#This Row],[(A/S) AJD]]</f>
        <v/>
      </c>
      <c r="X117" s="3">
        <f>TABL1234[[#This Row],[( S/S+T/B) AJD]]-TABL1234[[#This Row],[(A/B + A/S) AJD]]</f>
        <v/>
      </c>
      <c r="Y117" s="44" t="n"/>
      <c r="Z117" s="45" t="n"/>
      <c r="AA117" s="3">
        <f>TABL1234[[#This Row],[(RESV. STORGE) AJD]]/10</f>
        <v/>
      </c>
      <c r="AB117" s="3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32" t="n"/>
      <c r="AN117" s="32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28">
        <f>103-F118</f>
        <v/>
      </c>
      <c r="I118" s="39" t="n"/>
      <c r="J118" s="39" t="n"/>
      <c r="K118" s="28">
        <f>TABL1234[[#This Row],[ (T/B) SAR]]+TABL1234[[#This Row],[ (S/S) SAR]]</f>
        <v/>
      </c>
      <c r="L118" s="41" t="n"/>
      <c r="M118" s="42" t="n"/>
      <c r="N118" s="42" t="n"/>
      <c r="O118" s="39" t="n"/>
      <c r="P118" s="3">
        <f>TABL1234[[#This Row],[ (S/S) SAR]]-TABL1234[[#This Row],[(S/S) AJD]]</f>
        <v/>
      </c>
      <c r="Q118" s="39" t="n"/>
      <c r="R118" s="3">
        <f>TABL1234[[#This Row],[ (T/B) SAR]]-TABL1234[[#This Row],[(T/B) AJD]]</f>
        <v/>
      </c>
      <c r="S118" s="3">
        <f>TABL1234[[#This Row],[T/B-CON.]]+TABL1234[[#This Row],[S/S_CON.]]</f>
        <v/>
      </c>
      <c r="T118" s="3">
        <f>TABL1234[[#This Row],[(S/S) AJD]]+TABL1234[[#This Row],[(T/B) AJD]]</f>
        <v/>
      </c>
      <c r="U118" s="41" t="n"/>
      <c r="V118" s="41" t="n"/>
      <c r="W118" s="3">
        <f>TABL1234[[#This Row],[(A/B) AJD]]+TABL1234[[#This Row],[(A/S) AJD]]</f>
        <v/>
      </c>
      <c r="X118" s="3">
        <f>TABL1234[[#This Row],[( S/S+T/B) AJD]]-TABL1234[[#This Row],[(A/B + A/S) AJD]]</f>
        <v/>
      </c>
      <c r="Y118" s="41" t="n"/>
      <c r="Z118" s="43" t="n"/>
      <c r="AA118" s="3">
        <f>TABL1234[[#This Row],[(RESV. STORGE) AJD]]/10</f>
        <v/>
      </c>
      <c r="AB118" s="3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32" t="n"/>
      <c r="AN118" s="32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28">
        <f>103-F119</f>
        <v/>
      </c>
      <c r="I119" s="40" t="n"/>
      <c r="J119" s="44" t="n"/>
      <c r="K119" s="28">
        <f>TABL1234[[#This Row],[ (T/B) SAR]]+TABL1234[[#This Row],[ (S/S) SAR]]</f>
        <v/>
      </c>
      <c r="L119" s="45" t="n"/>
      <c r="M119" s="46" t="n"/>
      <c r="N119" s="46" t="n"/>
      <c r="O119" s="40" t="n"/>
      <c r="P119" s="3">
        <f>TABL1234[[#This Row],[ (S/S) SAR]]-TABL1234[[#This Row],[(S/S) AJD]]</f>
        <v/>
      </c>
      <c r="Q119" s="40" t="n"/>
      <c r="R119" s="3">
        <f>TABL1234[[#This Row],[ (T/B) SAR]]-TABL1234[[#This Row],[(T/B) AJD]]</f>
        <v/>
      </c>
      <c r="S119" s="3">
        <f>TABL1234[[#This Row],[T/B-CON.]]+TABL1234[[#This Row],[S/S_CON.]]</f>
        <v/>
      </c>
      <c r="T119" s="3">
        <f>TABL1234[[#This Row],[(S/S) AJD]]+TABL1234[[#This Row],[(T/B) AJD]]</f>
        <v/>
      </c>
      <c r="U119" s="44" t="n"/>
      <c r="V119" s="44" t="n"/>
      <c r="W119" s="3">
        <f>TABL1234[[#This Row],[(A/B) AJD]]+TABL1234[[#This Row],[(A/S) AJD]]</f>
        <v/>
      </c>
      <c r="X119" s="3">
        <f>TABL1234[[#This Row],[( S/S+T/B) AJD]]-TABL1234[[#This Row],[(A/B + A/S) AJD]]</f>
        <v/>
      </c>
      <c r="Y119" s="44" t="n"/>
      <c r="Z119" s="45" t="n"/>
      <c r="AA119" s="3">
        <f>TABL1234[[#This Row],[(RESV. STORGE) AJD]]/10</f>
        <v/>
      </c>
      <c r="AB119" s="3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32" t="n"/>
      <c r="AN119" s="32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28">
        <f>103-F120</f>
        <v/>
      </c>
      <c r="I120" s="39" t="n"/>
      <c r="J120" s="39" t="n"/>
      <c r="K120" s="28">
        <f>TABL1234[[#This Row],[ (T/B) SAR]]+TABL1234[[#This Row],[ (S/S) SAR]]</f>
        <v/>
      </c>
      <c r="L120" s="41" t="n"/>
      <c r="M120" s="42" t="n"/>
      <c r="N120" s="42" t="n"/>
      <c r="O120" s="39" t="n"/>
      <c r="P120" s="3">
        <f>TABL1234[[#This Row],[ (S/S) SAR]]-TABL1234[[#This Row],[(S/S) AJD]]</f>
        <v/>
      </c>
      <c r="Q120" s="39" t="n"/>
      <c r="R120" s="3">
        <f>TABL1234[[#This Row],[ (T/B) SAR]]-TABL1234[[#This Row],[(T/B) AJD]]</f>
        <v/>
      </c>
      <c r="S120" s="3">
        <f>TABL1234[[#This Row],[T/B-CON.]]+TABL1234[[#This Row],[S/S_CON.]]</f>
        <v/>
      </c>
      <c r="T120" s="3">
        <f>TABL1234[[#This Row],[(S/S) AJD]]+TABL1234[[#This Row],[(T/B) AJD]]</f>
        <v/>
      </c>
      <c r="U120" s="41" t="n"/>
      <c r="V120" s="41" t="n"/>
      <c r="W120" s="3">
        <f>TABL1234[[#This Row],[(A/B) AJD]]+TABL1234[[#This Row],[(A/S) AJD]]</f>
        <v/>
      </c>
      <c r="X120" s="3">
        <f>TABL1234[[#This Row],[( S/S+T/B) AJD]]-TABL1234[[#This Row],[(A/B + A/S) AJD]]</f>
        <v/>
      </c>
      <c r="Y120" s="41" t="n"/>
      <c r="Z120" s="43" t="n"/>
      <c r="AA120" s="3">
        <f>TABL1234[[#This Row],[(RESV. STORGE) AJD]]/10</f>
        <v/>
      </c>
      <c r="AB120" s="3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32" t="n"/>
      <c r="AN120" s="32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28">
        <f>103-F121</f>
        <v/>
      </c>
      <c r="I121" s="40" t="n"/>
      <c r="J121" s="44" t="n"/>
      <c r="K121" s="28">
        <f>TABL1234[[#This Row],[ (T/B) SAR]]+TABL1234[[#This Row],[ (S/S) SAR]]</f>
        <v/>
      </c>
      <c r="L121" s="45" t="n"/>
      <c r="M121" s="46" t="n"/>
      <c r="N121" s="46" t="n"/>
      <c r="O121" s="40" t="n"/>
      <c r="P121" s="3">
        <f>TABL1234[[#This Row],[ (S/S) SAR]]-TABL1234[[#This Row],[(S/S) AJD]]</f>
        <v/>
      </c>
      <c r="Q121" s="40" t="n"/>
      <c r="R121" s="3">
        <f>TABL1234[[#This Row],[ (T/B) SAR]]-TABL1234[[#This Row],[(T/B) AJD]]</f>
        <v/>
      </c>
      <c r="S121" s="3">
        <f>TABL1234[[#This Row],[T/B-CON.]]+TABL1234[[#This Row],[S/S_CON.]]</f>
        <v/>
      </c>
      <c r="T121" s="3">
        <f>TABL1234[[#This Row],[(S/S) AJD]]+TABL1234[[#This Row],[(T/B) AJD]]</f>
        <v/>
      </c>
      <c r="U121" s="44" t="n"/>
      <c r="V121" s="44" t="n"/>
      <c r="W121" s="3">
        <f>TABL1234[[#This Row],[(A/B) AJD]]+TABL1234[[#This Row],[(A/S) AJD]]</f>
        <v/>
      </c>
      <c r="X121" s="3">
        <f>TABL1234[[#This Row],[( S/S+T/B) AJD]]-TABL1234[[#This Row],[(A/B + A/S) AJD]]</f>
        <v/>
      </c>
      <c r="Y121" s="44" t="n"/>
      <c r="Z121" s="45" t="n"/>
      <c r="AA121" s="3">
        <f>TABL1234[[#This Row],[(RESV. STORGE) AJD]]/10</f>
        <v/>
      </c>
      <c r="AB121" s="3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32" t="n"/>
      <c r="AN121" s="32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28">
        <f>103-F122</f>
        <v/>
      </c>
      <c r="I122" s="39" t="n"/>
      <c r="J122" s="39" t="n"/>
      <c r="K122" s="28">
        <f>TABL1234[[#This Row],[ (T/B) SAR]]+TABL1234[[#This Row],[ (S/S) SAR]]</f>
        <v/>
      </c>
      <c r="L122" s="41" t="n"/>
      <c r="M122" s="42" t="n"/>
      <c r="N122" s="42" t="n"/>
      <c r="O122" s="39" t="n"/>
      <c r="P122" s="3">
        <f>TABL1234[[#This Row],[ (S/S) SAR]]-TABL1234[[#This Row],[(S/S) AJD]]</f>
        <v/>
      </c>
      <c r="Q122" s="39" t="n"/>
      <c r="R122" s="3">
        <f>TABL1234[[#This Row],[ (T/B) SAR]]-TABL1234[[#This Row],[(T/B) AJD]]</f>
        <v/>
      </c>
      <c r="S122" s="3">
        <f>TABL1234[[#This Row],[T/B-CON.]]+TABL1234[[#This Row],[S/S_CON.]]</f>
        <v/>
      </c>
      <c r="T122" s="3">
        <f>TABL1234[[#This Row],[(S/S) AJD]]+TABL1234[[#This Row],[(T/B) AJD]]</f>
        <v/>
      </c>
      <c r="U122" s="41" t="n"/>
      <c r="V122" s="41" t="n"/>
      <c r="W122" s="3">
        <f>TABL1234[[#This Row],[(A/B) AJD]]+TABL1234[[#This Row],[(A/S) AJD]]</f>
        <v/>
      </c>
      <c r="X122" s="3">
        <f>TABL1234[[#This Row],[( S/S+T/B) AJD]]-TABL1234[[#This Row],[(A/B + A/S) AJD]]</f>
        <v/>
      </c>
      <c r="Y122" s="41" t="n"/>
      <c r="Z122" s="43" t="n"/>
      <c r="AA122" s="3">
        <f>TABL1234[[#This Row],[(RESV. STORGE) AJD]]/10</f>
        <v/>
      </c>
      <c r="AB122" s="3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32" t="n"/>
      <c r="AN122" s="32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28">
        <f>103-F123</f>
        <v/>
      </c>
      <c r="I123" s="40" t="n"/>
      <c r="J123" s="44" t="n"/>
      <c r="K123" s="28">
        <f>TABL1234[[#This Row],[ (T/B) SAR]]+TABL1234[[#This Row],[ (S/S) SAR]]</f>
        <v/>
      </c>
      <c r="L123" s="45" t="n"/>
      <c r="M123" s="46" t="n"/>
      <c r="N123" s="46" t="n"/>
      <c r="O123" s="40" t="n"/>
      <c r="P123" s="3">
        <f>TABL1234[[#This Row],[ (S/S) SAR]]-TABL1234[[#This Row],[(S/S) AJD]]</f>
        <v/>
      </c>
      <c r="Q123" s="40" t="n"/>
      <c r="R123" s="3">
        <f>TABL1234[[#This Row],[ (T/B) SAR]]-TABL1234[[#This Row],[(T/B) AJD]]</f>
        <v/>
      </c>
      <c r="S123" s="3">
        <f>TABL1234[[#This Row],[T/B-CON.]]+TABL1234[[#This Row],[S/S_CON.]]</f>
        <v/>
      </c>
      <c r="T123" s="3">
        <f>TABL1234[[#This Row],[(S/S) AJD]]+TABL1234[[#This Row],[(T/B) AJD]]</f>
        <v/>
      </c>
      <c r="U123" s="44" t="n"/>
      <c r="V123" s="44" t="n"/>
      <c r="W123" s="3">
        <f>TABL1234[[#This Row],[(A/B) AJD]]+TABL1234[[#This Row],[(A/S) AJD]]</f>
        <v/>
      </c>
      <c r="X123" s="3">
        <f>TABL1234[[#This Row],[( S/S+T/B) AJD]]-TABL1234[[#This Row],[(A/B + A/S) AJD]]</f>
        <v/>
      </c>
      <c r="Y123" s="44" t="n"/>
      <c r="Z123" s="45" t="n"/>
      <c r="AA123" s="3">
        <f>TABL1234[[#This Row],[(RESV. STORGE) AJD]]/10</f>
        <v/>
      </c>
      <c r="AB123" s="3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32" t="n"/>
      <c r="AN123" s="32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28">
        <f>103-F124</f>
        <v/>
      </c>
      <c r="I124" s="39" t="n"/>
      <c r="J124" s="39" t="n"/>
      <c r="K124" s="28">
        <f>TABL1234[[#This Row],[ (T/B) SAR]]+TABL1234[[#This Row],[ (S/S) SAR]]</f>
        <v/>
      </c>
      <c r="L124" s="41" t="n"/>
      <c r="M124" s="42" t="n"/>
      <c r="N124" s="42" t="n"/>
      <c r="O124" s="39" t="n"/>
      <c r="P124" s="3">
        <f>TABL1234[[#This Row],[ (S/S) SAR]]-TABL1234[[#This Row],[(S/S) AJD]]</f>
        <v/>
      </c>
      <c r="Q124" s="39" t="n"/>
      <c r="R124" s="3">
        <f>TABL1234[[#This Row],[ (T/B) SAR]]-TABL1234[[#This Row],[(T/B) AJD]]</f>
        <v/>
      </c>
      <c r="S124" s="3">
        <f>TABL1234[[#This Row],[T/B-CON.]]+TABL1234[[#This Row],[S/S_CON.]]</f>
        <v/>
      </c>
      <c r="T124" s="3">
        <f>TABL1234[[#This Row],[(S/S) AJD]]+TABL1234[[#This Row],[(T/B) AJD]]</f>
        <v/>
      </c>
      <c r="U124" s="41" t="n"/>
      <c r="V124" s="41" t="n"/>
      <c r="W124" s="3">
        <f>TABL1234[[#This Row],[(A/B) AJD]]+TABL1234[[#This Row],[(A/S) AJD]]</f>
        <v/>
      </c>
      <c r="X124" s="3">
        <f>TABL1234[[#This Row],[( S/S+T/B) AJD]]-TABL1234[[#This Row],[(A/B + A/S) AJD]]</f>
        <v/>
      </c>
      <c r="Y124" s="41" t="n"/>
      <c r="Z124" s="43" t="n"/>
      <c r="AA124" s="3">
        <f>TABL1234[[#This Row],[(RESV. STORGE) AJD]]/10</f>
        <v/>
      </c>
      <c r="AB124" s="3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32" t="n"/>
      <c r="AN124" s="32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28">
        <f>103-F125</f>
        <v/>
      </c>
      <c r="I125" s="40" t="n"/>
      <c r="J125" s="44" t="n"/>
      <c r="K125" s="28">
        <f>TABL1234[[#This Row],[ (T/B) SAR]]+TABL1234[[#This Row],[ (S/S) SAR]]</f>
        <v/>
      </c>
      <c r="L125" s="45" t="n"/>
      <c r="M125" s="46" t="n"/>
      <c r="N125" s="46" t="n"/>
      <c r="O125" s="40" t="n"/>
      <c r="P125" s="3">
        <f>TABL1234[[#This Row],[ (S/S) SAR]]-TABL1234[[#This Row],[(S/S) AJD]]</f>
        <v/>
      </c>
      <c r="Q125" s="40" t="n"/>
      <c r="R125" s="3">
        <f>TABL1234[[#This Row],[ (T/B) SAR]]-TABL1234[[#This Row],[(T/B) AJD]]</f>
        <v/>
      </c>
      <c r="S125" s="3">
        <f>TABL1234[[#This Row],[T/B-CON.]]+TABL1234[[#This Row],[S/S_CON.]]</f>
        <v/>
      </c>
      <c r="T125" s="3">
        <f>TABL1234[[#This Row],[(S/S) AJD]]+TABL1234[[#This Row],[(T/B) AJD]]</f>
        <v/>
      </c>
      <c r="U125" s="44" t="n"/>
      <c r="V125" s="44" t="n"/>
      <c r="W125" s="3">
        <f>TABL1234[[#This Row],[(A/B) AJD]]+TABL1234[[#This Row],[(A/S) AJD]]</f>
        <v/>
      </c>
      <c r="X125" s="3">
        <f>TABL1234[[#This Row],[( S/S+T/B) AJD]]-TABL1234[[#This Row],[(A/B + A/S) AJD]]</f>
        <v/>
      </c>
      <c r="Y125" s="44" t="n"/>
      <c r="Z125" s="45" t="n"/>
      <c r="AA125" s="3">
        <f>TABL1234[[#This Row],[(RESV. STORGE) AJD]]/10</f>
        <v/>
      </c>
      <c r="AB125" s="3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32" t="n"/>
      <c r="AN125" s="32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28">
        <f>103-F126</f>
        <v/>
      </c>
      <c r="I126" s="39" t="n"/>
      <c r="J126" s="39" t="n"/>
      <c r="K126" s="28">
        <f>TABL1234[[#This Row],[ (T/B) SAR]]+TABL1234[[#This Row],[ (S/S) SAR]]</f>
        <v/>
      </c>
      <c r="L126" s="41" t="n"/>
      <c r="M126" s="42" t="n"/>
      <c r="N126" s="42" t="n"/>
      <c r="O126" s="39" t="n"/>
      <c r="P126" s="3">
        <f>TABL1234[[#This Row],[ (S/S) SAR]]-TABL1234[[#This Row],[(S/S) AJD]]</f>
        <v/>
      </c>
      <c r="Q126" s="39" t="n"/>
      <c r="R126" s="3">
        <f>TABL1234[[#This Row],[ (T/B) SAR]]-TABL1234[[#This Row],[(T/B) AJD]]</f>
        <v/>
      </c>
      <c r="S126" s="3">
        <f>TABL1234[[#This Row],[T/B-CON.]]+TABL1234[[#This Row],[S/S_CON.]]</f>
        <v/>
      </c>
      <c r="T126" s="3">
        <f>TABL1234[[#This Row],[(S/S) AJD]]+TABL1234[[#This Row],[(T/B) AJD]]</f>
        <v/>
      </c>
      <c r="U126" s="41" t="n"/>
      <c r="V126" s="41" t="n"/>
      <c r="W126" s="3">
        <f>TABL1234[[#This Row],[(A/B) AJD]]+TABL1234[[#This Row],[(A/S) AJD]]</f>
        <v/>
      </c>
      <c r="X126" s="3">
        <f>TABL1234[[#This Row],[( S/S+T/B) AJD]]-TABL1234[[#This Row],[(A/B + A/S) AJD]]</f>
        <v/>
      </c>
      <c r="Y126" s="41" t="n"/>
      <c r="Z126" s="43" t="n"/>
      <c r="AA126" s="3">
        <f>TABL1234[[#This Row],[(RESV. STORGE) AJD]]/10</f>
        <v/>
      </c>
      <c r="AB126" s="3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32" t="n"/>
      <c r="AN126" s="32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28">
        <f>103-F127</f>
        <v/>
      </c>
      <c r="I127" s="40" t="n"/>
      <c r="J127" s="44" t="n"/>
      <c r="K127" s="28">
        <f>TABL1234[[#This Row],[ (T/B) SAR]]+TABL1234[[#This Row],[ (S/S) SAR]]</f>
        <v/>
      </c>
      <c r="L127" s="45" t="n"/>
      <c r="M127" s="46" t="n"/>
      <c r="N127" s="46" t="n"/>
      <c r="O127" s="40" t="n"/>
      <c r="P127" s="3">
        <f>TABL1234[[#This Row],[ (S/S) SAR]]-TABL1234[[#This Row],[(S/S) AJD]]</f>
        <v/>
      </c>
      <c r="Q127" s="40" t="n"/>
      <c r="R127" s="3">
        <f>TABL1234[[#This Row],[ (T/B) SAR]]-TABL1234[[#This Row],[(T/B) AJD]]</f>
        <v/>
      </c>
      <c r="S127" s="3">
        <f>TABL1234[[#This Row],[T/B-CON.]]+TABL1234[[#This Row],[S/S_CON.]]</f>
        <v/>
      </c>
      <c r="T127" s="3">
        <f>TABL1234[[#This Row],[(S/S) AJD]]+TABL1234[[#This Row],[(T/B) AJD]]</f>
        <v/>
      </c>
      <c r="U127" s="44" t="n"/>
      <c r="V127" s="44" t="n"/>
      <c r="W127" s="3">
        <f>TABL1234[[#This Row],[(A/B) AJD]]+TABL1234[[#This Row],[(A/S) AJD]]</f>
        <v/>
      </c>
      <c r="X127" s="3">
        <f>TABL1234[[#This Row],[( S/S+T/B) AJD]]-TABL1234[[#This Row],[(A/B + A/S) AJD]]</f>
        <v/>
      </c>
      <c r="Y127" s="44" t="n"/>
      <c r="Z127" s="45" t="n"/>
      <c r="AA127" s="3">
        <f>TABL1234[[#This Row],[(RESV. STORGE) AJD]]/10</f>
        <v/>
      </c>
      <c r="AB127" s="3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32" t="n"/>
      <c r="AN127" s="32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28">
        <f>103-F128</f>
        <v/>
      </c>
      <c r="I128" s="39" t="n"/>
      <c r="J128" s="39" t="n"/>
      <c r="K128" s="28">
        <f>TABL1234[[#This Row],[ (T/B) SAR]]+TABL1234[[#This Row],[ (S/S) SAR]]</f>
        <v/>
      </c>
      <c r="L128" s="41" t="n"/>
      <c r="M128" s="42" t="n"/>
      <c r="N128" s="42" t="n"/>
      <c r="O128" s="39" t="n"/>
      <c r="P128" s="3">
        <f>TABL1234[[#This Row],[ (S/S) SAR]]-TABL1234[[#This Row],[(S/S) AJD]]</f>
        <v/>
      </c>
      <c r="Q128" s="39" t="n"/>
      <c r="R128" s="3">
        <f>TABL1234[[#This Row],[ (T/B) SAR]]-TABL1234[[#This Row],[(T/B) AJD]]</f>
        <v/>
      </c>
      <c r="S128" s="3">
        <f>TABL1234[[#This Row],[T/B-CON.]]+TABL1234[[#This Row],[S/S_CON.]]</f>
        <v/>
      </c>
      <c r="T128" s="3">
        <f>TABL1234[[#This Row],[(S/S) AJD]]+TABL1234[[#This Row],[(T/B) AJD]]</f>
        <v/>
      </c>
      <c r="U128" s="41" t="n"/>
      <c r="V128" s="41" t="n"/>
      <c r="W128" s="3">
        <f>TABL1234[[#This Row],[(A/B) AJD]]+TABL1234[[#This Row],[(A/S) AJD]]</f>
        <v/>
      </c>
      <c r="X128" s="3">
        <f>TABL1234[[#This Row],[( S/S+T/B) AJD]]-TABL1234[[#This Row],[(A/B + A/S) AJD]]</f>
        <v/>
      </c>
      <c r="Y128" s="41" t="n"/>
      <c r="Z128" s="43" t="n"/>
      <c r="AA128" s="3">
        <f>TABL1234[[#This Row],[(RESV. STORGE) AJD]]/10</f>
        <v/>
      </c>
      <c r="AB128" s="3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32" t="n"/>
      <c r="AN128" s="32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28">
        <f>103-F129</f>
        <v/>
      </c>
      <c r="I129" s="40" t="n"/>
      <c r="J129" s="44" t="n"/>
      <c r="K129" s="28">
        <f>TABL1234[[#This Row],[ (T/B) SAR]]+TABL1234[[#This Row],[ (S/S) SAR]]</f>
        <v/>
      </c>
      <c r="L129" s="45" t="n"/>
      <c r="M129" s="46" t="n"/>
      <c r="N129" s="46" t="n"/>
      <c r="O129" s="40" t="n"/>
      <c r="P129" s="3">
        <f>TABL1234[[#This Row],[ (S/S) SAR]]-TABL1234[[#This Row],[(S/S) AJD]]</f>
        <v/>
      </c>
      <c r="Q129" s="40" t="n"/>
      <c r="R129" s="3">
        <f>TABL1234[[#This Row],[ (T/B) SAR]]-TABL1234[[#This Row],[(T/B) AJD]]</f>
        <v/>
      </c>
      <c r="S129" s="3">
        <f>TABL1234[[#This Row],[T/B-CON.]]+TABL1234[[#This Row],[S/S_CON.]]</f>
        <v/>
      </c>
      <c r="T129" s="3">
        <f>TABL1234[[#This Row],[(S/S) AJD]]+TABL1234[[#This Row],[(T/B) AJD]]</f>
        <v/>
      </c>
      <c r="U129" s="44" t="n"/>
      <c r="V129" s="44" t="n"/>
      <c r="W129" s="3">
        <f>TABL1234[[#This Row],[(A/B) AJD]]+TABL1234[[#This Row],[(A/S) AJD]]</f>
        <v/>
      </c>
      <c r="X129" s="3">
        <f>TABL1234[[#This Row],[( S/S+T/B) AJD]]-TABL1234[[#This Row],[(A/B + A/S) AJD]]</f>
        <v/>
      </c>
      <c r="Y129" s="44" t="n"/>
      <c r="Z129" s="45" t="n"/>
      <c r="AA129" s="3">
        <f>TABL1234[[#This Row],[(RESV. STORGE) AJD]]/10</f>
        <v/>
      </c>
      <c r="AB129" s="3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32" t="n"/>
      <c r="AN129" s="32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28">
        <f>103-F130</f>
        <v/>
      </c>
      <c r="I130" s="39" t="n"/>
      <c r="J130" s="39" t="n"/>
      <c r="K130" s="28">
        <f>TABL1234[[#This Row],[ (T/B) SAR]]+TABL1234[[#This Row],[ (S/S) SAR]]</f>
        <v/>
      </c>
      <c r="L130" s="41" t="n"/>
      <c r="M130" s="42" t="n"/>
      <c r="N130" s="42" t="n"/>
      <c r="O130" s="39" t="n"/>
      <c r="P130" s="3">
        <f>TABL1234[[#This Row],[ (S/S) SAR]]-TABL1234[[#This Row],[(S/S) AJD]]</f>
        <v/>
      </c>
      <c r="Q130" s="39" t="n"/>
      <c r="R130" s="3">
        <f>TABL1234[[#This Row],[ (T/B) SAR]]-TABL1234[[#This Row],[(T/B) AJD]]</f>
        <v/>
      </c>
      <c r="S130" s="3">
        <f>TABL1234[[#This Row],[T/B-CON.]]+TABL1234[[#This Row],[S/S_CON.]]</f>
        <v/>
      </c>
      <c r="T130" s="3">
        <f>TABL1234[[#This Row],[(S/S) AJD]]+TABL1234[[#This Row],[(T/B) AJD]]</f>
        <v/>
      </c>
      <c r="U130" s="41" t="n"/>
      <c r="V130" s="41" t="n"/>
      <c r="W130" s="3">
        <f>TABL1234[[#This Row],[(A/B) AJD]]+TABL1234[[#This Row],[(A/S) AJD]]</f>
        <v/>
      </c>
      <c r="X130" s="3">
        <f>TABL1234[[#This Row],[( S/S+T/B) AJD]]-TABL1234[[#This Row],[(A/B + A/S) AJD]]</f>
        <v/>
      </c>
      <c r="Y130" s="41" t="n"/>
      <c r="Z130" s="43" t="n"/>
      <c r="AA130" s="3">
        <f>TABL1234[[#This Row],[(RESV. STORGE) AJD]]/10</f>
        <v/>
      </c>
      <c r="AB130" s="3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32" t="n"/>
      <c r="AN130" s="32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28">
        <f>103-F131</f>
        <v/>
      </c>
      <c r="I131" s="40" t="n"/>
      <c r="J131" s="44" t="n"/>
      <c r="K131" s="28">
        <f>TABL1234[[#This Row],[ (T/B) SAR]]+TABL1234[[#This Row],[ (S/S) SAR]]</f>
        <v/>
      </c>
      <c r="L131" s="45" t="n"/>
      <c r="M131" s="46" t="n"/>
      <c r="N131" s="46" t="n"/>
      <c r="O131" s="40" t="n"/>
      <c r="P131" s="3">
        <f>TABL1234[[#This Row],[ (S/S) SAR]]-TABL1234[[#This Row],[(S/S) AJD]]</f>
        <v/>
      </c>
      <c r="Q131" s="40" t="n"/>
      <c r="R131" s="3">
        <f>TABL1234[[#This Row],[ (T/B) SAR]]-TABL1234[[#This Row],[(T/B) AJD]]</f>
        <v/>
      </c>
      <c r="S131" s="3">
        <f>TABL1234[[#This Row],[T/B-CON.]]+TABL1234[[#This Row],[S/S_CON.]]</f>
        <v/>
      </c>
      <c r="T131" s="3">
        <f>TABL1234[[#This Row],[(S/S) AJD]]+TABL1234[[#This Row],[(T/B) AJD]]</f>
        <v/>
      </c>
      <c r="U131" s="44" t="n"/>
      <c r="V131" s="44" t="n"/>
      <c r="W131" s="3">
        <f>TABL1234[[#This Row],[(A/B) AJD]]+TABL1234[[#This Row],[(A/S) AJD]]</f>
        <v/>
      </c>
      <c r="X131" s="3">
        <f>TABL1234[[#This Row],[( S/S+T/B) AJD]]-TABL1234[[#This Row],[(A/B + A/S) AJD]]</f>
        <v/>
      </c>
      <c r="Y131" s="44" t="n"/>
      <c r="Z131" s="45" t="n"/>
      <c r="AA131" s="3">
        <f>TABL1234[[#This Row],[(RESV. STORGE) AJD]]/10</f>
        <v/>
      </c>
      <c r="AB131" s="3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32" t="n"/>
      <c r="AN131" s="32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28">
        <f>103-F132</f>
        <v/>
      </c>
      <c r="I132" s="39" t="n"/>
      <c r="J132" s="39" t="n"/>
      <c r="K132" s="28">
        <f>TABL1234[[#This Row],[ (T/B) SAR]]+TABL1234[[#This Row],[ (S/S) SAR]]</f>
        <v/>
      </c>
      <c r="L132" s="41" t="n"/>
      <c r="M132" s="42" t="n"/>
      <c r="N132" s="42" t="n"/>
      <c r="O132" s="39" t="n"/>
      <c r="P132" s="3">
        <f>TABL1234[[#This Row],[ (S/S) SAR]]-TABL1234[[#This Row],[(S/S) AJD]]</f>
        <v/>
      </c>
      <c r="Q132" s="39" t="n"/>
      <c r="R132" s="3">
        <f>TABL1234[[#This Row],[ (T/B) SAR]]-TABL1234[[#This Row],[(T/B) AJD]]</f>
        <v/>
      </c>
      <c r="S132" s="3">
        <f>TABL1234[[#This Row],[T/B-CON.]]+TABL1234[[#This Row],[S/S_CON.]]</f>
        <v/>
      </c>
      <c r="T132" s="3">
        <f>TABL1234[[#This Row],[(S/S) AJD]]+TABL1234[[#This Row],[(T/B) AJD]]</f>
        <v/>
      </c>
      <c r="U132" s="41" t="n"/>
      <c r="V132" s="41" t="n"/>
      <c r="W132" s="3">
        <f>TABL1234[[#This Row],[(A/B) AJD]]+TABL1234[[#This Row],[(A/S) AJD]]</f>
        <v/>
      </c>
      <c r="X132" s="3">
        <f>TABL1234[[#This Row],[( S/S+T/B) AJD]]-TABL1234[[#This Row],[(A/B + A/S) AJD]]</f>
        <v/>
      </c>
      <c r="Y132" s="41" t="n"/>
      <c r="Z132" s="43" t="n"/>
      <c r="AA132" s="3">
        <f>TABL1234[[#This Row],[(RESV. STORGE) AJD]]/10</f>
        <v/>
      </c>
      <c r="AB132" s="3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32" t="n"/>
      <c r="AN132" s="32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28">
        <f>103-F133</f>
        <v/>
      </c>
      <c r="I133" s="40" t="n"/>
      <c r="J133" s="44" t="n"/>
      <c r="K133" s="28">
        <f>TABL1234[[#This Row],[ (T/B) SAR]]+TABL1234[[#This Row],[ (S/S) SAR]]</f>
        <v/>
      </c>
      <c r="L133" s="45" t="n"/>
      <c r="M133" s="46" t="n"/>
      <c r="N133" s="46" t="n"/>
      <c r="O133" s="40" t="n"/>
      <c r="P133" s="3">
        <f>TABL1234[[#This Row],[ (S/S) SAR]]-TABL1234[[#This Row],[(S/S) AJD]]</f>
        <v/>
      </c>
      <c r="Q133" s="40" t="n"/>
      <c r="R133" s="3">
        <f>TABL1234[[#This Row],[ (T/B) SAR]]-TABL1234[[#This Row],[(T/B) AJD]]</f>
        <v/>
      </c>
      <c r="S133" s="3">
        <f>TABL1234[[#This Row],[T/B-CON.]]+TABL1234[[#This Row],[S/S_CON.]]</f>
        <v/>
      </c>
      <c r="T133" s="3">
        <f>TABL1234[[#This Row],[(S/S) AJD]]+TABL1234[[#This Row],[(T/B) AJD]]</f>
        <v/>
      </c>
      <c r="U133" s="44" t="n"/>
      <c r="V133" s="44" t="n"/>
      <c r="W133" s="3">
        <f>TABL1234[[#This Row],[(A/B) AJD]]+TABL1234[[#This Row],[(A/S) AJD]]</f>
        <v/>
      </c>
      <c r="X133" s="3">
        <f>TABL1234[[#This Row],[( S/S+T/B) AJD]]-TABL1234[[#This Row],[(A/B + A/S) AJD]]</f>
        <v/>
      </c>
      <c r="Y133" s="44" t="n"/>
      <c r="Z133" s="45" t="n"/>
      <c r="AA133" s="3">
        <f>TABL1234[[#This Row],[(RESV. STORGE) AJD]]/10</f>
        <v/>
      </c>
      <c r="AB133" s="3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32" t="n"/>
      <c r="AN133" s="32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28">
        <f>103-F134</f>
        <v/>
      </c>
      <c r="I134" s="39" t="n"/>
      <c r="J134" s="39" t="n"/>
      <c r="K134" s="28">
        <f>TABL1234[[#This Row],[ (T/B) SAR]]+TABL1234[[#This Row],[ (S/S) SAR]]</f>
        <v/>
      </c>
      <c r="L134" s="41" t="n"/>
      <c r="M134" s="42" t="n"/>
      <c r="N134" s="42" t="n"/>
      <c r="O134" s="39" t="n"/>
      <c r="P134" s="3">
        <f>TABL1234[[#This Row],[ (S/S) SAR]]-TABL1234[[#This Row],[(S/S) AJD]]</f>
        <v/>
      </c>
      <c r="Q134" s="39" t="n"/>
      <c r="R134" s="3">
        <f>TABL1234[[#This Row],[ (T/B) SAR]]-TABL1234[[#This Row],[(T/B) AJD]]</f>
        <v/>
      </c>
      <c r="S134" s="3">
        <f>TABL1234[[#This Row],[T/B-CON.]]+TABL1234[[#This Row],[S/S_CON.]]</f>
        <v/>
      </c>
      <c r="T134" s="3">
        <f>TABL1234[[#This Row],[(S/S) AJD]]+TABL1234[[#This Row],[(T/B) AJD]]</f>
        <v/>
      </c>
      <c r="U134" s="41" t="n"/>
      <c r="V134" s="41" t="n"/>
      <c r="W134" s="3">
        <f>TABL1234[[#This Row],[(A/B) AJD]]+TABL1234[[#This Row],[(A/S) AJD]]</f>
        <v/>
      </c>
      <c r="X134" s="3">
        <f>TABL1234[[#This Row],[( S/S+T/B) AJD]]-TABL1234[[#This Row],[(A/B + A/S) AJD]]</f>
        <v/>
      </c>
      <c r="Y134" s="41" t="n"/>
      <c r="Z134" s="43" t="n"/>
      <c r="AA134" s="3">
        <f>TABL1234[[#This Row],[(RESV. STORGE) AJD]]/10</f>
        <v/>
      </c>
      <c r="AB134" s="3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32" t="n"/>
      <c r="AN134" s="32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28">
        <f>103-F135</f>
        <v/>
      </c>
      <c r="I135" s="40" t="n"/>
      <c r="J135" s="44" t="n"/>
      <c r="K135" s="28">
        <f>TABL1234[[#This Row],[ (T/B) SAR]]+TABL1234[[#This Row],[ (S/S) SAR]]</f>
        <v/>
      </c>
      <c r="L135" s="45" t="n"/>
      <c r="M135" s="46" t="n"/>
      <c r="N135" s="46" t="n"/>
      <c r="O135" s="40" t="n"/>
      <c r="P135" s="3">
        <f>TABL1234[[#This Row],[ (S/S) SAR]]-TABL1234[[#This Row],[(S/S) AJD]]</f>
        <v/>
      </c>
      <c r="Q135" s="40" t="n"/>
      <c r="R135" s="3">
        <f>TABL1234[[#This Row],[ (T/B) SAR]]-TABL1234[[#This Row],[(T/B) AJD]]</f>
        <v/>
      </c>
      <c r="S135" s="3">
        <f>TABL1234[[#This Row],[T/B-CON.]]+TABL1234[[#This Row],[S/S_CON.]]</f>
        <v/>
      </c>
      <c r="T135" s="3">
        <f>TABL1234[[#This Row],[(S/S) AJD]]+TABL1234[[#This Row],[(T/B) AJD]]</f>
        <v/>
      </c>
      <c r="U135" s="44" t="n"/>
      <c r="V135" s="44" t="n"/>
      <c r="W135" s="3">
        <f>TABL1234[[#This Row],[(A/B) AJD]]+TABL1234[[#This Row],[(A/S) AJD]]</f>
        <v/>
      </c>
      <c r="X135" s="3">
        <f>TABL1234[[#This Row],[( S/S+T/B) AJD]]-TABL1234[[#This Row],[(A/B + A/S) AJD]]</f>
        <v/>
      </c>
      <c r="Y135" s="44" t="n"/>
      <c r="Z135" s="45" t="n"/>
      <c r="AA135" s="3">
        <f>TABL1234[[#This Row],[(RESV. STORGE) AJD]]/10</f>
        <v/>
      </c>
      <c r="AB135" s="3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32" t="n"/>
      <c r="AN135" s="32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28">
        <f>103-F136</f>
        <v/>
      </c>
      <c r="I136" s="39" t="n"/>
      <c r="J136" s="39" t="n"/>
      <c r="K136" s="28">
        <f>TABL1234[[#This Row],[ (T/B) SAR]]+TABL1234[[#This Row],[ (S/S) SAR]]</f>
        <v/>
      </c>
      <c r="L136" s="41" t="n"/>
      <c r="M136" s="42" t="n"/>
      <c r="N136" s="42" t="n"/>
      <c r="O136" s="39" t="n"/>
      <c r="P136" s="3">
        <f>TABL1234[[#This Row],[ (S/S) SAR]]-TABL1234[[#This Row],[(S/S) AJD]]</f>
        <v/>
      </c>
      <c r="Q136" s="39" t="n"/>
      <c r="R136" s="3">
        <f>TABL1234[[#This Row],[ (T/B) SAR]]-TABL1234[[#This Row],[(T/B) AJD]]</f>
        <v/>
      </c>
      <c r="S136" s="3">
        <f>TABL1234[[#This Row],[T/B-CON.]]+TABL1234[[#This Row],[S/S_CON.]]</f>
        <v/>
      </c>
      <c r="T136" s="3">
        <f>TABL1234[[#This Row],[(S/S) AJD]]+TABL1234[[#This Row],[(T/B) AJD]]</f>
        <v/>
      </c>
      <c r="U136" s="41" t="n"/>
      <c r="V136" s="41" t="n"/>
      <c r="W136" s="3">
        <f>TABL1234[[#This Row],[(A/B) AJD]]+TABL1234[[#This Row],[(A/S) AJD]]</f>
        <v/>
      </c>
      <c r="X136" s="3">
        <f>TABL1234[[#This Row],[( S/S+T/B) AJD]]-TABL1234[[#This Row],[(A/B + A/S) AJD]]</f>
        <v/>
      </c>
      <c r="Y136" s="41" t="n"/>
      <c r="Z136" s="43" t="n"/>
      <c r="AA136" s="3">
        <f>TABL1234[[#This Row],[(RESV. STORGE) AJD]]/10</f>
        <v/>
      </c>
      <c r="AB136" s="3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32" t="n"/>
      <c r="AN136" s="32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28">
        <f>103-F137</f>
        <v/>
      </c>
      <c r="I137" s="40" t="n"/>
      <c r="J137" s="44" t="n"/>
      <c r="K137" s="28">
        <f>TABL1234[[#This Row],[ (T/B) SAR]]+TABL1234[[#This Row],[ (S/S) SAR]]</f>
        <v/>
      </c>
      <c r="L137" s="45" t="n"/>
      <c r="M137" s="46" t="n"/>
      <c r="N137" s="46" t="n"/>
      <c r="O137" s="40" t="n"/>
      <c r="P137" s="3">
        <f>TABL1234[[#This Row],[ (S/S) SAR]]-TABL1234[[#This Row],[(S/S) AJD]]</f>
        <v/>
      </c>
      <c r="Q137" s="40" t="n"/>
      <c r="R137" s="3">
        <f>TABL1234[[#This Row],[ (T/B) SAR]]-TABL1234[[#This Row],[(T/B) AJD]]</f>
        <v/>
      </c>
      <c r="S137" s="3">
        <f>TABL1234[[#This Row],[T/B-CON.]]+TABL1234[[#This Row],[S/S_CON.]]</f>
        <v/>
      </c>
      <c r="T137" s="3">
        <f>TABL1234[[#This Row],[(S/S) AJD]]+TABL1234[[#This Row],[(T/B) AJD]]</f>
        <v/>
      </c>
      <c r="U137" s="44" t="n"/>
      <c r="V137" s="44" t="n"/>
      <c r="W137" s="3">
        <f>TABL1234[[#This Row],[(A/B) AJD]]+TABL1234[[#This Row],[(A/S) AJD]]</f>
        <v/>
      </c>
      <c r="X137" s="3">
        <f>TABL1234[[#This Row],[( S/S+T/B) AJD]]-TABL1234[[#This Row],[(A/B + A/S) AJD]]</f>
        <v/>
      </c>
      <c r="Y137" s="44" t="n"/>
      <c r="Z137" s="45" t="n"/>
      <c r="AA137" s="3">
        <f>TABL1234[[#This Row],[(RESV. STORGE) AJD]]/10</f>
        <v/>
      </c>
      <c r="AB137" s="3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32" t="n"/>
      <c r="AN137" s="32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28">
        <f>103-F138</f>
        <v/>
      </c>
      <c r="I138" s="39" t="n"/>
      <c r="J138" s="39" t="n"/>
      <c r="K138" s="28">
        <f>TABL1234[[#This Row],[ (T/B) SAR]]+TABL1234[[#This Row],[ (S/S) SAR]]</f>
        <v/>
      </c>
      <c r="L138" s="41" t="n"/>
      <c r="M138" s="42" t="n"/>
      <c r="N138" s="42" t="n"/>
      <c r="O138" s="39" t="n"/>
      <c r="P138" s="3">
        <f>TABL1234[[#This Row],[ (S/S) SAR]]-TABL1234[[#This Row],[(S/S) AJD]]</f>
        <v/>
      </c>
      <c r="Q138" s="39" t="n"/>
      <c r="R138" s="3">
        <f>TABL1234[[#This Row],[ (T/B) SAR]]-TABL1234[[#This Row],[(T/B) AJD]]</f>
        <v/>
      </c>
      <c r="S138" s="3">
        <f>TABL1234[[#This Row],[T/B-CON.]]+TABL1234[[#This Row],[S/S_CON.]]</f>
        <v/>
      </c>
      <c r="T138" s="3">
        <f>TABL1234[[#This Row],[(S/S) AJD]]+TABL1234[[#This Row],[(T/B) AJD]]</f>
        <v/>
      </c>
      <c r="U138" s="41" t="n"/>
      <c r="V138" s="41" t="n"/>
      <c r="W138" s="3">
        <f>TABL1234[[#This Row],[(A/B) AJD]]+TABL1234[[#This Row],[(A/S) AJD]]</f>
        <v/>
      </c>
      <c r="X138" s="3">
        <f>TABL1234[[#This Row],[( S/S+T/B) AJD]]-TABL1234[[#This Row],[(A/B + A/S) AJD]]</f>
        <v/>
      </c>
      <c r="Y138" s="41" t="n"/>
      <c r="Z138" s="43" t="n"/>
      <c r="AA138" s="3">
        <f>TABL1234[[#This Row],[(RESV. STORGE) AJD]]/10</f>
        <v/>
      </c>
      <c r="AB138" s="3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32" t="n"/>
      <c r="AN138" s="32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28">
        <f>103-F139</f>
        <v/>
      </c>
      <c r="I139" s="40" t="n"/>
      <c r="J139" s="44" t="n"/>
      <c r="K139" s="28">
        <f>TABL1234[[#This Row],[ (T/B) SAR]]+TABL1234[[#This Row],[ (S/S) SAR]]</f>
        <v/>
      </c>
      <c r="L139" s="45" t="n"/>
      <c r="M139" s="46" t="n"/>
      <c r="N139" s="46" t="n"/>
      <c r="O139" s="40" t="n"/>
      <c r="P139" s="3">
        <f>TABL1234[[#This Row],[ (S/S) SAR]]-TABL1234[[#This Row],[(S/S) AJD]]</f>
        <v/>
      </c>
      <c r="Q139" s="40" t="n"/>
      <c r="R139" s="3">
        <f>TABL1234[[#This Row],[ (T/B) SAR]]-TABL1234[[#This Row],[(T/B) AJD]]</f>
        <v/>
      </c>
      <c r="S139" s="3">
        <f>TABL1234[[#This Row],[T/B-CON.]]+TABL1234[[#This Row],[S/S_CON.]]</f>
        <v/>
      </c>
      <c r="T139" s="3">
        <f>TABL1234[[#This Row],[(S/S) AJD]]+TABL1234[[#This Row],[(T/B) AJD]]</f>
        <v/>
      </c>
      <c r="U139" s="44" t="n"/>
      <c r="V139" s="44" t="n"/>
      <c r="W139" s="3">
        <f>TABL1234[[#This Row],[(A/B) AJD]]+TABL1234[[#This Row],[(A/S) AJD]]</f>
        <v/>
      </c>
      <c r="X139" s="3">
        <f>TABL1234[[#This Row],[( S/S+T/B) AJD]]-TABL1234[[#This Row],[(A/B + A/S) AJD]]</f>
        <v/>
      </c>
      <c r="Y139" s="44" t="n"/>
      <c r="Z139" s="45" t="n"/>
      <c r="AA139" s="3">
        <f>TABL1234[[#This Row],[(RESV. STORGE) AJD]]/10</f>
        <v/>
      </c>
      <c r="AB139" s="3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32" t="n"/>
      <c r="AN139" s="32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28">
        <f>103-F140</f>
        <v/>
      </c>
      <c r="I140" s="39" t="n"/>
      <c r="J140" s="39" t="n"/>
      <c r="K140" s="28">
        <f>TABL1234[[#This Row],[ (T/B) SAR]]+TABL1234[[#This Row],[ (S/S) SAR]]</f>
        <v/>
      </c>
      <c r="L140" s="41" t="n"/>
      <c r="M140" s="42" t="n"/>
      <c r="N140" s="42" t="n"/>
      <c r="O140" s="39" t="n"/>
      <c r="P140" s="3">
        <f>TABL1234[[#This Row],[ (S/S) SAR]]-TABL1234[[#This Row],[(S/S) AJD]]</f>
        <v/>
      </c>
      <c r="Q140" s="39" t="n"/>
      <c r="R140" s="3">
        <f>TABL1234[[#This Row],[ (T/B) SAR]]-TABL1234[[#This Row],[(T/B) AJD]]</f>
        <v/>
      </c>
      <c r="S140" s="3">
        <f>TABL1234[[#This Row],[T/B-CON.]]+TABL1234[[#This Row],[S/S_CON.]]</f>
        <v/>
      </c>
      <c r="T140" s="3">
        <f>TABL1234[[#This Row],[(S/S) AJD]]+TABL1234[[#This Row],[(T/B) AJD]]</f>
        <v/>
      </c>
      <c r="U140" s="41" t="n"/>
      <c r="V140" s="41" t="n"/>
      <c r="W140" s="3">
        <f>TABL1234[[#This Row],[(A/B) AJD]]+TABL1234[[#This Row],[(A/S) AJD]]</f>
        <v/>
      </c>
      <c r="X140" s="3">
        <f>TABL1234[[#This Row],[( S/S+T/B) AJD]]-TABL1234[[#This Row],[(A/B + A/S) AJD]]</f>
        <v/>
      </c>
      <c r="Y140" s="41" t="n"/>
      <c r="Z140" s="43" t="n"/>
      <c r="AA140" s="3">
        <f>TABL1234[[#This Row],[(RESV. STORGE) AJD]]/10</f>
        <v/>
      </c>
      <c r="AB140" s="3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32" t="n"/>
      <c r="AN140" s="32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28">
        <f>103-F141</f>
        <v/>
      </c>
      <c r="I141" s="40" t="n"/>
      <c r="J141" s="44" t="n"/>
      <c r="K141" s="28">
        <f>TABL1234[[#This Row],[ (T/B) SAR]]+TABL1234[[#This Row],[ (S/S) SAR]]</f>
        <v/>
      </c>
      <c r="L141" s="45" t="n"/>
      <c r="M141" s="46" t="n"/>
      <c r="N141" s="46" t="n"/>
      <c r="O141" s="40" t="n"/>
      <c r="P141" s="3">
        <f>TABL1234[[#This Row],[ (S/S) SAR]]-TABL1234[[#This Row],[(S/S) AJD]]</f>
        <v/>
      </c>
      <c r="Q141" s="40" t="n"/>
      <c r="R141" s="3">
        <f>TABL1234[[#This Row],[ (T/B) SAR]]-TABL1234[[#This Row],[(T/B) AJD]]</f>
        <v/>
      </c>
      <c r="S141" s="3">
        <f>TABL1234[[#This Row],[T/B-CON.]]+TABL1234[[#This Row],[S/S_CON.]]</f>
        <v/>
      </c>
      <c r="T141" s="3">
        <f>TABL1234[[#This Row],[(S/S) AJD]]+TABL1234[[#This Row],[(T/B) AJD]]</f>
        <v/>
      </c>
      <c r="U141" s="44" t="n"/>
      <c r="V141" s="44" t="n"/>
      <c r="W141" s="3">
        <f>TABL1234[[#This Row],[(A/B) AJD]]+TABL1234[[#This Row],[(A/S) AJD]]</f>
        <v/>
      </c>
      <c r="X141" s="3">
        <f>TABL1234[[#This Row],[( S/S+T/B) AJD]]-TABL1234[[#This Row],[(A/B + A/S) AJD]]</f>
        <v/>
      </c>
      <c r="Y141" s="44" t="n"/>
      <c r="Z141" s="45" t="n"/>
      <c r="AA141" s="3">
        <f>TABL1234[[#This Row],[(RESV. STORGE) AJD]]/10</f>
        <v/>
      </c>
      <c r="AB141" s="3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32" t="n"/>
      <c r="AN141" s="32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28">
        <f>103-F142</f>
        <v/>
      </c>
      <c r="I142" s="39" t="n"/>
      <c r="J142" s="39" t="n"/>
      <c r="K142" s="28">
        <f>TABL1234[[#This Row],[ (T/B) SAR]]+TABL1234[[#This Row],[ (S/S) SAR]]</f>
        <v/>
      </c>
      <c r="L142" s="41" t="n"/>
      <c r="M142" s="42" t="n"/>
      <c r="N142" s="42" t="n"/>
      <c r="O142" s="39" t="n"/>
      <c r="P142" s="3">
        <f>TABL1234[[#This Row],[ (S/S) SAR]]-TABL1234[[#This Row],[(S/S) AJD]]</f>
        <v/>
      </c>
      <c r="Q142" s="39" t="n"/>
      <c r="R142" s="3">
        <f>TABL1234[[#This Row],[ (T/B) SAR]]-TABL1234[[#This Row],[(T/B) AJD]]</f>
        <v/>
      </c>
      <c r="S142" s="3">
        <f>TABL1234[[#This Row],[T/B-CON.]]+TABL1234[[#This Row],[S/S_CON.]]</f>
        <v/>
      </c>
      <c r="T142" s="3">
        <f>TABL1234[[#This Row],[(S/S) AJD]]+TABL1234[[#This Row],[(T/B) AJD]]</f>
        <v/>
      </c>
      <c r="U142" s="41" t="n"/>
      <c r="V142" s="41" t="n"/>
      <c r="W142" s="3">
        <f>TABL1234[[#This Row],[(A/B) AJD]]+TABL1234[[#This Row],[(A/S) AJD]]</f>
        <v/>
      </c>
      <c r="X142" s="3">
        <f>TABL1234[[#This Row],[( S/S+T/B) AJD]]-TABL1234[[#This Row],[(A/B + A/S) AJD]]</f>
        <v/>
      </c>
      <c r="Y142" s="41" t="n"/>
      <c r="Z142" s="43" t="n"/>
      <c r="AA142" s="3">
        <f>TABL1234[[#This Row],[(RESV. STORGE) AJD]]/10</f>
        <v/>
      </c>
      <c r="AB142" s="3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32" t="n"/>
      <c r="AN142" s="32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28">
        <f>103-F143</f>
        <v/>
      </c>
      <c r="I143" s="40" t="n"/>
      <c r="J143" s="44" t="n"/>
      <c r="K143" s="28">
        <f>TABL1234[[#This Row],[ (T/B) SAR]]+TABL1234[[#This Row],[ (S/S) SAR]]</f>
        <v/>
      </c>
      <c r="L143" s="45" t="n"/>
      <c r="M143" s="46" t="n"/>
      <c r="N143" s="46" t="n"/>
      <c r="O143" s="40" t="n"/>
      <c r="P143" s="3">
        <f>TABL1234[[#This Row],[ (S/S) SAR]]-TABL1234[[#This Row],[(S/S) AJD]]</f>
        <v/>
      </c>
      <c r="Q143" s="40" t="n"/>
      <c r="R143" s="3">
        <f>TABL1234[[#This Row],[ (T/B) SAR]]-TABL1234[[#This Row],[(T/B) AJD]]</f>
        <v/>
      </c>
      <c r="S143" s="3">
        <f>TABL1234[[#This Row],[T/B-CON.]]+TABL1234[[#This Row],[S/S_CON.]]</f>
        <v/>
      </c>
      <c r="T143" s="3">
        <f>TABL1234[[#This Row],[(S/S) AJD]]+TABL1234[[#This Row],[(T/B) AJD]]</f>
        <v/>
      </c>
      <c r="U143" s="44" t="n"/>
      <c r="V143" s="44" t="n"/>
      <c r="W143" s="3">
        <f>TABL1234[[#This Row],[(A/B) AJD]]+TABL1234[[#This Row],[(A/S) AJD]]</f>
        <v/>
      </c>
      <c r="X143" s="3">
        <f>TABL1234[[#This Row],[( S/S+T/B) AJD]]-TABL1234[[#This Row],[(A/B + A/S) AJD]]</f>
        <v/>
      </c>
      <c r="Y143" s="44" t="n"/>
      <c r="Z143" s="45" t="n"/>
      <c r="AA143" s="3">
        <f>TABL1234[[#This Row],[(RESV. STORGE) AJD]]/10</f>
        <v/>
      </c>
      <c r="AB143" s="3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32" t="n"/>
      <c r="AN143" s="32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28">
        <f>103-F144</f>
        <v/>
      </c>
      <c r="I144" s="39" t="n"/>
      <c r="J144" s="39" t="n"/>
      <c r="K144" s="28">
        <f>TABL1234[[#This Row],[ (T/B) SAR]]+TABL1234[[#This Row],[ (S/S) SAR]]</f>
        <v/>
      </c>
      <c r="L144" s="41" t="n"/>
      <c r="M144" s="42" t="n"/>
      <c r="N144" s="42" t="n"/>
      <c r="O144" s="39" t="n"/>
      <c r="P144" s="3">
        <f>TABL1234[[#This Row],[ (S/S) SAR]]-TABL1234[[#This Row],[(S/S) AJD]]</f>
        <v/>
      </c>
      <c r="Q144" s="39" t="n"/>
      <c r="R144" s="3">
        <f>TABL1234[[#This Row],[ (T/B) SAR]]-TABL1234[[#This Row],[(T/B) AJD]]</f>
        <v/>
      </c>
      <c r="S144" s="3">
        <f>TABL1234[[#This Row],[T/B-CON.]]+TABL1234[[#This Row],[S/S_CON.]]</f>
        <v/>
      </c>
      <c r="T144" s="3">
        <f>TABL1234[[#This Row],[(S/S) AJD]]+TABL1234[[#This Row],[(T/B) AJD]]</f>
        <v/>
      </c>
      <c r="U144" s="41" t="n"/>
      <c r="V144" s="41" t="n"/>
      <c r="W144" s="3">
        <f>TABL1234[[#This Row],[(A/B) AJD]]+TABL1234[[#This Row],[(A/S) AJD]]</f>
        <v/>
      </c>
      <c r="X144" s="3">
        <f>TABL1234[[#This Row],[( S/S+T/B) AJD]]-TABL1234[[#This Row],[(A/B + A/S) AJD]]</f>
        <v/>
      </c>
      <c r="Y144" s="41" t="n"/>
      <c r="Z144" s="43" t="n"/>
      <c r="AA144" s="3">
        <f>TABL1234[[#This Row],[(RESV. STORGE) AJD]]/10</f>
        <v/>
      </c>
      <c r="AB144" s="3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32" t="n"/>
      <c r="AN144" s="32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28">
        <f>103-F145</f>
        <v/>
      </c>
      <c r="I145" s="40" t="n"/>
      <c r="J145" s="44" t="n"/>
      <c r="K145" s="28">
        <f>TABL1234[[#This Row],[ (T/B) SAR]]+TABL1234[[#This Row],[ (S/S) SAR]]</f>
        <v/>
      </c>
      <c r="L145" s="45" t="n"/>
      <c r="M145" s="46" t="n"/>
      <c r="N145" s="46" t="n"/>
      <c r="O145" s="40" t="n"/>
      <c r="P145" s="3">
        <f>TABL1234[[#This Row],[ (S/S) SAR]]-TABL1234[[#This Row],[(S/S) AJD]]</f>
        <v/>
      </c>
      <c r="Q145" s="40" t="n"/>
      <c r="R145" s="3">
        <f>TABL1234[[#This Row],[ (T/B) SAR]]-TABL1234[[#This Row],[(T/B) AJD]]</f>
        <v/>
      </c>
      <c r="S145" s="3">
        <f>TABL1234[[#This Row],[T/B-CON.]]+TABL1234[[#This Row],[S/S_CON.]]</f>
        <v/>
      </c>
      <c r="T145" s="3">
        <f>TABL1234[[#This Row],[(S/S) AJD]]+TABL1234[[#This Row],[(T/B) AJD]]</f>
        <v/>
      </c>
      <c r="U145" s="44" t="n"/>
      <c r="V145" s="44" t="n"/>
      <c r="W145" s="3">
        <f>TABL1234[[#This Row],[(A/B) AJD]]+TABL1234[[#This Row],[(A/S) AJD]]</f>
        <v/>
      </c>
      <c r="X145" s="3">
        <f>TABL1234[[#This Row],[( S/S+T/B) AJD]]-TABL1234[[#This Row],[(A/B + A/S) AJD]]</f>
        <v/>
      </c>
      <c r="Y145" s="44" t="n"/>
      <c r="Z145" s="45" t="n"/>
      <c r="AA145" s="3">
        <f>TABL1234[[#This Row],[(RESV. STORGE) AJD]]/10</f>
        <v/>
      </c>
      <c r="AB145" s="3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32" t="n"/>
      <c r="AN145" s="32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28">
        <f>103-F146</f>
        <v/>
      </c>
      <c r="I146" s="39" t="n"/>
      <c r="J146" s="39" t="n"/>
      <c r="K146" s="28">
        <f>TABL1234[[#This Row],[ (T/B) SAR]]+TABL1234[[#This Row],[ (S/S) SAR]]</f>
        <v/>
      </c>
      <c r="L146" s="41" t="n"/>
      <c r="M146" s="42" t="n"/>
      <c r="N146" s="42" t="n"/>
      <c r="O146" s="39" t="n"/>
      <c r="P146" s="3">
        <f>TABL1234[[#This Row],[ (S/S) SAR]]-TABL1234[[#This Row],[(S/S) AJD]]</f>
        <v/>
      </c>
      <c r="Q146" s="39" t="n"/>
      <c r="R146" s="3">
        <f>TABL1234[[#This Row],[ (T/B) SAR]]-TABL1234[[#This Row],[(T/B) AJD]]</f>
        <v/>
      </c>
      <c r="S146" s="3">
        <f>TABL1234[[#This Row],[T/B-CON.]]+TABL1234[[#This Row],[S/S_CON.]]</f>
        <v/>
      </c>
      <c r="T146" s="3">
        <f>TABL1234[[#This Row],[(S/S) AJD]]+TABL1234[[#This Row],[(T/B) AJD]]</f>
        <v/>
      </c>
      <c r="U146" s="41" t="n"/>
      <c r="V146" s="41" t="n"/>
      <c r="W146" s="3">
        <f>TABL1234[[#This Row],[(A/B) AJD]]+TABL1234[[#This Row],[(A/S) AJD]]</f>
        <v/>
      </c>
      <c r="X146" s="3">
        <f>TABL1234[[#This Row],[( S/S+T/B) AJD]]-TABL1234[[#This Row],[(A/B + A/S) AJD]]</f>
        <v/>
      </c>
      <c r="Y146" s="41" t="n"/>
      <c r="Z146" s="43" t="n"/>
      <c r="AA146" s="3">
        <f>TABL1234[[#This Row],[(RESV. STORGE) AJD]]/10</f>
        <v/>
      </c>
      <c r="AB146" s="3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32" t="n"/>
      <c r="AN146" s="32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28">
        <f>103-F147</f>
        <v/>
      </c>
      <c r="I147" s="40" t="n"/>
      <c r="J147" s="44" t="n"/>
      <c r="K147" s="28">
        <f>TABL1234[[#This Row],[ (T/B) SAR]]+TABL1234[[#This Row],[ (S/S) SAR]]</f>
        <v/>
      </c>
      <c r="L147" s="45" t="n"/>
      <c r="M147" s="46" t="n"/>
      <c r="N147" s="46" t="n"/>
      <c r="O147" s="40" t="n"/>
      <c r="P147" s="3">
        <f>TABL1234[[#This Row],[ (S/S) SAR]]-TABL1234[[#This Row],[(S/S) AJD]]</f>
        <v/>
      </c>
      <c r="Q147" s="40" t="n"/>
      <c r="R147" s="3">
        <f>TABL1234[[#This Row],[ (T/B) SAR]]-TABL1234[[#This Row],[(T/B) AJD]]</f>
        <v/>
      </c>
      <c r="S147" s="3">
        <f>TABL1234[[#This Row],[T/B-CON.]]+TABL1234[[#This Row],[S/S_CON.]]</f>
        <v/>
      </c>
      <c r="T147" s="3">
        <f>TABL1234[[#This Row],[(S/S) AJD]]+TABL1234[[#This Row],[(T/B) AJD]]</f>
        <v/>
      </c>
      <c r="U147" s="44" t="n"/>
      <c r="V147" s="44" t="n"/>
      <c r="W147" s="3">
        <f>TABL1234[[#This Row],[(A/B) AJD]]+TABL1234[[#This Row],[(A/S) AJD]]</f>
        <v/>
      </c>
      <c r="X147" s="3">
        <f>TABL1234[[#This Row],[( S/S+T/B) AJD]]-TABL1234[[#This Row],[(A/B + A/S) AJD]]</f>
        <v/>
      </c>
      <c r="Y147" s="44" t="n"/>
      <c r="Z147" s="45" t="n"/>
      <c r="AA147" s="3">
        <f>TABL1234[[#This Row],[(RESV. STORGE) AJD]]/10</f>
        <v/>
      </c>
      <c r="AB147" s="3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32" t="n"/>
      <c r="AN147" s="32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28">
        <f>103-F148</f>
        <v/>
      </c>
      <c r="I148" s="39" t="n"/>
      <c r="J148" s="39" t="n"/>
      <c r="K148" s="28">
        <f>TABL1234[[#This Row],[ (T/B) SAR]]+TABL1234[[#This Row],[ (S/S) SAR]]</f>
        <v/>
      </c>
      <c r="L148" s="41" t="n"/>
      <c r="M148" s="42" t="n"/>
      <c r="N148" s="42" t="n"/>
      <c r="O148" s="39" t="n"/>
      <c r="P148" s="3">
        <f>TABL1234[[#This Row],[ (S/S) SAR]]-TABL1234[[#This Row],[(S/S) AJD]]</f>
        <v/>
      </c>
      <c r="Q148" s="39" t="n"/>
      <c r="R148" s="3">
        <f>TABL1234[[#This Row],[ (T/B) SAR]]-TABL1234[[#This Row],[(T/B) AJD]]</f>
        <v/>
      </c>
      <c r="S148" s="3">
        <f>TABL1234[[#This Row],[T/B-CON.]]+TABL1234[[#This Row],[S/S_CON.]]</f>
        <v/>
      </c>
      <c r="T148" s="3">
        <f>TABL1234[[#This Row],[(S/S) AJD]]+TABL1234[[#This Row],[(T/B) AJD]]</f>
        <v/>
      </c>
      <c r="U148" s="41" t="n"/>
      <c r="V148" s="41" t="n"/>
      <c r="W148" s="3">
        <f>TABL1234[[#This Row],[(A/B) AJD]]+TABL1234[[#This Row],[(A/S) AJD]]</f>
        <v/>
      </c>
      <c r="X148" s="3">
        <f>TABL1234[[#This Row],[( S/S+T/B) AJD]]-TABL1234[[#This Row],[(A/B + A/S) AJD]]</f>
        <v/>
      </c>
      <c r="Y148" s="41" t="n"/>
      <c r="Z148" s="43" t="n"/>
      <c r="AA148" s="3">
        <f>TABL1234[[#This Row],[(RESV. STORGE) AJD]]/10</f>
        <v/>
      </c>
      <c r="AB148" s="3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32" t="n"/>
      <c r="AN148" s="32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28">
        <f>103-F149</f>
        <v/>
      </c>
      <c r="I149" s="40" t="n"/>
      <c r="J149" s="44" t="n"/>
      <c r="K149" s="28">
        <f>TABL1234[[#This Row],[ (T/B) SAR]]+TABL1234[[#This Row],[ (S/S) SAR]]</f>
        <v/>
      </c>
      <c r="L149" s="45" t="n"/>
      <c r="M149" s="46" t="n"/>
      <c r="N149" s="46" t="n"/>
      <c r="O149" s="40" t="n"/>
      <c r="P149" s="3">
        <f>TABL1234[[#This Row],[ (S/S) SAR]]-TABL1234[[#This Row],[(S/S) AJD]]</f>
        <v/>
      </c>
      <c r="Q149" s="40" t="n"/>
      <c r="R149" s="3">
        <f>TABL1234[[#This Row],[ (T/B) SAR]]-TABL1234[[#This Row],[(T/B) AJD]]</f>
        <v/>
      </c>
      <c r="S149" s="3">
        <f>TABL1234[[#This Row],[T/B-CON.]]+TABL1234[[#This Row],[S/S_CON.]]</f>
        <v/>
      </c>
      <c r="T149" s="3">
        <f>TABL1234[[#This Row],[(S/S) AJD]]+TABL1234[[#This Row],[(T/B) AJD]]</f>
        <v/>
      </c>
      <c r="U149" s="44" t="n"/>
      <c r="V149" s="44" t="n"/>
      <c r="W149" s="3">
        <f>TABL1234[[#This Row],[(A/B) AJD]]+TABL1234[[#This Row],[(A/S) AJD]]</f>
        <v/>
      </c>
      <c r="X149" s="3">
        <f>TABL1234[[#This Row],[( S/S+T/B) AJD]]-TABL1234[[#This Row],[(A/B + A/S) AJD]]</f>
        <v/>
      </c>
      <c r="Y149" s="44" t="n"/>
      <c r="Z149" s="45" t="n"/>
      <c r="AA149" s="3">
        <f>TABL1234[[#This Row],[(RESV. STORGE) AJD]]/10</f>
        <v/>
      </c>
      <c r="AB149" s="3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32" t="n"/>
      <c r="AN149" s="32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28">
        <f>103-F150</f>
        <v/>
      </c>
      <c r="I150" s="39" t="n"/>
      <c r="J150" s="39" t="n"/>
      <c r="K150" s="28">
        <f>TABL1234[[#This Row],[ (T/B) SAR]]+TABL1234[[#This Row],[ (S/S) SAR]]</f>
        <v/>
      </c>
      <c r="L150" s="41" t="n"/>
      <c r="M150" s="42" t="n"/>
      <c r="N150" s="42" t="n"/>
      <c r="O150" s="39" t="n"/>
      <c r="P150" s="3">
        <f>TABL1234[[#This Row],[ (S/S) SAR]]-TABL1234[[#This Row],[(S/S) AJD]]</f>
        <v/>
      </c>
      <c r="Q150" s="39" t="n"/>
      <c r="R150" s="3">
        <f>TABL1234[[#This Row],[ (T/B) SAR]]-TABL1234[[#This Row],[(T/B) AJD]]</f>
        <v/>
      </c>
      <c r="S150" s="3">
        <f>TABL1234[[#This Row],[T/B-CON.]]+TABL1234[[#This Row],[S/S_CON.]]</f>
        <v/>
      </c>
      <c r="T150" s="3">
        <f>TABL1234[[#This Row],[(S/S) AJD]]+TABL1234[[#This Row],[(T/B) AJD]]</f>
        <v/>
      </c>
      <c r="U150" s="41" t="n"/>
      <c r="V150" s="41" t="n"/>
      <c r="W150" s="3">
        <f>TABL1234[[#This Row],[(A/B) AJD]]+TABL1234[[#This Row],[(A/S) AJD]]</f>
        <v/>
      </c>
      <c r="X150" s="3">
        <f>TABL1234[[#This Row],[( S/S+T/B) AJD]]-TABL1234[[#This Row],[(A/B + A/S) AJD]]</f>
        <v/>
      </c>
      <c r="Y150" s="41" t="n"/>
      <c r="Z150" s="43" t="n"/>
      <c r="AA150" s="3">
        <f>TABL1234[[#This Row],[(RESV. STORGE) AJD]]/10</f>
        <v/>
      </c>
      <c r="AB150" s="3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32" t="n"/>
      <c r="AN150" s="32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28">
        <f>103-F151</f>
        <v/>
      </c>
      <c r="I151" s="40" t="n"/>
      <c r="J151" s="44" t="n"/>
      <c r="K151" s="28">
        <f>TABL1234[[#This Row],[ (T/B) SAR]]+TABL1234[[#This Row],[ (S/S) SAR]]</f>
        <v/>
      </c>
      <c r="L151" s="45" t="n"/>
      <c r="M151" s="46" t="n"/>
      <c r="N151" s="46" t="n"/>
      <c r="O151" s="40" t="n"/>
      <c r="P151" s="3">
        <f>TABL1234[[#This Row],[ (S/S) SAR]]-TABL1234[[#This Row],[(S/S) AJD]]</f>
        <v/>
      </c>
      <c r="Q151" s="40" t="n"/>
      <c r="R151" s="3">
        <f>TABL1234[[#This Row],[ (T/B) SAR]]-TABL1234[[#This Row],[(T/B) AJD]]</f>
        <v/>
      </c>
      <c r="S151" s="3">
        <f>TABL1234[[#This Row],[T/B-CON.]]+TABL1234[[#This Row],[S/S_CON.]]</f>
        <v/>
      </c>
      <c r="T151" s="3">
        <f>TABL1234[[#This Row],[(S/S) AJD]]+TABL1234[[#This Row],[(T/B) AJD]]</f>
        <v/>
      </c>
      <c r="U151" s="44" t="n"/>
      <c r="V151" s="44" t="n"/>
      <c r="W151" s="3">
        <f>TABL1234[[#This Row],[(A/B) AJD]]+TABL1234[[#This Row],[(A/S) AJD]]</f>
        <v/>
      </c>
      <c r="X151" s="3">
        <f>TABL1234[[#This Row],[( S/S+T/B) AJD]]-TABL1234[[#This Row],[(A/B + A/S) AJD]]</f>
        <v/>
      </c>
      <c r="Y151" s="44" t="n"/>
      <c r="Z151" s="45" t="n"/>
      <c r="AA151" s="3">
        <f>TABL1234[[#This Row],[(RESV. STORGE) AJD]]/10</f>
        <v/>
      </c>
      <c r="AB151" s="3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32" t="n"/>
      <c r="AN151" s="32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28" t="n"/>
      <c r="F152" s="41" t="n"/>
      <c r="G152" s="39" t="n"/>
      <c r="H152" s="28">
        <f>103-F152</f>
        <v/>
      </c>
      <c r="I152" s="39" t="n"/>
      <c r="J152" s="39" t="n"/>
      <c r="K152" s="28">
        <f>TABL1234[[#This Row],[ (T/B) SAR]]+TABL1234[[#This Row],[ (S/S) SAR]]</f>
        <v/>
      </c>
      <c r="L152" s="41" t="n"/>
      <c r="M152" s="42" t="n"/>
      <c r="N152" s="42" t="n"/>
      <c r="O152" s="39" t="n"/>
      <c r="P152" s="3">
        <f>TABL1234[[#This Row],[ (S/S) SAR]]-TABL1234[[#This Row],[(S/S) AJD]]</f>
        <v/>
      </c>
      <c r="Q152" s="39" t="n"/>
      <c r="R152" s="3">
        <f>TABL1234[[#This Row],[ (T/B) SAR]]-TABL1234[[#This Row],[(T/B) AJD]]</f>
        <v/>
      </c>
      <c r="S152" s="3">
        <f>TABL1234[[#This Row],[T/B-CON.]]+TABL1234[[#This Row],[S/S_CON.]]</f>
        <v/>
      </c>
      <c r="T152" s="3">
        <f>TABL1234[[#This Row],[(S/S) AJD]]+TABL1234[[#This Row],[(T/B) AJD]]</f>
        <v/>
      </c>
      <c r="U152" s="41" t="n"/>
      <c r="V152" s="41" t="n"/>
      <c r="W152" s="3">
        <f>TABL1234[[#This Row],[(A/B) AJD]]+TABL1234[[#This Row],[(A/S) AJD]]</f>
        <v/>
      </c>
      <c r="X152" s="3">
        <f>TABL1234[[#This Row],[( S/S+T/B) AJD]]-TABL1234[[#This Row],[(A/B + A/S) AJD]]</f>
        <v/>
      </c>
      <c r="Y152" s="41" t="n"/>
      <c r="Z152" s="43" t="n"/>
      <c r="AA152" s="3">
        <f>TABL1234[[#This Row],[(RESV. STORGE) AJD]]/10</f>
        <v/>
      </c>
      <c r="AB152" s="3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32" t="n"/>
      <c r="AN152" s="32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28" t="n"/>
      <c r="F153" s="41" t="n"/>
      <c r="G153" s="39" t="n"/>
      <c r="H153" s="28">
        <f>103-F153</f>
        <v/>
      </c>
      <c r="I153" s="39" t="n"/>
      <c r="J153" s="39" t="n"/>
      <c r="K153" s="28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3">
        <f>TABL1234[[#This Row],[(RESV. STORGE) AJD]]/10</f>
        <v/>
      </c>
      <c r="AB153" s="3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32" t="n"/>
      <c r="AN153" s="32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28" t="n"/>
      <c r="F154" s="44" t="n"/>
      <c r="G154" s="40" t="n"/>
      <c r="H154" s="28">
        <f>103-F154</f>
        <v/>
      </c>
      <c r="I154" s="40" t="n"/>
      <c r="J154" s="44" t="n"/>
      <c r="K154" s="28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3">
        <f>TABL1234[[#This Row],[(RESV. STORGE) AJD]]/10</f>
        <v/>
      </c>
      <c r="AB154" s="3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32" t="n"/>
      <c r="AN154" s="32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28" t="n"/>
      <c r="F155" s="41" t="n"/>
      <c r="G155" s="39" t="n"/>
      <c r="H155" s="28">
        <f>103-F155</f>
        <v/>
      </c>
      <c r="I155" s="39" t="n"/>
      <c r="J155" s="39" t="n"/>
      <c r="K155" s="28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3">
        <f>TABL1234[[#This Row],[(RESV. STORGE) AJD]]/10</f>
        <v/>
      </c>
      <c r="AB155" s="3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32" t="n"/>
      <c r="AN155" s="32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28" t="n"/>
      <c r="F156" s="44" t="n"/>
      <c r="G156" s="40" t="n"/>
      <c r="H156" s="28">
        <f>103-F156</f>
        <v/>
      </c>
      <c r="I156" s="40" t="n"/>
      <c r="J156" s="44" t="n"/>
      <c r="K156" s="28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3">
        <f>TABL1234[[#This Row],[(RESV. STORGE) AJD]]/10</f>
        <v/>
      </c>
      <c r="AB156" s="3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32" t="n"/>
      <c r="AN156" s="32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28" t="n"/>
      <c r="F157" s="41" t="n"/>
      <c r="G157" s="39" t="n"/>
      <c r="H157" s="28">
        <f>103-F157</f>
        <v/>
      </c>
      <c r="I157" s="39" t="n"/>
      <c r="J157" s="39" t="n"/>
      <c r="K157" s="28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3">
        <f>TABL1234[[#This Row],[(RESV. STORGE) AJD]]/10</f>
        <v/>
      </c>
      <c r="AB157" s="3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32" t="n"/>
      <c r="AN157" s="32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28" t="n"/>
      <c r="F158" s="44" t="n"/>
      <c r="G158" s="40" t="n"/>
      <c r="H158" s="28">
        <f>103-F158</f>
        <v/>
      </c>
      <c r="I158" s="40" t="n"/>
      <c r="J158" s="44" t="n"/>
      <c r="K158" s="28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3">
        <f>TABL1234[[#This Row],[(RESV. STORGE) AJD]]/10</f>
        <v/>
      </c>
      <c r="AB158" s="3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32" t="n"/>
      <c r="AN158" s="32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28" t="n"/>
      <c r="F159" s="41" t="n"/>
      <c r="G159" s="39" t="n"/>
      <c r="H159" s="28">
        <f>103-F159</f>
        <v/>
      </c>
      <c r="I159" s="39" t="n"/>
      <c r="J159" s="39" t="n"/>
      <c r="K159" s="28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3">
        <f>TABL1234[[#This Row],[(RESV. STORGE) AJD]]/10</f>
        <v/>
      </c>
      <c r="AB159" s="3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32" t="n"/>
      <c r="AN159" s="32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28" t="n"/>
      <c r="F160" s="44" t="n"/>
      <c r="G160" s="40" t="n"/>
      <c r="H160" s="28">
        <f>103-F160</f>
        <v/>
      </c>
      <c r="I160" s="40" t="n"/>
      <c r="J160" s="44" t="n"/>
      <c r="K160" s="28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3">
        <f>TABL1234[[#This Row],[(RESV. STORGE) AJD]]/10</f>
        <v/>
      </c>
      <c r="AB160" s="3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32" t="n"/>
      <c r="AN160" s="32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28" t="n"/>
      <c r="F161" s="41" t="n"/>
      <c r="G161" s="39" t="n"/>
      <c r="H161" s="28">
        <f>103-F161</f>
        <v/>
      </c>
      <c r="I161" s="39" t="n"/>
      <c r="J161" s="39" t="n"/>
      <c r="K161" s="28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3">
        <f>TABL1234[[#This Row],[(RESV. STORGE) AJD]]/10</f>
        <v/>
      </c>
      <c r="AB161" s="3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32" t="n"/>
      <c r="AN161" s="32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28" t="n"/>
      <c r="F162" s="44" t="n"/>
      <c r="G162" s="40" t="n"/>
      <c r="H162" s="28">
        <f>103-F162</f>
        <v/>
      </c>
      <c r="I162" s="40" t="n"/>
      <c r="J162" s="44" t="n"/>
      <c r="K162" s="28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3">
        <f>TABL1234[[#This Row],[(RESV. STORGE) AJD]]/10</f>
        <v/>
      </c>
      <c r="AB162" s="3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32" t="n"/>
      <c r="AN162" s="32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28" t="n"/>
      <c r="F163" s="41" t="n"/>
      <c r="G163" s="39" t="n"/>
      <c r="H163" s="28">
        <f>103-F163</f>
        <v/>
      </c>
      <c r="I163" s="39" t="n"/>
      <c r="J163" s="39" t="n"/>
      <c r="K163" s="28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3">
        <f>TABL1234[[#This Row],[(RESV. STORGE) AJD]]/10</f>
        <v/>
      </c>
      <c r="AB163" s="3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32" t="n"/>
      <c r="AN163" s="32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28" t="n"/>
      <c r="F164" s="44" t="n"/>
      <c r="G164" s="40" t="n"/>
      <c r="H164" s="28">
        <f>103-F164</f>
        <v/>
      </c>
      <c r="I164" s="40" t="n"/>
      <c r="J164" s="44" t="n"/>
      <c r="K164" s="28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3">
        <f>TABL1234[[#This Row],[(RESV. STORGE) AJD]]/10</f>
        <v/>
      </c>
      <c r="AB164" s="3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32" t="n"/>
      <c r="AN164" s="32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28" t="n"/>
      <c r="F165" s="41" t="n"/>
      <c r="G165" s="39" t="n"/>
      <c r="H165" s="28">
        <f>103-F165</f>
        <v/>
      </c>
      <c r="I165" s="39" t="n"/>
      <c r="J165" s="39" t="n"/>
      <c r="K165" s="28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3">
        <f>TABL1234[[#This Row],[(RESV. STORGE) AJD]]/10</f>
        <v/>
      </c>
      <c r="AB165" s="3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32" t="n"/>
      <c r="AN165" s="32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28" t="n"/>
      <c r="F166" s="44" t="n"/>
      <c r="G166" s="40" t="n"/>
      <c r="H166" s="28">
        <f>103-F166</f>
        <v/>
      </c>
      <c r="I166" s="40" t="n"/>
      <c r="J166" s="44" t="n"/>
      <c r="K166" s="28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3">
        <f>TABL1234[[#This Row],[(RESV. STORGE) AJD]]/10</f>
        <v/>
      </c>
      <c r="AB166" s="3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32" t="n"/>
      <c r="AN166" s="32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28" t="n"/>
      <c r="F167" s="41" t="n"/>
      <c r="G167" s="39" t="n"/>
      <c r="H167" s="28">
        <f>103-F167</f>
        <v/>
      </c>
      <c r="I167" s="39" t="n"/>
      <c r="J167" s="39" t="n"/>
      <c r="K167" s="28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3">
        <f>TABL1234[[#This Row],[(RESV. STORGE) AJD]]/10</f>
        <v/>
      </c>
      <c r="AB167" s="3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32" t="n"/>
      <c r="AN167" s="32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28" t="n"/>
      <c r="F168" s="44" t="n"/>
      <c r="G168" s="40" t="n"/>
      <c r="H168" s="28">
        <f>103-F168</f>
        <v/>
      </c>
      <c r="I168" s="40" t="n"/>
      <c r="J168" s="44" t="n"/>
      <c r="K168" s="28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3">
        <f>TABL1234[[#This Row],[(RESV. STORGE) AJD]]/10</f>
        <v/>
      </c>
      <c r="AB168" s="3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32" t="n"/>
      <c r="AN168" s="32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28" t="n"/>
      <c r="F169" s="41" t="n"/>
      <c r="G169" s="39" t="n"/>
      <c r="H169" s="28">
        <f>103-F169</f>
        <v/>
      </c>
      <c r="I169" s="39" t="n"/>
      <c r="J169" s="39" t="n"/>
      <c r="K169" s="28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3">
        <f>TABL1234[[#This Row],[(RESV. STORGE) AJD]]/10</f>
        <v/>
      </c>
      <c r="AB169" s="3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32" t="n"/>
      <c r="AN169" s="32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28" t="n"/>
      <c r="F170" s="44" t="n"/>
      <c r="G170" s="40" t="n"/>
      <c r="H170" s="28">
        <f>103-F170</f>
        <v/>
      </c>
      <c r="I170" s="40" t="n"/>
      <c r="J170" s="44" t="n"/>
      <c r="K170" s="28">
        <f>TABL1234[[#This Row],[ (T/B) SAR]]+TABL1234[[#This Row],[ (S/S) SAR]]</f>
        <v/>
      </c>
      <c r="L170" s="45" t="n"/>
      <c r="M170" s="46" t="n"/>
      <c r="N170" s="46" t="n"/>
      <c r="O170" s="40" t="n"/>
      <c r="P170" s="3">
        <f>TABL1234[[#This Row],[ (S/S) SAR]]-TABL1234[[#This Row],[(S/S) AJD]]</f>
        <v/>
      </c>
      <c r="Q170" s="40" t="n"/>
      <c r="R170" s="3">
        <f>TABL1234[[#This Row],[ (T/B) SAR]]-TABL1234[[#This Row],[(T/B) AJD]]</f>
        <v/>
      </c>
      <c r="S170" s="3">
        <f>TABL1234[[#This Row],[T/B-CON.]]+TABL1234[[#This Row],[S/S_CON.]]</f>
        <v/>
      </c>
      <c r="T170" s="3">
        <f>TABL1234[[#This Row],[(S/S) AJD]]+TABL1234[[#This Row],[(T/B) AJD]]</f>
        <v/>
      </c>
      <c r="U170" s="44" t="n"/>
      <c r="V170" s="44" t="n"/>
      <c r="W170" s="3">
        <f>TABL1234[[#This Row],[(A/B) AJD]]+TABL1234[[#This Row],[(A/S) AJD]]</f>
        <v/>
      </c>
      <c r="X170" s="3">
        <f>TABL1234[[#This Row],[( S/S+T/B) AJD]]-TABL1234[[#This Row],[(A/B + A/S) AJD]]</f>
        <v/>
      </c>
      <c r="Y170" s="44" t="n"/>
      <c r="Z170" s="45" t="n"/>
      <c r="AA170" s="3">
        <f>TABL1234[[#This Row],[(RESV. STORGE) AJD]]/10</f>
        <v/>
      </c>
      <c r="AB170" s="3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32" t="n"/>
      <c r="AN170" s="32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28" t="n"/>
      <c r="F171" s="41" t="n"/>
      <c r="G171" s="39" t="n"/>
      <c r="H171" s="28">
        <f>103-F171</f>
        <v/>
      </c>
      <c r="I171" s="39" t="n"/>
      <c r="J171" s="39" t="n"/>
      <c r="K171" s="28">
        <f>TABL1234[[#This Row],[ (T/B) SAR]]+TABL1234[[#This Row],[ (S/S) SAR]]</f>
        <v/>
      </c>
      <c r="L171" s="41" t="n"/>
      <c r="M171" s="42" t="n"/>
      <c r="N171" s="42" t="n"/>
      <c r="O171" s="39" t="n"/>
      <c r="P171" s="3">
        <f>TABL1234[[#This Row],[ (S/S) SAR]]-TABL1234[[#This Row],[(S/S) AJD]]</f>
        <v/>
      </c>
      <c r="Q171" s="39" t="n"/>
      <c r="R171" s="3">
        <f>TABL1234[[#This Row],[ (T/B) SAR]]-TABL1234[[#This Row],[(T/B) AJD]]</f>
        <v/>
      </c>
      <c r="S171" s="3">
        <f>TABL1234[[#This Row],[T/B-CON.]]+TABL1234[[#This Row],[S/S_CON.]]</f>
        <v/>
      </c>
      <c r="T171" s="3">
        <f>TABL1234[[#This Row],[(S/S) AJD]]+TABL1234[[#This Row],[(T/B) AJD]]</f>
        <v/>
      </c>
      <c r="U171" s="41" t="n"/>
      <c r="V171" s="41" t="n"/>
      <c r="W171" s="3">
        <f>TABL1234[[#This Row],[(A/B) AJD]]+TABL1234[[#This Row],[(A/S) AJD]]</f>
        <v/>
      </c>
      <c r="X171" s="3">
        <f>TABL1234[[#This Row],[( S/S+T/B) AJD]]-TABL1234[[#This Row],[(A/B + A/S) AJD]]</f>
        <v/>
      </c>
      <c r="Y171" s="41" t="n"/>
      <c r="Z171" s="43" t="n"/>
      <c r="AA171" s="3">
        <f>TABL1234[[#This Row],[(RESV. STORGE) AJD]]/10</f>
        <v/>
      </c>
      <c r="AB171" s="3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32" t="n"/>
      <c r="AN171" s="32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28" t="n"/>
      <c r="F172" s="44" t="n"/>
      <c r="G172" s="40" t="n"/>
      <c r="H172" s="28">
        <f>103-F172</f>
        <v/>
      </c>
      <c r="I172" s="40" t="n"/>
      <c r="J172" s="40" t="n"/>
      <c r="K172" s="28">
        <f>TABL1234[[#This Row],[ (T/B) SAR]]+TABL1234[[#This Row],[ (S/S) SAR]]</f>
        <v/>
      </c>
      <c r="L172" s="44" t="n"/>
      <c r="M172" s="46" t="n"/>
      <c r="N172" s="46" t="n"/>
      <c r="O172" s="40" t="n"/>
      <c r="P172" s="3">
        <f>TABL1234[[#This Row],[ (S/S) SAR]]-TABL1234[[#This Row],[(S/S) AJD]]</f>
        <v/>
      </c>
      <c r="Q172" s="40" t="n"/>
      <c r="R172" s="3">
        <f>TABL1234[[#This Row],[ (T/B) SAR]]-TABL1234[[#This Row],[(T/B) AJD]]</f>
        <v/>
      </c>
      <c r="S172" s="3">
        <f>TABL1234[[#This Row],[T/B-CON.]]+TABL1234[[#This Row],[S/S_CON.]]</f>
        <v/>
      </c>
      <c r="T172" s="3">
        <f>TABL1234[[#This Row],[(S/S) AJD]]+TABL1234[[#This Row],[(T/B) AJD]]</f>
        <v/>
      </c>
      <c r="U172" s="44" t="n"/>
      <c r="V172" s="44" t="n"/>
      <c r="W172" s="3">
        <f>TABL1234[[#This Row],[(A/B) AJD]]+TABL1234[[#This Row],[(A/S) AJD]]</f>
        <v/>
      </c>
      <c r="X172" s="3">
        <f>TABL1234[[#This Row],[( S/S+T/B) AJD]]-TABL1234[[#This Row],[(A/B + A/S) AJD]]</f>
        <v/>
      </c>
      <c r="Y172" s="44" t="n"/>
      <c r="Z172" s="45" t="n"/>
      <c r="AA172" s="3">
        <f>TABL1234[[#This Row],[(RESV. STORGE) AJD]]/10</f>
        <v/>
      </c>
      <c r="AB172" s="3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32" t="n"/>
      <c r="AN172" s="32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28" t="n"/>
      <c r="F173" s="41" t="n"/>
      <c r="G173" s="39" t="n"/>
      <c r="H173" s="28">
        <f>103-F173</f>
        <v/>
      </c>
      <c r="I173" s="39" t="n"/>
      <c r="J173" s="39" t="n"/>
      <c r="K173" s="28">
        <f>TABL1234[[#This Row],[ (T/B) SAR]]+TABL1234[[#This Row],[ (S/S) SAR]]</f>
        <v/>
      </c>
      <c r="L173" s="41" t="n"/>
      <c r="M173" s="42" t="n"/>
      <c r="N173" s="42" t="n"/>
      <c r="O173" s="39" t="n"/>
      <c r="P173" s="3">
        <f>TABL1234[[#This Row],[ (S/S) SAR]]-TABL1234[[#This Row],[(S/S) AJD]]</f>
        <v/>
      </c>
      <c r="Q173" s="39" t="n"/>
      <c r="R173" s="3">
        <f>TABL1234[[#This Row],[ (T/B) SAR]]-TABL1234[[#This Row],[(T/B) AJD]]</f>
        <v/>
      </c>
      <c r="S173" s="3">
        <f>TABL1234[[#This Row],[T/B-CON.]]+TABL1234[[#This Row],[S/S_CON.]]</f>
        <v/>
      </c>
      <c r="T173" s="3">
        <f>TABL1234[[#This Row],[(S/S) AJD]]+TABL1234[[#This Row],[(T/B) AJD]]</f>
        <v/>
      </c>
      <c r="U173" s="41" t="n"/>
      <c r="V173" s="41" t="n"/>
      <c r="W173" s="3">
        <f>TABL1234[[#This Row],[(A/B) AJD]]+TABL1234[[#This Row],[(A/S) AJD]]</f>
        <v/>
      </c>
      <c r="X173" s="3">
        <f>TABL1234[[#This Row],[( S/S+T/B) AJD]]-TABL1234[[#This Row],[(A/B + A/S) AJD]]</f>
        <v/>
      </c>
      <c r="Y173" s="41" t="n"/>
      <c r="Z173" s="43" t="n"/>
      <c r="AA173" s="3">
        <f>TABL1234[[#This Row],[(RESV. STORGE) AJD]]/10</f>
        <v/>
      </c>
      <c r="AB173" s="3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32" t="n"/>
      <c r="AN173" s="32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28" t="n"/>
      <c r="F174" s="44" t="n"/>
      <c r="G174" s="40" t="n"/>
      <c r="H174" s="28">
        <f>103-F174</f>
        <v/>
      </c>
      <c r="I174" s="40" t="n"/>
      <c r="J174" s="44" t="n"/>
      <c r="K174" s="28">
        <f>TABL1234[[#This Row],[ (T/B) SAR]]+TABL1234[[#This Row],[ (S/S) SAR]]</f>
        <v/>
      </c>
      <c r="L174" s="45" t="n"/>
      <c r="M174" s="46" t="n"/>
      <c r="N174" s="46" t="n"/>
      <c r="O174" s="40" t="n"/>
      <c r="P174" s="3">
        <f>TABL1234[[#This Row],[ (S/S) SAR]]-TABL1234[[#This Row],[(S/S) AJD]]</f>
        <v/>
      </c>
      <c r="Q174" s="40" t="n"/>
      <c r="R174" s="3">
        <f>TABL1234[[#This Row],[ (T/B) SAR]]-TABL1234[[#This Row],[(T/B) AJD]]</f>
        <v/>
      </c>
      <c r="S174" s="3">
        <f>TABL1234[[#This Row],[T/B-CON.]]+TABL1234[[#This Row],[S/S_CON.]]</f>
        <v/>
      </c>
      <c r="T174" s="3">
        <f>TABL1234[[#This Row],[(S/S) AJD]]+TABL1234[[#This Row],[(T/B) AJD]]</f>
        <v/>
      </c>
      <c r="U174" s="44" t="n"/>
      <c r="V174" s="44" t="n"/>
      <c r="W174" s="3">
        <f>TABL1234[[#This Row],[(A/B) AJD]]+TABL1234[[#This Row],[(A/S) AJD]]</f>
        <v/>
      </c>
      <c r="X174" s="3">
        <f>TABL1234[[#This Row],[( S/S+T/B) AJD]]-TABL1234[[#This Row],[(A/B + A/S) AJD]]</f>
        <v/>
      </c>
      <c r="Y174" s="44" t="n"/>
      <c r="Z174" s="45" t="n"/>
      <c r="AA174" s="3">
        <f>TABL1234[[#This Row],[(RESV. STORGE) AJD]]/10</f>
        <v/>
      </c>
      <c r="AB174" s="3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32" t="n"/>
      <c r="AN174" s="32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28" t="n"/>
      <c r="F175" s="41" t="n"/>
      <c r="G175" s="39" t="n"/>
      <c r="H175" s="28">
        <f>103-F175</f>
        <v/>
      </c>
      <c r="I175" s="39" t="n"/>
      <c r="J175" s="39" t="n"/>
      <c r="K175" s="28">
        <f>TABL1234[[#This Row],[ (T/B) SAR]]+TABL1234[[#This Row],[ (S/S) SAR]]</f>
        <v/>
      </c>
      <c r="L175" s="41" t="n"/>
      <c r="M175" s="42" t="n"/>
      <c r="N175" s="42" t="n"/>
      <c r="O175" s="39" t="n"/>
      <c r="P175" s="3">
        <f>TABL1234[[#This Row],[ (S/S) SAR]]-TABL1234[[#This Row],[(S/S) AJD]]</f>
        <v/>
      </c>
      <c r="Q175" s="39" t="n"/>
      <c r="R175" s="3">
        <f>TABL1234[[#This Row],[ (T/B) SAR]]-TABL1234[[#This Row],[(T/B) AJD]]</f>
        <v/>
      </c>
      <c r="S175" s="3">
        <f>TABL1234[[#This Row],[T/B-CON.]]+TABL1234[[#This Row],[S/S_CON.]]</f>
        <v/>
      </c>
      <c r="T175" s="3">
        <f>TABL1234[[#This Row],[(S/S) AJD]]+TABL1234[[#This Row],[(T/B) AJD]]</f>
        <v/>
      </c>
      <c r="U175" s="41" t="n"/>
      <c r="V175" s="41" t="n"/>
      <c r="W175" s="3">
        <f>TABL1234[[#This Row],[(A/B) AJD]]+TABL1234[[#This Row],[(A/S) AJD]]</f>
        <v/>
      </c>
      <c r="X175" s="3">
        <f>TABL1234[[#This Row],[( S/S+T/B) AJD]]-TABL1234[[#This Row],[(A/B + A/S) AJD]]</f>
        <v/>
      </c>
      <c r="Y175" s="41" t="n"/>
      <c r="Z175" s="43" t="n"/>
      <c r="AA175" s="3">
        <f>TABL1234[[#This Row],[(RESV. STORGE) AJD]]/10</f>
        <v/>
      </c>
      <c r="AB175" s="3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32" t="n"/>
      <c r="AN175" s="32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28" t="n"/>
      <c r="F176" s="44" t="n"/>
      <c r="G176" s="40" t="n"/>
      <c r="H176" s="28">
        <f>103-F176</f>
        <v/>
      </c>
      <c r="I176" s="40" t="n"/>
      <c r="J176" s="44" t="n"/>
      <c r="K176" s="28">
        <f>TABL1234[[#This Row],[ (T/B) SAR]]+TABL1234[[#This Row],[ (S/S) SAR]]</f>
        <v/>
      </c>
      <c r="L176" s="45" t="n"/>
      <c r="M176" s="46" t="n"/>
      <c r="N176" s="46" t="n"/>
      <c r="O176" s="40" t="n"/>
      <c r="P176" s="3">
        <f>TABL1234[[#This Row],[ (S/S) SAR]]-TABL1234[[#This Row],[(S/S) AJD]]</f>
        <v/>
      </c>
      <c r="Q176" s="40" t="n"/>
      <c r="R176" s="3">
        <f>TABL1234[[#This Row],[ (T/B) SAR]]-TABL1234[[#This Row],[(T/B) AJD]]</f>
        <v/>
      </c>
      <c r="S176" s="3">
        <f>TABL1234[[#This Row],[T/B-CON.]]+TABL1234[[#This Row],[S/S_CON.]]</f>
        <v/>
      </c>
      <c r="T176" s="3">
        <f>TABL1234[[#This Row],[(S/S) AJD]]+TABL1234[[#This Row],[(T/B) AJD]]</f>
        <v/>
      </c>
      <c r="U176" s="44" t="n"/>
      <c r="V176" s="44" t="n"/>
      <c r="W176" s="3">
        <f>TABL1234[[#This Row],[(A/B) AJD]]+TABL1234[[#This Row],[(A/S) AJD]]</f>
        <v/>
      </c>
      <c r="X176" s="3">
        <f>TABL1234[[#This Row],[( S/S+T/B) AJD]]-TABL1234[[#This Row],[(A/B + A/S) AJD]]</f>
        <v/>
      </c>
      <c r="Y176" s="44" t="n"/>
      <c r="Z176" s="45" t="n"/>
      <c r="AA176" s="3">
        <f>TABL1234[[#This Row],[(RESV. STORGE) AJD]]/10</f>
        <v/>
      </c>
      <c r="AB176" s="3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32" t="n"/>
      <c r="AN176" s="32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28" t="n"/>
      <c r="F177" s="41" t="n"/>
      <c r="G177" s="39" t="n"/>
      <c r="H177" s="28">
        <f>103-F177</f>
        <v/>
      </c>
      <c r="I177" s="39" t="n"/>
      <c r="J177" s="39" t="n"/>
      <c r="K177" s="28">
        <f>TABL1234[[#This Row],[ (T/B) SAR]]+TABL1234[[#This Row],[ (S/S) SAR]]</f>
        <v/>
      </c>
      <c r="L177" s="41" t="n"/>
      <c r="M177" s="42" t="n"/>
      <c r="N177" s="42" t="n"/>
      <c r="O177" s="39" t="n"/>
      <c r="P177" s="3">
        <f>TABL1234[[#This Row],[ (S/S) SAR]]-TABL1234[[#This Row],[(S/S) AJD]]</f>
        <v/>
      </c>
      <c r="Q177" s="39" t="n"/>
      <c r="R177" s="3">
        <f>TABL1234[[#This Row],[ (T/B) SAR]]-TABL1234[[#This Row],[(T/B) AJD]]</f>
        <v/>
      </c>
      <c r="S177" s="3">
        <f>TABL1234[[#This Row],[T/B-CON.]]+TABL1234[[#This Row],[S/S_CON.]]</f>
        <v/>
      </c>
      <c r="T177" s="3">
        <f>TABL1234[[#This Row],[(S/S) AJD]]+TABL1234[[#This Row],[(T/B) AJD]]</f>
        <v/>
      </c>
      <c r="U177" s="41" t="n"/>
      <c r="V177" s="41" t="n"/>
      <c r="W177" s="3">
        <f>TABL1234[[#This Row],[(A/B) AJD]]+TABL1234[[#This Row],[(A/S) AJD]]</f>
        <v/>
      </c>
      <c r="X177" s="3">
        <f>TABL1234[[#This Row],[( S/S+T/B) AJD]]-TABL1234[[#This Row],[(A/B + A/S) AJD]]</f>
        <v/>
      </c>
      <c r="Y177" s="41" t="n"/>
      <c r="Z177" s="43" t="n"/>
      <c r="AA177" s="3">
        <f>TABL1234[[#This Row],[(RESV. STORGE) AJD]]/10</f>
        <v/>
      </c>
      <c r="AB177" s="3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32" t="n"/>
      <c r="AN177" s="32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28" t="n"/>
      <c r="F178" s="44" t="n"/>
      <c r="G178" s="40" t="n"/>
      <c r="H178" s="28">
        <f>103-F178</f>
        <v/>
      </c>
      <c r="I178" s="40" t="n"/>
      <c r="J178" s="44" t="n"/>
      <c r="K178" s="28">
        <f>TABL1234[[#This Row],[ (T/B) SAR]]+TABL1234[[#This Row],[ (S/S) SAR]]</f>
        <v/>
      </c>
      <c r="L178" s="45" t="n"/>
      <c r="M178" s="46" t="n"/>
      <c r="N178" s="46" t="n"/>
      <c r="O178" s="40" t="n"/>
      <c r="P178" s="3">
        <f>TABL1234[[#This Row],[ (S/S) SAR]]-TABL1234[[#This Row],[(S/S) AJD]]</f>
        <v/>
      </c>
      <c r="Q178" s="40" t="n"/>
      <c r="R178" s="3">
        <f>TABL1234[[#This Row],[ (T/B) SAR]]-TABL1234[[#This Row],[(T/B) AJD]]</f>
        <v/>
      </c>
      <c r="S178" s="3">
        <f>TABL1234[[#This Row],[T/B-CON.]]+TABL1234[[#This Row],[S/S_CON.]]</f>
        <v/>
      </c>
      <c r="T178" s="3">
        <f>TABL1234[[#This Row],[(S/S) AJD]]+TABL1234[[#This Row],[(T/B) AJD]]</f>
        <v/>
      </c>
      <c r="U178" s="44" t="n"/>
      <c r="V178" s="44" t="n"/>
      <c r="W178" s="3">
        <f>TABL1234[[#This Row],[(A/B) AJD]]+TABL1234[[#This Row],[(A/S) AJD]]</f>
        <v/>
      </c>
      <c r="X178" s="3">
        <f>TABL1234[[#This Row],[( S/S+T/B) AJD]]-TABL1234[[#This Row],[(A/B + A/S) AJD]]</f>
        <v/>
      </c>
      <c r="Y178" s="44" t="n"/>
      <c r="Z178" s="45" t="n"/>
      <c r="AA178" s="3">
        <f>TABL1234[[#This Row],[(RESV. STORGE) AJD]]/10</f>
        <v/>
      </c>
      <c r="AB178" s="3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32" t="n"/>
      <c r="AN178" s="32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28" t="n"/>
      <c r="F179" s="41" t="n"/>
      <c r="G179" s="39" t="n"/>
      <c r="H179" s="28">
        <f>103-F179</f>
        <v/>
      </c>
      <c r="I179" s="39" t="n"/>
      <c r="J179" s="39" t="n"/>
      <c r="K179" s="28">
        <f>TABL1234[[#This Row],[ (T/B) SAR]]+TABL1234[[#This Row],[ (S/S) SAR]]</f>
        <v/>
      </c>
      <c r="L179" s="41" t="n"/>
      <c r="M179" s="42" t="n"/>
      <c r="N179" s="42" t="n"/>
      <c r="O179" s="39" t="n"/>
      <c r="P179" s="3">
        <f>TABL1234[[#This Row],[ (S/S) SAR]]-TABL1234[[#This Row],[(S/S) AJD]]</f>
        <v/>
      </c>
      <c r="Q179" s="39" t="n"/>
      <c r="R179" s="3">
        <f>TABL1234[[#This Row],[ (T/B) SAR]]-TABL1234[[#This Row],[(T/B) AJD]]</f>
        <v/>
      </c>
      <c r="S179" s="3">
        <f>TABL1234[[#This Row],[T/B-CON.]]+TABL1234[[#This Row],[S/S_CON.]]</f>
        <v/>
      </c>
      <c r="T179" s="3">
        <f>TABL1234[[#This Row],[(S/S) AJD]]+TABL1234[[#This Row],[(T/B) AJD]]</f>
        <v/>
      </c>
      <c r="U179" s="41" t="n"/>
      <c r="V179" s="41" t="n"/>
      <c r="W179" s="3">
        <f>TABL1234[[#This Row],[(A/B) AJD]]+TABL1234[[#This Row],[(A/S) AJD]]</f>
        <v/>
      </c>
      <c r="X179" s="3">
        <f>TABL1234[[#This Row],[( S/S+T/B) AJD]]-TABL1234[[#This Row],[(A/B + A/S) AJD]]</f>
        <v/>
      </c>
      <c r="Y179" s="41" t="n"/>
      <c r="Z179" s="43" t="n"/>
      <c r="AA179" s="3">
        <f>TABL1234[[#This Row],[(RESV. STORGE) AJD]]/10</f>
        <v/>
      </c>
      <c r="AB179" s="3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32" t="n"/>
      <c r="AN179" s="32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28" t="n"/>
      <c r="F180" s="44" t="n"/>
      <c r="G180" s="40" t="n"/>
      <c r="H180" s="28">
        <f>103-F180</f>
        <v/>
      </c>
      <c r="I180" s="40" t="n"/>
      <c r="J180" s="44" t="n"/>
      <c r="K180" s="28">
        <f>TABL1234[[#This Row],[ (T/B) SAR]]+TABL1234[[#This Row],[ (S/S) SAR]]</f>
        <v/>
      </c>
      <c r="L180" s="45" t="n"/>
      <c r="M180" s="46" t="n"/>
      <c r="N180" s="46" t="n"/>
      <c r="O180" s="40" t="n"/>
      <c r="P180" s="3">
        <f>TABL1234[[#This Row],[ (S/S) SAR]]-TABL1234[[#This Row],[(S/S) AJD]]</f>
        <v/>
      </c>
      <c r="Q180" s="40" t="n"/>
      <c r="R180" s="3">
        <f>TABL1234[[#This Row],[ (T/B) SAR]]-TABL1234[[#This Row],[(T/B) AJD]]</f>
        <v/>
      </c>
      <c r="S180" s="3">
        <f>TABL1234[[#This Row],[T/B-CON.]]+TABL1234[[#This Row],[S/S_CON.]]</f>
        <v/>
      </c>
      <c r="T180" s="3">
        <f>TABL1234[[#This Row],[(S/S) AJD]]+TABL1234[[#This Row],[(T/B) AJD]]</f>
        <v/>
      </c>
      <c r="U180" s="44" t="n"/>
      <c r="V180" s="44" t="n"/>
      <c r="W180" s="3">
        <f>TABL1234[[#This Row],[(A/B) AJD]]+TABL1234[[#This Row],[(A/S) AJD]]</f>
        <v/>
      </c>
      <c r="X180" s="3">
        <f>TABL1234[[#This Row],[( S/S+T/B) AJD]]-TABL1234[[#This Row],[(A/B + A/S) AJD]]</f>
        <v/>
      </c>
      <c r="Y180" s="44" t="n"/>
      <c r="Z180" s="45" t="n"/>
      <c r="AA180" s="3">
        <f>TABL1234[[#This Row],[(RESV. STORGE) AJD]]/10</f>
        <v/>
      </c>
      <c r="AB180" s="3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32" t="n"/>
      <c r="AN180" s="32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28" t="n"/>
      <c r="F181" s="41" t="n"/>
      <c r="G181" s="39" t="n"/>
      <c r="H181" s="28">
        <f>103-F181</f>
        <v/>
      </c>
      <c r="I181" s="39" t="n"/>
      <c r="J181" s="39" t="n"/>
      <c r="K181" s="28">
        <f>TABL1234[[#This Row],[ (T/B) SAR]]+TABL1234[[#This Row],[ (S/S) SAR]]</f>
        <v/>
      </c>
      <c r="L181" s="41" t="n"/>
      <c r="M181" s="42" t="n"/>
      <c r="N181" s="42" t="n"/>
      <c r="O181" s="39" t="n"/>
      <c r="P181" s="3">
        <f>TABL1234[[#This Row],[ (S/S) SAR]]-TABL1234[[#This Row],[(S/S) AJD]]</f>
        <v/>
      </c>
      <c r="Q181" s="39" t="n"/>
      <c r="R181" s="3">
        <f>TABL1234[[#This Row],[ (T/B) SAR]]-TABL1234[[#This Row],[(T/B) AJD]]</f>
        <v/>
      </c>
      <c r="S181" s="3">
        <f>TABL1234[[#This Row],[T/B-CON.]]+TABL1234[[#This Row],[S/S_CON.]]</f>
        <v/>
      </c>
      <c r="T181" s="3">
        <f>TABL1234[[#This Row],[(S/S) AJD]]+TABL1234[[#This Row],[(T/B) AJD]]</f>
        <v/>
      </c>
      <c r="U181" s="41" t="n"/>
      <c r="V181" s="41" t="n"/>
      <c r="W181" s="3">
        <f>TABL1234[[#This Row],[(A/B) AJD]]+TABL1234[[#This Row],[(A/S) AJD]]</f>
        <v/>
      </c>
      <c r="X181" s="3">
        <f>TABL1234[[#This Row],[( S/S+T/B) AJD]]-TABL1234[[#This Row],[(A/B + A/S) AJD]]</f>
        <v/>
      </c>
      <c r="Y181" s="41" t="n"/>
      <c r="Z181" s="43" t="n"/>
      <c r="AA181" s="3">
        <f>TABL1234[[#This Row],[(RESV. STORGE) AJD]]/10</f>
        <v/>
      </c>
      <c r="AB181" s="3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32" t="n"/>
      <c r="AN181" s="32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28" t="n"/>
      <c r="F182" s="44" t="n"/>
      <c r="G182" s="40" t="n"/>
      <c r="H182" s="28">
        <f>103-F182</f>
        <v/>
      </c>
      <c r="I182" s="40" t="n"/>
      <c r="J182" s="44" t="n"/>
      <c r="K182" s="28">
        <f>TABL1234[[#This Row],[ (T/B) SAR]]+TABL1234[[#This Row],[ (S/S) SAR]]</f>
        <v/>
      </c>
      <c r="L182" s="45" t="n"/>
      <c r="M182" s="46" t="n"/>
      <c r="N182" s="46" t="n"/>
      <c r="O182" s="40" t="n"/>
      <c r="P182" s="3">
        <f>TABL1234[[#This Row],[ (S/S) SAR]]-TABL1234[[#This Row],[(S/S) AJD]]</f>
        <v/>
      </c>
      <c r="Q182" s="40" t="n"/>
      <c r="R182" s="3">
        <f>TABL1234[[#This Row],[ (T/B) SAR]]-TABL1234[[#This Row],[(T/B) AJD]]</f>
        <v/>
      </c>
      <c r="S182" s="3">
        <f>TABL1234[[#This Row],[T/B-CON.]]+TABL1234[[#This Row],[S/S_CON.]]</f>
        <v/>
      </c>
      <c r="T182" s="3">
        <f>TABL1234[[#This Row],[(S/S) AJD]]+TABL1234[[#This Row],[(T/B) AJD]]</f>
        <v/>
      </c>
      <c r="U182" s="44" t="n"/>
      <c r="V182" s="44" t="n"/>
      <c r="W182" s="3">
        <f>TABL1234[[#This Row],[(A/B) AJD]]+TABL1234[[#This Row],[(A/S) AJD]]</f>
        <v/>
      </c>
      <c r="X182" s="3">
        <f>TABL1234[[#This Row],[( S/S+T/B) AJD]]-TABL1234[[#This Row],[(A/B + A/S) AJD]]</f>
        <v/>
      </c>
      <c r="Y182" s="44" t="n"/>
      <c r="Z182" s="45" t="n"/>
      <c r="AA182" s="3">
        <f>TABL1234[[#This Row],[(RESV. STORGE) AJD]]/10</f>
        <v/>
      </c>
      <c r="AB182" s="3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32" t="n"/>
      <c r="AN182" s="32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28">
        <f>103-F183</f>
        <v/>
      </c>
      <c r="I183" s="39" t="n"/>
      <c r="J183" s="39" t="n"/>
      <c r="K183" s="28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3">
        <f>TABL1234[[#This Row],[(RESV. STORGE) AJD]]/10</f>
        <v/>
      </c>
      <c r="AB183" s="3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32" t="n"/>
      <c r="AN183" s="32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28">
        <f>103-F184</f>
        <v/>
      </c>
      <c r="I184" s="40" t="n"/>
      <c r="J184" s="44" t="n"/>
      <c r="K184" s="28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3">
        <f>TABL1234[[#This Row],[(RESV. STORGE) AJD]]/10</f>
        <v/>
      </c>
      <c r="AB184" s="3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32" t="n"/>
      <c r="AN184" s="32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28">
        <f>103-F185</f>
        <v/>
      </c>
      <c r="I185" s="39" t="n"/>
      <c r="J185" s="39" t="n"/>
      <c r="K185" s="28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3">
        <f>TABL1234[[#This Row],[(RESV. STORGE) AJD]]/10</f>
        <v/>
      </c>
      <c r="AB185" s="3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32" t="n"/>
      <c r="AN185" s="32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28">
        <f>103-F186</f>
        <v/>
      </c>
      <c r="I186" s="40" t="n"/>
      <c r="J186" s="44" t="n"/>
      <c r="K186" s="28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3">
        <f>TABL1234[[#This Row],[(RESV. STORGE) AJD]]/10</f>
        <v/>
      </c>
      <c r="AB186" s="3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32" t="n"/>
      <c r="AN186" s="32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28">
        <f>103-F187</f>
        <v/>
      </c>
      <c r="I187" s="39" t="n"/>
      <c r="J187" s="39" t="n"/>
      <c r="K187" s="28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3">
        <f>TABL1234[[#This Row],[(RESV. STORGE) AJD]]/10</f>
        <v/>
      </c>
      <c r="AB187" s="3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32" t="n"/>
      <c r="AN187" s="32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28">
        <f>103-F188</f>
        <v/>
      </c>
      <c r="I188" s="40" t="n"/>
      <c r="J188" s="44" t="n"/>
      <c r="K188" s="28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3">
        <f>TABL1234[[#This Row],[(RESV. STORGE) AJD]]/10</f>
        <v/>
      </c>
      <c r="AB188" s="3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32" t="n"/>
      <c r="AN188" s="32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28">
        <f>103-F189</f>
        <v/>
      </c>
      <c r="I189" s="39" t="n"/>
      <c r="J189" s="39" t="n"/>
      <c r="K189" s="28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3">
        <f>TABL1234[[#This Row],[(RESV. STORGE) AJD]]/10</f>
        <v/>
      </c>
      <c r="AB189" s="3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32" t="n"/>
      <c r="AN189" s="32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28">
        <f>103-F190</f>
        <v/>
      </c>
      <c r="I190" s="40" t="n"/>
      <c r="J190" s="44" t="n"/>
      <c r="K190" s="28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3">
        <f>TABL1234[[#This Row],[(RESV. STORGE) AJD]]/10</f>
        <v/>
      </c>
      <c r="AB190" s="3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32" t="n"/>
      <c r="AN190" s="32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28">
        <f>103-F191</f>
        <v/>
      </c>
      <c r="I191" s="39" t="n"/>
      <c r="J191" s="39" t="n"/>
      <c r="K191" s="28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3">
        <f>TABL1234[[#This Row],[(RESV. STORGE) AJD]]/10</f>
        <v/>
      </c>
      <c r="AB191" s="3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32" t="n"/>
      <c r="AN191" s="32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28">
        <f>103-F192</f>
        <v/>
      </c>
      <c r="I192" s="40" t="n"/>
      <c r="J192" s="44" t="n"/>
      <c r="K192" s="28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3">
        <f>TABL1234[[#This Row],[(RESV. STORGE) AJD]]/10</f>
        <v/>
      </c>
      <c r="AB192" s="3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32" t="n"/>
      <c r="AN192" s="32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28">
        <f>103-F193</f>
        <v/>
      </c>
      <c r="I193" s="39" t="n"/>
      <c r="J193" s="39" t="n"/>
      <c r="K193" s="28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3">
        <f>TABL1234[[#This Row],[(RESV. STORGE) AJD]]/10</f>
        <v/>
      </c>
      <c r="AB193" s="3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32" t="n"/>
      <c r="AN193" s="32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28">
        <f>103-F194</f>
        <v/>
      </c>
      <c r="I194" s="40" t="n"/>
      <c r="J194" s="44" t="n"/>
      <c r="K194" s="28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3">
        <f>TABL1234[[#This Row],[(RESV. STORGE) AJD]]/10</f>
        <v/>
      </c>
      <c r="AB194" s="3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32" t="n"/>
      <c r="AN194" s="32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28">
        <f>103-F195</f>
        <v/>
      </c>
      <c r="I195" s="39" t="n"/>
      <c r="J195" s="39" t="n"/>
      <c r="K195" s="28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3">
        <f>TABL1234[[#This Row],[(RESV. STORGE) AJD]]/10</f>
        <v/>
      </c>
      <c r="AB195" s="3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32" t="n"/>
      <c r="AN195" s="32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28">
        <f>103-F196</f>
        <v/>
      </c>
      <c r="I196" s="40" t="n"/>
      <c r="J196" s="44" t="n"/>
      <c r="K196" s="28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3">
        <f>TABL1234[[#This Row],[(RESV. STORGE) AJD]]/10</f>
        <v/>
      </c>
      <c r="AB196" s="3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32" t="n"/>
      <c r="AN196" s="32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28">
        <f>103-F197</f>
        <v/>
      </c>
      <c r="I197" s="39" t="n"/>
      <c r="J197" s="39" t="n"/>
      <c r="K197" s="28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3">
        <f>TABL1234[[#This Row],[(RESV. STORGE) AJD]]/10</f>
        <v/>
      </c>
      <c r="AB197" s="3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32" t="n"/>
      <c r="AN197" s="32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28">
        <f>103-F198</f>
        <v/>
      </c>
      <c r="I198" s="40" t="n"/>
      <c r="J198" s="44" t="n"/>
      <c r="K198" s="28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3">
        <f>TABL1234[[#This Row],[(RESV. STORGE) AJD]]/10</f>
        <v/>
      </c>
      <c r="AB198" s="3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32" t="n"/>
      <c r="AN198" s="32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28">
        <f>103-F199</f>
        <v/>
      </c>
      <c r="I199" s="39" t="n"/>
      <c r="J199" s="39" t="n"/>
      <c r="K199" s="28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3">
        <f>TABL1234[[#This Row],[(RESV. STORGE) AJD]]/10</f>
        <v/>
      </c>
      <c r="AB199" s="3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32" t="n"/>
      <c r="AN199" s="32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28">
        <f>103-F200</f>
        <v/>
      </c>
      <c r="I200" s="40" t="n"/>
      <c r="J200" s="44" t="n"/>
      <c r="K200" s="28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3">
        <f>TABL1234[[#This Row],[(RESV. STORGE) AJD]]/10</f>
        <v/>
      </c>
      <c r="AB200" s="3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32" t="n"/>
      <c r="AN200" s="32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28">
        <f>103-F201</f>
        <v/>
      </c>
      <c r="I201" s="39" t="n"/>
      <c r="J201" s="39" t="n"/>
      <c r="K201" s="28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3">
        <f>TABL1234[[#This Row],[(RESV. STORGE) AJD]]/10</f>
        <v/>
      </c>
      <c r="AB201" s="3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32" t="n"/>
      <c r="AN201" s="32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28">
        <f>103-F202</f>
        <v/>
      </c>
      <c r="I202" s="40" t="n"/>
      <c r="J202" s="44" t="n"/>
      <c r="K202" s="28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3">
        <f>TABL1234[[#This Row],[(RESV. STORGE) AJD]]/10</f>
        <v/>
      </c>
      <c r="AB202" s="3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32" t="n"/>
      <c r="AN202" s="32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28">
        <f>103-F203</f>
        <v/>
      </c>
      <c r="I203" s="39" t="n"/>
      <c r="J203" s="39" t="n"/>
      <c r="K203" s="28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3">
        <f>TABL1234[[#This Row],[(RESV. STORGE) AJD]]/10</f>
        <v/>
      </c>
      <c r="AB203" s="3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32" t="n"/>
      <c r="AN203" s="32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28">
        <f>103-F204</f>
        <v/>
      </c>
      <c r="I204" s="40" t="n"/>
      <c r="J204" s="44" t="n"/>
      <c r="K204" s="28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3">
        <f>TABL1234[[#This Row],[(RESV. STORGE) AJD]]/10</f>
        <v/>
      </c>
      <c r="AB204" s="3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32" t="n"/>
      <c r="AN204" s="32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28">
        <f>103-F205</f>
        <v/>
      </c>
      <c r="I205" s="39" t="n"/>
      <c r="J205" s="39" t="n"/>
      <c r="K205" s="28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3">
        <f>TABL1234[[#This Row],[(RESV. STORGE) AJD]]/10</f>
        <v/>
      </c>
      <c r="AB205" s="3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32" t="n"/>
      <c r="AN205" s="32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28">
        <f>103-F206</f>
        <v/>
      </c>
      <c r="I206" s="40" t="n"/>
      <c r="J206" s="44" t="n"/>
      <c r="K206" s="28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3">
        <f>TABL1234[[#This Row],[(RESV. STORGE) AJD]]/10</f>
        <v/>
      </c>
      <c r="AB206" s="3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32" t="n"/>
      <c r="AN206" s="32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28">
        <f>103-F207</f>
        <v/>
      </c>
      <c r="I207" s="39" t="n"/>
      <c r="J207" s="39" t="n"/>
      <c r="K207" s="28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3">
        <f>TABL1234[[#This Row],[(RESV. STORGE) AJD]]/10</f>
        <v/>
      </c>
      <c r="AB207" s="3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32" t="n"/>
      <c r="AN207" s="32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28">
        <f>103-F208</f>
        <v/>
      </c>
      <c r="I208" s="40" t="n"/>
      <c r="J208" s="44" t="n"/>
      <c r="K208" s="28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3">
        <f>TABL1234[[#This Row],[(RESV. STORGE) AJD]]/10</f>
        <v/>
      </c>
      <c r="AB208" s="3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32" t="n"/>
      <c r="AN208" s="32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28">
        <f>103-F209</f>
        <v/>
      </c>
      <c r="I209" s="39" t="n"/>
      <c r="J209" s="39" t="n"/>
      <c r="K209" s="28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3">
        <f>TABL1234[[#This Row],[(RESV. STORGE) AJD]]/10</f>
        <v/>
      </c>
      <c r="AB209" s="3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32" t="n"/>
      <c r="AN209" s="32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28">
        <f>103-F210</f>
        <v/>
      </c>
      <c r="I210" s="40" t="n"/>
      <c r="J210" s="44" t="n"/>
      <c r="K210" s="28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3">
        <f>TABL1234[[#This Row],[(RESV. STORGE) AJD]]/10</f>
        <v/>
      </c>
      <c r="AB210" s="3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32" t="n"/>
      <c r="AN210" s="32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28">
        <f>103-F211</f>
        <v/>
      </c>
      <c r="I211" s="39" t="n"/>
      <c r="J211" s="39" t="n"/>
      <c r="K211" s="28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3">
        <f>TABL1234[[#This Row],[(RESV. STORGE) AJD]]/10</f>
        <v/>
      </c>
      <c r="AB211" s="3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32" t="n"/>
      <c r="AN211" s="32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28">
        <f>103-F212</f>
        <v/>
      </c>
      <c r="I212" s="40" t="n"/>
      <c r="J212" s="44" t="n"/>
      <c r="K212" s="28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3">
        <f>TABL1234[[#This Row],[(RESV. STORGE) AJD]]/10</f>
        <v/>
      </c>
      <c r="AB212" s="3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32" t="n"/>
      <c r="AN212" s="32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28">
        <f>103-F213</f>
        <v/>
      </c>
      <c r="I213" s="39" t="n"/>
      <c r="J213" s="39" t="n"/>
      <c r="K213" s="28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3">
        <f>TABL1234[[#This Row],[(RESV. STORGE) AJD]]/10</f>
        <v/>
      </c>
      <c r="AB213" s="3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32" t="n"/>
      <c r="AN213" s="32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28" t="n"/>
      <c r="F214" s="41" t="n"/>
      <c r="G214" s="39" t="n"/>
      <c r="H214" s="28">
        <f>103-F214</f>
        <v/>
      </c>
      <c r="I214" s="39" t="n"/>
      <c r="J214" s="39" t="n"/>
      <c r="K214" s="28">
        <f>TABL1234[[#This Row],[ (T/B) SAR]]+TABL1234[[#This Row],[ (S/S) SAR]]</f>
        <v/>
      </c>
      <c r="L214" s="41" t="n"/>
      <c r="M214" s="42" t="n"/>
      <c r="N214" s="42" t="n"/>
      <c r="O214" s="39" t="n"/>
      <c r="P214" s="3">
        <f>TABL1234[[#This Row],[ (S/S) SAR]]-TABL1234[[#This Row],[(S/S) AJD]]</f>
        <v/>
      </c>
      <c r="Q214" s="39" t="n"/>
      <c r="R214" s="3">
        <f>TABL1234[[#This Row],[ (T/B) SAR]]-TABL1234[[#This Row],[(T/B) AJD]]</f>
        <v/>
      </c>
      <c r="S214" s="3">
        <f>TABL1234[[#This Row],[T/B-CON.]]+TABL1234[[#This Row],[S/S_CON.]]</f>
        <v/>
      </c>
      <c r="T214" s="3">
        <f>TABL1234[[#This Row],[(S/S) AJD]]+TABL1234[[#This Row],[(T/B) AJD]]</f>
        <v/>
      </c>
      <c r="U214" s="41" t="n"/>
      <c r="V214" s="41" t="n"/>
      <c r="W214" s="3">
        <f>TABL1234[[#This Row],[(A/B) AJD]]+TABL1234[[#This Row],[(A/S) AJD]]</f>
        <v/>
      </c>
      <c r="X214" s="3">
        <f>TABL1234[[#This Row],[( S/S+T/B) AJD]]-TABL1234[[#This Row],[(A/B + A/S) AJD]]</f>
        <v/>
      </c>
      <c r="Y214" s="41" t="n"/>
      <c r="Z214" s="43" t="n"/>
      <c r="AA214" s="3">
        <f>TABL1234[[#This Row],[(RESV. STORGE) AJD]]/10</f>
        <v/>
      </c>
      <c r="AB214" s="3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32" t="n"/>
      <c r="AN214" s="32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28" t="n"/>
      <c r="F215" s="44" t="n"/>
      <c r="G215" s="40" t="n"/>
      <c r="H215" s="28">
        <f>103-F215</f>
        <v/>
      </c>
      <c r="I215" s="40" t="n"/>
      <c r="J215" s="44" t="n"/>
      <c r="K215" s="28">
        <f>TABL1234[[#This Row],[ (T/B) SAR]]+TABL1234[[#This Row],[ (S/S) SAR]]</f>
        <v/>
      </c>
      <c r="L215" s="45" t="n"/>
      <c r="M215" s="46" t="n"/>
      <c r="N215" s="46" t="n"/>
      <c r="O215" s="40" t="n"/>
      <c r="P215" s="3">
        <f>TABL1234[[#This Row],[ (S/S) SAR]]-TABL1234[[#This Row],[(S/S) AJD]]</f>
        <v/>
      </c>
      <c r="Q215" s="40" t="n"/>
      <c r="R215" s="3">
        <f>TABL1234[[#This Row],[ (T/B) SAR]]-TABL1234[[#This Row],[(T/B) AJD]]</f>
        <v/>
      </c>
      <c r="S215" s="3">
        <f>TABL1234[[#This Row],[T/B-CON.]]+TABL1234[[#This Row],[S/S_CON.]]</f>
        <v/>
      </c>
      <c r="T215" s="3">
        <f>TABL1234[[#This Row],[(S/S) AJD]]+TABL1234[[#This Row],[(T/B) AJD]]</f>
        <v/>
      </c>
      <c r="U215" s="44" t="n"/>
      <c r="V215" s="44" t="n"/>
      <c r="W215" s="3">
        <f>TABL1234[[#This Row],[(A/B) AJD]]+TABL1234[[#This Row],[(A/S) AJD]]</f>
        <v/>
      </c>
      <c r="X215" s="3">
        <f>TABL1234[[#This Row],[( S/S+T/B) AJD]]-TABL1234[[#This Row],[(A/B + A/S) AJD]]</f>
        <v/>
      </c>
      <c r="Y215" s="44" t="n"/>
      <c r="Z215" s="45" t="n"/>
      <c r="AA215" s="3">
        <f>TABL1234[[#This Row],[(RESV. STORGE) AJD]]/10</f>
        <v/>
      </c>
      <c r="AB215" s="3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32" t="n"/>
      <c r="AN215" s="32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28" t="n"/>
      <c r="F216" s="41" t="n"/>
      <c r="G216" s="39" t="n"/>
      <c r="H216" s="28">
        <f>103-F216</f>
        <v/>
      </c>
      <c r="I216" s="39" t="n"/>
      <c r="J216" s="39" t="n"/>
      <c r="K216" s="28">
        <f>TABL1234[[#This Row],[ (T/B) SAR]]+TABL1234[[#This Row],[ (S/S) SAR]]</f>
        <v/>
      </c>
      <c r="L216" s="41" t="n"/>
      <c r="M216" s="42" t="n"/>
      <c r="N216" s="42" t="n"/>
      <c r="O216" s="39" t="n"/>
      <c r="P216" s="3">
        <f>TABL1234[[#This Row],[ (S/S) SAR]]-TABL1234[[#This Row],[(S/S) AJD]]</f>
        <v/>
      </c>
      <c r="Q216" s="39" t="n"/>
      <c r="R216" s="3">
        <f>TABL1234[[#This Row],[ (T/B) SAR]]-TABL1234[[#This Row],[(T/B) AJD]]</f>
        <v/>
      </c>
      <c r="S216" s="3">
        <f>TABL1234[[#This Row],[T/B-CON.]]+TABL1234[[#This Row],[S/S_CON.]]</f>
        <v/>
      </c>
      <c r="T216" s="3">
        <f>TABL1234[[#This Row],[(S/S) AJD]]+TABL1234[[#This Row],[(T/B) AJD]]</f>
        <v/>
      </c>
      <c r="U216" s="41" t="n"/>
      <c r="V216" s="41" t="n"/>
      <c r="W216" s="3">
        <f>TABL1234[[#This Row],[(A/B) AJD]]+TABL1234[[#This Row],[(A/S) AJD]]</f>
        <v/>
      </c>
      <c r="X216" s="3">
        <f>TABL1234[[#This Row],[( S/S+T/B) AJD]]-TABL1234[[#This Row],[(A/B + A/S) AJD]]</f>
        <v/>
      </c>
      <c r="Y216" s="41" t="n"/>
      <c r="Z216" s="43" t="n"/>
      <c r="AA216" s="3">
        <f>TABL1234[[#This Row],[(RESV. STORGE) AJD]]/10</f>
        <v/>
      </c>
      <c r="AB216" s="3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32" t="n"/>
      <c r="AN216" s="32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28" t="n"/>
      <c r="F217" s="44" t="n"/>
      <c r="G217" s="40" t="n"/>
      <c r="H217" s="28">
        <f>103-F217</f>
        <v/>
      </c>
      <c r="I217" s="40" t="n"/>
      <c r="J217" s="44" t="n"/>
      <c r="K217" s="28">
        <f>TABL1234[[#This Row],[ (T/B) SAR]]+TABL1234[[#This Row],[ (S/S) SAR]]</f>
        <v/>
      </c>
      <c r="L217" s="45" t="n"/>
      <c r="M217" s="46" t="n"/>
      <c r="N217" s="46" t="n"/>
      <c r="O217" s="40" t="n"/>
      <c r="P217" s="3">
        <f>TABL1234[[#This Row],[ (S/S) SAR]]-TABL1234[[#This Row],[(S/S) AJD]]</f>
        <v/>
      </c>
      <c r="Q217" s="40" t="n"/>
      <c r="R217" s="3">
        <f>TABL1234[[#This Row],[ (T/B) SAR]]-TABL1234[[#This Row],[(T/B) AJD]]</f>
        <v/>
      </c>
      <c r="S217" s="3">
        <f>TABL1234[[#This Row],[T/B-CON.]]+TABL1234[[#This Row],[S/S_CON.]]</f>
        <v/>
      </c>
      <c r="T217" s="3">
        <f>TABL1234[[#This Row],[(S/S) AJD]]+TABL1234[[#This Row],[(T/B) AJD]]</f>
        <v/>
      </c>
      <c r="U217" s="44" t="n"/>
      <c r="V217" s="44" t="n"/>
      <c r="W217" s="3">
        <f>TABL1234[[#This Row],[(A/B) AJD]]+TABL1234[[#This Row],[(A/S) AJD]]</f>
        <v/>
      </c>
      <c r="X217" s="3">
        <f>TABL1234[[#This Row],[( S/S+T/B) AJD]]-TABL1234[[#This Row],[(A/B + A/S) AJD]]</f>
        <v/>
      </c>
      <c r="Y217" s="44" t="n"/>
      <c r="Z217" s="45" t="n"/>
      <c r="AA217" s="3">
        <f>TABL1234[[#This Row],[(RESV. STORGE) AJD]]/10</f>
        <v/>
      </c>
      <c r="AB217" s="3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32" t="n"/>
      <c r="AN217" s="32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28" t="n"/>
      <c r="F218" s="41" t="n"/>
      <c r="G218" s="39" t="n"/>
      <c r="H218" s="28">
        <f>103-F218</f>
        <v/>
      </c>
      <c r="I218" s="39" t="n"/>
      <c r="J218" s="39" t="n"/>
      <c r="K218" s="28">
        <f>TABL1234[[#This Row],[ (T/B) SAR]]+TABL1234[[#This Row],[ (S/S) SAR]]</f>
        <v/>
      </c>
      <c r="L218" s="41" t="n"/>
      <c r="M218" s="42" t="n"/>
      <c r="N218" s="42" t="n"/>
      <c r="O218" s="39" t="n"/>
      <c r="P218" s="3">
        <f>TABL1234[[#This Row],[ (S/S) SAR]]-TABL1234[[#This Row],[(S/S) AJD]]</f>
        <v/>
      </c>
      <c r="Q218" s="39" t="n"/>
      <c r="R218" s="3">
        <f>TABL1234[[#This Row],[ (T/B) SAR]]-TABL1234[[#This Row],[(T/B) AJD]]</f>
        <v/>
      </c>
      <c r="S218" s="3">
        <f>TABL1234[[#This Row],[T/B-CON.]]+TABL1234[[#This Row],[S/S_CON.]]</f>
        <v/>
      </c>
      <c r="T218" s="3">
        <f>TABL1234[[#This Row],[(S/S) AJD]]+TABL1234[[#This Row],[(T/B) AJD]]</f>
        <v/>
      </c>
      <c r="U218" s="41" t="n"/>
      <c r="V218" s="41" t="n"/>
      <c r="W218" s="3">
        <f>TABL1234[[#This Row],[(A/B) AJD]]+TABL1234[[#This Row],[(A/S) AJD]]</f>
        <v/>
      </c>
      <c r="X218" s="3">
        <f>TABL1234[[#This Row],[( S/S+T/B) AJD]]-TABL1234[[#This Row],[(A/B + A/S) AJD]]</f>
        <v/>
      </c>
      <c r="Y218" s="41" t="n"/>
      <c r="Z218" s="43" t="n"/>
      <c r="AA218" s="3">
        <f>TABL1234[[#This Row],[(RESV. STORGE) AJD]]/10</f>
        <v/>
      </c>
      <c r="AB218" s="3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32" t="n"/>
      <c r="AN218" s="32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28" t="n"/>
      <c r="F219" s="44" t="n"/>
      <c r="G219" s="40" t="n"/>
      <c r="H219" s="28">
        <f>103-F219</f>
        <v/>
      </c>
      <c r="I219" s="40" t="n"/>
      <c r="J219" s="44" t="n"/>
      <c r="K219" s="28">
        <f>TABL1234[[#This Row],[ (T/B) SAR]]+TABL1234[[#This Row],[ (S/S) SAR]]</f>
        <v/>
      </c>
      <c r="L219" s="45" t="n"/>
      <c r="M219" s="46" t="n"/>
      <c r="N219" s="46" t="n"/>
      <c r="O219" s="40" t="n"/>
      <c r="P219" s="3">
        <f>TABL1234[[#This Row],[ (S/S) SAR]]-TABL1234[[#This Row],[(S/S) AJD]]</f>
        <v/>
      </c>
      <c r="Q219" s="40" t="n"/>
      <c r="R219" s="3">
        <f>TABL1234[[#This Row],[ (T/B) SAR]]-TABL1234[[#This Row],[(T/B) AJD]]</f>
        <v/>
      </c>
      <c r="S219" s="3">
        <f>TABL1234[[#This Row],[T/B-CON.]]+TABL1234[[#This Row],[S/S_CON.]]</f>
        <v/>
      </c>
      <c r="T219" s="3">
        <f>TABL1234[[#This Row],[(S/S) AJD]]+TABL1234[[#This Row],[(T/B) AJD]]</f>
        <v/>
      </c>
      <c r="U219" s="44" t="n"/>
      <c r="V219" s="44" t="n"/>
      <c r="W219" s="3">
        <f>TABL1234[[#This Row],[(A/B) AJD]]+TABL1234[[#This Row],[(A/S) AJD]]</f>
        <v/>
      </c>
      <c r="X219" s="3">
        <f>TABL1234[[#This Row],[( S/S+T/B) AJD]]-TABL1234[[#This Row],[(A/B + A/S) AJD]]</f>
        <v/>
      </c>
      <c r="Y219" s="44" t="n"/>
      <c r="Z219" s="45" t="n"/>
      <c r="AA219" s="3">
        <f>TABL1234[[#This Row],[(RESV. STORGE) AJD]]/10</f>
        <v/>
      </c>
      <c r="AB219" s="3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32" t="n"/>
      <c r="AN219" s="32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28" t="n"/>
      <c r="F220" s="41" t="n"/>
      <c r="G220" s="39" t="n"/>
      <c r="H220" s="28">
        <f>103-F220</f>
        <v/>
      </c>
      <c r="I220" s="39" t="n"/>
      <c r="J220" s="39" t="n"/>
      <c r="K220" s="28">
        <f>TABL1234[[#This Row],[ (T/B) SAR]]+TABL1234[[#This Row],[ (S/S) SAR]]</f>
        <v/>
      </c>
      <c r="L220" s="41" t="n"/>
      <c r="M220" s="42" t="n"/>
      <c r="N220" s="42" t="n"/>
      <c r="O220" s="39" t="n"/>
      <c r="P220" s="3">
        <f>TABL1234[[#This Row],[ (S/S) SAR]]-TABL1234[[#This Row],[(S/S) AJD]]</f>
        <v/>
      </c>
      <c r="Q220" s="39" t="n"/>
      <c r="R220" s="3">
        <f>TABL1234[[#This Row],[ (T/B) SAR]]-TABL1234[[#This Row],[(T/B) AJD]]</f>
        <v/>
      </c>
      <c r="S220" s="3">
        <f>TABL1234[[#This Row],[T/B-CON.]]+TABL1234[[#This Row],[S/S_CON.]]</f>
        <v/>
      </c>
      <c r="T220" s="3">
        <f>TABL1234[[#This Row],[(S/S) AJD]]+TABL1234[[#This Row],[(T/B) AJD]]</f>
        <v/>
      </c>
      <c r="U220" s="41" t="n"/>
      <c r="V220" s="41" t="n"/>
      <c r="W220" s="3">
        <f>TABL1234[[#This Row],[(A/B) AJD]]+TABL1234[[#This Row],[(A/S) AJD]]</f>
        <v/>
      </c>
      <c r="X220" s="3">
        <f>TABL1234[[#This Row],[( S/S+T/B) AJD]]-TABL1234[[#This Row],[(A/B + A/S) AJD]]</f>
        <v/>
      </c>
      <c r="Y220" s="41" t="n"/>
      <c r="Z220" s="43" t="n"/>
      <c r="AA220" s="3">
        <f>TABL1234[[#This Row],[(RESV. STORGE) AJD]]/10</f>
        <v/>
      </c>
      <c r="AB220" s="3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32" t="n"/>
      <c r="AN220" s="32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28" t="n"/>
      <c r="F221" s="44" t="n"/>
      <c r="G221" s="40" t="n"/>
      <c r="H221" s="28">
        <f>103-F221</f>
        <v/>
      </c>
      <c r="I221" s="40" t="n"/>
      <c r="J221" s="44" t="n"/>
      <c r="K221" s="28">
        <f>TABL1234[[#This Row],[ (T/B) SAR]]+TABL1234[[#This Row],[ (S/S) SAR]]</f>
        <v/>
      </c>
      <c r="L221" s="45" t="n"/>
      <c r="M221" s="46" t="n"/>
      <c r="N221" s="46" t="n"/>
      <c r="O221" s="40" t="n"/>
      <c r="P221" s="3">
        <f>TABL1234[[#This Row],[ (S/S) SAR]]-TABL1234[[#This Row],[(S/S) AJD]]</f>
        <v/>
      </c>
      <c r="Q221" s="40" t="n"/>
      <c r="R221" s="3">
        <f>TABL1234[[#This Row],[ (T/B) SAR]]-TABL1234[[#This Row],[(T/B) AJD]]</f>
        <v/>
      </c>
      <c r="S221" s="3">
        <f>TABL1234[[#This Row],[T/B-CON.]]+TABL1234[[#This Row],[S/S_CON.]]</f>
        <v/>
      </c>
      <c r="T221" s="3">
        <f>TABL1234[[#This Row],[(S/S) AJD]]+TABL1234[[#This Row],[(T/B) AJD]]</f>
        <v/>
      </c>
      <c r="U221" s="44" t="n"/>
      <c r="V221" s="44" t="n"/>
      <c r="W221" s="3">
        <f>TABL1234[[#This Row],[(A/B) AJD]]+TABL1234[[#This Row],[(A/S) AJD]]</f>
        <v/>
      </c>
      <c r="X221" s="3">
        <f>TABL1234[[#This Row],[( S/S+T/B) AJD]]-TABL1234[[#This Row],[(A/B + A/S) AJD]]</f>
        <v/>
      </c>
      <c r="Y221" s="44" t="n"/>
      <c r="Z221" s="45" t="n"/>
      <c r="AA221" s="3">
        <f>TABL1234[[#This Row],[(RESV. STORGE) AJD]]/10</f>
        <v/>
      </c>
      <c r="AB221" s="3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32" t="n"/>
      <c r="AN221" s="32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28" t="n"/>
      <c r="F222" s="41" t="n"/>
      <c r="G222" s="39" t="n"/>
      <c r="H222" s="28">
        <f>103-F222</f>
        <v/>
      </c>
      <c r="I222" s="39" t="n"/>
      <c r="J222" s="39" t="n"/>
      <c r="K222" s="28">
        <f>TABL1234[[#This Row],[ (T/B) SAR]]+TABL1234[[#This Row],[ (S/S) SAR]]</f>
        <v/>
      </c>
      <c r="L222" s="41" t="n"/>
      <c r="M222" s="42" t="n"/>
      <c r="N222" s="42" t="n"/>
      <c r="O222" s="39" t="n"/>
      <c r="P222" s="3">
        <f>TABL1234[[#This Row],[ (S/S) SAR]]-TABL1234[[#This Row],[(S/S) AJD]]</f>
        <v/>
      </c>
      <c r="Q222" s="39" t="n"/>
      <c r="R222" s="3">
        <f>TABL1234[[#This Row],[ (T/B) SAR]]-TABL1234[[#This Row],[(T/B) AJD]]</f>
        <v/>
      </c>
      <c r="S222" s="3">
        <f>TABL1234[[#This Row],[T/B-CON.]]+TABL1234[[#This Row],[S/S_CON.]]</f>
        <v/>
      </c>
      <c r="T222" s="3">
        <f>TABL1234[[#This Row],[(S/S) AJD]]+TABL1234[[#This Row],[(T/B) AJD]]</f>
        <v/>
      </c>
      <c r="U222" s="41" t="n"/>
      <c r="V222" s="41" t="n"/>
      <c r="W222" s="3">
        <f>TABL1234[[#This Row],[(A/B) AJD]]+TABL1234[[#This Row],[(A/S) AJD]]</f>
        <v/>
      </c>
      <c r="X222" s="3">
        <f>TABL1234[[#This Row],[( S/S+T/B) AJD]]-TABL1234[[#This Row],[(A/B + A/S) AJD]]</f>
        <v/>
      </c>
      <c r="Y222" s="41" t="n"/>
      <c r="Z222" s="43" t="n"/>
      <c r="AA222" s="3">
        <f>TABL1234[[#This Row],[(RESV. STORGE) AJD]]/10</f>
        <v/>
      </c>
      <c r="AB222" s="3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32" t="n"/>
      <c r="AN222" s="32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28" t="n"/>
      <c r="F223" s="44" t="n"/>
      <c r="G223" s="40" t="n"/>
      <c r="H223" s="28">
        <f>103-F223</f>
        <v/>
      </c>
      <c r="I223" s="40" t="n"/>
      <c r="J223" s="44" t="n"/>
      <c r="K223" s="28">
        <f>TABL1234[[#This Row],[ (T/B) SAR]]+TABL1234[[#This Row],[ (S/S) SAR]]</f>
        <v/>
      </c>
      <c r="L223" s="45" t="n"/>
      <c r="M223" s="46" t="n"/>
      <c r="N223" s="46" t="n"/>
      <c r="O223" s="40" t="n"/>
      <c r="P223" s="3">
        <f>TABL1234[[#This Row],[ (S/S) SAR]]-TABL1234[[#This Row],[(S/S) AJD]]</f>
        <v/>
      </c>
      <c r="Q223" s="40" t="n"/>
      <c r="R223" s="3">
        <f>TABL1234[[#This Row],[ (T/B) SAR]]-TABL1234[[#This Row],[(T/B) AJD]]</f>
        <v/>
      </c>
      <c r="S223" s="3">
        <f>TABL1234[[#This Row],[T/B-CON.]]+TABL1234[[#This Row],[S/S_CON.]]</f>
        <v/>
      </c>
      <c r="T223" s="3">
        <f>TABL1234[[#This Row],[(S/S) AJD]]+TABL1234[[#This Row],[(T/B) AJD]]</f>
        <v/>
      </c>
      <c r="U223" s="44" t="n"/>
      <c r="V223" s="44" t="n"/>
      <c r="W223" s="3">
        <f>TABL1234[[#This Row],[(A/B) AJD]]+TABL1234[[#This Row],[(A/S) AJD]]</f>
        <v/>
      </c>
      <c r="X223" s="3">
        <f>TABL1234[[#This Row],[( S/S+T/B) AJD]]-TABL1234[[#This Row],[(A/B + A/S) AJD]]</f>
        <v/>
      </c>
      <c r="Y223" s="44" t="n"/>
      <c r="Z223" s="45" t="n"/>
      <c r="AA223" s="3">
        <f>TABL1234[[#This Row],[(RESV. STORGE) AJD]]/10</f>
        <v/>
      </c>
      <c r="AB223" s="3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32" t="n"/>
      <c r="AN223" s="32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28" t="n"/>
      <c r="F224" s="41" t="n"/>
      <c r="G224" s="39" t="n"/>
      <c r="H224" s="28">
        <f>103-F224</f>
        <v/>
      </c>
      <c r="I224" s="39" t="n"/>
      <c r="J224" s="39" t="n"/>
      <c r="K224" s="28">
        <f>TABL1234[[#This Row],[ (T/B) SAR]]+TABL1234[[#This Row],[ (S/S) SAR]]</f>
        <v/>
      </c>
      <c r="L224" s="41" t="n"/>
      <c r="M224" s="42" t="n"/>
      <c r="N224" s="42" t="n"/>
      <c r="O224" s="39" t="n"/>
      <c r="P224" s="3">
        <f>TABL1234[[#This Row],[ (S/S) SAR]]-TABL1234[[#This Row],[(S/S) AJD]]</f>
        <v/>
      </c>
      <c r="Q224" s="39" t="n"/>
      <c r="R224" s="3">
        <f>TABL1234[[#This Row],[ (T/B) SAR]]-TABL1234[[#This Row],[(T/B) AJD]]</f>
        <v/>
      </c>
      <c r="S224" s="3">
        <f>TABL1234[[#This Row],[T/B-CON.]]+TABL1234[[#This Row],[S/S_CON.]]</f>
        <v/>
      </c>
      <c r="T224" s="3">
        <f>TABL1234[[#This Row],[(S/S) AJD]]+TABL1234[[#This Row],[(T/B) AJD]]</f>
        <v/>
      </c>
      <c r="U224" s="41" t="n"/>
      <c r="V224" s="41" t="n"/>
      <c r="W224" s="3">
        <f>TABL1234[[#This Row],[(A/B) AJD]]+TABL1234[[#This Row],[(A/S) AJD]]</f>
        <v/>
      </c>
      <c r="X224" s="3">
        <f>TABL1234[[#This Row],[( S/S+T/B) AJD]]-TABL1234[[#This Row],[(A/B + A/S) AJD]]</f>
        <v/>
      </c>
      <c r="Y224" s="41" t="n"/>
      <c r="Z224" s="43" t="n"/>
      <c r="AA224" s="3">
        <f>TABL1234[[#This Row],[(RESV. STORGE) AJD]]/10</f>
        <v/>
      </c>
      <c r="AB224" s="3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32" t="n"/>
      <c r="AN224" s="32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28" t="n"/>
      <c r="F225" s="44" t="n"/>
      <c r="G225" s="40" t="n"/>
      <c r="H225" s="28">
        <f>103-F225</f>
        <v/>
      </c>
      <c r="I225" s="40" t="n"/>
      <c r="J225" s="44" t="n"/>
      <c r="K225" s="28">
        <f>TABL1234[[#This Row],[ (T/B) SAR]]+TABL1234[[#This Row],[ (S/S) SAR]]</f>
        <v/>
      </c>
      <c r="L225" s="45" t="n"/>
      <c r="M225" s="46" t="n"/>
      <c r="N225" s="46" t="n"/>
      <c r="O225" s="40" t="n"/>
      <c r="P225" s="3">
        <f>TABL1234[[#This Row],[ (S/S) SAR]]-TABL1234[[#This Row],[(S/S) AJD]]</f>
        <v/>
      </c>
      <c r="Q225" s="40" t="n"/>
      <c r="R225" s="3">
        <f>TABL1234[[#This Row],[ (T/B) SAR]]-TABL1234[[#This Row],[(T/B) AJD]]</f>
        <v/>
      </c>
      <c r="S225" s="3">
        <f>TABL1234[[#This Row],[T/B-CON.]]+TABL1234[[#This Row],[S/S_CON.]]</f>
        <v/>
      </c>
      <c r="T225" s="3">
        <f>TABL1234[[#This Row],[(S/S) AJD]]+TABL1234[[#This Row],[(T/B) AJD]]</f>
        <v/>
      </c>
      <c r="U225" s="44" t="n"/>
      <c r="V225" s="44" t="n"/>
      <c r="W225" s="3">
        <f>TABL1234[[#This Row],[(A/B) AJD]]+TABL1234[[#This Row],[(A/S) AJD]]</f>
        <v/>
      </c>
      <c r="X225" s="3">
        <f>TABL1234[[#This Row],[( S/S+T/B) AJD]]-TABL1234[[#This Row],[(A/B + A/S) AJD]]</f>
        <v/>
      </c>
      <c r="Y225" s="44" t="n"/>
      <c r="Z225" s="45" t="n"/>
      <c r="AA225" s="3">
        <f>TABL1234[[#This Row],[(RESV. STORGE) AJD]]/10</f>
        <v/>
      </c>
      <c r="AB225" s="3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32" t="n"/>
      <c r="AN225" s="32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28" t="n"/>
      <c r="F226" s="41" t="n"/>
      <c r="G226" s="39" t="n"/>
      <c r="H226" s="28">
        <f>103-F226</f>
        <v/>
      </c>
      <c r="I226" s="39" t="n"/>
      <c r="J226" s="39" t="n"/>
      <c r="K226" s="28">
        <f>TABL1234[[#This Row],[ (T/B) SAR]]+TABL1234[[#This Row],[ (S/S) SAR]]</f>
        <v/>
      </c>
      <c r="L226" s="41" t="n"/>
      <c r="M226" s="42" t="n"/>
      <c r="N226" s="42" t="n"/>
      <c r="O226" s="39" t="n"/>
      <c r="P226" s="3">
        <f>TABL1234[[#This Row],[ (S/S) SAR]]-TABL1234[[#This Row],[(S/S) AJD]]</f>
        <v/>
      </c>
      <c r="Q226" s="39" t="n"/>
      <c r="R226" s="3">
        <f>TABL1234[[#This Row],[ (T/B) SAR]]-TABL1234[[#This Row],[(T/B) AJD]]</f>
        <v/>
      </c>
      <c r="S226" s="3">
        <f>TABL1234[[#This Row],[T/B-CON.]]+TABL1234[[#This Row],[S/S_CON.]]</f>
        <v/>
      </c>
      <c r="T226" s="3">
        <f>TABL1234[[#This Row],[(S/S) AJD]]+TABL1234[[#This Row],[(T/B) AJD]]</f>
        <v/>
      </c>
      <c r="U226" s="41" t="n"/>
      <c r="V226" s="41" t="n"/>
      <c r="W226" s="3">
        <f>TABL1234[[#This Row],[(A/B) AJD]]+TABL1234[[#This Row],[(A/S) AJD]]</f>
        <v/>
      </c>
      <c r="X226" s="3">
        <f>TABL1234[[#This Row],[( S/S+T/B) AJD]]-TABL1234[[#This Row],[(A/B + A/S) AJD]]</f>
        <v/>
      </c>
      <c r="Y226" s="41" t="n"/>
      <c r="Z226" s="43" t="n"/>
      <c r="AA226" s="3">
        <f>TABL1234[[#This Row],[(RESV. STORGE) AJD]]/10</f>
        <v/>
      </c>
      <c r="AB226" s="3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32" t="n"/>
      <c r="AN226" s="32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28" t="n"/>
      <c r="F227" s="44" t="n"/>
      <c r="G227" s="40" t="n"/>
      <c r="H227" s="28">
        <f>103-F227</f>
        <v/>
      </c>
      <c r="I227" s="40" t="n"/>
      <c r="J227" s="44" t="n"/>
      <c r="K227" s="28">
        <f>TABL1234[[#This Row],[ (T/B) SAR]]+TABL1234[[#This Row],[ (S/S) SAR]]</f>
        <v/>
      </c>
      <c r="L227" s="45" t="n"/>
      <c r="M227" s="46" t="n"/>
      <c r="N227" s="46" t="n"/>
      <c r="O227" s="40" t="n"/>
      <c r="P227" s="3">
        <f>TABL1234[[#This Row],[ (S/S) SAR]]-TABL1234[[#This Row],[(S/S) AJD]]</f>
        <v/>
      </c>
      <c r="Q227" s="40" t="n"/>
      <c r="R227" s="3">
        <f>TABL1234[[#This Row],[ (T/B) SAR]]-TABL1234[[#This Row],[(T/B) AJD]]</f>
        <v/>
      </c>
      <c r="S227" s="3">
        <f>TABL1234[[#This Row],[T/B-CON.]]+TABL1234[[#This Row],[S/S_CON.]]</f>
        <v/>
      </c>
      <c r="T227" s="3">
        <f>TABL1234[[#This Row],[(S/S) AJD]]+TABL1234[[#This Row],[(T/B) AJD]]</f>
        <v/>
      </c>
      <c r="U227" s="44" t="n"/>
      <c r="V227" s="44" t="n"/>
      <c r="W227" s="3">
        <f>TABL1234[[#This Row],[(A/B) AJD]]+TABL1234[[#This Row],[(A/S) AJD]]</f>
        <v/>
      </c>
      <c r="X227" s="3">
        <f>TABL1234[[#This Row],[( S/S+T/B) AJD]]-TABL1234[[#This Row],[(A/B + A/S) AJD]]</f>
        <v/>
      </c>
      <c r="Y227" s="44" t="n"/>
      <c r="Z227" s="45" t="n"/>
      <c r="AA227" s="3">
        <f>TABL1234[[#This Row],[(RESV. STORGE) AJD]]/10</f>
        <v/>
      </c>
      <c r="AB227" s="3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32" t="n"/>
      <c r="AN227" s="32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28" t="n"/>
      <c r="F228" s="41" t="n"/>
      <c r="G228" s="39" t="n"/>
      <c r="H228" s="28">
        <f>103-F228</f>
        <v/>
      </c>
      <c r="I228" s="39" t="n"/>
      <c r="J228" s="39" t="n"/>
      <c r="K228" s="28">
        <f>TABL1234[[#This Row],[ (T/B) SAR]]+TABL1234[[#This Row],[ (S/S) SAR]]</f>
        <v/>
      </c>
      <c r="L228" s="41" t="n"/>
      <c r="M228" s="42" t="n"/>
      <c r="N228" s="42" t="n"/>
      <c r="O228" s="39" t="n"/>
      <c r="P228" s="3">
        <f>TABL1234[[#This Row],[ (S/S) SAR]]-TABL1234[[#This Row],[(S/S) AJD]]</f>
        <v/>
      </c>
      <c r="Q228" s="39" t="n"/>
      <c r="R228" s="3">
        <f>TABL1234[[#This Row],[ (T/B) SAR]]-TABL1234[[#This Row],[(T/B) AJD]]</f>
        <v/>
      </c>
      <c r="S228" s="3">
        <f>TABL1234[[#This Row],[T/B-CON.]]+TABL1234[[#This Row],[S/S_CON.]]</f>
        <v/>
      </c>
      <c r="T228" s="3">
        <f>TABL1234[[#This Row],[(S/S) AJD]]+TABL1234[[#This Row],[(T/B) AJD]]</f>
        <v/>
      </c>
      <c r="U228" s="41" t="n"/>
      <c r="V228" s="41" t="n"/>
      <c r="W228" s="3">
        <f>TABL1234[[#This Row],[(A/B) AJD]]+TABL1234[[#This Row],[(A/S) AJD]]</f>
        <v/>
      </c>
      <c r="X228" s="3">
        <f>TABL1234[[#This Row],[( S/S+T/B) AJD]]-TABL1234[[#This Row],[(A/B + A/S) AJD]]</f>
        <v/>
      </c>
      <c r="Y228" s="41" t="n"/>
      <c r="Z228" s="43" t="n"/>
      <c r="AA228" s="3">
        <f>TABL1234[[#This Row],[(RESV. STORGE) AJD]]/10</f>
        <v/>
      </c>
      <c r="AB228" s="3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32" t="n"/>
      <c r="AN228" s="32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28" t="n"/>
      <c r="F229" s="44" t="n"/>
      <c r="G229" s="40" t="n"/>
      <c r="H229" s="28">
        <f>103-F229</f>
        <v/>
      </c>
      <c r="I229" s="40" t="n"/>
      <c r="J229" s="44" t="n"/>
      <c r="K229" s="28">
        <f>TABL1234[[#This Row],[ (T/B) SAR]]+TABL1234[[#This Row],[ (S/S) SAR]]</f>
        <v/>
      </c>
      <c r="L229" s="45" t="n"/>
      <c r="M229" s="46" t="n"/>
      <c r="N229" s="46" t="n"/>
      <c r="O229" s="40" t="n"/>
      <c r="P229" s="3">
        <f>TABL1234[[#This Row],[ (S/S) SAR]]-TABL1234[[#This Row],[(S/S) AJD]]</f>
        <v/>
      </c>
      <c r="Q229" s="40" t="n"/>
      <c r="R229" s="3">
        <f>TABL1234[[#This Row],[ (T/B) SAR]]-TABL1234[[#This Row],[(T/B) AJD]]</f>
        <v/>
      </c>
      <c r="S229" s="3">
        <f>TABL1234[[#This Row],[T/B-CON.]]+TABL1234[[#This Row],[S/S_CON.]]</f>
        <v/>
      </c>
      <c r="T229" s="3">
        <f>TABL1234[[#This Row],[(S/S) AJD]]+TABL1234[[#This Row],[(T/B) AJD]]</f>
        <v/>
      </c>
      <c r="U229" s="44" t="n"/>
      <c r="V229" s="44" t="n"/>
      <c r="W229" s="3">
        <f>TABL1234[[#This Row],[(A/B) AJD]]+TABL1234[[#This Row],[(A/S) AJD]]</f>
        <v/>
      </c>
      <c r="X229" s="3">
        <f>TABL1234[[#This Row],[( S/S+T/B) AJD]]-TABL1234[[#This Row],[(A/B + A/S) AJD]]</f>
        <v/>
      </c>
      <c r="Y229" s="44" t="n"/>
      <c r="Z229" s="45" t="n"/>
      <c r="AA229" s="3">
        <f>TABL1234[[#This Row],[(RESV. STORGE) AJD]]/10</f>
        <v/>
      </c>
      <c r="AB229" s="3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32" t="n"/>
      <c r="AN229" s="32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28" t="n"/>
      <c r="F230" s="41" t="n"/>
      <c r="G230" s="39" t="n"/>
      <c r="H230" s="28">
        <f>103-F230</f>
        <v/>
      </c>
      <c r="I230" s="39" t="n"/>
      <c r="J230" s="39" t="n"/>
      <c r="K230" s="28">
        <f>TABL1234[[#This Row],[ (T/B) SAR]]+TABL1234[[#This Row],[ (S/S) SAR]]</f>
        <v/>
      </c>
      <c r="L230" s="41" t="n"/>
      <c r="M230" s="42" t="n"/>
      <c r="N230" s="42" t="n"/>
      <c r="O230" s="39" t="n"/>
      <c r="P230" s="3">
        <f>TABL1234[[#This Row],[ (S/S) SAR]]-TABL1234[[#This Row],[(S/S) AJD]]</f>
        <v/>
      </c>
      <c r="Q230" s="39" t="n"/>
      <c r="R230" s="3">
        <f>TABL1234[[#This Row],[ (T/B) SAR]]-TABL1234[[#This Row],[(T/B) AJD]]</f>
        <v/>
      </c>
      <c r="S230" s="3">
        <f>TABL1234[[#This Row],[T/B-CON.]]+TABL1234[[#This Row],[S/S_CON.]]</f>
        <v/>
      </c>
      <c r="T230" s="3">
        <f>TABL1234[[#This Row],[(S/S) AJD]]+TABL1234[[#This Row],[(T/B) AJD]]</f>
        <v/>
      </c>
      <c r="U230" s="41" t="n"/>
      <c r="V230" s="41" t="n"/>
      <c r="W230" s="3">
        <f>TABL1234[[#This Row],[(A/B) AJD]]+TABL1234[[#This Row],[(A/S) AJD]]</f>
        <v/>
      </c>
      <c r="X230" s="3">
        <f>TABL1234[[#This Row],[( S/S+T/B) AJD]]-TABL1234[[#This Row],[(A/B + A/S) AJD]]</f>
        <v/>
      </c>
      <c r="Y230" s="41" t="n"/>
      <c r="Z230" s="43" t="n"/>
      <c r="AA230" s="3">
        <f>TABL1234[[#This Row],[(RESV. STORGE) AJD]]/10</f>
        <v/>
      </c>
      <c r="AB230" s="3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32" t="n"/>
      <c r="AN230" s="32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28" t="n"/>
      <c r="F231" s="44" t="n"/>
      <c r="G231" s="40" t="n"/>
      <c r="H231" s="28">
        <f>103-F231</f>
        <v/>
      </c>
      <c r="I231" s="40" t="n"/>
      <c r="J231" s="44" t="n"/>
      <c r="K231" s="28">
        <f>TABL1234[[#This Row],[ (T/B) SAR]]+TABL1234[[#This Row],[ (S/S) SAR]]</f>
        <v/>
      </c>
      <c r="L231" s="45" t="n"/>
      <c r="M231" s="46" t="n"/>
      <c r="N231" s="46" t="n"/>
      <c r="O231" s="40" t="n"/>
      <c r="P231" s="3">
        <f>TABL1234[[#This Row],[ (S/S) SAR]]-TABL1234[[#This Row],[(S/S) AJD]]</f>
        <v/>
      </c>
      <c r="Q231" s="40" t="n"/>
      <c r="R231" s="3">
        <f>TABL1234[[#This Row],[ (T/B) SAR]]-TABL1234[[#This Row],[(T/B) AJD]]</f>
        <v/>
      </c>
      <c r="S231" s="3">
        <f>TABL1234[[#This Row],[T/B-CON.]]+TABL1234[[#This Row],[S/S_CON.]]</f>
        <v/>
      </c>
      <c r="T231" s="3">
        <f>TABL1234[[#This Row],[(S/S) AJD]]+TABL1234[[#This Row],[(T/B) AJD]]</f>
        <v/>
      </c>
      <c r="U231" s="44" t="n"/>
      <c r="V231" s="44" t="n"/>
      <c r="W231" s="3">
        <f>TABL1234[[#This Row],[(A/B) AJD]]+TABL1234[[#This Row],[(A/S) AJD]]</f>
        <v/>
      </c>
      <c r="X231" s="3">
        <f>TABL1234[[#This Row],[( S/S+T/B) AJD]]-TABL1234[[#This Row],[(A/B + A/S) AJD]]</f>
        <v/>
      </c>
      <c r="Y231" s="44" t="n"/>
      <c r="Z231" s="45" t="n"/>
      <c r="AA231" s="3">
        <f>TABL1234[[#This Row],[(RESV. STORGE) AJD]]/10</f>
        <v/>
      </c>
      <c r="AB231" s="3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32" t="n"/>
      <c r="AN231" s="32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28" t="n"/>
      <c r="F232" s="41" t="n"/>
      <c r="G232" s="39" t="n"/>
      <c r="H232" s="28">
        <f>103-F232</f>
        <v/>
      </c>
      <c r="I232" s="71" t="n"/>
      <c r="J232" s="39" t="n"/>
      <c r="K232" s="28">
        <f>TABL1234[[#This Row],[ (T/B) SAR]]+TABL1234[[#This Row],[ (S/S) SAR]]</f>
        <v/>
      </c>
      <c r="L232" s="41" t="n"/>
      <c r="M232" s="42" t="n"/>
      <c r="N232" s="42" t="n"/>
      <c r="O232" s="39" t="n"/>
      <c r="P232" s="3">
        <f>TABL1234[[#This Row],[ (S/S) SAR]]-TABL1234[[#This Row],[(S/S) AJD]]</f>
        <v/>
      </c>
      <c r="Q232" s="39" t="n"/>
      <c r="R232" s="3">
        <f>TABL1234[[#This Row],[ (T/B) SAR]]-TABL1234[[#This Row],[(T/B) AJD]]</f>
        <v/>
      </c>
      <c r="S232" s="3">
        <f>TABL1234[[#This Row],[T/B-CON.]]+TABL1234[[#This Row],[S/S_CON.]]</f>
        <v/>
      </c>
      <c r="T232" s="3">
        <f>TABL1234[[#This Row],[(S/S) AJD]]+TABL1234[[#This Row],[(T/B) AJD]]</f>
        <v/>
      </c>
      <c r="U232" s="41" t="n"/>
      <c r="V232" s="41" t="n"/>
      <c r="W232" s="3">
        <f>TABL1234[[#This Row],[(A/B) AJD]]+TABL1234[[#This Row],[(A/S) AJD]]</f>
        <v/>
      </c>
      <c r="X232" s="3">
        <f>TABL1234[[#This Row],[( S/S+T/B) AJD]]-TABL1234[[#This Row],[(A/B + A/S) AJD]]</f>
        <v/>
      </c>
      <c r="Y232" s="41" t="n"/>
      <c r="Z232" s="43" t="n"/>
      <c r="AA232" s="3">
        <f>TABL1234[[#This Row],[(RESV. STORGE) AJD]]/10</f>
        <v/>
      </c>
      <c r="AB232" s="3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32" t="n"/>
      <c r="AN232" s="32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28" t="n"/>
      <c r="F233" s="44" t="n"/>
      <c r="G233" s="40" t="n"/>
      <c r="H233" s="28">
        <f>103-F233</f>
        <v/>
      </c>
      <c r="I233" s="40" t="n"/>
      <c r="J233" s="44" t="n"/>
      <c r="K233" s="28">
        <f>TABL1234[[#This Row],[ (T/B) SAR]]+TABL1234[[#This Row],[ (S/S) SAR]]</f>
        <v/>
      </c>
      <c r="L233" s="45" t="n"/>
      <c r="M233" s="46" t="n"/>
      <c r="N233" s="46" t="n"/>
      <c r="O233" s="40" t="n"/>
      <c r="P233" s="3">
        <f>TABL1234[[#This Row],[ (S/S) SAR]]-TABL1234[[#This Row],[(S/S) AJD]]</f>
        <v/>
      </c>
      <c r="Q233" s="40" t="n"/>
      <c r="R233" s="3">
        <f>TABL1234[[#This Row],[ (T/B) SAR]]-TABL1234[[#This Row],[(T/B) AJD]]</f>
        <v/>
      </c>
      <c r="S233" s="3">
        <f>TABL1234[[#This Row],[T/B-CON.]]+TABL1234[[#This Row],[S/S_CON.]]</f>
        <v/>
      </c>
      <c r="T233" s="3">
        <f>TABL1234[[#This Row],[(S/S) AJD]]+TABL1234[[#This Row],[(T/B) AJD]]</f>
        <v/>
      </c>
      <c r="U233" s="44" t="n"/>
      <c r="V233" s="44" t="n"/>
      <c r="W233" s="3">
        <f>TABL1234[[#This Row],[(A/B) AJD]]+TABL1234[[#This Row],[(A/S) AJD]]</f>
        <v/>
      </c>
      <c r="X233" s="3">
        <f>TABL1234[[#This Row],[( S/S+T/B) AJD]]-TABL1234[[#This Row],[(A/B + A/S) AJD]]</f>
        <v/>
      </c>
      <c r="Y233" s="44" t="n"/>
      <c r="Z233" s="45" t="n"/>
      <c r="AA233" s="3">
        <f>TABL1234[[#This Row],[(RESV. STORGE) AJD]]/10</f>
        <v/>
      </c>
      <c r="AB233" s="3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32" t="n"/>
      <c r="AN233" s="32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28" t="n"/>
      <c r="F234" s="41" t="n"/>
      <c r="G234" s="39" t="n"/>
      <c r="H234" s="28">
        <f>103-F234</f>
        <v/>
      </c>
      <c r="I234" s="39" t="n"/>
      <c r="J234" s="39" t="n"/>
      <c r="K234" s="28">
        <f>TABL1234[[#This Row],[ (T/B) SAR]]+TABL1234[[#This Row],[ (S/S) SAR]]</f>
        <v/>
      </c>
      <c r="L234" s="41" t="n"/>
      <c r="M234" s="42" t="n"/>
      <c r="N234" s="42" t="n"/>
      <c r="O234" s="39" t="n"/>
      <c r="P234" s="3">
        <f>TABL1234[[#This Row],[ (S/S) SAR]]-TABL1234[[#This Row],[(S/S) AJD]]</f>
        <v/>
      </c>
      <c r="Q234" s="39" t="n"/>
      <c r="R234" s="3">
        <f>TABL1234[[#This Row],[ (T/B) SAR]]-TABL1234[[#This Row],[(T/B) AJD]]</f>
        <v/>
      </c>
      <c r="S234" s="3">
        <f>TABL1234[[#This Row],[T/B-CON.]]+TABL1234[[#This Row],[S/S_CON.]]</f>
        <v/>
      </c>
      <c r="T234" s="3">
        <f>TABL1234[[#This Row],[(S/S) AJD]]+TABL1234[[#This Row],[(T/B) AJD]]</f>
        <v/>
      </c>
      <c r="U234" s="41" t="n"/>
      <c r="V234" s="41" t="n"/>
      <c r="W234" s="3">
        <f>TABL1234[[#This Row],[(A/B) AJD]]+TABL1234[[#This Row],[(A/S) AJD]]</f>
        <v/>
      </c>
      <c r="X234" s="3">
        <f>TABL1234[[#This Row],[( S/S+T/B) AJD]]-TABL1234[[#This Row],[(A/B + A/S) AJD]]</f>
        <v/>
      </c>
      <c r="Y234" s="41" t="n"/>
      <c r="Z234" s="43" t="n"/>
      <c r="AA234" s="3">
        <f>TABL1234[[#This Row],[(RESV. STORGE) AJD]]/10</f>
        <v/>
      </c>
      <c r="AB234" s="3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32" t="n"/>
      <c r="AN234" s="32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28" t="n"/>
      <c r="F235" s="44" t="n"/>
      <c r="G235" s="40" t="n"/>
      <c r="H235" s="28">
        <f>103-F235</f>
        <v/>
      </c>
      <c r="I235" s="40" t="n"/>
      <c r="J235" s="44" t="n"/>
      <c r="K235" s="28">
        <f>TABL1234[[#This Row],[ (T/B) SAR]]+TABL1234[[#This Row],[ (S/S) SAR]]</f>
        <v/>
      </c>
      <c r="L235" s="45" t="n"/>
      <c r="M235" s="46" t="n"/>
      <c r="N235" s="46" t="n"/>
      <c r="O235" s="40" t="n"/>
      <c r="P235" s="3">
        <f>TABL1234[[#This Row],[ (S/S) SAR]]-TABL1234[[#This Row],[(S/S) AJD]]</f>
        <v/>
      </c>
      <c r="Q235" s="40" t="n"/>
      <c r="R235" s="3">
        <f>TABL1234[[#This Row],[ (T/B) SAR]]-TABL1234[[#This Row],[(T/B) AJD]]</f>
        <v/>
      </c>
      <c r="S235" s="3">
        <f>TABL1234[[#This Row],[T/B-CON.]]+TABL1234[[#This Row],[S/S_CON.]]</f>
        <v/>
      </c>
      <c r="T235" s="3">
        <f>TABL1234[[#This Row],[(S/S) AJD]]+TABL1234[[#This Row],[(T/B) AJD]]</f>
        <v/>
      </c>
      <c r="U235" s="44" t="n"/>
      <c r="V235" s="44" t="n"/>
      <c r="W235" s="3">
        <f>TABL1234[[#This Row],[(A/B) AJD]]+TABL1234[[#This Row],[(A/S) AJD]]</f>
        <v/>
      </c>
      <c r="X235" s="3">
        <f>TABL1234[[#This Row],[( S/S+T/B) AJD]]-TABL1234[[#This Row],[(A/B + A/S) AJD]]</f>
        <v/>
      </c>
      <c r="Y235" s="44" t="n"/>
      <c r="Z235" s="45" t="n"/>
      <c r="AA235" s="3">
        <f>TABL1234[[#This Row],[(RESV. STORGE) AJD]]/10</f>
        <v/>
      </c>
      <c r="AB235" s="3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32" t="n"/>
      <c r="AN235" s="32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28" t="n"/>
      <c r="F236" s="41" t="n"/>
      <c r="G236" s="39" t="n"/>
      <c r="H236" s="28">
        <f>103-F236</f>
        <v/>
      </c>
      <c r="I236" s="39" t="n"/>
      <c r="J236" s="39" t="n"/>
      <c r="K236" s="28">
        <f>TABL1234[[#This Row],[ (T/B) SAR]]+TABL1234[[#This Row],[ (S/S) SAR]]</f>
        <v/>
      </c>
      <c r="L236" s="41" t="n"/>
      <c r="M236" s="42" t="n"/>
      <c r="N236" s="42" t="n"/>
      <c r="O236" s="39" t="n"/>
      <c r="P236" s="3">
        <f>TABL1234[[#This Row],[ (S/S) SAR]]-TABL1234[[#This Row],[(S/S) AJD]]</f>
        <v/>
      </c>
      <c r="Q236" s="39" t="n"/>
      <c r="R236" s="3">
        <f>TABL1234[[#This Row],[ (T/B) SAR]]-TABL1234[[#This Row],[(T/B) AJD]]</f>
        <v/>
      </c>
      <c r="S236" s="3">
        <f>TABL1234[[#This Row],[T/B-CON.]]+TABL1234[[#This Row],[S/S_CON.]]</f>
        <v/>
      </c>
      <c r="T236" s="3">
        <f>TABL1234[[#This Row],[(S/S) AJD]]+TABL1234[[#This Row],[(T/B) AJD]]</f>
        <v/>
      </c>
      <c r="U236" s="41" t="n"/>
      <c r="V236" s="41" t="n"/>
      <c r="W236" s="3">
        <f>TABL1234[[#This Row],[(A/B) AJD]]+TABL1234[[#This Row],[(A/S) AJD]]</f>
        <v/>
      </c>
      <c r="X236" s="3">
        <f>TABL1234[[#This Row],[( S/S+T/B) AJD]]-TABL1234[[#This Row],[(A/B + A/S) AJD]]</f>
        <v/>
      </c>
      <c r="Y236" s="41" t="n"/>
      <c r="Z236" s="43" t="n"/>
      <c r="AA236" s="3">
        <f>TABL1234[[#This Row],[(RESV. STORGE) AJD]]/10</f>
        <v/>
      </c>
      <c r="AB236" s="3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32" t="n"/>
      <c r="AN236" s="32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28" t="n"/>
      <c r="F237" s="44" t="n"/>
      <c r="G237" s="40" t="n"/>
      <c r="H237" s="28">
        <f>103-F237</f>
        <v/>
      </c>
      <c r="I237" s="40" t="n"/>
      <c r="J237" s="44" t="n"/>
      <c r="K237" s="28">
        <f>TABL1234[[#This Row],[ (T/B) SAR]]+TABL1234[[#This Row],[ (S/S) SAR]]</f>
        <v/>
      </c>
      <c r="L237" s="45" t="n"/>
      <c r="M237" s="46" t="n"/>
      <c r="N237" s="46" t="n"/>
      <c r="O237" s="40" t="n"/>
      <c r="P237" s="3">
        <f>TABL1234[[#This Row],[ (S/S) SAR]]-TABL1234[[#This Row],[(S/S) AJD]]</f>
        <v/>
      </c>
      <c r="Q237" s="40" t="n"/>
      <c r="R237" s="3">
        <f>TABL1234[[#This Row],[ (T/B) SAR]]-TABL1234[[#This Row],[(T/B) AJD]]</f>
        <v/>
      </c>
      <c r="S237" s="3">
        <f>TABL1234[[#This Row],[T/B-CON.]]+TABL1234[[#This Row],[S/S_CON.]]</f>
        <v/>
      </c>
      <c r="T237" s="3">
        <f>TABL1234[[#This Row],[(S/S) AJD]]+TABL1234[[#This Row],[(T/B) AJD]]</f>
        <v/>
      </c>
      <c r="U237" s="44" t="n"/>
      <c r="V237" s="44" t="n"/>
      <c r="W237" s="3">
        <f>TABL1234[[#This Row],[(A/B) AJD]]+TABL1234[[#This Row],[(A/S) AJD]]</f>
        <v/>
      </c>
      <c r="X237" s="3">
        <f>TABL1234[[#This Row],[( S/S+T/B) AJD]]-TABL1234[[#This Row],[(A/B + A/S) AJD]]</f>
        <v/>
      </c>
      <c r="Y237" s="44" t="n"/>
      <c r="Z237" s="45" t="n"/>
      <c r="AA237" s="3">
        <f>TABL1234[[#This Row],[(RESV. STORGE) AJD]]/10</f>
        <v/>
      </c>
      <c r="AB237" s="3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32" t="n"/>
      <c r="AN237" s="32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28" t="n"/>
      <c r="F238" s="41" t="n"/>
      <c r="G238" s="39" t="n"/>
      <c r="H238" s="28">
        <f>103-F238</f>
        <v/>
      </c>
      <c r="I238" s="39" t="n"/>
      <c r="J238" s="39" t="n"/>
      <c r="K238" s="28">
        <f>TABL1234[[#This Row],[ (T/B) SAR]]+TABL1234[[#This Row],[ (S/S) SAR]]</f>
        <v/>
      </c>
      <c r="L238" s="41" t="n"/>
      <c r="M238" s="42" t="n"/>
      <c r="N238" s="42" t="n"/>
      <c r="O238" s="39" t="n"/>
      <c r="P238" s="3">
        <f>TABL1234[[#This Row],[ (S/S) SAR]]-TABL1234[[#This Row],[(S/S) AJD]]</f>
        <v/>
      </c>
      <c r="Q238" s="39" t="n"/>
      <c r="R238" s="3">
        <f>TABL1234[[#This Row],[ (T/B) SAR]]-TABL1234[[#This Row],[(T/B) AJD]]</f>
        <v/>
      </c>
      <c r="S238" s="3">
        <f>TABL1234[[#This Row],[T/B-CON.]]+TABL1234[[#This Row],[S/S_CON.]]</f>
        <v/>
      </c>
      <c r="T238" s="3">
        <f>TABL1234[[#This Row],[(S/S) AJD]]+TABL1234[[#This Row],[(T/B) AJD]]</f>
        <v/>
      </c>
      <c r="U238" s="41" t="n"/>
      <c r="V238" s="41" t="n"/>
      <c r="W238" s="3">
        <f>TABL1234[[#This Row],[(A/B) AJD]]+TABL1234[[#This Row],[(A/S) AJD]]</f>
        <v/>
      </c>
      <c r="X238" s="3">
        <f>TABL1234[[#This Row],[( S/S+T/B) AJD]]-TABL1234[[#This Row],[(A/B + A/S) AJD]]</f>
        <v/>
      </c>
      <c r="Y238" s="41" t="n"/>
      <c r="Z238" s="43" t="n"/>
      <c r="AA238" s="3">
        <f>TABL1234[[#This Row],[(RESV. STORGE) AJD]]/10</f>
        <v/>
      </c>
      <c r="AB238" s="3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32" t="n"/>
      <c r="AN238" s="32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28" t="n"/>
      <c r="F239" s="44" t="n"/>
      <c r="G239" s="40" t="n"/>
      <c r="H239" s="28">
        <f>103-F239</f>
        <v/>
      </c>
      <c r="I239" s="40" t="n"/>
      <c r="J239" s="44" t="n"/>
      <c r="K239" s="28">
        <f>TABL1234[[#This Row],[ (T/B) SAR]]+TABL1234[[#This Row],[ (S/S) SAR]]</f>
        <v/>
      </c>
      <c r="L239" s="45" t="n"/>
      <c r="M239" s="46" t="n"/>
      <c r="N239" s="46" t="n"/>
      <c r="O239" s="40" t="n"/>
      <c r="P239" s="3">
        <f>TABL1234[[#This Row],[ (S/S) SAR]]-TABL1234[[#This Row],[(S/S) AJD]]</f>
        <v/>
      </c>
      <c r="Q239" s="40" t="n"/>
      <c r="R239" s="3">
        <f>TABL1234[[#This Row],[ (T/B) SAR]]-TABL1234[[#This Row],[(T/B) AJD]]</f>
        <v/>
      </c>
      <c r="S239" s="3">
        <f>TABL1234[[#This Row],[T/B-CON.]]+TABL1234[[#This Row],[S/S_CON.]]</f>
        <v/>
      </c>
      <c r="T239" s="3">
        <f>TABL1234[[#This Row],[(S/S) AJD]]+TABL1234[[#This Row],[(T/B) AJD]]</f>
        <v/>
      </c>
      <c r="U239" s="44" t="n"/>
      <c r="V239" s="44" t="n"/>
      <c r="W239" s="3">
        <f>TABL1234[[#This Row],[(A/B) AJD]]+TABL1234[[#This Row],[(A/S) AJD]]</f>
        <v/>
      </c>
      <c r="X239" s="3">
        <f>TABL1234[[#This Row],[( S/S+T/B) AJD]]-TABL1234[[#This Row],[(A/B + A/S) AJD]]</f>
        <v/>
      </c>
      <c r="Y239" s="44" t="n"/>
      <c r="Z239" s="45" t="n"/>
      <c r="AA239" s="3">
        <f>TABL1234[[#This Row],[(RESV. STORGE) AJD]]/10</f>
        <v/>
      </c>
      <c r="AB239" s="3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32" t="n"/>
      <c r="AN239" s="32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28" t="n"/>
      <c r="F240" s="41" t="n"/>
      <c r="G240" s="39" t="n"/>
      <c r="H240" s="28">
        <f>103-F240</f>
        <v/>
      </c>
      <c r="I240" s="39" t="n"/>
      <c r="J240" s="39" t="n"/>
      <c r="K240" s="28">
        <f>TABL1234[[#This Row],[ (T/B) SAR]]+TABL1234[[#This Row],[ (S/S) SAR]]</f>
        <v/>
      </c>
      <c r="L240" s="41" t="n"/>
      <c r="M240" s="42" t="n"/>
      <c r="N240" s="42" t="n"/>
      <c r="O240" s="39" t="n"/>
      <c r="P240" s="3">
        <f>TABL1234[[#This Row],[ (S/S) SAR]]-TABL1234[[#This Row],[(S/S) AJD]]</f>
        <v/>
      </c>
      <c r="Q240" s="39" t="n"/>
      <c r="R240" s="3">
        <f>TABL1234[[#This Row],[ (T/B) SAR]]-TABL1234[[#This Row],[(T/B) AJD]]</f>
        <v/>
      </c>
      <c r="S240" s="3">
        <f>TABL1234[[#This Row],[T/B-CON.]]+TABL1234[[#This Row],[S/S_CON.]]</f>
        <v/>
      </c>
      <c r="T240" s="3">
        <f>TABL1234[[#This Row],[(S/S) AJD]]+TABL1234[[#This Row],[(T/B) AJD]]</f>
        <v/>
      </c>
      <c r="U240" s="41" t="n"/>
      <c r="V240" s="41" t="n"/>
      <c r="W240" s="3">
        <f>TABL1234[[#This Row],[(A/B) AJD]]+TABL1234[[#This Row],[(A/S) AJD]]</f>
        <v/>
      </c>
      <c r="X240" s="3">
        <f>TABL1234[[#This Row],[( S/S+T/B) AJD]]-TABL1234[[#This Row],[(A/B + A/S) AJD]]</f>
        <v/>
      </c>
      <c r="Y240" s="41" t="n"/>
      <c r="Z240" s="43" t="n"/>
      <c r="AA240" s="3">
        <f>TABL1234[[#This Row],[(RESV. STORGE) AJD]]/10</f>
        <v/>
      </c>
      <c r="AB240" s="3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32" t="n"/>
      <c r="AN240" s="32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28" t="n"/>
      <c r="F241" s="44" t="n"/>
      <c r="G241" s="40" t="n"/>
      <c r="H241" s="28">
        <f>103-F241</f>
        <v/>
      </c>
      <c r="I241" s="40" t="n"/>
      <c r="J241" s="44" t="n"/>
      <c r="K241" s="28">
        <f>TABL1234[[#This Row],[ (T/B) SAR]]+TABL1234[[#This Row],[ (S/S) SAR]]</f>
        <v/>
      </c>
      <c r="L241" s="45" t="n"/>
      <c r="M241" s="46" t="n"/>
      <c r="N241" s="46" t="n"/>
      <c r="O241" s="40" t="n"/>
      <c r="P241" s="3">
        <f>TABL1234[[#This Row],[ (S/S) SAR]]-TABL1234[[#This Row],[(S/S) AJD]]</f>
        <v/>
      </c>
      <c r="Q241" s="40" t="n"/>
      <c r="R241" s="3">
        <f>TABL1234[[#This Row],[ (T/B) SAR]]-TABL1234[[#This Row],[(T/B) AJD]]</f>
        <v/>
      </c>
      <c r="S241" s="3">
        <f>TABL1234[[#This Row],[T/B-CON.]]+TABL1234[[#This Row],[S/S_CON.]]</f>
        <v/>
      </c>
      <c r="T241" s="3">
        <f>TABL1234[[#This Row],[(S/S) AJD]]+TABL1234[[#This Row],[(T/B) AJD]]</f>
        <v/>
      </c>
      <c r="U241" s="44" t="n"/>
      <c r="V241" s="44" t="n"/>
      <c r="W241" s="3">
        <f>TABL1234[[#This Row],[(A/B) AJD]]+TABL1234[[#This Row],[(A/S) AJD]]</f>
        <v/>
      </c>
      <c r="X241" s="3">
        <f>TABL1234[[#This Row],[( S/S+T/B) AJD]]-TABL1234[[#This Row],[(A/B + A/S) AJD]]</f>
        <v/>
      </c>
      <c r="Y241" s="44" t="n"/>
      <c r="Z241" s="45" t="n"/>
      <c r="AA241" s="3">
        <f>TABL1234[[#This Row],[(RESV. STORGE) AJD]]/10</f>
        <v/>
      </c>
      <c r="AB241" s="3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32" t="n"/>
      <c r="AN241" s="32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28" t="n"/>
      <c r="F242" s="41" t="n"/>
      <c r="G242" s="39" t="n"/>
      <c r="H242" s="28">
        <f>103-F242</f>
        <v/>
      </c>
      <c r="I242" s="39" t="n"/>
      <c r="J242" s="39" t="n"/>
      <c r="K242" s="28">
        <f>TABL1234[[#This Row],[ (T/B) SAR]]+TABL1234[[#This Row],[ (S/S) SAR]]</f>
        <v/>
      </c>
      <c r="L242" s="41" t="n"/>
      <c r="M242" s="42" t="n"/>
      <c r="N242" s="42" t="n"/>
      <c r="O242" s="39" t="n"/>
      <c r="P242" s="3">
        <f>TABL1234[[#This Row],[ (S/S) SAR]]-TABL1234[[#This Row],[(S/S) AJD]]</f>
        <v/>
      </c>
      <c r="Q242" s="39" t="n"/>
      <c r="R242" s="3">
        <f>TABL1234[[#This Row],[ (T/B) SAR]]-TABL1234[[#This Row],[(T/B) AJD]]</f>
        <v/>
      </c>
      <c r="S242" s="3">
        <f>TABL1234[[#This Row],[T/B-CON.]]+TABL1234[[#This Row],[S/S_CON.]]</f>
        <v/>
      </c>
      <c r="T242" s="3">
        <f>TABL1234[[#This Row],[(S/S) AJD]]+TABL1234[[#This Row],[(T/B) AJD]]</f>
        <v/>
      </c>
      <c r="U242" s="41" t="n"/>
      <c r="V242" s="41" t="n"/>
      <c r="W242" s="3">
        <f>TABL1234[[#This Row],[(A/B) AJD]]+TABL1234[[#This Row],[(A/S) AJD]]</f>
        <v/>
      </c>
      <c r="X242" s="3">
        <f>TABL1234[[#This Row],[( S/S+T/B) AJD]]-TABL1234[[#This Row],[(A/B + A/S) AJD]]</f>
        <v/>
      </c>
      <c r="Y242" s="41" t="n"/>
      <c r="Z242" s="43" t="n"/>
      <c r="AA242" s="3">
        <f>TABL1234[[#This Row],[(RESV. STORGE) AJD]]/10</f>
        <v/>
      </c>
      <c r="AB242" s="3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32" t="n"/>
      <c r="AN242" s="32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28" t="n"/>
      <c r="F243" s="44" t="n"/>
      <c r="G243" s="40" t="n"/>
      <c r="H243" s="28">
        <f>103-F243</f>
        <v/>
      </c>
      <c r="I243" s="40" t="n"/>
      <c r="J243" s="44" t="n"/>
      <c r="K243" s="28">
        <f>TABL1234[[#This Row],[ (T/B) SAR]]+TABL1234[[#This Row],[ (S/S) SAR]]</f>
        <v/>
      </c>
      <c r="L243" s="45" t="n"/>
      <c r="M243" s="46" t="n"/>
      <c r="N243" s="46" t="n"/>
      <c r="O243" s="40" t="n"/>
      <c r="P243" s="3">
        <f>TABL1234[[#This Row],[ (S/S) SAR]]-TABL1234[[#This Row],[(S/S) AJD]]</f>
        <v/>
      </c>
      <c r="Q243" s="40" t="n"/>
      <c r="R243" s="3">
        <f>TABL1234[[#This Row],[ (T/B) SAR]]-TABL1234[[#This Row],[(T/B) AJD]]</f>
        <v/>
      </c>
      <c r="S243" s="3">
        <f>TABL1234[[#This Row],[T/B-CON.]]+TABL1234[[#This Row],[S/S_CON.]]</f>
        <v/>
      </c>
      <c r="T243" s="3">
        <f>TABL1234[[#This Row],[(S/S) AJD]]+TABL1234[[#This Row],[(T/B) AJD]]</f>
        <v/>
      </c>
      <c r="U243" s="44" t="n"/>
      <c r="V243" s="44" t="n"/>
      <c r="W243" s="3">
        <f>TABL1234[[#This Row],[(A/B) AJD]]+TABL1234[[#This Row],[(A/S) AJD]]</f>
        <v/>
      </c>
      <c r="X243" s="3">
        <f>TABL1234[[#This Row],[( S/S+T/B) AJD]]-TABL1234[[#This Row],[(A/B + A/S) AJD]]</f>
        <v/>
      </c>
      <c r="Y243" s="44" t="n"/>
      <c r="Z243" s="45" t="n"/>
      <c r="AA243" s="3">
        <f>TABL1234[[#This Row],[(RESV. STORGE) AJD]]/10</f>
        <v/>
      </c>
      <c r="AB243" s="3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32" t="n"/>
      <c r="AN243" s="32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28" t="n"/>
      <c r="F244" s="41" t="n"/>
      <c r="G244" s="39" t="n"/>
      <c r="H244" s="28">
        <f>103-F244</f>
        <v/>
      </c>
      <c r="I244" s="39" t="n"/>
      <c r="J244" s="39" t="n"/>
      <c r="K244" s="28">
        <f>TABL1234[[#This Row],[ (T/B) SAR]]+TABL1234[[#This Row],[ (S/S) SAR]]</f>
        <v/>
      </c>
      <c r="L244" s="41" t="n"/>
      <c r="M244" s="42" t="n"/>
      <c r="N244" s="42" t="n"/>
      <c r="O244" s="39" t="n"/>
      <c r="P244" s="3">
        <f>TABL1234[[#This Row],[ (S/S) SAR]]-TABL1234[[#This Row],[(S/S) AJD]]</f>
        <v/>
      </c>
      <c r="Q244" s="39" t="n"/>
      <c r="R244" s="3">
        <f>TABL1234[[#This Row],[ (T/B) SAR]]-TABL1234[[#This Row],[(T/B) AJD]]</f>
        <v/>
      </c>
      <c r="S244" s="3">
        <f>TABL1234[[#This Row],[T/B-CON.]]+TABL1234[[#This Row],[S/S_CON.]]</f>
        <v/>
      </c>
      <c r="T244" s="3">
        <f>TABL1234[[#This Row],[(S/S) AJD]]+TABL1234[[#This Row],[(T/B) AJD]]</f>
        <v/>
      </c>
      <c r="U244" s="41" t="n"/>
      <c r="V244" s="41" t="n"/>
      <c r="W244" s="3">
        <f>TABL1234[[#This Row],[(A/B) AJD]]+TABL1234[[#This Row],[(A/S) AJD]]</f>
        <v/>
      </c>
      <c r="X244" s="3">
        <f>TABL1234[[#This Row],[( S/S+T/B) AJD]]-TABL1234[[#This Row],[(A/B + A/S) AJD]]</f>
        <v/>
      </c>
      <c r="Y244" s="41" t="n"/>
      <c r="Z244" s="43" t="n"/>
      <c r="AA244" s="3">
        <f>TABL1234[[#This Row],[(RESV. STORGE) AJD]]/10</f>
        <v/>
      </c>
      <c r="AB244" s="3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32" t="n"/>
      <c r="AN244" s="32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">
        <f>TABL1234[[#This Row],[(S/S) AJD]]+TABL1234[[#This Row],[(T/B) AJD]]</f>
        <v/>
      </c>
      <c r="U245" s="41" t="n"/>
      <c r="V245" s="41" t="n"/>
      <c r="W245" s="9">
        <f>TABL1234[[#This Row],[(A/B) AJD]]+TABL1234[[#This Row],[(A/S) AJD]]</f>
        <v/>
      </c>
      <c r="X245" s="9">
        <f>TABL1234[[#This Row],[( S/S+T/B) AJD]]-TABL1234[[#This Row],[(A/B + A/S) AJD]]</f>
        <v/>
      </c>
      <c r="Y245" s="41" t="n"/>
      <c r="Z245" s="43" t="n"/>
      <c r="AA245" s="3">
        <f>TABL1234[[#This Row],[(RESV. STORGE) AJD]]/10</f>
        <v/>
      </c>
      <c r="AB245" s="3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32" t="n"/>
      <c r="AN245" s="32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">
        <f>TABL1234[[#This Row],[(S/S) AJD]]+TABL1234[[#This Row],[(T/B) AJD]]</f>
        <v/>
      </c>
      <c r="U246" s="44" t="n"/>
      <c r="V246" s="44" t="n"/>
      <c r="W246" s="9">
        <f>TABL1234[[#This Row],[(A/B) AJD]]+TABL1234[[#This Row],[(A/S) AJD]]</f>
        <v/>
      </c>
      <c r="X246" s="9">
        <f>TABL1234[[#This Row],[( S/S+T/B) AJD]]-TABL1234[[#This Row],[(A/B + A/S) AJD]]</f>
        <v/>
      </c>
      <c r="Y246" s="44" t="n"/>
      <c r="Z246" s="45" t="n"/>
      <c r="AA246" s="3">
        <f>TABL1234[[#This Row],[(RESV. STORGE) AJD]]/10</f>
        <v/>
      </c>
      <c r="AB246" s="3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32" t="n"/>
      <c r="AN246" s="32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">
        <f>TABL1234[[#This Row],[(S/S) AJD]]+TABL1234[[#This Row],[(T/B) AJD]]</f>
        <v/>
      </c>
      <c r="U247" s="41" t="n"/>
      <c r="V247" s="41" t="n"/>
      <c r="W247" s="9">
        <f>TABL1234[[#This Row],[(A/B) AJD]]+TABL1234[[#This Row],[(A/S) AJD]]</f>
        <v/>
      </c>
      <c r="X247" s="9">
        <f>TABL1234[[#This Row],[( S/S+T/B) AJD]]-TABL1234[[#This Row],[(A/B + A/S) AJD]]</f>
        <v/>
      </c>
      <c r="Y247" s="41" t="n"/>
      <c r="Z247" s="43" t="n"/>
      <c r="AA247" s="3">
        <f>TABL1234[[#This Row],[(RESV. STORGE) AJD]]/10</f>
        <v/>
      </c>
      <c r="AB247" s="3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32" t="n"/>
      <c r="AN247" s="32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">
        <f>TABL1234[[#This Row],[(S/S) AJD]]+TABL1234[[#This Row],[(T/B) AJD]]</f>
        <v/>
      </c>
      <c r="U248" s="44" t="n"/>
      <c r="V248" s="44" t="n"/>
      <c r="W248" s="9">
        <f>TABL1234[[#This Row],[(A/B) AJD]]+TABL1234[[#This Row],[(A/S) AJD]]</f>
        <v/>
      </c>
      <c r="X248" s="9">
        <f>TABL1234[[#This Row],[( S/S+T/B) AJD]]-TABL1234[[#This Row],[(A/B + A/S) AJD]]</f>
        <v/>
      </c>
      <c r="Y248" s="44" t="n"/>
      <c r="Z248" s="45" t="n"/>
      <c r="AA248" s="3">
        <f>TABL1234[[#This Row],[(RESV. STORGE) AJD]]/10</f>
        <v/>
      </c>
      <c r="AB248" s="3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32" t="n"/>
      <c r="AN248" s="32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">
        <f>TABL1234[[#This Row],[(S/S) AJD]]+TABL1234[[#This Row],[(T/B) AJD]]</f>
        <v/>
      </c>
      <c r="U249" s="41" t="n"/>
      <c r="V249" s="41" t="n"/>
      <c r="W249" s="9">
        <f>TABL1234[[#This Row],[(A/B) AJD]]+TABL1234[[#This Row],[(A/S) AJD]]</f>
        <v/>
      </c>
      <c r="X249" s="9">
        <f>TABL1234[[#This Row],[( S/S+T/B) AJD]]-TABL1234[[#This Row],[(A/B + A/S) AJD]]</f>
        <v/>
      </c>
      <c r="Y249" s="41" t="n"/>
      <c r="Z249" s="43" t="n"/>
      <c r="AA249" s="3">
        <f>TABL1234[[#This Row],[(RESV. STORGE) AJD]]/10</f>
        <v/>
      </c>
      <c r="AB249" s="3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32" t="n"/>
      <c r="AN249" s="32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28">
        <f>103-F250</f>
        <v/>
      </c>
      <c r="I250" s="40" t="n"/>
      <c r="J250" s="44" t="n"/>
      <c r="K250" s="28">
        <f>TABL1234[[#This Row],[ (T/B) SAR]]+TABL1234[[#This Row],[ (S/S) SAR]]</f>
        <v/>
      </c>
      <c r="L250" s="45" t="n"/>
      <c r="M250" s="46" t="n"/>
      <c r="N250" s="46" t="n"/>
      <c r="O250" s="40" t="n"/>
      <c r="P250" s="9">
        <f>TABL1234[[#This Row],[ (S/S) SAR]]-TABL1234[[#This Row],[(S/S) AJD]]</f>
        <v/>
      </c>
      <c r="Q250" s="40" t="n"/>
      <c r="R250" s="9">
        <f>TABL1234[[#This Row],[ (T/B) SAR]]-TABL1234[[#This Row],[(T/B) AJD]]</f>
        <v/>
      </c>
      <c r="S250" s="9">
        <f>TABL1234[[#This Row],[T/B-CON.]]+TABL1234[[#This Row],[S/S_CON.]]</f>
        <v/>
      </c>
      <c r="T250" s="9">
        <f>TABL1234[[#This Row],[(S/S) AJD]]+TABL1234[[#This Row],[(T/B) AJD]]</f>
        <v/>
      </c>
      <c r="U250" s="44" t="n"/>
      <c r="V250" s="44" t="n"/>
      <c r="W250" s="9">
        <f>TABL1234[[#This Row],[(A/B) AJD]]+TABL1234[[#This Row],[(A/S) AJD]]</f>
        <v/>
      </c>
      <c r="X250" s="9">
        <f>TABL1234[[#This Row],[( S/S+T/B) AJD]]-TABL1234[[#This Row],[(A/B + A/S) AJD]]</f>
        <v/>
      </c>
      <c r="Y250" s="44" t="n"/>
      <c r="Z250" s="45" t="n"/>
      <c r="AA250" s="3">
        <f>TABL1234[[#This Row],[(RESV. STORGE) AJD]]/10</f>
        <v/>
      </c>
      <c r="AB250" s="3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32" t="n"/>
      <c r="AN250" s="32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28">
        <f>103-F251</f>
        <v/>
      </c>
      <c r="I251" s="39" t="n"/>
      <c r="J251" s="39" t="n"/>
      <c r="K251" s="28">
        <f>TABL1234[[#This Row],[ (T/B) SAR]]+TABL1234[[#This Row],[ (S/S) SAR]]</f>
        <v/>
      </c>
      <c r="L251" s="41" t="n"/>
      <c r="M251" s="42" t="n"/>
      <c r="N251" s="42" t="n"/>
      <c r="O251" s="39" t="n"/>
      <c r="P251" s="9">
        <f>TABL1234[[#This Row],[ (S/S) SAR]]-TABL1234[[#This Row],[(S/S) AJD]]</f>
        <v/>
      </c>
      <c r="Q251" s="39" t="n"/>
      <c r="R251" s="9">
        <f>TABL1234[[#This Row],[ (T/B) SAR]]-TABL1234[[#This Row],[(T/B) AJD]]</f>
        <v/>
      </c>
      <c r="S251" s="9">
        <f>TABL1234[[#This Row],[T/B-CON.]]+TABL1234[[#This Row],[S/S_CON.]]</f>
        <v/>
      </c>
      <c r="T251" s="9">
        <f>TABL1234[[#This Row],[(S/S) AJD]]+TABL1234[[#This Row],[(T/B) AJD]]</f>
        <v/>
      </c>
      <c r="U251" s="41" t="n"/>
      <c r="V251" s="41" t="n"/>
      <c r="W251" s="9">
        <f>TABL1234[[#This Row],[(A/B) AJD]]+TABL1234[[#This Row],[(A/S) AJD]]</f>
        <v/>
      </c>
      <c r="X251" s="9">
        <f>TABL1234[[#This Row],[( S/S+T/B) AJD]]-TABL1234[[#This Row],[(A/B + A/S) AJD]]</f>
        <v/>
      </c>
      <c r="Y251" s="41" t="n"/>
      <c r="Z251" s="43" t="n"/>
      <c r="AA251" s="3">
        <f>TABL1234[[#This Row],[(RESV. STORGE) AJD]]/10</f>
        <v/>
      </c>
      <c r="AB251" s="3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32" t="n"/>
      <c r="AN251" s="32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28">
        <f>103-F252</f>
        <v/>
      </c>
      <c r="I252" s="40" t="n"/>
      <c r="J252" s="44" t="n"/>
      <c r="K252" s="28">
        <f>TABL1234[[#This Row],[ (T/B) SAR]]+TABL1234[[#This Row],[ (S/S) SAR]]</f>
        <v/>
      </c>
      <c r="L252" s="45" t="n"/>
      <c r="M252" s="46" t="n"/>
      <c r="N252" s="46" t="n"/>
      <c r="O252" s="40" t="n"/>
      <c r="P252" s="9">
        <f>TABL1234[[#This Row],[ (S/S) SAR]]-TABL1234[[#This Row],[(S/S) AJD]]</f>
        <v/>
      </c>
      <c r="Q252" s="40" t="n"/>
      <c r="R252" s="9">
        <f>TABL1234[[#This Row],[ (T/B) SAR]]-TABL1234[[#This Row],[(T/B) AJD]]</f>
        <v/>
      </c>
      <c r="S252" s="9">
        <f>TABL1234[[#This Row],[T/B-CON.]]+TABL1234[[#This Row],[S/S_CON.]]</f>
        <v/>
      </c>
      <c r="T252" s="9">
        <f>TABL1234[[#This Row],[(S/S) AJD]]+TABL1234[[#This Row],[(T/B) AJD]]</f>
        <v/>
      </c>
      <c r="U252" s="44" t="n"/>
      <c r="V252" s="44" t="n"/>
      <c r="W252" s="9">
        <f>TABL1234[[#This Row],[(A/B) AJD]]+TABL1234[[#This Row],[(A/S) AJD]]</f>
        <v/>
      </c>
      <c r="X252" s="9">
        <f>TABL1234[[#This Row],[( S/S+T/B) AJD]]-TABL1234[[#This Row],[(A/B + A/S) AJD]]</f>
        <v/>
      </c>
      <c r="Y252" s="44" t="n"/>
      <c r="Z252" s="45" t="n"/>
      <c r="AA252" s="3">
        <f>TABL1234[[#This Row],[(RESV. STORGE) AJD]]/10</f>
        <v/>
      </c>
      <c r="AB252" s="3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32" t="n"/>
      <c r="AN252" s="32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28">
        <f>103-F253</f>
        <v/>
      </c>
      <c r="I253" s="39" t="n"/>
      <c r="J253" s="39" t="n"/>
      <c r="K253" s="28">
        <f>TABL1234[[#This Row],[ (T/B) SAR]]+TABL1234[[#This Row],[ (S/S) SAR]]</f>
        <v/>
      </c>
      <c r="L253" s="41" t="n"/>
      <c r="M253" s="42" t="n"/>
      <c r="N253" s="42" t="n"/>
      <c r="O253" s="39" t="n"/>
      <c r="P253" s="9">
        <f>TABL1234[[#This Row],[ (S/S) SAR]]-TABL1234[[#This Row],[(S/S) AJD]]</f>
        <v/>
      </c>
      <c r="Q253" s="39" t="n"/>
      <c r="R253" s="9">
        <f>TABL1234[[#This Row],[ (T/B) SAR]]-TABL1234[[#This Row],[(T/B) AJD]]</f>
        <v/>
      </c>
      <c r="S253" s="9">
        <f>TABL1234[[#This Row],[T/B-CON.]]+TABL1234[[#This Row],[S/S_CON.]]</f>
        <v/>
      </c>
      <c r="T253" s="9">
        <f>TABL1234[[#This Row],[(S/S) AJD]]+TABL1234[[#This Row],[(T/B) AJD]]</f>
        <v/>
      </c>
      <c r="U253" s="41" t="n"/>
      <c r="V253" s="41" t="n"/>
      <c r="W253" s="9">
        <f>TABL1234[[#This Row],[(A/B) AJD]]+TABL1234[[#This Row],[(A/S) AJD]]</f>
        <v/>
      </c>
      <c r="X253" s="9">
        <f>TABL1234[[#This Row],[( S/S+T/B) AJD]]-TABL1234[[#This Row],[(A/B + A/S) AJD]]</f>
        <v/>
      </c>
      <c r="Y253" s="41" t="n"/>
      <c r="Z253" s="43" t="n"/>
      <c r="AA253" s="3">
        <f>TABL1234[[#This Row],[(RESV. STORGE) AJD]]/10</f>
        <v/>
      </c>
      <c r="AB253" s="3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32" t="n"/>
      <c r="AN253" s="32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28">
        <f>103-F254</f>
        <v/>
      </c>
      <c r="I254" s="40" t="n"/>
      <c r="J254" s="44" t="n"/>
      <c r="K254" s="28">
        <f>TABL1234[[#This Row],[ (T/B) SAR]]+TABL1234[[#This Row],[ (S/S) SAR]]</f>
        <v/>
      </c>
      <c r="L254" s="45" t="n"/>
      <c r="M254" s="46" t="n"/>
      <c r="N254" s="46" t="n"/>
      <c r="O254" s="40" t="n"/>
      <c r="P254" s="9">
        <f>TABL1234[[#This Row],[ (S/S) SAR]]-TABL1234[[#This Row],[(S/S) AJD]]</f>
        <v/>
      </c>
      <c r="Q254" s="40" t="n"/>
      <c r="R254" s="9">
        <f>TABL1234[[#This Row],[ (T/B) SAR]]-TABL1234[[#This Row],[(T/B) AJD]]</f>
        <v/>
      </c>
      <c r="S254" s="9">
        <f>TABL1234[[#This Row],[T/B-CON.]]+TABL1234[[#This Row],[S/S_CON.]]</f>
        <v/>
      </c>
      <c r="T254" s="9">
        <f>TABL1234[[#This Row],[(S/S) AJD]]+TABL1234[[#This Row],[(T/B) AJD]]</f>
        <v/>
      </c>
      <c r="U254" s="44" t="n"/>
      <c r="V254" s="44" t="n"/>
      <c r="W254" s="9">
        <f>TABL1234[[#This Row],[(A/B) AJD]]+TABL1234[[#This Row],[(A/S) AJD]]</f>
        <v/>
      </c>
      <c r="X254" s="9">
        <f>TABL1234[[#This Row],[( S/S+T/B) AJD]]-TABL1234[[#This Row],[(A/B + A/S) AJD]]</f>
        <v/>
      </c>
      <c r="Y254" s="44" t="n"/>
      <c r="Z254" s="45" t="n"/>
      <c r="AA254" s="3">
        <f>TABL1234[[#This Row],[(RESV. STORGE) AJD]]/10</f>
        <v/>
      </c>
      <c r="AB254" s="3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32" t="n"/>
      <c r="AN254" s="32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28">
        <f>103-F255</f>
        <v/>
      </c>
      <c r="I255" s="39" t="n"/>
      <c r="J255" s="39" t="n"/>
      <c r="K255" s="28">
        <f>TABL1234[[#This Row],[ (T/B) SAR]]+TABL1234[[#This Row],[ (S/S) SAR]]</f>
        <v/>
      </c>
      <c r="L255" s="41" t="n"/>
      <c r="M255" s="42" t="n"/>
      <c r="N255" s="42" t="n"/>
      <c r="O255" s="39" t="n"/>
      <c r="P255" s="9">
        <f>TABL1234[[#This Row],[ (S/S) SAR]]-TABL1234[[#This Row],[(S/S) AJD]]</f>
        <v/>
      </c>
      <c r="Q255" s="39" t="n"/>
      <c r="R255" s="9">
        <f>TABL1234[[#This Row],[ (T/B) SAR]]-TABL1234[[#This Row],[(T/B) AJD]]</f>
        <v/>
      </c>
      <c r="S255" s="9">
        <f>TABL1234[[#This Row],[T/B-CON.]]+TABL1234[[#This Row],[S/S_CON.]]</f>
        <v/>
      </c>
      <c r="T255" s="9">
        <f>TABL1234[[#This Row],[(S/S) AJD]]+TABL1234[[#This Row],[(T/B) AJD]]</f>
        <v/>
      </c>
      <c r="U255" s="41" t="n"/>
      <c r="V255" s="41" t="n"/>
      <c r="W255" s="9">
        <f>TABL1234[[#This Row],[(A/B) AJD]]+TABL1234[[#This Row],[(A/S) AJD]]</f>
        <v/>
      </c>
      <c r="X255" s="9">
        <f>TABL1234[[#This Row],[( S/S+T/B) AJD]]-TABL1234[[#This Row],[(A/B + A/S) AJD]]</f>
        <v/>
      </c>
      <c r="Y255" s="41" t="n"/>
      <c r="Z255" s="43" t="n"/>
      <c r="AA255" s="3">
        <f>TABL1234[[#This Row],[(RESV. STORGE) AJD]]/10</f>
        <v/>
      </c>
      <c r="AB255" s="3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32" t="n"/>
      <c r="AN255" s="32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28">
        <f>103-F256</f>
        <v/>
      </c>
      <c r="I256" s="40" t="n"/>
      <c r="J256" s="44" t="n"/>
      <c r="K256" s="28">
        <f>TABL1234[[#This Row],[ (T/B) SAR]]+TABL1234[[#This Row],[ (S/S) SAR]]</f>
        <v/>
      </c>
      <c r="L256" s="45" t="n"/>
      <c r="M256" s="46" t="n"/>
      <c r="N256" s="46" t="n"/>
      <c r="O256" s="40" t="n"/>
      <c r="P256" s="9">
        <f>TABL1234[[#This Row],[ (S/S) SAR]]-TABL1234[[#This Row],[(S/S) AJD]]</f>
        <v/>
      </c>
      <c r="Q256" s="40" t="n"/>
      <c r="R256" s="9">
        <f>TABL1234[[#This Row],[ (T/B) SAR]]-TABL1234[[#This Row],[(T/B) AJD]]</f>
        <v/>
      </c>
      <c r="S256" s="9">
        <f>TABL1234[[#This Row],[T/B-CON.]]+TABL1234[[#This Row],[S/S_CON.]]</f>
        <v/>
      </c>
      <c r="T256" s="9">
        <f>TABL1234[[#This Row],[(S/S) AJD]]+TABL1234[[#This Row],[(T/B) AJD]]</f>
        <v/>
      </c>
      <c r="U256" s="44" t="n"/>
      <c r="V256" s="44" t="n"/>
      <c r="W256" s="9">
        <f>TABL1234[[#This Row],[(A/B) AJD]]+TABL1234[[#This Row],[(A/S) AJD]]</f>
        <v/>
      </c>
      <c r="X256" s="9">
        <f>TABL1234[[#This Row],[( S/S+T/B) AJD]]-TABL1234[[#This Row],[(A/B + A/S) AJD]]</f>
        <v/>
      </c>
      <c r="Y256" s="44" t="n"/>
      <c r="Z256" s="45" t="n"/>
      <c r="AA256" s="3">
        <f>TABL1234[[#This Row],[(RESV. STORGE) AJD]]/10</f>
        <v/>
      </c>
      <c r="AB256" s="3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32" t="n"/>
      <c r="AN256" s="32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28">
        <f>103-F257</f>
        <v/>
      </c>
      <c r="I257" s="39" t="n"/>
      <c r="J257" s="39" t="n"/>
      <c r="K257" s="28">
        <f>TABL1234[[#This Row],[ (T/B) SAR]]+TABL1234[[#This Row],[ (S/S) SAR]]</f>
        <v/>
      </c>
      <c r="L257" s="41" t="n"/>
      <c r="M257" s="42" t="n"/>
      <c r="N257" s="42" t="n"/>
      <c r="O257" s="39" t="n"/>
      <c r="P257" s="9">
        <f>TABL1234[[#This Row],[ (S/S) SAR]]-TABL1234[[#This Row],[(S/S) AJD]]</f>
        <v/>
      </c>
      <c r="Q257" s="39" t="n"/>
      <c r="R257" s="9">
        <f>TABL1234[[#This Row],[ (T/B) SAR]]-TABL1234[[#This Row],[(T/B) AJD]]</f>
        <v/>
      </c>
      <c r="S257" s="9">
        <f>TABL1234[[#This Row],[T/B-CON.]]+TABL1234[[#This Row],[S/S_CON.]]</f>
        <v/>
      </c>
      <c r="T257" s="9">
        <f>TABL1234[[#This Row],[(S/S) AJD]]+TABL1234[[#This Row],[(T/B) AJD]]</f>
        <v/>
      </c>
      <c r="U257" s="41" t="n"/>
      <c r="V257" s="41" t="n"/>
      <c r="W257" s="9">
        <f>TABL1234[[#This Row],[(A/B) AJD]]+TABL1234[[#This Row],[(A/S) AJD]]</f>
        <v/>
      </c>
      <c r="X257" s="9">
        <f>TABL1234[[#This Row],[( S/S+T/B) AJD]]-TABL1234[[#This Row],[(A/B + A/S) AJD]]</f>
        <v/>
      </c>
      <c r="Y257" s="41" t="n"/>
      <c r="Z257" s="43" t="n"/>
      <c r="AA257" s="3">
        <f>TABL1234[[#This Row],[(RESV. STORGE) AJD]]/10</f>
        <v/>
      </c>
      <c r="AB257" s="3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32" t="n"/>
      <c r="AN257" s="32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28">
        <f>103-F258</f>
        <v/>
      </c>
      <c r="I258" s="40" t="n"/>
      <c r="J258" s="44" t="n"/>
      <c r="K258" s="28">
        <f>TABL1234[[#This Row],[ (T/B) SAR]]+TABL1234[[#This Row],[ (S/S) SAR]]</f>
        <v/>
      </c>
      <c r="L258" s="45" t="n"/>
      <c r="M258" s="46" t="n"/>
      <c r="N258" s="46" t="n"/>
      <c r="O258" s="40" t="n"/>
      <c r="P258" s="9">
        <f>TABL1234[[#This Row],[ (S/S) SAR]]-TABL1234[[#This Row],[(S/S) AJD]]</f>
        <v/>
      </c>
      <c r="Q258" s="40" t="n"/>
      <c r="R258" s="9">
        <f>TABL1234[[#This Row],[ (T/B) SAR]]-TABL1234[[#This Row],[(T/B) AJD]]</f>
        <v/>
      </c>
      <c r="S258" s="9">
        <f>TABL1234[[#This Row],[T/B-CON.]]+TABL1234[[#This Row],[S/S_CON.]]</f>
        <v/>
      </c>
      <c r="T258" s="9">
        <f>TABL1234[[#This Row],[(S/S) AJD]]+TABL1234[[#This Row],[(T/B) AJD]]</f>
        <v/>
      </c>
      <c r="U258" s="44" t="n"/>
      <c r="V258" s="44" t="n"/>
      <c r="W258" s="9">
        <f>TABL1234[[#This Row],[(A/B) AJD]]+TABL1234[[#This Row],[(A/S) AJD]]</f>
        <v/>
      </c>
      <c r="X258" s="9">
        <f>TABL1234[[#This Row],[( S/S+T/B) AJD]]-TABL1234[[#This Row],[(A/B + A/S) AJD]]</f>
        <v/>
      </c>
      <c r="Y258" s="44" t="n"/>
      <c r="Z258" s="45" t="n"/>
      <c r="AA258" s="3">
        <f>TABL1234[[#This Row],[(RESV. STORGE) AJD]]/10</f>
        <v/>
      </c>
      <c r="AB258" s="3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32" t="n"/>
      <c r="AN258" s="32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28">
        <f>103-F259</f>
        <v/>
      </c>
      <c r="I259" s="39" t="n"/>
      <c r="J259" s="39" t="n"/>
      <c r="K259" s="28">
        <f>TABL1234[[#This Row],[ (T/B) SAR]]+TABL1234[[#This Row],[ (S/S) SAR]]</f>
        <v/>
      </c>
      <c r="L259" s="41" t="n"/>
      <c r="M259" s="42" t="n"/>
      <c r="N259" s="42" t="n"/>
      <c r="O259" s="39" t="n"/>
      <c r="P259" s="9">
        <f>TABL1234[[#This Row],[ (S/S) SAR]]-TABL1234[[#This Row],[(S/S) AJD]]</f>
        <v/>
      </c>
      <c r="Q259" s="39" t="n"/>
      <c r="R259" s="9">
        <f>TABL1234[[#This Row],[ (T/B) SAR]]-TABL1234[[#This Row],[(T/B) AJD]]</f>
        <v/>
      </c>
      <c r="S259" s="9">
        <f>TABL1234[[#This Row],[T/B-CON.]]+TABL1234[[#This Row],[S/S_CON.]]</f>
        <v/>
      </c>
      <c r="T259" s="9">
        <f>TABL1234[[#This Row],[(S/S) AJD]]+TABL1234[[#This Row],[(T/B) AJD]]</f>
        <v/>
      </c>
      <c r="U259" s="41" t="n"/>
      <c r="V259" s="41" t="n"/>
      <c r="W259" s="9">
        <f>TABL1234[[#This Row],[(A/B) AJD]]+TABL1234[[#This Row],[(A/S) AJD]]</f>
        <v/>
      </c>
      <c r="X259" s="9">
        <f>TABL1234[[#This Row],[( S/S+T/B) AJD]]-TABL1234[[#This Row],[(A/B + A/S) AJD]]</f>
        <v/>
      </c>
      <c r="Y259" s="41" t="n"/>
      <c r="Z259" s="43" t="n"/>
      <c r="AA259" s="3">
        <f>TABL1234[[#This Row],[(RESV. STORGE) AJD]]/10</f>
        <v/>
      </c>
      <c r="AB259" s="3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32" t="n"/>
      <c r="AN259" s="32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28">
        <f>103-F260</f>
        <v/>
      </c>
      <c r="I260" s="40" t="n"/>
      <c r="J260" s="44" t="n"/>
      <c r="K260" s="28">
        <f>TABL1234[[#This Row],[ (T/B) SAR]]+TABL1234[[#This Row],[ (S/S) SAR]]</f>
        <v/>
      </c>
      <c r="L260" s="45" t="n"/>
      <c r="M260" s="46" t="n"/>
      <c r="N260" s="46" t="n"/>
      <c r="O260" s="40" t="n"/>
      <c r="P260" s="9">
        <f>TABL1234[[#This Row],[ (S/S) SAR]]-TABL1234[[#This Row],[(S/S) AJD]]</f>
        <v/>
      </c>
      <c r="Q260" s="40" t="n"/>
      <c r="R260" s="9">
        <f>TABL1234[[#This Row],[ (T/B) SAR]]-TABL1234[[#This Row],[(T/B) AJD]]</f>
        <v/>
      </c>
      <c r="S260" s="9">
        <f>TABL1234[[#This Row],[T/B-CON.]]+TABL1234[[#This Row],[S/S_CON.]]</f>
        <v/>
      </c>
      <c r="T260" s="9">
        <f>TABL1234[[#This Row],[(S/S) AJD]]+TABL1234[[#This Row],[(T/B) AJD]]</f>
        <v/>
      </c>
      <c r="U260" s="44" t="n"/>
      <c r="V260" s="44" t="n"/>
      <c r="W260" s="9">
        <f>TABL1234[[#This Row],[(A/B) AJD]]+TABL1234[[#This Row],[(A/S) AJD]]</f>
        <v/>
      </c>
      <c r="X260" s="9">
        <f>TABL1234[[#This Row],[( S/S+T/B) AJD]]-TABL1234[[#This Row],[(A/B + A/S) AJD]]</f>
        <v/>
      </c>
      <c r="Y260" s="44" t="n"/>
      <c r="Z260" s="45" t="n"/>
      <c r="AA260" s="3">
        <f>TABL1234[[#This Row],[(RESV. STORGE) AJD]]/10</f>
        <v/>
      </c>
      <c r="AB260" s="3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32" t="n"/>
      <c r="AN260" s="32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28">
        <f>103-F261</f>
        <v/>
      </c>
      <c r="I261" s="39" t="n"/>
      <c r="J261" s="39" t="n"/>
      <c r="K261" s="28">
        <f>TABL1234[[#This Row],[ (T/B) SAR]]+TABL1234[[#This Row],[ (S/S) SAR]]</f>
        <v/>
      </c>
      <c r="L261" s="41" t="n"/>
      <c r="M261" s="42" t="n"/>
      <c r="N261" s="42" t="n"/>
      <c r="O261" s="39" t="n"/>
      <c r="P261" s="9">
        <f>TABL1234[[#This Row],[ (S/S) SAR]]-TABL1234[[#This Row],[(S/S) AJD]]</f>
        <v/>
      </c>
      <c r="Q261" s="39" t="n"/>
      <c r="R261" s="9">
        <f>TABL1234[[#This Row],[ (T/B) SAR]]-TABL1234[[#This Row],[(T/B) AJD]]</f>
        <v/>
      </c>
      <c r="S261" s="9">
        <f>TABL1234[[#This Row],[T/B-CON.]]+TABL1234[[#This Row],[S/S_CON.]]</f>
        <v/>
      </c>
      <c r="T261" s="9">
        <f>TABL1234[[#This Row],[(S/S) AJD]]+TABL1234[[#This Row],[(T/B) AJD]]</f>
        <v/>
      </c>
      <c r="U261" s="41" t="n"/>
      <c r="V261" s="41" t="n"/>
      <c r="W261" s="9">
        <f>TABL1234[[#This Row],[(A/B) AJD]]+TABL1234[[#This Row],[(A/S) AJD]]</f>
        <v/>
      </c>
      <c r="X261" s="9">
        <f>TABL1234[[#This Row],[( S/S+T/B) AJD]]-TABL1234[[#This Row],[(A/B + A/S) AJD]]</f>
        <v/>
      </c>
      <c r="Y261" s="41" t="n"/>
      <c r="Z261" s="43" t="n"/>
      <c r="AA261" s="3">
        <f>TABL1234[[#This Row],[(RESV. STORGE) AJD]]/10</f>
        <v/>
      </c>
      <c r="AB261" s="3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32" t="n"/>
      <c r="AN261" s="32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28">
        <f>103-F262</f>
        <v/>
      </c>
      <c r="I262" s="40" t="n"/>
      <c r="J262" s="44" t="n"/>
      <c r="K262" s="28">
        <f>TABL1234[[#This Row],[ (T/B) SAR]]+TABL1234[[#This Row],[ (S/S) SAR]]</f>
        <v/>
      </c>
      <c r="L262" s="45" t="n"/>
      <c r="M262" s="46" t="n"/>
      <c r="N262" s="46" t="n"/>
      <c r="O262" s="40" t="n"/>
      <c r="P262" s="9">
        <f>TABL1234[[#This Row],[ (S/S) SAR]]-TABL1234[[#This Row],[(S/S) AJD]]</f>
        <v/>
      </c>
      <c r="Q262" s="40" t="n"/>
      <c r="R262" s="9">
        <f>TABL1234[[#This Row],[ (T/B) SAR]]-TABL1234[[#This Row],[(T/B) AJD]]</f>
        <v/>
      </c>
      <c r="S262" s="9">
        <f>TABL1234[[#This Row],[T/B-CON.]]+TABL1234[[#This Row],[S/S_CON.]]</f>
        <v/>
      </c>
      <c r="T262" s="9">
        <f>TABL1234[[#This Row],[(S/S) AJD]]+TABL1234[[#This Row],[(T/B) AJD]]</f>
        <v/>
      </c>
      <c r="U262" s="44" t="n"/>
      <c r="V262" s="44" t="n"/>
      <c r="W262" s="9">
        <f>TABL1234[[#This Row],[(A/B) AJD]]+TABL1234[[#This Row],[(A/S) AJD]]</f>
        <v/>
      </c>
      <c r="X262" s="9">
        <f>TABL1234[[#This Row],[( S/S+T/B) AJD]]-TABL1234[[#This Row],[(A/B + A/S) AJD]]</f>
        <v/>
      </c>
      <c r="Y262" s="44" t="n"/>
      <c r="Z262" s="45" t="n"/>
      <c r="AA262" s="3">
        <f>TABL1234[[#This Row],[(RESV. STORGE) AJD]]/10</f>
        <v/>
      </c>
      <c r="AB262" s="3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32" t="n"/>
      <c r="AN262" s="32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28">
        <f>103-F263</f>
        <v/>
      </c>
      <c r="I263" s="39" t="n"/>
      <c r="J263" s="39" t="n"/>
      <c r="K263" s="28">
        <f>TABL1234[[#This Row],[ (T/B) SAR]]+TABL1234[[#This Row],[ (S/S) SAR]]</f>
        <v/>
      </c>
      <c r="L263" s="41" t="n"/>
      <c r="M263" s="42" t="n"/>
      <c r="N263" s="42" t="n"/>
      <c r="O263" s="39" t="n"/>
      <c r="P263" s="9">
        <f>TABL1234[[#This Row],[ (S/S) SAR]]-TABL1234[[#This Row],[(S/S) AJD]]</f>
        <v/>
      </c>
      <c r="Q263" s="39" t="n"/>
      <c r="R263" s="9">
        <f>TABL1234[[#This Row],[ (T/B) SAR]]-TABL1234[[#This Row],[(T/B) AJD]]</f>
        <v/>
      </c>
      <c r="S263" s="9">
        <f>TABL1234[[#This Row],[T/B-CON.]]+TABL1234[[#This Row],[S/S_CON.]]</f>
        <v/>
      </c>
      <c r="T263" s="9">
        <f>TABL1234[[#This Row],[(S/S) AJD]]+TABL1234[[#This Row],[(T/B) AJD]]</f>
        <v/>
      </c>
      <c r="U263" s="41" t="n"/>
      <c r="V263" s="41" t="n"/>
      <c r="W263" s="9">
        <f>TABL1234[[#This Row],[(A/B) AJD]]+TABL1234[[#This Row],[(A/S) AJD]]</f>
        <v/>
      </c>
      <c r="X263" s="9">
        <f>TABL1234[[#This Row],[( S/S+T/B) AJD]]-TABL1234[[#This Row],[(A/B + A/S) AJD]]</f>
        <v/>
      </c>
      <c r="Y263" s="41" t="n"/>
      <c r="Z263" s="43" t="n"/>
      <c r="AA263" s="3">
        <f>TABL1234[[#This Row],[(RESV. STORGE) AJD]]/10</f>
        <v/>
      </c>
      <c r="AB263" s="3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32" t="n"/>
      <c r="AN263" s="32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28">
        <f>103-F264</f>
        <v/>
      </c>
      <c r="I264" s="40" t="n"/>
      <c r="J264" s="44" t="n"/>
      <c r="K264" s="28">
        <f>TABL1234[[#This Row],[ (T/B) SAR]]+TABL1234[[#This Row],[ (S/S) SAR]]</f>
        <v/>
      </c>
      <c r="L264" s="45" t="n"/>
      <c r="M264" s="46" t="n"/>
      <c r="N264" s="46" t="n"/>
      <c r="O264" s="40" t="n"/>
      <c r="P264" s="9">
        <f>TABL1234[[#This Row],[ (S/S) SAR]]-TABL1234[[#This Row],[(S/S) AJD]]</f>
        <v/>
      </c>
      <c r="Q264" s="40" t="n"/>
      <c r="R264" s="9">
        <f>TABL1234[[#This Row],[ (T/B) SAR]]-TABL1234[[#This Row],[(T/B) AJD]]</f>
        <v/>
      </c>
      <c r="S264" s="9">
        <f>TABL1234[[#This Row],[T/B-CON.]]+TABL1234[[#This Row],[S/S_CON.]]</f>
        <v/>
      </c>
      <c r="T264" s="9">
        <f>TABL1234[[#This Row],[(S/S) AJD]]+TABL1234[[#This Row],[(T/B) AJD]]</f>
        <v/>
      </c>
      <c r="U264" s="44" t="n"/>
      <c r="V264" s="44" t="n"/>
      <c r="W264" s="9">
        <f>TABL1234[[#This Row],[(A/B) AJD]]+TABL1234[[#This Row],[(A/S) AJD]]</f>
        <v/>
      </c>
      <c r="X264" s="9">
        <f>TABL1234[[#This Row],[( S/S+T/B) AJD]]-TABL1234[[#This Row],[(A/B + A/S) AJD]]</f>
        <v/>
      </c>
      <c r="Y264" s="44" t="n"/>
      <c r="Z264" s="45" t="n"/>
      <c r="AA264" s="3">
        <f>TABL1234[[#This Row],[(RESV. STORGE) AJD]]/10</f>
        <v/>
      </c>
      <c r="AB264" s="3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32" t="n"/>
      <c r="AN264" s="32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28">
        <f>103-F265</f>
        <v/>
      </c>
      <c r="I265" s="39" t="n"/>
      <c r="J265" s="39" t="n"/>
      <c r="K265" s="28">
        <f>TABL1234[[#This Row],[ (T/B) SAR]]+TABL1234[[#This Row],[ (S/S) SAR]]</f>
        <v/>
      </c>
      <c r="L265" s="41" t="n"/>
      <c r="M265" s="42" t="n"/>
      <c r="N265" s="42" t="n"/>
      <c r="O265" s="39" t="n"/>
      <c r="P265" s="9">
        <f>TABL1234[[#This Row],[ (S/S) SAR]]-TABL1234[[#This Row],[(S/S) AJD]]</f>
        <v/>
      </c>
      <c r="Q265" s="39" t="n"/>
      <c r="R265" s="9">
        <f>TABL1234[[#This Row],[ (T/B) SAR]]-TABL1234[[#This Row],[(T/B) AJD]]</f>
        <v/>
      </c>
      <c r="S265" s="9">
        <f>TABL1234[[#This Row],[T/B-CON.]]+TABL1234[[#This Row],[S/S_CON.]]</f>
        <v/>
      </c>
      <c r="T265" s="9">
        <f>TABL1234[[#This Row],[(S/S) AJD]]+TABL1234[[#This Row],[(T/B) AJD]]</f>
        <v/>
      </c>
      <c r="U265" s="41" t="n"/>
      <c r="V265" s="41" t="n"/>
      <c r="W265" s="9">
        <f>TABL1234[[#This Row],[(A/B) AJD]]+TABL1234[[#This Row],[(A/S) AJD]]</f>
        <v/>
      </c>
      <c r="X265" s="9">
        <f>TABL1234[[#This Row],[( S/S+T/B) AJD]]-TABL1234[[#This Row],[(A/B + A/S) AJD]]</f>
        <v/>
      </c>
      <c r="Y265" s="41" t="n"/>
      <c r="Z265" s="43" t="n"/>
      <c r="AA265" s="3">
        <f>TABL1234[[#This Row],[(RESV. STORGE) AJD]]/10</f>
        <v/>
      </c>
      <c r="AB265" s="3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32" t="n"/>
      <c r="AN265" s="32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28">
        <f>103-F266</f>
        <v/>
      </c>
      <c r="I266" s="40" t="n"/>
      <c r="J266" s="44" t="n"/>
      <c r="K266" s="28">
        <f>TABL1234[[#This Row],[ (T/B) SAR]]+TABL1234[[#This Row],[ (S/S) SAR]]</f>
        <v/>
      </c>
      <c r="L266" s="45" t="n"/>
      <c r="M266" s="46" t="n"/>
      <c r="N266" s="46" t="n"/>
      <c r="O266" s="40" t="n"/>
      <c r="P266" s="9">
        <f>TABL1234[[#This Row],[ (S/S) SAR]]-TABL1234[[#This Row],[(S/S) AJD]]</f>
        <v/>
      </c>
      <c r="Q266" s="40" t="n"/>
      <c r="R266" s="9">
        <f>TABL1234[[#This Row],[ (T/B) SAR]]-TABL1234[[#This Row],[(T/B) AJD]]</f>
        <v/>
      </c>
      <c r="S266" s="9">
        <f>TABL1234[[#This Row],[T/B-CON.]]+TABL1234[[#This Row],[S/S_CON.]]</f>
        <v/>
      </c>
      <c r="T266" s="9">
        <f>TABL1234[[#This Row],[(S/S) AJD]]+TABL1234[[#This Row],[(T/B) AJD]]</f>
        <v/>
      </c>
      <c r="U266" s="44" t="n"/>
      <c r="V266" s="44" t="n"/>
      <c r="W266" s="9">
        <f>TABL1234[[#This Row],[(A/B) AJD]]+TABL1234[[#This Row],[(A/S) AJD]]</f>
        <v/>
      </c>
      <c r="X266" s="9">
        <f>TABL1234[[#This Row],[( S/S+T/B) AJD]]-TABL1234[[#This Row],[(A/B + A/S) AJD]]</f>
        <v/>
      </c>
      <c r="Y266" s="44" t="n"/>
      <c r="Z266" s="45" t="n"/>
      <c r="AA266" s="3">
        <f>TABL1234[[#This Row],[(RESV. STORGE) AJD]]/10</f>
        <v/>
      </c>
      <c r="AB266" s="3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32" t="n"/>
      <c r="AN266" s="32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28">
        <f>103-F267</f>
        <v/>
      </c>
      <c r="I267" s="39" t="n"/>
      <c r="J267" s="39" t="n"/>
      <c r="K267" s="28">
        <f>TABL1234[[#This Row],[ (T/B) SAR]]+TABL1234[[#This Row],[ (S/S) SAR]]</f>
        <v/>
      </c>
      <c r="L267" s="41" t="n"/>
      <c r="M267" s="42" t="n"/>
      <c r="N267" s="42" t="n"/>
      <c r="O267" s="39" t="n"/>
      <c r="P267" s="9">
        <f>TABL1234[[#This Row],[ (S/S) SAR]]-TABL1234[[#This Row],[(S/S) AJD]]</f>
        <v/>
      </c>
      <c r="Q267" s="39" t="n"/>
      <c r="R267" s="9">
        <f>TABL1234[[#This Row],[ (T/B) SAR]]-TABL1234[[#This Row],[(T/B) AJD]]</f>
        <v/>
      </c>
      <c r="S267" s="9">
        <f>TABL1234[[#This Row],[T/B-CON.]]+TABL1234[[#This Row],[S/S_CON.]]</f>
        <v/>
      </c>
      <c r="T267" s="9">
        <f>TABL1234[[#This Row],[(S/S) AJD]]+TABL1234[[#This Row],[(T/B) AJD]]</f>
        <v/>
      </c>
      <c r="U267" s="41" t="n"/>
      <c r="V267" s="41" t="n"/>
      <c r="W267" s="9">
        <f>TABL1234[[#This Row],[(A/B) AJD]]+TABL1234[[#This Row],[(A/S) AJD]]</f>
        <v/>
      </c>
      <c r="X267" s="9">
        <f>TABL1234[[#This Row],[( S/S+T/B) AJD]]-TABL1234[[#This Row],[(A/B + A/S) AJD]]</f>
        <v/>
      </c>
      <c r="Y267" s="41" t="n"/>
      <c r="Z267" s="43" t="n"/>
      <c r="AA267" s="3">
        <f>TABL1234[[#This Row],[(RESV. STORGE) AJD]]/10</f>
        <v/>
      </c>
      <c r="AB267" s="3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32" t="n"/>
      <c r="AN267" s="32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28">
        <f>103-F268</f>
        <v/>
      </c>
      <c r="I268" s="40" t="n"/>
      <c r="J268" s="44" t="n"/>
      <c r="K268" s="28">
        <f>TABL1234[[#This Row],[ (T/B) SAR]]+TABL1234[[#This Row],[ (S/S) SAR]]</f>
        <v/>
      </c>
      <c r="L268" s="45" t="n"/>
      <c r="M268" s="46" t="n"/>
      <c r="N268" s="46" t="n"/>
      <c r="O268" s="40" t="n"/>
      <c r="P268" s="9">
        <f>TABL1234[[#This Row],[ (S/S) SAR]]-TABL1234[[#This Row],[(S/S) AJD]]</f>
        <v/>
      </c>
      <c r="Q268" s="40" t="n"/>
      <c r="R268" s="9">
        <f>TABL1234[[#This Row],[ (T/B) SAR]]-TABL1234[[#This Row],[(T/B) AJD]]</f>
        <v/>
      </c>
      <c r="S268" s="9">
        <f>TABL1234[[#This Row],[T/B-CON.]]+TABL1234[[#This Row],[S/S_CON.]]</f>
        <v/>
      </c>
      <c r="T268" s="9">
        <f>TABL1234[[#This Row],[(S/S) AJD]]+TABL1234[[#This Row],[(T/B) AJD]]</f>
        <v/>
      </c>
      <c r="U268" s="44" t="n"/>
      <c r="V268" s="44" t="n"/>
      <c r="W268" s="9">
        <f>TABL1234[[#This Row],[(A/B) AJD]]+TABL1234[[#This Row],[(A/S) AJD]]</f>
        <v/>
      </c>
      <c r="X268" s="9">
        <f>TABL1234[[#This Row],[( S/S+T/B) AJD]]-TABL1234[[#This Row],[(A/B + A/S) AJD]]</f>
        <v/>
      </c>
      <c r="Y268" s="44" t="n"/>
      <c r="Z268" s="45" t="n"/>
      <c r="AA268" s="3">
        <f>TABL1234[[#This Row],[(RESV. STORGE) AJD]]/10</f>
        <v/>
      </c>
      <c r="AB268" s="3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32" t="n"/>
      <c r="AN268" s="32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TABL1234[[#This Row],[ (T/B) SAR]]+TABL1234[[#This Row],[ (S/S) SAR]]</f>
        <v/>
      </c>
      <c r="L269" s="41" t="n"/>
      <c r="M269" s="42" t="n"/>
      <c r="N269" s="42" t="n"/>
      <c r="O269" s="39" t="n"/>
      <c r="P269" s="9">
        <f>TABL1234[[#This Row],[ (S/S) SAR]]-TABL1234[[#This Row],[(S/S) AJD]]</f>
        <v/>
      </c>
      <c r="Q269" s="39" t="n"/>
      <c r="R269" s="9">
        <f>TABL1234[[#This Row],[ (T/B) SAR]]-TABL1234[[#This Row],[(T/B) AJD]]</f>
        <v/>
      </c>
      <c r="S269" s="9">
        <f>TABL1234[[#This Row],[T/B-CON.]]+TABL1234[[#This Row],[S/S_CON.]]</f>
        <v/>
      </c>
      <c r="T269" s="9">
        <f>TABL1234[[#This Row],[(S/S) AJD]]+TABL1234[[#This Row],[(T/B) AJD]]</f>
        <v/>
      </c>
      <c r="U269" s="41" t="n"/>
      <c r="V269" s="41" t="n"/>
      <c r="W269" s="9">
        <f>TABL1234[[#This Row],[(A/B) AJD]]+TABL1234[[#This Row],[(A/S) AJD]]</f>
        <v/>
      </c>
      <c r="X269" s="9">
        <f>TABL1234[[#This Row],[( S/S+T/B) AJD]]-TABL1234[[#This Row],[(A/B + A/S) AJD]]</f>
        <v/>
      </c>
      <c r="Y269" s="41" t="n"/>
      <c r="Z269" s="43" t="n"/>
      <c r="AA269" s="3">
        <f>TABL1234[[#This Row],[(RESV. STORGE) AJD]]/10</f>
        <v/>
      </c>
      <c r="AB269" s="3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32" t="n"/>
      <c r="AN269" s="32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TABL1234[[#This Row],[ (T/B) SAR]]+TABL1234[[#This Row],[ (S/S) SAR]]</f>
        <v/>
      </c>
      <c r="L270" s="45" t="n"/>
      <c r="M270" s="46" t="n"/>
      <c r="N270" s="46" t="n"/>
      <c r="O270" s="40" t="n"/>
      <c r="P270" s="9">
        <f>TABL1234[[#This Row],[ (S/S) SAR]]-TABL1234[[#This Row],[(S/S) AJD]]</f>
        <v/>
      </c>
      <c r="Q270" s="40" t="n"/>
      <c r="R270" s="9">
        <f>TABL1234[[#This Row],[ (T/B) SAR]]-TABL1234[[#This Row],[(T/B) AJD]]</f>
        <v/>
      </c>
      <c r="S270" s="9">
        <f>TABL1234[[#This Row],[T/B-CON.]]+TABL1234[[#This Row],[S/S_CON.]]</f>
        <v/>
      </c>
      <c r="T270" s="9">
        <f>TABL1234[[#This Row],[(S/S) AJD]]+TABL1234[[#This Row],[(T/B) AJD]]</f>
        <v/>
      </c>
      <c r="U270" s="44" t="n"/>
      <c r="V270" s="44" t="n"/>
      <c r="W270" s="9">
        <f>TABL1234[[#This Row],[(A/B) AJD]]+TABL1234[[#This Row],[(A/S) AJD]]</f>
        <v/>
      </c>
      <c r="X270" s="9">
        <f>TABL1234[[#This Row],[( S/S+T/B) AJD]]-TABL1234[[#This Row],[(A/B + A/S) AJD]]</f>
        <v/>
      </c>
      <c r="Y270" s="44" t="n"/>
      <c r="Z270" s="45" t="n"/>
      <c r="AA270" s="3">
        <f>TABL1234[[#This Row],[(RESV. STORGE) AJD]]/10</f>
        <v/>
      </c>
      <c r="AB270" s="3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32" t="n"/>
      <c r="AN270" s="32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TABL1234[[#This Row],[ (T/B) SAR]]+TABL1234[[#This Row],[ (S/S) SAR]]</f>
        <v/>
      </c>
      <c r="L271" s="41" t="n"/>
      <c r="M271" s="42" t="n"/>
      <c r="N271" s="42" t="n"/>
      <c r="O271" s="39" t="n"/>
      <c r="P271" s="9">
        <f>TABL1234[[#This Row],[ (S/S) SAR]]-TABL1234[[#This Row],[(S/S) AJD]]</f>
        <v/>
      </c>
      <c r="Q271" s="9" t="n"/>
      <c r="R271" s="9">
        <f>TABL1234[[#This Row],[ (T/B) SAR]]-TABL1234[[#This Row],[(T/B) AJD]]</f>
        <v/>
      </c>
      <c r="S271" s="9">
        <f>TABL1234[[#This Row],[T/B-CON.]]+TABL1234[[#This Row],[S/S_CON.]]</f>
        <v/>
      </c>
      <c r="T271" s="9">
        <f>TABL1234[[#This Row],[(S/S) AJD]]+TABL1234[[#This Row],[(T/B) AJD]]</f>
        <v/>
      </c>
      <c r="U271" s="41" t="n"/>
      <c r="V271" s="41" t="n"/>
      <c r="W271" s="9">
        <f>TABL1234[[#This Row],[(A/B) AJD]]+TABL1234[[#This Row],[(A/S) AJD]]</f>
        <v/>
      </c>
      <c r="X271" s="9">
        <f>TABL1234[[#This Row],[( S/S+T/B) AJD]]-TABL1234[[#This Row],[(A/B + A/S) AJD]]</f>
        <v/>
      </c>
      <c r="Y271" s="41" t="n"/>
      <c r="Z271" s="43" t="n"/>
      <c r="AA271" s="3">
        <f>TABL1234[[#This Row],[(RESV. STORGE) AJD]]/10</f>
        <v/>
      </c>
      <c r="AB271" s="3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32" t="n"/>
      <c r="AN271" s="32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TABL1234[[#This Row],[ (T/B) SAR]]+TABL1234[[#This Row],[ (S/S) SAR]]</f>
        <v/>
      </c>
      <c r="L272" s="45" t="n"/>
      <c r="M272" s="46" t="n"/>
      <c r="N272" s="46" t="n"/>
      <c r="O272" s="9" t="n"/>
      <c r="P272" s="9">
        <f>TABL1234[[#This Row],[ (S/S) SAR]]-TABL1234[[#This Row],[(S/S) AJD]]</f>
        <v/>
      </c>
      <c r="Q272" s="9" t="n"/>
      <c r="R272" s="9">
        <f>TABL1234[[#This Row],[ (T/B) SAR]]-TABL1234[[#This Row],[(T/B) AJD]]</f>
        <v/>
      </c>
      <c r="S272" s="9">
        <f>TABL1234[[#This Row],[T/B-CON.]]+TABL1234[[#This Row],[S/S_CON.]]</f>
        <v/>
      </c>
      <c r="T272" s="9">
        <f>TABL1234[[#This Row],[(S/S) AJD]]+TABL1234[[#This Row],[(T/B) AJD]]</f>
        <v/>
      </c>
      <c r="U272" s="9" t="n"/>
      <c r="V272" s="9" t="n"/>
      <c r="W272" s="9">
        <f>TABL1234[[#This Row],[(A/B) AJD]]+TABL1234[[#This Row],[(A/S) AJD]]</f>
        <v/>
      </c>
      <c r="X272" s="9">
        <f>TABL1234[[#This Row],[( S/S+T/B) AJD]]-TABL1234[[#This Row],[(A/B + A/S) AJD]]</f>
        <v/>
      </c>
      <c r="Y272" s="18" t="n"/>
      <c r="Z272" s="9" t="n"/>
      <c r="AA272" s="3">
        <f>TABL1234[[#This Row],[(RESV. STORGE) AJD]]/10</f>
        <v/>
      </c>
      <c r="AB272" s="3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32" t="n"/>
      <c r="AN272" s="32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TABL1234[[#This Row],[ (T/B) SAR]]+TABL1234[[#This Row],[ (S/S) SAR]]</f>
        <v/>
      </c>
      <c r="L273" s="28" t="n"/>
      <c r="M273" s="29" t="n"/>
      <c r="N273" s="30" t="n"/>
      <c r="O273" s="9" t="n"/>
      <c r="P273" s="9">
        <f>TABL1234[[#This Row],[ (S/S) SAR]]-TABL1234[[#This Row],[(S/S) AJD]]</f>
        <v/>
      </c>
      <c r="Q273" s="9" t="n"/>
      <c r="R273" s="9">
        <f>TABL1234[[#This Row],[ (T/B) SAR]]-TABL1234[[#This Row],[(T/B) AJD]]</f>
        <v/>
      </c>
      <c r="S273" s="9">
        <f>TABL1234[[#This Row],[T/B-CON.]]+TABL1234[[#This Row],[S/S_CON.]]</f>
        <v/>
      </c>
      <c r="T273" s="9">
        <f>TABL1234[[#This Row],[(S/S) AJD]]+TABL1234[[#This Row],[(T/B) AJD]]</f>
        <v/>
      </c>
      <c r="U273" s="9" t="n"/>
      <c r="V273" s="9" t="n"/>
      <c r="W273" s="9">
        <f>TABL1234[[#This Row],[(A/B) AJD]]+TABL1234[[#This Row],[(A/S) AJD]]</f>
        <v/>
      </c>
      <c r="X273" s="9">
        <f>TABL1234[[#This Row],[( S/S+T/B) AJD]]-TABL1234[[#This Row],[(A/B + A/S) AJD]]</f>
        <v/>
      </c>
      <c r="Y273" s="18" t="n"/>
      <c r="Z273" s="9" t="n"/>
      <c r="AA273" s="3">
        <f>TABL1234[[#This Row],[(RESV. STORGE) AJD]]/10</f>
        <v/>
      </c>
      <c r="AB273" s="3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32" t="n"/>
      <c r="AN273" s="32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TABL1234[[#This Row],[ (T/B) SAR]]+TABL1234[[#This Row],[ (S/S) SAR]]</f>
        <v/>
      </c>
      <c r="L274" s="28" t="n"/>
      <c r="M274" s="29" t="n"/>
      <c r="N274" s="30" t="n"/>
      <c r="O274" s="9" t="n"/>
      <c r="P274" s="9">
        <f>TABL1234[[#This Row],[ (S/S) SAR]]-TABL1234[[#This Row],[(S/S) AJD]]</f>
        <v/>
      </c>
      <c r="Q274" s="9" t="n"/>
      <c r="R274" s="9">
        <f>TABL1234[[#This Row],[ (T/B) SAR]]-TABL1234[[#This Row],[(T/B) AJD]]</f>
        <v/>
      </c>
      <c r="S274" s="9">
        <f>TABL1234[[#This Row],[T/B-CON.]]+TABL1234[[#This Row],[S/S_CON.]]</f>
        <v/>
      </c>
      <c r="T274" s="9">
        <f>TABL1234[[#This Row],[(S/S) AJD]]+TABL1234[[#This Row],[(T/B) AJD]]</f>
        <v/>
      </c>
      <c r="U274" s="9" t="n"/>
      <c r="V274" s="9" t="n"/>
      <c r="W274" s="9">
        <f>TABL1234[[#This Row],[(A/B) AJD]]+TABL1234[[#This Row],[(A/S) AJD]]</f>
        <v/>
      </c>
      <c r="X274" s="9">
        <f>TABL1234[[#This Row],[( S/S+T/B) AJD]]-TABL1234[[#This Row],[(A/B + A/S) AJD]]</f>
        <v/>
      </c>
      <c r="Y274" s="18" t="n"/>
      <c r="Z274" s="9" t="n"/>
      <c r="AA274" s="3">
        <f>TABL1234[[#This Row],[(RESV. STORGE) AJD]]/10</f>
        <v/>
      </c>
      <c r="AB274" s="3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32" t="n"/>
      <c r="AN274" s="32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TABL1234[[#This Row],[ (T/B) SAR]]+TABL1234[[#This Row],[ (S/S) SAR]]</f>
        <v/>
      </c>
      <c r="L275" s="28" t="n"/>
      <c r="M275" s="29" t="n"/>
      <c r="N275" s="30" t="n"/>
      <c r="O275" s="14" t="n"/>
      <c r="P275" s="9">
        <f>TABL1234[[#This Row],[ (S/S) SAR]]-TABL1234[[#This Row],[(S/S) AJD]]</f>
        <v/>
      </c>
      <c r="Q275" s="14" t="n"/>
      <c r="R275" s="9">
        <f>TABL1234[[#This Row],[ (T/B) SAR]]-TABL1234[[#This Row],[(T/B) AJD]]</f>
        <v/>
      </c>
      <c r="S275" s="9">
        <f>TABL1234[[#This Row],[T/B-CON.]]+TABL1234[[#This Row],[S/S_CON.]]</f>
        <v/>
      </c>
      <c r="T275" s="9">
        <f>TABL1234[[#This Row],[(S/S) AJD]]+TABL1234[[#This Row],[(T/B) AJD]]</f>
        <v/>
      </c>
      <c r="U275" s="14" t="n"/>
      <c r="V275" s="14" t="n"/>
      <c r="W275" s="9">
        <f>TABL1234[[#This Row],[(A/B) AJD]]+TABL1234[[#This Row],[(A/S) AJD]]</f>
        <v/>
      </c>
      <c r="X275" s="9">
        <f>TABL1234[[#This Row],[( S/S+T/B) AJD]]-TABL1234[[#This Row],[(A/B + A/S) AJD]]</f>
        <v/>
      </c>
      <c r="Y275" s="18" t="n"/>
      <c r="Z275" s="9" t="n"/>
      <c r="AA275" s="3">
        <f>TABL1234[[#This Row],[(RESV. STORGE) AJD]]/10</f>
        <v/>
      </c>
      <c r="AB275" s="3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32" t="n"/>
      <c r="AN275" s="32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28" t="n"/>
      <c r="C276" s="28" t="n"/>
      <c r="D276" s="28" t="n"/>
      <c r="E276" s="28" t="n"/>
      <c r="F276" s="28" t="n"/>
      <c r="G276" s="28" t="n"/>
      <c r="H276" s="28">
        <f>103-F276</f>
        <v/>
      </c>
      <c r="I276" s="28" t="n"/>
      <c r="J276" s="28" t="n"/>
      <c r="K276" s="28">
        <f>TABL1234[[#This Row],[ (T/B) SAR]]+TABL1234[[#This Row],[ (S/S) SAR]]</f>
        <v/>
      </c>
      <c r="L276" s="28" t="n"/>
      <c r="M276" s="29" t="n"/>
      <c r="N276" s="30" t="n"/>
      <c r="O276" s="14" t="n"/>
      <c r="P276" s="9">
        <f>TABL1234[[#This Row],[ (S/S) SAR]]-TABL1234[[#This Row],[(S/S) AJD]]</f>
        <v/>
      </c>
      <c r="Q276" s="14" t="n"/>
      <c r="R276" s="9">
        <f>TABL1234[[#This Row],[ (T/B) SAR]]-TABL1234[[#This Row],[(T/B) AJD]]</f>
        <v/>
      </c>
      <c r="S276" s="9">
        <f>TABL1234[[#This Row],[T/B-CON.]]+TABL1234[[#This Row],[S/S_CON.]]</f>
        <v/>
      </c>
      <c r="T276" s="9">
        <f>TABL1234[[#This Row],[(S/S) AJD]]+TABL1234[[#This Row],[(T/B) AJD]]</f>
        <v/>
      </c>
      <c r="U276" s="14" t="n"/>
      <c r="V276" s="14" t="n"/>
      <c r="W276" s="9">
        <f>TABL1234[[#This Row],[(A/B) AJD]]+TABL1234[[#This Row],[(A/S) AJD]]</f>
        <v/>
      </c>
      <c r="X276" s="9">
        <f>TABL1234[[#This Row],[( S/S+T/B) AJD]]-TABL1234[[#This Row],[(A/B + A/S) AJD]]</f>
        <v/>
      </c>
      <c r="Y276" s="18" t="n"/>
      <c r="Z276" s="9" t="n"/>
      <c r="AA276" s="3">
        <f>TABL1234[[#This Row],[(RESV. STORGE) AJD]]/10</f>
        <v/>
      </c>
      <c r="AB276" s="3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32" t="n"/>
      <c r="AN276" s="32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TABL1234[[#This Row],[ (T/B) SAR]]+TABL1234[[#This Row],[ (S/S) SAR]]</f>
        <v/>
      </c>
      <c r="L277" s="28" t="n"/>
      <c r="M277" s="29" t="n"/>
      <c r="N277" s="30" t="n"/>
      <c r="O277" s="14" t="n"/>
      <c r="P277" s="9">
        <f>TABL1234[[#This Row],[ (S/S) SAR]]-TABL1234[[#This Row],[(S/S) AJD]]</f>
        <v/>
      </c>
      <c r="Q277" s="14" t="n"/>
      <c r="R277" s="9">
        <f>TABL1234[[#This Row],[ (T/B) SAR]]-TABL1234[[#This Row],[(T/B) AJD]]</f>
        <v/>
      </c>
      <c r="S277" s="9">
        <f>TABL1234[[#This Row],[T/B-CON.]]+TABL1234[[#This Row],[S/S_CON.]]</f>
        <v/>
      </c>
      <c r="T277" s="9">
        <f>TABL1234[[#This Row],[(S/S) AJD]]+TABL1234[[#This Row],[(T/B) AJD]]</f>
        <v/>
      </c>
      <c r="U277" s="14" t="n"/>
      <c r="V277" s="14" t="n"/>
      <c r="W277" s="9">
        <f>TABL1234[[#This Row],[(A/B) AJD]]+TABL1234[[#This Row],[(A/S) AJD]]</f>
        <v/>
      </c>
      <c r="X277" s="9">
        <f>TABL1234[[#This Row],[( S/S+T/B) AJD]]-TABL1234[[#This Row],[(A/B + A/S) AJD]]</f>
        <v/>
      </c>
      <c r="Y277" s="18" t="n"/>
      <c r="Z277" s="9" t="n"/>
      <c r="AA277" s="3">
        <f>TABL1234[[#This Row],[(RESV. STORGE) AJD]]/10</f>
        <v/>
      </c>
      <c r="AB277" s="3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32" t="n"/>
      <c r="AN277" s="32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TABL1234[[#This Row],[ (T/B) SAR]]+TABL1234[[#This Row],[ (S/S) SAR]]</f>
        <v/>
      </c>
      <c r="L278" s="28" t="n"/>
      <c r="M278" s="29" t="n"/>
      <c r="N278" s="30" t="n"/>
      <c r="O278" s="14" t="n"/>
      <c r="P278" s="9">
        <f>TABL1234[[#This Row],[ (S/S) SAR]]-TABL1234[[#This Row],[(S/S) AJD]]</f>
        <v/>
      </c>
      <c r="Q278" s="14" t="n"/>
      <c r="R278" s="9">
        <f>TABL1234[[#This Row],[ (T/B) SAR]]-TABL1234[[#This Row],[(T/B) AJD]]</f>
        <v/>
      </c>
      <c r="S278" s="9">
        <f>TABL1234[[#This Row],[T/B-CON.]]+TABL1234[[#This Row],[S/S_CON.]]</f>
        <v/>
      </c>
      <c r="T278" s="9">
        <f>TABL1234[[#This Row],[(S/S) AJD]]+TABL1234[[#This Row],[(T/B) AJD]]</f>
        <v/>
      </c>
      <c r="U278" s="14" t="n"/>
      <c r="V278" s="14" t="n"/>
      <c r="W278" s="9">
        <f>TABL1234[[#This Row],[(A/B) AJD]]+TABL1234[[#This Row],[(A/S) AJD]]</f>
        <v/>
      </c>
      <c r="X278" s="9">
        <f>TABL1234[[#This Row],[( S/S+T/B) AJD]]-TABL1234[[#This Row],[(A/B + A/S) AJD]]</f>
        <v/>
      </c>
      <c r="Y278" s="18" t="n"/>
      <c r="Z278" s="9" t="n"/>
      <c r="AA278" s="3">
        <f>TABL1234[[#This Row],[(RESV. STORGE) AJD]]/10</f>
        <v/>
      </c>
      <c r="AB278" s="3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32" t="n"/>
      <c r="AN278" s="32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TABL1234[[#This Row],[ (T/B) SAR]]+TABL1234[[#This Row],[ (S/S) SAR]]</f>
        <v/>
      </c>
      <c r="L279" s="28" t="n"/>
      <c r="M279" s="29" t="n"/>
      <c r="N279" s="30" t="n"/>
      <c r="O279" s="14" t="n"/>
      <c r="P279" s="9">
        <f>TABL1234[[#This Row],[ (S/S) SAR]]-TABL1234[[#This Row],[(S/S) AJD]]</f>
        <v/>
      </c>
      <c r="Q279" s="14" t="n"/>
      <c r="R279" s="9">
        <f>TABL1234[[#This Row],[ (T/B) SAR]]-TABL1234[[#This Row],[(T/B) AJD]]</f>
        <v/>
      </c>
      <c r="S279" s="9">
        <f>TABL1234[[#This Row],[T/B-CON.]]+TABL1234[[#This Row],[S/S_CON.]]</f>
        <v/>
      </c>
      <c r="T279" s="9">
        <f>TABL1234[[#This Row],[(S/S) AJD]]+TABL1234[[#This Row],[(T/B) AJD]]</f>
        <v/>
      </c>
      <c r="U279" s="14" t="n"/>
      <c r="V279" s="14" t="n"/>
      <c r="W279" s="9">
        <f>TABL1234[[#This Row],[(A/B) AJD]]+TABL1234[[#This Row],[(A/S) AJD]]</f>
        <v/>
      </c>
      <c r="X279" s="9">
        <f>TABL1234[[#This Row],[( S/S+T/B) AJD]]-TABL1234[[#This Row],[(A/B + A/S) AJD]]</f>
        <v/>
      </c>
      <c r="Y279" s="18" t="n"/>
      <c r="Z279" s="9" t="n"/>
      <c r="AA279" s="3">
        <f>TABL1234[[#This Row],[(RESV. STORGE) AJD]]/10</f>
        <v/>
      </c>
      <c r="AB279" s="3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32" t="n"/>
      <c r="AN279" s="32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TABL1234[[#This Row],[ (T/B) SAR]]+TABL1234[[#This Row],[ (S/S) SAR]]</f>
        <v/>
      </c>
      <c r="L280" s="28" t="n"/>
      <c r="M280" s="29" t="n"/>
      <c r="N280" s="30" t="n"/>
      <c r="O280" s="14" t="n"/>
      <c r="P280" s="9">
        <f>TABL1234[[#This Row],[ (S/S) SAR]]-TABL1234[[#This Row],[(S/S) AJD]]</f>
        <v/>
      </c>
      <c r="Q280" s="14" t="n"/>
      <c r="R280" s="9">
        <f>TABL1234[[#This Row],[ (T/B) SAR]]-TABL1234[[#This Row],[(T/B) AJD]]</f>
        <v/>
      </c>
      <c r="S280" s="9">
        <f>TABL1234[[#This Row],[T/B-CON.]]+TABL1234[[#This Row],[S/S_CON.]]</f>
        <v/>
      </c>
      <c r="T280" s="9">
        <f>TABL1234[[#This Row],[(S/S) AJD]]+TABL1234[[#This Row],[(T/B) AJD]]</f>
        <v/>
      </c>
      <c r="U280" s="14" t="n"/>
      <c r="V280" s="14" t="n"/>
      <c r="W280" s="9">
        <f>TABL1234[[#This Row],[(A/B) AJD]]+TABL1234[[#This Row],[(A/S) AJD]]</f>
        <v/>
      </c>
      <c r="X280" s="9">
        <f>TABL1234[[#This Row],[( S/S+T/B) AJD]]-TABL1234[[#This Row],[(A/B + A/S) AJD]]</f>
        <v/>
      </c>
      <c r="Y280" s="18" t="n"/>
      <c r="Z280" s="9" t="n"/>
      <c r="AA280" s="3">
        <f>TABL1234[[#This Row],[(RESV. STORGE) AJD]]/10</f>
        <v/>
      </c>
      <c r="AB280" s="3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32" t="n"/>
      <c r="AN280" s="32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TABL1234[[#This Row],[ (T/B) SAR]]+TABL1234[[#This Row],[ (S/S) SAR]]</f>
        <v/>
      </c>
      <c r="L281" s="28" t="n"/>
      <c r="M281" s="29" t="n"/>
      <c r="N281" s="30" t="n"/>
      <c r="O281" s="14" t="n"/>
      <c r="P281" s="9">
        <f>TABL1234[[#This Row],[ (S/S) SAR]]-TABL1234[[#This Row],[(S/S) AJD]]</f>
        <v/>
      </c>
      <c r="Q281" s="14" t="n"/>
      <c r="R281" s="9">
        <f>TABL1234[[#This Row],[ (T/B) SAR]]-TABL1234[[#This Row],[(T/B) AJD]]</f>
        <v/>
      </c>
      <c r="S281" s="9">
        <f>TABL1234[[#This Row],[T/B-CON.]]+TABL1234[[#This Row],[S/S_CON.]]</f>
        <v/>
      </c>
      <c r="T281" s="9">
        <f>TABL1234[[#This Row],[(S/S) AJD]]+TABL1234[[#This Row],[(T/B) AJD]]</f>
        <v/>
      </c>
      <c r="U281" s="14" t="n"/>
      <c r="V281" s="14" t="n"/>
      <c r="W281" s="9">
        <f>TABL1234[[#This Row],[(A/B) AJD]]+TABL1234[[#This Row],[(A/S) AJD]]</f>
        <v/>
      </c>
      <c r="X281" s="9">
        <f>TABL1234[[#This Row],[( S/S+T/B) AJD]]-TABL1234[[#This Row],[(A/B + A/S) AJD]]</f>
        <v/>
      </c>
      <c r="Y281" s="18" t="n"/>
      <c r="Z281" s="9" t="n"/>
      <c r="AA281" s="3">
        <f>TABL1234[[#This Row],[(RESV. STORGE) AJD]]/10</f>
        <v/>
      </c>
      <c r="AB281" s="3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32" t="n"/>
      <c r="AN281" s="32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TABL1234[[#This Row],[ (T/B) SAR]]+TABL1234[[#This Row],[ (S/S) SAR]]</f>
        <v/>
      </c>
      <c r="L282" s="28" t="n"/>
      <c r="M282" s="29" t="n"/>
      <c r="N282" s="30" t="n"/>
      <c r="O282" s="14" t="n"/>
      <c r="P282" s="9">
        <f>TABL1234[[#This Row],[ (S/S) SAR]]-TABL1234[[#This Row],[(S/S) AJD]]</f>
        <v/>
      </c>
      <c r="Q282" s="14" t="n"/>
      <c r="R282" s="9">
        <f>TABL1234[[#This Row],[ (T/B) SAR]]-TABL1234[[#This Row],[(T/B) AJD]]</f>
        <v/>
      </c>
      <c r="S282" s="9">
        <f>TABL1234[[#This Row],[T/B-CON.]]+TABL1234[[#This Row],[S/S_CON.]]</f>
        <v/>
      </c>
      <c r="T282" s="9">
        <f>TABL1234[[#This Row],[(S/S) AJD]]+TABL1234[[#This Row],[(T/B) AJD]]</f>
        <v/>
      </c>
      <c r="U282" s="14" t="n"/>
      <c r="V282" s="14" t="n"/>
      <c r="W282" s="9">
        <f>TABL1234[[#This Row],[(A/B) AJD]]+TABL1234[[#This Row],[(A/S) AJD]]</f>
        <v/>
      </c>
      <c r="X282" s="9">
        <f>TABL1234[[#This Row],[( S/S+T/B) AJD]]-TABL1234[[#This Row],[(A/B + A/S) AJD]]</f>
        <v/>
      </c>
      <c r="Y282" s="18" t="n"/>
      <c r="Z282" s="9" t="n"/>
      <c r="AA282" s="3">
        <f>TABL1234[[#This Row],[(RESV. STORGE) AJD]]/10</f>
        <v/>
      </c>
      <c r="AB282" s="3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32" t="n"/>
      <c r="AN282" s="32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TABL1234[[#This Row],[ (T/B) SAR]]+TABL1234[[#This Row],[ (S/S) SAR]]</f>
        <v/>
      </c>
      <c r="L283" s="28" t="n"/>
      <c r="M283" s="29" t="n"/>
      <c r="N283" s="30" t="n"/>
      <c r="O283" s="14" t="n"/>
      <c r="P283" s="9">
        <f>TABL1234[[#This Row],[ (S/S) SAR]]-TABL1234[[#This Row],[(S/S) AJD]]</f>
        <v/>
      </c>
      <c r="Q283" s="14" t="n"/>
      <c r="R283" s="9">
        <f>TABL1234[[#This Row],[ (T/B) SAR]]-TABL1234[[#This Row],[(T/B) AJD]]</f>
        <v/>
      </c>
      <c r="S283" s="9">
        <f>TABL1234[[#This Row],[T/B-CON.]]+TABL1234[[#This Row],[S/S_CON.]]</f>
        <v/>
      </c>
      <c r="T283" s="9">
        <f>TABL1234[[#This Row],[(S/S) AJD]]+TABL1234[[#This Row],[(T/B) AJD]]</f>
        <v/>
      </c>
      <c r="U283" s="14" t="n"/>
      <c r="V283" s="14" t="n"/>
      <c r="W283" s="9">
        <f>TABL1234[[#This Row],[(A/B) AJD]]+TABL1234[[#This Row],[(A/S) AJD]]</f>
        <v/>
      </c>
      <c r="X283" s="9">
        <f>TABL1234[[#This Row],[( S/S+T/B) AJD]]-TABL1234[[#This Row],[(A/B + A/S) AJD]]</f>
        <v/>
      </c>
      <c r="Y283" s="18" t="n"/>
      <c r="Z283" s="9" t="n"/>
      <c r="AA283" s="3">
        <f>TABL1234[[#This Row],[(RESV. STORGE) AJD]]/10</f>
        <v/>
      </c>
      <c r="AB283" s="3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32" t="n"/>
      <c r="AN283" s="32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TABL1234[[#This Row],[ (T/B) SAR]]+TABL1234[[#This Row],[ (S/S) SAR]]</f>
        <v/>
      </c>
      <c r="L284" s="28" t="n"/>
      <c r="M284" s="29" t="n"/>
      <c r="N284" s="30" t="n"/>
      <c r="O284" s="14" t="n"/>
      <c r="P284" s="9">
        <f>TABL1234[[#This Row],[ (S/S) SAR]]-TABL1234[[#This Row],[(S/S) AJD]]</f>
        <v/>
      </c>
      <c r="Q284" s="14" t="n"/>
      <c r="R284" s="9">
        <f>TABL1234[[#This Row],[ (T/B) SAR]]-TABL1234[[#This Row],[(T/B) AJD]]</f>
        <v/>
      </c>
      <c r="S284" s="9">
        <f>TABL1234[[#This Row],[T/B-CON.]]+TABL1234[[#This Row],[S/S_CON.]]</f>
        <v/>
      </c>
      <c r="T284" s="9">
        <f>TABL1234[[#This Row],[(S/S) AJD]]+TABL1234[[#This Row],[(T/B) AJD]]</f>
        <v/>
      </c>
      <c r="U284" s="14" t="n"/>
      <c r="V284" s="14" t="n"/>
      <c r="W284" s="9">
        <f>TABL1234[[#This Row],[(A/B) AJD]]+TABL1234[[#This Row],[(A/S) AJD]]</f>
        <v/>
      </c>
      <c r="X284" s="9">
        <f>TABL1234[[#This Row],[( S/S+T/B) AJD]]-TABL1234[[#This Row],[(A/B + A/S) AJD]]</f>
        <v/>
      </c>
      <c r="Y284" s="18" t="n"/>
      <c r="Z284" s="9" t="n"/>
      <c r="AA284" s="3">
        <f>TABL1234[[#This Row],[(RESV. STORGE) AJD]]/10</f>
        <v/>
      </c>
      <c r="AB284" s="3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32" t="n"/>
      <c r="AN284" s="32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TABL1234[[#This Row],[ (T/B) SAR]]+TABL1234[[#This Row],[ (S/S) SAR]]</f>
        <v/>
      </c>
      <c r="L285" s="28" t="n"/>
      <c r="M285" s="29" t="n"/>
      <c r="N285" s="30" t="n"/>
      <c r="O285" s="14" t="n"/>
      <c r="P285" s="9">
        <f>TABL1234[[#This Row],[ (S/S) SAR]]-TABL1234[[#This Row],[(S/S) AJD]]</f>
        <v/>
      </c>
      <c r="Q285" s="14" t="n"/>
      <c r="R285" s="9">
        <f>TABL1234[[#This Row],[ (T/B) SAR]]-TABL1234[[#This Row],[(T/B) AJD]]</f>
        <v/>
      </c>
      <c r="S285" s="9">
        <f>TABL1234[[#This Row],[T/B-CON.]]+TABL1234[[#This Row],[S/S_CON.]]</f>
        <v/>
      </c>
      <c r="T285" s="9">
        <f>TABL1234[[#This Row],[(S/S) AJD]]+TABL1234[[#This Row],[(T/B) AJD]]</f>
        <v/>
      </c>
      <c r="U285" s="14" t="n"/>
      <c r="V285" s="14" t="n"/>
      <c r="W285" s="9">
        <f>TABL1234[[#This Row],[(A/B) AJD]]+TABL1234[[#This Row],[(A/S) AJD]]</f>
        <v/>
      </c>
      <c r="X285" s="9">
        <f>TABL1234[[#This Row],[( S/S+T/B) AJD]]-TABL1234[[#This Row],[(A/B + A/S) AJD]]</f>
        <v/>
      </c>
      <c r="Y285" s="18" t="n"/>
      <c r="Z285" s="9" t="n"/>
      <c r="AA285" s="3">
        <f>TABL1234[[#This Row],[(RESV. STORGE) AJD]]/10</f>
        <v/>
      </c>
      <c r="AB285" s="3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32" t="n"/>
      <c r="AN285" s="32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TABL1234[[#This Row],[ (T/B) SAR]]+TABL1234[[#This Row],[ (S/S) SAR]]</f>
        <v/>
      </c>
      <c r="L286" s="28" t="n"/>
      <c r="M286" s="29" t="n"/>
      <c r="N286" s="30" t="n"/>
      <c r="O286" s="14" t="n"/>
      <c r="P286" s="9">
        <f>TABL1234[[#This Row],[ (S/S) SAR]]-TABL1234[[#This Row],[(S/S) AJD]]</f>
        <v/>
      </c>
      <c r="Q286" s="14" t="n"/>
      <c r="R286" s="9">
        <f>TABL1234[[#This Row],[ (T/B) SAR]]-TABL1234[[#This Row],[(T/B) AJD]]</f>
        <v/>
      </c>
      <c r="S286" s="9">
        <f>TABL1234[[#This Row],[T/B-CON.]]+TABL1234[[#This Row],[S/S_CON.]]</f>
        <v/>
      </c>
      <c r="T286" s="9">
        <f>TABL1234[[#This Row],[(S/S) AJD]]+TABL1234[[#This Row],[(T/B) AJD]]</f>
        <v/>
      </c>
      <c r="U286" s="14" t="n"/>
      <c r="V286" s="14" t="n"/>
      <c r="W286" s="9">
        <f>TABL1234[[#This Row],[(A/B) AJD]]+TABL1234[[#This Row],[(A/S) AJD]]</f>
        <v/>
      </c>
      <c r="X286" s="9">
        <f>TABL1234[[#This Row],[( S/S+T/B) AJD]]-TABL1234[[#This Row],[(A/B + A/S) AJD]]</f>
        <v/>
      </c>
      <c r="Y286" s="18" t="n"/>
      <c r="Z286" s="9" t="n"/>
      <c r="AA286" s="3">
        <f>TABL1234[[#This Row],[(RESV. STORGE) AJD]]/10</f>
        <v/>
      </c>
      <c r="AB286" s="3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32" t="n"/>
      <c r="AN286" s="32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TABL1234[[#This Row],[ (T/B) SAR]]+TABL1234[[#This Row],[ (S/S) SAR]]</f>
        <v/>
      </c>
      <c r="L287" s="28" t="n"/>
      <c r="M287" s="29" t="n"/>
      <c r="N287" s="30" t="n"/>
      <c r="O287" s="14" t="n"/>
      <c r="P287" s="9">
        <f>TABL1234[[#This Row],[ (S/S) SAR]]-TABL1234[[#This Row],[(S/S) AJD]]</f>
        <v/>
      </c>
      <c r="Q287" s="14" t="n"/>
      <c r="R287" s="9">
        <f>TABL1234[[#This Row],[ (T/B) SAR]]-TABL1234[[#This Row],[(T/B) AJD]]</f>
        <v/>
      </c>
      <c r="S287" s="9">
        <f>TABL1234[[#This Row],[T/B-CON.]]+TABL1234[[#This Row],[S/S_CON.]]</f>
        <v/>
      </c>
      <c r="T287" s="9">
        <f>TABL1234[[#This Row],[(S/S) AJD]]+TABL1234[[#This Row],[(T/B) AJD]]</f>
        <v/>
      </c>
      <c r="U287" s="14" t="n"/>
      <c r="V287" s="14" t="n"/>
      <c r="W287" s="9">
        <f>TABL1234[[#This Row],[(A/B) AJD]]+TABL1234[[#This Row],[(A/S) AJD]]</f>
        <v/>
      </c>
      <c r="X287" s="9">
        <f>TABL1234[[#This Row],[( S/S+T/B) AJD]]-TABL1234[[#This Row],[(A/B + A/S) AJD]]</f>
        <v/>
      </c>
      <c r="Y287" s="18" t="n"/>
      <c r="Z287" s="9" t="n"/>
      <c r="AA287" s="3">
        <f>TABL1234[[#This Row],[(RESV. STORGE) AJD]]/10</f>
        <v/>
      </c>
      <c r="AB287" s="3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32" t="n"/>
      <c r="AN287" s="32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TABL1234[[#This Row],[ (T/B) SAR]]+TABL1234[[#This Row],[ (S/S) SAR]]</f>
        <v/>
      </c>
      <c r="L288" s="28" t="n"/>
      <c r="M288" s="29" t="n"/>
      <c r="N288" s="30" t="n"/>
      <c r="O288" s="14" t="n"/>
      <c r="P288" s="9">
        <f>TABL1234[[#This Row],[ (S/S) SAR]]-TABL1234[[#This Row],[(S/S) AJD]]</f>
        <v/>
      </c>
      <c r="Q288" s="14" t="n"/>
      <c r="R288" s="9">
        <f>TABL1234[[#This Row],[ (T/B) SAR]]-TABL1234[[#This Row],[(T/B) AJD]]</f>
        <v/>
      </c>
      <c r="S288" s="9">
        <f>TABL1234[[#This Row],[T/B-CON.]]+TABL1234[[#This Row],[S/S_CON.]]</f>
        <v/>
      </c>
      <c r="T288" s="9">
        <f>TABL1234[[#This Row],[(S/S) AJD]]+TABL1234[[#This Row],[(T/B) AJD]]</f>
        <v/>
      </c>
      <c r="U288" s="14" t="n"/>
      <c r="V288" s="14" t="n"/>
      <c r="W288" s="9">
        <f>TABL1234[[#This Row],[(A/B) AJD]]+TABL1234[[#This Row],[(A/S) AJD]]</f>
        <v/>
      </c>
      <c r="X288" s="9">
        <f>TABL1234[[#This Row],[( S/S+T/B) AJD]]-TABL1234[[#This Row],[(A/B + A/S) AJD]]</f>
        <v/>
      </c>
      <c r="Y288" s="18" t="n"/>
      <c r="Z288" s="9" t="n"/>
      <c r="AA288" s="3">
        <f>TABL1234[[#This Row],[(RESV. STORGE) AJD]]/10</f>
        <v/>
      </c>
      <c r="AB288" s="3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32" t="n"/>
      <c r="AN288" s="32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TABL1234[[#This Row],[ (T/B) SAR]]+TABL1234[[#This Row],[ (S/S) SAR]]</f>
        <v/>
      </c>
      <c r="L289" s="28" t="n"/>
      <c r="M289" s="29" t="n"/>
      <c r="N289" s="30" t="n"/>
      <c r="O289" s="14" t="n"/>
      <c r="P289" s="9">
        <f>TABL1234[[#This Row],[ (S/S) SAR]]-TABL1234[[#This Row],[(S/S) AJD]]</f>
        <v/>
      </c>
      <c r="Q289" s="14" t="n"/>
      <c r="R289" s="9">
        <f>TABL1234[[#This Row],[ (T/B) SAR]]-TABL1234[[#This Row],[(T/B) AJD]]</f>
        <v/>
      </c>
      <c r="S289" s="9">
        <f>TABL1234[[#This Row],[T/B-CON.]]+TABL1234[[#This Row],[S/S_CON.]]</f>
        <v/>
      </c>
      <c r="T289" s="9">
        <f>TABL1234[[#This Row],[(S/S) AJD]]+TABL1234[[#This Row],[(T/B) AJD]]</f>
        <v/>
      </c>
      <c r="U289" s="14" t="n"/>
      <c r="V289" s="14" t="n"/>
      <c r="W289" s="9">
        <f>TABL1234[[#This Row],[(A/B) AJD]]+TABL1234[[#This Row],[(A/S) AJD]]</f>
        <v/>
      </c>
      <c r="X289" s="9">
        <f>TABL1234[[#This Row],[( S/S+T/B) AJD]]-TABL1234[[#This Row],[(A/B + A/S) AJD]]</f>
        <v/>
      </c>
      <c r="Y289" s="18" t="n"/>
      <c r="Z289" s="9" t="n"/>
      <c r="AA289" s="3">
        <f>TABL1234[[#This Row],[(RESV. STORGE) AJD]]/10</f>
        <v/>
      </c>
      <c r="AB289" s="3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32" t="n"/>
      <c r="AN289" s="32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TABL1234[[#This Row],[ (T/B) SAR]]+TABL1234[[#This Row],[ (S/S) SAR]]</f>
        <v/>
      </c>
      <c r="L290" s="28" t="n"/>
      <c r="M290" s="29" t="n"/>
      <c r="N290" s="30" t="n"/>
      <c r="O290" s="14" t="n"/>
      <c r="P290" s="9">
        <f>TABL1234[[#This Row],[ (S/S) SAR]]-TABL1234[[#This Row],[(S/S) AJD]]</f>
        <v/>
      </c>
      <c r="Q290" s="14" t="n"/>
      <c r="R290" s="9">
        <f>TABL1234[[#This Row],[ (T/B) SAR]]-TABL1234[[#This Row],[(T/B) AJD]]</f>
        <v/>
      </c>
      <c r="S290" s="9">
        <f>TABL1234[[#This Row],[T/B-CON.]]+TABL1234[[#This Row],[S/S_CON.]]</f>
        <v/>
      </c>
      <c r="T290" s="9">
        <f>TABL1234[[#This Row],[(S/S) AJD]]+TABL1234[[#This Row],[(T/B) AJD]]</f>
        <v/>
      </c>
      <c r="U290" s="14" t="n"/>
      <c r="V290" s="14" t="n"/>
      <c r="W290" s="9">
        <f>TABL1234[[#This Row],[(A/B) AJD]]+TABL1234[[#This Row],[(A/S) AJD]]</f>
        <v/>
      </c>
      <c r="X290" s="9">
        <f>TABL1234[[#This Row],[( S/S+T/B) AJD]]-TABL1234[[#This Row],[(A/B + A/S) AJD]]</f>
        <v/>
      </c>
      <c r="Y290" s="18" t="n"/>
      <c r="Z290" s="9" t="n"/>
      <c r="AA290" s="3">
        <f>TABL1234[[#This Row],[(RESV. STORGE) AJD]]/10</f>
        <v/>
      </c>
      <c r="AB290" s="3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32" t="n"/>
      <c r="AN290" s="32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TABL1234[[#This Row],[ (T/B) SAR]]+TABL1234[[#This Row],[ (S/S) SAR]]</f>
        <v/>
      </c>
      <c r="L291" s="28" t="n"/>
      <c r="M291" s="29" t="n"/>
      <c r="N291" s="30" t="n"/>
      <c r="O291" s="14" t="n"/>
      <c r="P291" s="9">
        <f>TABL1234[[#This Row],[ (S/S) SAR]]-TABL1234[[#This Row],[(S/S) AJD]]</f>
        <v/>
      </c>
      <c r="Q291" s="14" t="n"/>
      <c r="R291" s="9">
        <f>TABL1234[[#This Row],[ (T/B) SAR]]-TABL1234[[#This Row],[(T/B) AJD]]</f>
        <v/>
      </c>
      <c r="S291" s="9">
        <f>TABL1234[[#This Row],[T/B-CON.]]+TABL1234[[#This Row],[S/S_CON.]]</f>
        <v/>
      </c>
      <c r="T291" s="9">
        <f>TABL1234[[#This Row],[(S/S) AJD]]+TABL1234[[#This Row],[(T/B) AJD]]</f>
        <v/>
      </c>
      <c r="U291" s="14" t="n"/>
      <c r="V291" s="14" t="n"/>
      <c r="W291" s="9">
        <f>TABL1234[[#This Row],[(A/B) AJD]]+TABL1234[[#This Row],[(A/S) AJD]]</f>
        <v/>
      </c>
      <c r="X291" s="9">
        <f>TABL1234[[#This Row],[( S/S+T/B) AJD]]-TABL1234[[#This Row],[(A/B + A/S) AJD]]</f>
        <v/>
      </c>
      <c r="Y291" s="18" t="n"/>
      <c r="Z291" s="9" t="n"/>
      <c r="AA291" s="3">
        <f>TABL1234[[#This Row],[(RESV. STORGE) AJD]]/10</f>
        <v/>
      </c>
      <c r="AB291" s="3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32" t="n"/>
      <c r="AN291" s="32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TABL1234[[#This Row],[ (T/B) SAR]]+TABL1234[[#This Row],[ (S/S) SAR]]</f>
        <v/>
      </c>
      <c r="L292" s="28" t="n"/>
      <c r="M292" s="29" t="n"/>
      <c r="N292" s="30" t="n"/>
      <c r="O292" s="9" t="n"/>
      <c r="P292" s="9">
        <f>TABL1234[[#This Row],[ (S/S) SAR]]-TABL1234[[#This Row],[(S/S) AJD]]</f>
        <v/>
      </c>
      <c r="Q292" s="9" t="n"/>
      <c r="R292" s="9">
        <f>TABL1234[[#This Row],[ (T/B) SAR]]-TABL1234[[#This Row],[(T/B) AJD]]</f>
        <v/>
      </c>
      <c r="S292" s="9">
        <f>TABL1234[[#This Row],[T/B-CON.]]+TABL1234[[#This Row],[S/S_CON.]]</f>
        <v/>
      </c>
      <c r="T292" s="9">
        <f>TABL1234[[#This Row],[(S/S) AJD]]+TABL1234[[#This Row],[(T/B) AJD]]</f>
        <v/>
      </c>
      <c r="U292" s="9" t="n"/>
      <c r="V292" s="9" t="n"/>
      <c r="W292" s="9">
        <f>TABL1234[[#This Row],[(A/B) AJD]]+TABL1234[[#This Row],[(A/S) AJD]]</f>
        <v/>
      </c>
      <c r="X292" s="9">
        <f>TABL1234[[#This Row],[( S/S+T/B) AJD]]-TABL1234[[#This Row],[(A/B + A/S) AJD]]</f>
        <v/>
      </c>
      <c r="Y292" s="18" t="n"/>
      <c r="Z292" s="9" t="n"/>
      <c r="AA292" s="3">
        <f>TABL1234[[#This Row],[(RESV. STORGE) AJD]]/10</f>
        <v/>
      </c>
      <c r="AB292" s="3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32" t="n"/>
      <c r="AN292" s="32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TABL1234[[#This Row],[ (T/B) SAR]]+TABL1234[[#This Row],[ (S/S) SAR]]</f>
        <v/>
      </c>
      <c r="L293" s="28" t="n"/>
      <c r="M293" s="29" t="n"/>
      <c r="N293" s="30" t="n"/>
      <c r="O293" s="9" t="n"/>
      <c r="P293" s="9">
        <f>TABL1234[[#This Row],[ (S/S) SAR]]-TABL1234[[#This Row],[(S/S) AJD]]</f>
        <v/>
      </c>
      <c r="Q293" s="9" t="n"/>
      <c r="R293" s="9">
        <f>TABL1234[[#This Row],[ (T/B) SAR]]-TABL1234[[#This Row],[(T/B) AJD]]</f>
        <v/>
      </c>
      <c r="S293" s="9">
        <f>TABL1234[[#This Row],[T/B-CON.]]+TABL1234[[#This Row],[S/S_CON.]]</f>
        <v/>
      </c>
      <c r="T293" s="9">
        <f>TABL1234[[#This Row],[(S/S) AJD]]+TABL1234[[#This Row],[(T/B) AJD]]</f>
        <v/>
      </c>
      <c r="U293" s="9" t="n"/>
      <c r="V293" s="9" t="n"/>
      <c r="W293" s="9">
        <f>TABL1234[[#This Row],[(A/B) AJD]]+TABL1234[[#This Row],[(A/S) AJD]]</f>
        <v/>
      </c>
      <c r="X293" s="9">
        <f>TABL1234[[#This Row],[( S/S+T/B) AJD]]-TABL1234[[#This Row],[(A/B + A/S) AJD]]</f>
        <v/>
      </c>
      <c r="Y293" s="18" t="n"/>
      <c r="Z293" s="9" t="n"/>
      <c r="AA293" s="3">
        <f>TABL1234[[#This Row],[(RESV. STORGE) AJD]]/10</f>
        <v/>
      </c>
      <c r="AB293" s="3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32" t="n"/>
      <c r="AN293" s="32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TABL1234[[#This Row],[ (T/B) SAR]]+TABL1234[[#This Row],[ (S/S) SAR]]</f>
        <v/>
      </c>
      <c r="L294" s="28" t="n"/>
      <c r="M294" s="29" t="n"/>
      <c r="N294" s="30" t="n"/>
      <c r="O294" s="9" t="n"/>
      <c r="P294" s="9">
        <f>TABL1234[[#This Row],[ (S/S) SAR]]-TABL1234[[#This Row],[(S/S) AJD]]</f>
        <v/>
      </c>
      <c r="Q294" s="9" t="n"/>
      <c r="R294" s="9">
        <f>TABL1234[[#This Row],[ (T/B) SAR]]-TABL1234[[#This Row],[(T/B) AJD]]</f>
        <v/>
      </c>
      <c r="S294" s="9">
        <f>TABL1234[[#This Row],[T/B-CON.]]+TABL1234[[#This Row],[S/S_CON.]]</f>
        <v/>
      </c>
      <c r="T294" s="9">
        <f>TABL1234[[#This Row],[(S/S) AJD]]+TABL1234[[#This Row],[(T/B) AJD]]</f>
        <v/>
      </c>
      <c r="U294" s="9" t="n"/>
      <c r="V294" s="9" t="n"/>
      <c r="W294" s="9">
        <f>TABL1234[[#This Row],[(A/B) AJD]]+TABL1234[[#This Row],[(A/S) AJD]]</f>
        <v/>
      </c>
      <c r="X294" s="9">
        <f>TABL1234[[#This Row],[( S/S+T/B) AJD]]-TABL1234[[#This Row],[(A/B + A/S) AJD]]</f>
        <v/>
      </c>
      <c r="Y294" s="18" t="n"/>
      <c r="Z294" s="9" t="n"/>
      <c r="AA294" s="3">
        <f>TABL1234[[#This Row],[(RESV. STORGE) AJD]]/10</f>
        <v/>
      </c>
      <c r="AB294" s="3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32" t="n"/>
      <c r="AN294" s="32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TABL1234[[#This Row],[ (T/B) SAR]]+TABL1234[[#This Row],[ (S/S) SAR]]</f>
        <v/>
      </c>
      <c r="L295" s="28" t="n"/>
      <c r="M295" s="29" t="n"/>
      <c r="N295" s="30" t="n"/>
      <c r="O295" s="9" t="n"/>
      <c r="P295" s="9">
        <f>TABL1234[[#This Row],[ (S/S) SAR]]-TABL1234[[#This Row],[(S/S) AJD]]</f>
        <v/>
      </c>
      <c r="Q295" s="9" t="n"/>
      <c r="R295" s="9">
        <f>TABL1234[[#This Row],[ (T/B) SAR]]-TABL1234[[#This Row],[(T/B) AJD]]</f>
        <v/>
      </c>
      <c r="S295" s="9">
        <f>TABL1234[[#This Row],[T/B-CON.]]+TABL1234[[#This Row],[S/S_CON.]]</f>
        <v/>
      </c>
      <c r="T295" s="9">
        <f>TABL1234[[#This Row],[(S/S) AJD]]+TABL1234[[#This Row],[(T/B) AJD]]</f>
        <v/>
      </c>
      <c r="U295" s="9" t="n"/>
      <c r="V295" s="9" t="n"/>
      <c r="W295" s="9">
        <f>TABL1234[[#This Row],[(A/B) AJD]]+TABL1234[[#This Row],[(A/S) AJD]]</f>
        <v/>
      </c>
      <c r="X295" s="9">
        <f>TABL1234[[#This Row],[( S/S+T/B) AJD]]-TABL1234[[#This Row],[(A/B + A/S) AJD]]</f>
        <v/>
      </c>
      <c r="Y295" s="18" t="n"/>
      <c r="Z295" s="9" t="n"/>
      <c r="AA295" s="3">
        <f>TABL1234[[#This Row],[(RESV. STORGE) AJD]]/10</f>
        <v/>
      </c>
      <c r="AB295" s="3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32" t="n"/>
      <c r="AN295" s="32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TABL1234[[#This Row],[ (T/B) SAR]]+TABL1234[[#This Row],[ (S/S) SAR]]</f>
        <v/>
      </c>
      <c r="L296" s="28" t="n"/>
      <c r="M296" s="29" t="n"/>
      <c r="N296" s="30" t="n"/>
      <c r="O296" s="9" t="n"/>
      <c r="P296" s="9">
        <f>TABL1234[[#This Row],[ (S/S) SAR]]-TABL1234[[#This Row],[(S/S) AJD]]</f>
        <v/>
      </c>
      <c r="Q296" s="9" t="n"/>
      <c r="R296" s="9">
        <f>TABL1234[[#This Row],[ (T/B) SAR]]-TABL1234[[#This Row],[(T/B) AJD]]</f>
        <v/>
      </c>
      <c r="S296" s="9">
        <f>TABL1234[[#This Row],[T/B-CON.]]+TABL1234[[#This Row],[S/S_CON.]]</f>
        <v/>
      </c>
      <c r="T296" s="9">
        <f>TABL1234[[#This Row],[(S/S) AJD]]+TABL1234[[#This Row],[(T/B) AJD]]</f>
        <v/>
      </c>
      <c r="U296" s="9" t="n"/>
      <c r="V296" s="9" t="n"/>
      <c r="W296" s="9">
        <f>TABL1234[[#This Row],[(A/B) AJD]]+TABL1234[[#This Row],[(A/S) AJD]]</f>
        <v/>
      </c>
      <c r="X296" s="9">
        <f>TABL1234[[#This Row],[( S/S+T/B) AJD]]-TABL1234[[#This Row],[(A/B + A/S) AJD]]</f>
        <v/>
      </c>
      <c r="Y296" s="18" t="n"/>
      <c r="Z296" s="9" t="n"/>
      <c r="AA296" s="3">
        <f>TABL1234[[#This Row],[(RESV. STORGE) AJD]]/10</f>
        <v/>
      </c>
      <c r="AB296" s="3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32" t="n"/>
      <c r="AN296" s="32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TABL1234[[#This Row],[ (T/B) SAR]]+TABL1234[[#This Row],[ (S/S) SAR]]</f>
        <v/>
      </c>
      <c r="L297" s="28" t="n"/>
      <c r="M297" s="29" t="n"/>
      <c r="N297" s="30" t="n"/>
      <c r="O297" s="9" t="n"/>
      <c r="P297" s="9">
        <f>TABL1234[[#This Row],[ (S/S) SAR]]-TABL1234[[#This Row],[(S/S) AJD]]</f>
        <v/>
      </c>
      <c r="Q297" s="9" t="n"/>
      <c r="R297" s="9">
        <f>TABL1234[[#This Row],[ (T/B) SAR]]-TABL1234[[#This Row],[(T/B) AJD]]</f>
        <v/>
      </c>
      <c r="S297" s="9">
        <f>TABL1234[[#This Row],[T/B-CON.]]+TABL1234[[#This Row],[S/S_CON.]]</f>
        <v/>
      </c>
      <c r="T297" s="9">
        <f>TABL1234[[#This Row],[(S/S) AJD]]+TABL1234[[#This Row],[(T/B) AJD]]</f>
        <v/>
      </c>
      <c r="U297" s="9" t="n"/>
      <c r="V297" s="9" t="n"/>
      <c r="W297" s="9">
        <f>TABL1234[[#This Row],[(A/B) AJD]]+TABL1234[[#This Row],[(A/S) AJD]]</f>
        <v/>
      </c>
      <c r="X297" s="9">
        <f>TABL1234[[#This Row],[( S/S+T/B) AJD]]-TABL1234[[#This Row],[(A/B + A/S) AJD]]</f>
        <v/>
      </c>
      <c r="Y297" s="18" t="n"/>
      <c r="Z297" s="9" t="n"/>
      <c r="AA297" s="3">
        <f>TABL1234[[#This Row],[(RESV. STORGE) AJD]]/10</f>
        <v/>
      </c>
      <c r="AB297" s="3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32" t="n"/>
      <c r="AN297" s="32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TABL1234[[#This Row],[ (T/B) SAR]]+TABL1234[[#This Row],[ (S/S) SAR]]</f>
        <v/>
      </c>
      <c r="L298" s="28" t="n"/>
      <c r="M298" s="29" t="n"/>
      <c r="N298" s="30" t="n"/>
      <c r="O298" s="9" t="n"/>
      <c r="P298" s="9">
        <f>TABL1234[[#This Row],[ (S/S) SAR]]-TABL1234[[#This Row],[(S/S) AJD]]</f>
        <v/>
      </c>
      <c r="Q298" s="9" t="n"/>
      <c r="R298" s="9">
        <f>TABL1234[[#This Row],[ (T/B) SAR]]-TABL1234[[#This Row],[(T/B) AJD]]</f>
        <v/>
      </c>
      <c r="S298" s="9">
        <f>TABL1234[[#This Row],[T/B-CON.]]+TABL1234[[#This Row],[S/S_CON.]]</f>
        <v/>
      </c>
      <c r="T298" s="9">
        <f>TABL1234[[#This Row],[(S/S) AJD]]+TABL1234[[#This Row],[(T/B) AJD]]</f>
        <v/>
      </c>
      <c r="U298" s="9" t="n"/>
      <c r="V298" s="9" t="n"/>
      <c r="W298" s="9">
        <f>TABL1234[[#This Row],[(A/B) AJD]]+TABL1234[[#This Row],[(A/S) AJD]]</f>
        <v/>
      </c>
      <c r="X298" s="9">
        <f>TABL1234[[#This Row],[( S/S+T/B) AJD]]-TABL1234[[#This Row],[(A/B + A/S) AJD]]</f>
        <v/>
      </c>
      <c r="Y298" s="18" t="n"/>
      <c r="Z298" s="9" t="n"/>
      <c r="AA298" s="3">
        <f>TABL1234[[#This Row],[(RESV. STORGE) AJD]]/10</f>
        <v/>
      </c>
      <c r="AB298" s="3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32" t="n"/>
      <c r="AN298" s="32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TABL1234[[#This Row],[ (T/B) SAR]]+TABL1234[[#This Row],[ (S/S) SAR]]</f>
        <v/>
      </c>
      <c r="L299" s="28" t="n"/>
      <c r="M299" s="29" t="n"/>
      <c r="N299" s="30" t="n"/>
      <c r="O299" s="9" t="n"/>
      <c r="P299" s="9">
        <f>TABL1234[[#This Row],[ (S/S) SAR]]-TABL1234[[#This Row],[(S/S) AJD]]</f>
        <v/>
      </c>
      <c r="Q299" s="9" t="n"/>
      <c r="R299" s="9">
        <f>TABL1234[[#This Row],[ (T/B) SAR]]-TABL1234[[#This Row],[(T/B) AJD]]</f>
        <v/>
      </c>
      <c r="S299" s="9">
        <f>TABL1234[[#This Row],[T/B-CON.]]+TABL1234[[#This Row],[S/S_CON.]]</f>
        <v/>
      </c>
      <c r="T299" s="9">
        <f>TABL1234[[#This Row],[(S/S) AJD]]+TABL1234[[#This Row],[(T/B) AJD]]</f>
        <v/>
      </c>
      <c r="U299" s="9" t="n"/>
      <c r="V299" s="9" t="n"/>
      <c r="W299" s="9">
        <f>TABL1234[[#This Row],[(A/B) AJD]]+TABL1234[[#This Row],[(A/S) AJD]]</f>
        <v/>
      </c>
      <c r="X299" s="9">
        <f>TABL1234[[#This Row],[( S/S+T/B) AJD]]-TABL1234[[#This Row],[(A/B + A/S) AJD]]</f>
        <v/>
      </c>
      <c r="Y299" s="18" t="n"/>
      <c r="Z299" s="9" t="n"/>
      <c r="AA299" s="3">
        <f>TABL1234[[#This Row],[(RESV. STORGE) AJD]]/10</f>
        <v/>
      </c>
      <c r="AB299" s="3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32" t="n"/>
      <c r="AN299" s="32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TABL1234[[#This Row],[ (T/B) SAR]]+TABL1234[[#This Row],[ (S/S) SAR]]</f>
        <v/>
      </c>
      <c r="L300" s="28" t="n"/>
      <c r="M300" s="29" t="n"/>
      <c r="N300" s="30" t="n"/>
      <c r="O300" s="9" t="n"/>
      <c r="P300" s="9">
        <f>TABL1234[[#This Row],[ (S/S) SAR]]-TABL1234[[#This Row],[(S/S) AJD]]</f>
        <v/>
      </c>
      <c r="Q300" s="9" t="n"/>
      <c r="R300" s="9">
        <f>TABL1234[[#This Row],[ (T/B) SAR]]-TABL1234[[#This Row],[(T/B) AJD]]</f>
        <v/>
      </c>
      <c r="S300" s="9">
        <f>TABL1234[[#This Row],[T/B-CON.]]+TABL1234[[#This Row],[S/S_CON.]]</f>
        <v/>
      </c>
      <c r="T300" s="9">
        <f>TABL1234[[#This Row],[(S/S) AJD]]+TABL1234[[#This Row],[(T/B) AJD]]</f>
        <v/>
      </c>
      <c r="U300" s="9" t="n"/>
      <c r="V300" s="9" t="n"/>
      <c r="W300" s="9">
        <f>TABL1234[[#This Row],[(A/B) AJD]]+TABL1234[[#This Row],[(A/S) AJD]]</f>
        <v/>
      </c>
      <c r="X300" s="9">
        <f>TABL1234[[#This Row],[( S/S+T/B) AJD]]-TABL1234[[#This Row],[(A/B + A/S) AJD]]</f>
        <v/>
      </c>
      <c r="Y300" s="18" t="n"/>
      <c r="Z300" s="9" t="n"/>
      <c r="AA300" s="3">
        <f>TABL1234[[#This Row],[(RESV. STORGE) AJD]]/10</f>
        <v/>
      </c>
      <c r="AB300" s="3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32" t="n"/>
      <c r="AN300" s="32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TABL1234[[#This Row],[ (T/B) SAR]]+TABL1234[[#This Row],[ (S/S) SAR]]</f>
        <v/>
      </c>
      <c r="L301" s="28" t="n"/>
      <c r="M301" s="29" t="n"/>
      <c r="N301" s="30" t="n"/>
      <c r="O301" s="9" t="n"/>
      <c r="P301" s="9">
        <f>TABL1234[[#This Row],[ (S/S) SAR]]-TABL1234[[#This Row],[(S/S) AJD]]</f>
        <v/>
      </c>
      <c r="Q301" s="9" t="n"/>
      <c r="R301" s="9">
        <f>TABL1234[[#This Row],[ (T/B) SAR]]-TABL1234[[#This Row],[(T/B) AJD]]</f>
        <v/>
      </c>
      <c r="S301" s="9">
        <f>TABL1234[[#This Row],[T/B-CON.]]+TABL1234[[#This Row],[S/S_CON.]]</f>
        <v/>
      </c>
      <c r="T301" s="9">
        <f>TABL1234[[#This Row],[(S/S) AJD]]+TABL1234[[#This Row],[(T/B) AJD]]</f>
        <v/>
      </c>
      <c r="U301" s="9" t="n"/>
      <c r="V301" s="9" t="n"/>
      <c r="W301" s="9">
        <f>TABL1234[[#This Row],[(A/B) AJD]]+TABL1234[[#This Row],[(A/S) AJD]]</f>
        <v/>
      </c>
      <c r="X301" s="9">
        <f>TABL1234[[#This Row],[( S/S+T/B) AJD]]-TABL1234[[#This Row],[(A/B + A/S) AJD]]</f>
        <v/>
      </c>
      <c r="Y301" s="18" t="n"/>
      <c r="Z301" s="9" t="n"/>
      <c r="AA301" s="3">
        <f>TABL1234[[#This Row],[(RESV. STORGE) AJD]]/10</f>
        <v/>
      </c>
      <c r="AB301" s="3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32" t="n"/>
      <c r="AN301" s="32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TABL1234[[#This Row],[ (T/B) SAR]]+TABL1234[[#This Row],[ (S/S) SAR]]</f>
        <v/>
      </c>
      <c r="L302" s="28" t="n"/>
      <c r="M302" s="29" t="n"/>
      <c r="N302" s="30" t="n"/>
      <c r="O302" s="9" t="n"/>
      <c r="P302" s="9">
        <f>TABL1234[[#This Row],[ (S/S) SAR]]-TABL1234[[#This Row],[(S/S) AJD]]</f>
        <v/>
      </c>
      <c r="Q302" s="9" t="n"/>
      <c r="R302" s="9">
        <f>TABL1234[[#This Row],[ (T/B) SAR]]-TABL1234[[#This Row],[(T/B) AJD]]</f>
        <v/>
      </c>
      <c r="S302" s="9">
        <f>TABL1234[[#This Row],[T/B-CON.]]+TABL1234[[#This Row],[S/S_CON.]]</f>
        <v/>
      </c>
      <c r="T302" s="9">
        <f>TABL1234[[#This Row],[(S/S) AJD]]+TABL1234[[#This Row],[(T/B) AJD]]</f>
        <v/>
      </c>
      <c r="U302" s="9" t="n"/>
      <c r="V302" s="9" t="n"/>
      <c r="W302" s="9">
        <f>TABL1234[[#This Row],[(A/B) AJD]]+TABL1234[[#This Row],[(A/S) AJD]]</f>
        <v/>
      </c>
      <c r="X302" s="9">
        <f>TABL1234[[#This Row],[( S/S+T/B) AJD]]-TABL1234[[#This Row],[(A/B + A/S) AJD]]</f>
        <v/>
      </c>
      <c r="Y302" s="18" t="n"/>
      <c r="Z302" s="9" t="n"/>
      <c r="AA302" s="3">
        <f>TABL1234[[#This Row],[(RESV. STORGE) AJD]]/10</f>
        <v/>
      </c>
      <c r="AB302" s="3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32" t="n"/>
      <c r="AN302" s="32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TABL1234[[#This Row],[ (T/B) SAR]]+TABL1234[[#This Row],[ (S/S) SAR]]</f>
        <v/>
      </c>
      <c r="L303" s="28" t="n"/>
      <c r="M303" s="29" t="n"/>
      <c r="N303" s="30" t="n"/>
      <c r="O303" s="9" t="n"/>
      <c r="P303" s="9">
        <f>TABL1234[[#This Row],[ (S/S) SAR]]-TABL1234[[#This Row],[(S/S) AJD]]</f>
        <v/>
      </c>
      <c r="Q303" s="9" t="n"/>
      <c r="R303" s="9">
        <f>TABL1234[[#This Row],[ (T/B) SAR]]-TABL1234[[#This Row],[(T/B) AJD]]</f>
        <v/>
      </c>
      <c r="S303" s="9">
        <f>TABL1234[[#This Row],[T/B-CON.]]+TABL1234[[#This Row],[S/S_CON.]]</f>
        <v/>
      </c>
      <c r="T303" s="9">
        <f>TABL1234[[#This Row],[(S/S) AJD]]+TABL1234[[#This Row],[(T/B) AJD]]</f>
        <v/>
      </c>
      <c r="U303" s="9" t="n"/>
      <c r="V303" s="9" t="n"/>
      <c r="W303" s="9">
        <f>TABL1234[[#This Row],[(A/B) AJD]]+TABL1234[[#This Row],[(A/S) AJD]]</f>
        <v/>
      </c>
      <c r="X303" s="9">
        <f>TABL1234[[#This Row],[( S/S+T/B) AJD]]-TABL1234[[#This Row],[(A/B + A/S) AJD]]</f>
        <v/>
      </c>
      <c r="Y303" s="18" t="n"/>
      <c r="Z303" s="9" t="n"/>
      <c r="AA303" s="3">
        <f>TABL1234[[#This Row],[(RESV. STORGE) AJD]]/10</f>
        <v/>
      </c>
      <c r="AB303" s="3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32" t="n"/>
      <c r="AN303" s="32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TABL1234[[#This Row],[ (T/B) SAR]]+TABL1234[[#This Row],[ (S/S) SAR]]</f>
        <v/>
      </c>
      <c r="L304" s="28" t="n"/>
      <c r="M304" s="29" t="n"/>
      <c r="N304" s="30" t="n"/>
      <c r="O304" s="9" t="n"/>
      <c r="P304" s="9">
        <f>TABL1234[[#This Row],[ (S/S) SAR]]-TABL1234[[#This Row],[(S/S) AJD]]</f>
        <v/>
      </c>
      <c r="Q304" s="9" t="n"/>
      <c r="R304" s="9">
        <f>TABL1234[[#This Row],[ (T/B) SAR]]-TABL1234[[#This Row],[(T/B) AJD]]</f>
        <v/>
      </c>
      <c r="S304" s="9">
        <f>TABL1234[[#This Row],[T/B-CON.]]+TABL1234[[#This Row],[S/S_CON.]]</f>
        <v/>
      </c>
      <c r="T304" s="9">
        <f>TABL1234[[#This Row],[(S/S) AJD]]+TABL1234[[#This Row],[(T/B) AJD]]</f>
        <v/>
      </c>
      <c r="U304" s="9" t="n"/>
      <c r="V304" s="9" t="n"/>
      <c r="W304" s="9">
        <f>TABL1234[[#This Row],[(A/B) AJD]]+TABL1234[[#This Row],[(A/S) AJD]]</f>
        <v/>
      </c>
      <c r="X304" s="9">
        <f>TABL1234[[#This Row],[( S/S+T/B) AJD]]-TABL1234[[#This Row],[(A/B + A/S) AJD]]</f>
        <v/>
      </c>
      <c r="Y304" s="18" t="n"/>
      <c r="Z304" s="9" t="n"/>
      <c r="AA304" s="3">
        <f>TABL1234[[#This Row],[(RESV. STORGE) AJD]]/10</f>
        <v/>
      </c>
      <c r="AB304" s="3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32" t="n"/>
      <c r="AN304" s="32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TABL1234[[#This Row],[ (T/B) SAR]]+TABL1234[[#This Row],[ (S/S) SAR]]</f>
        <v/>
      </c>
      <c r="L305" s="28" t="n"/>
      <c r="M305" s="29" t="n"/>
      <c r="N305" s="30" t="n"/>
      <c r="O305" s="9" t="n"/>
      <c r="P305" s="9">
        <f>TABL1234[[#This Row],[ (S/S) SAR]]-TABL1234[[#This Row],[(S/S) AJD]]</f>
        <v/>
      </c>
      <c r="Q305" s="9" t="n"/>
      <c r="R305" s="9">
        <f>TABL1234[[#This Row],[ (T/B) SAR]]-TABL1234[[#This Row],[(T/B) AJD]]</f>
        <v/>
      </c>
      <c r="S305" s="9">
        <f>TABL1234[[#This Row],[T/B-CON.]]+TABL1234[[#This Row],[S/S_CON.]]</f>
        <v/>
      </c>
      <c r="T305" s="9">
        <f>TABL1234[[#This Row],[(S/S) AJD]]+TABL1234[[#This Row],[(T/B) AJD]]</f>
        <v/>
      </c>
      <c r="U305" s="9" t="n"/>
      <c r="V305" s="9" t="n"/>
      <c r="W305" s="9">
        <f>TABL1234[[#This Row],[(A/B) AJD]]+TABL1234[[#This Row],[(A/S) AJD]]</f>
        <v/>
      </c>
      <c r="X305" s="9">
        <f>TABL1234[[#This Row],[( S/S+T/B) AJD]]-TABL1234[[#This Row],[(A/B + A/S) AJD]]</f>
        <v/>
      </c>
      <c r="Y305" s="18" t="n"/>
      <c r="Z305" s="9" t="n"/>
      <c r="AA305" s="3">
        <f>TABL1234[[#This Row],[(RESV. STORGE) AJD]]/10</f>
        <v/>
      </c>
      <c r="AB305" s="3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32" t="n"/>
      <c r="AN305" s="32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TABL1234[[#This Row],[ (T/B) SAR]]+TABL1234[[#This Row],[ (S/S) SAR]]</f>
        <v/>
      </c>
      <c r="L306" s="28" t="n"/>
      <c r="M306" s="29" t="n"/>
      <c r="N306" s="30" t="n"/>
      <c r="O306" s="39" t="n"/>
      <c r="P306" s="9">
        <f>TABL1234[[#This Row],[ (S/S) SAR]]-TABL1234[[#This Row],[(S/S) AJD]]</f>
        <v/>
      </c>
      <c r="Q306" s="9" t="n"/>
      <c r="R306" s="9">
        <f>TABL1234[[#This Row],[ (T/B) SAR]]-TABL1234[[#This Row],[(T/B) AJD]]</f>
        <v/>
      </c>
      <c r="S306" s="9">
        <f>TABL1234[[#This Row],[T/B-CON.]]+TABL1234[[#This Row],[S/S_CON.]]</f>
        <v/>
      </c>
      <c r="T306" s="9">
        <f>TABL1234[[#This Row],[(S/S) AJD]]+TABL1234[[#This Row],[(T/B) AJD]]</f>
        <v/>
      </c>
      <c r="U306" s="9" t="n"/>
      <c r="V306" s="9" t="n"/>
      <c r="W306" s="9">
        <f>TABL1234[[#This Row],[(A/B) AJD]]+TABL1234[[#This Row],[(A/S) AJD]]</f>
        <v/>
      </c>
      <c r="X306" s="9">
        <f>TABL1234[[#This Row],[( S/S+T/B) AJD]]-TABL1234[[#This Row],[(A/B + A/S) AJD]]</f>
        <v/>
      </c>
      <c r="Y306" s="18" t="n"/>
      <c r="Z306" s="9" t="n"/>
      <c r="AA306" s="3">
        <f>TABL1234[[#This Row],[(RESV. STORGE) AJD]]/10</f>
        <v/>
      </c>
      <c r="AB306" s="3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32" t="n"/>
      <c r="AN306" s="32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TABL1234[[#This Row],[ (T/B) SAR]]+TABL1234[[#This Row],[ (S/S) SAR]]</f>
        <v/>
      </c>
      <c r="L307" s="28" t="n"/>
      <c r="M307" s="29" t="n"/>
      <c r="N307" s="30" t="n"/>
      <c r="O307" s="40" t="n"/>
      <c r="P307" s="9">
        <f>TABL1234[[#This Row],[ (S/S) SAR]]-TABL1234[[#This Row],[(S/S) AJD]]</f>
        <v/>
      </c>
      <c r="Q307" s="9" t="n"/>
      <c r="R307" s="9">
        <f>TABL1234[[#This Row],[ (T/B) SAR]]-TABL1234[[#This Row],[(T/B) AJD]]</f>
        <v/>
      </c>
      <c r="S307" s="9">
        <f>TABL1234[[#This Row],[T/B-CON.]]+TABL1234[[#This Row],[S/S_CON.]]</f>
        <v/>
      </c>
      <c r="T307" s="9">
        <f>TABL1234[[#This Row],[(S/S) AJD]]+TABL1234[[#This Row],[(T/B) AJD]]</f>
        <v/>
      </c>
      <c r="U307" s="9" t="n"/>
      <c r="V307" s="9" t="n"/>
      <c r="W307" s="9">
        <f>TABL1234[[#This Row],[(A/B) AJD]]+TABL1234[[#This Row],[(A/S) AJD]]</f>
        <v/>
      </c>
      <c r="X307" s="9">
        <f>TABL1234[[#This Row],[( S/S+T/B) AJD]]-TABL1234[[#This Row],[(A/B + A/S) AJD]]</f>
        <v/>
      </c>
      <c r="Y307" s="18" t="n"/>
      <c r="Z307" s="9" t="n"/>
      <c r="AA307" s="3">
        <f>TABL1234[[#This Row],[(RESV. STORGE) AJD]]/10</f>
        <v/>
      </c>
      <c r="AB307" s="3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32" t="n"/>
      <c r="AN307" s="32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TABL1234[[#This Row],[ (T/B) SAR]]+TABL1234[[#This Row],[ (S/S) SAR]]</f>
        <v/>
      </c>
      <c r="L308" s="28" t="n"/>
      <c r="M308" s="29" t="n"/>
      <c r="N308" s="30" t="n"/>
      <c r="O308" s="39" t="n"/>
      <c r="P308" s="9">
        <f>TABL1234[[#This Row],[ (S/S) SAR]]-TABL1234[[#This Row],[(S/S) AJD]]</f>
        <v/>
      </c>
      <c r="Q308" s="9" t="n"/>
      <c r="R308" s="9">
        <f>TABL1234[[#This Row],[ (T/B) SAR]]-TABL1234[[#This Row],[(T/B) AJD]]</f>
        <v/>
      </c>
      <c r="S308" s="9">
        <f>TABL1234[[#This Row],[T/B-CON.]]+TABL1234[[#This Row],[S/S_CON.]]</f>
        <v/>
      </c>
      <c r="T308" s="9">
        <f>TABL1234[[#This Row],[(S/S) AJD]]+TABL1234[[#This Row],[(T/B) AJD]]</f>
        <v/>
      </c>
      <c r="U308" s="9" t="n"/>
      <c r="V308" s="9" t="n"/>
      <c r="W308" s="9">
        <f>TABL1234[[#This Row],[(A/B) AJD]]+TABL1234[[#This Row],[(A/S) AJD]]</f>
        <v/>
      </c>
      <c r="X308" s="9">
        <f>TABL1234[[#This Row],[( S/S+T/B) AJD]]-TABL1234[[#This Row],[(A/B + A/S) AJD]]</f>
        <v/>
      </c>
      <c r="Y308" s="18" t="n"/>
      <c r="Z308" s="9" t="n"/>
      <c r="AA308" s="3">
        <f>TABL1234[[#This Row],[(RESV. STORGE) AJD]]/10</f>
        <v/>
      </c>
      <c r="AB308" s="3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32" t="n"/>
      <c r="AN308" s="32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TABL1234[[#This Row],[ (T/B) SAR]]+TABL1234[[#This Row],[ (S/S) SAR]]</f>
        <v/>
      </c>
      <c r="L309" s="28" t="n"/>
      <c r="M309" s="29" t="n"/>
      <c r="N309" s="30" t="n"/>
      <c r="O309" s="40" t="n"/>
      <c r="P309" s="9">
        <f>TABL1234[[#This Row],[ (S/S) SAR]]-TABL1234[[#This Row],[(S/S) AJD]]</f>
        <v/>
      </c>
      <c r="Q309" s="9" t="n"/>
      <c r="R309" s="9">
        <f>TABL1234[[#This Row],[ (T/B) SAR]]-TABL1234[[#This Row],[(T/B) AJD]]</f>
        <v/>
      </c>
      <c r="S309" s="9">
        <f>TABL1234[[#This Row],[T/B-CON.]]+TABL1234[[#This Row],[S/S_CON.]]</f>
        <v/>
      </c>
      <c r="T309" s="9">
        <f>TABL1234[[#This Row],[(S/S) AJD]]+TABL1234[[#This Row],[(T/B) AJD]]</f>
        <v/>
      </c>
      <c r="U309" s="9" t="n"/>
      <c r="V309" s="9" t="n"/>
      <c r="W309" s="9">
        <f>TABL1234[[#This Row],[(A/B) AJD]]+TABL1234[[#This Row],[(A/S) AJD]]</f>
        <v/>
      </c>
      <c r="X309" s="9">
        <f>TABL1234[[#This Row],[( S/S+T/B) AJD]]-TABL1234[[#This Row],[(A/B + A/S) AJD]]</f>
        <v/>
      </c>
      <c r="Y309" s="18" t="n"/>
      <c r="Z309" s="9" t="n"/>
      <c r="AA309" s="3">
        <f>TABL1234[[#This Row],[(RESV. STORGE) AJD]]/10</f>
        <v/>
      </c>
      <c r="AB309" s="3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32" t="n"/>
      <c r="AN309" s="32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TABL1234[[#This Row],[ (T/B) SAR]]+TABL1234[[#This Row],[ (S/S) SAR]]</f>
        <v/>
      </c>
      <c r="L310" s="28" t="n"/>
      <c r="M310" s="29" t="n"/>
      <c r="N310" s="30" t="n"/>
      <c r="O310" s="39" t="n"/>
      <c r="P310" s="9">
        <f>TABL1234[[#This Row],[ (S/S) SAR]]-TABL1234[[#This Row],[(S/S) AJD]]</f>
        <v/>
      </c>
      <c r="Q310" s="9" t="n"/>
      <c r="R310" s="9">
        <f>TABL1234[[#This Row],[ (T/B) SAR]]-TABL1234[[#This Row],[(T/B) AJD]]</f>
        <v/>
      </c>
      <c r="S310" s="9">
        <f>TABL1234[[#This Row],[T/B-CON.]]+TABL1234[[#This Row],[S/S_CON.]]</f>
        <v/>
      </c>
      <c r="T310" s="9">
        <f>TABL1234[[#This Row],[(S/S) AJD]]+TABL1234[[#This Row],[(T/B) AJD]]</f>
        <v/>
      </c>
      <c r="U310" s="9" t="n"/>
      <c r="V310" s="9" t="n"/>
      <c r="W310" s="9">
        <f>TABL1234[[#This Row],[(A/B) AJD]]+TABL1234[[#This Row],[(A/S) AJD]]</f>
        <v/>
      </c>
      <c r="X310" s="9">
        <f>TABL1234[[#This Row],[( S/S+T/B) AJD]]-TABL1234[[#This Row],[(A/B + A/S) AJD]]</f>
        <v/>
      </c>
      <c r="Y310" s="18" t="n"/>
      <c r="Z310" s="9" t="n"/>
      <c r="AA310" s="3">
        <f>TABL1234[[#This Row],[(RESV. STORGE) AJD]]/10</f>
        <v/>
      </c>
      <c r="AB310" s="3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32" t="n"/>
      <c r="AN310" s="32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TABL1234[[#This Row],[ (T/B) SAR]]+TABL1234[[#This Row],[ (S/S) SAR]]</f>
        <v/>
      </c>
      <c r="L311" s="28" t="n"/>
      <c r="M311" s="29" t="n"/>
      <c r="N311" s="30" t="n"/>
      <c r="O311" s="40" t="n"/>
      <c r="P311" s="9">
        <f>TABL1234[[#This Row],[ (S/S) SAR]]-TABL1234[[#This Row],[(S/S) AJD]]</f>
        <v/>
      </c>
      <c r="Q311" s="9" t="n"/>
      <c r="R311" s="9">
        <f>TABL1234[[#This Row],[ (T/B) SAR]]-TABL1234[[#This Row],[(T/B) AJD]]</f>
        <v/>
      </c>
      <c r="S311" s="9">
        <f>TABL1234[[#This Row],[T/B-CON.]]+TABL1234[[#This Row],[S/S_CON.]]</f>
        <v/>
      </c>
      <c r="T311" s="9">
        <f>TABL1234[[#This Row],[(S/S) AJD]]+TABL1234[[#This Row],[(T/B) AJD]]</f>
        <v/>
      </c>
      <c r="U311" s="9" t="n"/>
      <c r="V311" s="9" t="n"/>
      <c r="W311" s="9">
        <f>TABL1234[[#This Row],[(A/B) AJD]]+TABL1234[[#This Row],[(A/S) AJD]]</f>
        <v/>
      </c>
      <c r="X311" s="9">
        <f>TABL1234[[#This Row],[( S/S+T/B) AJD]]-TABL1234[[#This Row],[(A/B + A/S) AJD]]</f>
        <v/>
      </c>
      <c r="Y311" s="18" t="n"/>
      <c r="Z311" s="9" t="n"/>
      <c r="AA311" s="3">
        <f>TABL1234[[#This Row],[(RESV. STORGE) AJD]]/10</f>
        <v/>
      </c>
      <c r="AB311" s="3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32" t="n"/>
      <c r="AN311" s="32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TABL1234[[#This Row],[ (T/B) SAR]]+TABL1234[[#This Row],[ (S/S) SAR]]</f>
        <v/>
      </c>
      <c r="L312" s="28" t="n"/>
      <c r="M312" s="29" t="n"/>
      <c r="N312" s="30" t="n"/>
      <c r="O312" s="39" t="n"/>
      <c r="P312" s="9">
        <f>TABL1234[[#This Row],[ (S/S) SAR]]-TABL1234[[#This Row],[(S/S) AJD]]</f>
        <v/>
      </c>
      <c r="Q312" s="9" t="n"/>
      <c r="R312" s="9">
        <f>TABL1234[[#This Row],[ (T/B) SAR]]-TABL1234[[#This Row],[(T/B) AJD]]</f>
        <v/>
      </c>
      <c r="S312" s="9">
        <f>TABL1234[[#This Row],[T/B-CON.]]+TABL1234[[#This Row],[S/S_CON.]]</f>
        <v/>
      </c>
      <c r="T312" s="9">
        <f>TABL1234[[#This Row],[(S/S) AJD]]+TABL1234[[#This Row],[(T/B) AJD]]</f>
        <v/>
      </c>
      <c r="U312" s="9" t="n"/>
      <c r="V312" s="9" t="n"/>
      <c r="W312" s="9">
        <f>TABL1234[[#This Row],[(A/B) AJD]]+TABL1234[[#This Row],[(A/S) AJD]]</f>
        <v/>
      </c>
      <c r="X312" s="9">
        <f>TABL1234[[#This Row],[( S/S+T/B) AJD]]-TABL1234[[#This Row],[(A/B + A/S) AJD]]</f>
        <v/>
      </c>
      <c r="Y312" s="18" t="n"/>
      <c r="Z312" s="9" t="n"/>
      <c r="AA312" s="3">
        <f>TABL1234[[#This Row],[(RESV. STORGE) AJD]]/10</f>
        <v/>
      </c>
      <c r="AB312" s="3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32" t="n"/>
      <c r="AN312" s="32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TABL1234[[#This Row],[ (T/B) SAR]]+TABL1234[[#This Row],[ (S/S) SAR]]</f>
        <v/>
      </c>
      <c r="L313" s="28" t="n"/>
      <c r="M313" s="29" t="n"/>
      <c r="N313" s="30" t="n"/>
      <c r="O313" s="40" t="n"/>
      <c r="P313" s="9">
        <f>TABL1234[[#This Row],[ (S/S) SAR]]-TABL1234[[#This Row],[(S/S) AJD]]</f>
        <v/>
      </c>
      <c r="Q313" s="9" t="n"/>
      <c r="R313" s="9">
        <f>TABL1234[[#This Row],[ (T/B) SAR]]-TABL1234[[#This Row],[(T/B) AJD]]</f>
        <v/>
      </c>
      <c r="S313" s="9">
        <f>TABL1234[[#This Row],[T/B-CON.]]+TABL1234[[#This Row],[S/S_CON.]]</f>
        <v/>
      </c>
      <c r="T313" s="9">
        <f>TABL1234[[#This Row],[(S/S) AJD]]+TABL1234[[#This Row],[(T/B) AJD]]</f>
        <v/>
      </c>
      <c r="U313" s="9" t="n"/>
      <c r="V313" s="9" t="n"/>
      <c r="W313" s="9">
        <f>TABL1234[[#This Row],[(A/B) AJD]]+TABL1234[[#This Row],[(A/S) AJD]]</f>
        <v/>
      </c>
      <c r="X313" s="9">
        <f>TABL1234[[#This Row],[( S/S+T/B) AJD]]-TABL1234[[#This Row],[(A/B + A/S) AJD]]</f>
        <v/>
      </c>
      <c r="Y313" s="18" t="n"/>
      <c r="Z313" s="9" t="n"/>
      <c r="AA313" s="3">
        <f>TABL1234[[#This Row],[(RESV. STORGE) AJD]]/10</f>
        <v/>
      </c>
      <c r="AB313" s="3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32" t="n"/>
      <c r="AN313" s="32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TABL1234[[#This Row],[ (T/B) SAR]]+TABL1234[[#This Row],[ (S/S) SAR]]</f>
        <v/>
      </c>
      <c r="L314" s="28" t="n"/>
      <c r="M314" s="29" t="n"/>
      <c r="N314" s="30" t="n"/>
      <c r="O314" s="39" t="n"/>
      <c r="P314" s="9">
        <f>TABL1234[[#This Row],[ (S/S) SAR]]-TABL1234[[#This Row],[(S/S) AJD]]</f>
        <v/>
      </c>
      <c r="Q314" s="9" t="n"/>
      <c r="R314" s="9">
        <f>TABL1234[[#This Row],[ (T/B) SAR]]-TABL1234[[#This Row],[(T/B) AJD]]</f>
        <v/>
      </c>
      <c r="S314" s="9">
        <f>TABL1234[[#This Row],[T/B-CON.]]+TABL1234[[#This Row],[S/S_CON.]]</f>
        <v/>
      </c>
      <c r="T314" s="9">
        <f>TABL1234[[#This Row],[(S/S) AJD]]+TABL1234[[#This Row],[(T/B) AJD]]</f>
        <v/>
      </c>
      <c r="U314" s="9" t="n"/>
      <c r="V314" s="9" t="n"/>
      <c r="W314" s="9">
        <f>TABL1234[[#This Row],[(A/B) AJD]]+TABL1234[[#This Row],[(A/S) AJD]]</f>
        <v/>
      </c>
      <c r="X314" s="9">
        <f>TABL1234[[#This Row],[( S/S+T/B) AJD]]-TABL1234[[#This Row],[(A/B + A/S) AJD]]</f>
        <v/>
      </c>
      <c r="Y314" s="18" t="n"/>
      <c r="Z314" s="9" t="n"/>
      <c r="AA314" s="3">
        <f>TABL1234[[#This Row],[(RESV. STORGE) AJD]]/10</f>
        <v/>
      </c>
      <c r="AB314" s="3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32" t="n"/>
      <c r="AN314" s="32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TABL1234[[#This Row],[ (T/B) SAR]]+TABL1234[[#This Row],[ (S/S) SAR]]</f>
        <v/>
      </c>
      <c r="L315" s="28" t="n"/>
      <c r="M315" s="29" t="n"/>
      <c r="N315" s="30" t="n"/>
      <c r="O315" s="40" t="n"/>
      <c r="P315" s="9">
        <f>TABL1234[[#This Row],[ (S/S) SAR]]-TABL1234[[#This Row],[(S/S) AJD]]</f>
        <v/>
      </c>
      <c r="Q315" s="9" t="n"/>
      <c r="R315" s="9">
        <f>TABL1234[[#This Row],[ (T/B) SAR]]-TABL1234[[#This Row],[(T/B) AJD]]</f>
        <v/>
      </c>
      <c r="S315" s="9">
        <f>TABL1234[[#This Row],[T/B-CON.]]+TABL1234[[#This Row],[S/S_CON.]]</f>
        <v/>
      </c>
      <c r="T315" s="9">
        <f>TABL1234[[#This Row],[(S/S) AJD]]+TABL1234[[#This Row],[(T/B) AJD]]</f>
        <v/>
      </c>
      <c r="U315" s="9" t="n"/>
      <c r="V315" s="9" t="n"/>
      <c r="W315" s="9">
        <f>TABL1234[[#This Row],[(A/B) AJD]]+TABL1234[[#This Row],[(A/S) AJD]]</f>
        <v/>
      </c>
      <c r="X315" s="9">
        <f>TABL1234[[#This Row],[( S/S+T/B) AJD]]-TABL1234[[#This Row],[(A/B + A/S) AJD]]</f>
        <v/>
      </c>
      <c r="Y315" s="18" t="n"/>
      <c r="Z315" s="9" t="n"/>
      <c r="AA315" s="3">
        <f>TABL1234[[#This Row],[(RESV. STORGE) AJD]]/10</f>
        <v/>
      </c>
      <c r="AB315" s="3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32" t="n"/>
      <c r="AN315" s="32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TABL1234[[#This Row],[ (T/B) SAR]]+TABL1234[[#This Row],[ (S/S) SAR]]</f>
        <v/>
      </c>
      <c r="L316" s="28" t="n"/>
      <c r="M316" s="29" t="n"/>
      <c r="N316" s="30" t="n"/>
      <c r="O316" s="39" t="n"/>
      <c r="P316" s="9">
        <f>TABL1234[[#This Row],[ (S/S) SAR]]-TABL1234[[#This Row],[(S/S) AJD]]</f>
        <v/>
      </c>
      <c r="Q316" s="9" t="n"/>
      <c r="R316" s="9">
        <f>TABL1234[[#This Row],[ (T/B) SAR]]-TABL1234[[#This Row],[(T/B) AJD]]</f>
        <v/>
      </c>
      <c r="S316" s="9">
        <f>TABL1234[[#This Row],[T/B-CON.]]+TABL1234[[#This Row],[S/S_CON.]]</f>
        <v/>
      </c>
      <c r="T316" s="9">
        <f>TABL1234[[#This Row],[(S/S) AJD]]+TABL1234[[#This Row],[(T/B) AJD]]</f>
        <v/>
      </c>
      <c r="U316" s="9" t="n"/>
      <c r="V316" s="9" t="n"/>
      <c r="W316" s="9">
        <f>TABL1234[[#This Row],[(A/B) AJD]]+TABL1234[[#This Row],[(A/S) AJD]]</f>
        <v/>
      </c>
      <c r="X316" s="9">
        <f>TABL1234[[#This Row],[( S/S+T/B) AJD]]-TABL1234[[#This Row],[(A/B + A/S) AJD]]</f>
        <v/>
      </c>
      <c r="Y316" s="18" t="n"/>
      <c r="Z316" s="9" t="n"/>
      <c r="AA316" s="3">
        <f>TABL1234[[#This Row],[(RESV. STORGE) AJD]]/10</f>
        <v/>
      </c>
      <c r="AB316" s="3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32" t="n"/>
      <c r="AN316" s="32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TABL1234[[#This Row],[ (T/B) SAR]]+TABL1234[[#This Row],[ (S/S) SAR]]</f>
        <v/>
      </c>
      <c r="L317" s="28" t="n"/>
      <c r="M317" s="29" t="n"/>
      <c r="N317" s="30" t="n"/>
      <c r="O317" s="40" t="n"/>
      <c r="P317" s="9">
        <f>TABL1234[[#This Row],[ (S/S) SAR]]-TABL1234[[#This Row],[(S/S) AJD]]</f>
        <v/>
      </c>
      <c r="Q317" s="9" t="n"/>
      <c r="R317" s="9">
        <f>TABL1234[[#This Row],[ (T/B) SAR]]-TABL1234[[#This Row],[(T/B) AJD]]</f>
        <v/>
      </c>
      <c r="S317" s="9">
        <f>TABL1234[[#This Row],[T/B-CON.]]+TABL1234[[#This Row],[S/S_CON.]]</f>
        <v/>
      </c>
      <c r="T317" s="9">
        <f>TABL1234[[#This Row],[(S/S) AJD]]+TABL1234[[#This Row],[(T/B) AJD]]</f>
        <v/>
      </c>
      <c r="U317" s="9" t="n"/>
      <c r="V317" s="9" t="n"/>
      <c r="W317" s="9">
        <f>TABL1234[[#This Row],[(A/B) AJD]]+TABL1234[[#This Row],[(A/S) AJD]]</f>
        <v/>
      </c>
      <c r="X317" s="9">
        <f>TABL1234[[#This Row],[( S/S+T/B) AJD]]-TABL1234[[#This Row],[(A/B + A/S) AJD]]</f>
        <v/>
      </c>
      <c r="Y317" s="18" t="n"/>
      <c r="Z317" s="9" t="n"/>
      <c r="AA317" s="3">
        <f>TABL1234[[#This Row],[(RESV. STORGE) AJD]]/10</f>
        <v/>
      </c>
      <c r="AB317" s="3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32" t="n"/>
      <c r="AN317" s="32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TABL1234[[#This Row],[ (T/B) SAR]]+TABL1234[[#This Row],[ (S/S) SAR]]</f>
        <v/>
      </c>
      <c r="L318" s="28" t="n"/>
      <c r="M318" s="29" t="n"/>
      <c r="N318" s="30" t="n"/>
      <c r="O318" s="39" t="n"/>
      <c r="P318" s="9">
        <f>TABL1234[[#This Row],[ (S/S) SAR]]-TABL1234[[#This Row],[(S/S) AJD]]</f>
        <v/>
      </c>
      <c r="Q318" s="9" t="n"/>
      <c r="R318" s="9">
        <f>TABL1234[[#This Row],[ (T/B) SAR]]-TABL1234[[#This Row],[(T/B) AJD]]</f>
        <v/>
      </c>
      <c r="S318" s="9">
        <f>TABL1234[[#This Row],[T/B-CON.]]+TABL1234[[#This Row],[S/S_CON.]]</f>
        <v/>
      </c>
      <c r="T318" s="9">
        <f>TABL1234[[#This Row],[(S/S) AJD]]+TABL1234[[#This Row],[(T/B) AJD]]</f>
        <v/>
      </c>
      <c r="U318" s="9" t="n"/>
      <c r="V318" s="9" t="n"/>
      <c r="W318" s="9">
        <f>TABL1234[[#This Row],[(A/B) AJD]]+TABL1234[[#This Row],[(A/S) AJD]]</f>
        <v/>
      </c>
      <c r="X318" s="9">
        <f>TABL1234[[#This Row],[( S/S+T/B) AJD]]-TABL1234[[#This Row],[(A/B + A/S) AJD]]</f>
        <v/>
      </c>
      <c r="Y318" s="18" t="n"/>
      <c r="Z318" s="9" t="n"/>
      <c r="AA318" s="3">
        <f>TABL1234[[#This Row],[(RESV. STORGE) AJD]]/10</f>
        <v/>
      </c>
      <c r="AB318" s="3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32" t="n"/>
      <c r="AN318" s="32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TABL1234[[#This Row],[ (T/B) SAR]]+TABL1234[[#This Row],[ (S/S) SAR]]</f>
        <v/>
      </c>
      <c r="L319" s="28" t="n"/>
      <c r="M319" s="29" t="n"/>
      <c r="N319" s="30" t="n"/>
      <c r="O319" s="40" t="n"/>
      <c r="P319" s="9">
        <f>TABL1234[[#This Row],[ (S/S) SAR]]-TABL1234[[#This Row],[(S/S) AJD]]</f>
        <v/>
      </c>
      <c r="Q319" s="9" t="n"/>
      <c r="R319" s="9">
        <f>TABL1234[[#This Row],[ (T/B) SAR]]-TABL1234[[#This Row],[(T/B) AJD]]</f>
        <v/>
      </c>
      <c r="S319" s="9">
        <f>TABL1234[[#This Row],[T/B-CON.]]+TABL1234[[#This Row],[S/S_CON.]]</f>
        <v/>
      </c>
      <c r="T319" s="9">
        <f>TABL1234[[#This Row],[(S/S) AJD]]+TABL1234[[#This Row],[(T/B) AJD]]</f>
        <v/>
      </c>
      <c r="U319" s="9" t="n"/>
      <c r="V319" s="9" t="n"/>
      <c r="W319" s="9">
        <f>TABL1234[[#This Row],[(A/B) AJD]]+TABL1234[[#This Row],[(A/S) AJD]]</f>
        <v/>
      </c>
      <c r="X319" s="9">
        <f>TABL1234[[#This Row],[( S/S+T/B) AJD]]-TABL1234[[#This Row],[(A/B + A/S) AJD]]</f>
        <v/>
      </c>
      <c r="Y319" s="18" t="n"/>
      <c r="Z319" s="9" t="n"/>
      <c r="AA319" s="3">
        <f>TABL1234[[#This Row],[(RESV. STORGE) AJD]]/10</f>
        <v/>
      </c>
      <c r="AB319" s="3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32" t="n"/>
      <c r="AN319" s="32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TABL1234[[#This Row],[ (T/B) SAR]]+TABL1234[[#This Row],[ (S/S) SAR]]</f>
        <v/>
      </c>
      <c r="L320" s="28" t="n"/>
      <c r="M320" s="29" t="n"/>
      <c r="N320" s="30" t="n"/>
      <c r="O320" s="39" t="n"/>
      <c r="P320" s="9">
        <f>TABL1234[[#This Row],[ (S/S) SAR]]-TABL1234[[#This Row],[(S/S) AJD]]</f>
        <v/>
      </c>
      <c r="Q320" s="9" t="n"/>
      <c r="R320" s="9">
        <f>TABL1234[[#This Row],[ (T/B) SAR]]-TABL1234[[#This Row],[(T/B) AJD]]</f>
        <v/>
      </c>
      <c r="S320" s="9">
        <f>TABL1234[[#This Row],[T/B-CON.]]+TABL1234[[#This Row],[S/S_CON.]]</f>
        <v/>
      </c>
      <c r="T320" s="9">
        <f>TABL1234[[#This Row],[(S/S) AJD]]+TABL1234[[#This Row],[(T/B) AJD]]</f>
        <v/>
      </c>
      <c r="U320" s="9" t="n"/>
      <c r="V320" s="9" t="n"/>
      <c r="W320" s="9">
        <f>TABL1234[[#This Row],[(A/B) AJD]]+TABL1234[[#This Row],[(A/S) AJD]]</f>
        <v/>
      </c>
      <c r="X320" s="9">
        <f>TABL1234[[#This Row],[( S/S+T/B) AJD]]-TABL1234[[#This Row],[(A/B + A/S) AJD]]</f>
        <v/>
      </c>
      <c r="Y320" s="18" t="n"/>
      <c r="Z320" s="9" t="n"/>
      <c r="AA320" s="3">
        <f>TABL1234[[#This Row],[(RESV. STORGE) AJD]]/10</f>
        <v/>
      </c>
      <c r="AB320" s="3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32" t="n"/>
      <c r="AN320" s="32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TABL1234[[#This Row],[ (T/B) SAR]]+TABL1234[[#This Row],[ (S/S) SAR]]</f>
        <v/>
      </c>
      <c r="L321" s="28" t="n"/>
      <c r="M321" s="29" t="n"/>
      <c r="N321" s="30" t="n"/>
      <c r="O321" s="40" t="n"/>
      <c r="P321" s="9">
        <f>TABL1234[[#This Row],[ (S/S) SAR]]-TABL1234[[#This Row],[(S/S) AJD]]</f>
        <v/>
      </c>
      <c r="Q321" s="9" t="n"/>
      <c r="R321" s="9">
        <f>TABL1234[[#This Row],[ (T/B) SAR]]-TABL1234[[#This Row],[(T/B) AJD]]</f>
        <v/>
      </c>
      <c r="S321" s="9">
        <f>TABL1234[[#This Row],[T/B-CON.]]+TABL1234[[#This Row],[S/S_CON.]]</f>
        <v/>
      </c>
      <c r="T321" s="9">
        <f>TABL1234[[#This Row],[(S/S) AJD]]+TABL1234[[#This Row],[(T/B) AJD]]</f>
        <v/>
      </c>
      <c r="U321" s="9" t="n"/>
      <c r="V321" s="9" t="n"/>
      <c r="W321" s="9">
        <f>TABL1234[[#This Row],[(A/B) AJD]]+TABL1234[[#This Row],[(A/S) AJD]]</f>
        <v/>
      </c>
      <c r="X321" s="9">
        <f>TABL1234[[#This Row],[( S/S+T/B) AJD]]-TABL1234[[#This Row],[(A/B + A/S) AJD]]</f>
        <v/>
      </c>
      <c r="Y321" s="18" t="n"/>
      <c r="Z321" s="9" t="n"/>
      <c r="AA321" s="3">
        <f>TABL1234[[#This Row],[(RESV. STORGE) AJD]]/10</f>
        <v/>
      </c>
      <c r="AB321" s="3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32" t="n"/>
      <c r="AN321" s="32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TABL1234[[#This Row],[ (T/B) SAR]]+TABL1234[[#This Row],[ (S/S) SAR]]</f>
        <v/>
      </c>
      <c r="L322" s="28" t="n"/>
      <c r="M322" s="29" t="n"/>
      <c r="N322" s="30" t="n"/>
      <c r="O322" s="39" t="n"/>
      <c r="P322" s="9">
        <f>TABL1234[[#This Row],[ (S/S) SAR]]-TABL1234[[#This Row],[(S/S) AJD]]</f>
        <v/>
      </c>
      <c r="Q322" s="9" t="n"/>
      <c r="R322" s="9">
        <f>TABL1234[[#This Row],[ (T/B) SAR]]-TABL1234[[#This Row],[(T/B) AJD]]</f>
        <v/>
      </c>
      <c r="S322" s="9">
        <f>TABL1234[[#This Row],[T/B-CON.]]+TABL1234[[#This Row],[S/S_CON.]]</f>
        <v/>
      </c>
      <c r="T322" s="9">
        <f>TABL1234[[#This Row],[(S/S) AJD]]+TABL1234[[#This Row],[(T/B) AJD]]</f>
        <v/>
      </c>
      <c r="U322" s="9" t="n"/>
      <c r="V322" s="9" t="n"/>
      <c r="W322" s="9">
        <f>TABL1234[[#This Row],[(A/B) AJD]]+TABL1234[[#This Row],[(A/S) AJD]]</f>
        <v/>
      </c>
      <c r="X322" s="9">
        <f>TABL1234[[#This Row],[( S/S+T/B) AJD]]-TABL1234[[#This Row],[(A/B + A/S) AJD]]</f>
        <v/>
      </c>
      <c r="Y322" s="18" t="n"/>
      <c r="Z322" s="9" t="n"/>
      <c r="AA322" s="3">
        <f>TABL1234[[#This Row],[(RESV. STORGE) AJD]]/10</f>
        <v/>
      </c>
      <c r="AB322" s="3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32" t="n"/>
      <c r="AN322" s="32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TABL1234[[#This Row],[ (T/B) SAR]]+TABL1234[[#This Row],[ (S/S) SAR]]</f>
        <v/>
      </c>
      <c r="L323" s="28" t="n"/>
      <c r="M323" s="29" t="n"/>
      <c r="N323" s="30" t="n"/>
      <c r="O323" s="40" t="n"/>
      <c r="P323" s="9">
        <f>TABL1234[[#This Row],[ (S/S) SAR]]-TABL1234[[#This Row],[(S/S) AJD]]</f>
        <v/>
      </c>
      <c r="Q323" s="9" t="n"/>
      <c r="R323" s="9">
        <f>TABL1234[[#This Row],[ (T/B) SAR]]-TABL1234[[#This Row],[(T/B) AJD]]</f>
        <v/>
      </c>
      <c r="S323" s="9">
        <f>TABL1234[[#This Row],[T/B-CON.]]+TABL1234[[#This Row],[S/S_CON.]]</f>
        <v/>
      </c>
      <c r="T323" s="9">
        <f>TABL1234[[#This Row],[(S/S) AJD]]+TABL1234[[#This Row],[(T/B) AJD]]</f>
        <v/>
      </c>
      <c r="U323" s="9" t="n"/>
      <c r="V323" s="9" t="n"/>
      <c r="W323" s="9">
        <f>TABL1234[[#This Row],[(A/B) AJD]]+TABL1234[[#This Row],[(A/S) AJD]]</f>
        <v/>
      </c>
      <c r="X323" s="9">
        <f>TABL1234[[#This Row],[( S/S+T/B) AJD]]-TABL1234[[#This Row],[(A/B + A/S) AJD]]</f>
        <v/>
      </c>
      <c r="Y323" s="18" t="n"/>
      <c r="Z323" s="9" t="n"/>
      <c r="AA323" s="3">
        <f>TABL1234[[#This Row],[(RESV. STORGE) AJD]]/10</f>
        <v/>
      </c>
      <c r="AB323" s="3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32" t="n"/>
      <c r="AN323" s="32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TABL1234[[#This Row],[ (T/B) SAR]]+TABL1234[[#This Row],[ (S/S) SAR]]</f>
        <v/>
      </c>
      <c r="L324" s="28" t="n"/>
      <c r="M324" s="29" t="n"/>
      <c r="N324" s="30" t="n"/>
      <c r="O324" s="39" t="n"/>
      <c r="P324" s="9">
        <f>TABL1234[[#This Row],[ (S/S) SAR]]-TABL1234[[#This Row],[(S/S) AJD]]</f>
        <v/>
      </c>
      <c r="Q324" s="9" t="n"/>
      <c r="R324" s="9">
        <f>TABL1234[[#This Row],[ (T/B) SAR]]-TABL1234[[#This Row],[(T/B) AJD]]</f>
        <v/>
      </c>
      <c r="S324" s="9">
        <f>TABL1234[[#This Row],[T/B-CON.]]+TABL1234[[#This Row],[S/S_CON.]]</f>
        <v/>
      </c>
      <c r="T324" s="9">
        <f>TABL1234[[#This Row],[(S/S) AJD]]+TABL1234[[#This Row],[(T/B) AJD]]</f>
        <v/>
      </c>
      <c r="U324" s="9" t="n"/>
      <c r="V324" s="9" t="n"/>
      <c r="W324" s="9">
        <f>TABL1234[[#This Row],[(A/B) AJD]]+TABL1234[[#This Row],[(A/S) AJD]]</f>
        <v/>
      </c>
      <c r="X324" s="9">
        <f>TABL1234[[#This Row],[( S/S+T/B) AJD]]-TABL1234[[#This Row],[(A/B + A/S) AJD]]</f>
        <v/>
      </c>
      <c r="Y324" s="18" t="n"/>
      <c r="Z324" s="9" t="n"/>
      <c r="AA324" s="3">
        <f>TABL1234[[#This Row],[(RESV. STORGE) AJD]]/10</f>
        <v/>
      </c>
      <c r="AB324" s="3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32" t="n"/>
      <c r="AN324" s="32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TABL1234[[#This Row],[ (T/B) SAR]]+TABL1234[[#This Row],[ (S/S) SAR]]</f>
        <v/>
      </c>
      <c r="L325" s="28" t="n"/>
      <c r="M325" s="29" t="n"/>
      <c r="N325" s="30" t="n"/>
      <c r="O325" s="40" t="n"/>
      <c r="P325" s="9">
        <f>TABL1234[[#This Row],[ (S/S) SAR]]-TABL1234[[#This Row],[(S/S) AJD]]</f>
        <v/>
      </c>
      <c r="Q325" s="9" t="n"/>
      <c r="R325" s="9">
        <f>TABL1234[[#This Row],[ (T/B) SAR]]-TABL1234[[#This Row],[(T/B) AJD]]</f>
        <v/>
      </c>
      <c r="S325" s="9">
        <f>TABL1234[[#This Row],[T/B-CON.]]+TABL1234[[#This Row],[S/S_CON.]]</f>
        <v/>
      </c>
      <c r="T325" s="9">
        <f>TABL1234[[#This Row],[(S/S) AJD]]+TABL1234[[#This Row],[(T/B) AJD]]</f>
        <v/>
      </c>
      <c r="U325" s="9" t="n"/>
      <c r="V325" s="9" t="n"/>
      <c r="W325" s="9">
        <f>TABL1234[[#This Row],[(A/B) AJD]]+TABL1234[[#This Row],[(A/S) AJD]]</f>
        <v/>
      </c>
      <c r="X325" s="9">
        <f>TABL1234[[#This Row],[( S/S+T/B) AJD]]-TABL1234[[#This Row],[(A/B + A/S) AJD]]</f>
        <v/>
      </c>
      <c r="Y325" s="18" t="n"/>
      <c r="Z325" s="9" t="n"/>
      <c r="AA325" s="3">
        <f>TABL1234[[#This Row],[(RESV. STORGE) AJD]]/10</f>
        <v/>
      </c>
      <c r="AB325" s="3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32" t="n"/>
      <c r="AN325" s="32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TABL1234[[#This Row],[ (T/B) SAR]]+TABL1234[[#This Row],[ (S/S) SAR]]</f>
        <v/>
      </c>
      <c r="L326" s="28" t="n"/>
      <c r="M326" s="29" t="n"/>
      <c r="N326" s="30" t="n"/>
      <c r="O326" s="39" t="n"/>
      <c r="P326" s="9">
        <f>TABL1234[[#This Row],[ (S/S) SAR]]-TABL1234[[#This Row],[(S/S) AJD]]</f>
        <v/>
      </c>
      <c r="Q326" s="9" t="n"/>
      <c r="R326" s="9">
        <f>TABL1234[[#This Row],[ (T/B) SAR]]-TABL1234[[#This Row],[(T/B) AJD]]</f>
        <v/>
      </c>
      <c r="S326" s="9">
        <f>TABL1234[[#This Row],[T/B-CON.]]+TABL1234[[#This Row],[S/S_CON.]]</f>
        <v/>
      </c>
      <c r="T326" s="9">
        <f>TABL1234[[#This Row],[(S/S) AJD]]+TABL1234[[#This Row],[(T/B) AJD]]</f>
        <v/>
      </c>
      <c r="U326" s="9" t="n"/>
      <c r="V326" s="9" t="n"/>
      <c r="W326" s="9">
        <f>TABL1234[[#This Row],[(A/B) AJD]]+TABL1234[[#This Row],[(A/S) AJD]]</f>
        <v/>
      </c>
      <c r="X326" s="9">
        <f>TABL1234[[#This Row],[( S/S+T/B) AJD]]-TABL1234[[#This Row],[(A/B + A/S) AJD]]</f>
        <v/>
      </c>
      <c r="Y326" s="18" t="n"/>
      <c r="Z326" s="9" t="n"/>
      <c r="AA326" s="3">
        <f>TABL1234[[#This Row],[(RESV. STORGE) AJD]]/10</f>
        <v/>
      </c>
      <c r="AB326" s="3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32" t="n"/>
      <c r="AN326" s="32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TABL1234[[#This Row],[ (T/B) SAR]]+TABL1234[[#This Row],[ (S/S) SAR]]</f>
        <v/>
      </c>
      <c r="L327" s="28" t="n"/>
      <c r="M327" s="29" t="n"/>
      <c r="N327" s="30" t="n"/>
      <c r="O327" s="40" t="n"/>
      <c r="P327" s="9">
        <f>TABL1234[[#This Row],[ (S/S) SAR]]-TABL1234[[#This Row],[(S/S) AJD]]</f>
        <v/>
      </c>
      <c r="Q327" s="9" t="n"/>
      <c r="R327" s="9">
        <f>TABL1234[[#This Row],[ (T/B) SAR]]-TABL1234[[#This Row],[(T/B) AJD]]</f>
        <v/>
      </c>
      <c r="S327" s="9">
        <f>TABL1234[[#This Row],[T/B-CON.]]+TABL1234[[#This Row],[S/S_CON.]]</f>
        <v/>
      </c>
      <c r="T327" s="9">
        <f>TABL1234[[#This Row],[(S/S) AJD]]+TABL1234[[#This Row],[(T/B) AJD]]</f>
        <v/>
      </c>
      <c r="U327" s="9" t="n"/>
      <c r="V327" s="9" t="n"/>
      <c r="W327" s="9">
        <f>TABL1234[[#This Row],[(A/B) AJD]]+TABL1234[[#This Row],[(A/S) AJD]]</f>
        <v/>
      </c>
      <c r="X327" s="9">
        <f>TABL1234[[#This Row],[( S/S+T/B) AJD]]-TABL1234[[#This Row],[(A/B + A/S) AJD]]</f>
        <v/>
      </c>
      <c r="Y327" s="18" t="n"/>
      <c r="Z327" s="9" t="n"/>
      <c r="AA327" s="3">
        <f>TABL1234[[#This Row],[(RESV. STORGE) AJD]]/10</f>
        <v/>
      </c>
      <c r="AB327" s="3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32" t="n"/>
      <c r="AN327" s="32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TABL1234[[#This Row],[ (T/B) SAR]]+TABL1234[[#This Row],[ (S/S) SAR]]</f>
        <v/>
      </c>
      <c r="L328" s="28" t="n"/>
      <c r="M328" s="29" t="n"/>
      <c r="N328" s="30" t="n"/>
      <c r="O328" s="39" t="n"/>
      <c r="P328" s="9">
        <f>TABL1234[[#This Row],[ (S/S) SAR]]-TABL1234[[#This Row],[(S/S) AJD]]</f>
        <v/>
      </c>
      <c r="Q328" s="9" t="n"/>
      <c r="R328" s="9">
        <f>TABL1234[[#This Row],[ (T/B) SAR]]-TABL1234[[#This Row],[(T/B) AJD]]</f>
        <v/>
      </c>
      <c r="S328" s="9">
        <f>TABL1234[[#This Row],[T/B-CON.]]+TABL1234[[#This Row],[S/S_CON.]]</f>
        <v/>
      </c>
      <c r="T328" s="9">
        <f>TABL1234[[#This Row],[(S/S) AJD]]+TABL1234[[#This Row],[(T/B) AJD]]</f>
        <v/>
      </c>
      <c r="U328" s="9" t="n"/>
      <c r="V328" s="9" t="n"/>
      <c r="W328" s="9">
        <f>TABL1234[[#This Row],[(A/B) AJD]]+TABL1234[[#This Row],[(A/S) AJD]]</f>
        <v/>
      </c>
      <c r="X328" s="9">
        <f>TABL1234[[#This Row],[( S/S+T/B) AJD]]-TABL1234[[#This Row],[(A/B + A/S) AJD]]</f>
        <v/>
      </c>
      <c r="Y328" s="18" t="n"/>
      <c r="Z328" s="9" t="n"/>
      <c r="AA328" s="3">
        <f>TABL1234[[#This Row],[(RESV. STORGE) AJD]]/10</f>
        <v/>
      </c>
      <c r="AB328" s="3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32" t="n"/>
      <c r="AN328" s="32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TABL1234[[#This Row],[ (T/B) SAR]]+TABL1234[[#This Row],[ (S/S) SAR]]</f>
        <v/>
      </c>
      <c r="L329" s="28" t="n"/>
      <c r="M329" s="29" t="n"/>
      <c r="N329" s="30" t="n"/>
      <c r="O329" s="40" t="n"/>
      <c r="P329" s="9">
        <f>TABL1234[[#This Row],[ (S/S) SAR]]-TABL1234[[#This Row],[(S/S) AJD]]</f>
        <v/>
      </c>
      <c r="Q329" s="9" t="n"/>
      <c r="R329" s="9">
        <f>TABL1234[[#This Row],[ (T/B) SAR]]-TABL1234[[#This Row],[(T/B) AJD]]</f>
        <v/>
      </c>
      <c r="S329" s="9">
        <f>TABL1234[[#This Row],[T/B-CON.]]+TABL1234[[#This Row],[S/S_CON.]]</f>
        <v/>
      </c>
      <c r="T329" s="9">
        <f>TABL1234[[#This Row],[(S/S) AJD]]+TABL1234[[#This Row],[(T/B) AJD]]</f>
        <v/>
      </c>
      <c r="U329" s="9" t="n"/>
      <c r="V329" s="9" t="n"/>
      <c r="W329" s="9">
        <f>TABL1234[[#This Row],[(A/B) AJD]]+TABL1234[[#This Row],[(A/S) AJD]]</f>
        <v/>
      </c>
      <c r="X329" s="9">
        <f>TABL1234[[#This Row],[( S/S+T/B) AJD]]-TABL1234[[#This Row],[(A/B + A/S) AJD]]</f>
        <v/>
      </c>
      <c r="Y329" s="18" t="n"/>
      <c r="Z329" s="9" t="n"/>
      <c r="AA329" s="3">
        <f>TABL1234[[#This Row],[(RESV. STORGE) AJD]]/10</f>
        <v/>
      </c>
      <c r="AB329" s="3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32" t="n"/>
      <c r="AN329" s="32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TABL1234[[#This Row],[ (T/B) SAR]]+TABL1234[[#This Row],[ (S/S) SAR]]</f>
        <v/>
      </c>
      <c r="L330" s="28" t="n"/>
      <c r="M330" s="29" t="n"/>
      <c r="N330" s="30" t="n"/>
      <c r="O330" s="39" t="n"/>
      <c r="P330" s="9">
        <f>TABL1234[[#This Row],[ (S/S) SAR]]-TABL1234[[#This Row],[(S/S) AJD]]</f>
        <v/>
      </c>
      <c r="Q330" s="9" t="n"/>
      <c r="R330" s="9">
        <f>TABL1234[[#This Row],[ (T/B) SAR]]-TABL1234[[#This Row],[(T/B) AJD]]</f>
        <v/>
      </c>
      <c r="S330" s="9">
        <f>TABL1234[[#This Row],[T/B-CON.]]+TABL1234[[#This Row],[S/S_CON.]]</f>
        <v/>
      </c>
      <c r="T330" s="9">
        <f>TABL1234[[#This Row],[(S/S) AJD]]+TABL1234[[#This Row],[(T/B) AJD]]</f>
        <v/>
      </c>
      <c r="U330" s="9" t="n"/>
      <c r="V330" s="9" t="n"/>
      <c r="W330" s="9">
        <f>TABL1234[[#This Row],[(A/B) AJD]]+TABL1234[[#This Row],[(A/S) AJD]]</f>
        <v/>
      </c>
      <c r="X330" s="9">
        <f>TABL1234[[#This Row],[( S/S+T/B) AJD]]-TABL1234[[#This Row],[(A/B + A/S) AJD]]</f>
        <v/>
      </c>
      <c r="Y330" s="18" t="n"/>
      <c r="Z330" s="9" t="n"/>
      <c r="AA330" s="3">
        <f>TABL1234[[#This Row],[(RESV. STORGE) AJD]]/10</f>
        <v/>
      </c>
      <c r="AB330" s="3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32" t="n"/>
      <c r="AN330" s="32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TABL1234[[#This Row],[ (T/B) SAR]]+TABL1234[[#This Row],[ (S/S) SAR]]</f>
        <v/>
      </c>
      <c r="L331" s="28" t="n"/>
      <c r="M331" s="29" t="n"/>
      <c r="N331" s="30" t="n"/>
      <c r="O331" s="40" t="n"/>
      <c r="P331" s="9">
        <f>TABL1234[[#This Row],[ (S/S) SAR]]-TABL1234[[#This Row],[(S/S) AJD]]</f>
        <v/>
      </c>
      <c r="Q331" s="9" t="n"/>
      <c r="R331" s="9">
        <f>TABL1234[[#This Row],[ (T/B) SAR]]-TABL1234[[#This Row],[(T/B) AJD]]</f>
        <v/>
      </c>
      <c r="S331" s="9">
        <f>TABL1234[[#This Row],[T/B-CON.]]+TABL1234[[#This Row],[S/S_CON.]]</f>
        <v/>
      </c>
      <c r="T331" s="9">
        <f>TABL1234[[#This Row],[(S/S) AJD]]+TABL1234[[#This Row],[(T/B) AJD]]</f>
        <v/>
      </c>
      <c r="U331" s="9" t="n"/>
      <c r="V331" s="9" t="n"/>
      <c r="W331" s="9">
        <f>TABL1234[[#This Row],[(A/B) AJD]]+TABL1234[[#This Row],[(A/S) AJD]]</f>
        <v/>
      </c>
      <c r="X331" s="9">
        <f>TABL1234[[#This Row],[( S/S+T/B) AJD]]-TABL1234[[#This Row],[(A/B + A/S) AJD]]</f>
        <v/>
      </c>
      <c r="Y331" s="18" t="n"/>
      <c r="Z331" s="9" t="n"/>
      <c r="AA331" s="3">
        <f>TABL1234[[#This Row],[(RESV. STORGE) AJD]]/10</f>
        <v/>
      </c>
      <c r="AB331" s="3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32" t="n"/>
      <c r="AN331" s="32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TABL1234[[#This Row],[ (T/B) SAR]]+TABL1234[[#This Row],[ (S/S) SAR]]</f>
        <v/>
      </c>
      <c r="L332" s="28" t="n"/>
      <c r="M332" s="29" t="n"/>
      <c r="N332" s="30" t="n"/>
      <c r="O332" s="39" t="n"/>
      <c r="P332" s="9">
        <f>TABL1234[[#This Row],[ (S/S) SAR]]-TABL1234[[#This Row],[(S/S) AJD]]</f>
        <v/>
      </c>
      <c r="Q332" s="9" t="n"/>
      <c r="R332" s="9">
        <f>TABL1234[[#This Row],[ (T/B) SAR]]-TABL1234[[#This Row],[(T/B) AJD]]</f>
        <v/>
      </c>
      <c r="S332" s="9">
        <f>TABL1234[[#This Row],[T/B-CON.]]+TABL1234[[#This Row],[S/S_CON.]]</f>
        <v/>
      </c>
      <c r="T332" s="9">
        <f>TABL1234[[#This Row],[(S/S) AJD]]+TABL1234[[#This Row],[(T/B) AJD]]</f>
        <v/>
      </c>
      <c r="U332" s="9" t="n"/>
      <c r="V332" s="9" t="n"/>
      <c r="W332" s="9">
        <f>TABL1234[[#This Row],[(A/B) AJD]]+TABL1234[[#This Row],[(A/S) AJD]]</f>
        <v/>
      </c>
      <c r="X332" s="9">
        <f>TABL1234[[#This Row],[( S/S+T/B) AJD]]-TABL1234[[#This Row],[(A/B + A/S) AJD]]</f>
        <v/>
      </c>
      <c r="Y332" s="18" t="n"/>
      <c r="Z332" s="9" t="n"/>
      <c r="AA332" s="3">
        <f>TABL1234[[#This Row],[(RESV. STORGE) AJD]]/10</f>
        <v/>
      </c>
      <c r="AB332" s="3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32" t="n"/>
      <c r="AN332" s="32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TABL1234[[#This Row],[ (T/B) SAR]]+TABL1234[[#This Row],[ (S/S) SAR]]</f>
        <v/>
      </c>
      <c r="L333" s="28" t="n"/>
      <c r="M333" s="29" t="n"/>
      <c r="N333" s="30" t="n"/>
      <c r="O333" s="40" t="n"/>
      <c r="P333" s="9">
        <f>TABL1234[[#This Row],[ (S/S) SAR]]-TABL1234[[#This Row],[(S/S) AJD]]</f>
        <v/>
      </c>
      <c r="Q333" s="9" t="n"/>
      <c r="R333" s="9">
        <f>TABL1234[[#This Row],[ (T/B) SAR]]-TABL1234[[#This Row],[(T/B) AJD]]</f>
        <v/>
      </c>
      <c r="S333" s="9">
        <f>TABL1234[[#This Row],[T/B-CON.]]+TABL1234[[#This Row],[S/S_CON.]]</f>
        <v/>
      </c>
      <c r="T333" s="9">
        <f>TABL1234[[#This Row],[(S/S) AJD]]+TABL1234[[#This Row],[(T/B) AJD]]</f>
        <v/>
      </c>
      <c r="U333" s="9" t="n"/>
      <c r="V333" s="9" t="n"/>
      <c r="W333" s="9">
        <f>TABL1234[[#This Row],[(A/B) AJD]]+TABL1234[[#This Row],[(A/S) AJD]]</f>
        <v/>
      </c>
      <c r="X333" s="9">
        <f>TABL1234[[#This Row],[( S/S+T/B) AJD]]-TABL1234[[#This Row],[(A/B + A/S) AJD]]</f>
        <v/>
      </c>
      <c r="Y333" s="18" t="n"/>
      <c r="Z333" s="9" t="n"/>
      <c r="AA333" s="3">
        <f>TABL1234[[#This Row],[(RESV. STORGE) AJD]]/10</f>
        <v/>
      </c>
      <c r="AB333" s="3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32" t="n"/>
      <c r="AN333" s="32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TABL1234[[#This Row],[ (T/B) SAR]]+TABL1234[[#This Row],[ (S/S) SAR]]</f>
        <v/>
      </c>
      <c r="L334" s="28" t="n"/>
      <c r="M334" s="29" t="n"/>
      <c r="N334" s="30" t="n"/>
      <c r="O334" s="39" t="n"/>
      <c r="P334" s="9">
        <f>TABL1234[[#This Row],[ (S/S) SAR]]-TABL1234[[#This Row],[(S/S) AJD]]</f>
        <v/>
      </c>
      <c r="Q334" s="9" t="n"/>
      <c r="R334" s="9">
        <f>TABL1234[[#This Row],[ (T/B) SAR]]-TABL1234[[#This Row],[(T/B) AJD]]</f>
        <v/>
      </c>
      <c r="S334" s="9">
        <f>TABL1234[[#This Row],[T/B-CON.]]+TABL1234[[#This Row],[S/S_CON.]]</f>
        <v/>
      </c>
      <c r="T334" s="9">
        <f>TABL1234[[#This Row],[(S/S) AJD]]+TABL1234[[#This Row],[(T/B) AJD]]</f>
        <v/>
      </c>
      <c r="U334" s="9" t="n"/>
      <c r="V334" s="9" t="n"/>
      <c r="W334" s="9">
        <f>TABL1234[[#This Row],[(A/B) AJD]]+TABL1234[[#This Row],[(A/S) AJD]]</f>
        <v/>
      </c>
      <c r="X334" s="9">
        <f>TABL1234[[#This Row],[( S/S+T/B) AJD]]-TABL1234[[#This Row],[(A/B + A/S) AJD]]</f>
        <v/>
      </c>
      <c r="Y334" s="18" t="n"/>
      <c r="Z334" s="9" t="n"/>
      <c r="AA334" s="3">
        <f>TABL1234[[#This Row],[(RESV. STORGE) AJD]]/10</f>
        <v/>
      </c>
      <c r="AB334" s="3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32" t="n"/>
      <c r="AN334" s="32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TABL1234[[#This Row],[ (T/B) SAR]]+TABL1234[[#This Row],[ (S/S) SAR]]</f>
        <v/>
      </c>
      <c r="L335" s="28" t="n"/>
      <c r="M335" s="29" t="n"/>
      <c r="N335" s="30" t="n"/>
      <c r="O335" s="40" t="n"/>
      <c r="P335" s="9">
        <f>TABL1234[[#This Row],[ (S/S) SAR]]-TABL1234[[#This Row],[(S/S) AJD]]</f>
        <v/>
      </c>
      <c r="Q335" s="9" t="n"/>
      <c r="R335" s="9">
        <f>TABL1234[[#This Row],[ (T/B) SAR]]-TABL1234[[#This Row],[(T/B) AJD]]</f>
        <v/>
      </c>
      <c r="S335" s="9">
        <f>TABL1234[[#This Row],[T/B-CON.]]+TABL1234[[#This Row],[S/S_CON.]]</f>
        <v/>
      </c>
      <c r="T335" s="9">
        <f>TABL1234[[#This Row],[(S/S) AJD]]+TABL1234[[#This Row],[(T/B) AJD]]</f>
        <v/>
      </c>
      <c r="U335" s="9" t="n"/>
      <c r="V335" s="9" t="n"/>
      <c r="W335" s="9">
        <f>TABL1234[[#This Row],[(A/B) AJD]]+TABL1234[[#This Row],[(A/S) AJD]]</f>
        <v/>
      </c>
      <c r="X335" s="9">
        <f>TABL1234[[#This Row],[( S/S+T/B) AJD]]-TABL1234[[#This Row],[(A/B + A/S) AJD]]</f>
        <v/>
      </c>
      <c r="Y335" s="18" t="n"/>
      <c r="Z335" s="9" t="n"/>
      <c r="AA335" s="3">
        <f>TABL1234[[#This Row],[(RESV. STORGE) AJD]]/10</f>
        <v/>
      </c>
      <c r="AB335" s="3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32" t="n"/>
      <c r="AN335" s="32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TABL1234[[#This Row],[ (T/B) SAR]]+TABL1234[[#This Row],[ (S/S) SAR]]</f>
        <v/>
      </c>
      <c r="L336" s="41" t="n"/>
      <c r="M336" s="42" t="n"/>
      <c r="N336" s="42" t="n"/>
      <c r="O336" s="39" t="n"/>
      <c r="P336" s="9">
        <f>TABL1234[[#This Row],[ (S/S) SAR]]-TABL1234[[#This Row],[(S/S) AJD]]</f>
        <v/>
      </c>
      <c r="Q336" s="39" t="n"/>
      <c r="R336" s="9">
        <f>TABL1234[[#This Row],[ (T/B) SAR]]-TABL1234[[#This Row],[(T/B) AJD]]</f>
        <v/>
      </c>
      <c r="S336" s="9">
        <f>TABL1234[[#This Row],[T/B-CON.]]+TABL1234[[#This Row],[S/S_CON.]]</f>
        <v/>
      </c>
      <c r="T336" s="9">
        <f>TABL1234[[#This Row],[(S/S) AJD]]+TABL1234[[#This Row],[(T/B) AJD]]</f>
        <v/>
      </c>
      <c r="U336" s="41" t="n"/>
      <c r="V336" s="41" t="n"/>
      <c r="W336" s="9">
        <f>TABL1234[[#This Row],[(A/B) AJD]]+TABL1234[[#This Row],[(A/S) AJD]]</f>
        <v/>
      </c>
      <c r="X336" s="9">
        <f>TABL1234[[#This Row],[( S/S+T/B) AJD]]-TABL1234[[#This Row],[(A/B + A/S) AJD]]</f>
        <v/>
      </c>
      <c r="Y336" s="41" t="n"/>
      <c r="Z336" s="43" t="n"/>
      <c r="AA336" s="3">
        <f>TABL1234[[#This Row],[(RESV. STORGE) AJD]]/10</f>
        <v/>
      </c>
      <c r="AB336" s="3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32" t="n"/>
      <c r="AN336" s="32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TABL1234[[#This Row],[ (T/B) SAR]]+TABL1234[[#This Row],[ (S/S) SAR]]</f>
        <v/>
      </c>
      <c r="L337" s="45" t="n"/>
      <c r="M337" s="46" t="n"/>
      <c r="N337" s="46" t="n"/>
      <c r="O337" s="40" t="n"/>
      <c r="P337" s="9">
        <f>TABL1234[[#This Row],[ (S/S) SAR]]-TABL1234[[#This Row],[(S/S) AJD]]</f>
        <v/>
      </c>
      <c r="Q337" s="40" t="n"/>
      <c r="R337" s="9">
        <f>TABL1234[[#This Row],[ (T/B) SAR]]-TABL1234[[#This Row],[(T/B) AJD]]</f>
        <v/>
      </c>
      <c r="S337" s="9">
        <f>TABL1234[[#This Row],[T/B-CON.]]+TABL1234[[#This Row],[S/S_CON.]]</f>
        <v/>
      </c>
      <c r="T337" s="9">
        <f>TABL1234[[#This Row],[(S/S) AJD]]+TABL1234[[#This Row],[(T/B) AJD]]</f>
        <v/>
      </c>
      <c r="U337" s="44" t="n"/>
      <c r="V337" s="44" t="n"/>
      <c r="W337" s="9">
        <f>TABL1234[[#This Row],[(A/B) AJD]]+TABL1234[[#This Row],[(A/S) AJD]]</f>
        <v/>
      </c>
      <c r="X337" s="9">
        <f>TABL1234[[#This Row],[( S/S+T/B) AJD]]-TABL1234[[#This Row],[(A/B + A/S) AJD]]</f>
        <v/>
      </c>
      <c r="Y337" s="44" t="n"/>
      <c r="Z337" s="45" t="n"/>
      <c r="AA337" s="3">
        <f>TABL1234[[#This Row],[(RESV. STORGE) AJD]]/10</f>
        <v/>
      </c>
      <c r="AB337" s="3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32" t="n"/>
      <c r="AN337" s="32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TABL1234[[#This Row],[ (T/B) SAR]]+TABL1234[[#This Row],[ (S/S) SAR]]</f>
        <v/>
      </c>
      <c r="L338" s="41" t="n"/>
      <c r="M338" s="42" t="n"/>
      <c r="N338" s="42" t="n"/>
      <c r="O338" s="39" t="n"/>
      <c r="P338" s="9">
        <f>TABL1234[[#This Row],[ (S/S) SAR]]-TABL1234[[#This Row],[(S/S) AJD]]</f>
        <v/>
      </c>
      <c r="Q338" s="39" t="n"/>
      <c r="R338" s="9">
        <f>TABL1234[[#This Row],[ (T/B) SAR]]-TABL1234[[#This Row],[(T/B) AJD]]</f>
        <v/>
      </c>
      <c r="S338" s="9">
        <f>TABL1234[[#This Row],[T/B-CON.]]+TABL1234[[#This Row],[S/S_CON.]]</f>
        <v/>
      </c>
      <c r="T338" s="9">
        <f>TABL1234[[#This Row],[(S/S) AJD]]+TABL1234[[#This Row],[(T/B) AJD]]</f>
        <v/>
      </c>
      <c r="U338" s="41" t="n"/>
      <c r="V338" s="41" t="n"/>
      <c r="W338" s="9">
        <f>TABL1234[[#This Row],[(A/B) AJD]]+TABL1234[[#This Row],[(A/S) AJD]]</f>
        <v/>
      </c>
      <c r="X338" s="9">
        <f>TABL1234[[#This Row],[( S/S+T/B) AJD]]-TABL1234[[#This Row],[(A/B + A/S) AJD]]</f>
        <v/>
      </c>
      <c r="Y338" s="41" t="n"/>
      <c r="Z338" s="43" t="n"/>
      <c r="AA338" s="3">
        <f>TABL1234[[#This Row],[(RESV. STORGE) AJD]]/10</f>
        <v/>
      </c>
      <c r="AB338" s="3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32" t="n"/>
      <c r="AN338" s="32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TABL1234[[#This Row],[ (T/B) SAR]]+TABL1234[[#This Row],[ (S/S) SAR]]</f>
        <v/>
      </c>
      <c r="L339" s="45" t="n"/>
      <c r="M339" s="46" t="n"/>
      <c r="N339" s="46" t="n"/>
      <c r="O339" s="40" t="n"/>
      <c r="P339" s="9">
        <f>TABL1234[[#This Row],[ (S/S) SAR]]-TABL1234[[#This Row],[(S/S) AJD]]</f>
        <v/>
      </c>
      <c r="Q339" s="40" t="n"/>
      <c r="R339" s="9">
        <f>TABL1234[[#This Row],[ (T/B) SAR]]-TABL1234[[#This Row],[(T/B) AJD]]</f>
        <v/>
      </c>
      <c r="S339" s="9">
        <f>TABL1234[[#This Row],[T/B-CON.]]+TABL1234[[#This Row],[S/S_CON.]]</f>
        <v/>
      </c>
      <c r="T339" s="9">
        <f>TABL1234[[#This Row],[(S/S) AJD]]+TABL1234[[#This Row],[(T/B) AJD]]</f>
        <v/>
      </c>
      <c r="U339" s="44" t="n"/>
      <c r="V339" s="47" t="n"/>
      <c r="W339" s="9">
        <f>TABL1234[[#This Row],[(A/B) AJD]]+TABL1234[[#This Row],[(A/S) AJD]]</f>
        <v/>
      </c>
      <c r="X339" s="9">
        <f>TABL1234[[#This Row],[( S/S+T/B) AJD]]-TABL1234[[#This Row],[(A/B + A/S) AJD]]</f>
        <v/>
      </c>
      <c r="Y339" s="44" t="n"/>
      <c r="Z339" s="45" t="n"/>
      <c r="AA339" s="3">
        <f>TABL1234[[#This Row],[(RESV. STORGE) AJD]]/10</f>
        <v/>
      </c>
      <c r="AB339" s="3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32" t="n"/>
      <c r="AN339" s="32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TABL1234[[#This Row],[ (T/B) SAR]]+TABL1234[[#This Row],[ (S/S) SAR]]</f>
        <v/>
      </c>
      <c r="L340" s="41" t="n"/>
      <c r="M340" s="42" t="n"/>
      <c r="N340" s="42" t="n"/>
      <c r="O340" s="39" t="n"/>
      <c r="P340" s="9">
        <f>TABL1234[[#This Row],[ (S/S) SAR]]-TABL1234[[#This Row],[(S/S) AJD]]</f>
        <v/>
      </c>
      <c r="Q340" s="39" t="n"/>
      <c r="R340" s="9">
        <f>TABL1234[[#This Row],[ (T/B) SAR]]-TABL1234[[#This Row],[(T/B) AJD]]</f>
        <v/>
      </c>
      <c r="S340" s="9">
        <f>TABL1234[[#This Row],[T/B-CON.]]+TABL1234[[#This Row],[S/S_CON.]]</f>
        <v/>
      </c>
      <c r="T340" s="9">
        <f>TABL1234[[#This Row],[(S/S) AJD]]+TABL1234[[#This Row],[(T/B) AJD]]</f>
        <v/>
      </c>
      <c r="U340" s="41" t="n"/>
      <c r="V340" s="41" t="n"/>
      <c r="W340" s="9">
        <f>TABL1234[[#This Row],[(A/B) AJD]]+TABL1234[[#This Row],[(A/S) AJD]]</f>
        <v/>
      </c>
      <c r="X340" s="9">
        <f>TABL1234[[#This Row],[( S/S+T/B) AJD]]-TABL1234[[#This Row],[(A/B + A/S) AJD]]</f>
        <v/>
      </c>
      <c r="Y340" s="41" t="n"/>
      <c r="Z340" s="43" t="n"/>
      <c r="AA340" s="3">
        <f>TABL1234[[#This Row],[(RESV. STORGE) AJD]]/10</f>
        <v/>
      </c>
      <c r="AB340" s="3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32" t="n"/>
      <c r="AN340" s="32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TABL1234[[#This Row],[ (T/B) SAR]]+TABL1234[[#This Row],[ (S/S) SAR]]</f>
        <v/>
      </c>
      <c r="L341" s="45" t="n"/>
      <c r="M341" s="46" t="n"/>
      <c r="N341" s="46" t="n"/>
      <c r="O341" s="40" t="n"/>
      <c r="P341" s="9">
        <f>TABL1234[[#This Row],[ (S/S) SAR]]-TABL1234[[#This Row],[(S/S) AJD]]</f>
        <v/>
      </c>
      <c r="Q341" s="40" t="n"/>
      <c r="R341" s="9">
        <f>TABL1234[[#This Row],[ (T/B) SAR]]-TABL1234[[#This Row],[(T/B) AJD]]</f>
        <v/>
      </c>
      <c r="S341" s="9">
        <f>TABL1234[[#This Row],[T/B-CON.]]+TABL1234[[#This Row],[S/S_CON.]]</f>
        <v/>
      </c>
      <c r="T341" s="9">
        <f>TABL1234[[#This Row],[(S/S) AJD]]+TABL1234[[#This Row],[(T/B) AJD]]</f>
        <v/>
      </c>
      <c r="U341" s="44" t="n"/>
      <c r="V341" s="44" t="n"/>
      <c r="W341" s="9">
        <f>TABL1234[[#This Row],[(A/B) AJD]]+TABL1234[[#This Row],[(A/S) AJD]]</f>
        <v/>
      </c>
      <c r="X341" s="9">
        <f>TABL1234[[#This Row],[( S/S+T/B) AJD]]-TABL1234[[#This Row],[(A/B + A/S) AJD]]</f>
        <v/>
      </c>
      <c r="Y341" s="44" t="n"/>
      <c r="Z341" s="45" t="n"/>
      <c r="AA341" s="3">
        <f>TABL1234[[#This Row],[(RESV. STORGE) AJD]]/10</f>
        <v/>
      </c>
      <c r="AB341" s="3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32" t="n"/>
      <c r="AN341" s="32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TABL1234[[#This Row],[ (T/B) SAR]]+TABL1234[[#This Row],[ (S/S) SAR]]</f>
        <v/>
      </c>
      <c r="L342" s="41" t="n"/>
      <c r="M342" s="42" t="n"/>
      <c r="N342" s="42" t="n"/>
      <c r="O342" s="39" t="n"/>
      <c r="P342" s="9">
        <f>TABL1234[[#This Row],[ (S/S) SAR]]-TABL1234[[#This Row],[(S/S) AJD]]</f>
        <v/>
      </c>
      <c r="Q342" s="39" t="n"/>
      <c r="R342" s="9">
        <f>TABL1234[[#This Row],[ (T/B) SAR]]-TABL1234[[#This Row],[(T/B) AJD]]</f>
        <v/>
      </c>
      <c r="S342" s="9">
        <f>TABL1234[[#This Row],[T/B-CON.]]+TABL1234[[#This Row],[S/S_CON.]]</f>
        <v/>
      </c>
      <c r="T342" s="9">
        <f>TABL1234[[#This Row],[(S/S) AJD]]+TABL1234[[#This Row],[(T/B) AJD]]</f>
        <v/>
      </c>
      <c r="U342" s="41" t="n"/>
      <c r="V342" s="41" t="n"/>
      <c r="W342" s="9">
        <f>TABL1234[[#This Row],[(A/B) AJD]]+TABL1234[[#This Row],[(A/S) AJD]]</f>
        <v/>
      </c>
      <c r="X342" s="9">
        <f>TABL1234[[#This Row],[( S/S+T/B) AJD]]-TABL1234[[#This Row],[(A/B + A/S) AJD]]</f>
        <v/>
      </c>
      <c r="Y342" s="41" t="n"/>
      <c r="Z342" s="43" t="n"/>
      <c r="AA342" s="3">
        <f>TABL1234[[#This Row],[(RESV. STORGE) AJD]]/10</f>
        <v/>
      </c>
      <c r="AB342" s="3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32" t="n"/>
      <c r="AN342" s="32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TABL1234[[#This Row],[ (T/B) SAR]]+TABL1234[[#This Row],[ (S/S) SAR]]</f>
        <v/>
      </c>
      <c r="L343" s="45" t="n"/>
      <c r="M343" s="46" t="n"/>
      <c r="N343" s="46" t="n"/>
      <c r="O343" s="40" t="n"/>
      <c r="P343" s="9">
        <f>TABL1234[[#This Row],[ (S/S) SAR]]-TABL1234[[#This Row],[(S/S) AJD]]</f>
        <v/>
      </c>
      <c r="Q343" s="40" t="n"/>
      <c r="R343" s="9">
        <f>TABL1234[[#This Row],[ (T/B) SAR]]-TABL1234[[#This Row],[(T/B) AJD]]</f>
        <v/>
      </c>
      <c r="S343" s="9">
        <f>TABL1234[[#This Row],[T/B-CON.]]+TABL1234[[#This Row],[S/S_CON.]]</f>
        <v/>
      </c>
      <c r="T343" s="9">
        <f>TABL1234[[#This Row],[(S/S) AJD]]+TABL1234[[#This Row],[(T/B) AJD]]</f>
        <v/>
      </c>
      <c r="U343" s="44" t="n"/>
      <c r="V343" s="44" t="n"/>
      <c r="W343" s="9">
        <f>TABL1234[[#This Row],[(A/B) AJD]]+TABL1234[[#This Row],[(A/S) AJD]]</f>
        <v/>
      </c>
      <c r="X343" s="9">
        <f>TABL1234[[#This Row],[( S/S+T/B) AJD]]-TABL1234[[#This Row],[(A/B + A/S) AJD]]</f>
        <v/>
      </c>
      <c r="Y343" s="44" t="n"/>
      <c r="Z343" s="45" t="n"/>
      <c r="AA343" s="3">
        <f>TABL1234[[#This Row],[(RESV. STORGE) AJD]]/10</f>
        <v/>
      </c>
      <c r="AB343" s="3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32" t="n"/>
      <c r="AN343" s="32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TABL1234[[#This Row],[ (T/B) SAR]]+TABL1234[[#This Row],[ (S/S) SAR]]</f>
        <v/>
      </c>
      <c r="L344" s="41" t="n"/>
      <c r="M344" s="42" t="n"/>
      <c r="N344" s="42" t="n"/>
      <c r="O344" s="39" t="n"/>
      <c r="P344" s="9">
        <f>TABL1234[[#This Row],[ (S/S) SAR]]-TABL1234[[#This Row],[(S/S) AJD]]</f>
        <v/>
      </c>
      <c r="Q344" s="39" t="n"/>
      <c r="R344" s="9">
        <f>TABL1234[[#This Row],[ (T/B) SAR]]-TABL1234[[#This Row],[(T/B) AJD]]</f>
        <v/>
      </c>
      <c r="S344" s="9">
        <f>TABL1234[[#This Row],[T/B-CON.]]+TABL1234[[#This Row],[S/S_CON.]]</f>
        <v/>
      </c>
      <c r="T344" s="9">
        <f>TABL1234[[#This Row],[(S/S) AJD]]+TABL1234[[#This Row],[(T/B) AJD]]</f>
        <v/>
      </c>
      <c r="U344" s="41" t="n"/>
      <c r="V344" s="41" t="n"/>
      <c r="W344" s="9">
        <f>TABL1234[[#This Row],[(A/B) AJD]]+TABL1234[[#This Row],[(A/S) AJD]]</f>
        <v/>
      </c>
      <c r="X344" s="9">
        <f>TABL1234[[#This Row],[( S/S+T/B) AJD]]-TABL1234[[#This Row],[(A/B + A/S) AJD]]</f>
        <v/>
      </c>
      <c r="Y344" s="41" t="n"/>
      <c r="Z344" s="43" t="n"/>
      <c r="AA344" s="3">
        <f>TABL1234[[#This Row],[(RESV. STORGE) AJD]]/10</f>
        <v/>
      </c>
      <c r="AB344" s="3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32" t="n"/>
      <c r="AN344" s="32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TABL1234[[#This Row],[ (T/B) SAR]]+TABL1234[[#This Row],[ (S/S) SAR]]</f>
        <v/>
      </c>
      <c r="L345" s="45" t="n"/>
      <c r="M345" s="46" t="n"/>
      <c r="N345" s="46" t="n"/>
      <c r="O345" s="40" t="n"/>
      <c r="P345" s="9">
        <f>TABL1234[[#This Row],[ (S/S) SAR]]-TABL1234[[#This Row],[(S/S) AJD]]</f>
        <v/>
      </c>
      <c r="Q345" s="40" t="n"/>
      <c r="R345" s="9">
        <f>TABL1234[[#This Row],[ (T/B) SAR]]-TABL1234[[#This Row],[(T/B) AJD]]</f>
        <v/>
      </c>
      <c r="S345" s="9">
        <f>TABL1234[[#This Row],[T/B-CON.]]+TABL1234[[#This Row],[S/S_CON.]]</f>
        <v/>
      </c>
      <c r="T345" s="9">
        <f>TABL1234[[#This Row],[(S/S) AJD]]+TABL1234[[#This Row],[(T/B) AJD]]</f>
        <v/>
      </c>
      <c r="U345" s="44" t="n"/>
      <c r="V345" s="44" t="n"/>
      <c r="W345" s="9">
        <f>TABL1234[[#This Row],[(A/B) AJD]]+TABL1234[[#This Row],[(A/S) AJD]]</f>
        <v/>
      </c>
      <c r="X345" s="9">
        <f>TABL1234[[#This Row],[( S/S+T/B) AJD]]-TABL1234[[#This Row],[(A/B + A/S) AJD]]</f>
        <v/>
      </c>
      <c r="Y345" s="44" t="n"/>
      <c r="Z345" s="45" t="n"/>
      <c r="AA345" s="3">
        <f>TABL1234[[#This Row],[(RESV. STORGE) AJD]]/10</f>
        <v/>
      </c>
      <c r="AB345" s="3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32" t="n"/>
      <c r="AN345" s="32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TABL1234[[#This Row],[ (T/B) SAR]]+TABL1234[[#This Row],[ (S/S) SAR]]</f>
        <v/>
      </c>
      <c r="L346" s="41" t="n"/>
      <c r="M346" s="42" t="n"/>
      <c r="N346" s="42" t="n"/>
      <c r="O346" s="39" t="n"/>
      <c r="P346" s="9">
        <f>TABL1234[[#This Row],[ (S/S) SAR]]-TABL1234[[#This Row],[(S/S) AJD]]</f>
        <v/>
      </c>
      <c r="Q346" s="39" t="n"/>
      <c r="R346" s="9">
        <f>TABL1234[[#This Row],[ (T/B) SAR]]-TABL1234[[#This Row],[(T/B) AJD]]</f>
        <v/>
      </c>
      <c r="S346" s="9">
        <f>TABL1234[[#This Row],[T/B-CON.]]+TABL1234[[#This Row],[S/S_CON.]]</f>
        <v/>
      </c>
      <c r="T346" s="9">
        <f>TABL1234[[#This Row],[(S/S) AJD]]+TABL1234[[#This Row],[(T/B) AJD]]</f>
        <v/>
      </c>
      <c r="U346" s="41" t="n"/>
      <c r="V346" s="41" t="n"/>
      <c r="W346" s="9">
        <f>TABL1234[[#This Row],[(A/B) AJD]]+TABL1234[[#This Row],[(A/S) AJD]]</f>
        <v/>
      </c>
      <c r="X346" s="9">
        <f>TABL1234[[#This Row],[( S/S+T/B) AJD]]-TABL1234[[#This Row],[(A/B + A/S) AJD]]</f>
        <v/>
      </c>
      <c r="Y346" s="41" t="n"/>
      <c r="Z346" s="43" t="n"/>
      <c r="AA346" s="3">
        <f>TABL1234[[#This Row],[(RESV. STORGE) AJD]]/10</f>
        <v/>
      </c>
      <c r="AB346" s="3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32" t="n"/>
      <c r="AN346" s="32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TABL1234[[#This Row],[ (T/B) SAR]]+TABL1234[[#This Row],[ (S/S) SAR]]</f>
        <v/>
      </c>
      <c r="L347" s="45" t="n"/>
      <c r="M347" s="46" t="n"/>
      <c r="N347" s="46" t="n"/>
      <c r="O347" s="40" t="n"/>
      <c r="P347" s="9">
        <f>TABL1234[[#This Row],[ (S/S) SAR]]-TABL1234[[#This Row],[(S/S) AJD]]</f>
        <v/>
      </c>
      <c r="Q347" s="40" t="n"/>
      <c r="R347" s="9">
        <f>TABL1234[[#This Row],[ (T/B) SAR]]-TABL1234[[#This Row],[(T/B) AJD]]</f>
        <v/>
      </c>
      <c r="S347" s="9">
        <f>TABL1234[[#This Row],[T/B-CON.]]+TABL1234[[#This Row],[S/S_CON.]]</f>
        <v/>
      </c>
      <c r="T347" s="9">
        <f>TABL1234[[#This Row],[(S/S) AJD]]+TABL1234[[#This Row],[(T/B) AJD]]</f>
        <v/>
      </c>
      <c r="U347" s="44" t="n"/>
      <c r="V347" s="44" t="n"/>
      <c r="W347" s="9">
        <f>TABL1234[[#This Row],[(A/B) AJD]]+TABL1234[[#This Row],[(A/S) AJD]]</f>
        <v/>
      </c>
      <c r="X347" s="9">
        <f>TABL1234[[#This Row],[( S/S+T/B) AJD]]-TABL1234[[#This Row],[(A/B + A/S) AJD]]</f>
        <v/>
      </c>
      <c r="Y347" s="44" t="n"/>
      <c r="Z347" s="45" t="n"/>
      <c r="AA347" s="3">
        <f>TABL1234[[#This Row],[(RESV. STORGE) AJD]]/10</f>
        <v/>
      </c>
      <c r="AB347" s="3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32" t="n"/>
      <c r="AN347" s="32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TABL1234[[#This Row],[ (T/B) SAR]]+TABL1234[[#This Row],[ (S/S) SAR]]</f>
        <v/>
      </c>
      <c r="L348" s="41" t="n"/>
      <c r="M348" s="42" t="n"/>
      <c r="N348" s="42" t="n"/>
      <c r="O348" s="39" t="n"/>
      <c r="P348" s="9">
        <f>TABL1234[[#This Row],[ (S/S) SAR]]-TABL1234[[#This Row],[(S/S) AJD]]</f>
        <v/>
      </c>
      <c r="Q348" s="39" t="n"/>
      <c r="R348" s="9">
        <f>TABL1234[[#This Row],[ (T/B) SAR]]-TABL1234[[#This Row],[(T/B) AJD]]</f>
        <v/>
      </c>
      <c r="S348" s="9">
        <f>TABL1234[[#This Row],[T/B-CON.]]+TABL1234[[#This Row],[S/S_CON.]]</f>
        <v/>
      </c>
      <c r="T348" s="9">
        <f>TABL1234[[#This Row],[(S/S) AJD]]+TABL1234[[#This Row],[(T/B) AJD]]</f>
        <v/>
      </c>
      <c r="U348" s="41" t="n"/>
      <c r="V348" s="41" t="n"/>
      <c r="W348" s="9">
        <f>TABL1234[[#This Row],[(A/B) AJD]]+TABL1234[[#This Row],[(A/S) AJD]]</f>
        <v/>
      </c>
      <c r="X348" s="9">
        <f>TABL1234[[#This Row],[( S/S+T/B) AJD]]-TABL1234[[#This Row],[(A/B + A/S) AJD]]</f>
        <v/>
      </c>
      <c r="Y348" s="41" t="n"/>
      <c r="Z348" s="43" t="n"/>
      <c r="AA348" s="3">
        <f>TABL1234[[#This Row],[(RESV. STORGE) AJD]]/10</f>
        <v/>
      </c>
      <c r="AB348" s="3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32" t="n"/>
      <c r="AN348" s="32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TABL1234[[#This Row],[ (T/B) SAR]]+TABL1234[[#This Row],[ (S/S) SAR]]</f>
        <v/>
      </c>
      <c r="L349" s="45" t="n"/>
      <c r="M349" s="46" t="n"/>
      <c r="N349" s="46" t="n"/>
      <c r="O349" s="40" t="n"/>
      <c r="P349" s="9">
        <f>TABL1234[[#This Row],[ (S/S) SAR]]-TABL1234[[#This Row],[(S/S) AJD]]</f>
        <v/>
      </c>
      <c r="Q349" s="40" t="n"/>
      <c r="R349" s="9">
        <f>TABL1234[[#This Row],[ (T/B) SAR]]-TABL1234[[#This Row],[(T/B) AJD]]</f>
        <v/>
      </c>
      <c r="S349" s="9">
        <f>TABL1234[[#This Row],[T/B-CON.]]+TABL1234[[#This Row],[S/S_CON.]]</f>
        <v/>
      </c>
      <c r="T349" s="9">
        <f>TABL1234[[#This Row],[(S/S) AJD]]+TABL1234[[#This Row],[(T/B) AJD]]</f>
        <v/>
      </c>
      <c r="U349" s="44" t="n"/>
      <c r="V349" s="44" t="n"/>
      <c r="W349" s="9">
        <f>TABL1234[[#This Row],[(A/B) AJD]]+TABL1234[[#This Row],[(A/S) AJD]]</f>
        <v/>
      </c>
      <c r="X349" s="9">
        <f>TABL1234[[#This Row],[( S/S+T/B) AJD]]-TABL1234[[#This Row],[(A/B + A/S) AJD]]</f>
        <v/>
      </c>
      <c r="Y349" s="44" t="n"/>
      <c r="Z349" s="45" t="n"/>
      <c r="AA349" s="3">
        <f>TABL1234[[#This Row],[(RESV. STORGE) AJD]]/10</f>
        <v/>
      </c>
      <c r="AB349" s="3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32" t="n"/>
      <c r="AN349" s="32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TABL1234[[#This Row],[ (T/B) SAR]]+TABL1234[[#This Row],[ (S/S) SAR]]</f>
        <v/>
      </c>
      <c r="L350" s="41" t="n"/>
      <c r="M350" s="42" t="n"/>
      <c r="N350" s="42" t="n"/>
      <c r="O350" s="39" t="n"/>
      <c r="P350" s="9">
        <f>TABL1234[[#This Row],[ (S/S) SAR]]-TABL1234[[#This Row],[(S/S) AJD]]</f>
        <v/>
      </c>
      <c r="Q350" s="39" t="n"/>
      <c r="R350" s="9">
        <f>TABL1234[[#This Row],[ (T/B) SAR]]-TABL1234[[#This Row],[(T/B) AJD]]</f>
        <v/>
      </c>
      <c r="S350" s="9">
        <f>TABL1234[[#This Row],[T/B-CON.]]+TABL1234[[#This Row],[S/S_CON.]]</f>
        <v/>
      </c>
      <c r="T350" s="9">
        <f>TABL1234[[#This Row],[(S/S) AJD]]+TABL1234[[#This Row],[(T/B) AJD]]</f>
        <v/>
      </c>
      <c r="U350" s="41" t="n"/>
      <c r="V350" s="41" t="n"/>
      <c r="W350" s="9">
        <f>TABL1234[[#This Row],[(A/B) AJD]]+TABL1234[[#This Row],[(A/S) AJD]]</f>
        <v/>
      </c>
      <c r="X350" s="9">
        <f>TABL1234[[#This Row],[( S/S+T/B) AJD]]-TABL1234[[#This Row],[(A/B + A/S) AJD]]</f>
        <v/>
      </c>
      <c r="Y350" s="41" t="n"/>
      <c r="Z350" s="43" t="n"/>
      <c r="AA350" s="3">
        <f>TABL1234[[#This Row],[(RESV. STORGE) AJD]]/10</f>
        <v/>
      </c>
      <c r="AB350" s="3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32" t="n"/>
      <c r="AN350" s="32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TABL1234[[#This Row],[ (T/B) SAR]]+TABL1234[[#This Row],[ (S/S) SAR]]</f>
        <v/>
      </c>
      <c r="L351" s="45" t="n"/>
      <c r="M351" s="46" t="n"/>
      <c r="N351" s="46" t="n"/>
      <c r="O351" s="40" t="n"/>
      <c r="P351" s="9">
        <f>TABL1234[[#This Row],[ (S/S) SAR]]-TABL1234[[#This Row],[(S/S) AJD]]</f>
        <v/>
      </c>
      <c r="Q351" s="40" t="n"/>
      <c r="R351" s="9">
        <f>TABL1234[[#This Row],[ (T/B) SAR]]-TABL1234[[#This Row],[(T/B) AJD]]</f>
        <v/>
      </c>
      <c r="S351" s="9">
        <f>TABL1234[[#This Row],[T/B-CON.]]+TABL1234[[#This Row],[S/S_CON.]]</f>
        <v/>
      </c>
      <c r="T351" s="9">
        <f>TABL1234[[#This Row],[(S/S) AJD]]+TABL1234[[#This Row],[(T/B) AJD]]</f>
        <v/>
      </c>
      <c r="U351" s="44" t="n"/>
      <c r="V351" s="44" t="n"/>
      <c r="W351" s="9">
        <f>TABL1234[[#This Row],[(A/B) AJD]]+TABL1234[[#This Row],[(A/S) AJD]]</f>
        <v/>
      </c>
      <c r="X351" s="9">
        <f>TABL1234[[#This Row],[( S/S+T/B) AJD]]-TABL1234[[#This Row],[(A/B + A/S) AJD]]</f>
        <v/>
      </c>
      <c r="Y351" s="44" t="n"/>
      <c r="Z351" s="45" t="n"/>
      <c r="AA351" s="3">
        <f>TABL1234[[#This Row],[(RESV. STORGE) AJD]]/10</f>
        <v/>
      </c>
      <c r="AB351" s="3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32" t="n"/>
      <c r="AN351" s="32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TABL1234[[#This Row],[ (T/B) SAR]]+TABL1234[[#This Row],[ (S/S) SAR]]</f>
        <v/>
      </c>
      <c r="L352" s="41" t="n"/>
      <c r="M352" s="42" t="n"/>
      <c r="N352" s="42" t="n"/>
      <c r="O352" s="39" t="n"/>
      <c r="P352" s="9">
        <f>TABL1234[[#This Row],[ (S/S) SAR]]-TABL1234[[#This Row],[(S/S) AJD]]</f>
        <v/>
      </c>
      <c r="Q352" s="39" t="n"/>
      <c r="R352" s="9">
        <f>TABL1234[[#This Row],[ (T/B) SAR]]-TABL1234[[#This Row],[(T/B) AJD]]</f>
        <v/>
      </c>
      <c r="S352" s="9">
        <f>TABL1234[[#This Row],[T/B-CON.]]+TABL1234[[#This Row],[S/S_CON.]]</f>
        <v/>
      </c>
      <c r="T352" s="9">
        <f>TABL1234[[#This Row],[(S/S) AJD]]+TABL1234[[#This Row],[(T/B) AJD]]</f>
        <v/>
      </c>
      <c r="U352" s="41" t="n"/>
      <c r="V352" s="41" t="n"/>
      <c r="W352" s="9">
        <f>TABL1234[[#This Row],[(A/B) AJD]]+TABL1234[[#This Row],[(A/S) AJD]]</f>
        <v/>
      </c>
      <c r="X352" s="9">
        <f>TABL1234[[#This Row],[( S/S+T/B) AJD]]-TABL1234[[#This Row],[(A/B + A/S) AJD]]</f>
        <v/>
      </c>
      <c r="Y352" s="41" t="n"/>
      <c r="Z352" s="43" t="n"/>
      <c r="AA352" s="3">
        <f>TABL1234[[#This Row],[(RESV. STORGE) AJD]]/10</f>
        <v/>
      </c>
      <c r="AB352" s="3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32" t="n"/>
      <c r="AN352" s="32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TABL1234[[#This Row],[ (T/B) SAR]]+TABL1234[[#This Row],[ (S/S) SAR]]</f>
        <v/>
      </c>
      <c r="L353" s="45" t="n"/>
      <c r="M353" s="46" t="n"/>
      <c r="N353" s="46" t="n"/>
      <c r="O353" s="40" t="n"/>
      <c r="P353" s="9">
        <f>TABL1234[[#This Row],[ (S/S) SAR]]-TABL1234[[#This Row],[(S/S) AJD]]</f>
        <v/>
      </c>
      <c r="Q353" s="40" t="n"/>
      <c r="R353" s="9">
        <f>TABL1234[[#This Row],[ (T/B) SAR]]-TABL1234[[#This Row],[(T/B) AJD]]</f>
        <v/>
      </c>
      <c r="S353" s="9">
        <f>TABL1234[[#This Row],[T/B-CON.]]+TABL1234[[#This Row],[S/S_CON.]]</f>
        <v/>
      </c>
      <c r="T353" s="9">
        <f>TABL1234[[#This Row],[(S/S) AJD]]+TABL1234[[#This Row],[(T/B) AJD]]</f>
        <v/>
      </c>
      <c r="U353" s="44" t="n"/>
      <c r="V353" s="44" t="n"/>
      <c r="W353" s="9">
        <f>TABL1234[[#This Row],[(A/B) AJD]]+TABL1234[[#This Row],[(A/S) AJD]]</f>
        <v/>
      </c>
      <c r="X353" s="9">
        <f>TABL1234[[#This Row],[( S/S+T/B) AJD]]-TABL1234[[#This Row],[(A/B + A/S) AJD]]</f>
        <v/>
      </c>
      <c r="Y353" s="44" t="n"/>
      <c r="Z353" s="45" t="n"/>
      <c r="AA353" s="3">
        <f>TABL1234[[#This Row],[(RESV. STORGE) AJD]]/10</f>
        <v/>
      </c>
      <c r="AB353" s="3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32" t="n"/>
      <c r="AN353" s="32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TABL1234[[#This Row],[ (T/B) SAR]]+TABL1234[[#This Row],[ (S/S) SAR]]</f>
        <v/>
      </c>
      <c r="L354" s="41" t="n"/>
      <c r="M354" s="42" t="n"/>
      <c r="N354" s="42" t="n"/>
      <c r="O354" s="39" t="n"/>
      <c r="P354" s="9">
        <f>TABL1234[[#This Row],[ (S/S) SAR]]-TABL1234[[#This Row],[(S/S) AJD]]</f>
        <v/>
      </c>
      <c r="Q354" s="39" t="n"/>
      <c r="R354" s="9">
        <f>TABL1234[[#This Row],[ (T/B) SAR]]-TABL1234[[#This Row],[(T/B) AJD]]</f>
        <v/>
      </c>
      <c r="S354" s="9">
        <f>TABL1234[[#This Row],[T/B-CON.]]+TABL1234[[#This Row],[S/S_CON.]]</f>
        <v/>
      </c>
      <c r="T354" s="9">
        <f>TABL1234[[#This Row],[(S/S) AJD]]+TABL1234[[#This Row],[(T/B) AJD]]</f>
        <v/>
      </c>
      <c r="U354" s="41" t="n"/>
      <c r="V354" s="41" t="n"/>
      <c r="W354" s="9">
        <f>TABL1234[[#This Row],[(A/B) AJD]]+TABL1234[[#This Row],[(A/S) AJD]]</f>
        <v/>
      </c>
      <c r="X354" s="9">
        <f>TABL1234[[#This Row],[( S/S+T/B) AJD]]-TABL1234[[#This Row],[(A/B + A/S) AJD]]</f>
        <v/>
      </c>
      <c r="Y354" s="41" t="n"/>
      <c r="Z354" s="43" t="n"/>
      <c r="AA354" s="3">
        <f>TABL1234[[#This Row],[(RESV. STORGE) AJD]]/10</f>
        <v/>
      </c>
      <c r="AB354" s="3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32" t="n"/>
      <c r="AN354" s="32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TABL1234[[#This Row],[ (T/B) SAR]]+TABL1234[[#This Row],[ (S/S) SAR]]</f>
        <v/>
      </c>
      <c r="L355" s="45" t="n"/>
      <c r="M355" s="46" t="n"/>
      <c r="N355" s="46" t="n"/>
      <c r="O355" s="40" t="n"/>
      <c r="P355" s="9">
        <f>TABL1234[[#This Row],[ (S/S) SAR]]-TABL1234[[#This Row],[(S/S) AJD]]</f>
        <v/>
      </c>
      <c r="Q355" s="40" t="n"/>
      <c r="R355" s="9">
        <f>TABL1234[[#This Row],[ (T/B) SAR]]-TABL1234[[#This Row],[(T/B) AJD]]</f>
        <v/>
      </c>
      <c r="S355" s="9">
        <f>TABL1234[[#This Row],[T/B-CON.]]+TABL1234[[#This Row],[S/S_CON.]]</f>
        <v/>
      </c>
      <c r="T355" s="9">
        <f>TABL1234[[#This Row],[(S/S) AJD]]+TABL1234[[#This Row],[(T/B) AJD]]</f>
        <v/>
      </c>
      <c r="U355" s="44" t="n"/>
      <c r="V355" s="44" t="n"/>
      <c r="W355" s="9">
        <f>TABL1234[[#This Row],[(A/B) AJD]]+TABL1234[[#This Row],[(A/S) AJD]]</f>
        <v/>
      </c>
      <c r="X355" s="9">
        <f>TABL1234[[#This Row],[( S/S+T/B) AJD]]-TABL1234[[#This Row],[(A/B + A/S) AJD]]</f>
        <v/>
      </c>
      <c r="Y355" s="44" t="n"/>
      <c r="Z355" s="45" t="n"/>
      <c r="AA355" s="3">
        <f>TABL1234[[#This Row],[(RESV. STORGE) AJD]]/10</f>
        <v/>
      </c>
      <c r="AB355" s="3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32" t="n"/>
      <c r="AN355" s="32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TABL1234[[#This Row],[ (T/B) SAR]]+TABL1234[[#This Row],[ (S/S) SAR]]</f>
        <v/>
      </c>
      <c r="L356" s="41" t="n"/>
      <c r="M356" s="42" t="n"/>
      <c r="N356" s="42" t="n"/>
      <c r="O356" s="39" t="n"/>
      <c r="P356" s="9">
        <f>TABL1234[[#This Row],[ (S/S) SAR]]-TABL1234[[#This Row],[(S/S) AJD]]</f>
        <v/>
      </c>
      <c r="Q356" s="39" t="n"/>
      <c r="R356" s="9">
        <f>TABL1234[[#This Row],[ (T/B) SAR]]-TABL1234[[#This Row],[(T/B) AJD]]</f>
        <v/>
      </c>
      <c r="S356" s="9">
        <f>TABL1234[[#This Row],[T/B-CON.]]+TABL1234[[#This Row],[S/S_CON.]]</f>
        <v/>
      </c>
      <c r="T356" s="9">
        <f>TABL1234[[#This Row],[(S/S) AJD]]+TABL1234[[#This Row],[(T/B) AJD]]</f>
        <v/>
      </c>
      <c r="U356" s="41" t="n"/>
      <c r="V356" s="41" t="n"/>
      <c r="W356" s="9">
        <f>TABL1234[[#This Row],[(A/B) AJD]]+TABL1234[[#This Row],[(A/S) AJD]]</f>
        <v/>
      </c>
      <c r="X356" s="9">
        <f>TABL1234[[#This Row],[( S/S+T/B) AJD]]-TABL1234[[#This Row],[(A/B + A/S) AJD]]</f>
        <v/>
      </c>
      <c r="Y356" s="41" t="n"/>
      <c r="Z356" s="43" t="n"/>
      <c r="AA356" s="3">
        <f>TABL1234[[#This Row],[(RESV. STORGE) AJD]]/10</f>
        <v/>
      </c>
      <c r="AB356" s="3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32" t="n"/>
      <c r="AN356" s="32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TABL1234[[#This Row],[ (T/B) SAR]]+TABL1234[[#This Row],[ (S/S) SAR]]</f>
        <v/>
      </c>
      <c r="L357" s="45" t="n"/>
      <c r="M357" s="46" t="n"/>
      <c r="N357" s="46" t="n"/>
      <c r="O357" s="40" t="n"/>
      <c r="P357" s="9">
        <f>TABL1234[[#This Row],[ (S/S) SAR]]-TABL1234[[#This Row],[(S/S) AJD]]</f>
        <v/>
      </c>
      <c r="Q357" s="40" t="n"/>
      <c r="R357" s="9">
        <f>TABL1234[[#This Row],[ (T/B) SAR]]-TABL1234[[#This Row],[(T/B) AJD]]</f>
        <v/>
      </c>
      <c r="S357" s="9">
        <f>TABL1234[[#This Row],[T/B-CON.]]+TABL1234[[#This Row],[S/S_CON.]]</f>
        <v/>
      </c>
      <c r="T357" s="9">
        <f>TABL1234[[#This Row],[(S/S) AJD]]+TABL1234[[#This Row],[(T/B) AJD]]</f>
        <v/>
      </c>
      <c r="U357" s="44" t="n"/>
      <c r="V357" s="44" t="n"/>
      <c r="W357" s="9">
        <f>TABL1234[[#This Row],[(A/B) AJD]]+TABL1234[[#This Row],[(A/S) AJD]]</f>
        <v/>
      </c>
      <c r="X357" s="9">
        <f>TABL1234[[#This Row],[( S/S+T/B) AJD]]-TABL1234[[#This Row],[(A/B + A/S) AJD]]</f>
        <v/>
      </c>
      <c r="Y357" s="44" t="n"/>
      <c r="Z357" s="45" t="n"/>
      <c r="AA357" s="3">
        <f>TABL1234[[#This Row],[(RESV. STORGE) AJD]]/10</f>
        <v/>
      </c>
      <c r="AB357" s="3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32" t="n"/>
      <c r="AN357" s="32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TABL1234[[#This Row],[ (T/B) SAR]]+TABL1234[[#This Row],[ (S/S) SAR]]</f>
        <v/>
      </c>
      <c r="L358" s="41" t="n"/>
      <c r="M358" s="42" t="n"/>
      <c r="N358" s="42" t="n"/>
      <c r="O358" s="39" t="n"/>
      <c r="P358" s="9">
        <f>TABL1234[[#This Row],[ (S/S) SAR]]-TABL1234[[#This Row],[(S/S) AJD]]</f>
        <v/>
      </c>
      <c r="Q358" s="39" t="n"/>
      <c r="R358" s="9">
        <f>TABL1234[[#This Row],[ (T/B) SAR]]-TABL1234[[#This Row],[(T/B) AJD]]</f>
        <v/>
      </c>
      <c r="S358" s="9">
        <f>TABL1234[[#This Row],[T/B-CON.]]+TABL1234[[#This Row],[S/S_CON.]]</f>
        <v/>
      </c>
      <c r="T358" s="9">
        <f>TABL1234[[#This Row],[(S/S) AJD]]+TABL1234[[#This Row],[(T/B) AJD]]</f>
        <v/>
      </c>
      <c r="U358" s="41" t="n"/>
      <c r="V358" s="41" t="n"/>
      <c r="W358" s="9">
        <f>TABL1234[[#This Row],[(A/B) AJD]]+TABL1234[[#This Row],[(A/S) AJD]]</f>
        <v/>
      </c>
      <c r="X358" s="9">
        <f>TABL1234[[#This Row],[( S/S+T/B) AJD]]-TABL1234[[#This Row],[(A/B + A/S) AJD]]</f>
        <v/>
      </c>
      <c r="Y358" s="41" t="n"/>
      <c r="Z358" s="43" t="n"/>
      <c r="AA358" s="3">
        <f>TABL1234[[#This Row],[(RESV. STORGE) AJD]]/10</f>
        <v/>
      </c>
      <c r="AB358" s="3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32" t="n"/>
      <c r="AN358" s="32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TABL1234[[#This Row],[ (T/B) SAR]]+TABL1234[[#This Row],[ (S/S) SAR]]</f>
        <v/>
      </c>
      <c r="L359" s="45" t="n"/>
      <c r="M359" s="46" t="n"/>
      <c r="N359" s="46" t="n"/>
      <c r="O359" s="40" t="n"/>
      <c r="P359" s="9">
        <f>TABL1234[[#This Row],[ (S/S) SAR]]-TABL1234[[#This Row],[(S/S) AJD]]</f>
        <v/>
      </c>
      <c r="Q359" s="40" t="n"/>
      <c r="R359" s="9">
        <f>TABL1234[[#This Row],[ (T/B) SAR]]-TABL1234[[#This Row],[(T/B) AJD]]</f>
        <v/>
      </c>
      <c r="S359" s="9">
        <f>TABL1234[[#This Row],[T/B-CON.]]+TABL1234[[#This Row],[S/S_CON.]]</f>
        <v/>
      </c>
      <c r="T359" s="9">
        <f>TABL1234[[#This Row],[(S/S) AJD]]+TABL1234[[#This Row],[(T/B) AJD]]</f>
        <v/>
      </c>
      <c r="U359" s="44" t="n"/>
      <c r="V359" s="44" t="n"/>
      <c r="W359" s="9">
        <f>TABL1234[[#This Row],[(A/B) AJD]]+TABL1234[[#This Row],[(A/S) AJD]]</f>
        <v/>
      </c>
      <c r="X359" s="9">
        <f>TABL1234[[#This Row],[( S/S+T/B) AJD]]-TABL1234[[#This Row],[(A/B + A/S) AJD]]</f>
        <v/>
      </c>
      <c r="Y359" s="44" t="n"/>
      <c r="Z359" s="45" t="n"/>
      <c r="AA359" s="3">
        <f>TABL1234[[#This Row],[(RESV. STORGE) AJD]]/10</f>
        <v/>
      </c>
      <c r="AB359" s="3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32" t="n"/>
      <c r="AN359" s="32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TABL1234[[#This Row],[ (T/B) SAR]]+TABL1234[[#This Row],[ (S/S) SAR]]</f>
        <v/>
      </c>
      <c r="L360" s="41" t="n"/>
      <c r="M360" s="42" t="n"/>
      <c r="N360" s="42" t="n"/>
      <c r="O360" s="39" t="n"/>
      <c r="P360" s="9">
        <f>TABL1234[[#This Row],[ (S/S) SAR]]-TABL1234[[#This Row],[(S/S) AJD]]</f>
        <v/>
      </c>
      <c r="Q360" s="39" t="n"/>
      <c r="R360" s="9">
        <f>TABL1234[[#This Row],[ (T/B) SAR]]-TABL1234[[#This Row],[(T/B) AJD]]</f>
        <v/>
      </c>
      <c r="S360" s="9">
        <f>TABL1234[[#This Row],[T/B-CON.]]+TABL1234[[#This Row],[S/S_CON.]]</f>
        <v/>
      </c>
      <c r="T360" s="9">
        <f>TABL1234[[#This Row],[(S/S) AJD]]+TABL1234[[#This Row],[(T/B) AJD]]</f>
        <v/>
      </c>
      <c r="U360" s="41" t="n"/>
      <c r="V360" s="41" t="n"/>
      <c r="W360" s="9">
        <f>TABL1234[[#This Row],[(A/B) AJD]]+TABL1234[[#This Row],[(A/S) AJD]]</f>
        <v/>
      </c>
      <c r="X360" s="9">
        <f>TABL1234[[#This Row],[( S/S+T/B) AJD]]-TABL1234[[#This Row],[(A/B + A/S) AJD]]</f>
        <v/>
      </c>
      <c r="Y360" s="41" t="n"/>
      <c r="Z360" s="43" t="n"/>
      <c r="AA360" s="3">
        <f>TABL1234[[#This Row],[(RESV. STORGE) AJD]]/10</f>
        <v/>
      </c>
      <c r="AB360" s="3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32" t="n"/>
      <c r="AN360" s="32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TABL1234[[#This Row],[ (T/B) SAR]]+TABL1234[[#This Row],[ (S/S) SAR]]</f>
        <v/>
      </c>
      <c r="L361" s="45" t="n"/>
      <c r="M361" s="46" t="n"/>
      <c r="N361" s="46" t="n"/>
      <c r="O361" s="40" t="n"/>
      <c r="P361" s="9">
        <f>TABL1234[[#This Row],[ (S/S) SAR]]-TABL1234[[#This Row],[(S/S) AJD]]</f>
        <v/>
      </c>
      <c r="Q361" s="40" t="n"/>
      <c r="R361" s="9">
        <f>TABL1234[[#This Row],[ (T/B) SAR]]-TABL1234[[#This Row],[(T/B) AJD]]</f>
        <v/>
      </c>
      <c r="S361" s="9">
        <f>TABL1234[[#This Row],[T/B-CON.]]+TABL1234[[#This Row],[S/S_CON.]]</f>
        <v/>
      </c>
      <c r="T361" s="9">
        <f>TABL1234[[#This Row],[(S/S) AJD]]+TABL1234[[#This Row],[(T/B) AJD]]</f>
        <v/>
      </c>
      <c r="U361" s="44" t="n"/>
      <c r="V361" s="44" t="n"/>
      <c r="W361" s="9">
        <f>TABL1234[[#This Row],[(A/B) AJD]]+TABL1234[[#This Row],[(A/S) AJD]]</f>
        <v/>
      </c>
      <c r="X361" s="9">
        <f>TABL1234[[#This Row],[( S/S+T/B) AJD]]-TABL1234[[#This Row],[(A/B + A/S) AJD]]</f>
        <v/>
      </c>
      <c r="Y361" s="44" t="n"/>
      <c r="Z361" s="45" t="n"/>
      <c r="AA361" s="3">
        <f>TABL1234[[#This Row],[(RESV. STORGE) AJD]]/10</f>
        <v/>
      </c>
      <c r="AB361" s="3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32" t="n"/>
      <c r="AN361" s="32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TABL1234[[#This Row],[ (T/B) SAR]]+TABL1234[[#This Row],[ (S/S) SAR]]</f>
        <v/>
      </c>
      <c r="L362" s="41" t="n"/>
      <c r="M362" s="42" t="n"/>
      <c r="N362" s="42" t="n"/>
      <c r="O362" s="39" t="n"/>
      <c r="P362" s="9">
        <f>TABL1234[[#This Row],[ (S/S) SAR]]-TABL1234[[#This Row],[(S/S) AJD]]</f>
        <v/>
      </c>
      <c r="Q362" s="39" t="n"/>
      <c r="R362" s="9">
        <f>TABL1234[[#This Row],[ (T/B) SAR]]-TABL1234[[#This Row],[(T/B) AJD]]</f>
        <v/>
      </c>
      <c r="S362" s="9">
        <f>TABL1234[[#This Row],[T/B-CON.]]+TABL1234[[#This Row],[S/S_CON.]]</f>
        <v/>
      </c>
      <c r="T362" s="9">
        <f>TABL1234[[#This Row],[(S/S) AJD]]+TABL1234[[#This Row],[(T/B) AJD]]</f>
        <v/>
      </c>
      <c r="U362" s="41" t="n"/>
      <c r="V362" s="41" t="n"/>
      <c r="W362" s="9">
        <f>TABL1234[[#This Row],[(A/B) AJD]]+TABL1234[[#This Row],[(A/S) AJD]]</f>
        <v/>
      </c>
      <c r="X362" s="9">
        <f>TABL1234[[#This Row],[( S/S+T/B) AJD]]-TABL1234[[#This Row],[(A/B + A/S) AJD]]</f>
        <v/>
      </c>
      <c r="Y362" s="41" t="n"/>
      <c r="Z362" s="43" t="n"/>
      <c r="AA362" s="3">
        <f>TABL1234[[#This Row],[(RESV. STORGE) AJD]]/10</f>
        <v/>
      </c>
      <c r="AB362" s="3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32" t="n"/>
      <c r="AN362" s="32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TABL1234[[#This Row],[ (T/B) SAR]]+TABL1234[[#This Row],[ (S/S) SAR]]</f>
        <v/>
      </c>
      <c r="L363" s="45" t="n"/>
      <c r="M363" s="46" t="n"/>
      <c r="N363" s="46" t="n"/>
      <c r="O363" s="40" t="n"/>
      <c r="P363" s="9">
        <f>TABL1234[[#This Row],[ (S/S) SAR]]-TABL1234[[#This Row],[(S/S) AJD]]</f>
        <v/>
      </c>
      <c r="Q363" s="40" t="n"/>
      <c r="R363" s="9">
        <f>TABL1234[[#This Row],[ (T/B) SAR]]-TABL1234[[#This Row],[(T/B) AJD]]</f>
        <v/>
      </c>
      <c r="S363" s="9">
        <f>TABL1234[[#This Row],[T/B-CON.]]+TABL1234[[#This Row],[S/S_CON.]]</f>
        <v/>
      </c>
      <c r="T363" s="9">
        <f>TABL1234[[#This Row],[(S/S) AJD]]+TABL1234[[#This Row],[(T/B) AJD]]</f>
        <v/>
      </c>
      <c r="U363" s="44" t="n"/>
      <c r="V363" s="44" t="n"/>
      <c r="W363" s="9">
        <f>TABL1234[[#This Row],[(A/B) AJD]]+TABL1234[[#This Row],[(A/S) AJD]]</f>
        <v/>
      </c>
      <c r="X363" s="9">
        <f>TABL1234[[#This Row],[( S/S+T/B) AJD]]-TABL1234[[#This Row],[(A/B + A/S) AJD]]</f>
        <v/>
      </c>
      <c r="Y363" s="44" t="n"/>
      <c r="Z363" s="45" t="n"/>
      <c r="AA363" s="3">
        <f>TABL1234[[#This Row],[(RESV. STORGE) AJD]]/10</f>
        <v/>
      </c>
      <c r="AB363" s="3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32" t="n"/>
      <c r="AN363" s="32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TABL1234[[#This Row],[ (T/B) SAR]]+TABL1234[[#This Row],[ (S/S) SAR]]</f>
        <v/>
      </c>
      <c r="L364" s="41" t="n"/>
      <c r="M364" s="42" t="n"/>
      <c r="N364" s="42" t="n"/>
      <c r="O364" s="39" t="n"/>
      <c r="P364" s="9">
        <f>TABL1234[[#This Row],[ (S/S) SAR]]-TABL1234[[#This Row],[(S/S) AJD]]</f>
        <v/>
      </c>
      <c r="Q364" s="39" t="n"/>
      <c r="R364" s="9">
        <f>TABL1234[[#This Row],[ (T/B) SAR]]-TABL1234[[#This Row],[(T/B) AJD]]</f>
        <v/>
      </c>
      <c r="S364" s="9">
        <f>TABL1234[[#This Row],[T/B-CON.]]+TABL1234[[#This Row],[S/S_CON.]]</f>
        <v/>
      </c>
      <c r="T364" s="9">
        <f>TABL1234[[#This Row],[(S/S) AJD]]+TABL1234[[#This Row],[(T/B) AJD]]</f>
        <v/>
      </c>
      <c r="U364" s="41" t="n"/>
      <c r="V364" s="41" t="n"/>
      <c r="W364" s="9">
        <f>TABL1234[[#This Row],[(A/B) AJD]]+TABL1234[[#This Row],[(A/S) AJD]]</f>
        <v/>
      </c>
      <c r="X364" s="9">
        <f>TABL1234[[#This Row],[( S/S+T/B) AJD]]-TABL1234[[#This Row],[(A/B + A/S) AJD]]</f>
        <v/>
      </c>
      <c r="Y364" s="41" t="n"/>
      <c r="Z364" s="43" t="n"/>
      <c r="AA364" s="3">
        <f>TABL1234[[#This Row],[(RESV. STORGE) AJD]]/10</f>
        <v/>
      </c>
      <c r="AB364" s="3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32" t="n"/>
      <c r="AN364" s="32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TABL1234[[#This Row],[ (T/B) SAR]]+TABL1234[[#This Row],[ (S/S) SAR]]</f>
        <v/>
      </c>
      <c r="L365" s="45" t="n"/>
      <c r="M365" s="46" t="n"/>
      <c r="N365" s="46" t="n"/>
      <c r="O365" s="40" t="n"/>
      <c r="P365" s="9">
        <f>TABL1234[[#This Row],[ (S/S) SAR]]-TABL1234[[#This Row],[(S/S) AJD]]</f>
        <v/>
      </c>
      <c r="Q365" s="40" t="n"/>
      <c r="R365" s="9">
        <f>TABL1234[[#This Row],[ (T/B) SAR]]-TABL1234[[#This Row],[(T/B) AJD]]</f>
        <v/>
      </c>
      <c r="S365" s="9">
        <f>TABL1234[[#This Row],[T/B-CON.]]+TABL1234[[#This Row],[S/S_CON.]]</f>
        <v/>
      </c>
      <c r="T365" s="9">
        <f>TABL1234[[#This Row],[(S/S) AJD]]+TABL1234[[#This Row],[(T/B) AJD]]</f>
        <v/>
      </c>
      <c r="U365" s="44" t="n"/>
      <c r="V365" s="44" t="n"/>
      <c r="W365" s="9">
        <f>TABL1234[[#This Row],[(A/B) AJD]]+TABL1234[[#This Row],[(A/S) AJD]]</f>
        <v/>
      </c>
      <c r="X365" s="9">
        <f>TABL1234[[#This Row],[( S/S+T/B) AJD]]-TABL1234[[#This Row],[(A/B + A/S) AJD]]</f>
        <v/>
      </c>
      <c r="Y365" s="44" t="n"/>
      <c r="Z365" s="45" t="n"/>
      <c r="AA365" s="3">
        <f>TABL1234[[#This Row],[(RESV. STORGE) AJD]]/10</f>
        <v/>
      </c>
      <c r="AB365" s="3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32" t="n"/>
      <c r="AN365" s="32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3">
        <f>TABL1234[[#This Row],[(RESV. STORGE) AJD]]/10</f>
        <v/>
      </c>
      <c r="AB366" s="3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32" t="n"/>
      <c r="AN366" s="32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>
        <f>TABL12345[[#This Row],[ (T/B) SAR]]+TABL12345[[#This Row],[ (S/S) SAR]]</f>
        <v/>
      </c>
      <c r="L2" s="28" t="n"/>
      <c r="M2" s="29" t="n"/>
      <c r="N2" s="30" t="n"/>
      <c r="O2" s="3" t="n"/>
      <c r="P2" s="3">
        <f>TABL12345[[#This Row],[ (S/S) SAR]]-TABL12345[[#This Row],[(S/S) AJD]]</f>
        <v/>
      </c>
      <c r="Q2" s="3" t="n"/>
      <c r="R2" s="3">
        <f>TABL12345[[#This Row],[ (T/B) SAR]]-TABL12345[[#This Row],[(T/B) AJD]]</f>
        <v/>
      </c>
      <c r="S2" s="3">
        <f>TABL12345[[#This Row],[S/S_CON.]]+TABL12345[[#This Row],[T/B-CON.]]</f>
        <v/>
      </c>
      <c r="T2" s="3">
        <f>O2+Q2</f>
        <v/>
      </c>
      <c r="U2" s="3" t="n"/>
      <c r="V2" s="3" t="n"/>
      <c r="W2" s="3">
        <f>U2+V2</f>
        <v/>
      </c>
      <c r="X2" s="3">
        <f>T2-W2</f>
        <v/>
      </c>
      <c r="Y2" s="4" t="n"/>
      <c r="Z2" s="3" t="n"/>
      <c r="AA2" s="3">
        <f>TABL12345[[#This Row],[(RESV. STORGE) AJD]]/10</f>
        <v/>
      </c>
      <c r="AB2" s="3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32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TABL12345[[#This Row],[ (T/B) SAR]]+TABL12345[[#This Row],[ (S/S) SAR]]</f>
        <v/>
      </c>
      <c r="L3" s="45" t="n"/>
      <c r="M3" s="46" t="n"/>
      <c r="N3" s="46" t="n"/>
      <c r="O3" s="40" t="n"/>
      <c r="P3" s="3">
        <f>TABL12345[[#This Row],[ (S/S) SAR]]-TABL12345[[#This Row],[(S/S) AJD]]</f>
        <v/>
      </c>
      <c r="Q3" s="40" t="n"/>
      <c r="R3" s="3">
        <f>TABL12345[[#This Row],[ (T/B) SAR]]-TABL12345[[#This Row],[(T/B) AJD]]</f>
        <v/>
      </c>
      <c r="S3" s="3">
        <f>TABL12345[[#This Row],[S/S_CON.]]+TABL12345[[#This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TABL12345[[#This Row],[(RESV. STORGE) AJD]]/10</f>
        <v/>
      </c>
      <c r="AB3" s="3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32" t="n"/>
      <c r="AN3" s="32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TABL12345[[#This Row],[ (T/B) SAR]]+TABL12345[[#This Row],[ (S/S) SAR]]</f>
        <v/>
      </c>
      <c r="L4" s="41" t="n"/>
      <c r="M4" s="42" t="n"/>
      <c r="N4" s="42" t="n"/>
      <c r="O4" s="39" t="n"/>
      <c r="P4" s="3">
        <f>TABL12345[[#This Row],[ (S/S) SAR]]-TABL12345[[#This Row],[(S/S) AJD]]</f>
        <v/>
      </c>
      <c r="Q4" s="39" t="n"/>
      <c r="R4" s="3">
        <f>TABL12345[[#This Row],[ (T/B) SAR]]-TABL12345[[#This Row],[(T/B) AJD]]</f>
        <v/>
      </c>
      <c r="S4" s="3">
        <f>TABL12345[[#This Row],[S/S_CON.]]+TABL12345[[#This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TABL12345[[#This Row],[(RESV. STORGE) AJD]]/10</f>
        <v/>
      </c>
      <c r="AB4" s="3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32" t="n"/>
      <c r="AN4" s="32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TABL12345[[#This Row],[ (T/B) SAR]]+TABL12345[[#This Row],[ (S/S) SAR]]</f>
        <v/>
      </c>
      <c r="L5" s="45" t="n"/>
      <c r="M5" s="46" t="n"/>
      <c r="N5" s="46" t="n"/>
      <c r="O5" s="40" t="n"/>
      <c r="P5" s="3">
        <f>TABL12345[[#This Row],[ (S/S) SAR]]-TABL12345[[#This Row],[(S/S) AJD]]</f>
        <v/>
      </c>
      <c r="Q5" s="40" t="n"/>
      <c r="R5" s="3">
        <f>TABL12345[[#This Row],[ (T/B) SAR]]-TABL12345[[#This Row],[(T/B) AJD]]</f>
        <v/>
      </c>
      <c r="S5" s="3">
        <f>TABL12345[[#This Row],[S/S_CON.]]+TABL12345[[#This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TABL12345[[#This Row],[(RESV. STORGE) AJD]]/10</f>
        <v/>
      </c>
      <c r="AB5" s="3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32" t="n"/>
      <c r="AN5" s="32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TABL12345[[#This Row],[ (T/B) SAR]]+TABL12345[[#This Row],[ (S/S) SAR]]</f>
        <v/>
      </c>
      <c r="L6" s="41" t="n"/>
      <c r="M6" s="42" t="n"/>
      <c r="N6" s="42" t="n"/>
      <c r="O6" s="39" t="n"/>
      <c r="P6" s="3">
        <f>TABL12345[[#This Row],[ (S/S) SAR]]-TABL12345[[#This Row],[(S/S) AJD]]</f>
        <v/>
      </c>
      <c r="Q6" s="39" t="n"/>
      <c r="R6" s="3">
        <f>TABL12345[[#This Row],[ (T/B) SAR]]-TABL12345[[#This Row],[(T/B) AJD]]</f>
        <v/>
      </c>
      <c r="S6" s="3">
        <f>TABL12345[[#This Row],[S/S_CON.]]+TABL12345[[#This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TABL12345[[#This Row],[(RESV. STORGE) AJD]]/10</f>
        <v/>
      </c>
      <c r="AB6" s="3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32" t="n"/>
      <c r="AN6" s="32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TABL12345[[#This Row],[ (T/B) SAR]]+TABL12345[[#This Row],[ (S/S) SAR]]</f>
        <v/>
      </c>
      <c r="L7" s="45" t="n"/>
      <c r="M7" s="46" t="n"/>
      <c r="N7" s="46" t="n"/>
      <c r="O7" s="40" t="n"/>
      <c r="P7" s="3">
        <f>TABL12345[[#This Row],[ (S/S) SAR]]-TABL12345[[#This Row],[(S/S) AJD]]</f>
        <v/>
      </c>
      <c r="Q7" s="40" t="n"/>
      <c r="R7" s="3">
        <f>TABL12345[[#This Row],[ (T/B) SAR]]-TABL12345[[#This Row],[(T/B) AJD]]</f>
        <v/>
      </c>
      <c r="S7" s="3">
        <f>TABL12345[[#This Row],[S/S_CON.]]+TABL12345[[#This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TABL12345[[#This Row],[(RESV. STORGE) AJD]]/10</f>
        <v/>
      </c>
      <c r="AB7" s="3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32" t="n"/>
      <c r="AN7" s="32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TABL12345[[#This Row],[ (T/B) SAR]]+TABL12345[[#This Row],[ (S/S) SAR]]</f>
        <v/>
      </c>
      <c r="L8" s="41" t="n"/>
      <c r="M8" s="42" t="n"/>
      <c r="N8" s="42" t="n"/>
      <c r="O8" s="39" t="n"/>
      <c r="P8" s="3">
        <f>TABL12345[[#This Row],[ (S/S) SAR]]-TABL12345[[#This Row],[(S/S) AJD]]</f>
        <v/>
      </c>
      <c r="Q8" s="39" t="n"/>
      <c r="R8" s="3">
        <f>TABL12345[[#This Row],[ (T/B) SAR]]-TABL12345[[#This Row],[(T/B) AJD]]</f>
        <v/>
      </c>
      <c r="S8" s="3">
        <f>TABL12345[[#This Row],[S/S_CON.]]+TABL12345[[#This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TABL12345[[#This Row],[(RESV. STORGE) AJD]]/10</f>
        <v/>
      </c>
      <c r="AB8" s="3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32" t="n"/>
      <c r="AN8" s="32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TABL12345[[#This Row],[ (T/B) SAR]]+TABL12345[[#This Row],[ (S/S) SAR]]</f>
        <v/>
      </c>
      <c r="L9" s="45" t="n"/>
      <c r="M9" s="46" t="n"/>
      <c r="N9" s="46" t="n"/>
      <c r="O9" s="40" t="n"/>
      <c r="P9" s="3">
        <f>TABL12345[[#This Row],[ (S/S) SAR]]-TABL12345[[#This Row],[(S/S) AJD]]</f>
        <v/>
      </c>
      <c r="Q9" s="40" t="n"/>
      <c r="R9" s="3">
        <f>TABL12345[[#This Row],[ (T/B) SAR]]-TABL12345[[#This Row],[(T/B) AJD]]</f>
        <v/>
      </c>
      <c r="S9" s="3">
        <f>TABL12345[[#This Row],[S/S_CON.]]+TABL12345[[#This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TABL12345[[#This Row],[(RESV. STORGE) AJD]]/10</f>
        <v/>
      </c>
      <c r="AB9" s="3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32" t="n"/>
      <c r="AN9" s="32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TABL12345[[#This Row],[ (T/B) SAR]]+TABL12345[[#This Row],[ (S/S) SAR]]</f>
        <v/>
      </c>
      <c r="L10" s="41" t="n"/>
      <c r="M10" s="42" t="n"/>
      <c r="N10" s="42" t="n"/>
      <c r="O10" s="39" t="n"/>
      <c r="P10" s="3">
        <f>TABL12345[[#This Row],[ (S/S) SAR]]-TABL12345[[#This Row],[(S/S) AJD]]</f>
        <v/>
      </c>
      <c r="Q10" s="39" t="n"/>
      <c r="R10" s="3">
        <f>TABL12345[[#This Row],[ (T/B) SAR]]-TABL12345[[#This Row],[(T/B) AJD]]</f>
        <v/>
      </c>
      <c r="S10" s="3">
        <f>TABL12345[[#This Row],[S/S_CON.]]+TABL12345[[#This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TABL12345[[#This Row],[(RESV. STORGE) AJD]]/10</f>
        <v/>
      </c>
      <c r="AB10" s="3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32" t="n"/>
      <c r="AN10" s="32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TABL12345[[#This Row],[ (T/B) SAR]]+TABL12345[[#This Row],[ (S/S) SAR]]</f>
        <v/>
      </c>
      <c r="L11" s="45" t="n"/>
      <c r="M11" s="46" t="n"/>
      <c r="N11" s="46" t="n"/>
      <c r="O11" s="40" t="n"/>
      <c r="P11" s="3">
        <f>TABL12345[[#This Row],[ (S/S) SAR]]-TABL12345[[#This Row],[(S/S) AJD]]</f>
        <v/>
      </c>
      <c r="Q11" s="40" t="n"/>
      <c r="R11" s="3">
        <f>TABL12345[[#This Row],[ (T/B) SAR]]-TABL12345[[#This Row],[(T/B) AJD]]</f>
        <v/>
      </c>
      <c r="S11" s="3">
        <f>TABL12345[[#This Row],[S/S_CON.]]+TABL12345[[#This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TABL12345[[#This Row],[(RESV. STORGE) AJD]]/10</f>
        <v/>
      </c>
      <c r="AB11" s="3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32" t="n"/>
      <c r="AN11" s="32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TABL12345[[#This Row],[ (T/B) SAR]]+TABL12345[[#This Row],[ (S/S) SAR]]</f>
        <v/>
      </c>
      <c r="L12" s="41" t="n"/>
      <c r="M12" s="42" t="n"/>
      <c r="N12" s="42" t="n"/>
      <c r="O12" s="39" t="n"/>
      <c r="P12" s="3">
        <f>TABL12345[[#This Row],[ (S/S) SAR]]-TABL12345[[#This Row],[(S/S) AJD]]</f>
        <v/>
      </c>
      <c r="Q12" s="39" t="n"/>
      <c r="R12" s="3">
        <f>TABL12345[[#This Row],[ (T/B) SAR]]-TABL12345[[#This Row],[(T/B) AJD]]</f>
        <v/>
      </c>
      <c r="S12" s="3">
        <f>TABL12345[[#This Row],[S/S_CON.]]+TABL12345[[#This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TABL12345[[#This Row],[(RESV. STORGE) AJD]]/10</f>
        <v/>
      </c>
      <c r="AB12" s="3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32" t="n"/>
      <c r="AN12" s="32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TABL12345[[#This Row],[ (T/B) SAR]]+TABL12345[[#This Row],[ (S/S) SAR]]</f>
        <v/>
      </c>
      <c r="L13" s="45" t="n"/>
      <c r="M13" s="46" t="n"/>
      <c r="N13" s="46" t="n"/>
      <c r="O13" s="40" t="n"/>
      <c r="P13" s="3">
        <f>TABL12345[[#This Row],[ (S/S) SAR]]-TABL12345[[#This Row],[(S/S) AJD]]</f>
        <v/>
      </c>
      <c r="Q13" s="40" t="n"/>
      <c r="R13" s="3">
        <f>TABL12345[[#This Row],[ (T/B) SAR]]-TABL12345[[#This Row],[(T/B) AJD]]</f>
        <v/>
      </c>
      <c r="S13" s="3">
        <f>TABL12345[[#This Row],[S/S_CON.]]+TABL12345[[#This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TABL12345[[#This Row],[(RESV. STORGE) AJD]]/10</f>
        <v/>
      </c>
      <c r="AB13" s="3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32" t="n"/>
      <c r="AN13" s="32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TABL12345[[#This Row],[ (T/B) SAR]]+TABL12345[[#This Row],[ (S/S) SAR]]</f>
        <v/>
      </c>
      <c r="L14" s="41" t="n"/>
      <c r="M14" s="42" t="n"/>
      <c r="N14" s="42" t="n"/>
      <c r="O14" s="39" t="n"/>
      <c r="P14" s="3">
        <f>TABL12345[[#This Row],[ (S/S) SAR]]-TABL12345[[#This Row],[(S/S) AJD]]</f>
        <v/>
      </c>
      <c r="Q14" s="39" t="n"/>
      <c r="R14" s="3">
        <f>TABL12345[[#This Row],[ (T/B) SAR]]-TABL12345[[#This Row],[(T/B) AJD]]</f>
        <v/>
      </c>
      <c r="S14" s="3">
        <f>TABL12345[[#This Row],[S/S_CON.]]+TABL12345[[#This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TABL12345[[#This Row],[(RESV. STORGE) AJD]]/10</f>
        <v/>
      </c>
      <c r="AB14" s="3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32" t="n"/>
      <c r="AN14" s="32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TABL12345[[#This Row],[ (T/B) SAR]]+TABL12345[[#This Row],[ (S/S) SAR]]</f>
        <v/>
      </c>
      <c r="L15" s="45" t="n"/>
      <c r="M15" s="46" t="n"/>
      <c r="N15" s="46" t="n"/>
      <c r="O15" s="40" t="n"/>
      <c r="P15" s="3">
        <f>TABL12345[[#This Row],[ (S/S) SAR]]-TABL12345[[#This Row],[(S/S) AJD]]</f>
        <v/>
      </c>
      <c r="Q15" s="40" t="n"/>
      <c r="R15" s="3">
        <f>TABL12345[[#This Row],[ (T/B) SAR]]-TABL12345[[#This Row],[(T/B) AJD]]</f>
        <v/>
      </c>
      <c r="S15" s="3">
        <f>TABL12345[[#This Row],[S/S_CON.]]+TABL12345[[#This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TABL12345[[#This Row],[(RESV. STORGE) AJD]]/10</f>
        <v/>
      </c>
      <c r="AB15" s="3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32" t="n"/>
      <c r="AN15" s="32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TABL12345[[#This Row],[ (T/B) SAR]]+TABL12345[[#This Row],[ (S/S) SAR]]</f>
        <v/>
      </c>
      <c r="L16" s="41" t="n"/>
      <c r="M16" s="42" t="n"/>
      <c r="N16" s="42" t="n"/>
      <c r="O16" s="39" t="n"/>
      <c r="P16" s="3">
        <f>TABL12345[[#This Row],[ (S/S) SAR]]-TABL12345[[#This Row],[(S/S) AJD]]</f>
        <v/>
      </c>
      <c r="Q16" s="39" t="n"/>
      <c r="R16" s="3">
        <f>TABL12345[[#This Row],[ (T/B) SAR]]-TABL12345[[#This Row],[(T/B) AJD]]</f>
        <v/>
      </c>
      <c r="S16" s="3">
        <f>TABL12345[[#This Row],[S/S_CON.]]+TABL12345[[#This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TABL12345[[#This Row],[(RESV. STORGE) AJD]]/10</f>
        <v/>
      </c>
      <c r="AB16" s="3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32" t="n"/>
      <c r="AN16" s="32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TABL12345[[#This Row],[ (T/B) SAR]]+TABL12345[[#This Row],[ (S/S) SAR]]</f>
        <v/>
      </c>
      <c r="L17" s="45" t="n"/>
      <c r="M17" s="46" t="n"/>
      <c r="N17" s="46" t="n"/>
      <c r="O17" s="40" t="n"/>
      <c r="P17" s="3">
        <f>TABL12345[[#This Row],[ (S/S) SAR]]-TABL12345[[#This Row],[(S/S) AJD]]</f>
        <v/>
      </c>
      <c r="Q17" s="40" t="n"/>
      <c r="R17" s="3">
        <f>TABL12345[[#This Row],[ (T/B) SAR]]-TABL12345[[#This Row],[(T/B) AJD]]</f>
        <v/>
      </c>
      <c r="S17" s="3">
        <f>TABL12345[[#This Row],[S/S_CON.]]+TABL12345[[#This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TABL12345[[#This Row],[(RESV. STORGE) AJD]]/10</f>
        <v/>
      </c>
      <c r="AB17" s="3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32" t="n"/>
      <c r="AN17" s="32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TABL12345[[#This Row],[ (T/B) SAR]]+TABL12345[[#This Row],[ (S/S) SAR]]</f>
        <v/>
      </c>
      <c r="L18" s="41" t="n"/>
      <c r="M18" s="42" t="n"/>
      <c r="N18" s="42" t="n"/>
      <c r="O18" s="39" t="n"/>
      <c r="P18" s="3">
        <f>TABL12345[[#This Row],[ (S/S) SAR]]-TABL12345[[#This Row],[(S/S) AJD]]</f>
        <v/>
      </c>
      <c r="Q18" s="39" t="n"/>
      <c r="R18" s="3">
        <f>TABL12345[[#This Row],[ (T/B) SAR]]-TABL12345[[#This Row],[(T/B) AJD]]</f>
        <v/>
      </c>
      <c r="S18" s="3">
        <f>TABL12345[[#This Row],[S/S_CON.]]+TABL12345[[#This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TABL12345[[#This Row],[(RESV. STORGE) AJD]]/10</f>
        <v/>
      </c>
      <c r="AB18" s="3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32" t="n"/>
      <c r="AN18" s="32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TABL12345[[#This Row],[ (T/B) SAR]]+TABL12345[[#This Row],[ (S/S) SAR]]</f>
        <v/>
      </c>
      <c r="L19" s="45" t="n"/>
      <c r="M19" s="46" t="n"/>
      <c r="N19" s="46" t="n"/>
      <c r="O19" s="40" t="n"/>
      <c r="P19" s="3">
        <f>TABL12345[[#This Row],[ (S/S) SAR]]-TABL12345[[#This Row],[(S/S) AJD]]</f>
        <v/>
      </c>
      <c r="Q19" s="40" t="n"/>
      <c r="R19" s="3">
        <f>TABL12345[[#This Row],[ (T/B) SAR]]-TABL12345[[#This Row],[(T/B) AJD]]</f>
        <v/>
      </c>
      <c r="S19" s="3">
        <f>TABL12345[[#This Row],[S/S_CON.]]+TABL12345[[#This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TABL12345[[#This Row],[(RESV. STORGE) AJD]]/10</f>
        <v/>
      </c>
      <c r="AB19" s="3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32" t="n"/>
      <c r="AN19" s="32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TABL12345[[#This Row],[ (T/B) SAR]]+TABL12345[[#This Row],[ (S/S) SAR]]</f>
        <v/>
      </c>
      <c r="L20" s="41" t="n"/>
      <c r="M20" s="42" t="n"/>
      <c r="N20" s="42" t="n"/>
      <c r="O20" s="39" t="n"/>
      <c r="P20" s="3">
        <f>TABL12345[[#This Row],[ (S/S) SAR]]-TABL12345[[#This Row],[(S/S) AJD]]</f>
        <v/>
      </c>
      <c r="Q20" s="39" t="n"/>
      <c r="R20" s="3">
        <f>TABL12345[[#This Row],[ (T/B) SAR]]-TABL12345[[#This Row],[(T/B) AJD]]</f>
        <v/>
      </c>
      <c r="S20" s="3">
        <f>TABL12345[[#This Row],[S/S_CON.]]+TABL12345[[#This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TABL12345[[#This Row],[(RESV. STORGE) AJD]]/10</f>
        <v/>
      </c>
      <c r="AB20" s="3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32" t="n"/>
      <c r="AN20" s="32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TABL12345[[#This Row],[ (T/B) SAR]]+TABL12345[[#This Row],[ (S/S) SAR]]</f>
        <v/>
      </c>
      <c r="L21" s="45" t="n"/>
      <c r="M21" s="46" t="n"/>
      <c r="N21" s="46" t="n"/>
      <c r="O21" s="40" t="n"/>
      <c r="P21" s="3">
        <f>TABL12345[[#This Row],[ (S/S) SAR]]-TABL12345[[#This Row],[(S/S) AJD]]</f>
        <v/>
      </c>
      <c r="Q21" s="40" t="n"/>
      <c r="R21" s="3">
        <f>TABL12345[[#This Row],[ (T/B) SAR]]-TABL12345[[#This Row],[(T/B) AJD]]</f>
        <v/>
      </c>
      <c r="S21" s="3">
        <f>TABL12345[[#This Row],[S/S_CON.]]+TABL12345[[#This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TABL12345[[#This Row],[(RESV. STORGE) AJD]]/10</f>
        <v/>
      </c>
      <c r="AB21" s="3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32" t="n"/>
      <c r="AN21" s="32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TABL12345[[#This Row],[ (T/B) SAR]]+TABL12345[[#This Row],[ (S/S) SAR]]</f>
        <v/>
      </c>
      <c r="L22" s="41" t="n"/>
      <c r="M22" s="42" t="n"/>
      <c r="N22" s="42" t="n"/>
      <c r="O22" s="39" t="n"/>
      <c r="P22" s="3">
        <f>TABL12345[[#This Row],[ (S/S) SAR]]-TABL12345[[#This Row],[(S/S) AJD]]</f>
        <v/>
      </c>
      <c r="Q22" s="39" t="n"/>
      <c r="R22" s="3">
        <f>TABL12345[[#This Row],[ (T/B) SAR]]-TABL12345[[#This Row],[(T/B) AJD]]</f>
        <v/>
      </c>
      <c r="S22" s="3">
        <f>TABL12345[[#This Row],[S/S_CON.]]+TABL12345[[#This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TABL12345[[#This Row],[(RESV. STORGE) AJD]]/10</f>
        <v/>
      </c>
      <c r="AB22" s="3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32" t="n"/>
      <c r="AN22" s="32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TABL12345[[#This Row],[ (T/B) SAR]]+TABL12345[[#This Row],[ (S/S) SAR]]</f>
        <v/>
      </c>
      <c r="L23" s="45" t="n"/>
      <c r="M23" s="46" t="n"/>
      <c r="N23" s="46" t="n"/>
      <c r="O23" s="40" t="n"/>
      <c r="P23" s="3">
        <f>TABL12345[[#This Row],[ (S/S) SAR]]-TABL12345[[#This Row],[(S/S) AJD]]</f>
        <v/>
      </c>
      <c r="Q23" s="40" t="n"/>
      <c r="R23" s="3">
        <f>TABL12345[[#This Row],[ (T/B) SAR]]-TABL12345[[#This Row],[(T/B) AJD]]</f>
        <v/>
      </c>
      <c r="S23" s="3">
        <f>TABL12345[[#This Row],[S/S_CON.]]+TABL12345[[#This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TABL12345[[#This Row],[(RESV. STORGE) AJD]]/10</f>
        <v/>
      </c>
      <c r="AB23" s="3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32" t="n"/>
      <c r="AN23" s="32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TABL12345[[#This Row],[ (T/B) SAR]]+TABL12345[[#This Row],[ (S/S) SAR]]</f>
        <v/>
      </c>
      <c r="L24" s="41" t="n"/>
      <c r="M24" s="42" t="n"/>
      <c r="N24" s="42" t="n"/>
      <c r="O24" s="39" t="n"/>
      <c r="P24" s="3">
        <f>TABL12345[[#This Row],[ (S/S) SAR]]-TABL12345[[#This Row],[(S/S) AJD]]</f>
        <v/>
      </c>
      <c r="Q24" s="39" t="n"/>
      <c r="R24" s="3">
        <f>TABL12345[[#This Row],[ (T/B) SAR]]-TABL12345[[#This Row],[(T/B) AJD]]</f>
        <v/>
      </c>
      <c r="S24" s="3">
        <f>TABL12345[[#This Row],[S/S_CON.]]+TABL12345[[#This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TABL12345[[#This Row],[(RESV. STORGE) AJD]]/10</f>
        <v/>
      </c>
      <c r="AB24" s="3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32" t="n"/>
      <c r="AN24" s="32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TABL12345[[#This Row],[ (T/B) SAR]]+TABL12345[[#This Row],[ (S/S) SAR]]</f>
        <v/>
      </c>
      <c r="L25" s="45" t="n"/>
      <c r="M25" s="46" t="n"/>
      <c r="N25" s="46" t="n"/>
      <c r="O25" s="40" t="n"/>
      <c r="P25" s="3">
        <f>TABL12345[[#This Row],[ (S/S) SAR]]-TABL12345[[#This Row],[(S/S) AJD]]</f>
        <v/>
      </c>
      <c r="Q25" s="40" t="n"/>
      <c r="R25" s="3">
        <f>TABL12345[[#This Row],[ (T/B) SAR]]-TABL12345[[#This Row],[(T/B) AJD]]</f>
        <v/>
      </c>
      <c r="S25" s="3">
        <f>TABL12345[[#This Row],[S/S_CON.]]+TABL12345[[#This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TABL12345[[#This Row],[(RESV. STORGE) AJD]]/10</f>
        <v/>
      </c>
      <c r="AB25" s="3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32" t="n"/>
      <c r="AN25" s="32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TABL12345[[#This Row],[ (T/B) SAR]]+TABL12345[[#This Row],[ (S/S) SAR]]</f>
        <v/>
      </c>
      <c r="L26" s="41" t="n"/>
      <c r="M26" s="42" t="n"/>
      <c r="N26" s="42" t="n"/>
      <c r="O26" s="39" t="n"/>
      <c r="P26" s="3">
        <f>TABL12345[[#This Row],[ (S/S) SAR]]-TABL12345[[#This Row],[(S/S) AJD]]</f>
        <v/>
      </c>
      <c r="Q26" s="39" t="n"/>
      <c r="R26" s="3">
        <f>TABL12345[[#This Row],[ (T/B) SAR]]-TABL12345[[#This Row],[(T/B) AJD]]</f>
        <v/>
      </c>
      <c r="S26" s="3">
        <f>TABL12345[[#This Row],[S/S_CON.]]+TABL12345[[#This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TABL12345[[#This Row],[(RESV. STORGE) AJD]]/10</f>
        <v/>
      </c>
      <c r="AB26" s="3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32" t="n"/>
      <c r="AN26" s="32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TABL12345[[#This Row],[ (T/B) SAR]]+TABL12345[[#This Row],[ (S/S) SAR]]</f>
        <v/>
      </c>
      <c r="L27" s="45" t="n"/>
      <c r="M27" s="46" t="n"/>
      <c r="N27" s="46" t="n"/>
      <c r="O27" s="40" t="n"/>
      <c r="P27" s="3">
        <f>TABL12345[[#This Row],[ (S/S) SAR]]-TABL12345[[#This Row],[(S/S) AJD]]</f>
        <v/>
      </c>
      <c r="Q27" s="40" t="n"/>
      <c r="R27" s="3">
        <f>TABL12345[[#This Row],[ (T/B) SAR]]-TABL12345[[#This Row],[(T/B) AJD]]</f>
        <v/>
      </c>
      <c r="S27" s="3">
        <f>TABL12345[[#This Row],[S/S_CON.]]+TABL12345[[#This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TABL12345[[#This Row],[(RESV. STORGE) AJD]]/10</f>
        <v/>
      </c>
      <c r="AB27" s="3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32" t="n"/>
      <c r="AN27" s="32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TABL12345[[#This Row],[ (T/B) SAR]]+TABL12345[[#This Row],[ (S/S) SAR]]</f>
        <v/>
      </c>
      <c r="L28" s="41" t="n"/>
      <c r="M28" s="42" t="n"/>
      <c r="N28" s="42" t="n"/>
      <c r="O28" s="39" t="n"/>
      <c r="P28" s="3">
        <f>TABL12345[[#This Row],[ (S/S) SAR]]-TABL12345[[#This Row],[(S/S) AJD]]</f>
        <v/>
      </c>
      <c r="Q28" s="39" t="n"/>
      <c r="R28" s="3">
        <f>TABL12345[[#This Row],[ (T/B) SAR]]-TABL12345[[#This Row],[(T/B) AJD]]</f>
        <v/>
      </c>
      <c r="S28" s="3">
        <f>TABL12345[[#This Row],[S/S_CON.]]+TABL12345[[#This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TABL12345[[#This Row],[(RESV. STORGE) AJD]]/10</f>
        <v/>
      </c>
      <c r="AB28" s="3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32" t="n"/>
      <c r="AN28" s="32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TABL12345[[#This Row],[ (T/B) SAR]]+TABL12345[[#This Row],[ (S/S) SAR]]</f>
        <v/>
      </c>
      <c r="L29" s="45" t="n"/>
      <c r="M29" s="46" t="n"/>
      <c r="N29" s="46" t="n"/>
      <c r="O29" s="40" t="n"/>
      <c r="P29" s="3">
        <f>TABL12345[[#This Row],[ (S/S) SAR]]-TABL12345[[#This Row],[(S/S) AJD]]</f>
        <v/>
      </c>
      <c r="Q29" s="40" t="n"/>
      <c r="R29" s="3">
        <f>TABL12345[[#This Row],[ (T/B) SAR]]-TABL12345[[#This Row],[(T/B) AJD]]</f>
        <v/>
      </c>
      <c r="S29" s="3">
        <f>TABL12345[[#This Row],[S/S_CON.]]+TABL12345[[#This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TABL12345[[#This Row],[(RESV. STORGE) AJD]]/10</f>
        <v/>
      </c>
      <c r="AB29" s="3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32" t="n"/>
      <c r="AN29" s="32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TABL12345[[#This Row],[ (T/B) SAR]]+TABL12345[[#This Row],[ (S/S) SAR]]</f>
        <v/>
      </c>
      <c r="L30" s="41" t="n"/>
      <c r="M30" s="42" t="n"/>
      <c r="N30" s="42" t="n"/>
      <c r="O30" s="39" t="n"/>
      <c r="P30" s="3">
        <f>TABL12345[[#This Row],[ (S/S) SAR]]-TABL12345[[#This Row],[(S/S) AJD]]</f>
        <v/>
      </c>
      <c r="Q30" s="39" t="n"/>
      <c r="R30" s="3">
        <f>TABL12345[[#This Row],[ (T/B) SAR]]-TABL12345[[#This Row],[(T/B) AJD]]</f>
        <v/>
      </c>
      <c r="S30" s="3">
        <f>TABL12345[[#This Row],[S/S_CON.]]+TABL12345[[#This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TABL12345[[#This Row],[(RESV. STORGE) AJD]]/10</f>
        <v/>
      </c>
      <c r="AB30" s="3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32" t="n"/>
      <c r="AN30" s="32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TABL12345[[#This Row],[ (T/B) SAR]]+TABL12345[[#This Row],[ (S/S) SAR]]</f>
        <v/>
      </c>
      <c r="L31" s="45" t="n"/>
      <c r="M31" s="46" t="n"/>
      <c r="N31" s="46" t="n"/>
      <c r="O31" s="40" t="n"/>
      <c r="P31" s="3">
        <f>TABL12345[[#This Row],[ (S/S) SAR]]-TABL12345[[#This Row],[(S/S) AJD]]</f>
        <v/>
      </c>
      <c r="Q31" s="40" t="n"/>
      <c r="R31" s="3">
        <f>TABL12345[[#This Row],[ (T/B) SAR]]-TABL12345[[#This Row],[(T/B) AJD]]</f>
        <v/>
      </c>
      <c r="S31" s="3">
        <f>TABL12345[[#This Row],[S/S_CON.]]+TABL12345[[#This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TABL12345[[#This Row],[(RESV. STORGE) AJD]]/10</f>
        <v/>
      </c>
      <c r="AB31" s="3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32" t="n"/>
      <c r="AN31" s="32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TABL12345[[#This Row],[ (T/B) SAR]]+TABL12345[[#This Row],[ (S/S) SAR]]</f>
        <v/>
      </c>
      <c r="L32" s="41" t="n"/>
      <c r="M32" s="42" t="n"/>
      <c r="N32" s="42" t="n"/>
      <c r="O32" s="39" t="n"/>
      <c r="P32" s="3">
        <f>TABL12345[[#This Row],[ (S/S) SAR]]-TABL12345[[#This Row],[(S/S) AJD]]</f>
        <v/>
      </c>
      <c r="Q32" s="39" t="n"/>
      <c r="R32" s="3">
        <f>TABL12345[[#This Row],[ (T/B) SAR]]-TABL12345[[#This Row],[(T/B) AJD]]</f>
        <v/>
      </c>
      <c r="S32" s="3">
        <f>TABL12345[[#This Row],[S/S_CON.]]+TABL12345[[#This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TABL12345[[#This Row],[(RESV. STORGE) AJD]]/10</f>
        <v/>
      </c>
      <c r="AB32" s="3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32" t="n"/>
      <c r="AN32" s="32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TABL12345[[#This Row],[ (T/B) SAR]]+TABL12345[[#This Row],[ (S/S) SAR]]</f>
        <v/>
      </c>
      <c r="L33" s="41" t="n"/>
      <c r="M33" s="42" t="n"/>
      <c r="N33" s="42" t="n"/>
      <c r="O33" s="39" t="n"/>
      <c r="P33" s="3">
        <f>TABL12345[[#This Row],[ (S/S) SAR]]-TABL12345[[#This Row],[(S/S) AJD]]</f>
        <v/>
      </c>
      <c r="Q33" s="39" t="n"/>
      <c r="R33" s="3">
        <f>TABL12345[[#This Row],[ (T/B) SAR]]-TABL12345[[#This Row],[(T/B) AJD]]</f>
        <v/>
      </c>
      <c r="S33" s="3">
        <f>TABL12345[[#This Row],[S/S_CON.]]+TABL12345[[#This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TABL12345[[#This Row],[(RESV. STORGE) AJD]]/10</f>
        <v/>
      </c>
      <c r="AB33" s="3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32" t="n"/>
      <c r="AN33" s="32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TABL12345[[#This Row],[ (T/B) SAR]]+TABL12345[[#This Row],[ (S/S) SAR]]</f>
        <v/>
      </c>
      <c r="L34" s="45" t="n"/>
      <c r="M34" s="46" t="n"/>
      <c r="N34" s="46" t="n"/>
      <c r="O34" s="40" t="n"/>
      <c r="P34" s="3">
        <f>TABL12345[[#This Row],[ (S/S) SAR]]-TABL12345[[#This Row],[(S/S) AJD]]</f>
        <v/>
      </c>
      <c r="Q34" s="40" t="n"/>
      <c r="R34" s="3">
        <f>TABL12345[[#This Row],[ (T/B) SAR]]-TABL12345[[#This Row],[(T/B) AJD]]</f>
        <v/>
      </c>
      <c r="S34" s="3">
        <f>TABL12345[[#This Row],[S/S_CON.]]+TABL12345[[#This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TABL12345[[#This Row],[(RESV. STORGE) AJD]]/10</f>
        <v/>
      </c>
      <c r="AB34" s="3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32" t="n"/>
      <c r="AN34" s="32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TABL12345[[#This Row],[ (T/B) SAR]]+TABL12345[[#This Row],[ (S/S) SAR]]</f>
        <v/>
      </c>
      <c r="L35" s="41" t="n"/>
      <c r="M35" s="42" t="n"/>
      <c r="N35" s="42" t="n"/>
      <c r="O35" s="39" t="n"/>
      <c r="P35" s="3">
        <f>TABL12345[[#This Row],[ (S/S) SAR]]-TABL12345[[#This Row],[(S/S) AJD]]</f>
        <v/>
      </c>
      <c r="Q35" s="39" t="n"/>
      <c r="R35" s="3">
        <f>TABL12345[[#This Row],[ (T/B) SAR]]-TABL12345[[#This Row],[(T/B) AJD]]</f>
        <v/>
      </c>
      <c r="S35" s="3">
        <f>TABL12345[[#This Row],[S/S_CON.]]+TABL12345[[#This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TABL12345[[#This Row],[(RESV. STORGE) AJD]]/10</f>
        <v/>
      </c>
      <c r="AB35" s="3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32" t="n"/>
      <c r="AN35" s="32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TABL12345[[#This Row],[ (T/B) SAR]]+TABL12345[[#This Row],[ (S/S) SAR]]</f>
        <v/>
      </c>
      <c r="L36" s="45" t="n"/>
      <c r="M36" s="46" t="n"/>
      <c r="N36" s="46" t="n"/>
      <c r="O36" s="40" t="n"/>
      <c r="P36" s="3">
        <f>TABL12345[[#This Row],[ (S/S) SAR]]-TABL12345[[#This Row],[(S/S) AJD]]</f>
        <v/>
      </c>
      <c r="Q36" s="40" t="n"/>
      <c r="R36" s="3">
        <f>TABL12345[[#This Row],[ (T/B) SAR]]-TABL12345[[#This Row],[(T/B) AJD]]</f>
        <v/>
      </c>
      <c r="S36" s="3">
        <f>TABL12345[[#This Row],[S/S_CON.]]+TABL12345[[#This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TABL12345[[#This Row],[(RESV. STORGE) AJD]]/10</f>
        <v/>
      </c>
      <c r="AB36" s="3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32" t="n"/>
      <c r="AN36" s="32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TABL12345[[#This Row],[ (T/B) SAR]]+TABL12345[[#This Row],[ (S/S) SAR]]</f>
        <v/>
      </c>
      <c r="L37" s="41" t="n"/>
      <c r="M37" s="42" t="n"/>
      <c r="N37" s="42" t="n"/>
      <c r="O37" s="39" t="n"/>
      <c r="P37" s="3">
        <f>TABL12345[[#This Row],[ (S/S) SAR]]-TABL12345[[#This Row],[(S/S) AJD]]</f>
        <v/>
      </c>
      <c r="Q37" s="39" t="n"/>
      <c r="R37" s="3">
        <f>TABL12345[[#This Row],[ (T/B) SAR]]-TABL12345[[#This Row],[(T/B) AJD]]</f>
        <v/>
      </c>
      <c r="S37" s="3">
        <f>TABL12345[[#This Row],[S/S_CON.]]+TABL12345[[#This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TABL12345[[#This Row],[(RESV. STORGE) AJD]]/10</f>
        <v/>
      </c>
      <c r="AB37" s="3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32" t="n"/>
      <c r="AN37" s="32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TABL12345[[#This Row],[ (T/B) SAR]]+TABL12345[[#This Row],[ (S/S) SAR]]</f>
        <v/>
      </c>
      <c r="L38" s="45" t="n"/>
      <c r="M38" s="46" t="n"/>
      <c r="N38" s="46" t="n"/>
      <c r="O38" s="40" t="n"/>
      <c r="P38" s="3">
        <f>TABL12345[[#This Row],[ (S/S) SAR]]-TABL12345[[#This Row],[(S/S) AJD]]</f>
        <v/>
      </c>
      <c r="Q38" s="40" t="n"/>
      <c r="R38" s="3">
        <f>TABL12345[[#This Row],[ (T/B) SAR]]-TABL12345[[#This Row],[(T/B) AJD]]</f>
        <v/>
      </c>
      <c r="S38" s="3">
        <f>TABL12345[[#This Row],[S/S_CON.]]+TABL12345[[#This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TABL12345[[#This Row],[(RESV. STORGE) AJD]]/10</f>
        <v/>
      </c>
      <c r="AB38" s="3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32" t="n"/>
      <c r="AN38" s="32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TABL12345[[#This Row],[ (T/B) SAR]]+TABL12345[[#This Row],[ (S/S) SAR]]</f>
        <v/>
      </c>
      <c r="L39" s="41" t="n"/>
      <c r="M39" s="42" t="n"/>
      <c r="N39" s="42" t="n"/>
      <c r="O39" s="39" t="n"/>
      <c r="P39" s="3">
        <f>TABL12345[[#This Row],[ (S/S) SAR]]-TABL12345[[#This Row],[(S/S) AJD]]</f>
        <v/>
      </c>
      <c r="Q39" s="39" t="n"/>
      <c r="R39" s="3">
        <f>TABL12345[[#This Row],[ (T/B) SAR]]-TABL12345[[#This Row],[(T/B) AJD]]</f>
        <v/>
      </c>
      <c r="S39" s="3">
        <f>TABL12345[[#This Row],[S/S_CON.]]+TABL12345[[#This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TABL12345[[#This Row],[(RESV. STORGE) AJD]]/10</f>
        <v/>
      </c>
      <c r="AB39" s="3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32" t="n"/>
      <c r="AN39" s="32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TABL12345[[#This Row],[ (T/B) SAR]]+TABL12345[[#This Row],[ (S/S) SAR]]</f>
        <v/>
      </c>
      <c r="L40" s="45" t="n"/>
      <c r="M40" s="46" t="n"/>
      <c r="N40" s="46" t="n"/>
      <c r="O40" s="40" t="n"/>
      <c r="P40" s="3">
        <f>TABL12345[[#This Row],[ (S/S) SAR]]-TABL12345[[#This Row],[(S/S) AJD]]</f>
        <v/>
      </c>
      <c r="Q40" s="40" t="n"/>
      <c r="R40" s="3">
        <f>TABL12345[[#This Row],[ (T/B) SAR]]-TABL12345[[#This Row],[(T/B) AJD]]</f>
        <v/>
      </c>
      <c r="S40" s="3">
        <f>TABL12345[[#This Row],[S/S_CON.]]+TABL12345[[#This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TABL12345[[#This Row],[(RESV. STORGE) AJD]]/10</f>
        <v/>
      </c>
      <c r="AB40" s="3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32" t="n"/>
      <c r="AN40" s="32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TABL12345[[#This Row],[ (T/B) SAR]]+TABL12345[[#This Row],[ (S/S) SAR]]</f>
        <v/>
      </c>
      <c r="L41" s="41" t="n"/>
      <c r="M41" s="42" t="n"/>
      <c r="N41" s="42" t="n"/>
      <c r="O41" s="39" t="n"/>
      <c r="P41" s="3">
        <f>TABL12345[[#This Row],[ (S/S) SAR]]-TABL12345[[#This Row],[(S/S) AJD]]</f>
        <v/>
      </c>
      <c r="Q41" s="39" t="n"/>
      <c r="R41" s="3">
        <f>TABL12345[[#This Row],[ (T/B) SAR]]-TABL12345[[#This Row],[(T/B) AJD]]</f>
        <v/>
      </c>
      <c r="S41" s="3">
        <f>TABL12345[[#This Row],[S/S_CON.]]+TABL12345[[#This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TABL12345[[#This Row],[(RESV. STORGE) AJD]]/10</f>
        <v/>
      </c>
      <c r="AB41" s="3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32" t="n"/>
      <c r="AN41" s="32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TABL12345[[#This Row],[ (T/B) SAR]]+TABL12345[[#This Row],[ (S/S) SAR]]</f>
        <v/>
      </c>
      <c r="L42" s="45" t="n"/>
      <c r="M42" s="46" t="n"/>
      <c r="N42" s="46" t="n"/>
      <c r="O42" s="40" t="n"/>
      <c r="P42" s="3">
        <f>TABL12345[[#This Row],[ (S/S) SAR]]-TABL12345[[#This Row],[(S/S) AJD]]</f>
        <v/>
      </c>
      <c r="Q42" s="40" t="n"/>
      <c r="R42" s="3">
        <f>TABL12345[[#This Row],[ (T/B) SAR]]-TABL12345[[#This Row],[(T/B) AJD]]</f>
        <v/>
      </c>
      <c r="S42" s="3">
        <f>TABL12345[[#This Row],[S/S_CON.]]+TABL12345[[#This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TABL12345[[#This Row],[(RESV. STORGE) AJD]]/10</f>
        <v/>
      </c>
      <c r="AB42" s="3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32" t="n"/>
      <c r="AN42" s="32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TABL12345[[#This Row],[ (T/B) SAR]]+TABL12345[[#This Row],[ (S/S) SAR]]</f>
        <v/>
      </c>
      <c r="L43" s="41" t="n"/>
      <c r="M43" s="42" t="n"/>
      <c r="N43" s="42" t="n"/>
      <c r="O43" s="39" t="n"/>
      <c r="P43" s="3">
        <f>TABL12345[[#This Row],[ (S/S) SAR]]-TABL12345[[#This Row],[(S/S) AJD]]</f>
        <v/>
      </c>
      <c r="Q43" s="39" t="n"/>
      <c r="R43" s="3">
        <f>TABL12345[[#This Row],[ (T/B) SAR]]-TABL12345[[#This Row],[(T/B) AJD]]</f>
        <v/>
      </c>
      <c r="S43" s="3">
        <f>TABL12345[[#This Row],[S/S_CON.]]+TABL12345[[#This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TABL12345[[#This Row],[(RESV. STORGE) AJD]]/10</f>
        <v/>
      </c>
      <c r="AB43" s="3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32" t="n"/>
      <c r="AN43" s="32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TABL12345[[#This Row],[ (T/B) SAR]]+TABL12345[[#This Row],[ (S/S) SAR]]</f>
        <v/>
      </c>
      <c r="L44" s="45" t="n"/>
      <c r="M44" s="46" t="n"/>
      <c r="N44" s="46" t="n"/>
      <c r="O44" s="40" t="n"/>
      <c r="P44" s="3">
        <f>TABL12345[[#This Row],[ (S/S) SAR]]-TABL12345[[#This Row],[(S/S) AJD]]</f>
        <v/>
      </c>
      <c r="Q44" s="40" t="n"/>
      <c r="R44" s="3">
        <f>TABL12345[[#This Row],[ (T/B) SAR]]-TABL12345[[#This Row],[(T/B) AJD]]</f>
        <v/>
      </c>
      <c r="S44" s="3">
        <f>TABL12345[[#This Row],[S/S_CON.]]+TABL12345[[#This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TABL12345[[#This Row],[(RESV. STORGE) AJD]]/10</f>
        <v/>
      </c>
      <c r="AB44" s="3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32" t="n"/>
      <c r="AN44" s="32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TABL12345[[#This Row],[ (T/B) SAR]]+TABL12345[[#This Row],[ (S/S) SAR]]</f>
        <v/>
      </c>
      <c r="L45" s="41" t="n"/>
      <c r="M45" s="42" t="n"/>
      <c r="N45" s="42" t="n"/>
      <c r="O45" s="39" t="n"/>
      <c r="P45" s="3">
        <f>TABL12345[[#This Row],[ (S/S) SAR]]-TABL12345[[#This Row],[(S/S) AJD]]</f>
        <v/>
      </c>
      <c r="Q45" s="39" t="n"/>
      <c r="R45" s="3">
        <f>TABL12345[[#This Row],[ (T/B) SAR]]-TABL12345[[#This Row],[(T/B) AJD]]</f>
        <v/>
      </c>
      <c r="S45" s="3">
        <f>TABL12345[[#This Row],[S/S_CON.]]+TABL12345[[#This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TABL12345[[#This Row],[(RESV. STORGE) AJD]]/10</f>
        <v/>
      </c>
      <c r="AB45" s="3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32" t="n"/>
      <c r="AN45" s="32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TABL12345[[#This Row],[ (T/B) SAR]]+TABL12345[[#This Row],[ (S/S) SAR]]</f>
        <v/>
      </c>
      <c r="L46" s="45" t="n"/>
      <c r="M46" s="46" t="n"/>
      <c r="N46" s="46" t="n"/>
      <c r="O46" s="40" t="n"/>
      <c r="P46" s="3">
        <f>TABL12345[[#This Row],[ (S/S) SAR]]-TABL12345[[#This Row],[(S/S) AJD]]</f>
        <v/>
      </c>
      <c r="Q46" s="40" t="n"/>
      <c r="R46" s="3">
        <f>TABL12345[[#This Row],[ (T/B) SAR]]-TABL12345[[#This Row],[(T/B) AJD]]</f>
        <v/>
      </c>
      <c r="S46" s="3">
        <f>TABL12345[[#This Row],[S/S_CON.]]+TABL12345[[#This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TABL12345[[#This Row],[(RESV. STORGE) AJD]]/10</f>
        <v/>
      </c>
      <c r="AB46" s="3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32" t="n"/>
      <c r="AN46" s="32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TABL12345[[#This Row],[ (T/B) SAR]]+TABL12345[[#This Row],[ (S/S) SAR]]</f>
        <v/>
      </c>
      <c r="L47" s="41" t="n"/>
      <c r="M47" s="42" t="n"/>
      <c r="N47" s="42" t="n"/>
      <c r="O47" s="39" t="n"/>
      <c r="P47" s="3">
        <f>TABL12345[[#This Row],[ (S/S) SAR]]-TABL12345[[#This Row],[(S/S) AJD]]</f>
        <v/>
      </c>
      <c r="Q47" s="39" t="n"/>
      <c r="R47" s="3">
        <f>TABL12345[[#This Row],[ (T/B) SAR]]-TABL12345[[#This Row],[(T/B) AJD]]</f>
        <v/>
      </c>
      <c r="S47" s="3">
        <f>TABL12345[[#This Row],[S/S_CON.]]+TABL12345[[#This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TABL12345[[#This Row],[(RESV. STORGE) AJD]]/10</f>
        <v/>
      </c>
      <c r="AB47" s="3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32" t="n"/>
      <c r="AN47" s="32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TABL12345[[#This Row],[ (T/B) SAR]]+TABL12345[[#This Row],[ (S/S) SAR]]</f>
        <v/>
      </c>
      <c r="L48" s="45" t="n"/>
      <c r="M48" s="46" t="n"/>
      <c r="N48" s="46" t="n"/>
      <c r="O48" s="40" t="n"/>
      <c r="P48" s="3">
        <f>TABL12345[[#This Row],[ (S/S) SAR]]-TABL12345[[#This Row],[(S/S) AJD]]</f>
        <v/>
      </c>
      <c r="Q48" s="40" t="n"/>
      <c r="R48" s="3">
        <f>TABL12345[[#This Row],[ (T/B) SAR]]-TABL12345[[#This Row],[(T/B) AJD]]</f>
        <v/>
      </c>
      <c r="S48" s="3">
        <f>TABL12345[[#This Row],[S/S_CON.]]+TABL12345[[#This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TABL12345[[#This Row],[(RESV. STORGE) AJD]]/10</f>
        <v/>
      </c>
      <c r="AB48" s="3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32" t="n"/>
      <c r="AN48" s="32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TABL12345[[#This Row],[ (T/B) SAR]]+TABL12345[[#This Row],[ (S/S) SAR]]</f>
        <v/>
      </c>
      <c r="L49" s="41" t="n"/>
      <c r="M49" s="42" t="n"/>
      <c r="N49" s="42" t="n"/>
      <c r="O49" s="39" t="n"/>
      <c r="P49" s="3">
        <f>TABL12345[[#This Row],[ (S/S) SAR]]-TABL12345[[#This Row],[(S/S) AJD]]</f>
        <v/>
      </c>
      <c r="Q49" s="39" t="n"/>
      <c r="R49" s="3">
        <f>TABL12345[[#This Row],[ (T/B) SAR]]-TABL12345[[#This Row],[(T/B) AJD]]</f>
        <v/>
      </c>
      <c r="S49" s="3">
        <f>TABL12345[[#This Row],[S/S_CON.]]+TABL12345[[#This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TABL12345[[#This Row],[(RESV. STORGE) AJD]]/10</f>
        <v/>
      </c>
      <c r="AB49" s="3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32" t="n"/>
      <c r="AN49" s="32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TABL12345[[#This Row],[ (T/B) SAR]]+TABL12345[[#This Row],[ (S/S) SAR]]</f>
        <v/>
      </c>
      <c r="L50" s="45" t="n"/>
      <c r="M50" s="46" t="n"/>
      <c r="N50" s="46" t="n"/>
      <c r="O50" s="40" t="n"/>
      <c r="P50" s="3">
        <f>TABL12345[[#This Row],[ (S/S) SAR]]-TABL12345[[#This Row],[(S/S) AJD]]</f>
        <v/>
      </c>
      <c r="Q50" s="40" t="n"/>
      <c r="R50" s="3">
        <f>TABL12345[[#This Row],[ (T/B) SAR]]-TABL12345[[#This Row],[(T/B) AJD]]</f>
        <v/>
      </c>
      <c r="S50" s="3">
        <f>TABL12345[[#This Row],[S/S_CON.]]+TABL12345[[#This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TABL12345[[#This Row],[(RESV. STORGE) AJD]]/10</f>
        <v/>
      </c>
      <c r="AB50" s="3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32" t="n"/>
      <c r="AN50" s="32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TABL12345[[#This Row],[ (T/B) SAR]]+TABL12345[[#This Row],[ (S/S) SAR]]</f>
        <v/>
      </c>
      <c r="L51" s="41" t="n"/>
      <c r="M51" s="42" t="n"/>
      <c r="N51" s="42" t="n"/>
      <c r="O51" s="39" t="n"/>
      <c r="P51" s="3">
        <f>TABL12345[[#This Row],[ (S/S) SAR]]-TABL12345[[#This Row],[(S/S) AJD]]</f>
        <v/>
      </c>
      <c r="Q51" s="39" t="n"/>
      <c r="R51" s="3">
        <f>TABL12345[[#This Row],[ (T/B) SAR]]-TABL12345[[#This Row],[(T/B) AJD]]</f>
        <v/>
      </c>
      <c r="S51" s="3">
        <f>TABL12345[[#This Row],[S/S_CON.]]+TABL12345[[#This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TABL12345[[#This Row],[(RESV. STORGE) AJD]]/10</f>
        <v/>
      </c>
      <c r="AB51" s="3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32" t="n"/>
      <c r="AN51" s="32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TABL12345[[#This Row],[ (T/B) SAR]]+TABL12345[[#This Row],[ (S/S) SAR]]</f>
        <v/>
      </c>
      <c r="L52" s="45" t="n"/>
      <c r="M52" s="46" t="n"/>
      <c r="N52" s="46" t="n"/>
      <c r="O52" s="40" t="n"/>
      <c r="P52" s="3">
        <f>TABL12345[[#This Row],[ (S/S) SAR]]-TABL12345[[#This Row],[(S/S) AJD]]</f>
        <v/>
      </c>
      <c r="Q52" s="40" t="n"/>
      <c r="R52" s="3">
        <f>TABL12345[[#This Row],[ (T/B) SAR]]-TABL12345[[#This Row],[(T/B) AJD]]</f>
        <v/>
      </c>
      <c r="S52" s="3">
        <f>TABL12345[[#This Row],[S/S_CON.]]+TABL12345[[#This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TABL12345[[#This Row],[(RESV. STORGE) AJD]]/10</f>
        <v/>
      </c>
      <c r="AB52" s="3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32" t="n"/>
      <c r="AN52" s="32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TABL12345[[#This Row],[ (T/B) SAR]]+TABL12345[[#This Row],[ (S/S) SAR]]</f>
        <v/>
      </c>
      <c r="L53" s="41" t="n"/>
      <c r="M53" s="42" t="n"/>
      <c r="N53" s="42" t="n"/>
      <c r="O53" s="39" t="n"/>
      <c r="P53" s="3">
        <f>TABL12345[[#This Row],[ (S/S) SAR]]-TABL12345[[#This Row],[(S/S) AJD]]</f>
        <v/>
      </c>
      <c r="Q53" s="39" t="n"/>
      <c r="R53" s="3">
        <f>TABL12345[[#This Row],[ (T/B) SAR]]-TABL12345[[#This Row],[(T/B) AJD]]</f>
        <v/>
      </c>
      <c r="S53" s="3">
        <f>TABL12345[[#This Row],[S/S_CON.]]+TABL12345[[#This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TABL12345[[#This Row],[(RESV. STORGE) AJD]]/10</f>
        <v/>
      </c>
      <c r="AB53" s="3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32" t="n"/>
      <c r="AN53" s="32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TABL12345[[#This Row],[ (T/B) SAR]]+TABL12345[[#This Row],[ (S/S) SAR]]</f>
        <v/>
      </c>
      <c r="L54" s="45" t="n"/>
      <c r="M54" s="46" t="n"/>
      <c r="N54" s="46" t="n"/>
      <c r="O54" s="40" t="n"/>
      <c r="P54" s="3">
        <f>TABL12345[[#This Row],[ (S/S) SAR]]-TABL12345[[#This Row],[(S/S) AJD]]</f>
        <v/>
      </c>
      <c r="Q54" s="40" t="n"/>
      <c r="R54" s="3">
        <f>TABL12345[[#This Row],[ (T/B) SAR]]-TABL12345[[#This Row],[(T/B) AJD]]</f>
        <v/>
      </c>
      <c r="S54" s="3">
        <f>TABL12345[[#This Row],[S/S_CON.]]+TABL12345[[#This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TABL12345[[#This Row],[(RESV. STORGE) AJD]]/10</f>
        <v/>
      </c>
      <c r="AB54" s="3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32" t="n"/>
      <c r="AN54" s="32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TABL12345[[#This Row],[ (T/B) SAR]]+TABL12345[[#This Row],[ (S/S) SAR]]</f>
        <v/>
      </c>
      <c r="L55" s="41" t="n"/>
      <c r="M55" s="42" t="n"/>
      <c r="N55" s="42" t="n"/>
      <c r="O55" s="39" t="n"/>
      <c r="P55" s="3">
        <f>TABL12345[[#This Row],[ (S/S) SAR]]-TABL12345[[#This Row],[(S/S) AJD]]</f>
        <v/>
      </c>
      <c r="Q55" s="39" t="n"/>
      <c r="R55" s="3">
        <f>TABL12345[[#This Row],[ (T/B) SAR]]-TABL12345[[#This Row],[(T/B) AJD]]</f>
        <v/>
      </c>
      <c r="S55" s="3">
        <f>TABL12345[[#This Row],[S/S_CON.]]+TABL12345[[#This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TABL12345[[#This Row],[(RESV. STORGE) AJD]]/10</f>
        <v/>
      </c>
      <c r="AB55" s="3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32" t="n"/>
      <c r="AN55" s="32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TABL12345[[#This Row],[ (T/B) SAR]]+TABL12345[[#This Row],[ (S/S) SAR]]</f>
        <v/>
      </c>
      <c r="L56" s="45" t="n"/>
      <c r="M56" s="46" t="n"/>
      <c r="N56" s="46" t="n"/>
      <c r="O56" s="40" t="n"/>
      <c r="P56" s="3">
        <f>TABL12345[[#This Row],[ (S/S) SAR]]-TABL12345[[#This Row],[(S/S) AJD]]</f>
        <v/>
      </c>
      <c r="Q56" s="40" t="n"/>
      <c r="R56" s="3">
        <f>TABL12345[[#This Row],[ (T/B) SAR]]-TABL12345[[#This Row],[(T/B) AJD]]</f>
        <v/>
      </c>
      <c r="S56" s="3">
        <f>TABL12345[[#This Row],[S/S_CON.]]+TABL12345[[#This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TABL12345[[#This Row],[(RESV. STORGE) AJD]]/10</f>
        <v/>
      </c>
      <c r="AB56" s="3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32" t="n"/>
      <c r="AN56" s="32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TABL12345[[#This Row],[ (T/B) SAR]]+TABL12345[[#This Row],[ (S/S) SAR]]</f>
        <v/>
      </c>
      <c r="L57" s="41" t="n"/>
      <c r="M57" s="42" t="n"/>
      <c r="N57" s="42" t="n"/>
      <c r="O57" s="39" t="n"/>
      <c r="P57" s="3">
        <f>TABL12345[[#This Row],[ (S/S) SAR]]-TABL12345[[#This Row],[(S/S) AJD]]</f>
        <v/>
      </c>
      <c r="Q57" s="39" t="n"/>
      <c r="R57" s="3">
        <f>TABL12345[[#This Row],[ (T/B) SAR]]-TABL12345[[#This Row],[(T/B) AJD]]</f>
        <v/>
      </c>
      <c r="S57" s="3">
        <f>TABL12345[[#This Row],[S/S_CON.]]+TABL12345[[#This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TABL12345[[#This Row],[(RESV. STORGE) AJD]]/10</f>
        <v/>
      </c>
      <c r="AB57" s="3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32" t="n"/>
      <c r="AN57" s="32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TABL12345[[#This Row],[ (T/B) SAR]]+TABL12345[[#This Row],[ (S/S) SAR]]</f>
        <v/>
      </c>
      <c r="L58" s="45" t="n"/>
      <c r="M58" s="46" t="n"/>
      <c r="N58" s="46" t="n"/>
      <c r="O58" s="40" t="n"/>
      <c r="P58" s="3">
        <f>TABL12345[[#This Row],[ (S/S) SAR]]-TABL12345[[#This Row],[(S/S) AJD]]</f>
        <v/>
      </c>
      <c r="Q58" s="40" t="n"/>
      <c r="R58" s="3">
        <f>TABL12345[[#This Row],[ (T/B) SAR]]-TABL12345[[#This Row],[(T/B) AJD]]</f>
        <v/>
      </c>
      <c r="S58" s="3">
        <f>TABL12345[[#This Row],[S/S_CON.]]+TABL12345[[#This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TABL12345[[#This Row],[(RESV. STORGE) AJD]]/10</f>
        <v/>
      </c>
      <c r="AB58" s="3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32" t="n"/>
      <c r="AN58" s="32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TABL12345[[#This Row],[ (T/B) SAR]]+TABL12345[[#This Row],[ (S/S) SAR]]</f>
        <v/>
      </c>
      <c r="L59" s="41" t="n"/>
      <c r="M59" s="42" t="n"/>
      <c r="N59" s="42" t="n"/>
      <c r="O59" s="39" t="n"/>
      <c r="P59" s="3">
        <f>TABL12345[[#This Row],[ (S/S) SAR]]-TABL12345[[#This Row],[(S/S) AJD]]</f>
        <v/>
      </c>
      <c r="Q59" s="39" t="n"/>
      <c r="R59" s="3">
        <f>TABL12345[[#This Row],[ (T/B) SAR]]-TABL12345[[#This Row],[(T/B) AJD]]</f>
        <v/>
      </c>
      <c r="S59" s="3">
        <f>TABL12345[[#This Row],[S/S_CON.]]+TABL12345[[#This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TABL12345[[#This Row],[(RESV. STORGE) AJD]]/10</f>
        <v/>
      </c>
      <c r="AB59" s="3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32" t="n"/>
      <c r="AN59" s="32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TABL12345[[#This Row],[ (T/B) SAR]]+TABL12345[[#This Row],[ (S/S) SAR]]</f>
        <v/>
      </c>
      <c r="L60" s="45" t="n"/>
      <c r="M60" s="46" t="n"/>
      <c r="N60" s="46" t="n"/>
      <c r="O60" s="40" t="n"/>
      <c r="P60" s="3">
        <f>TABL12345[[#This Row],[ (S/S) SAR]]-TABL12345[[#This Row],[(S/S) AJD]]</f>
        <v/>
      </c>
      <c r="Q60" s="40" t="n"/>
      <c r="R60" s="3">
        <f>TABL12345[[#This Row],[ (T/B) SAR]]-TABL12345[[#This Row],[(T/B) AJD]]</f>
        <v/>
      </c>
      <c r="S60" s="3">
        <f>TABL12345[[#This Row],[S/S_CON.]]+TABL12345[[#This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TABL12345[[#This Row],[(RESV. STORGE) AJD]]/10</f>
        <v/>
      </c>
      <c r="AB60" s="3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32" t="n"/>
      <c r="AN60" s="32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TABL12345[[#This Row],[ (T/B) SAR]]+TABL12345[[#This Row],[ (S/S) SAR]]</f>
        <v/>
      </c>
      <c r="L61" s="41" t="n"/>
      <c r="M61" s="42" t="n"/>
      <c r="N61" s="42" t="n"/>
      <c r="O61" s="39" t="n"/>
      <c r="P61" s="3">
        <f>TABL12345[[#This Row],[ (S/S) SAR]]-TABL12345[[#This Row],[(S/S) AJD]]</f>
        <v/>
      </c>
      <c r="Q61" s="39" t="n"/>
      <c r="R61" s="3">
        <f>TABL12345[[#This Row],[ (T/B) SAR]]-TABL12345[[#This Row],[(T/B) AJD]]</f>
        <v/>
      </c>
      <c r="S61" s="3">
        <f>TABL12345[[#This Row],[S/S_CON.]]+TABL12345[[#This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TABL12345[[#This Row],[(RESV. STORGE) AJD]]/10</f>
        <v/>
      </c>
      <c r="AB61" s="3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32" t="n"/>
      <c r="AN61" s="32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TABL12345[[#This Row],[ (T/B) SAR]]+TABL12345[[#This Row],[ (S/S) SAR]]</f>
        <v/>
      </c>
      <c r="L62" s="45" t="n"/>
      <c r="M62" s="46" t="n"/>
      <c r="N62" s="46" t="n"/>
      <c r="O62" s="40" t="n"/>
      <c r="P62" s="3">
        <f>TABL12345[[#This Row],[ (S/S) SAR]]-TABL12345[[#This Row],[(S/S) AJD]]</f>
        <v/>
      </c>
      <c r="Q62" s="40" t="n"/>
      <c r="R62" s="3">
        <f>TABL12345[[#This Row],[ (T/B) SAR]]-TABL12345[[#This Row],[(T/B) AJD]]</f>
        <v/>
      </c>
      <c r="S62" s="3">
        <f>TABL12345[[#This Row],[S/S_CON.]]+TABL12345[[#This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TABL12345[[#This Row],[(RESV. STORGE) AJD]]/10</f>
        <v/>
      </c>
      <c r="AB62" s="3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32" t="n"/>
      <c r="AN62" s="32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TABL12345[[#This Row],[ (T/B) SAR]]+TABL12345[[#This Row],[ (S/S) SAR]]</f>
        <v/>
      </c>
      <c r="L63" s="41" t="n"/>
      <c r="M63" s="42" t="n"/>
      <c r="N63" s="42" t="n"/>
      <c r="O63" s="39" t="n"/>
      <c r="P63" s="3">
        <f>TABL12345[[#This Row],[ (S/S) SAR]]-TABL12345[[#This Row],[(S/S) AJD]]</f>
        <v/>
      </c>
      <c r="Q63" s="39" t="n"/>
      <c r="R63" s="3">
        <f>TABL12345[[#This Row],[ (T/B) SAR]]-TABL12345[[#This Row],[(T/B) AJD]]</f>
        <v/>
      </c>
      <c r="S63" s="3">
        <f>TABL12345[[#This Row],[S/S_CON.]]+TABL12345[[#This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TABL12345[[#This Row],[(RESV. STORGE) AJD]]/10</f>
        <v/>
      </c>
      <c r="AB63" s="3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32" t="n"/>
      <c r="AN63" s="32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TABL12345[[#This Row],[ (T/B) SAR]]+TABL12345[[#This Row],[ (S/S) SAR]]</f>
        <v/>
      </c>
      <c r="L64" s="45" t="n"/>
      <c r="M64" s="46" t="n"/>
      <c r="N64" s="46" t="n"/>
      <c r="O64" s="40" t="n"/>
      <c r="P64" s="3">
        <f>TABL12345[[#This Row],[ (S/S) SAR]]-TABL12345[[#This Row],[(S/S) AJD]]</f>
        <v/>
      </c>
      <c r="Q64" s="40" t="n"/>
      <c r="R64" s="3">
        <f>TABL12345[[#This Row],[ (T/B) SAR]]-TABL12345[[#This Row],[(T/B) AJD]]</f>
        <v/>
      </c>
      <c r="S64" s="3">
        <f>TABL12345[[#This Row],[S/S_CON.]]+TABL12345[[#This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TABL12345[[#This Row],[(RESV. STORGE) AJD]]/10</f>
        <v/>
      </c>
      <c r="AB64" s="3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32" t="n"/>
      <c r="AN64" s="32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TABL12345[[#This Row],[ (T/B) SAR]]+TABL12345[[#This Row],[ (S/S) SAR]]</f>
        <v/>
      </c>
      <c r="L65" s="41" t="n"/>
      <c r="M65" s="42" t="n"/>
      <c r="N65" s="42" t="n"/>
      <c r="O65" s="39" t="n"/>
      <c r="P65" s="3">
        <f>TABL12345[[#This Row],[ (S/S) SAR]]-TABL12345[[#This Row],[(S/S) AJD]]</f>
        <v/>
      </c>
      <c r="Q65" s="39" t="n"/>
      <c r="R65" s="3">
        <f>TABL12345[[#This Row],[ (T/B) SAR]]-TABL12345[[#This Row],[(T/B) AJD]]</f>
        <v/>
      </c>
      <c r="S65" s="3">
        <f>TABL12345[[#This Row],[S/S_CON.]]+TABL12345[[#This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TABL12345[[#This Row],[(RESV. STORGE) AJD]]/10</f>
        <v/>
      </c>
      <c r="AB65" s="3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32" t="n"/>
      <c r="AN65" s="32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TABL12345[[#This Row],[ (T/B) SAR]]+TABL12345[[#This Row],[ (S/S) SAR]]</f>
        <v/>
      </c>
      <c r="L66" s="45" t="n"/>
      <c r="M66" s="46" t="n"/>
      <c r="N66" s="46" t="n"/>
      <c r="O66" s="40" t="n"/>
      <c r="P66" s="3">
        <f>TABL12345[[#This Row],[ (S/S) SAR]]-TABL12345[[#This Row],[(S/S) AJD]]</f>
        <v/>
      </c>
      <c r="Q66" s="40" t="n"/>
      <c r="R66" s="3">
        <f>TABL12345[[#This Row],[ (T/B) SAR]]-TABL12345[[#This Row],[(T/B) AJD]]</f>
        <v/>
      </c>
      <c r="S66" s="3">
        <f>TABL12345[[#This Row],[S/S_CON.]]+TABL12345[[#This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TABL12345[[#This Row],[(RESV. STORGE) AJD]]/10</f>
        <v/>
      </c>
      <c r="AB66" s="3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32" t="n"/>
      <c r="AN66" s="32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TABL12345[[#This Row],[ (T/B) SAR]]+TABL12345[[#This Row],[ (S/S) SAR]]</f>
        <v/>
      </c>
      <c r="L67" s="41" t="n"/>
      <c r="M67" s="42" t="n"/>
      <c r="N67" s="42" t="n"/>
      <c r="O67" s="39" t="n"/>
      <c r="P67" s="3">
        <f>TABL12345[[#This Row],[ (S/S) SAR]]-TABL12345[[#This Row],[(S/S) AJD]]</f>
        <v/>
      </c>
      <c r="Q67" s="39" t="n"/>
      <c r="R67" s="3">
        <f>TABL12345[[#This Row],[ (T/B) SAR]]-TABL12345[[#This Row],[(T/B) AJD]]</f>
        <v/>
      </c>
      <c r="S67" s="3">
        <f>TABL12345[[#This Row],[S/S_CON.]]+TABL12345[[#This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TABL12345[[#This Row],[(RESV. STORGE) AJD]]/10</f>
        <v/>
      </c>
      <c r="AB67" s="3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32" t="n"/>
      <c r="AN67" s="32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TABL12345[[#This Row],[ (T/B) SAR]]+TABL12345[[#This Row],[ (S/S) SAR]]</f>
        <v/>
      </c>
      <c r="L68" s="45" t="n"/>
      <c r="M68" s="46" t="n"/>
      <c r="N68" s="46" t="n"/>
      <c r="O68" s="40" t="n"/>
      <c r="P68" s="3">
        <f>TABL12345[[#This Row],[ (S/S) SAR]]-TABL12345[[#This Row],[(S/S) AJD]]</f>
        <v/>
      </c>
      <c r="Q68" s="40" t="n"/>
      <c r="R68" s="3">
        <f>TABL12345[[#This Row],[ (T/B) SAR]]-TABL12345[[#This Row],[(T/B) AJD]]</f>
        <v/>
      </c>
      <c r="S68" s="3">
        <f>TABL12345[[#This Row],[S/S_CON.]]+TABL12345[[#This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TABL12345[[#This Row],[(RESV. STORGE) AJD]]/10</f>
        <v/>
      </c>
      <c r="AB68" s="3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32" t="n"/>
      <c r="AN68" s="32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TABL12345[[#This Row],[ (T/B) SAR]]+TABL12345[[#This Row],[ (S/S) SAR]]</f>
        <v/>
      </c>
      <c r="L69" s="41" t="n"/>
      <c r="M69" s="42" t="n"/>
      <c r="N69" s="42" t="n"/>
      <c r="O69" s="39" t="n"/>
      <c r="P69" s="3">
        <f>TABL12345[[#This Row],[ (S/S) SAR]]-TABL12345[[#This Row],[(S/S) AJD]]</f>
        <v/>
      </c>
      <c r="Q69" s="39" t="n"/>
      <c r="R69" s="3">
        <f>TABL12345[[#This Row],[ (T/B) SAR]]-TABL12345[[#This Row],[(T/B) AJD]]</f>
        <v/>
      </c>
      <c r="S69" s="3">
        <f>TABL12345[[#This Row],[S/S_CON.]]+TABL12345[[#This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TABL12345[[#This Row],[(RESV. STORGE) AJD]]/10</f>
        <v/>
      </c>
      <c r="AB69" s="3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32" t="n"/>
      <c r="AN69" s="32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TABL12345[[#This Row],[ (T/B) SAR]]+TABL12345[[#This Row],[ (S/S) SAR]]</f>
        <v/>
      </c>
      <c r="L70" s="45" t="n"/>
      <c r="M70" s="46" t="n"/>
      <c r="N70" s="46" t="n"/>
      <c r="O70" s="40" t="n"/>
      <c r="P70" s="3">
        <f>TABL12345[[#This Row],[ (S/S) SAR]]-TABL12345[[#This Row],[(S/S) AJD]]</f>
        <v/>
      </c>
      <c r="Q70" s="40" t="n"/>
      <c r="R70" s="3">
        <f>TABL12345[[#This Row],[ (T/B) SAR]]-TABL12345[[#This Row],[(T/B) AJD]]</f>
        <v/>
      </c>
      <c r="S70" s="3">
        <f>TABL12345[[#This Row],[S/S_CON.]]+TABL12345[[#This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TABL12345[[#This Row],[(RESV. STORGE) AJD]]/10</f>
        <v/>
      </c>
      <c r="AB70" s="3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32" t="n"/>
      <c r="AN70" s="32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TABL12345[[#This Row],[ (T/B) SAR]]+TABL12345[[#This Row],[ (S/S) SAR]]</f>
        <v/>
      </c>
      <c r="L71" s="41" t="n"/>
      <c r="M71" s="42" t="n"/>
      <c r="N71" s="42" t="n"/>
      <c r="O71" s="39" t="n"/>
      <c r="P71" s="3">
        <f>TABL12345[[#This Row],[ (S/S) SAR]]-TABL12345[[#This Row],[(S/S) AJD]]</f>
        <v/>
      </c>
      <c r="Q71" s="39" t="n"/>
      <c r="R71" s="3">
        <f>TABL12345[[#This Row],[ (T/B) SAR]]-TABL12345[[#This Row],[(T/B) AJD]]</f>
        <v/>
      </c>
      <c r="S71" s="3">
        <f>TABL12345[[#This Row],[S/S_CON.]]+TABL12345[[#This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TABL12345[[#This Row],[(RESV. STORGE) AJD]]/10</f>
        <v/>
      </c>
      <c r="AB71" s="3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32" t="n"/>
      <c r="AN71" s="32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TABL12345[[#This Row],[ (T/B) SAR]]+TABL12345[[#This Row],[ (S/S) SAR]]</f>
        <v/>
      </c>
      <c r="L72" s="45" t="n"/>
      <c r="M72" s="46" t="n"/>
      <c r="N72" s="46" t="n"/>
      <c r="O72" s="40" t="n"/>
      <c r="P72" s="3">
        <f>TABL12345[[#This Row],[ (S/S) SAR]]-TABL12345[[#This Row],[(S/S) AJD]]</f>
        <v/>
      </c>
      <c r="Q72" s="40" t="n"/>
      <c r="R72" s="3">
        <f>TABL12345[[#This Row],[ (T/B) SAR]]-TABL12345[[#This Row],[(T/B) AJD]]</f>
        <v/>
      </c>
      <c r="S72" s="3">
        <f>TABL12345[[#This Row],[S/S_CON.]]+TABL12345[[#This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TABL12345[[#This Row],[(RESV. STORGE) AJD]]/10</f>
        <v/>
      </c>
      <c r="AB72" s="3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32" t="n"/>
      <c r="AN72" s="32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TABL12345[[#This Row],[ (T/B) SAR]]+TABL12345[[#This Row],[ (S/S) SAR]]</f>
        <v/>
      </c>
      <c r="L73" s="41" t="n"/>
      <c r="M73" s="42" t="n"/>
      <c r="N73" s="42" t="n"/>
      <c r="O73" s="39" t="n"/>
      <c r="P73" s="3">
        <f>TABL12345[[#This Row],[ (S/S) SAR]]-TABL12345[[#This Row],[(S/S) AJD]]</f>
        <v/>
      </c>
      <c r="Q73" s="39" t="n"/>
      <c r="R73" s="3">
        <f>TABL12345[[#This Row],[ (T/B) SAR]]-TABL12345[[#This Row],[(T/B) AJD]]</f>
        <v/>
      </c>
      <c r="S73" s="3">
        <f>TABL12345[[#This Row],[S/S_CON.]]+TABL12345[[#This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TABL12345[[#This Row],[(RESV. STORGE) AJD]]/10</f>
        <v/>
      </c>
      <c r="AB73" s="3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32" t="n"/>
      <c r="AN73" s="32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TABL12345[[#This Row],[ (T/B) SAR]]+TABL12345[[#This Row],[ (S/S) SAR]]</f>
        <v/>
      </c>
      <c r="L74" s="45" t="n"/>
      <c r="M74" s="46" t="n"/>
      <c r="N74" s="46" t="n"/>
      <c r="O74" s="40" t="n"/>
      <c r="P74" s="3">
        <f>TABL12345[[#This Row],[ (S/S) SAR]]-TABL12345[[#This Row],[(S/S) AJD]]</f>
        <v/>
      </c>
      <c r="Q74" s="40" t="n"/>
      <c r="R74" s="3">
        <f>TABL12345[[#This Row],[ (T/B) SAR]]-TABL12345[[#This Row],[(T/B) AJD]]</f>
        <v/>
      </c>
      <c r="S74" s="3">
        <f>TABL12345[[#This Row],[S/S_CON.]]+TABL12345[[#This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TABL12345[[#This Row],[(RESV. STORGE) AJD]]/10</f>
        <v/>
      </c>
      <c r="AB74" s="3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32" t="n"/>
      <c r="AN74" s="32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TABL12345[[#This Row],[ (T/B) SAR]]+TABL12345[[#This Row],[ (S/S) SAR]]</f>
        <v/>
      </c>
      <c r="L75" s="41" t="n"/>
      <c r="M75" s="42" t="n"/>
      <c r="N75" s="42" t="n"/>
      <c r="O75" s="39" t="n"/>
      <c r="P75" s="3">
        <f>TABL12345[[#This Row],[ (S/S) SAR]]-TABL12345[[#This Row],[(S/S) AJD]]</f>
        <v/>
      </c>
      <c r="Q75" s="39" t="n"/>
      <c r="R75" s="3">
        <f>TABL12345[[#This Row],[ (T/B) SAR]]-TABL12345[[#This Row],[(T/B) AJD]]</f>
        <v/>
      </c>
      <c r="S75" s="3">
        <f>TABL12345[[#This Row],[S/S_CON.]]+TABL12345[[#This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TABL12345[[#This Row],[(RESV. STORGE) AJD]]/10</f>
        <v/>
      </c>
      <c r="AB75" s="3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32" t="n"/>
      <c r="AN75" s="32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TABL12345[[#This Row],[ (T/B) SAR]]+TABL12345[[#This Row],[ (S/S) SAR]]</f>
        <v/>
      </c>
      <c r="L76" s="45" t="n"/>
      <c r="M76" s="46" t="n"/>
      <c r="N76" s="46" t="n"/>
      <c r="O76" s="40" t="n"/>
      <c r="P76" s="3">
        <f>TABL12345[[#This Row],[ (S/S) SAR]]-TABL12345[[#This Row],[(S/S) AJD]]</f>
        <v/>
      </c>
      <c r="Q76" s="40" t="n"/>
      <c r="R76" s="3">
        <f>TABL12345[[#This Row],[ (T/B) SAR]]-TABL12345[[#This Row],[(T/B) AJD]]</f>
        <v/>
      </c>
      <c r="S76" s="3">
        <f>TABL12345[[#This Row],[S/S_CON.]]+TABL12345[[#This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TABL12345[[#This Row],[(RESV. STORGE) AJD]]/10</f>
        <v/>
      </c>
      <c r="AB76" s="3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32" t="n"/>
      <c r="AN76" s="32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TABL12345[[#This Row],[ (T/B) SAR]]+TABL12345[[#This Row],[ (S/S) SAR]]</f>
        <v/>
      </c>
      <c r="L77" s="41" t="n"/>
      <c r="M77" s="42" t="n"/>
      <c r="N77" s="42" t="n"/>
      <c r="O77" s="39" t="n"/>
      <c r="P77" s="3">
        <f>TABL12345[[#This Row],[ (S/S) SAR]]-TABL12345[[#This Row],[(S/S) AJD]]</f>
        <v/>
      </c>
      <c r="Q77" s="39" t="n"/>
      <c r="R77" s="3">
        <f>TABL12345[[#This Row],[ (T/B) SAR]]-TABL12345[[#This Row],[(T/B) AJD]]</f>
        <v/>
      </c>
      <c r="S77" s="3">
        <f>TABL12345[[#This Row],[S/S_CON.]]+TABL12345[[#This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TABL12345[[#This Row],[(RESV. STORGE) AJD]]/10</f>
        <v/>
      </c>
      <c r="AB77" s="3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32" t="n"/>
      <c r="AN77" s="32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TABL12345[[#This Row],[ (T/B) SAR]]+TABL12345[[#This Row],[ (S/S) SAR]]</f>
        <v/>
      </c>
      <c r="L78" s="45" t="n"/>
      <c r="M78" s="46" t="n"/>
      <c r="N78" s="46" t="n"/>
      <c r="O78" s="40" t="n"/>
      <c r="P78" s="3">
        <f>TABL12345[[#This Row],[ (S/S) SAR]]-TABL12345[[#This Row],[(S/S) AJD]]</f>
        <v/>
      </c>
      <c r="Q78" s="40" t="n"/>
      <c r="R78" s="3">
        <f>TABL12345[[#This Row],[ (T/B) SAR]]-TABL12345[[#This Row],[(T/B) AJD]]</f>
        <v/>
      </c>
      <c r="S78" s="3">
        <f>TABL12345[[#This Row],[S/S_CON.]]+TABL12345[[#This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TABL12345[[#This Row],[(RESV. STORGE) AJD]]/10</f>
        <v/>
      </c>
      <c r="AB78" s="3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32" t="n"/>
      <c r="AN78" s="32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TABL12345[[#This Row],[ (T/B) SAR]]+TABL12345[[#This Row],[ (S/S) SAR]]</f>
        <v/>
      </c>
      <c r="L79" s="41" t="n"/>
      <c r="M79" s="42" t="n"/>
      <c r="N79" s="42" t="n"/>
      <c r="O79" s="39" t="n"/>
      <c r="P79" s="3">
        <f>TABL12345[[#This Row],[ (S/S) SAR]]-TABL12345[[#This Row],[(S/S) AJD]]</f>
        <v/>
      </c>
      <c r="Q79" s="39" t="n"/>
      <c r="R79" s="3">
        <f>TABL12345[[#This Row],[ (T/B) SAR]]-TABL12345[[#This Row],[(T/B) AJD]]</f>
        <v/>
      </c>
      <c r="S79" s="3">
        <f>TABL12345[[#This Row],[S/S_CON.]]+TABL12345[[#This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TABL12345[[#This Row],[(RESV. STORGE) AJD]]/10</f>
        <v/>
      </c>
      <c r="AB79" s="3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32" t="n"/>
      <c r="AN79" s="32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TABL12345[[#This Row],[ (T/B) SAR]]+TABL12345[[#This Row],[ (S/S) SAR]]</f>
        <v/>
      </c>
      <c r="L80" s="45" t="n"/>
      <c r="M80" s="46" t="n"/>
      <c r="N80" s="46" t="n"/>
      <c r="O80" s="40" t="n"/>
      <c r="P80" s="3">
        <f>TABL12345[[#This Row],[ (S/S) SAR]]-TABL12345[[#This Row],[(S/S) AJD]]</f>
        <v/>
      </c>
      <c r="Q80" s="40" t="n"/>
      <c r="R80" s="3">
        <f>TABL12345[[#This Row],[ (T/B) SAR]]-TABL12345[[#This Row],[(T/B) AJD]]</f>
        <v/>
      </c>
      <c r="S80" s="3">
        <f>TABL12345[[#This Row],[S/S_CON.]]+TABL12345[[#This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TABL12345[[#This Row],[(RESV. STORGE) AJD]]/10</f>
        <v/>
      </c>
      <c r="AB80" s="3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32" t="n"/>
      <c r="AN80" s="32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TABL12345[[#This Row],[ (T/B) SAR]]+TABL12345[[#This Row],[ (S/S) SAR]]</f>
        <v/>
      </c>
      <c r="L81" s="41" t="n"/>
      <c r="M81" s="42" t="n"/>
      <c r="N81" s="42" t="n"/>
      <c r="O81" s="39" t="n"/>
      <c r="P81" s="3">
        <f>TABL12345[[#This Row],[ (S/S) SAR]]-TABL12345[[#This Row],[(S/S) AJD]]</f>
        <v/>
      </c>
      <c r="Q81" s="39" t="n"/>
      <c r="R81" s="3">
        <f>TABL12345[[#This Row],[ (T/B) SAR]]-TABL12345[[#This Row],[(T/B) AJD]]</f>
        <v/>
      </c>
      <c r="S81" s="3">
        <f>TABL12345[[#This Row],[S/S_CON.]]+TABL12345[[#This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TABL12345[[#This Row],[(RESV. STORGE) AJD]]/10</f>
        <v/>
      </c>
      <c r="AB81" s="3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32" t="n"/>
      <c r="AN81" s="32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TABL12345[[#This Row],[ (T/B) SAR]]+TABL12345[[#This Row],[ (S/S) SAR]]</f>
        <v/>
      </c>
      <c r="L82" s="45" t="n"/>
      <c r="M82" s="46" t="n"/>
      <c r="N82" s="46" t="n"/>
      <c r="O82" s="40" t="n"/>
      <c r="P82" s="3">
        <f>TABL12345[[#This Row],[ (S/S) SAR]]-TABL12345[[#This Row],[(S/S) AJD]]</f>
        <v/>
      </c>
      <c r="Q82" s="40" t="n"/>
      <c r="R82" s="3">
        <f>TABL12345[[#This Row],[ (T/B) SAR]]-TABL12345[[#This Row],[(T/B) AJD]]</f>
        <v/>
      </c>
      <c r="S82" s="3">
        <f>TABL12345[[#This Row],[S/S_CON.]]+TABL12345[[#This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TABL12345[[#This Row],[(RESV. STORGE) AJD]]/10</f>
        <v/>
      </c>
      <c r="AB82" s="3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32" t="n"/>
      <c r="AN82" s="32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TABL12345[[#This Row],[ (T/B) SAR]]+TABL12345[[#This Row],[ (S/S) SAR]]</f>
        <v/>
      </c>
      <c r="L83" s="41" t="n"/>
      <c r="M83" s="42" t="n"/>
      <c r="N83" s="42" t="n"/>
      <c r="O83" s="39" t="n"/>
      <c r="P83" s="3">
        <f>TABL12345[[#This Row],[ (S/S) SAR]]-TABL12345[[#This Row],[(S/S) AJD]]</f>
        <v/>
      </c>
      <c r="Q83" s="39" t="n"/>
      <c r="R83" s="3">
        <f>TABL12345[[#This Row],[ (T/B) SAR]]-TABL12345[[#This Row],[(T/B) AJD]]</f>
        <v/>
      </c>
      <c r="S83" s="3">
        <f>TABL12345[[#This Row],[S/S_CON.]]+TABL12345[[#This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TABL12345[[#This Row],[(RESV. STORGE) AJD]]/10</f>
        <v/>
      </c>
      <c r="AB83" s="3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32" t="n"/>
      <c r="AN83" s="32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TABL12345[[#This Row],[ (T/B) SAR]]+TABL12345[[#This Row],[ (S/S) SAR]]</f>
        <v/>
      </c>
      <c r="L84" s="45" t="n"/>
      <c r="M84" s="46" t="n"/>
      <c r="N84" s="46" t="n"/>
      <c r="O84" s="40" t="n"/>
      <c r="P84" s="3">
        <f>TABL12345[[#This Row],[ (S/S) SAR]]-TABL12345[[#This Row],[(S/S) AJD]]</f>
        <v/>
      </c>
      <c r="Q84" s="40" t="n"/>
      <c r="R84" s="3">
        <f>TABL12345[[#This Row],[ (T/B) SAR]]-TABL12345[[#This Row],[(T/B) AJD]]</f>
        <v/>
      </c>
      <c r="S84" s="3">
        <f>TABL12345[[#This Row],[S/S_CON.]]+TABL12345[[#This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TABL12345[[#This Row],[(RESV. STORGE) AJD]]/10</f>
        <v/>
      </c>
      <c r="AB84" s="3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32" t="n"/>
      <c r="AN84" s="32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TABL12345[[#This Row],[ (T/B) SAR]]+TABL12345[[#This Row],[ (S/S) SAR]]</f>
        <v/>
      </c>
      <c r="L85" s="41" t="n"/>
      <c r="M85" s="42" t="n"/>
      <c r="N85" s="42" t="n"/>
      <c r="O85" s="39" t="n"/>
      <c r="P85" s="3">
        <f>TABL12345[[#This Row],[ (S/S) SAR]]-TABL12345[[#This Row],[(S/S) AJD]]</f>
        <v/>
      </c>
      <c r="Q85" s="39" t="n"/>
      <c r="R85" s="3">
        <f>TABL12345[[#This Row],[ (T/B) SAR]]-TABL12345[[#This Row],[(T/B) AJD]]</f>
        <v/>
      </c>
      <c r="S85" s="3">
        <f>TABL12345[[#This Row],[S/S_CON.]]+TABL12345[[#This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TABL12345[[#This Row],[(RESV. STORGE) AJD]]/10</f>
        <v/>
      </c>
      <c r="AB85" s="3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32" t="n"/>
      <c r="AN85" s="32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TABL12345[[#This Row],[ (T/B) SAR]]+TABL12345[[#This Row],[ (S/S) SAR]]</f>
        <v/>
      </c>
      <c r="L86" s="45" t="n"/>
      <c r="M86" s="46" t="n"/>
      <c r="N86" s="46" t="n"/>
      <c r="O86" s="40" t="n"/>
      <c r="P86" s="3">
        <f>TABL12345[[#This Row],[ (S/S) SAR]]-TABL12345[[#This Row],[(S/S) AJD]]</f>
        <v/>
      </c>
      <c r="Q86" s="40" t="n"/>
      <c r="R86" s="3">
        <f>TABL12345[[#This Row],[ (T/B) SAR]]-TABL12345[[#This Row],[(T/B) AJD]]</f>
        <v/>
      </c>
      <c r="S86" s="3">
        <f>TABL12345[[#This Row],[S/S_CON.]]+TABL12345[[#This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TABL12345[[#This Row],[(RESV. STORGE) AJD]]/10</f>
        <v/>
      </c>
      <c r="AB86" s="3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32" t="n"/>
      <c r="AN86" s="32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TABL12345[[#This Row],[ (T/B) SAR]]+TABL12345[[#This Row],[ (S/S) SAR]]</f>
        <v/>
      </c>
      <c r="L87" s="41" t="n"/>
      <c r="M87" s="42" t="n"/>
      <c r="N87" s="42" t="n"/>
      <c r="O87" s="39" t="n"/>
      <c r="P87" s="3">
        <f>TABL12345[[#This Row],[ (S/S) SAR]]-TABL12345[[#This Row],[(S/S) AJD]]</f>
        <v/>
      </c>
      <c r="Q87" s="39" t="n"/>
      <c r="R87" s="3">
        <f>TABL12345[[#This Row],[ (T/B) SAR]]-TABL12345[[#This Row],[(T/B) AJD]]</f>
        <v/>
      </c>
      <c r="S87" s="3">
        <f>TABL12345[[#This Row],[S/S_CON.]]+TABL12345[[#This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TABL12345[[#This Row],[(RESV. STORGE) AJD]]/10</f>
        <v/>
      </c>
      <c r="AB87" s="3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32" t="n"/>
      <c r="AN87" s="32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TABL12345[[#This Row],[ (T/B) SAR]]+TABL12345[[#This Row],[ (S/S) SAR]]</f>
        <v/>
      </c>
      <c r="L88" s="45" t="n"/>
      <c r="M88" s="46" t="n"/>
      <c r="N88" s="46" t="n"/>
      <c r="O88" s="40" t="n"/>
      <c r="P88" s="3">
        <f>TABL12345[[#This Row],[ (S/S) SAR]]-TABL12345[[#This Row],[(S/S) AJD]]</f>
        <v/>
      </c>
      <c r="Q88" s="40" t="n"/>
      <c r="R88" s="3">
        <f>TABL12345[[#This Row],[ (T/B) SAR]]-TABL12345[[#This Row],[(T/B) AJD]]</f>
        <v/>
      </c>
      <c r="S88" s="3">
        <f>TABL12345[[#This Row],[S/S_CON.]]+TABL12345[[#This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TABL12345[[#This Row],[(RESV. STORGE) AJD]]/10</f>
        <v/>
      </c>
      <c r="AB88" s="3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32" t="n"/>
      <c r="AN88" s="32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TABL12345[[#This Row],[ (T/B) SAR]]+TABL12345[[#This Row],[ (S/S) SAR]]</f>
        <v/>
      </c>
      <c r="L89" s="41" t="n"/>
      <c r="M89" s="42" t="n"/>
      <c r="N89" s="42" t="n"/>
      <c r="O89" s="39" t="n"/>
      <c r="P89" s="3">
        <f>TABL12345[[#This Row],[ (S/S) SAR]]-TABL12345[[#This Row],[(S/S) AJD]]</f>
        <v/>
      </c>
      <c r="Q89" s="39" t="n"/>
      <c r="R89" s="3">
        <f>TABL12345[[#This Row],[ (T/B) SAR]]-TABL12345[[#This Row],[(T/B) AJD]]</f>
        <v/>
      </c>
      <c r="S89" s="3">
        <f>TABL12345[[#This Row],[S/S_CON.]]+TABL12345[[#This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TABL12345[[#This Row],[(RESV. STORGE) AJD]]/10</f>
        <v/>
      </c>
      <c r="AB89" s="3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32" t="n"/>
      <c r="AN89" s="32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TABL12345[[#This Row],[ (T/B) SAR]]+TABL12345[[#This Row],[ (S/S) SAR]]</f>
        <v/>
      </c>
      <c r="L90" s="45" t="n"/>
      <c r="M90" s="46" t="n"/>
      <c r="N90" s="46" t="n"/>
      <c r="O90" s="40" t="n"/>
      <c r="P90" s="3">
        <f>TABL12345[[#This Row],[ (S/S) SAR]]-TABL12345[[#This Row],[(S/S) AJD]]</f>
        <v/>
      </c>
      <c r="Q90" s="40" t="n"/>
      <c r="R90" s="3">
        <f>TABL12345[[#This Row],[ (T/B) SAR]]-TABL12345[[#This Row],[(T/B) AJD]]</f>
        <v/>
      </c>
      <c r="S90" s="3">
        <f>TABL12345[[#This Row],[S/S_CON.]]+TABL12345[[#This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TABL12345[[#This Row],[(RESV. STORGE) AJD]]/10</f>
        <v/>
      </c>
      <c r="AB90" s="3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32" t="n"/>
      <c r="AN90" s="32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TABL12345[[#This Row],[ (T/B) SAR]]+TABL12345[[#This Row],[ (S/S) SAR]]</f>
        <v/>
      </c>
      <c r="L91" s="41" t="n"/>
      <c r="M91" s="42" t="n"/>
      <c r="N91" s="42" t="n"/>
      <c r="O91" s="39" t="n"/>
      <c r="P91" s="3">
        <f>TABL12345[[#This Row],[ (S/S) SAR]]-TABL12345[[#This Row],[(S/S) AJD]]</f>
        <v/>
      </c>
      <c r="Q91" s="39" t="n"/>
      <c r="R91" s="3">
        <f>TABL12345[[#This Row],[ (T/B) SAR]]-TABL12345[[#This Row],[(T/B) AJD]]</f>
        <v/>
      </c>
      <c r="S91" s="3">
        <f>TABL12345[[#This Row],[S/S_CON.]]+TABL12345[[#This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TABL12345[[#This Row],[(RESV. STORGE) AJD]]/10</f>
        <v/>
      </c>
      <c r="AB91" s="3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32" t="n"/>
      <c r="AN91" s="32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TABL12345[[#This Row],[ (T/B) SAR]]+TABL12345[[#This Row],[ (S/S) SAR]]</f>
        <v/>
      </c>
      <c r="L92" s="41" t="n"/>
      <c r="M92" s="42" t="n"/>
      <c r="N92" s="42" t="n"/>
      <c r="O92" s="39" t="n"/>
      <c r="P92" s="3">
        <f>TABL12345[[#This Row],[ (S/S) SAR]]-TABL12345[[#This Row],[(S/S) AJD]]</f>
        <v/>
      </c>
      <c r="Q92" s="39" t="n"/>
      <c r="R92" s="3">
        <f>TABL12345[[#This Row],[ (T/B) SAR]]-TABL12345[[#This Row],[(T/B) AJD]]</f>
        <v/>
      </c>
      <c r="S92" s="3">
        <f>TABL12345[[#This Row],[S/S_CON.]]+TABL12345[[#This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TABL12345[[#This Row],[(RESV. STORGE) AJD]]/10</f>
        <v/>
      </c>
      <c r="AB92" s="3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32" t="n"/>
      <c r="AN92" s="32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TABL12345[[#This Row],[ (T/B) SAR]]+TABL12345[[#This Row],[ (S/S) SAR]]</f>
        <v/>
      </c>
      <c r="L93" s="45" t="n"/>
      <c r="M93" s="46" t="n"/>
      <c r="N93" s="46" t="n"/>
      <c r="O93" s="40" t="n"/>
      <c r="P93" s="3">
        <f>TABL12345[[#This Row],[ (S/S) SAR]]-TABL12345[[#This Row],[(S/S) AJD]]</f>
        <v/>
      </c>
      <c r="Q93" s="40" t="n"/>
      <c r="R93" s="3">
        <f>TABL12345[[#This Row],[ (T/B) SAR]]-TABL12345[[#This Row],[(T/B) AJD]]</f>
        <v/>
      </c>
      <c r="S93" s="3">
        <f>TABL12345[[#This Row],[S/S_CON.]]+TABL12345[[#This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TABL12345[[#This Row],[(RESV. STORGE) AJD]]/10</f>
        <v/>
      </c>
      <c r="AB93" s="3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32" t="n"/>
      <c r="AN93" s="32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TABL12345[[#This Row],[ (T/B) SAR]]+TABL12345[[#This Row],[ (S/S) SAR]]</f>
        <v/>
      </c>
      <c r="L94" s="41" t="n"/>
      <c r="M94" s="42" t="n"/>
      <c r="N94" s="42" t="n"/>
      <c r="O94" s="39" t="n"/>
      <c r="P94" s="3">
        <f>TABL12345[[#This Row],[ (S/S) SAR]]-TABL12345[[#This Row],[(S/S) AJD]]</f>
        <v/>
      </c>
      <c r="Q94" s="39" t="n"/>
      <c r="R94" s="3">
        <f>TABL12345[[#This Row],[ (T/B) SAR]]-TABL12345[[#This Row],[(T/B) AJD]]</f>
        <v/>
      </c>
      <c r="S94" s="3">
        <f>TABL12345[[#This Row],[S/S_CON.]]+TABL12345[[#This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TABL12345[[#This Row],[(RESV. STORGE) AJD]]/10</f>
        <v/>
      </c>
      <c r="AB94" s="3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32" t="n"/>
      <c r="AN94" s="32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TABL12345[[#This Row],[ (T/B) SAR]]+TABL12345[[#This Row],[ (S/S) SAR]]</f>
        <v/>
      </c>
      <c r="L95" s="45" t="n"/>
      <c r="M95" s="46" t="n"/>
      <c r="N95" s="46" t="n"/>
      <c r="O95" s="40" t="n"/>
      <c r="P95" s="3">
        <f>TABL12345[[#This Row],[ (S/S) SAR]]-TABL12345[[#This Row],[(S/S) AJD]]</f>
        <v/>
      </c>
      <c r="Q95" s="40" t="n"/>
      <c r="R95" s="3">
        <f>TABL12345[[#This Row],[ (T/B) SAR]]-TABL12345[[#This Row],[(T/B) AJD]]</f>
        <v/>
      </c>
      <c r="S95" s="3">
        <f>TABL12345[[#This Row],[S/S_CON.]]+TABL12345[[#This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TABL12345[[#This Row],[(RESV. STORGE) AJD]]/10</f>
        <v/>
      </c>
      <c r="AB95" s="3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32" t="n"/>
      <c r="AN95" s="32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TABL12345[[#This Row],[ (T/B) SAR]]+TABL12345[[#This Row],[ (S/S) SAR]]</f>
        <v/>
      </c>
      <c r="L96" s="41" t="n"/>
      <c r="M96" s="42" t="n"/>
      <c r="N96" s="42" t="n"/>
      <c r="O96" s="39" t="n"/>
      <c r="P96" s="3">
        <f>TABL12345[[#This Row],[ (S/S) SAR]]-TABL12345[[#This Row],[(S/S) AJD]]</f>
        <v/>
      </c>
      <c r="Q96" s="39" t="n"/>
      <c r="R96" s="3">
        <f>TABL12345[[#This Row],[ (T/B) SAR]]-TABL12345[[#This Row],[(T/B) AJD]]</f>
        <v/>
      </c>
      <c r="S96" s="3">
        <f>TABL12345[[#This Row],[S/S_CON.]]+TABL12345[[#This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TABL12345[[#This Row],[(RESV. STORGE) AJD]]/10</f>
        <v/>
      </c>
      <c r="AB96" s="3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32" t="n"/>
      <c r="AN96" s="32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TABL12345[[#This Row],[ (T/B) SAR]]+TABL12345[[#This Row],[ (S/S) SAR]]</f>
        <v/>
      </c>
      <c r="L97" s="45" t="n"/>
      <c r="M97" s="46" t="n"/>
      <c r="N97" s="46" t="n"/>
      <c r="O97" s="40" t="n"/>
      <c r="P97" s="3">
        <f>TABL12345[[#This Row],[ (S/S) SAR]]-TABL12345[[#This Row],[(S/S) AJD]]</f>
        <v/>
      </c>
      <c r="Q97" s="40" t="n"/>
      <c r="R97" s="3">
        <f>TABL12345[[#This Row],[ (T/B) SAR]]-TABL12345[[#This Row],[(T/B) AJD]]</f>
        <v/>
      </c>
      <c r="S97" s="3">
        <f>TABL12345[[#This Row],[S/S_CON.]]+TABL12345[[#This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TABL12345[[#This Row],[(RESV. STORGE) AJD]]/10</f>
        <v/>
      </c>
      <c r="AB97" s="3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32" t="n"/>
      <c r="AN97" s="32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TABL12345[[#This Row],[ (T/B) SAR]]+TABL12345[[#This Row],[ (S/S) SAR]]</f>
        <v/>
      </c>
      <c r="L98" s="41" t="n"/>
      <c r="M98" s="42" t="n"/>
      <c r="N98" s="42" t="n"/>
      <c r="O98" s="39" t="n"/>
      <c r="P98" s="3">
        <f>TABL12345[[#This Row],[ (S/S) SAR]]-TABL12345[[#This Row],[(S/S) AJD]]</f>
        <v/>
      </c>
      <c r="Q98" s="39" t="n"/>
      <c r="R98" s="3">
        <f>TABL12345[[#This Row],[ (T/B) SAR]]-TABL12345[[#This Row],[(T/B) AJD]]</f>
        <v/>
      </c>
      <c r="S98" s="3">
        <f>TABL12345[[#This Row],[S/S_CON.]]+TABL12345[[#This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TABL12345[[#This Row],[(RESV. STORGE) AJD]]/10</f>
        <v/>
      </c>
      <c r="AB98" s="3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32" t="n"/>
      <c r="AN98" s="32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TABL12345[[#This Row],[ (T/B) SAR]]+TABL12345[[#This Row],[ (S/S) SAR]]</f>
        <v/>
      </c>
      <c r="L99" s="45" t="n"/>
      <c r="M99" s="46" t="n"/>
      <c r="N99" s="46" t="n"/>
      <c r="O99" s="40" t="n"/>
      <c r="P99" s="3">
        <f>TABL12345[[#This Row],[ (S/S) SAR]]-TABL12345[[#This Row],[(S/S) AJD]]</f>
        <v/>
      </c>
      <c r="Q99" s="40" t="n"/>
      <c r="R99" s="3">
        <f>TABL12345[[#This Row],[ (T/B) SAR]]-TABL12345[[#This Row],[(T/B) AJD]]</f>
        <v/>
      </c>
      <c r="S99" s="3">
        <f>TABL12345[[#This Row],[S/S_CON.]]+TABL12345[[#This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TABL12345[[#This Row],[(RESV. STORGE) AJD]]/10</f>
        <v/>
      </c>
      <c r="AB99" s="3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32" t="n"/>
      <c r="AN99" s="32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TABL12345[[#This Row],[ (T/B) SAR]]+TABL12345[[#This Row],[ (S/S) SAR]]</f>
        <v/>
      </c>
      <c r="L100" s="41" t="n"/>
      <c r="M100" s="42" t="n"/>
      <c r="N100" s="42" t="n"/>
      <c r="O100" s="39" t="n"/>
      <c r="P100" s="3">
        <f>TABL12345[[#This Row],[ (S/S) SAR]]-TABL12345[[#This Row],[(S/S) AJD]]</f>
        <v/>
      </c>
      <c r="Q100" s="39" t="n"/>
      <c r="R100" s="3">
        <f>TABL12345[[#This Row],[ (T/B) SAR]]-TABL12345[[#This Row],[(T/B) AJD]]</f>
        <v/>
      </c>
      <c r="S100" s="3">
        <f>TABL12345[[#This Row],[S/S_CON.]]+TABL12345[[#This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TABL12345[[#This Row],[(RESV. STORGE) AJD]]/10</f>
        <v/>
      </c>
      <c r="AB100" s="3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32" t="n"/>
      <c r="AN100" s="32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TABL12345[[#This Row],[ (T/B) SAR]]+TABL12345[[#This Row],[ (S/S) SAR]]</f>
        <v/>
      </c>
      <c r="L101" s="45" t="n"/>
      <c r="M101" s="46" t="n"/>
      <c r="N101" s="46" t="n"/>
      <c r="O101" s="40" t="n"/>
      <c r="P101" s="3">
        <f>TABL12345[[#This Row],[ (S/S) SAR]]-TABL12345[[#This Row],[(S/S) AJD]]</f>
        <v/>
      </c>
      <c r="Q101" s="40" t="n"/>
      <c r="R101" s="3">
        <f>TABL12345[[#This Row],[ (T/B) SAR]]-TABL12345[[#This Row],[(T/B) AJD]]</f>
        <v/>
      </c>
      <c r="S101" s="3">
        <f>TABL12345[[#This Row],[S/S_CON.]]+TABL12345[[#This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TABL12345[[#This Row],[(RESV. STORGE) AJD]]/10</f>
        <v/>
      </c>
      <c r="AB101" s="3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32" t="n"/>
      <c r="AN101" s="32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TABL12345[[#This Row],[ (T/B) SAR]]+TABL12345[[#This Row],[ (S/S) SAR]]</f>
        <v/>
      </c>
      <c r="L102" s="41" t="n"/>
      <c r="M102" s="42" t="n"/>
      <c r="N102" s="42" t="n"/>
      <c r="O102" s="39" t="n"/>
      <c r="P102" s="3">
        <f>TABL12345[[#This Row],[ (S/S) SAR]]-TABL12345[[#This Row],[(S/S) AJD]]</f>
        <v/>
      </c>
      <c r="Q102" s="39" t="n"/>
      <c r="R102" s="3">
        <f>TABL12345[[#This Row],[ (T/B) SAR]]-TABL12345[[#This Row],[(T/B) AJD]]</f>
        <v/>
      </c>
      <c r="S102" s="3">
        <f>TABL12345[[#This Row],[S/S_CON.]]+TABL12345[[#This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TABL12345[[#This Row],[(RESV. STORGE) AJD]]/10</f>
        <v/>
      </c>
      <c r="AB102" s="3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32" t="n"/>
      <c r="AN102" s="32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TABL12345[[#This Row],[ (T/B) SAR]]+TABL12345[[#This Row],[ (S/S) SAR]]</f>
        <v/>
      </c>
      <c r="L103" s="45" t="n"/>
      <c r="M103" s="46" t="n"/>
      <c r="N103" s="46" t="n"/>
      <c r="O103" s="40" t="n"/>
      <c r="P103" s="3">
        <f>TABL12345[[#This Row],[ (S/S) SAR]]-TABL12345[[#This Row],[(S/S) AJD]]</f>
        <v/>
      </c>
      <c r="Q103" s="40" t="n"/>
      <c r="R103" s="3">
        <f>TABL12345[[#This Row],[ (T/B) SAR]]-TABL12345[[#This Row],[(T/B) AJD]]</f>
        <v/>
      </c>
      <c r="S103" s="3">
        <f>TABL12345[[#This Row],[S/S_CON.]]+TABL12345[[#This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TABL12345[[#This Row],[(RESV. STORGE) AJD]]/10</f>
        <v/>
      </c>
      <c r="AB103" s="3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32" t="n"/>
      <c r="AN103" s="32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TABL12345[[#This Row],[ (T/B) SAR]]+TABL12345[[#This Row],[ (S/S) SAR]]</f>
        <v/>
      </c>
      <c r="L104" s="41" t="n"/>
      <c r="M104" s="42" t="n"/>
      <c r="N104" s="42" t="n"/>
      <c r="O104" s="39" t="n"/>
      <c r="P104" s="3">
        <f>TABL12345[[#This Row],[ (S/S) SAR]]-TABL12345[[#This Row],[(S/S) AJD]]</f>
        <v/>
      </c>
      <c r="Q104" s="39" t="n"/>
      <c r="R104" s="3">
        <f>TABL12345[[#This Row],[ (T/B) SAR]]-TABL12345[[#This Row],[(T/B) AJD]]</f>
        <v/>
      </c>
      <c r="S104" s="3">
        <f>TABL12345[[#This Row],[S/S_CON.]]+TABL12345[[#This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TABL12345[[#This Row],[(RESV. STORGE) AJD]]/10</f>
        <v/>
      </c>
      <c r="AB104" s="3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32" t="n"/>
      <c r="AN104" s="32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TABL12345[[#This Row],[ (T/B) SAR]]+TABL12345[[#This Row],[ (S/S) SAR]]</f>
        <v/>
      </c>
      <c r="L105" s="45" t="n"/>
      <c r="M105" s="46" t="n"/>
      <c r="N105" s="46" t="n"/>
      <c r="O105" s="40" t="n"/>
      <c r="P105" s="3">
        <f>TABL12345[[#This Row],[ (S/S) SAR]]-TABL12345[[#This Row],[(S/S) AJD]]</f>
        <v/>
      </c>
      <c r="Q105" s="40" t="n"/>
      <c r="R105" s="3">
        <f>TABL12345[[#This Row],[ (T/B) SAR]]-TABL12345[[#This Row],[(T/B) AJD]]</f>
        <v/>
      </c>
      <c r="S105" s="3">
        <f>TABL12345[[#This Row],[S/S_CON.]]+TABL12345[[#This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TABL12345[[#This Row],[(RESV. STORGE) AJD]]/10</f>
        <v/>
      </c>
      <c r="AB105" s="3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32" t="n"/>
      <c r="AN105" s="32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TABL12345[[#This Row],[ (T/B) SAR]]+TABL12345[[#This Row],[ (S/S) SAR]]</f>
        <v/>
      </c>
      <c r="L106" s="41" t="n"/>
      <c r="M106" s="42" t="n"/>
      <c r="N106" s="42" t="n"/>
      <c r="O106" s="39" t="n"/>
      <c r="P106" s="3">
        <f>TABL12345[[#This Row],[ (S/S) SAR]]-TABL12345[[#This Row],[(S/S) AJD]]</f>
        <v/>
      </c>
      <c r="Q106" s="39" t="n"/>
      <c r="R106" s="3">
        <f>TABL12345[[#This Row],[ (T/B) SAR]]-TABL12345[[#This Row],[(T/B) AJD]]</f>
        <v/>
      </c>
      <c r="S106" s="3">
        <f>TABL12345[[#This Row],[S/S_CON.]]+TABL12345[[#This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TABL12345[[#This Row],[(RESV. STORGE) AJD]]/10</f>
        <v/>
      </c>
      <c r="AB106" s="3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32" t="n"/>
      <c r="AN106" s="32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TABL12345[[#This Row],[ (T/B) SAR]]+TABL12345[[#This Row],[ (S/S) SAR]]</f>
        <v/>
      </c>
      <c r="L107" s="45" t="n"/>
      <c r="M107" s="46" t="n"/>
      <c r="N107" s="46" t="n"/>
      <c r="O107" s="40" t="n"/>
      <c r="P107" s="3">
        <f>TABL12345[[#This Row],[ (S/S) SAR]]-TABL12345[[#This Row],[(S/S) AJD]]</f>
        <v/>
      </c>
      <c r="Q107" s="40" t="n"/>
      <c r="R107" s="3">
        <f>TABL12345[[#This Row],[ (T/B) SAR]]-TABL12345[[#This Row],[(T/B) AJD]]</f>
        <v/>
      </c>
      <c r="S107" s="3">
        <f>TABL12345[[#This Row],[S/S_CON.]]+TABL12345[[#This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TABL12345[[#This Row],[(RESV. STORGE) AJD]]/10</f>
        <v/>
      </c>
      <c r="AB107" s="3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32" t="n"/>
      <c r="AN107" s="32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TABL12345[[#This Row],[ (T/B) SAR]]+TABL12345[[#This Row],[ (S/S) SAR]]</f>
        <v/>
      </c>
      <c r="L108" s="41" t="n"/>
      <c r="M108" s="42" t="n"/>
      <c r="N108" s="42" t="n"/>
      <c r="O108" s="39" t="n"/>
      <c r="P108" s="3">
        <f>TABL12345[[#This Row],[ (S/S) SAR]]-TABL12345[[#This Row],[(S/S) AJD]]</f>
        <v/>
      </c>
      <c r="Q108" s="39" t="n"/>
      <c r="R108" s="3">
        <f>TABL12345[[#This Row],[ (T/B) SAR]]-TABL12345[[#This Row],[(T/B) AJD]]</f>
        <v/>
      </c>
      <c r="S108" s="3">
        <f>TABL12345[[#This Row],[S/S_CON.]]+TABL12345[[#This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TABL12345[[#This Row],[(RESV. STORGE) AJD]]/10</f>
        <v/>
      </c>
      <c r="AB108" s="3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32" t="n"/>
      <c r="AN108" s="32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TABL12345[[#This Row],[ (T/B) SAR]]+TABL12345[[#This Row],[ (S/S) SAR]]</f>
        <v/>
      </c>
      <c r="L109" s="45" t="n"/>
      <c r="M109" s="46" t="n"/>
      <c r="N109" s="46" t="n"/>
      <c r="O109" s="40" t="n"/>
      <c r="P109" s="3">
        <f>TABL12345[[#This Row],[ (S/S) SAR]]-TABL12345[[#This Row],[(S/S) AJD]]</f>
        <v/>
      </c>
      <c r="Q109" s="40" t="n"/>
      <c r="R109" s="3">
        <f>TABL12345[[#This Row],[ (T/B) SAR]]-TABL12345[[#This Row],[(T/B) AJD]]</f>
        <v/>
      </c>
      <c r="S109" s="3">
        <f>TABL12345[[#This Row],[S/S_CON.]]+TABL12345[[#This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TABL12345[[#This Row],[(RESV. STORGE) AJD]]/10</f>
        <v/>
      </c>
      <c r="AB109" s="3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32" t="n"/>
      <c r="AN109" s="32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TABL12345[[#This Row],[ (T/B) SAR]]+TABL12345[[#This Row],[ (S/S) SAR]]</f>
        <v/>
      </c>
      <c r="L110" s="41" t="n"/>
      <c r="M110" s="42" t="n"/>
      <c r="N110" s="42" t="n"/>
      <c r="O110" s="39" t="n"/>
      <c r="P110" s="3">
        <f>TABL12345[[#This Row],[ (S/S) SAR]]-TABL12345[[#This Row],[(S/S) AJD]]</f>
        <v/>
      </c>
      <c r="Q110" s="39" t="n"/>
      <c r="R110" s="3">
        <f>TABL12345[[#This Row],[ (T/B) SAR]]-TABL12345[[#This Row],[(T/B) AJD]]</f>
        <v/>
      </c>
      <c r="S110" s="3">
        <f>TABL12345[[#This Row],[S/S_CON.]]+TABL12345[[#This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TABL12345[[#This Row],[(RESV. STORGE) AJD]]/10</f>
        <v/>
      </c>
      <c r="AB110" s="3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32" t="n"/>
      <c r="AN110" s="32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TABL12345[[#This Row],[ (T/B) SAR]]+TABL12345[[#This Row],[ (S/S) SAR]]</f>
        <v/>
      </c>
      <c r="L111" s="45" t="n"/>
      <c r="M111" s="46" t="n"/>
      <c r="N111" s="46" t="n"/>
      <c r="O111" s="40" t="n"/>
      <c r="P111" s="3">
        <f>TABL12345[[#This Row],[ (S/S) SAR]]-TABL12345[[#This Row],[(S/S) AJD]]</f>
        <v/>
      </c>
      <c r="Q111" s="40" t="n"/>
      <c r="R111" s="3">
        <f>TABL12345[[#This Row],[ (T/B) SAR]]-TABL12345[[#This Row],[(T/B) AJD]]</f>
        <v/>
      </c>
      <c r="S111" s="3">
        <f>TABL12345[[#This Row],[S/S_CON.]]+TABL12345[[#This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TABL12345[[#This Row],[(RESV. STORGE) AJD]]/10</f>
        <v/>
      </c>
      <c r="AB111" s="3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32" t="n"/>
      <c r="AN111" s="32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TABL12345[[#This Row],[ (T/B) SAR]]+TABL12345[[#This Row],[ (S/S) SAR]]</f>
        <v/>
      </c>
      <c r="L112" s="41" t="n"/>
      <c r="M112" s="42" t="n"/>
      <c r="N112" s="42" t="n"/>
      <c r="O112" s="39" t="n"/>
      <c r="P112" s="3">
        <f>TABL12345[[#This Row],[ (S/S) SAR]]-TABL12345[[#This Row],[(S/S) AJD]]</f>
        <v/>
      </c>
      <c r="Q112" s="39" t="n"/>
      <c r="R112" s="3">
        <f>TABL12345[[#This Row],[ (T/B) SAR]]-TABL12345[[#This Row],[(T/B) AJD]]</f>
        <v/>
      </c>
      <c r="S112" s="3">
        <f>TABL12345[[#This Row],[S/S_CON.]]+TABL12345[[#This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TABL12345[[#This Row],[(RESV. STORGE) AJD]]/10</f>
        <v/>
      </c>
      <c r="AB112" s="3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32" t="n"/>
      <c r="AN112" s="32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TABL12345[[#This Row],[ (T/B) SAR]]+TABL12345[[#This Row],[ (S/S) SAR]]</f>
        <v/>
      </c>
      <c r="L113" s="45" t="n"/>
      <c r="M113" s="46" t="n"/>
      <c r="N113" s="46" t="n"/>
      <c r="O113" s="40" t="n"/>
      <c r="P113" s="3">
        <f>TABL12345[[#This Row],[ (S/S) SAR]]-TABL12345[[#This Row],[(S/S) AJD]]</f>
        <v/>
      </c>
      <c r="Q113" s="40" t="n"/>
      <c r="R113" s="3">
        <f>TABL12345[[#This Row],[ (T/B) SAR]]-TABL12345[[#This Row],[(T/B) AJD]]</f>
        <v/>
      </c>
      <c r="S113" s="3">
        <f>TABL12345[[#This Row],[S/S_CON.]]+TABL12345[[#This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TABL12345[[#This Row],[(RESV. STORGE) AJD]]/10</f>
        <v/>
      </c>
      <c r="AB113" s="3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32" t="n"/>
      <c r="AN113" s="32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TABL12345[[#This Row],[ (T/B) SAR]]+TABL12345[[#This Row],[ (S/S) SAR]]</f>
        <v/>
      </c>
      <c r="L114" s="41" t="n"/>
      <c r="M114" s="42" t="n"/>
      <c r="N114" s="42" t="n"/>
      <c r="O114" s="39" t="n"/>
      <c r="P114" s="3">
        <f>TABL12345[[#This Row],[ (S/S) SAR]]-TABL12345[[#This Row],[(S/S) AJD]]</f>
        <v/>
      </c>
      <c r="Q114" s="39" t="n"/>
      <c r="R114" s="3">
        <f>TABL12345[[#This Row],[ (T/B) SAR]]-TABL12345[[#This Row],[(T/B) AJD]]</f>
        <v/>
      </c>
      <c r="S114" s="3">
        <f>TABL12345[[#This Row],[S/S_CON.]]+TABL12345[[#This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TABL12345[[#This Row],[(RESV. STORGE) AJD]]/10</f>
        <v/>
      </c>
      <c r="AB114" s="3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32" t="n"/>
      <c r="AN114" s="32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TABL12345[[#This Row],[ (T/B) SAR]]+TABL12345[[#This Row],[ (S/S) SAR]]</f>
        <v/>
      </c>
      <c r="L115" s="45" t="n"/>
      <c r="M115" s="46" t="n"/>
      <c r="N115" s="46" t="n"/>
      <c r="O115" s="40" t="n"/>
      <c r="P115" s="3">
        <f>TABL12345[[#This Row],[ (S/S) SAR]]-TABL12345[[#This Row],[(S/S) AJD]]</f>
        <v/>
      </c>
      <c r="Q115" s="40" t="n"/>
      <c r="R115" s="3">
        <f>TABL12345[[#This Row],[ (T/B) SAR]]-TABL12345[[#This Row],[(T/B) AJD]]</f>
        <v/>
      </c>
      <c r="S115" s="3">
        <f>TABL12345[[#This Row],[S/S_CON.]]+TABL12345[[#This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TABL12345[[#This Row],[(RESV. STORGE) AJD]]/10</f>
        <v/>
      </c>
      <c r="AB115" s="3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32" t="n"/>
      <c r="AN115" s="32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TABL12345[[#This Row],[ (T/B) SAR]]+TABL12345[[#This Row],[ (S/S) SAR]]</f>
        <v/>
      </c>
      <c r="L116" s="41" t="n"/>
      <c r="M116" s="42" t="n"/>
      <c r="N116" s="42" t="n"/>
      <c r="O116" s="39" t="n"/>
      <c r="P116" s="3">
        <f>TABL12345[[#This Row],[ (S/S) SAR]]-TABL12345[[#This Row],[(S/S) AJD]]</f>
        <v/>
      </c>
      <c r="Q116" s="39" t="n"/>
      <c r="R116" s="3">
        <f>TABL12345[[#This Row],[ (T/B) SAR]]-TABL12345[[#This Row],[(T/B) AJD]]</f>
        <v/>
      </c>
      <c r="S116" s="3">
        <f>TABL12345[[#This Row],[S/S_CON.]]+TABL12345[[#This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TABL12345[[#This Row],[(RESV. STORGE) AJD]]/10</f>
        <v/>
      </c>
      <c r="AB116" s="3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32" t="n"/>
      <c r="AN116" s="32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TABL12345[[#This Row],[ (T/B) SAR]]+TABL12345[[#This Row],[ (S/S) SAR]]</f>
        <v/>
      </c>
      <c r="L117" s="45" t="n"/>
      <c r="M117" s="46" t="n"/>
      <c r="N117" s="46" t="n"/>
      <c r="O117" s="40" t="n"/>
      <c r="P117" s="3">
        <f>TABL12345[[#This Row],[ (S/S) SAR]]-TABL12345[[#This Row],[(S/S) AJD]]</f>
        <v/>
      </c>
      <c r="Q117" s="40" t="n"/>
      <c r="R117" s="3">
        <f>TABL12345[[#This Row],[ (T/B) SAR]]-TABL12345[[#This Row],[(T/B) AJD]]</f>
        <v/>
      </c>
      <c r="S117" s="3">
        <f>TABL12345[[#This Row],[S/S_CON.]]+TABL12345[[#This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TABL12345[[#This Row],[(RESV. STORGE) AJD]]/10</f>
        <v/>
      </c>
      <c r="AB117" s="3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32" t="n"/>
      <c r="AN117" s="32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TABL12345[[#This Row],[ (T/B) SAR]]+TABL12345[[#This Row],[ (S/S) SAR]]</f>
        <v/>
      </c>
      <c r="L118" s="41" t="n"/>
      <c r="M118" s="42" t="n"/>
      <c r="N118" s="42" t="n"/>
      <c r="O118" s="39" t="n"/>
      <c r="P118" s="3">
        <f>TABL12345[[#This Row],[ (S/S) SAR]]-TABL12345[[#This Row],[(S/S) AJD]]</f>
        <v/>
      </c>
      <c r="Q118" s="39" t="n"/>
      <c r="R118" s="3">
        <f>TABL12345[[#This Row],[ (T/B) SAR]]-TABL12345[[#This Row],[(T/B) AJD]]</f>
        <v/>
      </c>
      <c r="S118" s="3">
        <f>TABL12345[[#This Row],[S/S_CON.]]+TABL12345[[#This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TABL12345[[#This Row],[(RESV. STORGE) AJD]]/10</f>
        <v/>
      </c>
      <c r="AB118" s="3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32" t="n"/>
      <c r="AN118" s="32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TABL12345[[#This Row],[ (T/B) SAR]]+TABL12345[[#This Row],[ (S/S) SAR]]</f>
        <v/>
      </c>
      <c r="L119" s="45" t="n"/>
      <c r="M119" s="46" t="n"/>
      <c r="N119" s="46" t="n"/>
      <c r="O119" s="40" t="n"/>
      <c r="P119" s="3">
        <f>TABL12345[[#This Row],[ (S/S) SAR]]-TABL12345[[#This Row],[(S/S) AJD]]</f>
        <v/>
      </c>
      <c r="Q119" s="40" t="n"/>
      <c r="R119" s="3">
        <f>TABL12345[[#This Row],[ (T/B) SAR]]-TABL12345[[#This Row],[(T/B) AJD]]</f>
        <v/>
      </c>
      <c r="S119" s="3">
        <f>TABL12345[[#This Row],[S/S_CON.]]+TABL12345[[#This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TABL12345[[#This Row],[(RESV. STORGE) AJD]]/10</f>
        <v/>
      </c>
      <c r="AB119" s="3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32" t="n"/>
      <c r="AN119" s="32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TABL12345[[#This Row],[ (T/B) SAR]]+TABL12345[[#This Row],[ (S/S) SAR]]</f>
        <v/>
      </c>
      <c r="L120" s="41" t="n"/>
      <c r="M120" s="42" t="n"/>
      <c r="N120" s="42" t="n"/>
      <c r="O120" s="39" t="n"/>
      <c r="P120" s="3">
        <f>TABL12345[[#This Row],[ (S/S) SAR]]-TABL12345[[#This Row],[(S/S) AJD]]</f>
        <v/>
      </c>
      <c r="Q120" s="39" t="n"/>
      <c r="R120" s="3">
        <f>TABL12345[[#This Row],[ (T/B) SAR]]-TABL12345[[#This Row],[(T/B) AJD]]</f>
        <v/>
      </c>
      <c r="S120" s="3">
        <f>TABL12345[[#This Row],[S/S_CON.]]+TABL12345[[#This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TABL12345[[#This Row],[(RESV. STORGE) AJD]]/10</f>
        <v/>
      </c>
      <c r="AB120" s="3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32" t="n"/>
      <c r="AN120" s="32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TABL12345[[#This Row],[ (T/B) SAR]]+TABL12345[[#This Row],[ (S/S) SAR]]</f>
        <v/>
      </c>
      <c r="L121" s="45" t="n"/>
      <c r="M121" s="46" t="n"/>
      <c r="N121" s="46" t="n"/>
      <c r="O121" s="40" t="n"/>
      <c r="P121" s="3">
        <f>TABL12345[[#This Row],[ (S/S) SAR]]-TABL12345[[#This Row],[(S/S) AJD]]</f>
        <v/>
      </c>
      <c r="Q121" s="40" t="n"/>
      <c r="R121" s="3">
        <f>TABL12345[[#This Row],[ (T/B) SAR]]-TABL12345[[#This Row],[(T/B) AJD]]</f>
        <v/>
      </c>
      <c r="S121" s="3">
        <f>TABL12345[[#This Row],[S/S_CON.]]+TABL12345[[#This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TABL12345[[#This Row],[(RESV. STORGE) AJD]]/10</f>
        <v/>
      </c>
      <c r="AB121" s="3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32" t="n"/>
      <c r="AN121" s="32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TABL12345[[#This Row],[ (T/B) SAR]]+TABL12345[[#This Row],[ (S/S) SAR]]</f>
        <v/>
      </c>
      <c r="L122" s="41" t="n"/>
      <c r="M122" s="42" t="n"/>
      <c r="N122" s="42" t="n"/>
      <c r="O122" s="39" t="n"/>
      <c r="P122" s="3">
        <f>TABL12345[[#This Row],[ (S/S) SAR]]-TABL12345[[#This Row],[(S/S) AJD]]</f>
        <v/>
      </c>
      <c r="Q122" s="39" t="n"/>
      <c r="R122" s="3">
        <f>TABL12345[[#This Row],[ (T/B) SAR]]-TABL12345[[#This Row],[(T/B) AJD]]</f>
        <v/>
      </c>
      <c r="S122" s="3">
        <f>TABL12345[[#This Row],[S/S_CON.]]+TABL12345[[#This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TABL12345[[#This Row],[(RESV. STORGE) AJD]]/10</f>
        <v/>
      </c>
      <c r="AB122" s="3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32" t="n"/>
      <c r="AN122" s="32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TABL12345[[#This Row],[ (T/B) SAR]]+TABL12345[[#This Row],[ (S/S) SAR]]</f>
        <v/>
      </c>
      <c r="L123" s="45" t="n"/>
      <c r="M123" s="46" t="n"/>
      <c r="N123" s="46" t="n"/>
      <c r="O123" s="40" t="n"/>
      <c r="P123" s="3">
        <f>TABL12345[[#This Row],[ (S/S) SAR]]-TABL12345[[#This Row],[(S/S) AJD]]</f>
        <v/>
      </c>
      <c r="Q123" s="40" t="n"/>
      <c r="R123" s="3">
        <f>TABL12345[[#This Row],[ (T/B) SAR]]-TABL12345[[#This Row],[(T/B) AJD]]</f>
        <v/>
      </c>
      <c r="S123" s="3">
        <f>TABL12345[[#This Row],[S/S_CON.]]+TABL12345[[#This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TABL12345[[#This Row],[(RESV. STORGE) AJD]]/10</f>
        <v/>
      </c>
      <c r="AB123" s="3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32" t="n"/>
      <c r="AN123" s="32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TABL12345[[#This Row],[ (T/B) SAR]]+TABL12345[[#This Row],[ (S/S) SAR]]</f>
        <v/>
      </c>
      <c r="L124" s="41" t="n"/>
      <c r="M124" s="42" t="n"/>
      <c r="N124" s="42" t="n"/>
      <c r="O124" s="39" t="n"/>
      <c r="P124" s="3">
        <f>TABL12345[[#This Row],[ (S/S) SAR]]-TABL12345[[#This Row],[(S/S) AJD]]</f>
        <v/>
      </c>
      <c r="Q124" s="39" t="n"/>
      <c r="R124" s="3">
        <f>TABL12345[[#This Row],[ (T/B) SAR]]-TABL12345[[#This Row],[(T/B) AJD]]</f>
        <v/>
      </c>
      <c r="S124" s="3">
        <f>TABL12345[[#This Row],[S/S_CON.]]+TABL12345[[#This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TABL12345[[#This Row],[(RESV. STORGE) AJD]]/10</f>
        <v/>
      </c>
      <c r="AB124" s="3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32" t="n"/>
      <c r="AN124" s="32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TABL12345[[#This Row],[ (T/B) SAR]]+TABL12345[[#This Row],[ (S/S) SAR]]</f>
        <v/>
      </c>
      <c r="L125" s="45" t="n"/>
      <c r="M125" s="46" t="n"/>
      <c r="N125" s="46" t="n"/>
      <c r="O125" s="40" t="n"/>
      <c r="P125" s="3">
        <f>TABL12345[[#This Row],[ (S/S) SAR]]-TABL12345[[#This Row],[(S/S) AJD]]</f>
        <v/>
      </c>
      <c r="Q125" s="40" t="n"/>
      <c r="R125" s="3">
        <f>TABL12345[[#This Row],[ (T/B) SAR]]-TABL12345[[#This Row],[(T/B) AJD]]</f>
        <v/>
      </c>
      <c r="S125" s="3">
        <f>TABL12345[[#This Row],[S/S_CON.]]+TABL12345[[#This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TABL12345[[#This Row],[(RESV. STORGE) AJD]]/10</f>
        <v/>
      </c>
      <c r="AB125" s="3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32" t="n"/>
      <c r="AN125" s="32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TABL12345[[#This Row],[ (T/B) SAR]]+TABL12345[[#This Row],[ (S/S) SAR]]</f>
        <v/>
      </c>
      <c r="L126" s="41" t="n"/>
      <c r="M126" s="42" t="n"/>
      <c r="N126" s="42" t="n"/>
      <c r="O126" s="39" t="n"/>
      <c r="P126" s="3">
        <f>TABL12345[[#This Row],[ (S/S) SAR]]-TABL12345[[#This Row],[(S/S) AJD]]</f>
        <v/>
      </c>
      <c r="Q126" s="39" t="n"/>
      <c r="R126" s="3">
        <f>TABL12345[[#This Row],[ (T/B) SAR]]-TABL12345[[#This Row],[(T/B) AJD]]</f>
        <v/>
      </c>
      <c r="S126" s="3">
        <f>TABL12345[[#This Row],[S/S_CON.]]+TABL12345[[#This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TABL12345[[#This Row],[(RESV. STORGE) AJD]]/10</f>
        <v/>
      </c>
      <c r="AB126" s="3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32" t="n"/>
      <c r="AN126" s="32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TABL12345[[#This Row],[ (T/B) SAR]]+TABL12345[[#This Row],[ (S/S) SAR]]</f>
        <v/>
      </c>
      <c r="L127" s="45" t="n"/>
      <c r="M127" s="46" t="n"/>
      <c r="N127" s="46" t="n"/>
      <c r="O127" s="40" t="n"/>
      <c r="P127" s="3">
        <f>TABL12345[[#This Row],[ (S/S) SAR]]-TABL12345[[#This Row],[(S/S) AJD]]</f>
        <v/>
      </c>
      <c r="Q127" s="40" t="n"/>
      <c r="R127" s="3">
        <f>TABL12345[[#This Row],[ (T/B) SAR]]-TABL12345[[#This Row],[(T/B) AJD]]</f>
        <v/>
      </c>
      <c r="S127" s="3">
        <f>TABL12345[[#This Row],[S/S_CON.]]+TABL12345[[#This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TABL12345[[#This Row],[(RESV. STORGE) AJD]]/10</f>
        <v/>
      </c>
      <c r="AB127" s="3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32" t="n"/>
      <c r="AN127" s="32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TABL12345[[#This Row],[ (T/B) SAR]]+TABL12345[[#This Row],[ (S/S) SAR]]</f>
        <v/>
      </c>
      <c r="L128" s="41" t="n"/>
      <c r="M128" s="42" t="n"/>
      <c r="N128" s="42" t="n"/>
      <c r="O128" s="39" t="n"/>
      <c r="P128" s="3">
        <f>TABL12345[[#This Row],[ (S/S) SAR]]-TABL12345[[#This Row],[(S/S) AJD]]</f>
        <v/>
      </c>
      <c r="Q128" s="39" t="n"/>
      <c r="R128" s="3">
        <f>TABL12345[[#This Row],[ (T/B) SAR]]-TABL12345[[#This Row],[(T/B) AJD]]</f>
        <v/>
      </c>
      <c r="S128" s="3">
        <f>TABL12345[[#This Row],[S/S_CON.]]+TABL12345[[#This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TABL12345[[#This Row],[(RESV. STORGE) AJD]]/10</f>
        <v/>
      </c>
      <c r="AB128" s="3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32" t="n"/>
      <c r="AN128" s="32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TABL12345[[#This Row],[ (T/B) SAR]]+TABL12345[[#This Row],[ (S/S) SAR]]</f>
        <v/>
      </c>
      <c r="L129" s="45" t="n"/>
      <c r="M129" s="46" t="n"/>
      <c r="N129" s="46" t="n"/>
      <c r="O129" s="40" t="n"/>
      <c r="P129" s="3">
        <f>TABL12345[[#This Row],[ (S/S) SAR]]-TABL12345[[#This Row],[(S/S) AJD]]</f>
        <v/>
      </c>
      <c r="Q129" s="40" t="n"/>
      <c r="R129" s="3">
        <f>TABL12345[[#This Row],[ (T/B) SAR]]-TABL12345[[#This Row],[(T/B) AJD]]</f>
        <v/>
      </c>
      <c r="S129" s="3">
        <f>TABL12345[[#This Row],[S/S_CON.]]+TABL12345[[#This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TABL12345[[#This Row],[(RESV. STORGE) AJD]]/10</f>
        <v/>
      </c>
      <c r="AB129" s="3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32" t="n"/>
      <c r="AN129" s="32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TABL12345[[#This Row],[ (T/B) SAR]]+TABL12345[[#This Row],[ (S/S) SAR]]</f>
        <v/>
      </c>
      <c r="L130" s="41" t="n"/>
      <c r="M130" s="42" t="n"/>
      <c r="N130" s="42" t="n"/>
      <c r="O130" s="39" t="n"/>
      <c r="P130" s="3">
        <f>TABL12345[[#This Row],[ (S/S) SAR]]-TABL12345[[#This Row],[(S/S) AJD]]</f>
        <v/>
      </c>
      <c r="Q130" s="39" t="n"/>
      <c r="R130" s="3">
        <f>TABL12345[[#This Row],[ (T/B) SAR]]-TABL12345[[#This Row],[(T/B) AJD]]</f>
        <v/>
      </c>
      <c r="S130" s="3">
        <f>TABL12345[[#This Row],[S/S_CON.]]+TABL12345[[#This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TABL12345[[#This Row],[(RESV. STORGE) AJD]]/10</f>
        <v/>
      </c>
      <c r="AB130" s="3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32" t="n"/>
      <c r="AN130" s="32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TABL12345[[#This Row],[ (T/B) SAR]]+TABL12345[[#This Row],[ (S/S) SAR]]</f>
        <v/>
      </c>
      <c r="L131" s="45" t="n"/>
      <c r="M131" s="46" t="n"/>
      <c r="N131" s="46" t="n"/>
      <c r="O131" s="40" t="n"/>
      <c r="P131" s="3">
        <f>TABL12345[[#This Row],[ (S/S) SAR]]-TABL12345[[#This Row],[(S/S) AJD]]</f>
        <v/>
      </c>
      <c r="Q131" s="40" t="n"/>
      <c r="R131" s="3">
        <f>TABL12345[[#This Row],[ (T/B) SAR]]-TABL12345[[#This Row],[(T/B) AJD]]</f>
        <v/>
      </c>
      <c r="S131" s="3">
        <f>TABL12345[[#This Row],[S/S_CON.]]+TABL12345[[#This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TABL12345[[#This Row],[(RESV. STORGE) AJD]]/10</f>
        <v/>
      </c>
      <c r="AB131" s="3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32" t="n"/>
      <c r="AN131" s="32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TABL12345[[#This Row],[ (T/B) SAR]]+TABL12345[[#This Row],[ (S/S) SAR]]</f>
        <v/>
      </c>
      <c r="L132" s="41" t="n"/>
      <c r="M132" s="42" t="n"/>
      <c r="N132" s="42" t="n"/>
      <c r="O132" s="39" t="n"/>
      <c r="P132" s="3">
        <f>TABL12345[[#This Row],[ (S/S) SAR]]-TABL12345[[#This Row],[(S/S) AJD]]</f>
        <v/>
      </c>
      <c r="Q132" s="39" t="n"/>
      <c r="R132" s="3">
        <f>TABL12345[[#This Row],[ (T/B) SAR]]-TABL12345[[#This Row],[(T/B) AJD]]</f>
        <v/>
      </c>
      <c r="S132" s="3">
        <f>TABL12345[[#This Row],[S/S_CON.]]+TABL12345[[#This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TABL12345[[#This Row],[(RESV. STORGE) AJD]]/10</f>
        <v/>
      </c>
      <c r="AB132" s="3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32" t="n"/>
      <c r="AN132" s="32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TABL12345[[#This Row],[ (T/B) SAR]]+TABL12345[[#This Row],[ (S/S) SAR]]</f>
        <v/>
      </c>
      <c r="L133" s="45" t="n"/>
      <c r="M133" s="46" t="n"/>
      <c r="N133" s="46" t="n"/>
      <c r="O133" s="40" t="n"/>
      <c r="P133" s="3">
        <f>TABL12345[[#This Row],[ (S/S) SAR]]-TABL12345[[#This Row],[(S/S) AJD]]</f>
        <v/>
      </c>
      <c r="Q133" s="40" t="n"/>
      <c r="R133" s="3">
        <f>TABL12345[[#This Row],[ (T/B) SAR]]-TABL12345[[#This Row],[(T/B) AJD]]</f>
        <v/>
      </c>
      <c r="S133" s="3">
        <f>TABL12345[[#This Row],[S/S_CON.]]+TABL12345[[#This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TABL12345[[#This Row],[(RESV. STORGE) AJD]]/10</f>
        <v/>
      </c>
      <c r="AB133" s="3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32" t="n"/>
      <c r="AN133" s="32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TABL12345[[#This Row],[ (T/B) SAR]]+TABL12345[[#This Row],[ (S/S) SAR]]</f>
        <v/>
      </c>
      <c r="L134" s="41" t="n"/>
      <c r="M134" s="42" t="n"/>
      <c r="N134" s="42" t="n"/>
      <c r="O134" s="39" t="n"/>
      <c r="P134" s="3">
        <f>TABL12345[[#This Row],[ (S/S) SAR]]-TABL12345[[#This Row],[(S/S) AJD]]</f>
        <v/>
      </c>
      <c r="Q134" s="39" t="n"/>
      <c r="R134" s="3">
        <f>TABL12345[[#This Row],[ (T/B) SAR]]-TABL12345[[#This Row],[(T/B) AJD]]</f>
        <v/>
      </c>
      <c r="S134" s="3">
        <f>TABL12345[[#This Row],[S/S_CON.]]+TABL12345[[#This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TABL12345[[#This Row],[(RESV. STORGE) AJD]]/10</f>
        <v/>
      </c>
      <c r="AB134" s="3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32" t="n"/>
      <c r="AN134" s="32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TABL12345[[#This Row],[ (T/B) SAR]]+TABL12345[[#This Row],[ (S/S) SAR]]</f>
        <v/>
      </c>
      <c r="L135" s="45" t="n"/>
      <c r="M135" s="46" t="n"/>
      <c r="N135" s="46" t="n"/>
      <c r="O135" s="40" t="n"/>
      <c r="P135" s="3">
        <f>TABL12345[[#This Row],[ (S/S) SAR]]-TABL12345[[#This Row],[(S/S) AJD]]</f>
        <v/>
      </c>
      <c r="Q135" s="40" t="n"/>
      <c r="R135" s="3">
        <f>TABL12345[[#This Row],[ (T/B) SAR]]-TABL12345[[#This Row],[(T/B) AJD]]</f>
        <v/>
      </c>
      <c r="S135" s="3">
        <f>TABL12345[[#This Row],[S/S_CON.]]+TABL12345[[#This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TABL12345[[#This Row],[(RESV. STORGE) AJD]]/10</f>
        <v/>
      </c>
      <c r="AB135" s="3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32" t="n"/>
      <c r="AN135" s="32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TABL12345[[#This Row],[ (T/B) SAR]]+TABL12345[[#This Row],[ (S/S) SAR]]</f>
        <v/>
      </c>
      <c r="L136" s="41" t="n"/>
      <c r="M136" s="42" t="n"/>
      <c r="N136" s="42" t="n"/>
      <c r="O136" s="39" t="n"/>
      <c r="P136" s="3">
        <f>TABL12345[[#This Row],[ (S/S) SAR]]-TABL12345[[#This Row],[(S/S) AJD]]</f>
        <v/>
      </c>
      <c r="Q136" s="39" t="n"/>
      <c r="R136" s="3">
        <f>TABL12345[[#This Row],[ (T/B) SAR]]-TABL12345[[#This Row],[(T/B) AJD]]</f>
        <v/>
      </c>
      <c r="S136" s="3">
        <f>TABL12345[[#This Row],[S/S_CON.]]+TABL12345[[#This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TABL12345[[#This Row],[(RESV. STORGE) AJD]]/10</f>
        <v/>
      </c>
      <c r="AB136" s="3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32" t="n"/>
      <c r="AN136" s="32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TABL12345[[#This Row],[ (T/B) SAR]]+TABL12345[[#This Row],[ (S/S) SAR]]</f>
        <v/>
      </c>
      <c r="L137" s="45" t="n"/>
      <c r="M137" s="46" t="n"/>
      <c r="N137" s="46" t="n"/>
      <c r="O137" s="40" t="n"/>
      <c r="P137" s="3">
        <f>TABL12345[[#This Row],[ (S/S) SAR]]-TABL12345[[#This Row],[(S/S) AJD]]</f>
        <v/>
      </c>
      <c r="Q137" s="40" t="n"/>
      <c r="R137" s="3">
        <f>TABL12345[[#This Row],[ (T/B) SAR]]-TABL12345[[#This Row],[(T/B) AJD]]</f>
        <v/>
      </c>
      <c r="S137" s="3">
        <f>TABL12345[[#This Row],[S/S_CON.]]+TABL12345[[#This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TABL12345[[#This Row],[(RESV. STORGE) AJD]]/10</f>
        <v/>
      </c>
      <c r="AB137" s="3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32" t="n"/>
      <c r="AN137" s="32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TABL12345[[#This Row],[ (T/B) SAR]]+TABL12345[[#This Row],[ (S/S) SAR]]</f>
        <v/>
      </c>
      <c r="L138" s="41" t="n"/>
      <c r="M138" s="42" t="n"/>
      <c r="N138" s="42" t="n"/>
      <c r="O138" s="39" t="n"/>
      <c r="P138" s="3">
        <f>TABL12345[[#This Row],[ (S/S) SAR]]-TABL12345[[#This Row],[(S/S) AJD]]</f>
        <v/>
      </c>
      <c r="Q138" s="39" t="n"/>
      <c r="R138" s="3">
        <f>TABL12345[[#This Row],[ (T/B) SAR]]-TABL12345[[#This Row],[(T/B) AJD]]</f>
        <v/>
      </c>
      <c r="S138" s="3">
        <f>TABL12345[[#This Row],[S/S_CON.]]+TABL12345[[#This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TABL12345[[#This Row],[(RESV. STORGE) AJD]]/10</f>
        <v/>
      </c>
      <c r="AB138" s="3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32" t="n"/>
      <c r="AN138" s="32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TABL12345[[#This Row],[ (T/B) SAR]]+TABL12345[[#This Row],[ (S/S) SAR]]</f>
        <v/>
      </c>
      <c r="L139" s="45" t="n"/>
      <c r="M139" s="46" t="n"/>
      <c r="N139" s="46" t="n"/>
      <c r="O139" s="40" t="n"/>
      <c r="P139" s="3">
        <f>TABL12345[[#This Row],[ (S/S) SAR]]-TABL12345[[#This Row],[(S/S) AJD]]</f>
        <v/>
      </c>
      <c r="Q139" s="40" t="n"/>
      <c r="R139" s="3">
        <f>TABL12345[[#This Row],[ (T/B) SAR]]-TABL12345[[#This Row],[(T/B) AJD]]</f>
        <v/>
      </c>
      <c r="S139" s="3">
        <f>TABL12345[[#This Row],[S/S_CON.]]+TABL12345[[#This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TABL12345[[#This Row],[(RESV. STORGE) AJD]]/10</f>
        <v/>
      </c>
      <c r="AB139" s="3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32" t="n"/>
      <c r="AN139" s="32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TABL12345[[#This Row],[ (T/B) SAR]]+TABL12345[[#This Row],[ (S/S) SAR]]</f>
        <v/>
      </c>
      <c r="L140" s="41" t="n"/>
      <c r="M140" s="42" t="n"/>
      <c r="N140" s="42" t="n"/>
      <c r="O140" s="39" t="n"/>
      <c r="P140" s="3">
        <f>TABL12345[[#This Row],[ (S/S) SAR]]-TABL12345[[#This Row],[(S/S) AJD]]</f>
        <v/>
      </c>
      <c r="Q140" s="39" t="n"/>
      <c r="R140" s="3">
        <f>TABL12345[[#This Row],[ (T/B) SAR]]-TABL12345[[#This Row],[(T/B) AJD]]</f>
        <v/>
      </c>
      <c r="S140" s="3">
        <f>TABL12345[[#This Row],[S/S_CON.]]+TABL12345[[#This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TABL12345[[#This Row],[(RESV. STORGE) AJD]]/10</f>
        <v/>
      </c>
      <c r="AB140" s="3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32" t="n"/>
      <c r="AN140" s="32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TABL12345[[#This Row],[ (T/B) SAR]]+TABL12345[[#This Row],[ (S/S) SAR]]</f>
        <v/>
      </c>
      <c r="L141" s="45" t="n"/>
      <c r="M141" s="46" t="n"/>
      <c r="N141" s="46" t="n"/>
      <c r="O141" s="40" t="n"/>
      <c r="P141" s="3">
        <f>TABL12345[[#This Row],[ (S/S) SAR]]-TABL12345[[#This Row],[(S/S) AJD]]</f>
        <v/>
      </c>
      <c r="Q141" s="40" t="n"/>
      <c r="R141" s="3">
        <f>TABL12345[[#This Row],[ (T/B) SAR]]-TABL12345[[#This Row],[(T/B) AJD]]</f>
        <v/>
      </c>
      <c r="S141" s="3">
        <f>TABL12345[[#This Row],[S/S_CON.]]+TABL12345[[#This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TABL12345[[#This Row],[(RESV. STORGE) AJD]]/10</f>
        <v/>
      </c>
      <c r="AB141" s="3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32" t="n"/>
      <c r="AN141" s="32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TABL12345[[#This Row],[ (T/B) SAR]]+TABL12345[[#This Row],[ (S/S) SAR]]</f>
        <v/>
      </c>
      <c r="L142" s="41" t="n"/>
      <c r="M142" s="42" t="n"/>
      <c r="N142" s="42" t="n"/>
      <c r="O142" s="39" t="n"/>
      <c r="P142" s="3">
        <f>TABL12345[[#This Row],[ (S/S) SAR]]-TABL12345[[#This Row],[(S/S) AJD]]</f>
        <v/>
      </c>
      <c r="Q142" s="39" t="n"/>
      <c r="R142" s="3">
        <f>TABL12345[[#This Row],[ (T/B) SAR]]-TABL12345[[#This Row],[(T/B) AJD]]</f>
        <v/>
      </c>
      <c r="S142" s="3">
        <f>TABL12345[[#This Row],[S/S_CON.]]+TABL12345[[#This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TABL12345[[#This Row],[(RESV. STORGE) AJD]]/10</f>
        <v/>
      </c>
      <c r="AB142" s="3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32" t="n"/>
      <c r="AN142" s="32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TABL12345[[#This Row],[ (T/B) SAR]]+TABL12345[[#This Row],[ (S/S) SAR]]</f>
        <v/>
      </c>
      <c r="L143" s="45" t="n"/>
      <c r="M143" s="46" t="n"/>
      <c r="N143" s="46" t="n"/>
      <c r="O143" s="40" t="n"/>
      <c r="P143" s="3">
        <f>TABL12345[[#This Row],[ (S/S) SAR]]-TABL12345[[#This Row],[(S/S) AJD]]</f>
        <v/>
      </c>
      <c r="Q143" s="40" t="n"/>
      <c r="R143" s="3">
        <f>TABL12345[[#This Row],[ (T/B) SAR]]-TABL12345[[#This Row],[(T/B) AJD]]</f>
        <v/>
      </c>
      <c r="S143" s="3">
        <f>TABL12345[[#This Row],[S/S_CON.]]+TABL12345[[#This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TABL12345[[#This Row],[(RESV. STORGE) AJD]]/10</f>
        <v/>
      </c>
      <c r="AB143" s="3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32" t="n"/>
      <c r="AN143" s="32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TABL12345[[#This Row],[ (T/B) SAR]]+TABL12345[[#This Row],[ (S/S) SAR]]</f>
        <v/>
      </c>
      <c r="L144" s="41" t="n"/>
      <c r="M144" s="42" t="n"/>
      <c r="N144" s="42" t="n"/>
      <c r="O144" s="39" t="n"/>
      <c r="P144" s="3">
        <f>TABL12345[[#This Row],[ (S/S) SAR]]-TABL12345[[#This Row],[(S/S) AJD]]</f>
        <v/>
      </c>
      <c r="Q144" s="39" t="n"/>
      <c r="R144" s="3">
        <f>TABL12345[[#This Row],[ (T/B) SAR]]-TABL12345[[#This Row],[(T/B) AJD]]</f>
        <v/>
      </c>
      <c r="S144" s="3">
        <f>TABL12345[[#This Row],[S/S_CON.]]+TABL12345[[#This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TABL12345[[#This Row],[(RESV. STORGE) AJD]]/10</f>
        <v/>
      </c>
      <c r="AB144" s="3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32" t="n"/>
      <c r="AN144" s="32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TABL12345[[#This Row],[ (T/B) SAR]]+TABL12345[[#This Row],[ (S/S) SAR]]</f>
        <v/>
      </c>
      <c r="L145" s="45" t="n"/>
      <c r="M145" s="46" t="n"/>
      <c r="N145" s="46" t="n"/>
      <c r="O145" s="40" t="n"/>
      <c r="P145" s="3">
        <f>TABL12345[[#This Row],[ (S/S) SAR]]-TABL12345[[#This Row],[(S/S) AJD]]</f>
        <v/>
      </c>
      <c r="Q145" s="40" t="n"/>
      <c r="R145" s="3">
        <f>TABL12345[[#This Row],[ (T/B) SAR]]-TABL12345[[#This Row],[(T/B) AJD]]</f>
        <v/>
      </c>
      <c r="S145" s="3">
        <f>TABL12345[[#This Row],[S/S_CON.]]+TABL12345[[#This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TABL12345[[#This Row],[(RESV. STORGE) AJD]]/10</f>
        <v/>
      </c>
      <c r="AB145" s="3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32" t="n"/>
      <c r="AN145" s="32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TABL12345[[#This Row],[ (T/B) SAR]]+TABL12345[[#This Row],[ (S/S) SAR]]</f>
        <v/>
      </c>
      <c r="L146" s="41" t="n"/>
      <c r="M146" s="42" t="n"/>
      <c r="N146" s="42" t="n"/>
      <c r="O146" s="39" t="n"/>
      <c r="P146" s="3">
        <f>TABL12345[[#This Row],[ (S/S) SAR]]-TABL12345[[#This Row],[(S/S) AJD]]</f>
        <v/>
      </c>
      <c r="Q146" s="39" t="n"/>
      <c r="R146" s="3">
        <f>TABL12345[[#This Row],[ (T/B) SAR]]-TABL12345[[#This Row],[(T/B) AJD]]</f>
        <v/>
      </c>
      <c r="S146" s="3">
        <f>TABL12345[[#This Row],[S/S_CON.]]+TABL12345[[#This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TABL12345[[#This Row],[(RESV. STORGE) AJD]]/10</f>
        <v/>
      </c>
      <c r="AB146" s="3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32" t="n"/>
      <c r="AN146" s="32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TABL12345[[#This Row],[ (T/B) SAR]]+TABL12345[[#This Row],[ (S/S) SAR]]</f>
        <v/>
      </c>
      <c r="L147" s="45" t="n"/>
      <c r="M147" s="46" t="n"/>
      <c r="N147" s="46" t="n"/>
      <c r="O147" s="40" t="n"/>
      <c r="P147" s="3">
        <f>TABL12345[[#This Row],[ (S/S) SAR]]-TABL12345[[#This Row],[(S/S) AJD]]</f>
        <v/>
      </c>
      <c r="Q147" s="40" t="n"/>
      <c r="R147" s="3">
        <f>TABL12345[[#This Row],[ (T/B) SAR]]-TABL12345[[#This Row],[(T/B) AJD]]</f>
        <v/>
      </c>
      <c r="S147" s="3">
        <f>TABL12345[[#This Row],[S/S_CON.]]+TABL12345[[#This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TABL12345[[#This Row],[(RESV. STORGE) AJD]]/10</f>
        <v/>
      </c>
      <c r="AB147" s="3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32" t="n"/>
      <c r="AN147" s="32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TABL12345[[#This Row],[ (T/B) SAR]]+TABL12345[[#This Row],[ (S/S) SAR]]</f>
        <v/>
      </c>
      <c r="L148" s="41" t="n"/>
      <c r="M148" s="42" t="n"/>
      <c r="N148" s="42" t="n"/>
      <c r="O148" s="39" t="n"/>
      <c r="P148" s="3">
        <f>TABL12345[[#This Row],[ (S/S) SAR]]-TABL12345[[#This Row],[(S/S) AJD]]</f>
        <v/>
      </c>
      <c r="Q148" s="39" t="n"/>
      <c r="R148" s="3">
        <f>TABL12345[[#This Row],[ (T/B) SAR]]-TABL12345[[#This Row],[(T/B) AJD]]</f>
        <v/>
      </c>
      <c r="S148" s="3">
        <f>TABL12345[[#This Row],[S/S_CON.]]+TABL12345[[#This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TABL12345[[#This Row],[(RESV. STORGE) AJD]]/10</f>
        <v/>
      </c>
      <c r="AB148" s="3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32" t="n"/>
      <c r="AN148" s="32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TABL12345[[#This Row],[ (T/B) SAR]]+TABL12345[[#This Row],[ (S/S) SAR]]</f>
        <v/>
      </c>
      <c r="L149" s="45" t="n"/>
      <c r="M149" s="46" t="n"/>
      <c r="N149" s="46" t="n"/>
      <c r="O149" s="40" t="n"/>
      <c r="P149" s="3">
        <f>TABL12345[[#This Row],[ (S/S) SAR]]-TABL12345[[#This Row],[(S/S) AJD]]</f>
        <v/>
      </c>
      <c r="Q149" s="40" t="n"/>
      <c r="R149" s="3">
        <f>TABL12345[[#This Row],[ (T/B) SAR]]-TABL12345[[#This Row],[(T/B) AJD]]</f>
        <v/>
      </c>
      <c r="S149" s="3">
        <f>TABL12345[[#This Row],[S/S_CON.]]+TABL12345[[#This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TABL12345[[#This Row],[(RESV. STORGE) AJD]]/10</f>
        <v/>
      </c>
      <c r="AB149" s="3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32" t="n"/>
      <c r="AN149" s="32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TABL12345[[#This Row],[ (T/B) SAR]]+TABL12345[[#This Row],[ (S/S) SAR]]</f>
        <v/>
      </c>
      <c r="L150" s="41" t="n"/>
      <c r="M150" s="42" t="n"/>
      <c r="N150" s="42" t="n"/>
      <c r="O150" s="39" t="n"/>
      <c r="P150" s="3">
        <f>TABL12345[[#This Row],[ (S/S) SAR]]-TABL12345[[#This Row],[(S/S) AJD]]</f>
        <v/>
      </c>
      <c r="Q150" s="39" t="n"/>
      <c r="R150" s="3">
        <f>TABL12345[[#This Row],[ (T/B) SAR]]-TABL12345[[#This Row],[(T/B) AJD]]</f>
        <v/>
      </c>
      <c r="S150" s="3">
        <f>TABL12345[[#This Row],[S/S_CON.]]+TABL12345[[#This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TABL12345[[#This Row],[(RESV. STORGE) AJD]]/10</f>
        <v/>
      </c>
      <c r="AB150" s="3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32" t="n"/>
      <c r="AN150" s="32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TABL12345[[#This Row],[ (T/B) SAR]]+TABL12345[[#This Row],[ (S/S) SAR]]</f>
        <v/>
      </c>
      <c r="L151" s="45" t="n"/>
      <c r="M151" s="46" t="n"/>
      <c r="N151" s="46" t="n"/>
      <c r="O151" s="40" t="n"/>
      <c r="P151" s="3">
        <f>TABL12345[[#This Row],[ (S/S) SAR]]-TABL12345[[#This Row],[(S/S) AJD]]</f>
        <v/>
      </c>
      <c r="Q151" s="40" t="n"/>
      <c r="R151" s="3">
        <f>TABL12345[[#This Row],[ (T/B) SAR]]-TABL12345[[#This Row],[(T/B) AJD]]</f>
        <v/>
      </c>
      <c r="S151" s="3">
        <f>TABL12345[[#This Row],[S/S_CON.]]+TABL12345[[#This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TABL12345[[#This Row],[(RESV. STORGE) AJD]]/10</f>
        <v/>
      </c>
      <c r="AB151" s="3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32" t="n"/>
      <c r="AN151" s="32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TABL12345[[#This Row],[ (T/B) SAR]]+TABL12345[[#This Row],[ (S/S) SAR]]</f>
        <v/>
      </c>
      <c r="L152" s="41" t="n"/>
      <c r="M152" s="42" t="n"/>
      <c r="N152" s="42" t="n"/>
      <c r="O152" s="39" t="n"/>
      <c r="P152" s="3">
        <f>TABL12345[[#This Row],[ (S/S) SAR]]-TABL12345[[#This Row],[(S/S) AJD]]</f>
        <v/>
      </c>
      <c r="Q152" s="39" t="n"/>
      <c r="R152" s="3">
        <f>TABL12345[[#This Row],[ (T/B) SAR]]-TABL12345[[#This Row],[(T/B) AJD]]</f>
        <v/>
      </c>
      <c r="S152" s="3">
        <f>TABL12345[[#This Row],[S/S_CON.]]+TABL12345[[#This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TABL12345[[#This Row],[(RESV. STORGE) AJD]]/10</f>
        <v/>
      </c>
      <c r="AB152" s="3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32" t="n"/>
      <c r="AN152" s="32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TABL12345[[#This Row],[(RESV. STORGE) AJD]]/10</f>
        <v/>
      </c>
      <c r="AB153" s="3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32" t="n"/>
      <c r="AN153" s="32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TABL12345[[#This Row],[(RESV. STORGE) AJD]]/10</f>
        <v/>
      </c>
      <c r="AB154" s="3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32" t="n"/>
      <c r="AN154" s="32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TABL12345[[#This Row],[(RESV. STORGE) AJD]]/10</f>
        <v/>
      </c>
      <c r="AB155" s="3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32" t="n"/>
      <c r="AN155" s="32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TABL12345[[#This Row],[(RESV. STORGE) AJD]]/10</f>
        <v/>
      </c>
      <c r="AB156" s="3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32" t="n"/>
      <c r="AN156" s="32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TABL12345[[#This Row],[(RESV. STORGE) AJD]]/10</f>
        <v/>
      </c>
      <c r="AB157" s="3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32" t="n"/>
      <c r="AN157" s="32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TABL12345[[#This Row],[(RESV. STORGE) AJD]]/10</f>
        <v/>
      </c>
      <c r="AB158" s="3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32" t="n"/>
      <c r="AN158" s="32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TABL12345[[#This Row],[(RESV. STORGE) AJD]]/10</f>
        <v/>
      </c>
      <c r="AB159" s="3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32" t="n"/>
      <c r="AN159" s="32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TABL12345[[#This Row],[(RESV. STORGE) AJD]]/10</f>
        <v/>
      </c>
      <c r="AB160" s="3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32" t="n"/>
      <c r="AN160" s="32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TABL12345[[#This Row],[(RESV. STORGE) AJD]]/10</f>
        <v/>
      </c>
      <c r="AB161" s="3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32" t="n"/>
      <c r="AN161" s="32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TABL12345[[#This Row],[(RESV. STORGE) AJD]]/10</f>
        <v/>
      </c>
      <c r="AB162" s="3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32" t="n"/>
      <c r="AN162" s="32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TABL12345[[#This Row],[(RESV. STORGE) AJD]]/10</f>
        <v/>
      </c>
      <c r="AB163" s="3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32" t="n"/>
      <c r="AN163" s="32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TABL12345[[#This Row],[(RESV. STORGE) AJD]]/10</f>
        <v/>
      </c>
      <c r="AB164" s="3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32" t="n"/>
      <c r="AN164" s="32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TABL12345[[#This Row],[(RESV. STORGE) AJD]]/10</f>
        <v/>
      </c>
      <c r="AB165" s="3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32" t="n"/>
      <c r="AN165" s="32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TABL12345[[#This Row],[(RESV. STORGE) AJD]]/10</f>
        <v/>
      </c>
      <c r="AB166" s="3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32" t="n"/>
      <c r="AN166" s="32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TABL12345[[#This Row],[(RESV. STORGE) AJD]]/10</f>
        <v/>
      </c>
      <c r="AB167" s="3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32" t="n"/>
      <c r="AN167" s="32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TABL12345[[#This Row],[(RESV. STORGE) AJD]]/10</f>
        <v/>
      </c>
      <c r="AB168" s="3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32" t="n"/>
      <c r="AN168" s="32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TABL12345[[#This Row],[(RESV. STORGE) AJD]]/10</f>
        <v/>
      </c>
      <c r="AB169" s="3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32" t="n"/>
      <c r="AN169" s="32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TABL12345[[#This Row],[ (T/B) SAR]]+TABL12345[[#This Row],[ (S/S) SAR]]</f>
        <v/>
      </c>
      <c r="L170" s="45" t="n"/>
      <c r="M170" s="46" t="n"/>
      <c r="N170" s="46" t="n"/>
      <c r="O170" s="40" t="n"/>
      <c r="P170" s="3">
        <f>TABL12345[[#This Row],[ (S/S) SAR]]-TABL12345[[#This Row],[(S/S) AJD]]</f>
        <v/>
      </c>
      <c r="Q170" s="40" t="n"/>
      <c r="R170" s="3">
        <f>TABL12345[[#This Row],[ (T/B) SAR]]-TABL12345[[#This Row],[(T/B) AJD]]</f>
        <v/>
      </c>
      <c r="S170" s="3">
        <f>TABL12345[[#This Row],[S/S_CON.]]+TABL12345[[#This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TABL12345[[#This Row],[(RESV. STORGE) AJD]]/10</f>
        <v/>
      </c>
      <c r="AB170" s="3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32" t="n"/>
      <c r="AN170" s="32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TABL12345[[#This Row],[ (T/B) SAR]]+TABL12345[[#This Row],[ (S/S) SAR]]</f>
        <v/>
      </c>
      <c r="L171" s="41" t="n"/>
      <c r="M171" s="42" t="n"/>
      <c r="N171" s="42" t="n"/>
      <c r="O171" s="39" t="n"/>
      <c r="P171" s="3">
        <f>TABL12345[[#This Row],[ (S/S) SAR]]-TABL12345[[#This Row],[(S/S) AJD]]</f>
        <v/>
      </c>
      <c r="Q171" s="39" t="n"/>
      <c r="R171" s="3">
        <f>TABL12345[[#This Row],[ (T/B) SAR]]-TABL12345[[#This Row],[(T/B) AJD]]</f>
        <v/>
      </c>
      <c r="S171" s="3">
        <f>TABL12345[[#This Row],[S/S_CON.]]+TABL12345[[#This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TABL12345[[#This Row],[(RESV. STORGE) AJD]]/10</f>
        <v/>
      </c>
      <c r="AB171" s="3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32" t="n"/>
      <c r="AN171" s="32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TABL12345[[#This Row],[ (T/B) SAR]]+TABL12345[[#This Row],[ (S/S) SAR]]</f>
        <v/>
      </c>
      <c r="L172" s="44" t="n"/>
      <c r="M172" s="46" t="n"/>
      <c r="N172" s="46" t="n"/>
      <c r="O172" s="40" t="n"/>
      <c r="P172" s="3">
        <f>TABL12345[[#This Row],[ (S/S) SAR]]-TABL12345[[#This Row],[(S/S) AJD]]</f>
        <v/>
      </c>
      <c r="Q172" s="40" t="n"/>
      <c r="R172" s="3">
        <f>TABL12345[[#This Row],[ (T/B) SAR]]-TABL12345[[#This Row],[(T/B) AJD]]</f>
        <v/>
      </c>
      <c r="S172" s="3">
        <f>TABL12345[[#This Row],[S/S_CON.]]+TABL12345[[#This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TABL12345[[#This Row],[(RESV. STORGE) AJD]]/10</f>
        <v/>
      </c>
      <c r="AB172" s="3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32" t="n"/>
      <c r="AN172" s="32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TABL12345[[#This Row],[ (T/B) SAR]]+TABL12345[[#This Row],[ (S/S) SAR]]</f>
        <v/>
      </c>
      <c r="L173" s="41" t="n"/>
      <c r="M173" s="42" t="n"/>
      <c r="N173" s="42" t="n"/>
      <c r="O173" s="39" t="n"/>
      <c r="P173" s="3">
        <f>TABL12345[[#This Row],[ (S/S) SAR]]-TABL12345[[#This Row],[(S/S) AJD]]</f>
        <v/>
      </c>
      <c r="Q173" s="39" t="n"/>
      <c r="R173" s="3">
        <f>TABL12345[[#This Row],[ (T/B) SAR]]-TABL12345[[#This Row],[(T/B) AJD]]</f>
        <v/>
      </c>
      <c r="S173" s="3">
        <f>TABL12345[[#This Row],[S/S_CON.]]+TABL12345[[#This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TABL12345[[#This Row],[(RESV. STORGE) AJD]]/10</f>
        <v/>
      </c>
      <c r="AB173" s="3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32" t="n"/>
      <c r="AN173" s="32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TABL12345[[#This Row],[ (T/B) SAR]]+TABL12345[[#This Row],[ (S/S) SAR]]</f>
        <v/>
      </c>
      <c r="L174" s="45" t="n"/>
      <c r="M174" s="46" t="n"/>
      <c r="N174" s="46" t="n"/>
      <c r="O174" s="40" t="n"/>
      <c r="P174" s="3">
        <f>TABL12345[[#This Row],[ (S/S) SAR]]-TABL12345[[#This Row],[(S/S) AJD]]</f>
        <v/>
      </c>
      <c r="Q174" s="40" t="n"/>
      <c r="R174" s="3">
        <f>TABL12345[[#This Row],[ (T/B) SAR]]-TABL12345[[#This Row],[(T/B) AJD]]</f>
        <v/>
      </c>
      <c r="S174" s="3">
        <f>TABL12345[[#This Row],[S/S_CON.]]+TABL12345[[#This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TABL12345[[#This Row],[(RESV. STORGE) AJD]]/10</f>
        <v/>
      </c>
      <c r="AB174" s="3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32" t="n"/>
      <c r="AN174" s="32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TABL12345[[#This Row],[ (T/B) SAR]]+TABL12345[[#This Row],[ (S/S) SAR]]</f>
        <v/>
      </c>
      <c r="L175" s="41" t="n"/>
      <c r="M175" s="42" t="n"/>
      <c r="N175" s="42" t="n"/>
      <c r="O175" s="39" t="n"/>
      <c r="P175" s="3">
        <f>TABL12345[[#This Row],[ (S/S) SAR]]-TABL12345[[#This Row],[(S/S) AJD]]</f>
        <v/>
      </c>
      <c r="Q175" s="39" t="n"/>
      <c r="R175" s="3">
        <f>TABL12345[[#This Row],[ (T/B) SAR]]-TABL12345[[#This Row],[(T/B) AJD]]</f>
        <v/>
      </c>
      <c r="S175" s="3">
        <f>TABL12345[[#This Row],[S/S_CON.]]+TABL12345[[#This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TABL12345[[#This Row],[(RESV. STORGE) AJD]]/10</f>
        <v/>
      </c>
      <c r="AB175" s="3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32" t="n"/>
      <c r="AN175" s="32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TABL12345[[#This Row],[ (T/B) SAR]]+TABL12345[[#This Row],[ (S/S) SAR]]</f>
        <v/>
      </c>
      <c r="L176" s="45" t="n"/>
      <c r="M176" s="46" t="n"/>
      <c r="N176" s="46" t="n"/>
      <c r="O176" s="40" t="n"/>
      <c r="P176" s="3">
        <f>TABL12345[[#This Row],[ (S/S) SAR]]-TABL12345[[#This Row],[(S/S) AJD]]</f>
        <v/>
      </c>
      <c r="Q176" s="40" t="n"/>
      <c r="R176" s="3">
        <f>TABL12345[[#This Row],[ (T/B) SAR]]-TABL12345[[#This Row],[(T/B) AJD]]</f>
        <v/>
      </c>
      <c r="S176" s="3">
        <f>TABL12345[[#This Row],[S/S_CON.]]+TABL12345[[#This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TABL12345[[#This Row],[(RESV. STORGE) AJD]]/10</f>
        <v/>
      </c>
      <c r="AB176" s="3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32" t="n"/>
      <c r="AN176" s="32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TABL12345[[#This Row],[ (T/B) SAR]]+TABL12345[[#This Row],[ (S/S) SAR]]</f>
        <v/>
      </c>
      <c r="L177" s="41" t="n"/>
      <c r="M177" s="42" t="n"/>
      <c r="N177" s="42" t="n"/>
      <c r="O177" s="39" t="n"/>
      <c r="P177" s="3">
        <f>TABL12345[[#This Row],[ (S/S) SAR]]-TABL12345[[#This Row],[(S/S) AJD]]</f>
        <v/>
      </c>
      <c r="Q177" s="39" t="n"/>
      <c r="R177" s="3">
        <f>TABL12345[[#This Row],[ (T/B) SAR]]-TABL12345[[#This Row],[(T/B) AJD]]</f>
        <v/>
      </c>
      <c r="S177" s="3">
        <f>TABL12345[[#This Row],[S/S_CON.]]+TABL12345[[#This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TABL12345[[#This Row],[(RESV. STORGE) AJD]]/10</f>
        <v/>
      </c>
      <c r="AB177" s="3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32" t="n"/>
      <c r="AN177" s="32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TABL12345[[#This Row],[ (T/B) SAR]]+TABL12345[[#This Row],[ (S/S) SAR]]</f>
        <v/>
      </c>
      <c r="L178" s="45" t="n"/>
      <c r="M178" s="46" t="n"/>
      <c r="N178" s="46" t="n"/>
      <c r="O178" s="40" t="n"/>
      <c r="P178" s="3">
        <f>TABL12345[[#This Row],[ (S/S) SAR]]-TABL12345[[#This Row],[(S/S) AJD]]</f>
        <v/>
      </c>
      <c r="Q178" s="40" t="n"/>
      <c r="R178" s="3">
        <f>TABL12345[[#This Row],[ (T/B) SAR]]-TABL12345[[#This Row],[(T/B) AJD]]</f>
        <v/>
      </c>
      <c r="S178" s="3">
        <f>TABL12345[[#This Row],[S/S_CON.]]+TABL12345[[#This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TABL12345[[#This Row],[(RESV. STORGE) AJD]]/10</f>
        <v/>
      </c>
      <c r="AB178" s="3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32" t="n"/>
      <c r="AN178" s="32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TABL12345[[#This Row],[ (T/B) SAR]]+TABL12345[[#This Row],[ (S/S) SAR]]</f>
        <v/>
      </c>
      <c r="L179" s="41" t="n"/>
      <c r="M179" s="42" t="n"/>
      <c r="N179" s="42" t="n"/>
      <c r="O179" s="39" t="n"/>
      <c r="P179" s="3">
        <f>TABL12345[[#This Row],[ (S/S) SAR]]-TABL12345[[#This Row],[(S/S) AJD]]</f>
        <v/>
      </c>
      <c r="Q179" s="39" t="n"/>
      <c r="R179" s="3">
        <f>TABL12345[[#This Row],[ (T/B) SAR]]-TABL12345[[#This Row],[(T/B) AJD]]</f>
        <v/>
      </c>
      <c r="S179" s="3">
        <f>TABL12345[[#This Row],[S/S_CON.]]+TABL12345[[#This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TABL12345[[#This Row],[(RESV. STORGE) AJD]]/10</f>
        <v/>
      </c>
      <c r="AB179" s="3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32" t="n"/>
      <c r="AN179" s="32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TABL12345[[#This Row],[ (T/B) SAR]]+TABL12345[[#This Row],[ (S/S) SAR]]</f>
        <v/>
      </c>
      <c r="L180" s="45" t="n"/>
      <c r="M180" s="46" t="n"/>
      <c r="N180" s="46" t="n"/>
      <c r="O180" s="40" t="n"/>
      <c r="P180" s="3">
        <f>TABL12345[[#This Row],[ (S/S) SAR]]-TABL12345[[#This Row],[(S/S) AJD]]</f>
        <v/>
      </c>
      <c r="Q180" s="40" t="n"/>
      <c r="R180" s="3">
        <f>TABL12345[[#This Row],[ (T/B) SAR]]-TABL12345[[#This Row],[(T/B) AJD]]</f>
        <v/>
      </c>
      <c r="S180" s="3">
        <f>TABL12345[[#This Row],[S/S_CON.]]+TABL12345[[#This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TABL12345[[#This Row],[(RESV. STORGE) AJD]]/10</f>
        <v/>
      </c>
      <c r="AB180" s="3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32" t="n"/>
      <c r="AN180" s="32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TABL12345[[#This Row],[ (T/B) SAR]]+TABL12345[[#This Row],[ (S/S) SAR]]</f>
        <v/>
      </c>
      <c r="L181" s="41" t="n"/>
      <c r="M181" s="42" t="n"/>
      <c r="N181" s="42" t="n"/>
      <c r="O181" s="39" t="n"/>
      <c r="P181" s="3">
        <f>TABL12345[[#This Row],[ (S/S) SAR]]-TABL12345[[#This Row],[(S/S) AJD]]</f>
        <v/>
      </c>
      <c r="Q181" s="39" t="n"/>
      <c r="R181" s="3">
        <f>TABL12345[[#This Row],[ (T/B) SAR]]-TABL12345[[#This Row],[(T/B) AJD]]</f>
        <v/>
      </c>
      <c r="S181" s="3">
        <f>TABL12345[[#This Row],[S/S_CON.]]+TABL12345[[#This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TABL12345[[#This Row],[(RESV. STORGE) AJD]]/10</f>
        <v/>
      </c>
      <c r="AB181" s="3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32" t="n"/>
      <c r="AN181" s="32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TABL12345[[#This Row],[ (T/B) SAR]]+TABL12345[[#This Row],[ (S/S) SAR]]</f>
        <v/>
      </c>
      <c r="L182" s="45" t="n"/>
      <c r="M182" s="46" t="n"/>
      <c r="N182" s="46" t="n"/>
      <c r="O182" s="40" t="n"/>
      <c r="P182" s="3">
        <f>TABL12345[[#This Row],[ (S/S) SAR]]-TABL12345[[#This Row],[(S/S) AJD]]</f>
        <v/>
      </c>
      <c r="Q182" s="40" t="n"/>
      <c r="R182" s="3">
        <f>TABL12345[[#This Row],[ (T/B) SAR]]-TABL12345[[#This Row],[(T/B) AJD]]</f>
        <v/>
      </c>
      <c r="S182" s="3">
        <f>TABL12345[[#This Row],[S/S_CON.]]+TABL12345[[#This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TABL12345[[#This Row],[(RESV. STORGE) AJD]]/10</f>
        <v/>
      </c>
      <c r="AB182" s="3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32" t="n"/>
      <c r="AN182" s="32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TABL12345[[#This Row],[(RESV. STORGE) AJD]]/10</f>
        <v/>
      </c>
      <c r="AB183" s="3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32" t="n"/>
      <c r="AN183" s="32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TABL12345[[#This Row],[(RESV. STORGE) AJD]]/10</f>
        <v/>
      </c>
      <c r="AB184" s="3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32" t="n"/>
      <c r="AN184" s="32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TABL12345[[#This Row],[(RESV. STORGE) AJD]]/10</f>
        <v/>
      </c>
      <c r="AB185" s="3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32" t="n"/>
      <c r="AN185" s="32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TABL12345[[#This Row],[(RESV. STORGE) AJD]]/10</f>
        <v/>
      </c>
      <c r="AB186" s="3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32" t="n"/>
      <c r="AN186" s="32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TABL12345[[#This Row],[(RESV. STORGE) AJD]]/10</f>
        <v/>
      </c>
      <c r="AB187" s="3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32" t="n"/>
      <c r="AN187" s="32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TABL12345[[#This Row],[(RESV. STORGE) AJD]]/10</f>
        <v/>
      </c>
      <c r="AB188" s="3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32" t="n"/>
      <c r="AN188" s="32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TABL12345[[#This Row],[(RESV. STORGE) AJD]]/10</f>
        <v/>
      </c>
      <c r="AB189" s="3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32" t="n"/>
      <c r="AN189" s="32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TABL12345[[#This Row],[(RESV. STORGE) AJD]]/10</f>
        <v/>
      </c>
      <c r="AB190" s="3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32" t="n"/>
      <c r="AN190" s="32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TABL12345[[#This Row],[(RESV. STORGE) AJD]]/10</f>
        <v/>
      </c>
      <c r="AB191" s="3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32" t="n"/>
      <c r="AN191" s="32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TABL12345[[#This Row],[(RESV. STORGE) AJD]]/10</f>
        <v/>
      </c>
      <c r="AB192" s="3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32" t="n"/>
      <c r="AN192" s="32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TABL12345[[#This Row],[(RESV. STORGE) AJD]]/10</f>
        <v/>
      </c>
      <c r="AB193" s="3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32" t="n"/>
      <c r="AN193" s="32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TABL12345[[#This Row],[(RESV. STORGE) AJD]]/10</f>
        <v/>
      </c>
      <c r="AB194" s="3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32" t="n"/>
      <c r="AN194" s="32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TABL12345[[#This Row],[(RESV. STORGE) AJD]]/10</f>
        <v/>
      </c>
      <c r="AB195" s="3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32" t="n"/>
      <c r="AN195" s="32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TABL12345[[#This Row],[(RESV. STORGE) AJD]]/10</f>
        <v/>
      </c>
      <c r="AB196" s="3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32" t="n"/>
      <c r="AN196" s="32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TABL12345[[#This Row],[(RESV. STORGE) AJD]]/10</f>
        <v/>
      </c>
      <c r="AB197" s="3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32" t="n"/>
      <c r="AN197" s="32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TABL12345[[#This Row],[(RESV. STORGE) AJD]]/10</f>
        <v/>
      </c>
      <c r="AB198" s="3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32" t="n"/>
      <c r="AN198" s="32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TABL12345[[#This Row],[(RESV. STORGE) AJD]]/10</f>
        <v/>
      </c>
      <c r="AB199" s="3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32" t="n"/>
      <c r="AN199" s="32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TABL12345[[#This Row],[(RESV. STORGE) AJD]]/10</f>
        <v/>
      </c>
      <c r="AB200" s="3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32" t="n"/>
      <c r="AN200" s="32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TABL12345[[#This Row],[(RESV. STORGE) AJD]]/10</f>
        <v/>
      </c>
      <c r="AB201" s="3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32" t="n"/>
      <c r="AN201" s="32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TABL12345[[#This Row],[(RESV. STORGE) AJD]]/10</f>
        <v/>
      </c>
      <c r="AB202" s="3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32" t="n"/>
      <c r="AN202" s="32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TABL12345[[#This Row],[(RESV. STORGE) AJD]]/10</f>
        <v/>
      </c>
      <c r="AB203" s="3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32" t="n"/>
      <c r="AN203" s="32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TABL12345[[#This Row],[(RESV. STORGE) AJD]]/10</f>
        <v/>
      </c>
      <c r="AB204" s="3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32" t="n"/>
      <c r="AN204" s="32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TABL12345[[#This Row],[(RESV. STORGE) AJD]]/10</f>
        <v/>
      </c>
      <c r="AB205" s="3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32" t="n"/>
      <c r="AN205" s="32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TABL12345[[#This Row],[(RESV. STORGE) AJD]]/10</f>
        <v/>
      </c>
      <c r="AB206" s="3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32" t="n"/>
      <c r="AN206" s="32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TABL12345[[#This Row],[(RESV. STORGE) AJD]]/10</f>
        <v/>
      </c>
      <c r="AB207" s="3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32" t="n"/>
      <c r="AN207" s="32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TABL12345[[#This Row],[(RESV. STORGE) AJD]]/10</f>
        <v/>
      </c>
      <c r="AB208" s="3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32" t="n"/>
      <c r="AN208" s="32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TABL12345[[#This Row],[(RESV. STORGE) AJD]]/10</f>
        <v/>
      </c>
      <c r="AB209" s="3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32" t="n"/>
      <c r="AN209" s="32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TABL12345[[#This Row],[(RESV. STORGE) AJD]]/10</f>
        <v/>
      </c>
      <c r="AB210" s="3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32" t="n"/>
      <c r="AN210" s="32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TABL12345[[#This Row],[(RESV. STORGE) AJD]]/10</f>
        <v/>
      </c>
      <c r="AB211" s="3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32" t="n"/>
      <c r="AN211" s="32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TABL12345[[#This Row],[(RESV. STORGE) AJD]]/10</f>
        <v/>
      </c>
      <c r="AB212" s="3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32" t="n"/>
      <c r="AN212" s="32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TABL12345[[#This Row],[(RESV. STORGE) AJD]]/10</f>
        <v/>
      </c>
      <c r="AB213" s="3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32" t="n"/>
      <c r="AN213" s="32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TABL12345[[#This Row],[ (T/B) SAR]]+TABL12345[[#This Row],[ (S/S) SAR]]</f>
        <v/>
      </c>
      <c r="L214" s="41" t="n"/>
      <c r="M214" s="42" t="n"/>
      <c r="N214" s="42" t="n"/>
      <c r="O214" s="39" t="n"/>
      <c r="P214" s="3">
        <f>TABL12345[[#This Row],[ (S/S) SAR]]-TABL12345[[#This Row],[(S/S) AJD]]</f>
        <v/>
      </c>
      <c r="Q214" s="39" t="n"/>
      <c r="R214" s="3">
        <f>TABL12345[[#This Row],[ (T/B) SAR]]-TABL12345[[#This Row],[(T/B) AJD]]</f>
        <v/>
      </c>
      <c r="S214" s="3">
        <f>TABL12345[[#This Row],[S/S_CON.]]+TABL12345[[#This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TABL12345[[#This Row],[(RESV. STORGE) AJD]]/10</f>
        <v/>
      </c>
      <c r="AB214" s="3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32" t="n"/>
      <c r="AN214" s="32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TABL12345[[#This Row],[ (T/B) SAR]]+TABL12345[[#This Row],[ (S/S) SAR]]</f>
        <v/>
      </c>
      <c r="L215" s="45" t="n"/>
      <c r="M215" s="46" t="n"/>
      <c r="N215" s="46" t="n"/>
      <c r="O215" s="40" t="n"/>
      <c r="P215" s="3">
        <f>TABL12345[[#This Row],[ (S/S) SAR]]-TABL12345[[#This Row],[(S/S) AJD]]</f>
        <v/>
      </c>
      <c r="Q215" s="40" t="n"/>
      <c r="R215" s="3">
        <f>TABL12345[[#This Row],[ (T/B) SAR]]-TABL12345[[#This Row],[(T/B) AJD]]</f>
        <v/>
      </c>
      <c r="S215" s="3">
        <f>TABL12345[[#This Row],[S/S_CON.]]+TABL12345[[#This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TABL12345[[#This Row],[(RESV. STORGE) AJD]]/10</f>
        <v/>
      </c>
      <c r="AB215" s="3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32" t="n"/>
      <c r="AN215" s="32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TABL12345[[#This Row],[ (T/B) SAR]]+TABL12345[[#This Row],[ (S/S) SAR]]</f>
        <v/>
      </c>
      <c r="L216" s="41" t="n"/>
      <c r="M216" s="42" t="n"/>
      <c r="N216" s="42" t="n"/>
      <c r="O216" s="39" t="n"/>
      <c r="P216" s="3">
        <f>TABL12345[[#This Row],[ (S/S) SAR]]-TABL12345[[#This Row],[(S/S) AJD]]</f>
        <v/>
      </c>
      <c r="Q216" s="39" t="n"/>
      <c r="R216" s="3">
        <f>TABL12345[[#This Row],[ (T/B) SAR]]-TABL12345[[#This Row],[(T/B) AJD]]</f>
        <v/>
      </c>
      <c r="S216" s="3">
        <f>TABL12345[[#This Row],[S/S_CON.]]+TABL12345[[#This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TABL12345[[#This Row],[(RESV. STORGE) AJD]]/10</f>
        <v/>
      </c>
      <c r="AB216" s="3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32" t="n"/>
      <c r="AN216" s="32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TABL12345[[#This Row],[ (T/B) SAR]]+TABL12345[[#This Row],[ (S/S) SAR]]</f>
        <v/>
      </c>
      <c r="L217" s="45" t="n"/>
      <c r="M217" s="46" t="n"/>
      <c r="N217" s="46" t="n"/>
      <c r="O217" s="40" t="n"/>
      <c r="P217" s="3">
        <f>TABL12345[[#This Row],[ (S/S) SAR]]-TABL12345[[#This Row],[(S/S) AJD]]</f>
        <v/>
      </c>
      <c r="Q217" s="40" t="n"/>
      <c r="R217" s="3">
        <f>TABL12345[[#This Row],[ (T/B) SAR]]-TABL12345[[#This Row],[(T/B) AJD]]</f>
        <v/>
      </c>
      <c r="S217" s="3">
        <f>TABL12345[[#This Row],[S/S_CON.]]+TABL12345[[#This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TABL12345[[#This Row],[(RESV. STORGE) AJD]]/10</f>
        <v/>
      </c>
      <c r="AB217" s="3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32" t="n"/>
      <c r="AN217" s="32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TABL12345[[#This Row],[ (T/B) SAR]]+TABL12345[[#This Row],[ (S/S) SAR]]</f>
        <v/>
      </c>
      <c r="L218" s="41" t="n"/>
      <c r="M218" s="42" t="n"/>
      <c r="N218" s="42" t="n"/>
      <c r="O218" s="39" t="n"/>
      <c r="P218" s="3">
        <f>TABL12345[[#This Row],[ (S/S) SAR]]-TABL12345[[#This Row],[(S/S) AJD]]</f>
        <v/>
      </c>
      <c r="Q218" s="39" t="n"/>
      <c r="R218" s="3">
        <f>TABL12345[[#This Row],[ (T/B) SAR]]-TABL12345[[#This Row],[(T/B) AJD]]</f>
        <v/>
      </c>
      <c r="S218" s="3">
        <f>TABL12345[[#This Row],[S/S_CON.]]+TABL12345[[#This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TABL12345[[#This Row],[(RESV. STORGE) AJD]]/10</f>
        <v/>
      </c>
      <c r="AB218" s="3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32" t="n"/>
      <c r="AN218" s="32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TABL12345[[#This Row],[ (T/B) SAR]]+TABL12345[[#This Row],[ (S/S) SAR]]</f>
        <v/>
      </c>
      <c r="L219" s="45" t="n"/>
      <c r="M219" s="46" t="n"/>
      <c r="N219" s="46" t="n"/>
      <c r="O219" s="40" t="n"/>
      <c r="P219" s="3">
        <f>TABL12345[[#This Row],[ (S/S) SAR]]-TABL12345[[#This Row],[(S/S) AJD]]</f>
        <v/>
      </c>
      <c r="Q219" s="40" t="n"/>
      <c r="R219" s="3">
        <f>TABL12345[[#This Row],[ (T/B) SAR]]-TABL12345[[#This Row],[(T/B) AJD]]</f>
        <v/>
      </c>
      <c r="S219" s="3">
        <f>TABL12345[[#This Row],[S/S_CON.]]+TABL12345[[#This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TABL12345[[#This Row],[(RESV. STORGE) AJD]]/10</f>
        <v/>
      </c>
      <c r="AB219" s="3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32" t="n"/>
      <c r="AN219" s="32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TABL12345[[#This Row],[ (T/B) SAR]]+TABL12345[[#This Row],[ (S/S) SAR]]</f>
        <v/>
      </c>
      <c r="L220" s="41" t="n"/>
      <c r="M220" s="42" t="n"/>
      <c r="N220" s="42" t="n"/>
      <c r="O220" s="39" t="n"/>
      <c r="P220" s="3">
        <f>TABL12345[[#This Row],[ (S/S) SAR]]-TABL12345[[#This Row],[(S/S) AJD]]</f>
        <v/>
      </c>
      <c r="Q220" s="39" t="n"/>
      <c r="R220" s="3">
        <f>TABL12345[[#This Row],[ (T/B) SAR]]-TABL12345[[#This Row],[(T/B) AJD]]</f>
        <v/>
      </c>
      <c r="S220" s="3">
        <f>TABL12345[[#This Row],[S/S_CON.]]+TABL12345[[#This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TABL12345[[#This Row],[(RESV. STORGE) AJD]]/10</f>
        <v/>
      </c>
      <c r="AB220" s="3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32" t="n"/>
      <c r="AN220" s="32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TABL12345[[#This Row],[ (T/B) SAR]]+TABL12345[[#This Row],[ (S/S) SAR]]</f>
        <v/>
      </c>
      <c r="L221" s="45" t="n"/>
      <c r="M221" s="46" t="n"/>
      <c r="N221" s="46" t="n"/>
      <c r="O221" s="40" t="n"/>
      <c r="P221" s="3">
        <f>TABL12345[[#This Row],[ (S/S) SAR]]-TABL12345[[#This Row],[(S/S) AJD]]</f>
        <v/>
      </c>
      <c r="Q221" s="40" t="n"/>
      <c r="R221" s="3">
        <f>TABL12345[[#This Row],[ (T/B) SAR]]-TABL12345[[#This Row],[(T/B) AJD]]</f>
        <v/>
      </c>
      <c r="S221" s="3">
        <f>TABL12345[[#This Row],[S/S_CON.]]+TABL12345[[#This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TABL12345[[#This Row],[(RESV. STORGE) AJD]]/10</f>
        <v/>
      </c>
      <c r="AB221" s="3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32" t="n"/>
      <c r="AN221" s="32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TABL12345[[#This Row],[ (T/B) SAR]]+TABL12345[[#This Row],[ (S/S) SAR]]</f>
        <v/>
      </c>
      <c r="L222" s="41" t="n"/>
      <c r="M222" s="42" t="n"/>
      <c r="N222" s="42" t="n"/>
      <c r="O222" s="39" t="n"/>
      <c r="P222" s="3">
        <f>TABL12345[[#This Row],[ (S/S) SAR]]-TABL12345[[#This Row],[(S/S) AJD]]</f>
        <v/>
      </c>
      <c r="Q222" s="39" t="n"/>
      <c r="R222" s="3">
        <f>TABL12345[[#This Row],[ (T/B) SAR]]-TABL12345[[#This Row],[(T/B) AJD]]</f>
        <v/>
      </c>
      <c r="S222" s="3">
        <f>TABL12345[[#This Row],[S/S_CON.]]+TABL12345[[#This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TABL12345[[#This Row],[(RESV. STORGE) AJD]]/10</f>
        <v/>
      </c>
      <c r="AB222" s="3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32" t="n"/>
      <c r="AN222" s="32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TABL12345[[#This Row],[ (T/B) SAR]]+TABL12345[[#This Row],[ (S/S) SAR]]</f>
        <v/>
      </c>
      <c r="L223" s="45" t="n"/>
      <c r="M223" s="46" t="n"/>
      <c r="N223" s="46" t="n"/>
      <c r="O223" s="40" t="n"/>
      <c r="P223" s="3">
        <f>TABL12345[[#This Row],[ (S/S) SAR]]-TABL12345[[#This Row],[(S/S) AJD]]</f>
        <v/>
      </c>
      <c r="Q223" s="40" t="n"/>
      <c r="R223" s="3">
        <f>TABL12345[[#This Row],[ (T/B) SAR]]-TABL12345[[#This Row],[(T/B) AJD]]</f>
        <v/>
      </c>
      <c r="S223" s="3">
        <f>TABL12345[[#This Row],[S/S_CON.]]+TABL12345[[#This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TABL12345[[#This Row],[(RESV. STORGE) AJD]]/10</f>
        <v/>
      </c>
      <c r="AB223" s="3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32" t="n"/>
      <c r="AN223" s="32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TABL12345[[#This Row],[ (T/B) SAR]]+TABL12345[[#This Row],[ (S/S) SAR]]</f>
        <v/>
      </c>
      <c r="L224" s="41" t="n"/>
      <c r="M224" s="42" t="n"/>
      <c r="N224" s="42" t="n"/>
      <c r="O224" s="39" t="n"/>
      <c r="P224" s="3">
        <f>TABL12345[[#This Row],[ (S/S) SAR]]-TABL12345[[#This Row],[(S/S) AJD]]</f>
        <v/>
      </c>
      <c r="Q224" s="39" t="n"/>
      <c r="R224" s="3">
        <f>TABL12345[[#This Row],[ (T/B) SAR]]-TABL12345[[#This Row],[(T/B) AJD]]</f>
        <v/>
      </c>
      <c r="S224" s="3">
        <f>TABL12345[[#This Row],[S/S_CON.]]+TABL12345[[#This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TABL12345[[#This Row],[(RESV. STORGE) AJD]]/10</f>
        <v/>
      </c>
      <c r="AB224" s="3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32" t="n"/>
      <c r="AN224" s="32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TABL12345[[#This Row],[ (T/B) SAR]]+TABL12345[[#This Row],[ (S/S) SAR]]</f>
        <v/>
      </c>
      <c r="L225" s="45" t="n"/>
      <c r="M225" s="46" t="n"/>
      <c r="N225" s="46" t="n"/>
      <c r="O225" s="40" t="n"/>
      <c r="P225" s="3">
        <f>TABL12345[[#This Row],[ (S/S) SAR]]-TABL12345[[#This Row],[(S/S) AJD]]</f>
        <v/>
      </c>
      <c r="Q225" s="40" t="n"/>
      <c r="R225" s="3">
        <f>TABL12345[[#This Row],[ (T/B) SAR]]-TABL12345[[#This Row],[(T/B) AJD]]</f>
        <v/>
      </c>
      <c r="S225" s="3">
        <f>TABL12345[[#This Row],[S/S_CON.]]+TABL12345[[#This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TABL12345[[#This Row],[(RESV. STORGE) AJD]]/10</f>
        <v/>
      </c>
      <c r="AB225" s="3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32" t="n"/>
      <c r="AN225" s="32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TABL12345[[#This Row],[ (T/B) SAR]]+TABL12345[[#This Row],[ (S/S) SAR]]</f>
        <v/>
      </c>
      <c r="L226" s="41" t="n"/>
      <c r="M226" s="42" t="n"/>
      <c r="N226" s="42" t="n"/>
      <c r="O226" s="39" t="n"/>
      <c r="P226" s="3">
        <f>TABL12345[[#This Row],[ (S/S) SAR]]-TABL12345[[#This Row],[(S/S) AJD]]</f>
        <v/>
      </c>
      <c r="Q226" s="39" t="n"/>
      <c r="R226" s="3">
        <f>TABL12345[[#This Row],[ (T/B) SAR]]-TABL12345[[#This Row],[(T/B) AJD]]</f>
        <v/>
      </c>
      <c r="S226" s="3">
        <f>TABL12345[[#This Row],[S/S_CON.]]+TABL12345[[#This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TABL12345[[#This Row],[(RESV. STORGE) AJD]]/10</f>
        <v/>
      </c>
      <c r="AB226" s="3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32" t="n"/>
      <c r="AN226" s="32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TABL12345[[#This Row],[ (T/B) SAR]]+TABL12345[[#This Row],[ (S/S) SAR]]</f>
        <v/>
      </c>
      <c r="L227" s="45" t="n"/>
      <c r="M227" s="46" t="n"/>
      <c r="N227" s="46" t="n"/>
      <c r="O227" s="40" t="n"/>
      <c r="P227" s="3">
        <f>TABL12345[[#This Row],[ (S/S) SAR]]-TABL12345[[#This Row],[(S/S) AJD]]</f>
        <v/>
      </c>
      <c r="Q227" s="40" t="n"/>
      <c r="R227" s="3">
        <f>TABL12345[[#This Row],[ (T/B) SAR]]-TABL12345[[#This Row],[(T/B) AJD]]</f>
        <v/>
      </c>
      <c r="S227" s="3">
        <f>TABL12345[[#This Row],[S/S_CON.]]+TABL12345[[#This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TABL12345[[#This Row],[(RESV. STORGE) AJD]]/10</f>
        <v/>
      </c>
      <c r="AB227" s="3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32" t="n"/>
      <c r="AN227" s="32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TABL12345[[#This Row],[ (T/B) SAR]]+TABL12345[[#This Row],[ (S/S) SAR]]</f>
        <v/>
      </c>
      <c r="L228" s="41" t="n"/>
      <c r="M228" s="42" t="n"/>
      <c r="N228" s="42" t="n"/>
      <c r="O228" s="39" t="n"/>
      <c r="P228" s="3">
        <f>TABL12345[[#This Row],[ (S/S) SAR]]-TABL12345[[#This Row],[(S/S) AJD]]</f>
        <v/>
      </c>
      <c r="Q228" s="39" t="n"/>
      <c r="R228" s="3">
        <f>TABL12345[[#This Row],[ (T/B) SAR]]-TABL12345[[#This Row],[(T/B) AJD]]</f>
        <v/>
      </c>
      <c r="S228" s="3">
        <f>TABL12345[[#This Row],[S/S_CON.]]+TABL12345[[#This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TABL12345[[#This Row],[(RESV. STORGE) AJD]]/10</f>
        <v/>
      </c>
      <c r="AB228" s="3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32" t="n"/>
      <c r="AN228" s="32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TABL12345[[#This Row],[ (T/B) SAR]]+TABL12345[[#This Row],[ (S/S) SAR]]</f>
        <v/>
      </c>
      <c r="L229" s="45" t="n"/>
      <c r="M229" s="46" t="n"/>
      <c r="N229" s="46" t="n"/>
      <c r="O229" s="40" t="n"/>
      <c r="P229" s="3">
        <f>TABL12345[[#This Row],[ (S/S) SAR]]-TABL12345[[#This Row],[(S/S) AJD]]</f>
        <v/>
      </c>
      <c r="Q229" s="40" t="n"/>
      <c r="R229" s="3">
        <f>TABL12345[[#This Row],[ (T/B) SAR]]-TABL12345[[#This Row],[(T/B) AJD]]</f>
        <v/>
      </c>
      <c r="S229" s="3">
        <f>TABL12345[[#This Row],[S/S_CON.]]+TABL12345[[#This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TABL12345[[#This Row],[(RESV. STORGE) AJD]]/10</f>
        <v/>
      </c>
      <c r="AB229" s="3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32" t="n"/>
      <c r="AN229" s="32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TABL12345[[#This Row],[ (T/B) SAR]]+TABL12345[[#This Row],[ (S/S) SAR]]</f>
        <v/>
      </c>
      <c r="L230" s="41" t="n"/>
      <c r="M230" s="42" t="n"/>
      <c r="N230" s="42" t="n"/>
      <c r="O230" s="39" t="n"/>
      <c r="P230" s="3">
        <f>TABL12345[[#This Row],[ (S/S) SAR]]-TABL12345[[#This Row],[(S/S) AJD]]</f>
        <v/>
      </c>
      <c r="Q230" s="39" t="n"/>
      <c r="R230" s="3">
        <f>TABL12345[[#This Row],[ (T/B) SAR]]-TABL12345[[#This Row],[(T/B) AJD]]</f>
        <v/>
      </c>
      <c r="S230" s="3">
        <f>TABL12345[[#This Row],[S/S_CON.]]+TABL12345[[#This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TABL12345[[#This Row],[(RESV. STORGE) AJD]]/10</f>
        <v/>
      </c>
      <c r="AB230" s="3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32" t="n"/>
      <c r="AN230" s="32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TABL12345[[#This Row],[ (T/B) SAR]]+TABL12345[[#This Row],[ (S/S) SAR]]</f>
        <v/>
      </c>
      <c r="L231" s="45" t="n"/>
      <c r="M231" s="46" t="n"/>
      <c r="N231" s="46" t="n"/>
      <c r="O231" s="40" t="n"/>
      <c r="P231" s="3">
        <f>TABL12345[[#This Row],[ (S/S) SAR]]-TABL12345[[#This Row],[(S/S) AJD]]</f>
        <v/>
      </c>
      <c r="Q231" s="40" t="n"/>
      <c r="R231" s="3">
        <f>TABL12345[[#This Row],[ (T/B) SAR]]-TABL12345[[#This Row],[(T/B) AJD]]</f>
        <v/>
      </c>
      <c r="S231" s="3">
        <f>TABL12345[[#This Row],[S/S_CON.]]+TABL12345[[#This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TABL12345[[#This Row],[(RESV. STORGE) AJD]]/10</f>
        <v/>
      </c>
      <c r="AB231" s="3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32" t="n"/>
      <c r="AN231" s="32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TABL12345[[#This Row],[ (T/B) SAR]]+TABL12345[[#This Row],[ (S/S) SAR]]</f>
        <v/>
      </c>
      <c r="L232" s="41" t="n"/>
      <c r="M232" s="42" t="n"/>
      <c r="N232" s="42" t="n"/>
      <c r="O232" s="39" t="n"/>
      <c r="P232" s="3">
        <f>TABL12345[[#This Row],[ (S/S) SAR]]-TABL12345[[#This Row],[(S/S) AJD]]</f>
        <v/>
      </c>
      <c r="Q232" s="39" t="n"/>
      <c r="R232" s="3">
        <f>TABL12345[[#This Row],[ (T/B) SAR]]-TABL12345[[#This Row],[(T/B) AJD]]</f>
        <v/>
      </c>
      <c r="S232" s="3">
        <f>TABL12345[[#This Row],[S/S_CON.]]+TABL12345[[#This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TABL12345[[#This Row],[(RESV. STORGE) AJD]]/10</f>
        <v/>
      </c>
      <c r="AB232" s="3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32" t="n"/>
      <c r="AN232" s="32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TABL12345[[#This Row],[ (T/B) SAR]]+TABL12345[[#This Row],[ (S/S) SAR]]</f>
        <v/>
      </c>
      <c r="L233" s="45" t="n"/>
      <c r="M233" s="46" t="n"/>
      <c r="N233" s="46" t="n"/>
      <c r="O233" s="40" t="n"/>
      <c r="P233" s="3">
        <f>TABL12345[[#This Row],[ (S/S) SAR]]-TABL12345[[#This Row],[(S/S) AJD]]</f>
        <v/>
      </c>
      <c r="Q233" s="40" t="n"/>
      <c r="R233" s="3">
        <f>TABL12345[[#This Row],[ (T/B) SAR]]-TABL12345[[#This Row],[(T/B) AJD]]</f>
        <v/>
      </c>
      <c r="S233" s="3">
        <f>TABL12345[[#This Row],[S/S_CON.]]+TABL12345[[#This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TABL12345[[#This Row],[(RESV. STORGE) AJD]]/10</f>
        <v/>
      </c>
      <c r="AB233" s="3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32" t="n"/>
      <c r="AN233" s="32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TABL12345[[#This Row],[ (T/B) SAR]]+TABL12345[[#This Row],[ (S/S) SAR]]</f>
        <v/>
      </c>
      <c r="L234" s="41" t="n"/>
      <c r="M234" s="42" t="n"/>
      <c r="N234" s="42" t="n"/>
      <c r="O234" s="39" t="n"/>
      <c r="P234" s="3">
        <f>TABL12345[[#This Row],[ (S/S) SAR]]-TABL12345[[#This Row],[(S/S) AJD]]</f>
        <v/>
      </c>
      <c r="Q234" s="39" t="n"/>
      <c r="R234" s="3">
        <f>TABL12345[[#This Row],[ (T/B) SAR]]-TABL12345[[#This Row],[(T/B) AJD]]</f>
        <v/>
      </c>
      <c r="S234" s="3">
        <f>TABL12345[[#This Row],[S/S_CON.]]+TABL12345[[#This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TABL12345[[#This Row],[(RESV. STORGE) AJD]]/10</f>
        <v/>
      </c>
      <c r="AB234" s="3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32" t="n"/>
      <c r="AN234" s="32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TABL12345[[#This Row],[ (T/B) SAR]]+TABL12345[[#This Row],[ (S/S) SAR]]</f>
        <v/>
      </c>
      <c r="L235" s="45" t="n"/>
      <c r="M235" s="46" t="n"/>
      <c r="N235" s="46" t="n"/>
      <c r="O235" s="40" t="n"/>
      <c r="P235" s="3">
        <f>TABL12345[[#This Row],[ (S/S) SAR]]-TABL12345[[#This Row],[(S/S) AJD]]</f>
        <v/>
      </c>
      <c r="Q235" s="40" t="n"/>
      <c r="R235" s="3">
        <f>TABL12345[[#This Row],[ (T/B) SAR]]-TABL12345[[#This Row],[(T/B) AJD]]</f>
        <v/>
      </c>
      <c r="S235" s="3">
        <f>TABL12345[[#This Row],[S/S_CON.]]+TABL12345[[#This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TABL12345[[#This Row],[(RESV. STORGE) AJD]]/10</f>
        <v/>
      </c>
      <c r="AB235" s="3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32" t="n"/>
      <c r="AN235" s="32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TABL12345[[#This Row],[ (T/B) SAR]]+TABL12345[[#This Row],[ (S/S) SAR]]</f>
        <v/>
      </c>
      <c r="L236" s="41" t="n"/>
      <c r="M236" s="42" t="n"/>
      <c r="N236" s="42" t="n"/>
      <c r="O236" s="39" t="n"/>
      <c r="P236" s="3">
        <f>TABL12345[[#This Row],[ (S/S) SAR]]-TABL12345[[#This Row],[(S/S) AJD]]</f>
        <v/>
      </c>
      <c r="Q236" s="39" t="n"/>
      <c r="R236" s="3">
        <f>TABL12345[[#This Row],[ (T/B) SAR]]-TABL12345[[#This Row],[(T/B) AJD]]</f>
        <v/>
      </c>
      <c r="S236" s="3">
        <f>TABL12345[[#This Row],[S/S_CON.]]+TABL12345[[#This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TABL12345[[#This Row],[(RESV. STORGE) AJD]]/10</f>
        <v/>
      </c>
      <c r="AB236" s="3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32" t="n"/>
      <c r="AN236" s="32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TABL12345[[#This Row],[ (T/B) SAR]]+TABL12345[[#This Row],[ (S/S) SAR]]</f>
        <v/>
      </c>
      <c r="L237" s="45" t="n"/>
      <c r="M237" s="46" t="n"/>
      <c r="N237" s="46" t="n"/>
      <c r="O237" s="40" t="n"/>
      <c r="P237" s="3">
        <f>TABL12345[[#This Row],[ (S/S) SAR]]-TABL12345[[#This Row],[(S/S) AJD]]</f>
        <v/>
      </c>
      <c r="Q237" s="40" t="n"/>
      <c r="R237" s="3">
        <f>TABL12345[[#This Row],[ (T/B) SAR]]-TABL12345[[#This Row],[(T/B) AJD]]</f>
        <v/>
      </c>
      <c r="S237" s="3">
        <f>TABL12345[[#This Row],[S/S_CON.]]+TABL12345[[#This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TABL12345[[#This Row],[(RESV. STORGE) AJD]]/10</f>
        <v/>
      </c>
      <c r="AB237" s="3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32" t="n"/>
      <c r="AN237" s="32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TABL12345[[#This Row],[ (T/B) SAR]]+TABL12345[[#This Row],[ (S/S) SAR]]</f>
        <v/>
      </c>
      <c r="L238" s="41" t="n"/>
      <c r="M238" s="42" t="n"/>
      <c r="N238" s="42" t="n"/>
      <c r="O238" s="39" t="n"/>
      <c r="P238" s="3">
        <f>TABL12345[[#This Row],[ (S/S) SAR]]-TABL12345[[#This Row],[(S/S) AJD]]</f>
        <v/>
      </c>
      <c r="Q238" s="39" t="n"/>
      <c r="R238" s="3">
        <f>TABL12345[[#This Row],[ (T/B) SAR]]-TABL12345[[#This Row],[(T/B) AJD]]</f>
        <v/>
      </c>
      <c r="S238" s="3">
        <f>TABL12345[[#This Row],[S/S_CON.]]+TABL12345[[#This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TABL12345[[#This Row],[(RESV. STORGE) AJD]]/10</f>
        <v/>
      </c>
      <c r="AB238" s="3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32" t="n"/>
      <c r="AN238" s="32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TABL12345[[#This Row],[ (T/B) SAR]]+TABL12345[[#This Row],[ (S/S) SAR]]</f>
        <v/>
      </c>
      <c r="L239" s="45" t="n"/>
      <c r="M239" s="46" t="n"/>
      <c r="N239" s="46" t="n"/>
      <c r="O239" s="40" t="n"/>
      <c r="P239" s="3">
        <f>TABL12345[[#This Row],[ (S/S) SAR]]-TABL12345[[#This Row],[(S/S) AJD]]</f>
        <v/>
      </c>
      <c r="Q239" s="40" t="n"/>
      <c r="R239" s="3">
        <f>TABL12345[[#This Row],[ (T/B) SAR]]-TABL12345[[#This Row],[(T/B) AJD]]</f>
        <v/>
      </c>
      <c r="S239" s="3">
        <f>TABL12345[[#This Row],[S/S_CON.]]+TABL12345[[#This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TABL12345[[#This Row],[(RESV. STORGE) AJD]]/10</f>
        <v/>
      </c>
      <c r="AB239" s="3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32" t="n"/>
      <c r="AN239" s="32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TABL12345[[#This Row],[ (T/B) SAR]]+TABL12345[[#This Row],[ (S/S) SAR]]</f>
        <v/>
      </c>
      <c r="L240" s="41" t="n"/>
      <c r="M240" s="42" t="n"/>
      <c r="N240" s="42" t="n"/>
      <c r="O240" s="39" t="n"/>
      <c r="P240" s="3">
        <f>TABL12345[[#This Row],[ (S/S) SAR]]-TABL12345[[#This Row],[(S/S) AJD]]</f>
        <v/>
      </c>
      <c r="Q240" s="39" t="n"/>
      <c r="R240" s="3">
        <f>TABL12345[[#This Row],[ (T/B) SAR]]-TABL12345[[#This Row],[(T/B) AJD]]</f>
        <v/>
      </c>
      <c r="S240" s="3">
        <f>TABL12345[[#This Row],[S/S_CON.]]+TABL12345[[#This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TABL12345[[#This Row],[(RESV. STORGE) AJD]]/10</f>
        <v/>
      </c>
      <c r="AB240" s="3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32" t="n"/>
      <c r="AN240" s="32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TABL12345[[#This Row],[ (T/B) SAR]]+TABL12345[[#This Row],[ (S/S) SAR]]</f>
        <v/>
      </c>
      <c r="L241" s="45" t="n"/>
      <c r="M241" s="46" t="n"/>
      <c r="N241" s="46" t="n"/>
      <c r="O241" s="40" t="n"/>
      <c r="P241" s="3">
        <f>TABL12345[[#This Row],[ (S/S) SAR]]-TABL12345[[#This Row],[(S/S) AJD]]</f>
        <v/>
      </c>
      <c r="Q241" s="40" t="n"/>
      <c r="R241" s="3">
        <f>TABL12345[[#This Row],[ (T/B) SAR]]-TABL12345[[#This Row],[(T/B) AJD]]</f>
        <v/>
      </c>
      <c r="S241" s="3">
        <f>TABL12345[[#This Row],[S/S_CON.]]+TABL12345[[#This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TABL12345[[#This Row],[(RESV. STORGE) AJD]]/10</f>
        <v/>
      </c>
      <c r="AB241" s="3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32" t="n"/>
      <c r="AN241" s="32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TABL12345[[#This Row],[ (T/B) SAR]]+TABL12345[[#This Row],[ (S/S) SAR]]</f>
        <v/>
      </c>
      <c r="L242" s="41" t="n"/>
      <c r="M242" s="42" t="n"/>
      <c r="N242" s="42" t="n"/>
      <c r="O242" s="39" t="n"/>
      <c r="P242" s="3">
        <f>TABL12345[[#This Row],[ (S/S) SAR]]-TABL12345[[#This Row],[(S/S) AJD]]</f>
        <v/>
      </c>
      <c r="Q242" s="39" t="n"/>
      <c r="R242" s="3">
        <f>TABL12345[[#This Row],[ (T/B) SAR]]-TABL12345[[#This Row],[(T/B) AJD]]</f>
        <v/>
      </c>
      <c r="S242" s="3">
        <f>TABL12345[[#This Row],[S/S_CON.]]+TABL12345[[#This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TABL12345[[#This Row],[(RESV. STORGE) AJD]]/10</f>
        <v/>
      </c>
      <c r="AB242" s="3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32" t="n"/>
      <c r="AN242" s="32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TABL12345[[#This Row],[ (T/B) SAR]]+TABL12345[[#This Row],[ (S/S) SAR]]</f>
        <v/>
      </c>
      <c r="L243" s="45" t="n"/>
      <c r="M243" s="46" t="n"/>
      <c r="N243" s="46" t="n"/>
      <c r="O243" s="40" t="n"/>
      <c r="P243" s="3">
        <f>TABL12345[[#This Row],[ (S/S) SAR]]-TABL12345[[#This Row],[(S/S) AJD]]</f>
        <v/>
      </c>
      <c r="Q243" s="40" t="n"/>
      <c r="R243" s="3">
        <f>TABL12345[[#This Row],[ (T/B) SAR]]-TABL12345[[#This Row],[(T/B) AJD]]</f>
        <v/>
      </c>
      <c r="S243" s="3">
        <f>TABL12345[[#This Row],[S/S_CON.]]+TABL12345[[#This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TABL12345[[#This Row],[(RESV. STORGE) AJD]]/10</f>
        <v/>
      </c>
      <c r="AB243" s="3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32" t="n"/>
      <c r="AN243" s="32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TABL12345[[#This Row],[ (T/B) SAR]]+TABL12345[[#This Row],[ (S/S) SAR]]</f>
        <v/>
      </c>
      <c r="L244" s="41" t="n"/>
      <c r="M244" s="42" t="n"/>
      <c r="N244" s="42" t="n"/>
      <c r="O244" s="39" t="n"/>
      <c r="P244" s="3">
        <f>TABL12345[[#This Row],[ (S/S) SAR]]-TABL12345[[#This Row],[(S/S) AJD]]</f>
        <v/>
      </c>
      <c r="Q244" s="39" t="n"/>
      <c r="R244" s="3">
        <f>TABL12345[[#This Row],[ (T/B) SAR]]-TABL12345[[#This Row],[(T/B) AJD]]</f>
        <v/>
      </c>
      <c r="S244" s="3">
        <f>TABL12345[[#This Row],[S/S_CON.]]+TABL12345[[#This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TABL12345[[#This Row],[(RESV. STORGE) AJD]]/10</f>
        <v/>
      </c>
      <c r="AB244" s="3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32" t="n"/>
      <c r="AN244" s="32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TABL12345[[#This Row],[(RESV. STORGE) AJD]]/10</f>
        <v/>
      </c>
      <c r="AB245" s="3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32" t="n"/>
      <c r="AN245" s="32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TABL12345[[#This Row],[(RESV. STORGE) AJD]]/10</f>
        <v/>
      </c>
      <c r="AB246" s="3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32" t="n"/>
      <c r="AN246" s="32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TABL12345[[#This Row],[(RESV. STORGE) AJD]]/10</f>
        <v/>
      </c>
      <c r="AB247" s="3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32" t="n"/>
      <c r="AN247" s="32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TABL12345[[#This Row],[(RESV. STORGE) AJD]]/10</f>
        <v/>
      </c>
      <c r="AB248" s="3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32" t="n"/>
      <c r="AN248" s="32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TABL12345[[#This Row],[(RESV. STORGE) AJD]]/10</f>
        <v/>
      </c>
      <c r="AB249" s="3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32" t="n"/>
      <c r="AN249" s="32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TABL12345[[#This Row],[ (T/B) SAR]]+TABL12345[[#This Row],[ (S/S) SAR]]</f>
        <v/>
      </c>
      <c r="L250" s="45" t="n"/>
      <c r="M250" s="46" t="n"/>
      <c r="N250" s="46" t="n"/>
      <c r="O250" s="40" t="n"/>
      <c r="P250" s="9">
        <f>TABL12345[[#This Row],[ (S/S) SAR]]-TABL12345[[#This Row],[(S/S) AJD]]</f>
        <v/>
      </c>
      <c r="Q250" s="40" t="n"/>
      <c r="R250" s="9">
        <f>TABL12345[[#This Row],[ (T/B) SAR]]-TABL12345[[#This Row],[(T/B) AJD]]</f>
        <v/>
      </c>
      <c r="S250" s="9">
        <f>TABL12345[[#This Row],[S/S_CON.]]+TABL12345[[#This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TABL12345[[#This Row],[(RESV. STORGE) AJD]]/10</f>
        <v/>
      </c>
      <c r="AB250" s="3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32" t="n"/>
      <c r="AN250" s="32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TABL12345[[#This Row],[ (T/B) SAR]]+TABL12345[[#This Row],[ (S/S) SAR]]</f>
        <v/>
      </c>
      <c r="L251" s="41" t="n"/>
      <c r="M251" s="42" t="n"/>
      <c r="N251" s="42" t="n"/>
      <c r="O251" s="39" t="n"/>
      <c r="P251" s="9">
        <f>TABL12345[[#This Row],[ (S/S) SAR]]-TABL12345[[#This Row],[(S/S) AJD]]</f>
        <v/>
      </c>
      <c r="Q251" s="39" t="n"/>
      <c r="R251" s="9">
        <f>TABL12345[[#This Row],[ (T/B) SAR]]-TABL12345[[#This Row],[(T/B) AJD]]</f>
        <v/>
      </c>
      <c r="S251" s="9">
        <f>TABL12345[[#This Row],[S/S_CON.]]+TABL12345[[#This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TABL12345[[#This Row],[(RESV. STORGE) AJD]]/10</f>
        <v/>
      </c>
      <c r="AB251" s="3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32" t="n"/>
      <c r="AN251" s="32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TABL12345[[#This Row],[ (T/B) SAR]]+TABL12345[[#This Row],[ (S/S) SAR]]</f>
        <v/>
      </c>
      <c r="L252" s="45" t="n"/>
      <c r="M252" s="46" t="n"/>
      <c r="N252" s="46" t="n"/>
      <c r="O252" s="40" t="n"/>
      <c r="P252" s="9">
        <f>TABL12345[[#This Row],[ (S/S) SAR]]-TABL12345[[#This Row],[(S/S) AJD]]</f>
        <v/>
      </c>
      <c r="Q252" s="40" t="n"/>
      <c r="R252" s="9">
        <f>TABL12345[[#This Row],[ (T/B) SAR]]-TABL12345[[#This Row],[(T/B) AJD]]</f>
        <v/>
      </c>
      <c r="S252" s="9">
        <f>TABL12345[[#This Row],[S/S_CON.]]+TABL12345[[#This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TABL12345[[#This Row],[(RESV. STORGE) AJD]]/10</f>
        <v/>
      </c>
      <c r="AB252" s="3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32" t="n"/>
      <c r="AN252" s="32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TABL12345[[#This Row],[ (T/B) SAR]]+TABL12345[[#This Row],[ (S/S) SAR]]</f>
        <v/>
      </c>
      <c r="L253" s="41" t="n"/>
      <c r="M253" s="42" t="n"/>
      <c r="N253" s="42" t="n"/>
      <c r="O253" s="39" t="n"/>
      <c r="P253" s="9">
        <f>TABL12345[[#This Row],[ (S/S) SAR]]-TABL12345[[#This Row],[(S/S) AJD]]</f>
        <v/>
      </c>
      <c r="Q253" s="39" t="n"/>
      <c r="R253" s="9">
        <f>TABL12345[[#This Row],[ (T/B) SAR]]-TABL12345[[#This Row],[(T/B) AJD]]</f>
        <v/>
      </c>
      <c r="S253" s="9">
        <f>TABL12345[[#This Row],[S/S_CON.]]+TABL12345[[#This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TABL12345[[#This Row],[(RESV. STORGE) AJD]]/10</f>
        <v/>
      </c>
      <c r="AB253" s="3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32" t="n"/>
      <c r="AN253" s="32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TABL12345[[#This Row],[ (T/B) SAR]]+TABL12345[[#This Row],[ (S/S) SAR]]</f>
        <v/>
      </c>
      <c r="L254" s="45" t="n"/>
      <c r="M254" s="46" t="n"/>
      <c r="N254" s="46" t="n"/>
      <c r="O254" s="40" t="n"/>
      <c r="P254" s="9">
        <f>TABL12345[[#This Row],[ (S/S) SAR]]-TABL12345[[#This Row],[(S/S) AJD]]</f>
        <v/>
      </c>
      <c r="Q254" s="40" t="n"/>
      <c r="R254" s="9">
        <f>TABL12345[[#This Row],[ (T/B) SAR]]-TABL12345[[#This Row],[(T/B) AJD]]</f>
        <v/>
      </c>
      <c r="S254" s="9">
        <f>TABL12345[[#This Row],[S/S_CON.]]+TABL12345[[#This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TABL12345[[#This Row],[(RESV. STORGE) AJD]]/10</f>
        <v/>
      </c>
      <c r="AB254" s="3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32" t="n"/>
      <c r="AN254" s="32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TABL12345[[#This Row],[ (T/B) SAR]]+TABL12345[[#This Row],[ (S/S) SAR]]</f>
        <v/>
      </c>
      <c r="L255" s="41" t="n"/>
      <c r="M255" s="42" t="n"/>
      <c r="N255" s="42" t="n"/>
      <c r="O255" s="39" t="n"/>
      <c r="P255" s="9">
        <f>TABL12345[[#This Row],[ (S/S) SAR]]-TABL12345[[#This Row],[(S/S) AJD]]</f>
        <v/>
      </c>
      <c r="Q255" s="39" t="n"/>
      <c r="R255" s="9">
        <f>TABL12345[[#This Row],[ (T/B) SAR]]-TABL12345[[#This Row],[(T/B) AJD]]</f>
        <v/>
      </c>
      <c r="S255" s="9">
        <f>TABL12345[[#This Row],[S/S_CON.]]+TABL12345[[#This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TABL12345[[#This Row],[(RESV. STORGE) AJD]]/10</f>
        <v/>
      </c>
      <c r="AB255" s="3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32" t="n"/>
      <c r="AN255" s="32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TABL12345[[#This Row],[ (T/B) SAR]]+TABL12345[[#This Row],[ (S/S) SAR]]</f>
        <v/>
      </c>
      <c r="L256" s="45" t="n"/>
      <c r="M256" s="46" t="n"/>
      <c r="N256" s="46" t="n"/>
      <c r="O256" s="40" t="n"/>
      <c r="P256" s="9">
        <f>TABL12345[[#This Row],[ (S/S) SAR]]-TABL12345[[#This Row],[(S/S) AJD]]</f>
        <v/>
      </c>
      <c r="Q256" s="40" t="n"/>
      <c r="R256" s="9">
        <f>TABL12345[[#This Row],[ (T/B) SAR]]-TABL12345[[#This Row],[(T/B) AJD]]</f>
        <v/>
      </c>
      <c r="S256" s="9">
        <f>TABL12345[[#This Row],[S/S_CON.]]+TABL12345[[#This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TABL12345[[#This Row],[(RESV. STORGE) AJD]]/10</f>
        <v/>
      </c>
      <c r="AB256" s="3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32" t="n"/>
      <c r="AN256" s="32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TABL12345[[#This Row],[ (T/B) SAR]]+TABL12345[[#This Row],[ (S/S) SAR]]</f>
        <v/>
      </c>
      <c r="L257" s="41" t="n"/>
      <c r="M257" s="42" t="n"/>
      <c r="N257" s="42" t="n"/>
      <c r="O257" s="39" t="n"/>
      <c r="P257" s="9">
        <f>TABL12345[[#This Row],[ (S/S) SAR]]-TABL12345[[#This Row],[(S/S) AJD]]</f>
        <v/>
      </c>
      <c r="Q257" s="39" t="n"/>
      <c r="R257" s="9">
        <f>TABL12345[[#This Row],[ (T/B) SAR]]-TABL12345[[#This Row],[(T/B) AJD]]</f>
        <v/>
      </c>
      <c r="S257" s="9">
        <f>TABL12345[[#This Row],[S/S_CON.]]+TABL12345[[#This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TABL12345[[#This Row],[(RESV. STORGE) AJD]]/10</f>
        <v/>
      </c>
      <c r="AB257" s="3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32" t="n"/>
      <c r="AN257" s="32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TABL12345[[#This Row],[ (T/B) SAR]]+TABL12345[[#This Row],[ (S/S) SAR]]</f>
        <v/>
      </c>
      <c r="L258" s="45" t="n"/>
      <c r="M258" s="46" t="n"/>
      <c r="N258" s="46" t="n"/>
      <c r="O258" s="40" t="n"/>
      <c r="P258" s="9">
        <f>TABL12345[[#This Row],[ (S/S) SAR]]-TABL12345[[#This Row],[(S/S) AJD]]</f>
        <v/>
      </c>
      <c r="Q258" s="40" t="n"/>
      <c r="R258" s="9">
        <f>TABL12345[[#This Row],[ (T/B) SAR]]-TABL12345[[#This Row],[(T/B) AJD]]</f>
        <v/>
      </c>
      <c r="S258" s="9">
        <f>TABL12345[[#This Row],[S/S_CON.]]+TABL12345[[#This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TABL12345[[#This Row],[(RESV. STORGE) AJD]]/10</f>
        <v/>
      </c>
      <c r="AB258" s="3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32" t="n"/>
      <c r="AN258" s="32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TABL12345[[#This Row],[ (T/B) SAR]]+TABL12345[[#This Row],[ (S/S) SAR]]</f>
        <v/>
      </c>
      <c r="L259" s="41" t="n"/>
      <c r="M259" s="42" t="n"/>
      <c r="N259" s="42" t="n"/>
      <c r="O259" s="39" t="n"/>
      <c r="P259" s="9">
        <f>TABL12345[[#This Row],[ (S/S) SAR]]-TABL12345[[#This Row],[(S/S) AJD]]</f>
        <v/>
      </c>
      <c r="Q259" s="39" t="n"/>
      <c r="R259" s="9">
        <f>TABL12345[[#This Row],[ (T/B) SAR]]-TABL12345[[#This Row],[(T/B) AJD]]</f>
        <v/>
      </c>
      <c r="S259" s="9">
        <f>TABL12345[[#This Row],[S/S_CON.]]+TABL12345[[#This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TABL12345[[#This Row],[(RESV. STORGE) AJD]]/10</f>
        <v/>
      </c>
      <c r="AB259" s="3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32" t="n"/>
      <c r="AN259" s="32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TABL12345[[#This Row],[ (T/B) SAR]]+TABL12345[[#This Row],[ (S/S) SAR]]</f>
        <v/>
      </c>
      <c r="L260" s="45" t="n"/>
      <c r="M260" s="46" t="n"/>
      <c r="N260" s="46" t="n"/>
      <c r="O260" s="40" t="n"/>
      <c r="P260" s="9">
        <f>TABL12345[[#This Row],[ (S/S) SAR]]-TABL12345[[#This Row],[(S/S) AJD]]</f>
        <v/>
      </c>
      <c r="Q260" s="40" t="n"/>
      <c r="R260" s="9">
        <f>TABL12345[[#This Row],[ (T/B) SAR]]-TABL12345[[#This Row],[(T/B) AJD]]</f>
        <v/>
      </c>
      <c r="S260" s="9">
        <f>TABL12345[[#This Row],[S/S_CON.]]+TABL12345[[#This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TABL12345[[#This Row],[(RESV. STORGE) AJD]]/10</f>
        <v/>
      </c>
      <c r="AB260" s="3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32" t="n"/>
      <c r="AN260" s="32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TABL12345[[#This Row],[ (T/B) SAR]]+TABL12345[[#This Row],[ (S/S) SAR]]</f>
        <v/>
      </c>
      <c r="L261" s="41" t="n"/>
      <c r="M261" s="42" t="n"/>
      <c r="N261" s="42" t="n"/>
      <c r="O261" s="39" t="n"/>
      <c r="P261" s="9">
        <f>TABL12345[[#This Row],[ (S/S) SAR]]-TABL12345[[#This Row],[(S/S) AJD]]</f>
        <v/>
      </c>
      <c r="Q261" s="39" t="n"/>
      <c r="R261" s="9">
        <f>TABL12345[[#This Row],[ (T/B) SAR]]-TABL12345[[#This Row],[(T/B) AJD]]</f>
        <v/>
      </c>
      <c r="S261" s="9">
        <f>TABL12345[[#This Row],[S/S_CON.]]+TABL12345[[#This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TABL12345[[#This Row],[(RESV. STORGE) AJD]]/10</f>
        <v/>
      </c>
      <c r="AB261" s="3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32" t="n"/>
      <c r="AN261" s="32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TABL12345[[#This Row],[ (T/B) SAR]]+TABL12345[[#This Row],[ (S/S) SAR]]</f>
        <v/>
      </c>
      <c r="L262" s="45" t="n"/>
      <c r="M262" s="46" t="n"/>
      <c r="N262" s="46" t="n"/>
      <c r="O262" s="40" t="n"/>
      <c r="P262" s="9">
        <f>TABL12345[[#This Row],[ (S/S) SAR]]-TABL12345[[#This Row],[(S/S) AJD]]</f>
        <v/>
      </c>
      <c r="Q262" s="40" t="n"/>
      <c r="R262" s="9">
        <f>TABL12345[[#This Row],[ (T/B) SAR]]-TABL12345[[#This Row],[(T/B) AJD]]</f>
        <v/>
      </c>
      <c r="S262" s="9">
        <f>TABL12345[[#This Row],[S/S_CON.]]+TABL12345[[#This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TABL12345[[#This Row],[(RESV. STORGE) AJD]]/10</f>
        <v/>
      </c>
      <c r="AB262" s="3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32" t="n"/>
      <c r="AN262" s="32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TABL12345[[#This Row],[ (T/B) SAR]]+TABL12345[[#This Row],[ (S/S) SAR]]</f>
        <v/>
      </c>
      <c r="L263" s="41" t="n"/>
      <c r="M263" s="42" t="n"/>
      <c r="N263" s="42" t="n"/>
      <c r="O263" s="39" t="n"/>
      <c r="P263" s="9">
        <f>TABL12345[[#This Row],[ (S/S) SAR]]-TABL12345[[#This Row],[(S/S) AJD]]</f>
        <v/>
      </c>
      <c r="Q263" s="39" t="n"/>
      <c r="R263" s="9">
        <f>TABL12345[[#This Row],[ (T/B) SAR]]-TABL12345[[#This Row],[(T/B) AJD]]</f>
        <v/>
      </c>
      <c r="S263" s="9">
        <f>TABL12345[[#This Row],[S/S_CON.]]+TABL12345[[#This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TABL12345[[#This Row],[(RESV. STORGE) AJD]]/10</f>
        <v/>
      </c>
      <c r="AB263" s="3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32" t="n"/>
      <c r="AN263" s="32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TABL12345[[#This Row],[ (T/B) SAR]]+TABL12345[[#This Row],[ (S/S) SAR]]</f>
        <v/>
      </c>
      <c r="L264" s="45" t="n"/>
      <c r="M264" s="46" t="n"/>
      <c r="N264" s="46" t="n"/>
      <c r="O264" s="40" t="n"/>
      <c r="P264" s="9">
        <f>TABL12345[[#This Row],[ (S/S) SAR]]-TABL12345[[#This Row],[(S/S) AJD]]</f>
        <v/>
      </c>
      <c r="Q264" s="40" t="n"/>
      <c r="R264" s="9">
        <f>TABL12345[[#This Row],[ (T/B) SAR]]-TABL12345[[#This Row],[(T/B) AJD]]</f>
        <v/>
      </c>
      <c r="S264" s="9">
        <f>TABL12345[[#This Row],[S/S_CON.]]+TABL12345[[#This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TABL12345[[#This Row],[(RESV. STORGE) AJD]]/10</f>
        <v/>
      </c>
      <c r="AB264" s="3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32" t="n"/>
      <c r="AN264" s="32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TABL12345[[#This Row],[ (T/B) SAR]]+TABL12345[[#This Row],[ (S/S) SAR]]</f>
        <v/>
      </c>
      <c r="L265" s="41" t="n"/>
      <c r="M265" s="42" t="n"/>
      <c r="N265" s="42" t="n"/>
      <c r="O265" s="39" t="n"/>
      <c r="P265" s="9">
        <f>TABL12345[[#This Row],[ (S/S) SAR]]-TABL12345[[#This Row],[(S/S) AJD]]</f>
        <v/>
      </c>
      <c r="Q265" s="39" t="n"/>
      <c r="R265" s="9">
        <f>TABL12345[[#This Row],[ (T/B) SAR]]-TABL12345[[#This Row],[(T/B) AJD]]</f>
        <v/>
      </c>
      <c r="S265" s="9">
        <f>TABL12345[[#This Row],[S/S_CON.]]+TABL12345[[#This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TABL12345[[#This Row],[(RESV. STORGE) AJD]]/10</f>
        <v/>
      </c>
      <c r="AB265" s="3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32" t="n"/>
      <c r="AN265" s="32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TABL12345[[#This Row],[ (T/B) SAR]]+TABL12345[[#This Row],[ (S/S) SAR]]</f>
        <v/>
      </c>
      <c r="L266" s="45" t="n"/>
      <c r="M266" s="46" t="n"/>
      <c r="N266" s="46" t="n"/>
      <c r="O266" s="40" t="n"/>
      <c r="P266" s="9">
        <f>TABL12345[[#This Row],[ (S/S) SAR]]-TABL12345[[#This Row],[(S/S) AJD]]</f>
        <v/>
      </c>
      <c r="Q266" s="40" t="n"/>
      <c r="R266" s="9">
        <f>TABL12345[[#This Row],[ (T/B) SAR]]-TABL12345[[#This Row],[(T/B) AJD]]</f>
        <v/>
      </c>
      <c r="S266" s="9">
        <f>TABL12345[[#This Row],[S/S_CON.]]+TABL12345[[#This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TABL12345[[#This Row],[(RESV. STORGE) AJD]]/10</f>
        <v/>
      </c>
      <c r="AB266" s="3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32" t="n"/>
      <c r="AN266" s="32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TABL12345[[#This Row],[ (T/B) SAR]]+TABL12345[[#This Row],[ (S/S) SAR]]</f>
        <v/>
      </c>
      <c r="L267" s="41" t="n"/>
      <c r="M267" s="42" t="n"/>
      <c r="N267" s="42" t="n"/>
      <c r="O267" s="39" t="n"/>
      <c r="P267" s="9">
        <f>TABL12345[[#This Row],[ (S/S) SAR]]-TABL12345[[#This Row],[(S/S) AJD]]</f>
        <v/>
      </c>
      <c r="Q267" s="39" t="n"/>
      <c r="R267" s="9">
        <f>TABL12345[[#This Row],[ (T/B) SAR]]-TABL12345[[#This Row],[(T/B) AJD]]</f>
        <v/>
      </c>
      <c r="S267" s="9">
        <f>TABL12345[[#This Row],[S/S_CON.]]+TABL12345[[#This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TABL12345[[#This Row],[(RESV. STORGE) AJD]]/10</f>
        <v/>
      </c>
      <c r="AB267" s="3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32" t="n"/>
      <c r="AN267" s="32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TABL12345[[#This Row],[ (T/B) SAR]]+TABL12345[[#This Row],[ (S/S) SAR]]</f>
        <v/>
      </c>
      <c r="L268" s="45" t="n"/>
      <c r="M268" s="46" t="n"/>
      <c r="N268" s="46" t="n"/>
      <c r="O268" s="40" t="n"/>
      <c r="P268" s="9">
        <f>TABL12345[[#This Row],[ (S/S) SAR]]-TABL12345[[#This Row],[(S/S) AJD]]</f>
        <v/>
      </c>
      <c r="Q268" s="40" t="n"/>
      <c r="R268" s="9">
        <f>TABL12345[[#This Row],[ (T/B) SAR]]-TABL12345[[#This Row],[(T/B) AJD]]</f>
        <v/>
      </c>
      <c r="S268" s="9">
        <f>TABL12345[[#This Row],[S/S_CON.]]+TABL12345[[#This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TABL12345[[#This Row],[(RESV. STORGE) AJD]]/10</f>
        <v/>
      </c>
      <c r="AB268" s="3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32" t="n"/>
      <c r="AN268" s="32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TABL12345[[#This Row],[ (T/B) SAR]]+TABL12345[[#This Row],[ (S/S) SAR]]</f>
        <v/>
      </c>
      <c r="L269" s="41" t="n"/>
      <c r="M269" s="42" t="n"/>
      <c r="N269" s="42" t="n"/>
      <c r="O269" s="39" t="n"/>
      <c r="P269" s="9">
        <f>TABL12345[[#This Row],[ (S/S) SAR]]-TABL12345[[#This Row],[(S/S) AJD]]</f>
        <v/>
      </c>
      <c r="Q269" s="39" t="n"/>
      <c r="R269" s="9">
        <f>TABL12345[[#This Row],[ (T/B) SAR]]-TABL12345[[#This Row],[(T/B) AJD]]</f>
        <v/>
      </c>
      <c r="S269" s="9">
        <f>TABL12345[[#This Row],[S/S_CON.]]+TABL12345[[#This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TABL12345[[#This Row],[(RESV. STORGE) AJD]]/10</f>
        <v/>
      </c>
      <c r="AB269" s="3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32" t="n"/>
      <c r="AN269" s="32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TABL12345[[#This Row],[ (T/B) SAR]]+TABL12345[[#This Row],[ (S/S) SAR]]</f>
        <v/>
      </c>
      <c r="L270" s="45" t="n"/>
      <c r="M270" s="46" t="n"/>
      <c r="N270" s="46" t="n"/>
      <c r="O270" s="40" t="n"/>
      <c r="P270" s="9">
        <f>TABL12345[[#This Row],[ (S/S) SAR]]-TABL12345[[#This Row],[(S/S) AJD]]</f>
        <v/>
      </c>
      <c r="Q270" s="40" t="n"/>
      <c r="R270" s="9">
        <f>TABL12345[[#This Row],[ (T/B) SAR]]-TABL12345[[#This Row],[(T/B) AJD]]</f>
        <v/>
      </c>
      <c r="S270" s="9">
        <f>TABL12345[[#This Row],[S/S_CON.]]+TABL12345[[#This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TABL12345[[#This Row],[(RESV. STORGE) AJD]]/10</f>
        <v/>
      </c>
      <c r="AB270" s="3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32" t="n"/>
      <c r="AN270" s="32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TABL12345[[#This Row],[ (T/B) SAR]]+TABL12345[[#This Row],[ (S/S) SAR]]</f>
        <v/>
      </c>
      <c r="L271" s="41" t="n"/>
      <c r="M271" s="42" t="n"/>
      <c r="N271" s="42" t="n"/>
      <c r="O271" s="39" t="n"/>
      <c r="P271" s="9">
        <f>TABL12345[[#This Row],[ (S/S) SAR]]-TABL12345[[#This Row],[(S/S) AJD]]</f>
        <v/>
      </c>
      <c r="Q271" s="9" t="n"/>
      <c r="R271" s="9">
        <f>TABL12345[[#This Row],[ (T/B) SAR]]-TABL12345[[#This Row],[(T/B) AJD]]</f>
        <v/>
      </c>
      <c r="S271" s="9">
        <f>TABL12345[[#This Row],[S/S_CON.]]+TABL12345[[#This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TABL12345[[#This Row],[(RESV. STORGE) AJD]]/10</f>
        <v/>
      </c>
      <c r="AB271" s="3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32" t="n"/>
      <c r="AN271" s="32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TABL12345[[#This Row],[ (T/B) SAR]]+TABL12345[[#This Row],[ (S/S) SAR]]</f>
        <v/>
      </c>
      <c r="L272" s="45" t="n"/>
      <c r="M272" s="46" t="n"/>
      <c r="N272" s="46" t="n"/>
      <c r="O272" s="9" t="n"/>
      <c r="P272" s="9">
        <f>TABL12345[[#This Row],[ (S/S) SAR]]-TABL12345[[#This Row],[(S/S) AJD]]</f>
        <v/>
      </c>
      <c r="Q272" s="9" t="n"/>
      <c r="R272" s="9">
        <f>TABL12345[[#This Row],[ (T/B) SAR]]-TABL12345[[#This Row],[(T/B) AJD]]</f>
        <v/>
      </c>
      <c r="S272" s="9">
        <f>TABL12345[[#This Row],[S/S_CON.]]+TABL12345[[#This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TABL12345[[#This Row],[(RESV. STORGE) AJD]]/10</f>
        <v/>
      </c>
      <c r="AB272" s="3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32" t="n"/>
      <c r="AN272" s="32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TABL12345[[#This Row],[ (T/B) SAR]]+TABL12345[[#This Row],[ (S/S) SAR]]</f>
        <v/>
      </c>
      <c r="L273" s="28" t="n"/>
      <c r="M273" s="29" t="n"/>
      <c r="N273" s="30" t="n"/>
      <c r="O273" s="9" t="n"/>
      <c r="P273" s="9">
        <f>TABL12345[[#This Row],[ (S/S) SAR]]-TABL12345[[#This Row],[(S/S) AJD]]</f>
        <v/>
      </c>
      <c r="Q273" s="9" t="n"/>
      <c r="R273" s="9">
        <f>TABL12345[[#This Row],[ (T/B) SAR]]-TABL12345[[#This Row],[(T/B) AJD]]</f>
        <v/>
      </c>
      <c r="S273" s="9">
        <f>TABL12345[[#This Row],[S/S_CON.]]+TABL12345[[#This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TABL12345[[#This Row],[(RESV. STORGE) AJD]]/10</f>
        <v/>
      </c>
      <c r="AB273" s="3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32" t="n"/>
      <c r="AN273" s="32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TABL12345[[#This Row],[ (T/B) SAR]]+TABL12345[[#This Row],[ (S/S) SAR]]</f>
        <v/>
      </c>
      <c r="L274" s="28" t="n"/>
      <c r="M274" s="29" t="n"/>
      <c r="N274" s="30" t="n"/>
      <c r="O274" s="9" t="n"/>
      <c r="P274" s="9">
        <f>TABL12345[[#This Row],[ (S/S) SAR]]-TABL12345[[#This Row],[(S/S) AJD]]</f>
        <v/>
      </c>
      <c r="Q274" s="9" t="n"/>
      <c r="R274" s="9">
        <f>TABL12345[[#This Row],[ (T/B) SAR]]-TABL12345[[#This Row],[(T/B) AJD]]</f>
        <v/>
      </c>
      <c r="S274" s="9">
        <f>TABL12345[[#This Row],[S/S_CON.]]+TABL12345[[#This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TABL12345[[#This Row],[(RESV. STORGE) AJD]]/10</f>
        <v/>
      </c>
      <c r="AB274" s="3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32" t="n"/>
      <c r="AN274" s="32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TABL12345[[#This Row],[ (T/B) SAR]]+TABL12345[[#This Row],[ (S/S) SAR]]</f>
        <v/>
      </c>
      <c r="L275" s="28" t="n"/>
      <c r="M275" s="29" t="n"/>
      <c r="N275" s="30" t="n"/>
      <c r="O275" s="14" t="n"/>
      <c r="P275" s="9">
        <f>TABL12345[[#This Row],[ (S/S) SAR]]-TABL12345[[#This Row],[(S/S) AJD]]</f>
        <v/>
      </c>
      <c r="Q275" s="14" t="n"/>
      <c r="R275" s="9">
        <f>TABL12345[[#This Row],[ (T/B) SAR]]-TABL12345[[#This Row],[(T/B) AJD]]</f>
        <v/>
      </c>
      <c r="S275" s="9">
        <f>TABL12345[[#This Row],[S/S_CON.]]+TABL12345[[#This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TABL12345[[#This Row],[(RESV. STORGE) AJD]]/10</f>
        <v/>
      </c>
      <c r="AB275" s="3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32" t="n"/>
      <c r="AN275" s="32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TABL12345[[#This Row],[ (T/B) SAR]]+TABL12345[[#This Row],[ (S/S) SAR]]</f>
        <v/>
      </c>
      <c r="L276" s="28" t="n"/>
      <c r="M276" s="29" t="n"/>
      <c r="N276" s="30" t="n"/>
      <c r="O276" s="14" t="n"/>
      <c r="P276" s="9">
        <f>TABL12345[[#This Row],[ (S/S) SAR]]-TABL12345[[#This Row],[(S/S) AJD]]</f>
        <v/>
      </c>
      <c r="Q276" s="14" t="n"/>
      <c r="R276" s="9">
        <f>TABL12345[[#This Row],[ (T/B) SAR]]-TABL12345[[#This Row],[(T/B) AJD]]</f>
        <v/>
      </c>
      <c r="S276" s="9">
        <f>TABL12345[[#This Row],[S/S_CON.]]+TABL12345[[#This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TABL12345[[#This Row],[(RESV. STORGE) AJD]]/10</f>
        <v/>
      </c>
      <c r="AB276" s="3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32" t="n"/>
      <c r="AN276" s="32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TABL12345[[#This Row],[ (T/B) SAR]]+TABL12345[[#This Row],[ (S/S) SAR]]</f>
        <v/>
      </c>
      <c r="L277" s="28" t="n"/>
      <c r="M277" s="29" t="n"/>
      <c r="N277" s="30" t="n"/>
      <c r="O277" s="14" t="n"/>
      <c r="P277" s="9">
        <f>TABL12345[[#This Row],[ (S/S) SAR]]-TABL12345[[#This Row],[(S/S) AJD]]</f>
        <v/>
      </c>
      <c r="Q277" s="14" t="n"/>
      <c r="R277" s="9">
        <f>TABL12345[[#This Row],[ (T/B) SAR]]-TABL12345[[#This Row],[(T/B) AJD]]</f>
        <v/>
      </c>
      <c r="S277" s="9">
        <f>TABL12345[[#This Row],[S/S_CON.]]+TABL12345[[#This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TABL12345[[#This Row],[(RESV. STORGE) AJD]]/10</f>
        <v/>
      </c>
      <c r="AB277" s="3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32" t="n"/>
      <c r="AN277" s="32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TABL12345[[#This Row],[ (T/B) SAR]]+TABL12345[[#This Row],[ (S/S) SAR]]</f>
        <v/>
      </c>
      <c r="L278" s="28" t="n"/>
      <c r="M278" s="29" t="n"/>
      <c r="N278" s="30" t="n"/>
      <c r="O278" s="14" t="n"/>
      <c r="P278" s="9">
        <f>TABL12345[[#This Row],[ (S/S) SAR]]-TABL12345[[#This Row],[(S/S) AJD]]</f>
        <v/>
      </c>
      <c r="Q278" s="14" t="n"/>
      <c r="R278" s="9">
        <f>TABL12345[[#This Row],[ (T/B) SAR]]-TABL12345[[#This Row],[(T/B) AJD]]</f>
        <v/>
      </c>
      <c r="S278" s="9">
        <f>TABL12345[[#This Row],[S/S_CON.]]+TABL12345[[#This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TABL12345[[#This Row],[(RESV. STORGE) AJD]]/10</f>
        <v/>
      </c>
      <c r="AB278" s="3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32" t="n"/>
      <c r="AN278" s="32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TABL12345[[#This Row],[ (T/B) SAR]]+TABL12345[[#This Row],[ (S/S) SAR]]</f>
        <v/>
      </c>
      <c r="L279" s="28" t="n"/>
      <c r="M279" s="29" t="n"/>
      <c r="N279" s="30" t="n"/>
      <c r="O279" s="14" t="n"/>
      <c r="P279" s="9">
        <f>TABL12345[[#This Row],[ (S/S) SAR]]-TABL12345[[#This Row],[(S/S) AJD]]</f>
        <v/>
      </c>
      <c r="Q279" s="14" t="n"/>
      <c r="R279" s="9">
        <f>TABL12345[[#This Row],[ (T/B) SAR]]-TABL12345[[#This Row],[(T/B) AJD]]</f>
        <v/>
      </c>
      <c r="S279" s="9">
        <f>TABL12345[[#This Row],[S/S_CON.]]+TABL12345[[#This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TABL12345[[#This Row],[(RESV. STORGE) AJD]]/10</f>
        <v/>
      </c>
      <c r="AB279" s="3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32" t="n"/>
      <c r="AN279" s="32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TABL12345[[#This Row],[ (T/B) SAR]]+TABL12345[[#This Row],[ (S/S) SAR]]</f>
        <v/>
      </c>
      <c r="L280" s="28" t="n"/>
      <c r="M280" s="29" t="n"/>
      <c r="N280" s="30" t="n"/>
      <c r="O280" s="14" t="n"/>
      <c r="P280" s="9">
        <f>TABL12345[[#This Row],[ (S/S) SAR]]-TABL12345[[#This Row],[(S/S) AJD]]</f>
        <v/>
      </c>
      <c r="Q280" s="14" t="n"/>
      <c r="R280" s="9">
        <f>TABL12345[[#This Row],[ (T/B) SAR]]-TABL12345[[#This Row],[(T/B) AJD]]</f>
        <v/>
      </c>
      <c r="S280" s="9">
        <f>TABL12345[[#This Row],[S/S_CON.]]+TABL12345[[#This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TABL12345[[#This Row],[(RESV. STORGE) AJD]]/10</f>
        <v/>
      </c>
      <c r="AB280" s="3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32" t="n"/>
      <c r="AN280" s="32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TABL12345[[#This Row],[ (T/B) SAR]]+TABL12345[[#This Row],[ (S/S) SAR]]</f>
        <v/>
      </c>
      <c r="L281" s="28" t="n"/>
      <c r="M281" s="29" t="n"/>
      <c r="N281" s="30" t="n"/>
      <c r="O281" s="14" t="n"/>
      <c r="P281" s="9">
        <f>TABL12345[[#This Row],[ (S/S) SAR]]-TABL12345[[#This Row],[(S/S) AJD]]</f>
        <v/>
      </c>
      <c r="Q281" s="14" t="n"/>
      <c r="R281" s="9">
        <f>TABL12345[[#This Row],[ (T/B) SAR]]-TABL12345[[#This Row],[(T/B) AJD]]</f>
        <v/>
      </c>
      <c r="S281" s="9">
        <f>TABL12345[[#This Row],[S/S_CON.]]+TABL12345[[#This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TABL12345[[#This Row],[(RESV. STORGE) AJD]]/10</f>
        <v/>
      </c>
      <c r="AB281" s="3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32" t="n"/>
      <c r="AN281" s="32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TABL12345[[#This Row],[ (T/B) SAR]]+TABL12345[[#This Row],[ (S/S) SAR]]</f>
        <v/>
      </c>
      <c r="L282" s="28" t="n"/>
      <c r="M282" s="29" t="n"/>
      <c r="N282" s="30" t="n"/>
      <c r="O282" s="14" t="n"/>
      <c r="P282" s="9">
        <f>TABL12345[[#This Row],[ (S/S) SAR]]-TABL12345[[#This Row],[(S/S) AJD]]</f>
        <v/>
      </c>
      <c r="Q282" s="14" t="n"/>
      <c r="R282" s="9">
        <f>TABL12345[[#This Row],[ (T/B) SAR]]-TABL12345[[#This Row],[(T/B) AJD]]</f>
        <v/>
      </c>
      <c r="S282" s="9">
        <f>TABL12345[[#This Row],[S/S_CON.]]+TABL12345[[#This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TABL12345[[#This Row],[(RESV. STORGE) AJD]]/10</f>
        <v/>
      </c>
      <c r="AB282" s="3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32" t="n"/>
      <c r="AN282" s="32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TABL12345[[#This Row],[ (T/B) SAR]]+TABL12345[[#This Row],[ (S/S) SAR]]</f>
        <v/>
      </c>
      <c r="L283" s="28" t="n"/>
      <c r="M283" s="29" t="n"/>
      <c r="N283" s="30" t="n"/>
      <c r="O283" s="14" t="n"/>
      <c r="P283" s="9">
        <f>TABL12345[[#This Row],[ (S/S) SAR]]-TABL12345[[#This Row],[(S/S) AJD]]</f>
        <v/>
      </c>
      <c r="Q283" s="14" t="n"/>
      <c r="R283" s="9">
        <f>TABL12345[[#This Row],[ (T/B) SAR]]-TABL12345[[#This Row],[(T/B) AJD]]</f>
        <v/>
      </c>
      <c r="S283" s="9">
        <f>TABL12345[[#This Row],[S/S_CON.]]+TABL12345[[#This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TABL12345[[#This Row],[(RESV. STORGE) AJD]]/10</f>
        <v/>
      </c>
      <c r="AB283" s="3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32" t="n"/>
      <c r="AN283" s="32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TABL12345[[#This Row],[ (T/B) SAR]]+TABL12345[[#This Row],[ (S/S) SAR]]</f>
        <v/>
      </c>
      <c r="L284" s="28" t="n"/>
      <c r="M284" s="29" t="n"/>
      <c r="N284" s="30" t="n"/>
      <c r="O284" s="14" t="n"/>
      <c r="P284" s="9">
        <f>TABL12345[[#This Row],[ (S/S) SAR]]-TABL12345[[#This Row],[(S/S) AJD]]</f>
        <v/>
      </c>
      <c r="Q284" s="14" t="n"/>
      <c r="R284" s="9">
        <f>TABL12345[[#This Row],[ (T/B) SAR]]-TABL12345[[#This Row],[(T/B) AJD]]</f>
        <v/>
      </c>
      <c r="S284" s="9">
        <f>TABL12345[[#This Row],[S/S_CON.]]+TABL12345[[#This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TABL12345[[#This Row],[(RESV. STORGE) AJD]]/10</f>
        <v/>
      </c>
      <c r="AB284" s="3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32" t="n"/>
      <c r="AN284" s="32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TABL12345[[#This Row],[ (T/B) SAR]]+TABL12345[[#This Row],[ (S/S) SAR]]</f>
        <v/>
      </c>
      <c r="L285" s="28" t="n"/>
      <c r="M285" s="29" t="n"/>
      <c r="N285" s="30" t="n"/>
      <c r="O285" s="14" t="n"/>
      <c r="P285" s="9">
        <f>TABL12345[[#This Row],[ (S/S) SAR]]-TABL12345[[#This Row],[(S/S) AJD]]</f>
        <v/>
      </c>
      <c r="Q285" s="14" t="n"/>
      <c r="R285" s="9">
        <f>TABL12345[[#This Row],[ (T/B) SAR]]-TABL12345[[#This Row],[(T/B) AJD]]</f>
        <v/>
      </c>
      <c r="S285" s="9">
        <f>TABL12345[[#This Row],[S/S_CON.]]+TABL12345[[#This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TABL12345[[#This Row],[(RESV. STORGE) AJD]]/10</f>
        <v/>
      </c>
      <c r="AB285" s="3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32" t="n"/>
      <c r="AN285" s="32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TABL12345[[#This Row],[ (T/B) SAR]]+TABL12345[[#This Row],[ (S/S) SAR]]</f>
        <v/>
      </c>
      <c r="L286" s="28" t="n"/>
      <c r="M286" s="29" t="n"/>
      <c r="N286" s="30" t="n"/>
      <c r="O286" s="14" t="n"/>
      <c r="P286" s="9">
        <f>TABL12345[[#This Row],[ (S/S) SAR]]-TABL12345[[#This Row],[(S/S) AJD]]</f>
        <v/>
      </c>
      <c r="Q286" s="14" t="n"/>
      <c r="R286" s="9">
        <f>TABL12345[[#This Row],[ (T/B) SAR]]-TABL12345[[#This Row],[(T/B) AJD]]</f>
        <v/>
      </c>
      <c r="S286" s="9">
        <f>TABL12345[[#This Row],[S/S_CON.]]+TABL12345[[#This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TABL12345[[#This Row],[(RESV. STORGE) AJD]]/10</f>
        <v/>
      </c>
      <c r="AB286" s="3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32" t="n"/>
      <c r="AN286" s="32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TABL12345[[#This Row],[ (T/B) SAR]]+TABL12345[[#This Row],[ (S/S) SAR]]</f>
        <v/>
      </c>
      <c r="L287" s="28" t="n"/>
      <c r="M287" s="29" t="n"/>
      <c r="N287" s="30" t="n"/>
      <c r="O287" s="14" t="n"/>
      <c r="P287" s="9">
        <f>TABL12345[[#This Row],[ (S/S) SAR]]-TABL12345[[#This Row],[(S/S) AJD]]</f>
        <v/>
      </c>
      <c r="Q287" s="14" t="n"/>
      <c r="R287" s="9">
        <f>TABL12345[[#This Row],[ (T/B) SAR]]-TABL12345[[#This Row],[(T/B) AJD]]</f>
        <v/>
      </c>
      <c r="S287" s="9">
        <f>TABL12345[[#This Row],[S/S_CON.]]+TABL12345[[#This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TABL12345[[#This Row],[(RESV. STORGE) AJD]]/10</f>
        <v/>
      </c>
      <c r="AB287" s="3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32" t="n"/>
      <c r="AN287" s="32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TABL12345[[#This Row],[ (T/B) SAR]]+TABL12345[[#This Row],[ (S/S) SAR]]</f>
        <v/>
      </c>
      <c r="L288" s="28" t="n"/>
      <c r="M288" s="29" t="n"/>
      <c r="N288" s="30" t="n"/>
      <c r="O288" s="14" t="n"/>
      <c r="P288" s="9">
        <f>TABL12345[[#This Row],[ (S/S) SAR]]-TABL12345[[#This Row],[(S/S) AJD]]</f>
        <v/>
      </c>
      <c r="Q288" s="14" t="n"/>
      <c r="R288" s="9">
        <f>TABL12345[[#This Row],[ (T/B) SAR]]-TABL12345[[#This Row],[(T/B) AJD]]</f>
        <v/>
      </c>
      <c r="S288" s="9">
        <f>TABL12345[[#This Row],[S/S_CON.]]+TABL12345[[#This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TABL12345[[#This Row],[(RESV. STORGE) AJD]]/10</f>
        <v/>
      </c>
      <c r="AB288" s="3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32" t="n"/>
      <c r="AN288" s="32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TABL12345[[#This Row],[ (T/B) SAR]]+TABL12345[[#This Row],[ (S/S) SAR]]</f>
        <v/>
      </c>
      <c r="L289" s="28" t="n"/>
      <c r="M289" s="29" t="n"/>
      <c r="N289" s="30" t="n"/>
      <c r="O289" s="14" t="n"/>
      <c r="P289" s="9">
        <f>TABL12345[[#This Row],[ (S/S) SAR]]-TABL12345[[#This Row],[(S/S) AJD]]</f>
        <v/>
      </c>
      <c r="Q289" s="14" t="n"/>
      <c r="R289" s="9">
        <f>TABL12345[[#This Row],[ (T/B) SAR]]-TABL12345[[#This Row],[(T/B) AJD]]</f>
        <v/>
      </c>
      <c r="S289" s="9">
        <f>TABL12345[[#This Row],[S/S_CON.]]+TABL12345[[#This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TABL12345[[#This Row],[(RESV. STORGE) AJD]]/10</f>
        <v/>
      </c>
      <c r="AB289" s="3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32" t="n"/>
      <c r="AN289" s="32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TABL12345[[#This Row],[ (T/B) SAR]]+TABL12345[[#This Row],[ (S/S) SAR]]</f>
        <v/>
      </c>
      <c r="L290" s="28" t="n"/>
      <c r="M290" s="29" t="n"/>
      <c r="N290" s="30" t="n"/>
      <c r="O290" s="14" t="n"/>
      <c r="P290" s="9">
        <f>TABL12345[[#This Row],[ (S/S) SAR]]-TABL12345[[#This Row],[(S/S) AJD]]</f>
        <v/>
      </c>
      <c r="Q290" s="14" t="n"/>
      <c r="R290" s="9">
        <f>TABL12345[[#This Row],[ (T/B) SAR]]-TABL12345[[#This Row],[(T/B) AJD]]</f>
        <v/>
      </c>
      <c r="S290" s="9">
        <f>TABL12345[[#This Row],[S/S_CON.]]+TABL12345[[#This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TABL12345[[#This Row],[(RESV. STORGE) AJD]]/10</f>
        <v/>
      </c>
      <c r="AB290" s="3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32" t="n"/>
      <c r="AN290" s="32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TABL12345[[#This Row],[ (T/B) SAR]]+TABL12345[[#This Row],[ (S/S) SAR]]</f>
        <v/>
      </c>
      <c r="L291" s="28" t="n"/>
      <c r="M291" s="29" t="n"/>
      <c r="N291" s="30" t="n"/>
      <c r="O291" s="14" t="n"/>
      <c r="P291" s="9">
        <f>TABL12345[[#This Row],[ (S/S) SAR]]-TABL12345[[#This Row],[(S/S) AJD]]</f>
        <v/>
      </c>
      <c r="Q291" s="14" t="n"/>
      <c r="R291" s="9">
        <f>TABL12345[[#This Row],[ (T/B) SAR]]-TABL12345[[#This Row],[(T/B) AJD]]</f>
        <v/>
      </c>
      <c r="S291" s="9">
        <f>TABL12345[[#This Row],[S/S_CON.]]+TABL12345[[#This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TABL12345[[#This Row],[(RESV. STORGE) AJD]]/10</f>
        <v/>
      </c>
      <c r="AB291" s="3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32" t="n"/>
      <c r="AN291" s="32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TABL12345[[#This Row],[ (T/B) SAR]]+TABL12345[[#This Row],[ (S/S) SAR]]</f>
        <v/>
      </c>
      <c r="L292" s="28" t="n"/>
      <c r="M292" s="29" t="n"/>
      <c r="N292" s="30" t="n"/>
      <c r="O292" s="9" t="n"/>
      <c r="P292" s="9">
        <f>TABL12345[[#This Row],[ (S/S) SAR]]-TABL12345[[#This Row],[(S/S) AJD]]</f>
        <v/>
      </c>
      <c r="Q292" s="9" t="n"/>
      <c r="R292" s="9">
        <f>TABL12345[[#This Row],[ (T/B) SAR]]-TABL12345[[#This Row],[(T/B) AJD]]</f>
        <v/>
      </c>
      <c r="S292" s="9">
        <f>TABL12345[[#This Row],[S/S_CON.]]+TABL12345[[#This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TABL12345[[#This Row],[(RESV. STORGE) AJD]]/10</f>
        <v/>
      </c>
      <c r="AB292" s="3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32" t="n"/>
      <c r="AN292" s="32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TABL12345[[#This Row],[ (T/B) SAR]]+TABL12345[[#This Row],[ (S/S) SAR]]</f>
        <v/>
      </c>
      <c r="L293" s="28" t="n"/>
      <c r="M293" s="29" t="n"/>
      <c r="N293" s="30" t="n"/>
      <c r="O293" s="9" t="n"/>
      <c r="P293" s="9">
        <f>TABL12345[[#This Row],[ (S/S) SAR]]-TABL12345[[#This Row],[(S/S) AJD]]</f>
        <v/>
      </c>
      <c r="Q293" s="9" t="n"/>
      <c r="R293" s="9">
        <f>TABL12345[[#This Row],[ (T/B) SAR]]-TABL12345[[#This Row],[(T/B) AJD]]</f>
        <v/>
      </c>
      <c r="S293" s="9">
        <f>TABL12345[[#This Row],[S/S_CON.]]+TABL12345[[#This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TABL12345[[#This Row],[(RESV. STORGE) AJD]]/10</f>
        <v/>
      </c>
      <c r="AB293" s="3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32" t="n"/>
      <c r="AN293" s="32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TABL12345[[#This Row],[ (T/B) SAR]]+TABL12345[[#This Row],[ (S/S) SAR]]</f>
        <v/>
      </c>
      <c r="L294" s="28" t="n"/>
      <c r="M294" s="29" t="n"/>
      <c r="N294" s="30" t="n"/>
      <c r="O294" s="9" t="n"/>
      <c r="P294" s="9">
        <f>TABL12345[[#This Row],[ (S/S) SAR]]-TABL12345[[#This Row],[(S/S) AJD]]</f>
        <v/>
      </c>
      <c r="Q294" s="9" t="n"/>
      <c r="R294" s="9">
        <f>TABL12345[[#This Row],[ (T/B) SAR]]-TABL12345[[#This Row],[(T/B) AJD]]</f>
        <v/>
      </c>
      <c r="S294" s="9">
        <f>TABL12345[[#This Row],[S/S_CON.]]+TABL12345[[#This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TABL12345[[#This Row],[(RESV. STORGE) AJD]]/10</f>
        <v/>
      </c>
      <c r="AB294" s="3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32" t="n"/>
      <c r="AN294" s="32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TABL12345[[#This Row],[ (T/B) SAR]]+TABL12345[[#This Row],[ (S/S) SAR]]</f>
        <v/>
      </c>
      <c r="L295" s="28" t="n"/>
      <c r="M295" s="29" t="n"/>
      <c r="N295" s="30" t="n"/>
      <c r="O295" s="9" t="n"/>
      <c r="P295" s="9">
        <f>TABL12345[[#This Row],[ (S/S) SAR]]-TABL12345[[#This Row],[(S/S) AJD]]</f>
        <v/>
      </c>
      <c r="Q295" s="9" t="n"/>
      <c r="R295" s="9">
        <f>TABL12345[[#This Row],[ (T/B) SAR]]-TABL12345[[#This Row],[(T/B) AJD]]</f>
        <v/>
      </c>
      <c r="S295" s="9">
        <f>TABL12345[[#This Row],[S/S_CON.]]+TABL12345[[#This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TABL12345[[#This Row],[(RESV. STORGE) AJD]]/10</f>
        <v/>
      </c>
      <c r="AB295" s="3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32" t="n"/>
      <c r="AN295" s="32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TABL12345[[#This Row],[ (T/B) SAR]]+TABL12345[[#This Row],[ (S/S) SAR]]</f>
        <v/>
      </c>
      <c r="L296" s="28" t="n"/>
      <c r="M296" s="29" t="n"/>
      <c r="N296" s="30" t="n"/>
      <c r="O296" s="9" t="n"/>
      <c r="P296" s="9">
        <f>TABL12345[[#This Row],[ (S/S) SAR]]-TABL12345[[#This Row],[(S/S) AJD]]</f>
        <v/>
      </c>
      <c r="Q296" s="9" t="n"/>
      <c r="R296" s="9">
        <f>TABL12345[[#This Row],[ (T/B) SAR]]-TABL12345[[#This Row],[(T/B) AJD]]</f>
        <v/>
      </c>
      <c r="S296" s="9">
        <f>TABL12345[[#This Row],[S/S_CON.]]+TABL12345[[#This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TABL12345[[#This Row],[(RESV. STORGE) AJD]]/10</f>
        <v/>
      </c>
      <c r="AB296" s="3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32" t="n"/>
      <c r="AN296" s="32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TABL12345[[#This Row],[ (T/B) SAR]]+TABL12345[[#This Row],[ (S/S) SAR]]</f>
        <v/>
      </c>
      <c r="L297" s="28" t="n"/>
      <c r="M297" s="29" t="n"/>
      <c r="N297" s="30" t="n"/>
      <c r="O297" s="9" t="n"/>
      <c r="P297" s="9">
        <f>TABL12345[[#This Row],[ (S/S) SAR]]-TABL12345[[#This Row],[(S/S) AJD]]</f>
        <v/>
      </c>
      <c r="Q297" s="9" t="n"/>
      <c r="R297" s="9">
        <f>TABL12345[[#This Row],[ (T/B) SAR]]-TABL12345[[#This Row],[(T/B) AJD]]</f>
        <v/>
      </c>
      <c r="S297" s="9">
        <f>TABL12345[[#This Row],[S/S_CON.]]+TABL12345[[#This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TABL12345[[#This Row],[(RESV. STORGE) AJD]]/10</f>
        <v/>
      </c>
      <c r="AB297" s="3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32" t="n"/>
      <c r="AN297" s="32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TABL12345[[#This Row],[ (T/B) SAR]]+TABL12345[[#This Row],[ (S/S) SAR]]</f>
        <v/>
      </c>
      <c r="L298" s="28" t="n"/>
      <c r="M298" s="29" t="n"/>
      <c r="N298" s="30" t="n"/>
      <c r="O298" s="9" t="n"/>
      <c r="P298" s="9">
        <f>TABL12345[[#This Row],[ (S/S) SAR]]-TABL12345[[#This Row],[(S/S) AJD]]</f>
        <v/>
      </c>
      <c r="Q298" s="9" t="n"/>
      <c r="R298" s="9">
        <f>TABL12345[[#This Row],[ (T/B) SAR]]-TABL12345[[#This Row],[(T/B) AJD]]</f>
        <v/>
      </c>
      <c r="S298" s="9">
        <f>TABL12345[[#This Row],[S/S_CON.]]+TABL12345[[#This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TABL12345[[#This Row],[(RESV. STORGE) AJD]]/10</f>
        <v/>
      </c>
      <c r="AB298" s="3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32" t="n"/>
      <c r="AN298" s="32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TABL12345[[#This Row],[ (T/B) SAR]]+TABL12345[[#This Row],[ (S/S) SAR]]</f>
        <v/>
      </c>
      <c r="L299" s="28" t="n"/>
      <c r="M299" s="29" t="n"/>
      <c r="N299" s="30" t="n"/>
      <c r="O299" s="9" t="n"/>
      <c r="P299" s="9">
        <f>TABL12345[[#This Row],[ (S/S) SAR]]-TABL12345[[#This Row],[(S/S) AJD]]</f>
        <v/>
      </c>
      <c r="Q299" s="9" t="n"/>
      <c r="R299" s="9">
        <f>TABL12345[[#This Row],[ (T/B) SAR]]-TABL12345[[#This Row],[(T/B) AJD]]</f>
        <v/>
      </c>
      <c r="S299" s="9">
        <f>TABL12345[[#This Row],[S/S_CON.]]+TABL12345[[#This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TABL12345[[#This Row],[(RESV. STORGE) AJD]]/10</f>
        <v/>
      </c>
      <c r="AB299" s="3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32" t="n"/>
      <c r="AN299" s="32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TABL12345[[#This Row],[ (T/B) SAR]]+TABL12345[[#This Row],[ (S/S) SAR]]</f>
        <v/>
      </c>
      <c r="L300" s="28" t="n"/>
      <c r="M300" s="29" t="n"/>
      <c r="N300" s="30" t="n"/>
      <c r="O300" s="9" t="n"/>
      <c r="P300" s="9">
        <f>TABL12345[[#This Row],[ (S/S) SAR]]-TABL12345[[#This Row],[(S/S) AJD]]</f>
        <v/>
      </c>
      <c r="Q300" s="9" t="n"/>
      <c r="R300" s="9">
        <f>TABL12345[[#This Row],[ (T/B) SAR]]-TABL12345[[#This Row],[(T/B) AJD]]</f>
        <v/>
      </c>
      <c r="S300" s="9">
        <f>TABL12345[[#This Row],[S/S_CON.]]+TABL12345[[#This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TABL12345[[#This Row],[(RESV. STORGE) AJD]]/10</f>
        <v/>
      </c>
      <c r="AB300" s="3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32" t="n"/>
      <c r="AN300" s="32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TABL12345[[#This Row],[ (T/B) SAR]]+TABL12345[[#This Row],[ (S/S) SAR]]</f>
        <v/>
      </c>
      <c r="L301" s="28" t="n"/>
      <c r="M301" s="29" t="n"/>
      <c r="N301" s="30" t="n"/>
      <c r="O301" s="9" t="n"/>
      <c r="P301" s="9">
        <f>TABL12345[[#This Row],[ (S/S) SAR]]-TABL12345[[#This Row],[(S/S) AJD]]</f>
        <v/>
      </c>
      <c r="Q301" s="9" t="n"/>
      <c r="R301" s="9">
        <f>TABL12345[[#This Row],[ (T/B) SAR]]-TABL12345[[#This Row],[(T/B) AJD]]</f>
        <v/>
      </c>
      <c r="S301" s="9">
        <f>TABL12345[[#This Row],[S/S_CON.]]+TABL12345[[#This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TABL12345[[#This Row],[(RESV. STORGE) AJD]]/10</f>
        <v/>
      </c>
      <c r="AB301" s="3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32" t="n"/>
      <c r="AN301" s="32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TABL12345[[#This Row],[ (T/B) SAR]]+TABL12345[[#This Row],[ (S/S) SAR]]</f>
        <v/>
      </c>
      <c r="L302" s="28" t="n"/>
      <c r="M302" s="29" t="n"/>
      <c r="N302" s="30" t="n"/>
      <c r="O302" s="9" t="n"/>
      <c r="P302" s="9">
        <f>TABL12345[[#This Row],[ (S/S) SAR]]-TABL12345[[#This Row],[(S/S) AJD]]</f>
        <v/>
      </c>
      <c r="Q302" s="9" t="n"/>
      <c r="R302" s="9">
        <f>TABL12345[[#This Row],[ (T/B) SAR]]-TABL12345[[#This Row],[(T/B) AJD]]</f>
        <v/>
      </c>
      <c r="S302" s="9">
        <f>TABL12345[[#This Row],[S/S_CON.]]+TABL12345[[#This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TABL12345[[#This Row],[(RESV. STORGE) AJD]]/10</f>
        <v/>
      </c>
      <c r="AB302" s="3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32" t="n"/>
      <c r="AN302" s="32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TABL12345[[#This Row],[ (T/B) SAR]]+TABL12345[[#This Row],[ (S/S) SAR]]</f>
        <v/>
      </c>
      <c r="L303" s="28" t="n"/>
      <c r="M303" s="29" t="n"/>
      <c r="N303" s="30" t="n"/>
      <c r="O303" s="9" t="n"/>
      <c r="P303" s="9">
        <f>TABL12345[[#This Row],[ (S/S) SAR]]-TABL12345[[#This Row],[(S/S) AJD]]</f>
        <v/>
      </c>
      <c r="Q303" s="9" t="n"/>
      <c r="R303" s="9">
        <f>TABL12345[[#This Row],[ (T/B) SAR]]-TABL12345[[#This Row],[(T/B) AJD]]</f>
        <v/>
      </c>
      <c r="S303" s="9">
        <f>TABL12345[[#This Row],[S/S_CON.]]+TABL12345[[#This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TABL12345[[#This Row],[(RESV. STORGE) AJD]]/10</f>
        <v/>
      </c>
      <c r="AB303" s="3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32" t="n"/>
      <c r="AN303" s="32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TABL12345[[#This Row],[ (T/B) SAR]]+TABL12345[[#This Row],[ (S/S) SAR]]</f>
        <v/>
      </c>
      <c r="L304" s="28" t="n"/>
      <c r="M304" s="29" t="n"/>
      <c r="N304" s="30" t="n"/>
      <c r="O304" s="9" t="n"/>
      <c r="P304" s="9">
        <f>TABL12345[[#This Row],[ (S/S) SAR]]-TABL12345[[#This Row],[(S/S) AJD]]</f>
        <v/>
      </c>
      <c r="Q304" s="9" t="n"/>
      <c r="R304" s="9">
        <f>TABL12345[[#This Row],[ (T/B) SAR]]-TABL12345[[#This Row],[(T/B) AJD]]</f>
        <v/>
      </c>
      <c r="S304" s="9">
        <f>TABL12345[[#This Row],[S/S_CON.]]+TABL12345[[#This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TABL12345[[#This Row],[(RESV. STORGE) AJD]]/10</f>
        <v/>
      </c>
      <c r="AB304" s="3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32" t="n"/>
      <c r="AN304" s="32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TABL12345[[#This Row],[ (T/B) SAR]]+TABL12345[[#This Row],[ (S/S) SAR]]</f>
        <v/>
      </c>
      <c r="L305" s="28" t="n"/>
      <c r="M305" s="29" t="n"/>
      <c r="N305" s="30" t="n"/>
      <c r="O305" s="9" t="n"/>
      <c r="P305" s="9">
        <f>TABL12345[[#This Row],[ (S/S) SAR]]-TABL12345[[#This Row],[(S/S) AJD]]</f>
        <v/>
      </c>
      <c r="Q305" s="9" t="n"/>
      <c r="R305" s="9">
        <f>TABL12345[[#This Row],[ (T/B) SAR]]-TABL12345[[#This Row],[(T/B) AJD]]</f>
        <v/>
      </c>
      <c r="S305" s="9">
        <f>TABL12345[[#This Row],[S/S_CON.]]+TABL12345[[#This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TABL12345[[#This Row],[(RESV. STORGE) AJD]]/10</f>
        <v/>
      </c>
      <c r="AB305" s="3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32" t="n"/>
      <c r="AN305" s="32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TABL12345[[#This Row],[ (T/B) SAR]]+TABL12345[[#This Row],[ (S/S) SAR]]</f>
        <v/>
      </c>
      <c r="L306" s="28" t="n"/>
      <c r="M306" s="29" t="n"/>
      <c r="N306" s="30" t="n"/>
      <c r="O306" s="39" t="n"/>
      <c r="P306" s="9">
        <f>TABL12345[[#This Row],[ (S/S) SAR]]-TABL12345[[#This Row],[(S/S) AJD]]</f>
        <v/>
      </c>
      <c r="Q306" s="9" t="n"/>
      <c r="R306" s="9">
        <f>TABL12345[[#This Row],[ (T/B) SAR]]-TABL12345[[#This Row],[(T/B) AJD]]</f>
        <v/>
      </c>
      <c r="S306" s="9">
        <f>TABL12345[[#This Row],[S/S_CON.]]+TABL12345[[#This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TABL12345[[#This Row],[(RESV. STORGE) AJD]]/10</f>
        <v/>
      </c>
      <c r="AB306" s="3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32" t="n"/>
      <c r="AN306" s="32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TABL12345[[#This Row],[ (T/B) SAR]]+TABL12345[[#This Row],[ (S/S) SAR]]</f>
        <v/>
      </c>
      <c r="L307" s="28" t="n"/>
      <c r="M307" s="29" t="n"/>
      <c r="N307" s="30" t="n"/>
      <c r="O307" s="40" t="n"/>
      <c r="P307" s="9">
        <f>TABL12345[[#This Row],[ (S/S) SAR]]-TABL12345[[#This Row],[(S/S) AJD]]</f>
        <v/>
      </c>
      <c r="Q307" s="9" t="n"/>
      <c r="R307" s="9">
        <f>TABL12345[[#This Row],[ (T/B) SAR]]-TABL12345[[#This Row],[(T/B) AJD]]</f>
        <v/>
      </c>
      <c r="S307" s="9">
        <f>TABL12345[[#This Row],[S/S_CON.]]+TABL12345[[#This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TABL12345[[#This Row],[(RESV. STORGE) AJD]]/10</f>
        <v/>
      </c>
      <c r="AB307" s="3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32" t="n"/>
      <c r="AN307" s="32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TABL12345[[#This Row],[ (T/B) SAR]]+TABL12345[[#This Row],[ (S/S) SAR]]</f>
        <v/>
      </c>
      <c r="L308" s="28" t="n"/>
      <c r="M308" s="29" t="n"/>
      <c r="N308" s="30" t="n"/>
      <c r="O308" s="39" t="n"/>
      <c r="P308" s="9">
        <f>TABL12345[[#This Row],[ (S/S) SAR]]-TABL12345[[#This Row],[(S/S) AJD]]</f>
        <v/>
      </c>
      <c r="Q308" s="9" t="n"/>
      <c r="R308" s="9">
        <f>TABL12345[[#This Row],[ (T/B) SAR]]-TABL12345[[#This Row],[(T/B) AJD]]</f>
        <v/>
      </c>
      <c r="S308" s="9">
        <f>TABL12345[[#This Row],[S/S_CON.]]+TABL12345[[#This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TABL12345[[#This Row],[(RESV. STORGE) AJD]]/10</f>
        <v/>
      </c>
      <c r="AB308" s="3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32" t="n"/>
      <c r="AN308" s="32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TABL12345[[#This Row],[ (T/B) SAR]]+TABL12345[[#This Row],[ (S/S) SAR]]</f>
        <v/>
      </c>
      <c r="L309" s="28" t="n"/>
      <c r="M309" s="29" t="n"/>
      <c r="N309" s="30" t="n"/>
      <c r="O309" s="40" t="n"/>
      <c r="P309" s="9">
        <f>TABL12345[[#This Row],[ (S/S) SAR]]-TABL12345[[#This Row],[(S/S) AJD]]</f>
        <v/>
      </c>
      <c r="Q309" s="9" t="n"/>
      <c r="R309" s="9">
        <f>TABL12345[[#This Row],[ (T/B) SAR]]-TABL12345[[#This Row],[(T/B) AJD]]</f>
        <v/>
      </c>
      <c r="S309" s="9">
        <f>TABL12345[[#This Row],[S/S_CON.]]+TABL12345[[#This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TABL12345[[#This Row],[(RESV. STORGE) AJD]]/10</f>
        <v/>
      </c>
      <c r="AB309" s="3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32" t="n"/>
      <c r="AN309" s="32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TABL12345[[#This Row],[ (T/B) SAR]]+TABL12345[[#This Row],[ (S/S) SAR]]</f>
        <v/>
      </c>
      <c r="L310" s="28" t="n"/>
      <c r="M310" s="29" t="n"/>
      <c r="N310" s="30" t="n"/>
      <c r="O310" s="39" t="n"/>
      <c r="P310" s="9">
        <f>TABL12345[[#This Row],[ (S/S) SAR]]-TABL12345[[#This Row],[(S/S) AJD]]</f>
        <v/>
      </c>
      <c r="Q310" s="9" t="n"/>
      <c r="R310" s="9">
        <f>TABL12345[[#This Row],[ (T/B) SAR]]-TABL12345[[#This Row],[(T/B) AJD]]</f>
        <v/>
      </c>
      <c r="S310" s="9">
        <f>TABL12345[[#This Row],[S/S_CON.]]+TABL12345[[#This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TABL12345[[#This Row],[(RESV. STORGE) AJD]]/10</f>
        <v/>
      </c>
      <c r="AB310" s="3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32" t="n"/>
      <c r="AN310" s="32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TABL12345[[#This Row],[ (T/B) SAR]]+TABL12345[[#This Row],[ (S/S) SAR]]</f>
        <v/>
      </c>
      <c r="L311" s="28" t="n"/>
      <c r="M311" s="29" t="n"/>
      <c r="N311" s="30" t="n"/>
      <c r="O311" s="40" t="n"/>
      <c r="P311" s="9">
        <f>TABL12345[[#This Row],[ (S/S) SAR]]-TABL12345[[#This Row],[(S/S) AJD]]</f>
        <v/>
      </c>
      <c r="Q311" s="9" t="n"/>
      <c r="R311" s="9">
        <f>TABL12345[[#This Row],[ (T/B) SAR]]-TABL12345[[#This Row],[(T/B) AJD]]</f>
        <v/>
      </c>
      <c r="S311" s="9">
        <f>TABL12345[[#This Row],[S/S_CON.]]+TABL12345[[#This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TABL12345[[#This Row],[(RESV. STORGE) AJD]]/10</f>
        <v/>
      </c>
      <c r="AB311" s="3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32" t="n"/>
      <c r="AN311" s="32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TABL12345[[#This Row],[ (T/B) SAR]]+TABL12345[[#This Row],[ (S/S) SAR]]</f>
        <v/>
      </c>
      <c r="L312" s="28" t="n"/>
      <c r="M312" s="29" t="n"/>
      <c r="N312" s="30" t="n"/>
      <c r="O312" s="39" t="n"/>
      <c r="P312" s="9">
        <f>TABL12345[[#This Row],[ (S/S) SAR]]-TABL12345[[#This Row],[(S/S) AJD]]</f>
        <v/>
      </c>
      <c r="Q312" s="9" t="n"/>
      <c r="R312" s="9">
        <f>TABL12345[[#This Row],[ (T/B) SAR]]-TABL12345[[#This Row],[(T/B) AJD]]</f>
        <v/>
      </c>
      <c r="S312" s="9">
        <f>TABL12345[[#This Row],[S/S_CON.]]+TABL12345[[#This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TABL12345[[#This Row],[(RESV. STORGE) AJD]]/10</f>
        <v/>
      </c>
      <c r="AB312" s="3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32" t="n"/>
      <c r="AN312" s="32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TABL12345[[#This Row],[ (T/B) SAR]]+TABL12345[[#This Row],[ (S/S) SAR]]</f>
        <v/>
      </c>
      <c r="L313" s="28" t="n"/>
      <c r="M313" s="29" t="n"/>
      <c r="N313" s="30" t="n"/>
      <c r="O313" s="40" t="n"/>
      <c r="P313" s="9">
        <f>TABL12345[[#This Row],[ (S/S) SAR]]-TABL12345[[#This Row],[(S/S) AJD]]</f>
        <v/>
      </c>
      <c r="Q313" s="9" t="n"/>
      <c r="R313" s="9">
        <f>TABL12345[[#This Row],[ (T/B) SAR]]-TABL12345[[#This Row],[(T/B) AJD]]</f>
        <v/>
      </c>
      <c r="S313" s="9">
        <f>TABL12345[[#This Row],[S/S_CON.]]+TABL12345[[#This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TABL12345[[#This Row],[(RESV. STORGE) AJD]]/10</f>
        <v/>
      </c>
      <c r="AB313" s="3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32" t="n"/>
      <c r="AN313" s="32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TABL12345[[#This Row],[ (T/B) SAR]]+TABL12345[[#This Row],[ (S/S) SAR]]</f>
        <v/>
      </c>
      <c r="L314" s="28" t="n"/>
      <c r="M314" s="29" t="n"/>
      <c r="N314" s="30" t="n"/>
      <c r="O314" s="39" t="n"/>
      <c r="P314" s="9">
        <f>TABL12345[[#This Row],[ (S/S) SAR]]-TABL12345[[#This Row],[(S/S) AJD]]</f>
        <v/>
      </c>
      <c r="Q314" s="9" t="n"/>
      <c r="R314" s="9">
        <f>TABL12345[[#This Row],[ (T/B) SAR]]-TABL12345[[#This Row],[(T/B) AJD]]</f>
        <v/>
      </c>
      <c r="S314" s="9">
        <f>TABL12345[[#This Row],[S/S_CON.]]+TABL12345[[#This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TABL12345[[#This Row],[(RESV. STORGE) AJD]]/10</f>
        <v/>
      </c>
      <c r="AB314" s="3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32" t="n"/>
      <c r="AN314" s="32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TABL12345[[#This Row],[ (T/B) SAR]]+TABL12345[[#This Row],[ (S/S) SAR]]</f>
        <v/>
      </c>
      <c r="L315" s="28" t="n"/>
      <c r="M315" s="29" t="n"/>
      <c r="N315" s="30" t="n"/>
      <c r="O315" s="40" t="n"/>
      <c r="P315" s="9">
        <f>TABL12345[[#This Row],[ (S/S) SAR]]-TABL12345[[#This Row],[(S/S) AJD]]</f>
        <v/>
      </c>
      <c r="Q315" s="9" t="n"/>
      <c r="R315" s="9">
        <f>TABL12345[[#This Row],[ (T/B) SAR]]-TABL12345[[#This Row],[(T/B) AJD]]</f>
        <v/>
      </c>
      <c r="S315" s="9">
        <f>TABL12345[[#This Row],[S/S_CON.]]+TABL12345[[#This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TABL12345[[#This Row],[(RESV. STORGE) AJD]]/10</f>
        <v/>
      </c>
      <c r="AB315" s="3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32" t="n"/>
      <c r="AN315" s="32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TABL12345[[#This Row],[ (T/B) SAR]]+TABL12345[[#This Row],[ (S/S) SAR]]</f>
        <v/>
      </c>
      <c r="L316" s="28" t="n"/>
      <c r="M316" s="29" t="n"/>
      <c r="N316" s="30" t="n"/>
      <c r="O316" s="39" t="n"/>
      <c r="P316" s="9">
        <f>TABL12345[[#This Row],[ (S/S) SAR]]-TABL12345[[#This Row],[(S/S) AJD]]</f>
        <v/>
      </c>
      <c r="Q316" s="9" t="n"/>
      <c r="R316" s="9">
        <f>TABL12345[[#This Row],[ (T/B) SAR]]-TABL12345[[#This Row],[(T/B) AJD]]</f>
        <v/>
      </c>
      <c r="S316" s="9">
        <f>TABL12345[[#This Row],[S/S_CON.]]+TABL12345[[#This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TABL12345[[#This Row],[(RESV. STORGE) AJD]]/10</f>
        <v/>
      </c>
      <c r="AB316" s="3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32" t="n"/>
      <c r="AN316" s="32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TABL12345[[#This Row],[ (T/B) SAR]]+TABL12345[[#This Row],[ (S/S) SAR]]</f>
        <v/>
      </c>
      <c r="L317" s="28" t="n"/>
      <c r="M317" s="29" t="n"/>
      <c r="N317" s="30" t="n"/>
      <c r="O317" s="40" t="n"/>
      <c r="P317" s="9">
        <f>TABL12345[[#This Row],[ (S/S) SAR]]-TABL12345[[#This Row],[(S/S) AJD]]</f>
        <v/>
      </c>
      <c r="Q317" s="9" t="n"/>
      <c r="R317" s="9">
        <f>TABL12345[[#This Row],[ (T/B) SAR]]-TABL12345[[#This Row],[(T/B) AJD]]</f>
        <v/>
      </c>
      <c r="S317" s="9">
        <f>TABL12345[[#This Row],[S/S_CON.]]+TABL12345[[#This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TABL12345[[#This Row],[(RESV. STORGE) AJD]]/10</f>
        <v/>
      </c>
      <c r="AB317" s="3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32" t="n"/>
      <c r="AN317" s="32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TABL12345[[#This Row],[ (T/B) SAR]]+TABL12345[[#This Row],[ (S/S) SAR]]</f>
        <v/>
      </c>
      <c r="L318" s="28" t="n"/>
      <c r="M318" s="29" t="n"/>
      <c r="N318" s="30" t="n"/>
      <c r="O318" s="39" t="n"/>
      <c r="P318" s="9">
        <f>TABL12345[[#This Row],[ (S/S) SAR]]-TABL12345[[#This Row],[(S/S) AJD]]</f>
        <v/>
      </c>
      <c r="Q318" s="9" t="n"/>
      <c r="R318" s="9">
        <f>TABL12345[[#This Row],[ (T/B) SAR]]-TABL12345[[#This Row],[(T/B) AJD]]</f>
        <v/>
      </c>
      <c r="S318" s="9">
        <f>TABL12345[[#This Row],[S/S_CON.]]+TABL12345[[#This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TABL12345[[#This Row],[(RESV. STORGE) AJD]]/10</f>
        <v/>
      </c>
      <c r="AB318" s="3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32" t="n"/>
      <c r="AN318" s="32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TABL12345[[#This Row],[ (T/B) SAR]]+TABL12345[[#This Row],[ (S/S) SAR]]</f>
        <v/>
      </c>
      <c r="L319" s="28" t="n"/>
      <c r="M319" s="29" t="n"/>
      <c r="N319" s="30" t="n"/>
      <c r="O319" s="40" t="n"/>
      <c r="P319" s="9">
        <f>TABL12345[[#This Row],[ (S/S) SAR]]-TABL12345[[#This Row],[(S/S) AJD]]</f>
        <v/>
      </c>
      <c r="Q319" s="9" t="n"/>
      <c r="R319" s="9">
        <f>TABL12345[[#This Row],[ (T/B) SAR]]-TABL12345[[#This Row],[(T/B) AJD]]</f>
        <v/>
      </c>
      <c r="S319" s="9">
        <f>TABL12345[[#This Row],[S/S_CON.]]+TABL12345[[#This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TABL12345[[#This Row],[(RESV. STORGE) AJD]]/10</f>
        <v/>
      </c>
      <c r="AB319" s="3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32" t="n"/>
      <c r="AN319" s="32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TABL12345[[#This Row],[ (T/B) SAR]]+TABL12345[[#This Row],[ (S/S) SAR]]</f>
        <v/>
      </c>
      <c r="L320" s="28" t="n"/>
      <c r="M320" s="29" t="n"/>
      <c r="N320" s="30" t="n"/>
      <c r="O320" s="39" t="n"/>
      <c r="P320" s="9">
        <f>TABL12345[[#This Row],[ (S/S) SAR]]-TABL12345[[#This Row],[(S/S) AJD]]</f>
        <v/>
      </c>
      <c r="Q320" s="9" t="n"/>
      <c r="R320" s="9">
        <f>TABL12345[[#This Row],[ (T/B) SAR]]-TABL12345[[#This Row],[(T/B) AJD]]</f>
        <v/>
      </c>
      <c r="S320" s="9">
        <f>TABL12345[[#This Row],[S/S_CON.]]+TABL12345[[#This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TABL12345[[#This Row],[(RESV. STORGE) AJD]]/10</f>
        <v/>
      </c>
      <c r="AB320" s="3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32" t="n"/>
      <c r="AN320" s="32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TABL12345[[#This Row],[ (T/B) SAR]]+TABL12345[[#This Row],[ (S/S) SAR]]</f>
        <v/>
      </c>
      <c r="L321" s="28" t="n"/>
      <c r="M321" s="29" t="n"/>
      <c r="N321" s="30" t="n"/>
      <c r="O321" s="40" t="n"/>
      <c r="P321" s="9">
        <f>TABL12345[[#This Row],[ (S/S) SAR]]-TABL12345[[#This Row],[(S/S) AJD]]</f>
        <v/>
      </c>
      <c r="Q321" s="9" t="n"/>
      <c r="R321" s="9">
        <f>TABL12345[[#This Row],[ (T/B) SAR]]-TABL12345[[#This Row],[(T/B) AJD]]</f>
        <v/>
      </c>
      <c r="S321" s="9">
        <f>TABL12345[[#This Row],[S/S_CON.]]+TABL12345[[#This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TABL12345[[#This Row],[(RESV. STORGE) AJD]]/10</f>
        <v/>
      </c>
      <c r="AB321" s="3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32" t="n"/>
      <c r="AN321" s="32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TABL12345[[#This Row],[ (T/B) SAR]]+TABL12345[[#This Row],[ (S/S) SAR]]</f>
        <v/>
      </c>
      <c r="L322" s="28" t="n"/>
      <c r="M322" s="29" t="n"/>
      <c r="N322" s="30" t="n"/>
      <c r="O322" s="39" t="n"/>
      <c r="P322" s="9">
        <f>TABL12345[[#This Row],[ (S/S) SAR]]-TABL12345[[#This Row],[(S/S) AJD]]</f>
        <v/>
      </c>
      <c r="Q322" s="9" t="n"/>
      <c r="R322" s="9">
        <f>TABL12345[[#This Row],[ (T/B) SAR]]-TABL12345[[#This Row],[(T/B) AJD]]</f>
        <v/>
      </c>
      <c r="S322" s="9">
        <f>TABL12345[[#This Row],[S/S_CON.]]+TABL12345[[#This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TABL12345[[#This Row],[(RESV. STORGE) AJD]]/10</f>
        <v/>
      </c>
      <c r="AB322" s="3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32" t="n"/>
      <c r="AN322" s="32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TABL12345[[#This Row],[ (T/B) SAR]]+TABL12345[[#This Row],[ (S/S) SAR]]</f>
        <v/>
      </c>
      <c r="L323" s="28" t="n"/>
      <c r="M323" s="29" t="n"/>
      <c r="N323" s="30" t="n"/>
      <c r="O323" s="40" t="n"/>
      <c r="P323" s="9">
        <f>TABL12345[[#This Row],[ (S/S) SAR]]-TABL12345[[#This Row],[(S/S) AJD]]</f>
        <v/>
      </c>
      <c r="Q323" s="9" t="n"/>
      <c r="R323" s="9">
        <f>TABL12345[[#This Row],[ (T/B) SAR]]-TABL12345[[#This Row],[(T/B) AJD]]</f>
        <v/>
      </c>
      <c r="S323" s="9">
        <f>TABL12345[[#This Row],[S/S_CON.]]+TABL12345[[#This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TABL12345[[#This Row],[(RESV. STORGE) AJD]]/10</f>
        <v/>
      </c>
      <c r="AB323" s="3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32" t="n"/>
      <c r="AN323" s="32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TABL12345[[#This Row],[ (T/B) SAR]]+TABL12345[[#This Row],[ (S/S) SAR]]</f>
        <v/>
      </c>
      <c r="L324" s="28" t="n"/>
      <c r="M324" s="29" t="n"/>
      <c r="N324" s="30" t="n"/>
      <c r="O324" s="39" t="n"/>
      <c r="P324" s="9">
        <f>TABL12345[[#This Row],[ (S/S) SAR]]-TABL12345[[#This Row],[(S/S) AJD]]</f>
        <v/>
      </c>
      <c r="Q324" s="9" t="n"/>
      <c r="R324" s="9">
        <f>TABL12345[[#This Row],[ (T/B) SAR]]-TABL12345[[#This Row],[(T/B) AJD]]</f>
        <v/>
      </c>
      <c r="S324" s="9">
        <f>TABL12345[[#This Row],[S/S_CON.]]+TABL12345[[#This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TABL12345[[#This Row],[(RESV. STORGE) AJD]]/10</f>
        <v/>
      </c>
      <c r="AB324" s="3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32" t="n"/>
      <c r="AN324" s="32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TABL12345[[#This Row],[ (T/B) SAR]]+TABL12345[[#This Row],[ (S/S) SAR]]</f>
        <v/>
      </c>
      <c r="L325" s="28" t="n"/>
      <c r="M325" s="29" t="n"/>
      <c r="N325" s="30" t="n"/>
      <c r="O325" s="40" t="n"/>
      <c r="P325" s="9">
        <f>TABL12345[[#This Row],[ (S/S) SAR]]-TABL12345[[#This Row],[(S/S) AJD]]</f>
        <v/>
      </c>
      <c r="Q325" s="9" t="n"/>
      <c r="R325" s="9">
        <f>TABL12345[[#This Row],[ (T/B) SAR]]-TABL12345[[#This Row],[(T/B) AJD]]</f>
        <v/>
      </c>
      <c r="S325" s="9">
        <f>TABL12345[[#This Row],[S/S_CON.]]+TABL12345[[#This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TABL12345[[#This Row],[(RESV. STORGE) AJD]]/10</f>
        <v/>
      </c>
      <c r="AB325" s="3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32" t="n"/>
      <c r="AN325" s="32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TABL12345[[#This Row],[ (T/B) SAR]]+TABL12345[[#This Row],[ (S/S) SAR]]</f>
        <v/>
      </c>
      <c r="L326" s="28" t="n"/>
      <c r="M326" s="29" t="n"/>
      <c r="N326" s="30" t="n"/>
      <c r="O326" s="39" t="n"/>
      <c r="P326" s="9">
        <f>TABL12345[[#This Row],[ (S/S) SAR]]-TABL12345[[#This Row],[(S/S) AJD]]</f>
        <v/>
      </c>
      <c r="Q326" s="9" t="n"/>
      <c r="R326" s="9">
        <f>TABL12345[[#This Row],[ (T/B) SAR]]-TABL12345[[#This Row],[(T/B) AJD]]</f>
        <v/>
      </c>
      <c r="S326" s="9">
        <f>TABL12345[[#This Row],[S/S_CON.]]+TABL12345[[#This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TABL12345[[#This Row],[(RESV. STORGE) AJD]]/10</f>
        <v/>
      </c>
      <c r="AB326" s="3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32" t="n"/>
      <c r="AN326" s="32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TABL12345[[#This Row],[ (T/B) SAR]]+TABL12345[[#This Row],[ (S/S) SAR]]</f>
        <v/>
      </c>
      <c r="L327" s="28" t="n"/>
      <c r="M327" s="29" t="n"/>
      <c r="N327" s="30" t="n"/>
      <c r="O327" s="40" t="n"/>
      <c r="P327" s="9">
        <f>TABL12345[[#This Row],[ (S/S) SAR]]-TABL12345[[#This Row],[(S/S) AJD]]</f>
        <v/>
      </c>
      <c r="Q327" s="9" t="n"/>
      <c r="R327" s="9">
        <f>TABL12345[[#This Row],[ (T/B) SAR]]-TABL12345[[#This Row],[(T/B) AJD]]</f>
        <v/>
      </c>
      <c r="S327" s="9">
        <f>TABL12345[[#This Row],[S/S_CON.]]+TABL12345[[#This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TABL12345[[#This Row],[(RESV. STORGE) AJD]]/10</f>
        <v/>
      </c>
      <c r="AB327" s="3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32" t="n"/>
      <c r="AN327" s="32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TABL12345[[#This Row],[ (T/B) SAR]]+TABL12345[[#This Row],[ (S/S) SAR]]</f>
        <v/>
      </c>
      <c r="L328" s="28" t="n"/>
      <c r="M328" s="29" t="n"/>
      <c r="N328" s="30" t="n"/>
      <c r="O328" s="39" t="n"/>
      <c r="P328" s="9">
        <f>TABL12345[[#This Row],[ (S/S) SAR]]-TABL12345[[#This Row],[(S/S) AJD]]</f>
        <v/>
      </c>
      <c r="Q328" s="9" t="n"/>
      <c r="R328" s="9">
        <f>TABL12345[[#This Row],[ (T/B) SAR]]-TABL12345[[#This Row],[(T/B) AJD]]</f>
        <v/>
      </c>
      <c r="S328" s="9">
        <f>TABL12345[[#This Row],[S/S_CON.]]+TABL12345[[#This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TABL12345[[#This Row],[(RESV. STORGE) AJD]]/10</f>
        <v/>
      </c>
      <c r="AB328" s="3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32" t="n"/>
      <c r="AN328" s="32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TABL12345[[#This Row],[ (T/B) SAR]]+TABL12345[[#This Row],[ (S/S) SAR]]</f>
        <v/>
      </c>
      <c r="L329" s="28" t="n"/>
      <c r="M329" s="29" t="n"/>
      <c r="N329" s="30" t="n"/>
      <c r="O329" s="40" t="n"/>
      <c r="P329" s="9">
        <f>TABL12345[[#This Row],[ (S/S) SAR]]-TABL12345[[#This Row],[(S/S) AJD]]</f>
        <v/>
      </c>
      <c r="Q329" s="9" t="n"/>
      <c r="R329" s="9">
        <f>TABL12345[[#This Row],[ (T/B) SAR]]-TABL12345[[#This Row],[(T/B) AJD]]</f>
        <v/>
      </c>
      <c r="S329" s="9">
        <f>TABL12345[[#This Row],[S/S_CON.]]+TABL12345[[#This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TABL12345[[#This Row],[(RESV. STORGE) AJD]]/10</f>
        <v/>
      </c>
      <c r="AB329" s="3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32" t="n"/>
      <c r="AN329" s="32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TABL12345[[#This Row],[ (T/B) SAR]]+TABL12345[[#This Row],[ (S/S) SAR]]</f>
        <v/>
      </c>
      <c r="L330" s="28" t="n"/>
      <c r="M330" s="29" t="n"/>
      <c r="N330" s="30" t="n"/>
      <c r="O330" s="39" t="n"/>
      <c r="P330" s="9">
        <f>TABL12345[[#This Row],[ (S/S) SAR]]-TABL12345[[#This Row],[(S/S) AJD]]</f>
        <v/>
      </c>
      <c r="Q330" s="9" t="n"/>
      <c r="R330" s="9">
        <f>TABL12345[[#This Row],[ (T/B) SAR]]-TABL12345[[#This Row],[(T/B) AJD]]</f>
        <v/>
      </c>
      <c r="S330" s="9">
        <f>TABL12345[[#This Row],[S/S_CON.]]+TABL12345[[#This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TABL12345[[#This Row],[(RESV. STORGE) AJD]]/10</f>
        <v/>
      </c>
      <c r="AB330" s="3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32" t="n"/>
      <c r="AN330" s="32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TABL12345[[#This Row],[ (T/B) SAR]]+TABL12345[[#This Row],[ (S/S) SAR]]</f>
        <v/>
      </c>
      <c r="L331" s="28" t="n"/>
      <c r="M331" s="29" t="n"/>
      <c r="N331" s="30" t="n"/>
      <c r="O331" s="40" t="n"/>
      <c r="P331" s="9">
        <f>TABL12345[[#This Row],[ (S/S) SAR]]-TABL12345[[#This Row],[(S/S) AJD]]</f>
        <v/>
      </c>
      <c r="Q331" s="9" t="n"/>
      <c r="R331" s="9">
        <f>TABL12345[[#This Row],[ (T/B) SAR]]-TABL12345[[#This Row],[(T/B) AJD]]</f>
        <v/>
      </c>
      <c r="S331" s="9">
        <f>TABL12345[[#This Row],[S/S_CON.]]+TABL12345[[#This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TABL12345[[#This Row],[(RESV. STORGE) AJD]]/10</f>
        <v/>
      </c>
      <c r="AB331" s="3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32" t="n"/>
      <c r="AN331" s="32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TABL12345[[#This Row],[ (T/B) SAR]]+TABL12345[[#This Row],[ (S/S) SAR]]</f>
        <v/>
      </c>
      <c r="L332" s="28" t="n"/>
      <c r="M332" s="29" t="n"/>
      <c r="N332" s="30" t="n"/>
      <c r="O332" s="39" t="n"/>
      <c r="P332" s="9">
        <f>TABL12345[[#This Row],[ (S/S) SAR]]-TABL12345[[#This Row],[(S/S) AJD]]</f>
        <v/>
      </c>
      <c r="Q332" s="9" t="n"/>
      <c r="R332" s="9">
        <f>TABL12345[[#This Row],[ (T/B) SAR]]-TABL12345[[#This Row],[(T/B) AJD]]</f>
        <v/>
      </c>
      <c r="S332" s="9">
        <f>TABL12345[[#This Row],[S/S_CON.]]+TABL12345[[#This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TABL12345[[#This Row],[(RESV. STORGE) AJD]]/10</f>
        <v/>
      </c>
      <c r="AB332" s="3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32" t="n"/>
      <c r="AN332" s="32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TABL12345[[#This Row],[ (T/B) SAR]]+TABL12345[[#This Row],[ (S/S) SAR]]</f>
        <v/>
      </c>
      <c r="L333" s="28" t="n"/>
      <c r="M333" s="29" t="n"/>
      <c r="N333" s="30" t="n"/>
      <c r="O333" s="40" t="n"/>
      <c r="P333" s="9">
        <f>TABL12345[[#This Row],[ (S/S) SAR]]-TABL12345[[#This Row],[(S/S) AJD]]</f>
        <v/>
      </c>
      <c r="Q333" s="9" t="n"/>
      <c r="R333" s="9">
        <f>TABL12345[[#This Row],[ (T/B) SAR]]-TABL12345[[#This Row],[(T/B) AJD]]</f>
        <v/>
      </c>
      <c r="S333" s="9">
        <f>TABL12345[[#This Row],[S/S_CON.]]+TABL12345[[#This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TABL12345[[#This Row],[(RESV. STORGE) AJD]]/10</f>
        <v/>
      </c>
      <c r="AB333" s="3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32" t="n"/>
      <c r="AN333" s="32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TABL12345[[#This Row],[ (T/B) SAR]]+TABL12345[[#This Row],[ (S/S) SAR]]</f>
        <v/>
      </c>
      <c r="L334" s="28" t="n"/>
      <c r="M334" s="29" t="n"/>
      <c r="N334" s="30" t="n"/>
      <c r="O334" s="39" t="n"/>
      <c r="P334" s="9">
        <f>TABL12345[[#This Row],[ (S/S) SAR]]-TABL12345[[#This Row],[(S/S) AJD]]</f>
        <v/>
      </c>
      <c r="Q334" s="9" t="n"/>
      <c r="R334" s="9">
        <f>TABL12345[[#This Row],[ (T/B) SAR]]-TABL12345[[#This Row],[(T/B) AJD]]</f>
        <v/>
      </c>
      <c r="S334" s="9">
        <f>TABL12345[[#This Row],[S/S_CON.]]+TABL12345[[#This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TABL12345[[#This Row],[(RESV. STORGE) AJD]]/10</f>
        <v/>
      </c>
      <c r="AB334" s="3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32" t="n"/>
      <c r="AN334" s="32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TABL12345[[#This Row],[ (T/B) SAR]]+TABL12345[[#This Row],[ (S/S) SAR]]</f>
        <v/>
      </c>
      <c r="L335" s="28" t="n"/>
      <c r="M335" s="29" t="n"/>
      <c r="N335" s="30" t="n"/>
      <c r="O335" s="40" t="n"/>
      <c r="P335" s="9">
        <f>TABL12345[[#This Row],[ (S/S) SAR]]-TABL12345[[#This Row],[(S/S) AJD]]</f>
        <v/>
      </c>
      <c r="Q335" s="9" t="n"/>
      <c r="R335" s="9">
        <f>TABL12345[[#This Row],[ (T/B) SAR]]-TABL12345[[#This Row],[(T/B) AJD]]</f>
        <v/>
      </c>
      <c r="S335" s="9">
        <f>TABL12345[[#This Row],[S/S_CON.]]+TABL12345[[#This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TABL12345[[#This Row],[(RESV. STORGE) AJD]]/10</f>
        <v/>
      </c>
      <c r="AB335" s="3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32" t="n"/>
      <c r="AN335" s="32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TABL12345[[#This Row],[ (T/B) SAR]]+TABL12345[[#This Row],[ (S/S) SAR]]</f>
        <v/>
      </c>
      <c r="L336" s="41" t="n"/>
      <c r="M336" s="42" t="n"/>
      <c r="N336" s="42" t="n"/>
      <c r="O336" s="39" t="n"/>
      <c r="P336" s="9">
        <f>TABL12345[[#This Row],[ (S/S) SAR]]-TABL12345[[#This Row],[(S/S) AJD]]</f>
        <v/>
      </c>
      <c r="Q336" s="39" t="n"/>
      <c r="R336" s="9">
        <f>TABL12345[[#This Row],[ (T/B) SAR]]-TABL12345[[#This Row],[(T/B) AJD]]</f>
        <v/>
      </c>
      <c r="S336" s="9">
        <f>TABL12345[[#This Row],[S/S_CON.]]+TABL12345[[#This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TABL12345[[#This Row],[(RESV. STORGE) AJD]]/10</f>
        <v/>
      </c>
      <c r="AB336" s="3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32" t="n"/>
      <c r="AN336" s="32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TABL12345[[#This Row],[ (T/B) SAR]]+TABL12345[[#This Row],[ (S/S) SAR]]</f>
        <v/>
      </c>
      <c r="L337" s="45" t="n"/>
      <c r="M337" s="46" t="n"/>
      <c r="N337" s="46" t="n"/>
      <c r="O337" s="40" t="n"/>
      <c r="P337" s="9">
        <f>TABL12345[[#This Row],[ (S/S) SAR]]-TABL12345[[#This Row],[(S/S) AJD]]</f>
        <v/>
      </c>
      <c r="Q337" s="40" t="n"/>
      <c r="R337" s="9">
        <f>TABL12345[[#This Row],[ (T/B) SAR]]-TABL12345[[#This Row],[(T/B) AJD]]</f>
        <v/>
      </c>
      <c r="S337" s="9">
        <f>TABL12345[[#This Row],[S/S_CON.]]+TABL12345[[#This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TABL12345[[#This Row],[(RESV. STORGE) AJD]]/10</f>
        <v/>
      </c>
      <c r="AB337" s="3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32" t="n"/>
      <c r="AN337" s="32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TABL12345[[#This Row],[ (T/B) SAR]]+TABL12345[[#This Row],[ (S/S) SAR]]</f>
        <v/>
      </c>
      <c r="L338" s="41" t="n"/>
      <c r="M338" s="42" t="n"/>
      <c r="N338" s="42" t="n"/>
      <c r="O338" s="39" t="n"/>
      <c r="P338" s="9">
        <f>TABL12345[[#This Row],[ (S/S) SAR]]-TABL12345[[#This Row],[(S/S) AJD]]</f>
        <v/>
      </c>
      <c r="Q338" s="39" t="n"/>
      <c r="R338" s="9">
        <f>TABL12345[[#This Row],[ (T/B) SAR]]-TABL12345[[#This Row],[(T/B) AJD]]</f>
        <v/>
      </c>
      <c r="S338" s="9">
        <f>TABL12345[[#This Row],[S/S_CON.]]+TABL12345[[#This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TABL12345[[#This Row],[(RESV. STORGE) AJD]]/10</f>
        <v/>
      </c>
      <c r="AB338" s="3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32" t="n"/>
      <c r="AN338" s="32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TABL12345[[#This Row],[ (T/B) SAR]]+TABL12345[[#This Row],[ (S/S) SAR]]</f>
        <v/>
      </c>
      <c r="L339" s="45" t="n"/>
      <c r="M339" s="46" t="n"/>
      <c r="N339" s="46" t="n"/>
      <c r="O339" s="40" t="n"/>
      <c r="P339" s="9">
        <f>TABL12345[[#This Row],[ (S/S) SAR]]-TABL12345[[#This Row],[(S/S) AJD]]</f>
        <v/>
      </c>
      <c r="Q339" s="40" t="n"/>
      <c r="R339" s="9">
        <f>TABL12345[[#This Row],[ (T/B) SAR]]-TABL12345[[#This Row],[(T/B) AJD]]</f>
        <v/>
      </c>
      <c r="S339" s="9">
        <f>TABL12345[[#This Row],[S/S_CON.]]+TABL12345[[#This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TABL12345[[#This Row],[(RESV. STORGE) AJD]]/10</f>
        <v/>
      </c>
      <c r="AB339" s="3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32" t="n"/>
      <c r="AN339" s="32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TABL12345[[#This Row],[ (T/B) SAR]]+TABL12345[[#This Row],[ (S/S) SAR]]</f>
        <v/>
      </c>
      <c r="L340" s="41" t="n"/>
      <c r="M340" s="42" t="n"/>
      <c r="N340" s="42" t="n"/>
      <c r="O340" s="39" t="n"/>
      <c r="P340" s="9">
        <f>TABL12345[[#This Row],[ (S/S) SAR]]-TABL12345[[#This Row],[(S/S) AJD]]</f>
        <v/>
      </c>
      <c r="Q340" s="39" t="n"/>
      <c r="R340" s="9">
        <f>TABL12345[[#This Row],[ (T/B) SAR]]-TABL12345[[#This Row],[(T/B) AJD]]</f>
        <v/>
      </c>
      <c r="S340" s="9">
        <f>TABL12345[[#This Row],[S/S_CON.]]+TABL12345[[#This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TABL12345[[#This Row],[(RESV. STORGE) AJD]]/10</f>
        <v/>
      </c>
      <c r="AB340" s="3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32" t="n"/>
      <c r="AN340" s="32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TABL12345[[#This Row],[ (T/B) SAR]]+TABL12345[[#This Row],[ (S/S) SAR]]</f>
        <v/>
      </c>
      <c r="L341" s="45" t="n"/>
      <c r="M341" s="46" t="n"/>
      <c r="N341" s="46" t="n"/>
      <c r="O341" s="40" t="n"/>
      <c r="P341" s="9">
        <f>TABL12345[[#This Row],[ (S/S) SAR]]-TABL12345[[#This Row],[(S/S) AJD]]</f>
        <v/>
      </c>
      <c r="Q341" s="40" t="n"/>
      <c r="R341" s="9">
        <f>TABL12345[[#This Row],[ (T/B) SAR]]-TABL12345[[#This Row],[(T/B) AJD]]</f>
        <v/>
      </c>
      <c r="S341" s="9">
        <f>TABL12345[[#This Row],[S/S_CON.]]+TABL12345[[#This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TABL12345[[#This Row],[(RESV. STORGE) AJD]]/10</f>
        <v/>
      </c>
      <c r="AB341" s="3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32" t="n"/>
      <c r="AN341" s="32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TABL12345[[#This Row],[ (T/B) SAR]]+TABL12345[[#This Row],[ (S/S) SAR]]</f>
        <v/>
      </c>
      <c r="L342" s="41" t="n"/>
      <c r="M342" s="42" t="n"/>
      <c r="N342" s="42" t="n"/>
      <c r="O342" s="39" t="n"/>
      <c r="P342" s="9">
        <f>TABL12345[[#This Row],[ (S/S) SAR]]-TABL12345[[#This Row],[(S/S) AJD]]</f>
        <v/>
      </c>
      <c r="Q342" s="39" t="n"/>
      <c r="R342" s="9">
        <f>TABL12345[[#This Row],[ (T/B) SAR]]-TABL12345[[#This Row],[(T/B) AJD]]</f>
        <v/>
      </c>
      <c r="S342" s="9">
        <f>TABL12345[[#This Row],[S/S_CON.]]+TABL12345[[#This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TABL12345[[#This Row],[(RESV. STORGE) AJD]]/10</f>
        <v/>
      </c>
      <c r="AB342" s="3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32" t="n"/>
      <c r="AN342" s="32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TABL12345[[#This Row],[ (T/B) SAR]]+TABL12345[[#This Row],[ (S/S) SAR]]</f>
        <v/>
      </c>
      <c r="L343" s="45" t="n"/>
      <c r="M343" s="46" t="n"/>
      <c r="N343" s="46" t="n"/>
      <c r="O343" s="40" t="n"/>
      <c r="P343" s="9">
        <f>TABL12345[[#This Row],[ (S/S) SAR]]-TABL12345[[#This Row],[(S/S) AJD]]</f>
        <v/>
      </c>
      <c r="Q343" s="40" t="n"/>
      <c r="R343" s="9">
        <f>TABL12345[[#This Row],[ (T/B) SAR]]-TABL12345[[#This Row],[(T/B) AJD]]</f>
        <v/>
      </c>
      <c r="S343" s="9">
        <f>TABL12345[[#This Row],[S/S_CON.]]+TABL12345[[#This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TABL12345[[#This Row],[(RESV. STORGE) AJD]]/10</f>
        <v/>
      </c>
      <c r="AB343" s="3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32" t="n"/>
      <c r="AN343" s="32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TABL12345[[#This Row],[ (T/B) SAR]]+TABL12345[[#This Row],[ (S/S) SAR]]</f>
        <v/>
      </c>
      <c r="L344" s="41" t="n"/>
      <c r="M344" s="42" t="n"/>
      <c r="N344" s="42" t="n"/>
      <c r="O344" s="39" t="n"/>
      <c r="P344" s="9">
        <f>TABL12345[[#This Row],[ (S/S) SAR]]-TABL12345[[#This Row],[(S/S) AJD]]</f>
        <v/>
      </c>
      <c r="Q344" s="39" t="n"/>
      <c r="R344" s="9">
        <f>TABL12345[[#This Row],[ (T/B) SAR]]-TABL12345[[#This Row],[(T/B) AJD]]</f>
        <v/>
      </c>
      <c r="S344" s="9">
        <f>TABL12345[[#This Row],[S/S_CON.]]+TABL12345[[#This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TABL12345[[#This Row],[(RESV. STORGE) AJD]]/10</f>
        <v/>
      </c>
      <c r="AB344" s="3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32" t="n"/>
      <c r="AN344" s="32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TABL12345[[#This Row],[ (T/B) SAR]]+TABL12345[[#This Row],[ (S/S) SAR]]</f>
        <v/>
      </c>
      <c r="L345" s="45" t="n"/>
      <c r="M345" s="46" t="n"/>
      <c r="N345" s="46" t="n"/>
      <c r="O345" s="40" t="n"/>
      <c r="P345" s="9">
        <f>TABL12345[[#This Row],[ (S/S) SAR]]-TABL12345[[#This Row],[(S/S) AJD]]</f>
        <v/>
      </c>
      <c r="Q345" s="40" t="n"/>
      <c r="R345" s="9">
        <f>TABL12345[[#This Row],[ (T/B) SAR]]-TABL12345[[#This Row],[(T/B) AJD]]</f>
        <v/>
      </c>
      <c r="S345" s="9">
        <f>TABL12345[[#This Row],[S/S_CON.]]+TABL12345[[#This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TABL12345[[#This Row],[(RESV. STORGE) AJD]]/10</f>
        <v/>
      </c>
      <c r="AB345" s="3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32" t="n"/>
      <c r="AN345" s="32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TABL12345[[#This Row],[ (T/B) SAR]]+TABL12345[[#This Row],[ (S/S) SAR]]</f>
        <v/>
      </c>
      <c r="L346" s="41" t="n"/>
      <c r="M346" s="42" t="n"/>
      <c r="N346" s="42" t="n"/>
      <c r="O346" s="39" t="n"/>
      <c r="P346" s="9">
        <f>TABL12345[[#This Row],[ (S/S) SAR]]-TABL12345[[#This Row],[(S/S) AJD]]</f>
        <v/>
      </c>
      <c r="Q346" s="39" t="n"/>
      <c r="R346" s="9">
        <f>TABL12345[[#This Row],[ (T/B) SAR]]-TABL12345[[#This Row],[(T/B) AJD]]</f>
        <v/>
      </c>
      <c r="S346" s="9">
        <f>TABL12345[[#This Row],[S/S_CON.]]+TABL12345[[#This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TABL12345[[#This Row],[(RESV. STORGE) AJD]]/10</f>
        <v/>
      </c>
      <c r="AB346" s="3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32" t="n"/>
      <c r="AN346" s="32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TABL12345[[#This Row],[ (T/B) SAR]]+TABL12345[[#This Row],[ (S/S) SAR]]</f>
        <v/>
      </c>
      <c r="L347" s="45" t="n"/>
      <c r="M347" s="46" t="n"/>
      <c r="N347" s="46" t="n"/>
      <c r="O347" s="40" t="n"/>
      <c r="P347" s="9">
        <f>TABL12345[[#This Row],[ (S/S) SAR]]-TABL12345[[#This Row],[(S/S) AJD]]</f>
        <v/>
      </c>
      <c r="Q347" s="40" t="n"/>
      <c r="R347" s="9">
        <f>TABL12345[[#This Row],[ (T/B) SAR]]-TABL12345[[#This Row],[(T/B) AJD]]</f>
        <v/>
      </c>
      <c r="S347" s="9">
        <f>TABL12345[[#This Row],[S/S_CON.]]+TABL12345[[#This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TABL12345[[#This Row],[(RESV. STORGE) AJD]]/10</f>
        <v/>
      </c>
      <c r="AB347" s="3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32" t="n"/>
      <c r="AN347" s="32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TABL12345[[#This Row],[ (T/B) SAR]]+TABL12345[[#This Row],[ (S/S) SAR]]</f>
        <v/>
      </c>
      <c r="L348" s="41" t="n"/>
      <c r="M348" s="42" t="n"/>
      <c r="N348" s="42" t="n"/>
      <c r="O348" s="39" t="n"/>
      <c r="P348" s="9">
        <f>TABL12345[[#This Row],[ (S/S) SAR]]-TABL12345[[#This Row],[(S/S) AJD]]</f>
        <v/>
      </c>
      <c r="Q348" s="39" t="n"/>
      <c r="R348" s="9">
        <f>TABL12345[[#This Row],[ (T/B) SAR]]-TABL12345[[#This Row],[(T/B) AJD]]</f>
        <v/>
      </c>
      <c r="S348" s="9">
        <f>TABL12345[[#This Row],[S/S_CON.]]+TABL12345[[#This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TABL12345[[#This Row],[(RESV. STORGE) AJD]]/10</f>
        <v/>
      </c>
      <c r="AB348" s="3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32" t="n"/>
      <c r="AN348" s="32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TABL12345[[#This Row],[ (T/B) SAR]]+TABL12345[[#This Row],[ (S/S) SAR]]</f>
        <v/>
      </c>
      <c r="L349" s="45" t="n"/>
      <c r="M349" s="46" t="n"/>
      <c r="N349" s="46" t="n"/>
      <c r="O349" s="40" t="n"/>
      <c r="P349" s="9">
        <f>TABL12345[[#This Row],[ (S/S) SAR]]-TABL12345[[#This Row],[(S/S) AJD]]</f>
        <v/>
      </c>
      <c r="Q349" s="40" t="n"/>
      <c r="R349" s="9">
        <f>TABL12345[[#This Row],[ (T/B) SAR]]-TABL12345[[#This Row],[(T/B) AJD]]</f>
        <v/>
      </c>
      <c r="S349" s="9">
        <f>TABL12345[[#This Row],[S/S_CON.]]+TABL12345[[#This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TABL12345[[#This Row],[(RESV. STORGE) AJD]]/10</f>
        <v/>
      </c>
      <c r="AB349" s="3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32" t="n"/>
      <c r="AN349" s="32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TABL12345[[#This Row],[ (T/B) SAR]]+TABL12345[[#This Row],[ (S/S) SAR]]</f>
        <v/>
      </c>
      <c r="L350" s="41" t="n"/>
      <c r="M350" s="42" t="n"/>
      <c r="N350" s="42" t="n"/>
      <c r="O350" s="39" t="n"/>
      <c r="P350" s="9">
        <f>TABL12345[[#This Row],[ (S/S) SAR]]-TABL12345[[#This Row],[(S/S) AJD]]</f>
        <v/>
      </c>
      <c r="Q350" s="39" t="n"/>
      <c r="R350" s="9">
        <f>TABL12345[[#This Row],[ (T/B) SAR]]-TABL12345[[#This Row],[(T/B) AJD]]</f>
        <v/>
      </c>
      <c r="S350" s="9">
        <f>TABL12345[[#This Row],[S/S_CON.]]+TABL12345[[#This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TABL12345[[#This Row],[(RESV. STORGE) AJD]]/10</f>
        <v/>
      </c>
      <c r="AB350" s="3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32" t="n"/>
      <c r="AN350" s="32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TABL12345[[#This Row],[ (T/B) SAR]]+TABL12345[[#This Row],[ (S/S) SAR]]</f>
        <v/>
      </c>
      <c r="L351" s="45" t="n"/>
      <c r="M351" s="46" t="n"/>
      <c r="N351" s="46" t="n"/>
      <c r="O351" s="40" t="n"/>
      <c r="P351" s="9">
        <f>TABL12345[[#This Row],[ (S/S) SAR]]-TABL12345[[#This Row],[(S/S) AJD]]</f>
        <v/>
      </c>
      <c r="Q351" s="40" t="n"/>
      <c r="R351" s="9">
        <f>TABL12345[[#This Row],[ (T/B) SAR]]-TABL12345[[#This Row],[(T/B) AJD]]</f>
        <v/>
      </c>
      <c r="S351" s="9">
        <f>TABL12345[[#This Row],[S/S_CON.]]+TABL12345[[#This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TABL12345[[#This Row],[(RESV. STORGE) AJD]]/10</f>
        <v/>
      </c>
      <c r="AB351" s="3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32" t="n"/>
      <c r="AN351" s="32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TABL12345[[#This Row],[ (T/B) SAR]]+TABL12345[[#This Row],[ (S/S) SAR]]</f>
        <v/>
      </c>
      <c r="L352" s="41" t="n"/>
      <c r="M352" s="42" t="n"/>
      <c r="N352" s="42" t="n"/>
      <c r="O352" s="39" t="n"/>
      <c r="P352" s="9">
        <f>TABL12345[[#This Row],[ (S/S) SAR]]-TABL12345[[#This Row],[(S/S) AJD]]</f>
        <v/>
      </c>
      <c r="Q352" s="39" t="n"/>
      <c r="R352" s="9">
        <f>TABL12345[[#This Row],[ (T/B) SAR]]-TABL12345[[#This Row],[(T/B) AJD]]</f>
        <v/>
      </c>
      <c r="S352" s="9">
        <f>TABL12345[[#This Row],[S/S_CON.]]+TABL12345[[#This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TABL12345[[#This Row],[(RESV. STORGE) AJD]]/10</f>
        <v/>
      </c>
      <c r="AB352" s="3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32" t="n"/>
      <c r="AN352" s="32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TABL12345[[#This Row],[ (T/B) SAR]]+TABL12345[[#This Row],[ (S/S) SAR]]</f>
        <v/>
      </c>
      <c r="L353" s="45" t="n"/>
      <c r="M353" s="46" t="n"/>
      <c r="N353" s="46" t="n"/>
      <c r="O353" s="40" t="n"/>
      <c r="P353" s="9">
        <f>TABL12345[[#This Row],[ (S/S) SAR]]-TABL12345[[#This Row],[(S/S) AJD]]</f>
        <v/>
      </c>
      <c r="Q353" s="40" t="n"/>
      <c r="R353" s="9">
        <f>TABL12345[[#This Row],[ (T/B) SAR]]-TABL12345[[#This Row],[(T/B) AJD]]</f>
        <v/>
      </c>
      <c r="S353" s="9">
        <f>TABL12345[[#This Row],[S/S_CON.]]+TABL12345[[#This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TABL12345[[#This Row],[(RESV. STORGE) AJD]]/10</f>
        <v/>
      </c>
      <c r="AB353" s="3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32" t="n"/>
      <c r="AN353" s="32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TABL12345[[#This Row],[ (T/B) SAR]]+TABL12345[[#This Row],[ (S/S) SAR]]</f>
        <v/>
      </c>
      <c r="L354" s="41" t="n"/>
      <c r="M354" s="42" t="n"/>
      <c r="N354" s="42" t="n"/>
      <c r="O354" s="39" t="n"/>
      <c r="P354" s="9">
        <f>TABL12345[[#This Row],[ (S/S) SAR]]-TABL12345[[#This Row],[(S/S) AJD]]</f>
        <v/>
      </c>
      <c r="Q354" s="39" t="n"/>
      <c r="R354" s="9">
        <f>TABL12345[[#This Row],[ (T/B) SAR]]-TABL12345[[#This Row],[(T/B) AJD]]</f>
        <v/>
      </c>
      <c r="S354" s="9">
        <f>TABL12345[[#This Row],[S/S_CON.]]+TABL12345[[#This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TABL12345[[#This Row],[(RESV. STORGE) AJD]]/10</f>
        <v/>
      </c>
      <c r="AB354" s="3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32" t="n"/>
      <c r="AN354" s="32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TABL12345[[#This Row],[ (T/B) SAR]]+TABL12345[[#This Row],[ (S/S) SAR]]</f>
        <v/>
      </c>
      <c r="L355" s="45" t="n"/>
      <c r="M355" s="46" t="n"/>
      <c r="N355" s="46" t="n"/>
      <c r="O355" s="40" t="n"/>
      <c r="P355" s="9">
        <f>TABL12345[[#This Row],[ (S/S) SAR]]-TABL12345[[#This Row],[(S/S) AJD]]</f>
        <v/>
      </c>
      <c r="Q355" s="40" t="n"/>
      <c r="R355" s="9">
        <f>TABL12345[[#This Row],[ (T/B) SAR]]-TABL12345[[#This Row],[(T/B) AJD]]</f>
        <v/>
      </c>
      <c r="S355" s="9">
        <f>TABL12345[[#This Row],[S/S_CON.]]+TABL12345[[#This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TABL12345[[#This Row],[(RESV. STORGE) AJD]]/10</f>
        <v/>
      </c>
      <c r="AB355" s="3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32" t="n"/>
      <c r="AN355" s="32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TABL12345[[#This Row],[ (T/B) SAR]]+TABL12345[[#This Row],[ (S/S) SAR]]</f>
        <v/>
      </c>
      <c r="L356" s="41" t="n"/>
      <c r="M356" s="42" t="n"/>
      <c r="N356" s="42" t="n"/>
      <c r="O356" s="39" t="n"/>
      <c r="P356" s="9">
        <f>TABL12345[[#This Row],[ (S/S) SAR]]-TABL12345[[#This Row],[(S/S) AJD]]</f>
        <v/>
      </c>
      <c r="Q356" s="39" t="n"/>
      <c r="R356" s="9">
        <f>TABL12345[[#This Row],[ (T/B) SAR]]-TABL12345[[#This Row],[(T/B) AJD]]</f>
        <v/>
      </c>
      <c r="S356" s="9">
        <f>TABL12345[[#This Row],[S/S_CON.]]+TABL12345[[#This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TABL12345[[#This Row],[(RESV. STORGE) AJD]]/10</f>
        <v/>
      </c>
      <c r="AB356" s="3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32" t="n"/>
      <c r="AN356" s="32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TABL12345[[#This Row],[ (T/B) SAR]]+TABL12345[[#This Row],[ (S/S) SAR]]</f>
        <v/>
      </c>
      <c r="L357" s="45" t="n"/>
      <c r="M357" s="46" t="n"/>
      <c r="N357" s="46" t="n"/>
      <c r="O357" s="40" t="n"/>
      <c r="P357" s="9">
        <f>TABL12345[[#This Row],[ (S/S) SAR]]-TABL12345[[#This Row],[(S/S) AJD]]</f>
        <v/>
      </c>
      <c r="Q357" s="40" t="n"/>
      <c r="R357" s="9">
        <f>TABL12345[[#This Row],[ (T/B) SAR]]-TABL12345[[#This Row],[(T/B) AJD]]</f>
        <v/>
      </c>
      <c r="S357" s="9">
        <f>TABL12345[[#This Row],[S/S_CON.]]+TABL12345[[#This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TABL12345[[#This Row],[(RESV. STORGE) AJD]]/10</f>
        <v/>
      </c>
      <c r="AB357" s="3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32" t="n"/>
      <c r="AN357" s="32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TABL12345[[#This Row],[ (T/B) SAR]]+TABL12345[[#This Row],[ (S/S) SAR]]</f>
        <v/>
      </c>
      <c r="L358" s="41" t="n"/>
      <c r="M358" s="42" t="n"/>
      <c r="N358" s="42" t="n"/>
      <c r="O358" s="39" t="n"/>
      <c r="P358" s="9">
        <f>TABL12345[[#This Row],[ (S/S) SAR]]-TABL12345[[#This Row],[(S/S) AJD]]</f>
        <v/>
      </c>
      <c r="Q358" s="39" t="n"/>
      <c r="R358" s="9">
        <f>TABL12345[[#This Row],[ (T/B) SAR]]-TABL12345[[#This Row],[(T/B) AJD]]</f>
        <v/>
      </c>
      <c r="S358" s="9">
        <f>TABL12345[[#This Row],[S/S_CON.]]+TABL12345[[#This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TABL12345[[#This Row],[(RESV. STORGE) AJD]]/10</f>
        <v/>
      </c>
      <c r="AB358" s="3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32" t="n"/>
      <c r="AN358" s="32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TABL12345[[#This Row],[ (T/B) SAR]]+TABL12345[[#This Row],[ (S/S) SAR]]</f>
        <v/>
      </c>
      <c r="L359" s="45" t="n"/>
      <c r="M359" s="46" t="n"/>
      <c r="N359" s="46" t="n"/>
      <c r="O359" s="40" t="n"/>
      <c r="P359" s="9">
        <f>TABL12345[[#This Row],[ (S/S) SAR]]-TABL12345[[#This Row],[(S/S) AJD]]</f>
        <v/>
      </c>
      <c r="Q359" s="40" t="n"/>
      <c r="R359" s="9">
        <f>TABL12345[[#This Row],[ (T/B) SAR]]-TABL12345[[#This Row],[(T/B) AJD]]</f>
        <v/>
      </c>
      <c r="S359" s="9">
        <f>TABL12345[[#This Row],[S/S_CON.]]+TABL12345[[#This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TABL12345[[#This Row],[(RESV. STORGE) AJD]]/10</f>
        <v/>
      </c>
      <c r="AB359" s="3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32" t="n"/>
      <c r="AN359" s="32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TABL12345[[#This Row],[ (T/B) SAR]]+TABL12345[[#This Row],[ (S/S) SAR]]</f>
        <v/>
      </c>
      <c r="L360" s="41" t="n"/>
      <c r="M360" s="42" t="n"/>
      <c r="N360" s="42" t="n"/>
      <c r="O360" s="39" t="n"/>
      <c r="P360" s="9">
        <f>TABL12345[[#This Row],[ (S/S) SAR]]-TABL12345[[#This Row],[(S/S) AJD]]</f>
        <v/>
      </c>
      <c r="Q360" s="39" t="n"/>
      <c r="R360" s="9">
        <f>TABL12345[[#This Row],[ (T/B) SAR]]-TABL12345[[#This Row],[(T/B) AJD]]</f>
        <v/>
      </c>
      <c r="S360" s="9">
        <f>TABL12345[[#This Row],[S/S_CON.]]+TABL12345[[#This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TABL12345[[#This Row],[(RESV. STORGE) AJD]]/10</f>
        <v/>
      </c>
      <c r="AB360" s="3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32" t="n"/>
      <c r="AN360" s="32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TABL12345[[#This Row],[ (T/B) SAR]]+TABL12345[[#This Row],[ (S/S) SAR]]</f>
        <v/>
      </c>
      <c r="L361" s="45" t="n"/>
      <c r="M361" s="46" t="n"/>
      <c r="N361" s="46" t="n"/>
      <c r="O361" s="40" t="n"/>
      <c r="P361" s="9">
        <f>TABL12345[[#This Row],[ (S/S) SAR]]-TABL12345[[#This Row],[(S/S) AJD]]</f>
        <v/>
      </c>
      <c r="Q361" s="40" t="n"/>
      <c r="R361" s="9">
        <f>TABL12345[[#This Row],[ (T/B) SAR]]-TABL12345[[#This Row],[(T/B) AJD]]</f>
        <v/>
      </c>
      <c r="S361" s="9">
        <f>TABL12345[[#This Row],[S/S_CON.]]+TABL12345[[#This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TABL12345[[#This Row],[(RESV. STORGE) AJD]]/10</f>
        <v/>
      </c>
      <c r="AB361" s="3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32" t="n"/>
      <c r="AN361" s="32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TABL12345[[#This Row],[ (T/B) SAR]]+TABL12345[[#This Row],[ (S/S) SAR]]</f>
        <v/>
      </c>
      <c r="L362" s="41" t="n"/>
      <c r="M362" s="42" t="n"/>
      <c r="N362" s="42" t="n"/>
      <c r="O362" s="39" t="n"/>
      <c r="P362" s="9">
        <f>TABL12345[[#This Row],[ (S/S) SAR]]-TABL12345[[#This Row],[(S/S) AJD]]</f>
        <v/>
      </c>
      <c r="Q362" s="39" t="n"/>
      <c r="R362" s="9">
        <f>TABL12345[[#This Row],[ (T/B) SAR]]-TABL12345[[#This Row],[(T/B) AJD]]</f>
        <v/>
      </c>
      <c r="S362" s="9">
        <f>TABL12345[[#This Row],[S/S_CON.]]+TABL12345[[#This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TABL12345[[#This Row],[(RESV. STORGE) AJD]]/10</f>
        <v/>
      </c>
      <c r="AB362" s="3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32" t="n"/>
      <c r="AN362" s="32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TABL12345[[#This Row],[ (T/B) SAR]]+TABL12345[[#This Row],[ (S/S) SAR]]</f>
        <v/>
      </c>
      <c r="L363" s="45" t="n"/>
      <c r="M363" s="46" t="n"/>
      <c r="N363" s="46" t="n"/>
      <c r="O363" s="40" t="n"/>
      <c r="P363" s="9">
        <f>TABL12345[[#This Row],[ (S/S) SAR]]-TABL12345[[#This Row],[(S/S) AJD]]</f>
        <v/>
      </c>
      <c r="Q363" s="40" t="n"/>
      <c r="R363" s="9">
        <f>TABL12345[[#This Row],[ (T/B) SAR]]-TABL12345[[#This Row],[(T/B) AJD]]</f>
        <v/>
      </c>
      <c r="S363" s="9">
        <f>TABL12345[[#This Row],[S/S_CON.]]+TABL12345[[#This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TABL12345[[#This Row],[(RESV. STORGE) AJD]]/10</f>
        <v/>
      </c>
      <c r="AB363" s="3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32" t="n"/>
      <c r="AN363" s="32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TABL12345[[#This Row],[ (T/B) SAR]]+TABL12345[[#This Row],[ (S/S) SAR]]</f>
        <v/>
      </c>
      <c r="L364" s="41" t="n"/>
      <c r="M364" s="42" t="n"/>
      <c r="N364" s="42" t="n"/>
      <c r="O364" s="39" t="n"/>
      <c r="P364" s="9">
        <f>TABL12345[[#This Row],[ (S/S) SAR]]-TABL12345[[#This Row],[(S/S) AJD]]</f>
        <v/>
      </c>
      <c r="Q364" s="39" t="n"/>
      <c r="R364" s="9">
        <f>TABL12345[[#This Row],[ (T/B) SAR]]-TABL12345[[#This Row],[(T/B) AJD]]</f>
        <v/>
      </c>
      <c r="S364" s="9">
        <f>TABL12345[[#This Row],[S/S_CON.]]+TABL12345[[#This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TABL12345[[#This Row],[(RESV. STORGE) AJD]]/10</f>
        <v/>
      </c>
      <c r="AB364" s="3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32" t="n"/>
      <c r="AN364" s="32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TABL12345[[#This Row],[ (T/B) SAR]]+TABL12345[[#This Row],[ (S/S) SAR]]</f>
        <v/>
      </c>
      <c r="L365" s="45" t="n"/>
      <c r="M365" s="46" t="n"/>
      <c r="N365" s="46" t="n"/>
      <c r="O365" s="40" t="n"/>
      <c r="P365" s="9">
        <f>TABL12345[[#This Row],[ (S/S) SAR]]-TABL12345[[#This Row],[(S/S) AJD]]</f>
        <v/>
      </c>
      <c r="Q365" s="40" t="n"/>
      <c r="R365" s="9">
        <f>TABL12345[[#This Row],[ (T/B) SAR]]-TABL12345[[#This Row],[(T/B) AJD]]</f>
        <v/>
      </c>
      <c r="S365" s="9">
        <f>TABL12345[[#This Row],[S/S_CON.]]+TABL12345[[#This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TABL12345[[#This Row],[(RESV. STORGE) AJD]]/10</f>
        <v/>
      </c>
      <c r="AB365" s="3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32" t="n"/>
      <c r="AN365" s="32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TABL12345[[#This Row],[(RESV. STORGE) AJD]]/10</f>
        <v/>
      </c>
      <c r="AB366" s="3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32" t="n"/>
      <c r="AN366" s="32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28">
        <f>TABL12345[[#This Row],[ (T/B) SAR]]+TABL12345[[#This Row],[ (S/S) SAR]]</f>
        <v/>
      </c>
      <c r="L367" s="93" t="n"/>
      <c r="M367" s="94" t="n"/>
      <c r="N367" s="94" t="n"/>
      <c r="O367" s="71" t="n"/>
      <c r="P367" s="9">
        <f>TABL12345[[#This Row],[ (S/S) SAR]]-TABL12345[[#This Row],[(S/S) AJD]]</f>
        <v/>
      </c>
      <c r="Q367" s="71" t="n"/>
      <c r="R367" s="9">
        <f>TABL12345[[#This Row],[ (T/B) SAR]]-TABL12345[[#This Row],[(T/B) AJD]]</f>
        <v/>
      </c>
      <c r="S367" s="9">
        <f>TABL12345[[#This Row],[S/S_CON.]]+TABL12345[[#This Row],[T/B-CON.]]</f>
        <v/>
      </c>
      <c r="T367" s="9">
        <f>O367+Q367</f>
        <v/>
      </c>
      <c r="U367" s="68" t="n"/>
      <c r="V367" s="68" t="n"/>
      <c r="W367" s="9">
        <f>U367+V367</f>
        <v/>
      </c>
      <c r="X367" s="9">
        <f>T367-W367</f>
        <v/>
      </c>
      <c r="Y367" s="95" t="n"/>
      <c r="Z367" s="68" t="n"/>
      <c r="AA367" s="3">
        <f>TABL12345[[#This Row],[(RESV. STORGE) AJD]]/10</f>
        <v/>
      </c>
      <c r="AB367" s="68" t="n"/>
      <c r="AC367" s="96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32" t="n"/>
      <c r="AN367" s="97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Table5[[#This Row],[ (T/B) SAR]]+Table5[[#This Row],[ (S/S) SAR]]</f>
        <v/>
      </c>
      <c r="L2" s="41" t="n"/>
      <c r="M2" s="42" t="n"/>
      <c r="N2" s="42" t="n"/>
      <c r="O2" s="39" t="n"/>
      <c r="P2" s="3">
        <f>Table5[[#This Row],[ (S/S) SAR]]-Table5[[#This Row],[(S/S) AJD]]</f>
        <v/>
      </c>
      <c r="Q2" s="39" t="n"/>
      <c r="R2" s="3">
        <f>Table5[[#This Row],[ (T/B) SAR]]-Table5[[#This Row],[(T/B) AJD]]</f>
        <v/>
      </c>
      <c r="S2" s="3">
        <f>Table5[[#This Row],[S/S_CON.]]+Table5[[#This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32" t="n"/>
      <c r="AN2" s="32">
        <f>Table5[[#This Row],[ (RESV. STORGE) SER]]/10</f>
        <v/>
      </c>
      <c r="AO2" s="81" t="n"/>
      <c r="AP2" s="99">
        <f>Table5[[#This Row],[(A/S) AJD]]-Table5[[#This Row],[SER_IN]]</f>
        <v/>
      </c>
    </row>
    <row r="3" ht="18.75" customHeight="1">
      <c r="A3" s="98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Table5[[#This Row],[ (T/B) SAR]]+Table5[[#This Row],[ (S/S) SAR]]</f>
        <v/>
      </c>
      <c r="L3" s="45" t="n"/>
      <c r="M3" s="46" t="n"/>
      <c r="N3" s="46" t="n"/>
      <c r="O3" s="40" t="n"/>
      <c r="P3" s="3">
        <f>Table5[[#This Row],[ (S/S) SAR]]-Table5[[#This Row],[(S/S) AJD]]</f>
        <v/>
      </c>
      <c r="Q3" s="40" t="n"/>
      <c r="R3" s="3">
        <f>Table5[[#This Row],[ (T/B) SAR]]-Table5[[#This Row],[(T/B) AJD]]</f>
        <v/>
      </c>
      <c r="S3" s="3">
        <f>Table5[[#This Row],[S/S_CON.]]+Table5[[#This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Table5[[#This Row],[(RESV. STORGE) AJD]]/10</f>
        <v/>
      </c>
      <c r="AB3" s="3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32" t="n"/>
      <c r="AN3" s="32">
        <f>Table5[[#This Row],[ (RESV. STORGE) SER]]/10</f>
        <v/>
      </c>
      <c r="AO3" s="68" t="n"/>
      <c r="AP3" s="100">
        <f>Table5[[#This Row],[(A/S) AJD]]-Table5[[#This Row],[SER_IN]]</f>
        <v/>
      </c>
    </row>
    <row r="4" ht="18.75" customHeight="1">
      <c r="A4" s="98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Table5[[#This Row],[ (T/B) SAR]]+Table5[[#This Row],[ (S/S) SAR]]</f>
        <v/>
      </c>
      <c r="L4" s="41" t="n"/>
      <c r="M4" s="42" t="n"/>
      <c r="N4" s="42" t="n"/>
      <c r="O4" s="39" t="n"/>
      <c r="P4" s="3">
        <f>Table5[[#This Row],[ (S/S) SAR]]-Table5[[#This Row],[(S/S) AJD]]</f>
        <v/>
      </c>
      <c r="Q4" s="39" t="n"/>
      <c r="R4" s="3">
        <f>Table5[[#This Row],[ (T/B) SAR]]-Table5[[#This Row],[(T/B) AJD]]</f>
        <v/>
      </c>
      <c r="S4" s="3">
        <f>Table5[[#This Row],[S/S_CON.]]+Table5[[#This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Table5[[#This Row],[(RESV. STORGE) AJD]]/10</f>
        <v/>
      </c>
      <c r="AB4" s="3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32" t="n"/>
      <c r="AN4" s="32">
        <f>Table5[[#This Row],[ (RESV. STORGE) SER]]/10</f>
        <v/>
      </c>
      <c r="AO4" s="68" t="n"/>
      <c r="AP4" s="100">
        <f>Table5[[#This Row],[(A/S) AJD]]-Table5[[#This Row],[SER_IN]]</f>
        <v/>
      </c>
    </row>
    <row r="5" ht="18.75" customHeight="1">
      <c r="A5" s="98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Table5[[#This Row],[ (T/B) SAR]]+Table5[[#This Row],[ (S/S) SAR]]</f>
        <v/>
      </c>
      <c r="L5" s="45" t="n"/>
      <c r="M5" s="46" t="n"/>
      <c r="N5" s="46" t="n"/>
      <c r="O5" s="40" t="n"/>
      <c r="P5" s="3">
        <f>Table5[[#This Row],[ (S/S) SAR]]-Table5[[#This Row],[(S/S) AJD]]</f>
        <v/>
      </c>
      <c r="Q5" s="40" t="n"/>
      <c r="R5" s="3">
        <f>Table5[[#This Row],[ (T/B) SAR]]-Table5[[#This Row],[(T/B) AJD]]</f>
        <v/>
      </c>
      <c r="S5" s="3">
        <f>Table5[[#This Row],[S/S_CON.]]+Table5[[#This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Table5[[#This Row],[(RESV. STORGE) AJD]]/10</f>
        <v/>
      </c>
      <c r="AB5" s="3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32" t="n"/>
      <c r="AN5" s="32">
        <f>Table5[[#This Row],[ (RESV. STORGE) SER]]/10</f>
        <v/>
      </c>
      <c r="AO5" s="68" t="n"/>
      <c r="AP5" s="100">
        <f>Table5[[#This Row],[(A/S) AJD]]-Table5[[#This Row],[SER_IN]]</f>
        <v/>
      </c>
    </row>
    <row r="6" ht="18.75" customHeight="1">
      <c r="A6" s="98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Table5[[#This Row],[ (T/B) SAR]]+Table5[[#This Row],[ (S/S) SAR]]</f>
        <v/>
      </c>
      <c r="L6" s="41" t="n"/>
      <c r="M6" s="42" t="n"/>
      <c r="N6" s="42" t="n"/>
      <c r="O6" s="39" t="n"/>
      <c r="P6" s="3">
        <f>Table5[[#This Row],[ (S/S) SAR]]-Table5[[#This Row],[(S/S) AJD]]</f>
        <v/>
      </c>
      <c r="Q6" s="39" t="n"/>
      <c r="R6" s="3">
        <f>Table5[[#This Row],[ (T/B) SAR]]-Table5[[#This Row],[(T/B) AJD]]</f>
        <v/>
      </c>
      <c r="S6" s="3">
        <f>Table5[[#This Row],[S/S_CON.]]+Table5[[#This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Table5[[#This Row],[(RESV. STORGE) AJD]]/10</f>
        <v/>
      </c>
      <c r="AB6" s="3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32" t="n"/>
      <c r="AN6" s="32">
        <f>Table5[[#This Row],[ (RESV. STORGE) SER]]/10</f>
        <v/>
      </c>
      <c r="AO6" s="68" t="n"/>
      <c r="AP6" s="100">
        <f>Table5[[#This Row],[(A/S) AJD]]-Table5[[#This Row],[SER_IN]]</f>
        <v/>
      </c>
    </row>
    <row r="7" ht="18.75" customHeight="1">
      <c r="A7" s="98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Table5[[#This Row],[ (T/B) SAR]]+Table5[[#This Row],[ (S/S) SAR]]</f>
        <v/>
      </c>
      <c r="L7" s="45" t="n"/>
      <c r="M7" s="46" t="n"/>
      <c r="N7" s="46" t="n"/>
      <c r="O7" s="40" t="n"/>
      <c r="P7" s="3">
        <f>Table5[[#This Row],[ (S/S) SAR]]-Table5[[#This Row],[(S/S) AJD]]</f>
        <v/>
      </c>
      <c r="Q7" s="40" t="n"/>
      <c r="R7" s="3">
        <f>Table5[[#This Row],[ (T/B) SAR]]-Table5[[#This Row],[(T/B) AJD]]</f>
        <v/>
      </c>
      <c r="S7" s="3">
        <f>Table5[[#This Row],[S/S_CON.]]+Table5[[#This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Table5[[#This Row],[(RESV. STORGE) AJD]]/10</f>
        <v/>
      </c>
      <c r="AB7" s="3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32" t="n"/>
      <c r="AN7" s="32">
        <f>Table5[[#This Row],[ (RESV. STORGE) SER]]/10</f>
        <v/>
      </c>
      <c r="AO7" s="68" t="n"/>
      <c r="AP7" s="100">
        <f>Table5[[#This Row],[(A/S) AJD]]-Table5[[#This Row],[SER_IN]]</f>
        <v/>
      </c>
    </row>
    <row r="8" ht="18.75" customHeight="1">
      <c r="A8" s="98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Table5[[#This Row],[ (T/B) SAR]]+Table5[[#This Row],[ (S/S) SAR]]</f>
        <v/>
      </c>
      <c r="L8" s="41" t="n"/>
      <c r="M8" s="42" t="n"/>
      <c r="N8" s="42" t="n"/>
      <c r="O8" s="39" t="n"/>
      <c r="P8" s="3">
        <f>Table5[[#This Row],[ (S/S) SAR]]-Table5[[#This Row],[(S/S) AJD]]</f>
        <v/>
      </c>
      <c r="Q8" s="39" t="n"/>
      <c r="R8" s="3">
        <f>Table5[[#This Row],[ (T/B) SAR]]-Table5[[#This Row],[(T/B) AJD]]</f>
        <v/>
      </c>
      <c r="S8" s="3">
        <f>Table5[[#This Row],[S/S_CON.]]+Table5[[#This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Table5[[#This Row],[(RESV. STORGE) AJD]]/10</f>
        <v/>
      </c>
      <c r="AB8" s="3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32" t="n"/>
      <c r="AN8" s="32">
        <f>Table5[[#This Row],[ (RESV. STORGE) SER]]/10</f>
        <v/>
      </c>
      <c r="AO8" s="68" t="n"/>
      <c r="AP8" s="100">
        <f>Table5[[#This Row],[(A/S) AJD]]-Table5[[#This Row],[SER_IN]]</f>
        <v/>
      </c>
    </row>
    <row r="9" ht="18.75" customHeight="1">
      <c r="A9" s="98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Table5[[#This Row],[ (T/B) SAR]]+Table5[[#This Row],[ (S/S) SAR]]</f>
        <v/>
      </c>
      <c r="L9" s="45" t="n"/>
      <c r="M9" s="46" t="n"/>
      <c r="N9" s="46" t="n"/>
      <c r="O9" s="40" t="n"/>
      <c r="P9" s="3">
        <f>Table5[[#This Row],[ (S/S) SAR]]-Table5[[#This Row],[(S/S) AJD]]</f>
        <v/>
      </c>
      <c r="Q9" s="40" t="n"/>
      <c r="R9" s="3">
        <f>Table5[[#This Row],[ (T/B) SAR]]-Table5[[#This Row],[(T/B) AJD]]</f>
        <v/>
      </c>
      <c r="S9" s="3">
        <f>Table5[[#This Row],[S/S_CON.]]+Table5[[#This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Table5[[#This Row],[(RESV. STORGE) AJD]]/10</f>
        <v/>
      </c>
      <c r="AB9" s="3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32" t="n"/>
      <c r="AN9" s="32">
        <f>Table5[[#This Row],[ (RESV. STORGE) SER]]/10</f>
        <v/>
      </c>
      <c r="AO9" s="68" t="n"/>
      <c r="AP9" s="100">
        <f>Table5[[#This Row],[(A/S) AJD]]-Table5[[#This Row],[SER_IN]]</f>
        <v/>
      </c>
    </row>
    <row r="10" ht="18.75" customHeight="1">
      <c r="A10" s="98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Table5[[#This Row],[ (T/B) SAR]]+Table5[[#This Row],[ (S/S) SAR]]</f>
        <v/>
      </c>
      <c r="L10" s="41" t="n"/>
      <c r="M10" s="42" t="n"/>
      <c r="N10" s="42" t="n"/>
      <c r="O10" s="39" t="n"/>
      <c r="P10" s="3">
        <f>Table5[[#This Row],[ (S/S) SAR]]-Table5[[#This Row],[(S/S) AJD]]</f>
        <v/>
      </c>
      <c r="Q10" s="39" t="n"/>
      <c r="R10" s="3">
        <f>Table5[[#This Row],[ (T/B) SAR]]-Table5[[#This Row],[(T/B) AJD]]</f>
        <v/>
      </c>
      <c r="S10" s="3">
        <f>Table5[[#This Row],[S/S_CON.]]+Table5[[#This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Table5[[#This Row],[(RESV. STORGE) AJD]]/10</f>
        <v/>
      </c>
      <c r="AB10" s="3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32" t="n"/>
      <c r="AN10" s="32">
        <f>Table5[[#This Row],[ (RESV. STORGE) SER]]/10</f>
        <v/>
      </c>
      <c r="AO10" s="68" t="n"/>
      <c r="AP10" s="100">
        <f>Table5[[#This Row],[(A/S) AJD]]-Table5[[#This Row],[SER_IN]]</f>
        <v/>
      </c>
    </row>
    <row r="11" ht="18.75" customHeight="1">
      <c r="A11" s="98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Table5[[#This Row],[ (T/B) SAR]]+Table5[[#This Row],[ (S/S) SAR]]</f>
        <v/>
      </c>
      <c r="L11" s="45" t="n"/>
      <c r="M11" s="46" t="n"/>
      <c r="N11" s="46" t="n"/>
      <c r="O11" s="40" t="n"/>
      <c r="P11" s="3">
        <f>Table5[[#This Row],[ (S/S) SAR]]-Table5[[#This Row],[(S/S) AJD]]</f>
        <v/>
      </c>
      <c r="Q11" s="40" t="n"/>
      <c r="R11" s="3">
        <f>Table5[[#This Row],[ (T/B) SAR]]-Table5[[#This Row],[(T/B) AJD]]</f>
        <v/>
      </c>
      <c r="S11" s="3">
        <f>Table5[[#This Row],[S/S_CON.]]+Table5[[#This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Table5[[#This Row],[(RESV. STORGE) AJD]]/10</f>
        <v/>
      </c>
      <c r="AB11" s="3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32" t="n"/>
      <c r="AN11" s="32">
        <f>Table5[[#This Row],[ (RESV. STORGE) SER]]/10</f>
        <v/>
      </c>
      <c r="AO11" s="68" t="n"/>
      <c r="AP11" s="100">
        <f>Table5[[#This Row],[(A/S) AJD]]-Table5[[#This Row],[SER_IN]]</f>
        <v/>
      </c>
    </row>
    <row r="12" ht="18.75" customHeight="1">
      <c r="A12" s="98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Table5[[#This Row],[ (T/B) SAR]]+Table5[[#This Row],[ (S/S) SAR]]</f>
        <v/>
      </c>
      <c r="L12" s="41" t="n"/>
      <c r="M12" s="42" t="n"/>
      <c r="N12" s="42" t="n"/>
      <c r="O12" s="39" t="n"/>
      <c r="P12" s="3">
        <f>Table5[[#This Row],[ (S/S) SAR]]-Table5[[#This Row],[(S/S) AJD]]</f>
        <v/>
      </c>
      <c r="Q12" s="39" t="n"/>
      <c r="R12" s="3">
        <f>Table5[[#This Row],[ (T/B) SAR]]-Table5[[#This Row],[(T/B) AJD]]</f>
        <v/>
      </c>
      <c r="S12" s="3">
        <f>Table5[[#This Row],[S/S_CON.]]+Table5[[#This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Table5[[#This Row],[(RESV. STORGE) AJD]]/10</f>
        <v/>
      </c>
      <c r="AB12" s="3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32" t="n"/>
      <c r="AN12" s="32">
        <f>Table5[[#This Row],[ (RESV. STORGE) SER]]/10</f>
        <v/>
      </c>
      <c r="AO12" s="68" t="n"/>
      <c r="AP12" s="100">
        <f>Table5[[#This Row],[(A/S) AJD]]-Table5[[#This Row],[SER_IN]]</f>
        <v/>
      </c>
    </row>
    <row r="13" ht="18.75" customHeight="1">
      <c r="A13" s="98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Table5[[#This Row],[ (T/B) SAR]]+Table5[[#This Row],[ (S/S) SAR]]</f>
        <v/>
      </c>
      <c r="L13" s="45" t="n"/>
      <c r="M13" s="46" t="n"/>
      <c r="N13" s="46" t="n"/>
      <c r="O13" s="40" t="n"/>
      <c r="P13" s="3">
        <f>Table5[[#This Row],[ (S/S) SAR]]-Table5[[#This Row],[(S/S) AJD]]</f>
        <v/>
      </c>
      <c r="Q13" s="40" t="n"/>
      <c r="R13" s="3">
        <f>Table5[[#This Row],[ (T/B) SAR]]-Table5[[#This Row],[(T/B) AJD]]</f>
        <v/>
      </c>
      <c r="S13" s="3">
        <f>Table5[[#This Row],[S/S_CON.]]+Table5[[#This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Table5[[#This Row],[(RESV. STORGE) AJD]]/10</f>
        <v/>
      </c>
      <c r="AB13" s="3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32" t="n"/>
      <c r="AN13" s="32">
        <f>Table5[[#This Row],[ (RESV. STORGE) SER]]/10</f>
        <v/>
      </c>
      <c r="AO13" s="68" t="n"/>
      <c r="AP13" s="100">
        <f>Table5[[#This Row],[(A/S) AJD]]-Table5[[#This Row],[SER_IN]]</f>
        <v/>
      </c>
    </row>
    <row r="14" ht="18.75" customHeight="1">
      <c r="A14" s="98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Table5[[#This Row],[ (T/B) SAR]]+Table5[[#This Row],[ (S/S) SAR]]</f>
        <v/>
      </c>
      <c r="L14" s="41" t="n"/>
      <c r="M14" s="42" t="n"/>
      <c r="N14" s="42" t="n"/>
      <c r="O14" s="39" t="n"/>
      <c r="P14" s="3">
        <f>Table5[[#This Row],[ (S/S) SAR]]-Table5[[#This Row],[(S/S) AJD]]</f>
        <v/>
      </c>
      <c r="Q14" s="39" t="n"/>
      <c r="R14" s="3">
        <f>Table5[[#This Row],[ (T/B) SAR]]-Table5[[#This Row],[(T/B) AJD]]</f>
        <v/>
      </c>
      <c r="S14" s="3">
        <f>Table5[[#This Row],[S/S_CON.]]+Table5[[#This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Table5[[#This Row],[(RESV. STORGE) AJD]]/10</f>
        <v/>
      </c>
      <c r="AB14" s="3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32" t="n"/>
      <c r="AN14" s="32">
        <f>Table5[[#This Row],[ (RESV. STORGE) SER]]/10</f>
        <v/>
      </c>
      <c r="AO14" s="68" t="n"/>
      <c r="AP14" s="100">
        <f>Table5[[#This Row],[(A/S) AJD]]-Table5[[#This Row],[SER_IN]]</f>
        <v/>
      </c>
    </row>
    <row r="15" ht="18.75" customHeight="1">
      <c r="A15" s="98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Table5[[#This Row],[ (T/B) SAR]]+Table5[[#This Row],[ (S/S) SAR]]</f>
        <v/>
      </c>
      <c r="L15" s="45" t="n"/>
      <c r="M15" s="46" t="n"/>
      <c r="N15" s="46" t="n"/>
      <c r="O15" s="40" t="n"/>
      <c r="P15" s="3">
        <f>Table5[[#This Row],[ (S/S) SAR]]-Table5[[#This Row],[(S/S) AJD]]</f>
        <v/>
      </c>
      <c r="Q15" s="40" t="n"/>
      <c r="R15" s="3">
        <f>Table5[[#This Row],[ (T/B) SAR]]-Table5[[#This Row],[(T/B) AJD]]</f>
        <v/>
      </c>
      <c r="S15" s="3">
        <f>Table5[[#This Row],[S/S_CON.]]+Table5[[#This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Table5[[#This Row],[(RESV. STORGE) AJD]]/10</f>
        <v/>
      </c>
      <c r="AB15" s="3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32" t="n"/>
      <c r="AN15" s="32">
        <f>Table5[[#This Row],[ (RESV. STORGE) SER]]/10</f>
        <v/>
      </c>
      <c r="AO15" s="68" t="n"/>
      <c r="AP15" s="100">
        <f>Table5[[#This Row],[(A/S) AJD]]-Table5[[#This Row],[SER_IN]]</f>
        <v/>
      </c>
    </row>
    <row r="16" ht="18.75" customHeight="1">
      <c r="A16" s="98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Table5[[#This Row],[ (T/B) SAR]]+Table5[[#This Row],[ (S/S) SAR]]</f>
        <v/>
      </c>
      <c r="L16" s="41" t="n"/>
      <c r="M16" s="42" t="n"/>
      <c r="N16" s="42" t="n"/>
      <c r="O16" s="39" t="n"/>
      <c r="P16" s="3">
        <f>Table5[[#This Row],[ (S/S) SAR]]-Table5[[#This Row],[(S/S) AJD]]</f>
        <v/>
      </c>
      <c r="Q16" s="39" t="n"/>
      <c r="R16" s="3">
        <f>Table5[[#This Row],[ (T/B) SAR]]-Table5[[#This Row],[(T/B) AJD]]</f>
        <v/>
      </c>
      <c r="S16" s="3">
        <f>Table5[[#This Row],[S/S_CON.]]+Table5[[#This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Table5[[#This Row],[(RESV. STORGE) AJD]]/10</f>
        <v/>
      </c>
      <c r="AB16" s="3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32" t="n"/>
      <c r="AN16" s="32">
        <f>Table5[[#This Row],[ (RESV. STORGE) SER]]/10</f>
        <v/>
      </c>
      <c r="AO16" s="68" t="n"/>
      <c r="AP16" s="100">
        <f>Table5[[#This Row],[(A/S) AJD]]-Table5[[#This Row],[SER_IN]]</f>
        <v/>
      </c>
    </row>
    <row r="17" ht="18.75" customHeight="1">
      <c r="A17" s="98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Table5[[#This Row],[ (T/B) SAR]]+Table5[[#This Row],[ (S/S) SAR]]</f>
        <v/>
      </c>
      <c r="L17" s="45" t="n"/>
      <c r="M17" s="46" t="n"/>
      <c r="N17" s="46" t="n"/>
      <c r="O17" s="40" t="n"/>
      <c r="P17" s="3">
        <f>Table5[[#This Row],[ (S/S) SAR]]-Table5[[#This Row],[(S/S) AJD]]</f>
        <v/>
      </c>
      <c r="Q17" s="40" t="n"/>
      <c r="R17" s="3">
        <f>Table5[[#This Row],[ (T/B) SAR]]-Table5[[#This Row],[(T/B) AJD]]</f>
        <v/>
      </c>
      <c r="S17" s="3">
        <f>Table5[[#This Row],[S/S_CON.]]+Table5[[#This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Table5[[#This Row],[(RESV. STORGE) AJD]]/10</f>
        <v/>
      </c>
      <c r="AB17" s="3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32" t="n"/>
      <c r="AN17" s="32">
        <f>Table5[[#This Row],[ (RESV. STORGE) SER]]/10</f>
        <v/>
      </c>
      <c r="AO17" s="68" t="n"/>
      <c r="AP17" s="100">
        <f>Table5[[#This Row],[(A/S) AJD]]-Table5[[#This Row],[SER_IN]]</f>
        <v/>
      </c>
    </row>
    <row r="18" ht="18.75" customHeight="1">
      <c r="A18" s="98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Table5[[#This Row],[ (T/B) SAR]]+Table5[[#This Row],[ (S/S) SAR]]</f>
        <v/>
      </c>
      <c r="L18" s="41" t="n"/>
      <c r="M18" s="42" t="n"/>
      <c r="N18" s="42" t="n"/>
      <c r="O18" s="39" t="n"/>
      <c r="P18" s="3">
        <f>Table5[[#This Row],[ (S/S) SAR]]-Table5[[#This Row],[(S/S) AJD]]</f>
        <v/>
      </c>
      <c r="Q18" s="39" t="n"/>
      <c r="R18" s="3">
        <f>Table5[[#This Row],[ (T/B) SAR]]-Table5[[#This Row],[(T/B) AJD]]</f>
        <v/>
      </c>
      <c r="S18" s="3">
        <f>Table5[[#This Row],[S/S_CON.]]+Table5[[#This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Table5[[#This Row],[(RESV. STORGE) AJD]]/10</f>
        <v/>
      </c>
      <c r="AB18" s="3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32" t="n"/>
      <c r="AN18" s="32">
        <f>Table5[[#This Row],[ (RESV. STORGE) SER]]/10</f>
        <v/>
      </c>
      <c r="AO18" s="68" t="n"/>
      <c r="AP18" s="100">
        <f>Table5[[#This Row],[(A/S) AJD]]-Table5[[#This Row],[SER_IN]]</f>
        <v/>
      </c>
    </row>
    <row r="19" ht="18.75" customHeight="1">
      <c r="A19" s="98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Table5[[#This Row],[ (T/B) SAR]]+Table5[[#This Row],[ (S/S) SAR]]</f>
        <v/>
      </c>
      <c r="L19" s="45" t="n"/>
      <c r="M19" s="46" t="n"/>
      <c r="N19" s="46" t="n"/>
      <c r="O19" s="40" t="n"/>
      <c r="P19" s="3">
        <f>Table5[[#This Row],[ (S/S) SAR]]-Table5[[#This Row],[(S/S) AJD]]</f>
        <v/>
      </c>
      <c r="Q19" s="40" t="n"/>
      <c r="R19" s="3">
        <f>Table5[[#This Row],[ (T/B) SAR]]-Table5[[#This Row],[(T/B) AJD]]</f>
        <v/>
      </c>
      <c r="S19" s="3">
        <f>Table5[[#This Row],[S/S_CON.]]+Table5[[#This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Table5[[#This Row],[(RESV. STORGE) AJD]]/10</f>
        <v/>
      </c>
      <c r="AB19" s="3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32" t="n"/>
      <c r="AN19" s="32">
        <f>Table5[[#This Row],[ (RESV. STORGE) SER]]/10</f>
        <v/>
      </c>
      <c r="AO19" s="68" t="n"/>
      <c r="AP19" s="100">
        <f>Table5[[#This Row],[(A/S) AJD]]-Table5[[#This Row],[SER_IN]]</f>
        <v/>
      </c>
    </row>
    <row r="20" ht="18.75" customHeight="1">
      <c r="A20" s="98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Table5[[#This Row],[ (T/B) SAR]]+Table5[[#This Row],[ (S/S) SAR]]</f>
        <v/>
      </c>
      <c r="L20" s="41" t="n"/>
      <c r="M20" s="42" t="n"/>
      <c r="N20" s="42" t="n"/>
      <c r="O20" s="39" t="n"/>
      <c r="P20" s="3">
        <f>Table5[[#This Row],[ (S/S) SAR]]-Table5[[#This Row],[(S/S) AJD]]</f>
        <v/>
      </c>
      <c r="Q20" s="39" t="n"/>
      <c r="R20" s="3">
        <f>Table5[[#This Row],[ (T/B) SAR]]-Table5[[#This Row],[(T/B) AJD]]</f>
        <v/>
      </c>
      <c r="S20" s="3">
        <f>Table5[[#This Row],[S/S_CON.]]+Table5[[#This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Table5[[#This Row],[(RESV. STORGE) AJD]]/10</f>
        <v/>
      </c>
      <c r="AB20" s="3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32" t="n"/>
      <c r="AN20" s="32">
        <f>Table5[[#This Row],[ (RESV. STORGE) SER]]/10</f>
        <v/>
      </c>
      <c r="AO20" s="68" t="n"/>
      <c r="AP20" s="100">
        <f>Table5[[#This Row],[(A/S) AJD]]-Table5[[#This Row],[SER_IN]]</f>
        <v/>
      </c>
    </row>
    <row r="21" ht="18.75" customHeight="1">
      <c r="A21" s="98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Table5[[#This Row],[ (T/B) SAR]]+Table5[[#This Row],[ (S/S) SAR]]</f>
        <v/>
      </c>
      <c r="L21" s="45" t="n"/>
      <c r="M21" s="46" t="n"/>
      <c r="N21" s="46" t="n"/>
      <c r="O21" s="40" t="n"/>
      <c r="P21" s="3">
        <f>Table5[[#This Row],[ (S/S) SAR]]-Table5[[#This Row],[(S/S) AJD]]</f>
        <v/>
      </c>
      <c r="Q21" s="40" t="n"/>
      <c r="R21" s="3">
        <f>Table5[[#This Row],[ (T/B) SAR]]-Table5[[#This Row],[(T/B) AJD]]</f>
        <v/>
      </c>
      <c r="S21" s="3">
        <f>Table5[[#This Row],[S/S_CON.]]+Table5[[#This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Table5[[#This Row],[(RESV. STORGE) AJD]]/10</f>
        <v/>
      </c>
      <c r="AB21" s="3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32" t="n"/>
      <c r="AN21" s="32">
        <f>Table5[[#This Row],[ (RESV. STORGE) SER]]/10</f>
        <v/>
      </c>
      <c r="AO21" s="68" t="n"/>
      <c r="AP21" s="100">
        <f>Table5[[#This Row],[(A/S) AJD]]-Table5[[#This Row],[SER_IN]]</f>
        <v/>
      </c>
    </row>
    <row r="22" ht="18.75" customHeight="1">
      <c r="A22" s="98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Table5[[#This Row],[ (T/B) SAR]]+Table5[[#This Row],[ (S/S) SAR]]</f>
        <v/>
      </c>
      <c r="L22" s="41" t="n"/>
      <c r="M22" s="42" t="n"/>
      <c r="N22" s="42" t="n"/>
      <c r="O22" s="39" t="n"/>
      <c r="P22" s="3">
        <f>Table5[[#This Row],[ (S/S) SAR]]-Table5[[#This Row],[(S/S) AJD]]</f>
        <v/>
      </c>
      <c r="Q22" s="39" t="n"/>
      <c r="R22" s="3">
        <f>Table5[[#This Row],[ (T/B) SAR]]-Table5[[#This Row],[(T/B) AJD]]</f>
        <v/>
      </c>
      <c r="S22" s="3">
        <f>Table5[[#This Row],[S/S_CON.]]+Table5[[#This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Table5[[#This Row],[(RESV. STORGE) AJD]]/10</f>
        <v/>
      </c>
      <c r="AB22" s="3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32" t="n"/>
      <c r="AN22" s="32">
        <f>Table5[[#This Row],[ (RESV. STORGE) SER]]/10</f>
        <v/>
      </c>
      <c r="AO22" s="68" t="n"/>
      <c r="AP22" s="100">
        <f>Table5[[#This Row],[(A/S) AJD]]-Table5[[#This Row],[SER_IN]]</f>
        <v/>
      </c>
    </row>
    <row r="23" ht="18.75" customHeight="1">
      <c r="A23" s="98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Table5[[#This Row],[ (T/B) SAR]]+Table5[[#This Row],[ (S/S) SAR]]</f>
        <v/>
      </c>
      <c r="L23" s="45" t="n"/>
      <c r="M23" s="46" t="n"/>
      <c r="N23" s="46" t="n"/>
      <c r="O23" s="40" t="n"/>
      <c r="P23" s="3">
        <f>Table5[[#This Row],[ (S/S) SAR]]-Table5[[#This Row],[(S/S) AJD]]</f>
        <v/>
      </c>
      <c r="Q23" s="40" t="n"/>
      <c r="R23" s="3">
        <f>Table5[[#This Row],[ (T/B) SAR]]-Table5[[#This Row],[(T/B) AJD]]</f>
        <v/>
      </c>
      <c r="S23" s="3">
        <f>Table5[[#This Row],[S/S_CON.]]+Table5[[#This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Table5[[#This Row],[(RESV. STORGE) AJD]]/10</f>
        <v/>
      </c>
      <c r="AB23" s="3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32" t="n"/>
      <c r="AN23" s="32">
        <f>Table5[[#This Row],[ (RESV. STORGE) SER]]/10</f>
        <v/>
      </c>
      <c r="AO23" s="68" t="n"/>
      <c r="AP23" s="100">
        <f>Table5[[#This Row],[(A/S) AJD]]-Table5[[#This Row],[SER_IN]]</f>
        <v/>
      </c>
    </row>
    <row r="24" ht="18.75" customHeight="1">
      <c r="A24" s="98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Table5[[#This Row],[ (T/B) SAR]]+Table5[[#This Row],[ (S/S) SAR]]</f>
        <v/>
      </c>
      <c r="L24" s="41" t="n"/>
      <c r="M24" s="42" t="n"/>
      <c r="N24" s="42" t="n"/>
      <c r="O24" s="39" t="n"/>
      <c r="P24" s="3">
        <f>Table5[[#This Row],[ (S/S) SAR]]-Table5[[#This Row],[(S/S) AJD]]</f>
        <v/>
      </c>
      <c r="Q24" s="39" t="n"/>
      <c r="R24" s="3">
        <f>Table5[[#This Row],[ (T/B) SAR]]-Table5[[#This Row],[(T/B) AJD]]</f>
        <v/>
      </c>
      <c r="S24" s="3">
        <f>Table5[[#This Row],[S/S_CON.]]+Table5[[#This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Table5[[#This Row],[(RESV. STORGE) AJD]]/10</f>
        <v/>
      </c>
      <c r="AB24" s="3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32" t="n"/>
      <c r="AN24" s="32">
        <f>Table5[[#This Row],[ (RESV. STORGE) SER]]/10</f>
        <v/>
      </c>
      <c r="AO24" s="68" t="n"/>
      <c r="AP24" s="100">
        <f>Table5[[#This Row],[(A/S) AJD]]-Table5[[#This Row],[SER_IN]]</f>
        <v/>
      </c>
    </row>
    <row r="25" ht="18.75" customHeight="1">
      <c r="A25" s="98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Table5[[#This Row],[ (T/B) SAR]]+Table5[[#This Row],[ (S/S) SAR]]</f>
        <v/>
      </c>
      <c r="L25" s="45" t="n"/>
      <c r="M25" s="46" t="n"/>
      <c r="N25" s="46" t="n"/>
      <c r="O25" s="40" t="n"/>
      <c r="P25" s="3">
        <f>Table5[[#This Row],[ (S/S) SAR]]-Table5[[#This Row],[(S/S) AJD]]</f>
        <v/>
      </c>
      <c r="Q25" s="40" t="n"/>
      <c r="R25" s="3">
        <f>Table5[[#This Row],[ (T/B) SAR]]-Table5[[#This Row],[(T/B) AJD]]</f>
        <v/>
      </c>
      <c r="S25" s="3">
        <f>Table5[[#This Row],[S/S_CON.]]+Table5[[#This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Table5[[#This Row],[(RESV. STORGE) AJD]]/10</f>
        <v/>
      </c>
      <c r="AB25" s="3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32" t="n"/>
      <c r="AN25" s="32">
        <f>Table5[[#This Row],[ (RESV. STORGE) SER]]/10</f>
        <v/>
      </c>
      <c r="AO25" s="68" t="n"/>
      <c r="AP25" s="100">
        <f>Table5[[#This Row],[(A/S) AJD]]-Table5[[#This Row],[SER_IN]]</f>
        <v/>
      </c>
    </row>
    <row r="26" ht="18.75" customHeight="1">
      <c r="A26" s="98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Table5[[#This Row],[ (T/B) SAR]]+Table5[[#This Row],[ (S/S) SAR]]</f>
        <v/>
      </c>
      <c r="L26" s="41" t="n"/>
      <c r="M26" s="42" t="n"/>
      <c r="N26" s="42" t="n"/>
      <c r="O26" s="39" t="n"/>
      <c r="P26" s="3">
        <f>Table5[[#This Row],[ (S/S) SAR]]-Table5[[#This Row],[(S/S) AJD]]</f>
        <v/>
      </c>
      <c r="Q26" s="39" t="n"/>
      <c r="R26" s="3">
        <f>Table5[[#This Row],[ (T/B) SAR]]-Table5[[#This Row],[(T/B) AJD]]</f>
        <v/>
      </c>
      <c r="S26" s="3">
        <f>Table5[[#This Row],[S/S_CON.]]+Table5[[#This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Table5[[#This Row],[(RESV. STORGE) AJD]]/10</f>
        <v/>
      </c>
      <c r="AB26" s="3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32" t="n"/>
      <c r="AN26" s="32">
        <f>Table5[[#This Row],[ (RESV. STORGE) SER]]/10</f>
        <v/>
      </c>
      <c r="AO26" s="68" t="n"/>
      <c r="AP26" s="100">
        <f>Table5[[#This Row],[(A/S) AJD]]-Table5[[#This Row],[SER_IN]]</f>
        <v/>
      </c>
    </row>
    <row r="27" ht="18.75" customHeight="1">
      <c r="A27" s="98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Table5[[#This Row],[ (T/B) SAR]]+Table5[[#This Row],[ (S/S) SAR]]</f>
        <v/>
      </c>
      <c r="L27" s="45" t="n"/>
      <c r="M27" s="46" t="n"/>
      <c r="N27" s="46" t="n"/>
      <c r="O27" s="40" t="n"/>
      <c r="P27" s="3">
        <f>Table5[[#This Row],[ (S/S) SAR]]-Table5[[#This Row],[(S/S) AJD]]</f>
        <v/>
      </c>
      <c r="Q27" s="40" t="n"/>
      <c r="R27" s="3">
        <f>Table5[[#This Row],[ (T/B) SAR]]-Table5[[#This Row],[(T/B) AJD]]</f>
        <v/>
      </c>
      <c r="S27" s="3">
        <f>Table5[[#This Row],[S/S_CON.]]+Table5[[#This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Table5[[#This Row],[(RESV. STORGE) AJD]]/10</f>
        <v/>
      </c>
      <c r="AB27" s="3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32" t="n"/>
      <c r="AN27" s="32">
        <f>Table5[[#This Row],[ (RESV. STORGE) SER]]/10</f>
        <v/>
      </c>
      <c r="AO27" s="68" t="n"/>
      <c r="AP27" s="100">
        <f>Table5[[#This Row],[(A/S) AJD]]-Table5[[#This Row],[SER_IN]]</f>
        <v/>
      </c>
    </row>
    <row r="28" ht="18.75" customHeight="1">
      <c r="A28" s="98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Table5[[#This Row],[ (T/B) SAR]]+Table5[[#This Row],[ (S/S) SAR]]</f>
        <v/>
      </c>
      <c r="L28" s="41" t="n"/>
      <c r="M28" s="42" t="n"/>
      <c r="N28" s="42" t="n"/>
      <c r="O28" s="39" t="n"/>
      <c r="P28" s="3">
        <f>Table5[[#This Row],[ (S/S) SAR]]-Table5[[#This Row],[(S/S) AJD]]</f>
        <v/>
      </c>
      <c r="Q28" s="39" t="n"/>
      <c r="R28" s="3">
        <f>Table5[[#This Row],[ (T/B) SAR]]-Table5[[#This Row],[(T/B) AJD]]</f>
        <v/>
      </c>
      <c r="S28" s="3">
        <f>Table5[[#This Row],[S/S_CON.]]+Table5[[#This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Table5[[#This Row],[(RESV. STORGE) AJD]]/10</f>
        <v/>
      </c>
      <c r="AB28" s="3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32" t="n"/>
      <c r="AN28" s="32">
        <f>Table5[[#This Row],[ (RESV. STORGE) SER]]/10</f>
        <v/>
      </c>
      <c r="AO28" s="68" t="n"/>
      <c r="AP28" s="100">
        <f>Table5[[#This Row],[(A/S) AJD]]-Table5[[#This Row],[SER_IN]]</f>
        <v/>
      </c>
    </row>
    <row r="29" ht="18.75" customHeight="1">
      <c r="A29" s="98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Table5[[#This Row],[ (T/B) SAR]]+Table5[[#This Row],[ (S/S) SAR]]</f>
        <v/>
      </c>
      <c r="L29" s="45" t="n"/>
      <c r="M29" s="46" t="n"/>
      <c r="N29" s="46" t="n"/>
      <c r="O29" s="40" t="n"/>
      <c r="P29" s="3">
        <f>Table5[[#This Row],[ (S/S) SAR]]-Table5[[#This Row],[(S/S) AJD]]</f>
        <v/>
      </c>
      <c r="Q29" s="40" t="n"/>
      <c r="R29" s="3">
        <f>Table5[[#This Row],[ (T/B) SAR]]-Table5[[#This Row],[(T/B) AJD]]</f>
        <v/>
      </c>
      <c r="S29" s="3">
        <f>Table5[[#This Row],[S/S_CON.]]+Table5[[#This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Table5[[#This Row],[(RESV. STORGE) AJD]]/10</f>
        <v/>
      </c>
      <c r="AB29" s="3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32" t="n"/>
      <c r="AN29" s="32">
        <f>Table5[[#This Row],[ (RESV. STORGE) SER]]/10</f>
        <v/>
      </c>
      <c r="AO29" s="68" t="n"/>
      <c r="AP29" s="100">
        <f>Table5[[#This Row],[(A/S) AJD]]-Table5[[#This Row],[SER_IN]]</f>
        <v/>
      </c>
    </row>
    <row r="30" ht="18.75" customHeight="1">
      <c r="A30" s="98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Table5[[#This Row],[ (T/B) SAR]]+Table5[[#This Row],[ (S/S) SAR]]</f>
        <v/>
      </c>
      <c r="L30" s="41" t="n"/>
      <c r="M30" s="42" t="n"/>
      <c r="N30" s="42" t="n"/>
      <c r="O30" s="39" t="n"/>
      <c r="P30" s="3">
        <f>Table5[[#This Row],[ (S/S) SAR]]-Table5[[#This Row],[(S/S) AJD]]</f>
        <v/>
      </c>
      <c r="Q30" s="39" t="n"/>
      <c r="R30" s="3">
        <f>Table5[[#This Row],[ (T/B) SAR]]-Table5[[#This Row],[(T/B) AJD]]</f>
        <v/>
      </c>
      <c r="S30" s="3">
        <f>Table5[[#This Row],[S/S_CON.]]+Table5[[#This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Table5[[#This Row],[(RESV. STORGE) AJD]]/10</f>
        <v/>
      </c>
      <c r="AB30" s="3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32" t="n"/>
      <c r="AN30" s="32">
        <f>Table5[[#This Row],[ (RESV. STORGE) SER]]/10</f>
        <v/>
      </c>
      <c r="AO30" s="68" t="n"/>
      <c r="AP30" s="100">
        <f>Table5[[#This Row],[(A/S) AJD]]-Table5[[#This Row],[SER_IN]]</f>
        <v/>
      </c>
    </row>
    <row r="31" ht="18.75" customHeight="1">
      <c r="A31" s="98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Table5[[#This Row],[ (T/B) SAR]]+Table5[[#This Row],[ (S/S) SAR]]</f>
        <v/>
      </c>
      <c r="L31" s="45" t="n"/>
      <c r="M31" s="46" t="n"/>
      <c r="N31" s="46" t="n"/>
      <c r="O31" s="40" t="n"/>
      <c r="P31" s="3">
        <f>Table5[[#This Row],[ (S/S) SAR]]-Table5[[#This Row],[(S/S) AJD]]</f>
        <v/>
      </c>
      <c r="Q31" s="40" t="n"/>
      <c r="R31" s="3">
        <f>Table5[[#This Row],[ (T/B) SAR]]-Table5[[#This Row],[(T/B) AJD]]</f>
        <v/>
      </c>
      <c r="S31" s="3">
        <f>Table5[[#This Row],[S/S_CON.]]+Table5[[#This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Table5[[#This Row],[(RESV. STORGE) AJD]]/10</f>
        <v/>
      </c>
      <c r="AB31" s="3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32" t="n"/>
      <c r="AN31" s="32">
        <f>Table5[[#This Row],[ (RESV. STORGE) SER]]/10</f>
        <v/>
      </c>
      <c r="AO31" s="68" t="n"/>
      <c r="AP31" s="100">
        <f>Table5[[#This Row],[(A/S) AJD]]-Table5[[#This Row],[SER_IN]]</f>
        <v/>
      </c>
    </row>
    <row r="32" ht="18.75" customHeight="1">
      <c r="A32" s="98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Table5[[#This Row],[ (T/B) SAR]]+Table5[[#This Row],[ (S/S) SAR]]</f>
        <v/>
      </c>
      <c r="L32" s="41" t="n"/>
      <c r="M32" s="42" t="n"/>
      <c r="N32" s="42" t="n"/>
      <c r="O32" s="39" t="n"/>
      <c r="P32" s="3">
        <f>Table5[[#This Row],[ (S/S) SAR]]-Table5[[#This Row],[(S/S) AJD]]</f>
        <v/>
      </c>
      <c r="Q32" s="39" t="n"/>
      <c r="R32" s="3">
        <f>Table5[[#This Row],[ (T/B) SAR]]-Table5[[#This Row],[(T/B) AJD]]</f>
        <v/>
      </c>
      <c r="S32" s="3">
        <f>Table5[[#This Row],[S/S_CON.]]+Table5[[#This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Table5[[#This Row],[(RESV. STORGE) AJD]]/10</f>
        <v/>
      </c>
      <c r="AB32" s="3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32" t="n"/>
      <c r="AN32" s="32">
        <f>Table5[[#This Row],[ (RESV. STORGE) SER]]/10</f>
        <v/>
      </c>
      <c r="AO32" s="68" t="n"/>
      <c r="AP32" s="100">
        <f>Table5[[#This Row],[(A/S) AJD]]-Table5[[#This Row],[SER_IN]]</f>
        <v/>
      </c>
    </row>
    <row r="33" ht="18.75" customHeight="1">
      <c r="A33" s="98" t="n">
        <v>47150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Table5[[#This Row],[ (T/B) SAR]]+Table5[[#This Row],[ (S/S) SAR]]</f>
        <v/>
      </c>
      <c r="L33" s="41" t="n"/>
      <c r="M33" s="42" t="n"/>
      <c r="N33" s="42" t="n"/>
      <c r="O33" s="39" t="n"/>
      <c r="P33" s="3">
        <f>Table5[[#This Row],[ (S/S) SAR]]-Table5[[#This Row],[(S/S) AJD]]</f>
        <v/>
      </c>
      <c r="Q33" s="39" t="n"/>
      <c r="R33" s="3">
        <f>Table5[[#This Row],[ (T/B) SAR]]-Table5[[#This Row],[(T/B) AJD]]</f>
        <v/>
      </c>
      <c r="S33" s="3">
        <f>Table5[[#This Row],[S/S_CON.]]+Table5[[#This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Table5[[#This Row],[(RESV. STORGE) AJD]]/10</f>
        <v/>
      </c>
      <c r="AB33" s="3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32" t="n"/>
      <c r="AN33" s="32">
        <f>Table5[[#This Row],[ (RESV. STORGE) SER]]/10</f>
        <v/>
      </c>
      <c r="AO33" s="68" t="n"/>
      <c r="AP33" s="100">
        <f>Table5[[#This Row],[(A/S) AJD]]-Table5[[#This Row],[SER_IN]]</f>
        <v/>
      </c>
    </row>
    <row r="34" ht="18.75" customHeight="1">
      <c r="A34" s="98" t="n">
        <v>47151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Table5[[#This Row],[ (T/B) SAR]]+Table5[[#This Row],[ (S/S) SAR]]</f>
        <v/>
      </c>
      <c r="L34" s="45" t="n"/>
      <c r="M34" s="46" t="n"/>
      <c r="N34" s="46" t="n"/>
      <c r="O34" s="40" t="n"/>
      <c r="P34" s="3">
        <f>Table5[[#This Row],[ (S/S) SAR]]-Table5[[#This Row],[(S/S) AJD]]</f>
        <v/>
      </c>
      <c r="Q34" s="40" t="n"/>
      <c r="R34" s="3">
        <f>Table5[[#This Row],[ (T/B) SAR]]-Table5[[#This Row],[(T/B) AJD]]</f>
        <v/>
      </c>
      <c r="S34" s="3">
        <f>Table5[[#This Row],[S/S_CON.]]+Table5[[#This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Table5[[#This Row],[(RESV. STORGE) AJD]]/10</f>
        <v/>
      </c>
      <c r="AB34" s="3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32" t="n"/>
      <c r="AN34" s="32">
        <f>Table5[[#This Row],[ (RESV. STORGE) SER]]/10</f>
        <v/>
      </c>
      <c r="AO34" s="68" t="n"/>
      <c r="AP34" s="100">
        <f>Table5[[#This Row],[(A/S) AJD]]-Table5[[#This Row],[SER_IN]]</f>
        <v/>
      </c>
    </row>
    <row r="35" ht="18.75" customHeight="1">
      <c r="A35" s="98" t="n">
        <v>47152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Table5[[#This Row],[ (T/B) SAR]]+Table5[[#This Row],[ (S/S) SAR]]</f>
        <v/>
      </c>
      <c r="L35" s="41" t="n"/>
      <c r="M35" s="42" t="n"/>
      <c r="N35" s="42" t="n"/>
      <c r="O35" s="39" t="n"/>
      <c r="P35" s="3">
        <f>Table5[[#This Row],[ (S/S) SAR]]-Table5[[#This Row],[(S/S) AJD]]</f>
        <v/>
      </c>
      <c r="Q35" s="39" t="n"/>
      <c r="R35" s="3">
        <f>Table5[[#This Row],[ (T/B) SAR]]-Table5[[#This Row],[(T/B) AJD]]</f>
        <v/>
      </c>
      <c r="S35" s="3">
        <f>Table5[[#This Row],[S/S_CON.]]+Table5[[#This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Table5[[#This Row],[(RESV. STORGE) AJD]]/10</f>
        <v/>
      </c>
      <c r="AB35" s="3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32" t="n"/>
      <c r="AN35" s="32">
        <f>Table5[[#This Row],[ (RESV. STORGE) SER]]/10</f>
        <v/>
      </c>
      <c r="AO35" s="68" t="n"/>
      <c r="AP35" s="100">
        <f>Table5[[#This Row],[(A/S) AJD]]-Table5[[#This Row],[SER_IN]]</f>
        <v/>
      </c>
    </row>
    <row r="36" ht="18.75" customHeight="1">
      <c r="A36" s="98" t="n">
        <v>47153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Table5[[#This Row],[ (T/B) SAR]]+Table5[[#This Row],[ (S/S) SAR]]</f>
        <v/>
      </c>
      <c r="L36" s="45" t="n"/>
      <c r="M36" s="46" t="n"/>
      <c r="N36" s="46" t="n"/>
      <c r="O36" s="40" t="n"/>
      <c r="P36" s="3">
        <f>Table5[[#This Row],[ (S/S) SAR]]-Table5[[#This Row],[(S/S) AJD]]</f>
        <v/>
      </c>
      <c r="Q36" s="40" t="n"/>
      <c r="R36" s="3">
        <f>Table5[[#This Row],[ (T/B) SAR]]-Table5[[#This Row],[(T/B) AJD]]</f>
        <v/>
      </c>
      <c r="S36" s="3">
        <f>Table5[[#This Row],[S/S_CON.]]+Table5[[#This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Table5[[#This Row],[(RESV. STORGE) AJD]]/10</f>
        <v/>
      </c>
      <c r="AB36" s="3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32" t="n"/>
      <c r="AN36" s="32">
        <f>Table5[[#This Row],[ (RESV. STORGE) SER]]/10</f>
        <v/>
      </c>
      <c r="AO36" s="68" t="n"/>
      <c r="AP36" s="100">
        <f>Table5[[#This Row],[(A/S) AJD]]-Table5[[#This Row],[SER_IN]]</f>
        <v/>
      </c>
    </row>
    <row r="37" ht="18.75" customHeight="1">
      <c r="A37" s="98" t="n">
        <v>47154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Table5[[#This Row],[ (T/B) SAR]]+Table5[[#This Row],[ (S/S) SAR]]</f>
        <v/>
      </c>
      <c r="L37" s="41" t="n"/>
      <c r="M37" s="42" t="n"/>
      <c r="N37" s="42" t="n"/>
      <c r="O37" s="39" t="n"/>
      <c r="P37" s="3">
        <f>Table5[[#This Row],[ (S/S) SAR]]-Table5[[#This Row],[(S/S) AJD]]</f>
        <v/>
      </c>
      <c r="Q37" s="39" t="n"/>
      <c r="R37" s="3">
        <f>Table5[[#This Row],[ (T/B) SAR]]-Table5[[#This Row],[(T/B) AJD]]</f>
        <v/>
      </c>
      <c r="S37" s="3">
        <f>Table5[[#This Row],[S/S_CON.]]+Table5[[#This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Table5[[#This Row],[(RESV. STORGE) AJD]]/10</f>
        <v/>
      </c>
      <c r="AB37" s="3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32" t="n"/>
      <c r="AN37" s="32">
        <f>Table5[[#This Row],[ (RESV. STORGE) SER]]/10</f>
        <v/>
      </c>
      <c r="AO37" s="68" t="n"/>
      <c r="AP37" s="100">
        <f>Table5[[#This Row],[(A/S) AJD]]-Table5[[#This Row],[SER_IN]]</f>
        <v/>
      </c>
    </row>
    <row r="38" ht="18.75" customHeight="1">
      <c r="A38" s="98" t="n">
        <v>47155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Table5[[#This Row],[ (T/B) SAR]]+Table5[[#This Row],[ (S/S) SAR]]</f>
        <v/>
      </c>
      <c r="L38" s="45" t="n"/>
      <c r="M38" s="46" t="n"/>
      <c r="N38" s="46" t="n"/>
      <c r="O38" s="40" t="n"/>
      <c r="P38" s="3">
        <f>Table5[[#This Row],[ (S/S) SAR]]-Table5[[#This Row],[(S/S) AJD]]</f>
        <v/>
      </c>
      <c r="Q38" s="40" t="n"/>
      <c r="R38" s="3">
        <f>Table5[[#This Row],[ (T/B) SAR]]-Table5[[#This Row],[(T/B) AJD]]</f>
        <v/>
      </c>
      <c r="S38" s="3">
        <f>Table5[[#This Row],[S/S_CON.]]+Table5[[#This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Table5[[#This Row],[(RESV. STORGE) AJD]]/10</f>
        <v/>
      </c>
      <c r="AB38" s="3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32" t="n"/>
      <c r="AN38" s="32">
        <f>Table5[[#This Row],[ (RESV. STORGE) SER]]/10</f>
        <v/>
      </c>
      <c r="AO38" s="68" t="n"/>
      <c r="AP38" s="100">
        <f>Table5[[#This Row],[(A/S) AJD]]-Table5[[#This Row],[SER_IN]]</f>
        <v/>
      </c>
    </row>
    <row r="39" ht="18.75" customHeight="1">
      <c r="A39" s="98" t="n">
        <v>47156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Table5[[#This Row],[ (T/B) SAR]]+Table5[[#This Row],[ (S/S) SAR]]</f>
        <v/>
      </c>
      <c r="L39" s="41" t="n"/>
      <c r="M39" s="42" t="n"/>
      <c r="N39" s="42" t="n"/>
      <c r="O39" s="39" t="n"/>
      <c r="P39" s="3">
        <f>Table5[[#This Row],[ (S/S) SAR]]-Table5[[#This Row],[(S/S) AJD]]</f>
        <v/>
      </c>
      <c r="Q39" s="39" t="n"/>
      <c r="R39" s="3">
        <f>Table5[[#This Row],[ (T/B) SAR]]-Table5[[#This Row],[(T/B) AJD]]</f>
        <v/>
      </c>
      <c r="S39" s="3">
        <f>Table5[[#This Row],[S/S_CON.]]+Table5[[#This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Table5[[#This Row],[(RESV. STORGE) AJD]]/10</f>
        <v/>
      </c>
      <c r="AB39" s="3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32" t="n"/>
      <c r="AN39" s="32">
        <f>Table5[[#This Row],[ (RESV. STORGE) SER]]/10</f>
        <v/>
      </c>
      <c r="AO39" s="68" t="n"/>
      <c r="AP39" s="100">
        <f>Table5[[#This Row],[(A/S) AJD]]-Table5[[#This Row],[SER_IN]]</f>
        <v/>
      </c>
    </row>
    <row r="40" ht="18.75" customHeight="1">
      <c r="A40" s="98" t="n">
        <v>47157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Table5[[#This Row],[ (T/B) SAR]]+Table5[[#This Row],[ (S/S) SAR]]</f>
        <v/>
      </c>
      <c r="L40" s="45" t="n"/>
      <c r="M40" s="46" t="n"/>
      <c r="N40" s="46" t="n"/>
      <c r="O40" s="40" t="n"/>
      <c r="P40" s="3">
        <f>Table5[[#This Row],[ (S/S) SAR]]-Table5[[#This Row],[(S/S) AJD]]</f>
        <v/>
      </c>
      <c r="Q40" s="40" t="n"/>
      <c r="R40" s="3">
        <f>Table5[[#This Row],[ (T/B) SAR]]-Table5[[#This Row],[(T/B) AJD]]</f>
        <v/>
      </c>
      <c r="S40" s="3">
        <f>Table5[[#This Row],[S/S_CON.]]+Table5[[#This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Table5[[#This Row],[(RESV. STORGE) AJD]]/10</f>
        <v/>
      </c>
      <c r="AB40" s="3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32" t="n"/>
      <c r="AN40" s="32">
        <f>Table5[[#This Row],[ (RESV. STORGE) SER]]/10</f>
        <v/>
      </c>
      <c r="AO40" s="68" t="n"/>
      <c r="AP40" s="100">
        <f>Table5[[#This Row],[(A/S) AJD]]-Table5[[#This Row],[SER_IN]]</f>
        <v/>
      </c>
    </row>
    <row r="41" ht="18.75" customHeight="1">
      <c r="A41" s="98" t="n">
        <v>47158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Table5[[#This Row],[ (T/B) SAR]]+Table5[[#This Row],[ (S/S) SAR]]</f>
        <v/>
      </c>
      <c r="L41" s="41" t="n"/>
      <c r="M41" s="42" t="n"/>
      <c r="N41" s="42" t="n"/>
      <c r="O41" s="39" t="n"/>
      <c r="P41" s="3">
        <f>Table5[[#This Row],[ (S/S) SAR]]-Table5[[#This Row],[(S/S) AJD]]</f>
        <v/>
      </c>
      <c r="Q41" s="39" t="n"/>
      <c r="R41" s="3">
        <f>Table5[[#This Row],[ (T/B) SAR]]-Table5[[#This Row],[(T/B) AJD]]</f>
        <v/>
      </c>
      <c r="S41" s="3">
        <f>Table5[[#This Row],[S/S_CON.]]+Table5[[#This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Table5[[#This Row],[(RESV. STORGE) AJD]]/10</f>
        <v/>
      </c>
      <c r="AB41" s="3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32" t="n"/>
      <c r="AN41" s="32">
        <f>Table5[[#This Row],[ (RESV. STORGE) SER]]/10</f>
        <v/>
      </c>
      <c r="AO41" s="68" t="n"/>
      <c r="AP41" s="100">
        <f>Table5[[#This Row],[(A/S) AJD]]-Table5[[#This Row],[SER_IN]]</f>
        <v/>
      </c>
    </row>
    <row r="42" ht="18.75" customHeight="1">
      <c r="A42" s="98" t="n">
        <v>47159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Table5[[#This Row],[ (T/B) SAR]]+Table5[[#This Row],[ (S/S) SAR]]</f>
        <v/>
      </c>
      <c r="L42" s="45" t="n"/>
      <c r="M42" s="46" t="n"/>
      <c r="N42" s="46" t="n"/>
      <c r="O42" s="40" t="n"/>
      <c r="P42" s="3">
        <f>Table5[[#This Row],[ (S/S) SAR]]-Table5[[#This Row],[(S/S) AJD]]</f>
        <v/>
      </c>
      <c r="Q42" s="40" t="n"/>
      <c r="R42" s="3">
        <f>Table5[[#This Row],[ (T/B) SAR]]-Table5[[#This Row],[(T/B) AJD]]</f>
        <v/>
      </c>
      <c r="S42" s="3">
        <f>Table5[[#This Row],[S/S_CON.]]+Table5[[#This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Table5[[#This Row],[(RESV. STORGE) AJD]]/10</f>
        <v/>
      </c>
      <c r="AB42" s="3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32" t="n"/>
      <c r="AN42" s="32">
        <f>Table5[[#This Row],[ (RESV. STORGE) SER]]/10</f>
        <v/>
      </c>
      <c r="AO42" s="68" t="n"/>
      <c r="AP42" s="100">
        <f>Table5[[#This Row],[(A/S) AJD]]-Table5[[#This Row],[SER_IN]]</f>
        <v/>
      </c>
    </row>
    <row r="43" ht="18.75" customHeight="1">
      <c r="A43" s="98" t="n">
        <v>47160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Table5[[#This Row],[ (T/B) SAR]]+Table5[[#This Row],[ (S/S) SAR]]</f>
        <v/>
      </c>
      <c r="L43" s="41" t="n"/>
      <c r="M43" s="42" t="n"/>
      <c r="N43" s="42" t="n"/>
      <c r="O43" s="39" t="n"/>
      <c r="P43" s="3">
        <f>Table5[[#This Row],[ (S/S) SAR]]-Table5[[#This Row],[(S/S) AJD]]</f>
        <v/>
      </c>
      <c r="Q43" s="39" t="n"/>
      <c r="R43" s="3">
        <f>Table5[[#This Row],[ (T/B) SAR]]-Table5[[#This Row],[(T/B) AJD]]</f>
        <v/>
      </c>
      <c r="S43" s="3">
        <f>Table5[[#This Row],[S/S_CON.]]+Table5[[#This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Table5[[#This Row],[(RESV. STORGE) AJD]]/10</f>
        <v/>
      </c>
      <c r="AB43" s="3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32" t="n"/>
      <c r="AN43" s="32">
        <f>Table5[[#This Row],[ (RESV. STORGE) SER]]/10</f>
        <v/>
      </c>
      <c r="AO43" s="68" t="n"/>
      <c r="AP43" s="100">
        <f>Table5[[#This Row],[(A/S) AJD]]-Table5[[#This Row],[SER_IN]]</f>
        <v/>
      </c>
    </row>
    <row r="44" ht="18.75" customHeight="1">
      <c r="A44" s="98" t="n">
        <v>47161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Table5[[#This Row],[ (T/B) SAR]]+Table5[[#This Row],[ (S/S) SAR]]</f>
        <v/>
      </c>
      <c r="L44" s="45" t="n"/>
      <c r="M44" s="46" t="n"/>
      <c r="N44" s="46" t="n"/>
      <c r="O44" s="40" t="n"/>
      <c r="P44" s="3">
        <f>Table5[[#This Row],[ (S/S) SAR]]-Table5[[#This Row],[(S/S) AJD]]</f>
        <v/>
      </c>
      <c r="Q44" s="40" t="n"/>
      <c r="R44" s="3">
        <f>Table5[[#This Row],[ (T/B) SAR]]-Table5[[#This Row],[(T/B) AJD]]</f>
        <v/>
      </c>
      <c r="S44" s="3">
        <f>Table5[[#This Row],[S/S_CON.]]+Table5[[#This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Table5[[#This Row],[(RESV. STORGE) AJD]]/10</f>
        <v/>
      </c>
      <c r="AB44" s="3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32" t="n"/>
      <c r="AN44" s="32">
        <f>Table5[[#This Row],[ (RESV. STORGE) SER]]/10</f>
        <v/>
      </c>
      <c r="AO44" s="68" t="n"/>
      <c r="AP44" s="100">
        <f>Table5[[#This Row],[(A/S) AJD]]-Table5[[#This Row],[SER_IN]]</f>
        <v/>
      </c>
    </row>
    <row r="45" ht="18.75" customHeight="1">
      <c r="A45" s="98" t="n">
        <v>47162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Table5[[#This Row],[ (T/B) SAR]]+Table5[[#This Row],[ (S/S) SAR]]</f>
        <v/>
      </c>
      <c r="L45" s="41" t="n"/>
      <c r="M45" s="42" t="n"/>
      <c r="N45" s="42" t="n"/>
      <c r="O45" s="39" t="n"/>
      <c r="P45" s="3">
        <f>Table5[[#This Row],[ (S/S) SAR]]-Table5[[#This Row],[(S/S) AJD]]</f>
        <v/>
      </c>
      <c r="Q45" s="39" t="n"/>
      <c r="R45" s="3">
        <f>Table5[[#This Row],[ (T/B) SAR]]-Table5[[#This Row],[(T/B) AJD]]</f>
        <v/>
      </c>
      <c r="S45" s="3">
        <f>Table5[[#This Row],[S/S_CON.]]+Table5[[#This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Table5[[#This Row],[(RESV. STORGE) AJD]]/10</f>
        <v/>
      </c>
      <c r="AB45" s="3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32" t="n"/>
      <c r="AN45" s="32">
        <f>Table5[[#This Row],[ (RESV. STORGE) SER]]/10</f>
        <v/>
      </c>
      <c r="AO45" s="68" t="n"/>
      <c r="AP45" s="100">
        <f>Table5[[#This Row],[(A/S) AJD]]-Table5[[#This Row],[SER_IN]]</f>
        <v/>
      </c>
    </row>
    <row r="46" ht="18.75" customHeight="1">
      <c r="A46" s="98" t="n">
        <v>47163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Table5[[#This Row],[ (T/B) SAR]]+Table5[[#This Row],[ (S/S) SAR]]</f>
        <v/>
      </c>
      <c r="L46" s="45" t="n"/>
      <c r="M46" s="46" t="n"/>
      <c r="N46" s="46" t="n"/>
      <c r="O46" s="40" t="n"/>
      <c r="P46" s="3">
        <f>Table5[[#This Row],[ (S/S) SAR]]-Table5[[#This Row],[(S/S) AJD]]</f>
        <v/>
      </c>
      <c r="Q46" s="40" t="n"/>
      <c r="R46" s="3">
        <f>Table5[[#This Row],[ (T/B) SAR]]-Table5[[#This Row],[(T/B) AJD]]</f>
        <v/>
      </c>
      <c r="S46" s="3">
        <f>Table5[[#This Row],[S/S_CON.]]+Table5[[#This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Table5[[#This Row],[(RESV. STORGE) AJD]]/10</f>
        <v/>
      </c>
      <c r="AB46" s="3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32" t="n"/>
      <c r="AN46" s="32">
        <f>Table5[[#This Row],[ (RESV. STORGE) SER]]/10</f>
        <v/>
      </c>
      <c r="AO46" s="68" t="n"/>
      <c r="AP46" s="100">
        <f>Table5[[#This Row],[(A/S) AJD]]-Table5[[#This Row],[SER_IN]]</f>
        <v/>
      </c>
    </row>
    <row r="47" ht="18.75" customHeight="1">
      <c r="A47" s="98" t="n">
        <v>47164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Table5[[#This Row],[ (T/B) SAR]]+Table5[[#This Row],[ (S/S) SAR]]</f>
        <v/>
      </c>
      <c r="L47" s="41" t="n"/>
      <c r="M47" s="42" t="n"/>
      <c r="N47" s="42" t="n"/>
      <c r="O47" s="39" t="n"/>
      <c r="P47" s="3">
        <f>Table5[[#This Row],[ (S/S) SAR]]-Table5[[#This Row],[(S/S) AJD]]</f>
        <v/>
      </c>
      <c r="Q47" s="39" t="n"/>
      <c r="R47" s="3">
        <f>Table5[[#This Row],[ (T/B) SAR]]-Table5[[#This Row],[(T/B) AJD]]</f>
        <v/>
      </c>
      <c r="S47" s="3">
        <f>Table5[[#This Row],[S/S_CON.]]+Table5[[#This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Table5[[#This Row],[(RESV. STORGE) AJD]]/10</f>
        <v/>
      </c>
      <c r="AB47" s="3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32" t="n"/>
      <c r="AN47" s="32">
        <f>Table5[[#This Row],[ (RESV. STORGE) SER]]/10</f>
        <v/>
      </c>
      <c r="AO47" s="68" t="n"/>
      <c r="AP47" s="100">
        <f>Table5[[#This Row],[(A/S) AJD]]-Table5[[#This Row],[SER_IN]]</f>
        <v/>
      </c>
    </row>
    <row r="48" ht="18.75" customHeight="1">
      <c r="A48" s="98" t="n">
        <v>47165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Table5[[#This Row],[ (T/B) SAR]]+Table5[[#This Row],[ (S/S) SAR]]</f>
        <v/>
      </c>
      <c r="L48" s="45" t="n"/>
      <c r="M48" s="46" t="n"/>
      <c r="N48" s="46" t="n"/>
      <c r="O48" s="40" t="n"/>
      <c r="P48" s="3">
        <f>Table5[[#This Row],[ (S/S) SAR]]-Table5[[#This Row],[(S/S) AJD]]</f>
        <v/>
      </c>
      <c r="Q48" s="40" t="n"/>
      <c r="R48" s="3">
        <f>Table5[[#This Row],[ (T/B) SAR]]-Table5[[#This Row],[(T/B) AJD]]</f>
        <v/>
      </c>
      <c r="S48" s="3">
        <f>Table5[[#This Row],[S/S_CON.]]+Table5[[#This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Table5[[#This Row],[(RESV. STORGE) AJD]]/10</f>
        <v/>
      </c>
      <c r="AB48" s="3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32" t="n"/>
      <c r="AN48" s="32">
        <f>Table5[[#This Row],[ (RESV. STORGE) SER]]/10</f>
        <v/>
      </c>
      <c r="AO48" s="68" t="n"/>
      <c r="AP48" s="100">
        <f>Table5[[#This Row],[(A/S) AJD]]-Table5[[#This Row],[SER_IN]]</f>
        <v/>
      </c>
    </row>
    <row r="49" ht="18.75" customHeight="1">
      <c r="A49" s="98" t="n">
        <v>47166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Table5[[#This Row],[ (T/B) SAR]]+Table5[[#This Row],[ (S/S) SAR]]</f>
        <v/>
      </c>
      <c r="L49" s="41" t="n"/>
      <c r="M49" s="42" t="n"/>
      <c r="N49" s="42" t="n"/>
      <c r="O49" s="39" t="n"/>
      <c r="P49" s="3">
        <f>Table5[[#This Row],[ (S/S) SAR]]-Table5[[#This Row],[(S/S) AJD]]</f>
        <v/>
      </c>
      <c r="Q49" s="39" t="n"/>
      <c r="R49" s="3">
        <f>Table5[[#This Row],[ (T/B) SAR]]-Table5[[#This Row],[(T/B) AJD]]</f>
        <v/>
      </c>
      <c r="S49" s="3">
        <f>Table5[[#This Row],[S/S_CON.]]+Table5[[#This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Table5[[#This Row],[(RESV. STORGE) AJD]]/10</f>
        <v/>
      </c>
      <c r="AB49" s="3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32" t="n"/>
      <c r="AN49" s="32">
        <f>Table5[[#This Row],[ (RESV. STORGE) SER]]/10</f>
        <v/>
      </c>
      <c r="AO49" s="68" t="n"/>
      <c r="AP49" s="100">
        <f>Table5[[#This Row],[(A/S) AJD]]-Table5[[#This Row],[SER_IN]]</f>
        <v/>
      </c>
    </row>
    <row r="50" ht="18.75" customHeight="1">
      <c r="A50" s="98" t="n">
        <v>47167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Table5[[#This Row],[ (T/B) SAR]]+Table5[[#This Row],[ (S/S) SAR]]</f>
        <v/>
      </c>
      <c r="L50" s="45" t="n"/>
      <c r="M50" s="46" t="n"/>
      <c r="N50" s="46" t="n"/>
      <c r="O50" s="40" t="n"/>
      <c r="P50" s="3">
        <f>Table5[[#This Row],[ (S/S) SAR]]-Table5[[#This Row],[(S/S) AJD]]</f>
        <v/>
      </c>
      <c r="Q50" s="40" t="n"/>
      <c r="R50" s="3">
        <f>Table5[[#This Row],[ (T/B) SAR]]-Table5[[#This Row],[(T/B) AJD]]</f>
        <v/>
      </c>
      <c r="S50" s="3">
        <f>Table5[[#This Row],[S/S_CON.]]+Table5[[#This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Table5[[#This Row],[(RESV. STORGE) AJD]]/10</f>
        <v/>
      </c>
      <c r="AB50" s="3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32" t="n"/>
      <c r="AN50" s="32">
        <f>Table5[[#This Row],[ (RESV. STORGE) SER]]/10</f>
        <v/>
      </c>
      <c r="AO50" s="68" t="n"/>
      <c r="AP50" s="100">
        <f>Table5[[#This Row],[(A/S) AJD]]-Table5[[#This Row],[SER_IN]]</f>
        <v/>
      </c>
    </row>
    <row r="51" ht="18.75" customHeight="1">
      <c r="A51" s="98" t="n">
        <v>47168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Table5[[#This Row],[ (T/B) SAR]]+Table5[[#This Row],[ (S/S) SAR]]</f>
        <v/>
      </c>
      <c r="L51" s="41" t="n"/>
      <c r="M51" s="42" t="n"/>
      <c r="N51" s="42" t="n"/>
      <c r="O51" s="39" t="n"/>
      <c r="P51" s="3">
        <f>Table5[[#This Row],[ (S/S) SAR]]-Table5[[#This Row],[(S/S) AJD]]</f>
        <v/>
      </c>
      <c r="Q51" s="39" t="n"/>
      <c r="R51" s="3">
        <f>Table5[[#This Row],[ (T/B) SAR]]-Table5[[#This Row],[(T/B) AJD]]</f>
        <v/>
      </c>
      <c r="S51" s="3">
        <f>Table5[[#This Row],[S/S_CON.]]+Table5[[#This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Table5[[#This Row],[(RESV. STORGE) AJD]]/10</f>
        <v/>
      </c>
      <c r="AB51" s="3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32" t="n"/>
      <c r="AN51" s="32">
        <f>Table5[[#This Row],[ (RESV. STORGE) SER]]/10</f>
        <v/>
      </c>
      <c r="AO51" s="68" t="n"/>
      <c r="AP51" s="100">
        <f>Table5[[#This Row],[(A/S) AJD]]-Table5[[#This Row],[SER_IN]]</f>
        <v/>
      </c>
    </row>
    <row r="52" ht="18.75" customHeight="1">
      <c r="A52" s="98" t="n">
        <v>47169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Table5[[#This Row],[ (T/B) SAR]]+Table5[[#This Row],[ (S/S) SAR]]</f>
        <v/>
      </c>
      <c r="L52" s="45" t="n"/>
      <c r="M52" s="46" t="n"/>
      <c r="N52" s="46" t="n"/>
      <c r="O52" s="40" t="n"/>
      <c r="P52" s="3">
        <f>Table5[[#This Row],[ (S/S) SAR]]-Table5[[#This Row],[(S/S) AJD]]</f>
        <v/>
      </c>
      <c r="Q52" s="40" t="n"/>
      <c r="R52" s="3">
        <f>Table5[[#This Row],[ (T/B) SAR]]-Table5[[#This Row],[(T/B) AJD]]</f>
        <v/>
      </c>
      <c r="S52" s="3">
        <f>Table5[[#This Row],[S/S_CON.]]+Table5[[#This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Table5[[#This Row],[(RESV. STORGE) AJD]]/10</f>
        <v/>
      </c>
      <c r="AB52" s="3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32" t="n"/>
      <c r="AN52" s="32">
        <f>Table5[[#This Row],[ (RESV. STORGE) SER]]/10</f>
        <v/>
      </c>
      <c r="AO52" s="68" t="n"/>
      <c r="AP52" s="100">
        <f>Table5[[#This Row],[(A/S) AJD]]-Table5[[#This Row],[SER_IN]]</f>
        <v/>
      </c>
    </row>
    <row r="53" ht="18.75" customHeight="1">
      <c r="A53" s="98" t="n">
        <v>47170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Table5[[#This Row],[ (T/B) SAR]]+Table5[[#This Row],[ (S/S) SAR]]</f>
        <v/>
      </c>
      <c r="L53" s="41" t="n"/>
      <c r="M53" s="42" t="n"/>
      <c r="N53" s="42" t="n"/>
      <c r="O53" s="39" t="n"/>
      <c r="P53" s="3">
        <f>Table5[[#This Row],[ (S/S) SAR]]-Table5[[#This Row],[(S/S) AJD]]</f>
        <v/>
      </c>
      <c r="Q53" s="39" t="n"/>
      <c r="R53" s="3">
        <f>Table5[[#This Row],[ (T/B) SAR]]-Table5[[#This Row],[(T/B) AJD]]</f>
        <v/>
      </c>
      <c r="S53" s="3">
        <f>Table5[[#This Row],[S/S_CON.]]+Table5[[#This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Table5[[#This Row],[(RESV. STORGE) AJD]]/10</f>
        <v/>
      </c>
      <c r="AB53" s="3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32" t="n"/>
      <c r="AN53" s="32">
        <f>Table5[[#This Row],[ (RESV. STORGE) SER]]/10</f>
        <v/>
      </c>
      <c r="AO53" s="68" t="n"/>
      <c r="AP53" s="100">
        <f>Table5[[#This Row],[(A/S) AJD]]-Table5[[#This Row],[SER_IN]]</f>
        <v/>
      </c>
    </row>
    <row r="54" ht="18.75" customHeight="1">
      <c r="A54" s="98" t="n">
        <v>47171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Table5[[#This Row],[ (T/B) SAR]]+Table5[[#This Row],[ (S/S) SAR]]</f>
        <v/>
      </c>
      <c r="L54" s="45" t="n"/>
      <c r="M54" s="46" t="n"/>
      <c r="N54" s="46" t="n"/>
      <c r="O54" s="40" t="n"/>
      <c r="P54" s="3">
        <f>Table5[[#This Row],[ (S/S) SAR]]-Table5[[#This Row],[(S/S) AJD]]</f>
        <v/>
      </c>
      <c r="Q54" s="40" t="n"/>
      <c r="R54" s="3">
        <f>Table5[[#This Row],[ (T/B) SAR]]-Table5[[#This Row],[(T/B) AJD]]</f>
        <v/>
      </c>
      <c r="S54" s="3">
        <f>Table5[[#This Row],[S/S_CON.]]+Table5[[#This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Table5[[#This Row],[(RESV. STORGE) AJD]]/10</f>
        <v/>
      </c>
      <c r="AB54" s="3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32" t="n"/>
      <c r="AN54" s="32">
        <f>Table5[[#This Row],[ (RESV. STORGE) SER]]/10</f>
        <v/>
      </c>
      <c r="AO54" s="68" t="n"/>
      <c r="AP54" s="100">
        <f>Table5[[#This Row],[(A/S) AJD]]-Table5[[#This Row],[SER_IN]]</f>
        <v/>
      </c>
    </row>
    <row r="55" ht="18.75" customHeight="1">
      <c r="A55" s="98" t="n">
        <v>47172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Table5[[#This Row],[ (T/B) SAR]]+Table5[[#This Row],[ (S/S) SAR]]</f>
        <v/>
      </c>
      <c r="L55" s="41" t="n"/>
      <c r="M55" s="42" t="n"/>
      <c r="N55" s="42" t="n"/>
      <c r="O55" s="39" t="n"/>
      <c r="P55" s="3">
        <f>Table5[[#This Row],[ (S/S) SAR]]-Table5[[#This Row],[(S/S) AJD]]</f>
        <v/>
      </c>
      <c r="Q55" s="39" t="n"/>
      <c r="R55" s="3">
        <f>Table5[[#This Row],[ (T/B) SAR]]-Table5[[#This Row],[(T/B) AJD]]</f>
        <v/>
      </c>
      <c r="S55" s="3">
        <f>Table5[[#This Row],[S/S_CON.]]+Table5[[#This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Table5[[#This Row],[(RESV. STORGE) AJD]]/10</f>
        <v/>
      </c>
      <c r="AB55" s="3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32" t="n"/>
      <c r="AN55" s="32">
        <f>Table5[[#This Row],[ (RESV. STORGE) SER]]/10</f>
        <v/>
      </c>
      <c r="AO55" s="68" t="n"/>
      <c r="AP55" s="100">
        <f>Table5[[#This Row],[(A/S) AJD]]-Table5[[#This Row],[SER_IN]]</f>
        <v/>
      </c>
    </row>
    <row r="56" ht="18.75" customHeight="1">
      <c r="A56" s="98" t="n">
        <v>47173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Table5[[#This Row],[ (T/B) SAR]]+Table5[[#This Row],[ (S/S) SAR]]</f>
        <v/>
      </c>
      <c r="L56" s="45" t="n"/>
      <c r="M56" s="46" t="n"/>
      <c r="N56" s="46" t="n"/>
      <c r="O56" s="40" t="n"/>
      <c r="P56" s="3">
        <f>Table5[[#This Row],[ (S/S) SAR]]-Table5[[#This Row],[(S/S) AJD]]</f>
        <v/>
      </c>
      <c r="Q56" s="40" t="n"/>
      <c r="R56" s="3">
        <f>Table5[[#This Row],[ (T/B) SAR]]-Table5[[#This Row],[(T/B) AJD]]</f>
        <v/>
      </c>
      <c r="S56" s="3">
        <f>Table5[[#This Row],[S/S_CON.]]+Table5[[#This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Table5[[#This Row],[(RESV. STORGE) AJD]]/10</f>
        <v/>
      </c>
      <c r="AB56" s="3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32" t="n"/>
      <c r="AN56" s="32">
        <f>Table5[[#This Row],[ (RESV. STORGE) SER]]/10</f>
        <v/>
      </c>
      <c r="AO56" s="68" t="n"/>
      <c r="AP56" s="100">
        <f>Table5[[#This Row],[(A/S) AJD]]-Table5[[#This Row],[SER_IN]]</f>
        <v/>
      </c>
    </row>
    <row r="57" ht="18.75" customHeight="1">
      <c r="A57" s="98" t="n">
        <v>47174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Table5[[#This Row],[ (T/B) SAR]]+Table5[[#This Row],[ (S/S) SAR]]</f>
        <v/>
      </c>
      <c r="L57" s="41" t="n"/>
      <c r="M57" s="42" t="n"/>
      <c r="N57" s="42" t="n"/>
      <c r="O57" s="39" t="n"/>
      <c r="P57" s="3">
        <f>Table5[[#This Row],[ (S/S) SAR]]-Table5[[#This Row],[(S/S) AJD]]</f>
        <v/>
      </c>
      <c r="Q57" s="39" t="n"/>
      <c r="R57" s="3">
        <f>Table5[[#This Row],[ (T/B) SAR]]-Table5[[#This Row],[(T/B) AJD]]</f>
        <v/>
      </c>
      <c r="S57" s="3">
        <f>Table5[[#This Row],[S/S_CON.]]+Table5[[#This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Table5[[#This Row],[(RESV. STORGE) AJD]]/10</f>
        <v/>
      </c>
      <c r="AB57" s="3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32" t="n"/>
      <c r="AN57" s="32">
        <f>Table5[[#This Row],[ (RESV. STORGE) SER]]/10</f>
        <v/>
      </c>
      <c r="AO57" s="68" t="n"/>
      <c r="AP57" s="100">
        <f>Table5[[#This Row],[(A/S) AJD]]-Table5[[#This Row],[SER_IN]]</f>
        <v/>
      </c>
    </row>
    <row r="58" ht="18.75" customHeight="1">
      <c r="A58" s="98" t="n">
        <v>47175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Table5[[#This Row],[ (T/B) SAR]]+Table5[[#This Row],[ (S/S) SAR]]</f>
        <v/>
      </c>
      <c r="L58" s="45" t="n"/>
      <c r="M58" s="46" t="n"/>
      <c r="N58" s="46" t="n"/>
      <c r="O58" s="40" t="n"/>
      <c r="P58" s="3">
        <f>Table5[[#This Row],[ (S/S) SAR]]-Table5[[#This Row],[(S/S) AJD]]</f>
        <v/>
      </c>
      <c r="Q58" s="40" t="n"/>
      <c r="R58" s="3">
        <f>Table5[[#This Row],[ (T/B) SAR]]-Table5[[#This Row],[(T/B) AJD]]</f>
        <v/>
      </c>
      <c r="S58" s="3">
        <f>Table5[[#This Row],[S/S_CON.]]+Table5[[#This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Table5[[#This Row],[(RESV. STORGE) AJD]]/10</f>
        <v/>
      </c>
      <c r="AB58" s="3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32" t="n"/>
      <c r="AN58" s="32">
        <f>Table5[[#This Row],[ (RESV. STORGE) SER]]/10</f>
        <v/>
      </c>
      <c r="AO58" s="68" t="n"/>
      <c r="AP58" s="100">
        <f>Table5[[#This Row],[(A/S) AJD]]-Table5[[#This Row],[SER_IN]]</f>
        <v/>
      </c>
    </row>
    <row r="59" ht="18.75" customHeight="1">
      <c r="A59" s="98" t="n">
        <v>47176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Table5[[#This Row],[ (T/B) SAR]]+Table5[[#This Row],[ (S/S) SAR]]</f>
        <v/>
      </c>
      <c r="L59" s="41" t="n"/>
      <c r="M59" s="42" t="n"/>
      <c r="N59" s="42" t="n"/>
      <c r="O59" s="39" t="n"/>
      <c r="P59" s="3">
        <f>Table5[[#This Row],[ (S/S) SAR]]-Table5[[#This Row],[(S/S) AJD]]</f>
        <v/>
      </c>
      <c r="Q59" s="39" t="n"/>
      <c r="R59" s="3">
        <f>Table5[[#This Row],[ (T/B) SAR]]-Table5[[#This Row],[(T/B) AJD]]</f>
        <v/>
      </c>
      <c r="S59" s="3">
        <f>Table5[[#This Row],[S/S_CON.]]+Table5[[#This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Table5[[#This Row],[(RESV. STORGE) AJD]]/10</f>
        <v/>
      </c>
      <c r="AB59" s="3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32" t="n"/>
      <c r="AN59" s="32">
        <f>Table5[[#This Row],[ (RESV. STORGE) SER]]/10</f>
        <v/>
      </c>
      <c r="AO59" s="68" t="n"/>
      <c r="AP59" s="100">
        <f>Table5[[#This Row],[(A/S) AJD]]-Table5[[#This Row],[SER_IN]]</f>
        <v/>
      </c>
    </row>
    <row r="60" ht="18.75" customHeight="1">
      <c r="A60" s="98" t="n">
        <v>47177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Table5[[#This Row],[ (T/B) SAR]]+Table5[[#This Row],[ (S/S) SAR]]</f>
        <v/>
      </c>
      <c r="L60" s="45" t="n"/>
      <c r="M60" s="46" t="n"/>
      <c r="N60" s="46" t="n"/>
      <c r="O60" s="40" t="n"/>
      <c r="P60" s="3">
        <f>Table5[[#This Row],[ (S/S) SAR]]-Table5[[#This Row],[(S/S) AJD]]</f>
        <v/>
      </c>
      <c r="Q60" s="40" t="n"/>
      <c r="R60" s="3">
        <f>Table5[[#This Row],[ (T/B) SAR]]-Table5[[#This Row],[(T/B) AJD]]</f>
        <v/>
      </c>
      <c r="S60" s="3">
        <f>Table5[[#This Row],[S/S_CON.]]+Table5[[#This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Table5[[#This Row],[(RESV. STORGE) AJD]]/10</f>
        <v/>
      </c>
      <c r="AB60" s="3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32" t="n"/>
      <c r="AN60" s="32">
        <f>Table5[[#This Row],[ (RESV. STORGE) SER]]/10</f>
        <v/>
      </c>
      <c r="AO60" s="68" t="n"/>
      <c r="AP60" s="100">
        <f>Table5[[#This Row],[(A/S) AJD]]-Table5[[#This Row],[SER_IN]]</f>
        <v/>
      </c>
    </row>
    <row r="61" ht="18.75" customHeight="1">
      <c r="A61" s="98" t="n">
        <v>47178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Table5[[#This Row],[ (T/B) SAR]]+Table5[[#This Row],[ (S/S) SAR]]</f>
        <v/>
      </c>
      <c r="L61" s="41" t="n"/>
      <c r="M61" s="42" t="n"/>
      <c r="N61" s="42" t="n"/>
      <c r="O61" s="39" t="n"/>
      <c r="P61" s="3">
        <f>Table5[[#This Row],[ (S/S) SAR]]-Table5[[#This Row],[(S/S) AJD]]</f>
        <v/>
      </c>
      <c r="Q61" s="39" t="n"/>
      <c r="R61" s="3">
        <f>Table5[[#This Row],[ (T/B) SAR]]-Table5[[#This Row],[(T/B) AJD]]</f>
        <v/>
      </c>
      <c r="S61" s="3">
        <f>Table5[[#This Row],[S/S_CON.]]+Table5[[#This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Table5[[#This Row],[(RESV. STORGE) AJD]]/10</f>
        <v/>
      </c>
      <c r="AB61" s="3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32" t="n"/>
      <c r="AN61" s="32">
        <f>Table5[[#This Row],[ (RESV. STORGE) SER]]/10</f>
        <v/>
      </c>
      <c r="AO61" s="68" t="n"/>
      <c r="AP61" s="100">
        <f>Table5[[#This Row],[(A/S) AJD]]-Table5[[#This Row],[SER_IN]]</f>
        <v/>
      </c>
    </row>
    <row r="62" ht="18.75" customHeight="1">
      <c r="A62" s="98" t="n">
        <v>47179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Table5[[#This Row],[ (T/B) SAR]]+Table5[[#This Row],[ (S/S) SAR]]</f>
        <v/>
      </c>
      <c r="L62" s="45" t="n"/>
      <c r="M62" s="46" t="n"/>
      <c r="N62" s="46" t="n"/>
      <c r="O62" s="40" t="n"/>
      <c r="P62" s="3">
        <f>Table5[[#This Row],[ (S/S) SAR]]-Table5[[#This Row],[(S/S) AJD]]</f>
        <v/>
      </c>
      <c r="Q62" s="40" t="n"/>
      <c r="R62" s="3">
        <f>Table5[[#This Row],[ (T/B) SAR]]-Table5[[#This Row],[(T/B) AJD]]</f>
        <v/>
      </c>
      <c r="S62" s="3">
        <f>Table5[[#This Row],[S/S_CON.]]+Table5[[#This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Table5[[#This Row],[(RESV. STORGE) AJD]]/10</f>
        <v/>
      </c>
      <c r="AB62" s="3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32" t="n"/>
      <c r="AN62" s="32">
        <f>Table5[[#This Row],[ (RESV. STORGE) SER]]/10</f>
        <v/>
      </c>
      <c r="AO62" s="68" t="n"/>
      <c r="AP62" s="100">
        <f>Table5[[#This Row],[(A/S) AJD]]-Table5[[#This Row],[SER_IN]]</f>
        <v/>
      </c>
    </row>
    <row r="63" ht="18.75" customHeight="1">
      <c r="A63" s="98" t="n">
        <v>47180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Table5[[#This Row],[ (T/B) SAR]]+Table5[[#This Row],[ (S/S) SAR]]</f>
        <v/>
      </c>
      <c r="L63" s="41" t="n"/>
      <c r="M63" s="42" t="n"/>
      <c r="N63" s="42" t="n"/>
      <c r="O63" s="39" t="n"/>
      <c r="P63" s="3">
        <f>Table5[[#This Row],[ (S/S) SAR]]-Table5[[#This Row],[(S/S) AJD]]</f>
        <v/>
      </c>
      <c r="Q63" s="39" t="n"/>
      <c r="R63" s="3">
        <f>Table5[[#This Row],[ (T/B) SAR]]-Table5[[#This Row],[(T/B) AJD]]</f>
        <v/>
      </c>
      <c r="S63" s="3">
        <f>Table5[[#This Row],[S/S_CON.]]+Table5[[#This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Table5[[#This Row],[(RESV. STORGE) AJD]]/10</f>
        <v/>
      </c>
      <c r="AB63" s="3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32" t="n"/>
      <c r="AN63" s="32">
        <f>Table5[[#This Row],[ (RESV. STORGE) SER]]/10</f>
        <v/>
      </c>
      <c r="AO63" s="68" t="n"/>
      <c r="AP63" s="100">
        <f>Table5[[#This Row],[(A/S) AJD]]-Table5[[#This Row],[SER_IN]]</f>
        <v/>
      </c>
    </row>
    <row r="64" ht="18.75" customHeight="1">
      <c r="A64" s="98" t="n">
        <v>47181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Table5[[#This Row],[ (T/B) SAR]]+Table5[[#This Row],[ (S/S) SAR]]</f>
        <v/>
      </c>
      <c r="L64" s="45" t="n"/>
      <c r="M64" s="46" t="n"/>
      <c r="N64" s="46" t="n"/>
      <c r="O64" s="40" t="n"/>
      <c r="P64" s="3">
        <f>Table5[[#This Row],[ (S/S) SAR]]-Table5[[#This Row],[(S/S) AJD]]</f>
        <v/>
      </c>
      <c r="Q64" s="40" t="n"/>
      <c r="R64" s="3">
        <f>Table5[[#This Row],[ (T/B) SAR]]-Table5[[#This Row],[(T/B) AJD]]</f>
        <v/>
      </c>
      <c r="S64" s="3">
        <f>Table5[[#This Row],[S/S_CON.]]+Table5[[#This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Table5[[#This Row],[(RESV. STORGE) AJD]]/10</f>
        <v/>
      </c>
      <c r="AB64" s="3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32" t="n"/>
      <c r="AN64" s="32">
        <f>Table5[[#This Row],[ (RESV. STORGE) SER]]/10</f>
        <v/>
      </c>
      <c r="AO64" s="68" t="n"/>
      <c r="AP64" s="100">
        <f>Table5[[#This Row],[(A/S) AJD]]-Table5[[#This Row],[SER_IN]]</f>
        <v/>
      </c>
    </row>
    <row r="65" ht="18.75" customHeight="1">
      <c r="A65" s="98" t="n">
        <v>47182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Table5[[#This Row],[ (T/B) SAR]]+Table5[[#This Row],[ (S/S) SAR]]</f>
        <v/>
      </c>
      <c r="L65" s="41" t="n"/>
      <c r="M65" s="42" t="n"/>
      <c r="N65" s="42" t="n"/>
      <c r="O65" s="39" t="n"/>
      <c r="P65" s="3">
        <f>Table5[[#This Row],[ (S/S) SAR]]-Table5[[#This Row],[(S/S) AJD]]</f>
        <v/>
      </c>
      <c r="Q65" s="39" t="n"/>
      <c r="R65" s="3">
        <f>Table5[[#This Row],[ (T/B) SAR]]-Table5[[#This Row],[(T/B) AJD]]</f>
        <v/>
      </c>
      <c r="S65" s="3">
        <f>Table5[[#This Row],[S/S_CON.]]+Table5[[#This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Table5[[#This Row],[(RESV. STORGE) AJD]]/10</f>
        <v/>
      </c>
      <c r="AB65" s="3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32" t="n"/>
      <c r="AN65" s="32">
        <f>Table5[[#This Row],[ (RESV. STORGE) SER]]/10</f>
        <v/>
      </c>
      <c r="AO65" s="68" t="n"/>
      <c r="AP65" s="100">
        <f>Table5[[#This Row],[(A/S) AJD]]-Table5[[#This Row],[SER_IN]]</f>
        <v/>
      </c>
    </row>
    <row r="66" ht="18.75" customHeight="1">
      <c r="A66" s="98" t="n">
        <v>47183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Table5[[#This Row],[ (T/B) SAR]]+Table5[[#This Row],[ (S/S) SAR]]</f>
        <v/>
      </c>
      <c r="L66" s="45" t="n"/>
      <c r="M66" s="46" t="n"/>
      <c r="N66" s="46" t="n"/>
      <c r="O66" s="40" t="n"/>
      <c r="P66" s="3">
        <f>Table5[[#This Row],[ (S/S) SAR]]-Table5[[#This Row],[(S/S) AJD]]</f>
        <v/>
      </c>
      <c r="Q66" s="40" t="n"/>
      <c r="R66" s="3">
        <f>Table5[[#This Row],[ (T/B) SAR]]-Table5[[#This Row],[(T/B) AJD]]</f>
        <v/>
      </c>
      <c r="S66" s="3">
        <f>Table5[[#This Row],[S/S_CON.]]+Table5[[#This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Table5[[#This Row],[(RESV. STORGE) AJD]]/10</f>
        <v/>
      </c>
      <c r="AB66" s="3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32" t="n"/>
      <c r="AN66" s="32">
        <f>Table5[[#This Row],[ (RESV. STORGE) SER]]/10</f>
        <v/>
      </c>
      <c r="AO66" s="68" t="n"/>
      <c r="AP66" s="100">
        <f>Table5[[#This Row],[(A/S) AJD]]-Table5[[#This Row],[SER_IN]]</f>
        <v/>
      </c>
    </row>
    <row r="67" ht="18.75" customHeight="1">
      <c r="A67" s="98" t="n">
        <v>47184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Table5[[#This Row],[ (T/B) SAR]]+Table5[[#This Row],[ (S/S) SAR]]</f>
        <v/>
      </c>
      <c r="L67" s="41" t="n"/>
      <c r="M67" s="42" t="n"/>
      <c r="N67" s="42" t="n"/>
      <c r="O67" s="39" t="n"/>
      <c r="P67" s="3">
        <f>Table5[[#This Row],[ (S/S) SAR]]-Table5[[#This Row],[(S/S) AJD]]</f>
        <v/>
      </c>
      <c r="Q67" s="39" t="n"/>
      <c r="R67" s="3">
        <f>Table5[[#This Row],[ (T/B) SAR]]-Table5[[#This Row],[(T/B) AJD]]</f>
        <v/>
      </c>
      <c r="S67" s="3">
        <f>Table5[[#This Row],[S/S_CON.]]+Table5[[#This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Table5[[#This Row],[(RESV. STORGE) AJD]]/10</f>
        <v/>
      </c>
      <c r="AB67" s="3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32" t="n"/>
      <c r="AN67" s="32">
        <f>Table5[[#This Row],[ (RESV. STORGE) SER]]/10</f>
        <v/>
      </c>
      <c r="AO67" s="68" t="n"/>
      <c r="AP67" s="100">
        <f>Table5[[#This Row],[(A/S) AJD]]-Table5[[#This Row],[SER_IN]]</f>
        <v/>
      </c>
    </row>
    <row r="68" ht="18.75" customHeight="1">
      <c r="A68" s="98" t="n">
        <v>47185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Table5[[#This Row],[ (T/B) SAR]]+Table5[[#This Row],[ (S/S) SAR]]</f>
        <v/>
      </c>
      <c r="L68" s="45" t="n"/>
      <c r="M68" s="46" t="n"/>
      <c r="N68" s="46" t="n"/>
      <c r="O68" s="40" t="n"/>
      <c r="P68" s="3">
        <f>Table5[[#This Row],[ (S/S) SAR]]-Table5[[#This Row],[(S/S) AJD]]</f>
        <v/>
      </c>
      <c r="Q68" s="40" t="n"/>
      <c r="R68" s="3">
        <f>Table5[[#This Row],[ (T/B) SAR]]-Table5[[#This Row],[(T/B) AJD]]</f>
        <v/>
      </c>
      <c r="S68" s="3">
        <f>Table5[[#This Row],[S/S_CON.]]+Table5[[#This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Table5[[#This Row],[(RESV. STORGE) AJD]]/10</f>
        <v/>
      </c>
      <c r="AB68" s="3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32" t="n"/>
      <c r="AN68" s="32">
        <f>Table5[[#This Row],[ (RESV. STORGE) SER]]/10</f>
        <v/>
      </c>
      <c r="AO68" s="68" t="n"/>
      <c r="AP68" s="100">
        <f>Table5[[#This Row],[(A/S) AJD]]-Table5[[#This Row],[SER_IN]]</f>
        <v/>
      </c>
    </row>
    <row r="69" ht="18.75" customHeight="1">
      <c r="A69" s="98" t="n">
        <v>47186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Table5[[#This Row],[ (T/B) SAR]]+Table5[[#This Row],[ (S/S) SAR]]</f>
        <v/>
      </c>
      <c r="L69" s="41" t="n"/>
      <c r="M69" s="42" t="n"/>
      <c r="N69" s="42" t="n"/>
      <c r="O69" s="39" t="n"/>
      <c r="P69" s="3">
        <f>Table5[[#This Row],[ (S/S) SAR]]-Table5[[#This Row],[(S/S) AJD]]</f>
        <v/>
      </c>
      <c r="Q69" s="39" t="n"/>
      <c r="R69" s="3">
        <f>Table5[[#This Row],[ (T/B) SAR]]-Table5[[#This Row],[(T/B) AJD]]</f>
        <v/>
      </c>
      <c r="S69" s="3">
        <f>Table5[[#This Row],[S/S_CON.]]+Table5[[#This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Table5[[#This Row],[(RESV. STORGE) AJD]]/10</f>
        <v/>
      </c>
      <c r="AB69" s="3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32" t="n"/>
      <c r="AN69" s="32">
        <f>Table5[[#This Row],[ (RESV. STORGE) SER]]/10</f>
        <v/>
      </c>
      <c r="AO69" s="68" t="n"/>
      <c r="AP69" s="100">
        <f>Table5[[#This Row],[(A/S) AJD]]-Table5[[#This Row],[SER_IN]]</f>
        <v/>
      </c>
    </row>
    <row r="70" ht="18.75" customHeight="1">
      <c r="A70" s="98" t="n">
        <v>47187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Table5[[#This Row],[ (T/B) SAR]]+Table5[[#This Row],[ (S/S) SAR]]</f>
        <v/>
      </c>
      <c r="L70" s="45" t="n"/>
      <c r="M70" s="46" t="n"/>
      <c r="N70" s="46" t="n"/>
      <c r="O70" s="40" t="n"/>
      <c r="P70" s="3">
        <f>Table5[[#This Row],[ (S/S) SAR]]-Table5[[#This Row],[(S/S) AJD]]</f>
        <v/>
      </c>
      <c r="Q70" s="40" t="n"/>
      <c r="R70" s="3">
        <f>Table5[[#This Row],[ (T/B) SAR]]-Table5[[#This Row],[(T/B) AJD]]</f>
        <v/>
      </c>
      <c r="S70" s="3">
        <f>Table5[[#This Row],[S/S_CON.]]+Table5[[#This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Table5[[#This Row],[(RESV. STORGE) AJD]]/10</f>
        <v/>
      </c>
      <c r="AB70" s="3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32" t="n"/>
      <c r="AN70" s="32">
        <f>Table5[[#This Row],[ (RESV. STORGE) SER]]/10</f>
        <v/>
      </c>
      <c r="AO70" s="68" t="n"/>
      <c r="AP70" s="100">
        <f>Table5[[#This Row],[(A/S) AJD]]-Table5[[#This Row],[SER_IN]]</f>
        <v/>
      </c>
    </row>
    <row r="71" ht="18.75" customHeight="1">
      <c r="A71" s="98" t="n">
        <v>47188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Table5[[#This Row],[ (T/B) SAR]]+Table5[[#This Row],[ (S/S) SAR]]</f>
        <v/>
      </c>
      <c r="L71" s="41" t="n"/>
      <c r="M71" s="42" t="n"/>
      <c r="N71" s="42" t="n"/>
      <c r="O71" s="39" t="n"/>
      <c r="P71" s="3">
        <f>Table5[[#This Row],[ (S/S) SAR]]-Table5[[#This Row],[(S/S) AJD]]</f>
        <v/>
      </c>
      <c r="Q71" s="39" t="n"/>
      <c r="R71" s="3">
        <f>Table5[[#This Row],[ (T/B) SAR]]-Table5[[#This Row],[(T/B) AJD]]</f>
        <v/>
      </c>
      <c r="S71" s="3">
        <f>Table5[[#This Row],[S/S_CON.]]+Table5[[#This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Table5[[#This Row],[(RESV. STORGE) AJD]]/10</f>
        <v/>
      </c>
      <c r="AB71" s="3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32" t="n"/>
      <c r="AN71" s="32">
        <f>Table5[[#This Row],[ (RESV. STORGE) SER]]/10</f>
        <v/>
      </c>
      <c r="AO71" s="68" t="n"/>
      <c r="AP71" s="100">
        <f>Table5[[#This Row],[(A/S) AJD]]-Table5[[#This Row],[SER_IN]]</f>
        <v/>
      </c>
    </row>
    <row r="72" ht="18.75" customHeight="1">
      <c r="A72" s="98" t="n">
        <v>47189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Table5[[#This Row],[ (T/B) SAR]]+Table5[[#This Row],[ (S/S) SAR]]</f>
        <v/>
      </c>
      <c r="L72" s="45" t="n"/>
      <c r="M72" s="46" t="n"/>
      <c r="N72" s="46" t="n"/>
      <c r="O72" s="40" t="n"/>
      <c r="P72" s="3">
        <f>Table5[[#This Row],[ (S/S) SAR]]-Table5[[#This Row],[(S/S) AJD]]</f>
        <v/>
      </c>
      <c r="Q72" s="40" t="n"/>
      <c r="R72" s="3">
        <f>Table5[[#This Row],[ (T/B) SAR]]-Table5[[#This Row],[(T/B) AJD]]</f>
        <v/>
      </c>
      <c r="S72" s="3">
        <f>Table5[[#This Row],[S/S_CON.]]+Table5[[#This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Table5[[#This Row],[(RESV. STORGE) AJD]]/10</f>
        <v/>
      </c>
      <c r="AB72" s="3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32" t="n"/>
      <c r="AN72" s="32">
        <f>Table5[[#This Row],[ (RESV. STORGE) SER]]/10</f>
        <v/>
      </c>
      <c r="AO72" s="68" t="n"/>
      <c r="AP72" s="100">
        <f>Table5[[#This Row],[(A/S) AJD]]-Table5[[#This Row],[SER_IN]]</f>
        <v/>
      </c>
    </row>
    <row r="73" ht="18.75" customHeight="1">
      <c r="A73" s="98" t="n">
        <v>47190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Table5[[#This Row],[ (T/B) SAR]]+Table5[[#This Row],[ (S/S) SAR]]</f>
        <v/>
      </c>
      <c r="L73" s="41" t="n"/>
      <c r="M73" s="42" t="n"/>
      <c r="N73" s="42" t="n"/>
      <c r="O73" s="39" t="n"/>
      <c r="P73" s="3">
        <f>Table5[[#This Row],[ (S/S) SAR]]-Table5[[#This Row],[(S/S) AJD]]</f>
        <v/>
      </c>
      <c r="Q73" s="39" t="n"/>
      <c r="R73" s="3">
        <f>Table5[[#This Row],[ (T/B) SAR]]-Table5[[#This Row],[(T/B) AJD]]</f>
        <v/>
      </c>
      <c r="S73" s="3">
        <f>Table5[[#This Row],[S/S_CON.]]+Table5[[#This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Table5[[#This Row],[(RESV. STORGE) AJD]]/10</f>
        <v/>
      </c>
      <c r="AB73" s="3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32" t="n"/>
      <c r="AN73" s="32">
        <f>Table5[[#This Row],[ (RESV. STORGE) SER]]/10</f>
        <v/>
      </c>
      <c r="AO73" s="68" t="n"/>
      <c r="AP73" s="100">
        <f>Table5[[#This Row],[(A/S) AJD]]-Table5[[#This Row],[SER_IN]]</f>
        <v/>
      </c>
    </row>
    <row r="74" ht="18.75" customHeight="1">
      <c r="A74" s="98" t="n">
        <v>47191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Table5[[#This Row],[ (T/B) SAR]]+Table5[[#This Row],[ (S/S) SAR]]</f>
        <v/>
      </c>
      <c r="L74" s="45" t="n"/>
      <c r="M74" s="46" t="n"/>
      <c r="N74" s="46" t="n"/>
      <c r="O74" s="40" t="n"/>
      <c r="P74" s="3">
        <f>Table5[[#This Row],[ (S/S) SAR]]-Table5[[#This Row],[(S/S) AJD]]</f>
        <v/>
      </c>
      <c r="Q74" s="40" t="n"/>
      <c r="R74" s="3">
        <f>Table5[[#This Row],[ (T/B) SAR]]-Table5[[#This Row],[(T/B) AJD]]</f>
        <v/>
      </c>
      <c r="S74" s="3">
        <f>Table5[[#This Row],[S/S_CON.]]+Table5[[#This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Table5[[#This Row],[(RESV. STORGE) AJD]]/10</f>
        <v/>
      </c>
      <c r="AB74" s="3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32" t="n"/>
      <c r="AN74" s="32">
        <f>Table5[[#This Row],[ (RESV. STORGE) SER]]/10</f>
        <v/>
      </c>
      <c r="AO74" s="68" t="n"/>
      <c r="AP74" s="100">
        <f>Table5[[#This Row],[(A/S) AJD]]-Table5[[#This Row],[SER_IN]]</f>
        <v/>
      </c>
    </row>
    <row r="75" ht="18.75" customHeight="1">
      <c r="A75" s="98" t="n">
        <v>47192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Table5[[#This Row],[ (T/B) SAR]]+Table5[[#This Row],[ (S/S) SAR]]</f>
        <v/>
      </c>
      <c r="L75" s="41" t="n"/>
      <c r="M75" s="42" t="n"/>
      <c r="N75" s="42" t="n"/>
      <c r="O75" s="39" t="n"/>
      <c r="P75" s="3">
        <f>Table5[[#This Row],[ (S/S) SAR]]-Table5[[#This Row],[(S/S) AJD]]</f>
        <v/>
      </c>
      <c r="Q75" s="39" t="n"/>
      <c r="R75" s="3">
        <f>Table5[[#This Row],[ (T/B) SAR]]-Table5[[#This Row],[(T/B) AJD]]</f>
        <v/>
      </c>
      <c r="S75" s="3">
        <f>Table5[[#This Row],[S/S_CON.]]+Table5[[#This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Table5[[#This Row],[(RESV. STORGE) AJD]]/10</f>
        <v/>
      </c>
      <c r="AB75" s="3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32" t="n"/>
      <c r="AN75" s="32">
        <f>Table5[[#This Row],[ (RESV. STORGE) SER]]/10</f>
        <v/>
      </c>
      <c r="AO75" s="68" t="n"/>
      <c r="AP75" s="100">
        <f>Table5[[#This Row],[(A/S) AJD]]-Table5[[#This Row],[SER_IN]]</f>
        <v/>
      </c>
    </row>
    <row r="76" ht="18.75" customHeight="1">
      <c r="A76" s="98" t="n">
        <v>47193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Table5[[#This Row],[ (T/B) SAR]]+Table5[[#This Row],[ (S/S) SAR]]</f>
        <v/>
      </c>
      <c r="L76" s="45" t="n"/>
      <c r="M76" s="46" t="n"/>
      <c r="N76" s="46" t="n"/>
      <c r="O76" s="40" t="n"/>
      <c r="P76" s="3">
        <f>Table5[[#This Row],[ (S/S) SAR]]-Table5[[#This Row],[(S/S) AJD]]</f>
        <v/>
      </c>
      <c r="Q76" s="40" t="n"/>
      <c r="R76" s="3">
        <f>Table5[[#This Row],[ (T/B) SAR]]-Table5[[#This Row],[(T/B) AJD]]</f>
        <v/>
      </c>
      <c r="S76" s="3">
        <f>Table5[[#This Row],[S/S_CON.]]+Table5[[#This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Table5[[#This Row],[(RESV. STORGE) AJD]]/10</f>
        <v/>
      </c>
      <c r="AB76" s="3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32" t="n"/>
      <c r="AN76" s="32">
        <f>Table5[[#This Row],[ (RESV. STORGE) SER]]/10</f>
        <v/>
      </c>
      <c r="AO76" s="68" t="n"/>
      <c r="AP76" s="100">
        <f>Table5[[#This Row],[(A/S) AJD]]-Table5[[#This Row],[SER_IN]]</f>
        <v/>
      </c>
    </row>
    <row r="77" ht="18.75" customHeight="1">
      <c r="A77" s="98" t="n">
        <v>47194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Table5[[#This Row],[ (T/B) SAR]]+Table5[[#This Row],[ (S/S) SAR]]</f>
        <v/>
      </c>
      <c r="L77" s="41" t="n"/>
      <c r="M77" s="42" t="n"/>
      <c r="N77" s="42" t="n"/>
      <c r="O77" s="39" t="n"/>
      <c r="P77" s="3">
        <f>Table5[[#This Row],[ (S/S) SAR]]-Table5[[#This Row],[(S/S) AJD]]</f>
        <v/>
      </c>
      <c r="Q77" s="39" t="n"/>
      <c r="R77" s="3">
        <f>Table5[[#This Row],[ (T/B) SAR]]-Table5[[#This Row],[(T/B) AJD]]</f>
        <v/>
      </c>
      <c r="S77" s="3">
        <f>Table5[[#This Row],[S/S_CON.]]+Table5[[#This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Table5[[#This Row],[(RESV. STORGE) AJD]]/10</f>
        <v/>
      </c>
      <c r="AB77" s="3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32" t="n"/>
      <c r="AN77" s="32">
        <f>Table5[[#This Row],[ (RESV. STORGE) SER]]/10</f>
        <v/>
      </c>
      <c r="AO77" s="68" t="n"/>
      <c r="AP77" s="100">
        <f>Table5[[#This Row],[(A/S) AJD]]-Table5[[#This Row],[SER_IN]]</f>
        <v/>
      </c>
    </row>
    <row r="78" ht="18.75" customHeight="1">
      <c r="A78" s="98" t="n">
        <v>47195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Table5[[#This Row],[ (T/B) SAR]]+Table5[[#This Row],[ (S/S) SAR]]</f>
        <v/>
      </c>
      <c r="L78" s="45" t="n"/>
      <c r="M78" s="46" t="n"/>
      <c r="N78" s="46" t="n"/>
      <c r="O78" s="40" t="n"/>
      <c r="P78" s="3">
        <f>Table5[[#This Row],[ (S/S) SAR]]-Table5[[#This Row],[(S/S) AJD]]</f>
        <v/>
      </c>
      <c r="Q78" s="40" t="n"/>
      <c r="R78" s="3">
        <f>Table5[[#This Row],[ (T/B) SAR]]-Table5[[#This Row],[(T/B) AJD]]</f>
        <v/>
      </c>
      <c r="S78" s="3">
        <f>Table5[[#This Row],[S/S_CON.]]+Table5[[#This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Table5[[#This Row],[(RESV. STORGE) AJD]]/10</f>
        <v/>
      </c>
      <c r="AB78" s="3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32" t="n"/>
      <c r="AN78" s="32">
        <f>Table5[[#This Row],[ (RESV. STORGE) SER]]/10</f>
        <v/>
      </c>
      <c r="AO78" s="68" t="n"/>
      <c r="AP78" s="100">
        <f>Table5[[#This Row],[(A/S) AJD]]-Table5[[#This Row],[SER_IN]]</f>
        <v/>
      </c>
    </row>
    <row r="79" ht="18.75" customHeight="1">
      <c r="A79" s="98" t="n">
        <v>47196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Table5[[#This Row],[ (T/B) SAR]]+Table5[[#This Row],[ (S/S) SAR]]</f>
        <v/>
      </c>
      <c r="L79" s="41" t="n"/>
      <c r="M79" s="42" t="n"/>
      <c r="N79" s="42" t="n"/>
      <c r="O79" s="39" t="n"/>
      <c r="P79" s="3">
        <f>Table5[[#This Row],[ (S/S) SAR]]-Table5[[#This Row],[(S/S) AJD]]</f>
        <v/>
      </c>
      <c r="Q79" s="39" t="n"/>
      <c r="R79" s="3">
        <f>Table5[[#This Row],[ (T/B) SAR]]-Table5[[#This Row],[(T/B) AJD]]</f>
        <v/>
      </c>
      <c r="S79" s="3">
        <f>Table5[[#This Row],[S/S_CON.]]+Table5[[#This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Table5[[#This Row],[(RESV. STORGE) AJD]]/10</f>
        <v/>
      </c>
      <c r="AB79" s="3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32" t="n"/>
      <c r="AN79" s="32">
        <f>Table5[[#This Row],[ (RESV. STORGE) SER]]/10</f>
        <v/>
      </c>
      <c r="AO79" s="68" t="n"/>
      <c r="AP79" s="100">
        <f>Table5[[#This Row],[(A/S) AJD]]-Table5[[#This Row],[SER_IN]]</f>
        <v/>
      </c>
    </row>
    <row r="80" ht="18.75" customHeight="1">
      <c r="A80" s="98" t="n">
        <v>47197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Table5[[#This Row],[ (T/B) SAR]]+Table5[[#This Row],[ (S/S) SAR]]</f>
        <v/>
      </c>
      <c r="L80" s="45" t="n"/>
      <c r="M80" s="46" t="n"/>
      <c r="N80" s="46" t="n"/>
      <c r="O80" s="40" t="n"/>
      <c r="P80" s="3">
        <f>Table5[[#This Row],[ (S/S) SAR]]-Table5[[#This Row],[(S/S) AJD]]</f>
        <v/>
      </c>
      <c r="Q80" s="40" t="n"/>
      <c r="R80" s="3">
        <f>Table5[[#This Row],[ (T/B) SAR]]-Table5[[#This Row],[(T/B) AJD]]</f>
        <v/>
      </c>
      <c r="S80" s="3">
        <f>Table5[[#This Row],[S/S_CON.]]+Table5[[#This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Table5[[#This Row],[(RESV. STORGE) AJD]]/10</f>
        <v/>
      </c>
      <c r="AB80" s="3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32" t="n"/>
      <c r="AN80" s="32">
        <f>Table5[[#This Row],[ (RESV. STORGE) SER]]/10</f>
        <v/>
      </c>
      <c r="AO80" s="68" t="n"/>
      <c r="AP80" s="100">
        <f>Table5[[#This Row],[(A/S) AJD]]-Table5[[#This Row],[SER_IN]]</f>
        <v/>
      </c>
    </row>
    <row r="81" ht="18.75" customHeight="1">
      <c r="A81" s="98" t="n">
        <v>47198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Table5[[#This Row],[ (T/B) SAR]]+Table5[[#This Row],[ (S/S) SAR]]</f>
        <v/>
      </c>
      <c r="L81" s="41" t="n"/>
      <c r="M81" s="42" t="n"/>
      <c r="N81" s="42" t="n"/>
      <c r="O81" s="39" t="n"/>
      <c r="P81" s="3">
        <f>Table5[[#This Row],[ (S/S) SAR]]-Table5[[#This Row],[(S/S) AJD]]</f>
        <v/>
      </c>
      <c r="Q81" s="39" t="n"/>
      <c r="R81" s="3">
        <f>Table5[[#This Row],[ (T/B) SAR]]-Table5[[#This Row],[(T/B) AJD]]</f>
        <v/>
      </c>
      <c r="S81" s="3">
        <f>Table5[[#This Row],[S/S_CON.]]+Table5[[#This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Table5[[#This Row],[(RESV. STORGE) AJD]]/10</f>
        <v/>
      </c>
      <c r="AB81" s="3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32" t="n"/>
      <c r="AN81" s="32">
        <f>Table5[[#This Row],[ (RESV. STORGE) SER]]/10</f>
        <v/>
      </c>
      <c r="AO81" s="68" t="n"/>
      <c r="AP81" s="100">
        <f>Table5[[#This Row],[(A/S) AJD]]-Table5[[#This Row],[SER_IN]]</f>
        <v/>
      </c>
    </row>
    <row r="82" ht="18.75" customHeight="1">
      <c r="A82" s="98" t="n">
        <v>47199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Table5[[#This Row],[ (T/B) SAR]]+Table5[[#This Row],[ (S/S) SAR]]</f>
        <v/>
      </c>
      <c r="L82" s="45" t="n"/>
      <c r="M82" s="46" t="n"/>
      <c r="N82" s="46" t="n"/>
      <c r="O82" s="40" t="n"/>
      <c r="P82" s="3">
        <f>Table5[[#This Row],[ (S/S) SAR]]-Table5[[#This Row],[(S/S) AJD]]</f>
        <v/>
      </c>
      <c r="Q82" s="40" t="n"/>
      <c r="R82" s="3">
        <f>Table5[[#This Row],[ (T/B) SAR]]-Table5[[#This Row],[(T/B) AJD]]</f>
        <v/>
      </c>
      <c r="S82" s="3">
        <f>Table5[[#This Row],[S/S_CON.]]+Table5[[#This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Table5[[#This Row],[(RESV. STORGE) AJD]]/10</f>
        <v/>
      </c>
      <c r="AB82" s="3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32" t="n"/>
      <c r="AN82" s="32">
        <f>Table5[[#This Row],[ (RESV. STORGE) SER]]/10</f>
        <v/>
      </c>
      <c r="AO82" s="68" t="n"/>
      <c r="AP82" s="100">
        <f>Table5[[#This Row],[(A/S) AJD]]-Table5[[#This Row],[SER_IN]]</f>
        <v/>
      </c>
    </row>
    <row r="83" ht="18.75" customHeight="1">
      <c r="A83" s="98" t="n">
        <v>47200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Table5[[#This Row],[ (T/B) SAR]]+Table5[[#This Row],[ (S/S) SAR]]</f>
        <v/>
      </c>
      <c r="L83" s="41" t="n"/>
      <c r="M83" s="42" t="n"/>
      <c r="N83" s="42" t="n"/>
      <c r="O83" s="39" t="n"/>
      <c r="P83" s="3">
        <f>Table5[[#This Row],[ (S/S) SAR]]-Table5[[#This Row],[(S/S) AJD]]</f>
        <v/>
      </c>
      <c r="Q83" s="39" t="n"/>
      <c r="R83" s="3">
        <f>Table5[[#This Row],[ (T/B) SAR]]-Table5[[#This Row],[(T/B) AJD]]</f>
        <v/>
      </c>
      <c r="S83" s="3">
        <f>Table5[[#This Row],[S/S_CON.]]+Table5[[#This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Table5[[#This Row],[(RESV. STORGE) AJD]]/10</f>
        <v/>
      </c>
      <c r="AB83" s="3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32" t="n"/>
      <c r="AN83" s="32">
        <f>Table5[[#This Row],[ (RESV. STORGE) SER]]/10</f>
        <v/>
      </c>
      <c r="AO83" s="68" t="n"/>
      <c r="AP83" s="100">
        <f>Table5[[#This Row],[(A/S) AJD]]-Table5[[#This Row],[SER_IN]]</f>
        <v/>
      </c>
    </row>
    <row r="84" ht="18.75" customHeight="1">
      <c r="A84" s="98" t="n">
        <v>47201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Table5[[#This Row],[ (T/B) SAR]]+Table5[[#This Row],[ (S/S) SAR]]</f>
        <v/>
      </c>
      <c r="L84" s="45" t="n"/>
      <c r="M84" s="46" t="n"/>
      <c r="N84" s="46" t="n"/>
      <c r="O84" s="40" t="n"/>
      <c r="P84" s="3">
        <f>Table5[[#This Row],[ (S/S) SAR]]-Table5[[#This Row],[(S/S) AJD]]</f>
        <v/>
      </c>
      <c r="Q84" s="40" t="n"/>
      <c r="R84" s="3">
        <f>Table5[[#This Row],[ (T/B) SAR]]-Table5[[#This Row],[(T/B) AJD]]</f>
        <v/>
      </c>
      <c r="S84" s="3">
        <f>Table5[[#This Row],[S/S_CON.]]+Table5[[#This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Table5[[#This Row],[(RESV. STORGE) AJD]]/10</f>
        <v/>
      </c>
      <c r="AB84" s="3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32" t="n"/>
      <c r="AN84" s="32">
        <f>Table5[[#This Row],[ (RESV. STORGE) SER]]/10</f>
        <v/>
      </c>
      <c r="AO84" s="68" t="n"/>
      <c r="AP84" s="100">
        <f>Table5[[#This Row],[(A/S) AJD]]-Table5[[#This Row],[SER_IN]]</f>
        <v/>
      </c>
    </row>
    <row r="85" ht="18.75" customHeight="1">
      <c r="A85" s="98" t="n">
        <v>47202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Table5[[#This Row],[ (T/B) SAR]]+Table5[[#This Row],[ (S/S) SAR]]</f>
        <v/>
      </c>
      <c r="L85" s="41" t="n"/>
      <c r="M85" s="42" t="n"/>
      <c r="N85" s="42" t="n"/>
      <c r="O85" s="39" t="n"/>
      <c r="P85" s="3">
        <f>Table5[[#This Row],[ (S/S) SAR]]-Table5[[#This Row],[(S/S) AJD]]</f>
        <v/>
      </c>
      <c r="Q85" s="39" t="n"/>
      <c r="R85" s="3">
        <f>Table5[[#This Row],[ (T/B) SAR]]-Table5[[#This Row],[(T/B) AJD]]</f>
        <v/>
      </c>
      <c r="S85" s="3">
        <f>Table5[[#This Row],[S/S_CON.]]+Table5[[#This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Table5[[#This Row],[(RESV. STORGE) AJD]]/10</f>
        <v/>
      </c>
      <c r="AB85" s="3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32" t="n"/>
      <c r="AN85" s="32">
        <f>Table5[[#This Row],[ (RESV. STORGE) SER]]/10</f>
        <v/>
      </c>
      <c r="AO85" s="68" t="n"/>
      <c r="AP85" s="100">
        <f>Table5[[#This Row],[(A/S) AJD]]-Table5[[#This Row],[SER_IN]]</f>
        <v/>
      </c>
    </row>
    <row r="86" ht="18.75" customHeight="1">
      <c r="A86" s="98" t="n">
        <v>47203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Table5[[#This Row],[ (T/B) SAR]]+Table5[[#This Row],[ (S/S) SAR]]</f>
        <v/>
      </c>
      <c r="L86" s="45" t="n"/>
      <c r="M86" s="46" t="n"/>
      <c r="N86" s="46" t="n"/>
      <c r="O86" s="40" t="n"/>
      <c r="P86" s="3">
        <f>Table5[[#This Row],[ (S/S) SAR]]-Table5[[#This Row],[(S/S) AJD]]</f>
        <v/>
      </c>
      <c r="Q86" s="40" t="n"/>
      <c r="R86" s="3">
        <f>Table5[[#This Row],[ (T/B) SAR]]-Table5[[#This Row],[(T/B) AJD]]</f>
        <v/>
      </c>
      <c r="S86" s="3">
        <f>Table5[[#This Row],[S/S_CON.]]+Table5[[#This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Table5[[#This Row],[(RESV. STORGE) AJD]]/10</f>
        <v/>
      </c>
      <c r="AB86" s="3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32" t="n"/>
      <c r="AN86" s="32">
        <f>Table5[[#This Row],[ (RESV. STORGE) SER]]/10</f>
        <v/>
      </c>
      <c r="AO86" s="68" t="n"/>
      <c r="AP86" s="100">
        <f>Table5[[#This Row],[(A/S) AJD]]-Table5[[#This Row],[SER_IN]]</f>
        <v/>
      </c>
    </row>
    <row r="87" ht="18.75" customHeight="1">
      <c r="A87" s="98" t="n">
        <v>47204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Table5[[#This Row],[ (T/B) SAR]]+Table5[[#This Row],[ (S/S) SAR]]</f>
        <v/>
      </c>
      <c r="L87" s="41" t="n"/>
      <c r="M87" s="42" t="n"/>
      <c r="N87" s="42" t="n"/>
      <c r="O87" s="39" t="n"/>
      <c r="P87" s="3">
        <f>Table5[[#This Row],[ (S/S) SAR]]-Table5[[#This Row],[(S/S) AJD]]</f>
        <v/>
      </c>
      <c r="Q87" s="39" t="n"/>
      <c r="R87" s="3">
        <f>Table5[[#This Row],[ (T/B) SAR]]-Table5[[#This Row],[(T/B) AJD]]</f>
        <v/>
      </c>
      <c r="S87" s="3">
        <f>Table5[[#This Row],[S/S_CON.]]+Table5[[#This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Table5[[#This Row],[(RESV. STORGE) AJD]]/10</f>
        <v/>
      </c>
      <c r="AB87" s="3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32" t="n"/>
      <c r="AN87" s="32">
        <f>Table5[[#This Row],[ (RESV. STORGE) SER]]/10</f>
        <v/>
      </c>
      <c r="AO87" s="68" t="n"/>
      <c r="AP87" s="100">
        <f>Table5[[#This Row],[(A/S) AJD]]-Table5[[#This Row],[SER_IN]]</f>
        <v/>
      </c>
    </row>
    <row r="88" ht="18.75" customHeight="1">
      <c r="A88" s="98" t="n">
        <v>47205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Table5[[#This Row],[ (T/B) SAR]]+Table5[[#This Row],[ (S/S) SAR]]</f>
        <v/>
      </c>
      <c r="L88" s="45" t="n"/>
      <c r="M88" s="46" t="n"/>
      <c r="N88" s="46" t="n"/>
      <c r="O88" s="40" t="n"/>
      <c r="P88" s="3">
        <f>Table5[[#This Row],[ (S/S) SAR]]-Table5[[#This Row],[(S/S) AJD]]</f>
        <v/>
      </c>
      <c r="Q88" s="40" t="n"/>
      <c r="R88" s="3">
        <f>Table5[[#This Row],[ (T/B) SAR]]-Table5[[#This Row],[(T/B) AJD]]</f>
        <v/>
      </c>
      <c r="S88" s="3">
        <f>Table5[[#This Row],[S/S_CON.]]+Table5[[#This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Table5[[#This Row],[(RESV. STORGE) AJD]]/10</f>
        <v/>
      </c>
      <c r="AB88" s="3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32" t="n"/>
      <c r="AN88" s="32">
        <f>Table5[[#This Row],[ (RESV. STORGE) SER]]/10</f>
        <v/>
      </c>
      <c r="AO88" s="68" t="n"/>
      <c r="AP88" s="100">
        <f>Table5[[#This Row],[(A/S) AJD]]-Table5[[#This Row],[SER_IN]]</f>
        <v/>
      </c>
    </row>
    <row r="89" ht="18.75" customHeight="1">
      <c r="A89" s="98" t="n">
        <v>47206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Table5[[#This Row],[ (T/B) SAR]]+Table5[[#This Row],[ (S/S) SAR]]</f>
        <v/>
      </c>
      <c r="L89" s="41" t="n"/>
      <c r="M89" s="42" t="n"/>
      <c r="N89" s="42" t="n"/>
      <c r="O89" s="39" t="n"/>
      <c r="P89" s="3">
        <f>Table5[[#This Row],[ (S/S) SAR]]-Table5[[#This Row],[(S/S) AJD]]</f>
        <v/>
      </c>
      <c r="Q89" s="39" t="n"/>
      <c r="R89" s="3">
        <f>Table5[[#This Row],[ (T/B) SAR]]-Table5[[#This Row],[(T/B) AJD]]</f>
        <v/>
      </c>
      <c r="S89" s="3">
        <f>Table5[[#This Row],[S/S_CON.]]+Table5[[#This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Table5[[#This Row],[(RESV. STORGE) AJD]]/10</f>
        <v/>
      </c>
      <c r="AB89" s="3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32" t="n"/>
      <c r="AN89" s="32">
        <f>Table5[[#This Row],[ (RESV. STORGE) SER]]/10</f>
        <v/>
      </c>
      <c r="AO89" s="68" t="n"/>
      <c r="AP89" s="100">
        <f>Table5[[#This Row],[(A/S) AJD]]-Table5[[#This Row],[SER_IN]]</f>
        <v/>
      </c>
    </row>
    <row r="90" ht="18.75" customHeight="1">
      <c r="A90" s="98" t="n">
        <v>47207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Table5[[#This Row],[ (T/B) SAR]]+Table5[[#This Row],[ (S/S) SAR]]</f>
        <v/>
      </c>
      <c r="L90" s="45" t="n"/>
      <c r="M90" s="46" t="n"/>
      <c r="N90" s="46" t="n"/>
      <c r="O90" s="40" t="n"/>
      <c r="P90" s="3">
        <f>Table5[[#This Row],[ (S/S) SAR]]-Table5[[#This Row],[(S/S) AJD]]</f>
        <v/>
      </c>
      <c r="Q90" s="40" t="n"/>
      <c r="R90" s="3">
        <f>Table5[[#This Row],[ (T/B) SAR]]-Table5[[#This Row],[(T/B) AJD]]</f>
        <v/>
      </c>
      <c r="S90" s="3">
        <f>Table5[[#This Row],[S/S_CON.]]+Table5[[#This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Table5[[#This Row],[(RESV. STORGE) AJD]]/10</f>
        <v/>
      </c>
      <c r="AB90" s="3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32" t="n"/>
      <c r="AN90" s="32">
        <f>Table5[[#This Row],[ (RESV. STORGE) SER]]/10</f>
        <v/>
      </c>
      <c r="AO90" s="68" t="n"/>
      <c r="AP90" s="100">
        <f>Table5[[#This Row],[(A/S) AJD]]-Table5[[#This Row],[SER_IN]]</f>
        <v/>
      </c>
    </row>
    <row r="91" ht="18.75" customHeight="1">
      <c r="A91" s="98" t="n">
        <v>47208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Table5[[#This Row],[ (T/B) SAR]]+Table5[[#This Row],[ (S/S) SAR]]</f>
        <v/>
      </c>
      <c r="L91" s="41" t="n"/>
      <c r="M91" s="42" t="n"/>
      <c r="N91" s="42" t="n"/>
      <c r="O91" s="39" t="n"/>
      <c r="P91" s="3">
        <f>Table5[[#This Row],[ (S/S) SAR]]-Table5[[#This Row],[(S/S) AJD]]</f>
        <v/>
      </c>
      <c r="Q91" s="39" t="n"/>
      <c r="R91" s="3">
        <f>Table5[[#This Row],[ (T/B) SAR]]-Table5[[#This Row],[(T/B) AJD]]</f>
        <v/>
      </c>
      <c r="S91" s="3">
        <f>Table5[[#This Row],[S/S_CON.]]+Table5[[#This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Table5[[#This Row],[(RESV. STORGE) AJD]]/10</f>
        <v/>
      </c>
      <c r="AB91" s="3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32" t="n"/>
      <c r="AN91" s="32">
        <f>Table5[[#This Row],[ (RESV. STORGE) SER]]/10</f>
        <v/>
      </c>
      <c r="AO91" s="68" t="n"/>
      <c r="AP91" s="100">
        <f>Table5[[#This Row],[(A/S) AJD]]-Table5[[#This Row],[SER_IN]]</f>
        <v/>
      </c>
    </row>
    <row r="92" ht="18.75" customHeight="1">
      <c r="A92" s="98" t="n">
        <v>47209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Table5[[#This Row],[ (T/B) SAR]]+Table5[[#This Row],[ (S/S) SAR]]</f>
        <v/>
      </c>
      <c r="L92" s="41" t="n"/>
      <c r="M92" s="42" t="n"/>
      <c r="N92" s="42" t="n"/>
      <c r="O92" s="39" t="n"/>
      <c r="P92" s="3">
        <f>Table5[[#This Row],[ (S/S) SAR]]-Table5[[#This Row],[(S/S) AJD]]</f>
        <v/>
      </c>
      <c r="Q92" s="39" t="n"/>
      <c r="R92" s="3">
        <f>Table5[[#This Row],[ (T/B) SAR]]-Table5[[#This Row],[(T/B) AJD]]</f>
        <v/>
      </c>
      <c r="S92" s="3">
        <f>Table5[[#This Row],[S/S_CON.]]+Table5[[#This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Table5[[#This Row],[(RESV. STORGE) AJD]]/10</f>
        <v/>
      </c>
      <c r="AB92" s="3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32" t="n"/>
      <c r="AN92" s="32">
        <f>Table5[[#This Row],[ (RESV. STORGE) SER]]/10</f>
        <v/>
      </c>
      <c r="AO92" s="68" t="n"/>
      <c r="AP92" s="100">
        <f>Table5[[#This Row],[(A/S) AJD]]-Table5[[#This Row],[SER_IN]]</f>
        <v/>
      </c>
    </row>
    <row r="93" ht="18.75" customHeight="1">
      <c r="A93" s="98" t="n">
        <v>47210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Table5[[#This Row],[ (T/B) SAR]]+Table5[[#This Row],[ (S/S) SAR]]</f>
        <v/>
      </c>
      <c r="L93" s="45" t="n"/>
      <c r="M93" s="46" t="n"/>
      <c r="N93" s="46" t="n"/>
      <c r="O93" s="40" t="n"/>
      <c r="P93" s="3">
        <f>Table5[[#This Row],[ (S/S) SAR]]-Table5[[#This Row],[(S/S) AJD]]</f>
        <v/>
      </c>
      <c r="Q93" s="40" t="n"/>
      <c r="R93" s="3">
        <f>Table5[[#This Row],[ (T/B) SAR]]-Table5[[#This Row],[(T/B) AJD]]</f>
        <v/>
      </c>
      <c r="S93" s="3">
        <f>Table5[[#This Row],[S/S_CON.]]+Table5[[#This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Table5[[#This Row],[(RESV. STORGE) AJD]]/10</f>
        <v/>
      </c>
      <c r="AB93" s="3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32" t="n"/>
      <c r="AN93" s="32">
        <f>Table5[[#This Row],[ (RESV. STORGE) SER]]/10</f>
        <v/>
      </c>
      <c r="AO93" s="68" t="n"/>
      <c r="AP93" s="100">
        <f>Table5[[#This Row],[(A/S) AJD]]-Table5[[#This Row],[SER_IN]]</f>
        <v/>
      </c>
    </row>
    <row r="94" ht="18.75" customHeight="1">
      <c r="A94" s="98" t="n">
        <v>47211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Table5[[#This Row],[ (T/B) SAR]]+Table5[[#This Row],[ (S/S) SAR]]</f>
        <v/>
      </c>
      <c r="L94" s="41" t="n"/>
      <c r="M94" s="42" t="n"/>
      <c r="N94" s="42" t="n"/>
      <c r="O94" s="39" t="n"/>
      <c r="P94" s="3">
        <f>Table5[[#This Row],[ (S/S) SAR]]-Table5[[#This Row],[(S/S) AJD]]</f>
        <v/>
      </c>
      <c r="Q94" s="39" t="n"/>
      <c r="R94" s="3">
        <f>Table5[[#This Row],[ (T/B) SAR]]-Table5[[#This Row],[(T/B) AJD]]</f>
        <v/>
      </c>
      <c r="S94" s="3">
        <f>Table5[[#This Row],[S/S_CON.]]+Table5[[#This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Table5[[#This Row],[(RESV. STORGE) AJD]]/10</f>
        <v/>
      </c>
      <c r="AB94" s="3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32" t="n"/>
      <c r="AN94" s="32">
        <f>Table5[[#This Row],[ (RESV. STORGE) SER]]/10</f>
        <v/>
      </c>
      <c r="AO94" s="68" t="n"/>
      <c r="AP94" s="100">
        <f>Table5[[#This Row],[(A/S) AJD]]-Table5[[#This Row],[SER_IN]]</f>
        <v/>
      </c>
    </row>
    <row r="95" ht="18.75" customHeight="1">
      <c r="A95" s="98" t="n">
        <v>47212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Table5[[#This Row],[ (T/B) SAR]]+Table5[[#This Row],[ (S/S) SAR]]</f>
        <v/>
      </c>
      <c r="L95" s="45" t="n"/>
      <c r="M95" s="46" t="n"/>
      <c r="N95" s="46" t="n"/>
      <c r="O95" s="40" t="n"/>
      <c r="P95" s="3">
        <f>Table5[[#This Row],[ (S/S) SAR]]-Table5[[#This Row],[(S/S) AJD]]</f>
        <v/>
      </c>
      <c r="Q95" s="40" t="n"/>
      <c r="R95" s="3">
        <f>Table5[[#This Row],[ (T/B) SAR]]-Table5[[#This Row],[(T/B) AJD]]</f>
        <v/>
      </c>
      <c r="S95" s="3">
        <f>Table5[[#This Row],[S/S_CON.]]+Table5[[#This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Table5[[#This Row],[(RESV. STORGE) AJD]]/10</f>
        <v/>
      </c>
      <c r="AB95" s="3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32" t="n"/>
      <c r="AN95" s="32">
        <f>Table5[[#This Row],[ (RESV. STORGE) SER]]/10</f>
        <v/>
      </c>
      <c r="AO95" s="68" t="n"/>
      <c r="AP95" s="100">
        <f>Table5[[#This Row],[(A/S) AJD]]-Table5[[#This Row],[SER_IN]]</f>
        <v/>
      </c>
    </row>
    <row r="96" ht="18.75" customHeight="1">
      <c r="A96" s="98" t="n">
        <v>47213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Table5[[#This Row],[ (T/B) SAR]]+Table5[[#This Row],[ (S/S) SAR]]</f>
        <v/>
      </c>
      <c r="L96" s="41" t="n"/>
      <c r="M96" s="42" t="n"/>
      <c r="N96" s="42" t="n"/>
      <c r="O96" s="39" t="n"/>
      <c r="P96" s="3">
        <f>Table5[[#This Row],[ (S/S) SAR]]-Table5[[#This Row],[(S/S) AJD]]</f>
        <v/>
      </c>
      <c r="Q96" s="39" t="n"/>
      <c r="R96" s="3">
        <f>Table5[[#This Row],[ (T/B) SAR]]-Table5[[#This Row],[(T/B) AJD]]</f>
        <v/>
      </c>
      <c r="S96" s="3">
        <f>Table5[[#This Row],[S/S_CON.]]+Table5[[#This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Table5[[#This Row],[(RESV. STORGE) AJD]]/10</f>
        <v/>
      </c>
      <c r="AB96" s="3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32" t="n"/>
      <c r="AN96" s="32">
        <f>Table5[[#This Row],[ (RESV. STORGE) SER]]/10</f>
        <v/>
      </c>
      <c r="AO96" s="68" t="n"/>
      <c r="AP96" s="100">
        <f>Table5[[#This Row],[(A/S) AJD]]-Table5[[#This Row],[SER_IN]]</f>
        <v/>
      </c>
    </row>
    <row r="97" ht="18.75" customHeight="1">
      <c r="A97" s="98" t="n">
        <v>47214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Table5[[#This Row],[ (T/B) SAR]]+Table5[[#This Row],[ (S/S) SAR]]</f>
        <v/>
      </c>
      <c r="L97" s="45" t="n"/>
      <c r="M97" s="46" t="n"/>
      <c r="N97" s="46" t="n"/>
      <c r="O97" s="40" t="n"/>
      <c r="P97" s="3">
        <f>Table5[[#This Row],[ (S/S) SAR]]-Table5[[#This Row],[(S/S) AJD]]</f>
        <v/>
      </c>
      <c r="Q97" s="40" t="n"/>
      <c r="R97" s="3">
        <f>Table5[[#This Row],[ (T/B) SAR]]-Table5[[#This Row],[(T/B) AJD]]</f>
        <v/>
      </c>
      <c r="S97" s="3">
        <f>Table5[[#This Row],[S/S_CON.]]+Table5[[#This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Table5[[#This Row],[(RESV. STORGE) AJD]]/10</f>
        <v/>
      </c>
      <c r="AB97" s="3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32" t="n"/>
      <c r="AN97" s="32">
        <f>Table5[[#This Row],[ (RESV. STORGE) SER]]/10</f>
        <v/>
      </c>
      <c r="AO97" s="68" t="n"/>
      <c r="AP97" s="100">
        <f>Table5[[#This Row],[(A/S) AJD]]-Table5[[#This Row],[SER_IN]]</f>
        <v/>
      </c>
    </row>
    <row r="98" ht="18.75" customHeight="1">
      <c r="A98" s="98" t="n">
        <v>47215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Table5[[#This Row],[ (T/B) SAR]]+Table5[[#This Row],[ (S/S) SAR]]</f>
        <v/>
      </c>
      <c r="L98" s="41" t="n"/>
      <c r="M98" s="42" t="n"/>
      <c r="N98" s="42" t="n"/>
      <c r="O98" s="39" t="n"/>
      <c r="P98" s="3">
        <f>Table5[[#This Row],[ (S/S) SAR]]-Table5[[#This Row],[(S/S) AJD]]</f>
        <v/>
      </c>
      <c r="Q98" s="39" t="n"/>
      <c r="R98" s="3">
        <f>Table5[[#This Row],[ (T/B) SAR]]-Table5[[#This Row],[(T/B) AJD]]</f>
        <v/>
      </c>
      <c r="S98" s="3">
        <f>Table5[[#This Row],[S/S_CON.]]+Table5[[#This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Table5[[#This Row],[(RESV. STORGE) AJD]]/10</f>
        <v/>
      </c>
      <c r="AB98" s="3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32" t="n"/>
      <c r="AN98" s="32">
        <f>Table5[[#This Row],[ (RESV. STORGE) SER]]/10</f>
        <v/>
      </c>
      <c r="AO98" s="68" t="n"/>
      <c r="AP98" s="100">
        <f>Table5[[#This Row],[(A/S) AJD]]-Table5[[#This Row],[SER_IN]]</f>
        <v/>
      </c>
    </row>
    <row r="99" ht="18.75" customHeight="1">
      <c r="A99" s="98" t="n">
        <v>47216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Table5[[#This Row],[ (T/B) SAR]]+Table5[[#This Row],[ (S/S) SAR]]</f>
        <v/>
      </c>
      <c r="L99" s="45" t="n"/>
      <c r="M99" s="46" t="n"/>
      <c r="N99" s="46" t="n"/>
      <c r="O99" s="40" t="n"/>
      <c r="P99" s="3">
        <f>Table5[[#This Row],[ (S/S) SAR]]-Table5[[#This Row],[(S/S) AJD]]</f>
        <v/>
      </c>
      <c r="Q99" s="40" t="n"/>
      <c r="R99" s="3">
        <f>Table5[[#This Row],[ (T/B) SAR]]-Table5[[#This Row],[(T/B) AJD]]</f>
        <v/>
      </c>
      <c r="S99" s="3">
        <f>Table5[[#This Row],[S/S_CON.]]+Table5[[#This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Table5[[#This Row],[(RESV. STORGE) AJD]]/10</f>
        <v/>
      </c>
      <c r="AB99" s="3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32" t="n"/>
      <c r="AN99" s="32">
        <f>Table5[[#This Row],[ (RESV. STORGE) SER]]/10</f>
        <v/>
      </c>
      <c r="AO99" s="68" t="n"/>
      <c r="AP99" s="100">
        <f>Table5[[#This Row],[(A/S) AJD]]-Table5[[#This Row],[SER_IN]]</f>
        <v/>
      </c>
    </row>
    <row r="100" ht="18.75" customHeight="1">
      <c r="A100" s="98" t="n">
        <v>47217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Table5[[#This Row],[ (T/B) SAR]]+Table5[[#This Row],[ (S/S) SAR]]</f>
        <v/>
      </c>
      <c r="L100" s="41" t="n"/>
      <c r="M100" s="42" t="n"/>
      <c r="N100" s="42" t="n"/>
      <c r="O100" s="39" t="n"/>
      <c r="P100" s="3">
        <f>Table5[[#This Row],[ (S/S) SAR]]-Table5[[#This Row],[(S/S) AJD]]</f>
        <v/>
      </c>
      <c r="Q100" s="39" t="n"/>
      <c r="R100" s="3">
        <f>Table5[[#This Row],[ (T/B) SAR]]-Table5[[#This Row],[(T/B) AJD]]</f>
        <v/>
      </c>
      <c r="S100" s="3">
        <f>Table5[[#This Row],[S/S_CON.]]+Table5[[#This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Table5[[#This Row],[(RESV. STORGE) AJD]]/10</f>
        <v/>
      </c>
      <c r="AB100" s="3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32" t="n"/>
      <c r="AN100" s="32">
        <f>Table5[[#This Row],[ (RESV. STORGE) SER]]/10</f>
        <v/>
      </c>
      <c r="AO100" s="68" t="n"/>
      <c r="AP100" s="100">
        <f>Table5[[#This Row],[(A/S) AJD]]-Table5[[#This Row],[SER_IN]]</f>
        <v/>
      </c>
    </row>
    <row r="101" ht="18.75" customHeight="1">
      <c r="A101" s="98" t="n">
        <v>47218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Table5[[#This Row],[ (T/B) SAR]]+Table5[[#This Row],[ (S/S) SAR]]</f>
        <v/>
      </c>
      <c r="L101" s="45" t="n"/>
      <c r="M101" s="46" t="n"/>
      <c r="N101" s="46" t="n"/>
      <c r="O101" s="40" t="n"/>
      <c r="P101" s="3">
        <f>Table5[[#This Row],[ (S/S) SAR]]-Table5[[#This Row],[(S/S) AJD]]</f>
        <v/>
      </c>
      <c r="Q101" s="40" t="n"/>
      <c r="R101" s="3">
        <f>Table5[[#This Row],[ (T/B) SAR]]-Table5[[#This Row],[(T/B) AJD]]</f>
        <v/>
      </c>
      <c r="S101" s="3">
        <f>Table5[[#This Row],[S/S_CON.]]+Table5[[#This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Table5[[#This Row],[(RESV. STORGE) AJD]]/10</f>
        <v/>
      </c>
      <c r="AB101" s="3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32" t="n"/>
      <c r="AN101" s="32">
        <f>Table5[[#This Row],[ (RESV. STORGE) SER]]/10</f>
        <v/>
      </c>
      <c r="AO101" s="68" t="n"/>
      <c r="AP101" s="100">
        <f>Table5[[#This Row],[(A/S) AJD]]-Table5[[#This Row],[SER_IN]]</f>
        <v/>
      </c>
    </row>
    <row r="102" ht="18.75" customHeight="1">
      <c r="A102" s="98" t="n">
        <v>47219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Table5[[#This Row],[ (T/B) SAR]]+Table5[[#This Row],[ (S/S) SAR]]</f>
        <v/>
      </c>
      <c r="L102" s="41" t="n"/>
      <c r="M102" s="42" t="n"/>
      <c r="N102" s="42" t="n"/>
      <c r="O102" s="39" t="n"/>
      <c r="P102" s="3">
        <f>Table5[[#This Row],[ (S/S) SAR]]-Table5[[#This Row],[(S/S) AJD]]</f>
        <v/>
      </c>
      <c r="Q102" s="39" t="n"/>
      <c r="R102" s="3">
        <f>Table5[[#This Row],[ (T/B) SAR]]-Table5[[#This Row],[(T/B) AJD]]</f>
        <v/>
      </c>
      <c r="S102" s="3">
        <f>Table5[[#This Row],[S/S_CON.]]+Table5[[#This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Table5[[#This Row],[(RESV. STORGE) AJD]]/10</f>
        <v/>
      </c>
      <c r="AB102" s="3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32" t="n"/>
      <c r="AN102" s="32">
        <f>Table5[[#This Row],[ (RESV. STORGE) SER]]/10</f>
        <v/>
      </c>
      <c r="AO102" s="68" t="n"/>
      <c r="AP102" s="100">
        <f>Table5[[#This Row],[(A/S) AJD]]-Table5[[#This Row],[SER_IN]]</f>
        <v/>
      </c>
    </row>
    <row r="103" ht="18.75" customHeight="1">
      <c r="A103" s="98" t="n">
        <v>47220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Table5[[#This Row],[ (T/B) SAR]]+Table5[[#This Row],[ (S/S) SAR]]</f>
        <v/>
      </c>
      <c r="L103" s="45" t="n"/>
      <c r="M103" s="46" t="n"/>
      <c r="N103" s="46" t="n"/>
      <c r="O103" s="40" t="n"/>
      <c r="P103" s="3">
        <f>Table5[[#This Row],[ (S/S) SAR]]-Table5[[#This Row],[(S/S) AJD]]</f>
        <v/>
      </c>
      <c r="Q103" s="40" t="n"/>
      <c r="R103" s="3">
        <f>Table5[[#This Row],[ (T/B) SAR]]-Table5[[#This Row],[(T/B) AJD]]</f>
        <v/>
      </c>
      <c r="S103" s="3">
        <f>Table5[[#This Row],[S/S_CON.]]+Table5[[#This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Table5[[#This Row],[(RESV. STORGE) AJD]]/10</f>
        <v/>
      </c>
      <c r="AB103" s="3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32" t="n"/>
      <c r="AN103" s="32">
        <f>Table5[[#This Row],[ (RESV. STORGE) SER]]/10</f>
        <v/>
      </c>
      <c r="AO103" s="68" t="n"/>
      <c r="AP103" s="100">
        <f>Table5[[#This Row],[(A/S) AJD]]-Table5[[#This Row],[SER_IN]]</f>
        <v/>
      </c>
    </row>
    <row r="104" ht="18.75" customHeight="1">
      <c r="A104" s="98" t="n">
        <v>47221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Table5[[#This Row],[ (T/B) SAR]]+Table5[[#This Row],[ (S/S) SAR]]</f>
        <v/>
      </c>
      <c r="L104" s="41" t="n"/>
      <c r="M104" s="42" t="n"/>
      <c r="N104" s="42" t="n"/>
      <c r="O104" s="39" t="n"/>
      <c r="P104" s="3">
        <f>Table5[[#This Row],[ (S/S) SAR]]-Table5[[#This Row],[(S/S) AJD]]</f>
        <v/>
      </c>
      <c r="Q104" s="39" t="n"/>
      <c r="R104" s="3">
        <f>Table5[[#This Row],[ (T/B) SAR]]-Table5[[#This Row],[(T/B) AJD]]</f>
        <v/>
      </c>
      <c r="S104" s="3">
        <f>Table5[[#This Row],[S/S_CON.]]+Table5[[#This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Table5[[#This Row],[(RESV. STORGE) AJD]]/10</f>
        <v/>
      </c>
      <c r="AB104" s="3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32" t="n"/>
      <c r="AN104" s="32">
        <f>Table5[[#This Row],[ (RESV. STORGE) SER]]/10</f>
        <v/>
      </c>
      <c r="AO104" s="68" t="n"/>
      <c r="AP104" s="100">
        <f>Table5[[#This Row],[(A/S) AJD]]-Table5[[#This Row],[SER_IN]]</f>
        <v/>
      </c>
    </row>
    <row r="105" ht="18.75" customHeight="1">
      <c r="A105" s="98" t="n">
        <v>47222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Table5[[#This Row],[ (T/B) SAR]]+Table5[[#This Row],[ (S/S) SAR]]</f>
        <v/>
      </c>
      <c r="L105" s="45" t="n"/>
      <c r="M105" s="46" t="n"/>
      <c r="N105" s="46" t="n"/>
      <c r="O105" s="40" t="n"/>
      <c r="P105" s="3">
        <f>Table5[[#This Row],[ (S/S) SAR]]-Table5[[#This Row],[(S/S) AJD]]</f>
        <v/>
      </c>
      <c r="Q105" s="40" t="n"/>
      <c r="R105" s="3">
        <f>Table5[[#This Row],[ (T/B) SAR]]-Table5[[#This Row],[(T/B) AJD]]</f>
        <v/>
      </c>
      <c r="S105" s="3">
        <f>Table5[[#This Row],[S/S_CON.]]+Table5[[#This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Table5[[#This Row],[(RESV. STORGE) AJD]]/10</f>
        <v/>
      </c>
      <c r="AB105" s="3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32" t="n"/>
      <c r="AN105" s="32">
        <f>Table5[[#This Row],[ (RESV. STORGE) SER]]/10</f>
        <v/>
      </c>
      <c r="AO105" s="68" t="n"/>
      <c r="AP105" s="100">
        <f>Table5[[#This Row],[(A/S) AJD]]-Table5[[#This Row],[SER_IN]]</f>
        <v/>
      </c>
    </row>
    <row r="106" ht="18.75" customHeight="1">
      <c r="A106" s="98" t="n">
        <v>47223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Table5[[#This Row],[ (T/B) SAR]]+Table5[[#This Row],[ (S/S) SAR]]</f>
        <v/>
      </c>
      <c r="L106" s="41" t="n"/>
      <c r="M106" s="42" t="n"/>
      <c r="N106" s="42" t="n"/>
      <c r="O106" s="39" t="n"/>
      <c r="P106" s="3">
        <f>Table5[[#This Row],[ (S/S) SAR]]-Table5[[#This Row],[(S/S) AJD]]</f>
        <v/>
      </c>
      <c r="Q106" s="39" t="n"/>
      <c r="R106" s="3">
        <f>Table5[[#This Row],[ (T/B) SAR]]-Table5[[#This Row],[(T/B) AJD]]</f>
        <v/>
      </c>
      <c r="S106" s="3">
        <f>Table5[[#This Row],[S/S_CON.]]+Table5[[#This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Table5[[#This Row],[(RESV. STORGE) AJD]]/10</f>
        <v/>
      </c>
      <c r="AB106" s="3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32" t="n"/>
      <c r="AN106" s="32">
        <f>Table5[[#This Row],[ (RESV. STORGE) SER]]/10</f>
        <v/>
      </c>
      <c r="AO106" s="68" t="n"/>
      <c r="AP106" s="100">
        <f>Table5[[#This Row],[(A/S) AJD]]-Table5[[#This Row],[SER_IN]]</f>
        <v/>
      </c>
    </row>
    <row r="107" ht="18.75" customHeight="1">
      <c r="A107" s="98" t="n">
        <v>47224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Table5[[#This Row],[ (T/B) SAR]]+Table5[[#This Row],[ (S/S) SAR]]</f>
        <v/>
      </c>
      <c r="L107" s="45" t="n"/>
      <c r="M107" s="46" t="n"/>
      <c r="N107" s="46" t="n"/>
      <c r="O107" s="40" t="n"/>
      <c r="P107" s="3">
        <f>Table5[[#This Row],[ (S/S) SAR]]-Table5[[#This Row],[(S/S) AJD]]</f>
        <v/>
      </c>
      <c r="Q107" s="40" t="n"/>
      <c r="R107" s="3">
        <f>Table5[[#This Row],[ (T/B) SAR]]-Table5[[#This Row],[(T/B) AJD]]</f>
        <v/>
      </c>
      <c r="S107" s="3">
        <f>Table5[[#This Row],[S/S_CON.]]+Table5[[#This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Table5[[#This Row],[(RESV. STORGE) AJD]]/10</f>
        <v/>
      </c>
      <c r="AB107" s="3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32" t="n"/>
      <c r="AN107" s="32">
        <f>Table5[[#This Row],[ (RESV. STORGE) SER]]/10</f>
        <v/>
      </c>
      <c r="AO107" s="68" t="n"/>
      <c r="AP107" s="100">
        <f>Table5[[#This Row],[(A/S) AJD]]-Table5[[#This Row],[SER_IN]]</f>
        <v/>
      </c>
    </row>
    <row r="108" ht="18.75" customHeight="1">
      <c r="A108" s="98" t="n">
        <v>47225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Table5[[#This Row],[ (T/B) SAR]]+Table5[[#This Row],[ (S/S) SAR]]</f>
        <v/>
      </c>
      <c r="L108" s="41" t="n"/>
      <c r="M108" s="42" t="n"/>
      <c r="N108" s="42" t="n"/>
      <c r="O108" s="39" t="n"/>
      <c r="P108" s="3">
        <f>Table5[[#This Row],[ (S/S) SAR]]-Table5[[#This Row],[(S/S) AJD]]</f>
        <v/>
      </c>
      <c r="Q108" s="39" t="n"/>
      <c r="R108" s="3">
        <f>Table5[[#This Row],[ (T/B) SAR]]-Table5[[#This Row],[(T/B) AJD]]</f>
        <v/>
      </c>
      <c r="S108" s="3">
        <f>Table5[[#This Row],[S/S_CON.]]+Table5[[#This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Table5[[#This Row],[(RESV. STORGE) AJD]]/10</f>
        <v/>
      </c>
      <c r="AB108" s="3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32" t="n"/>
      <c r="AN108" s="32">
        <f>Table5[[#This Row],[ (RESV. STORGE) SER]]/10</f>
        <v/>
      </c>
      <c r="AO108" s="68" t="n"/>
      <c r="AP108" s="100">
        <f>Table5[[#This Row],[(A/S) AJD]]-Table5[[#This Row],[SER_IN]]</f>
        <v/>
      </c>
    </row>
    <row r="109" ht="18.75" customHeight="1">
      <c r="A109" s="98" t="n">
        <v>47226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Table5[[#This Row],[ (T/B) SAR]]+Table5[[#This Row],[ (S/S) SAR]]</f>
        <v/>
      </c>
      <c r="L109" s="45" t="n"/>
      <c r="M109" s="46" t="n"/>
      <c r="N109" s="46" t="n"/>
      <c r="O109" s="40" t="n"/>
      <c r="P109" s="3">
        <f>Table5[[#This Row],[ (S/S) SAR]]-Table5[[#This Row],[(S/S) AJD]]</f>
        <v/>
      </c>
      <c r="Q109" s="40" t="n"/>
      <c r="R109" s="3">
        <f>Table5[[#This Row],[ (T/B) SAR]]-Table5[[#This Row],[(T/B) AJD]]</f>
        <v/>
      </c>
      <c r="S109" s="3">
        <f>Table5[[#This Row],[S/S_CON.]]+Table5[[#This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Table5[[#This Row],[(RESV. STORGE) AJD]]/10</f>
        <v/>
      </c>
      <c r="AB109" s="3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32" t="n"/>
      <c r="AN109" s="32">
        <f>Table5[[#This Row],[ (RESV. STORGE) SER]]/10</f>
        <v/>
      </c>
      <c r="AO109" s="68" t="n"/>
      <c r="AP109" s="100">
        <f>Table5[[#This Row],[(A/S) AJD]]-Table5[[#This Row],[SER_IN]]</f>
        <v/>
      </c>
    </row>
    <row r="110" ht="18.75" customHeight="1">
      <c r="A110" s="98" t="n">
        <v>47227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Table5[[#This Row],[ (T/B) SAR]]+Table5[[#This Row],[ (S/S) SAR]]</f>
        <v/>
      </c>
      <c r="L110" s="41" t="n"/>
      <c r="M110" s="42" t="n"/>
      <c r="N110" s="42" t="n"/>
      <c r="O110" s="39" t="n"/>
      <c r="P110" s="3">
        <f>Table5[[#This Row],[ (S/S) SAR]]-Table5[[#This Row],[(S/S) AJD]]</f>
        <v/>
      </c>
      <c r="Q110" s="39" t="n"/>
      <c r="R110" s="3">
        <f>Table5[[#This Row],[ (T/B) SAR]]-Table5[[#This Row],[(T/B) AJD]]</f>
        <v/>
      </c>
      <c r="S110" s="3">
        <f>Table5[[#This Row],[S/S_CON.]]+Table5[[#This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Table5[[#This Row],[(RESV. STORGE) AJD]]/10</f>
        <v/>
      </c>
      <c r="AB110" s="3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32" t="n"/>
      <c r="AN110" s="32">
        <f>Table5[[#This Row],[ (RESV. STORGE) SER]]/10</f>
        <v/>
      </c>
      <c r="AO110" s="68" t="n"/>
      <c r="AP110" s="100">
        <f>Table5[[#This Row],[(A/S) AJD]]-Table5[[#This Row],[SER_IN]]</f>
        <v/>
      </c>
    </row>
    <row r="111" ht="18.75" customHeight="1">
      <c r="A111" s="98" t="n">
        <v>47228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Table5[[#This Row],[ (T/B) SAR]]+Table5[[#This Row],[ (S/S) SAR]]</f>
        <v/>
      </c>
      <c r="L111" s="45" t="n"/>
      <c r="M111" s="46" t="n"/>
      <c r="N111" s="46" t="n"/>
      <c r="O111" s="40" t="n"/>
      <c r="P111" s="3">
        <f>Table5[[#This Row],[ (S/S) SAR]]-Table5[[#This Row],[(S/S) AJD]]</f>
        <v/>
      </c>
      <c r="Q111" s="40" t="n"/>
      <c r="R111" s="3">
        <f>Table5[[#This Row],[ (T/B) SAR]]-Table5[[#This Row],[(T/B) AJD]]</f>
        <v/>
      </c>
      <c r="S111" s="3">
        <f>Table5[[#This Row],[S/S_CON.]]+Table5[[#This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Table5[[#This Row],[(RESV. STORGE) AJD]]/10</f>
        <v/>
      </c>
      <c r="AB111" s="3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32" t="n"/>
      <c r="AN111" s="32">
        <f>Table5[[#This Row],[ (RESV. STORGE) SER]]/10</f>
        <v/>
      </c>
      <c r="AO111" s="68" t="n"/>
      <c r="AP111" s="100">
        <f>Table5[[#This Row],[(A/S) AJD]]-Table5[[#This Row],[SER_IN]]</f>
        <v/>
      </c>
    </row>
    <row r="112" ht="18.75" customHeight="1">
      <c r="A112" s="98" t="n">
        <v>47229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Table5[[#This Row],[ (T/B) SAR]]+Table5[[#This Row],[ (S/S) SAR]]</f>
        <v/>
      </c>
      <c r="L112" s="41" t="n"/>
      <c r="M112" s="42" t="n"/>
      <c r="N112" s="42" t="n"/>
      <c r="O112" s="39" t="n"/>
      <c r="P112" s="3">
        <f>Table5[[#This Row],[ (S/S) SAR]]-Table5[[#This Row],[(S/S) AJD]]</f>
        <v/>
      </c>
      <c r="Q112" s="39" t="n"/>
      <c r="R112" s="3">
        <f>Table5[[#This Row],[ (T/B) SAR]]-Table5[[#This Row],[(T/B) AJD]]</f>
        <v/>
      </c>
      <c r="S112" s="3">
        <f>Table5[[#This Row],[S/S_CON.]]+Table5[[#This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Table5[[#This Row],[(RESV. STORGE) AJD]]/10</f>
        <v/>
      </c>
      <c r="AB112" s="3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32" t="n"/>
      <c r="AN112" s="32">
        <f>Table5[[#This Row],[ (RESV. STORGE) SER]]/10</f>
        <v/>
      </c>
      <c r="AO112" s="68" t="n"/>
      <c r="AP112" s="100">
        <f>Table5[[#This Row],[(A/S) AJD]]-Table5[[#This Row],[SER_IN]]</f>
        <v/>
      </c>
    </row>
    <row r="113" ht="18.75" customHeight="1">
      <c r="A113" s="98" t="n">
        <v>47230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Table5[[#This Row],[ (T/B) SAR]]+Table5[[#This Row],[ (S/S) SAR]]</f>
        <v/>
      </c>
      <c r="L113" s="45" t="n"/>
      <c r="M113" s="46" t="n"/>
      <c r="N113" s="46" t="n"/>
      <c r="O113" s="40" t="n"/>
      <c r="P113" s="3">
        <f>Table5[[#This Row],[ (S/S) SAR]]-Table5[[#This Row],[(S/S) AJD]]</f>
        <v/>
      </c>
      <c r="Q113" s="40" t="n"/>
      <c r="R113" s="3">
        <f>Table5[[#This Row],[ (T/B) SAR]]-Table5[[#This Row],[(T/B) AJD]]</f>
        <v/>
      </c>
      <c r="S113" s="3">
        <f>Table5[[#This Row],[S/S_CON.]]+Table5[[#This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Table5[[#This Row],[(RESV. STORGE) AJD]]/10</f>
        <v/>
      </c>
      <c r="AB113" s="3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32" t="n"/>
      <c r="AN113" s="32">
        <f>Table5[[#This Row],[ (RESV. STORGE) SER]]/10</f>
        <v/>
      </c>
      <c r="AO113" s="68" t="n"/>
      <c r="AP113" s="100">
        <f>Table5[[#This Row],[(A/S) AJD]]-Table5[[#This Row],[SER_IN]]</f>
        <v/>
      </c>
    </row>
    <row r="114" ht="18.75" customHeight="1">
      <c r="A114" s="98" t="n">
        <v>47231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Table5[[#This Row],[ (T/B) SAR]]+Table5[[#This Row],[ (S/S) SAR]]</f>
        <v/>
      </c>
      <c r="L114" s="41" t="n"/>
      <c r="M114" s="42" t="n"/>
      <c r="N114" s="42" t="n"/>
      <c r="O114" s="39" t="n"/>
      <c r="P114" s="3">
        <f>Table5[[#This Row],[ (S/S) SAR]]-Table5[[#This Row],[(S/S) AJD]]</f>
        <v/>
      </c>
      <c r="Q114" s="39" t="n"/>
      <c r="R114" s="3">
        <f>Table5[[#This Row],[ (T/B) SAR]]-Table5[[#This Row],[(T/B) AJD]]</f>
        <v/>
      </c>
      <c r="S114" s="3">
        <f>Table5[[#This Row],[S/S_CON.]]+Table5[[#This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Table5[[#This Row],[(RESV. STORGE) AJD]]/10</f>
        <v/>
      </c>
      <c r="AB114" s="3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32" t="n"/>
      <c r="AN114" s="32">
        <f>Table5[[#This Row],[ (RESV. STORGE) SER]]/10</f>
        <v/>
      </c>
      <c r="AO114" s="68" t="n"/>
      <c r="AP114" s="100">
        <f>Table5[[#This Row],[(A/S) AJD]]-Table5[[#This Row],[SER_IN]]</f>
        <v/>
      </c>
    </row>
    <row r="115" ht="18.75" customHeight="1">
      <c r="A115" s="98" t="n">
        <v>47232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Table5[[#This Row],[ (T/B) SAR]]+Table5[[#This Row],[ (S/S) SAR]]</f>
        <v/>
      </c>
      <c r="L115" s="45" t="n"/>
      <c r="M115" s="46" t="n"/>
      <c r="N115" s="46" t="n"/>
      <c r="O115" s="40" t="n"/>
      <c r="P115" s="3">
        <f>Table5[[#This Row],[ (S/S) SAR]]-Table5[[#This Row],[(S/S) AJD]]</f>
        <v/>
      </c>
      <c r="Q115" s="40" t="n"/>
      <c r="R115" s="3">
        <f>Table5[[#This Row],[ (T/B) SAR]]-Table5[[#This Row],[(T/B) AJD]]</f>
        <v/>
      </c>
      <c r="S115" s="3">
        <f>Table5[[#This Row],[S/S_CON.]]+Table5[[#This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Table5[[#This Row],[(RESV. STORGE) AJD]]/10</f>
        <v/>
      </c>
      <c r="AB115" s="3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32" t="n"/>
      <c r="AN115" s="32">
        <f>Table5[[#This Row],[ (RESV. STORGE) SER]]/10</f>
        <v/>
      </c>
      <c r="AO115" s="68" t="n"/>
      <c r="AP115" s="100">
        <f>Table5[[#This Row],[(A/S) AJD]]-Table5[[#This Row],[SER_IN]]</f>
        <v/>
      </c>
    </row>
    <row r="116" ht="18.75" customHeight="1">
      <c r="A116" s="98" t="n">
        <v>47233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Table5[[#This Row],[ (T/B) SAR]]+Table5[[#This Row],[ (S/S) SAR]]</f>
        <v/>
      </c>
      <c r="L116" s="41" t="n"/>
      <c r="M116" s="42" t="n"/>
      <c r="N116" s="42" t="n"/>
      <c r="O116" s="39" t="n"/>
      <c r="P116" s="3">
        <f>Table5[[#This Row],[ (S/S) SAR]]-Table5[[#This Row],[(S/S) AJD]]</f>
        <v/>
      </c>
      <c r="Q116" s="39" t="n"/>
      <c r="R116" s="3">
        <f>Table5[[#This Row],[ (T/B) SAR]]-Table5[[#This Row],[(T/B) AJD]]</f>
        <v/>
      </c>
      <c r="S116" s="3">
        <f>Table5[[#This Row],[S/S_CON.]]+Table5[[#This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Table5[[#This Row],[(RESV. STORGE) AJD]]/10</f>
        <v/>
      </c>
      <c r="AB116" s="3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32" t="n"/>
      <c r="AN116" s="32">
        <f>Table5[[#This Row],[ (RESV. STORGE) SER]]/10</f>
        <v/>
      </c>
      <c r="AO116" s="68" t="n"/>
      <c r="AP116" s="100">
        <f>Table5[[#This Row],[(A/S) AJD]]-Table5[[#This Row],[SER_IN]]</f>
        <v/>
      </c>
    </row>
    <row r="117" ht="18.75" customHeight="1">
      <c r="A117" s="98" t="n">
        <v>47234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Table5[[#This Row],[ (T/B) SAR]]+Table5[[#This Row],[ (S/S) SAR]]</f>
        <v/>
      </c>
      <c r="L117" s="45" t="n"/>
      <c r="M117" s="46" t="n"/>
      <c r="N117" s="46" t="n"/>
      <c r="O117" s="40" t="n"/>
      <c r="P117" s="3">
        <f>Table5[[#This Row],[ (S/S) SAR]]-Table5[[#This Row],[(S/S) AJD]]</f>
        <v/>
      </c>
      <c r="Q117" s="40" t="n"/>
      <c r="R117" s="3">
        <f>Table5[[#This Row],[ (T/B) SAR]]-Table5[[#This Row],[(T/B) AJD]]</f>
        <v/>
      </c>
      <c r="S117" s="3">
        <f>Table5[[#This Row],[S/S_CON.]]+Table5[[#This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Table5[[#This Row],[(RESV. STORGE) AJD]]/10</f>
        <v/>
      </c>
      <c r="AB117" s="3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32" t="n"/>
      <c r="AN117" s="32">
        <f>Table5[[#This Row],[ (RESV. STORGE) SER]]/10</f>
        <v/>
      </c>
      <c r="AO117" s="68" t="n"/>
      <c r="AP117" s="100">
        <f>Table5[[#This Row],[(A/S) AJD]]-Table5[[#This Row],[SER_IN]]</f>
        <v/>
      </c>
    </row>
    <row r="118" ht="18.75" customHeight="1">
      <c r="A118" s="98" t="n">
        <v>47235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Table5[[#This Row],[ (T/B) SAR]]+Table5[[#This Row],[ (S/S) SAR]]</f>
        <v/>
      </c>
      <c r="L118" s="41" t="n"/>
      <c r="M118" s="42" t="n"/>
      <c r="N118" s="42" t="n"/>
      <c r="O118" s="39" t="n"/>
      <c r="P118" s="3">
        <f>Table5[[#This Row],[ (S/S) SAR]]-Table5[[#This Row],[(S/S) AJD]]</f>
        <v/>
      </c>
      <c r="Q118" s="39" t="n"/>
      <c r="R118" s="3">
        <f>Table5[[#This Row],[ (T/B) SAR]]-Table5[[#This Row],[(T/B) AJD]]</f>
        <v/>
      </c>
      <c r="S118" s="3">
        <f>Table5[[#This Row],[S/S_CON.]]+Table5[[#This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Table5[[#This Row],[(RESV. STORGE) AJD]]/10</f>
        <v/>
      </c>
      <c r="AB118" s="3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32" t="n"/>
      <c r="AN118" s="32">
        <f>Table5[[#This Row],[ (RESV. STORGE) SER]]/10</f>
        <v/>
      </c>
      <c r="AO118" s="68" t="n"/>
      <c r="AP118" s="100">
        <f>Table5[[#This Row],[(A/S) AJD]]-Table5[[#This Row],[SER_IN]]</f>
        <v/>
      </c>
    </row>
    <row r="119" ht="18.75" customHeight="1">
      <c r="A119" s="98" t="n">
        <v>47236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Table5[[#This Row],[ (T/B) SAR]]+Table5[[#This Row],[ (S/S) SAR]]</f>
        <v/>
      </c>
      <c r="L119" s="45" t="n"/>
      <c r="M119" s="46" t="n"/>
      <c r="N119" s="46" t="n"/>
      <c r="O119" s="40" t="n"/>
      <c r="P119" s="3">
        <f>Table5[[#This Row],[ (S/S) SAR]]-Table5[[#This Row],[(S/S) AJD]]</f>
        <v/>
      </c>
      <c r="Q119" s="40" t="n"/>
      <c r="R119" s="3">
        <f>Table5[[#This Row],[ (T/B) SAR]]-Table5[[#This Row],[(T/B) AJD]]</f>
        <v/>
      </c>
      <c r="S119" s="3">
        <f>Table5[[#This Row],[S/S_CON.]]+Table5[[#This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Table5[[#This Row],[(RESV. STORGE) AJD]]/10</f>
        <v/>
      </c>
      <c r="AB119" s="3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32" t="n"/>
      <c r="AN119" s="32">
        <f>Table5[[#This Row],[ (RESV. STORGE) SER]]/10</f>
        <v/>
      </c>
      <c r="AO119" s="68" t="n"/>
      <c r="AP119" s="100">
        <f>Table5[[#This Row],[(A/S) AJD]]-Table5[[#This Row],[SER_IN]]</f>
        <v/>
      </c>
    </row>
    <row r="120" ht="18.75" customHeight="1">
      <c r="A120" s="98" t="n">
        <v>47237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Table5[[#This Row],[ (T/B) SAR]]+Table5[[#This Row],[ (S/S) SAR]]</f>
        <v/>
      </c>
      <c r="L120" s="41" t="n"/>
      <c r="M120" s="42" t="n"/>
      <c r="N120" s="42" t="n"/>
      <c r="O120" s="39" t="n"/>
      <c r="P120" s="3">
        <f>Table5[[#This Row],[ (S/S) SAR]]-Table5[[#This Row],[(S/S) AJD]]</f>
        <v/>
      </c>
      <c r="Q120" s="39" t="n"/>
      <c r="R120" s="3">
        <f>Table5[[#This Row],[ (T/B) SAR]]-Table5[[#This Row],[(T/B) AJD]]</f>
        <v/>
      </c>
      <c r="S120" s="3">
        <f>Table5[[#This Row],[S/S_CON.]]+Table5[[#This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Table5[[#This Row],[(RESV. STORGE) AJD]]/10</f>
        <v/>
      </c>
      <c r="AB120" s="3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32" t="n"/>
      <c r="AN120" s="32">
        <f>Table5[[#This Row],[ (RESV. STORGE) SER]]/10</f>
        <v/>
      </c>
      <c r="AO120" s="68" t="n"/>
      <c r="AP120" s="100">
        <f>Table5[[#This Row],[(A/S) AJD]]-Table5[[#This Row],[SER_IN]]</f>
        <v/>
      </c>
    </row>
    <row r="121" ht="18.75" customHeight="1">
      <c r="A121" s="98" t="n">
        <v>47238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Table5[[#This Row],[ (T/B) SAR]]+Table5[[#This Row],[ (S/S) SAR]]</f>
        <v/>
      </c>
      <c r="L121" s="45" t="n"/>
      <c r="M121" s="46" t="n"/>
      <c r="N121" s="46" t="n"/>
      <c r="O121" s="40" t="n"/>
      <c r="P121" s="3">
        <f>Table5[[#This Row],[ (S/S) SAR]]-Table5[[#This Row],[(S/S) AJD]]</f>
        <v/>
      </c>
      <c r="Q121" s="40" t="n"/>
      <c r="R121" s="3">
        <f>Table5[[#This Row],[ (T/B) SAR]]-Table5[[#This Row],[(T/B) AJD]]</f>
        <v/>
      </c>
      <c r="S121" s="3">
        <f>Table5[[#This Row],[S/S_CON.]]+Table5[[#This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Table5[[#This Row],[(RESV. STORGE) AJD]]/10</f>
        <v/>
      </c>
      <c r="AB121" s="3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32" t="n"/>
      <c r="AN121" s="32">
        <f>Table5[[#This Row],[ (RESV. STORGE) SER]]/10</f>
        <v/>
      </c>
      <c r="AO121" s="68" t="n"/>
      <c r="AP121" s="100">
        <f>Table5[[#This Row],[(A/S) AJD]]-Table5[[#This Row],[SER_IN]]</f>
        <v/>
      </c>
    </row>
    <row r="122" ht="18.75" customHeight="1">
      <c r="A122" s="98" t="n">
        <v>47239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Table5[[#This Row],[ (T/B) SAR]]+Table5[[#This Row],[ (S/S) SAR]]</f>
        <v/>
      </c>
      <c r="L122" s="41" t="n"/>
      <c r="M122" s="42" t="n"/>
      <c r="N122" s="42" t="n"/>
      <c r="O122" s="39" t="n"/>
      <c r="P122" s="3">
        <f>Table5[[#This Row],[ (S/S) SAR]]-Table5[[#This Row],[(S/S) AJD]]</f>
        <v/>
      </c>
      <c r="Q122" s="39" t="n"/>
      <c r="R122" s="3">
        <f>Table5[[#This Row],[ (T/B) SAR]]-Table5[[#This Row],[(T/B) AJD]]</f>
        <v/>
      </c>
      <c r="S122" s="3">
        <f>Table5[[#This Row],[S/S_CON.]]+Table5[[#This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Table5[[#This Row],[(RESV. STORGE) AJD]]/10</f>
        <v/>
      </c>
      <c r="AB122" s="3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32" t="n"/>
      <c r="AN122" s="32">
        <f>Table5[[#This Row],[ (RESV. STORGE) SER]]/10</f>
        <v/>
      </c>
      <c r="AO122" s="68" t="n"/>
      <c r="AP122" s="100">
        <f>Table5[[#This Row],[(A/S) AJD]]-Table5[[#This Row],[SER_IN]]</f>
        <v/>
      </c>
    </row>
    <row r="123" ht="18.75" customHeight="1">
      <c r="A123" s="98" t="n">
        <v>47240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Table5[[#This Row],[ (T/B) SAR]]+Table5[[#This Row],[ (S/S) SAR]]</f>
        <v/>
      </c>
      <c r="L123" s="45" t="n"/>
      <c r="M123" s="46" t="n"/>
      <c r="N123" s="46" t="n"/>
      <c r="O123" s="40" t="n"/>
      <c r="P123" s="3">
        <f>Table5[[#This Row],[ (S/S) SAR]]-Table5[[#This Row],[(S/S) AJD]]</f>
        <v/>
      </c>
      <c r="Q123" s="40" t="n"/>
      <c r="R123" s="3">
        <f>Table5[[#This Row],[ (T/B) SAR]]-Table5[[#This Row],[(T/B) AJD]]</f>
        <v/>
      </c>
      <c r="S123" s="3">
        <f>Table5[[#This Row],[S/S_CON.]]+Table5[[#This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Table5[[#This Row],[(RESV. STORGE) AJD]]/10</f>
        <v/>
      </c>
      <c r="AB123" s="3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32" t="n"/>
      <c r="AN123" s="32">
        <f>Table5[[#This Row],[ (RESV. STORGE) SER]]/10</f>
        <v/>
      </c>
      <c r="AO123" s="68" t="n"/>
      <c r="AP123" s="100">
        <f>Table5[[#This Row],[(A/S) AJD]]-Table5[[#This Row],[SER_IN]]</f>
        <v/>
      </c>
    </row>
    <row r="124" ht="18.75" customHeight="1">
      <c r="A124" s="98" t="n">
        <v>47241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Table5[[#This Row],[ (T/B) SAR]]+Table5[[#This Row],[ (S/S) SAR]]</f>
        <v/>
      </c>
      <c r="L124" s="41" t="n"/>
      <c r="M124" s="42" t="n"/>
      <c r="N124" s="42" t="n"/>
      <c r="O124" s="39" t="n"/>
      <c r="P124" s="3">
        <f>Table5[[#This Row],[ (S/S) SAR]]-Table5[[#This Row],[(S/S) AJD]]</f>
        <v/>
      </c>
      <c r="Q124" s="39" t="n"/>
      <c r="R124" s="3">
        <f>Table5[[#This Row],[ (T/B) SAR]]-Table5[[#This Row],[(T/B) AJD]]</f>
        <v/>
      </c>
      <c r="S124" s="3">
        <f>Table5[[#This Row],[S/S_CON.]]+Table5[[#This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Table5[[#This Row],[(RESV. STORGE) AJD]]/10</f>
        <v/>
      </c>
      <c r="AB124" s="3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32" t="n"/>
      <c r="AN124" s="32">
        <f>Table5[[#This Row],[ (RESV. STORGE) SER]]/10</f>
        <v/>
      </c>
      <c r="AO124" s="68" t="n"/>
      <c r="AP124" s="100">
        <f>Table5[[#This Row],[(A/S) AJD]]-Table5[[#This Row],[SER_IN]]</f>
        <v/>
      </c>
    </row>
    <row r="125" ht="18.75" customHeight="1">
      <c r="A125" s="98" t="n">
        <v>47242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Table5[[#This Row],[ (T/B) SAR]]+Table5[[#This Row],[ (S/S) SAR]]</f>
        <v/>
      </c>
      <c r="L125" s="45" t="n"/>
      <c r="M125" s="46" t="n"/>
      <c r="N125" s="46" t="n"/>
      <c r="O125" s="40" t="n"/>
      <c r="P125" s="3">
        <f>Table5[[#This Row],[ (S/S) SAR]]-Table5[[#This Row],[(S/S) AJD]]</f>
        <v/>
      </c>
      <c r="Q125" s="40" t="n"/>
      <c r="R125" s="3">
        <f>Table5[[#This Row],[ (T/B) SAR]]-Table5[[#This Row],[(T/B) AJD]]</f>
        <v/>
      </c>
      <c r="S125" s="3">
        <f>Table5[[#This Row],[S/S_CON.]]+Table5[[#This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Table5[[#This Row],[(RESV. STORGE) AJD]]/10</f>
        <v/>
      </c>
      <c r="AB125" s="3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32" t="n"/>
      <c r="AN125" s="32">
        <f>Table5[[#This Row],[ (RESV. STORGE) SER]]/10</f>
        <v/>
      </c>
      <c r="AO125" s="68" t="n"/>
      <c r="AP125" s="100">
        <f>Table5[[#This Row],[(A/S) AJD]]-Table5[[#This Row],[SER_IN]]</f>
        <v/>
      </c>
    </row>
    <row r="126" ht="18.75" customHeight="1">
      <c r="A126" s="98" t="n">
        <v>47243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Table5[[#This Row],[ (T/B) SAR]]+Table5[[#This Row],[ (S/S) SAR]]</f>
        <v/>
      </c>
      <c r="L126" s="41" t="n"/>
      <c r="M126" s="42" t="n"/>
      <c r="N126" s="42" t="n"/>
      <c r="O126" s="39" t="n"/>
      <c r="P126" s="3">
        <f>Table5[[#This Row],[ (S/S) SAR]]-Table5[[#This Row],[(S/S) AJD]]</f>
        <v/>
      </c>
      <c r="Q126" s="39" t="n"/>
      <c r="R126" s="3">
        <f>Table5[[#This Row],[ (T/B) SAR]]-Table5[[#This Row],[(T/B) AJD]]</f>
        <v/>
      </c>
      <c r="S126" s="3">
        <f>Table5[[#This Row],[S/S_CON.]]+Table5[[#This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Table5[[#This Row],[(RESV. STORGE) AJD]]/10</f>
        <v/>
      </c>
      <c r="AB126" s="3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32" t="n"/>
      <c r="AN126" s="32">
        <f>Table5[[#This Row],[ (RESV. STORGE) SER]]/10</f>
        <v/>
      </c>
      <c r="AO126" s="68" t="n"/>
      <c r="AP126" s="100">
        <f>Table5[[#This Row],[(A/S) AJD]]-Table5[[#This Row],[SER_IN]]</f>
        <v/>
      </c>
    </row>
    <row r="127" ht="18.75" customHeight="1">
      <c r="A127" s="98" t="n">
        <v>47244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Table5[[#This Row],[ (T/B) SAR]]+Table5[[#This Row],[ (S/S) SAR]]</f>
        <v/>
      </c>
      <c r="L127" s="45" t="n"/>
      <c r="M127" s="46" t="n"/>
      <c r="N127" s="46" t="n"/>
      <c r="O127" s="40" t="n"/>
      <c r="P127" s="3">
        <f>Table5[[#This Row],[ (S/S) SAR]]-Table5[[#This Row],[(S/S) AJD]]</f>
        <v/>
      </c>
      <c r="Q127" s="40" t="n"/>
      <c r="R127" s="3">
        <f>Table5[[#This Row],[ (T/B) SAR]]-Table5[[#This Row],[(T/B) AJD]]</f>
        <v/>
      </c>
      <c r="S127" s="3">
        <f>Table5[[#This Row],[S/S_CON.]]+Table5[[#This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Table5[[#This Row],[(RESV. STORGE) AJD]]/10</f>
        <v/>
      </c>
      <c r="AB127" s="3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32" t="n"/>
      <c r="AN127" s="32">
        <f>Table5[[#This Row],[ (RESV. STORGE) SER]]/10</f>
        <v/>
      </c>
      <c r="AO127" s="68" t="n"/>
      <c r="AP127" s="100">
        <f>Table5[[#This Row],[(A/S) AJD]]-Table5[[#This Row],[SER_IN]]</f>
        <v/>
      </c>
    </row>
    <row r="128" ht="18.75" customHeight="1">
      <c r="A128" s="98" t="n">
        <v>47245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Table5[[#This Row],[ (T/B) SAR]]+Table5[[#This Row],[ (S/S) SAR]]</f>
        <v/>
      </c>
      <c r="L128" s="41" t="n"/>
      <c r="M128" s="42" t="n"/>
      <c r="N128" s="42" t="n"/>
      <c r="O128" s="39" t="n"/>
      <c r="P128" s="3">
        <f>Table5[[#This Row],[ (S/S) SAR]]-Table5[[#This Row],[(S/S) AJD]]</f>
        <v/>
      </c>
      <c r="Q128" s="39" t="n"/>
      <c r="R128" s="3">
        <f>Table5[[#This Row],[ (T/B) SAR]]-Table5[[#This Row],[(T/B) AJD]]</f>
        <v/>
      </c>
      <c r="S128" s="3">
        <f>Table5[[#This Row],[S/S_CON.]]+Table5[[#This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Table5[[#This Row],[(RESV. STORGE) AJD]]/10</f>
        <v/>
      </c>
      <c r="AB128" s="3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32" t="n"/>
      <c r="AN128" s="32">
        <f>Table5[[#This Row],[ (RESV. STORGE) SER]]/10</f>
        <v/>
      </c>
      <c r="AO128" s="68" t="n"/>
      <c r="AP128" s="100">
        <f>Table5[[#This Row],[(A/S) AJD]]-Table5[[#This Row],[SER_IN]]</f>
        <v/>
      </c>
    </row>
    <row r="129" ht="18.75" customHeight="1">
      <c r="A129" s="98" t="n">
        <v>47246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Table5[[#This Row],[ (T/B) SAR]]+Table5[[#This Row],[ (S/S) SAR]]</f>
        <v/>
      </c>
      <c r="L129" s="45" t="n"/>
      <c r="M129" s="46" t="n"/>
      <c r="N129" s="46" t="n"/>
      <c r="O129" s="40" t="n"/>
      <c r="P129" s="3">
        <f>Table5[[#This Row],[ (S/S) SAR]]-Table5[[#This Row],[(S/S) AJD]]</f>
        <v/>
      </c>
      <c r="Q129" s="40" t="n"/>
      <c r="R129" s="3">
        <f>Table5[[#This Row],[ (T/B) SAR]]-Table5[[#This Row],[(T/B) AJD]]</f>
        <v/>
      </c>
      <c r="S129" s="3">
        <f>Table5[[#This Row],[S/S_CON.]]+Table5[[#This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Table5[[#This Row],[(RESV. STORGE) AJD]]/10</f>
        <v/>
      </c>
      <c r="AB129" s="3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32" t="n"/>
      <c r="AN129" s="32">
        <f>Table5[[#This Row],[ (RESV. STORGE) SER]]/10</f>
        <v/>
      </c>
      <c r="AO129" s="68" t="n"/>
      <c r="AP129" s="100">
        <f>Table5[[#This Row],[(A/S) AJD]]-Table5[[#This Row],[SER_IN]]</f>
        <v/>
      </c>
    </row>
    <row r="130" ht="18.75" customHeight="1">
      <c r="A130" s="98" t="n">
        <v>47247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Table5[[#This Row],[ (T/B) SAR]]+Table5[[#This Row],[ (S/S) SAR]]</f>
        <v/>
      </c>
      <c r="L130" s="41" t="n"/>
      <c r="M130" s="42" t="n"/>
      <c r="N130" s="42" t="n"/>
      <c r="O130" s="39" t="n"/>
      <c r="P130" s="3">
        <f>Table5[[#This Row],[ (S/S) SAR]]-Table5[[#This Row],[(S/S) AJD]]</f>
        <v/>
      </c>
      <c r="Q130" s="39" t="n"/>
      <c r="R130" s="3">
        <f>Table5[[#This Row],[ (T/B) SAR]]-Table5[[#This Row],[(T/B) AJD]]</f>
        <v/>
      </c>
      <c r="S130" s="3">
        <f>Table5[[#This Row],[S/S_CON.]]+Table5[[#This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Table5[[#This Row],[(RESV. STORGE) AJD]]/10</f>
        <v/>
      </c>
      <c r="AB130" s="3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32" t="n"/>
      <c r="AN130" s="32">
        <f>Table5[[#This Row],[ (RESV. STORGE) SER]]/10</f>
        <v/>
      </c>
      <c r="AO130" s="68" t="n"/>
      <c r="AP130" s="100">
        <f>Table5[[#This Row],[(A/S) AJD]]-Table5[[#This Row],[SER_IN]]</f>
        <v/>
      </c>
    </row>
    <row r="131" ht="18.75" customHeight="1">
      <c r="A131" s="98" t="n">
        <v>47248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Table5[[#This Row],[ (T/B) SAR]]+Table5[[#This Row],[ (S/S) SAR]]</f>
        <v/>
      </c>
      <c r="L131" s="45" t="n"/>
      <c r="M131" s="46" t="n"/>
      <c r="N131" s="46" t="n"/>
      <c r="O131" s="40" t="n"/>
      <c r="P131" s="3">
        <f>Table5[[#This Row],[ (S/S) SAR]]-Table5[[#This Row],[(S/S) AJD]]</f>
        <v/>
      </c>
      <c r="Q131" s="40" t="n"/>
      <c r="R131" s="3">
        <f>Table5[[#This Row],[ (T/B) SAR]]-Table5[[#This Row],[(T/B) AJD]]</f>
        <v/>
      </c>
      <c r="S131" s="3">
        <f>Table5[[#This Row],[S/S_CON.]]+Table5[[#This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Table5[[#This Row],[(RESV. STORGE) AJD]]/10</f>
        <v/>
      </c>
      <c r="AB131" s="3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32" t="n"/>
      <c r="AN131" s="32">
        <f>Table5[[#This Row],[ (RESV. STORGE) SER]]/10</f>
        <v/>
      </c>
      <c r="AO131" s="68" t="n"/>
      <c r="AP131" s="100">
        <f>Table5[[#This Row],[(A/S) AJD]]-Table5[[#This Row],[SER_IN]]</f>
        <v/>
      </c>
    </row>
    <row r="132" ht="18.75" customHeight="1">
      <c r="A132" s="98" t="n">
        <v>47249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Table5[[#This Row],[ (T/B) SAR]]+Table5[[#This Row],[ (S/S) SAR]]</f>
        <v/>
      </c>
      <c r="L132" s="41" t="n"/>
      <c r="M132" s="42" t="n"/>
      <c r="N132" s="42" t="n"/>
      <c r="O132" s="39" t="n"/>
      <c r="P132" s="3">
        <f>Table5[[#This Row],[ (S/S) SAR]]-Table5[[#This Row],[(S/S) AJD]]</f>
        <v/>
      </c>
      <c r="Q132" s="39" t="n"/>
      <c r="R132" s="3">
        <f>Table5[[#This Row],[ (T/B) SAR]]-Table5[[#This Row],[(T/B) AJD]]</f>
        <v/>
      </c>
      <c r="S132" s="3">
        <f>Table5[[#This Row],[S/S_CON.]]+Table5[[#This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Table5[[#This Row],[(RESV. STORGE) AJD]]/10</f>
        <v/>
      </c>
      <c r="AB132" s="3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32" t="n"/>
      <c r="AN132" s="32">
        <f>Table5[[#This Row],[ (RESV. STORGE) SER]]/10</f>
        <v/>
      </c>
      <c r="AO132" s="68" t="n"/>
      <c r="AP132" s="100">
        <f>Table5[[#This Row],[(A/S) AJD]]-Table5[[#This Row],[SER_IN]]</f>
        <v/>
      </c>
    </row>
    <row r="133" ht="18.75" customHeight="1">
      <c r="A133" s="98" t="n">
        <v>47250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Table5[[#This Row],[ (T/B) SAR]]+Table5[[#This Row],[ (S/S) SAR]]</f>
        <v/>
      </c>
      <c r="L133" s="45" t="n"/>
      <c r="M133" s="46" t="n"/>
      <c r="N133" s="46" t="n"/>
      <c r="O133" s="40" t="n"/>
      <c r="P133" s="3">
        <f>Table5[[#This Row],[ (S/S) SAR]]-Table5[[#This Row],[(S/S) AJD]]</f>
        <v/>
      </c>
      <c r="Q133" s="40" t="n"/>
      <c r="R133" s="3">
        <f>Table5[[#This Row],[ (T/B) SAR]]-Table5[[#This Row],[(T/B) AJD]]</f>
        <v/>
      </c>
      <c r="S133" s="3">
        <f>Table5[[#This Row],[S/S_CON.]]+Table5[[#This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Table5[[#This Row],[(RESV. STORGE) AJD]]/10</f>
        <v/>
      </c>
      <c r="AB133" s="3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32" t="n"/>
      <c r="AN133" s="32">
        <f>Table5[[#This Row],[ (RESV. STORGE) SER]]/10</f>
        <v/>
      </c>
      <c r="AO133" s="68" t="n"/>
      <c r="AP133" s="100">
        <f>Table5[[#This Row],[(A/S) AJD]]-Table5[[#This Row],[SER_IN]]</f>
        <v/>
      </c>
    </row>
    <row r="134" ht="18.75" customHeight="1">
      <c r="A134" s="98" t="n">
        <v>47251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Table5[[#This Row],[ (T/B) SAR]]+Table5[[#This Row],[ (S/S) SAR]]</f>
        <v/>
      </c>
      <c r="L134" s="41" t="n"/>
      <c r="M134" s="42" t="n"/>
      <c r="N134" s="42" t="n"/>
      <c r="O134" s="39" t="n"/>
      <c r="P134" s="3">
        <f>Table5[[#This Row],[ (S/S) SAR]]-Table5[[#This Row],[(S/S) AJD]]</f>
        <v/>
      </c>
      <c r="Q134" s="39" t="n"/>
      <c r="R134" s="3">
        <f>Table5[[#This Row],[ (T/B) SAR]]-Table5[[#This Row],[(T/B) AJD]]</f>
        <v/>
      </c>
      <c r="S134" s="3">
        <f>Table5[[#This Row],[S/S_CON.]]+Table5[[#This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Table5[[#This Row],[(RESV. STORGE) AJD]]/10</f>
        <v/>
      </c>
      <c r="AB134" s="3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32" t="n"/>
      <c r="AN134" s="32">
        <f>Table5[[#This Row],[ (RESV. STORGE) SER]]/10</f>
        <v/>
      </c>
      <c r="AO134" s="68" t="n"/>
      <c r="AP134" s="100">
        <f>Table5[[#This Row],[(A/S) AJD]]-Table5[[#This Row],[SER_IN]]</f>
        <v/>
      </c>
    </row>
    <row r="135" ht="18.75" customHeight="1">
      <c r="A135" s="98" t="n">
        <v>47252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Table5[[#This Row],[ (T/B) SAR]]+Table5[[#This Row],[ (S/S) SAR]]</f>
        <v/>
      </c>
      <c r="L135" s="45" t="n"/>
      <c r="M135" s="46" t="n"/>
      <c r="N135" s="46" t="n"/>
      <c r="O135" s="40" t="n"/>
      <c r="P135" s="3">
        <f>Table5[[#This Row],[ (S/S) SAR]]-Table5[[#This Row],[(S/S) AJD]]</f>
        <v/>
      </c>
      <c r="Q135" s="40" t="n"/>
      <c r="R135" s="3">
        <f>Table5[[#This Row],[ (T/B) SAR]]-Table5[[#This Row],[(T/B) AJD]]</f>
        <v/>
      </c>
      <c r="S135" s="3">
        <f>Table5[[#This Row],[S/S_CON.]]+Table5[[#This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Table5[[#This Row],[(RESV. STORGE) AJD]]/10</f>
        <v/>
      </c>
      <c r="AB135" s="3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32" t="n"/>
      <c r="AN135" s="32">
        <f>Table5[[#This Row],[ (RESV. STORGE) SER]]/10</f>
        <v/>
      </c>
      <c r="AO135" s="68" t="n"/>
      <c r="AP135" s="100">
        <f>Table5[[#This Row],[(A/S) AJD]]-Table5[[#This Row],[SER_IN]]</f>
        <v/>
      </c>
    </row>
    <row r="136" ht="18.75" customHeight="1">
      <c r="A136" s="98" t="n">
        <v>47253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Table5[[#This Row],[ (T/B) SAR]]+Table5[[#This Row],[ (S/S) SAR]]</f>
        <v/>
      </c>
      <c r="L136" s="41" t="n"/>
      <c r="M136" s="42" t="n"/>
      <c r="N136" s="42" t="n"/>
      <c r="O136" s="39" t="n"/>
      <c r="P136" s="3">
        <f>Table5[[#This Row],[ (S/S) SAR]]-Table5[[#This Row],[(S/S) AJD]]</f>
        <v/>
      </c>
      <c r="Q136" s="39" t="n"/>
      <c r="R136" s="3">
        <f>Table5[[#This Row],[ (T/B) SAR]]-Table5[[#This Row],[(T/B) AJD]]</f>
        <v/>
      </c>
      <c r="S136" s="3">
        <f>Table5[[#This Row],[S/S_CON.]]+Table5[[#This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Table5[[#This Row],[(RESV. STORGE) AJD]]/10</f>
        <v/>
      </c>
      <c r="AB136" s="3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32" t="n"/>
      <c r="AN136" s="32">
        <f>Table5[[#This Row],[ (RESV. STORGE) SER]]/10</f>
        <v/>
      </c>
      <c r="AO136" s="68" t="n"/>
      <c r="AP136" s="100">
        <f>Table5[[#This Row],[(A/S) AJD]]-Table5[[#This Row],[SER_IN]]</f>
        <v/>
      </c>
    </row>
    <row r="137" ht="18.75" customHeight="1">
      <c r="A137" s="98" t="n">
        <v>47254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Table5[[#This Row],[ (T/B) SAR]]+Table5[[#This Row],[ (S/S) SAR]]</f>
        <v/>
      </c>
      <c r="L137" s="45" t="n"/>
      <c r="M137" s="46" t="n"/>
      <c r="N137" s="46" t="n"/>
      <c r="O137" s="40" t="n"/>
      <c r="P137" s="3">
        <f>Table5[[#This Row],[ (S/S) SAR]]-Table5[[#This Row],[(S/S) AJD]]</f>
        <v/>
      </c>
      <c r="Q137" s="40" t="n"/>
      <c r="R137" s="3">
        <f>Table5[[#This Row],[ (T/B) SAR]]-Table5[[#This Row],[(T/B) AJD]]</f>
        <v/>
      </c>
      <c r="S137" s="3">
        <f>Table5[[#This Row],[S/S_CON.]]+Table5[[#This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Table5[[#This Row],[(RESV. STORGE) AJD]]/10</f>
        <v/>
      </c>
      <c r="AB137" s="3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32" t="n"/>
      <c r="AN137" s="32">
        <f>Table5[[#This Row],[ (RESV. STORGE) SER]]/10</f>
        <v/>
      </c>
      <c r="AO137" s="68" t="n"/>
      <c r="AP137" s="100">
        <f>Table5[[#This Row],[(A/S) AJD]]-Table5[[#This Row],[SER_IN]]</f>
        <v/>
      </c>
    </row>
    <row r="138" ht="18.75" customHeight="1">
      <c r="A138" s="98" t="n">
        <v>47255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Table5[[#This Row],[ (T/B) SAR]]+Table5[[#This Row],[ (S/S) SAR]]</f>
        <v/>
      </c>
      <c r="L138" s="41" t="n"/>
      <c r="M138" s="42" t="n"/>
      <c r="N138" s="42" t="n"/>
      <c r="O138" s="39" t="n"/>
      <c r="P138" s="3">
        <f>Table5[[#This Row],[ (S/S) SAR]]-Table5[[#This Row],[(S/S) AJD]]</f>
        <v/>
      </c>
      <c r="Q138" s="39" t="n"/>
      <c r="R138" s="3">
        <f>Table5[[#This Row],[ (T/B) SAR]]-Table5[[#This Row],[(T/B) AJD]]</f>
        <v/>
      </c>
      <c r="S138" s="3">
        <f>Table5[[#This Row],[S/S_CON.]]+Table5[[#This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Table5[[#This Row],[(RESV. STORGE) AJD]]/10</f>
        <v/>
      </c>
      <c r="AB138" s="3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32" t="n"/>
      <c r="AN138" s="32">
        <f>Table5[[#This Row],[ (RESV. STORGE) SER]]/10</f>
        <v/>
      </c>
      <c r="AO138" s="68" t="n"/>
      <c r="AP138" s="100">
        <f>Table5[[#This Row],[(A/S) AJD]]-Table5[[#This Row],[SER_IN]]</f>
        <v/>
      </c>
    </row>
    <row r="139" ht="18.75" customHeight="1">
      <c r="A139" s="98" t="n">
        <v>47256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Table5[[#This Row],[ (T/B) SAR]]+Table5[[#This Row],[ (S/S) SAR]]</f>
        <v/>
      </c>
      <c r="L139" s="45" t="n"/>
      <c r="M139" s="46" t="n"/>
      <c r="N139" s="46" t="n"/>
      <c r="O139" s="40" t="n"/>
      <c r="P139" s="3">
        <f>Table5[[#This Row],[ (S/S) SAR]]-Table5[[#This Row],[(S/S) AJD]]</f>
        <v/>
      </c>
      <c r="Q139" s="40" t="n"/>
      <c r="R139" s="3">
        <f>Table5[[#This Row],[ (T/B) SAR]]-Table5[[#This Row],[(T/B) AJD]]</f>
        <v/>
      </c>
      <c r="S139" s="3">
        <f>Table5[[#This Row],[S/S_CON.]]+Table5[[#This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Table5[[#This Row],[(RESV. STORGE) AJD]]/10</f>
        <v/>
      </c>
      <c r="AB139" s="3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32" t="n"/>
      <c r="AN139" s="32">
        <f>Table5[[#This Row],[ (RESV. STORGE) SER]]/10</f>
        <v/>
      </c>
      <c r="AO139" s="68" t="n"/>
      <c r="AP139" s="100">
        <f>Table5[[#This Row],[(A/S) AJD]]-Table5[[#This Row],[SER_IN]]</f>
        <v/>
      </c>
    </row>
    <row r="140" ht="18.75" customHeight="1">
      <c r="A140" s="98" t="n">
        <v>47257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Table5[[#This Row],[ (T/B) SAR]]+Table5[[#This Row],[ (S/S) SAR]]</f>
        <v/>
      </c>
      <c r="L140" s="41" t="n"/>
      <c r="M140" s="42" t="n"/>
      <c r="N140" s="42" t="n"/>
      <c r="O140" s="39" t="n"/>
      <c r="P140" s="3">
        <f>Table5[[#This Row],[ (S/S) SAR]]-Table5[[#This Row],[(S/S) AJD]]</f>
        <v/>
      </c>
      <c r="Q140" s="39" t="n"/>
      <c r="R140" s="3">
        <f>Table5[[#This Row],[ (T/B) SAR]]-Table5[[#This Row],[(T/B) AJD]]</f>
        <v/>
      </c>
      <c r="S140" s="3">
        <f>Table5[[#This Row],[S/S_CON.]]+Table5[[#This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Table5[[#This Row],[(RESV. STORGE) AJD]]/10</f>
        <v/>
      </c>
      <c r="AB140" s="3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32" t="n"/>
      <c r="AN140" s="32">
        <f>Table5[[#This Row],[ (RESV. STORGE) SER]]/10</f>
        <v/>
      </c>
      <c r="AO140" s="68" t="n"/>
      <c r="AP140" s="100">
        <f>Table5[[#This Row],[(A/S) AJD]]-Table5[[#This Row],[SER_IN]]</f>
        <v/>
      </c>
    </row>
    <row r="141" ht="18.75" customHeight="1">
      <c r="A141" s="98" t="n">
        <v>47258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Table5[[#This Row],[ (T/B) SAR]]+Table5[[#This Row],[ (S/S) SAR]]</f>
        <v/>
      </c>
      <c r="L141" s="45" t="n"/>
      <c r="M141" s="46" t="n"/>
      <c r="N141" s="46" t="n"/>
      <c r="O141" s="40" t="n"/>
      <c r="P141" s="3">
        <f>Table5[[#This Row],[ (S/S) SAR]]-Table5[[#This Row],[(S/S) AJD]]</f>
        <v/>
      </c>
      <c r="Q141" s="40" t="n"/>
      <c r="R141" s="3">
        <f>Table5[[#This Row],[ (T/B) SAR]]-Table5[[#This Row],[(T/B) AJD]]</f>
        <v/>
      </c>
      <c r="S141" s="3">
        <f>Table5[[#This Row],[S/S_CON.]]+Table5[[#This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Table5[[#This Row],[(RESV. STORGE) AJD]]/10</f>
        <v/>
      </c>
      <c r="AB141" s="3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32" t="n"/>
      <c r="AN141" s="32">
        <f>Table5[[#This Row],[ (RESV. STORGE) SER]]/10</f>
        <v/>
      </c>
      <c r="AO141" s="68" t="n"/>
      <c r="AP141" s="100">
        <f>Table5[[#This Row],[(A/S) AJD]]-Table5[[#This Row],[SER_IN]]</f>
        <v/>
      </c>
    </row>
    <row r="142" ht="18.75" customHeight="1">
      <c r="A142" s="98" t="n">
        <v>47259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Table5[[#This Row],[ (T/B) SAR]]+Table5[[#This Row],[ (S/S) SAR]]</f>
        <v/>
      </c>
      <c r="L142" s="41" t="n"/>
      <c r="M142" s="42" t="n"/>
      <c r="N142" s="42" t="n"/>
      <c r="O142" s="39" t="n"/>
      <c r="P142" s="3">
        <f>Table5[[#This Row],[ (S/S) SAR]]-Table5[[#This Row],[(S/S) AJD]]</f>
        <v/>
      </c>
      <c r="Q142" s="39" t="n"/>
      <c r="R142" s="3">
        <f>Table5[[#This Row],[ (T/B) SAR]]-Table5[[#This Row],[(T/B) AJD]]</f>
        <v/>
      </c>
      <c r="S142" s="3">
        <f>Table5[[#This Row],[S/S_CON.]]+Table5[[#This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Table5[[#This Row],[(RESV. STORGE) AJD]]/10</f>
        <v/>
      </c>
      <c r="AB142" s="3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32" t="n"/>
      <c r="AN142" s="32">
        <f>Table5[[#This Row],[ (RESV. STORGE) SER]]/10</f>
        <v/>
      </c>
      <c r="AO142" s="68" t="n"/>
      <c r="AP142" s="100">
        <f>Table5[[#This Row],[(A/S) AJD]]-Table5[[#This Row],[SER_IN]]</f>
        <v/>
      </c>
    </row>
    <row r="143" ht="18.75" customHeight="1">
      <c r="A143" s="98" t="n">
        <v>47260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Table5[[#This Row],[ (T/B) SAR]]+Table5[[#This Row],[ (S/S) SAR]]</f>
        <v/>
      </c>
      <c r="L143" s="45" t="n"/>
      <c r="M143" s="46" t="n"/>
      <c r="N143" s="46" t="n"/>
      <c r="O143" s="40" t="n"/>
      <c r="P143" s="3">
        <f>Table5[[#This Row],[ (S/S) SAR]]-Table5[[#This Row],[(S/S) AJD]]</f>
        <v/>
      </c>
      <c r="Q143" s="40" t="n"/>
      <c r="R143" s="3">
        <f>Table5[[#This Row],[ (T/B) SAR]]-Table5[[#This Row],[(T/B) AJD]]</f>
        <v/>
      </c>
      <c r="S143" s="3">
        <f>Table5[[#This Row],[S/S_CON.]]+Table5[[#This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Table5[[#This Row],[(RESV. STORGE) AJD]]/10</f>
        <v/>
      </c>
      <c r="AB143" s="3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32" t="n"/>
      <c r="AN143" s="32">
        <f>Table5[[#This Row],[ (RESV. STORGE) SER]]/10</f>
        <v/>
      </c>
      <c r="AO143" s="68" t="n"/>
      <c r="AP143" s="100">
        <f>Table5[[#This Row],[(A/S) AJD]]-Table5[[#This Row],[SER_IN]]</f>
        <v/>
      </c>
    </row>
    <row r="144" ht="18.75" customHeight="1">
      <c r="A144" s="98" t="n">
        <v>47261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Table5[[#This Row],[ (T/B) SAR]]+Table5[[#This Row],[ (S/S) SAR]]</f>
        <v/>
      </c>
      <c r="L144" s="41" t="n"/>
      <c r="M144" s="42" t="n"/>
      <c r="N144" s="42" t="n"/>
      <c r="O144" s="39" t="n"/>
      <c r="P144" s="3">
        <f>Table5[[#This Row],[ (S/S) SAR]]-Table5[[#This Row],[(S/S) AJD]]</f>
        <v/>
      </c>
      <c r="Q144" s="39" t="n"/>
      <c r="R144" s="3">
        <f>Table5[[#This Row],[ (T/B) SAR]]-Table5[[#This Row],[(T/B) AJD]]</f>
        <v/>
      </c>
      <c r="S144" s="3">
        <f>Table5[[#This Row],[S/S_CON.]]+Table5[[#This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Table5[[#This Row],[(RESV. STORGE) AJD]]/10</f>
        <v/>
      </c>
      <c r="AB144" s="3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32" t="n"/>
      <c r="AN144" s="32">
        <f>Table5[[#This Row],[ (RESV. STORGE) SER]]/10</f>
        <v/>
      </c>
      <c r="AO144" s="68" t="n"/>
      <c r="AP144" s="100">
        <f>Table5[[#This Row],[(A/S) AJD]]-Table5[[#This Row],[SER_IN]]</f>
        <v/>
      </c>
    </row>
    <row r="145" ht="18.75" customHeight="1">
      <c r="A145" s="98" t="n">
        <v>47262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Table5[[#This Row],[ (T/B) SAR]]+Table5[[#This Row],[ (S/S) SAR]]</f>
        <v/>
      </c>
      <c r="L145" s="45" t="n"/>
      <c r="M145" s="46" t="n"/>
      <c r="N145" s="46" t="n"/>
      <c r="O145" s="40" t="n"/>
      <c r="P145" s="3">
        <f>Table5[[#This Row],[ (S/S) SAR]]-Table5[[#This Row],[(S/S) AJD]]</f>
        <v/>
      </c>
      <c r="Q145" s="40" t="n"/>
      <c r="R145" s="3">
        <f>Table5[[#This Row],[ (T/B) SAR]]-Table5[[#This Row],[(T/B) AJD]]</f>
        <v/>
      </c>
      <c r="S145" s="3">
        <f>Table5[[#This Row],[S/S_CON.]]+Table5[[#This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Table5[[#This Row],[(RESV. STORGE) AJD]]/10</f>
        <v/>
      </c>
      <c r="AB145" s="3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32" t="n"/>
      <c r="AN145" s="32">
        <f>Table5[[#This Row],[ (RESV. STORGE) SER]]/10</f>
        <v/>
      </c>
      <c r="AO145" s="68" t="n"/>
      <c r="AP145" s="100">
        <f>Table5[[#This Row],[(A/S) AJD]]-Table5[[#This Row],[SER_IN]]</f>
        <v/>
      </c>
    </row>
    <row r="146" ht="18.75" customHeight="1">
      <c r="A146" s="98" t="n">
        <v>47263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Table5[[#This Row],[ (T/B) SAR]]+Table5[[#This Row],[ (S/S) SAR]]</f>
        <v/>
      </c>
      <c r="L146" s="41" t="n"/>
      <c r="M146" s="42" t="n"/>
      <c r="N146" s="42" t="n"/>
      <c r="O146" s="39" t="n"/>
      <c r="P146" s="3">
        <f>Table5[[#This Row],[ (S/S) SAR]]-Table5[[#This Row],[(S/S) AJD]]</f>
        <v/>
      </c>
      <c r="Q146" s="39" t="n"/>
      <c r="R146" s="3">
        <f>Table5[[#This Row],[ (T/B) SAR]]-Table5[[#This Row],[(T/B) AJD]]</f>
        <v/>
      </c>
      <c r="S146" s="3">
        <f>Table5[[#This Row],[S/S_CON.]]+Table5[[#This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Table5[[#This Row],[(RESV. STORGE) AJD]]/10</f>
        <v/>
      </c>
      <c r="AB146" s="3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32" t="n"/>
      <c r="AN146" s="32">
        <f>Table5[[#This Row],[ (RESV. STORGE) SER]]/10</f>
        <v/>
      </c>
      <c r="AO146" s="68" t="n"/>
      <c r="AP146" s="100">
        <f>Table5[[#This Row],[(A/S) AJD]]-Table5[[#This Row],[SER_IN]]</f>
        <v/>
      </c>
    </row>
    <row r="147" ht="18.75" customHeight="1">
      <c r="A147" s="98" t="n">
        <v>47264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Table5[[#This Row],[ (T/B) SAR]]+Table5[[#This Row],[ (S/S) SAR]]</f>
        <v/>
      </c>
      <c r="L147" s="45" t="n"/>
      <c r="M147" s="46" t="n"/>
      <c r="N147" s="46" t="n"/>
      <c r="O147" s="40" t="n"/>
      <c r="P147" s="3">
        <f>Table5[[#This Row],[ (S/S) SAR]]-Table5[[#This Row],[(S/S) AJD]]</f>
        <v/>
      </c>
      <c r="Q147" s="40" t="n"/>
      <c r="R147" s="3">
        <f>Table5[[#This Row],[ (T/B) SAR]]-Table5[[#This Row],[(T/B) AJD]]</f>
        <v/>
      </c>
      <c r="S147" s="3">
        <f>Table5[[#This Row],[S/S_CON.]]+Table5[[#This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Table5[[#This Row],[(RESV. STORGE) AJD]]/10</f>
        <v/>
      </c>
      <c r="AB147" s="3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32" t="n"/>
      <c r="AN147" s="32">
        <f>Table5[[#This Row],[ (RESV. STORGE) SER]]/10</f>
        <v/>
      </c>
      <c r="AO147" s="68" t="n"/>
      <c r="AP147" s="100">
        <f>Table5[[#This Row],[(A/S) AJD]]-Table5[[#This Row],[SER_IN]]</f>
        <v/>
      </c>
    </row>
    <row r="148" ht="18.75" customHeight="1">
      <c r="A148" s="98" t="n">
        <v>47265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Table5[[#This Row],[ (T/B) SAR]]+Table5[[#This Row],[ (S/S) SAR]]</f>
        <v/>
      </c>
      <c r="L148" s="41" t="n"/>
      <c r="M148" s="42" t="n"/>
      <c r="N148" s="42" t="n"/>
      <c r="O148" s="39" t="n"/>
      <c r="P148" s="3">
        <f>Table5[[#This Row],[ (S/S) SAR]]-Table5[[#This Row],[(S/S) AJD]]</f>
        <v/>
      </c>
      <c r="Q148" s="39" t="n"/>
      <c r="R148" s="3">
        <f>Table5[[#This Row],[ (T/B) SAR]]-Table5[[#This Row],[(T/B) AJD]]</f>
        <v/>
      </c>
      <c r="S148" s="3">
        <f>Table5[[#This Row],[S/S_CON.]]+Table5[[#This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Table5[[#This Row],[(RESV. STORGE) AJD]]/10</f>
        <v/>
      </c>
      <c r="AB148" s="3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32" t="n"/>
      <c r="AN148" s="32">
        <f>Table5[[#This Row],[ (RESV. STORGE) SER]]/10</f>
        <v/>
      </c>
      <c r="AO148" s="68" t="n"/>
      <c r="AP148" s="100">
        <f>Table5[[#This Row],[(A/S) AJD]]-Table5[[#This Row],[SER_IN]]</f>
        <v/>
      </c>
    </row>
    <row r="149" ht="18.75" customHeight="1">
      <c r="A149" s="98" t="n">
        <v>47266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Table5[[#This Row],[ (T/B) SAR]]+Table5[[#This Row],[ (S/S) SAR]]</f>
        <v/>
      </c>
      <c r="L149" s="45" t="n"/>
      <c r="M149" s="46" t="n"/>
      <c r="N149" s="46" t="n"/>
      <c r="O149" s="40" t="n"/>
      <c r="P149" s="3">
        <f>Table5[[#This Row],[ (S/S) SAR]]-Table5[[#This Row],[(S/S) AJD]]</f>
        <v/>
      </c>
      <c r="Q149" s="40" t="n"/>
      <c r="R149" s="3">
        <f>Table5[[#This Row],[ (T/B) SAR]]-Table5[[#This Row],[(T/B) AJD]]</f>
        <v/>
      </c>
      <c r="S149" s="3">
        <f>Table5[[#This Row],[S/S_CON.]]+Table5[[#This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Table5[[#This Row],[(RESV. STORGE) AJD]]/10</f>
        <v/>
      </c>
      <c r="AB149" s="3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32" t="n"/>
      <c r="AN149" s="32">
        <f>Table5[[#This Row],[ (RESV. STORGE) SER]]/10</f>
        <v/>
      </c>
      <c r="AO149" s="68" t="n"/>
      <c r="AP149" s="100">
        <f>Table5[[#This Row],[(A/S) AJD]]-Table5[[#This Row],[SER_IN]]</f>
        <v/>
      </c>
    </row>
    <row r="150" ht="18.75" customHeight="1">
      <c r="A150" s="98" t="n">
        <v>47267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Table5[[#This Row],[ (T/B) SAR]]+Table5[[#This Row],[ (S/S) SAR]]</f>
        <v/>
      </c>
      <c r="L150" s="41" t="n"/>
      <c r="M150" s="42" t="n"/>
      <c r="N150" s="42" t="n"/>
      <c r="O150" s="39" t="n"/>
      <c r="P150" s="3">
        <f>Table5[[#This Row],[ (S/S) SAR]]-Table5[[#This Row],[(S/S) AJD]]</f>
        <v/>
      </c>
      <c r="Q150" s="39" t="n"/>
      <c r="R150" s="3">
        <f>Table5[[#This Row],[ (T/B) SAR]]-Table5[[#This Row],[(T/B) AJD]]</f>
        <v/>
      </c>
      <c r="S150" s="3">
        <f>Table5[[#This Row],[S/S_CON.]]+Table5[[#This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Table5[[#This Row],[(RESV. STORGE) AJD]]/10</f>
        <v/>
      </c>
      <c r="AB150" s="3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32" t="n"/>
      <c r="AN150" s="32">
        <f>Table5[[#This Row],[ (RESV. STORGE) SER]]/10</f>
        <v/>
      </c>
      <c r="AO150" s="68" t="n"/>
      <c r="AP150" s="100">
        <f>Table5[[#This Row],[(A/S) AJD]]-Table5[[#This Row],[SER_IN]]</f>
        <v/>
      </c>
    </row>
    <row r="151" ht="18.75" customHeight="1">
      <c r="A151" s="98" t="n">
        <v>47268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Table5[[#This Row],[ (T/B) SAR]]+Table5[[#This Row],[ (S/S) SAR]]</f>
        <v/>
      </c>
      <c r="L151" s="45" t="n"/>
      <c r="M151" s="46" t="n"/>
      <c r="N151" s="46" t="n"/>
      <c r="O151" s="40" t="n"/>
      <c r="P151" s="3">
        <f>Table5[[#This Row],[ (S/S) SAR]]-Table5[[#This Row],[(S/S) AJD]]</f>
        <v/>
      </c>
      <c r="Q151" s="40" t="n"/>
      <c r="R151" s="3">
        <f>Table5[[#This Row],[ (T/B) SAR]]-Table5[[#This Row],[(T/B) AJD]]</f>
        <v/>
      </c>
      <c r="S151" s="3">
        <f>Table5[[#This Row],[S/S_CON.]]+Table5[[#This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Table5[[#This Row],[(RESV. STORGE) AJD]]/10</f>
        <v/>
      </c>
      <c r="AB151" s="3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32" t="n"/>
      <c r="AN151" s="32">
        <f>Table5[[#This Row],[ (RESV. STORGE) SER]]/10</f>
        <v/>
      </c>
      <c r="AO151" s="68" t="n"/>
      <c r="AP151" s="100">
        <f>Table5[[#This Row],[(A/S) AJD]]-Table5[[#This Row],[SER_IN]]</f>
        <v/>
      </c>
    </row>
    <row r="152" ht="18.75" customHeight="1">
      <c r="A152" s="98" t="n">
        <v>47269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Table5[[#This Row],[ (T/B) SAR]]+Table5[[#This Row],[ (S/S) SAR]]</f>
        <v/>
      </c>
      <c r="L152" s="41" t="n"/>
      <c r="M152" s="42" t="n"/>
      <c r="N152" s="42" t="n"/>
      <c r="O152" s="39" t="n"/>
      <c r="P152" s="3">
        <f>Table5[[#This Row],[ (S/S) SAR]]-Table5[[#This Row],[(S/S) AJD]]</f>
        <v/>
      </c>
      <c r="Q152" s="39" t="n"/>
      <c r="R152" s="3">
        <f>Table5[[#This Row],[ (T/B) SAR]]-Table5[[#This Row],[(T/B) AJD]]</f>
        <v/>
      </c>
      <c r="S152" s="3">
        <f>Table5[[#This Row],[S/S_CON.]]+Table5[[#This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Table5[[#This Row],[(RESV. STORGE) AJD]]/10</f>
        <v/>
      </c>
      <c r="AB152" s="3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32" t="n"/>
      <c r="AN152" s="32">
        <f>Table5[[#This Row],[ (RESV. STORGE) SER]]/10</f>
        <v/>
      </c>
      <c r="AO152" s="68" t="n"/>
      <c r="AP152" s="100">
        <f>Table5[[#This Row],[(A/S) AJD]]-Table5[[#This Row],[SER_IN]]</f>
        <v/>
      </c>
    </row>
    <row r="153" ht="18.75" customHeight="1">
      <c r="A153" s="98" t="n">
        <v>47270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Table5[[#This Row],[(RESV. STORGE) AJD]]/10</f>
        <v/>
      </c>
      <c r="AB153" s="3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32" t="n"/>
      <c r="AN153" s="32">
        <f>Table5[[#This Row],[ (RESV. STORGE) SER]]/10</f>
        <v/>
      </c>
      <c r="AO153" s="68" t="n"/>
      <c r="AP153" s="100">
        <f>Table5[[#This Row],[(A/S) AJD]]-Table5[[#This Row],[SER_IN]]</f>
        <v/>
      </c>
    </row>
    <row r="154" ht="18.75" customHeight="1">
      <c r="A154" s="98" t="n">
        <v>47271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Table5[[#This Row],[(RESV. STORGE) AJD]]/10</f>
        <v/>
      </c>
      <c r="AB154" s="3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32" t="n"/>
      <c r="AN154" s="32">
        <f>Table5[[#This Row],[ (RESV. STORGE) SER]]/10</f>
        <v/>
      </c>
      <c r="AO154" s="68" t="n"/>
      <c r="AP154" s="100">
        <f>Table5[[#This Row],[(A/S) AJD]]-Table5[[#This Row],[SER_IN]]</f>
        <v/>
      </c>
    </row>
    <row r="155" ht="18.75" customHeight="1">
      <c r="A155" s="98" t="n">
        <v>47272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Table5[[#This Row],[(RESV. STORGE) AJD]]/10</f>
        <v/>
      </c>
      <c r="AB155" s="3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32" t="n"/>
      <c r="AN155" s="32">
        <f>Table5[[#This Row],[ (RESV. STORGE) SER]]/10</f>
        <v/>
      </c>
      <c r="AO155" s="68" t="n"/>
      <c r="AP155" s="100">
        <f>Table5[[#This Row],[(A/S) AJD]]-Table5[[#This Row],[SER_IN]]</f>
        <v/>
      </c>
    </row>
    <row r="156" ht="18.75" customHeight="1">
      <c r="A156" s="98" t="n">
        <v>47273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Table5[[#This Row],[(RESV. STORGE) AJD]]/10</f>
        <v/>
      </c>
      <c r="AB156" s="3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32" t="n"/>
      <c r="AN156" s="32">
        <f>Table5[[#This Row],[ (RESV. STORGE) SER]]/10</f>
        <v/>
      </c>
      <c r="AO156" s="68" t="n"/>
      <c r="AP156" s="100">
        <f>Table5[[#This Row],[(A/S) AJD]]-Table5[[#This Row],[SER_IN]]</f>
        <v/>
      </c>
    </row>
    <row r="157" ht="18.75" customHeight="1">
      <c r="A157" s="98" t="n">
        <v>47274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Table5[[#This Row],[(RESV. STORGE) AJD]]/10</f>
        <v/>
      </c>
      <c r="AB157" s="3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32" t="n"/>
      <c r="AN157" s="32">
        <f>Table5[[#This Row],[ (RESV. STORGE) SER]]/10</f>
        <v/>
      </c>
      <c r="AO157" s="68" t="n"/>
      <c r="AP157" s="100">
        <f>Table5[[#This Row],[(A/S) AJD]]-Table5[[#This Row],[SER_IN]]</f>
        <v/>
      </c>
    </row>
    <row r="158" ht="18.75" customHeight="1">
      <c r="A158" s="98" t="n">
        <v>47275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Table5[[#This Row],[(RESV. STORGE) AJD]]/10</f>
        <v/>
      </c>
      <c r="AB158" s="3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32" t="n"/>
      <c r="AN158" s="32">
        <f>Table5[[#This Row],[ (RESV. STORGE) SER]]/10</f>
        <v/>
      </c>
      <c r="AO158" s="68" t="n"/>
      <c r="AP158" s="100">
        <f>Table5[[#This Row],[(A/S) AJD]]-Table5[[#This Row],[SER_IN]]</f>
        <v/>
      </c>
    </row>
    <row r="159" ht="18.75" customHeight="1">
      <c r="A159" s="98" t="n">
        <v>47276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Table5[[#This Row],[(RESV. STORGE) AJD]]/10</f>
        <v/>
      </c>
      <c r="AB159" s="3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32" t="n"/>
      <c r="AN159" s="32">
        <f>Table5[[#This Row],[ (RESV. STORGE) SER]]/10</f>
        <v/>
      </c>
      <c r="AO159" s="68" t="n"/>
      <c r="AP159" s="100">
        <f>Table5[[#This Row],[(A/S) AJD]]-Table5[[#This Row],[SER_IN]]</f>
        <v/>
      </c>
    </row>
    <row r="160" ht="18.75" customHeight="1">
      <c r="A160" s="98" t="n">
        <v>47277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Table5[[#This Row],[(RESV. STORGE) AJD]]/10</f>
        <v/>
      </c>
      <c r="AB160" s="3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32" t="n"/>
      <c r="AN160" s="32">
        <f>Table5[[#This Row],[ (RESV. STORGE) SER]]/10</f>
        <v/>
      </c>
      <c r="AO160" s="68" t="n"/>
      <c r="AP160" s="100">
        <f>Table5[[#This Row],[(A/S) AJD]]-Table5[[#This Row],[SER_IN]]</f>
        <v/>
      </c>
    </row>
    <row r="161" ht="18.75" customHeight="1">
      <c r="A161" s="98" t="n">
        <v>47278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Table5[[#This Row],[(RESV. STORGE) AJD]]/10</f>
        <v/>
      </c>
      <c r="AB161" s="3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32" t="n"/>
      <c r="AN161" s="32">
        <f>Table5[[#This Row],[ (RESV. STORGE) SER]]/10</f>
        <v/>
      </c>
      <c r="AO161" s="68" t="n"/>
      <c r="AP161" s="100">
        <f>Table5[[#This Row],[(A/S) AJD]]-Table5[[#This Row],[SER_IN]]</f>
        <v/>
      </c>
    </row>
    <row r="162" ht="18.75" customHeight="1">
      <c r="A162" s="98" t="n">
        <v>47279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Table5[[#This Row],[(RESV. STORGE) AJD]]/10</f>
        <v/>
      </c>
      <c r="AB162" s="3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32" t="n"/>
      <c r="AN162" s="32">
        <f>Table5[[#This Row],[ (RESV. STORGE) SER]]/10</f>
        <v/>
      </c>
      <c r="AO162" s="68" t="n"/>
      <c r="AP162" s="100">
        <f>Table5[[#This Row],[(A/S) AJD]]-Table5[[#This Row],[SER_IN]]</f>
        <v/>
      </c>
    </row>
    <row r="163" ht="18.75" customHeight="1">
      <c r="A163" s="98" t="n">
        <v>47280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Table5[[#This Row],[(RESV. STORGE) AJD]]/10</f>
        <v/>
      </c>
      <c r="AB163" s="3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32" t="n"/>
      <c r="AN163" s="32">
        <f>Table5[[#This Row],[ (RESV. STORGE) SER]]/10</f>
        <v/>
      </c>
      <c r="AO163" s="68" t="n"/>
      <c r="AP163" s="100">
        <f>Table5[[#This Row],[(A/S) AJD]]-Table5[[#This Row],[SER_IN]]</f>
        <v/>
      </c>
    </row>
    <row r="164" ht="18.75" customHeight="1">
      <c r="A164" s="98" t="n">
        <v>47281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Table5[[#This Row],[(RESV. STORGE) AJD]]/10</f>
        <v/>
      </c>
      <c r="AB164" s="3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32" t="n"/>
      <c r="AN164" s="32">
        <f>Table5[[#This Row],[ (RESV. STORGE) SER]]/10</f>
        <v/>
      </c>
      <c r="AO164" s="68" t="n"/>
      <c r="AP164" s="100">
        <f>Table5[[#This Row],[(A/S) AJD]]-Table5[[#This Row],[SER_IN]]</f>
        <v/>
      </c>
    </row>
    <row r="165" ht="18.75" customHeight="1">
      <c r="A165" s="98" t="n">
        <v>47282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Table5[[#This Row],[(RESV. STORGE) AJD]]/10</f>
        <v/>
      </c>
      <c r="AB165" s="3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32" t="n"/>
      <c r="AN165" s="32">
        <f>Table5[[#This Row],[ (RESV. STORGE) SER]]/10</f>
        <v/>
      </c>
      <c r="AO165" s="68" t="n"/>
      <c r="AP165" s="100">
        <f>Table5[[#This Row],[(A/S) AJD]]-Table5[[#This Row],[SER_IN]]</f>
        <v/>
      </c>
    </row>
    <row r="166" ht="18.75" customHeight="1">
      <c r="A166" s="98" t="n">
        <v>47283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Table5[[#This Row],[(RESV. STORGE) AJD]]/10</f>
        <v/>
      </c>
      <c r="AB166" s="3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32" t="n"/>
      <c r="AN166" s="32">
        <f>Table5[[#This Row],[ (RESV. STORGE) SER]]/10</f>
        <v/>
      </c>
      <c r="AO166" s="68" t="n"/>
      <c r="AP166" s="100">
        <f>Table5[[#This Row],[(A/S) AJD]]-Table5[[#This Row],[SER_IN]]</f>
        <v/>
      </c>
    </row>
    <row r="167" ht="18.75" customHeight="1">
      <c r="A167" s="98" t="n">
        <v>47284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Table5[[#This Row],[(RESV. STORGE) AJD]]/10</f>
        <v/>
      </c>
      <c r="AB167" s="3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32" t="n"/>
      <c r="AN167" s="32">
        <f>Table5[[#This Row],[ (RESV. STORGE) SER]]/10</f>
        <v/>
      </c>
      <c r="AO167" s="68" t="n"/>
      <c r="AP167" s="100">
        <f>Table5[[#This Row],[(A/S) AJD]]-Table5[[#This Row],[SER_IN]]</f>
        <v/>
      </c>
    </row>
    <row r="168" ht="18.75" customHeight="1">
      <c r="A168" s="98" t="n">
        <v>47285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Table5[[#This Row],[(RESV. STORGE) AJD]]/10</f>
        <v/>
      </c>
      <c r="AB168" s="3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32" t="n"/>
      <c r="AN168" s="32">
        <f>Table5[[#This Row],[ (RESV. STORGE) SER]]/10</f>
        <v/>
      </c>
      <c r="AO168" s="68" t="n"/>
      <c r="AP168" s="100">
        <f>Table5[[#This Row],[(A/S) AJD]]-Table5[[#This Row],[SER_IN]]</f>
        <v/>
      </c>
    </row>
    <row r="169" ht="18.75" customHeight="1">
      <c r="A169" s="98" t="n">
        <v>47286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Table5[[#This Row],[(RESV. STORGE) AJD]]/10</f>
        <v/>
      </c>
      <c r="AB169" s="3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32" t="n"/>
      <c r="AN169" s="32">
        <f>Table5[[#This Row],[ (RESV. STORGE) SER]]/10</f>
        <v/>
      </c>
      <c r="AO169" s="68" t="n"/>
      <c r="AP169" s="100">
        <f>Table5[[#This Row],[(A/S) AJD]]-Table5[[#This Row],[SER_IN]]</f>
        <v/>
      </c>
    </row>
    <row r="170" ht="18.75" customHeight="1">
      <c r="A170" s="98" t="n">
        <v>47287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Table5[[#This Row],[ (T/B) SAR]]+Table5[[#This Row],[ (S/S) SAR]]</f>
        <v/>
      </c>
      <c r="L170" s="45" t="n"/>
      <c r="M170" s="46" t="n"/>
      <c r="N170" s="46" t="n"/>
      <c r="O170" s="40" t="n"/>
      <c r="P170" s="3">
        <f>Table5[[#This Row],[ (S/S) SAR]]-Table5[[#This Row],[(S/S) AJD]]</f>
        <v/>
      </c>
      <c r="Q170" s="40" t="n"/>
      <c r="R170" s="3">
        <f>Table5[[#This Row],[ (T/B) SAR]]-Table5[[#This Row],[(T/B) AJD]]</f>
        <v/>
      </c>
      <c r="S170" s="3">
        <f>Table5[[#This Row],[S/S_CON.]]+Table5[[#This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Table5[[#This Row],[(RESV. STORGE) AJD]]/10</f>
        <v/>
      </c>
      <c r="AB170" s="3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32" t="n"/>
      <c r="AN170" s="32">
        <f>Table5[[#This Row],[ (RESV. STORGE) SER]]/10</f>
        <v/>
      </c>
      <c r="AO170" s="68" t="n"/>
      <c r="AP170" s="100">
        <f>Table5[[#This Row],[(A/S) AJD]]-Table5[[#This Row],[SER_IN]]</f>
        <v/>
      </c>
    </row>
    <row r="171" ht="18.75" customHeight="1">
      <c r="A171" s="98" t="n">
        <v>47288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Table5[[#This Row],[ (T/B) SAR]]+Table5[[#This Row],[ (S/S) SAR]]</f>
        <v/>
      </c>
      <c r="L171" s="41" t="n"/>
      <c r="M171" s="42" t="n"/>
      <c r="N171" s="42" t="n"/>
      <c r="O171" s="39" t="n"/>
      <c r="P171" s="3">
        <f>Table5[[#This Row],[ (S/S) SAR]]-Table5[[#This Row],[(S/S) AJD]]</f>
        <v/>
      </c>
      <c r="Q171" s="39" t="n"/>
      <c r="R171" s="3">
        <f>Table5[[#This Row],[ (T/B) SAR]]-Table5[[#This Row],[(T/B) AJD]]</f>
        <v/>
      </c>
      <c r="S171" s="3">
        <f>Table5[[#This Row],[S/S_CON.]]+Table5[[#This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Table5[[#This Row],[(RESV. STORGE) AJD]]/10</f>
        <v/>
      </c>
      <c r="AB171" s="3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32" t="n"/>
      <c r="AN171" s="32">
        <f>Table5[[#This Row],[ (RESV. STORGE) SER]]/10</f>
        <v/>
      </c>
      <c r="AO171" s="68" t="n"/>
      <c r="AP171" s="100">
        <f>Table5[[#This Row],[(A/S) AJD]]-Table5[[#This Row],[SER_IN]]</f>
        <v/>
      </c>
    </row>
    <row r="172" ht="18.75" customHeight="1">
      <c r="A172" s="98" t="n">
        <v>47289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Table5[[#This Row],[ (T/B) SAR]]+Table5[[#This Row],[ (S/S) SAR]]</f>
        <v/>
      </c>
      <c r="L172" s="44" t="n"/>
      <c r="M172" s="46" t="n"/>
      <c r="N172" s="46" t="n"/>
      <c r="O172" s="40" t="n"/>
      <c r="P172" s="3">
        <f>Table5[[#This Row],[ (S/S) SAR]]-Table5[[#This Row],[(S/S) AJD]]</f>
        <v/>
      </c>
      <c r="Q172" s="40" t="n"/>
      <c r="R172" s="3">
        <f>Table5[[#This Row],[ (T/B) SAR]]-Table5[[#This Row],[(T/B) AJD]]</f>
        <v/>
      </c>
      <c r="S172" s="3">
        <f>Table5[[#This Row],[S/S_CON.]]+Table5[[#This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Table5[[#This Row],[(RESV. STORGE) AJD]]/10</f>
        <v/>
      </c>
      <c r="AB172" s="3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32" t="n"/>
      <c r="AN172" s="32">
        <f>Table5[[#This Row],[ (RESV. STORGE) SER]]/10</f>
        <v/>
      </c>
      <c r="AO172" s="68" t="n"/>
      <c r="AP172" s="100">
        <f>Table5[[#This Row],[(A/S) AJD]]-Table5[[#This Row],[SER_IN]]</f>
        <v/>
      </c>
    </row>
    <row r="173" ht="18.75" customHeight="1">
      <c r="A173" s="98" t="n">
        <v>47290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Table5[[#This Row],[ (T/B) SAR]]+Table5[[#This Row],[ (S/S) SAR]]</f>
        <v/>
      </c>
      <c r="L173" s="41" t="n"/>
      <c r="M173" s="42" t="n"/>
      <c r="N173" s="42" t="n"/>
      <c r="O173" s="39" t="n"/>
      <c r="P173" s="3">
        <f>Table5[[#This Row],[ (S/S) SAR]]-Table5[[#This Row],[(S/S) AJD]]</f>
        <v/>
      </c>
      <c r="Q173" s="39" t="n"/>
      <c r="R173" s="3">
        <f>Table5[[#This Row],[ (T/B) SAR]]-Table5[[#This Row],[(T/B) AJD]]</f>
        <v/>
      </c>
      <c r="S173" s="3">
        <f>Table5[[#This Row],[S/S_CON.]]+Table5[[#This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Table5[[#This Row],[(RESV. STORGE) AJD]]/10</f>
        <v/>
      </c>
      <c r="AB173" s="3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32" t="n"/>
      <c r="AN173" s="32">
        <f>Table5[[#This Row],[ (RESV. STORGE) SER]]/10</f>
        <v/>
      </c>
      <c r="AO173" s="68" t="n"/>
      <c r="AP173" s="100">
        <f>Table5[[#This Row],[(A/S) AJD]]-Table5[[#This Row],[SER_IN]]</f>
        <v/>
      </c>
    </row>
    <row r="174" ht="18.75" customHeight="1">
      <c r="A174" s="98" t="n">
        <v>47291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Table5[[#This Row],[ (T/B) SAR]]+Table5[[#This Row],[ (S/S) SAR]]</f>
        <v/>
      </c>
      <c r="L174" s="45" t="n"/>
      <c r="M174" s="46" t="n"/>
      <c r="N174" s="46" t="n"/>
      <c r="O174" s="40" t="n"/>
      <c r="P174" s="3">
        <f>Table5[[#This Row],[ (S/S) SAR]]-Table5[[#This Row],[(S/S) AJD]]</f>
        <v/>
      </c>
      <c r="Q174" s="40" t="n"/>
      <c r="R174" s="3">
        <f>Table5[[#This Row],[ (T/B) SAR]]-Table5[[#This Row],[(T/B) AJD]]</f>
        <v/>
      </c>
      <c r="S174" s="3">
        <f>Table5[[#This Row],[S/S_CON.]]+Table5[[#This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Table5[[#This Row],[(RESV. STORGE) AJD]]/10</f>
        <v/>
      </c>
      <c r="AB174" s="3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32" t="n"/>
      <c r="AN174" s="32">
        <f>Table5[[#This Row],[ (RESV. STORGE) SER]]/10</f>
        <v/>
      </c>
      <c r="AO174" s="68" t="n"/>
      <c r="AP174" s="100">
        <f>Table5[[#This Row],[(A/S) AJD]]-Table5[[#This Row],[SER_IN]]</f>
        <v/>
      </c>
    </row>
    <row r="175" ht="18.75" customHeight="1">
      <c r="A175" s="98" t="n">
        <v>47292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Table5[[#This Row],[ (T/B) SAR]]+Table5[[#This Row],[ (S/S) SAR]]</f>
        <v/>
      </c>
      <c r="L175" s="41" t="n"/>
      <c r="M175" s="42" t="n"/>
      <c r="N175" s="42" t="n"/>
      <c r="O175" s="39" t="n"/>
      <c r="P175" s="3">
        <f>Table5[[#This Row],[ (S/S) SAR]]-Table5[[#This Row],[(S/S) AJD]]</f>
        <v/>
      </c>
      <c r="Q175" s="39" t="n"/>
      <c r="R175" s="3">
        <f>Table5[[#This Row],[ (T/B) SAR]]-Table5[[#This Row],[(T/B) AJD]]</f>
        <v/>
      </c>
      <c r="S175" s="3">
        <f>Table5[[#This Row],[S/S_CON.]]+Table5[[#This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Table5[[#This Row],[(RESV. STORGE) AJD]]/10</f>
        <v/>
      </c>
      <c r="AB175" s="3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32" t="n"/>
      <c r="AN175" s="32">
        <f>Table5[[#This Row],[ (RESV. STORGE) SER]]/10</f>
        <v/>
      </c>
      <c r="AO175" s="68" t="n"/>
      <c r="AP175" s="100">
        <f>Table5[[#This Row],[(A/S) AJD]]-Table5[[#This Row],[SER_IN]]</f>
        <v/>
      </c>
    </row>
    <row r="176" ht="18.75" customHeight="1">
      <c r="A176" s="98" t="n">
        <v>47293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Table5[[#This Row],[ (T/B) SAR]]+Table5[[#This Row],[ (S/S) SAR]]</f>
        <v/>
      </c>
      <c r="L176" s="45" t="n"/>
      <c r="M176" s="46" t="n"/>
      <c r="N176" s="46" t="n"/>
      <c r="O176" s="40" t="n"/>
      <c r="P176" s="3">
        <f>Table5[[#This Row],[ (S/S) SAR]]-Table5[[#This Row],[(S/S) AJD]]</f>
        <v/>
      </c>
      <c r="Q176" s="40" t="n"/>
      <c r="R176" s="3">
        <f>Table5[[#This Row],[ (T/B) SAR]]-Table5[[#This Row],[(T/B) AJD]]</f>
        <v/>
      </c>
      <c r="S176" s="3">
        <f>Table5[[#This Row],[S/S_CON.]]+Table5[[#This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Table5[[#This Row],[(RESV. STORGE) AJD]]/10</f>
        <v/>
      </c>
      <c r="AB176" s="3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32" t="n"/>
      <c r="AN176" s="32">
        <f>Table5[[#This Row],[ (RESV. STORGE) SER]]/10</f>
        <v/>
      </c>
      <c r="AO176" s="68" t="n"/>
      <c r="AP176" s="100">
        <f>Table5[[#This Row],[(A/S) AJD]]-Table5[[#This Row],[SER_IN]]</f>
        <v/>
      </c>
    </row>
    <row r="177" ht="18.75" customHeight="1">
      <c r="A177" s="98" t="n">
        <v>47294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Table5[[#This Row],[ (T/B) SAR]]+Table5[[#This Row],[ (S/S) SAR]]</f>
        <v/>
      </c>
      <c r="L177" s="41" t="n"/>
      <c r="M177" s="42" t="n"/>
      <c r="N177" s="42" t="n"/>
      <c r="O177" s="39" t="n"/>
      <c r="P177" s="3">
        <f>Table5[[#This Row],[ (S/S) SAR]]-Table5[[#This Row],[(S/S) AJD]]</f>
        <v/>
      </c>
      <c r="Q177" s="39" t="n"/>
      <c r="R177" s="3">
        <f>Table5[[#This Row],[ (T/B) SAR]]-Table5[[#This Row],[(T/B) AJD]]</f>
        <v/>
      </c>
      <c r="S177" s="3">
        <f>Table5[[#This Row],[S/S_CON.]]+Table5[[#This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Table5[[#This Row],[(RESV. STORGE) AJD]]/10</f>
        <v/>
      </c>
      <c r="AB177" s="3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32" t="n"/>
      <c r="AN177" s="32">
        <f>Table5[[#This Row],[ (RESV. STORGE) SER]]/10</f>
        <v/>
      </c>
      <c r="AO177" s="68" t="n"/>
      <c r="AP177" s="100">
        <f>Table5[[#This Row],[(A/S) AJD]]-Table5[[#This Row],[SER_IN]]</f>
        <v/>
      </c>
    </row>
    <row r="178" ht="18.75" customHeight="1">
      <c r="A178" s="98" t="n">
        <v>47295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Table5[[#This Row],[ (T/B) SAR]]+Table5[[#This Row],[ (S/S) SAR]]</f>
        <v/>
      </c>
      <c r="L178" s="45" t="n"/>
      <c r="M178" s="46" t="n"/>
      <c r="N178" s="46" t="n"/>
      <c r="O178" s="40" t="n"/>
      <c r="P178" s="3">
        <f>Table5[[#This Row],[ (S/S) SAR]]-Table5[[#This Row],[(S/S) AJD]]</f>
        <v/>
      </c>
      <c r="Q178" s="40" t="n"/>
      <c r="R178" s="3">
        <f>Table5[[#This Row],[ (T/B) SAR]]-Table5[[#This Row],[(T/B) AJD]]</f>
        <v/>
      </c>
      <c r="S178" s="3">
        <f>Table5[[#This Row],[S/S_CON.]]+Table5[[#This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Table5[[#This Row],[(RESV. STORGE) AJD]]/10</f>
        <v/>
      </c>
      <c r="AB178" s="3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32" t="n"/>
      <c r="AN178" s="32">
        <f>Table5[[#This Row],[ (RESV. STORGE) SER]]/10</f>
        <v/>
      </c>
      <c r="AO178" s="68" t="n"/>
      <c r="AP178" s="100">
        <f>Table5[[#This Row],[(A/S) AJD]]-Table5[[#This Row],[SER_IN]]</f>
        <v/>
      </c>
    </row>
    <row r="179" ht="18.75" customHeight="1">
      <c r="A179" s="98" t="n">
        <v>47296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Table5[[#This Row],[ (T/B) SAR]]+Table5[[#This Row],[ (S/S) SAR]]</f>
        <v/>
      </c>
      <c r="L179" s="41" t="n"/>
      <c r="M179" s="42" t="n"/>
      <c r="N179" s="42" t="n"/>
      <c r="O179" s="39" t="n"/>
      <c r="P179" s="3">
        <f>Table5[[#This Row],[ (S/S) SAR]]-Table5[[#This Row],[(S/S) AJD]]</f>
        <v/>
      </c>
      <c r="Q179" s="39" t="n"/>
      <c r="R179" s="3">
        <f>Table5[[#This Row],[ (T/B) SAR]]-Table5[[#This Row],[(T/B) AJD]]</f>
        <v/>
      </c>
      <c r="S179" s="3">
        <f>Table5[[#This Row],[S/S_CON.]]+Table5[[#This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Table5[[#This Row],[(RESV. STORGE) AJD]]/10</f>
        <v/>
      </c>
      <c r="AB179" s="3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32" t="n"/>
      <c r="AN179" s="32">
        <f>Table5[[#This Row],[ (RESV. STORGE) SER]]/10</f>
        <v/>
      </c>
      <c r="AO179" s="68" t="n"/>
      <c r="AP179" s="100">
        <f>Table5[[#This Row],[(A/S) AJD]]-Table5[[#This Row],[SER_IN]]</f>
        <v/>
      </c>
    </row>
    <row r="180" ht="18.75" customHeight="1">
      <c r="A180" s="98" t="n">
        <v>47297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Table5[[#This Row],[ (T/B) SAR]]+Table5[[#This Row],[ (S/S) SAR]]</f>
        <v/>
      </c>
      <c r="L180" s="45" t="n"/>
      <c r="M180" s="46" t="n"/>
      <c r="N180" s="46" t="n"/>
      <c r="O180" s="40" t="n"/>
      <c r="P180" s="3">
        <f>Table5[[#This Row],[ (S/S) SAR]]-Table5[[#This Row],[(S/S) AJD]]</f>
        <v/>
      </c>
      <c r="Q180" s="40" t="n"/>
      <c r="R180" s="3">
        <f>Table5[[#This Row],[ (T/B) SAR]]-Table5[[#This Row],[(T/B) AJD]]</f>
        <v/>
      </c>
      <c r="S180" s="3">
        <f>Table5[[#This Row],[S/S_CON.]]+Table5[[#This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Table5[[#This Row],[(RESV. STORGE) AJD]]/10</f>
        <v/>
      </c>
      <c r="AB180" s="3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32" t="n"/>
      <c r="AN180" s="32">
        <f>Table5[[#This Row],[ (RESV. STORGE) SER]]/10</f>
        <v/>
      </c>
      <c r="AO180" s="68" t="n"/>
      <c r="AP180" s="100">
        <f>Table5[[#This Row],[(A/S) AJD]]-Table5[[#This Row],[SER_IN]]</f>
        <v/>
      </c>
    </row>
    <row r="181" ht="18.75" customHeight="1">
      <c r="A181" s="98" t="n">
        <v>47298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Table5[[#This Row],[ (T/B) SAR]]+Table5[[#This Row],[ (S/S) SAR]]</f>
        <v/>
      </c>
      <c r="L181" s="41" t="n"/>
      <c r="M181" s="42" t="n"/>
      <c r="N181" s="42" t="n"/>
      <c r="O181" s="39" t="n"/>
      <c r="P181" s="3">
        <f>Table5[[#This Row],[ (S/S) SAR]]-Table5[[#This Row],[(S/S) AJD]]</f>
        <v/>
      </c>
      <c r="Q181" s="39" t="n"/>
      <c r="R181" s="3">
        <f>Table5[[#This Row],[ (T/B) SAR]]-Table5[[#This Row],[(T/B) AJD]]</f>
        <v/>
      </c>
      <c r="S181" s="3">
        <f>Table5[[#This Row],[S/S_CON.]]+Table5[[#This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Table5[[#This Row],[(RESV. STORGE) AJD]]/10</f>
        <v/>
      </c>
      <c r="AB181" s="3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32" t="n"/>
      <c r="AN181" s="32">
        <f>Table5[[#This Row],[ (RESV. STORGE) SER]]/10</f>
        <v/>
      </c>
      <c r="AO181" s="68" t="n"/>
      <c r="AP181" s="100">
        <f>Table5[[#This Row],[(A/S) AJD]]-Table5[[#This Row],[SER_IN]]</f>
        <v/>
      </c>
    </row>
    <row r="182" ht="18.75" customHeight="1">
      <c r="A182" s="98" t="n">
        <v>47299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Table5[[#This Row],[ (T/B) SAR]]+Table5[[#This Row],[ (S/S) SAR]]</f>
        <v/>
      </c>
      <c r="L182" s="45" t="n"/>
      <c r="M182" s="46" t="n"/>
      <c r="N182" s="46" t="n"/>
      <c r="O182" s="40" t="n"/>
      <c r="P182" s="3">
        <f>Table5[[#This Row],[ (S/S) SAR]]-Table5[[#This Row],[(S/S) AJD]]</f>
        <v/>
      </c>
      <c r="Q182" s="40" t="n"/>
      <c r="R182" s="3">
        <f>Table5[[#This Row],[ (T/B) SAR]]-Table5[[#This Row],[(T/B) AJD]]</f>
        <v/>
      </c>
      <c r="S182" s="3">
        <f>Table5[[#This Row],[S/S_CON.]]+Table5[[#This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Table5[[#This Row],[(RESV. STORGE) AJD]]/10</f>
        <v/>
      </c>
      <c r="AB182" s="3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32" t="n"/>
      <c r="AN182" s="32">
        <f>Table5[[#This Row],[ (RESV. STORGE) SER]]/10</f>
        <v/>
      </c>
      <c r="AO182" s="68" t="n"/>
      <c r="AP182" s="100">
        <f>Table5[[#This Row],[(A/S) AJD]]-Table5[[#This Row],[SER_IN]]</f>
        <v/>
      </c>
    </row>
    <row r="183" ht="18.75" customHeight="1">
      <c r="A183" s="98" t="n">
        <v>47300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Table5[[#This Row],[(RESV. STORGE) AJD]]/10</f>
        <v/>
      </c>
      <c r="AB183" s="3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32" t="n"/>
      <c r="AN183" s="32">
        <f>Table5[[#This Row],[ (RESV. STORGE) SER]]/10</f>
        <v/>
      </c>
      <c r="AO183" s="68" t="n"/>
      <c r="AP183" s="100">
        <f>Table5[[#This Row],[(A/S) AJD]]-Table5[[#This Row],[SER_IN]]</f>
        <v/>
      </c>
    </row>
    <row r="184" ht="18.75" customHeight="1">
      <c r="A184" s="98" t="n">
        <v>47301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Table5[[#This Row],[(RESV. STORGE) AJD]]/10</f>
        <v/>
      </c>
      <c r="AB184" s="3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32" t="n"/>
      <c r="AN184" s="32">
        <f>Table5[[#This Row],[ (RESV. STORGE) SER]]/10</f>
        <v/>
      </c>
      <c r="AO184" s="68" t="n"/>
      <c r="AP184" s="100">
        <f>Table5[[#This Row],[(A/S) AJD]]-Table5[[#This Row],[SER_IN]]</f>
        <v/>
      </c>
    </row>
    <row r="185" ht="18.75" customHeight="1">
      <c r="A185" s="98" t="n">
        <v>47302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Table5[[#This Row],[(RESV. STORGE) AJD]]/10</f>
        <v/>
      </c>
      <c r="AB185" s="3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32" t="n"/>
      <c r="AN185" s="32">
        <f>Table5[[#This Row],[ (RESV. STORGE) SER]]/10</f>
        <v/>
      </c>
      <c r="AO185" s="68" t="n"/>
      <c r="AP185" s="100">
        <f>Table5[[#This Row],[(A/S) AJD]]-Table5[[#This Row],[SER_IN]]</f>
        <v/>
      </c>
    </row>
    <row r="186" ht="18.75" customHeight="1">
      <c r="A186" s="98" t="n">
        <v>47303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Table5[[#This Row],[(RESV. STORGE) AJD]]/10</f>
        <v/>
      </c>
      <c r="AB186" s="3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32" t="n"/>
      <c r="AN186" s="32">
        <f>Table5[[#This Row],[ (RESV. STORGE) SER]]/10</f>
        <v/>
      </c>
      <c r="AO186" s="68" t="n"/>
      <c r="AP186" s="100">
        <f>Table5[[#This Row],[(A/S) AJD]]-Table5[[#This Row],[SER_IN]]</f>
        <v/>
      </c>
    </row>
    <row r="187" ht="18.75" customHeight="1">
      <c r="A187" s="98" t="n">
        <v>47304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Table5[[#This Row],[(RESV. STORGE) AJD]]/10</f>
        <v/>
      </c>
      <c r="AB187" s="3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32" t="n"/>
      <c r="AN187" s="32">
        <f>Table5[[#This Row],[ (RESV. STORGE) SER]]/10</f>
        <v/>
      </c>
      <c r="AO187" s="68" t="n"/>
      <c r="AP187" s="100">
        <f>Table5[[#This Row],[(A/S) AJD]]-Table5[[#This Row],[SER_IN]]</f>
        <v/>
      </c>
    </row>
    <row r="188" ht="18.75" customHeight="1">
      <c r="A188" s="98" t="n">
        <v>47305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Table5[[#This Row],[(RESV. STORGE) AJD]]/10</f>
        <v/>
      </c>
      <c r="AB188" s="3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32" t="n"/>
      <c r="AN188" s="32">
        <f>Table5[[#This Row],[ (RESV. STORGE) SER]]/10</f>
        <v/>
      </c>
      <c r="AO188" s="68" t="n"/>
      <c r="AP188" s="100">
        <f>Table5[[#This Row],[(A/S) AJD]]-Table5[[#This Row],[SER_IN]]</f>
        <v/>
      </c>
    </row>
    <row r="189" ht="18.75" customHeight="1">
      <c r="A189" s="98" t="n">
        <v>47306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Table5[[#This Row],[(RESV. STORGE) AJD]]/10</f>
        <v/>
      </c>
      <c r="AB189" s="3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32" t="n"/>
      <c r="AN189" s="32">
        <f>Table5[[#This Row],[ (RESV. STORGE) SER]]/10</f>
        <v/>
      </c>
      <c r="AO189" s="68" t="n"/>
      <c r="AP189" s="100">
        <f>Table5[[#This Row],[(A/S) AJD]]-Table5[[#This Row],[SER_IN]]</f>
        <v/>
      </c>
    </row>
    <row r="190" ht="18.75" customHeight="1">
      <c r="A190" s="98" t="n">
        <v>47307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Table5[[#This Row],[(RESV. STORGE) AJD]]/10</f>
        <v/>
      </c>
      <c r="AB190" s="3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32" t="n"/>
      <c r="AN190" s="32">
        <f>Table5[[#This Row],[ (RESV. STORGE) SER]]/10</f>
        <v/>
      </c>
      <c r="AO190" s="68" t="n"/>
      <c r="AP190" s="100">
        <f>Table5[[#This Row],[(A/S) AJD]]-Table5[[#This Row],[SER_IN]]</f>
        <v/>
      </c>
    </row>
    <row r="191" ht="18.75" customHeight="1">
      <c r="A191" s="98" t="n">
        <v>47308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Table5[[#This Row],[(RESV. STORGE) AJD]]/10</f>
        <v/>
      </c>
      <c r="AB191" s="3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32" t="n"/>
      <c r="AN191" s="32">
        <f>Table5[[#This Row],[ (RESV. STORGE) SER]]/10</f>
        <v/>
      </c>
      <c r="AO191" s="68" t="n"/>
      <c r="AP191" s="100">
        <f>Table5[[#This Row],[(A/S) AJD]]-Table5[[#This Row],[SER_IN]]</f>
        <v/>
      </c>
    </row>
    <row r="192" ht="18.75" customHeight="1">
      <c r="A192" s="98" t="n">
        <v>47309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Table5[[#This Row],[(RESV. STORGE) AJD]]/10</f>
        <v/>
      </c>
      <c r="AB192" s="3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32" t="n"/>
      <c r="AN192" s="32">
        <f>Table5[[#This Row],[ (RESV. STORGE) SER]]/10</f>
        <v/>
      </c>
      <c r="AO192" s="68" t="n"/>
      <c r="AP192" s="100">
        <f>Table5[[#This Row],[(A/S) AJD]]-Table5[[#This Row],[SER_IN]]</f>
        <v/>
      </c>
    </row>
    <row r="193" ht="18.75" customHeight="1">
      <c r="A193" s="98" t="n">
        <v>47310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Table5[[#This Row],[(RESV. STORGE) AJD]]/10</f>
        <v/>
      </c>
      <c r="AB193" s="3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32" t="n"/>
      <c r="AN193" s="32">
        <f>Table5[[#This Row],[ (RESV. STORGE) SER]]/10</f>
        <v/>
      </c>
      <c r="AO193" s="68" t="n"/>
      <c r="AP193" s="100">
        <f>Table5[[#This Row],[(A/S) AJD]]-Table5[[#This Row],[SER_IN]]</f>
        <v/>
      </c>
    </row>
    <row r="194" ht="18.75" customHeight="1">
      <c r="A194" s="98" t="n">
        <v>47311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Table5[[#This Row],[(RESV. STORGE) AJD]]/10</f>
        <v/>
      </c>
      <c r="AB194" s="3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32" t="n"/>
      <c r="AN194" s="32">
        <f>Table5[[#This Row],[ (RESV. STORGE) SER]]/10</f>
        <v/>
      </c>
      <c r="AO194" s="68" t="n"/>
      <c r="AP194" s="100">
        <f>Table5[[#This Row],[(A/S) AJD]]-Table5[[#This Row],[SER_IN]]</f>
        <v/>
      </c>
    </row>
    <row r="195" ht="18.75" customHeight="1">
      <c r="A195" s="98" t="n">
        <v>47312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Table5[[#This Row],[(RESV. STORGE) AJD]]/10</f>
        <v/>
      </c>
      <c r="AB195" s="3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32" t="n"/>
      <c r="AN195" s="32">
        <f>Table5[[#This Row],[ (RESV. STORGE) SER]]/10</f>
        <v/>
      </c>
      <c r="AO195" s="68" t="n"/>
      <c r="AP195" s="100">
        <f>Table5[[#This Row],[(A/S) AJD]]-Table5[[#This Row],[SER_IN]]</f>
        <v/>
      </c>
    </row>
    <row r="196" ht="18.75" customHeight="1">
      <c r="A196" s="98" t="n">
        <v>47313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Table5[[#This Row],[(RESV. STORGE) AJD]]/10</f>
        <v/>
      </c>
      <c r="AB196" s="3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32" t="n"/>
      <c r="AN196" s="32">
        <f>Table5[[#This Row],[ (RESV. STORGE) SER]]/10</f>
        <v/>
      </c>
      <c r="AO196" s="68" t="n"/>
      <c r="AP196" s="100">
        <f>Table5[[#This Row],[(A/S) AJD]]-Table5[[#This Row],[SER_IN]]</f>
        <v/>
      </c>
    </row>
    <row r="197" ht="18.75" customHeight="1">
      <c r="A197" s="98" t="n">
        <v>47314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Table5[[#This Row],[(RESV. STORGE) AJD]]/10</f>
        <v/>
      </c>
      <c r="AB197" s="3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32" t="n"/>
      <c r="AN197" s="32">
        <f>Table5[[#This Row],[ (RESV. STORGE) SER]]/10</f>
        <v/>
      </c>
      <c r="AO197" s="68" t="n"/>
      <c r="AP197" s="100">
        <f>Table5[[#This Row],[(A/S) AJD]]-Table5[[#This Row],[SER_IN]]</f>
        <v/>
      </c>
    </row>
    <row r="198" ht="18.75" customHeight="1">
      <c r="A198" s="98" t="n">
        <v>47315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Table5[[#This Row],[(RESV. STORGE) AJD]]/10</f>
        <v/>
      </c>
      <c r="AB198" s="3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32" t="n"/>
      <c r="AN198" s="32">
        <f>Table5[[#This Row],[ (RESV. STORGE) SER]]/10</f>
        <v/>
      </c>
      <c r="AO198" s="68" t="n"/>
      <c r="AP198" s="100">
        <f>Table5[[#This Row],[(A/S) AJD]]-Table5[[#This Row],[SER_IN]]</f>
        <v/>
      </c>
    </row>
    <row r="199" ht="18.75" customHeight="1">
      <c r="A199" s="98" t="n">
        <v>47316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Table5[[#This Row],[(RESV. STORGE) AJD]]/10</f>
        <v/>
      </c>
      <c r="AB199" s="3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32" t="n"/>
      <c r="AN199" s="32">
        <f>Table5[[#This Row],[ (RESV. STORGE) SER]]/10</f>
        <v/>
      </c>
      <c r="AO199" s="68" t="n"/>
      <c r="AP199" s="100">
        <f>Table5[[#This Row],[(A/S) AJD]]-Table5[[#This Row],[SER_IN]]</f>
        <v/>
      </c>
    </row>
    <row r="200" ht="18.75" customHeight="1">
      <c r="A200" s="98" t="n">
        <v>47317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Table5[[#This Row],[(RESV. STORGE) AJD]]/10</f>
        <v/>
      </c>
      <c r="AB200" s="3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32" t="n"/>
      <c r="AN200" s="32">
        <f>Table5[[#This Row],[ (RESV. STORGE) SER]]/10</f>
        <v/>
      </c>
      <c r="AO200" s="68" t="n"/>
      <c r="AP200" s="100">
        <f>Table5[[#This Row],[(A/S) AJD]]-Table5[[#This Row],[SER_IN]]</f>
        <v/>
      </c>
    </row>
    <row r="201" ht="18.75" customHeight="1">
      <c r="A201" s="98" t="n">
        <v>47318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Table5[[#This Row],[(RESV. STORGE) AJD]]/10</f>
        <v/>
      </c>
      <c r="AB201" s="3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32" t="n"/>
      <c r="AN201" s="32">
        <f>Table5[[#This Row],[ (RESV. STORGE) SER]]/10</f>
        <v/>
      </c>
      <c r="AO201" s="68" t="n"/>
      <c r="AP201" s="100">
        <f>Table5[[#This Row],[(A/S) AJD]]-Table5[[#This Row],[SER_IN]]</f>
        <v/>
      </c>
    </row>
    <row r="202" ht="18.75" customHeight="1">
      <c r="A202" s="98" t="n">
        <v>47319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Table5[[#This Row],[(RESV. STORGE) AJD]]/10</f>
        <v/>
      </c>
      <c r="AB202" s="3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32" t="n"/>
      <c r="AN202" s="32">
        <f>Table5[[#This Row],[ (RESV. STORGE) SER]]/10</f>
        <v/>
      </c>
      <c r="AO202" s="68" t="n"/>
      <c r="AP202" s="100">
        <f>Table5[[#This Row],[(A/S) AJD]]-Table5[[#This Row],[SER_IN]]</f>
        <v/>
      </c>
    </row>
    <row r="203" ht="18.75" customHeight="1">
      <c r="A203" s="98" t="n">
        <v>47320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Table5[[#This Row],[(RESV. STORGE) AJD]]/10</f>
        <v/>
      </c>
      <c r="AB203" s="3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32" t="n"/>
      <c r="AN203" s="32">
        <f>Table5[[#This Row],[ (RESV. STORGE) SER]]/10</f>
        <v/>
      </c>
      <c r="AO203" s="68" t="n"/>
      <c r="AP203" s="100">
        <f>Table5[[#This Row],[(A/S) AJD]]-Table5[[#This Row],[SER_IN]]</f>
        <v/>
      </c>
    </row>
    <row r="204" ht="18.75" customHeight="1">
      <c r="A204" s="98" t="n">
        <v>47321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Table5[[#This Row],[(RESV. STORGE) AJD]]/10</f>
        <v/>
      </c>
      <c r="AB204" s="3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32" t="n"/>
      <c r="AN204" s="32">
        <f>Table5[[#This Row],[ (RESV. STORGE) SER]]/10</f>
        <v/>
      </c>
      <c r="AO204" s="68" t="n"/>
      <c r="AP204" s="100">
        <f>Table5[[#This Row],[(A/S) AJD]]-Table5[[#This Row],[SER_IN]]</f>
        <v/>
      </c>
    </row>
    <row r="205" ht="18.75" customHeight="1">
      <c r="A205" s="98" t="n">
        <v>47322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Table5[[#This Row],[(RESV. STORGE) AJD]]/10</f>
        <v/>
      </c>
      <c r="AB205" s="3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32" t="n"/>
      <c r="AN205" s="32">
        <f>Table5[[#This Row],[ (RESV. STORGE) SER]]/10</f>
        <v/>
      </c>
      <c r="AO205" s="68" t="n"/>
      <c r="AP205" s="100">
        <f>Table5[[#This Row],[(A/S) AJD]]-Table5[[#This Row],[SER_IN]]</f>
        <v/>
      </c>
    </row>
    <row r="206" ht="18.75" customHeight="1">
      <c r="A206" s="98" t="n">
        <v>47323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Table5[[#This Row],[(RESV. STORGE) AJD]]/10</f>
        <v/>
      </c>
      <c r="AB206" s="3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32" t="n"/>
      <c r="AN206" s="32">
        <f>Table5[[#This Row],[ (RESV. STORGE) SER]]/10</f>
        <v/>
      </c>
      <c r="AO206" s="68" t="n"/>
      <c r="AP206" s="100">
        <f>Table5[[#This Row],[(A/S) AJD]]-Table5[[#This Row],[SER_IN]]</f>
        <v/>
      </c>
    </row>
    <row r="207" ht="18.75" customHeight="1">
      <c r="A207" s="98" t="n">
        <v>47324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Table5[[#This Row],[(RESV. STORGE) AJD]]/10</f>
        <v/>
      </c>
      <c r="AB207" s="3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32" t="n"/>
      <c r="AN207" s="32">
        <f>Table5[[#This Row],[ (RESV. STORGE) SER]]/10</f>
        <v/>
      </c>
      <c r="AO207" s="68" t="n"/>
      <c r="AP207" s="100">
        <f>Table5[[#This Row],[(A/S) AJD]]-Table5[[#This Row],[SER_IN]]</f>
        <v/>
      </c>
    </row>
    <row r="208" ht="18.75" customHeight="1">
      <c r="A208" s="98" t="n">
        <v>47325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Table5[[#This Row],[(RESV. STORGE) AJD]]/10</f>
        <v/>
      </c>
      <c r="AB208" s="3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32" t="n"/>
      <c r="AN208" s="32">
        <f>Table5[[#This Row],[ (RESV. STORGE) SER]]/10</f>
        <v/>
      </c>
      <c r="AO208" s="68" t="n"/>
      <c r="AP208" s="100">
        <f>Table5[[#This Row],[(A/S) AJD]]-Table5[[#This Row],[SER_IN]]</f>
        <v/>
      </c>
    </row>
    <row r="209" ht="18.75" customHeight="1">
      <c r="A209" s="98" t="n">
        <v>47326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Table5[[#This Row],[(RESV. STORGE) AJD]]/10</f>
        <v/>
      </c>
      <c r="AB209" s="3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32" t="n"/>
      <c r="AN209" s="32">
        <f>Table5[[#This Row],[ (RESV. STORGE) SER]]/10</f>
        <v/>
      </c>
      <c r="AO209" s="68" t="n"/>
      <c r="AP209" s="100">
        <f>Table5[[#This Row],[(A/S) AJD]]-Table5[[#This Row],[SER_IN]]</f>
        <v/>
      </c>
    </row>
    <row r="210" ht="18.75" customHeight="1">
      <c r="A210" s="98" t="n">
        <v>47327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Table5[[#This Row],[(RESV. STORGE) AJD]]/10</f>
        <v/>
      </c>
      <c r="AB210" s="3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32" t="n"/>
      <c r="AN210" s="32">
        <f>Table5[[#This Row],[ (RESV. STORGE) SER]]/10</f>
        <v/>
      </c>
      <c r="AO210" s="68" t="n"/>
      <c r="AP210" s="100">
        <f>Table5[[#This Row],[(A/S) AJD]]-Table5[[#This Row],[SER_IN]]</f>
        <v/>
      </c>
    </row>
    <row r="211" ht="18.75" customHeight="1">
      <c r="A211" s="98" t="n">
        <v>47328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Table5[[#This Row],[(RESV. STORGE) AJD]]/10</f>
        <v/>
      </c>
      <c r="AB211" s="3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32" t="n"/>
      <c r="AN211" s="32">
        <f>Table5[[#This Row],[ (RESV. STORGE) SER]]/10</f>
        <v/>
      </c>
      <c r="AO211" s="68" t="n"/>
      <c r="AP211" s="100">
        <f>Table5[[#This Row],[(A/S) AJD]]-Table5[[#This Row],[SER_IN]]</f>
        <v/>
      </c>
    </row>
    <row r="212" ht="18.75" customHeight="1">
      <c r="A212" s="98" t="n">
        <v>47329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Table5[[#This Row],[(RESV. STORGE) AJD]]/10</f>
        <v/>
      </c>
      <c r="AB212" s="3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32" t="n"/>
      <c r="AN212" s="32">
        <f>Table5[[#This Row],[ (RESV. STORGE) SER]]/10</f>
        <v/>
      </c>
      <c r="AO212" s="68" t="n"/>
      <c r="AP212" s="100">
        <f>Table5[[#This Row],[(A/S) AJD]]-Table5[[#This Row],[SER_IN]]</f>
        <v/>
      </c>
    </row>
    <row r="213" ht="18.75" customHeight="1">
      <c r="A213" s="98" t="n">
        <v>47330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Table5[[#This Row],[(RESV. STORGE) AJD]]/10</f>
        <v/>
      </c>
      <c r="AB213" s="3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32" t="n"/>
      <c r="AN213" s="32">
        <f>Table5[[#This Row],[ (RESV. STORGE) SER]]/10</f>
        <v/>
      </c>
      <c r="AO213" s="68" t="n"/>
      <c r="AP213" s="100">
        <f>Table5[[#This Row],[(A/S) AJD]]-Table5[[#This Row],[SER_IN]]</f>
        <v/>
      </c>
    </row>
    <row r="214" ht="18.75" customHeight="1">
      <c r="A214" s="98" t="n">
        <v>47331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Table5[[#This Row],[ (T/B) SAR]]+Table5[[#This Row],[ (S/S) SAR]]</f>
        <v/>
      </c>
      <c r="L214" s="41" t="n"/>
      <c r="M214" s="42" t="n"/>
      <c r="N214" s="42" t="n"/>
      <c r="O214" s="39" t="n"/>
      <c r="P214" s="3">
        <f>Table5[[#This Row],[ (S/S) SAR]]-Table5[[#This Row],[(S/S) AJD]]</f>
        <v/>
      </c>
      <c r="Q214" s="39" t="n"/>
      <c r="R214" s="3">
        <f>Table5[[#This Row],[ (T/B) SAR]]-Table5[[#This Row],[(T/B) AJD]]</f>
        <v/>
      </c>
      <c r="S214" s="3">
        <f>Table5[[#This Row],[S/S_CON.]]+Table5[[#This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Table5[[#This Row],[(RESV. STORGE) AJD]]/10</f>
        <v/>
      </c>
      <c r="AB214" s="3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32" t="n"/>
      <c r="AN214" s="32">
        <f>Table5[[#This Row],[ (RESV. STORGE) SER]]/10</f>
        <v/>
      </c>
      <c r="AO214" s="68" t="n"/>
      <c r="AP214" s="100">
        <f>Table5[[#This Row],[(A/S) AJD]]-Table5[[#This Row],[SER_IN]]</f>
        <v/>
      </c>
    </row>
    <row r="215" ht="18.75" customHeight="1">
      <c r="A215" s="98" t="n">
        <v>47332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Table5[[#This Row],[ (T/B) SAR]]+Table5[[#This Row],[ (S/S) SAR]]</f>
        <v/>
      </c>
      <c r="L215" s="45" t="n"/>
      <c r="M215" s="46" t="n"/>
      <c r="N215" s="46" t="n"/>
      <c r="O215" s="40" t="n"/>
      <c r="P215" s="3">
        <f>Table5[[#This Row],[ (S/S) SAR]]-Table5[[#This Row],[(S/S) AJD]]</f>
        <v/>
      </c>
      <c r="Q215" s="40" t="n"/>
      <c r="R215" s="3">
        <f>Table5[[#This Row],[ (T/B) SAR]]-Table5[[#This Row],[(T/B) AJD]]</f>
        <v/>
      </c>
      <c r="S215" s="3">
        <f>Table5[[#This Row],[S/S_CON.]]+Table5[[#This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Table5[[#This Row],[(RESV. STORGE) AJD]]/10</f>
        <v/>
      </c>
      <c r="AB215" s="3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32" t="n"/>
      <c r="AN215" s="32">
        <f>Table5[[#This Row],[ (RESV. STORGE) SER]]/10</f>
        <v/>
      </c>
      <c r="AO215" s="68" t="n"/>
      <c r="AP215" s="100">
        <f>Table5[[#This Row],[(A/S) AJD]]-Table5[[#This Row],[SER_IN]]</f>
        <v/>
      </c>
    </row>
    <row r="216" ht="18.75" customHeight="1">
      <c r="A216" s="98" t="n">
        <v>47333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Table5[[#This Row],[ (T/B) SAR]]+Table5[[#This Row],[ (S/S) SAR]]</f>
        <v/>
      </c>
      <c r="L216" s="41" t="n"/>
      <c r="M216" s="42" t="n"/>
      <c r="N216" s="42" t="n"/>
      <c r="O216" s="39" t="n"/>
      <c r="P216" s="3">
        <f>Table5[[#This Row],[ (S/S) SAR]]-Table5[[#This Row],[(S/S) AJD]]</f>
        <v/>
      </c>
      <c r="Q216" s="39" t="n"/>
      <c r="R216" s="3">
        <f>Table5[[#This Row],[ (T/B) SAR]]-Table5[[#This Row],[(T/B) AJD]]</f>
        <v/>
      </c>
      <c r="S216" s="3">
        <f>Table5[[#This Row],[S/S_CON.]]+Table5[[#This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Table5[[#This Row],[(RESV. STORGE) AJD]]/10</f>
        <v/>
      </c>
      <c r="AB216" s="3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32" t="n"/>
      <c r="AN216" s="32">
        <f>Table5[[#This Row],[ (RESV. STORGE) SER]]/10</f>
        <v/>
      </c>
      <c r="AO216" s="68" t="n"/>
      <c r="AP216" s="100">
        <f>Table5[[#This Row],[(A/S) AJD]]-Table5[[#This Row],[SER_IN]]</f>
        <v/>
      </c>
    </row>
    <row r="217" ht="18.75" customHeight="1">
      <c r="A217" s="98" t="n">
        <v>47334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Table5[[#This Row],[ (T/B) SAR]]+Table5[[#This Row],[ (S/S) SAR]]</f>
        <v/>
      </c>
      <c r="L217" s="45" t="n"/>
      <c r="M217" s="46" t="n"/>
      <c r="N217" s="46" t="n"/>
      <c r="O217" s="40" t="n"/>
      <c r="P217" s="3">
        <f>Table5[[#This Row],[ (S/S) SAR]]-Table5[[#This Row],[(S/S) AJD]]</f>
        <v/>
      </c>
      <c r="Q217" s="40" t="n"/>
      <c r="R217" s="3">
        <f>Table5[[#This Row],[ (T/B) SAR]]-Table5[[#This Row],[(T/B) AJD]]</f>
        <v/>
      </c>
      <c r="S217" s="3">
        <f>Table5[[#This Row],[S/S_CON.]]+Table5[[#This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Table5[[#This Row],[(RESV. STORGE) AJD]]/10</f>
        <v/>
      </c>
      <c r="AB217" s="3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32" t="n"/>
      <c r="AN217" s="32">
        <f>Table5[[#This Row],[ (RESV. STORGE) SER]]/10</f>
        <v/>
      </c>
      <c r="AO217" s="68" t="n"/>
      <c r="AP217" s="100">
        <f>Table5[[#This Row],[(A/S) AJD]]-Table5[[#This Row],[SER_IN]]</f>
        <v/>
      </c>
    </row>
    <row r="218" ht="18.75" customHeight="1">
      <c r="A218" s="98" t="n">
        <v>47335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Table5[[#This Row],[ (T/B) SAR]]+Table5[[#This Row],[ (S/S) SAR]]</f>
        <v/>
      </c>
      <c r="L218" s="41" t="n"/>
      <c r="M218" s="42" t="n"/>
      <c r="N218" s="42" t="n"/>
      <c r="O218" s="39" t="n"/>
      <c r="P218" s="3">
        <f>Table5[[#This Row],[ (S/S) SAR]]-Table5[[#This Row],[(S/S) AJD]]</f>
        <v/>
      </c>
      <c r="Q218" s="39" t="n"/>
      <c r="R218" s="3">
        <f>Table5[[#This Row],[ (T/B) SAR]]-Table5[[#This Row],[(T/B) AJD]]</f>
        <v/>
      </c>
      <c r="S218" s="3">
        <f>Table5[[#This Row],[S/S_CON.]]+Table5[[#This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Table5[[#This Row],[(RESV. STORGE) AJD]]/10</f>
        <v/>
      </c>
      <c r="AB218" s="3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32" t="n"/>
      <c r="AN218" s="32">
        <f>Table5[[#This Row],[ (RESV. STORGE) SER]]/10</f>
        <v/>
      </c>
      <c r="AO218" s="68" t="n"/>
      <c r="AP218" s="100">
        <f>Table5[[#This Row],[(A/S) AJD]]-Table5[[#This Row],[SER_IN]]</f>
        <v/>
      </c>
    </row>
    <row r="219" ht="18.75" customHeight="1">
      <c r="A219" s="98" t="n">
        <v>47336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Table5[[#This Row],[ (T/B) SAR]]+Table5[[#This Row],[ (S/S) SAR]]</f>
        <v/>
      </c>
      <c r="L219" s="45" t="n"/>
      <c r="M219" s="46" t="n"/>
      <c r="N219" s="46" t="n"/>
      <c r="O219" s="40" t="n"/>
      <c r="P219" s="3">
        <f>Table5[[#This Row],[ (S/S) SAR]]-Table5[[#This Row],[(S/S) AJD]]</f>
        <v/>
      </c>
      <c r="Q219" s="40" t="n"/>
      <c r="R219" s="3">
        <f>Table5[[#This Row],[ (T/B) SAR]]-Table5[[#This Row],[(T/B) AJD]]</f>
        <v/>
      </c>
      <c r="S219" s="3">
        <f>Table5[[#This Row],[S/S_CON.]]+Table5[[#This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Table5[[#This Row],[(RESV. STORGE) AJD]]/10</f>
        <v/>
      </c>
      <c r="AB219" s="3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32" t="n"/>
      <c r="AN219" s="32">
        <f>Table5[[#This Row],[ (RESV. STORGE) SER]]/10</f>
        <v/>
      </c>
      <c r="AO219" s="68" t="n"/>
      <c r="AP219" s="100">
        <f>Table5[[#This Row],[(A/S) AJD]]-Table5[[#This Row],[SER_IN]]</f>
        <v/>
      </c>
    </row>
    <row r="220" ht="18.75" customHeight="1">
      <c r="A220" s="98" t="n">
        <v>47337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Table5[[#This Row],[ (T/B) SAR]]+Table5[[#This Row],[ (S/S) SAR]]</f>
        <v/>
      </c>
      <c r="L220" s="41" t="n"/>
      <c r="M220" s="42" t="n"/>
      <c r="N220" s="42" t="n"/>
      <c r="O220" s="39" t="n"/>
      <c r="P220" s="3">
        <f>Table5[[#This Row],[ (S/S) SAR]]-Table5[[#This Row],[(S/S) AJD]]</f>
        <v/>
      </c>
      <c r="Q220" s="39" t="n"/>
      <c r="R220" s="3">
        <f>Table5[[#This Row],[ (T/B) SAR]]-Table5[[#This Row],[(T/B) AJD]]</f>
        <v/>
      </c>
      <c r="S220" s="3">
        <f>Table5[[#This Row],[S/S_CON.]]+Table5[[#This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Table5[[#This Row],[(RESV. STORGE) AJD]]/10</f>
        <v/>
      </c>
      <c r="AB220" s="3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32" t="n"/>
      <c r="AN220" s="32">
        <f>Table5[[#This Row],[ (RESV. STORGE) SER]]/10</f>
        <v/>
      </c>
      <c r="AO220" s="68" t="n"/>
      <c r="AP220" s="100">
        <f>Table5[[#This Row],[(A/S) AJD]]-Table5[[#This Row],[SER_IN]]</f>
        <v/>
      </c>
    </row>
    <row r="221" ht="18.75" customHeight="1">
      <c r="A221" s="98" t="n">
        <v>47338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Table5[[#This Row],[ (T/B) SAR]]+Table5[[#This Row],[ (S/S) SAR]]</f>
        <v/>
      </c>
      <c r="L221" s="45" t="n"/>
      <c r="M221" s="46" t="n"/>
      <c r="N221" s="46" t="n"/>
      <c r="O221" s="40" t="n"/>
      <c r="P221" s="3">
        <f>Table5[[#This Row],[ (S/S) SAR]]-Table5[[#This Row],[(S/S) AJD]]</f>
        <v/>
      </c>
      <c r="Q221" s="40" t="n"/>
      <c r="R221" s="3">
        <f>Table5[[#This Row],[ (T/B) SAR]]-Table5[[#This Row],[(T/B) AJD]]</f>
        <v/>
      </c>
      <c r="S221" s="3">
        <f>Table5[[#This Row],[S/S_CON.]]+Table5[[#This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Table5[[#This Row],[(RESV. STORGE) AJD]]/10</f>
        <v/>
      </c>
      <c r="AB221" s="3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32" t="n"/>
      <c r="AN221" s="32">
        <f>Table5[[#This Row],[ (RESV. STORGE) SER]]/10</f>
        <v/>
      </c>
      <c r="AO221" s="68" t="n"/>
      <c r="AP221" s="100">
        <f>Table5[[#This Row],[(A/S) AJD]]-Table5[[#This Row],[SER_IN]]</f>
        <v/>
      </c>
    </row>
    <row r="222" ht="18.75" customHeight="1">
      <c r="A222" s="98" t="n">
        <v>47339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Table5[[#This Row],[ (T/B) SAR]]+Table5[[#This Row],[ (S/S) SAR]]</f>
        <v/>
      </c>
      <c r="L222" s="41" t="n"/>
      <c r="M222" s="42" t="n"/>
      <c r="N222" s="42" t="n"/>
      <c r="O222" s="39" t="n"/>
      <c r="P222" s="3">
        <f>Table5[[#This Row],[ (S/S) SAR]]-Table5[[#This Row],[(S/S) AJD]]</f>
        <v/>
      </c>
      <c r="Q222" s="39" t="n"/>
      <c r="R222" s="3">
        <f>Table5[[#This Row],[ (T/B) SAR]]-Table5[[#This Row],[(T/B) AJD]]</f>
        <v/>
      </c>
      <c r="S222" s="3">
        <f>Table5[[#This Row],[S/S_CON.]]+Table5[[#This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Table5[[#This Row],[(RESV. STORGE) AJD]]/10</f>
        <v/>
      </c>
      <c r="AB222" s="3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32" t="n"/>
      <c r="AN222" s="32">
        <f>Table5[[#This Row],[ (RESV. STORGE) SER]]/10</f>
        <v/>
      </c>
      <c r="AO222" s="68" t="n"/>
      <c r="AP222" s="100">
        <f>Table5[[#This Row],[(A/S) AJD]]-Table5[[#This Row],[SER_IN]]</f>
        <v/>
      </c>
    </row>
    <row r="223" ht="18.75" customHeight="1">
      <c r="A223" s="98" t="n">
        <v>47340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Table5[[#This Row],[ (T/B) SAR]]+Table5[[#This Row],[ (S/S) SAR]]</f>
        <v/>
      </c>
      <c r="L223" s="45" t="n"/>
      <c r="M223" s="46" t="n"/>
      <c r="N223" s="46" t="n"/>
      <c r="O223" s="40" t="n"/>
      <c r="P223" s="3">
        <f>Table5[[#This Row],[ (S/S) SAR]]-Table5[[#This Row],[(S/S) AJD]]</f>
        <v/>
      </c>
      <c r="Q223" s="40" t="n"/>
      <c r="R223" s="3">
        <f>Table5[[#This Row],[ (T/B) SAR]]-Table5[[#This Row],[(T/B) AJD]]</f>
        <v/>
      </c>
      <c r="S223" s="3">
        <f>Table5[[#This Row],[S/S_CON.]]+Table5[[#This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Table5[[#This Row],[(RESV. STORGE) AJD]]/10</f>
        <v/>
      </c>
      <c r="AB223" s="3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32" t="n"/>
      <c r="AN223" s="32">
        <f>Table5[[#This Row],[ (RESV. STORGE) SER]]/10</f>
        <v/>
      </c>
      <c r="AO223" s="68" t="n"/>
      <c r="AP223" s="100">
        <f>Table5[[#This Row],[(A/S) AJD]]-Table5[[#This Row],[SER_IN]]</f>
        <v/>
      </c>
    </row>
    <row r="224" ht="18.75" customHeight="1">
      <c r="A224" s="98" t="n">
        <v>47341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Table5[[#This Row],[ (T/B) SAR]]+Table5[[#This Row],[ (S/S) SAR]]</f>
        <v/>
      </c>
      <c r="L224" s="41" t="n"/>
      <c r="M224" s="42" t="n"/>
      <c r="N224" s="42" t="n"/>
      <c r="O224" s="39" t="n"/>
      <c r="P224" s="3">
        <f>Table5[[#This Row],[ (S/S) SAR]]-Table5[[#This Row],[(S/S) AJD]]</f>
        <v/>
      </c>
      <c r="Q224" s="39" t="n"/>
      <c r="R224" s="3">
        <f>Table5[[#This Row],[ (T/B) SAR]]-Table5[[#This Row],[(T/B) AJD]]</f>
        <v/>
      </c>
      <c r="S224" s="3">
        <f>Table5[[#This Row],[S/S_CON.]]+Table5[[#This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Table5[[#This Row],[(RESV. STORGE) AJD]]/10</f>
        <v/>
      </c>
      <c r="AB224" s="3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32" t="n"/>
      <c r="AN224" s="32">
        <f>Table5[[#This Row],[ (RESV. STORGE) SER]]/10</f>
        <v/>
      </c>
      <c r="AO224" s="68" t="n"/>
      <c r="AP224" s="100">
        <f>Table5[[#This Row],[(A/S) AJD]]-Table5[[#This Row],[SER_IN]]</f>
        <v/>
      </c>
    </row>
    <row r="225" ht="18.75" customHeight="1">
      <c r="A225" s="98" t="n">
        <v>47342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Table5[[#This Row],[ (T/B) SAR]]+Table5[[#This Row],[ (S/S) SAR]]</f>
        <v/>
      </c>
      <c r="L225" s="45" t="n"/>
      <c r="M225" s="46" t="n"/>
      <c r="N225" s="46" t="n"/>
      <c r="O225" s="40" t="n"/>
      <c r="P225" s="3">
        <f>Table5[[#This Row],[ (S/S) SAR]]-Table5[[#This Row],[(S/S) AJD]]</f>
        <v/>
      </c>
      <c r="Q225" s="40" t="n"/>
      <c r="R225" s="3">
        <f>Table5[[#This Row],[ (T/B) SAR]]-Table5[[#This Row],[(T/B) AJD]]</f>
        <v/>
      </c>
      <c r="S225" s="3">
        <f>Table5[[#This Row],[S/S_CON.]]+Table5[[#This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Table5[[#This Row],[(RESV. STORGE) AJD]]/10</f>
        <v/>
      </c>
      <c r="AB225" s="3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32" t="n"/>
      <c r="AN225" s="32">
        <f>Table5[[#This Row],[ (RESV. STORGE) SER]]/10</f>
        <v/>
      </c>
      <c r="AO225" s="68" t="n"/>
      <c r="AP225" s="100">
        <f>Table5[[#This Row],[(A/S) AJD]]-Table5[[#This Row],[SER_IN]]</f>
        <v/>
      </c>
    </row>
    <row r="226" ht="18.75" customHeight="1">
      <c r="A226" s="98" t="n">
        <v>47343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Table5[[#This Row],[ (T/B) SAR]]+Table5[[#This Row],[ (S/S) SAR]]</f>
        <v/>
      </c>
      <c r="L226" s="41" t="n"/>
      <c r="M226" s="42" t="n"/>
      <c r="N226" s="42" t="n"/>
      <c r="O226" s="39" t="n"/>
      <c r="P226" s="3">
        <f>Table5[[#This Row],[ (S/S) SAR]]-Table5[[#This Row],[(S/S) AJD]]</f>
        <v/>
      </c>
      <c r="Q226" s="39" t="n"/>
      <c r="R226" s="3">
        <f>Table5[[#This Row],[ (T/B) SAR]]-Table5[[#This Row],[(T/B) AJD]]</f>
        <v/>
      </c>
      <c r="S226" s="3">
        <f>Table5[[#This Row],[S/S_CON.]]+Table5[[#This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Table5[[#This Row],[(RESV. STORGE) AJD]]/10</f>
        <v/>
      </c>
      <c r="AB226" s="3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32" t="n"/>
      <c r="AN226" s="32">
        <f>Table5[[#This Row],[ (RESV. STORGE) SER]]/10</f>
        <v/>
      </c>
      <c r="AO226" s="68" t="n"/>
      <c r="AP226" s="100">
        <f>Table5[[#This Row],[(A/S) AJD]]-Table5[[#This Row],[SER_IN]]</f>
        <v/>
      </c>
    </row>
    <row r="227" ht="18.75" customHeight="1">
      <c r="A227" s="98" t="n">
        <v>47344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Table5[[#This Row],[ (T/B) SAR]]+Table5[[#This Row],[ (S/S) SAR]]</f>
        <v/>
      </c>
      <c r="L227" s="45" t="n"/>
      <c r="M227" s="46" t="n"/>
      <c r="N227" s="46" t="n"/>
      <c r="O227" s="40" t="n"/>
      <c r="P227" s="3">
        <f>Table5[[#This Row],[ (S/S) SAR]]-Table5[[#This Row],[(S/S) AJD]]</f>
        <v/>
      </c>
      <c r="Q227" s="40" t="n"/>
      <c r="R227" s="3">
        <f>Table5[[#This Row],[ (T/B) SAR]]-Table5[[#This Row],[(T/B) AJD]]</f>
        <v/>
      </c>
      <c r="S227" s="3">
        <f>Table5[[#This Row],[S/S_CON.]]+Table5[[#This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Table5[[#This Row],[(RESV. STORGE) AJD]]/10</f>
        <v/>
      </c>
      <c r="AB227" s="3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32" t="n"/>
      <c r="AN227" s="32">
        <f>Table5[[#This Row],[ (RESV. STORGE) SER]]/10</f>
        <v/>
      </c>
      <c r="AO227" s="68" t="n"/>
      <c r="AP227" s="100">
        <f>Table5[[#This Row],[(A/S) AJD]]-Table5[[#This Row],[SER_IN]]</f>
        <v/>
      </c>
    </row>
    <row r="228" ht="18.75" customHeight="1">
      <c r="A228" s="98" t="n">
        <v>47345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Table5[[#This Row],[ (T/B) SAR]]+Table5[[#This Row],[ (S/S) SAR]]</f>
        <v/>
      </c>
      <c r="L228" s="41" t="n"/>
      <c r="M228" s="42" t="n"/>
      <c r="N228" s="42" t="n"/>
      <c r="O228" s="39" t="n"/>
      <c r="P228" s="3">
        <f>Table5[[#This Row],[ (S/S) SAR]]-Table5[[#This Row],[(S/S) AJD]]</f>
        <v/>
      </c>
      <c r="Q228" s="39" t="n"/>
      <c r="R228" s="3">
        <f>Table5[[#This Row],[ (T/B) SAR]]-Table5[[#This Row],[(T/B) AJD]]</f>
        <v/>
      </c>
      <c r="S228" s="3">
        <f>Table5[[#This Row],[S/S_CON.]]+Table5[[#This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Table5[[#This Row],[(RESV. STORGE) AJD]]/10</f>
        <v/>
      </c>
      <c r="AB228" s="3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32" t="n"/>
      <c r="AN228" s="32">
        <f>Table5[[#This Row],[ (RESV. STORGE) SER]]/10</f>
        <v/>
      </c>
      <c r="AO228" s="68" t="n"/>
      <c r="AP228" s="100">
        <f>Table5[[#This Row],[(A/S) AJD]]-Table5[[#This Row],[SER_IN]]</f>
        <v/>
      </c>
    </row>
    <row r="229" ht="18.75" customHeight="1">
      <c r="A229" s="98" t="n">
        <v>47346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Table5[[#This Row],[ (T/B) SAR]]+Table5[[#This Row],[ (S/S) SAR]]</f>
        <v/>
      </c>
      <c r="L229" s="45" t="n"/>
      <c r="M229" s="46" t="n"/>
      <c r="N229" s="46" t="n"/>
      <c r="O229" s="40" t="n"/>
      <c r="P229" s="3">
        <f>Table5[[#This Row],[ (S/S) SAR]]-Table5[[#This Row],[(S/S) AJD]]</f>
        <v/>
      </c>
      <c r="Q229" s="40" t="n"/>
      <c r="R229" s="3">
        <f>Table5[[#This Row],[ (T/B) SAR]]-Table5[[#This Row],[(T/B) AJD]]</f>
        <v/>
      </c>
      <c r="S229" s="3">
        <f>Table5[[#This Row],[S/S_CON.]]+Table5[[#This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Table5[[#This Row],[(RESV. STORGE) AJD]]/10</f>
        <v/>
      </c>
      <c r="AB229" s="3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32" t="n"/>
      <c r="AN229" s="32">
        <f>Table5[[#This Row],[ (RESV. STORGE) SER]]/10</f>
        <v/>
      </c>
      <c r="AO229" s="68" t="n"/>
      <c r="AP229" s="100">
        <f>Table5[[#This Row],[(A/S) AJD]]-Table5[[#This Row],[SER_IN]]</f>
        <v/>
      </c>
    </row>
    <row r="230" ht="18.75" customHeight="1">
      <c r="A230" s="98" t="n">
        <v>47347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Table5[[#This Row],[ (T/B) SAR]]+Table5[[#This Row],[ (S/S) SAR]]</f>
        <v/>
      </c>
      <c r="L230" s="41" t="n"/>
      <c r="M230" s="42" t="n"/>
      <c r="N230" s="42" t="n"/>
      <c r="O230" s="39" t="n"/>
      <c r="P230" s="3">
        <f>Table5[[#This Row],[ (S/S) SAR]]-Table5[[#This Row],[(S/S) AJD]]</f>
        <v/>
      </c>
      <c r="Q230" s="39" t="n"/>
      <c r="R230" s="3">
        <f>Table5[[#This Row],[ (T/B) SAR]]-Table5[[#This Row],[(T/B) AJD]]</f>
        <v/>
      </c>
      <c r="S230" s="3">
        <f>Table5[[#This Row],[S/S_CON.]]+Table5[[#This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Table5[[#This Row],[(RESV. STORGE) AJD]]/10</f>
        <v/>
      </c>
      <c r="AB230" s="3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32" t="n"/>
      <c r="AN230" s="32">
        <f>Table5[[#This Row],[ (RESV. STORGE) SER]]/10</f>
        <v/>
      </c>
      <c r="AO230" s="68" t="n"/>
      <c r="AP230" s="100">
        <f>Table5[[#This Row],[(A/S) AJD]]-Table5[[#This Row],[SER_IN]]</f>
        <v/>
      </c>
    </row>
    <row r="231" ht="18.75" customHeight="1">
      <c r="A231" s="98" t="n">
        <v>47348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Table5[[#This Row],[ (T/B) SAR]]+Table5[[#This Row],[ (S/S) SAR]]</f>
        <v/>
      </c>
      <c r="L231" s="45" t="n"/>
      <c r="M231" s="46" t="n"/>
      <c r="N231" s="46" t="n"/>
      <c r="O231" s="40" t="n"/>
      <c r="P231" s="3">
        <f>Table5[[#This Row],[ (S/S) SAR]]-Table5[[#This Row],[(S/S) AJD]]</f>
        <v/>
      </c>
      <c r="Q231" s="40" t="n"/>
      <c r="R231" s="3">
        <f>Table5[[#This Row],[ (T/B) SAR]]-Table5[[#This Row],[(T/B) AJD]]</f>
        <v/>
      </c>
      <c r="S231" s="3">
        <f>Table5[[#This Row],[S/S_CON.]]+Table5[[#This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Table5[[#This Row],[(RESV. STORGE) AJD]]/10</f>
        <v/>
      </c>
      <c r="AB231" s="3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32" t="n"/>
      <c r="AN231" s="32">
        <f>Table5[[#This Row],[ (RESV. STORGE) SER]]/10</f>
        <v/>
      </c>
      <c r="AO231" s="68" t="n"/>
      <c r="AP231" s="100">
        <f>Table5[[#This Row],[(A/S) AJD]]-Table5[[#This Row],[SER_IN]]</f>
        <v/>
      </c>
    </row>
    <row r="232" ht="18.75" customHeight="1">
      <c r="A232" s="98" t="n">
        <v>47349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Table5[[#This Row],[ (T/B) SAR]]+Table5[[#This Row],[ (S/S) SAR]]</f>
        <v/>
      </c>
      <c r="L232" s="41" t="n"/>
      <c r="M232" s="42" t="n"/>
      <c r="N232" s="42" t="n"/>
      <c r="O232" s="39" t="n"/>
      <c r="P232" s="3">
        <f>Table5[[#This Row],[ (S/S) SAR]]-Table5[[#This Row],[(S/S) AJD]]</f>
        <v/>
      </c>
      <c r="Q232" s="39" t="n"/>
      <c r="R232" s="3">
        <f>Table5[[#This Row],[ (T/B) SAR]]-Table5[[#This Row],[(T/B) AJD]]</f>
        <v/>
      </c>
      <c r="S232" s="3">
        <f>Table5[[#This Row],[S/S_CON.]]+Table5[[#This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Table5[[#This Row],[(RESV. STORGE) AJD]]/10</f>
        <v/>
      </c>
      <c r="AB232" s="3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32" t="n"/>
      <c r="AN232" s="32">
        <f>Table5[[#This Row],[ (RESV. STORGE) SER]]/10</f>
        <v/>
      </c>
      <c r="AO232" s="68" t="n"/>
      <c r="AP232" s="100">
        <f>Table5[[#This Row],[(A/S) AJD]]-Table5[[#This Row],[SER_IN]]</f>
        <v/>
      </c>
    </row>
    <row r="233" ht="18.75" customHeight="1">
      <c r="A233" s="98" t="n">
        <v>47350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Table5[[#This Row],[ (T/B) SAR]]+Table5[[#This Row],[ (S/S) SAR]]</f>
        <v/>
      </c>
      <c r="L233" s="45" t="n"/>
      <c r="M233" s="46" t="n"/>
      <c r="N233" s="46" t="n"/>
      <c r="O233" s="40" t="n"/>
      <c r="P233" s="3">
        <f>Table5[[#This Row],[ (S/S) SAR]]-Table5[[#This Row],[(S/S) AJD]]</f>
        <v/>
      </c>
      <c r="Q233" s="40" t="n"/>
      <c r="R233" s="3">
        <f>Table5[[#This Row],[ (T/B) SAR]]-Table5[[#This Row],[(T/B) AJD]]</f>
        <v/>
      </c>
      <c r="S233" s="3">
        <f>Table5[[#This Row],[S/S_CON.]]+Table5[[#This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Table5[[#This Row],[(RESV. STORGE) AJD]]/10</f>
        <v/>
      </c>
      <c r="AB233" s="3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32" t="n"/>
      <c r="AN233" s="32">
        <f>Table5[[#This Row],[ (RESV. STORGE) SER]]/10</f>
        <v/>
      </c>
      <c r="AO233" s="68" t="n"/>
      <c r="AP233" s="100">
        <f>Table5[[#This Row],[(A/S) AJD]]-Table5[[#This Row],[SER_IN]]</f>
        <v/>
      </c>
    </row>
    <row r="234" ht="18.75" customHeight="1">
      <c r="A234" s="98" t="n">
        <v>47351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Table5[[#This Row],[ (T/B) SAR]]+Table5[[#This Row],[ (S/S) SAR]]</f>
        <v/>
      </c>
      <c r="L234" s="41" t="n"/>
      <c r="M234" s="42" t="n"/>
      <c r="N234" s="42" t="n"/>
      <c r="O234" s="39" t="n"/>
      <c r="P234" s="3">
        <f>Table5[[#This Row],[ (S/S) SAR]]-Table5[[#This Row],[(S/S) AJD]]</f>
        <v/>
      </c>
      <c r="Q234" s="39" t="n"/>
      <c r="R234" s="3">
        <f>Table5[[#This Row],[ (T/B) SAR]]-Table5[[#This Row],[(T/B) AJD]]</f>
        <v/>
      </c>
      <c r="S234" s="3">
        <f>Table5[[#This Row],[S/S_CON.]]+Table5[[#This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Table5[[#This Row],[(RESV. STORGE) AJD]]/10</f>
        <v/>
      </c>
      <c r="AB234" s="3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32" t="n"/>
      <c r="AN234" s="32">
        <f>Table5[[#This Row],[ (RESV. STORGE) SER]]/10</f>
        <v/>
      </c>
      <c r="AO234" s="68" t="n"/>
      <c r="AP234" s="100">
        <f>Table5[[#This Row],[(A/S) AJD]]-Table5[[#This Row],[SER_IN]]</f>
        <v/>
      </c>
    </row>
    <row r="235" ht="18.75" customHeight="1">
      <c r="A235" s="98" t="n">
        <v>47352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Table5[[#This Row],[ (T/B) SAR]]+Table5[[#This Row],[ (S/S) SAR]]</f>
        <v/>
      </c>
      <c r="L235" s="45" t="n"/>
      <c r="M235" s="46" t="n"/>
      <c r="N235" s="46" t="n"/>
      <c r="O235" s="40" t="n"/>
      <c r="P235" s="3">
        <f>Table5[[#This Row],[ (S/S) SAR]]-Table5[[#This Row],[(S/S) AJD]]</f>
        <v/>
      </c>
      <c r="Q235" s="40" t="n"/>
      <c r="R235" s="3">
        <f>Table5[[#This Row],[ (T/B) SAR]]-Table5[[#This Row],[(T/B) AJD]]</f>
        <v/>
      </c>
      <c r="S235" s="3">
        <f>Table5[[#This Row],[S/S_CON.]]+Table5[[#This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Table5[[#This Row],[(RESV. STORGE) AJD]]/10</f>
        <v/>
      </c>
      <c r="AB235" s="3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32" t="n"/>
      <c r="AN235" s="32">
        <f>Table5[[#This Row],[ (RESV. STORGE) SER]]/10</f>
        <v/>
      </c>
      <c r="AO235" s="68" t="n"/>
      <c r="AP235" s="100">
        <f>Table5[[#This Row],[(A/S) AJD]]-Table5[[#This Row],[SER_IN]]</f>
        <v/>
      </c>
    </row>
    <row r="236" ht="18.75" customHeight="1">
      <c r="A236" s="98" t="n">
        <v>47353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Table5[[#This Row],[ (T/B) SAR]]+Table5[[#This Row],[ (S/S) SAR]]</f>
        <v/>
      </c>
      <c r="L236" s="41" t="n"/>
      <c r="M236" s="42" t="n"/>
      <c r="N236" s="42" t="n"/>
      <c r="O236" s="39" t="n"/>
      <c r="P236" s="3">
        <f>Table5[[#This Row],[ (S/S) SAR]]-Table5[[#This Row],[(S/S) AJD]]</f>
        <v/>
      </c>
      <c r="Q236" s="39" t="n"/>
      <c r="R236" s="3">
        <f>Table5[[#This Row],[ (T/B) SAR]]-Table5[[#This Row],[(T/B) AJD]]</f>
        <v/>
      </c>
      <c r="S236" s="3">
        <f>Table5[[#This Row],[S/S_CON.]]+Table5[[#This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Table5[[#This Row],[(RESV. STORGE) AJD]]/10</f>
        <v/>
      </c>
      <c r="AB236" s="3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32" t="n"/>
      <c r="AN236" s="32">
        <f>Table5[[#This Row],[ (RESV. STORGE) SER]]/10</f>
        <v/>
      </c>
      <c r="AO236" s="68" t="n"/>
      <c r="AP236" s="100">
        <f>Table5[[#This Row],[(A/S) AJD]]-Table5[[#This Row],[SER_IN]]</f>
        <v/>
      </c>
    </row>
    <row r="237" ht="18.75" customHeight="1">
      <c r="A237" s="98" t="n">
        <v>47354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Table5[[#This Row],[ (T/B) SAR]]+Table5[[#This Row],[ (S/S) SAR]]</f>
        <v/>
      </c>
      <c r="L237" s="45" t="n"/>
      <c r="M237" s="46" t="n"/>
      <c r="N237" s="46" t="n"/>
      <c r="O237" s="40" t="n"/>
      <c r="P237" s="3">
        <f>Table5[[#This Row],[ (S/S) SAR]]-Table5[[#This Row],[(S/S) AJD]]</f>
        <v/>
      </c>
      <c r="Q237" s="40" t="n"/>
      <c r="R237" s="3">
        <f>Table5[[#This Row],[ (T/B) SAR]]-Table5[[#This Row],[(T/B) AJD]]</f>
        <v/>
      </c>
      <c r="S237" s="3">
        <f>Table5[[#This Row],[S/S_CON.]]+Table5[[#This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Table5[[#This Row],[(RESV. STORGE) AJD]]/10</f>
        <v/>
      </c>
      <c r="AB237" s="3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32" t="n"/>
      <c r="AN237" s="32">
        <f>Table5[[#This Row],[ (RESV. STORGE) SER]]/10</f>
        <v/>
      </c>
      <c r="AO237" s="68" t="n"/>
      <c r="AP237" s="100">
        <f>Table5[[#This Row],[(A/S) AJD]]-Table5[[#This Row],[SER_IN]]</f>
        <v/>
      </c>
    </row>
    <row r="238" ht="18.75" customHeight="1">
      <c r="A238" s="98" t="n">
        <v>47355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Table5[[#This Row],[ (T/B) SAR]]+Table5[[#This Row],[ (S/S) SAR]]</f>
        <v/>
      </c>
      <c r="L238" s="41" t="n"/>
      <c r="M238" s="42" t="n"/>
      <c r="N238" s="42" t="n"/>
      <c r="O238" s="39" t="n"/>
      <c r="P238" s="3">
        <f>Table5[[#This Row],[ (S/S) SAR]]-Table5[[#This Row],[(S/S) AJD]]</f>
        <v/>
      </c>
      <c r="Q238" s="39" t="n"/>
      <c r="R238" s="3">
        <f>Table5[[#This Row],[ (T/B) SAR]]-Table5[[#This Row],[(T/B) AJD]]</f>
        <v/>
      </c>
      <c r="S238" s="3">
        <f>Table5[[#This Row],[S/S_CON.]]+Table5[[#This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Table5[[#This Row],[(RESV. STORGE) AJD]]/10</f>
        <v/>
      </c>
      <c r="AB238" s="3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32" t="n"/>
      <c r="AN238" s="32">
        <f>Table5[[#This Row],[ (RESV. STORGE) SER]]/10</f>
        <v/>
      </c>
      <c r="AO238" s="68" t="n"/>
      <c r="AP238" s="100">
        <f>Table5[[#This Row],[(A/S) AJD]]-Table5[[#This Row],[SER_IN]]</f>
        <v/>
      </c>
    </row>
    <row r="239" ht="18.75" customHeight="1">
      <c r="A239" s="98" t="n">
        <v>47356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Table5[[#This Row],[ (T/B) SAR]]+Table5[[#This Row],[ (S/S) SAR]]</f>
        <v/>
      </c>
      <c r="L239" s="45" t="n"/>
      <c r="M239" s="46" t="n"/>
      <c r="N239" s="46" t="n"/>
      <c r="O239" s="40" t="n"/>
      <c r="P239" s="3">
        <f>Table5[[#This Row],[ (S/S) SAR]]-Table5[[#This Row],[(S/S) AJD]]</f>
        <v/>
      </c>
      <c r="Q239" s="40" t="n"/>
      <c r="R239" s="3">
        <f>Table5[[#This Row],[ (T/B) SAR]]-Table5[[#This Row],[(T/B) AJD]]</f>
        <v/>
      </c>
      <c r="S239" s="3">
        <f>Table5[[#This Row],[S/S_CON.]]+Table5[[#This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Table5[[#This Row],[(RESV. STORGE) AJD]]/10</f>
        <v/>
      </c>
      <c r="AB239" s="3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32" t="n"/>
      <c r="AN239" s="32">
        <f>Table5[[#This Row],[ (RESV. STORGE) SER]]/10</f>
        <v/>
      </c>
      <c r="AO239" s="68" t="n"/>
      <c r="AP239" s="100">
        <f>Table5[[#This Row],[(A/S) AJD]]-Table5[[#This Row],[SER_IN]]</f>
        <v/>
      </c>
    </row>
    <row r="240" ht="18.75" customHeight="1">
      <c r="A240" s="98" t="n">
        <v>47357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Table5[[#This Row],[ (T/B) SAR]]+Table5[[#This Row],[ (S/S) SAR]]</f>
        <v/>
      </c>
      <c r="L240" s="41" t="n"/>
      <c r="M240" s="42" t="n"/>
      <c r="N240" s="42" t="n"/>
      <c r="O240" s="39" t="n"/>
      <c r="P240" s="3">
        <f>Table5[[#This Row],[ (S/S) SAR]]-Table5[[#This Row],[(S/S) AJD]]</f>
        <v/>
      </c>
      <c r="Q240" s="39" t="n"/>
      <c r="R240" s="3">
        <f>Table5[[#This Row],[ (T/B) SAR]]-Table5[[#This Row],[(T/B) AJD]]</f>
        <v/>
      </c>
      <c r="S240" s="3">
        <f>Table5[[#This Row],[S/S_CON.]]+Table5[[#This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Table5[[#This Row],[(RESV. STORGE) AJD]]/10</f>
        <v/>
      </c>
      <c r="AB240" s="3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32" t="n"/>
      <c r="AN240" s="32">
        <f>Table5[[#This Row],[ (RESV. STORGE) SER]]/10</f>
        <v/>
      </c>
      <c r="AO240" s="68" t="n"/>
      <c r="AP240" s="100">
        <f>Table5[[#This Row],[(A/S) AJD]]-Table5[[#This Row],[SER_IN]]</f>
        <v/>
      </c>
    </row>
    <row r="241" ht="18.75" customHeight="1">
      <c r="A241" s="98" t="n">
        <v>47358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Table5[[#This Row],[ (T/B) SAR]]+Table5[[#This Row],[ (S/S) SAR]]</f>
        <v/>
      </c>
      <c r="L241" s="45" t="n"/>
      <c r="M241" s="46" t="n"/>
      <c r="N241" s="46" t="n"/>
      <c r="O241" s="40" t="n"/>
      <c r="P241" s="3">
        <f>Table5[[#This Row],[ (S/S) SAR]]-Table5[[#This Row],[(S/S) AJD]]</f>
        <v/>
      </c>
      <c r="Q241" s="40" t="n"/>
      <c r="R241" s="3">
        <f>Table5[[#This Row],[ (T/B) SAR]]-Table5[[#This Row],[(T/B) AJD]]</f>
        <v/>
      </c>
      <c r="S241" s="3">
        <f>Table5[[#This Row],[S/S_CON.]]+Table5[[#This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Table5[[#This Row],[(RESV. STORGE) AJD]]/10</f>
        <v/>
      </c>
      <c r="AB241" s="3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32" t="n"/>
      <c r="AN241" s="32">
        <f>Table5[[#This Row],[ (RESV. STORGE) SER]]/10</f>
        <v/>
      </c>
      <c r="AO241" s="68" t="n"/>
      <c r="AP241" s="100">
        <f>Table5[[#This Row],[(A/S) AJD]]-Table5[[#This Row],[SER_IN]]</f>
        <v/>
      </c>
    </row>
    <row r="242" ht="18.75" customHeight="1">
      <c r="A242" s="98" t="n">
        <v>47359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Table5[[#This Row],[ (T/B) SAR]]+Table5[[#This Row],[ (S/S) SAR]]</f>
        <v/>
      </c>
      <c r="L242" s="41" t="n"/>
      <c r="M242" s="42" t="n"/>
      <c r="N242" s="42" t="n"/>
      <c r="O242" s="39" t="n"/>
      <c r="P242" s="3">
        <f>Table5[[#This Row],[ (S/S) SAR]]-Table5[[#This Row],[(S/S) AJD]]</f>
        <v/>
      </c>
      <c r="Q242" s="39" t="n"/>
      <c r="R242" s="3">
        <f>Table5[[#This Row],[ (T/B) SAR]]-Table5[[#This Row],[(T/B) AJD]]</f>
        <v/>
      </c>
      <c r="S242" s="3">
        <f>Table5[[#This Row],[S/S_CON.]]+Table5[[#This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Table5[[#This Row],[(RESV. STORGE) AJD]]/10</f>
        <v/>
      </c>
      <c r="AB242" s="3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32" t="n"/>
      <c r="AN242" s="32">
        <f>Table5[[#This Row],[ (RESV. STORGE) SER]]/10</f>
        <v/>
      </c>
      <c r="AO242" s="68" t="n"/>
      <c r="AP242" s="100">
        <f>Table5[[#This Row],[(A/S) AJD]]-Table5[[#This Row],[SER_IN]]</f>
        <v/>
      </c>
    </row>
    <row r="243" ht="18.75" customHeight="1">
      <c r="A243" s="98" t="n">
        <v>47360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Table5[[#This Row],[ (T/B) SAR]]+Table5[[#This Row],[ (S/S) SAR]]</f>
        <v/>
      </c>
      <c r="L243" s="45" t="n"/>
      <c r="M243" s="46" t="n"/>
      <c r="N243" s="46" t="n"/>
      <c r="O243" s="40" t="n"/>
      <c r="P243" s="3">
        <f>Table5[[#This Row],[ (S/S) SAR]]-Table5[[#This Row],[(S/S) AJD]]</f>
        <v/>
      </c>
      <c r="Q243" s="40" t="n"/>
      <c r="R243" s="3">
        <f>Table5[[#This Row],[ (T/B) SAR]]-Table5[[#This Row],[(T/B) AJD]]</f>
        <v/>
      </c>
      <c r="S243" s="3">
        <f>Table5[[#This Row],[S/S_CON.]]+Table5[[#This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Table5[[#This Row],[(RESV. STORGE) AJD]]/10</f>
        <v/>
      </c>
      <c r="AB243" s="3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32" t="n"/>
      <c r="AN243" s="32">
        <f>Table5[[#This Row],[ (RESV. STORGE) SER]]/10</f>
        <v/>
      </c>
      <c r="AO243" s="68" t="n"/>
      <c r="AP243" s="100">
        <f>Table5[[#This Row],[(A/S) AJD]]-Table5[[#This Row],[SER_IN]]</f>
        <v/>
      </c>
    </row>
    <row r="244" ht="18.75" customHeight="1">
      <c r="A244" s="98" t="n">
        <v>47361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Table5[[#This Row],[ (T/B) SAR]]+Table5[[#This Row],[ (S/S) SAR]]</f>
        <v/>
      </c>
      <c r="L244" s="41" t="n"/>
      <c r="M244" s="42" t="n"/>
      <c r="N244" s="42" t="n"/>
      <c r="O244" s="39" t="n"/>
      <c r="P244" s="3">
        <f>Table5[[#This Row],[ (S/S) SAR]]-Table5[[#This Row],[(S/S) AJD]]</f>
        <v/>
      </c>
      <c r="Q244" s="39" t="n"/>
      <c r="R244" s="3">
        <f>Table5[[#This Row],[ (T/B) SAR]]-Table5[[#This Row],[(T/B) AJD]]</f>
        <v/>
      </c>
      <c r="S244" s="3">
        <f>Table5[[#This Row],[S/S_CON.]]+Table5[[#This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Table5[[#This Row],[(RESV. STORGE) AJD]]/10</f>
        <v/>
      </c>
      <c r="AB244" s="3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32" t="n"/>
      <c r="AN244" s="32">
        <f>Table5[[#This Row],[ (RESV. STORGE) SER]]/10</f>
        <v/>
      </c>
      <c r="AO244" s="68" t="n"/>
      <c r="AP244" s="100">
        <f>Table5[[#This Row],[(A/S) AJD]]-Table5[[#This Row],[SER_IN]]</f>
        <v/>
      </c>
    </row>
    <row r="245" ht="18.75" customHeight="1">
      <c r="A245" s="98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Table5[[#This Row],[(RESV. STORGE) AJD]]/10</f>
        <v/>
      </c>
      <c r="AB245" s="3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32" t="n"/>
      <c r="AN245" s="32">
        <f>Table5[[#This Row],[ (RESV. STORGE) SER]]/10</f>
        <v/>
      </c>
      <c r="AO245" s="68" t="n"/>
      <c r="AP245" s="100">
        <f>Table5[[#This Row],[(A/S) AJD]]-Table5[[#This Row],[SER_IN]]</f>
        <v/>
      </c>
    </row>
    <row r="246" ht="18.75" customHeight="1">
      <c r="A246" s="98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Table5[[#This Row],[(RESV. STORGE) AJD]]/10</f>
        <v/>
      </c>
      <c r="AB246" s="3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32" t="n"/>
      <c r="AN246" s="32">
        <f>Table5[[#This Row],[ (RESV. STORGE) SER]]/10</f>
        <v/>
      </c>
      <c r="AO246" s="68" t="n"/>
      <c r="AP246" s="100">
        <f>Table5[[#This Row],[(A/S) AJD]]-Table5[[#This Row],[SER_IN]]</f>
        <v/>
      </c>
    </row>
    <row r="247" ht="18.75" customHeight="1">
      <c r="A247" s="98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Table5[[#This Row],[(RESV. STORGE) AJD]]/10</f>
        <v/>
      </c>
      <c r="AB247" s="3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32" t="n"/>
      <c r="AN247" s="32">
        <f>Table5[[#This Row],[ (RESV. STORGE) SER]]/10</f>
        <v/>
      </c>
      <c r="AO247" s="68" t="n"/>
      <c r="AP247" s="100">
        <f>Table5[[#This Row],[(A/S) AJD]]-Table5[[#This Row],[SER_IN]]</f>
        <v/>
      </c>
    </row>
    <row r="248" ht="18.75" customHeight="1">
      <c r="A248" s="98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Table5[[#This Row],[(RESV. STORGE) AJD]]/10</f>
        <v/>
      </c>
      <c r="AB248" s="3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32" t="n"/>
      <c r="AN248" s="32">
        <f>Table5[[#This Row],[ (RESV. STORGE) SER]]/10</f>
        <v/>
      </c>
      <c r="AO248" s="68" t="n"/>
      <c r="AP248" s="100">
        <f>Table5[[#This Row],[(A/S) AJD]]-Table5[[#This Row],[SER_IN]]</f>
        <v/>
      </c>
    </row>
    <row r="249" ht="18.75" customHeight="1">
      <c r="A249" s="98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Table5[[#This Row],[(RESV. STORGE) AJD]]/10</f>
        <v/>
      </c>
      <c r="AB249" s="3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32" t="n"/>
      <c r="AN249" s="32">
        <f>Table5[[#This Row],[ (RESV. STORGE) SER]]/10</f>
        <v/>
      </c>
      <c r="AO249" s="68" t="n"/>
      <c r="AP249" s="100">
        <f>Table5[[#This Row],[(A/S) AJD]]-Table5[[#This Row],[SER_IN]]</f>
        <v/>
      </c>
    </row>
    <row r="250" ht="18.75" customHeight="1">
      <c r="A250" s="98" t="n">
        <v>47367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Table5[[#This Row],[ (T/B) SAR]]+Table5[[#This Row],[ (S/S) SAR]]</f>
        <v/>
      </c>
      <c r="L250" s="45" t="n"/>
      <c r="M250" s="46" t="n"/>
      <c r="N250" s="46" t="n"/>
      <c r="O250" s="40" t="n"/>
      <c r="P250" s="9">
        <f>Table5[[#This Row],[ (S/S) SAR]]-Table5[[#This Row],[(S/S) AJD]]</f>
        <v/>
      </c>
      <c r="Q250" s="40" t="n"/>
      <c r="R250" s="9">
        <f>Table5[[#This Row],[ (T/B) SAR]]-Table5[[#This Row],[(T/B) AJD]]</f>
        <v/>
      </c>
      <c r="S250" s="9">
        <f>Table5[[#This Row],[S/S_CON.]]+Table5[[#This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Table5[[#This Row],[(RESV. STORGE) AJD]]/10</f>
        <v/>
      </c>
      <c r="AB250" s="3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32" t="n"/>
      <c r="AN250" s="32">
        <f>Table5[[#This Row],[ (RESV. STORGE) SER]]/10</f>
        <v/>
      </c>
      <c r="AO250" s="68" t="n"/>
      <c r="AP250" s="100">
        <f>Table5[[#This Row],[(A/S) AJD]]-Table5[[#This Row],[SER_IN]]</f>
        <v/>
      </c>
    </row>
    <row r="251" ht="18.75" customHeight="1">
      <c r="A251" s="98" t="n">
        <v>47368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Table5[[#This Row],[ (T/B) SAR]]+Table5[[#This Row],[ (S/S) SAR]]</f>
        <v/>
      </c>
      <c r="L251" s="41" t="n"/>
      <c r="M251" s="42" t="n"/>
      <c r="N251" s="42" t="n"/>
      <c r="O251" s="39" t="n"/>
      <c r="P251" s="9">
        <f>Table5[[#This Row],[ (S/S) SAR]]-Table5[[#This Row],[(S/S) AJD]]</f>
        <v/>
      </c>
      <c r="Q251" s="39" t="n"/>
      <c r="R251" s="9">
        <f>Table5[[#This Row],[ (T/B) SAR]]-Table5[[#This Row],[(T/B) AJD]]</f>
        <v/>
      </c>
      <c r="S251" s="9">
        <f>Table5[[#This Row],[S/S_CON.]]+Table5[[#This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Table5[[#This Row],[(RESV. STORGE) AJD]]/10</f>
        <v/>
      </c>
      <c r="AB251" s="3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32" t="n"/>
      <c r="AN251" s="32">
        <f>Table5[[#This Row],[ (RESV. STORGE) SER]]/10</f>
        <v/>
      </c>
      <c r="AO251" s="68" t="n"/>
      <c r="AP251" s="100">
        <f>Table5[[#This Row],[(A/S) AJD]]-Table5[[#This Row],[SER_IN]]</f>
        <v/>
      </c>
    </row>
    <row r="252" ht="18.75" customHeight="1">
      <c r="A252" s="98" t="n">
        <v>47369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Table5[[#This Row],[ (T/B) SAR]]+Table5[[#This Row],[ (S/S) SAR]]</f>
        <v/>
      </c>
      <c r="L252" s="45" t="n"/>
      <c r="M252" s="46" t="n"/>
      <c r="N252" s="46" t="n"/>
      <c r="O252" s="40" t="n"/>
      <c r="P252" s="9">
        <f>Table5[[#This Row],[ (S/S) SAR]]-Table5[[#This Row],[(S/S) AJD]]</f>
        <v/>
      </c>
      <c r="Q252" s="40" t="n"/>
      <c r="R252" s="9">
        <f>Table5[[#This Row],[ (T/B) SAR]]-Table5[[#This Row],[(T/B) AJD]]</f>
        <v/>
      </c>
      <c r="S252" s="9">
        <f>Table5[[#This Row],[S/S_CON.]]+Table5[[#This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Table5[[#This Row],[(RESV. STORGE) AJD]]/10</f>
        <v/>
      </c>
      <c r="AB252" s="3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32" t="n"/>
      <c r="AN252" s="32">
        <f>Table5[[#This Row],[ (RESV. STORGE) SER]]/10</f>
        <v/>
      </c>
      <c r="AO252" s="68" t="n"/>
      <c r="AP252" s="100">
        <f>Table5[[#This Row],[(A/S) AJD]]-Table5[[#This Row],[SER_IN]]</f>
        <v/>
      </c>
    </row>
    <row r="253" ht="18.75" customHeight="1">
      <c r="A253" s="98" t="n">
        <v>47370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Table5[[#This Row],[ (T/B) SAR]]+Table5[[#This Row],[ (S/S) SAR]]</f>
        <v/>
      </c>
      <c r="L253" s="41" t="n"/>
      <c r="M253" s="42" t="n"/>
      <c r="N253" s="42" t="n"/>
      <c r="O253" s="39" t="n"/>
      <c r="P253" s="9">
        <f>Table5[[#This Row],[ (S/S) SAR]]-Table5[[#This Row],[(S/S) AJD]]</f>
        <v/>
      </c>
      <c r="Q253" s="39" t="n"/>
      <c r="R253" s="9">
        <f>Table5[[#This Row],[ (T/B) SAR]]-Table5[[#This Row],[(T/B) AJD]]</f>
        <v/>
      </c>
      <c r="S253" s="9">
        <f>Table5[[#This Row],[S/S_CON.]]+Table5[[#This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Table5[[#This Row],[(RESV. STORGE) AJD]]/10</f>
        <v/>
      </c>
      <c r="AB253" s="3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32" t="n"/>
      <c r="AN253" s="32">
        <f>Table5[[#This Row],[ (RESV. STORGE) SER]]/10</f>
        <v/>
      </c>
      <c r="AO253" s="68" t="n"/>
      <c r="AP253" s="100">
        <f>Table5[[#This Row],[(A/S) AJD]]-Table5[[#This Row],[SER_IN]]</f>
        <v/>
      </c>
    </row>
    <row r="254" ht="18.75" customHeight="1">
      <c r="A254" s="98" t="n">
        <v>47371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Table5[[#This Row],[ (T/B) SAR]]+Table5[[#This Row],[ (S/S) SAR]]</f>
        <v/>
      </c>
      <c r="L254" s="45" t="n"/>
      <c r="M254" s="46" t="n"/>
      <c r="N254" s="46" t="n"/>
      <c r="O254" s="40" t="n"/>
      <c r="P254" s="9">
        <f>Table5[[#This Row],[ (S/S) SAR]]-Table5[[#This Row],[(S/S) AJD]]</f>
        <v/>
      </c>
      <c r="Q254" s="40" t="n"/>
      <c r="R254" s="9">
        <f>Table5[[#This Row],[ (T/B) SAR]]-Table5[[#This Row],[(T/B) AJD]]</f>
        <v/>
      </c>
      <c r="S254" s="9">
        <f>Table5[[#This Row],[S/S_CON.]]+Table5[[#This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Table5[[#This Row],[(RESV. STORGE) AJD]]/10</f>
        <v/>
      </c>
      <c r="AB254" s="3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32" t="n"/>
      <c r="AN254" s="32">
        <f>Table5[[#This Row],[ (RESV. STORGE) SER]]/10</f>
        <v/>
      </c>
      <c r="AO254" s="68" t="n"/>
      <c r="AP254" s="100">
        <f>Table5[[#This Row],[(A/S) AJD]]-Table5[[#This Row],[SER_IN]]</f>
        <v/>
      </c>
    </row>
    <row r="255" ht="18.75" customHeight="1">
      <c r="A255" s="98" t="n">
        <v>47372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Table5[[#This Row],[ (T/B) SAR]]+Table5[[#This Row],[ (S/S) SAR]]</f>
        <v/>
      </c>
      <c r="L255" s="41" t="n"/>
      <c r="M255" s="42" t="n"/>
      <c r="N255" s="42" t="n"/>
      <c r="O255" s="39" t="n"/>
      <c r="P255" s="9">
        <f>Table5[[#This Row],[ (S/S) SAR]]-Table5[[#This Row],[(S/S) AJD]]</f>
        <v/>
      </c>
      <c r="Q255" s="39" t="n"/>
      <c r="R255" s="9">
        <f>Table5[[#This Row],[ (T/B) SAR]]-Table5[[#This Row],[(T/B) AJD]]</f>
        <v/>
      </c>
      <c r="S255" s="9">
        <f>Table5[[#This Row],[S/S_CON.]]+Table5[[#This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Table5[[#This Row],[(RESV. STORGE) AJD]]/10</f>
        <v/>
      </c>
      <c r="AB255" s="3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32" t="n"/>
      <c r="AN255" s="32">
        <f>Table5[[#This Row],[ (RESV. STORGE) SER]]/10</f>
        <v/>
      </c>
      <c r="AO255" s="68" t="n"/>
      <c r="AP255" s="100">
        <f>Table5[[#This Row],[(A/S) AJD]]-Table5[[#This Row],[SER_IN]]</f>
        <v/>
      </c>
    </row>
    <row r="256" ht="18.75" customHeight="1">
      <c r="A256" s="98" t="n">
        <v>47373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Table5[[#This Row],[ (T/B) SAR]]+Table5[[#This Row],[ (S/S) SAR]]</f>
        <v/>
      </c>
      <c r="L256" s="45" t="n"/>
      <c r="M256" s="46" t="n"/>
      <c r="N256" s="46" t="n"/>
      <c r="O256" s="40" t="n"/>
      <c r="P256" s="9">
        <f>Table5[[#This Row],[ (S/S) SAR]]-Table5[[#This Row],[(S/S) AJD]]</f>
        <v/>
      </c>
      <c r="Q256" s="40" t="n"/>
      <c r="R256" s="9">
        <f>Table5[[#This Row],[ (T/B) SAR]]-Table5[[#This Row],[(T/B) AJD]]</f>
        <v/>
      </c>
      <c r="S256" s="9">
        <f>Table5[[#This Row],[S/S_CON.]]+Table5[[#This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Table5[[#This Row],[(RESV. STORGE) AJD]]/10</f>
        <v/>
      </c>
      <c r="AB256" s="3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32" t="n"/>
      <c r="AN256" s="32">
        <f>Table5[[#This Row],[ (RESV. STORGE) SER]]/10</f>
        <v/>
      </c>
      <c r="AO256" s="68" t="n"/>
      <c r="AP256" s="100">
        <f>Table5[[#This Row],[(A/S) AJD]]-Table5[[#This Row],[SER_IN]]</f>
        <v/>
      </c>
    </row>
    <row r="257" ht="18.75" customHeight="1">
      <c r="A257" s="98" t="n">
        <v>47374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Table5[[#This Row],[ (T/B) SAR]]+Table5[[#This Row],[ (S/S) SAR]]</f>
        <v/>
      </c>
      <c r="L257" s="41" t="n"/>
      <c r="M257" s="42" t="n"/>
      <c r="N257" s="42" t="n"/>
      <c r="O257" s="39" t="n"/>
      <c r="P257" s="9">
        <f>Table5[[#This Row],[ (S/S) SAR]]-Table5[[#This Row],[(S/S) AJD]]</f>
        <v/>
      </c>
      <c r="Q257" s="39" t="n"/>
      <c r="R257" s="9">
        <f>Table5[[#This Row],[ (T/B) SAR]]-Table5[[#This Row],[(T/B) AJD]]</f>
        <v/>
      </c>
      <c r="S257" s="9">
        <f>Table5[[#This Row],[S/S_CON.]]+Table5[[#This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Table5[[#This Row],[(RESV. STORGE) AJD]]/10</f>
        <v/>
      </c>
      <c r="AB257" s="3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32" t="n"/>
      <c r="AN257" s="32">
        <f>Table5[[#This Row],[ (RESV. STORGE) SER]]/10</f>
        <v/>
      </c>
      <c r="AO257" s="68" t="n"/>
      <c r="AP257" s="100">
        <f>Table5[[#This Row],[(A/S) AJD]]-Table5[[#This Row],[SER_IN]]</f>
        <v/>
      </c>
    </row>
    <row r="258" ht="18.75" customHeight="1">
      <c r="A258" s="98" t="n">
        <v>47375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Table5[[#This Row],[ (T/B) SAR]]+Table5[[#This Row],[ (S/S) SAR]]</f>
        <v/>
      </c>
      <c r="L258" s="45" t="n"/>
      <c r="M258" s="46" t="n"/>
      <c r="N258" s="46" t="n"/>
      <c r="O258" s="40" t="n"/>
      <c r="P258" s="9">
        <f>Table5[[#This Row],[ (S/S) SAR]]-Table5[[#This Row],[(S/S) AJD]]</f>
        <v/>
      </c>
      <c r="Q258" s="40" t="n"/>
      <c r="R258" s="9">
        <f>Table5[[#This Row],[ (T/B) SAR]]-Table5[[#This Row],[(T/B) AJD]]</f>
        <v/>
      </c>
      <c r="S258" s="9">
        <f>Table5[[#This Row],[S/S_CON.]]+Table5[[#This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Table5[[#This Row],[(RESV. STORGE) AJD]]/10</f>
        <v/>
      </c>
      <c r="AB258" s="3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32" t="n"/>
      <c r="AN258" s="32">
        <f>Table5[[#This Row],[ (RESV. STORGE) SER]]/10</f>
        <v/>
      </c>
      <c r="AO258" s="68" t="n"/>
      <c r="AP258" s="100">
        <f>Table5[[#This Row],[(A/S) AJD]]-Table5[[#This Row],[SER_IN]]</f>
        <v/>
      </c>
    </row>
    <row r="259" ht="18.75" customHeight="1">
      <c r="A259" s="98" t="n">
        <v>47376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Table5[[#This Row],[ (T/B) SAR]]+Table5[[#This Row],[ (S/S) SAR]]</f>
        <v/>
      </c>
      <c r="L259" s="41" t="n"/>
      <c r="M259" s="42" t="n"/>
      <c r="N259" s="42" t="n"/>
      <c r="O259" s="39" t="n"/>
      <c r="P259" s="9">
        <f>Table5[[#This Row],[ (S/S) SAR]]-Table5[[#This Row],[(S/S) AJD]]</f>
        <v/>
      </c>
      <c r="Q259" s="39" t="n"/>
      <c r="R259" s="9">
        <f>Table5[[#This Row],[ (T/B) SAR]]-Table5[[#This Row],[(T/B) AJD]]</f>
        <v/>
      </c>
      <c r="S259" s="9">
        <f>Table5[[#This Row],[S/S_CON.]]+Table5[[#This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Table5[[#This Row],[(RESV. STORGE) AJD]]/10</f>
        <v/>
      </c>
      <c r="AB259" s="3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32" t="n"/>
      <c r="AN259" s="32">
        <f>Table5[[#This Row],[ (RESV. STORGE) SER]]/10</f>
        <v/>
      </c>
      <c r="AO259" s="68" t="n"/>
      <c r="AP259" s="100">
        <f>Table5[[#This Row],[(A/S) AJD]]-Table5[[#This Row],[SER_IN]]</f>
        <v/>
      </c>
    </row>
    <row r="260" ht="18.75" customHeight="1">
      <c r="A260" s="98" t="n">
        <v>47377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Table5[[#This Row],[ (T/B) SAR]]+Table5[[#This Row],[ (S/S) SAR]]</f>
        <v/>
      </c>
      <c r="L260" s="45" t="n"/>
      <c r="M260" s="46" t="n"/>
      <c r="N260" s="46" t="n"/>
      <c r="O260" s="40" t="n"/>
      <c r="P260" s="9">
        <f>Table5[[#This Row],[ (S/S) SAR]]-Table5[[#This Row],[(S/S) AJD]]</f>
        <v/>
      </c>
      <c r="Q260" s="40" t="n"/>
      <c r="R260" s="9">
        <f>Table5[[#This Row],[ (T/B) SAR]]-Table5[[#This Row],[(T/B) AJD]]</f>
        <v/>
      </c>
      <c r="S260" s="9">
        <f>Table5[[#This Row],[S/S_CON.]]+Table5[[#This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Table5[[#This Row],[(RESV. STORGE) AJD]]/10</f>
        <v/>
      </c>
      <c r="AB260" s="3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32" t="n"/>
      <c r="AN260" s="32">
        <f>Table5[[#This Row],[ (RESV. STORGE) SER]]/10</f>
        <v/>
      </c>
      <c r="AO260" s="68" t="n"/>
      <c r="AP260" s="100">
        <f>Table5[[#This Row],[(A/S) AJD]]-Table5[[#This Row],[SER_IN]]</f>
        <v/>
      </c>
    </row>
    <row r="261" ht="18.75" customHeight="1">
      <c r="A261" s="98" t="n">
        <v>47378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Table5[[#This Row],[ (T/B) SAR]]+Table5[[#This Row],[ (S/S) SAR]]</f>
        <v/>
      </c>
      <c r="L261" s="41" t="n"/>
      <c r="M261" s="42" t="n"/>
      <c r="N261" s="42" t="n"/>
      <c r="O261" s="39" t="n"/>
      <c r="P261" s="9">
        <f>Table5[[#This Row],[ (S/S) SAR]]-Table5[[#This Row],[(S/S) AJD]]</f>
        <v/>
      </c>
      <c r="Q261" s="39" t="n"/>
      <c r="R261" s="9">
        <f>Table5[[#This Row],[ (T/B) SAR]]-Table5[[#This Row],[(T/B) AJD]]</f>
        <v/>
      </c>
      <c r="S261" s="9">
        <f>Table5[[#This Row],[S/S_CON.]]+Table5[[#This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Table5[[#This Row],[(RESV. STORGE) AJD]]/10</f>
        <v/>
      </c>
      <c r="AB261" s="3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32" t="n"/>
      <c r="AN261" s="32">
        <f>Table5[[#This Row],[ (RESV. STORGE) SER]]/10</f>
        <v/>
      </c>
      <c r="AO261" s="68" t="n"/>
      <c r="AP261" s="100">
        <f>Table5[[#This Row],[(A/S) AJD]]-Table5[[#This Row],[SER_IN]]</f>
        <v/>
      </c>
    </row>
    <row r="262" ht="18.75" customHeight="1">
      <c r="A262" s="98" t="n">
        <v>47379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Table5[[#This Row],[ (T/B) SAR]]+Table5[[#This Row],[ (S/S) SAR]]</f>
        <v/>
      </c>
      <c r="L262" s="45" t="n"/>
      <c r="M262" s="46" t="n"/>
      <c r="N262" s="46" t="n"/>
      <c r="O262" s="40" t="n"/>
      <c r="P262" s="9">
        <f>Table5[[#This Row],[ (S/S) SAR]]-Table5[[#This Row],[(S/S) AJD]]</f>
        <v/>
      </c>
      <c r="Q262" s="40" t="n"/>
      <c r="R262" s="9">
        <f>Table5[[#This Row],[ (T/B) SAR]]-Table5[[#This Row],[(T/B) AJD]]</f>
        <v/>
      </c>
      <c r="S262" s="9">
        <f>Table5[[#This Row],[S/S_CON.]]+Table5[[#This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Table5[[#This Row],[(RESV. STORGE) AJD]]/10</f>
        <v/>
      </c>
      <c r="AB262" s="3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32" t="n"/>
      <c r="AN262" s="32">
        <f>Table5[[#This Row],[ (RESV. STORGE) SER]]/10</f>
        <v/>
      </c>
      <c r="AO262" s="68" t="n"/>
      <c r="AP262" s="100">
        <f>Table5[[#This Row],[(A/S) AJD]]-Table5[[#This Row],[SER_IN]]</f>
        <v/>
      </c>
    </row>
    <row r="263" ht="18.75" customHeight="1">
      <c r="A263" s="98" t="n">
        <v>47380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Table5[[#This Row],[ (T/B) SAR]]+Table5[[#This Row],[ (S/S) SAR]]</f>
        <v/>
      </c>
      <c r="L263" s="41" t="n"/>
      <c r="M263" s="42" t="n"/>
      <c r="N263" s="42" t="n"/>
      <c r="O263" s="39" t="n"/>
      <c r="P263" s="9">
        <f>Table5[[#This Row],[ (S/S) SAR]]-Table5[[#This Row],[(S/S) AJD]]</f>
        <v/>
      </c>
      <c r="Q263" s="39" t="n"/>
      <c r="R263" s="9">
        <f>Table5[[#This Row],[ (T/B) SAR]]-Table5[[#This Row],[(T/B) AJD]]</f>
        <v/>
      </c>
      <c r="S263" s="9">
        <f>Table5[[#This Row],[S/S_CON.]]+Table5[[#This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Table5[[#This Row],[(RESV. STORGE) AJD]]/10</f>
        <v/>
      </c>
      <c r="AB263" s="3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32" t="n"/>
      <c r="AN263" s="32">
        <f>Table5[[#This Row],[ (RESV. STORGE) SER]]/10</f>
        <v/>
      </c>
      <c r="AO263" s="68" t="n"/>
      <c r="AP263" s="100">
        <f>Table5[[#This Row],[(A/S) AJD]]-Table5[[#This Row],[SER_IN]]</f>
        <v/>
      </c>
    </row>
    <row r="264" ht="18.75" customHeight="1">
      <c r="A264" s="98" t="n">
        <v>47381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Table5[[#This Row],[ (T/B) SAR]]+Table5[[#This Row],[ (S/S) SAR]]</f>
        <v/>
      </c>
      <c r="L264" s="45" t="n"/>
      <c r="M264" s="46" t="n"/>
      <c r="N264" s="46" t="n"/>
      <c r="O264" s="40" t="n"/>
      <c r="P264" s="9">
        <f>Table5[[#This Row],[ (S/S) SAR]]-Table5[[#This Row],[(S/S) AJD]]</f>
        <v/>
      </c>
      <c r="Q264" s="40" t="n"/>
      <c r="R264" s="9">
        <f>Table5[[#This Row],[ (T/B) SAR]]-Table5[[#This Row],[(T/B) AJD]]</f>
        <v/>
      </c>
      <c r="S264" s="9">
        <f>Table5[[#This Row],[S/S_CON.]]+Table5[[#This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Table5[[#This Row],[(RESV. STORGE) AJD]]/10</f>
        <v/>
      </c>
      <c r="AB264" s="3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32" t="n"/>
      <c r="AN264" s="32">
        <f>Table5[[#This Row],[ (RESV. STORGE) SER]]/10</f>
        <v/>
      </c>
      <c r="AO264" s="68" t="n"/>
      <c r="AP264" s="100">
        <f>Table5[[#This Row],[(A/S) AJD]]-Table5[[#This Row],[SER_IN]]</f>
        <v/>
      </c>
    </row>
    <row r="265" ht="18.75" customHeight="1">
      <c r="A265" s="98" t="n">
        <v>47382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Table5[[#This Row],[ (T/B) SAR]]+Table5[[#This Row],[ (S/S) SAR]]</f>
        <v/>
      </c>
      <c r="L265" s="41" t="n"/>
      <c r="M265" s="42" t="n"/>
      <c r="N265" s="42" t="n"/>
      <c r="O265" s="39" t="n"/>
      <c r="P265" s="9">
        <f>Table5[[#This Row],[ (S/S) SAR]]-Table5[[#This Row],[(S/S) AJD]]</f>
        <v/>
      </c>
      <c r="Q265" s="39" t="n"/>
      <c r="R265" s="9">
        <f>Table5[[#This Row],[ (T/B) SAR]]-Table5[[#This Row],[(T/B) AJD]]</f>
        <v/>
      </c>
      <c r="S265" s="9">
        <f>Table5[[#This Row],[S/S_CON.]]+Table5[[#This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Table5[[#This Row],[(RESV. STORGE) AJD]]/10</f>
        <v/>
      </c>
      <c r="AB265" s="3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32" t="n"/>
      <c r="AN265" s="32">
        <f>Table5[[#This Row],[ (RESV. STORGE) SER]]/10</f>
        <v/>
      </c>
      <c r="AO265" s="68" t="n"/>
      <c r="AP265" s="100">
        <f>Table5[[#This Row],[(A/S) AJD]]-Table5[[#This Row],[SER_IN]]</f>
        <v/>
      </c>
    </row>
    <row r="266" ht="18.75" customHeight="1">
      <c r="A266" s="98" t="n">
        <v>47383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Table5[[#This Row],[ (T/B) SAR]]+Table5[[#This Row],[ (S/S) SAR]]</f>
        <v/>
      </c>
      <c r="L266" s="45" t="n"/>
      <c r="M266" s="46" t="n"/>
      <c r="N266" s="46" t="n"/>
      <c r="O266" s="40" t="n"/>
      <c r="P266" s="9">
        <f>Table5[[#This Row],[ (S/S) SAR]]-Table5[[#This Row],[(S/S) AJD]]</f>
        <v/>
      </c>
      <c r="Q266" s="40" t="n"/>
      <c r="R266" s="9">
        <f>Table5[[#This Row],[ (T/B) SAR]]-Table5[[#This Row],[(T/B) AJD]]</f>
        <v/>
      </c>
      <c r="S266" s="9">
        <f>Table5[[#This Row],[S/S_CON.]]+Table5[[#This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Table5[[#This Row],[(RESV. STORGE) AJD]]/10</f>
        <v/>
      </c>
      <c r="AB266" s="3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32" t="n"/>
      <c r="AN266" s="32">
        <f>Table5[[#This Row],[ (RESV. STORGE) SER]]/10</f>
        <v/>
      </c>
      <c r="AO266" s="68" t="n"/>
      <c r="AP266" s="100">
        <f>Table5[[#This Row],[(A/S) AJD]]-Table5[[#This Row],[SER_IN]]</f>
        <v/>
      </c>
    </row>
    <row r="267" ht="18.75" customHeight="1">
      <c r="A267" s="98" t="n">
        <v>47384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Table5[[#This Row],[ (T/B) SAR]]+Table5[[#This Row],[ (S/S) SAR]]</f>
        <v/>
      </c>
      <c r="L267" s="41" t="n"/>
      <c r="M267" s="42" t="n"/>
      <c r="N267" s="42" t="n"/>
      <c r="O267" s="39" t="n"/>
      <c r="P267" s="9">
        <f>Table5[[#This Row],[ (S/S) SAR]]-Table5[[#This Row],[(S/S) AJD]]</f>
        <v/>
      </c>
      <c r="Q267" s="39" t="n"/>
      <c r="R267" s="9">
        <f>Table5[[#This Row],[ (T/B) SAR]]-Table5[[#This Row],[(T/B) AJD]]</f>
        <v/>
      </c>
      <c r="S267" s="9">
        <f>Table5[[#This Row],[S/S_CON.]]+Table5[[#This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Table5[[#This Row],[(RESV. STORGE) AJD]]/10</f>
        <v/>
      </c>
      <c r="AB267" s="3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32" t="n"/>
      <c r="AN267" s="32">
        <f>Table5[[#This Row],[ (RESV. STORGE) SER]]/10</f>
        <v/>
      </c>
      <c r="AO267" s="68" t="n"/>
      <c r="AP267" s="100">
        <f>Table5[[#This Row],[(A/S) AJD]]-Table5[[#This Row],[SER_IN]]</f>
        <v/>
      </c>
    </row>
    <row r="268" ht="18.75" customHeight="1">
      <c r="A268" s="98" t="n">
        <v>47385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Table5[[#This Row],[ (T/B) SAR]]+Table5[[#This Row],[ (S/S) SAR]]</f>
        <v/>
      </c>
      <c r="L268" s="45" t="n"/>
      <c r="M268" s="46" t="n"/>
      <c r="N268" s="46" t="n"/>
      <c r="O268" s="40" t="n"/>
      <c r="P268" s="9">
        <f>Table5[[#This Row],[ (S/S) SAR]]-Table5[[#This Row],[(S/S) AJD]]</f>
        <v/>
      </c>
      <c r="Q268" s="40" t="n"/>
      <c r="R268" s="9">
        <f>Table5[[#This Row],[ (T/B) SAR]]-Table5[[#This Row],[(T/B) AJD]]</f>
        <v/>
      </c>
      <c r="S268" s="9">
        <f>Table5[[#This Row],[S/S_CON.]]+Table5[[#This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Table5[[#This Row],[(RESV. STORGE) AJD]]/10</f>
        <v/>
      </c>
      <c r="AB268" s="3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32" t="n"/>
      <c r="AN268" s="32">
        <f>Table5[[#This Row],[ (RESV. STORGE) SER]]/10</f>
        <v/>
      </c>
      <c r="AO268" s="68" t="n"/>
      <c r="AP268" s="100">
        <f>Table5[[#This Row],[(A/S) AJD]]-Table5[[#This Row],[SER_IN]]</f>
        <v/>
      </c>
    </row>
    <row r="269" ht="18.75" customHeight="1">
      <c r="A269" s="98" t="n">
        <v>47386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Table5[[#This Row],[ (T/B) SAR]]+Table5[[#This Row],[ (S/S) SAR]]</f>
        <v/>
      </c>
      <c r="L269" s="41" t="n"/>
      <c r="M269" s="42" t="n"/>
      <c r="N269" s="42" t="n"/>
      <c r="O269" s="39" t="n"/>
      <c r="P269" s="9">
        <f>Table5[[#This Row],[ (S/S) SAR]]-Table5[[#This Row],[(S/S) AJD]]</f>
        <v/>
      </c>
      <c r="Q269" s="39" t="n"/>
      <c r="R269" s="9">
        <f>Table5[[#This Row],[ (T/B) SAR]]-Table5[[#This Row],[(T/B) AJD]]</f>
        <v/>
      </c>
      <c r="S269" s="9">
        <f>Table5[[#This Row],[S/S_CON.]]+Table5[[#This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Table5[[#This Row],[(RESV. STORGE) AJD]]/10</f>
        <v/>
      </c>
      <c r="AB269" s="3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32" t="n"/>
      <c r="AN269" s="32">
        <f>Table5[[#This Row],[ (RESV. STORGE) SER]]/10</f>
        <v/>
      </c>
      <c r="AO269" s="68" t="n"/>
      <c r="AP269" s="100">
        <f>Table5[[#This Row],[(A/S) AJD]]-Table5[[#This Row],[SER_IN]]</f>
        <v/>
      </c>
    </row>
    <row r="270" ht="18.75" customHeight="1">
      <c r="A270" s="98" t="n">
        <v>47387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Table5[[#This Row],[ (T/B) SAR]]+Table5[[#This Row],[ (S/S) SAR]]</f>
        <v/>
      </c>
      <c r="L270" s="45" t="n"/>
      <c r="M270" s="46" t="n"/>
      <c r="N270" s="46" t="n"/>
      <c r="O270" s="40" t="n"/>
      <c r="P270" s="9">
        <f>Table5[[#This Row],[ (S/S) SAR]]-Table5[[#This Row],[(S/S) AJD]]</f>
        <v/>
      </c>
      <c r="Q270" s="40" t="n"/>
      <c r="R270" s="9">
        <f>Table5[[#This Row],[ (T/B) SAR]]-Table5[[#This Row],[(T/B) AJD]]</f>
        <v/>
      </c>
      <c r="S270" s="9">
        <f>Table5[[#This Row],[S/S_CON.]]+Table5[[#This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Table5[[#This Row],[(RESV. STORGE) AJD]]/10</f>
        <v/>
      </c>
      <c r="AB270" s="3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32" t="n"/>
      <c r="AN270" s="32">
        <f>Table5[[#This Row],[ (RESV. STORGE) SER]]/10</f>
        <v/>
      </c>
      <c r="AO270" s="68" t="n"/>
      <c r="AP270" s="100">
        <f>Table5[[#This Row],[(A/S) AJD]]-Table5[[#This Row],[SER_IN]]</f>
        <v/>
      </c>
    </row>
    <row r="271" ht="18.75" customHeight="1">
      <c r="A271" s="98" t="n">
        <v>47388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Table5[[#This Row],[ (T/B) SAR]]+Table5[[#This Row],[ (S/S) SAR]]</f>
        <v/>
      </c>
      <c r="L271" s="41" t="n"/>
      <c r="M271" s="42" t="n"/>
      <c r="N271" s="42" t="n"/>
      <c r="O271" s="39" t="n"/>
      <c r="P271" s="9">
        <f>Table5[[#This Row],[ (S/S) SAR]]-Table5[[#This Row],[(S/S) AJD]]</f>
        <v/>
      </c>
      <c r="Q271" s="9" t="n"/>
      <c r="R271" s="9">
        <f>Table5[[#This Row],[ (T/B) SAR]]-Table5[[#This Row],[(T/B) AJD]]</f>
        <v/>
      </c>
      <c r="S271" s="9">
        <f>Table5[[#This Row],[S/S_CON.]]+Table5[[#This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Table5[[#This Row],[(RESV. STORGE) AJD]]/10</f>
        <v/>
      </c>
      <c r="AB271" s="3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32" t="n"/>
      <c r="AN271" s="32">
        <f>Table5[[#This Row],[ (RESV. STORGE) SER]]/10</f>
        <v/>
      </c>
      <c r="AO271" s="68" t="n"/>
      <c r="AP271" s="100">
        <f>Table5[[#This Row],[(A/S) AJD]]-Table5[[#This Row],[SER_IN]]</f>
        <v/>
      </c>
    </row>
    <row r="272" ht="18.75" customHeight="1">
      <c r="A272" s="98" t="n">
        <v>47389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Table5[[#This Row],[ (T/B) SAR]]+Table5[[#This Row],[ (S/S) SAR]]</f>
        <v/>
      </c>
      <c r="L272" s="45" t="n"/>
      <c r="M272" s="46" t="n"/>
      <c r="N272" s="46" t="n"/>
      <c r="O272" s="9" t="n"/>
      <c r="P272" s="9">
        <f>Table5[[#This Row],[ (S/S) SAR]]-Table5[[#This Row],[(S/S) AJD]]</f>
        <v/>
      </c>
      <c r="Q272" s="9" t="n"/>
      <c r="R272" s="9">
        <f>Table5[[#This Row],[ (T/B) SAR]]-Table5[[#This Row],[(T/B) AJD]]</f>
        <v/>
      </c>
      <c r="S272" s="9">
        <f>Table5[[#This Row],[S/S_CON.]]+Table5[[#This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Table5[[#This Row],[(RESV. STORGE) AJD]]/10</f>
        <v/>
      </c>
      <c r="AB272" s="3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32" t="n"/>
      <c r="AN272" s="32">
        <f>Table5[[#This Row],[ (RESV. STORGE) SER]]/10</f>
        <v/>
      </c>
      <c r="AO272" s="68" t="n"/>
      <c r="AP272" s="100">
        <f>Table5[[#This Row],[(A/S) AJD]]-Table5[[#This Row],[SER_IN]]</f>
        <v/>
      </c>
    </row>
    <row r="273" ht="18.75" customHeight="1">
      <c r="A273" s="98" t="n">
        <v>47390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Table5[[#This Row],[ (T/B) SAR]]+Table5[[#This Row],[ (S/S) SAR]]</f>
        <v/>
      </c>
      <c r="L273" s="28" t="n"/>
      <c r="M273" s="29" t="n"/>
      <c r="N273" s="30" t="n"/>
      <c r="O273" s="9" t="n"/>
      <c r="P273" s="9">
        <f>Table5[[#This Row],[ (S/S) SAR]]-Table5[[#This Row],[(S/S) AJD]]</f>
        <v/>
      </c>
      <c r="Q273" s="9" t="n"/>
      <c r="R273" s="9">
        <f>Table5[[#This Row],[ (T/B) SAR]]-Table5[[#This Row],[(T/B) AJD]]</f>
        <v/>
      </c>
      <c r="S273" s="9">
        <f>Table5[[#This Row],[S/S_CON.]]+Table5[[#This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Table5[[#This Row],[(RESV. STORGE) AJD]]/10</f>
        <v/>
      </c>
      <c r="AB273" s="3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32" t="n"/>
      <c r="AN273" s="32">
        <f>Table5[[#This Row],[ (RESV. STORGE) SER]]/10</f>
        <v/>
      </c>
      <c r="AO273" s="68" t="n"/>
      <c r="AP273" s="100">
        <f>Table5[[#This Row],[(A/S) AJD]]-Table5[[#This Row],[SER_IN]]</f>
        <v/>
      </c>
    </row>
    <row r="274" ht="18.75" customHeight="1">
      <c r="A274" s="98" t="n">
        <v>47391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Table5[[#This Row],[ (T/B) SAR]]+Table5[[#This Row],[ (S/S) SAR]]</f>
        <v/>
      </c>
      <c r="L274" s="28" t="n"/>
      <c r="M274" s="29" t="n"/>
      <c r="N274" s="30" t="n"/>
      <c r="O274" s="9" t="n"/>
      <c r="P274" s="9">
        <f>Table5[[#This Row],[ (S/S) SAR]]-Table5[[#This Row],[(S/S) AJD]]</f>
        <v/>
      </c>
      <c r="Q274" s="9" t="n"/>
      <c r="R274" s="9">
        <f>Table5[[#This Row],[ (T/B) SAR]]-Table5[[#This Row],[(T/B) AJD]]</f>
        <v/>
      </c>
      <c r="S274" s="9">
        <f>Table5[[#This Row],[S/S_CON.]]+Table5[[#This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Table5[[#This Row],[(RESV. STORGE) AJD]]/10</f>
        <v/>
      </c>
      <c r="AB274" s="3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32" t="n"/>
      <c r="AN274" s="32">
        <f>Table5[[#This Row],[ (RESV. STORGE) SER]]/10</f>
        <v/>
      </c>
      <c r="AO274" s="68" t="n"/>
      <c r="AP274" s="100">
        <f>Table5[[#This Row],[(A/S) AJD]]-Table5[[#This Row],[SER_IN]]</f>
        <v/>
      </c>
    </row>
    <row r="275" ht="18.75" customHeight="1">
      <c r="A275" s="98" t="n">
        <v>47392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Table5[[#This Row],[ (T/B) SAR]]+Table5[[#This Row],[ (S/S) SAR]]</f>
        <v/>
      </c>
      <c r="L275" s="28" t="n"/>
      <c r="M275" s="29" t="n"/>
      <c r="N275" s="30" t="n"/>
      <c r="O275" s="14" t="n"/>
      <c r="P275" s="9">
        <f>Table5[[#This Row],[ (S/S) SAR]]-Table5[[#This Row],[(S/S) AJD]]</f>
        <v/>
      </c>
      <c r="Q275" s="14" t="n"/>
      <c r="R275" s="9">
        <f>Table5[[#This Row],[ (T/B) SAR]]-Table5[[#This Row],[(T/B) AJD]]</f>
        <v/>
      </c>
      <c r="S275" s="9">
        <f>Table5[[#This Row],[S/S_CON.]]+Table5[[#This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Table5[[#This Row],[(RESV. STORGE) AJD]]/10</f>
        <v/>
      </c>
      <c r="AB275" s="3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32" t="n"/>
      <c r="AN275" s="32">
        <f>Table5[[#This Row],[ (RESV. STORGE) SER]]/10</f>
        <v/>
      </c>
      <c r="AO275" s="68" t="n"/>
      <c r="AP275" s="100">
        <f>Table5[[#This Row],[(A/S) AJD]]-Table5[[#This Row],[SER_IN]]</f>
        <v/>
      </c>
    </row>
    <row r="276" ht="18.75" customHeight="1">
      <c r="A276" s="98" t="n">
        <v>47393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Table5[[#This Row],[ (T/B) SAR]]+Table5[[#This Row],[ (S/S) SAR]]</f>
        <v/>
      </c>
      <c r="L276" s="28" t="n"/>
      <c r="M276" s="29" t="n"/>
      <c r="N276" s="30" t="n"/>
      <c r="O276" s="14" t="n"/>
      <c r="P276" s="9">
        <f>Table5[[#This Row],[ (S/S) SAR]]-Table5[[#This Row],[(S/S) AJD]]</f>
        <v/>
      </c>
      <c r="Q276" s="14" t="n"/>
      <c r="R276" s="9">
        <f>Table5[[#This Row],[ (T/B) SAR]]-Table5[[#This Row],[(T/B) AJD]]</f>
        <v/>
      </c>
      <c r="S276" s="9">
        <f>Table5[[#This Row],[S/S_CON.]]+Table5[[#This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Table5[[#This Row],[(RESV. STORGE) AJD]]/10</f>
        <v/>
      </c>
      <c r="AB276" s="3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32" t="n"/>
      <c r="AN276" s="32">
        <f>Table5[[#This Row],[ (RESV. STORGE) SER]]/10</f>
        <v/>
      </c>
      <c r="AO276" s="68" t="n"/>
      <c r="AP276" s="100">
        <f>Table5[[#This Row],[(A/S) AJD]]-Table5[[#This Row],[SER_IN]]</f>
        <v/>
      </c>
    </row>
    <row r="277" ht="18.75" customHeight="1">
      <c r="A277" s="98" t="n">
        <v>47394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Table5[[#This Row],[ (T/B) SAR]]+Table5[[#This Row],[ (S/S) SAR]]</f>
        <v/>
      </c>
      <c r="L277" s="28" t="n"/>
      <c r="M277" s="29" t="n"/>
      <c r="N277" s="30" t="n"/>
      <c r="O277" s="14" t="n"/>
      <c r="P277" s="9">
        <f>Table5[[#This Row],[ (S/S) SAR]]-Table5[[#This Row],[(S/S) AJD]]</f>
        <v/>
      </c>
      <c r="Q277" s="14" t="n"/>
      <c r="R277" s="9">
        <f>Table5[[#This Row],[ (T/B) SAR]]-Table5[[#This Row],[(T/B) AJD]]</f>
        <v/>
      </c>
      <c r="S277" s="9">
        <f>Table5[[#This Row],[S/S_CON.]]+Table5[[#This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Table5[[#This Row],[(RESV. STORGE) AJD]]/10</f>
        <v/>
      </c>
      <c r="AB277" s="3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32" t="n"/>
      <c r="AN277" s="32">
        <f>Table5[[#This Row],[ (RESV. STORGE) SER]]/10</f>
        <v/>
      </c>
      <c r="AO277" s="68" t="n"/>
      <c r="AP277" s="100">
        <f>Table5[[#This Row],[(A/S) AJD]]-Table5[[#This Row],[SER_IN]]</f>
        <v/>
      </c>
    </row>
    <row r="278" ht="18.75" customHeight="1">
      <c r="A278" s="98" t="n">
        <v>47395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Table5[[#This Row],[ (T/B) SAR]]+Table5[[#This Row],[ (S/S) SAR]]</f>
        <v/>
      </c>
      <c r="L278" s="28" t="n"/>
      <c r="M278" s="29" t="n"/>
      <c r="N278" s="30" t="n"/>
      <c r="O278" s="14" t="n"/>
      <c r="P278" s="9">
        <f>Table5[[#This Row],[ (S/S) SAR]]-Table5[[#This Row],[(S/S) AJD]]</f>
        <v/>
      </c>
      <c r="Q278" s="14" t="n"/>
      <c r="R278" s="9">
        <f>Table5[[#This Row],[ (T/B) SAR]]-Table5[[#This Row],[(T/B) AJD]]</f>
        <v/>
      </c>
      <c r="S278" s="9">
        <f>Table5[[#This Row],[S/S_CON.]]+Table5[[#This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Table5[[#This Row],[(RESV. STORGE) AJD]]/10</f>
        <v/>
      </c>
      <c r="AB278" s="3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32" t="n"/>
      <c r="AN278" s="32">
        <f>Table5[[#This Row],[ (RESV. STORGE) SER]]/10</f>
        <v/>
      </c>
      <c r="AO278" s="68" t="n"/>
      <c r="AP278" s="100">
        <f>Table5[[#This Row],[(A/S) AJD]]-Table5[[#This Row],[SER_IN]]</f>
        <v/>
      </c>
    </row>
    <row r="279" ht="18.75" customHeight="1">
      <c r="A279" s="98" t="n">
        <v>47396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Table5[[#This Row],[ (T/B) SAR]]+Table5[[#This Row],[ (S/S) SAR]]</f>
        <v/>
      </c>
      <c r="L279" s="28" t="n"/>
      <c r="M279" s="29" t="n"/>
      <c r="N279" s="30" t="n"/>
      <c r="O279" s="14" t="n"/>
      <c r="P279" s="9">
        <f>Table5[[#This Row],[ (S/S) SAR]]-Table5[[#This Row],[(S/S) AJD]]</f>
        <v/>
      </c>
      <c r="Q279" s="14" t="n"/>
      <c r="R279" s="9">
        <f>Table5[[#This Row],[ (T/B) SAR]]-Table5[[#This Row],[(T/B) AJD]]</f>
        <v/>
      </c>
      <c r="S279" s="9">
        <f>Table5[[#This Row],[S/S_CON.]]+Table5[[#This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Table5[[#This Row],[(RESV. STORGE) AJD]]/10</f>
        <v/>
      </c>
      <c r="AB279" s="3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32" t="n"/>
      <c r="AN279" s="32">
        <f>Table5[[#This Row],[ (RESV. STORGE) SER]]/10</f>
        <v/>
      </c>
      <c r="AO279" s="68" t="n"/>
      <c r="AP279" s="100">
        <f>Table5[[#This Row],[(A/S) AJD]]-Table5[[#This Row],[SER_IN]]</f>
        <v/>
      </c>
    </row>
    <row r="280" ht="18.75" customHeight="1">
      <c r="A280" s="98" t="n">
        <v>47397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Table5[[#This Row],[ (T/B) SAR]]+Table5[[#This Row],[ (S/S) SAR]]</f>
        <v/>
      </c>
      <c r="L280" s="28" t="n"/>
      <c r="M280" s="29" t="n"/>
      <c r="N280" s="30" t="n"/>
      <c r="O280" s="14" t="n"/>
      <c r="P280" s="9">
        <f>Table5[[#This Row],[ (S/S) SAR]]-Table5[[#This Row],[(S/S) AJD]]</f>
        <v/>
      </c>
      <c r="Q280" s="14" t="n"/>
      <c r="R280" s="9">
        <f>Table5[[#This Row],[ (T/B) SAR]]-Table5[[#This Row],[(T/B) AJD]]</f>
        <v/>
      </c>
      <c r="S280" s="9">
        <f>Table5[[#This Row],[S/S_CON.]]+Table5[[#This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Table5[[#This Row],[(RESV. STORGE) AJD]]/10</f>
        <v/>
      </c>
      <c r="AB280" s="3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32" t="n"/>
      <c r="AN280" s="32">
        <f>Table5[[#This Row],[ (RESV. STORGE) SER]]/10</f>
        <v/>
      </c>
      <c r="AO280" s="68" t="n"/>
      <c r="AP280" s="100">
        <f>Table5[[#This Row],[(A/S) AJD]]-Table5[[#This Row],[SER_IN]]</f>
        <v/>
      </c>
    </row>
    <row r="281" ht="18.75" customHeight="1">
      <c r="A281" s="98" t="n">
        <v>47398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Table5[[#This Row],[ (T/B) SAR]]+Table5[[#This Row],[ (S/S) SAR]]</f>
        <v/>
      </c>
      <c r="L281" s="28" t="n"/>
      <c r="M281" s="29" t="n"/>
      <c r="N281" s="30" t="n"/>
      <c r="O281" s="14" t="n"/>
      <c r="P281" s="9">
        <f>Table5[[#This Row],[ (S/S) SAR]]-Table5[[#This Row],[(S/S) AJD]]</f>
        <v/>
      </c>
      <c r="Q281" s="14" t="n"/>
      <c r="R281" s="9">
        <f>Table5[[#This Row],[ (T/B) SAR]]-Table5[[#This Row],[(T/B) AJD]]</f>
        <v/>
      </c>
      <c r="S281" s="9">
        <f>Table5[[#This Row],[S/S_CON.]]+Table5[[#This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Table5[[#This Row],[(RESV. STORGE) AJD]]/10</f>
        <v/>
      </c>
      <c r="AB281" s="3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32" t="n"/>
      <c r="AN281" s="32">
        <f>Table5[[#This Row],[ (RESV. STORGE) SER]]/10</f>
        <v/>
      </c>
      <c r="AO281" s="68" t="n"/>
      <c r="AP281" s="100">
        <f>Table5[[#This Row],[(A/S) AJD]]-Table5[[#This Row],[SER_IN]]</f>
        <v/>
      </c>
    </row>
    <row r="282" ht="18.75" customHeight="1">
      <c r="A282" s="98" t="n">
        <v>47399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Table5[[#This Row],[ (T/B) SAR]]+Table5[[#This Row],[ (S/S) SAR]]</f>
        <v/>
      </c>
      <c r="L282" s="28" t="n"/>
      <c r="M282" s="29" t="n"/>
      <c r="N282" s="30" t="n"/>
      <c r="O282" s="14" t="n"/>
      <c r="P282" s="9">
        <f>Table5[[#This Row],[ (S/S) SAR]]-Table5[[#This Row],[(S/S) AJD]]</f>
        <v/>
      </c>
      <c r="Q282" s="14" t="n"/>
      <c r="R282" s="9">
        <f>Table5[[#This Row],[ (T/B) SAR]]-Table5[[#This Row],[(T/B) AJD]]</f>
        <v/>
      </c>
      <c r="S282" s="9">
        <f>Table5[[#This Row],[S/S_CON.]]+Table5[[#This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Table5[[#This Row],[(RESV. STORGE) AJD]]/10</f>
        <v/>
      </c>
      <c r="AB282" s="3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32" t="n"/>
      <c r="AN282" s="32">
        <f>Table5[[#This Row],[ (RESV. STORGE) SER]]/10</f>
        <v/>
      </c>
      <c r="AO282" s="68" t="n"/>
      <c r="AP282" s="100">
        <f>Table5[[#This Row],[(A/S) AJD]]-Table5[[#This Row],[SER_IN]]</f>
        <v/>
      </c>
    </row>
    <row r="283" ht="18.75" customHeight="1">
      <c r="A283" s="98" t="n">
        <v>47400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Table5[[#This Row],[ (T/B) SAR]]+Table5[[#This Row],[ (S/S) SAR]]</f>
        <v/>
      </c>
      <c r="L283" s="28" t="n"/>
      <c r="M283" s="29" t="n"/>
      <c r="N283" s="30" t="n"/>
      <c r="O283" s="14" t="n"/>
      <c r="P283" s="9">
        <f>Table5[[#This Row],[ (S/S) SAR]]-Table5[[#This Row],[(S/S) AJD]]</f>
        <v/>
      </c>
      <c r="Q283" s="14" t="n"/>
      <c r="R283" s="9">
        <f>Table5[[#This Row],[ (T/B) SAR]]-Table5[[#This Row],[(T/B) AJD]]</f>
        <v/>
      </c>
      <c r="S283" s="9">
        <f>Table5[[#This Row],[S/S_CON.]]+Table5[[#This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Table5[[#This Row],[(RESV. STORGE) AJD]]/10</f>
        <v/>
      </c>
      <c r="AB283" s="3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32" t="n"/>
      <c r="AN283" s="32">
        <f>Table5[[#This Row],[ (RESV. STORGE) SER]]/10</f>
        <v/>
      </c>
      <c r="AO283" s="68" t="n"/>
      <c r="AP283" s="100">
        <f>Table5[[#This Row],[(A/S) AJD]]-Table5[[#This Row],[SER_IN]]</f>
        <v/>
      </c>
    </row>
    <row r="284" ht="18.75" customHeight="1">
      <c r="A284" s="98" t="n">
        <v>47401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Table5[[#This Row],[ (T/B) SAR]]+Table5[[#This Row],[ (S/S) SAR]]</f>
        <v/>
      </c>
      <c r="L284" s="28" t="n"/>
      <c r="M284" s="29" t="n"/>
      <c r="N284" s="30" t="n"/>
      <c r="O284" s="14" t="n"/>
      <c r="P284" s="9">
        <f>Table5[[#This Row],[ (S/S) SAR]]-Table5[[#This Row],[(S/S) AJD]]</f>
        <v/>
      </c>
      <c r="Q284" s="14" t="n"/>
      <c r="R284" s="9">
        <f>Table5[[#This Row],[ (T/B) SAR]]-Table5[[#This Row],[(T/B) AJD]]</f>
        <v/>
      </c>
      <c r="S284" s="9">
        <f>Table5[[#This Row],[S/S_CON.]]+Table5[[#This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Table5[[#This Row],[(RESV. STORGE) AJD]]/10</f>
        <v/>
      </c>
      <c r="AB284" s="3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32" t="n"/>
      <c r="AN284" s="32">
        <f>Table5[[#This Row],[ (RESV. STORGE) SER]]/10</f>
        <v/>
      </c>
      <c r="AO284" s="68" t="n"/>
      <c r="AP284" s="100">
        <f>Table5[[#This Row],[(A/S) AJD]]-Table5[[#This Row],[SER_IN]]</f>
        <v/>
      </c>
    </row>
    <row r="285" ht="18.75" customHeight="1">
      <c r="A285" s="98" t="n">
        <v>47402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Table5[[#This Row],[ (T/B) SAR]]+Table5[[#This Row],[ (S/S) SAR]]</f>
        <v/>
      </c>
      <c r="L285" s="28" t="n"/>
      <c r="M285" s="29" t="n"/>
      <c r="N285" s="30" t="n"/>
      <c r="O285" s="14" t="n"/>
      <c r="P285" s="9">
        <f>Table5[[#This Row],[ (S/S) SAR]]-Table5[[#This Row],[(S/S) AJD]]</f>
        <v/>
      </c>
      <c r="Q285" s="14" t="n"/>
      <c r="R285" s="9">
        <f>Table5[[#This Row],[ (T/B) SAR]]-Table5[[#This Row],[(T/B) AJD]]</f>
        <v/>
      </c>
      <c r="S285" s="9">
        <f>Table5[[#This Row],[S/S_CON.]]+Table5[[#This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Table5[[#This Row],[(RESV. STORGE) AJD]]/10</f>
        <v/>
      </c>
      <c r="AB285" s="3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32" t="n"/>
      <c r="AN285" s="32">
        <f>Table5[[#This Row],[ (RESV. STORGE) SER]]/10</f>
        <v/>
      </c>
      <c r="AO285" s="68" t="n"/>
      <c r="AP285" s="100">
        <f>Table5[[#This Row],[(A/S) AJD]]-Table5[[#This Row],[SER_IN]]</f>
        <v/>
      </c>
    </row>
    <row r="286" ht="18.75" customHeight="1">
      <c r="A286" s="98" t="n">
        <v>47403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Table5[[#This Row],[ (T/B) SAR]]+Table5[[#This Row],[ (S/S) SAR]]</f>
        <v/>
      </c>
      <c r="L286" s="28" t="n"/>
      <c r="M286" s="29" t="n"/>
      <c r="N286" s="30" t="n"/>
      <c r="O286" s="14" t="n"/>
      <c r="P286" s="9">
        <f>Table5[[#This Row],[ (S/S) SAR]]-Table5[[#This Row],[(S/S) AJD]]</f>
        <v/>
      </c>
      <c r="Q286" s="14" t="n"/>
      <c r="R286" s="9">
        <f>Table5[[#This Row],[ (T/B) SAR]]-Table5[[#This Row],[(T/B) AJD]]</f>
        <v/>
      </c>
      <c r="S286" s="9">
        <f>Table5[[#This Row],[S/S_CON.]]+Table5[[#This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Table5[[#This Row],[(RESV. STORGE) AJD]]/10</f>
        <v/>
      </c>
      <c r="AB286" s="3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32" t="n"/>
      <c r="AN286" s="32">
        <f>Table5[[#This Row],[ (RESV. STORGE) SER]]/10</f>
        <v/>
      </c>
      <c r="AO286" s="68" t="n"/>
      <c r="AP286" s="100">
        <f>Table5[[#This Row],[(A/S) AJD]]-Table5[[#This Row],[SER_IN]]</f>
        <v/>
      </c>
    </row>
    <row r="287" ht="18.75" customHeight="1">
      <c r="A287" s="98" t="n">
        <v>47404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Table5[[#This Row],[ (T/B) SAR]]+Table5[[#This Row],[ (S/S) SAR]]</f>
        <v/>
      </c>
      <c r="L287" s="28" t="n"/>
      <c r="M287" s="29" t="n"/>
      <c r="N287" s="30" t="n"/>
      <c r="O287" s="14" t="n"/>
      <c r="P287" s="9">
        <f>Table5[[#This Row],[ (S/S) SAR]]-Table5[[#This Row],[(S/S) AJD]]</f>
        <v/>
      </c>
      <c r="Q287" s="14" t="n"/>
      <c r="R287" s="9">
        <f>Table5[[#This Row],[ (T/B) SAR]]-Table5[[#This Row],[(T/B) AJD]]</f>
        <v/>
      </c>
      <c r="S287" s="9">
        <f>Table5[[#This Row],[S/S_CON.]]+Table5[[#This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Table5[[#This Row],[(RESV. STORGE) AJD]]/10</f>
        <v/>
      </c>
      <c r="AB287" s="3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32" t="n"/>
      <c r="AN287" s="32">
        <f>Table5[[#This Row],[ (RESV. STORGE) SER]]/10</f>
        <v/>
      </c>
      <c r="AO287" s="68" t="n"/>
      <c r="AP287" s="100">
        <f>Table5[[#This Row],[(A/S) AJD]]-Table5[[#This Row],[SER_IN]]</f>
        <v/>
      </c>
    </row>
    <row r="288" ht="18.75" customHeight="1">
      <c r="A288" s="98" t="n">
        <v>47405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Table5[[#This Row],[ (T/B) SAR]]+Table5[[#This Row],[ (S/S) SAR]]</f>
        <v/>
      </c>
      <c r="L288" s="28" t="n"/>
      <c r="M288" s="29" t="n"/>
      <c r="N288" s="30" t="n"/>
      <c r="O288" s="14" t="n"/>
      <c r="P288" s="9">
        <f>Table5[[#This Row],[ (S/S) SAR]]-Table5[[#This Row],[(S/S) AJD]]</f>
        <v/>
      </c>
      <c r="Q288" s="14" t="n"/>
      <c r="R288" s="9">
        <f>Table5[[#This Row],[ (T/B) SAR]]-Table5[[#This Row],[(T/B) AJD]]</f>
        <v/>
      </c>
      <c r="S288" s="9">
        <f>Table5[[#This Row],[S/S_CON.]]+Table5[[#This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Table5[[#This Row],[(RESV. STORGE) AJD]]/10</f>
        <v/>
      </c>
      <c r="AB288" s="3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32" t="n"/>
      <c r="AN288" s="32">
        <f>Table5[[#This Row],[ (RESV. STORGE) SER]]/10</f>
        <v/>
      </c>
      <c r="AO288" s="68" t="n"/>
      <c r="AP288" s="100">
        <f>Table5[[#This Row],[(A/S) AJD]]-Table5[[#This Row],[SER_IN]]</f>
        <v/>
      </c>
    </row>
    <row r="289" ht="18.75" customHeight="1">
      <c r="A289" s="98" t="n">
        <v>47406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Table5[[#This Row],[ (T/B) SAR]]+Table5[[#This Row],[ (S/S) SAR]]</f>
        <v/>
      </c>
      <c r="L289" s="28" t="n"/>
      <c r="M289" s="29" t="n"/>
      <c r="N289" s="30" t="n"/>
      <c r="O289" s="14" t="n"/>
      <c r="P289" s="9">
        <f>Table5[[#This Row],[ (S/S) SAR]]-Table5[[#This Row],[(S/S) AJD]]</f>
        <v/>
      </c>
      <c r="Q289" s="14" t="n"/>
      <c r="R289" s="9">
        <f>Table5[[#This Row],[ (T/B) SAR]]-Table5[[#This Row],[(T/B) AJD]]</f>
        <v/>
      </c>
      <c r="S289" s="9">
        <f>Table5[[#This Row],[S/S_CON.]]+Table5[[#This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Table5[[#This Row],[(RESV. STORGE) AJD]]/10</f>
        <v/>
      </c>
      <c r="AB289" s="3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32" t="n"/>
      <c r="AN289" s="32">
        <f>Table5[[#This Row],[ (RESV. STORGE) SER]]/10</f>
        <v/>
      </c>
      <c r="AO289" s="68" t="n"/>
      <c r="AP289" s="100">
        <f>Table5[[#This Row],[(A/S) AJD]]-Table5[[#This Row],[SER_IN]]</f>
        <v/>
      </c>
    </row>
    <row r="290" ht="18.75" customHeight="1">
      <c r="A290" s="98" t="n">
        <v>47407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Table5[[#This Row],[ (T/B) SAR]]+Table5[[#This Row],[ (S/S) SAR]]</f>
        <v/>
      </c>
      <c r="L290" s="28" t="n"/>
      <c r="M290" s="29" t="n"/>
      <c r="N290" s="30" t="n"/>
      <c r="O290" s="14" t="n"/>
      <c r="P290" s="9">
        <f>Table5[[#This Row],[ (S/S) SAR]]-Table5[[#This Row],[(S/S) AJD]]</f>
        <v/>
      </c>
      <c r="Q290" s="14" t="n"/>
      <c r="R290" s="9">
        <f>Table5[[#This Row],[ (T/B) SAR]]-Table5[[#This Row],[(T/B) AJD]]</f>
        <v/>
      </c>
      <c r="S290" s="9">
        <f>Table5[[#This Row],[S/S_CON.]]+Table5[[#This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Table5[[#This Row],[(RESV. STORGE) AJD]]/10</f>
        <v/>
      </c>
      <c r="AB290" s="3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32" t="n"/>
      <c r="AN290" s="32">
        <f>Table5[[#This Row],[ (RESV. STORGE) SER]]/10</f>
        <v/>
      </c>
      <c r="AO290" s="68" t="n"/>
      <c r="AP290" s="100">
        <f>Table5[[#This Row],[(A/S) AJD]]-Table5[[#This Row],[SER_IN]]</f>
        <v/>
      </c>
    </row>
    <row r="291" ht="18.75" customHeight="1">
      <c r="A291" s="98" t="n">
        <v>47408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Table5[[#This Row],[ (T/B) SAR]]+Table5[[#This Row],[ (S/S) SAR]]</f>
        <v/>
      </c>
      <c r="L291" s="28" t="n"/>
      <c r="M291" s="29" t="n"/>
      <c r="N291" s="30" t="n"/>
      <c r="O291" s="14" t="n"/>
      <c r="P291" s="9">
        <f>Table5[[#This Row],[ (S/S) SAR]]-Table5[[#This Row],[(S/S) AJD]]</f>
        <v/>
      </c>
      <c r="Q291" s="14" t="n"/>
      <c r="R291" s="9">
        <f>Table5[[#This Row],[ (T/B) SAR]]-Table5[[#This Row],[(T/B) AJD]]</f>
        <v/>
      </c>
      <c r="S291" s="9">
        <f>Table5[[#This Row],[S/S_CON.]]+Table5[[#This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Table5[[#This Row],[(RESV. STORGE) AJD]]/10</f>
        <v/>
      </c>
      <c r="AB291" s="3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32" t="n"/>
      <c r="AN291" s="32">
        <f>Table5[[#This Row],[ (RESV. STORGE) SER]]/10</f>
        <v/>
      </c>
      <c r="AO291" s="68" t="n"/>
      <c r="AP291" s="100">
        <f>Table5[[#This Row],[(A/S) AJD]]-Table5[[#This Row],[SER_IN]]</f>
        <v/>
      </c>
    </row>
    <row r="292" ht="18.75" customHeight="1">
      <c r="A292" s="98" t="n">
        <v>47409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Table5[[#This Row],[ (T/B) SAR]]+Table5[[#This Row],[ (S/S) SAR]]</f>
        <v/>
      </c>
      <c r="L292" s="28" t="n"/>
      <c r="M292" s="29" t="n"/>
      <c r="N292" s="30" t="n"/>
      <c r="O292" s="9" t="n"/>
      <c r="P292" s="9">
        <f>Table5[[#This Row],[ (S/S) SAR]]-Table5[[#This Row],[(S/S) AJD]]</f>
        <v/>
      </c>
      <c r="Q292" s="9" t="n"/>
      <c r="R292" s="9">
        <f>Table5[[#This Row],[ (T/B) SAR]]-Table5[[#This Row],[(T/B) AJD]]</f>
        <v/>
      </c>
      <c r="S292" s="9">
        <f>Table5[[#This Row],[S/S_CON.]]+Table5[[#This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Table5[[#This Row],[(RESV. STORGE) AJD]]/10</f>
        <v/>
      </c>
      <c r="AB292" s="3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32" t="n"/>
      <c r="AN292" s="32">
        <f>Table5[[#This Row],[ (RESV. STORGE) SER]]/10</f>
        <v/>
      </c>
      <c r="AO292" s="68" t="n"/>
      <c r="AP292" s="100">
        <f>Table5[[#This Row],[(A/S) AJD]]-Table5[[#This Row],[SER_IN]]</f>
        <v/>
      </c>
    </row>
    <row r="293" ht="18.75" customHeight="1">
      <c r="A293" s="98" t="n">
        <v>47410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Table5[[#This Row],[ (T/B) SAR]]+Table5[[#This Row],[ (S/S) SAR]]</f>
        <v/>
      </c>
      <c r="L293" s="28" t="n"/>
      <c r="M293" s="29" t="n"/>
      <c r="N293" s="30" t="n"/>
      <c r="O293" s="9" t="n"/>
      <c r="P293" s="9">
        <f>Table5[[#This Row],[ (S/S) SAR]]-Table5[[#This Row],[(S/S) AJD]]</f>
        <v/>
      </c>
      <c r="Q293" s="9" t="n"/>
      <c r="R293" s="9">
        <f>Table5[[#This Row],[ (T/B) SAR]]-Table5[[#This Row],[(T/B) AJD]]</f>
        <v/>
      </c>
      <c r="S293" s="9">
        <f>Table5[[#This Row],[S/S_CON.]]+Table5[[#This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Table5[[#This Row],[(RESV. STORGE) AJD]]/10</f>
        <v/>
      </c>
      <c r="AB293" s="3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32" t="n"/>
      <c r="AN293" s="32">
        <f>Table5[[#This Row],[ (RESV. STORGE) SER]]/10</f>
        <v/>
      </c>
      <c r="AO293" s="68" t="n"/>
      <c r="AP293" s="100">
        <f>Table5[[#This Row],[(A/S) AJD]]-Table5[[#This Row],[SER_IN]]</f>
        <v/>
      </c>
    </row>
    <row r="294" ht="18.75" customHeight="1">
      <c r="A294" s="98" t="n">
        <v>47411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Table5[[#This Row],[ (T/B) SAR]]+Table5[[#This Row],[ (S/S) SAR]]</f>
        <v/>
      </c>
      <c r="L294" s="28" t="n"/>
      <c r="M294" s="29" t="n"/>
      <c r="N294" s="30" t="n"/>
      <c r="O294" s="9" t="n"/>
      <c r="P294" s="9">
        <f>Table5[[#This Row],[ (S/S) SAR]]-Table5[[#This Row],[(S/S) AJD]]</f>
        <v/>
      </c>
      <c r="Q294" s="9" t="n"/>
      <c r="R294" s="9">
        <f>Table5[[#This Row],[ (T/B) SAR]]-Table5[[#This Row],[(T/B) AJD]]</f>
        <v/>
      </c>
      <c r="S294" s="9">
        <f>Table5[[#This Row],[S/S_CON.]]+Table5[[#This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Table5[[#This Row],[(RESV. STORGE) AJD]]/10</f>
        <v/>
      </c>
      <c r="AB294" s="3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32" t="n"/>
      <c r="AN294" s="32">
        <f>Table5[[#This Row],[ (RESV. STORGE) SER]]/10</f>
        <v/>
      </c>
      <c r="AO294" s="68" t="n"/>
      <c r="AP294" s="100">
        <f>Table5[[#This Row],[(A/S) AJD]]-Table5[[#This Row],[SER_IN]]</f>
        <v/>
      </c>
    </row>
    <row r="295" ht="18.75" customHeight="1">
      <c r="A295" s="98" t="n">
        <v>47412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Table5[[#This Row],[ (T/B) SAR]]+Table5[[#This Row],[ (S/S) SAR]]</f>
        <v/>
      </c>
      <c r="L295" s="28" t="n"/>
      <c r="M295" s="29" t="n"/>
      <c r="N295" s="30" t="n"/>
      <c r="O295" s="9" t="n"/>
      <c r="P295" s="9">
        <f>Table5[[#This Row],[ (S/S) SAR]]-Table5[[#This Row],[(S/S) AJD]]</f>
        <v/>
      </c>
      <c r="Q295" s="9" t="n"/>
      <c r="R295" s="9">
        <f>Table5[[#This Row],[ (T/B) SAR]]-Table5[[#This Row],[(T/B) AJD]]</f>
        <v/>
      </c>
      <c r="S295" s="9">
        <f>Table5[[#This Row],[S/S_CON.]]+Table5[[#This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Table5[[#This Row],[(RESV. STORGE) AJD]]/10</f>
        <v/>
      </c>
      <c r="AB295" s="3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32" t="n"/>
      <c r="AN295" s="32">
        <f>Table5[[#This Row],[ (RESV. STORGE) SER]]/10</f>
        <v/>
      </c>
      <c r="AO295" s="68" t="n"/>
      <c r="AP295" s="100">
        <f>Table5[[#This Row],[(A/S) AJD]]-Table5[[#This Row],[SER_IN]]</f>
        <v/>
      </c>
    </row>
    <row r="296" ht="18.75" customHeight="1">
      <c r="A296" s="98" t="n">
        <v>47413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Table5[[#This Row],[ (T/B) SAR]]+Table5[[#This Row],[ (S/S) SAR]]</f>
        <v/>
      </c>
      <c r="L296" s="28" t="n"/>
      <c r="M296" s="29" t="n"/>
      <c r="N296" s="30" t="n"/>
      <c r="O296" s="9" t="n"/>
      <c r="P296" s="9">
        <f>Table5[[#This Row],[ (S/S) SAR]]-Table5[[#This Row],[(S/S) AJD]]</f>
        <v/>
      </c>
      <c r="Q296" s="9" t="n"/>
      <c r="R296" s="9">
        <f>Table5[[#This Row],[ (T/B) SAR]]-Table5[[#This Row],[(T/B) AJD]]</f>
        <v/>
      </c>
      <c r="S296" s="9">
        <f>Table5[[#This Row],[S/S_CON.]]+Table5[[#This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Table5[[#This Row],[(RESV. STORGE) AJD]]/10</f>
        <v/>
      </c>
      <c r="AB296" s="3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32" t="n"/>
      <c r="AN296" s="32">
        <f>Table5[[#This Row],[ (RESV. STORGE) SER]]/10</f>
        <v/>
      </c>
      <c r="AO296" s="68" t="n"/>
      <c r="AP296" s="100">
        <f>Table5[[#This Row],[(A/S) AJD]]-Table5[[#This Row],[SER_IN]]</f>
        <v/>
      </c>
    </row>
    <row r="297" ht="18.75" customHeight="1">
      <c r="A297" s="98" t="n">
        <v>47414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Table5[[#This Row],[ (T/B) SAR]]+Table5[[#This Row],[ (S/S) SAR]]</f>
        <v/>
      </c>
      <c r="L297" s="28" t="n"/>
      <c r="M297" s="29" t="n"/>
      <c r="N297" s="30" t="n"/>
      <c r="O297" s="9" t="n"/>
      <c r="P297" s="9">
        <f>Table5[[#This Row],[ (S/S) SAR]]-Table5[[#This Row],[(S/S) AJD]]</f>
        <v/>
      </c>
      <c r="Q297" s="9" t="n"/>
      <c r="R297" s="9">
        <f>Table5[[#This Row],[ (T/B) SAR]]-Table5[[#This Row],[(T/B) AJD]]</f>
        <v/>
      </c>
      <c r="S297" s="9">
        <f>Table5[[#This Row],[S/S_CON.]]+Table5[[#This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Table5[[#This Row],[(RESV. STORGE) AJD]]/10</f>
        <v/>
      </c>
      <c r="AB297" s="3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32" t="n"/>
      <c r="AN297" s="32">
        <f>Table5[[#This Row],[ (RESV. STORGE) SER]]/10</f>
        <v/>
      </c>
      <c r="AO297" s="68" t="n"/>
      <c r="AP297" s="100">
        <f>Table5[[#This Row],[(A/S) AJD]]-Table5[[#This Row],[SER_IN]]</f>
        <v/>
      </c>
    </row>
    <row r="298" ht="18.75" customHeight="1">
      <c r="A298" s="98" t="n">
        <v>47415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Table5[[#This Row],[ (T/B) SAR]]+Table5[[#This Row],[ (S/S) SAR]]</f>
        <v/>
      </c>
      <c r="L298" s="28" t="n"/>
      <c r="M298" s="29" t="n"/>
      <c r="N298" s="30" t="n"/>
      <c r="O298" s="9" t="n"/>
      <c r="P298" s="9">
        <f>Table5[[#This Row],[ (S/S) SAR]]-Table5[[#This Row],[(S/S) AJD]]</f>
        <v/>
      </c>
      <c r="Q298" s="9" t="n"/>
      <c r="R298" s="9">
        <f>Table5[[#This Row],[ (T/B) SAR]]-Table5[[#This Row],[(T/B) AJD]]</f>
        <v/>
      </c>
      <c r="S298" s="9">
        <f>Table5[[#This Row],[S/S_CON.]]+Table5[[#This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Table5[[#This Row],[(RESV. STORGE) AJD]]/10</f>
        <v/>
      </c>
      <c r="AB298" s="3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32" t="n"/>
      <c r="AN298" s="32">
        <f>Table5[[#This Row],[ (RESV. STORGE) SER]]/10</f>
        <v/>
      </c>
      <c r="AO298" s="68" t="n"/>
      <c r="AP298" s="100">
        <f>Table5[[#This Row],[(A/S) AJD]]-Table5[[#This Row],[SER_IN]]</f>
        <v/>
      </c>
    </row>
    <row r="299" ht="18.75" customHeight="1">
      <c r="A299" s="98" t="n">
        <v>47416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Table5[[#This Row],[ (T/B) SAR]]+Table5[[#This Row],[ (S/S) SAR]]</f>
        <v/>
      </c>
      <c r="L299" s="28" t="n"/>
      <c r="M299" s="29" t="n"/>
      <c r="N299" s="30" t="n"/>
      <c r="O299" s="9" t="n"/>
      <c r="P299" s="9">
        <f>Table5[[#This Row],[ (S/S) SAR]]-Table5[[#This Row],[(S/S) AJD]]</f>
        <v/>
      </c>
      <c r="Q299" s="9" t="n"/>
      <c r="R299" s="9">
        <f>Table5[[#This Row],[ (T/B) SAR]]-Table5[[#This Row],[(T/B) AJD]]</f>
        <v/>
      </c>
      <c r="S299" s="9">
        <f>Table5[[#This Row],[S/S_CON.]]+Table5[[#This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Table5[[#This Row],[(RESV. STORGE) AJD]]/10</f>
        <v/>
      </c>
      <c r="AB299" s="3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32" t="n"/>
      <c r="AN299" s="32">
        <f>Table5[[#This Row],[ (RESV. STORGE) SER]]/10</f>
        <v/>
      </c>
      <c r="AO299" s="68" t="n"/>
      <c r="AP299" s="100">
        <f>Table5[[#This Row],[(A/S) AJD]]-Table5[[#This Row],[SER_IN]]</f>
        <v/>
      </c>
    </row>
    <row r="300" ht="18.75" customHeight="1">
      <c r="A300" s="98" t="n">
        <v>47417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Table5[[#This Row],[ (T/B) SAR]]+Table5[[#This Row],[ (S/S) SAR]]</f>
        <v/>
      </c>
      <c r="L300" s="28" t="n"/>
      <c r="M300" s="29" t="n"/>
      <c r="N300" s="30" t="n"/>
      <c r="O300" s="9" t="n"/>
      <c r="P300" s="9">
        <f>Table5[[#This Row],[ (S/S) SAR]]-Table5[[#This Row],[(S/S) AJD]]</f>
        <v/>
      </c>
      <c r="Q300" s="9" t="n"/>
      <c r="R300" s="9">
        <f>Table5[[#This Row],[ (T/B) SAR]]-Table5[[#This Row],[(T/B) AJD]]</f>
        <v/>
      </c>
      <c r="S300" s="9">
        <f>Table5[[#This Row],[S/S_CON.]]+Table5[[#This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Table5[[#This Row],[(RESV. STORGE) AJD]]/10</f>
        <v/>
      </c>
      <c r="AB300" s="3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32" t="n"/>
      <c r="AN300" s="32">
        <f>Table5[[#This Row],[ (RESV. STORGE) SER]]/10</f>
        <v/>
      </c>
      <c r="AO300" s="68" t="n"/>
      <c r="AP300" s="100">
        <f>Table5[[#This Row],[(A/S) AJD]]-Table5[[#This Row],[SER_IN]]</f>
        <v/>
      </c>
    </row>
    <row r="301" ht="18.75" customHeight="1">
      <c r="A301" s="98" t="n">
        <v>47418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Table5[[#This Row],[ (T/B) SAR]]+Table5[[#This Row],[ (S/S) SAR]]</f>
        <v/>
      </c>
      <c r="L301" s="28" t="n"/>
      <c r="M301" s="29" t="n"/>
      <c r="N301" s="30" t="n"/>
      <c r="O301" s="9" t="n"/>
      <c r="P301" s="9">
        <f>Table5[[#This Row],[ (S/S) SAR]]-Table5[[#This Row],[(S/S) AJD]]</f>
        <v/>
      </c>
      <c r="Q301" s="9" t="n"/>
      <c r="R301" s="9">
        <f>Table5[[#This Row],[ (T/B) SAR]]-Table5[[#This Row],[(T/B) AJD]]</f>
        <v/>
      </c>
      <c r="S301" s="9">
        <f>Table5[[#This Row],[S/S_CON.]]+Table5[[#This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Table5[[#This Row],[(RESV. STORGE) AJD]]/10</f>
        <v/>
      </c>
      <c r="AB301" s="3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32" t="n"/>
      <c r="AN301" s="32">
        <f>Table5[[#This Row],[ (RESV. STORGE) SER]]/10</f>
        <v/>
      </c>
      <c r="AO301" s="68" t="n"/>
      <c r="AP301" s="100">
        <f>Table5[[#This Row],[(A/S) AJD]]-Table5[[#This Row],[SER_IN]]</f>
        <v/>
      </c>
    </row>
    <row r="302" ht="18.75" customHeight="1">
      <c r="A302" s="98" t="n">
        <v>47419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Table5[[#This Row],[ (T/B) SAR]]+Table5[[#This Row],[ (S/S) SAR]]</f>
        <v/>
      </c>
      <c r="L302" s="28" t="n"/>
      <c r="M302" s="29" t="n"/>
      <c r="N302" s="30" t="n"/>
      <c r="O302" s="9" t="n"/>
      <c r="P302" s="9">
        <f>Table5[[#This Row],[ (S/S) SAR]]-Table5[[#This Row],[(S/S) AJD]]</f>
        <v/>
      </c>
      <c r="Q302" s="9" t="n"/>
      <c r="R302" s="9">
        <f>Table5[[#This Row],[ (T/B) SAR]]-Table5[[#This Row],[(T/B) AJD]]</f>
        <v/>
      </c>
      <c r="S302" s="9">
        <f>Table5[[#This Row],[S/S_CON.]]+Table5[[#This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Table5[[#This Row],[(RESV. STORGE) AJD]]/10</f>
        <v/>
      </c>
      <c r="AB302" s="3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32" t="n"/>
      <c r="AN302" s="32">
        <f>Table5[[#This Row],[ (RESV. STORGE) SER]]/10</f>
        <v/>
      </c>
      <c r="AO302" s="68" t="n"/>
      <c r="AP302" s="100">
        <f>Table5[[#This Row],[(A/S) AJD]]-Table5[[#This Row],[SER_IN]]</f>
        <v/>
      </c>
    </row>
    <row r="303" ht="18.75" customHeight="1">
      <c r="A303" s="98" t="n">
        <v>47420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Table5[[#This Row],[ (T/B) SAR]]+Table5[[#This Row],[ (S/S) SAR]]</f>
        <v/>
      </c>
      <c r="L303" s="28" t="n"/>
      <c r="M303" s="29" t="n"/>
      <c r="N303" s="30" t="n"/>
      <c r="O303" s="9" t="n"/>
      <c r="P303" s="9">
        <f>Table5[[#This Row],[ (S/S) SAR]]-Table5[[#This Row],[(S/S) AJD]]</f>
        <v/>
      </c>
      <c r="Q303" s="9" t="n"/>
      <c r="R303" s="9">
        <f>Table5[[#This Row],[ (T/B) SAR]]-Table5[[#This Row],[(T/B) AJD]]</f>
        <v/>
      </c>
      <c r="S303" s="9">
        <f>Table5[[#This Row],[S/S_CON.]]+Table5[[#This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Table5[[#This Row],[(RESV. STORGE) AJD]]/10</f>
        <v/>
      </c>
      <c r="AB303" s="3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32" t="n"/>
      <c r="AN303" s="32">
        <f>Table5[[#This Row],[ (RESV. STORGE) SER]]/10</f>
        <v/>
      </c>
      <c r="AO303" s="68" t="n"/>
      <c r="AP303" s="100">
        <f>Table5[[#This Row],[(A/S) AJD]]-Table5[[#This Row],[SER_IN]]</f>
        <v/>
      </c>
    </row>
    <row r="304" ht="18.75" customHeight="1">
      <c r="A304" s="98" t="n">
        <v>47421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Table5[[#This Row],[ (T/B) SAR]]+Table5[[#This Row],[ (S/S) SAR]]</f>
        <v/>
      </c>
      <c r="L304" s="28" t="n"/>
      <c r="M304" s="29" t="n"/>
      <c r="N304" s="30" t="n"/>
      <c r="O304" s="9" t="n"/>
      <c r="P304" s="9">
        <f>Table5[[#This Row],[ (S/S) SAR]]-Table5[[#This Row],[(S/S) AJD]]</f>
        <v/>
      </c>
      <c r="Q304" s="9" t="n"/>
      <c r="R304" s="9">
        <f>Table5[[#This Row],[ (T/B) SAR]]-Table5[[#This Row],[(T/B) AJD]]</f>
        <v/>
      </c>
      <c r="S304" s="9">
        <f>Table5[[#This Row],[S/S_CON.]]+Table5[[#This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Table5[[#This Row],[(RESV. STORGE) AJD]]/10</f>
        <v/>
      </c>
      <c r="AB304" s="3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32" t="n"/>
      <c r="AN304" s="32">
        <f>Table5[[#This Row],[ (RESV. STORGE) SER]]/10</f>
        <v/>
      </c>
      <c r="AO304" s="68" t="n"/>
      <c r="AP304" s="100">
        <f>Table5[[#This Row],[(A/S) AJD]]-Table5[[#This Row],[SER_IN]]</f>
        <v/>
      </c>
    </row>
    <row r="305" ht="18.75" customHeight="1">
      <c r="A305" s="98" t="n">
        <v>47422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Table5[[#This Row],[ (T/B) SAR]]+Table5[[#This Row],[ (S/S) SAR]]</f>
        <v/>
      </c>
      <c r="L305" s="28" t="n"/>
      <c r="M305" s="29" t="n"/>
      <c r="N305" s="30" t="n"/>
      <c r="O305" s="9" t="n"/>
      <c r="P305" s="9">
        <f>Table5[[#This Row],[ (S/S) SAR]]-Table5[[#This Row],[(S/S) AJD]]</f>
        <v/>
      </c>
      <c r="Q305" s="9" t="n"/>
      <c r="R305" s="9">
        <f>Table5[[#This Row],[ (T/B) SAR]]-Table5[[#This Row],[(T/B) AJD]]</f>
        <v/>
      </c>
      <c r="S305" s="9">
        <f>Table5[[#This Row],[S/S_CON.]]+Table5[[#This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Table5[[#This Row],[(RESV. STORGE) AJD]]/10</f>
        <v/>
      </c>
      <c r="AB305" s="3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32" t="n"/>
      <c r="AN305" s="32">
        <f>Table5[[#This Row],[ (RESV. STORGE) SER]]/10</f>
        <v/>
      </c>
      <c r="AO305" s="68" t="n"/>
      <c r="AP305" s="100">
        <f>Table5[[#This Row],[(A/S) AJD]]-Table5[[#This Row],[SER_IN]]</f>
        <v/>
      </c>
    </row>
    <row r="306" ht="18.75" customHeight="1">
      <c r="A306" s="98" t="n">
        <v>47423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Table5[[#This Row],[ (T/B) SAR]]+Table5[[#This Row],[ (S/S) SAR]]</f>
        <v/>
      </c>
      <c r="L306" s="28" t="n"/>
      <c r="M306" s="29" t="n"/>
      <c r="N306" s="30" t="n"/>
      <c r="O306" s="39" t="n"/>
      <c r="P306" s="9">
        <f>Table5[[#This Row],[ (S/S) SAR]]-Table5[[#This Row],[(S/S) AJD]]</f>
        <v/>
      </c>
      <c r="Q306" s="9" t="n"/>
      <c r="R306" s="9">
        <f>Table5[[#This Row],[ (T/B) SAR]]-Table5[[#This Row],[(T/B) AJD]]</f>
        <v/>
      </c>
      <c r="S306" s="9">
        <f>Table5[[#This Row],[S/S_CON.]]+Table5[[#This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Table5[[#This Row],[(RESV. STORGE) AJD]]/10</f>
        <v/>
      </c>
      <c r="AB306" s="3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32" t="n"/>
      <c r="AN306" s="32">
        <f>Table5[[#This Row],[ (RESV. STORGE) SER]]/10</f>
        <v/>
      </c>
      <c r="AO306" s="68" t="n"/>
      <c r="AP306" s="100">
        <f>Table5[[#This Row],[(A/S) AJD]]-Table5[[#This Row],[SER_IN]]</f>
        <v/>
      </c>
    </row>
    <row r="307" ht="18.75" customHeight="1">
      <c r="A307" s="98" t="n">
        <v>47424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Table5[[#This Row],[ (T/B) SAR]]+Table5[[#This Row],[ (S/S) SAR]]</f>
        <v/>
      </c>
      <c r="L307" s="28" t="n"/>
      <c r="M307" s="29" t="n"/>
      <c r="N307" s="30" t="n"/>
      <c r="O307" s="40" t="n"/>
      <c r="P307" s="9">
        <f>Table5[[#This Row],[ (S/S) SAR]]-Table5[[#This Row],[(S/S) AJD]]</f>
        <v/>
      </c>
      <c r="Q307" s="9" t="n"/>
      <c r="R307" s="9">
        <f>Table5[[#This Row],[ (T/B) SAR]]-Table5[[#This Row],[(T/B) AJD]]</f>
        <v/>
      </c>
      <c r="S307" s="9">
        <f>Table5[[#This Row],[S/S_CON.]]+Table5[[#This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Table5[[#This Row],[(RESV. STORGE) AJD]]/10</f>
        <v/>
      </c>
      <c r="AB307" s="3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32" t="n"/>
      <c r="AN307" s="32">
        <f>Table5[[#This Row],[ (RESV. STORGE) SER]]/10</f>
        <v/>
      </c>
      <c r="AO307" s="68" t="n"/>
      <c r="AP307" s="100">
        <f>Table5[[#This Row],[(A/S) AJD]]-Table5[[#This Row],[SER_IN]]</f>
        <v/>
      </c>
    </row>
    <row r="308" ht="18.75" customHeight="1">
      <c r="A308" s="98" t="n">
        <v>47425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Table5[[#This Row],[ (T/B) SAR]]+Table5[[#This Row],[ (S/S) SAR]]</f>
        <v/>
      </c>
      <c r="L308" s="28" t="n"/>
      <c r="M308" s="29" t="n"/>
      <c r="N308" s="30" t="n"/>
      <c r="O308" s="39" t="n"/>
      <c r="P308" s="9">
        <f>Table5[[#This Row],[ (S/S) SAR]]-Table5[[#This Row],[(S/S) AJD]]</f>
        <v/>
      </c>
      <c r="Q308" s="9" t="n"/>
      <c r="R308" s="9">
        <f>Table5[[#This Row],[ (T/B) SAR]]-Table5[[#This Row],[(T/B) AJD]]</f>
        <v/>
      </c>
      <c r="S308" s="9">
        <f>Table5[[#This Row],[S/S_CON.]]+Table5[[#This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Table5[[#This Row],[(RESV. STORGE) AJD]]/10</f>
        <v/>
      </c>
      <c r="AB308" s="3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32" t="n"/>
      <c r="AN308" s="32">
        <f>Table5[[#This Row],[ (RESV. STORGE) SER]]/10</f>
        <v/>
      </c>
      <c r="AO308" s="68" t="n"/>
      <c r="AP308" s="100">
        <f>Table5[[#This Row],[(A/S) AJD]]-Table5[[#This Row],[SER_IN]]</f>
        <v/>
      </c>
    </row>
    <row r="309" ht="18.75" customHeight="1">
      <c r="A309" s="98" t="n">
        <v>47426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Table5[[#This Row],[ (T/B) SAR]]+Table5[[#This Row],[ (S/S) SAR]]</f>
        <v/>
      </c>
      <c r="L309" s="28" t="n"/>
      <c r="M309" s="29" t="n"/>
      <c r="N309" s="30" t="n"/>
      <c r="O309" s="40" t="n"/>
      <c r="P309" s="9">
        <f>Table5[[#This Row],[ (S/S) SAR]]-Table5[[#This Row],[(S/S) AJD]]</f>
        <v/>
      </c>
      <c r="Q309" s="9" t="n"/>
      <c r="R309" s="9">
        <f>Table5[[#This Row],[ (T/B) SAR]]-Table5[[#This Row],[(T/B) AJD]]</f>
        <v/>
      </c>
      <c r="S309" s="9">
        <f>Table5[[#This Row],[S/S_CON.]]+Table5[[#This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Table5[[#This Row],[(RESV. STORGE) AJD]]/10</f>
        <v/>
      </c>
      <c r="AB309" s="3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32" t="n"/>
      <c r="AN309" s="32">
        <f>Table5[[#This Row],[ (RESV. STORGE) SER]]/10</f>
        <v/>
      </c>
      <c r="AO309" s="68" t="n"/>
      <c r="AP309" s="100">
        <f>Table5[[#This Row],[(A/S) AJD]]-Table5[[#This Row],[SER_IN]]</f>
        <v/>
      </c>
    </row>
    <row r="310" ht="18.75" customHeight="1">
      <c r="A310" s="98" t="n">
        <v>47427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Table5[[#This Row],[ (T/B) SAR]]+Table5[[#This Row],[ (S/S) SAR]]</f>
        <v/>
      </c>
      <c r="L310" s="28" t="n"/>
      <c r="M310" s="29" t="n"/>
      <c r="N310" s="30" t="n"/>
      <c r="O310" s="39" t="n"/>
      <c r="P310" s="9">
        <f>Table5[[#This Row],[ (S/S) SAR]]-Table5[[#This Row],[(S/S) AJD]]</f>
        <v/>
      </c>
      <c r="Q310" s="9" t="n"/>
      <c r="R310" s="9">
        <f>Table5[[#This Row],[ (T/B) SAR]]-Table5[[#This Row],[(T/B) AJD]]</f>
        <v/>
      </c>
      <c r="S310" s="9">
        <f>Table5[[#This Row],[S/S_CON.]]+Table5[[#This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Table5[[#This Row],[(RESV. STORGE) AJD]]/10</f>
        <v/>
      </c>
      <c r="AB310" s="3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32" t="n"/>
      <c r="AN310" s="32">
        <f>Table5[[#This Row],[ (RESV. STORGE) SER]]/10</f>
        <v/>
      </c>
      <c r="AO310" s="68" t="n"/>
      <c r="AP310" s="100">
        <f>Table5[[#This Row],[(A/S) AJD]]-Table5[[#This Row],[SER_IN]]</f>
        <v/>
      </c>
    </row>
    <row r="311" ht="18.75" customHeight="1">
      <c r="A311" s="98" t="n">
        <v>47428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Table5[[#This Row],[ (T/B) SAR]]+Table5[[#This Row],[ (S/S) SAR]]</f>
        <v/>
      </c>
      <c r="L311" s="28" t="n"/>
      <c r="M311" s="29" t="n"/>
      <c r="N311" s="30" t="n"/>
      <c r="O311" s="40" t="n"/>
      <c r="P311" s="9">
        <f>Table5[[#This Row],[ (S/S) SAR]]-Table5[[#This Row],[(S/S) AJD]]</f>
        <v/>
      </c>
      <c r="Q311" s="9" t="n"/>
      <c r="R311" s="9">
        <f>Table5[[#This Row],[ (T/B) SAR]]-Table5[[#This Row],[(T/B) AJD]]</f>
        <v/>
      </c>
      <c r="S311" s="9">
        <f>Table5[[#This Row],[S/S_CON.]]+Table5[[#This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Table5[[#This Row],[(RESV. STORGE) AJD]]/10</f>
        <v/>
      </c>
      <c r="AB311" s="3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32" t="n"/>
      <c r="AN311" s="32">
        <f>Table5[[#This Row],[ (RESV. STORGE) SER]]/10</f>
        <v/>
      </c>
      <c r="AO311" s="68" t="n"/>
      <c r="AP311" s="100">
        <f>Table5[[#This Row],[(A/S) AJD]]-Table5[[#This Row],[SER_IN]]</f>
        <v/>
      </c>
    </row>
    <row r="312" ht="18.75" customHeight="1">
      <c r="A312" s="98" t="n">
        <v>47429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Table5[[#This Row],[ (T/B) SAR]]+Table5[[#This Row],[ (S/S) SAR]]</f>
        <v/>
      </c>
      <c r="L312" s="28" t="n"/>
      <c r="M312" s="29" t="n"/>
      <c r="N312" s="30" t="n"/>
      <c r="O312" s="39" t="n"/>
      <c r="P312" s="9">
        <f>Table5[[#This Row],[ (S/S) SAR]]-Table5[[#This Row],[(S/S) AJD]]</f>
        <v/>
      </c>
      <c r="Q312" s="9" t="n"/>
      <c r="R312" s="9">
        <f>Table5[[#This Row],[ (T/B) SAR]]-Table5[[#This Row],[(T/B) AJD]]</f>
        <v/>
      </c>
      <c r="S312" s="9">
        <f>Table5[[#This Row],[S/S_CON.]]+Table5[[#This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Table5[[#This Row],[(RESV. STORGE) AJD]]/10</f>
        <v/>
      </c>
      <c r="AB312" s="3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32" t="n"/>
      <c r="AN312" s="32">
        <f>Table5[[#This Row],[ (RESV. STORGE) SER]]/10</f>
        <v/>
      </c>
      <c r="AO312" s="68" t="n"/>
      <c r="AP312" s="100">
        <f>Table5[[#This Row],[(A/S) AJD]]-Table5[[#This Row],[SER_IN]]</f>
        <v/>
      </c>
    </row>
    <row r="313" ht="18.75" customHeight="1">
      <c r="A313" s="98" t="n">
        <v>47430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Table5[[#This Row],[ (T/B) SAR]]+Table5[[#This Row],[ (S/S) SAR]]</f>
        <v/>
      </c>
      <c r="L313" s="28" t="n"/>
      <c r="M313" s="29" t="n"/>
      <c r="N313" s="30" t="n"/>
      <c r="O313" s="40" t="n"/>
      <c r="P313" s="9">
        <f>Table5[[#This Row],[ (S/S) SAR]]-Table5[[#This Row],[(S/S) AJD]]</f>
        <v/>
      </c>
      <c r="Q313" s="9" t="n"/>
      <c r="R313" s="9">
        <f>Table5[[#This Row],[ (T/B) SAR]]-Table5[[#This Row],[(T/B) AJD]]</f>
        <v/>
      </c>
      <c r="S313" s="9">
        <f>Table5[[#This Row],[S/S_CON.]]+Table5[[#This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Table5[[#This Row],[(RESV. STORGE) AJD]]/10</f>
        <v/>
      </c>
      <c r="AB313" s="3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32" t="n"/>
      <c r="AN313" s="32">
        <f>Table5[[#This Row],[ (RESV. STORGE) SER]]/10</f>
        <v/>
      </c>
      <c r="AO313" s="68" t="n"/>
      <c r="AP313" s="100">
        <f>Table5[[#This Row],[(A/S) AJD]]-Table5[[#This Row],[SER_IN]]</f>
        <v/>
      </c>
    </row>
    <row r="314" ht="18.75" customHeight="1">
      <c r="A314" s="98" t="n">
        <v>47431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Table5[[#This Row],[ (T/B) SAR]]+Table5[[#This Row],[ (S/S) SAR]]</f>
        <v/>
      </c>
      <c r="L314" s="28" t="n"/>
      <c r="M314" s="29" t="n"/>
      <c r="N314" s="30" t="n"/>
      <c r="O314" s="39" t="n"/>
      <c r="P314" s="9">
        <f>Table5[[#This Row],[ (S/S) SAR]]-Table5[[#This Row],[(S/S) AJD]]</f>
        <v/>
      </c>
      <c r="Q314" s="9" t="n"/>
      <c r="R314" s="9">
        <f>Table5[[#This Row],[ (T/B) SAR]]-Table5[[#This Row],[(T/B) AJD]]</f>
        <v/>
      </c>
      <c r="S314" s="9">
        <f>Table5[[#This Row],[S/S_CON.]]+Table5[[#This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Table5[[#This Row],[(RESV. STORGE) AJD]]/10</f>
        <v/>
      </c>
      <c r="AB314" s="3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32" t="n"/>
      <c r="AN314" s="32">
        <f>Table5[[#This Row],[ (RESV. STORGE) SER]]/10</f>
        <v/>
      </c>
      <c r="AO314" s="68" t="n"/>
      <c r="AP314" s="100">
        <f>Table5[[#This Row],[(A/S) AJD]]-Table5[[#This Row],[SER_IN]]</f>
        <v/>
      </c>
    </row>
    <row r="315" ht="18.75" customHeight="1">
      <c r="A315" s="98" t="n">
        <v>47432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Table5[[#This Row],[ (T/B) SAR]]+Table5[[#This Row],[ (S/S) SAR]]</f>
        <v/>
      </c>
      <c r="L315" s="28" t="n"/>
      <c r="M315" s="29" t="n"/>
      <c r="N315" s="30" t="n"/>
      <c r="O315" s="40" t="n"/>
      <c r="P315" s="9">
        <f>Table5[[#This Row],[ (S/S) SAR]]-Table5[[#This Row],[(S/S) AJD]]</f>
        <v/>
      </c>
      <c r="Q315" s="9" t="n"/>
      <c r="R315" s="9">
        <f>Table5[[#This Row],[ (T/B) SAR]]-Table5[[#This Row],[(T/B) AJD]]</f>
        <v/>
      </c>
      <c r="S315" s="9">
        <f>Table5[[#This Row],[S/S_CON.]]+Table5[[#This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Table5[[#This Row],[(RESV. STORGE) AJD]]/10</f>
        <v/>
      </c>
      <c r="AB315" s="3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32" t="n"/>
      <c r="AN315" s="32">
        <f>Table5[[#This Row],[ (RESV. STORGE) SER]]/10</f>
        <v/>
      </c>
      <c r="AO315" s="68" t="n"/>
      <c r="AP315" s="100">
        <f>Table5[[#This Row],[(A/S) AJD]]-Table5[[#This Row],[SER_IN]]</f>
        <v/>
      </c>
    </row>
    <row r="316" ht="18.75" customHeight="1">
      <c r="A316" s="98" t="n">
        <v>47433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Table5[[#This Row],[ (T/B) SAR]]+Table5[[#This Row],[ (S/S) SAR]]</f>
        <v/>
      </c>
      <c r="L316" s="28" t="n"/>
      <c r="M316" s="29" t="n"/>
      <c r="N316" s="30" t="n"/>
      <c r="O316" s="39" t="n"/>
      <c r="P316" s="9">
        <f>Table5[[#This Row],[ (S/S) SAR]]-Table5[[#This Row],[(S/S) AJD]]</f>
        <v/>
      </c>
      <c r="Q316" s="9" t="n"/>
      <c r="R316" s="9">
        <f>Table5[[#This Row],[ (T/B) SAR]]-Table5[[#This Row],[(T/B) AJD]]</f>
        <v/>
      </c>
      <c r="S316" s="9">
        <f>Table5[[#This Row],[S/S_CON.]]+Table5[[#This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Table5[[#This Row],[(RESV. STORGE) AJD]]/10</f>
        <v/>
      </c>
      <c r="AB316" s="3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32" t="n"/>
      <c r="AN316" s="32">
        <f>Table5[[#This Row],[ (RESV. STORGE) SER]]/10</f>
        <v/>
      </c>
      <c r="AO316" s="68" t="n"/>
      <c r="AP316" s="100">
        <f>Table5[[#This Row],[(A/S) AJD]]-Table5[[#This Row],[SER_IN]]</f>
        <v/>
      </c>
    </row>
    <row r="317" ht="18.75" customHeight="1">
      <c r="A317" s="98" t="n">
        <v>47434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Table5[[#This Row],[ (T/B) SAR]]+Table5[[#This Row],[ (S/S) SAR]]</f>
        <v/>
      </c>
      <c r="L317" s="28" t="n"/>
      <c r="M317" s="29" t="n"/>
      <c r="N317" s="30" t="n"/>
      <c r="O317" s="40" t="n"/>
      <c r="P317" s="9">
        <f>Table5[[#This Row],[ (S/S) SAR]]-Table5[[#This Row],[(S/S) AJD]]</f>
        <v/>
      </c>
      <c r="Q317" s="9" t="n"/>
      <c r="R317" s="9">
        <f>Table5[[#This Row],[ (T/B) SAR]]-Table5[[#This Row],[(T/B) AJD]]</f>
        <v/>
      </c>
      <c r="S317" s="9">
        <f>Table5[[#This Row],[S/S_CON.]]+Table5[[#This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Table5[[#This Row],[(RESV. STORGE) AJD]]/10</f>
        <v/>
      </c>
      <c r="AB317" s="3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32" t="n"/>
      <c r="AN317" s="32">
        <f>Table5[[#This Row],[ (RESV. STORGE) SER]]/10</f>
        <v/>
      </c>
      <c r="AO317" s="68" t="n"/>
      <c r="AP317" s="100">
        <f>Table5[[#This Row],[(A/S) AJD]]-Table5[[#This Row],[SER_IN]]</f>
        <v/>
      </c>
    </row>
    <row r="318" ht="18.75" customHeight="1">
      <c r="A318" s="98" t="n">
        <v>47435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Table5[[#This Row],[ (T/B) SAR]]+Table5[[#This Row],[ (S/S) SAR]]</f>
        <v/>
      </c>
      <c r="L318" s="28" t="n"/>
      <c r="M318" s="29" t="n"/>
      <c r="N318" s="30" t="n"/>
      <c r="O318" s="39" t="n"/>
      <c r="P318" s="9">
        <f>Table5[[#This Row],[ (S/S) SAR]]-Table5[[#This Row],[(S/S) AJD]]</f>
        <v/>
      </c>
      <c r="Q318" s="9" t="n"/>
      <c r="R318" s="9">
        <f>Table5[[#This Row],[ (T/B) SAR]]-Table5[[#This Row],[(T/B) AJD]]</f>
        <v/>
      </c>
      <c r="S318" s="9">
        <f>Table5[[#This Row],[S/S_CON.]]+Table5[[#This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Table5[[#This Row],[(RESV. STORGE) AJD]]/10</f>
        <v/>
      </c>
      <c r="AB318" s="3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32" t="n"/>
      <c r="AN318" s="32">
        <f>Table5[[#This Row],[ (RESV. STORGE) SER]]/10</f>
        <v/>
      </c>
      <c r="AO318" s="68" t="n"/>
      <c r="AP318" s="100">
        <f>Table5[[#This Row],[(A/S) AJD]]-Table5[[#This Row],[SER_IN]]</f>
        <v/>
      </c>
    </row>
    <row r="319" ht="18.75" customHeight="1">
      <c r="A319" s="98" t="n">
        <v>47436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Table5[[#This Row],[ (T/B) SAR]]+Table5[[#This Row],[ (S/S) SAR]]</f>
        <v/>
      </c>
      <c r="L319" s="28" t="n"/>
      <c r="M319" s="29" t="n"/>
      <c r="N319" s="30" t="n"/>
      <c r="O319" s="40" t="n"/>
      <c r="P319" s="9">
        <f>Table5[[#This Row],[ (S/S) SAR]]-Table5[[#This Row],[(S/S) AJD]]</f>
        <v/>
      </c>
      <c r="Q319" s="9" t="n"/>
      <c r="R319" s="9">
        <f>Table5[[#This Row],[ (T/B) SAR]]-Table5[[#This Row],[(T/B) AJD]]</f>
        <v/>
      </c>
      <c r="S319" s="9">
        <f>Table5[[#This Row],[S/S_CON.]]+Table5[[#This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Table5[[#This Row],[(RESV. STORGE) AJD]]/10</f>
        <v/>
      </c>
      <c r="AB319" s="3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32" t="n"/>
      <c r="AN319" s="32">
        <f>Table5[[#This Row],[ (RESV. STORGE) SER]]/10</f>
        <v/>
      </c>
      <c r="AO319" s="68" t="n"/>
      <c r="AP319" s="100">
        <f>Table5[[#This Row],[(A/S) AJD]]-Table5[[#This Row],[SER_IN]]</f>
        <v/>
      </c>
    </row>
    <row r="320" ht="18.75" customHeight="1">
      <c r="A320" s="98" t="n">
        <v>47437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Table5[[#This Row],[ (T/B) SAR]]+Table5[[#This Row],[ (S/S) SAR]]</f>
        <v/>
      </c>
      <c r="L320" s="28" t="n"/>
      <c r="M320" s="29" t="n"/>
      <c r="N320" s="30" t="n"/>
      <c r="O320" s="39" t="n"/>
      <c r="P320" s="9">
        <f>Table5[[#This Row],[ (S/S) SAR]]-Table5[[#This Row],[(S/S) AJD]]</f>
        <v/>
      </c>
      <c r="Q320" s="9" t="n"/>
      <c r="R320" s="9">
        <f>Table5[[#This Row],[ (T/B) SAR]]-Table5[[#This Row],[(T/B) AJD]]</f>
        <v/>
      </c>
      <c r="S320" s="9">
        <f>Table5[[#This Row],[S/S_CON.]]+Table5[[#This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Table5[[#This Row],[(RESV. STORGE) AJD]]/10</f>
        <v/>
      </c>
      <c r="AB320" s="3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32" t="n"/>
      <c r="AN320" s="32">
        <f>Table5[[#This Row],[ (RESV. STORGE) SER]]/10</f>
        <v/>
      </c>
      <c r="AO320" s="68" t="n"/>
      <c r="AP320" s="100">
        <f>Table5[[#This Row],[(A/S) AJD]]-Table5[[#This Row],[SER_IN]]</f>
        <v/>
      </c>
    </row>
    <row r="321" ht="18.75" customHeight="1">
      <c r="A321" s="98" t="n">
        <v>47438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Table5[[#This Row],[ (T/B) SAR]]+Table5[[#This Row],[ (S/S) SAR]]</f>
        <v/>
      </c>
      <c r="L321" s="28" t="n"/>
      <c r="M321" s="29" t="n"/>
      <c r="N321" s="30" t="n"/>
      <c r="O321" s="40" t="n"/>
      <c r="P321" s="9">
        <f>Table5[[#This Row],[ (S/S) SAR]]-Table5[[#This Row],[(S/S) AJD]]</f>
        <v/>
      </c>
      <c r="Q321" s="9" t="n"/>
      <c r="R321" s="9">
        <f>Table5[[#This Row],[ (T/B) SAR]]-Table5[[#This Row],[(T/B) AJD]]</f>
        <v/>
      </c>
      <c r="S321" s="9">
        <f>Table5[[#This Row],[S/S_CON.]]+Table5[[#This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Table5[[#This Row],[(RESV. STORGE) AJD]]/10</f>
        <v/>
      </c>
      <c r="AB321" s="3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32" t="n"/>
      <c r="AN321" s="32">
        <f>Table5[[#This Row],[ (RESV. STORGE) SER]]/10</f>
        <v/>
      </c>
      <c r="AO321" s="68" t="n"/>
      <c r="AP321" s="100">
        <f>Table5[[#This Row],[(A/S) AJD]]-Table5[[#This Row],[SER_IN]]</f>
        <v/>
      </c>
    </row>
    <row r="322" ht="18.75" customHeight="1">
      <c r="A322" s="98" t="n">
        <v>47439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Table5[[#This Row],[ (T/B) SAR]]+Table5[[#This Row],[ (S/S) SAR]]</f>
        <v/>
      </c>
      <c r="L322" s="28" t="n"/>
      <c r="M322" s="29" t="n"/>
      <c r="N322" s="30" t="n"/>
      <c r="O322" s="39" t="n"/>
      <c r="P322" s="9">
        <f>Table5[[#This Row],[ (S/S) SAR]]-Table5[[#This Row],[(S/S) AJD]]</f>
        <v/>
      </c>
      <c r="Q322" s="9" t="n"/>
      <c r="R322" s="9">
        <f>Table5[[#This Row],[ (T/B) SAR]]-Table5[[#This Row],[(T/B) AJD]]</f>
        <v/>
      </c>
      <c r="S322" s="9">
        <f>Table5[[#This Row],[S/S_CON.]]+Table5[[#This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Table5[[#This Row],[(RESV. STORGE) AJD]]/10</f>
        <v/>
      </c>
      <c r="AB322" s="3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32" t="n"/>
      <c r="AN322" s="32">
        <f>Table5[[#This Row],[ (RESV. STORGE) SER]]/10</f>
        <v/>
      </c>
      <c r="AO322" s="68" t="n"/>
      <c r="AP322" s="100">
        <f>Table5[[#This Row],[(A/S) AJD]]-Table5[[#This Row],[SER_IN]]</f>
        <v/>
      </c>
    </row>
    <row r="323" ht="18.75" customHeight="1">
      <c r="A323" s="98" t="n">
        <v>47440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Table5[[#This Row],[ (T/B) SAR]]+Table5[[#This Row],[ (S/S) SAR]]</f>
        <v/>
      </c>
      <c r="L323" s="28" t="n"/>
      <c r="M323" s="29" t="n"/>
      <c r="N323" s="30" t="n"/>
      <c r="O323" s="40" t="n"/>
      <c r="P323" s="9">
        <f>Table5[[#This Row],[ (S/S) SAR]]-Table5[[#This Row],[(S/S) AJD]]</f>
        <v/>
      </c>
      <c r="Q323" s="9" t="n"/>
      <c r="R323" s="9">
        <f>Table5[[#This Row],[ (T/B) SAR]]-Table5[[#This Row],[(T/B) AJD]]</f>
        <v/>
      </c>
      <c r="S323" s="9">
        <f>Table5[[#This Row],[S/S_CON.]]+Table5[[#This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Table5[[#This Row],[(RESV. STORGE) AJD]]/10</f>
        <v/>
      </c>
      <c r="AB323" s="3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32" t="n"/>
      <c r="AN323" s="32">
        <f>Table5[[#This Row],[ (RESV. STORGE) SER]]/10</f>
        <v/>
      </c>
      <c r="AO323" s="68" t="n"/>
      <c r="AP323" s="100">
        <f>Table5[[#This Row],[(A/S) AJD]]-Table5[[#This Row],[SER_IN]]</f>
        <v/>
      </c>
    </row>
    <row r="324" ht="18.75" customHeight="1">
      <c r="A324" s="98" t="n">
        <v>47441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Table5[[#This Row],[ (T/B) SAR]]+Table5[[#This Row],[ (S/S) SAR]]</f>
        <v/>
      </c>
      <c r="L324" s="28" t="n"/>
      <c r="M324" s="29" t="n"/>
      <c r="N324" s="30" t="n"/>
      <c r="O324" s="39" t="n"/>
      <c r="P324" s="9">
        <f>Table5[[#This Row],[ (S/S) SAR]]-Table5[[#This Row],[(S/S) AJD]]</f>
        <v/>
      </c>
      <c r="Q324" s="9" t="n"/>
      <c r="R324" s="9">
        <f>Table5[[#This Row],[ (T/B) SAR]]-Table5[[#This Row],[(T/B) AJD]]</f>
        <v/>
      </c>
      <c r="S324" s="9">
        <f>Table5[[#This Row],[S/S_CON.]]+Table5[[#This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Table5[[#This Row],[(RESV. STORGE) AJD]]/10</f>
        <v/>
      </c>
      <c r="AB324" s="3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32" t="n"/>
      <c r="AN324" s="32">
        <f>Table5[[#This Row],[ (RESV. STORGE) SER]]/10</f>
        <v/>
      </c>
      <c r="AO324" s="68" t="n"/>
      <c r="AP324" s="100">
        <f>Table5[[#This Row],[(A/S) AJD]]-Table5[[#This Row],[SER_IN]]</f>
        <v/>
      </c>
    </row>
    <row r="325" ht="18.75" customHeight="1">
      <c r="A325" s="98" t="n">
        <v>47442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Table5[[#This Row],[ (T/B) SAR]]+Table5[[#This Row],[ (S/S) SAR]]</f>
        <v/>
      </c>
      <c r="L325" s="28" t="n"/>
      <c r="M325" s="29" t="n"/>
      <c r="N325" s="30" t="n"/>
      <c r="O325" s="40" t="n"/>
      <c r="P325" s="9">
        <f>Table5[[#This Row],[ (S/S) SAR]]-Table5[[#This Row],[(S/S) AJD]]</f>
        <v/>
      </c>
      <c r="Q325" s="9" t="n"/>
      <c r="R325" s="9">
        <f>Table5[[#This Row],[ (T/B) SAR]]-Table5[[#This Row],[(T/B) AJD]]</f>
        <v/>
      </c>
      <c r="S325" s="9">
        <f>Table5[[#This Row],[S/S_CON.]]+Table5[[#This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Table5[[#This Row],[(RESV. STORGE) AJD]]/10</f>
        <v/>
      </c>
      <c r="AB325" s="3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32" t="n"/>
      <c r="AN325" s="32">
        <f>Table5[[#This Row],[ (RESV. STORGE) SER]]/10</f>
        <v/>
      </c>
      <c r="AO325" s="68" t="n"/>
      <c r="AP325" s="100">
        <f>Table5[[#This Row],[(A/S) AJD]]-Table5[[#This Row],[SER_IN]]</f>
        <v/>
      </c>
    </row>
    <row r="326" ht="18.75" customHeight="1">
      <c r="A326" s="98" t="n">
        <v>47443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Table5[[#This Row],[ (T/B) SAR]]+Table5[[#This Row],[ (S/S) SAR]]</f>
        <v/>
      </c>
      <c r="L326" s="28" t="n"/>
      <c r="M326" s="29" t="n"/>
      <c r="N326" s="30" t="n"/>
      <c r="O326" s="39" t="n"/>
      <c r="P326" s="9">
        <f>Table5[[#This Row],[ (S/S) SAR]]-Table5[[#This Row],[(S/S) AJD]]</f>
        <v/>
      </c>
      <c r="Q326" s="9" t="n"/>
      <c r="R326" s="9">
        <f>Table5[[#This Row],[ (T/B) SAR]]-Table5[[#This Row],[(T/B) AJD]]</f>
        <v/>
      </c>
      <c r="S326" s="9">
        <f>Table5[[#This Row],[S/S_CON.]]+Table5[[#This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Table5[[#This Row],[(RESV. STORGE) AJD]]/10</f>
        <v/>
      </c>
      <c r="AB326" s="3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32" t="n"/>
      <c r="AN326" s="32">
        <f>Table5[[#This Row],[ (RESV. STORGE) SER]]/10</f>
        <v/>
      </c>
      <c r="AO326" s="68" t="n"/>
      <c r="AP326" s="100">
        <f>Table5[[#This Row],[(A/S) AJD]]-Table5[[#This Row],[SER_IN]]</f>
        <v/>
      </c>
    </row>
    <row r="327" ht="18.75" customHeight="1">
      <c r="A327" s="98" t="n">
        <v>47444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Table5[[#This Row],[ (T/B) SAR]]+Table5[[#This Row],[ (S/S) SAR]]</f>
        <v/>
      </c>
      <c r="L327" s="28" t="n"/>
      <c r="M327" s="29" t="n"/>
      <c r="N327" s="30" t="n"/>
      <c r="O327" s="40" t="n"/>
      <c r="P327" s="9">
        <f>Table5[[#This Row],[ (S/S) SAR]]-Table5[[#This Row],[(S/S) AJD]]</f>
        <v/>
      </c>
      <c r="Q327" s="9" t="n"/>
      <c r="R327" s="9">
        <f>Table5[[#This Row],[ (T/B) SAR]]-Table5[[#This Row],[(T/B) AJD]]</f>
        <v/>
      </c>
      <c r="S327" s="9">
        <f>Table5[[#This Row],[S/S_CON.]]+Table5[[#This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Table5[[#This Row],[(RESV. STORGE) AJD]]/10</f>
        <v/>
      </c>
      <c r="AB327" s="3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32" t="n"/>
      <c r="AN327" s="32">
        <f>Table5[[#This Row],[ (RESV. STORGE) SER]]/10</f>
        <v/>
      </c>
      <c r="AO327" s="68" t="n"/>
      <c r="AP327" s="100">
        <f>Table5[[#This Row],[(A/S) AJD]]-Table5[[#This Row],[SER_IN]]</f>
        <v/>
      </c>
    </row>
    <row r="328" ht="18.75" customHeight="1">
      <c r="A328" s="98" t="n">
        <v>47445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Table5[[#This Row],[ (T/B) SAR]]+Table5[[#This Row],[ (S/S) SAR]]</f>
        <v/>
      </c>
      <c r="L328" s="28" t="n"/>
      <c r="M328" s="29" t="n"/>
      <c r="N328" s="30" t="n"/>
      <c r="O328" s="39" t="n"/>
      <c r="P328" s="9">
        <f>Table5[[#This Row],[ (S/S) SAR]]-Table5[[#This Row],[(S/S) AJD]]</f>
        <v/>
      </c>
      <c r="Q328" s="9" t="n"/>
      <c r="R328" s="9">
        <f>Table5[[#This Row],[ (T/B) SAR]]-Table5[[#This Row],[(T/B) AJD]]</f>
        <v/>
      </c>
      <c r="S328" s="9">
        <f>Table5[[#This Row],[S/S_CON.]]+Table5[[#This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Table5[[#This Row],[(RESV. STORGE) AJD]]/10</f>
        <v/>
      </c>
      <c r="AB328" s="3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32" t="n"/>
      <c r="AN328" s="32">
        <f>Table5[[#This Row],[ (RESV. STORGE) SER]]/10</f>
        <v/>
      </c>
      <c r="AO328" s="68" t="n"/>
      <c r="AP328" s="100">
        <f>Table5[[#This Row],[(A/S) AJD]]-Table5[[#This Row],[SER_IN]]</f>
        <v/>
      </c>
    </row>
    <row r="329" ht="18.75" customHeight="1">
      <c r="A329" s="98" t="n">
        <v>47446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Table5[[#This Row],[ (T/B) SAR]]+Table5[[#This Row],[ (S/S) SAR]]</f>
        <v/>
      </c>
      <c r="L329" s="28" t="n"/>
      <c r="M329" s="29" t="n"/>
      <c r="N329" s="30" t="n"/>
      <c r="O329" s="40" t="n"/>
      <c r="P329" s="9">
        <f>Table5[[#This Row],[ (S/S) SAR]]-Table5[[#This Row],[(S/S) AJD]]</f>
        <v/>
      </c>
      <c r="Q329" s="9" t="n"/>
      <c r="R329" s="9">
        <f>Table5[[#This Row],[ (T/B) SAR]]-Table5[[#This Row],[(T/B) AJD]]</f>
        <v/>
      </c>
      <c r="S329" s="9">
        <f>Table5[[#This Row],[S/S_CON.]]+Table5[[#This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Table5[[#This Row],[(RESV. STORGE) AJD]]/10</f>
        <v/>
      </c>
      <c r="AB329" s="3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32" t="n"/>
      <c r="AN329" s="32">
        <f>Table5[[#This Row],[ (RESV. STORGE) SER]]/10</f>
        <v/>
      </c>
      <c r="AO329" s="68" t="n"/>
      <c r="AP329" s="100">
        <f>Table5[[#This Row],[(A/S) AJD]]-Table5[[#This Row],[SER_IN]]</f>
        <v/>
      </c>
    </row>
    <row r="330" ht="18.75" customHeight="1">
      <c r="A330" s="98" t="n">
        <v>47447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Table5[[#This Row],[ (T/B) SAR]]+Table5[[#This Row],[ (S/S) SAR]]</f>
        <v/>
      </c>
      <c r="L330" s="28" t="n"/>
      <c r="M330" s="29" t="n"/>
      <c r="N330" s="30" t="n"/>
      <c r="O330" s="39" t="n"/>
      <c r="P330" s="9">
        <f>Table5[[#This Row],[ (S/S) SAR]]-Table5[[#This Row],[(S/S) AJD]]</f>
        <v/>
      </c>
      <c r="Q330" s="9" t="n"/>
      <c r="R330" s="9">
        <f>Table5[[#This Row],[ (T/B) SAR]]-Table5[[#This Row],[(T/B) AJD]]</f>
        <v/>
      </c>
      <c r="S330" s="9">
        <f>Table5[[#This Row],[S/S_CON.]]+Table5[[#This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Table5[[#This Row],[(RESV. STORGE) AJD]]/10</f>
        <v/>
      </c>
      <c r="AB330" s="3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32" t="n"/>
      <c r="AN330" s="32">
        <f>Table5[[#This Row],[ (RESV. STORGE) SER]]/10</f>
        <v/>
      </c>
      <c r="AO330" s="68" t="n"/>
      <c r="AP330" s="100">
        <f>Table5[[#This Row],[(A/S) AJD]]-Table5[[#This Row],[SER_IN]]</f>
        <v/>
      </c>
    </row>
    <row r="331" ht="18.75" customHeight="1">
      <c r="A331" s="98" t="n">
        <v>47448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Table5[[#This Row],[ (T/B) SAR]]+Table5[[#This Row],[ (S/S) SAR]]</f>
        <v/>
      </c>
      <c r="L331" s="28" t="n"/>
      <c r="M331" s="29" t="n"/>
      <c r="N331" s="30" t="n"/>
      <c r="O331" s="40" t="n"/>
      <c r="P331" s="9">
        <f>Table5[[#This Row],[ (S/S) SAR]]-Table5[[#This Row],[(S/S) AJD]]</f>
        <v/>
      </c>
      <c r="Q331" s="9" t="n"/>
      <c r="R331" s="9">
        <f>Table5[[#This Row],[ (T/B) SAR]]-Table5[[#This Row],[(T/B) AJD]]</f>
        <v/>
      </c>
      <c r="S331" s="9">
        <f>Table5[[#This Row],[S/S_CON.]]+Table5[[#This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Table5[[#This Row],[(RESV. STORGE) AJD]]/10</f>
        <v/>
      </c>
      <c r="AB331" s="3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32" t="n"/>
      <c r="AN331" s="32">
        <f>Table5[[#This Row],[ (RESV. STORGE) SER]]/10</f>
        <v/>
      </c>
      <c r="AO331" s="68" t="n"/>
      <c r="AP331" s="100">
        <f>Table5[[#This Row],[(A/S) AJD]]-Table5[[#This Row],[SER_IN]]</f>
        <v/>
      </c>
    </row>
    <row r="332" ht="18.75" customHeight="1">
      <c r="A332" s="98" t="n">
        <v>47449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Table5[[#This Row],[ (T/B) SAR]]+Table5[[#This Row],[ (S/S) SAR]]</f>
        <v/>
      </c>
      <c r="L332" s="28" t="n"/>
      <c r="M332" s="29" t="n"/>
      <c r="N332" s="30" t="n"/>
      <c r="O332" s="39" t="n"/>
      <c r="P332" s="9">
        <f>Table5[[#This Row],[ (S/S) SAR]]-Table5[[#This Row],[(S/S) AJD]]</f>
        <v/>
      </c>
      <c r="Q332" s="9" t="n"/>
      <c r="R332" s="9">
        <f>Table5[[#This Row],[ (T/B) SAR]]-Table5[[#This Row],[(T/B) AJD]]</f>
        <v/>
      </c>
      <c r="S332" s="9">
        <f>Table5[[#This Row],[S/S_CON.]]+Table5[[#This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Table5[[#This Row],[(RESV. STORGE) AJD]]/10</f>
        <v/>
      </c>
      <c r="AB332" s="3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32" t="n"/>
      <c r="AN332" s="32">
        <f>Table5[[#This Row],[ (RESV. STORGE) SER]]/10</f>
        <v/>
      </c>
      <c r="AO332" s="68" t="n"/>
      <c r="AP332" s="100">
        <f>Table5[[#This Row],[(A/S) AJD]]-Table5[[#This Row],[SER_IN]]</f>
        <v/>
      </c>
    </row>
    <row r="333" ht="18.75" customHeight="1">
      <c r="A333" s="98" t="n">
        <v>47450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Table5[[#This Row],[ (T/B) SAR]]+Table5[[#This Row],[ (S/S) SAR]]</f>
        <v/>
      </c>
      <c r="L333" s="28" t="n"/>
      <c r="M333" s="29" t="n"/>
      <c r="N333" s="30" t="n"/>
      <c r="O333" s="40" t="n"/>
      <c r="P333" s="9">
        <f>Table5[[#This Row],[ (S/S) SAR]]-Table5[[#This Row],[(S/S) AJD]]</f>
        <v/>
      </c>
      <c r="Q333" s="9" t="n"/>
      <c r="R333" s="9">
        <f>Table5[[#This Row],[ (T/B) SAR]]-Table5[[#This Row],[(T/B) AJD]]</f>
        <v/>
      </c>
      <c r="S333" s="9">
        <f>Table5[[#This Row],[S/S_CON.]]+Table5[[#This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Table5[[#This Row],[(RESV. STORGE) AJD]]/10</f>
        <v/>
      </c>
      <c r="AB333" s="3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32" t="n"/>
      <c r="AN333" s="32">
        <f>Table5[[#This Row],[ (RESV. STORGE) SER]]/10</f>
        <v/>
      </c>
      <c r="AO333" s="68" t="n"/>
      <c r="AP333" s="100">
        <f>Table5[[#This Row],[(A/S) AJD]]-Table5[[#This Row],[SER_IN]]</f>
        <v/>
      </c>
    </row>
    <row r="334" ht="18.75" customHeight="1">
      <c r="A334" s="98" t="n">
        <v>47451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Table5[[#This Row],[ (T/B) SAR]]+Table5[[#This Row],[ (S/S) SAR]]</f>
        <v/>
      </c>
      <c r="L334" s="28" t="n"/>
      <c r="M334" s="29" t="n"/>
      <c r="N334" s="30" t="n"/>
      <c r="O334" s="39" t="n"/>
      <c r="P334" s="9">
        <f>Table5[[#This Row],[ (S/S) SAR]]-Table5[[#This Row],[(S/S) AJD]]</f>
        <v/>
      </c>
      <c r="Q334" s="9" t="n"/>
      <c r="R334" s="9">
        <f>Table5[[#This Row],[ (T/B) SAR]]-Table5[[#This Row],[(T/B) AJD]]</f>
        <v/>
      </c>
      <c r="S334" s="9">
        <f>Table5[[#This Row],[S/S_CON.]]+Table5[[#This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Table5[[#This Row],[(RESV. STORGE) AJD]]/10</f>
        <v/>
      </c>
      <c r="AB334" s="3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32" t="n"/>
      <c r="AN334" s="32">
        <f>Table5[[#This Row],[ (RESV. STORGE) SER]]/10</f>
        <v/>
      </c>
      <c r="AO334" s="68" t="n"/>
      <c r="AP334" s="100">
        <f>Table5[[#This Row],[(A/S) AJD]]-Table5[[#This Row],[SER_IN]]</f>
        <v/>
      </c>
    </row>
    <row r="335" ht="18.75" customHeight="1">
      <c r="A335" s="98" t="n">
        <v>47452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Table5[[#This Row],[ (T/B) SAR]]+Table5[[#This Row],[ (S/S) SAR]]</f>
        <v/>
      </c>
      <c r="L335" s="28" t="n"/>
      <c r="M335" s="29" t="n"/>
      <c r="N335" s="30" t="n"/>
      <c r="O335" s="40" t="n"/>
      <c r="P335" s="9">
        <f>Table5[[#This Row],[ (S/S) SAR]]-Table5[[#This Row],[(S/S) AJD]]</f>
        <v/>
      </c>
      <c r="Q335" s="9" t="n"/>
      <c r="R335" s="9">
        <f>Table5[[#This Row],[ (T/B) SAR]]-Table5[[#This Row],[(T/B) AJD]]</f>
        <v/>
      </c>
      <c r="S335" s="9">
        <f>Table5[[#This Row],[S/S_CON.]]+Table5[[#This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Table5[[#This Row],[(RESV. STORGE) AJD]]/10</f>
        <v/>
      </c>
      <c r="AB335" s="3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32" t="n"/>
      <c r="AN335" s="32">
        <f>Table5[[#This Row],[ (RESV. STORGE) SER]]/10</f>
        <v/>
      </c>
      <c r="AO335" s="68" t="n"/>
      <c r="AP335" s="100">
        <f>Table5[[#This Row],[(A/S) AJD]]-Table5[[#This Row],[SER_IN]]</f>
        <v/>
      </c>
    </row>
    <row r="336" ht="18.75" customHeight="1">
      <c r="A336" s="98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Table5[[#This Row],[ (T/B) SAR]]+Table5[[#This Row],[ (S/S) SAR]]</f>
        <v/>
      </c>
      <c r="L336" s="41" t="n"/>
      <c r="M336" s="42" t="n"/>
      <c r="N336" s="42" t="n"/>
      <c r="O336" s="39" t="n"/>
      <c r="P336" s="9">
        <f>Table5[[#This Row],[ (S/S) SAR]]-Table5[[#This Row],[(S/S) AJD]]</f>
        <v/>
      </c>
      <c r="Q336" s="39" t="n"/>
      <c r="R336" s="9">
        <f>Table5[[#This Row],[ (T/B) SAR]]-Table5[[#This Row],[(T/B) AJD]]</f>
        <v/>
      </c>
      <c r="S336" s="9">
        <f>Table5[[#This Row],[S/S_CON.]]+Table5[[#This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Table5[[#This Row],[(RESV. STORGE) AJD]]/10</f>
        <v/>
      </c>
      <c r="AB336" s="3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32" t="n"/>
      <c r="AN336" s="32">
        <f>Table5[[#This Row],[ (RESV. STORGE) SER]]/10</f>
        <v/>
      </c>
      <c r="AO336" s="68" t="n"/>
      <c r="AP336" s="100">
        <f>Table5[[#This Row],[(A/S) AJD]]-Table5[[#This Row],[SER_IN]]</f>
        <v/>
      </c>
    </row>
    <row r="337" ht="18.75" customHeight="1">
      <c r="A337" s="98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Table5[[#This Row],[ (T/B) SAR]]+Table5[[#This Row],[ (S/S) SAR]]</f>
        <v/>
      </c>
      <c r="L337" s="45" t="n"/>
      <c r="M337" s="46" t="n"/>
      <c r="N337" s="46" t="n"/>
      <c r="O337" s="40" t="n"/>
      <c r="P337" s="9">
        <f>Table5[[#This Row],[ (S/S) SAR]]-Table5[[#This Row],[(S/S) AJD]]</f>
        <v/>
      </c>
      <c r="Q337" s="40" t="n"/>
      <c r="R337" s="9">
        <f>Table5[[#This Row],[ (T/B) SAR]]-Table5[[#This Row],[(T/B) AJD]]</f>
        <v/>
      </c>
      <c r="S337" s="9">
        <f>Table5[[#This Row],[S/S_CON.]]+Table5[[#This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Table5[[#This Row],[(RESV. STORGE) AJD]]/10</f>
        <v/>
      </c>
      <c r="AB337" s="3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32" t="n"/>
      <c r="AN337" s="32">
        <f>Table5[[#This Row],[ (RESV. STORGE) SER]]/10</f>
        <v/>
      </c>
      <c r="AO337" s="68" t="n"/>
      <c r="AP337" s="100">
        <f>Table5[[#This Row],[(A/S) AJD]]-Table5[[#This Row],[SER_IN]]</f>
        <v/>
      </c>
    </row>
    <row r="338" ht="18.75" customHeight="1">
      <c r="A338" s="98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Table5[[#This Row],[ (T/B) SAR]]+Table5[[#This Row],[ (S/S) SAR]]</f>
        <v/>
      </c>
      <c r="L338" s="41" t="n"/>
      <c r="M338" s="42" t="n"/>
      <c r="N338" s="42" t="n"/>
      <c r="O338" s="39" t="n"/>
      <c r="P338" s="9">
        <f>Table5[[#This Row],[ (S/S) SAR]]-Table5[[#This Row],[(S/S) AJD]]</f>
        <v/>
      </c>
      <c r="Q338" s="39" t="n"/>
      <c r="R338" s="9">
        <f>Table5[[#This Row],[ (T/B) SAR]]-Table5[[#This Row],[(T/B) AJD]]</f>
        <v/>
      </c>
      <c r="S338" s="9">
        <f>Table5[[#This Row],[S/S_CON.]]+Table5[[#This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Table5[[#This Row],[(RESV. STORGE) AJD]]/10</f>
        <v/>
      </c>
      <c r="AB338" s="3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32" t="n"/>
      <c r="AN338" s="32">
        <f>Table5[[#This Row],[ (RESV. STORGE) SER]]/10</f>
        <v/>
      </c>
      <c r="AO338" s="68" t="n"/>
      <c r="AP338" s="100">
        <f>Table5[[#This Row],[(A/S) AJD]]-Table5[[#This Row],[SER_IN]]</f>
        <v/>
      </c>
    </row>
    <row r="339" ht="18.75" customHeight="1">
      <c r="A339" s="98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Table5[[#This Row],[ (T/B) SAR]]+Table5[[#This Row],[ (S/S) SAR]]</f>
        <v/>
      </c>
      <c r="L339" s="45" t="n"/>
      <c r="M339" s="46" t="n"/>
      <c r="N339" s="46" t="n"/>
      <c r="O339" s="40" t="n"/>
      <c r="P339" s="9">
        <f>Table5[[#This Row],[ (S/S) SAR]]-Table5[[#This Row],[(S/S) AJD]]</f>
        <v/>
      </c>
      <c r="Q339" s="40" t="n"/>
      <c r="R339" s="9">
        <f>Table5[[#This Row],[ (T/B) SAR]]-Table5[[#This Row],[(T/B) AJD]]</f>
        <v/>
      </c>
      <c r="S339" s="9">
        <f>Table5[[#This Row],[S/S_CON.]]+Table5[[#This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Table5[[#This Row],[(RESV. STORGE) AJD]]/10</f>
        <v/>
      </c>
      <c r="AB339" s="3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32" t="n"/>
      <c r="AN339" s="32">
        <f>Table5[[#This Row],[ (RESV. STORGE) SER]]/10</f>
        <v/>
      </c>
      <c r="AO339" s="68" t="n"/>
      <c r="AP339" s="100">
        <f>Table5[[#This Row],[(A/S) AJD]]-Table5[[#This Row],[SER_IN]]</f>
        <v/>
      </c>
    </row>
    <row r="340" ht="18.75" customHeight="1">
      <c r="A340" s="98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Table5[[#This Row],[ (T/B) SAR]]+Table5[[#This Row],[ (S/S) SAR]]</f>
        <v/>
      </c>
      <c r="L340" s="41" t="n"/>
      <c r="M340" s="42" t="n"/>
      <c r="N340" s="42" t="n"/>
      <c r="O340" s="39" t="n"/>
      <c r="P340" s="9">
        <f>Table5[[#This Row],[ (S/S) SAR]]-Table5[[#This Row],[(S/S) AJD]]</f>
        <v/>
      </c>
      <c r="Q340" s="39" t="n"/>
      <c r="R340" s="9">
        <f>Table5[[#This Row],[ (T/B) SAR]]-Table5[[#This Row],[(T/B) AJD]]</f>
        <v/>
      </c>
      <c r="S340" s="9">
        <f>Table5[[#This Row],[S/S_CON.]]+Table5[[#This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Table5[[#This Row],[(RESV. STORGE) AJD]]/10</f>
        <v/>
      </c>
      <c r="AB340" s="3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32" t="n"/>
      <c r="AN340" s="32">
        <f>Table5[[#This Row],[ (RESV. STORGE) SER]]/10</f>
        <v/>
      </c>
      <c r="AO340" s="68" t="n"/>
      <c r="AP340" s="100">
        <f>Table5[[#This Row],[(A/S) AJD]]-Table5[[#This Row],[SER_IN]]</f>
        <v/>
      </c>
    </row>
    <row r="341" ht="18.75" customHeight="1">
      <c r="A341" s="98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Table5[[#This Row],[ (T/B) SAR]]+Table5[[#This Row],[ (S/S) SAR]]</f>
        <v/>
      </c>
      <c r="L341" s="45" t="n"/>
      <c r="M341" s="46" t="n"/>
      <c r="N341" s="46" t="n"/>
      <c r="O341" s="40" t="n"/>
      <c r="P341" s="9">
        <f>Table5[[#This Row],[ (S/S) SAR]]-Table5[[#This Row],[(S/S) AJD]]</f>
        <v/>
      </c>
      <c r="Q341" s="40" t="n"/>
      <c r="R341" s="9">
        <f>Table5[[#This Row],[ (T/B) SAR]]-Table5[[#This Row],[(T/B) AJD]]</f>
        <v/>
      </c>
      <c r="S341" s="9">
        <f>Table5[[#This Row],[S/S_CON.]]+Table5[[#This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Table5[[#This Row],[(RESV. STORGE) AJD]]/10</f>
        <v/>
      </c>
      <c r="AB341" s="3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32" t="n"/>
      <c r="AN341" s="32">
        <f>Table5[[#This Row],[ (RESV. STORGE) SER]]/10</f>
        <v/>
      </c>
      <c r="AO341" s="68" t="n"/>
      <c r="AP341" s="100">
        <f>Table5[[#This Row],[(A/S) AJD]]-Table5[[#This Row],[SER_IN]]</f>
        <v/>
      </c>
    </row>
    <row r="342" ht="18.75" customHeight="1">
      <c r="A342" s="98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Table5[[#This Row],[ (T/B) SAR]]+Table5[[#This Row],[ (S/S) SAR]]</f>
        <v/>
      </c>
      <c r="L342" s="41" t="n"/>
      <c r="M342" s="42" t="n"/>
      <c r="N342" s="42" t="n"/>
      <c r="O342" s="39" t="n"/>
      <c r="P342" s="9">
        <f>Table5[[#This Row],[ (S/S) SAR]]-Table5[[#This Row],[(S/S) AJD]]</f>
        <v/>
      </c>
      <c r="Q342" s="39" t="n"/>
      <c r="R342" s="9">
        <f>Table5[[#This Row],[ (T/B) SAR]]-Table5[[#This Row],[(T/B) AJD]]</f>
        <v/>
      </c>
      <c r="S342" s="9">
        <f>Table5[[#This Row],[S/S_CON.]]+Table5[[#This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Table5[[#This Row],[(RESV. STORGE) AJD]]/10</f>
        <v/>
      </c>
      <c r="AB342" s="3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32" t="n"/>
      <c r="AN342" s="32">
        <f>Table5[[#This Row],[ (RESV. STORGE) SER]]/10</f>
        <v/>
      </c>
      <c r="AO342" s="68" t="n"/>
      <c r="AP342" s="100">
        <f>Table5[[#This Row],[(A/S) AJD]]-Table5[[#This Row],[SER_IN]]</f>
        <v/>
      </c>
    </row>
    <row r="343" ht="18.75" customHeight="1">
      <c r="A343" s="98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Table5[[#This Row],[ (T/B) SAR]]+Table5[[#This Row],[ (S/S) SAR]]</f>
        <v/>
      </c>
      <c r="L343" s="45" t="n"/>
      <c r="M343" s="46" t="n"/>
      <c r="N343" s="46" t="n"/>
      <c r="O343" s="40" t="n"/>
      <c r="P343" s="9">
        <f>Table5[[#This Row],[ (S/S) SAR]]-Table5[[#This Row],[(S/S) AJD]]</f>
        <v/>
      </c>
      <c r="Q343" s="40" t="n"/>
      <c r="R343" s="9">
        <f>Table5[[#This Row],[ (T/B) SAR]]-Table5[[#This Row],[(T/B) AJD]]</f>
        <v/>
      </c>
      <c r="S343" s="9">
        <f>Table5[[#This Row],[S/S_CON.]]+Table5[[#This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Table5[[#This Row],[(RESV. STORGE) AJD]]/10</f>
        <v/>
      </c>
      <c r="AB343" s="3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32" t="n"/>
      <c r="AN343" s="32">
        <f>Table5[[#This Row],[ (RESV. STORGE) SER]]/10</f>
        <v/>
      </c>
      <c r="AO343" s="68" t="n"/>
      <c r="AP343" s="100">
        <f>Table5[[#This Row],[(A/S) AJD]]-Table5[[#This Row],[SER_IN]]</f>
        <v/>
      </c>
    </row>
    <row r="344" ht="18.75" customHeight="1">
      <c r="A344" s="98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Table5[[#This Row],[ (T/B) SAR]]+Table5[[#This Row],[ (S/S) SAR]]</f>
        <v/>
      </c>
      <c r="L344" s="41" t="n"/>
      <c r="M344" s="42" t="n"/>
      <c r="N344" s="42" t="n"/>
      <c r="O344" s="39" t="n"/>
      <c r="P344" s="9">
        <f>Table5[[#This Row],[ (S/S) SAR]]-Table5[[#This Row],[(S/S) AJD]]</f>
        <v/>
      </c>
      <c r="Q344" s="39" t="n"/>
      <c r="R344" s="9">
        <f>Table5[[#This Row],[ (T/B) SAR]]-Table5[[#This Row],[(T/B) AJD]]</f>
        <v/>
      </c>
      <c r="S344" s="9">
        <f>Table5[[#This Row],[S/S_CON.]]+Table5[[#This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Table5[[#This Row],[(RESV. STORGE) AJD]]/10</f>
        <v/>
      </c>
      <c r="AB344" s="3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32" t="n"/>
      <c r="AN344" s="32">
        <f>Table5[[#This Row],[ (RESV. STORGE) SER]]/10</f>
        <v/>
      </c>
      <c r="AO344" s="68" t="n"/>
      <c r="AP344" s="100">
        <f>Table5[[#This Row],[(A/S) AJD]]-Table5[[#This Row],[SER_IN]]</f>
        <v/>
      </c>
    </row>
    <row r="345" ht="18.75" customHeight="1">
      <c r="A345" s="98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Table5[[#This Row],[ (T/B) SAR]]+Table5[[#This Row],[ (S/S) SAR]]</f>
        <v/>
      </c>
      <c r="L345" s="45" t="n"/>
      <c r="M345" s="46" t="n"/>
      <c r="N345" s="46" t="n"/>
      <c r="O345" s="40" t="n"/>
      <c r="P345" s="9">
        <f>Table5[[#This Row],[ (S/S) SAR]]-Table5[[#This Row],[(S/S) AJD]]</f>
        <v/>
      </c>
      <c r="Q345" s="40" t="n"/>
      <c r="R345" s="9">
        <f>Table5[[#This Row],[ (T/B) SAR]]-Table5[[#This Row],[(T/B) AJD]]</f>
        <v/>
      </c>
      <c r="S345" s="9">
        <f>Table5[[#This Row],[S/S_CON.]]+Table5[[#This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Table5[[#This Row],[(RESV. STORGE) AJD]]/10</f>
        <v/>
      </c>
      <c r="AB345" s="3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32" t="n"/>
      <c r="AN345" s="32">
        <f>Table5[[#This Row],[ (RESV. STORGE) SER]]/10</f>
        <v/>
      </c>
      <c r="AO345" s="68" t="n"/>
      <c r="AP345" s="100">
        <f>Table5[[#This Row],[(A/S) AJD]]-Table5[[#This Row],[SER_IN]]</f>
        <v/>
      </c>
    </row>
    <row r="346" ht="18.75" customHeight="1">
      <c r="A346" s="98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Table5[[#This Row],[ (T/B) SAR]]+Table5[[#This Row],[ (S/S) SAR]]</f>
        <v/>
      </c>
      <c r="L346" s="41" t="n"/>
      <c r="M346" s="42" t="n"/>
      <c r="N346" s="42" t="n"/>
      <c r="O346" s="39" t="n"/>
      <c r="P346" s="9">
        <f>Table5[[#This Row],[ (S/S) SAR]]-Table5[[#This Row],[(S/S) AJD]]</f>
        <v/>
      </c>
      <c r="Q346" s="39" t="n"/>
      <c r="R346" s="9">
        <f>Table5[[#This Row],[ (T/B) SAR]]-Table5[[#This Row],[(T/B) AJD]]</f>
        <v/>
      </c>
      <c r="S346" s="9">
        <f>Table5[[#This Row],[S/S_CON.]]+Table5[[#This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Table5[[#This Row],[(RESV. STORGE) AJD]]/10</f>
        <v/>
      </c>
      <c r="AB346" s="3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32" t="n"/>
      <c r="AN346" s="32">
        <f>Table5[[#This Row],[ (RESV. STORGE) SER]]/10</f>
        <v/>
      </c>
      <c r="AO346" s="68" t="n"/>
      <c r="AP346" s="100">
        <f>Table5[[#This Row],[(A/S) AJD]]-Table5[[#This Row],[SER_IN]]</f>
        <v/>
      </c>
    </row>
    <row r="347" ht="18.75" customHeight="1">
      <c r="A347" s="98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Table5[[#This Row],[ (T/B) SAR]]+Table5[[#This Row],[ (S/S) SAR]]</f>
        <v/>
      </c>
      <c r="L347" s="45" t="n"/>
      <c r="M347" s="46" t="n"/>
      <c r="N347" s="46" t="n"/>
      <c r="O347" s="40" t="n"/>
      <c r="P347" s="9">
        <f>Table5[[#This Row],[ (S/S) SAR]]-Table5[[#This Row],[(S/S) AJD]]</f>
        <v/>
      </c>
      <c r="Q347" s="40" t="n"/>
      <c r="R347" s="9">
        <f>Table5[[#This Row],[ (T/B) SAR]]-Table5[[#This Row],[(T/B) AJD]]</f>
        <v/>
      </c>
      <c r="S347" s="9">
        <f>Table5[[#This Row],[S/S_CON.]]+Table5[[#This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Table5[[#This Row],[(RESV. STORGE) AJD]]/10</f>
        <v/>
      </c>
      <c r="AB347" s="3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32" t="n"/>
      <c r="AN347" s="32">
        <f>Table5[[#This Row],[ (RESV. STORGE) SER]]/10</f>
        <v/>
      </c>
      <c r="AO347" s="68" t="n"/>
      <c r="AP347" s="100">
        <f>Table5[[#This Row],[(A/S) AJD]]-Table5[[#This Row],[SER_IN]]</f>
        <v/>
      </c>
    </row>
    <row r="348" ht="18.75" customHeight="1">
      <c r="A348" s="98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Table5[[#This Row],[ (T/B) SAR]]+Table5[[#This Row],[ (S/S) SAR]]</f>
        <v/>
      </c>
      <c r="L348" s="41" t="n"/>
      <c r="M348" s="42" t="n"/>
      <c r="N348" s="42" t="n"/>
      <c r="O348" s="39" t="n"/>
      <c r="P348" s="9">
        <f>Table5[[#This Row],[ (S/S) SAR]]-Table5[[#This Row],[(S/S) AJD]]</f>
        <v/>
      </c>
      <c r="Q348" s="39" t="n"/>
      <c r="R348" s="9">
        <f>Table5[[#This Row],[ (T/B) SAR]]-Table5[[#This Row],[(T/B) AJD]]</f>
        <v/>
      </c>
      <c r="S348" s="9">
        <f>Table5[[#This Row],[S/S_CON.]]+Table5[[#This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Table5[[#This Row],[(RESV. STORGE) AJD]]/10</f>
        <v/>
      </c>
      <c r="AB348" s="3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32" t="n"/>
      <c r="AN348" s="32">
        <f>Table5[[#This Row],[ (RESV. STORGE) SER]]/10</f>
        <v/>
      </c>
      <c r="AO348" s="68" t="n"/>
      <c r="AP348" s="100">
        <f>Table5[[#This Row],[(A/S) AJD]]-Table5[[#This Row],[SER_IN]]</f>
        <v/>
      </c>
    </row>
    <row r="349" ht="18.75" customHeight="1">
      <c r="A349" s="98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Table5[[#This Row],[ (T/B) SAR]]+Table5[[#This Row],[ (S/S) SAR]]</f>
        <v/>
      </c>
      <c r="L349" s="45" t="n"/>
      <c r="M349" s="46" t="n"/>
      <c r="N349" s="46" t="n"/>
      <c r="O349" s="40" t="n"/>
      <c r="P349" s="9">
        <f>Table5[[#This Row],[ (S/S) SAR]]-Table5[[#This Row],[(S/S) AJD]]</f>
        <v/>
      </c>
      <c r="Q349" s="40" t="n"/>
      <c r="R349" s="9">
        <f>Table5[[#This Row],[ (T/B) SAR]]-Table5[[#This Row],[(T/B) AJD]]</f>
        <v/>
      </c>
      <c r="S349" s="9">
        <f>Table5[[#This Row],[S/S_CON.]]+Table5[[#This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Table5[[#This Row],[(RESV. STORGE) AJD]]/10</f>
        <v/>
      </c>
      <c r="AB349" s="3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32" t="n"/>
      <c r="AN349" s="32">
        <f>Table5[[#This Row],[ (RESV. STORGE) SER]]/10</f>
        <v/>
      </c>
      <c r="AO349" s="68" t="n"/>
      <c r="AP349" s="100">
        <f>Table5[[#This Row],[(A/S) AJD]]-Table5[[#This Row],[SER_IN]]</f>
        <v/>
      </c>
    </row>
    <row r="350" ht="18.75" customHeight="1">
      <c r="A350" s="98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Table5[[#This Row],[ (T/B) SAR]]+Table5[[#This Row],[ (S/S) SAR]]</f>
        <v/>
      </c>
      <c r="L350" s="41" t="n"/>
      <c r="M350" s="42" t="n"/>
      <c r="N350" s="42" t="n"/>
      <c r="O350" s="39" t="n"/>
      <c r="P350" s="9">
        <f>Table5[[#This Row],[ (S/S) SAR]]-Table5[[#This Row],[(S/S) AJD]]</f>
        <v/>
      </c>
      <c r="Q350" s="39" t="n"/>
      <c r="R350" s="9">
        <f>Table5[[#This Row],[ (T/B) SAR]]-Table5[[#This Row],[(T/B) AJD]]</f>
        <v/>
      </c>
      <c r="S350" s="9">
        <f>Table5[[#This Row],[S/S_CON.]]+Table5[[#This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Table5[[#This Row],[(RESV. STORGE) AJD]]/10</f>
        <v/>
      </c>
      <c r="AB350" s="3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32" t="n"/>
      <c r="AN350" s="32">
        <f>Table5[[#This Row],[ (RESV. STORGE) SER]]/10</f>
        <v/>
      </c>
      <c r="AO350" s="68" t="n"/>
      <c r="AP350" s="100">
        <f>Table5[[#This Row],[(A/S) AJD]]-Table5[[#This Row],[SER_IN]]</f>
        <v/>
      </c>
    </row>
    <row r="351" ht="18.75" customHeight="1">
      <c r="A351" s="98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Table5[[#This Row],[ (T/B) SAR]]+Table5[[#This Row],[ (S/S) SAR]]</f>
        <v/>
      </c>
      <c r="L351" s="45" t="n"/>
      <c r="M351" s="46" t="n"/>
      <c r="N351" s="46" t="n"/>
      <c r="O351" s="40" t="n"/>
      <c r="P351" s="9">
        <f>Table5[[#This Row],[ (S/S) SAR]]-Table5[[#This Row],[(S/S) AJD]]</f>
        <v/>
      </c>
      <c r="Q351" s="40" t="n"/>
      <c r="R351" s="9">
        <f>Table5[[#This Row],[ (T/B) SAR]]-Table5[[#This Row],[(T/B) AJD]]</f>
        <v/>
      </c>
      <c r="S351" s="9">
        <f>Table5[[#This Row],[S/S_CON.]]+Table5[[#This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Table5[[#This Row],[(RESV. STORGE) AJD]]/10</f>
        <v/>
      </c>
      <c r="AB351" s="3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32" t="n"/>
      <c r="AN351" s="32">
        <f>Table5[[#This Row],[ (RESV. STORGE) SER]]/10</f>
        <v/>
      </c>
      <c r="AO351" s="68" t="n"/>
      <c r="AP351" s="100">
        <f>Table5[[#This Row],[(A/S) AJD]]-Table5[[#This Row],[SER_IN]]</f>
        <v/>
      </c>
    </row>
    <row r="352" ht="18.75" customHeight="1">
      <c r="A352" s="98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Table5[[#This Row],[ (T/B) SAR]]+Table5[[#This Row],[ (S/S) SAR]]</f>
        <v/>
      </c>
      <c r="L352" s="41" t="n"/>
      <c r="M352" s="42" t="n"/>
      <c r="N352" s="42" t="n"/>
      <c r="O352" s="39" t="n"/>
      <c r="P352" s="9">
        <f>Table5[[#This Row],[ (S/S) SAR]]-Table5[[#This Row],[(S/S) AJD]]</f>
        <v/>
      </c>
      <c r="Q352" s="39" t="n"/>
      <c r="R352" s="9">
        <f>Table5[[#This Row],[ (T/B) SAR]]-Table5[[#This Row],[(T/B) AJD]]</f>
        <v/>
      </c>
      <c r="S352" s="9">
        <f>Table5[[#This Row],[S/S_CON.]]+Table5[[#This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Table5[[#This Row],[(RESV. STORGE) AJD]]/10</f>
        <v/>
      </c>
      <c r="AB352" s="3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32" t="n"/>
      <c r="AN352" s="32">
        <f>Table5[[#This Row],[ (RESV. STORGE) SER]]/10</f>
        <v/>
      </c>
      <c r="AO352" s="68" t="n"/>
      <c r="AP352" s="100">
        <f>Table5[[#This Row],[(A/S) AJD]]-Table5[[#This Row],[SER_IN]]</f>
        <v/>
      </c>
    </row>
    <row r="353" ht="18.75" customHeight="1">
      <c r="A353" s="98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Table5[[#This Row],[ (T/B) SAR]]+Table5[[#This Row],[ (S/S) SAR]]</f>
        <v/>
      </c>
      <c r="L353" s="45" t="n"/>
      <c r="M353" s="46" t="n"/>
      <c r="N353" s="46" t="n"/>
      <c r="O353" s="40" t="n"/>
      <c r="P353" s="9">
        <f>Table5[[#This Row],[ (S/S) SAR]]-Table5[[#This Row],[(S/S) AJD]]</f>
        <v/>
      </c>
      <c r="Q353" s="40" t="n"/>
      <c r="R353" s="9">
        <f>Table5[[#This Row],[ (T/B) SAR]]-Table5[[#This Row],[(T/B) AJD]]</f>
        <v/>
      </c>
      <c r="S353" s="9">
        <f>Table5[[#This Row],[S/S_CON.]]+Table5[[#This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Table5[[#This Row],[(RESV. STORGE) AJD]]/10</f>
        <v/>
      </c>
      <c r="AB353" s="3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32" t="n"/>
      <c r="AN353" s="32">
        <f>Table5[[#This Row],[ (RESV. STORGE) SER]]/10</f>
        <v/>
      </c>
      <c r="AO353" s="68" t="n"/>
      <c r="AP353" s="100">
        <f>Table5[[#This Row],[(A/S) AJD]]-Table5[[#This Row],[SER_IN]]</f>
        <v/>
      </c>
    </row>
    <row r="354" ht="18.75" customHeight="1">
      <c r="A354" s="98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Table5[[#This Row],[ (T/B) SAR]]+Table5[[#This Row],[ (S/S) SAR]]</f>
        <v/>
      </c>
      <c r="L354" s="41" t="n"/>
      <c r="M354" s="42" t="n"/>
      <c r="N354" s="42" t="n"/>
      <c r="O354" s="39" t="n"/>
      <c r="P354" s="9">
        <f>Table5[[#This Row],[ (S/S) SAR]]-Table5[[#This Row],[(S/S) AJD]]</f>
        <v/>
      </c>
      <c r="Q354" s="39" t="n"/>
      <c r="R354" s="9">
        <f>Table5[[#This Row],[ (T/B) SAR]]-Table5[[#This Row],[(T/B) AJD]]</f>
        <v/>
      </c>
      <c r="S354" s="9">
        <f>Table5[[#This Row],[S/S_CON.]]+Table5[[#This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Table5[[#This Row],[(RESV. STORGE) AJD]]/10</f>
        <v/>
      </c>
      <c r="AB354" s="3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32" t="n"/>
      <c r="AN354" s="32">
        <f>Table5[[#This Row],[ (RESV. STORGE) SER]]/10</f>
        <v/>
      </c>
      <c r="AO354" s="68" t="n"/>
      <c r="AP354" s="100">
        <f>Table5[[#This Row],[(A/S) AJD]]-Table5[[#This Row],[SER_IN]]</f>
        <v/>
      </c>
    </row>
    <row r="355" ht="18.75" customHeight="1">
      <c r="A355" s="98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Table5[[#This Row],[ (T/B) SAR]]+Table5[[#This Row],[ (S/S) SAR]]</f>
        <v/>
      </c>
      <c r="L355" s="45" t="n"/>
      <c r="M355" s="46" t="n"/>
      <c r="N355" s="46" t="n"/>
      <c r="O355" s="40" t="n"/>
      <c r="P355" s="9">
        <f>Table5[[#This Row],[ (S/S) SAR]]-Table5[[#This Row],[(S/S) AJD]]</f>
        <v/>
      </c>
      <c r="Q355" s="40" t="n"/>
      <c r="R355" s="9">
        <f>Table5[[#This Row],[ (T/B) SAR]]-Table5[[#This Row],[(T/B) AJD]]</f>
        <v/>
      </c>
      <c r="S355" s="9">
        <f>Table5[[#This Row],[S/S_CON.]]+Table5[[#This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Table5[[#This Row],[(RESV. STORGE) AJD]]/10</f>
        <v/>
      </c>
      <c r="AB355" s="3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32" t="n"/>
      <c r="AN355" s="32">
        <f>Table5[[#This Row],[ (RESV. STORGE) SER]]/10</f>
        <v/>
      </c>
      <c r="AO355" s="68" t="n"/>
      <c r="AP355" s="100">
        <f>Table5[[#This Row],[(A/S) AJD]]-Table5[[#This Row],[SER_IN]]</f>
        <v/>
      </c>
    </row>
    <row r="356" ht="18.75" customHeight="1">
      <c r="A356" s="98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Table5[[#This Row],[ (T/B) SAR]]+Table5[[#This Row],[ (S/S) SAR]]</f>
        <v/>
      </c>
      <c r="L356" s="41" t="n"/>
      <c r="M356" s="42" t="n"/>
      <c r="N356" s="42" t="n"/>
      <c r="O356" s="39" t="n"/>
      <c r="P356" s="9">
        <f>Table5[[#This Row],[ (S/S) SAR]]-Table5[[#This Row],[(S/S) AJD]]</f>
        <v/>
      </c>
      <c r="Q356" s="39" t="n"/>
      <c r="R356" s="9">
        <f>Table5[[#This Row],[ (T/B) SAR]]-Table5[[#This Row],[(T/B) AJD]]</f>
        <v/>
      </c>
      <c r="S356" s="9">
        <f>Table5[[#This Row],[S/S_CON.]]+Table5[[#This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Table5[[#This Row],[(RESV. STORGE) AJD]]/10</f>
        <v/>
      </c>
      <c r="AB356" s="3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32" t="n"/>
      <c r="AN356" s="32">
        <f>Table5[[#This Row],[ (RESV. STORGE) SER]]/10</f>
        <v/>
      </c>
      <c r="AO356" s="68" t="n"/>
      <c r="AP356" s="100">
        <f>Table5[[#This Row],[(A/S) AJD]]-Table5[[#This Row],[SER_IN]]</f>
        <v/>
      </c>
    </row>
    <row r="357" ht="18.75" customHeight="1">
      <c r="A357" s="98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Table5[[#This Row],[ (T/B) SAR]]+Table5[[#This Row],[ (S/S) SAR]]</f>
        <v/>
      </c>
      <c r="L357" s="45" t="n"/>
      <c r="M357" s="46" t="n"/>
      <c r="N357" s="46" t="n"/>
      <c r="O357" s="40" t="n"/>
      <c r="P357" s="9">
        <f>Table5[[#This Row],[ (S/S) SAR]]-Table5[[#This Row],[(S/S) AJD]]</f>
        <v/>
      </c>
      <c r="Q357" s="40" t="n"/>
      <c r="R357" s="9">
        <f>Table5[[#This Row],[ (T/B) SAR]]-Table5[[#This Row],[(T/B) AJD]]</f>
        <v/>
      </c>
      <c r="S357" s="9">
        <f>Table5[[#This Row],[S/S_CON.]]+Table5[[#This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Table5[[#This Row],[(RESV. STORGE) AJD]]/10</f>
        <v/>
      </c>
      <c r="AB357" s="3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32" t="n"/>
      <c r="AN357" s="32">
        <f>Table5[[#This Row],[ (RESV. STORGE) SER]]/10</f>
        <v/>
      </c>
      <c r="AO357" s="68" t="n"/>
      <c r="AP357" s="100">
        <f>Table5[[#This Row],[(A/S) AJD]]-Table5[[#This Row],[SER_IN]]</f>
        <v/>
      </c>
    </row>
    <row r="358" ht="18.75" customHeight="1">
      <c r="A358" s="98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Table5[[#This Row],[ (T/B) SAR]]+Table5[[#This Row],[ (S/S) SAR]]</f>
        <v/>
      </c>
      <c r="L358" s="41" t="n"/>
      <c r="M358" s="42" t="n"/>
      <c r="N358" s="42" t="n"/>
      <c r="O358" s="39" t="n"/>
      <c r="P358" s="9">
        <f>Table5[[#This Row],[ (S/S) SAR]]-Table5[[#This Row],[(S/S) AJD]]</f>
        <v/>
      </c>
      <c r="Q358" s="39" t="n"/>
      <c r="R358" s="9">
        <f>Table5[[#This Row],[ (T/B) SAR]]-Table5[[#This Row],[(T/B) AJD]]</f>
        <v/>
      </c>
      <c r="S358" s="9">
        <f>Table5[[#This Row],[S/S_CON.]]+Table5[[#This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Table5[[#This Row],[(RESV. STORGE) AJD]]/10</f>
        <v/>
      </c>
      <c r="AB358" s="3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32" t="n"/>
      <c r="AN358" s="32">
        <f>Table5[[#This Row],[ (RESV. STORGE) SER]]/10</f>
        <v/>
      </c>
      <c r="AO358" s="68" t="n"/>
      <c r="AP358" s="100">
        <f>Table5[[#This Row],[(A/S) AJD]]-Table5[[#This Row],[SER_IN]]</f>
        <v/>
      </c>
    </row>
    <row r="359" ht="18.75" customHeight="1">
      <c r="A359" s="98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Table5[[#This Row],[ (T/B) SAR]]+Table5[[#This Row],[ (S/S) SAR]]</f>
        <v/>
      </c>
      <c r="L359" s="45" t="n"/>
      <c r="M359" s="46" t="n"/>
      <c r="N359" s="46" t="n"/>
      <c r="O359" s="40" t="n"/>
      <c r="P359" s="9">
        <f>Table5[[#This Row],[ (S/S) SAR]]-Table5[[#This Row],[(S/S) AJD]]</f>
        <v/>
      </c>
      <c r="Q359" s="40" t="n"/>
      <c r="R359" s="9">
        <f>Table5[[#This Row],[ (T/B) SAR]]-Table5[[#This Row],[(T/B) AJD]]</f>
        <v/>
      </c>
      <c r="S359" s="9">
        <f>Table5[[#This Row],[S/S_CON.]]+Table5[[#This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Table5[[#This Row],[(RESV. STORGE) AJD]]/10</f>
        <v/>
      </c>
      <c r="AB359" s="3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32" t="n"/>
      <c r="AN359" s="32">
        <f>Table5[[#This Row],[ (RESV. STORGE) SER]]/10</f>
        <v/>
      </c>
      <c r="AO359" s="68" t="n"/>
      <c r="AP359" s="100">
        <f>Table5[[#This Row],[(A/S) AJD]]-Table5[[#This Row],[SER_IN]]</f>
        <v/>
      </c>
    </row>
    <row r="360" ht="18.75" customHeight="1">
      <c r="A360" s="98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Table5[[#This Row],[ (T/B) SAR]]+Table5[[#This Row],[ (S/S) SAR]]</f>
        <v/>
      </c>
      <c r="L360" s="41" t="n"/>
      <c r="M360" s="42" t="n"/>
      <c r="N360" s="42" t="n"/>
      <c r="O360" s="39" t="n"/>
      <c r="P360" s="9">
        <f>Table5[[#This Row],[ (S/S) SAR]]-Table5[[#This Row],[(S/S) AJD]]</f>
        <v/>
      </c>
      <c r="Q360" s="39" t="n"/>
      <c r="R360" s="9">
        <f>Table5[[#This Row],[ (T/B) SAR]]-Table5[[#This Row],[(T/B) AJD]]</f>
        <v/>
      </c>
      <c r="S360" s="9">
        <f>Table5[[#This Row],[S/S_CON.]]+Table5[[#This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Table5[[#This Row],[(RESV. STORGE) AJD]]/10</f>
        <v/>
      </c>
      <c r="AB360" s="3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32" t="n"/>
      <c r="AN360" s="32">
        <f>Table5[[#This Row],[ (RESV. STORGE) SER]]/10</f>
        <v/>
      </c>
      <c r="AO360" s="68" t="n"/>
      <c r="AP360" s="100">
        <f>Table5[[#This Row],[(A/S) AJD]]-Table5[[#This Row],[SER_IN]]</f>
        <v/>
      </c>
    </row>
    <row r="361" ht="18.75" customHeight="1">
      <c r="A361" s="98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Table5[[#This Row],[ (T/B) SAR]]+Table5[[#This Row],[ (S/S) SAR]]</f>
        <v/>
      </c>
      <c r="L361" s="45" t="n"/>
      <c r="M361" s="46" t="n"/>
      <c r="N361" s="46" t="n"/>
      <c r="O361" s="40" t="n"/>
      <c r="P361" s="9">
        <f>Table5[[#This Row],[ (S/S) SAR]]-Table5[[#This Row],[(S/S) AJD]]</f>
        <v/>
      </c>
      <c r="Q361" s="40" t="n"/>
      <c r="R361" s="9">
        <f>Table5[[#This Row],[ (T/B) SAR]]-Table5[[#This Row],[(T/B) AJD]]</f>
        <v/>
      </c>
      <c r="S361" s="9">
        <f>Table5[[#This Row],[S/S_CON.]]+Table5[[#This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Table5[[#This Row],[(RESV. STORGE) AJD]]/10</f>
        <v/>
      </c>
      <c r="AB361" s="3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32" t="n"/>
      <c r="AN361" s="32">
        <f>Table5[[#This Row],[ (RESV. STORGE) SER]]/10</f>
        <v/>
      </c>
      <c r="AO361" s="68" t="n"/>
      <c r="AP361" s="100">
        <f>Table5[[#This Row],[(A/S) AJD]]-Table5[[#This Row],[SER_IN]]</f>
        <v/>
      </c>
    </row>
    <row r="362" ht="18.75" customHeight="1">
      <c r="A362" s="98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Table5[[#This Row],[ (T/B) SAR]]+Table5[[#This Row],[ (S/S) SAR]]</f>
        <v/>
      </c>
      <c r="L362" s="41" t="n"/>
      <c r="M362" s="42" t="n"/>
      <c r="N362" s="42" t="n"/>
      <c r="O362" s="39" t="n"/>
      <c r="P362" s="9">
        <f>Table5[[#This Row],[ (S/S) SAR]]-Table5[[#This Row],[(S/S) AJD]]</f>
        <v/>
      </c>
      <c r="Q362" s="39" t="n"/>
      <c r="R362" s="9">
        <f>Table5[[#This Row],[ (T/B) SAR]]-Table5[[#This Row],[(T/B) AJD]]</f>
        <v/>
      </c>
      <c r="S362" s="9">
        <f>Table5[[#This Row],[S/S_CON.]]+Table5[[#This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Table5[[#This Row],[(RESV. STORGE) AJD]]/10</f>
        <v/>
      </c>
      <c r="AB362" s="3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32" t="n"/>
      <c r="AN362" s="32">
        <f>Table5[[#This Row],[ (RESV. STORGE) SER]]/10</f>
        <v/>
      </c>
      <c r="AO362" s="68" t="n"/>
      <c r="AP362" s="100">
        <f>Table5[[#This Row],[(A/S) AJD]]-Table5[[#This Row],[SER_IN]]</f>
        <v/>
      </c>
    </row>
    <row r="363" ht="18.75" customHeight="1">
      <c r="A363" s="98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Table5[[#This Row],[ (T/B) SAR]]+Table5[[#This Row],[ (S/S) SAR]]</f>
        <v/>
      </c>
      <c r="L363" s="45" t="n"/>
      <c r="M363" s="46" t="n"/>
      <c r="N363" s="46" t="n"/>
      <c r="O363" s="40" t="n"/>
      <c r="P363" s="9">
        <f>Table5[[#This Row],[ (S/S) SAR]]-Table5[[#This Row],[(S/S) AJD]]</f>
        <v/>
      </c>
      <c r="Q363" s="40" t="n"/>
      <c r="R363" s="9">
        <f>Table5[[#This Row],[ (T/B) SAR]]-Table5[[#This Row],[(T/B) AJD]]</f>
        <v/>
      </c>
      <c r="S363" s="9">
        <f>Table5[[#This Row],[S/S_CON.]]+Table5[[#This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Table5[[#This Row],[(RESV. STORGE) AJD]]/10</f>
        <v/>
      </c>
      <c r="AB363" s="3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32" t="n"/>
      <c r="AN363" s="32">
        <f>Table5[[#This Row],[ (RESV. STORGE) SER]]/10</f>
        <v/>
      </c>
      <c r="AO363" s="68" t="n"/>
      <c r="AP363" s="100">
        <f>Table5[[#This Row],[(A/S) AJD]]-Table5[[#This Row],[SER_IN]]</f>
        <v/>
      </c>
    </row>
    <row r="364" ht="18.75" customHeight="1">
      <c r="A364" s="98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Table5[[#This Row],[ (T/B) SAR]]+Table5[[#This Row],[ (S/S) SAR]]</f>
        <v/>
      </c>
      <c r="L364" s="41" t="n"/>
      <c r="M364" s="42" t="n"/>
      <c r="N364" s="42" t="n"/>
      <c r="O364" s="39" t="n"/>
      <c r="P364" s="9">
        <f>Table5[[#This Row],[ (S/S) SAR]]-Table5[[#This Row],[(S/S) AJD]]</f>
        <v/>
      </c>
      <c r="Q364" s="39" t="n"/>
      <c r="R364" s="9">
        <f>Table5[[#This Row],[ (T/B) SAR]]-Table5[[#This Row],[(T/B) AJD]]</f>
        <v/>
      </c>
      <c r="S364" s="9">
        <f>Table5[[#This Row],[S/S_CON.]]+Table5[[#This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Table5[[#This Row],[(RESV. STORGE) AJD]]/10</f>
        <v/>
      </c>
      <c r="AB364" s="3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32" t="n"/>
      <c r="AN364" s="32">
        <f>Table5[[#This Row],[ (RESV. STORGE) SER]]/10</f>
        <v/>
      </c>
      <c r="AO364" s="68" t="n"/>
      <c r="AP364" s="100">
        <f>Table5[[#This Row],[(A/S) AJD]]-Table5[[#This Row],[SER_IN]]</f>
        <v/>
      </c>
    </row>
    <row r="365" ht="18.75" customHeight="1">
      <c r="A365" s="98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Table5[[#This Row],[ (T/B) SAR]]+Table5[[#This Row],[ (S/S) SAR]]</f>
        <v/>
      </c>
      <c r="L365" s="45" t="n"/>
      <c r="M365" s="46" t="n"/>
      <c r="N365" s="46" t="n"/>
      <c r="O365" s="40" t="n"/>
      <c r="P365" s="9">
        <f>Table5[[#This Row],[ (S/S) SAR]]-Table5[[#This Row],[(S/S) AJD]]</f>
        <v/>
      </c>
      <c r="Q365" s="40" t="n"/>
      <c r="R365" s="9">
        <f>Table5[[#This Row],[ (T/B) SAR]]-Table5[[#This Row],[(T/B) AJD]]</f>
        <v/>
      </c>
      <c r="S365" s="9">
        <f>Table5[[#This Row],[S/S_CON.]]+Table5[[#This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Table5[[#This Row],[(RESV. STORGE) AJD]]/10</f>
        <v/>
      </c>
      <c r="AB365" s="3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32" t="n"/>
      <c r="AN365" s="32">
        <f>Table5[[#This Row],[ (RESV. STORGE) SER]]/10</f>
        <v/>
      </c>
      <c r="AO365" s="68" t="n"/>
      <c r="AP365" s="100">
        <f>Table5[[#This Row],[(A/S) AJD]]-Table5[[#This Row],[SER_IN]]</f>
        <v/>
      </c>
    </row>
    <row r="366" ht="18.75" customHeight="1">
      <c r="A366" s="98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Table5[[#This Row],[(RESV. STORGE) AJD]]/10</f>
        <v/>
      </c>
      <c r="AB366" s="3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32" t="n"/>
      <c r="AN366" s="32">
        <f>Table5[[#This Row],[ (RESV. STORGE) SER]]/10</f>
        <v/>
      </c>
      <c r="AO366" s="82" t="n"/>
      <c r="AP366" s="101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Table6[[#This Row],[ (T/B) SAR]]+Table6[[#This Row],[ (S/S) SAR]]</f>
        <v/>
      </c>
      <c r="L2" s="41" t="n"/>
      <c r="M2" s="42" t="n"/>
      <c r="N2" s="42" t="n"/>
      <c r="O2" s="39" t="n"/>
      <c r="P2" s="3">
        <f>Table6[[#This Row],[ (S/S) SAR]]-Table6[[#This Row],[(S/S) AJD]]</f>
        <v/>
      </c>
      <c r="Q2" s="39" t="n"/>
      <c r="R2" s="3">
        <f>Table6[[#This Row],[ (T/B) SAR]]-Table6[[#This Row],[(T/B) AJD]]</f>
        <v/>
      </c>
      <c r="S2" s="3">
        <f>Table6[[#This Row],[S/S_CON.]]+Table6[[#This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32" t="n"/>
      <c r="AN2" s="32">
        <f>Table6[[#This Row],[ (RESV. STORGE) SER]]/10</f>
        <v/>
      </c>
      <c r="AO2" s="81" t="n"/>
      <c r="AP2" s="99">
        <f>Table6[[#This Row],[(A/S) AJD]]-Table6[[#This Row],[SER_IN]]</f>
        <v/>
      </c>
    </row>
    <row r="3" ht="18.75" customHeight="1">
      <c r="A3" s="98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Table6[[#This Row],[ (T/B) SAR]]+Table6[[#This Row],[ (S/S) SAR]]</f>
        <v/>
      </c>
      <c r="L3" s="45" t="n"/>
      <c r="M3" s="46" t="n"/>
      <c r="N3" s="46" t="n"/>
      <c r="O3" s="40" t="n"/>
      <c r="P3" s="3">
        <f>Table6[[#This Row],[ (S/S) SAR]]-Table6[[#This Row],[(S/S) AJD]]</f>
        <v/>
      </c>
      <c r="Q3" s="40" t="n"/>
      <c r="R3" s="3">
        <f>Table6[[#This Row],[ (T/B) SAR]]-Table6[[#This Row],[(T/B) AJD]]</f>
        <v/>
      </c>
      <c r="S3" s="3">
        <f>Table6[[#This Row],[S/S_CON.]]+Table6[[#This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Table6[[#This Row],[(RESV. STORGE) AJD]]/10</f>
        <v/>
      </c>
      <c r="AB3" s="3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32" t="n"/>
      <c r="AN3" s="32">
        <f>Table6[[#This Row],[ (RESV. STORGE) SER]]/10</f>
        <v/>
      </c>
      <c r="AO3" s="68" t="n"/>
      <c r="AP3" s="99">
        <f>Table6[[#This Row],[(A/S) AJD]]-Table6[[#This Row],[SER_IN]]</f>
        <v/>
      </c>
    </row>
    <row r="4" ht="18.75" customHeight="1">
      <c r="A4" s="98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Table6[[#This Row],[ (T/B) SAR]]+Table6[[#This Row],[ (S/S) SAR]]</f>
        <v/>
      </c>
      <c r="L4" s="41" t="n"/>
      <c r="M4" s="42" t="n"/>
      <c r="N4" s="42" t="n"/>
      <c r="O4" s="39" t="n"/>
      <c r="P4" s="3">
        <f>Table6[[#This Row],[ (S/S) SAR]]-Table6[[#This Row],[(S/S) AJD]]</f>
        <v/>
      </c>
      <c r="Q4" s="39" t="n"/>
      <c r="R4" s="3">
        <f>Table6[[#This Row],[ (T/B) SAR]]-Table6[[#This Row],[(T/B) AJD]]</f>
        <v/>
      </c>
      <c r="S4" s="3">
        <f>Table6[[#This Row],[S/S_CON.]]+Table6[[#This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Table6[[#This Row],[(RESV. STORGE) AJD]]/10</f>
        <v/>
      </c>
      <c r="AB4" s="3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32" t="n"/>
      <c r="AN4" s="32">
        <f>Table6[[#This Row],[ (RESV. STORGE) SER]]/10</f>
        <v/>
      </c>
      <c r="AO4" s="68" t="n"/>
      <c r="AP4" s="99">
        <f>Table6[[#This Row],[(A/S) AJD]]-Table6[[#This Row],[SER_IN]]</f>
        <v/>
      </c>
    </row>
    <row r="5" ht="18.75" customHeight="1">
      <c r="A5" s="98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Table6[[#This Row],[ (T/B) SAR]]+Table6[[#This Row],[ (S/S) SAR]]</f>
        <v/>
      </c>
      <c r="L5" s="45" t="n"/>
      <c r="M5" s="46" t="n"/>
      <c r="N5" s="46" t="n"/>
      <c r="O5" s="40" t="n"/>
      <c r="P5" s="3">
        <f>Table6[[#This Row],[ (S/S) SAR]]-Table6[[#This Row],[(S/S) AJD]]</f>
        <v/>
      </c>
      <c r="Q5" s="40" t="n"/>
      <c r="R5" s="3">
        <f>Table6[[#This Row],[ (T/B) SAR]]-Table6[[#This Row],[(T/B) AJD]]</f>
        <v/>
      </c>
      <c r="S5" s="3">
        <f>Table6[[#This Row],[S/S_CON.]]+Table6[[#This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Table6[[#This Row],[(RESV. STORGE) AJD]]/10</f>
        <v/>
      </c>
      <c r="AB5" s="3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32" t="n"/>
      <c r="AN5" s="32">
        <f>Table6[[#This Row],[ (RESV. STORGE) SER]]/10</f>
        <v/>
      </c>
      <c r="AO5" s="68" t="n"/>
      <c r="AP5" s="99">
        <f>Table6[[#This Row],[(A/S) AJD]]-Table6[[#This Row],[SER_IN]]</f>
        <v/>
      </c>
    </row>
    <row r="6" ht="18.75" customHeight="1">
      <c r="A6" s="98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Table6[[#This Row],[ (T/B) SAR]]+Table6[[#This Row],[ (S/S) SAR]]</f>
        <v/>
      </c>
      <c r="L6" s="41" t="n"/>
      <c r="M6" s="42" t="n"/>
      <c r="N6" s="42" t="n"/>
      <c r="O6" s="39" t="n"/>
      <c r="P6" s="3">
        <f>Table6[[#This Row],[ (S/S) SAR]]-Table6[[#This Row],[(S/S) AJD]]</f>
        <v/>
      </c>
      <c r="Q6" s="39" t="n"/>
      <c r="R6" s="3">
        <f>Table6[[#This Row],[ (T/B) SAR]]-Table6[[#This Row],[(T/B) AJD]]</f>
        <v/>
      </c>
      <c r="S6" s="3">
        <f>Table6[[#This Row],[S/S_CON.]]+Table6[[#This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Table6[[#This Row],[(RESV. STORGE) AJD]]/10</f>
        <v/>
      </c>
      <c r="AB6" s="3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32" t="n"/>
      <c r="AN6" s="32">
        <f>Table6[[#This Row],[ (RESV. STORGE) SER]]/10</f>
        <v/>
      </c>
      <c r="AO6" s="68" t="n"/>
      <c r="AP6" s="99">
        <f>Table6[[#This Row],[(A/S) AJD]]-Table6[[#This Row],[SER_IN]]</f>
        <v/>
      </c>
    </row>
    <row r="7" ht="18.75" customHeight="1">
      <c r="A7" s="98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Table6[[#This Row],[ (T/B) SAR]]+Table6[[#This Row],[ (S/S) SAR]]</f>
        <v/>
      </c>
      <c r="L7" s="45" t="n"/>
      <c r="M7" s="46" t="n"/>
      <c r="N7" s="46" t="n"/>
      <c r="O7" s="40" t="n"/>
      <c r="P7" s="3">
        <f>Table6[[#This Row],[ (S/S) SAR]]-Table6[[#This Row],[(S/S) AJD]]</f>
        <v/>
      </c>
      <c r="Q7" s="40" t="n"/>
      <c r="R7" s="3">
        <f>Table6[[#This Row],[ (T/B) SAR]]-Table6[[#This Row],[(T/B) AJD]]</f>
        <v/>
      </c>
      <c r="S7" s="3">
        <f>Table6[[#This Row],[S/S_CON.]]+Table6[[#This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Table6[[#This Row],[(RESV. STORGE) AJD]]/10</f>
        <v/>
      </c>
      <c r="AB7" s="3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32" t="n"/>
      <c r="AN7" s="32">
        <f>Table6[[#This Row],[ (RESV. STORGE) SER]]/10</f>
        <v/>
      </c>
      <c r="AO7" s="68" t="n"/>
      <c r="AP7" s="99">
        <f>Table6[[#This Row],[(A/S) AJD]]-Table6[[#This Row],[SER_IN]]</f>
        <v/>
      </c>
    </row>
    <row r="8" ht="18.75" customHeight="1">
      <c r="A8" s="98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Table6[[#This Row],[ (T/B) SAR]]+Table6[[#This Row],[ (S/S) SAR]]</f>
        <v/>
      </c>
      <c r="L8" s="41" t="n"/>
      <c r="M8" s="42" t="n"/>
      <c r="N8" s="42" t="n"/>
      <c r="O8" s="39" t="n"/>
      <c r="P8" s="3">
        <f>Table6[[#This Row],[ (S/S) SAR]]-Table6[[#This Row],[(S/S) AJD]]</f>
        <v/>
      </c>
      <c r="Q8" s="39" t="n"/>
      <c r="R8" s="3">
        <f>Table6[[#This Row],[ (T/B) SAR]]-Table6[[#This Row],[(T/B) AJD]]</f>
        <v/>
      </c>
      <c r="S8" s="3">
        <f>Table6[[#This Row],[S/S_CON.]]+Table6[[#This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Table6[[#This Row],[(RESV. STORGE) AJD]]/10</f>
        <v/>
      </c>
      <c r="AB8" s="3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32" t="n"/>
      <c r="AN8" s="32">
        <f>Table6[[#This Row],[ (RESV. STORGE) SER]]/10</f>
        <v/>
      </c>
      <c r="AO8" s="68" t="n"/>
      <c r="AP8" s="99">
        <f>Table6[[#This Row],[(A/S) AJD]]-Table6[[#This Row],[SER_IN]]</f>
        <v/>
      </c>
    </row>
    <row r="9" ht="18.75" customHeight="1">
      <c r="A9" s="98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Table6[[#This Row],[ (T/B) SAR]]+Table6[[#This Row],[ (S/S) SAR]]</f>
        <v/>
      </c>
      <c r="L9" s="45" t="n"/>
      <c r="M9" s="46" t="n"/>
      <c r="N9" s="46" t="n"/>
      <c r="O9" s="40" t="n"/>
      <c r="P9" s="3">
        <f>Table6[[#This Row],[ (S/S) SAR]]-Table6[[#This Row],[(S/S) AJD]]</f>
        <v/>
      </c>
      <c r="Q9" s="40" t="n"/>
      <c r="R9" s="3">
        <f>Table6[[#This Row],[ (T/B) SAR]]-Table6[[#This Row],[(T/B) AJD]]</f>
        <v/>
      </c>
      <c r="S9" s="3">
        <f>Table6[[#This Row],[S/S_CON.]]+Table6[[#This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Table6[[#This Row],[(RESV. STORGE) AJD]]/10</f>
        <v/>
      </c>
      <c r="AB9" s="3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32" t="n"/>
      <c r="AN9" s="32">
        <f>Table6[[#This Row],[ (RESV. STORGE) SER]]/10</f>
        <v/>
      </c>
      <c r="AO9" s="68" t="n"/>
      <c r="AP9" s="99">
        <f>Table6[[#This Row],[(A/S) AJD]]-Table6[[#This Row],[SER_IN]]</f>
        <v/>
      </c>
    </row>
    <row r="10" ht="18.75" customHeight="1">
      <c r="A10" s="98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Table6[[#This Row],[ (T/B) SAR]]+Table6[[#This Row],[ (S/S) SAR]]</f>
        <v/>
      </c>
      <c r="L10" s="41" t="n"/>
      <c r="M10" s="42" t="n"/>
      <c r="N10" s="42" t="n"/>
      <c r="O10" s="39" t="n"/>
      <c r="P10" s="3">
        <f>Table6[[#This Row],[ (S/S) SAR]]-Table6[[#This Row],[(S/S) AJD]]</f>
        <v/>
      </c>
      <c r="Q10" s="39" t="n"/>
      <c r="R10" s="3">
        <f>Table6[[#This Row],[ (T/B) SAR]]-Table6[[#This Row],[(T/B) AJD]]</f>
        <v/>
      </c>
      <c r="S10" s="3">
        <f>Table6[[#This Row],[S/S_CON.]]+Table6[[#This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Table6[[#This Row],[(RESV. STORGE) AJD]]/10</f>
        <v/>
      </c>
      <c r="AB10" s="3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32" t="n"/>
      <c r="AN10" s="32">
        <f>Table6[[#This Row],[ (RESV. STORGE) SER]]/10</f>
        <v/>
      </c>
      <c r="AO10" s="68" t="n"/>
      <c r="AP10" s="99">
        <f>Table6[[#This Row],[(A/S) AJD]]-Table6[[#This Row],[SER_IN]]</f>
        <v/>
      </c>
    </row>
    <row r="11" ht="18.75" customHeight="1">
      <c r="A11" s="98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Table6[[#This Row],[ (T/B) SAR]]+Table6[[#This Row],[ (S/S) SAR]]</f>
        <v/>
      </c>
      <c r="L11" s="45" t="n"/>
      <c r="M11" s="46" t="n"/>
      <c r="N11" s="46" t="n"/>
      <c r="O11" s="40" t="n"/>
      <c r="P11" s="3">
        <f>Table6[[#This Row],[ (S/S) SAR]]-Table6[[#This Row],[(S/S) AJD]]</f>
        <v/>
      </c>
      <c r="Q11" s="40" t="n"/>
      <c r="R11" s="3">
        <f>Table6[[#This Row],[ (T/B) SAR]]-Table6[[#This Row],[(T/B) AJD]]</f>
        <v/>
      </c>
      <c r="S11" s="3">
        <f>Table6[[#This Row],[S/S_CON.]]+Table6[[#This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Table6[[#This Row],[(RESV. STORGE) AJD]]/10</f>
        <v/>
      </c>
      <c r="AB11" s="3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32" t="n"/>
      <c r="AN11" s="32">
        <f>Table6[[#This Row],[ (RESV. STORGE) SER]]/10</f>
        <v/>
      </c>
      <c r="AO11" s="68" t="n"/>
      <c r="AP11" s="99">
        <f>Table6[[#This Row],[(A/S) AJD]]-Table6[[#This Row],[SER_IN]]</f>
        <v/>
      </c>
    </row>
    <row r="12" ht="18.75" customHeight="1">
      <c r="A12" s="98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Table6[[#This Row],[ (T/B) SAR]]+Table6[[#This Row],[ (S/S) SAR]]</f>
        <v/>
      </c>
      <c r="L12" s="41" t="n"/>
      <c r="M12" s="42" t="n"/>
      <c r="N12" s="42" t="n"/>
      <c r="O12" s="39" t="n"/>
      <c r="P12" s="3">
        <f>Table6[[#This Row],[ (S/S) SAR]]-Table6[[#This Row],[(S/S) AJD]]</f>
        <v/>
      </c>
      <c r="Q12" s="39" t="n"/>
      <c r="R12" s="3">
        <f>Table6[[#This Row],[ (T/B) SAR]]-Table6[[#This Row],[(T/B) AJD]]</f>
        <v/>
      </c>
      <c r="S12" s="3">
        <f>Table6[[#This Row],[S/S_CON.]]+Table6[[#This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Table6[[#This Row],[(RESV. STORGE) AJD]]/10</f>
        <v/>
      </c>
      <c r="AB12" s="3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32" t="n"/>
      <c r="AN12" s="32">
        <f>Table6[[#This Row],[ (RESV. STORGE) SER]]/10</f>
        <v/>
      </c>
      <c r="AO12" s="68" t="n"/>
      <c r="AP12" s="99">
        <f>Table6[[#This Row],[(A/S) AJD]]-Table6[[#This Row],[SER_IN]]</f>
        <v/>
      </c>
    </row>
    <row r="13" ht="18.75" customHeight="1">
      <c r="A13" s="98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Table6[[#This Row],[ (T/B) SAR]]+Table6[[#This Row],[ (S/S) SAR]]</f>
        <v/>
      </c>
      <c r="L13" s="45" t="n"/>
      <c r="M13" s="46" t="n"/>
      <c r="N13" s="46" t="n"/>
      <c r="O13" s="40" t="n"/>
      <c r="P13" s="3">
        <f>Table6[[#This Row],[ (S/S) SAR]]-Table6[[#This Row],[(S/S) AJD]]</f>
        <v/>
      </c>
      <c r="Q13" s="40" t="n"/>
      <c r="R13" s="3">
        <f>Table6[[#This Row],[ (T/B) SAR]]-Table6[[#This Row],[(T/B) AJD]]</f>
        <v/>
      </c>
      <c r="S13" s="3">
        <f>Table6[[#This Row],[S/S_CON.]]+Table6[[#This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Table6[[#This Row],[(RESV. STORGE) AJD]]/10</f>
        <v/>
      </c>
      <c r="AB13" s="3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32" t="n"/>
      <c r="AN13" s="32">
        <f>Table6[[#This Row],[ (RESV. STORGE) SER]]/10</f>
        <v/>
      </c>
      <c r="AO13" s="68" t="n"/>
      <c r="AP13" s="99">
        <f>Table6[[#This Row],[(A/S) AJD]]-Table6[[#This Row],[SER_IN]]</f>
        <v/>
      </c>
    </row>
    <row r="14" ht="18.75" customHeight="1">
      <c r="A14" s="98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Table6[[#This Row],[ (T/B) SAR]]+Table6[[#This Row],[ (S/S) SAR]]</f>
        <v/>
      </c>
      <c r="L14" s="41" t="n"/>
      <c r="M14" s="42" t="n"/>
      <c r="N14" s="42" t="n"/>
      <c r="O14" s="39" t="n"/>
      <c r="P14" s="3">
        <f>Table6[[#This Row],[ (S/S) SAR]]-Table6[[#This Row],[(S/S) AJD]]</f>
        <v/>
      </c>
      <c r="Q14" s="39" t="n"/>
      <c r="R14" s="3">
        <f>Table6[[#This Row],[ (T/B) SAR]]-Table6[[#This Row],[(T/B) AJD]]</f>
        <v/>
      </c>
      <c r="S14" s="3">
        <f>Table6[[#This Row],[S/S_CON.]]+Table6[[#This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Table6[[#This Row],[(RESV. STORGE) AJD]]/10</f>
        <v/>
      </c>
      <c r="AB14" s="3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32" t="n"/>
      <c r="AN14" s="32">
        <f>Table6[[#This Row],[ (RESV. STORGE) SER]]/10</f>
        <v/>
      </c>
      <c r="AO14" s="68" t="n"/>
      <c r="AP14" s="99">
        <f>Table6[[#This Row],[(A/S) AJD]]-Table6[[#This Row],[SER_IN]]</f>
        <v/>
      </c>
    </row>
    <row r="15" ht="18.75" customHeight="1">
      <c r="A15" s="98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Table6[[#This Row],[ (T/B) SAR]]+Table6[[#This Row],[ (S/S) SAR]]</f>
        <v/>
      </c>
      <c r="L15" s="45" t="n"/>
      <c r="M15" s="46" t="n"/>
      <c r="N15" s="46" t="n"/>
      <c r="O15" s="40" t="n"/>
      <c r="P15" s="3">
        <f>Table6[[#This Row],[ (S/S) SAR]]-Table6[[#This Row],[(S/S) AJD]]</f>
        <v/>
      </c>
      <c r="Q15" s="40" t="n"/>
      <c r="R15" s="3">
        <f>Table6[[#This Row],[ (T/B) SAR]]-Table6[[#This Row],[(T/B) AJD]]</f>
        <v/>
      </c>
      <c r="S15" s="3">
        <f>Table6[[#This Row],[S/S_CON.]]+Table6[[#This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Table6[[#This Row],[(RESV. STORGE) AJD]]/10</f>
        <v/>
      </c>
      <c r="AB15" s="3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32" t="n"/>
      <c r="AN15" s="32">
        <f>Table6[[#This Row],[ (RESV. STORGE) SER]]/10</f>
        <v/>
      </c>
      <c r="AO15" s="68" t="n"/>
      <c r="AP15" s="99">
        <f>Table6[[#This Row],[(A/S) AJD]]-Table6[[#This Row],[SER_IN]]</f>
        <v/>
      </c>
    </row>
    <row r="16" ht="18.75" customHeight="1">
      <c r="A16" s="98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Table6[[#This Row],[ (T/B) SAR]]+Table6[[#This Row],[ (S/S) SAR]]</f>
        <v/>
      </c>
      <c r="L16" s="41" t="n"/>
      <c r="M16" s="42" t="n"/>
      <c r="N16" s="42" t="n"/>
      <c r="O16" s="39" t="n"/>
      <c r="P16" s="3">
        <f>Table6[[#This Row],[ (S/S) SAR]]-Table6[[#This Row],[(S/S) AJD]]</f>
        <v/>
      </c>
      <c r="Q16" s="39" t="n"/>
      <c r="R16" s="3">
        <f>Table6[[#This Row],[ (T/B) SAR]]-Table6[[#This Row],[(T/B) AJD]]</f>
        <v/>
      </c>
      <c r="S16" s="3">
        <f>Table6[[#This Row],[S/S_CON.]]+Table6[[#This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Table6[[#This Row],[(RESV. STORGE) AJD]]/10</f>
        <v/>
      </c>
      <c r="AB16" s="3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32" t="n"/>
      <c r="AN16" s="32">
        <f>Table6[[#This Row],[ (RESV. STORGE) SER]]/10</f>
        <v/>
      </c>
      <c r="AO16" s="68" t="n"/>
      <c r="AP16" s="99">
        <f>Table6[[#This Row],[(A/S) AJD]]-Table6[[#This Row],[SER_IN]]</f>
        <v/>
      </c>
    </row>
    <row r="17" ht="18.75" customHeight="1">
      <c r="A17" s="98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Table6[[#This Row],[ (T/B) SAR]]+Table6[[#This Row],[ (S/S) SAR]]</f>
        <v/>
      </c>
      <c r="L17" s="45" t="n"/>
      <c r="M17" s="46" t="n"/>
      <c r="N17" s="46" t="n"/>
      <c r="O17" s="40" t="n"/>
      <c r="P17" s="3">
        <f>Table6[[#This Row],[ (S/S) SAR]]-Table6[[#This Row],[(S/S) AJD]]</f>
        <v/>
      </c>
      <c r="Q17" s="40" t="n"/>
      <c r="R17" s="3">
        <f>Table6[[#This Row],[ (T/B) SAR]]-Table6[[#This Row],[(T/B) AJD]]</f>
        <v/>
      </c>
      <c r="S17" s="3">
        <f>Table6[[#This Row],[S/S_CON.]]+Table6[[#This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Table6[[#This Row],[(RESV. STORGE) AJD]]/10</f>
        <v/>
      </c>
      <c r="AB17" s="3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32" t="n"/>
      <c r="AN17" s="32">
        <f>Table6[[#This Row],[ (RESV. STORGE) SER]]/10</f>
        <v/>
      </c>
      <c r="AO17" s="68" t="n"/>
      <c r="AP17" s="99">
        <f>Table6[[#This Row],[(A/S) AJD]]-Table6[[#This Row],[SER_IN]]</f>
        <v/>
      </c>
    </row>
    <row r="18" ht="18.75" customHeight="1">
      <c r="A18" s="98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Table6[[#This Row],[ (T/B) SAR]]+Table6[[#This Row],[ (S/S) SAR]]</f>
        <v/>
      </c>
      <c r="L18" s="41" t="n"/>
      <c r="M18" s="42" t="n"/>
      <c r="N18" s="42" t="n"/>
      <c r="O18" s="39" t="n"/>
      <c r="P18" s="3">
        <f>Table6[[#This Row],[ (S/S) SAR]]-Table6[[#This Row],[(S/S) AJD]]</f>
        <v/>
      </c>
      <c r="Q18" s="39" t="n"/>
      <c r="R18" s="3">
        <f>Table6[[#This Row],[ (T/B) SAR]]-Table6[[#This Row],[(T/B) AJD]]</f>
        <v/>
      </c>
      <c r="S18" s="3">
        <f>Table6[[#This Row],[S/S_CON.]]+Table6[[#This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Table6[[#This Row],[(RESV. STORGE) AJD]]/10</f>
        <v/>
      </c>
      <c r="AB18" s="3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32" t="n"/>
      <c r="AN18" s="32">
        <f>Table6[[#This Row],[ (RESV. STORGE) SER]]/10</f>
        <v/>
      </c>
      <c r="AO18" s="68" t="n"/>
      <c r="AP18" s="99">
        <f>Table6[[#This Row],[(A/S) AJD]]-Table6[[#This Row],[SER_IN]]</f>
        <v/>
      </c>
    </row>
    <row r="19" ht="18.75" customHeight="1">
      <c r="A19" s="98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Table6[[#This Row],[ (T/B) SAR]]+Table6[[#This Row],[ (S/S) SAR]]</f>
        <v/>
      </c>
      <c r="L19" s="45" t="n"/>
      <c r="M19" s="46" t="n"/>
      <c r="N19" s="46" t="n"/>
      <c r="O19" s="40" t="n"/>
      <c r="P19" s="3">
        <f>Table6[[#This Row],[ (S/S) SAR]]-Table6[[#This Row],[(S/S) AJD]]</f>
        <v/>
      </c>
      <c r="Q19" s="40" t="n"/>
      <c r="R19" s="3">
        <f>Table6[[#This Row],[ (T/B) SAR]]-Table6[[#This Row],[(T/B) AJD]]</f>
        <v/>
      </c>
      <c r="S19" s="3">
        <f>Table6[[#This Row],[S/S_CON.]]+Table6[[#This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Table6[[#This Row],[(RESV. STORGE) AJD]]/10</f>
        <v/>
      </c>
      <c r="AB19" s="3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32" t="n"/>
      <c r="AN19" s="32">
        <f>Table6[[#This Row],[ (RESV. STORGE) SER]]/10</f>
        <v/>
      </c>
      <c r="AO19" s="68" t="n"/>
      <c r="AP19" s="99">
        <f>Table6[[#This Row],[(A/S) AJD]]-Table6[[#This Row],[SER_IN]]</f>
        <v/>
      </c>
    </row>
    <row r="20" ht="18.75" customHeight="1">
      <c r="A20" s="98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Table6[[#This Row],[ (T/B) SAR]]+Table6[[#This Row],[ (S/S) SAR]]</f>
        <v/>
      </c>
      <c r="L20" s="41" t="n"/>
      <c r="M20" s="42" t="n"/>
      <c r="N20" s="42" t="n"/>
      <c r="O20" s="39" t="n"/>
      <c r="P20" s="3">
        <f>Table6[[#This Row],[ (S/S) SAR]]-Table6[[#This Row],[(S/S) AJD]]</f>
        <v/>
      </c>
      <c r="Q20" s="39" t="n"/>
      <c r="R20" s="3">
        <f>Table6[[#This Row],[ (T/B) SAR]]-Table6[[#This Row],[(T/B) AJD]]</f>
        <v/>
      </c>
      <c r="S20" s="3">
        <f>Table6[[#This Row],[S/S_CON.]]+Table6[[#This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Table6[[#This Row],[(RESV. STORGE) AJD]]/10</f>
        <v/>
      </c>
      <c r="AB20" s="3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32" t="n"/>
      <c r="AN20" s="32">
        <f>Table6[[#This Row],[ (RESV. STORGE) SER]]/10</f>
        <v/>
      </c>
      <c r="AO20" s="68" t="n"/>
      <c r="AP20" s="99">
        <f>Table6[[#This Row],[(A/S) AJD]]-Table6[[#This Row],[SER_IN]]</f>
        <v/>
      </c>
    </row>
    <row r="21" ht="18.75" customHeight="1">
      <c r="A21" s="98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Table6[[#This Row],[ (T/B) SAR]]+Table6[[#This Row],[ (S/S) SAR]]</f>
        <v/>
      </c>
      <c r="L21" s="45" t="n"/>
      <c r="M21" s="46" t="n"/>
      <c r="N21" s="46" t="n"/>
      <c r="O21" s="40" t="n"/>
      <c r="P21" s="3">
        <f>Table6[[#This Row],[ (S/S) SAR]]-Table6[[#This Row],[(S/S) AJD]]</f>
        <v/>
      </c>
      <c r="Q21" s="40" t="n"/>
      <c r="R21" s="3">
        <f>Table6[[#This Row],[ (T/B) SAR]]-Table6[[#This Row],[(T/B) AJD]]</f>
        <v/>
      </c>
      <c r="S21" s="3">
        <f>Table6[[#This Row],[S/S_CON.]]+Table6[[#This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Table6[[#This Row],[(RESV. STORGE) AJD]]/10</f>
        <v/>
      </c>
      <c r="AB21" s="3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32" t="n"/>
      <c r="AN21" s="32">
        <f>Table6[[#This Row],[ (RESV. STORGE) SER]]/10</f>
        <v/>
      </c>
      <c r="AO21" s="68" t="n"/>
      <c r="AP21" s="99">
        <f>Table6[[#This Row],[(A/S) AJD]]-Table6[[#This Row],[SER_IN]]</f>
        <v/>
      </c>
    </row>
    <row r="22" ht="18.75" customHeight="1">
      <c r="A22" s="98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Table6[[#This Row],[ (T/B) SAR]]+Table6[[#This Row],[ (S/S) SAR]]</f>
        <v/>
      </c>
      <c r="L22" s="41" t="n"/>
      <c r="M22" s="42" t="n"/>
      <c r="N22" s="42" t="n"/>
      <c r="O22" s="39" t="n"/>
      <c r="P22" s="3">
        <f>Table6[[#This Row],[ (S/S) SAR]]-Table6[[#This Row],[(S/S) AJD]]</f>
        <v/>
      </c>
      <c r="Q22" s="39" t="n"/>
      <c r="R22" s="3">
        <f>Table6[[#This Row],[ (T/B) SAR]]-Table6[[#This Row],[(T/B) AJD]]</f>
        <v/>
      </c>
      <c r="S22" s="3">
        <f>Table6[[#This Row],[S/S_CON.]]+Table6[[#This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Table6[[#This Row],[(RESV. STORGE) AJD]]/10</f>
        <v/>
      </c>
      <c r="AB22" s="3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32" t="n"/>
      <c r="AN22" s="32">
        <f>Table6[[#This Row],[ (RESV. STORGE) SER]]/10</f>
        <v/>
      </c>
      <c r="AO22" s="68" t="n"/>
      <c r="AP22" s="99">
        <f>Table6[[#This Row],[(A/S) AJD]]-Table6[[#This Row],[SER_IN]]</f>
        <v/>
      </c>
    </row>
    <row r="23" ht="18.75" customHeight="1">
      <c r="A23" s="98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Table6[[#This Row],[ (T/B) SAR]]+Table6[[#This Row],[ (S/S) SAR]]</f>
        <v/>
      </c>
      <c r="L23" s="45" t="n"/>
      <c r="M23" s="46" t="n"/>
      <c r="N23" s="46" t="n"/>
      <c r="O23" s="40" t="n"/>
      <c r="P23" s="3">
        <f>Table6[[#This Row],[ (S/S) SAR]]-Table6[[#This Row],[(S/S) AJD]]</f>
        <v/>
      </c>
      <c r="Q23" s="40" t="n"/>
      <c r="R23" s="3">
        <f>Table6[[#This Row],[ (T/B) SAR]]-Table6[[#This Row],[(T/B) AJD]]</f>
        <v/>
      </c>
      <c r="S23" s="3">
        <f>Table6[[#This Row],[S/S_CON.]]+Table6[[#This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Table6[[#This Row],[(RESV. STORGE) AJD]]/10</f>
        <v/>
      </c>
      <c r="AB23" s="3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32" t="n"/>
      <c r="AN23" s="32">
        <f>Table6[[#This Row],[ (RESV. STORGE) SER]]/10</f>
        <v/>
      </c>
      <c r="AO23" s="68" t="n"/>
      <c r="AP23" s="99">
        <f>Table6[[#This Row],[(A/S) AJD]]-Table6[[#This Row],[SER_IN]]</f>
        <v/>
      </c>
    </row>
    <row r="24" ht="18.75" customHeight="1">
      <c r="A24" s="98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Table6[[#This Row],[ (T/B) SAR]]+Table6[[#This Row],[ (S/S) SAR]]</f>
        <v/>
      </c>
      <c r="L24" s="41" t="n"/>
      <c r="M24" s="42" t="n"/>
      <c r="N24" s="42" t="n"/>
      <c r="O24" s="39" t="n"/>
      <c r="P24" s="3">
        <f>Table6[[#This Row],[ (S/S) SAR]]-Table6[[#This Row],[(S/S) AJD]]</f>
        <v/>
      </c>
      <c r="Q24" s="39" t="n"/>
      <c r="R24" s="3">
        <f>Table6[[#This Row],[ (T/B) SAR]]-Table6[[#This Row],[(T/B) AJD]]</f>
        <v/>
      </c>
      <c r="S24" s="3">
        <f>Table6[[#This Row],[S/S_CON.]]+Table6[[#This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Table6[[#This Row],[(RESV. STORGE) AJD]]/10</f>
        <v/>
      </c>
      <c r="AB24" s="3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32" t="n"/>
      <c r="AN24" s="32">
        <f>Table6[[#This Row],[ (RESV. STORGE) SER]]/10</f>
        <v/>
      </c>
      <c r="AO24" s="68" t="n"/>
      <c r="AP24" s="99">
        <f>Table6[[#This Row],[(A/S) AJD]]-Table6[[#This Row],[SER_IN]]</f>
        <v/>
      </c>
    </row>
    <row r="25" ht="18.75" customHeight="1">
      <c r="A25" s="98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Table6[[#This Row],[ (T/B) SAR]]+Table6[[#This Row],[ (S/S) SAR]]</f>
        <v/>
      </c>
      <c r="L25" s="45" t="n"/>
      <c r="M25" s="46" t="n"/>
      <c r="N25" s="46" t="n"/>
      <c r="O25" s="40" t="n"/>
      <c r="P25" s="3">
        <f>Table6[[#This Row],[ (S/S) SAR]]-Table6[[#This Row],[(S/S) AJD]]</f>
        <v/>
      </c>
      <c r="Q25" s="40" t="n"/>
      <c r="R25" s="3">
        <f>Table6[[#This Row],[ (T/B) SAR]]-Table6[[#This Row],[(T/B) AJD]]</f>
        <v/>
      </c>
      <c r="S25" s="3">
        <f>Table6[[#This Row],[S/S_CON.]]+Table6[[#This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Table6[[#This Row],[(RESV. STORGE) AJD]]/10</f>
        <v/>
      </c>
      <c r="AB25" s="3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32" t="n"/>
      <c r="AN25" s="32">
        <f>Table6[[#This Row],[ (RESV. STORGE) SER]]/10</f>
        <v/>
      </c>
      <c r="AO25" s="68" t="n"/>
      <c r="AP25" s="99">
        <f>Table6[[#This Row],[(A/S) AJD]]-Table6[[#This Row],[SER_IN]]</f>
        <v/>
      </c>
    </row>
    <row r="26" ht="18.75" customHeight="1">
      <c r="A26" s="98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Table6[[#This Row],[ (T/B) SAR]]+Table6[[#This Row],[ (S/S) SAR]]</f>
        <v/>
      </c>
      <c r="L26" s="41" t="n"/>
      <c r="M26" s="42" t="n"/>
      <c r="N26" s="42" t="n"/>
      <c r="O26" s="39" t="n"/>
      <c r="P26" s="3">
        <f>Table6[[#This Row],[ (S/S) SAR]]-Table6[[#This Row],[(S/S) AJD]]</f>
        <v/>
      </c>
      <c r="Q26" s="39" t="n"/>
      <c r="R26" s="3">
        <f>Table6[[#This Row],[ (T/B) SAR]]-Table6[[#This Row],[(T/B) AJD]]</f>
        <v/>
      </c>
      <c r="S26" s="3">
        <f>Table6[[#This Row],[S/S_CON.]]+Table6[[#This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Table6[[#This Row],[(RESV. STORGE) AJD]]/10</f>
        <v/>
      </c>
      <c r="AB26" s="3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32" t="n"/>
      <c r="AN26" s="32">
        <f>Table6[[#This Row],[ (RESV. STORGE) SER]]/10</f>
        <v/>
      </c>
      <c r="AO26" s="68" t="n"/>
      <c r="AP26" s="99">
        <f>Table6[[#This Row],[(A/S) AJD]]-Table6[[#This Row],[SER_IN]]</f>
        <v/>
      </c>
    </row>
    <row r="27" ht="18.75" customHeight="1">
      <c r="A27" s="98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Table6[[#This Row],[ (T/B) SAR]]+Table6[[#This Row],[ (S/S) SAR]]</f>
        <v/>
      </c>
      <c r="L27" s="45" t="n"/>
      <c r="M27" s="46" t="n"/>
      <c r="N27" s="46" t="n"/>
      <c r="O27" s="40" t="n"/>
      <c r="P27" s="3">
        <f>Table6[[#This Row],[ (S/S) SAR]]-Table6[[#This Row],[(S/S) AJD]]</f>
        <v/>
      </c>
      <c r="Q27" s="40" t="n"/>
      <c r="R27" s="3">
        <f>Table6[[#This Row],[ (T/B) SAR]]-Table6[[#This Row],[(T/B) AJD]]</f>
        <v/>
      </c>
      <c r="S27" s="3">
        <f>Table6[[#This Row],[S/S_CON.]]+Table6[[#This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Table6[[#This Row],[(RESV. STORGE) AJD]]/10</f>
        <v/>
      </c>
      <c r="AB27" s="3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32" t="n"/>
      <c r="AN27" s="32">
        <f>Table6[[#This Row],[ (RESV. STORGE) SER]]/10</f>
        <v/>
      </c>
      <c r="AO27" s="68" t="n"/>
      <c r="AP27" s="99">
        <f>Table6[[#This Row],[(A/S) AJD]]-Table6[[#This Row],[SER_IN]]</f>
        <v/>
      </c>
    </row>
    <row r="28" ht="18.75" customHeight="1">
      <c r="A28" s="98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Table6[[#This Row],[ (T/B) SAR]]+Table6[[#This Row],[ (S/S) SAR]]</f>
        <v/>
      </c>
      <c r="L28" s="41" t="n"/>
      <c r="M28" s="42" t="n"/>
      <c r="N28" s="42" t="n"/>
      <c r="O28" s="39" t="n"/>
      <c r="P28" s="3">
        <f>Table6[[#This Row],[ (S/S) SAR]]-Table6[[#This Row],[(S/S) AJD]]</f>
        <v/>
      </c>
      <c r="Q28" s="39" t="n"/>
      <c r="R28" s="3">
        <f>Table6[[#This Row],[ (T/B) SAR]]-Table6[[#This Row],[(T/B) AJD]]</f>
        <v/>
      </c>
      <c r="S28" s="3">
        <f>Table6[[#This Row],[S/S_CON.]]+Table6[[#This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Table6[[#This Row],[(RESV. STORGE) AJD]]/10</f>
        <v/>
      </c>
      <c r="AB28" s="3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32" t="n"/>
      <c r="AN28" s="32">
        <f>Table6[[#This Row],[ (RESV. STORGE) SER]]/10</f>
        <v/>
      </c>
      <c r="AO28" s="68" t="n"/>
      <c r="AP28" s="99">
        <f>Table6[[#This Row],[(A/S) AJD]]-Table6[[#This Row],[SER_IN]]</f>
        <v/>
      </c>
    </row>
    <row r="29" ht="18.75" customHeight="1">
      <c r="A29" s="98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Table6[[#This Row],[ (T/B) SAR]]+Table6[[#This Row],[ (S/S) SAR]]</f>
        <v/>
      </c>
      <c r="L29" s="45" t="n"/>
      <c r="M29" s="46" t="n"/>
      <c r="N29" s="46" t="n"/>
      <c r="O29" s="40" t="n"/>
      <c r="P29" s="3">
        <f>Table6[[#This Row],[ (S/S) SAR]]-Table6[[#This Row],[(S/S) AJD]]</f>
        <v/>
      </c>
      <c r="Q29" s="40" t="n"/>
      <c r="R29" s="3">
        <f>Table6[[#This Row],[ (T/B) SAR]]-Table6[[#This Row],[(T/B) AJD]]</f>
        <v/>
      </c>
      <c r="S29" s="3">
        <f>Table6[[#This Row],[S/S_CON.]]+Table6[[#This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Table6[[#This Row],[(RESV. STORGE) AJD]]/10</f>
        <v/>
      </c>
      <c r="AB29" s="3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32" t="n"/>
      <c r="AN29" s="32">
        <f>Table6[[#This Row],[ (RESV. STORGE) SER]]/10</f>
        <v/>
      </c>
      <c r="AO29" s="68" t="n"/>
      <c r="AP29" s="99">
        <f>Table6[[#This Row],[(A/S) AJD]]-Table6[[#This Row],[SER_IN]]</f>
        <v/>
      </c>
    </row>
    <row r="30" ht="18.75" customHeight="1">
      <c r="A30" s="98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Table6[[#This Row],[ (T/B) SAR]]+Table6[[#This Row],[ (S/S) SAR]]</f>
        <v/>
      </c>
      <c r="L30" s="41" t="n"/>
      <c r="M30" s="42" t="n"/>
      <c r="N30" s="42" t="n"/>
      <c r="O30" s="39" t="n"/>
      <c r="P30" s="3">
        <f>Table6[[#This Row],[ (S/S) SAR]]-Table6[[#This Row],[(S/S) AJD]]</f>
        <v/>
      </c>
      <c r="Q30" s="39" t="n"/>
      <c r="R30" s="3">
        <f>Table6[[#This Row],[ (T/B) SAR]]-Table6[[#This Row],[(T/B) AJD]]</f>
        <v/>
      </c>
      <c r="S30" s="3">
        <f>Table6[[#This Row],[S/S_CON.]]+Table6[[#This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Table6[[#This Row],[(RESV. STORGE) AJD]]/10</f>
        <v/>
      </c>
      <c r="AB30" s="3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32" t="n"/>
      <c r="AN30" s="32">
        <f>Table6[[#This Row],[ (RESV. STORGE) SER]]/10</f>
        <v/>
      </c>
      <c r="AO30" s="68" t="n"/>
      <c r="AP30" s="99">
        <f>Table6[[#This Row],[(A/S) AJD]]-Table6[[#This Row],[SER_IN]]</f>
        <v/>
      </c>
    </row>
    <row r="31" ht="18.75" customHeight="1">
      <c r="A31" s="98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Table6[[#This Row],[ (T/B) SAR]]+Table6[[#This Row],[ (S/S) SAR]]</f>
        <v/>
      </c>
      <c r="L31" s="45" t="n"/>
      <c r="M31" s="46" t="n"/>
      <c r="N31" s="46" t="n"/>
      <c r="O31" s="40" t="n"/>
      <c r="P31" s="3">
        <f>Table6[[#This Row],[ (S/S) SAR]]-Table6[[#This Row],[(S/S) AJD]]</f>
        <v/>
      </c>
      <c r="Q31" s="40" t="n"/>
      <c r="R31" s="3">
        <f>Table6[[#This Row],[ (T/B) SAR]]-Table6[[#This Row],[(T/B) AJD]]</f>
        <v/>
      </c>
      <c r="S31" s="3">
        <f>Table6[[#This Row],[S/S_CON.]]+Table6[[#This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Table6[[#This Row],[(RESV. STORGE) AJD]]/10</f>
        <v/>
      </c>
      <c r="AB31" s="3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32" t="n"/>
      <c r="AN31" s="32">
        <f>Table6[[#This Row],[ (RESV. STORGE) SER]]/10</f>
        <v/>
      </c>
      <c r="AO31" s="68" t="n"/>
      <c r="AP31" s="99">
        <f>Table6[[#This Row],[(A/S) AJD]]-Table6[[#This Row],[SER_IN]]</f>
        <v/>
      </c>
    </row>
    <row r="32" ht="18.75" customHeight="1">
      <c r="A32" s="98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Table6[[#This Row],[ (T/B) SAR]]+Table6[[#This Row],[ (S/S) SAR]]</f>
        <v/>
      </c>
      <c r="L32" s="41" t="n"/>
      <c r="M32" s="42" t="n"/>
      <c r="N32" s="42" t="n"/>
      <c r="O32" s="39" t="n"/>
      <c r="P32" s="3">
        <f>Table6[[#This Row],[ (S/S) SAR]]-Table6[[#This Row],[(S/S) AJD]]</f>
        <v/>
      </c>
      <c r="Q32" s="39" t="n"/>
      <c r="R32" s="3">
        <f>Table6[[#This Row],[ (T/B) SAR]]-Table6[[#This Row],[(T/B) AJD]]</f>
        <v/>
      </c>
      <c r="S32" s="3">
        <f>Table6[[#This Row],[S/S_CON.]]+Table6[[#This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Table6[[#This Row],[(RESV. STORGE) AJD]]/10</f>
        <v/>
      </c>
      <c r="AB32" s="3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32" t="n"/>
      <c r="AN32" s="32">
        <f>Table6[[#This Row],[ (RESV. STORGE) SER]]/10</f>
        <v/>
      </c>
      <c r="AO32" s="68" t="n"/>
      <c r="AP32" s="99">
        <f>Table6[[#This Row],[(A/S) AJD]]-Table6[[#This Row],[SER_IN]]</f>
        <v/>
      </c>
    </row>
    <row r="33" ht="18.75" customHeight="1">
      <c r="A33" s="98" t="n">
        <v>47515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Table6[[#This Row],[ (T/B) SAR]]+Table6[[#This Row],[ (S/S) SAR]]</f>
        <v/>
      </c>
      <c r="L33" s="41" t="n"/>
      <c r="M33" s="42" t="n"/>
      <c r="N33" s="42" t="n"/>
      <c r="O33" s="39" t="n"/>
      <c r="P33" s="3">
        <f>Table6[[#This Row],[ (S/S) SAR]]-Table6[[#This Row],[(S/S) AJD]]</f>
        <v/>
      </c>
      <c r="Q33" s="39" t="n"/>
      <c r="R33" s="3">
        <f>Table6[[#This Row],[ (T/B) SAR]]-Table6[[#This Row],[(T/B) AJD]]</f>
        <v/>
      </c>
      <c r="S33" s="3">
        <f>Table6[[#This Row],[S/S_CON.]]+Table6[[#This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Table6[[#This Row],[(RESV. STORGE) AJD]]/10</f>
        <v/>
      </c>
      <c r="AB33" s="3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32" t="n"/>
      <c r="AN33" s="32">
        <f>Table6[[#This Row],[ (RESV. STORGE) SER]]/10</f>
        <v/>
      </c>
      <c r="AO33" s="68" t="n"/>
      <c r="AP33" s="99">
        <f>Table6[[#This Row],[(A/S) AJD]]-Table6[[#This Row],[SER_IN]]</f>
        <v/>
      </c>
    </row>
    <row r="34" ht="18.75" customHeight="1">
      <c r="A34" s="98" t="n">
        <v>47516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Table6[[#This Row],[ (T/B) SAR]]+Table6[[#This Row],[ (S/S) SAR]]</f>
        <v/>
      </c>
      <c r="L34" s="45" t="n"/>
      <c r="M34" s="46" t="n"/>
      <c r="N34" s="46" t="n"/>
      <c r="O34" s="40" t="n"/>
      <c r="P34" s="3">
        <f>Table6[[#This Row],[ (S/S) SAR]]-Table6[[#This Row],[(S/S) AJD]]</f>
        <v/>
      </c>
      <c r="Q34" s="40" t="n"/>
      <c r="R34" s="3">
        <f>Table6[[#This Row],[ (T/B) SAR]]-Table6[[#This Row],[(T/B) AJD]]</f>
        <v/>
      </c>
      <c r="S34" s="3">
        <f>Table6[[#This Row],[S/S_CON.]]+Table6[[#This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Table6[[#This Row],[(RESV. STORGE) AJD]]/10</f>
        <v/>
      </c>
      <c r="AB34" s="3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32" t="n"/>
      <c r="AN34" s="32">
        <f>Table6[[#This Row],[ (RESV. STORGE) SER]]/10</f>
        <v/>
      </c>
      <c r="AO34" s="68" t="n"/>
      <c r="AP34" s="99">
        <f>Table6[[#This Row],[(A/S) AJD]]-Table6[[#This Row],[SER_IN]]</f>
        <v/>
      </c>
    </row>
    <row r="35" ht="18.75" customHeight="1">
      <c r="A35" s="98" t="n">
        <v>47517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Table6[[#This Row],[ (T/B) SAR]]+Table6[[#This Row],[ (S/S) SAR]]</f>
        <v/>
      </c>
      <c r="L35" s="41" t="n"/>
      <c r="M35" s="42" t="n"/>
      <c r="N35" s="42" t="n"/>
      <c r="O35" s="39" t="n"/>
      <c r="P35" s="3">
        <f>Table6[[#This Row],[ (S/S) SAR]]-Table6[[#This Row],[(S/S) AJD]]</f>
        <v/>
      </c>
      <c r="Q35" s="39" t="n"/>
      <c r="R35" s="3">
        <f>Table6[[#This Row],[ (T/B) SAR]]-Table6[[#This Row],[(T/B) AJD]]</f>
        <v/>
      </c>
      <c r="S35" s="3">
        <f>Table6[[#This Row],[S/S_CON.]]+Table6[[#This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Table6[[#This Row],[(RESV. STORGE) AJD]]/10</f>
        <v/>
      </c>
      <c r="AB35" s="3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32" t="n"/>
      <c r="AN35" s="32">
        <f>Table6[[#This Row],[ (RESV. STORGE) SER]]/10</f>
        <v/>
      </c>
      <c r="AO35" s="68" t="n"/>
      <c r="AP35" s="99">
        <f>Table6[[#This Row],[(A/S) AJD]]-Table6[[#This Row],[SER_IN]]</f>
        <v/>
      </c>
    </row>
    <row r="36" ht="18.75" customHeight="1">
      <c r="A36" s="98" t="n">
        <v>47518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Table6[[#This Row],[ (T/B) SAR]]+Table6[[#This Row],[ (S/S) SAR]]</f>
        <v/>
      </c>
      <c r="L36" s="45" t="n"/>
      <c r="M36" s="46" t="n"/>
      <c r="N36" s="46" t="n"/>
      <c r="O36" s="40" t="n"/>
      <c r="P36" s="3">
        <f>Table6[[#This Row],[ (S/S) SAR]]-Table6[[#This Row],[(S/S) AJD]]</f>
        <v/>
      </c>
      <c r="Q36" s="40" t="n"/>
      <c r="R36" s="3">
        <f>Table6[[#This Row],[ (T/B) SAR]]-Table6[[#This Row],[(T/B) AJD]]</f>
        <v/>
      </c>
      <c r="S36" s="3">
        <f>Table6[[#This Row],[S/S_CON.]]+Table6[[#This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Table6[[#This Row],[(RESV. STORGE) AJD]]/10</f>
        <v/>
      </c>
      <c r="AB36" s="3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32" t="n"/>
      <c r="AN36" s="32">
        <f>Table6[[#This Row],[ (RESV. STORGE) SER]]/10</f>
        <v/>
      </c>
      <c r="AO36" s="68" t="n"/>
      <c r="AP36" s="99">
        <f>Table6[[#This Row],[(A/S) AJD]]-Table6[[#This Row],[SER_IN]]</f>
        <v/>
      </c>
    </row>
    <row r="37" ht="18.75" customHeight="1">
      <c r="A37" s="98" t="n">
        <v>47519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Table6[[#This Row],[ (T/B) SAR]]+Table6[[#This Row],[ (S/S) SAR]]</f>
        <v/>
      </c>
      <c r="L37" s="41" t="n"/>
      <c r="M37" s="42" t="n"/>
      <c r="N37" s="42" t="n"/>
      <c r="O37" s="39" t="n"/>
      <c r="P37" s="3">
        <f>Table6[[#This Row],[ (S/S) SAR]]-Table6[[#This Row],[(S/S) AJD]]</f>
        <v/>
      </c>
      <c r="Q37" s="39" t="n"/>
      <c r="R37" s="3">
        <f>Table6[[#This Row],[ (T/B) SAR]]-Table6[[#This Row],[(T/B) AJD]]</f>
        <v/>
      </c>
      <c r="S37" s="3">
        <f>Table6[[#This Row],[S/S_CON.]]+Table6[[#This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Table6[[#This Row],[(RESV. STORGE) AJD]]/10</f>
        <v/>
      </c>
      <c r="AB37" s="3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32" t="n"/>
      <c r="AN37" s="32">
        <f>Table6[[#This Row],[ (RESV. STORGE) SER]]/10</f>
        <v/>
      </c>
      <c r="AO37" s="68" t="n"/>
      <c r="AP37" s="99">
        <f>Table6[[#This Row],[(A/S) AJD]]-Table6[[#This Row],[SER_IN]]</f>
        <v/>
      </c>
    </row>
    <row r="38" ht="18.75" customHeight="1">
      <c r="A38" s="98" t="n">
        <v>47520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Table6[[#This Row],[ (T/B) SAR]]+Table6[[#This Row],[ (S/S) SAR]]</f>
        <v/>
      </c>
      <c r="L38" s="45" t="n"/>
      <c r="M38" s="46" t="n"/>
      <c r="N38" s="46" t="n"/>
      <c r="O38" s="40" t="n"/>
      <c r="P38" s="3">
        <f>Table6[[#This Row],[ (S/S) SAR]]-Table6[[#This Row],[(S/S) AJD]]</f>
        <v/>
      </c>
      <c r="Q38" s="40" t="n"/>
      <c r="R38" s="3">
        <f>Table6[[#This Row],[ (T/B) SAR]]-Table6[[#This Row],[(T/B) AJD]]</f>
        <v/>
      </c>
      <c r="S38" s="3">
        <f>Table6[[#This Row],[S/S_CON.]]+Table6[[#This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Table6[[#This Row],[(RESV. STORGE) AJD]]/10</f>
        <v/>
      </c>
      <c r="AB38" s="3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32" t="n"/>
      <c r="AN38" s="32">
        <f>Table6[[#This Row],[ (RESV. STORGE) SER]]/10</f>
        <v/>
      </c>
      <c r="AO38" s="68" t="n"/>
      <c r="AP38" s="99">
        <f>Table6[[#This Row],[(A/S) AJD]]-Table6[[#This Row],[SER_IN]]</f>
        <v/>
      </c>
    </row>
    <row r="39" ht="18.75" customHeight="1">
      <c r="A39" s="98" t="n">
        <v>47521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Table6[[#This Row],[ (T/B) SAR]]+Table6[[#This Row],[ (S/S) SAR]]</f>
        <v/>
      </c>
      <c r="L39" s="41" t="n"/>
      <c r="M39" s="42" t="n"/>
      <c r="N39" s="42" t="n"/>
      <c r="O39" s="39" t="n"/>
      <c r="P39" s="3">
        <f>Table6[[#This Row],[ (S/S) SAR]]-Table6[[#This Row],[(S/S) AJD]]</f>
        <v/>
      </c>
      <c r="Q39" s="39" t="n"/>
      <c r="R39" s="3">
        <f>Table6[[#This Row],[ (T/B) SAR]]-Table6[[#This Row],[(T/B) AJD]]</f>
        <v/>
      </c>
      <c r="S39" s="3">
        <f>Table6[[#This Row],[S/S_CON.]]+Table6[[#This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Table6[[#This Row],[(RESV. STORGE) AJD]]/10</f>
        <v/>
      </c>
      <c r="AB39" s="3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32" t="n"/>
      <c r="AN39" s="32">
        <f>Table6[[#This Row],[ (RESV. STORGE) SER]]/10</f>
        <v/>
      </c>
      <c r="AO39" s="68" t="n"/>
      <c r="AP39" s="99">
        <f>Table6[[#This Row],[(A/S) AJD]]-Table6[[#This Row],[SER_IN]]</f>
        <v/>
      </c>
    </row>
    <row r="40" ht="18.75" customHeight="1">
      <c r="A40" s="98" t="n">
        <v>47522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Table6[[#This Row],[ (T/B) SAR]]+Table6[[#This Row],[ (S/S) SAR]]</f>
        <v/>
      </c>
      <c r="L40" s="45" t="n"/>
      <c r="M40" s="46" t="n"/>
      <c r="N40" s="46" t="n"/>
      <c r="O40" s="40" t="n"/>
      <c r="P40" s="3">
        <f>Table6[[#This Row],[ (S/S) SAR]]-Table6[[#This Row],[(S/S) AJD]]</f>
        <v/>
      </c>
      <c r="Q40" s="40" t="n"/>
      <c r="R40" s="3">
        <f>Table6[[#This Row],[ (T/B) SAR]]-Table6[[#This Row],[(T/B) AJD]]</f>
        <v/>
      </c>
      <c r="S40" s="3">
        <f>Table6[[#This Row],[S/S_CON.]]+Table6[[#This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Table6[[#This Row],[(RESV. STORGE) AJD]]/10</f>
        <v/>
      </c>
      <c r="AB40" s="3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32" t="n"/>
      <c r="AN40" s="32">
        <f>Table6[[#This Row],[ (RESV. STORGE) SER]]/10</f>
        <v/>
      </c>
      <c r="AO40" s="68" t="n"/>
      <c r="AP40" s="99">
        <f>Table6[[#This Row],[(A/S) AJD]]-Table6[[#This Row],[SER_IN]]</f>
        <v/>
      </c>
    </row>
    <row r="41" ht="18.75" customHeight="1">
      <c r="A41" s="98" t="n">
        <v>47523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Table6[[#This Row],[ (T/B) SAR]]+Table6[[#This Row],[ (S/S) SAR]]</f>
        <v/>
      </c>
      <c r="L41" s="41" t="n"/>
      <c r="M41" s="42" t="n"/>
      <c r="N41" s="42" t="n"/>
      <c r="O41" s="39" t="n"/>
      <c r="P41" s="3">
        <f>Table6[[#This Row],[ (S/S) SAR]]-Table6[[#This Row],[(S/S) AJD]]</f>
        <v/>
      </c>
      <c r="Q41" s="39" t="n"/>
      <c r="R41" s="3">
        <f>Table6[[#This Row],[ (T/B) SAR]]-Table6[[#This Row],[(T/B) AJD]]</f>
        <v/>
      </c>
      <c r="S41" s="3">
        <f>Table6[[#This Row],[S/S_CON.]]+Table6[[#This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Table6[[#This Row],[(RESV. STORGE) AJD]]/10</f>
        <v/>
      </c>
      <c r="AB41" s="3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32" t="n"/>
      <c r="AN41" s="32">
        <f>Table6[[#This Row],[ (RESV. STORGE) SER]]/10</f>
        <v/>
      </c>
      <c r="AO41" s="68" t="n"/>
      <c r="AP41" s="99">
        <f>Table6[[#This Row],[(A/S) AJD]]-Table6[[#This Row],[SER_IN]]</f>
        <v/>
      </c>
    </row>
    <row r="42" ht="18.75" customHeight="1">
      <c r="A42" s="98" t="n">
        <v>47524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Table6[[#This Row],[ (T/B) SAR]]+Table6[[#This Row],[ (S/S) SAR]]</f>
        <v/>
      </c>
      <c r="L42" s="45" t="n"/>
      <c r="M42" s="46" t="n"/>
      <c r="N42" s="46" t="n"/>
      <c r="O42" s="40" t="n"/>
      <c r="P42" s="3">
        <f>Table6[[#This Row],[ (S/S) SAR]]-Table6[[#This Row],[(S/S) AJD]]</f>
        <v/>
      </c>
      <c r="Q42" s="40" t="n"/>
      <c r="R42" s="3">
        <f>Table6[[#This Row],[ (T/B) SAR]]-Table6[[#This Row],[(T/B) AJD]]</f>
        <v/>
      </c>
      <c r="S42" s="3">
        <f>Table6[[#This Row],[S/S_CON.]]+Table6[[#This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Table6[[#This Row],[(RESV. STORGE) AJD]]/10</f>
        <v/>
      </c>
      <c r="AB42" s="3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32" t="n"/>
      <c r="AN42" s="32">
        <f>Table6[[#This Row],[ (RESV. STORGE) SER]]/10</f>
        <v/>
      </c>
      <c r="AO42" s="68" t="n"/>
      <c r="AP42" s="99">
        <f>Table6[[#This Row],[(A/S) AJD]]-Table6[[#This Row],[SER_IN]]</f>
        <v/>
      </c>
    </row>
    <row r="43" ht="18.75" customHeight="1">
      <c r="A43" s="98" t="n">
        <v>47525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Table6[[#This Row],[ (T/B) SAR]]+Table6[[#This Row],[ (S/S) SAR]]</f>
        <v/>
      </c>
      <c r="L43" s="41" t="n"/>
      <c r="M43" s="42" t="n"/>
      <c r="N43" s="42" t="n"/>
      <c r="O43" s="39" t="n"/>
      <c r="P43" s="3">
        <f>Table6[[#This Row],[ (S/S) SAR]]-Table6[[#This Row],[(S/S) AJD]]</f>
        <v/>
      </c>
      <c r="Q43" s="39" t="n"/>
      <c r="R43" s="3">
        <f>Table6[[#This Row],[ (T/B) SAR]]-Table6[[#This Row],[(T/B) AJD]]</f>
        <v/>
      </c>
      <c r="S43" s="3">
        <f>Table6[[#This Row],[S/S_CON.]]+Table6[[#This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Table6[[#This Row],[(RESV. STORGE) AJD]]/10</f>
        <v/>
      </c>
      <c r="AB43" s="3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32" t="n"/>
      <c r="AN43" s="32">
        <f>Table6[[#This Row],[ (RESV. STORGE) SER]]/10</f>
        <v/>
      </c>
      <c r="AO43" s="68" t="n"/>
      <c r="AP43" s="99">
        <f>Table6[[#This Row],[(A/S) AJD]]-Table6[[#This Row],[SER_IN]]</f>
        <v/>
      </c>
    </row>
    <row r="44" ht="18.75" customHeight="1">
      <c r="A44" s="98" t="n">
        <v>47526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Table6[[#This Row],[ (T/B) SAR]]+Table6[[#This Row],[ (S/S) SAR]]</f>
        <v/>
      </c>
      <c r="L44" s="45" t="n"/>
      <c r="M44" s="46" t="n"/>
      <c r="N44" s="46" t="n"/>
      <c r="O44" s="40" t="n"/>
      <c r="P44" s="3">
        <f>Table6[[#This Row],[ (S/S) SAR]]-Table6[[#This Row],[(S/S) AJD]]</f>
        <v/>
      </c>
      <c r="Q44" s="40" t="n"/>
      <c r="R44" s="3">
        <f>Table6[[#This Row],[ (T/B) SAR]]-Table6[[#This Row],[(T/B) AJD]]</f>
        <v/>
      </c>
      <c r="S44" s="3">
        <f>Table6[[#This Row],[S/S_CON.]]+Table6[[#This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Table6[[#This Row],[(RESV. STORGE) AJD]]/10</f>
        <v/>
      </c>
      <c r="AB44" s="3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32" t="n"/>
      <c r="AN44" s="32">
        <f>Table6[[#This Row],[ (RESV. STORGE) SER]]/10</f>
        <v/>
      </c>
      <c r="AO44" s="68" t="n"/>
      <c r="AP44" s="99">
        <f>Table6[[#This Row],[(A/S) AJD]]-Table6[[#This Row],[SER_IN]]</f>
        <v/>
      </c>
    </row>
    <row r="45" ht="18.75" customHeight="1">
      <c r="A45" s="98" t="n">
        <v>47527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Table6[[#This Row],[ (T/B) SAR]]+Table6[[#This Row],[ (S/S) SAR]]</f>
        <v/>
      </c>
      <c r="L45" s="41" t="n"/>
      <c r="M45" s="42" t="n"/>
      <c r="N45" s="42" t="n"/>
      <c r="O45" s="39" t="n"/>
      <c r="P45" s="3">
        <f>Table6[[#This Row],[ (S/S) SAR]]-Table6[[#This Row],[(S/S) AJD]]</f>
        <v/>
      </c>
      <c r="Q45" s="39" t="n"/>
      <c r="R45" s="3">
        <f>Table6[[#This Row],[ (T/B) SAR]]-Table6[[#This Row],[(T/B) AJD]]</f>
        <v/>
      </c>
      <c r="S45" s="3">
        <f>Table6[[#This Row],[S/S_CON.]]+Table6[[#This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Table6[[#This Row],[(RESV. STORGE) AJD]]/10</f>
        <v/>
      </c>
      <c r="AB45" s="3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32" t="n"/>
      <c r="AN45" s="32">
        <f>Table6[[#This Row],[ (RESV. STORGE) SER]]/10</f>
        <v/>
      </c>
      <c r="AO45" s="68" t="n"/>
      <c r="AP45" s="99">
        <f>Table6[[#This Row],[(A/S) AJD]]-Table6[[#This Row],[SER_IN]]</f>
        <v/>
      </c>
    </row>
    <row r="46" ht="18.75" customHeight="1">
      <c r="A46" s="98" t="n">
        <v>47528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Table6[[#This Row],[ (T/B) SAR]]+Table6[[#This Row],[ (S/S) SAR]]</f>
        <v/>
      </c>
      <c r="L46" s="45" t="n"/>
      <c r="M46" s="46" t="n"/>
      <c r="N46" s="46" t="n"/>
      <c r="O46" s="40" t="n"/>
      <c r="P46" s="3">
        <f>Table6[[#This Row],[ (S/S) SAR]]-Table6[[#This Row],[(S/S) AJD]]</f>
        <v/>
      </c>
      <c r="Q46" s="40" t="n"/>
      <c r="R46" s="3">
        <f>Table6[[#This Row],[ (T/B) SAR]]-Table6[[#This Row],[(T/B) AJD]]</f>
        <v/>
      </c>
      <c r="S46" s="3">
        <f>Table6[[#This Row],[S/S_CON.]]+Table6[[#This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Table6[[#This Row],[(RESV. STORGE) AJD]]/10</f>
        <v/>
      </c>
      <c r="AB46" s="3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32" t="n"/>
      <c r="AN46" s="32">
        <f>Table6[[#This Row],[ (RESV. STORGE) SER]]/10</f>
        <v/>
      </c>
      <c r="AO46" s="68" t="n"/>
      <c r="AP46" s="99">
        <f>Table6[[#This Row],[(A/S) AJD]]-Table6[[#This Row],[SER_IN]]</f>
        <v/>
      </c>
    </row>
    <row r="47" ht="18.75" customHeight="1">
      <c r="A47" s="98" t="n">
        <v>47529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Table6[[#This Row],[ (T/B) SAR]]+Table6[[#This Row],[ (S/S) SAR]]</f>
        <v/>
      </c>
      <c r="L47" s="41" t="n"/>
      <c r="M47" s="42" t="n"/>
      <c r="N47" s="42" t="n"/>
      <c r="O47" s="39" t="n"/>
      <c r="P47" s="3">
        <f>Table6[[#This Row],[ (S/S) SAR]]-Table6[[#This Row],[(S/S) AJD]]</f>
        <v/>
      </c>
      <c r="Q47" s="39" t="n"/>
      <c r="R47" s="3">
        <f>Table6[[#This Row],[ (T/B) SAR]]-Table6[[#This Row],[(T/B) AJD]]</f>
        <v/>
      </c>
      <c r="S47" s="3">
        <f>Table6[[#This Row],[S/S_CON.]]+Table6[[#This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Table6[[#This Row],[(RESV. STORGE) AJD]]/10</f>
        <v/>
      </c>
      <c r="AB47" s="3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32" t="n"/>
      <c r="AN47" s="32">
        <f>Table6[[#This Row],[ (RESV. STORGE) SER]]/10</f>
        <v/>
      </c>
      <c r="AO47" s="68" t="n"/>
      <c r="AP47" s="99">
        <f>Table6[[#This Row],[(A/S) AJD]]-Table6[[#This Row],[SER_IN]]</f>
        <v/>
      </c>
    </row>
    <row r="48" ht="18.75" customHeight="1">
      <c r="A48" s="98" t="n">
        <v>47530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Table6[[#This Row],[ (T/B) SAR]]+Table6[[#This Row],[ (S/S) SAR]]</f>
        <v/>
      </c>
      <c r="L48" s="45" t="n"/>
      <c r="M48" s="46" t="n"/>
      <c r="N48" s="46" t="n"/>
      <c r="O48" s="40" t="n"/>
      <c r="P48" s="3">
        <f>Table6[[#This Row],[ (S/S) SAR]]-Table6[[#This Row],[(S/S) AJD]]</f>
        <v/>
      </c>
      <c r="Q48" s="40" t="n"/>
      <c r="R48" s="3">
        <f>Table6[[#This Row],[ (T/B) SAR]]-Table6[[#This Row],[(T/B) AJD]]</f>
        <v/>
      </c>
      <c r="S48" s="3">
        <f>Table6[[#This Row],[S/S_CON.]]+Table6[[#This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Table6[[#This Row],[(RESV. STORGE) AJD]]/10</f>
        <v/>
      </c>
      <c r="AB48" s="3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32" t="n"/>
      <c r="AN48" s="32">
        <f>Table6[[#This Row],[ (RESV. STORGE) SER]]/10</f>
        <v/>
      </c>
      <c r="AO48" s="68" t="n"/>
      <c r="AP48" s="99">
        <f>Table6[[#This Row],[(A/S) AJD]]-Table6[[#This Row],[SER_IN]]</f>
        <v/>
      </c>
    </row>
    <row r="49" ht="18.75" customHeight="1">
      <c r="A49" s="98" t="n">
        <v>47531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Table6[[#This Row],[ (T/B) SAR]]+Table6[[#This Row],[ (S/S) SAR]]</f>
        <v/>
      </c>
      <c r="L49" s="41" t="n"/>
      <c r="M49" s="42" t="n"/>
      <c r="N49" s="42" t="n"/>
      <c r="O49" s="39" t="n"/>
      <c r="P49" s="3">
        <f>Table6[[#This Row],[ (S/S) SAR]]-Table6[[#This Row],[(S/S) AJD]]</f>
        <v/>
      </c>
      <c r="Q49" s="39" t="n"/>
      <c r="R49" s="3">
        <f>Table6[[#This Row],[ (T/B) SAR]]-Table6[[#This Row],[(T/B) AJD]]</f>
        <v/>
      </c>
      <c r="S49" s="3">
        <f>Table6[[#This Row],[S/S_CON.]]+Table6[[#This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Table6[[#This Row],[(RESV. STORGE) AJD]]/10</f>
        <v/>
      </c>
      <c r="AB49" s="3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32" t="n"/>
      <c r="AN49" s="32">
        <f>Table6[[#This Row],[ (RESV. STORGE) SER]]/10</f>
        <v/>
      </c>
      <c r="AO49" s="68" t="n"/>
      <c r="AP49" s="99">
        <f>Table6[[#This Row],[(A/S) AJD]]-Table6[[#This Row],[SER_IN]]</f>
        <v/>
      </c>
    </row>
    <row r="50" ht="18.75" customHeight="1">
      <c r="A50" s="98" t="n">
        <v>47532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Table6[[#This Row],[ (T/B) SAR]]+Table6[[#This Row],[ (S/S) SAR]]</f>
        <v/>
      </c>
      <c r="L50" s="45" t="n"/>
      <c r="M50" s="46" t="n"/>
      <c r="N50" s="46" t="n"/>
      <c r="O50" s="40" t="n"/>
      <c r="P50" s="3">
        <f>Table6[[#This Row],[ (S/S) SAR]]-Table6[[#This Row],[(S/S) AJD]]</f>
        <v/>
      </c>
      <c r="Q50" s="40" t="n"/>
      <c r="R50" s="3">
        <f>Table6[[#This Row],[ (T/B) SAR]]-Table6[[#This Row],[(T/B) AJD]]</f>
        <v/>
      </c>
      <c r="S50" s="3">
        <f>Table6[[#This Row],[S/S_CON.]]+Table6[[#This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Table6[[#This Row],[(RESV. STORGE) AJD]]/10</f>
        <v/>
      </c>
      <c r="AB50" s="3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32" t="n"/>
      <c r="AN50" s="32">
        <f>Table6[[#This Row],[ (RESV. STORGE) SER]]/10</f>
        <v/>
      </c>
      <c r="AO50" s="68" t="n"/>
      <c r="AP50" s="99">
        <f>Table6[[#This Row],[(A/S) AJD]]-Table6[[#This Row],[SER_IN]]</f>
        <v/>
      </c>
    </row>
    <row r="51" ht="18.75" customHeight="1">
      <c r="A51" s="98" t="n">
        <v>47533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Table6[[#This Row],[ (T/B) SAR]]+Table6[[#This Row],[ (S/S) SAR]]</f>
        <v/>
      </c>
      <c r="L51" s="41" t="n"/>
      <c r="M51" s="42" t="n"/>
      <c r="N51" s="42" t="n"/>
      <c r="O51" s="39" t="n"/>
      <c r="P51" s="3">
        <f>Table6[[#This Row],[ (S/S) SAR]]-Table6[[#This Row],[(S/S) AJD]]</f>
        <v/>
      </c>
      <c r="Q51" s="39" t="n"/>
      <c r="R51" s="3">
        <f>Table6[[#This Row],[ (T/B) SAR]]-Table6[[#This Row],[(T/B) AJD]]</f>
        <v/>
      </c>
      <c r="S51" s="3">
        <f>Table6[[#This Row],[S/S_CON.]]+Table6[[#This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Table6[[#This Row],[(RESV. STORGE) AJD]]/10</f>
        <v/>
      </c>
      <c r="AB51" s="3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32" t="n"/>
      <c r="AN51" s="32">
        <f>Table6[[#This Row],[ (RESV. STORGE) SER]]/10</f>
        <v/>
      </c>
      <c r="AO51" s="68" t="n"/>
      <c r="AP51" s="99">
        <f>Table6[[#This Row],[(A/S) AJD]]-Table6[[#This Row],[SER_IN]]</f>
        <v/>
      </c>
    </row>
    <row r="52" ht="18.75" customHeight="1">
      <c r="A52" s="98" t="n">
        <v>47534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Table6[[#This Row],[ (T/B) SAR]]+Table6[[#This Row],[ (S/S) SAR]]</f>
        <v/>
      </c>
      <c r="L52" s="45" t="n"/>
      <c r="M52" s="46" t="n"/>
      <c r="N52" s="46" t="n"/>
      <c r="O52" s="40" t="n"/>
      <c r="P52" s="3">
        <f>Table6[[#This Row],[ (S/S) SAR]]-Table6[[#This Row],[(S/S) AJD]]</f>
        <v/>
      </c>
      <c r="Q52" s="40" t="n"/>
      <c r="R52" s="3">
        <f>Table6[[#This Row],[ (T/B) SAR]]-Table6[[#This Row],[(T/B) AJD]]</f>
        <v/>
      </c>
      <c r="S52" s="3">
        <f>Table6[[#This Row],[S/S_CON.]]+Table6[[#This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Table6[[#This Row],[(RESV. STORGE) AJD]]/10</f>
        <v/>
      </c>
      <c r="AB52" s="3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32" t="n"/>
      <c r="AN52" s="32">
        <f>Table6[[#This Row],[ (RESV. STORGE) SER]]/10</f>
        <v/>
      </c>
      <c r="AO52" s="68" t="n"/>
      <c r="AP52" s="99">
        <f>Table6[[#This Row],[(A/S) AJD]]-Table6[[#This Row],[SER_IN]]</f>
        <v/>
      </c>
    </row>
    <row r="53" ht="18.75" customHeight="1">
      <c r="A53" s="98" t="n">
        <v>47535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Table6[[#This Row],[ (T/B) SAR]]+Table6[[#This Row],[ (S/S) SAR]]</f>
        <v/>
      </c>
      <c r="L53" s="41" t="n"/>
      <c r="M53" s="42" t="n"/>
      <c r="N53" s="42" t="n"/>
      <c r="O53" s="39" t="n"/>
      <c r="P53" s="3">
        <f>Table6[[#This Row],[ (S/S) SAR]]-Table6[[#This Row],[(S/S) AJD]]</f>
        <v/>
      </c>
      <c r="Q53" s="39" t="n"/>
      <c r="R53" s="3">
        <f>Table6[[#This Row],[ (T/B) SAR]]-Table6[[#This Row],[(T/B) AJD]]</f>
        <v/>
      </c>
      <c r="S53" s="3">
        <f>Table6[[#This Row],[S/S_CON.]]+Table6[[#This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Table6[[#This Row],[(RESV. STORGE) AJD]]/10</f>
        <v/>
      </c>
      <c r="AB53" s="3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32" t="n"/>
      <c r="AN53" s="32">
        <f>Table6[[#This Row],[ (RESV. STORGE) SER]]/10</f>
        <v/>
      </c>
      <c r="AO53" s="68" t="n"/>
      <c r="AP53" s="99">
        <f>Table6[[#This Row],[(A/S) AJD]]-Table6[[#This Row],[SER_IN]]</f>
        <v/>
      </c>
    </row>
    <row r="54" ht="18.75" customHeight="1">
      <c r="A54" s="98" t="n">
        <v>47536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Table6[[#This Row],[ (T/B) SAR]]+Table6[[#This Row],[ (S/S) SAR]]</f>
        <v/>
      </c>
      <c r="L54" s="45" t="n"/>
      <c r="M54" s="46" t="n"/>
      <c r="N54" s="46" t="n"/>
      <c r="O54" s="40" t="n"/>
      <c r="P54" s="3">
        <f>Table6[[#This Row],[ (S/S) SAR]]-Table6[[#This Row],[(S/S) AJD]]</f>
        <v/>
      </c>
      <c r="Q54" s="40" t="n"/>
      <c r="R54" s="3">
        <f>Table6[[#This Row],[ (T/B) SAR]]-Table6[[#This Row],[(T/B) AJD]]</f>
        <v/>
      </c>
      <c r="S54" s="3">
        <f>Table6[[#This Row],[S/S_CON.]]+Table6[[#This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Table6[[#This Row],[(RESV. STORGE) AJD]]/10</f>
        <v/>
      </c>
      <c r="AB54" s="3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32" t="n"/>
      <c r="AN54" s="32">
        <f>Table6[[#This Row],[ (RESV. STORGE) SER]]/10</f>
        <v/>
      </c>
      <c r="AO54" s="68" t="n"/>
      <c r="AP54" s="99">
        <f>Table6[[#This Row],[(A/S) AJD]]-Table6[[#This Row],[SER_IN]]</f>
        <v/>
      </c>
    </row>
    <row r="55" ht="18.75" customHeight="1">
      <c r="A55" s="98" t="n">
        <v>47537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Table6[[#This Row],[ (T/B) SAR]]+Table6[[#This Row],[ (S/S) SAR]]</f>
        <v/>
      </c>
      <c r="L55" s="41" t="n"/>
      <c r="M55" s="42" t="n"/>
      <c r="N55" s="42" t="n"/>
      <c r="O55" s="39" t="n"/>
      <c r="P55" s="3">
        <f>Table6[[#This Row],[ (S/S) SAR]]-Table6[[#This Row],[(S/S) AJD]]</f>
        <v/>
      </c>
      <c r="Q55" s="39" t="n"/>
      <c r="R55" s="3">
        <f>Table6[[#This Row],[ (T/B) SAR]]-Table6[[#This Row],[(T/B) AJD]]</f>
        <v/>
      </c>
      <c r="S55" s="3">
        <f>Table6[[#This Row],[S/S_CON.]]+Table6[[#This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Table6[[#This Row],[(RESV. STORGE) AJD]]/10</f>
        <v/>
      </c>
      <c r="AB55" s="3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32" t="n"/>
      <c r="AN55" s="32">
        <f>Table6[[#This Row],[ (RESV. STORGE) SER]]/10</f>
        <v/>
      </c>
      <c r="AO55" s="68" t="n"/>
      <c r="AP55" s="99">
        <f>Table6[[#This Row],[(A/S) AJD]]-Table6[[#This Row],[SER_IN]]</f>
        <v/>
      </c>
    </row>
    <row r="56" ht="18.75" customHeight="1">
      <c r="A56" s="98" t="n">
        <v>47538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Table6[[#This Row],[ (T/B) SAR]]+Table6[[#This Row],[ (S/S) SAR]]</f>
        <v/>
      </c>
      <c r="L56" s="45" t="n"/>
      <c r="M56" s="46" t="n"/>
      <c r="N56" s="46" t="n"/>
      <c r="O56" s="40" t="n"/>
      <c r="P56" s="3">
        <f>Table6[[#This Row],[ (S/S) SAR]]-Table6[[#This Row],[(S/S) AJD]]</f>
        <v/>
      </c>
      <c r="Q56" s="40" t="n"/>
      <c r="R56" s="3">
        <f>Table6[[#This Row],[ (T/B) SAR]]-Table6[[#This Row],[(T/B) AJD]]</f>
        <v/>
      </c>
      <c r="S56" s="3">
        <f>Table6[[#This Row],[S/S_CON.]]+Table6[[#This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Table6[[#This Row],[(RESV. STORGE) AJD]]/10</f>
        <v/>
      </c>
      <c r="AB56" s="3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32" t="n"/>
      <c r="AN56" s="32">
        <f>Table6[[#This Row],[ (RESV. STORGE) SER]]/10</f>
        <v/>
      </c>
      <c r="AO56" s="68" t="n"/>
      <c r="AP56" s="99">
        <f>Table6[[#This Row],[(A/S) AJD]]-Table6[[#This Row],[SER_IN]]</f>
        <v/>
      </c>
    </row>
    <row r="57" ht="18.75" customHeight="1">
      <c r="A57" s="98" t="n">
        <v>47539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Table6[[#This Row],[ (T/B) SAR]]+Table6[[#This Row],[ (S/S) SAR]]</f>
        <v/>
      </c>
      <c r="L57" s="41" t="n"/>
      <c r="M57" s="42" t="n"/>
      <c r="N57" s="42" t="n"/>
      <c r="O57" s="39" t="n"/>
      <c r="P57" s="3">
        <f>Table6[[#This Row],[ (S/S) SAR]]-Table6[[#This Row],[(S/S) AJD]]</f>
        <v/>
      </c>
      <c r="Q57" s="39" t="n"/>
      <c r="R57" s="3">
        <f>Table6[[#This Row],[ (T/B) SAR]]-Table6[[#This Row],[(T/B) AJD]]</f>
        <v/>
      </c>
      <c r="S57" s="3">
        <f>Table6[[#This Row],[S/S_CON.]]+Table6[[#This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Table6[[#This Row],[(RESV. STORGE) AJD]]/10</f>
        <v/>
      </c>
      <c r="AB57" s="3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32" t="n"/>
      <c r="AN57" s="32">
        <f>Table6[[#This Row],[ (RESV. STORGE) SER]]/10</f>
        <v/>
      </c>
      <c r="AO57" s="68" t="n"/>
      <c r="AP57" s="99">
        <f>Table6[[#This Row],[(A/S) AJD]]-Table6[[#This Row],[SER_IN]]</f>
        <v/>
      </c>
    </row>
    <row r="58" ht="18.75" customHeight="1">
      <c r="A58" s="98" t="n">
        <v>47540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Table6[[#This Row],[ (T/B) SAR]]+Table6[[#This Row],[ (S/S) SAR]]</f>
        <v/>
      </c>
      <c r="L58" s="45" t="n"/>
      <c r="M58" s="46" t="n"/>
      <c r="N58" s="46" t="n"/>
      <c r="O58" s="40" t="n"/>
      <c r="P58" s="3">
        <f>Table6[[#This Row],[ (S/S) SAR]]-Table6[[#This Row],[(S/S) AJD]]</f>
        <v/>
      </c>
      <c r="Q58" s="40" t="n"/>
      <c r="R58" s="3">
        <f>Table6[[#This Row],[ (T/B) SAR]]-Table6[[#This Row],[(T/B) AJD]]</f>
        <v/>
      </c>
      <c r="S58" s="3">
        <f>Table6[[#This Row],[S/S_CON.]]+Table6[[#This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Table6[[#This Row],[(RESV. STORGE) AJD]]/10</f>
        <v/>
      </c>
      <c r="AB58" s="3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32" t="n"/>
      <c r="AN58" s="32">
        <f>Table6[[#This Row],[ (RESV. STORGE) SER]]/10</f>
        <v/>
      </c>
      <c r="AO58" s="68" t="n"/>
      <c r="AP58" s="99">
        <f>Table6[[#This Row],[(A/S) AJD]]-Table6[[#This Row],[SER_IN]]</f>
        <v/>
      </c>
    </row>
    <row r="59" ht="18.75" customHeight="1">
      <c r="A59" s="98" t="n">
        <v>47541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Table6[[#This Row],[ (T/B) SAR]]+Table6[[#This Row],[ (S/S) SAR]]</f>
        <v/>
      </c>
      <c r="L59" s="41" t="n"/>
      <c r="M59" s="42" t="n"/>
      <c r="N59" s="42" t="n"/>
      <c r="O59" s="39" t="n"/>
      <c r="P59" s="3">
        <f>Table6[[#This Row],[ (S/S) SAR]]-Table6[[#This Row],[(S/S) AJD]]</f>
        <v/>
      </c>
      <c r="Q59" s="39" t="n"/>
      <c r="R59" s="3">
        <f>Table6[[#This Row],[ (T/B) SAR]]-Table6[[#This Row],[(T/B) AJD]]</f>
        <v/>
      </c>
      <c r="S59" s="3">
        <f>Table6[[#This Row],[S/S_CON.]]+Table6[[#This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Table6[[#This Row],[(RESV. STORGE) AJD]]/10</f>
        <v/>
      </c>
      <c r="AB59" s="3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32" t="n"/>
      <c r="AN59" s="32">
        <f>Table6[[#This Row],[ (RESV. STORGE) SER]]/10</f>
        <v/>
      </c>
      <c r="AO59" s="68" t="n"/>
      <c r="AP59" s="99">
        <f>Table6[[#This Row],[(A/S) AJD]]-Table6[[#This Row],[SER_IN]]</f>
        <v/>
      </c>
    </row>
    <row r="60" ht="18.75" customHeight="1">
      <c r="A60" s="98" t="n">
        <v>47542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Table6[[#This Row],[ (T/B) SAR]]+Table6[[#This Row],[ (S/S) SAR]]</f>
        <v/>
      </c>
      <c r="L60" s="45" t="n"/>
      <c r="M60" s="46" t="n"/>
      <c r="N60" s="46" t="n"/>
      <c r="O60" s="40" t="n"/>
      <c r="P60" s="3">
        <f>Table6[[#This Row],[ (S/S) SAR]]-Table6[[#This Row],[(S/S) AJD]]</f>
        <v/>
      </c>
      <c r="Q60" s="40" t="n"/>
      <c r="R60" s="3">
        <f>Table6[[#This Row],[ (T/B) SAR]]-Table6[[#This Row],[(T/B) AJD]]</f>
        <v/>
      </c>
      <c r="S60" s="3">
        <f>Table6[[#This Row],[S/S_CON.]]+Table6[[#This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Table6[[#This Row],[(RESV. STORGE) AJD]]/10</f>
        <v/>
      </c>
      <c r="AB60" s="3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32" t="n"/>
      <c r="AN60" s="32">
        <f>Table6[[#This Row],[ (RESV. STORGE) SER]]/10</f>
        <v/>
      </c>
      <c r="AO60" s="68" t="n"/>
      <c r="AP60" s="99">
        <f>Table6[[#This Row],[(A/S) AJD]]-Table6[[#This Row],[SER_IN]]</f>
        <v/>
      </c>
    </row>
    <row r="61" ht="18.75" customHeight="1">
      <c r="A61" s="98" t="n">
        <v>47543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Table6[[#This Row],[ (T/B) SAR]]+Table6[[#This Row],[ (S/S) SAR]]</f>
        <v/>
      </c>
      <c r="L61" s="41" t="n"/>
      <c r="M61" s="42" t="n"/>
      <c r="N61" s="42" t="n"/>
      <c r="O61" s="39" t="n"/>
      <c r="P61" s="3">
        <f>Table6[[#This Row],[ (S/S) SAR]]-Table6[[#This Row],[(S/S) AJD]]</f>
        <v/>
      </c>
      <c r="Q61" s="39" t="n"/>
      <c r="R61" s="3">
        <f>Table6[[#This Row],[ (T/B) SAR]]-Table6[[#This Row],[(T/B) AJD]]</f>
        <v/>
      </c>
      <c r="S61" s="3">
        <f>Table6[[#This Row],[S/S_CON.]]+Table6[[#This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Table6[[#This Row],[(RESV. STORGE) AJD]]/10</f>
        <v/>
      </c>
      <c r="AB61" s="3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32" t="n"/>
      <c r="AN61" s="32">
        <f>Table6[[#This Row],[ (RESV. STORGE) SER]]/10</f>
        <v/>
      </c>
      <c r="AO61" s="68" t="n"/>
      <c r="AP61" s="99">
        <f>Table6[[#This Row],[(A/S) AJD]]-Table6[[#This Row],[SER_IN]]</f>
        <v/>
      </c>
    </row>
    <row r="62" ht="18.75" customHeight="1">
      <c r="A62" s="98" t="n">
        <v>47544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Table6[[#This Row],[ (T/B) SAR]]+Table6[[#This Row],[ (S/S) SAR]]</f>
        <v/>
      </c>
      <c r="L62" s="45" t="n"/>
      <c r="M62" s="46" t="n"/>
      <c r="N62" s="46" t="n"/>
      <c r="O62" s="40" t="n"/>
      <c r="P62" s="3">
        <f>Table6[[#This Row],[ (S/S) SAR]]-Table6[[#This Row],[(S/S) AJD]]</f>
        <v/>
      </c>
      <c r="Q62" s="40" t="n"/>
      <c r="R62" s="3">
        <f>Table6[[#This Row],[ (T/B) SAR]]-Table6[[#This Row],[(T/B) AJD]]</f>
        <v/>
      </c>
      <c r="S62" s="3">
        <f>Table6[[#This Row],[S/S_CON.]]+Table6[[#This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Table6[[#This Row],[(RESV. STORGE) AJD]]/10</f>
        <v/>
      </c>
      <c r="AB62" s="3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32" t="n"/>
      <c r="AN62" s="32">
        <f>Table6[[#This Row],[ (RESV. STORGE) SER]]/10</f>
        <v/>
      </c>
      <c r="AO62" s="68" t="n"/>
      <c r="AP62" s="99">
        <f>Table6[[#This Row],[(A/S) AJD]]-Table6[[#This Row],[SER_IN]]</f>
        <v/>
      </c>
    </row>
    <row r="63" ht="18.75" customHeight="1">
      <c r="A63" s="98" t="n">
        <v>47545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Table6[[#This Row],[ (T/B) SAR]]+Table6[[#This Row],[ (S/S) SAR]]</f>
        <v/>
      </c>
      <c r="L63" s="41" t="n"/>
      <c r="M63" s="42" t="n"/>
      <c r="N63" s="42" t="n"/>
      <c r="O63" s="39" t="n"/>
      <c r="P63" s="3">
        <f>Table6[[#This Row],[ (S/S) SAR]]-Table6[[#This Row],[(S/S) AJD]]</f>
        <v/>
      </c>
      <c r="Q63" s="39" t="n"/>
      <c r="R63" s="3">
        <f>Table6[[#This Row],[ (T/B) SAR]]-Table6[[#This Row],[(T/B) AJD]]</f>
        <v/>
      </c>
      <c r="S63" s="3">
        <f>Table6[[#This Row],[S/S_CON.]]+Table6[[#This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Table6[[#This Row],[(RESV. STORGE) AJD]]/10</f>
        <v/>
      </c>
      <c r="AB63" s="3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32" t="n"/>
      <c r="AN63" s="32">
        <f>Table6[[#This Row],[ (RESV. STORGE) SER]]/10</f>
        <v/>
      </c>
      <c r="AO63" s="68" t="n"/>
      <c r="AP63" s="99">
        <f>Table6[[#This Row],[(A/S) AJD]]-Table6[[#This Row],[SER_IN]]</f>
        <v/>
      </c>
    </row>
    <row r="64" ht="18.75" customHeight="1">
      <c r="A64" s="98" t="n">
        <v>47546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Table6[[#This Row],[ (T/B) SAR]]+Table6[[#This Row],[ (S/S) SAR]]</f>
        <v/>
      </c>
      <c r="L64" s="45" t="n"/>
      <c r="M64" s="46" t="n"/>
      <c r="N64" s="46" t="n"/>
      <c r="O64" s="40" t="n"/>
      <c r="P64" s="3">
        <f>Table6[[#This Row],[ (S/S) SAR]]-Table6[[#This Row],[(S/S) AJD]]</f>
        <v/>
      </c>
      <c r="Q64" s="40" t="n"/>
      <c r="R64" s="3">
        <f>Table6[[#This Row],[ (T/B) SAR]]-Table6[[#This Row],[(T/B) AJD]]</f>
        <v/>
      </c>
      <c r="S64" s="3">
        <f>Table6[[#This Row],[S/S_CON.]]+Table6[[#This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Table6[[#This Row],[(RESV. STORGE) AJD]]/10</f>
        <v/>
      </c>
      <c r="AB64" s="3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32" t="n"/>
      <c r="AN64" s="32">
        <f>Table6[[#This Row],[ (RESV. STORGE) SER]]/10</f>
        <v/>
      </c>
      <c r="AO64" s="68" t="n"/>
      <c r="AP64" s="99">
        <f>Table6[[#This Row],[(A/S) AJD]]-Table6[[#This Row],[SER_IN]]</f>
        <v/>
      </c>
    </row>
    <row r="65" ht="18.75" customHeight="1">
      <c r="A65" s="98" t="n">
        <v>47547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Table6[[#This Row],[ (T/B) SAR]]+Table6[[#This Row],[ (S/S) SAR]]</f>
        <v/>
      </c>
      <c r="L65" s="41" t="n"/>
      <c r="M65" s="42" t="n"/>
      <c r="N65" s="42" t="n"/>
      <c r="O65" s="39" t="n"/>
      <c r="P65" s="3">
        <f>Table6[[#This Row],[ (S/S) SAR]]-Table6[[#This Row],[(S/S) AJD]]</f>
        <v/>
      </c>
      <c r="Q65" s="39" t="n"/>
      <c r="R65" s="3">
        <f>Table6[[#This Row],[ (T/B) SAR]]-Table6[[#This Row],[(T/B) AJD]]</f>
        <v/>
      </c>
      <c r="S65" s="3">
        <f>Table6[[#This Row],[S/S_CON.]]+Table6[[#This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Table6[[#This Row],[(RESV. STORGE) AJD]]/10</f>
        <v/>
      </c>
      <c r="AB65" s="3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32" t="n"/>
      <c r="AN65" s="32">
        <f>Table6[[#This Row],[ (RESV. STORGE) SER]]/10</f>
        <v/>
      </c>
      <c r="AO65" s="68" t="n"/>
      <c r="AP65" s="99">
        <f>Table6[[#This Row],[(A/S) AJD]]-Table6[[#This Row],[SER_IN]]</f>
        <v/>
      </c>
    </row>
    <row r="66" ht="18.75" customHeight="1">
      <c r="A66" s="98" t="n">
        <v>47548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Table6[[#This Row],[ (T/B) SAR]]+Table6[[#This Row],[ (S/S) SAR]]</f>
        <v/>
      </c>
      <c r="L66" s="45" t="n"/>
      <c r="M66" s="46" t="n"/>
      <c r="N66" s="46" t="n"/>
      <c r="O66" s="40" t="n"/>
      <c r="P66" s="3">
        <f>Table6[[#This Row],[ (S/S) SAR]]-Table6[[#This Row],[(S/S) AJD]]</f>
        <v/>
      </c>
      <c r="Q66" s="40" t="n"/>
      <c r="R66" s="3">
        <f>Table6[[#This Row],[ (T/B) SAR]]-Table6[[#This Row],[(T/B) AJD]]</f>
        <v/>
      </c>
      <c r="S66" s="3">
        <f>Table6[[#This Row],[S/S_CON.]]+Table6[[#This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Table6[[#This Row],[(RESV. STORGE) AJD]]/10</f>
        <v/>
      </c>
      <c r="AB66" s="3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32" t="n"/>
      <c r="AN66" s="32">
        <f>Table6[[#This Row],[ (RESV. STORGE) SER]]/10</f>
        <v/>
      </c>
      <c r="AO66" s="68" t="n"/>
      <c r="AP66" s="99">
        <f>Table6[[#This Row],[(A/S) AJD]]-Table6[[#This Row],[SER_IN]]</f>
        <v/>
      </c>
    </row>
    <row r="67" ht="18.75" customHeight="1">
      <c r="A67" s="98" t="n">
        <v>47549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Table6[[#This Row],[ (T/B) SAR]]+Table6[[#This Row],[ (S/S) SAR]]</f>
        <v/>
      </c>
      <c r="L67" s="41" t="n"/>
      <c r="M67" s="42" t="n"/>
      <c r="N67" s="42" t="n"/>
      <c r="O67" s="39" t="n"/>
      <c r="P67" s="3">
        <f>Table6[[#This Row],[ (S/S) SAR]]-Table6[[#This Row],[(S/S) AJD]]</f>
        <v/>
      </c>
      <c r="Q67" s="39" t="n"/>
      <c r="R67" s="3">
        <f>Table6[[#This Row],[ (T/B) SAR]]-Table6[[#This Row],[(T/B) AJD]]</f>
        <v/>
      </c>
      <c r="S67" s="3">
        <f>Table6[[#This Row],[S/S_CON.]]+Table6[[#This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Table6[[#This Row],[(RESV. STORGE) AJD]]/10</f>
        <v/>
      </c>
      <c r="AB67" s="3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32" t="n"/>
      <c r="AN67" s="32">
        <f>Table6[[#This Row],[ (RESV. STORGE) SER]]/10</f>
        <v/>
      </c>
      <c r="AO67" s="68" t="n"/>
      <c r="AP67" s="99">
        <f>Table6[[#This Row],[(A/S) AJD]]-Table6[[#This Row],[SER_IN]]</f>
        <v/>
      </c>
    </row>
    <row r="68" ht="18.75" customHeight="1">
      <c r="A68" s="98" t="n">
        <v>47550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Table6[[#This Row],[ (T/B) SAR]]+Table6[[#This Row],[ (S/S) SAR]]</f>
        <v/>
      </c>
      <c r="L68" s="45" t="n"/>
      <c r="M68" s="46" t="n"/>
      <c r="N68" s="46" t="n"/>
      <c r="O68" s="40" t="n"/>
      <c r="P68" s="3">
        <f>Table6[[#This Row],[ (S/S) SAR]]-Table6[[#This Row],[(S/S) AJD]]</f>
        <v/>
      </c>
      <c r="Q68" s="40" t="n"/>
      <c r="R68" s="3">
        <f>Table6[[#This Row],[ (T/B) SAR]]-Table6[[#This Row],[(T/B) AJD]]</f>
        <v/>
      </c>
      <c r="S68" s="3">
        <f>Table6[[#This Row],[S/S_CON.]]+Table6[[#This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Table6[[#This Row],[(RESV. STORGE) AJD]]/10</f>
        <v/>
      </c>
      <c r="AB68" s="3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32" t="n"/>
      <c r="AN68" s="32">
        <f>Table6[[#This Row],[ (RESV. STORGE) SER]]/10</f>
        <v/>
      </c>
      <c r="AO68" s="68" t="n"/>
      <c r="AP68" s="99">
        <f>Table6[[#This Row],[(A/S) AJD]]-Table6[[#This Row],[SER_IN]]</f>
        <v/>
      </c>
    </row>
    <row r="69" ht="18.75" customHeight="1">
      <c r="A69" s="98" t="n">
        <v>47551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Table6[[#This Row],[ (T/B) SAR]]+Table6[[#This Row],[ (S/S) SAR]]</f>
        <v/>
      </c>
      <c r="L69" s="41" t="n"/>
      <c r="M69" s="42" t="n"/>
      <c r="N69" s="42" t="n"/>
      <c r="O69" s="39" t="n"/>
      <c r="P69" s="3">
        <f>Table6[[#This Row],[ (S/S) SAR]]-Table6[[#This Row],[(S/S) AJD]]</f>
        <v/>
      </c>
      <c r="Q69" s="39" t="n"/>
      <c r="R69" s="3">
        <f>Table6[[#This Row],[ (T/B) SAR]]-Table6[[#This Row],[(T/B) AJD]]</f>
        <v/>
      </c>
      <c r="S69" s="3">
        <f>Table6[[#This Row],[S/S_CON.]]+Table6[[#This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Table6[[#This Row],[(RESV. STORGE) AJD]]/10</f>
        <v/>
      </c>
      <c r="AB69" s="3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32" t="n"/>
      <c r="AN69" s="32">
        <f>Table6[[#This Row],[ (RESV. STORGE) SER]]/10</f>
        <v/>
      </c>
      <c r="AO69" s="68" t="n"/>
      <c r="AP69" s="99">
        <f>Table6[[#This Row],[(A/S) AJD]]-Table6[[#This Row],[SER_IN]]</f>
        <v/>
      </c>
    </row>
    <row r="70" ht="18.75" customHeight="1">
      <c r="A70" s="98" t="n">
        <v>47552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Table6[[#This Row],[ (T/B) SAR]]+Table6[[#This Row],[ (S/S) SAR]]</f>
        <v/>
      </c>
      <c r="L70" s="45" t="n"/>
      <c r="M70" s="46" t="n"/>
      <c r="N70" s="46" t="n"/>
      <c r="O70" s="40" t="n"/>
      <c r="P70" s="3">
        <f>Table6[[#This Row],[ (S/S) SAR]]-Table6[[#This Row],[(S/S) AJD]]</f>
        <v/>
      </c>
      <c r="Q70" s="40" t="n"/>
      <c r="R70" s="3">
        <f>Table6[[#This Row],[ (T/B) SAR]]-Table6[[#This Row],[(T/B) AJD]]</f>
        <v/>
      </c>
      <c r="S70" s="3">
        <f>Table6[[#This Row],[S/S_CON.]]+Table6[[#This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Table6[[#This Row],[(RESV. STORGE) AJD]]/10</f>
        <v/>
      </c>
      <c r="AB70" s="3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32" t="n"/>
      <c r="AN70" s="32">
        <f>Table6[[#This Row],[ (RESV. STORGE) SER]]/10</f>
        <v/>
      </c>
      <c r="AO70" s="68" t="n"/>
      <c r="AP70" s="99">
        <f>Table6[[#This Row],[(A/S) AJD]]-Table6[[#This Row],[SER_IN]]</f>
        <v/>
      </c>
    </row>
    <row r="71" ht="18.75" customHeight="1">
      <c r="A71" s="98" t="n">
        <v>47553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Table6[[#This Row],[ (T/B) SAR]]+Table6[[#This Row],[ (S/S) SAR]]</f>
        <v/>
      </c>
      <c r="L71" s="41" t="n"/>
      <c r="M71" s="42" t="n"/>
      <c r="N71" s="42" t="n"/>
      <c r="O71" s="39" t="n"/>
      <c r="P71" s="3">
        <f>Table6[[#This Row],[ (S/S) SAR]]-Table6[[#This Row],[(S/S) AJD]]</f>
        <v/>
      </c>
      <c r="Q71" s="39" t="n"/>
      <c r="R71" s="3">
        <f>Table6[[#This Row],[ (T/B) SAR]]-Table6[[#This Row],[(T/B) AJD]]</f>
        <v/>
      </c>
      <c r="S71" s="3">
        <f>Table6[[#This Row],[S/S_CON.]]+Table6[[#This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Table6[[#This Row],[(RESV. STORGE) AJD]]/10</f>
        <v/>
      </c>
      <c r="AB71" s="3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32" t="n"/>
      <c r="AN71" s="32">
        <f>Table6[[#This Row],[ (RESV. STORGE) SER]]/10</f>
        <v/>
      </c>
      <c r="AO71" s="68" t="n"/>
      <c r="AP71" s="99">
        <f>Table6[[#This Row],[(A/S) AJD]]-Table6[[#This Row],[SER_IN]]</f>
        <v/>
      </c>
    </row>
    <row r="72" ht="18.75" customHeight="1">
      <c r="A72" s="98" t="n">
        <v>47554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Table6[[#This Row],[ (T/B) SAR]]+Table6[[#This Row],[ (S/S) SAR]]</f>
        <v/>
      </c>
      <c r="L72" s="45" t="n"/>
      <c r="M72" s="46" t="n"/>
      <c r="N72" s="46" t="n"/>
      <c r="O72" s="40" t="n"/>
      <c r="P72" s="3">
        <f>Table6[[#This Row],[ (S/S) SAR]]-Table6[[#This Row],[(S/S) AJD]]</f>
        <v/>
      </c>
      <c r="Q72" s="40" t="n"/>
      <c r="R72" s="3">
        <f>Table6[[#This Row],[ (T/B) SAR]]-Table6[[#This Row],[(T/B) AJD]]</f>
        <v/>
      </c>
      <c r="S72" s="3">
        <f>Table6[[#This Row],[S/S_CON.]]+Table6[[#This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Table6[[#This Row],[(RESV. STORGE) AJD]]/10</f>
        <v/>
      </c>
      <c r="AB72" s="3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32" t="n"/>
      <c r="AN72" s="32">
        <f>Table6[[#This Row],[ (RESV. STORGE) SER]]/10</f>
        <v/>
      </c>
      <c r="AO72" s="68" t="n"/>
      <c r="AP72" s="99">
        <f>Table6[[#This Row],[(A/S) AJD]]-Table6[[#This Row],[SER_IN]]</f>
        <v/>
      </c>
    </row>
    <row r="73" ht="18.75" customHeight="1">
      <c r="A73" s="98" t="n">
        <v>47555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Table6[[#This Row],[ (T/B) SAR]]+Table6[[#This Row],[ (S/S) SAR]]</f>
        <v/>
      </c>
      <c r="L73" s="41" t="n"/>
      <c r="M73" s="42" t="n"/>
      <c r="N73" s="42" t="n"/>
      <c r="O73" s="39" t="n"/>
      <c r="P73" s="3">
        <f>Table6[[#This Row],[ (S/S) SAR]]-Table6[[#This Row],[(S/S) AJD]]</f>
        <v/>
      </c>
      <c r="Q73" s="39" t="n"/>
      <c r="R73" s="3">
        <f>Table6[[#This Row],[ (T/B) SAR]]-Table6[[#This Row],[(T/B) AJD]]</f>
        <v/>
      </c>
      <c r="S73" s="3">
        <f>Table6[[#This Row],[S/S_CON.]]+Table6[[#This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Table6[[#This Row],[(RESV. STORGE) AJD]]/10</f>
        <v/>
      </c>
      <c r="AB73" s="3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32" t="n"/>
      <c r="AN73" s="32">
        <f>Table6[[#This Row],[ (RESV. STORGE) SER]]/10</f>
        <v/>
      </c>
      <c r="AO73" s="68" t="n"/>
      <c r="AP73" s="99">
        <f>Table6[[#This Row],[(A/S) AJD]]-Table6[[#This Row],[SER_IN]]</f>
        <v/>
      </c>
    </row>
    <row r="74" ht="18.75" customHeight="1">
      <c r="A74" s="98" t="n">
        <v>47556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Table6[[#This Row],[ (T/B) SAR]]+Table6[[#This Row],[ (S/S) SAR]]</f>
        <v/>
      </c>
      <c r="L74" s="45" t="n"/>
      <c r="M74" s="46" t="n"/>
      <c r="N74" s="46" t="n"/>
      <c r="O74" s="40" t="n"/>
      <c r="P74" s="3">
        <f>Table6[[#This Row],[ (S/S) SAR]]-Table6[[#This Row],[(S/S) AJD]]</f>
        <v/>
      </c>
      <c r="Q74" s="40" t="n"/>
      <c r="R74" s="3">
        <f>Table6[[#This Row],[ (T/B) SAR]]-Table6[[#This Row],[(T/B) AJD]]</f>
        <v/>
      </c>
      <c r="S74" s="3">
        <f>Table6[[#This Row],[S/S_CON.]]+Table6[[#This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Table6[[#This Row],[(RESV. STORGE) AJD]]/10</f>
        <v/>
      </c>
      <c r="AB74" s="3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32" t="n"/>
      <c r="AN74" s="32">
        <f>Table6[[#This Row],[ (RESV. STORGE) SER]]/10</f>
        <v/>
      </c>
      <c r="AO74" s="68" t="n"/>
      <c r="AP74" s="99">
        <f>Table6[[#This Row],[(A/S) AJD]]-Table6[[#This Row],[SER_IN]]</f>
        <v/>
      </c>
    </row>
    <row r="75" ht="18.75" customHeight="1">
      <c r="A75" s="98" t="n">
        <v>47557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Table6[[#This Row],[ (T/B) SAR]]+Table6[[#This Row],[ (S/S) SAR]]</f>
        <v/>
      </c>
      <c r="L75" s="41" t="n"/>
      <c r="M75" s="42" t="n"/>
      <c r="N75" s="42" t="n"/>
      <c r="O75" s="39" t="n"/>
      <c r="P75" s="3">
        <f>Table6[[#This Row],[ (S/S) SAR]]-Table6[[#This Row],[(S/S) AJD]]</f>
        <v/>
      </c>
      <c r="Q75" s="39" t="n"/>
      <c r="R75" s="3">
        <f>Table6[[#This Row],[ (T/B) SAR]]-Table6[[#This Row],[(T/B) AJD]]</f>
        <v/>
      </c>
      <c r="S75" s="3">
        <f>Table6[[#This Row],[S/S_CON.]]+Table6[[#This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Table6[[#This Row],[(RESV. STORGE) AJD]]/10</f>
        <v/>
      </c>
      <c r="AB75" s="3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32" t="n"/>
      <c r="AN75" s="32">
        <f>Table6[[#This Row],[ (RESV. STORGE) SER]]/10</f>
        <v/>
      </c>
      <c r="AO75" s="68" t="n"/>
      <c r="AP75" s="99">
        <f>Table6[[#This Row],[(A/S) AJD]]-Table6[[#This Row],[SER_IN]]</f>
        <v/>
      </c>
    </row>
    <row r="76" ht="18.75" customHeight="1">
      <c r="A76" s="98" t="n">
        <v>47558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Table6[[#This Row],[ (T/B) SAR]]+Table6[[#This Row],[ (S/S) SAR]]</f>
        <v/>
      </c>
      <c r="L76" s="45" t="n"/>
      <c r="M76" s="46" t="n"/>
      <c r="N76" s="46" t="n"/>
      <c r="O76" s="40" t="n"/>
      <c r="P76" s="3">
        <f>Table6[[#This Row],[ (S/S) SAR]]-Table6[[#This Row],[(S/S) AJD]]</f>
        <v/>
      </c>
      <c r="Q76" s="40" t="n"/>
      <c r="R76" s="3">
        <f>Table6[[#This Row],[ (T/B) SAR]]-Table6[[#This Row],[(T/B) AJD]]</f>
        <v/>
      </c>
      <c r="S76" s="3">
        <f>Table6[[#This Row],[S/S_CON.]]+Table6[[#This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Table6[[#This Row],[(RESV. STORGE) AJD]]/10</f>
        <v/>
      </c>
      <c r="AB76" s="3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32" t="n"/>
      <c r="AN76" s="32">
        <f>Table6[[#This Row],[ (RESV. STORGE) SER]]/10</f>
        <v/>
      </c>
      <c r="AO76" s="68" t="n"/>
      <c r="AP76" s="99">
        <f>Table6[[#This Row],[(A/S) AJD]]-Table6[[#This Row],[SER_IN]]</f>
        <v/>
      </c>
    </row>
    <row r="77" ht="18.75" customHeight="1">
      <c r="A77" s="98" t="n">
        <v>47559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Table6[[#This Row],[ (T/B) SAR]]+Table6[[#This Row],[ (S/S) SAR]]</f>
        <v/>
      </c>
      <c r="L77" s="41" t="n"/>
      <c r="M77" s="42" t="n"/>
      <c r="N77" s="42" t="n"/>
      <c r="O77" s="39" t="n"/>
      <c r="P77" s="3">
        <f>Table6[[#This Row],[ (S/S) SAR]]-Table6[[#This Row],[(S/S) AJD]]</f>
        <v/>
      </c>
      <c r="Q77" s="39" t="n"/>
      <c r="R77" s="3">
        <f>Table6[[#This Row],[ (T/B) SAR]]-Table6[[#This Row],[(T/B) AJD]]</f>
        <v/>
      </c>
      <c r="S77" s="3">
        <f>Table6[[#This Row],[S/S_CON.]]+Table6[[#This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Table6[[#This Row],[(RESV. STORGE) AJD]]/10</f>
        <v/>
      </c>
      <c r="AB77" s="3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32" t="n"/>
      <c r="AN77" s="32">
        <f>Table6[[#This Row],[ (RESV. STORGE) SER]]/10</f>
        <v/>
      </c>
      <c r="AO77" s="68" t="n"/>
      <c r="AP77" s="99">
        <f>Table6[[#This Row],[(A/S) AJD]]-Table6[[#This Row],[SER_IN]]</f>
        <v/>
      </c>
    </row>
    <row r="78" ht="18.75" customHeight="1">
      <c r="A78" s="98" t="n">
        <v>47560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Table6[[#This Row],[ (T/B) SAR]]+Table6[[#This Row],[ (S/S) SAR]]</f>
        <v/>
      </c>
      <c r="L78" s="45" t="n"/>
      <c r="M78" s="46" t="n"/>
      <c r="N78" s="46" t="n"/>
      <c r="O78" s="40" t="n"/>
      <c r="P78" s="3">
        <f>Table6[[#This Row],[ (S/S) SAR]]-Table6[[#This Row],[(S/S) AJD]]</f>
        <v/>
      </c>
      <c r="Q78" s="40" t="n"/>
      <c r="R78" s="3">
        <f>Table6[[#This Row],[ (T/B) SAR]]-Table6[[#This Row],[(T/B) AJD]]</f>
        <v/>
      </c>
      <c r="S78" s="3">
        <f>Table6[[#This Row],[S/S_CON.]]+Table6[[#This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Table6[[#This Row],[(RESV. STORGE) AJD]]/10</f>
        <v/>
      </c>
      <c r="AB78" s="3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32" t="n"/>
      <c r="AN78" s="32">
        <f>Table6[[#This Row],[ (RESV. STORGE) SER]]/10</f>
        <v/>
      </c>
      <c r="AO78" s="68" t="n"/>
      <c r="AP78" s="99">
        <f>Table6[[#This Row],[(A/S) AJD]]-Table6[[#This Row],[SER_IN]]</f>
        <v/>
      </c>
    </row>
    <row r="79" ht="18.75" customHeight="1">
      <c r="A79" s="98" t="n">
        <v>47561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Table6[[#This Row],[ (T/B) SAR]]+Table6[[#This Row],[ (S/S) SAR]]</f>
        <v/>
      </c>
      <c r="L79" s="41" t="n"/>
      <c r="M79" s="42" t="n"/>
      <c r="N79" s="42" t="n"/>
      <c r="O79" s="39" t="n"/>
      <c r="P79" s="3">
        <f>Table6[[#This Row],[ (S/S) SAR]]-Table6[[#This Row],[(S/S) AJD]]</f>
        <v/>
      </c>
      <c r="Q79" s="39" t="n"/>
      <c r="R79" s="3">
        <f>Table6[[#This Row],[ (T/B) SAR]]-Table6[[#This Row],[(T/B) AJD]]</f>
        <v/>
      </c>
      <c r="S79" s="3">
        <f>Table6[[#This Row],[S/S_CON.]]+Table6[[#This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Table6[[#This Row],[(RESV. STORGE) AJD]]/10</f>
        <v/>
      </c>
      <c r="AB79" s="3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32" t="n"/>
      <c r="AN79" s="32">
        <f>Table6[[#This Row],[ (RESV. STORGE) SER]]/10</f>
        <v/>
      </c>
      <c r="AO79" s="68" t="n"/>
      <c r="AP79" s="99">
        <f>Table6[[#This Row],[(A/S) AJD]]-Table6[[#This Row],[SER_IN]]</f>
        <v/>
      </c>
    </row>
    <row r="80" ht="18.75" customHeight="1">
      <c r="A80" s="98" t="n">
        <v>47562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Table6[[#This Row],[ (T/B) SAR]]+Table6[[#This Row],[ (S/S) SAR]]</f>
        <v/>
      </c>
      <c r="L80" s="45" t="n"/>
      <c r="M80" s="46" t="n"/>
      <c r="N80" s="46" t="n"/>
      <c r="O80" s="40" t="n"/>
      <c r="P80" s="3">
        <f>Table6[[#This Row],[ (S/S) SAR]]-Table6[[#This Row],[(S/S) AJD]]</f>
        <v/>
      </c>
      <c r="Q80" s="40" t="n"/>
      <c r="R80" s="3">
        <f>Table6[[#This Row],[ (T/B) SAR]]-Table6[[#This Row],[(T/B) AJD]]</f>
        <v/>
      </c>
      <c r="S80" s="3">
        <f>Table6[[#This Row],[S/S_CON.]]+Table6[[#This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Table6[[#This Row],[(RESV. STORGE) AJD]]/10</f>
        <v/>
      </c>
      <c r="AB80" s="3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32" t="n"/>
      <c r="AN80" s="32">
        <f>Table6[[#This Row],[ (RESV. STORGE) SER]]/10</f>
        <v/>
      </c>
      <c r="AO80" s="68" t="n"/>
      <c r="AP80" s="99">
        <f>Table6[[#This Row],[(A/S) AJD]]-Table6[[#This Row],[SER_IN]]</f>
        <v/>
      </c>
    </row>
    <row r="81" ht="18.75" customHeight="1">
      <c r="A81" s="98" t="n">
        <v>47563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Table6[[#This Row],[ (T/B) SAR]]+Table6[[#This Row],[ (S/S) SAR]]</f>
        <v/>
      </c>
      <c r="L81" s="41" t="n"/>
      <c r="M81" s="42" t="n"/>
      <c r="N81" s="42" t="n"/>
      <c r="O81" s="39" t="n"/>
      <c r="P81" s="3">
        <f>Table6[[#This Row],[ (S/S) SAR]]-Table6[[#This Row],[(S/S) AJD]]</f>
        <v/>
      </c>
      <c r="Q81" s="39" t="n"/>
      <c r="R81" s="3">
        <f>Table6[[#This Row],[ (T/B) SAR]]-Table6[[#This Row],[(T/B) AJD]]</f>
        <v/>
      </c>
      <c r="S81" s="3">
        <f>Table6[[#This Row],[S/S_CON.]]+Table6[[#This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Table6[[#This Row],[(RESV. STORGE) AJD]]/10</f>
        <v/>
      </c>
      <c r="AB81" s="3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32" t="n"/>
      <c r="AN81" s="32">
        <f>Table6[[#This Row],[ (RESV. STORGE) SER]]/10</f>
        <v/>
      </c>
      <c r="AO81" s="68" t="n"/>
      <c r="AP81" s="99">
        <f>Table6[[#This Row],[(A/S) AJD]]-Table6[[#This Row],[SER_IN]]</f>
        <v/>
      </c>
    </row>
    <row r="82" ht="18.75" customHeight="1">
      <c r="A82" s="98" t="n">
        <v>47564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Table6[[#This Row],[ (T/B) SAR]]+Table6[[#This Row],[ (S/S) SAR]]</f>
        <v/>
      </c>
      <c r="L82" s="45" t="n"/>
      <c r="M82" s="46" t="n"/>
      <c r="N82" s="46" t="n"/>
      <c r="O82" s="40" t="n"/>
      <c r="P82" s="3">
        <f>Table6[[#This Row],[ (S/S) SAR]]-Table6[[#This Row],[(S/S) AJD]]</f>
        <v/>
      </c>
      <c r="Q82" s="40" t="n"/>
      <c r="R82" s="3">
        <f>Table6[[#This Row],[ (T/B) SAR]]-Table6[[#This Row],[(T/B) AJD]]</f>
        <v/>
      </c>
      <c r="S82" s="3">
        <f>Table6[[#This Row],[S/S_CON.]]+Table6[[#This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Table6[[#This Row],[(RESV. STORGE) AJD]]/10</f>
        <v/>
      </c>
      <c r="AB82" s="3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32" t="n"/>
      <c r="AN82" s="32">
        <f>Table6[[#This Row],[ (RESV. STORGE) SER]]/10</f>
        <v/>
      </c>
      <c r="AO82" s="68" t="n"/>
      <c r="AP82" s="99">
        <f>Table6[[#This Row],[(A/S) AJD]]-Table6[[#This Row],[SER_IN]]</f>
        <v/>
      </c>
    </row>
    <row r="83" ht="18.75" customHeight="1">
      <c r="A83" s="98" t="n">
        <v>47565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Table6[[#This Row],[ (T/B) SAR]]+Table6[[#This Row],[ (S/S) SAR]]</f>
        <v/>
      </c>
      <c r="L83" s="41" t="n"/>
      <c r="M83" s="42" t="n"/>
      <c r="N83" s="42" t="n"/>
      <c r="O83" s="39" t="n"/>
      <c r="P83" s="3">
        <f>Table6[[#This Row],[ (S/S) SAR]]-Table6[[#This Row],[(S/S) AJD]]</f>
        <v/>
      </c>
      <c r="Q83" s="39" t="n"/>
      <c r="R83" s="3">
        <f>Table6[[#This Row],[ (T/B) SAR]]-Table6[[#This Row],[(T/B) AJD]]</f>
        <v/>
      </c>
      <c r="S83" s="3">
        <f>Table6[[#This Row],[S/S_CON.]]+Table6[[#This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Table6[[#This Row],[(RESV. STORGE) AJD]]/10</f>
        <v/>
      </c>
      <c r="AB83" s="3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32" t="n"/>
      <c r="AN83" s="32">
        <f>Table6[[#This Row],[ (RESV. STORGE) SER]]/10</f>
        <v/>
      </c>
      <c r="AO83" s="68" t="n"/>
      <c r="AP83" s="99">
        <f>Table6[[#This Row],[(A/S) AJD]]-Table6[[#This Row],[SER_IN]]</f>
        <v/>
      </c>
    </row>
    <row r="84" ht="18.75" customHeight="1">
      <c r="A84" s="98" t="n">
        <v>47566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Table6[[#This Row],[ (T/B) SAR]]+Table6[[#This Row],[ (S/S) SAR]]</f>
        <v/>
      </c>
      <c r="L84" s="45" t="n"/>
      <c r="M84" s="46" t="n"/>
      <c r="N84" s="46" t="n"/>
      <c r="O84" s="40" t="n"/>
      <c r="P84" s="3">
        <f>Table6[[#This Row],[ (S/S) SAR]]-Table6[[#This Row],[(S/S) AJD]]</f>
        <v/>
      </c>
      <c r="Q84" s="40" t="n"/>
      <c r="R84" s="3">
        <f>Table6[[#This Row],[ (T/B) SAR]]-Table6[[#This Row],[(T/B) AJD]]</f>
        <v/>
      </c>
      <c r="S84" s="3">
        <f>Table6[[#This Row],[S/S_CON.]]+Table6[[#This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Table6[[#This Row],[(RESV. STORGE) AJD]]/10</f>
        <v/>
      </c>
      <c r="AB84" s="3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32" t="n"/>
      <c r="AN84" s="32">
        <f>Table6[[#This Row],[ (RESV. STORGE) SER]]/10</f>
        <v/>
      </c>
      <c r="AO84" s="68" t="n"/>
      <c r="AP84" s="99">
        <f>Table6[[#This Row],[(A/S) AJD]]-Table6[[#This Row],[SER_IN]]</f>
        <v/>
      </c>
    </row>
    <row r="85" ht="18.75" customHeight="1">
      <c r="A85" s="98" t="n">
        <v>47567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Table6[[#This Row],[ (T/B) SAR]]+Table6[[#This Row],[ (S/S) SAR]]</f>
        <v/>
      </c>
      <c r="L85" s="41" t="n"/>
      <c r="M85" s="42" t="n"/>
      <c r="N85" s="42" t="n"/>
      <c r="O85" s="39" t="n"/>
      <c r="P85" s="3">
        <f>Table6[[#This Row],[ (S/S) SAR]]-Table6[[#This Row],[(S/S) AJD]]</f>
        <v/>
      </c>
      <c r="Q85" s="39" t="n"/>
      <c r="R85" s="3">
        <f>Table6[[#This Row],[ (T/B) SAR]]-Table6[[#This Row],[(T/B) AJD]]</f>
        <v/>
      </c>
      <c r="S85" s="3">
        <f>Table6[[#This Row],[S/S_CON.]]+Table6[[#This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Table6[[#This Row],[(RESV. STORGE) AJD]]/10</f>
        <v/>
      </c>
      <c r="AB85" s="3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32" t="n"/>
      <c r="AN85" s="32">
        <f>Table6[[#This Row],[ (RESV. STORGE) SER]]/10</f>
        <v/>
      </c>
      <c r="AO85" s="68" t="n"/>
      <c r="AP85" s="99">
        <f>Table6[[#This Row],[(A/S) AJD]]-Table6[[#This Row],[SER_IN]]</f>
        <v/>
      </c>
    </row>
    <row r="86" ht="18.75" customHeight="1">
      <c r="A86" s="98" t="n">
        <v>47568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Table6[[#This Row],[ (T/B) SAR]]+Table6[[#This Row],[ (S/S) SAR]]</f>
        <v/>
      </c>
      <c r="L86" s="45" t="n"/>
      <c r="M86" s="46" t="n"/>
      <c r="N86" s="46" t="n"/>
      <c r="O86" s="40" t="n"/>
      <c r="P86" s="3">
        <f>Table6[[#This Row],[ (S/S) SAR]]-Table6[[#This Row],[(S/S) AJD]]</f>
        <v/>
      </c>
      <c r="Q86" s="40" t="n"/>
      <c r="R86" s="3">
        <f>Table6[[#This Row],[ (T/B) SAR]]-Table6[[#This Row],[(T/B) AJD]]</f>
        <v/>
      </c>
      <c r="S86" s="3">
        <f>Table6[[#This Row],[S/S_CON.]]+Table6[[#This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Table6[[#This Row],[(RESV. STORGE) AJD]]/10</f>
        <v/>
      </c>
      <c r="AB86" s="3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32" t="n"/>
      <c r="AN86" s="32">
        <f>Table6[[#This Row],[ (RESV. STORGE) SER]]/10</f>
        <v/>
      </c>
      <c r="AO86" s="68" t="n"/>
      <c r="AP86" s="99">
        <f>Table6[[#This Row],[(A/S) AJD]]-Table6[[#This Row],[SER_IN]]</f>
        <v/>
      </c>
    </row>
    <row r="87" ht="18.75" customHeight="1">
      <c r="A87" s="98" t="n">
        <v>47569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Table6[[#This Row],[ (T/B) SAR]]+Table6[[#This Row],[ (S/S) SAR]]</f>
        <v/>
      </c>
      <c r="L87" s="41" t="n"/>
      <c r="M87" s="42" t="n"/>
      <c r="N87" s="42" t="n"/>
      <c r="O87" s="39" t="n"/>
      <c r="P87" s="3">
        <f>Table6[[#This Row],[ (S/S) SAR]]-Table6[[#This Row],[(S/S) AJD]]</f>
        <v/>
      </c>
      <c r="Q87" s="39" t="n"/>
      <c r="R87" s="3">
        <f>Table6[[#This Row],[ (T/B) SAR]]-Table6[[#This Row],[(T/B) AJD]]</f>
        <v/>
      </c>
      <c r="S87" s="3">
        <f>Table6[[#This Row],[S/S_CON.]]+Table6[[#This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Table6[[#This Row],[(RESV. STORGE) AJD]]/10</f>
        <v/>
      </c>
      <c r="AB87" s="3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32" t="n"/>
      <c r="AN87" s="32">
        <f>Table6[[#This Row],[ (RESV. STORGE) SER]]/10</f>
        <v/>
      </c>
      <c r="AO87" s="68" t="n"/>
      <c r="AP87" s="99">
        <f>Table6[[#This Row],[(A/S) AJD]]-Table6[[#This Row],[SER_IN]]</f>
        <v/>
      </c>
    </row>
    <row r="88" ht="18.75" customHeight="1">
      <c r="A88" s="98" t="n">
        <v>47570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Table6[[#This Row],[ (T/B) SAR]]+Table6[[#This Row],[ (S/S) SAR]]</f>
        <v/>
      </c>
      <c r="L88" s="45" t="n"/>
      <c r="M88" s="46" t="n"/>
      <c r="N88" s="46" t="n"/>
      <c r="O88" s="40" t="n"/>
      <c r="P88" s="3">
        <f>Table6[[#This Row],[ (S/S) SAR]]-Table6[[#This Row],[(S/S) AJD]]</f>
        <v/>
      </c>
      <c r="Q88" s="40" t="n"/>
      <c r="R88" s="3">
        <f>Table6[[#This Row],[ (T/B) SAR]]-Table6[[#This Row],[(T/B) AJD]]</f>
        <v/>
      </c>
      <c r="S88" s="3">
        <f>Table6[[#This Row],[S/S_CON.]]+Table6[[#This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Table6[[#This Row],[(RESV. STORGE) AJD]]/10</f>
        <v/>
      </c>
      <c r="AB88" s="3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32" t="n"/>
      <c r="AN88" s="32">
        <f>Table6[[#This Row],[ (RESV. STORGE) SER]]/10</f>
        <v/>
      </c>
      <c r="AO88" s="68" t="n"/>
      <c r="AP88" s="99">
        <f>Table6[[#This Row],[(A/S) AJD]]-Table6[[#This Row],[SER_IN]]</f>
        <v/>
      </c>
    </row>
    <row r="89" ht="18.75" customHeight="1">
      <c r="A89" s="98" t="n">
        <v>47571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Table6[[#This Row],[ (T/B) SAR]]+Table6[[#This Row],[ (S/S) SAR]]</f>
        <v/>
      </c>
      <c r="L89" s="41" t="n"/>
      <c r="M89" s="42" t="n"/>
      <c r="N89" s="42" t="n"/>
      <c r="O89" s="39" t="n"/>
      <c r="P89" s="3">
        <f>Table6[[#This Row],[ (S/S) SAR]]-Table6[[#This Row],[(S/S) AJD]]</f>
        <v/>
      </c>
      <c r="Q89" s="39" t="n"/>
      <c r="R89" s="3">
        <f>Table6[[#This Row],[ (T/B) SAR]]-Table6[[#This Row],[(T/B) AJD]]</f>
        <v/>
      </c>
      <c r="S89" s="3">
        <f>Table6[[#This Row],[S/S_CON.]]+Table6[[#This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Table6[[#This Row],[(RESV. STORGE) AJD]]/10</f>
        <v/>
      </c>
      <c r="AB89" s="3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32" t="n"/>
      <c r="AN89" s="32">
        <f>Table6[[#This Row],[ (RESV. STORGE) SER]]/10</f>
        <v/>
      </c>
      <c r="AO89" s="68" t="n"/>
      <c r="AP89" s="99">
        <f>Table6[[#This Row],[(A/S) AJD]]-Table6[[#This Row],[SER_IN]]</f>
        <v/>
      </c>
    </row>
    <row r="90" ht="18.75" customHeight="1">
      <c r="A90" s="98" t="n">
        <v>47572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Table6[[#This Row],[ (T/B) SAR]]+Table6[[#This Row],[ (S/S) SAR]]</f>
        <v/>
      </c>
      <c r="L90" s="45" t="n"/>
      <c r="M90" s="46" t="n"/>
      <c r="N90" s="46" t="n"/>
      <c r="O90" s="40" t="n"/>
      <c r="P90" s="3">
        <f>Table6[[#This Row],[ (S/S) SAR]]-Table6[[#This Row],[(S/S) AJD]]</f>
        <v/>
      </c>
      <c r="Q90" s="40" t="n"/>
      <c r="R90" s="3">
        <f>Table6[[#This Row],[ (T/B) SAR]]-Table6[[#This Row],[(T/B) AJD]]</f>
        <v/>
      </c>
      <c r="S90" s="3">
        <f>Table6[[#This Row],[S/S_CON.]]+Table6[[#This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Table6[[#This Row],[(RESV. STORGE) AJD]]/10</f>
        <v/>
      </c>
      <c r="AB90" s="3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32" t="n"/>
      <c r="AN90" s="32">
        <f>Table6[[#This Row],[ (RESV. STORGE) SER]]/10</f>
        <v/>
      </c>
      <c r="AO90" s="68" t="n"/>
      <c r="AP90" s="99">
        <f>Table6[[#This Row],[(A/S) AJD]]-Table6[[#This Row],[SER_IN]]</f>
        <v/>
      </c>
    </row>
    <row r="91" ht="18.75" customHeight="1">
      <c r="A91" s="98" t="n">
        <v>47573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Table6[[#This Row],[ (T/B) SAR]]+Table6[[#This Row],[ (S/S) SAR]]</f>
        <v/>
      </c>
      <c r="L91" s="41" t="n"/>
      <c r="M91" s="42" t="n"/>
      <c r="N91" s="42" t="n"/>
      <c r="O91" s="39" t="n"/>
      <c r="P91" s="3">
        <f>Table6[[#This Row],[ (S/S) SAR]]-Table6[[#This Row],[(S/S) AJD]]</f>
        <v/>
      </c>
      <c r="Q91" s="39" t="n"/>
      <c r="R91" s="3">
        <f>Table6[[#This Row],[ (T/B) SAR]]-Table6[[#This Row],[(T/B) AJD]]</f>
        <v/>
      </c>
      <c r="S91" s="3">
        <f>Table6[[#This Row],[S/S_CON.]]+Table6[[#This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Table6[[#This Row],[(RESV. STORGE) AJD]]/10</f>
        <v/>
      </c>
      <c r="AB91" s="3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32" t="n"/>
      <c r="AN91" s="32">
        <f>Table6[[#This Row],[ (RESV. STORGE) SER]]/10</f>
        <v/>
      </c>
      <c r="AO91" s="68" t="n"/>
      <c r="AP91" s="99">
        <f>Table6[[#This Row],[(A/S) AJD]]-Table6[[#This Row],[SER_IN]]</f>
        <v/>
      </c>
    </row>
    <row r="92" ht="18.75" customHeight="1">
      <c r="A92" s="98" t="n">
        <v>47574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Table6[[#This Row],[ (T/B) SAR]]+Table6[[#This Row],[ (S/S) SAR]]</f>
        <v/>
      </c>
      <c r="L92" s="41" t="n"/>
      <c r="M92" s="42" t="n"/>
      <c r="N92" s="42" t="n"/>
      <c r="O92" s="39" t="n"/>
      <c r="P92" s="3">
        <f>Table6[[#This Row],[ (S/S) SAR]]-Table6[[#This Row],[(S/S) AJD]]</f>
        <v/>
      </c>
      <c r="Q92" s="39" t="n"/>
      <c r="R92" s="3">
        <f>Table6[[#This Row],[ (T/B) SAR]]-Table6[[#This Row],[(T/B) AJD]]</f>
        <v/>
      </c>
      <c r="S92" s="3">
        <f>Table6[[#This Row],[S/S_CON.]]+Table6[[#This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Table6[[#This Row],[(RESV. STORGE) AJD]]/10</f>
        <v/>
      </c>
      <c r="AB92" s="3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32" t="n"/>
      <c r="AN92" s="32">
        <f>Table6[[#This Row],[ (RESV. STORGE) SER]]/10</f>
        <v/>
      </c>
      <c r="AO92" s="68" t="n"/>
      <c r="AP92" s="99">
        <f>Table6[[#This Row],[(A/S) AJD]]-Table6[[#This Row],[SER_IN]]</f>
        <v/>
      </c>
    </row>
    <row r="93" ht="18.75" customHeight="1">
      <c r="A93" s="98" t="n">
        <v>47575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Table6[[#This Row],[ (T/B) SAR]]+Table6[[#This Row],[ (S/S) SAR]]</f>
        <v/>
      </c>
      <c r="L93" s="45" t="n"/>
      <c r="M93" s="46" t="n"/>
      <c r="N93" s="46" t="n"/>
      <c r="O93" s="40" t="n"/>
      <c r="P93" s="3">
        <f>Table6[[#This Row],[ (S/S) SAR]]-Table6[[#This Row],[(S/S) AJD]]</f>
        <v/>
      </c>
      <c r="Q93" s="40" t="n"/>
      <c r="R93" s="3">
        <f>Table6[[#This Row],[ (T/B) SAR]]-Table6[[#This Row],[(T/B) AJD]]</f>
        <v/>
      </c>
      <c r="S93" s="3">
        <f>Table6[[#This Row],[S/S_CON.]]+Table6[[#This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Table6[[#This Row],[(RESV. STORGE) AJD]]/10</f>
        <v/>
      </c>
      <c r="AB93" s="3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32" t="n"/>
      <c r="AN93" s="32">
        <f>Table6[[#This Row],[ (RESV. STORGE) SER]]/10</f>
        <v/>
      </c>
      <c r="AO93" s="68" t="n"/>
      <c r="AP93" s="99">
        <f>Table6[[#This Row],[(A/S) AJD]]-Table6[[#This Row],[SER_IN]]</f>
        <v/>
      </c>
    </row>
    <row r="94" ht="18.75" customHeight="1">
      <c r="A94" s="98" t="n">
        <v>47576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Table6[[#This Row],[ (T/B) SAR]]+Table6[[#This Row],[ (S/S) SAR]]</f>
        <v/>
      </c>
      <c r="L94" s="41" t="n"/>
      <c r="M94" s="42" t="n"/>
      <c r="N94" s="42" t="n"/>
      <c r="O94" s="39" t="n"/>
      <c r="P94" s="3">
        <f>Table6[[#This Row],[ (S/S) SAR]]-Table6[[#This Row],[(S/S) AJD]]</f>
        <v/>
      </c>
      <c r="Q94" s="39" t="n"/>
      <c r="R94" s="3">
        <f>Table6[[#This Row],[ (T/B) SAR]]-Table6[[#This Row],[(T/B) AJD]]</f>
        <v/>
      </c>
      <c r="S94" s="3">
        <f>Table6[[#This Row],[S/S_CON.]]+Table6[[#This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Table6[[#This Row],[(RESV. STORGE) AJD]]/10</f>
        <v/>
      </c>
      <c r="AB94" s="3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32" t="n"/>
      <c r="AN94" s="32">
        <f>Table6[[#This Row],[ (RESV. STORGE) SER]]/10</f>
        <v/>
      </c>
      <c r="AO94" s="68" t="n"/>
      <c r="AP94" s="99">
        <f>Table6[[#This Row],[(A/S) AJD]]-Table6[[#This Row],[SER_IN]]</f>
        <v/>
      </c>
    </row>
    <row r="95" ht="18.75" customHeight="1">
      <c r="A95" s="98" t="n">
        <v>47577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Table6[[#This Row],[ (T/B) SAR]]+Table6[[#This Row],[ (S/S) SAR]]</f>
        <v/>
      </c>
      <c r="L95" s="45" t="n"/>
      <c r="M95" s="46" t="n"/>
      <c r="N95" s="46" t="n"/>
      <c r="O95" s="40" t="n"/>
      <c r="P95" s="3">
        <f>Table6[[#This Row],[ (S/S) SAR]]-Table6[[#This Row],[(S/S) AJD]]</f>
        <v/>
      </c>
      <c r="Q95" s="40" t="n"/>
      <c r="R95" s="3">
        <f>Table6[[#This Row],[ (T/B) SAR]]-Table6[[#This Row],[(T/B) AJD]]</f>
        <v/>
      </c>
      <c r="S95" s="3">
        <f>Table6[[#This Row],[S/S_CON.]]+Table6[[#This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Table6[[#This Row],[(RESV. STORGE) AJD]]/10</f>
        <v/>
      </c>
      <c r="AB95" s="3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32" t="n"/>
      <c r="AN95" s="32">
        <f>Table6[[#This Row],[ (RESV. STORGE) SER]]/10</f>
        <v/>
      </c>
      <c r="AO95" s="68" t="n"/>
      <c r="AP95" s="99">
        <f>Table6[[#This Row],[(A/S) AJD]]-Table6[[#This Row],[SER_IN]]</f>
        <v/>
      </c>
    </row>
    <row r="96" ht="18.75" customHeight="1">
      <c r="A96" s="98" t="n">
        <v>47578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Table6[[#This Row],[ (T/B) SAR]]+Table6[[#This Row],[ (S/S) SAR]]</f>
        <v/>
      </c>
      <c r="L96" s="41" t="n"/>
      <c r="M96" s="42" t="n"/>
      <c r="N96" s="42" t="n"/>
      <c r="O96" s="39" t="n"/>
      <c r="P96" s="3">
        <f>Table6[[#This Row],[ (S/S) SAR]]-Table6[[#This Row],[(S/S) AJD]]</f>
        <v/>
      </c>
      <c r="Q96" s="39" t="n"/>
      <c r="R96" s="3">
        <f>Table6[[#This Row],[ (T/B) SAR]]-Table6[[#This Row],[(T/B) AJD]]</f>
        <v/>
      </c>
      <c r="S96" s="3">
        <f>Table6[[#This Row],[S/S_CON.]]+Table6[[#This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Table6[[#This Row],[(RESV. STORGE) AJD]]/10</f>
        <v/>
      </c>
      <c r="AB96" s="3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32" t="n"/>
      <c r="AN96" s="32">
        <f>Table6[[#This Row],[ (RESV. STORGE) SER]]/10</f>
        <v/>
      </c>
      <c r="AO96" s="68" t="n"/>
      <c r="AP96" s="99">
        <f>Table6[[#This Row],[(A/S) AJD]]-Table6[[#This Row],[SER_IN]]</f>
        <v/>
      </c>
    </row>
    <row r="97" ht="18.75" customHeight="1">
      <c r="A97" s="98" t="n">
        <v>47579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Table6[[#This Row],[ (T/B) SAR]]+Table6[[#This Row],[ (S/S) SAR]]</f>
        <v/>
      </c>
      <c r="L97" s="45" t="n"/>
      <c r="M97" s="46" t="n"/>
      <c r="N97" s="46" t="n"/>
      <c r="O97" s="40" t="n"/>
      <c r="P97" s="3">
        <f>Table6[[#This Row],[ (S/S) SAR]]-Table6[[#This Row],[(S/S) AJD]]</f>
        <v/>
      </c>
      <c r="Q97" s="40" t="n"/>
      <c r="R97" s="3">
        <f>Table6[[#This Row],[ (T/B) SAR]]-Table6[[#This Row],[(T/B) AJD]]</f>
        <v/>
      </c>
      <c r="S97" s="3">
        <f>Table6[[#This Row],[S/S_CON.]]+Table6[[#This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Table6[[#This Row],[(RESV. STORGE) AJD]]/10</f>
        <v/>
      </c>
      <c r="AB97" s="3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32" t="n"/>
      <c r="AN97" s="32">
        <f>Table6[[#This Row],[ (RESV. STORGE) SER]]/10</f>
        <v/>
      </c>
      <c r="AO97" s="68" t="n"/>
      <c r="AP97" s="99">
        <f>Table6[[#This Row],[(A/S) AJD]]-Table6[[#This Row],[SER_IN]]</f>
        <v/>
      </c>
    </row>
    <row r="98" ht="18.75" customHeight="1">
      <c r="A98" s="98" t="n">
        <v>47580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Table6[[#This Row],[ (T/B) SAR]]+Table6[[#This Row],[ (S/S) SAR]]</f>
        <v/>
      </c>
      <c r="L98" s="41" t="n"/>
      <c r="M98" s="42" t="n"/>
      <c r="N98" s="42" t="n"/>
      <c r="O98" s="39" t="n"/>
      <c r="P98" s="3">
        <f>Table6[[#This Row],[ (S/S) SAR]]-Table6[[#This Row],[(S/S) AJD]]</f>
        <v/>
      </c>
      <c r="Q98" s="39" t="n"/>
      <c r="R98" s="3">
        <f>Table6[[#This Row],[ (T/B) SAR]]-Table6[[#This Row],[(T/B) AJD]]</f>
        <v/>
      </c>
      <c r="S98" s="3">
        <f>Table6[[#This Row],[S/S_CON.]]+Table6[[#This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Table6[[#This Row],[(RESV. STORGE) AJD]]/10</f>
        <v/>
      </c>
      <c r="AB98" s="3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32" t="n"/>
      <c r="AN98" s="32">
        <f>Table6[[#This Row],[ (RESV. STORGE) SER]]/10</f>
        <v/>
      </c>
      <c r="AO98" s="68" t="n"/>
      <c r="AP98" s="99">
        <f>Table6[[#This Row],[(A/S) AJD]]-Table6[[#This Row],[SER_IN]]</f>
        <v/>
      </c>
    </row>
    <row r="99" ht="18.75" customHeight="1">
      <c r="A99" s="98" t="n">
        <v>47581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Table6[[#This Row],[ (T/B) SAR]]+Table6[[#This Row],[ (S/S) SAR]]</f>
        <v/>
      </c>
      <c r="L99" s="45" t="n"/>
      <c r="M99" s="46" t="n"/>
      <c r="N99" s="46" t="n"/>
      <c r="O99" s="40" t="n"/>
      <c r="P99" s="3">
        <f>Table6[[#This Row],[ (S/S) SAR]]-Table6[[#This Row],[(S/S) AJD]]</f>
        <v/>
      </c>
      <c r="Q99" s="40" t="n"/>
      <c r="R99" s="3">
        <f>Table6[[#This Row],[ (T/B) SAR]]-Table6[[#This Row],[(T/B) AJD]]</f>
        <v/>
      </c>
      <c r="S99" s="3">
        <f>Table6[[#This Row],[S/S_CON.]]+Table6[[#This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Table6[[#This Row],[(RESV. STORGE) AJD]]/10</f>
        <v/>
      </c>
      <c r="AB99" s="3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32" t="n"/>
      <c r="AN99" s="32">
        <f>Table6[[#This Row],[ (RESV. STORGE) SER]]/10</f>
        <v/>
      </c>
      <c r="AO99" s="68" t="n"/>
      <c r="AP99" s="99">
        <f>Table6[[#This Row],[(A/S) AJD]]-Table6[[#This Row],[SER_IN]]</f>
        <v/>
      </c>
    </row>
    <row r="100" ht="18.75" customHeight="1">
      <c r="A100" s="98" t="n">
        <v>47582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Table6[[#This Row],[ (T/B) SAR]]+Table6[[#This Row],[ (S/S) SAR]]</f>
        <v/>
      </c>
      <c r="L100" s="41" t="n"/>
      <c r="M100" s="42" t="n"/>
      <c r="N100" s="42" t="n"/>
      <c r="O100" s="39" t="n"/>
      <c r="P100" s="3">
        <f>Table6[[#This Row],[ (S/S) SAR]]-Table6[[#This Row],[(S/S) AJD]]</f>
        <v/>
      </c>
      <c r="Q100" s="39" t="n"/>
      <c r="R100" s="3">
        <f>Table6[[#This Row],[ (T/B) SAR]]-Table6[[#This Row],[(T/B) AJD]]</f>
        <v/>
      </c>
      <c r="S100" s="3">
        <f>Table6[[#This Row],[S/S_CON.]]+Table6[[#This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Table6[[#This Row],[(RESV. STORGE) AJD]]/10</f>
        <v/>
      </c>
      <c r="AB100" s="3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32" t="n"/>
      <c r="AN100" s="32">
        <f>Table6[[#This Row],[ (RESV. STORGE) SER]]/10</f>
        <v/>
      </c>
      <c r="AO100" s="68" t="n"/>
      <c r="AP100" s="99">
        <f>Table6[[#This Row],[(A/S) AJD]]-Table6[[#This Row],[SER_IN]]</f>
        <v/>
      </c>
    </row>
    <row r="101" ht="18.75" customHeight="1">
      <c r="A101" s="98" t="n">
        <v>47583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Table6[[#This Row],[ (T/B) SAR]]+Table6[[#This Row],[ (S/S) SAR]]</f>
        <v/>
      </c>
      <c r="L101" s="45" t="n"/>
      <c r="M101" s="46" t="n"/>
      <c r="N101" s="46" t="n"/>
      <c r="O101" s="40" t="n"/>
      <c r="P101" s="3">
        <f>Table6[[#This Row],[ (S/S) SAR]]-Table6[[#This Row],[(S/S) AJD]]</f>
        <v/>
      </c>
      <c r="Q101" s="40" t="n"/>
      <c r="R101" s="3">
        <f>Table6[[#This Row],[ (T/B) SAR]]-Table6[[#This Row],[(T/B) AJD]]</f>
        <v/>
      </c>
      <c r="S101" s="3">
        <f>Table6[[#This Row],[S/S_CON.]]+Table6[[#This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Table6[[#This Row],[(RESV. STORGE) AJD]]/10</f>
        <v/>
      </c>
      <c r="AB101" s="3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32" t="n"/>
      <c r="AN101" s="32">
        <f>Table6[[#This Row],[ (RESV. STORGE) SER]]/10</f>
        <v/>
      </c>
      <c r="AO101" s="68" t="n"/>
      <c r="AP101" s="99">
        <f>Table6[[#This Row],[(A/S) AJD]]-Table6[[#This Row],[SER_IN]]</f>
        <v/>
      </c>
    </row>
    <row r="102" ht="18.75" customHeight="1">
      <c r="A102" s="98" t="n">
        <v>47584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Table6[[#This Row],[ (T/B) SAR]]+Table6[[#This Row],[ (S/S) SAR]]</f>
        <v/>
      </c>
      <c r="L102" s="41" t="n"/>
      <c r="M102" s="42" t="n"/>
      <c r="N102" s="42" t="n"/>
      <c r="O102" s="39" t="n"/>
      <c r="P102" s="3">
        <f>Table6[[#This Row],[ (S/S) SAR]]-Table6[[#This Row],[(S/S) AJD]]</f>
        <v/>
      </c>
      <c r="Q102" s="39" t="n"/>
      <c r="R102" s="3">
        <f>Table6[[#This Row],[ (T/B) SAR]]-Table6[[#This Row],[(T/B) AJD]]</f>
        <v/>
      </c>
      <c r="S102" s="3">
        <f>Table6[[#This Row],[S/S_CON.]]+Table6[[#This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Table6[[#This Row],[(RESV. STORGE) AJD]]/10</f>
        <v/>
      </c>
      <c r="AB102" s="3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32" t="n"/>
      <c r="AN102" s="32">
        <f>Table6[[#This Row],[ (RESV. STORGE) SER]]/10</f>
        <v/>
      </c>
      <c r="AO102" s="68" t="n"/>
      <c r="AP102" s="99">
        <f>Table6[[#This Row],[(A/S) AJD]]-Table6[[#This Row],[SER_IN]]</f>
        <v/>
      </c>
    </row>
    <row r="103" ht="18.75" customHeight="1">
      <c r="A103" s="98" t="n">
        <v>47585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Table6[[#This Row],[ (T/B) SAR]]+Table6[[#This Row],[ (S/S) SAR]]</f>
        <v/>
      </c>
      <c r="L103" s="45" t="n"/>
      <c r="M103" s="46" t="n"/>
      <c r="N103" s="46" t="n"/>
      <c r="O103" s="40" t="n"/>
      <c r="P103" s="3">
        <f>Table6[[#This Row],[ (S/S) SAR]]-Table6[[#This Row],[(S/S) AJD]]</f>
        <v/>
      </c>
      <c r="Q103" s="40" t="n"/>
      <c r="R103" s="3">
        <f>Table6[[#This Row],[ (T/B) SAR]]-Table6[[#This Row],[(T/B) AJD]]</f>
        <v/>
      </c>
      <c r="S103" s="3">
        <f>Table6[[#This Row],[S/S_CON.]]+Table6[[#This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Table6[[#This Row],[(RESV. STORGE) AJD]]/10</f>
        <v/>
      </c>
      <c r="AB103" s="3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32" t="n"/>
      <c r="AN103" s="32">
        <f>Table6[[#This Row],[ (RESV. STORGE) SER]]/10</f>
        <v/>
      </c>
      <c r="AO103" s="68" t="n"/>
      <c r="AP103" s="99">
        <f>Table6[[#This Row],[(A/S) AJD]]-Table6[[#This Row],[SER_IN]]</f>
        <v/>
      </c>
    </row>
    <row r="104" ht="18.75" customHeight="1">
      <c r="A104" s="98" t="n">
        <v>47586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Table6[[#This Row],[ (T/B) SAR]]+Table6[[#This Row],[ (S/S) SAR]]</f>
        <v/>
      </c>
      <c r="L104" s="41" t="n"/>
      <c r="M104" s="42" t="n"/>
      <c r="N104" s="42" t="n"/>
      <c r="O104" s="39" t="n"/>
      <c r="P104" s="3">
        <f>Table6[[#This Row],[ (S/S) SAR]]-Table6[[#This Row],[(S/S) AJD]]</f>
        <v/>
      </c>
      <c r="Q104" s="39" t="n"/>
      <c r="R104" s="3">
        <f>Table6[[#This Row],[ (T/B) SAR]]-Table6[[#This Row],[(T/B) AJD]]</f>
        <v/>
      </c>
      <c r="S104" s="3">
        <f>Table6[[#This Row],[S/S_CON.]]+Table6[[#This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Table6[[#This Row],[(RESV. STORGE) AJD]]/10</f>
        <v/>
      </c>
      <c r="AB104" s="3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32" t="n"/>
      <c r="AN104" s="32">
        <f>Table6[[#This Row],[ (RESV. STORGE) SER]]/10</f>
        <v/>
      </c>
      <c r="AO104" s="68" t="n"/>
      <c r="AP104" s="99">
        <f>Table6[[#This Row],[(A/S) AJD]]-Table6[[#This Row],[SER_IN]]</f>
        <v/>
      </c>
    </row>
    <row r="105" ht="18.75" customHeight="1">
      <c r="A105" s="98" t="n">
        <v>47587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Table6[[#This Row],[ (T/B) SAR]]+Table6[[#This Row],[ (S/S) SAR]]</f>
        <v/>
      </c>
      <c r="L105" s="45" t="n"/>
      <c r="M105" s="46" t="n"/>
      <c r="N105" s="46" t="n"/>
      <c r="O105" s="40" t="n"/>
      <c r="P105" s="3">
        <f>Table6[[#This Row],[ (S/S) SAR]]-Table6[[#This Row],[(S/S) AJD]]</f>
        <v/>
      </c>
      <c r="Q105" s="40" t="n"/>
      <c r="R105" s="3">
        <f>Table6[[#This Row],[ (T/B) SAR]]-Table6[[#This Row],[(T/B) AJD]]</f>
        <v/>
      </c>
      <c r="S105" s="3">
        <f>Table6[[#This Row],[S/S_CON.]]+Table6[[#This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Table6[[#This Row],[(RESV. STORGE) AJD]]/10</f>
        <v/>
      </c>
      <c r="AB105" s="3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32" t="n"/>
      <c r="AN105" s="32">
        <f>Table6[[#This Row],[ (RESV. STORGE) SER]]/10</f>
        <v/>
      </c>
      <c r="AO105" s="68" t="n"/>
      <c r="AP105" s="99">
        <f>Table6[[#This Row],[(A/S) AJD]]-Table6[[#This Row],[SER_IN]]</f>
        <v/>
      </c>
    </row>
    <row r="106" ht="18.75" customHeight="1">
      <c r="A106" s="98" t="n">
        <v>47588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Table6[[#This Row],[ (T/B) SAR]]+Table6[[#This Row],[ (S/S) SAR]]</f>
        <v/>
      </c>
      <c r="L106" s="41" t="n"/>
      <c r="M106" s="42" t="n"/>
      <c r="N106" s="42" t="n"/>
      <c r="O106" s="39" t="n"/>
      <c r="P106" s="3">
        <f>Table6[[#This Row],[ (S/S) SAR]]-Table6[[#This Row],[(S/S) AJD]]</f>
        <v/>
      </c>
      <c r="Q106" s="39" t="n"/>
      <c r="R106" s="3">
        <f>Table6[[#This Row],[ (T/B) SAR]]-Table6[[#This Row],[(T/B) AJD]]</f>
        <v/>
      </c>
      <c r="S106" s="3">
        <f>Table6[[#This Row],[S/S_CON.]]+Table6[[#This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Table6[[#This Row],[(RESV. STORGE) AJD]]/10</f>
        <v/>
      </c>
      <c r="AB106" s="3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32" t="n"/>
      <c r="AN106" s="32">
        <f>Table6[[#This Row],[ (RESV. STORGE) SER]]/10</f>
        <v/>
      </c>
      <c r="AO106" s="68" t="n"/>
      <c r="AP106" s="99">
        <f>Table6[[#This Row],[(A/S) AJD]]-Table6[[#This Row],[SER_IN]]</f>
        <v/>
      </c>
    </row>
    <row r="107" ht="18.75" customHeight="1">
      <c r="A107" s="98" t="n">
        <v>47589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Table6[[#This Row],[ (T/B) SAR]]+Table6[[#This Row],[ (S/S) SAR]]</f>
        <v/>
      </c>
      <c r="L107" s="45" t="n"/>
      <c r="M107" s="46" t="n"/>
      <c r="N107" s="46" t="n"/>
      <c r="O107" s="40" t="n"/>
      <c r="P107" s="3">
        <f>Table6[[#This Row],[ (S/S) SAR]]-Table6[[#This Row],[(S/S) AJD]]</f>
        <v/>
      </c>
      <c r="Q107" s="40" t="n"/>
      <c r="R107" s="3">
        <f>Table6[[#This Row],[ (T/B) SAR]]-Table6[[#This Row],[(T/B) AJD]]</f>
        <v/>
      </c>
      <c r="S107" s="3">
        <f>Table6[[#This Row],[S/S_CON.]]+Table6[[#This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Table6[[#This Row],[(RESV. STORGE) AJD]]/10</f>
        <v/>
      </c>
      <c r="AB107" s="3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32" t="n"/>
      <c r="AN107" s="32">
        <f>Table6[[#This Row],[ (RESV. STORGE) SER]]/10</f>
        <v/>
      </c>
      <c r="AO107" s="68" t="n"/>
      <c r="AP107" s="99">
        <f>Table6[[#This Row],[(A/S) AJD]]-Table6[[#This Row],[SER_IN]]</f>
        <v/>
      </c>
    </row>
    <row r="108" ht="18.75" customHeight="1">
      <c r="A108" s="98" t="n">
        <v>47590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Table6[[#This Row],[ (T/B) SAR]]+Table6[[#This Row],[ (S/S) SAR]]</f>
        <v/>
      </c>
      <c r="L108" s="41" t="n"/>
      <c r="M108" s="42" t="n"/>
      <c r="N108" s="42" t="n"/>
      <c r="O108" s="39" t="n"/>
      <c r="P108" s="3">
        <f>Table6[[#This Row],[ (S/S) SAR]]-Table6[[#This Row],[(S/S) AJD]]</f>
        <v/>
      </c>
      <c r="Q108" s="39" t="n"/>
      <c r="R108" s="3">
        <f>Table6[[#This Row],[ (T/B) SAR]]-Table6[[#This Row],[(T/B) AJD]]</f>
        <v/>
      </c>
      <c r="S108" s="3">
        <f>Table6[[#This Row],[S/S_CON.]]+Table6[[#This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Table6[[#This Row],[(RESV. STORGE) AJD]]/10</f>
        <v/>
      </c>
      <c r="AB108" s="3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32" t="n"/>
      <c r="AN108" s="32">
        <f>Table6[[#This Row],[ (RESV. STORGE) SER]]/10</f>
        <v/>
      </c>
      <c r="AO108" s="68" t="n"/>
      <c r="AP108" s="99">
        <f>Table6[[#This Row],[(A/S) AJD]]-Table6[[#This Row],[SER_IN]]</f>
        <v/>
      </c>
    </row>
    <row r="109" ht="18.75" customHeight="1">
      <c r="A109" s="98" t="n">
        <v>47591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Table6[[#This Row],[ (T/B) SAR]]+Table6[[#This Row],[ (S/S) SAR]]</f>
        <v/>
      </c>
      <c r="L109" s="45" t="n"/>
      <c r="M109" s="46" t="n"/>
      <c r="N109" s="46" t="n"/>
      <c r="O109" s="40" t="n"/>
      <c r="P109" s="3">
        <f>Table6[[#This Row],[ (S/S) SAR]]-Table6[[#This Row],[(S/S) AJD]]</f>
        <v/>
      </c>
      <c r="Q109" s="40" t="n"/>
      <c r="R109" s="3">
        <f>Table6[[#This Row],[ (T/B) SAR]]-Table6[[#This Row],[(T/B) AJD]]</f>
        <v/>
      </c>
      <c r="S109" s="3">
        <f>Table6[[#This Row],[S/S_CON.]]+Table6[[#This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Table6[[#This Row],[(RESV. STORGE) AJD]]/10</f>
        <v/>
      </c>
      <c r="AB109" s="3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32" t="n"/>
      <c r="AN109" s="32">
        <f>Table6[[#This Row],[ (RESV. STORGE) SER]]/10</f>
        <v/>
      </c>
      <c r="AO109" s="68" t="n"/>
      <c r="AP109" s="99">
        <f>Table6[[#This Row],[(A/S) AJD]]-Table6[[#This Row],[SER_IN]]</f>
        <v/>
      </c>
    </row>
    <row r="110" ht="18.75" customHeight="1">
      <c r="A110" s="98" t="n">
        <v>47592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Table6[[#This Row],[ (T/B) SAR]]+Table6[[#This Row],[ (S/S) SAR]]</f>
        <v/>
      </c>
      <c r="L110" s="41" t="n"/>
      <c r="M110" s="42" t="n"/>
      <c r="N110" s="42" t="n"/>
      <c r="O110" s="39" t="n"/>
      <c r="P110" s="3">
        <f>Table6[[#This Row],[ (S/S) SAR]]-Table6[[#This Row],[(S/S) AJD]]</f>
        <v/>
      </c>
      <c r="Q110" s="39" t="n"/>
      <c r="R110" s="3">
        <f>Table6[[#This Row],[ (T/B) SAR]]-Table6[[#This Row],[(T/B) AJD]]</f>
        <v/>
      </c>
      <c r="S110" s="3">
        <f>Table6[[#This Row],[S/S_CON.]]+Table6[[#This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Table6[[#This Row],[(RESV. STORGE) AJD]]/10</f>
        <v/>
      </c>
      <c r="AB110" s="3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32" t="n"/>
      <c r="AN110" s="32">
        <f>Table6[[#This Row],[ (RESV. STORGE) SER]]/10</f>
        <v/>
      </c>
      <c r="AO110" s="68" t="n"/>
      <c r="AP110" s="99">
        <f>Table6[[#This Row],[(A/S) AJD]]-Table6[[#This Row],[SER_IN]]</f>
        <v/>
      </c>
    </row>
    <row r="111" ht="18.75" customHeight="1">
      <c r="A111" s="98" t="n">
        <v>47593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Table6[[#This Row],[ (T/B) SAR]]+Table6[[#This Row],[ (S/S) SAR]]</f>
        <v/>
      </c>
      <c r="L111" s="45" t="n"/>
      <c r="M111" s="46" t="n"/>
      <c r="N111" s="46" t="n"/>
      <c r="O111" s="40" t="n"/>
      <c r="P111" s="3">
        <f>Table6[[#This Row],[ (S/S) SAR]]-Table6[[#This Row],[(S/S) AJD]]</f>
        <v/>
      </c>
      <c r="Q111" s="40" t="n"/>
      <c r="R111" s="3">
        <f>Table6[[#This Row],[ (T/B) SAR]]-Table6[[#This Row],[(T/B) AJD]]</f>
        <v/>
      </c>
      <c r="S111" s="3">
        <f>Table6[[#This Row],[S/S_CON.]]+Table6[[#This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Table6[[#This Row],[(RESV. STORGE) AJD]]/10</f>
        <v/>
      </c>
      <c r="AB111" s="3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32" t="n"/>
      <c r="AN111" s="32">
        <f>Table6[[#This Row],[ (RESV. STORGE) SER]]/10</f>
        <v/>
      </c>
      <c r="AO111" s="68" t="n"/>
      <c r="AP111" s="99">
        <f>Table6[[#This Row],[(A/S) AJD]]-Table6[[#This Row],[SER_IN]]</f>
        <v/>
      </c>
    </row>
    <row r="112" ht="18.75" customHeight="1">
      <c r="A112" s="98" t="n">
        <v>47594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Table6[[#This Row],[ (T/B) SAR]]+Table6[[#This Row],[ (S/S) SAR]]</f>
        <v/>
      </c>
      <c r="L112" s="41" t="n"/>
      <c r="M112" s="42" t="n"/>
      <c r="N112" s="42" t="n"/>
      <c r="O112" s="39" t="n"/>
      <c r="P112" s="3">
        <f>Table6[[#This Row],[ (S/S) SAR]]-Table6[[#This Row],[(S/S) AJD]]</f>
        <v/>
      </c>
      <c r="Q112" s="39" t="n"/>
      <c r="R112" s="3">
        <f>Table6[[#This Row],[ (T/B) SAR]]-Table6[[#This Row],[(T/B) AJD]]</f>
        <v/>
      </c>
      <c r="S112" s="3">
        <f>Table6[[#This Row],[S/S_CON.]]+Table6[[#This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Table6[[#This Row],[(RESV. STORGE) AJD]]/10</f>
        <v/>
      </c>
      <c r="AB112" s="3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32" t="n"/>
      <c r="AN112" s="32">
        <f>Table6[[#This Row],[ (RESV. STORGE) SER]]/10</f>
        <v/>
      </c>
      <c r="AO112" s="68" t="n"/>
      <c r="AP112" s="99">
        <f>Table6[[#This Row],[(A/S) AJD]]-Table6[[#This Row],[SER_IN]]</f>
        <v/>
      </c>
    </row>
    <row r="113" ht="18.75" customHeight="1">
      <c r="A113" s="98" t="n">
        <v>47595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Table6[[#This Row],[ (T/B) SAR]]+Table6[[#This Row],[ (S/S) SAR]]</f>
        <v/>
      </c>
      <c r="L113" s="45" t="n"/>
      <c r="M113" s="46" t="n"/>
      <c r="N113" s="46" t="n"/>
      <c r="O113" s="40" t="n"/>
      <c r="P113" s="3">
        <f>Table6[[#This Row],[ (S/S) SAR]]-Table6[[#This Row],[(S/S) AJD]]</f>
        <v/>
      </c>
      <c r="Q113" s="40" t="n"/>
      <c r="R113" s="3">
        <f>Table6[[#This Row],[ (T/B) SAR]]-Table6[[#This Row],[(T/B) AJD]]</f>
        <v/>
      </c>
      <c r="S113" s="3">
        <f>Table6[[#This Row],[S/S_CON.]]+Table6[[#This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Table6[[#This Row],[(RESV. STORGE) AJD]]/10</f>
        <v/>
      </c>
      <c r="AB113" s="3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32" t="n"/>
      <c r="AN113" s="32">
        <f>Table6[[#This Row],[ (RESV. STORGE) SER]]/10</f>
        <v/>
      </c>
      <c r="AO113" s="68" t="n"/>
      <c r="AP113" s="99">
        <f>Table6[[#This Row],[(A/S) AJD]]-Table6[[#This Row],[SER_IN]]</f>
        <v/>
      </c>
    </row>
    <row r="114" ht="18.75" customHeight="1">
      <c r="A114" s="98" t="n">
        <v>47596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Table6[[#This Row],[ (T/B) SAR]]+Table6[[#This Row],[ (S/S) SAR]]</f>
        <v/>
      </c>
      <c r="L114" s="41" t="n"/>
      <c r="M114" s="42" t="n"/>
      <c r="N114" s="42" t="n"/>
      <c r="O114" s="39" t="n"/>
      <c r="P114" s="3">
        <f>Table6[[#This Row],[ (S/S) SAR]]-Table6[[#This Row],[(S/S) AJD]]</f>
        <v/>
      </c>
      <c r="Q114" s="39" t="n"/>
      <c r="R114" s="3">
        <f>Table6[[#This Row],[ (T/B) SAR]]-Table6[[#This Row],[(T/B) AJD]]</f>
        <v/>
      </c>
      <c r="S114" s="3">
        <f>Table6[[#This Row],[S/S_CON.]]+Table6[[#This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Table6[[#This Row],[(RESV. STORGE) AJD]]/10</f>
        <v/>
      </c>
      <c r="AB114" s="3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32" t="n"/>
      <c r="AN114" s="32">
        <f>Table6[[#This Row],[ (RESV. STORGE) SER]]/10</f>
        <v/>
      </c>
      <c r="AO114" s="68" t="n"/>
      <c r="AP114" s="99">
        <f>Table6[[#This Row],[(A/S) AJD]]-Table6[[#This Row],[SER_IN]]</f>
        <v/>
      </c>
    </row>
    <row r="115" ht="18.75" customHeight="1">
      <c r="A115" s="98" t="n">
        <v>47597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Table6[[#This Row],[ (T/B) SAR]]+Table6[[#This Row],[ (S/S) SAR]]</f>
        <v/>
      </c>
      <c r="L115" s="45" t="n"/>
      <c r="M115" s="46" t="n"/>
      <c r="N115" s="46" t="n"/>
      <c r="O115" s="40" t="n"/>
      <c r="P115" s="3">
        <f>Table6[[#This Row],[ (S/S) SAR]]-Table6[[#This Row],[(S/S) AJD]]</f>
        <v/>
      </c>
      <c r="Q115" s="40" t="n"/>
      <c r="R115" s="3">
        <f>Table6[[#This Row],[ (T/B) SAR]]-Table6[[#This Row],[(T/B) AJD]]</f>
        <v/>
      </c>
      <c r="S115" s="3">
        <f>Table6[[#This Row],[S/S_CON.]]+Table6[[#This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Table6[[#This Row],[(RESV. STORGE) AJD]]/10</f>
        <v/>
      </c>
      <c r="AB115" s="3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32" t="n"/>
      <c r="AN115" s="32">
        <f>Table6[[#This Row],[ (RESV. STORGE) SER]]/10</f>
        <v/>
      </c>
      <c r="AO115" s="68" t="n"/>
      <c r="AP115" s="99">
        <f>Table6[[#This Row],[(A/S) AJD]]-Table6[[#This Row],[SER_IN]]</f>
        <v/>
      </c>
    </row>
    <row r="116" ht="18.75" customHeight="1">
      <c r="A116" s="98" t="n">
        <v>47598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Table6[[#This Row],[ (T/B) SAR]]+Table6[[#This Row],[ (S/S) SAR]]</f>
        <v/>
      </c>
      <c r="L116" s="41" t="n"/>
      <c r="M116" s="42" t="n"/>
      <c r="N116" s="42" t="n"/>
      <c r="O116" s="39" t="n"/>
      <c r="P116" s="3">
        <f>Table6[[#This Row],[ (S/S) SAR]]-Table6[[#This Row],[(S/S) AJD]]</f>
        <v/>
      </c>
      <c r="Q116" s="39" t="n"/>
      <c r="R116" s="3">
        <f>Table6[[#This Row],[ (T/B) SAR]]-Table6[[#This Row],[(T/B) AJD]]</f>
        <v/>
      </c>
      <c r="S116" s="3">
        <f>Table6[[#This Row],[S/S_CON.]]+Table6[[#This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Table6[[#This Row],[(RESV. STORGE) AJD]]/10</f>
        <v/>
      </c>
      <c r="AB116" s="3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32" t="n"/>
      <c r="AN116" s="32">
        <f>Table6[[#This Row],[ (RESV. STORGE) SER]]/10</f>
        <v/>
      </c>
      <c r="AO116" s="68" t="n"/>
      <c r="AP116" s="99">
        <f>Table6[[#This Row],[(A/S) AJD]]-Table6[[#This Row],[SER_IN]]</f>
        <v/>
      </c>
    </row>
    <row r="117" ht="18.75" customHeight="1">
      <c r="A117" s="98" t="n">
        <v>47599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Table6[[#This Row],[ (T/B) SAR]]+Table6[[#This Row],[ (S/S) SAR]]</f>
        <v/>
      </c>
      <c r="L117" s="45" t="n"/>
      <c r="M117" s="46" t="n"/>
      <c r="N117" s="46" t="n"/>
      <c r="O117" s="40" t="n"/>
      <c r="P117" s="3">
        <f>Table6[[#This Row],[ (S/S) SAR]]-Table6[[#This Row],[(S/S) AJD]]</f>
        <v/>
      </c>
      <c r="Q117" s="40" t="n"/>
      <c r="R117" s="3">
        <f>Table6[[#This Row],[ (T/B) SAR]]-Table6[[#This Row],[(T/B) AJD]]</f>
        <v/>
      </c>
      <c r="S117" s="3">
        <f>Table6[[#This Row],[S/S_CON.]]+Table6[[#This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Table6[[#This Row],[(RESV. STORGE) AJD]]/10</f>
        <v/>
      </c>
      <c r="AB117" s="3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32" t="n"/>
      <c r="AN117" s="32">
        <f>Table6[[#This Row],[ (RESV. STORGE) SER]]/10</f>
        <v/>
      </c>
      <c r="AO117" s="68" t="n"/>
      <c r="AP117" s="99">
        <f>Table6[[#This Row],[(A/S) AJD]]-Table6[[#This Row],[SER_IN]]</f>
        <v/>
      </c>
    </row>
    <row r="118" ht="18.75" customHeight="1">
      <c r="A118" s="98" t="n">
        <v>47600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Table6[[#This Row],[ (T/B) SAR]]+Table6[[#This Row],[ (S/S) SAR]]</f>
        <v/>
      </c>
      <c r="L118" s="41" t="n"/>
      <c r="M118" s="42" t="n"/>
      <c r="N118" s="42" t="n"/>
      <c r="O118" s="39" t="n"/>
      <c r="P118" s="3">
        <f>Table6[[#This Row],[ (S/S) SAR]]-Table6[[#This Row],[(S/S) AJD]]</f>
        <v/>
      </c>
      <c r="Q118" s="39" t="n"/>
      <c r="R118" s="3">
        <f>Table6[[#This Row],[ (T/B) SAR]]-Table6[[#This Row],[(T/B) AJD]]</f>
        <v/>
      </c>
      <c r="S118" s="3">
        <f>Table6[[#This Row],[S/S_CON.]]+Table6[[#This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Table6[[#This Row],[(RESV. STORGE) AJD]]/10</f>
        <v/>
      </c>
      <c r="AB118" s="3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32" t="n"/>
      <c r="AN118" s="32">
        <f>Table6[[#This Row],[ (RESV. STORGE) SER]]/10</f>
        <v/>
      </c>
      <c r="AO118" s="68" t="n"/>
      <c r="AP118" s="99">
        <f>Table6[[#This Row],[(A/S) AJD]]-Table6[[#This Row],[SER_IN]]</f>
        <v/>
      </c>
    </row>
    <row r="119" ht="18.75" customHeight="1">
      <c r="A119" s="98" t="n">
        <v>47601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Table6[[#This Row],[ (T/B) SAR]]+Table6[[#This Row],[ (S/S) SAR]]</f>
        <v/>
      </c>
      <c r="L119" s="45" t="n"/>
      <c r="M119" s="46" t="n"/>
      <c r="N119" s="46" t="n"/>
      <c r="O119" s="40" t="n"/>
      <c r="P119" s="3">
        <f>Table6[[#This Row],[ (S/S) SAR]]-Table6[[#This Row],[(S/S) AJD]]</f>
        <v/>
      </c>
      <c r="Q119" s="40" t="n"/>
      <c r="R119" s="3">
        <f>Table6[[#This Row],[ (T/B) SAR]]-Table6[[#This Row],[(T/B) AJD]]</f>
        <v/>
      </c>
      <c r="S119" s="3">
        <f>Table6[[#This Row],[S/S_CON.]]+Table6[[#This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Table6[[#This Row],[(RESV. STORGE) AJD]]/10</f>
        <v/>
      </c>
      <c r="AB119" s="3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32" t="n"/>
      <c r="AN119" s="32">
        <f>Table6[[#This Row],[ (RESV. STORGE) SER]]/10</f>
        <v/>
      </c>
      <c r="AO119" s="68" t="n"/>
      <c r="AP119" s="99">
        <f>Table6[[#This Row],[(A/S) AJD]]-Table6[[#This Row],[SER_IN]]</f>
        <v/>
      </c>
    </row>
    <row r="120" ht="18.75" customHeight="1">
      <c r="A120" s="98" t="n">
        <v>47602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Table6[[#This Row],[ (T/B) SAR]]+Table6[[#This Row],[ (S/S) SAR]]</f>
        <v/>
      </c>
      <c r="L120" s="41" t="n"/>
      <c r="M120" s="42" t="n"/>
      <c r="N120" s="42" t="n"/>
      <c r="O120" s="39" t="n"/>
      <c r="P120" s="3">
        <f>Table6[[#This Row],[ (S/S) SAR]]-Table6[[#This Row],[(S/S) AJD]]</f>
        <v/>
      </c>
      <c r="Q120" s="39" t="n"/>
      <c r="R120" s="3">
        <f>Table6[[#This Row],[ (T/B) SAR]]-Table6[[#This Row],[(T/B) AJD]]</f>
        <v/>
      </c>
      <c r="S120" s="3">
        <f>Table6[[#This Row],[S/S_CON.]]+Table6[[#This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Table6[[#This Row],[(RESV. STORGE) AJD]]/10</f>
        <v/>
      </c>
      <c r="AB120" s="3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32" t="n"/>
      <c r="AN120" s="32">
        <f>Table6[[#This Row],[ (RESV. STORGE) SER]]/10</f>
        <v/>
      </c>
      <c r="AO120" s="68" t="n"/>
      <c r="AP120" s="99">
        <f>Table6[[#This Row],[(A/S) AJD]]-Table6[[#This Row],[SER_IN]]</f>
        <v/>
      </c>
    </row>
    <row r="121" ht="18.75" customHeight="1">
      <c r="A121" s="98" t="n">
        <v>47603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Table6[[#This Row],[ (T/B) SAR]]+Table6[[#This Row],[ (S/S) SAR]]</f>
        <v/>
      </c>
      <c r="L121" s="45" t="n"/>
      <c r="M121" s="46" t="n"/>
      <c r="N121" s="46" t="n"/>
      <c r="O121" s="40" t="n"/>
      <c r="P121" s="3">
        <f>Table6[[#This Row],[ (S/S) SAR]]-Table6[[#This Row],[(S/S) AJD]]</f>
        <v/>
      </c>
      <c r="Q121" s="40" t="n"/>
      <c r="R121" s="3">
        <f>Table6[[#This Row],[ (T/B) SAR]]-Table6[[#This Row],[(T/B) AJD]]</f>
        <v/>
      </c>
      <c r="S121" s="3">
        <f>Table6[[#This Row],[S/S_CON.]]+Table6[[#This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Table6[[#This Row],[(RESV. STORGE) AJD]]/10</f>
        <v/>
      </c>
      <c r="AB121" s="3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32" t="n"/>
      <c r="AN121" s="32">
        <f>Table6[[#This Row],[ (RESV. STORGE) SER]]/10</f>
        <v/>
      </c>
      <c r="AO121" s="68" t="n"/>
      <c r="AP121" s="99">
        <f>Table6[[#This Row],[(A/S) AJD]]-Table6[[#This Row],[SER_IN]]</f>
        <v/>
      </c>
    </row>
    <row r="122" ht="18.75" customHeight="1">
      <c r="A122" s="98" t="n">
        <v>47604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Table6[[#This Row],[ (T/B) SAR]]+Table6[[#This Row],[ (S/S) SAR]]</f>
        <v/>
      </c>
      <c r="L122" s="41" t="n"/>
      <c r="M122" s="42" t="n"/>
      <c r="N122" s="42" t="n"/>
      <c r="O122" s="39" t="n"/>
      <c r="P122" s="3">
        <f>Table6[[#This Row],[ (S/S) SAR]]-Table6[[#This Row],[(S/S) AJD]]</f>
        <v/>
      </c>
      <c r="Q122" s="39" t="n"/>
      <c r="R122" s="3">
        <f>Table6[[#This Row],[ (T/B) SAR]]-Table6[[#This Row],[(T/B) AJD]]</f>
        <v/>
      </c>
      <c r="S122" s="3">
        <f>Table6[[#This Row],[S/S_CON.]]+Table6[[#This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Table6[[#This Row],[(RESV. STORGE) AJD]]/10</f>
        <v/>
      </c>
      <c r="AB122" s="3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32" t="n"/>
      <c r="AN122" s="32">
        <f>Table6[[#This Row],[ (RESV. STORGE) SER]]/10</f>
        <v/>
      </c>
      <c r="AO122" s="68" t="n"/>
      <c r="AP122" s="99">
        <f>Table6[[#This Row],[(A/S) AJD]]-Table6[[#This Row],[SER_IN]]</f>
        <v/>
      </c>
    </row>
    <row r="123" ht="18.75" customHeight="1">
      <c r="A123" s="98" t="n">
        <v>47605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Table6[[#This Row],[ (T/B) SAR]]+Table6[[#This Row],[ (S/S) SAR]]</f>
        <v/>
      </c>
      <c r="L123" s="45" t="n"/>
      <c r="M123" s="46" t="n"/>
      <c r="N123" s="46" t="n"/>
      <c r="O123" s="40" t="n"/>
      <c r="P123" s="3">
        <f>Table6[[#This Row],[ (S/S) SAR]]-Table6[[#This Row],[(S/S) AJD]]</f>
        <v/>
      </c>
      <c r="Q123" s="40" t="n"/>
      <c r="R123" s="3">
        <f>Table6[[#This Row],[ (T/B) SAR]]-Table6[[#This Row],[(T/B) AJD]]</f>
        <v/>
      </c>
      <c r="S123" s="3">
        <f>Table6[[#This Row],[S/S_CON.]]+Table6[[#This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Table6[[#This Row],[(RESV. STORGE) AJD]]/10</f>
        <v/>
      </c>
      <c r="AB123" s="3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32" t="n"/>
      <c r="AN123" s="32">
        <f>Table6[[#This Row],[ (RESV. STORGE) SER]]/10</f>
        <v/>
      </c>
      <c r="AO123" s="68" t="n"/>
      <c r="AP123" s="99">
        <f>Table6[[#This Row],[(A/S) AJD]]-Table6[[#This Row],[SER_IN]]</f>
        <v/>
      </c>
    </row>
    <row r="124" ht="18.75" customHeight="1">
      <c r="A124" s="98" t="n">
        <v>47606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Table6[[#This Row],[ (T/B) SAR]]+Table6[[#This Row],[ (S/S) SAR]]</f>
        <v/>
      </c>
      <c r="L124" s="41" t="n"/>
      <c r="M124" s="42" t="n"/>
      <c r="N124" s="42" t="n"/>
      <c r="O124" s="39" t="n"/>
      <c r="P124" s="3">
        <f>Table6[[#This Row],[ (S/S) SAR]]-Table6[[#This Row],[(S/S) AJD]]</f>
        <v/>
      </c>
      <c r="Q124" s="39" t="n"/>
      <c r="R124" s="3">
        <f>Table6[[#This Row],[ (T/B) SAR]]-Table6[[#This Row],[(T/B) AJD]]</f>
        <v/>
      </c>
      <c r="S124" s="3">
        <f>Table6[[#This Row],[S/S_CON.]]+Table6[[#This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Table6[[#This Row],[(RESV. STORGE) AJD]]/10</f>
        <v/>
      </c>
      <c r="AB124" s="3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32" t="n"/>
      <c r="AN124" s="32">
        <f>Table6[[#This Row],[ (RESV. STORGE) SER]]/10</f>
        <v/>
      </c>
      <c r="AO124" s="68" t="n"/>
      <c r="AP124" s="99">
        <f>Table6[[#This Row],[(A/S) AJD]]-Table6[[#This Row],[SER_IN]]</f>
        <v/>
      </c>
    </row>
    <row r="125" ht="18.75" customHeight="1">
      <c r="A125" s="98" t="n">
        <v>47607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Table6[[#This Row],[ (T/B) SAR]]+Table6[[#This Row],[ (S/S) SAR]]</f>
        <v/>
      </c>
      <c r="L125" s="45" t="n"/>
      <c r="M125" s="46" t="n"/>
      <c r="N125" s="46" t="n"/>
      <c r="O125" s="40" t="n"/>
      <c r="P125" s="3">
        <f>Table6[[#This Row],[ (S/S) SAR]]-Table6[[#This Row],[(S/S) AJD]]</f>
        <v/>
      </c>
      <c r="Q125" s="40" t="n"/>
      <c r="R125" s="3">
        <f>Table6[[#This Row],[ (T/B) SAR]]-Table6[[#This Row],[(T/B) AJD]]</f>
        <v/>
      </c>
      <c r="S125" s="3">
        <f>Table6[[#This Row],[S/S_CON.]]+Table6[[#This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Table6[[#This Row],[(RESV. STORGE) AJD]]/10</f>
        <v/>
      </c>
      <c r="AB125" s="3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32" t="n"/>
      <c r="AN125" s="32">
        <f>Table6[[#This Row],[ (RESV. STORGE) SER]]/10</f>
        <v/>
      </c>
      <c r="AO125" s="68" t="n"/>
      <c r="AP125" s="99">
        <f>Table6[[#This Row],[(A/S) AJD]]-Table6[[#This Row],[SER_IN]]</f>
        <v/>
      </c>
    </row>
    <row r="126" ht="18.75" customHeight="1">
      <c r="A126" s="98" t="n">
        <v>47608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Table6[[#This Row],[ (T/B) SAR]]+Table6[[#This Row],[ (S/S) SAR]]</f>
        <v/>
      </c>
      <c r="L126" s="41" t="n"/>
      <c r="M126" s="42" t="n"/>
      <c r="N126" s="42" t="n"/>
      <c r="O126" s="39" t="n"/>
      <c r="P126" s="3">
        <f>Table6[[#This Row],[ (S/S) SAR]]-Table6[[#This Row],[(S/S) AJD]]</f>
        <v/>
      </c>
      <c r="Q126" s="39" t="n"/>
      <c r="R126" s="3">
        <f>Table6[[#This Row],[ (T/B) SAR]]-Table6[[#This Row],[(T/B) AJD]]</f>
        <v/>
      </c>
      <c r="S126" s="3">
        <f>Table6[[#This Row],[S/S_CON.]]+Table6[[#This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Table6[[#This Row],[(RESV. STORGE) AJD]]/10</f>
        <v/>
      </c>
      <c r="AB126" s="3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32" t="n"/>
      <c r="AN126" s="32">
        <f>Table6[[#This Row],[ (RESV. STORGE) SER]]/10</f>
        <v/>
      </c>
      <c r="AO126" s="68" t="n"/>
      <c r="AP126" s="99">
        <f>Table6[[#This Row],[(A/S) AJD]]-Table6[[#This Row],[SER_IN]]</f>
        <v/>
      </c>
    </row>
    <row r="127" ht="18.75" customHeight="1">
      <c r="A127" s="98" t="n">
        <v>47609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Table6[[#This Row],[ (T/B) SAR]]+Table6[[#This Row],[ (S/S) SAR]]</f>
        <v/>
      </c>
      <c r="L127" s="45" t="n"/>
      <c r="M127" s="46" t="n"/>
      <c r="N127" s="46" t="n"/>
      <c r="O127" s="40" t="n"/>
      <c r="P127" s="3">
        <f>Table6[[#This Row],[ (S/S) SAR]]-Table6[[#This Row],[(S/S) AJD]]</f>
        <v/>
      </c>
      <c r="Q127" s="40" t="n"/>
      <c r="R127" s="3">
        <f>Table6[[#This Row],[ (T/B) SAR]]-Table6[[#This Row],[(T/B) AJD]]</f>
        <v/>
      </c>
      <c r="S127" s="3">
        <f>Table6[[#This Row],[S/S_CON.]]+Table6[[#This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Table6[[#This Row],[(RESV. STORGE) AJD]]/10</f>
        <v/>
      </c>
      <c r="AB127" s="3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32" t="n"/>
      <c r="AN127" s="32">
        <f>Table6[[#This Row],[ (RESV. STORGE) SER]]/10</f>
        <v/>
      </c>
      <c r="AO127" s="68" t="n"/>
      <c r="AP127" s="99">
        <f>Table6[[#This Row],[(A/S) AJD]]-Table6[[#This Row],[SER_IN]]</f>
        <v/>
      </c>
    </row>
    <row r="128" ht="18.75" customHeight="1">
      <c r="A128" s="98" t="n">
        <v>47610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Table6[[#This Row],[ (T/B) SAR]]+Table6[[#This Row],[ (S/S) SAR]]</f>
        <v/>
      </c>
      <c r="L128" s="41" t="n"/>
      <c r="M128" s="42" t="n"/>
      <c r="N128" s="42" t="n"/>
      <c r="O128" s="39" t="n"/>
      <c r="P128" s="3">
        <f>Table6[[#This Row],[ (S/S) SAR]]-Table6[[#This Row],[(S/S) AJD]]</f>
        <v/>
      </c>
      <c r="Q128" s="39" t="n"/>
      <c r="R128" s="3">
        <f>Table6[[#This Row],[ (T/B) SAR]]-Table6[[#This Row],[(T/B) AJD]]</f>
        <v/>
      </c>
      <c r="S128" s="3">
        <f>Table6[[#This Row],[S/S_CON.]]+Table6[[#This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Table6[[#This Row],[(RESV. STORGE) AJD]]/10</f>
        <v/>
      </c>
      <c r="AB128" s="3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32" t="n"/>
      <c r="AN128" s="32">
        <f>Table6[[#This Row],[ (RESV. STORGE) SER]]/10</f>
        <v/>
      </c>
      <c r="AO128" s="68" t="n"/>
      <c r="AP128" s="99">
        <f>Table6[[#This Row],[(A/S) AJD]]-Table6[[#This Row],[SER_IN]]</f>
        <v/>
      </c>
    </row>
    <row r="129" ht="18.75" customHeight="1">
      <c r="A129" s="98" t="n">
        <v>47611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Table6[[#This Row],[ (T/B) SAR]]+Table6[[#This Row],[ (S/S) SAR]]</f>
        <v/>
      </c>
      <c r="L129" s="45" t="n"/>
      <c r="M129" s="46" t="n"/>
      <c r="N129" s="46" t="n"/>
      <c r="O129" s="40" t="n"/>
      <c r="P129" s="3">
        <f>Table6[[#This Row],[ (S/S) SAR]]-Table6[[#This Row],[(S/S) AJD]]</f>
        <v/>
      </c>
      <c r="Q129" s="40" t="n"/>
      <c r="R129" s="3">
        <f>Table6[[#This Row],[ (T/B) SAR]]-Table6[[#This Row],[(T/B) AJD]]</f>
        <v/>
      </c>
      <c r="S129" s="3">
        <f>Table6[[#This Row],[S/S_CON.]]+Table6[[#This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Table6[[#This Row],[(RESV. STORGE) AJD]]/10</f>
        <v/>
      </c>
      <c r="AB129" s="3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32" t="n"/>
      <c r="AN129" s="32">
        <f>Table6[[#This Row],[ (RESV. STORGE) SER]]/10</f>
        <v/>
      </c>
      <c r="AO129" s="68" t="n"/>
      <c r="AP129" s="99">
        <f>Table6[[#This Row],[(A/S) AJD]]-Table6[[#This Row],[SER_IN]]</f>
        <v/>
      </c>
    </row>
    <row r="130" ht="18.75" customHeight="1">
      <c r="A130" s="98" t="n">
        <v>47612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Table6[[#This Row],[ (T/B) SAR]]+Table6[[#This Row],[ (S/S) SAR]]</f>
        <v/>
      </c>
      <c r="L130" s="41" t="n"/>
      <c r="M130" s="42" t="n"/>
      <c r="N130" s="42" t="n"/>
      <c r="O130" s="39" t="n"/>
      <c r="P130" s="3">
        <f>Table6[[#This Row],[ (S/S) SAR]]-Table6[[#This Row],[(S/S) AJD]]</f>
        <v/>
      </c>
      <c r="Q130" s="39" t="n"/>
      <c r="R130" s="3">
        <f>Table6[[#This Row],[ (T/B) SAR]]-Table6[[#This Row],[(T/B) AJD]]</f>
        <v/>
      </c>
      <c r="S130" s="3">
        <f>Table6[[#This Row],[S/S_CON.]]+Table6[[#This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Table6[[#This Row],[(RESV. STORGE) AJD]]/10</f>
        <v/>
      </c>
      <c r="AB130" s="3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32" t="n"/>
      <c r="AN130" s="32">
        <f>Table6[[#This Row],[ (RESV. STORGE) SER]]/10</f>
        <v/>
      </c>
      <c r="AO130" s="68" t="n"/>
      <c r="AP130" s="99">
        <f>Table6[[#This Row],[(A/S) AJD]]-Table6[[#This Row],[SER_IN]]</f>
        <v/>
      </c>
    </row>
    <row r="131" ht="18.75" customHeight="1">
      <c r="A131" s="98" t="n">
        <v>47613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Table6[[#This Row],[ (T/B) SAR]]+Table6[[#This Row],[ (S/S) SAR]]</f>
        <v/>
      </c>
      <c r="L131" s="45" t="n"/>
      <c r="M131" s="46" t="n"/>
      <c r="N131" s="46" t="n"/>
      <c r="O131" s="40" t="n"/>
      <c r="P131" s="3">
        <f>Table6[[#This Row],[ (S/S) SAR]]-Table6[[#This Row],[(S/S) AJD]]</f>
        <v/>
      </c>
      <c r="Q131" s="40" t="n"/>
      <c r="R131" s="3">
        <f>Table6[[#This Row],[ (T/B) SAR]]-Table6[[#This Row],[(T/B) AJD]]</f>
        <v/>
      </c>
      <c r="S131" s="3">
        <f>Table6[[#This Row],[S/S_CON.]]+Table6[[#This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Table6[[#This Row],[(RESV. STORGE) AJD]]/10</f>
        <v/>
      </c>
      <c r="AB131" s="3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32" t="n"/>
      <c r="AN131" s="32">
        <f>Table6[[#This Row],[ (RESV. STORGE) SER]]/10</f>
        <v/>
      </c>
      <c r="AO131" s="68" t="n"/>
      <c r="AP131" s="99">
        <f>Table6[[#This Row],[(A/S) AJD]]-Table6[[#This Row],[SER_IN]]</f>
        <v/>
      </c>
    </row>
    <row r="132" ht="18.75" customHeight="1">
      <c r="A132" s="98" t="n">
        <v>47614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Table6[[#This Row],[ (T/B) SAR]]+Table6[[#This Row],[ (S/S) SAR]]</f>
        <v/>
      </c>
      <c r="L132" s="41" t="n"/>
      <c r="M132" s="42" t="n"/>
      <c r="N132" s="42" t="n"/>
      <c r="O132" s="39" t="n"/>
      <c r="P132" s="3">
        <f>Table6[[#This Row],[ (S/S) SAR]]-Table6[[#This Row],[(S/S) AJD]]</f>
        <v/>
      </c>
      <c r="Q132" s="39" t="n"/>
      <c r="R132" s="3">
        <f>Table6[[#This Row],[ (T/B) SAR]]-Table6[[#This Row],[(T/B) AJD]]</f>
        <v/>
      </c>
      <c r="S132" s="3">
        <f>Table6[[#This Row],[S/S_CON.]]+Table6[[#This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Table6[[#This Row],[(RESV. STORGE) AJD]]/10</f>
        <v/>
      </c>
      <c r="AB132" s="3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32" t="n"/>
      <c r="AN132" s="32">
        <f>Table6[[#This Row],[ (RESV. STORGE) SER]]/10</f>
        <v/>
      </c>
      <c r="AO132" s="68" t="n"/>
      <c r="AP132" s="99">
        <f>Table6[[#This Row],[(A/S) AJD]]-Table6[[#This Row],[SER_IN]]</f>
        <v/>
      </c>
    </row>
    <row r="133" ht="18.75" customHeight="1">
      <c r="A133" s="98" t="n">
        <v>47615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Table6[[#This Row],[ (T/B) SAR]]+Table6[[#This Row],[ (S/S) SAR]]</f>
        <v/>
      </c>
      <c r="L133" s="45" t="n"/>
      <c r="M133" s="46" t="n"/>
      <c r="N133" s="46" t="n"/>
      <c r="O133" s="40" t="n"/>
      <c r="P133" s="3">
        <f>Table6[[#This Row],[ (S/S) SAR]]-Table6[[#This Row],[(S/S) AJD]]</f>
        <v/>
      </c>
      <c r="Q133" s="40" t="n"/>
      <c r="R133" s="3">
        <f>Table6[[#This Row],[ (T/B) SAR]]-Table6[[#This Row],[(T/B) AJD]]</f>
        <v/>
      </c>
      <c r="S133" s="3">
        <f>Table6[[#This Row],[S/S_CON.]]+Table6[[#This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Table6[[#This Row],[(RESV. STORGE) AJD]]/10</f>
        <v/>
      </c>
      <c r="AB133" s="3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32" t="n"/>
      <c r="AN133" s="32">
        <f>Table6[[#This Row],[ (RESV. STORGE) SER]]/10</f>
        <v/>
      </c>
      <c r="AO133" s="68" t="n"/>
      <c r="AP133" s="99">
        <f>Table6[[#This Row],[(A/S) AJD]]-Table6[[#This Row],[SER_IN]]</f>
        <v/>
      </c>
    </row>
    <row r="134" ht="18.75" customHeight="1">
      <c r="A134" s="98" t="n">
        <v>47616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Table6[[#This Row],[ (T/B) SAR]]+Table6[[#This Row],[ (S/S) SAR]]</f>
        <v/>
      </c>
      <c r="L134" s="41" t="n"/>
      <c r="M134" s="42" t="n"/>
      <c r="N134" s="42" t="n"/>
      <c r="O134" s="39" t="n"/>
      <c r="P134" s="3">
        <f>Table6[[#This Row],[ (S/S) SAR]]-Table6[[#This Row],[(S/S) AJD]]</f>
        <v/>
      </c>
      <c r="Q134" s="39" t="n"/>
      <c r="R134" s="3">
        <f>Table6[[#This Row],[ (T/B) SAR]]-Table6[[#This Row],[(T/B) AJD]]</f>
        <v/>
      </c>
      <c r="S134" s="3">
        <f>Table6[[#This Row],[S/S_CON.]]+Table6[[#This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Table6[[#This Row],[(RESV. STORGE) AJD]]/10</f>
        <v/>
      </c>
      <c r="AB134" s="3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32" t="n"/>
      <c r="AN134" s="32">
        <f>Table6[[#This Row],[ (RESV. STORGE) SER]]/10</f>
        <v/>
      </c>
      <c r="AO134" s="68" t="n"/>
      <c r="AP134" s="99">
        <f>Table6[[#This Row],[(A/S) AJD]]-Table6[[#This Row],[SER_IN]]</f>
        <v/>
      </c>
    </row>
    <row r="135" ht="18.75" customHeight="1">
      <c r="A135" s="98" t="n">
        <v>47617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Table6[[#This Row],[ (T/B) SAR]]+Table6[[#This Row],[ (S/S) SAR]]</f>
        <v/>
      </c>
      <c r="L135" s="45" t="n"/>
      <c r="M135" s="46" t="n"/>
      <c r="N135" s="46" t="n"/>
      <c r="O135" s="40" t="n"/>
      <c r="P135" s="3">
        <f>Table6[[#This Row],[ (S/S) SAR]]-Table6[[#This Row],[(S/S) AJD]]</f>
        <v/>
      </c>
      <c r="Q135" s="40" t="n"/>
      <c r="R135" s="3">
        <f>Table6[[#This Row],[ (T/B) SAR]]-Table6[[#This Row],[(T/B) AJD]]</f>
        <v/>
      </c>
      <c r="S135" s="3">
        <f>Table6[[#This Row],[S/S_CON.]]+Table6[[#This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Table6[[#This Row],[(RESV. STORGE) AJD]]/10</f>
        <v/>
      </c>
      <c r="AB135" s="3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32" t="n"/>
      <c r="AN135" s="32">
        <f>Table6[[#This Row],[ (RESV. STORGE) SER]]/10</f>
        <v/>
      </c>
      <c r="AO135" s="68" t="n"/>
      <c r="AP135" s="99">
        <f>Table6[[#This Row],[(A/S) AJD]]-Table6[[#This Row],[SER_IN]]</f>
        <v/>
      </c>
    </row>
    <row r="136" ht="18.75" customHeight="1">
      <c r="A136" s="98" t="n">
        <v>47618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Table6[[#This Row],[ (T/B) SAR]]+Table6[[#This Row],[ (S/S) SAR]]</f>
        <v/>
      </c>
      <c r="L136" s="41" t="n"/>
      <c r="M136" s="42" t="n"/>
      <c r="N136" s="42" t="n"/>
      <c r="O136" s="39" t="n"/>
      <c r="P136" s="3">
        <f>Table6[[#This Row],[ (S/S) SAR]]-Table6[[#This Row],[(S/S) AJD]]</f>
        <v/>
      </c>
      <c r="Q136" s="39" t="n"/>
      <c r="R136" s="3">
        <f>Table6[[#This Row],[ (T/B) SAR]]-Table6[[#This Row],[(T/B) AJD]]</f>
        <v/>
      </c>
      <c r="S136" s="3">
        <f>Table6[[#This Row],[S/S_CON.]]+Table6[[#This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Table6[[#This Row],[(RESV. STORGE) AJD]]/10</f>
        <v/>
      </c>
      <c r="AB136" s="3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32" t="n"/>
      <c r="AN136" s="32">
        <f>Table6[[#This Row],[ (RESV. STORGE) SER]]/10</f>
        <v/>
      </c>
      <c r="AO136" s="68" t="n"/>
      <c r="AP136" s="99">
        <f>Table6[[#This Row],[(A/S) AJD]]-Table6[[#This Row],[SER_IN]]</f>
        <v/>
      </c>
    </row>
    <row r="137" ht="18.75" customHeight="1">
      <c r="A137" s="98" t="n">
        <v>47619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Table6[[#This Row],[ (T/B) SAR]]+Table6[[#This Row],[ (S/S) SAR]]</f>
        <v/>
      </c>
      <c r="L137" s="45" t="n"/>
      <c r="M137" s="46" t="n"/>
      <c r="N137" s="46" t="n"/>
      <c r="O137" s="40" t="n"/>
      <c r="P137" s="3">
        <f>Table6[[#This Row],[ (S/S) SAR]]-Table6[[#This Row],[(S/S) AJD]]</f>
        <v/>
      </c>
      <c r="Q137" s="40" t="n"/>
      <c r="R137" s="3">
        <f>Table6[[#This Row],[ (T/B) SAR]]-Table6[[#This Row],[(T/B) AJD]]</f>
        <v/>
      </c>
      <c r="S137" s="3">
        <f>Table6[[#This Row],[S/S_CON.]]+Table6[[#This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Table6[[#This Row],[(RESV. STORGE) AJD]]/10</f>
        <v/>
      </c>
      <c r="AB137" s="3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32" t="n"/>
      <c r="AN137" s="32">
        <f>Table6[[#This Row],[ (RESV. STORGE) SER]]/10</f>
        <v/>
      </c>
      <c r="AO137" s="68" t="n"/>
      <c r="AP137" s="99">
        <f>Table6[[#This Row],[(A/S) AJD]]-Table6[[#This Row],[SER_IN]]</f>
        <v/>
      </c>
    </row>
    <row r="138" ht="18.75" customHeight="1">
      <c r="A138" s="98" t="n">
        <v>47620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Table6[[#This Row],[ (T/B) SAR]]+Table6[[#This Row],[ (S/S) SAR]]</f>
        <v/>
      </c>
      <c r="L138" s="41" t="n"/>
      <c r="M138" s="42" t="n"/>
      <c r="N138" s="42" t="n"/>
      <c r="O138" s="39" t="n"/>
      <c r="P138" s="3">
        <f>Table6[[#This Row],[ (S/S) SAR]]-Table6[[#This Row],[(S/S) AJD]]</f>
        <v/>
      </c>
      <c r="Q138" s="39" t="n"/>
      <c r="R138" s="3">
        <f>Table6[[#This Row],[ (T/B) SAR]]-Table6[[#This Row],[(T/B) AJD]]</f>
        <v/>
      </c>
      <c r="S138" s="3">
        <f>Table6[[#This Row],[S/S_CON.]]+Table6[[#This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Table6[[#This Row],[(RESV. STORGE) AJD]]/10</f>
        <v/>
      </c>
      <c r="AB138" s="3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32" t="n"/>
      <c r="AN138" s="32">
        <f>Table6[[#This Row],[ (RESV. STORGE) SER]]/10</f>
        <v/>
      </c>
      <c r="AO138" s="68" t="n"/>
      <c r="AP138" s="99">
        <f>Table6[[#This Row],[(A/S) AJD]]-Table6[[#This Row],[SER_IN]]</f>
        <v/>
      </c>
    </row>
    <row r="139" ht="18.75" customHeight="1">
      <c r="A139" s="98" t="n">
        <v>47621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Table6[[#This Row],[ (T/B) SAR]]+Table6[[#This Row],[ (S/S) SAR]]</f>
        <v/>
      </c>
      <c r="L139" s="45" t="n"/>
      <c r="M139" s="46" t="n"/>
      <c r="N139" s="46" t="n"/>
      <c r="O139" s="40" t="n"/>
      <c r="P139" s="3">
        <f>Table6[[#This Row],[ (S/S) SAR]]-Table6[[#This Row],[(S/S) AJD]]</f>
        <v/>
      </c>
      <c r="Q139" s="40" t="n"/>
      <c r="R139" s="3">
        <f>Table6[[#This Row],[ (T/B) SAR]]-Table6[[#This Row],[(T/B) AJD]]</f>
        <v/>
      </c>
      <c r="S139" s="3">
        <f>Table6[[#This Row],[S/S_CON.]]+Table6[[#This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Table6[[#This Row],[(RESV. STORGE) AJD]]/10</f>
        <v/>
      </c>
      <c r="AB139" s="3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32" t="n"/>
      <c r="AN139" s="32">
        <f>Table6[[#This Row],[ (RESV. STORGE) SER]]/10</f>
        <v/>
      </c>
      <c r="AO139" s="68" t="n"/>
      <c r="AP139" s="99">
        <f>Table6[[#This Row],[(A/S) AJD]]-Table6[[#This Row],[SER_IN]]</f>
        <v/>
      </c>
    </row>
    <row r="140" ht="18.75" customHeight="1">
      <c r="A140" s="98" t="n">
        <v>47622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Table6[[#This Row],[ (T/B) SAR]]+Table6[[#This Row],[ (S/S) SAR]]</f>
        <v/>
      </c>
      <c r="L140" s="41" t="n"/>
      <c r="M140" s="42" t="n"/>
      <c r="N140" s="42" t="n"/>
      <c r="O140" s="39" t="n"/>
      <c r="P140" s="3">
        <f>Table6[[#This Row],[ (S/S) SAR]]-Table6[[#This Row],[(S/S) AJD]]</f>
        <v/>
      </c>
      <c r="Q140" s="39" t="n"/>
      <c r="R140" s="3">
        <f>Table6[[#This Row],[ (T/B) SAR]]-Table6[[#This Row],[(T/B) AJD]]</f>
        <v/>
      </c>
      <c r="S140" s="3">
        <f>Table6[[#This Row],[S/S_CON.]]+Table6[[#This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Table6[[#This Row],[(RESV. STORGE) AJD]]/10</f>
        <v/>
      </c>
      <c r="AB140" s="3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32" t="n"/>
      <c r="AN140" s="32">
        <f>Table6[[#This Row],[ (RESV. STORGE) SER]]/10</f>
        <v/>
      </c>
      <c r="AO140" s="68" t="n"/>
      <c r="AP140" s="99">
        <f>Table6[[#This Row],[(A/S) AJD]]-Table6[[#This Row],[SER_IN]]</f>
        <v/>
      </c>
    </row>
    <row r="141" ht="18.75" customHeight="1">
      <c r="A141" s="98" t="n">
        <v>47623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Table6[[#This Row],[ (T/B) SAR]]+Table6[[#This Row],[ (S/S) SAR]]</f>
        <v/>
      </c>
      <c r="L141" s="45" t="n"/>
      <c r="M141" s="46" t="n"/>
      <c r="N141" s="46" t="n"/>
      <c r="O141" s="40" t="n"/>
      <c r="P141" s="3">
        <f>Table6[[#This Row],[ (S/S) SAR]]-Table6[[#This Row],[(S/S) AJD]]</f>
        <v/>
      </c>
      <c r="Q141" s="40" t="n"/>
      <c r="R141" s="3">
        <f>Table6[[#This Row],[ (T/B) SAR]]-Table6[[#This Row],[(T/B) AJD]]</f>
        <v/>
      </c>
      <c r="S141" s="3">
        <f>Table6[[#This Row],[S/S_CON.]]+Table6[[#This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Table6[[#This Row],[(RESV. STORGE) AJD]]/10</f>
        <v/>
      </c>
      <c r="AB141" s="3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32" t="n"/>
      <c r="AN141" s="32">
        <f>Table6[[#This Row],[ (RESV. STORGE) SER]]/10</f>
        <v/>
      </c>
      <c r="AO141" s="68" t="n"/>
      <c r="AP141" s="99">
        <f>Table6[[#This Row],[(A/S) AJD]]-Table6[[#This Row],[SER_IN]]</f>
        <v/>
      </c>
    </row>
    <row r="142" ht="18.75" customHeight="1">
      <c r="A142" s="98" t="n">
        <v>47624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Table6[[#This Row],[ (T/B) SAR]]+Table6[[#This Row],[ (S/S) SAR]]</f>
        <v/>
      </c>
      <c r="L142" s="41" t="n"/>
      <c r="M142" s="42" t="n"/>
      <c r="N142" s="42" t="n"/>
      <c r="O142" s="39" t="n"/>
      <c r="P142" s="3">
        <f>Table6[[#This Row],[ (S/S) SAR]]-Table6[[#This Row],[(S/S) AJD]]</f>
        <v/>
      </c>
      <c r="Q142" s="39" t="n"/>
      <c r="R142" s="3">
        <f>Table6[[#This Row],[ (T/B) SAR]]-Table6[[#This Row],[(T/B) AJD]]</f>
        <v/>
      </c>
      <c r="S142" s="3">
        <f>Table6[[#This Row],[S/S_CON.]]+Table6[[#This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Table6[[#This Row],[(RESV. STORGE) AJD]]/10</f>
        <v/>
      </c>
      <c r="AB142" s="3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32" t="n"/>
      <c r="AN142" s="32">
        <f>Table6[[#This Row],[ (RESV. STORGE) SER]]/10</f>
        <v/>
      </c>
      <c r="AO142" s="68" t="n"/>
      <c r="AP142" s="99">
        <f>Table6[[#This Row],[(A/S) AJD]]-Table6[[#This Row],[SER_IN]]</f>
        <v/>
      </c>
    </row>
    <row r="143" ht="18.75" customHeight="1">
      <c r="A143" s="98" t="n">
        <v>47625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Table6[[#This Row],[ (T/B) SAR]]+Table6[[#This Row],[ (S/S) SAR]]</f>
        <v/>
      </c>
      <c r="L143" s="45" t="n"/>
      <c r="M143" s="46" t="n"/>
      <c r="N143" s="46" t="n"/>
      <c r="O143" s="40" t="n"/>
      <c r="P143" s="3">
        <f>Table6[[#This Row],[ (S/S) SAR]]-Table6[[#This Row],[(S/S) AJD]]</f>
        <v/>
      </c>
      <c r="Q143" s="40" t="n"/>
      <c r="R143" s="3">
        <f>Table6[[#This Row],[ (T/B) SAR]]-Table6[[#This Row],[(T/B) AJD]]</f>
        <v/>
      </c>
      <c r="S143" s="3">
        <f>Table6[[#This Row],[S/S_CON.]]+Table6[[#This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Table6[[#This Row],[(RESV. STORGE) AJD]]/10</f>
        <v/>
      </c>
      <c r="AB143" s="3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32" t="n"/>
      <c r="AN143" s="32">
        <f>Table6[[#This Row],[ (RESV. STORGE) SER]]/10</f>
        <v/>
      </c>
      <c r="AO143" s="68" t="n"/>
      <c r="AP143" s="99">
        <f>Table6[[#This Row],[(A/S) AJD]]-Table6[[#This Row],[SER_IN]]</f>
        <v/>
      </c>
    </row>
    <row r="144" ht="18.75" customHeight="1">
      <c r="A144" s="98" t="n">
        <v>47626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Table6[[#This Row],[ (T/B) SAR]]+Table6[[#This Row],[ (S/S) SAR]]</f>
        <v/>
      </c>
      <c r="L144" s="41" t="n"/>
      <c r="M144" s="42" t="n"/>
      <c r="N144" s="42" t="n"/>
      <c r="O144" s="39" t="n"/>
      <c r="P144" s="3">
        <f>Table6[[#This Row],[ (S/S) SAR]]-Table6[[#This Row],[(S/S) AJD]]</f>
        <v/>
      </c>
      <c r="Q144" s="39" t="n"/>
      <c r="R144" s="3">
        <f>Table6[[#This Row],[ (T/B) SAR]]-Table6[[#This Row],[(T/B) AJD]]</f>
        <v/>
      </c>
      <c r="S144" s="3">
        <f>Table6[[#This Row],[S/S_CON.]]+Table6[[#This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Table6[[#This Row],[(RESV. STORGE) AJD]]/10</f>
        <v/>
      </c>
      <c r="AB144" s="3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32" t="n"/>
      <c r="AN144" s="32">
        <f>Table6[[#This Row],[ (RESV. STORGE) SER]]/10</f>
        <v/>
      </c>
      <c r="AO144" s="68" t="n"/>
      <c r="AP144" s="99">
        <f>Table6[[#This Row],[(A/S) AJD]]-Table6[[#This Row],[SER_IN]]</f>
        <v/>
      </c>
    </row>
    <row r="145" ht="18.75" customHeight="1">
      <c r="A145" s="98" t="n">
        <v>47627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Table6[[#This Row],[ (T/B) SAR]]+Table6[[#This Row],[ (S/S) SAR]]</f>
        <v/>
      </c>
      <c r="L145" s="45" t="n"/>
      <c r="M145" s="46" t="n"/>
      <c r="N145" s="46" t="n"/>
      <c r="O145" s="40" t="n"/>
      <c r="P145" s="3">
        <f>Table6[[#This Row],[ (S/S) SAR]]-Table6[[#This Row],[(S/S) AJD]]</f>
        <v/>
      </c>
      <c r="Q145" s="40" t="n"/>
      <c r="R145" s="3">
        <f>Table6[[#This Row],[ (T/B) SAR]]-Table6[[#This Row],[(T/B) AJD]]</f>
        <v/>
      </c>
      <c r="S145" s="3">
        <f>Table6[[#This Row],[S/S_CON.]]+Table6[[#This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Table6[[#This Row],[(RESV. STORGE) AJD]]/10</f>
        <v/>
      </c>
      <c r="AB145" s="3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32" t="n"/>
      <c r="AN145" s="32">
        <f>Table6[[#This Row],[ (RESV. STORGE) SER]]/10</f>
        <v/>
      </c>
      <c r="AO145" s="68" t="n"/>
      <c r="AP145" s="99">
        <f>Table6[[#This Row],[(A/S) AJD]]-Table6[[#This Row],[SER_IN]]</f>
        <v/>
      </c>
    </row>
    <row r="146" ht="18.75" customHeight="1">
      <c r="A146" s="98" t="n">
        <v>47628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Table6[[#This Row],[ (T/B) SAR]]+Table6[[#This Row],[ (S/S) SAR]]</f>
        <v/>
      </c>
      <c r="L146" s="41" t="n"/>
      <c r="M146" s="42" t="n"/>
      <c r="N146" s="42" t="n"/>
      <c r="O146" s="39" t="n"/>
      <c r="P146" s="3">
        <f>Table6[[#This Row],[ (S/S) SAR]]-Table6[[#This Row],[(S/S) AJD]]</f>
        <v/>
      </c>
      <c r="Q146" s="39" t="n"/>
      <c r="R146" s="3">
        <f>Table6[[#This Row],[ (T/B) SAR]]-Table6[[#This Row],[(T/B) AJD]]</f>
        <v/>
      </c>
      <c r="S146" s="3">
        <f>Table6[[#This Row],[S/S_CON.]]+Table6[[#This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Table6[[#This Row],[(RESV. STORGE) AJD]]/10</f>
        <v/>
      </c>
      <c r="AB146" s="3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32" t="n"/>
      <c r="AN146" s="32">
        <f>Table6[[#This Row],[ (RESV. STORGE) SER]]/10</f>
        <v/>
      </c>
      <c r="AO146" s="68" t="n"/>
      <c r="AP146" s="99">
        <f>Table6[[#This Row],[(A/S) AJD]]-Table6[[#This Row],[SER_IN]]</f>
        <v/>
      </c>
    </row>
    <row r="147" ht="18.75" customHeight="1">
      <c r="A147" s="98" t="n">
        <v>47629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Table6[[#This Row],[ (T/B) SAR]]+Table6[[#This Row],[ (S/S) SAR]]</f>
        <v/>
      </c>
      <c r="L147" s="45" t="n"/>
      <c r="M147" s="46" t="n"/>
      <c r="N147" s="46" t="n"/>
      <c r="O147" s="40" t="n"/>
      <c r="P147" s="3">
        <f>Table6[[#This Row],[ (S/S) SAR]]-Table6[[#This Row],[(S/S) AJD]]</f>
        <v/>
      </c>
      <c r="Q147" s="40" t="n"/>
      <c r="R147" s="3">
        <f>Table6[[#This Row],[ (T/B) SAR]]-Table6[[#This Row],[(T/B) AJD]]</f>
        <v/>
      </c>
      <c r="S147" s="3">
        <f>Table6[[#This Row],[S/S_CON.]]+Table6[[#This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Table6[[#This Row],[(RESV. STORGE) AJD]]/10</f>
        <v/>
      </c>
      <c r="AB147" s="3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32" t="n"/>
      <c r="AN147" s="32">
        <f>Table6[[#This Row],[ (RESV. STORGE) SER]]/10</f>
        <v/>
      </c>
      <c r="AO147" s="68" t="n"/>
      <c r="AP147" s="99">
        <f>Table6[[#This Row],[(A/S) AJD]]-Table6[[#This Row],[SER_IN]]</f>
        <v/>
      </c>
    </row>
    <row r="148" ht="18.75" customHeight="1">
      <c r="A148" s="98" t="n">
        <v>47630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Table6[[#This Row],[ (T/B) SAR]]+Table6[[#This Row],[ (S/S) SAR]]</f>
        <v/>
      </c>
      <c r="L148" s="41" t="n"/>
      <c r="M148" s="42" t="n"/>
      <c r="N148" s="42" t="n"/>
      <c r="O148" s="39" t="n"/>
      <c r="P148" s="3">
        <f>Table6[[#This Row],[ (S/S) SAR]]-Table6[[#This Row],[(S/S) AJD]]</f>
        <v/>
      </c>
      <c r="Q148" s="39" t="n"/>
      <c r="R148" s="3">
        <f>Table6[[#This Row],[ (T/B) SAR]]-Table6[[#This Row],[(T/B) AJD]]</f>
        <v/>
      </c>
      <c r="S148" s="3">
        <f>Table6[[#This Row],[S/S_CON.]]+Table6[[#This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Table6[[#This Row],[(RESV. STORGE) AJD]]/10</f>
        <v/>
      </c>
      <c r="AB148" s="3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32" t="n"/>
      <c r="AN148" s="32">
        <f>Table6[[#This Row],[ (RESV. STORGE) SER]]/10</f>
        <v/>
      </c>
      <c r="AO148" s="68" t="n"/>
      <c r="AP148" s="99">
        <f>Table6[[#This Row],[(A/S) AJD]]-Table6[[#This Row],[SER_IN]]</f>
        <v/>
      </c>
    </row>
    <row r="149" ht="18.75" customHeight="1">
      <c r="A149" s="98" t="n">
        <v>47631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Table6[[#This Row],[ (T/B) SAR]]+Table6[[#This Row],[ (S/S) SAR]]</f>
        <v/>
      </c>
      <c r="L149" s="45" t="n"/>
      <c r="M149" s="46" t="n"/>
      <c r="N149" s="46" t="n"/>
      <c r="O149" s="40" t="n"/>
      <c r="P149" s="3">
        <f>Table6[[#This Row],[ (S/S) SAR]]-Table6[[#This Row],[(S/S) AJD]]</f>
        <v/>
      </c>
      <c r="Q149" s="40" t="n"/>
      <c r="R149" s="3">
        <f>Table6[[#This Row],[ (T/B) SAR]]-Table6[[#This Row],[(T/B) AJD]]</f>
        <v/>
      </c>
      <c r="S149" s="3">
        <f>Table6[[#This Row],[S/S_CON.]]+Table6[[#This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Table6[[#This Row],[(RESV. STORGE) AJD]]/10</f>
        <v/>
      </c>
      <c r="AB149" s="3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32" t="n"/>
      <c r="AN149" s="32">
        <f>Table6[[#This Row],[ (RESV. STORGE) SER]]/10</f>
        <v/>
      </c>
      <c r="AO149" s="68" t="n"/>
      <c r="AP149" s="99">
        <f>Table6[[#This Row],[(A/S) AJD]]-Table6[[#This Row],[SER_IN]]</f>
        <v/>
      </c>
    </row>
    <row r="150" ht="18.75" customHeight="1">
      <c r="A150" s="98" t="n">
        <v>47632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Table6[[#This Row],[ (T/B) SAR]]+Table6[[#This Row],[ (S/S) SAR]]</f>
        <v/>
      </c>
      <c r="L150" s="41" t="n"/>
      <c r="M150" s="42" t="n"/>
      <c r="N150" s="42" t="n"/>
      <c r="O150" s="39" t="n"/>
      <c r="P150" s="3">
        <f>Table6[[#This Row],[ (S/S) SAR]]-Table6[[#This Row],[(S/S) AJD]]</f>
        <v/>
      </c>
      <c r="Q150" s="39" t="n"/>
      <c r="R150" s="3">
        <f>Table6[[#This Row],[ (T/B) SAR]]-Table6[[#This Row],[(T/B) AJD]]</f>
        <v/>
      </c>
      <c r="S150" s="3">
        <f>Table6[[#This Row],[S/S_CON.]]+Table6[[#This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Table6[[#This Row],[(RESV. STORGE) AJD]]/10</f>
        <v/>
      </c>
      <c r="AB150" s="3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32" t="n"/>
      <c r="AN150" s="32">
        <f>Table6[[#This Row],[ (RESV. STORGE) SER]]/10</f>
        <v/>
      </c>
      <c r="AO150" s="68" t="n"/>
      <c r="AP150" s="99">
        <f>Table6[[#This Row],[(A/S) AJD]]-Table6[[#This Row],[SER_IN]]</f>
        <v/>
      </c>
    </row>
    <row r="151" ht="18.75" customHeight="1">
      <c r="A151" s="98" t="n">
        <v>47633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Table6[[#This Row],[ (T/B) SAR]]+Table6[[#This Row],[ (S/S) SAR]]</f>
        <v/>
      </c>
      <c r="L151" s="45" t="n"/>
      <c r="M151" s="46" t="n"/>
      <c r="N151" s="46" t="n"/>
      <c r="O151" s="40" t="n"/>
      <c r="P151" s="3">
        <f>Table6[[#This Row],[ (S/S) SAR]]-Table6[[#This Row],[(S/S) AJD]]</f>
        <v/>
      </c>
      <c r="Q151" s="40" t="n"/>
      <c r="R151" s="3">
        <f>Table6[[#This Row],[ (T/B) SAR]]-Table6[[#This Row],[(T/B) AJD]]</f>
        <v/>
      </c>
      <c r="S151" s="3">
        <f>Table6[[#This Row],[S/S_CON.]]+Table6[[#This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Table6[[#This Row],[(RESV. STORGE) AJD]]/10</f>
        <v/>
      </c>
      <c r="AB151" s="3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32" t="n"/>
      <c r="AN151" s="32">
        <f>Table6[[#This Row],[ (RESV. STORGE) SER]]/10</f>
        <v/>
      </c>
      <c r="AO151" s="68" t="n"/>
      <c r="AP151" s="99">
        <f>Table6[[#This Row],[(A/S) AJD]]-Table6[[#This Row],[SER_IN]]</f>
        <v/>
      </c>
    </row>
    <row r="152" ht="18.75" customHeight="1">
      <c r="A152" s="98" t="n">
        <v>47634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Table6[[#This Row],[ (T/B) SAR]]+Table6[[#This Row],[ (S/S) SAR]]</f>
        <v/>
      </c>
      <c r="L152" s="41" t="n"/>
      <c r="M152" s="42" t="n"/>
      <c r="N152" s="42" t="n"/>
      <c r="O152" s="39" t="n"/>
      <c r="P152" s="3">
        <f>Table6[[#This Row],[ (S/S) SAR]]-Table6[[#This Row],[(S/S) AJD]]</f>
        <v/>
      </c>
      <c r="Q152" s="39" t="n"/>
      <c r="R152" s="3">
        <f>Table6[[#This Row],[ (T/B) SAR]]-Table6[[#This Row],[(T/B) AJD]]</f>
        <v/>
      </c>
      <c r="S152" s="3">
        <f>Table6[[#This Row],[S/S_CON.]]+Table6[[#This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Table6[[#This Row],[(RESV. STORGE) AJD]]/10</f>
        <v/>
      </c>
      <c r="AB152" s="3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32" t="n"/>
      <c r="AN152" s="32">
        <f>Table6[[#This Row],[ (RESV. STORGE) SER]]/10</f>
        <v/>
      </c>
      <c r="AO152" s="68" t="n"/>
      <c r="AP152" s="99">
        <f>Table6[[#This Row],[(A/S) AJD]]-Table6[[#This Row],[SER_IN]]</f>
        <v/>
      </c>
    </row>
    <row r="153" ht="18.75" customHeight="1">
      <c r="A153" s="98" t="n">
        <v>47635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Table6[[#This Row],[(RESV. STORGE) AJD]]/10</f>
        <v/>
      </c>
      <c r="AB153" s="3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32" t="n"/>
      <c r="AN153" s="32">
        <f>Table6[[#This Row],[ (RESV. STORGE) SER]]/10</f>
        <v/>
      </c>
      <c r="AO153" s="68" t="n"/>
      <c r="AP153" s="99">
        <f>Table6[[#This Row],[(A/S) AJD]]-Table6[[#This Row],[SER_IN]]</f>
        <v/>
      </c>
    </row>
    <row r="154" ht="18.75" customHeight="1">
      <c r="A154" s="98" t="n">
        <v>47636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Table6[[#This Row],[(RESV. STORGE) AJD]]/10</f>
        <v/>
      </c>
      <c r="AB154" s="3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32" t="n"/>
      <c r="AN154" s="32">
        <f>Table6[[#This Row],[ (RESV. STORGE) SER]]/10</f>
        <v/>
      </c>
      <c r="AO154" s="68" t="n"/>
      <c r="AP154" s="99">
        <f>Table6[[#This Row],[(A/S) AJD]]-Table6[[#This Row],[SER_IN]]</f>
        <v/>
      </c>
    </row>
    <row r="155" ht="18.75" customHeight="1">
      <c r="A155" s="98" t="n">
        <v>47637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Table6[[#This Row],[(RESV. STORGE) AJD]]/10</f>
        <v/>
      </c>
      <c r="AB155" s="3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32" t="n"/>
      <c r="AN155" s="32">
        <f>Table6[[#This Row],[ (RESV. STORGE) SER]]/10</f>
        <v/>
      </c>
      <c r="AO155" s="68" t="n"/>
      <c r="AP155" s="99">
        <f>Table6[[#This Row],[(A/S) AJD]]-Table6[[#This Row],[SER_IN]]</f>
        <v/>
      </c>
    </row>
    <row r="156" ht="18.75" customHeight="1">
      <c r="A156" s="98" t="n">
        <v>47638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Table6[[#This Row],[(RESV. STORGE) AJD]]/10</f>
        <v/>
      </c>
      <c r="AB156" s="3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32" t="n"/>
      <c r="AN156" s="32">
        <f>Table6[[#This Row],[ (RESV. STORGE) SER]]/10</f>
        <v/>
      </c>
      <c r="AO156" s="68" t="n"/>
      <c r="AP156" s="99">
        <f>Table6[[#This Row],[(A/S) AJD]]-Table6[[#This Row],[SER_IN]]</f>
        <v/>
      </c>
    </row>
    <row r="157" ht="18.75" customHeight="1">
      <c r="A157" s="98" t="n">
        <v>47639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Table6[[#This Row],[(RESV. STORGE) AJD]]/10</f>
        <v/>
      </c>
      <c r="AB157" s="3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32" t="n"/>
      <c r="AN157" s="32">
        <f>Table6[[#This Row],[ (RESV. STORGE) SER]]/10</f>
        <v/>
      </c>
      <c r="AO157" s="68" t="n"/>
      <c r="AP157" s="99">
        <f>Table6[[#This Row],[(A/S) AJD]]-Table6[[#This Row],[SER_IN]]</f>
        <v/>
      </c>
    </row>
    <row r="158" ht="18.75" customHeight="1">
      <c r="A158" s="98" t="n">
        <v>47640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Table6[[#This Row],[(RESV. STORGE) AJD]]/10</f>
        <v/>
      </c>
      <c r="AB158" s="3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32" t="n"/>
      <c r="AN158" s="32">
        <f>Table6[[#This Row],[ (RESV. STORGE) SER]]/10</f>
        <v/>
      </c>
      <c r="AO158" s="68" t="n"/>
      <c r="AP158" s="99">
        <f>Table6[[#This Row],[(A/S) AJD]]-Table6[[#This Row],[SER_IN]]</f>
        <v/>
      </c>
    </row>
    <row r="159" ht="18.75" customHeight="1">
      <c r="A159" s="98" t="n">
        <v>47641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Table6[[#This Row],[(RESV. STORGE) AJD]]/10</f>
        <v/>
      </c>
      <c r="AB159" s="3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32" t="n"/>
      <c r="AN159" s="32">
        <f>Table6[[#This Row],[ (RESV. STORGE) SER]]/10</f>
        <v/>
      </c>
      <c r="AO159" s="68" t="n"/>
      <c r="AP159" s="99">
        <f>Table6[[#This Row],[(A/S) AJD]]-Table6[[#This Row],[SER_IN]]</f>
        <v/>
      </c>
    </row>
    <row r="160" ht="18.75" customHeight="1">
      <c r="A160" s="98" t="n">
        <v>47642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Table6[[#This Row],[(RESV. STORGE) AJD]]/10</f>
        <v/>
      </c>
      <c r="AB160" s="3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32" t="n"/>
      <c r="AN160" s="32">
        <f>Table6[[#This Row],[ (RESV. STORGE) SER]]/10</f>
        <v/>
      </c>
      <c r="AO160" s="68" t="n"/>
      <c r="AP160" s="99">
        <f>Table6[[#This Row],[(A/S) AJD]]-Table6[[#This Row],[SER_IN]]</f>
        <v/>
      </c>
    </row>
    <row r="161" ht="18.75" customHeight="1">
      <c r="A161" s="98" t="n">
        <v>47643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Table6[[#This Row],[(RESV. STORGE) AJD]]/10</f>
        <v/>
      </c>
      <c r="AB161" s="3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32" t="n"/>
      <c r="AN161" s="32">
        <f>Table6[[#This Row],[ (RESV. STORGE) SER]]/10</f>
        <v/>
      </c>
      <c r="AO161" s="68" t="n"/>
      <c r="AP161" s="99">
        <f>Table6[[#This Row],[(A/S) AJD]]-Table6[[#This Row],[SER_IN]]</f>
        <v/>
      </c>
    </row>
    <row r="162" ht="18.75" customHeight="1">
      <c r="A162" s="98" t="n">
        <v>47644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Table6[[#This Row],[(RESV. STORGE) AJD]]/10</f>
        <v/>
      </c>
      <c r="AB162" s="3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32" t="n"/>
      <c r="AN162" s="32">
        <f>Table6[[#This Row],[ (RESV. STORGE) SER]]/10</f>
        <v/>
      </c>
      <c r="AO162" s="68" t="n"/>
      <c r="AP162" s="99">
        <f>Table6[[#This Row],[(A/S) AJD]]-Table6[[#This Row],[SER_IN]]</f>
        <v/>
      </c>
    </row>
    <row r="163" ht="18.75" customHeight="1">
      <c r="A163" s="98" t="n">
        <v>47645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Table6[[#This Row],[(RESV. STORGE) AJD]]/10</f>
        <v/>
      </c>
      <c r="AB163" s="3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32" t="n"/>
      <c r="AN163" s="32">
        <f>Table6[[#This Row],[ (RESV. STORGE) SER]]/10</f>
        <v/>
      </c>
      <c r="AO163" s="68" t="n"/>
      <c r="AP163" s="99">
        <f>Table6[[#This Row],[(A/S) AJD]]-Table6[[#This Row],[SER_IN]]</f>
        <v/>
      </c>
    </row>
    <row r="164" ht="18.75" customHeight="1">
      <c r="A164" s="98" t="n">
        <v>47646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Table6[[#This Row],[(RESV. STORGE) AJD]]/10</f>
        <v/>
      </c>
      <c r="AB164" s="3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32" t="n"/>
      <c r="AN164" s="32">
        <f>Table6[[#This Row],[ (RESV. STORGE) SER]]/10</f>
        <v/>
      </c>
      <c r="AO164" s="68" t="n"/>
      <c r="AP164" s="99">
        <f>Table6[[#This Row],[(A/S) AJD]]-Table6[[#This Row],[SER_IN]]</f>
        <v/>
      </c>
    </row>
    <row r="165" ht="18.75" customHeight="1">
      <c r="A165" s="98" t="n">
        <v>47647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Table6[[#This Row],[(RESV. STORGE) AJD]]/10</f>
        <v/>
      </c>
      <c r="AB165" s="3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32" t="n"/>
      <c r="AN165" s="32">
        <f>Table6[[#This Row],[ (RESV. STORGE) SER]]/10</f>
        <v/>
      </c>
      <c r="AO165" s="68" t="n"/>
      <c r="AP165" s="99">
        <f>Table6[[#This Row],[(A/S) AJD]]-Table6[[#This Row],[SER_IN]]</f>
        <v/>
      </c>
    </row>
    <row r="166" ht="18.75" customHeight="1">
      <c r="A166" s="98" t="n">
        <v>47648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Table6[[#This Row],[(RESV. STORGE) AJD]]/10</f>
        <v/>
      </c>
      <c r="AB166" s="3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32" t="n"/>
      <c r="AN166" s="32">
        <f>Table6[[#This Row],[ (RESV. STORGE) SER]]/10</f>
        <v/>
      </c>
      <c r="AO166" s="68" t="n"/>
      <c r="AP166" s="99">
        <f>Table6[[#This Row],[(A/S) AJD]]-Table6[[#This Row],[SER_IN]]</f>
        <v/>
      </c>
    </row>
    <row r="167" ht="18.75" customHeight="1">
      <c r="A167" s="98" t="n">
        <v>47649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Table6[[#This Row],[(RESV. STORGE) AJD]]/10</f>
        <v/>
      </c>
      <c r="AB167" s="3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32" t="n"/>
      <c r="AN167" s="32">
        <f>Table6[[#This Row],[ (RESV. STORGE) SER]]/10</f>
        <v/>
      </c>
      <c r="AO167" s="68" t="n"/>
      <c r="AP167" s="99">
        <f>Table6[[#This Row],[(A/S) AJD]]-Table6[[#This Row],[SER_IN]]</f>
        <v/>
      </c>
    </row>
    <row r="168" ht="18.75" customHeight="1">
      <c r="A168" s="98" t="n">
        <v>47650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Table6[[#This Row],[(RESV. STORGE) AJD]]/10</f>
        <v/>
      </c>
      <c r="AB168" s="3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32" t="n"/>
      <c r="AN168" s="32">
        <f>Table6[[#This Row],[ (RESV. STORGE) SER]]/10</f>
        <v/>
      </c>
      <c r="AO168" s="68" t="n"/>
      <c r="AP168" s="99">
        <f>Table6[[#This Row],[(A/S) AJD]]-Table6[[#This Row],[SER_IN]]</f>
        <v/>
      </c>
    </row>
    <row r="169" ht="18.75" customHeight="1">
      <c r="A169" s="98" t="n">
        <v>47651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Table6[[#This Row],[(RESV. STORGE) AJD]]/10</f>
        <v/>
      </c>
      <c r="AB169" s="3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32" t="n"/>
      <c r="AN169" s="32">
        <f>Table6[[#This Row],[ (RESV. STORGE) SER]]/10</f>
        <v/>
      </c>
      <c r="AO169" s="68" t="n"/>
      <c r="AP169" s="99">
        <f>Table6[[#This Row],[(A/S) AJD]]-Table6[[#This Row],[SER_IN]]</f>
        <v/>
      </c>
    </row>
    <row r="170" ht="18.75" customHeight="1">
      <c r="A170" s="98" t="n">
        <v>47652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Table6[[#This Row],[ (T/B) SAR]]+Table6[[#This Row],[ (S/S) SAR]]</f>
        <v/>
      </c>
      <c r="L170" s="45" t="n"/>
      <c r="M170" s="46" t="n"/>
      <c r="N170" s="46" t="n"/>
      <c r="O170" s="40" t="n"/>
      <c r="P170" s="3">
        <f>Table6[[#This Row],[ (S/S) SAR]]-Table6[[#This Row],[(S/S) AJD]]</f>
        <v/>
      </c>
      <c r="Q170" s="40" t="n"/>
      <c r="R170" s="3">
        <f>Table6[[#This Row],[ (T/B) SAR]]-Table6[[#This Row],[(T/B) AJD]]</f>
        <v/>
      </c>
      <c r="S170" s="3">
        <f>Table6[[#This Row],[S/S_CON.]]+Table6[[#This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Table6[[#This Row],[(RESV. STORGE) AJD]]/10</f>
        <v/>
      </c>
      <c r="AB170" s="3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32" t="n"/>
      <c r="AN170" s="32">
        <f>Table6[[#This Row],[ (RESV. STORGE) SER]]/10</f>
        <v/>
      </c>
      <c r="AO170" s="68" t="n"/>
      <c r="AP170" s="99">
        <f>Table6[[#This Row],[(A/S) AJD]]-Table6[[#This Row],[SER_IN]]</f>
        <v/>
      </c>
    </row>
    <row r="171" ht="18.75" customHeight="1">
      <c r="A171" s="98" t="n">
        <v>47653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Table6[[#This Row],[ (T/B) SAR]]+Table6[[#This Row],[ (S/S) SAR]]</f>
        <v/>
      </c>
      <c r="L171" s="41" t="n"/>
      <c r="M171" s="42" t="n"/>
      <c r="N171" s="42" t="n"/>
      <c r="O171" s="39" t="n"/>
      <c r="P171" s="3">
        <f>Table6[[#This Row],[ (S/S) SAR]]-Table6[[#This Row],[(S/S) AJD]]</f>
        <v/>
      </c>
      <c r="Q171" s="39" t="n"/>
      <c r="R171" s="3">
        <f>Table6[[#This Row],[ (T/B) SAR]]-Table6[[#This Row],[(T/B) AJD]]</f>
        <v/>
      </c>
      <c r="S171" s="3">
        <f>Table6[[#This Row],[S/S_CON.]]+Table6[[#This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Table6[[#This Row],[(RESV. STORGE) AJD]]/10</f>
        <v/>
      </c>
      <c r="AB171" s="3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32" t="n"/>
      <c r="AN171" s="32">
        <f>Table6[[#This Row],[ (RESV. STORGE) SER]]/10</f>
        <v/>
      </c>
      <c r="AO171" s="68" t="n"/>
      <c r="AP171" s="99">
        <f>Table6[[#This Row],[(A/S) AJD]]-Table6[[#This Row],[SER_IN]]</f>
        <v/>
      </c>
    </row>
    <row r="172" ht="18.75" customHeight="1">
      <c r="A172" s="98" t="n">
        <v>47654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Table6[[#This Row],[ (T/B) SAR]]+Table6[[#This Row],[ (S/S) SAR]]</f>
        <v/>
      </c>
      <c r="L172" s="44" t="n"/>
      <c r="M172" s="46" t="n"/>
      <c r="N172" s="46" t="n"/>
      <c r="O172" s="40" t="n"/>
      <c r="P172" s="3">
        <f>Table6[[#This Row],[ (S/S) SAR]]-Table6[[#This Row],[(S/S) AJD]]</f>
        <v/>
      </c>
      <c r="Q172" s="40" t="n"/>
      <c r="R172" s="3">
        <f>Table6[[#This Row],[ (T/B) SAR]]-Table6[[#This Row],[(T/B) AJD]]</f>
        <v/>
      </c>
      <c r="S172" s="3">
        <f>Table6[[#This Row],[S/S_CON.]]+Table6[[#This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Table6[[#This Row],[(RESV. STORGE) AJD]]/10</f>
        <v/>
      </c>
      <c r="AB172" s="3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32" t="n"/>
      <c r="AN172" s="32">
        <f>Table6[[#This Row],[ (RESV. STORGE) SER]]/10</f>
        <v/>
      </c>
      <c r="AO172" s="68" t="n"/>
      <c r="AP172" s="99">
        <f>Table6[[#This Row],[(A/S) AJD]]-Table6[[#This Row],[SER_IN]]</f>
        <v/>
      </c>
    </row>
    <row r="173" ht="18.75" customHeight="1">
      <c r="A173" s="98" t="n">
        <v>47655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Table6[[#This Row],[ (T/B) SAR]]+Table6[[#This Row],[ (S/S) SAR]]</f>
        <v/>
      </c>
      <c r="L173" s="41" t="n"/>
      <c r="M173" s="42" t="n"/>
      <c r="N173" s="42" t="n"/>
      <c r="O173" s="39" t="n"/>
      <c r="P173" s="3">
        <f>Table6[[#This Row],[ (S/S) SAR]]-Table6[[#This Row],[(S/S) AJD]]</f>
        <v/>
      </c>
      <c r="Q173" s="39" t="n"/>
      <c r="R173" s="3">
        <f>Table6[[#This Row],[ (T/B) SAR]]-Table6[[#This Row],[(T/B) AJD]]</f>
        <v/>
      </c>
      <c r="S173" s="3">
        <f>Table6[[#This Row],[S/S_CON.]]+Table6[[#This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Table6[[#This Row],[(RESV. STORGE) AJD]]/10</f>
        <v/>
      </c>
      <c r="AB173" s="3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32" t="n"/>
      <c r="AN173" s="32">
        <f>Table6[[#This Row],[ (RESV. STORGE) SER]]/10</f>
        <v/>
      </c>
      <c r="AO173" s="68" t="n"/>
      <c r="AP173" s="99">
        <f>Table6[[#This Row],[(A/S) AJD]]-Table6[[#This Row],[SER_IN]]</f>
        <v/>
      </c>
    </row>
    <row r="174" ht="18.75" customHeight="1">
      <c r="A174" s="98" t="n">
        <v>47656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Table6[[#This Row],[ (T/B) SAR]]+Table6[[#This Row],[ (S/S) SAR]]</f>
        <v/>
      </c>
      <c r="L174" s="45" t="n"/>
      <c r="M174" s="46" t="n"/>
      <c r="N174" s="46" t="n"/>
      <c r="O174" s="40" t="n"/>
      <c r="P174" s="3">
        <f>Table6[[#This Row],[ (S/S) SAR]]-Table6[[#This Row],[(S/S) AJD]]</f>
        <v/>
      </c>
      <c r="Q174" s="40" t="n"/>
      <c r="R174" s="3">
        <f>Table6[[#This Row],[ (T/B) SAR]]-Table6[[#This Row],[(T/B) AJD]]</f>
        <v/>
      </c>
      <c r="S174" s="3">
        <f>Table6[[#This Row],[S/S_CON.]]+Table6[[#This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Table6[[#This Row],[(RESV. STORGE) AJD]]/10</f>
        <v/>
      </c>
      <c r="AB174" s="3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32" t="n"/>
      <c r="AN174" s="32">
        <f>Table6[[#This Row],[ (RESV. STORGE) SER]]/10</f>
        <v/>
      </c>
      <c r="AO174" s="68" t="n"/>
      <c r="AP174" s="99">
        <f>Table6[[#This Row],[(A/S) AJD]]-Table6[[#This Row],[SER_IN]]</f>
        <v/>
      </c>
    </row>
    <row r="175" ht="18.75" customHeight="1">
      <c r="A175" s="98" t="n">
        <v>47657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Table6[[#This Row],[ (T/B) SAR]]+Table6[[#This Row],[ (S/S) SAR]]</f>
        <v/>
      </c>
      <c r="L175" s="41" t="n"/>
      <c r="M175" s="42" t="n"/>
      <c r="N175" s="42" t="n"/>
      <c r="O175" s="39" t="n"/>
      <c r="P175" s="3">
        <f>Table6[[#This Row],[ (S/S) SAR]]-Table6[[#This Row],[(S/S) AJD]]</f>
        <v/>
      </c>
      <c r="Q175" s="39" t="n"/>
      <c r="R175" s="3">
        <f>Table6[[#This Row],[ (T/B) SAR]]-Table6[[#This Row],[(T/B) AJD]]</f>
        <v/>
      </c>
      <c r="S175" s="3">
        <f>Table6[[#This Row],[S/S_CON.]]+Table6[[#This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Table6[[#This Row],[(RESV. STORGE) AJD]]/10</f>
        <v/>
      </c>
      <c r="AB175" s="3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32" t="n"/>
      <c r="AN175" s="32">
        <f>Table6[[#This Row],[ (RESV. STORGE) SER]]/10</f>
        <v/>
      </c>
      <c r="AO175" s="68" t="n"/>
      <c r="AP175" s="99">
        <f>Table6[[#This Row],[(A/S) AJD]]-Table6[[#This Row],[SER_IN]]</f>
        <v/>
      </c>
    </row>
    <row r="176" ht="18.75" customHeight="1">
      <c r="A176" s="98" t="n">
        <v>47658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Table6[[#This Row],[ (T/B) SAR]]+Table6[[#This Row],[ (S/S) SAR]]</f>
        <v/>
      </c>
      <c r="L176" s="45" t="n"/>
      <c r="M176" s="46" t="n"/>
      <c r="N176" s="46" t="n"/>
      <c r="O176" s="40" t="n"/>
      <c r="P176" s="3">
        <f>Table6[[#This Row],[ (S/S) SAR]]-Table6[[#This Row],[(S/S) AJD]]</f>
        <v/>
      </c>
      <c r="Q176" s="40" t="n"/>
      <c r="R176" s="3">
        <f>Table6[[#This Row],[ (T/B) SAR]]-Table6[[#This Row],[(T/B) AJD]]</f>
        <v/>
      </c>
      <c r="S176" s="3">
        <f>Table6[[#This Row],[S/S_CON.]]+Table6[[#This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Table6[[#This Row],[(RESV. STORGE) AJD]]/10</f>
        <v/>
      </c>
      <c r="AB176" s="3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32" t="n"/>
      <c r="AN176" s="32">
        <f>Table6[[#This Row],[ (RESV. STORGE) SER]]/10</f>
        <v/>
      </c>
      <c r="AO176" s="68" t="n"/>
      <c r="AP176" s="99">
        <f>Table6[[#This Row],[(A/S) AJD]]-Table6[[#This Row],[SER_IN]]</f>
        <v/>
      </c>
    </row>
    <row r="177" ht="18.75" customHeight="1">
      <c r="A177" s="98" t="n">
        <v>47659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Table6[[#This Row],[ (T/B) SAR]]+Table6[[#This Row],[ (S/S) SAR]]</f>
        <v/>
      </c>
      <c r="L177" s="41" t="n"/>
      <c r="M177" s="42" t="n"/>
      <c r="N177" s="42" t="n"/>
      <c r="O177" s="39" t="n"/>
      <c r="P177" s="3">
        <f>Table6[[#This Row],[ (S/S) SAR]]-Table6[[#This Row],[(S/S) AJD]]</f>
        <v/>
      </c>
      <c r="Q177" s="39" t="n"/>
      <c r="R177" s="3">
        <f>Table6[[#This Row],[ (T/B) SAR]]-Table6[[#This Row],[(T/B) AJD]]</f>
        <v/>
      </c>
      <c r="S177" s="3">
        <f>Table6[[#This Row],[S/S_CON.]]+Table6[[#This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Table6[[#This Row],[(RESV. STORGE) AJD]]/10</f>
        <v/>
      </c>
      <c r="AB177" s="3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32" t="n"/>
      <c r="AN177" s="32">
        <f>Table6[[#This Row],[ (RESV. STORGE) SER]]/10</f>
        <v/>
      </c>
      <c r="AO177" s="68" t="n"/>
      <c r="AP177" s="99">
        <f>Table6[[#This Row],[(A/S) AJD]]-Table6[[#This Row],[SER_IN]]</f>
        <v/>
      </c>
    </row>
    <row r="178" ht="18.75" customHeight="1">
      <c r="A178" s="98" t="n">
        <v>47660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Table6[[#This Row],[ (T/B) SAR]]+Table6[[#This Row],[ (S/S) SAR]]</f>
        <v/>
      </c>
      <c r="L178" s="45" t="n"/>
      <c r="M178" s="46" t="n"/>
      <c r="N178" s="46" t="n"/>
      <c r="O178" s="40" t="n"/>
      <c r="P178" s="3">
        <f>Table6[[#This Row],[ (S/S) SAR]]-Table6[[#This Row],[(S/S) AJD]]</f>
        <v/>
      </c>
      <c r="Q178" s="40" t="n"/>
      <c r="R178" s="3">
        <f>Table6[[#This Row],[ (T/B) SAR]]-Table6[[#This Row],[(T/B) AJD]]</f>
        <v/>
      </c>
      <c r="S178" s="3">
        <f>Table6[[#This Row],[S/S_CON.]]+Table6[[#This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Table6[[#This Row],[(RESV. STORGE) AJD]]/10</f>
        <v/>
      </c>
      <c r="AB178" s="3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32" t="n"/>
      <c r="AN178" s="32">
        <f>Table6[[#This Row],[ (RESV. STORGE) SER]]/10</f>
        <v/>
      </c>
      <c r="AO178" s="68" t="n"/>
      <c r="AP178" s="99">
        <f>Table6[[#This Row],[(A/S) AJD]]-Table6[[#This Row],[SER_IN]]</f>
        <v/>
      </c>
    </row>
    <row r="179" ht="18.75" customHeight="1">
      <c r="A179" s="98" t="n">
        <v>47661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Table6[[#This Row],[ (T/B) SAR]]+Table6[[#This Row],[ (S/S) SAR]]</f>
        <v/>
      </c>
      <c r="L179" s="41" t="n"/>
      <c r="M179" s="42" t="n"/>
      <c r="N179" s="42" t="n"/>
      <c r="O179" s="39" t="n"/>
      <c r="P179" s="3">
        <f>Table6[[#This Row],[ (S/S) SAR]]-Table6[[#This Row],[(S/S) AJD]]</f>
        <v/>
      </c>
      <c r="Q179" s="39" t="n"/>
      <c r="R179" s="3">
        <f>Table6[[#This Row],[ (T/B) SAR]]-Table6[[#This Row],[(T/B) AJD]]</f>
        <v/>
      </c>
      <c r="S179" s="3">
        <f>Table6[[#This Row],[S/S_CON.]]+Table6[[#This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Table6[[#This Row],[(RESV. STORGE) AJD]]/10</f>
        <v/>
      </c>
      <c r="AB179" s="3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32" t="n"/>
      <c r="AN179" s="32">
        <f>Table6[[#This Row],[ (RESV. STORGE) SER]]/10</f>
        <v/>
      </c>
      <c r="AO179" s="68" t="n"/>
      <c r="AP179" s="99">
        <f>Table6[[#This Row],[(A/S) AJD]]-Table6[[#This Row],[SER_IN]]</f>
        <v/>
      </c>
    </row>
    <row r="180" ht="18.75" customHeight="1">
      <c r="A180" s="98" t="n">
        <v>47662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Table6[[#This Row],[ (T/B) SAR]]+Table6[[#This Row],[ (S/S) SAR]]</f>
        <v/>
      </c>
      <c r="L180" s="45" t="n"/>
      <c r="M180" s="46" t="n"/>
      <c r="N180" s="46" t="n"/>
      <c r="O180" s="40" t="n"/>
      <c r="P180" s="3">
        <f>Table6[[#This Row],[ (S/S) SAR]]-Table6[[#This Row],[(S/S) AJD]]</f>
        <v/>
      </c>
      <c r="Q180" s="40" t="n"/>
      <c r="R180" s="3">
        <f>Table6[[#This Row],[ (T/B) SAR]]-Table6[[#This Row],[(T/B) AJD]]</f>
        <v/>
      </c>
      <c r="S180" s="3">
        <f>Table6[[#This Row],[S/S_CON.]]+Table6[[#This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Table6[[#This Row],[(RESV. STORGE) AJD]]/10</f>
        <v/>
      </c>
      <c r="AB180" s="3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32" t="n"/>
      <c r="AN180" s="32">
        <f>Table6[[#This Row],[ (RESV. STORGE) SER]]/10</f>
        <v/>
      </c>
      <c r="AO180" s="68" t="n"/>
      <c r="AP180" s="99">
        <f>Table6[[#This Row],[(A/S) AJD]]-Table6[[#This Row],[SER_IN]]</f>
        <v/>
      </c>
    </row>
    <row r="181" ht="18.75" customHeight="1">
      <c r="A181" s="98" t="n">
        <v>47663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Table6[[#This Row],[ (T/B) SAR]]+Table6[[#This Row],[ (S/S) SAR]]</f>
        <v/>
      </c>
      <c r="L181" s="41" t="n"/>
      <c r="M181" s="42" t="n"/>
      <c r="N181" s="42" t="n"/>
      <c r="O181" s="39" t="n"/>
      <c r="P181" s="3">
        <f>Table6[[#This Row],[ (S/S) SAR]]-Table6[[#This Row],[(S/S) AJD]]</f>
        <v/>
      </c>
      <c r="Q181" s="39" t="n"/>
      <c r="R181" s="3">
        <f>Table6[[#This Row],[ (T/B) SAR]]-Table6[[#This Row],[(T/B) AJD]]</f>
        <v/>
      </c>
      <c r="S181" s="3">
        <f>Table6[[#This Row],[S/S_CON.]]+Table6[[#This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Table6[[#This Row],[(RESV. STORGE) AJD]]/10</f>
        <v/>
      </c>
      <c r="AB181" s="3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32" t="n"/>
      <c r="AN181" s="32">
        <f>Table6[[#This Row],[ (RESV. STORGE) SER]]/10</f>
        <v/>
      </c>
      <c r="AO181" s="68" t="n"/>
      <c r="AP181" s="99">
        <f>Table6[[#This Row],[(A/S) AJD]]-Table6[[#This Row],[SER_IN]]</f>
        <v/>
      </c>
    </row>
    <row r="182" ht="18.75" customHeight="1">
      <c r="A182" s="98" t="n">
        <v>47664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Table6[[#This Row],[ (T/B) SAR]]+Table6[[#This Row],[ (S/S) SAR]]</f>
        <v/>
      </c>
      <c r="L182" s="45" t="n"/>
      <c r="M182" s="46" t="n"/>
      <c r="N182" s="46" t="n"/>
      <c r="O182" s="40" t="n"/>
      <c r="P182" s="3">
        <f>Table6[[#This Row],[ (S/S) SAR]]-Table6[[#This Row],[(S/S) AJD]]</f>
        <v/>
      </c>
      <c r="Q182" s="40" t="n"/>
      <c r="R182" s="3">
        <f>Table6[[#This Row],[ (T/B) SAR]]-Table6[[#This Row],[(T/B) AJD]]</f>
        <v/>
      </c>
      <c r="S182" s="3">
        <f>Table6[[#This Row],[S/S_CON.]]+Table6[[#This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Table6[[#This Row],[(RESV. STORGE) AJD]]/10</f>
        <v/>
      </c>
      <c r="AB182" s="3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32" t="n"/>
      <c r="AN182" s="32">
        <f>Table6[[#This Row],[ (RESV. STORGE) SER]]/10</f>
        <v/>
      </c>
      <c r="AO182" s="68" t="n"/>
      <c r="AP182" s="99">
        <f>Table6[[#This Row],[(A/S) AJD]]-Table6[[#This Row],[SER_IN]]</f>
        <v/>
      </c>
    </row>
    <row r="183" ht="18.75" customHeight="1">
      <c r="A183" s="98" t="n">
        <v>47665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Table6[[#This Row],[(RESV. STORGE) AJD]]/10</f>
        <v/>
      </c>
      <c r="AB183" s="3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32" t="n"/>
      <c r="AN183" s="32">
        <f>Table6[[#This Row],[ (RESV. STORGE) SER]]/10</f>
        <v/>
      </c>
      <c r="AO183" s="68" t="n"/>
      <c r="AP183" s="99">
        <f>Table6[[#This Row],[(A/S) AJD]]-Table6[[#This Row],[SER_IN]]</f>
        <v/>
      </c>
    </row>
    <row r="184" ht="18.75" customHeight="1">
      <c r="A184" s="98" t="n">
        <v>47666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Table6[[#This Row],[(RESV. STORGE) AJD]]/10</f>
        <v/>
      </c>
      <c r="AB184" s="3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32" t="n"/>
      <c r="AN184" s="32">
        <f>Table6[[#This Row],[ (RESV. STORGE) SER]]/10</f>
        <v/>
      </c>
      <c r="AO184" s="68" t="n"/>
      <c r="AP184" s="99">
        <f>Table6[[#This Row],[(A/S) AJD]]-Table6[[#This Row],[SER_IN]]</f>
        <v/>
      </c>
    </row>
    <row r="185" ht="18.75" customHeight="1">
      <c r="A185" s="98" t="n">
        <v>47667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Table6[[#This Row],[(RESV. STORGE) AJD]]/10</f>
        <v/>
      </c>
      <c r="AB185" s="3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32" t="n"/>
      <c r="AN185" s="32">
        <f>Table6[[#This Row],[ (RESV. STORGE) SER]]/10</f>
        <v/>
      </c>
      <c r="AO185" s="68" t="n"/>
      <c r="AP185" s="99">
        <f>Table6[[#This Row],[(A/S) AJD]]-Table6[[#This Row],[SER_IN]]</f>
        <v/>
      </c>
    </row>
    <row r="186" ht="18.75" customHeight="1">
      <c r="A186" s="98" t="n">
        <v>47668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Table6[[#This Row],[(RESV. STORGE) AJD]]/10</f>
        <v/>
      </c>
      <c r="AB186" s="3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32" t="n"/>
      <c r="AN186" s="32">
        <f>Table6[[#This Row],[ (RESV. STORGE) SER]]/10</f>
        <v/>
      </c>
      <c r="AO186" s="68" t="n"/>
      <c r="AP186" s="99">
        <f>Table6[[#This Row],[(A/S) AJD]]-Table6[[#This Row],[SER_IN]]</f>
        <v/>
      </c>
    </row>
    <row r="187" ht="18.75" customHeight="1">
      <c r="A187" s="98" t="n">
        <v>47669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Table6[[#This Row],[(RESV. STORGE) AJD]]/10</f>
        <v/>
      </c>
      <c r="AB187" s="3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32" t="n"/>
      <c r="AN187" s="32">
        <f>Table6[[#This Row],[ (RESV. STORGE) SER]]/10</f>
        <v/>
      </c>
      <c r="AO187" s="68" t="n"/>
      <c r="AP187" s="99">
        <f>Table6[[#This Row],[(A/S) AJD]]-Table6[[#This Row],[SER_IN]]</f>
        <v/>
      </c>
    </row>
    <row r="188" ht="18.75" customHeight="1">
      <c r="A188" s="98" t="n">
        <v>47670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Table6[[#This Row],[(RESV. STORGE) AJD]]/10</f>
        <v/>
      </c>
      <c r="AB188" s="3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32" t="n"/>
      <c r="AN188" s="32">
        <f>Table6[[#This Row],[ (RESV. STORGE) SER]]/10</f>
        <v/>
      </c>
      <c r="AO188" s="68" t="n"/>
      <c r="AP188" s="99">
        <f>Table6[[#This Row],[(A/S) AJD]]-Table6[[#This Row],[SER_IN]]</f>
        <v/>
      </c>
    </row>
    <row r="189" ht="18.75" customHeight="1">
      <c r="A189" s="98" t="n">
        <v>47671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Table6[[#This Row],[(RESV. STORGE) AJD]]/10</f>
        <v/>
      </c>
      <c r="AB189" s="3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32" t="n"/>
      <c r="AN189" s="32">
        <f>Table6[[#This Row],[ (RESV. STORGE) SER]]/10</f>
        <v/>
      </c>
      <c r="AO189" s="68" t="n"/>
      <c r="AP189" s="99">
        <f>Table6[[#This Row],[(A/S) AJD]]-Table6[[#This Row],[SER_IN]]</f>
        <v/>
      </c>
    </row>
    <row r="190" ht="18.75" customHeight="1">
      <c r="A190" s="98" t="n">
        <v>47672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Table6[[#This Row],[(RESV. STORGE) AJD]]/10</f>
        <v/>
      </c>
      <c r="AB190" s="3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32" t="n"/>
      <c r="AN190" s="32">
        <f>Table6[[#This Row],[ (RESV. STORGE) SER]]/10</f>
        <v/>
      </c>
      <c r="AO190" s="68" t="n"/>
      <c r="AP190" s="99">
        <f>Table6[[#This Row],[(A/S) AJD]]-Table6[[#This Row],[SER_IN]]</f>
        <v/>
      </c>
    </row>
    <row r="191" ht="18.75" customHeight="1">
      <c r="A191" s="98" t="n">
        <v>47673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Table6[[#This Row],[(RESV. STORGE) AJD]]/10</f>
        <v/>
      </c>
      <c r="AB191" s="3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32" t="n"/>
      <c r="AN191" s="32">
        <f>Table6[[#This Row],[ (RESV. STORGE) SER]]/10</f>
        <v/>
      </c>
      <c r="AO191" s="68" t="n"/>
      <c r="AP191" s="99">
        <f>Table6[[#This Row],[(A/S) AJD]]-Table6[[#This Row],[SER_IN]]</f>
        <v/>
      </c>
    </row>
    <row r="192" ht="18.75" customHeight="1">
      <c r="A192" s="98" t="n">
        <v>47674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Table6[[#This Row],[(RESV. STORGE) AJD]]/10</f>
        <v/>
      </c>
      <c r="AB192" s="3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32" t="n"/>
      <c r="AN192" s="32">
        <f>Table6[[#This Row],[ (RESV. STORGE) SER]]/10</f>
        <v/>
      </c>
      <c r="AO192" s="68" t="n"/>
      <c r="AP192" s="99">
        <f>Table6[[#This Row],[(A/S) AJD]]-Table6[[#This Row],[SER_IN]]</f>
        <v/>
      </c>
    </row>
    <row r="193" ht="18.75" customHeight="1">
      <c r="A193" s="98" t="n">
        <v>47675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Table6[[#This Row],[(RESV. STORGE) AJD]]/10</f>
        <v/>
      </c>
      <c r="AB193" s="3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32" t="n"/>
      <c r="AN193" s="32">
        <f>Table6[[#This Row],[ (RESV. STORGE) SER]]/10</f>
        <v/>
      </c>
      <c r="AO193" s="68" t="n"/>
      <c r="AP193" s="99">
        <f>Table6[[#This Row],[(A/S) AJD]]-Table6[[#This Row],[SER_IN]]</f>
        <v/>
      </c>
    </row>
    <row r="194" ht="18.75" customHeight="1">
      <c r="A194" s="98" t="n">
        <v>47676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Table6[[#This Row],[(RESV. STORGE) AJD]]/10</f>
        <v/>
      </c>
      <c r="AB194" s="3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32" t="n"/>
      <c r="AN194" s="32">
        <f>Table6[[#This Row],[ (RESV. STORGE) SER]]/10</f>
        <v/>
      </c>
      <c r="AO194" s="68" t="n"/>
      <c r="AP194" s="99">
        <f>Table6[[#This Row],[(A/S) AJD]]-Table6[[#This Row],[SER_IN]]</f>
        <v/>
      </c>
    </row>
    <row r="195" ht="18.75" customHeight="1">
      <c r="A195" s="98" t="n">
        <v>47677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Table6[[#This Row],[(RESV. STORGE) AJD]]/10</f>
        <v/>
      </c>
      <c r="AB195" s="3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32" t="n"/>
      <c r="AN195" s="32">
        <f>Table6[[#This Row],[ (RESV. STORGE) SER]]/10</f>
        <v/>
      </c>
      <c r="AO195" s="68" t="n"/>
      <c r="AP195" s="99">
        <f>Table6[[#This Row],[(A/S) AJD]]-Table6[[#This Row],[SER_IN]]</f>
        <v/>
      </c>
    </row>
    <row r="196" ht="18.75" customHeight="1">
      <c r="A196" s="98" t="n">
        <v>47678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Table6[[#This Row],[(RESV. STORGE) AJD]]/10</f>
        <v/>
      </c>
      <c r="AB196" s="3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32" t="n"/>
      <c r="AN196" s="32">
        <f>Table6[[#This Row],[ (RESV. STORGE) SER]]/10</f>
        <v/>
      </c>
      <c r="AO196" s="68" t="n"/>
      <c r="AP196" s="99">
        <f>Table6[[#This Row],[(A/S) AJD]]-Table6[[#This Row],[SER_IN]]</f>
        <v/>
      </c>
    </row>
    <row r="197" ht="18.75" customHeight="1">
      <c r="A197" s="98" t="n">
        <v>47679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Table6[[#This Row],[(RESV. STORGE) AJD]]/10</f>
        <v/>
      </c>
      <c r="AB197" s="3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32" t="n"/>
      <c r="AN197" s="32">
        <f>Table6[[#This Row],[ (RESV. STORGE) SER]]/10</f>
        <v/>
      </c>
      <c r="AO197" s="68" t="n"/>
      <c r="AP197" s="99">
        <f>Table6[[#This Row],[(A/S) AJD]]-Table6[[#This Row],[SER_IN]]</f>
        <v/>
      </c>
    </row>
    <row r="198" ht="18.75" customHeight="1">
      <c r="A198" s="98" t="n">
        <v>47680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Table6[[#This Row],[(RESV. STORGE) AJD]]/10</f>
        <v/>
      </c>
      <c r="AB198" s="3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32" t="n"/>
      <c r="AN198" s="32">
        <f>Table6[[#This Row],[ (RESV. STORGE) SER]]/10</f>
        <v/>
      </c>
      <c r="AO198" s="68" t="n"/>
      <c r="AP198" s="99">
        <f>Table6[[#This Row],[(A/S) AJD]]-Table6[[#This Row],[SER_IN]]</f>
        <v/>
      </c>
    </row>
    <row r="199" ht="18.75" customHeight="1">
      <c r="A199" s="98" t="n">
        <v>47681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Table6[[#This Row],[(RESV. STORGE) AJD]]/10</f>
        <v/>
      </c>
      <c r="AB199" s="3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32" t="n"/>
      <c r="AN199" s="32">
        <f>Table6[[#This Row],[ (RESV. STORGE) SER]]/10</f>
        <v/>
      </c>
      <c r="AO199" s="68" t="n"/>
      <c r="AP199" s="99">
        <f>Table6[[#This Row],[(A/S) AJD]]-Table6[[#This Row],[SER_IN]]</f>
        <v/>
      </c>
    </row>
    <row r="200" ht="18.75" customHeight="1">
      <c r="A200" s="98" t="n">
        <v>47682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Table6[[#This Row],[(RESV. STORGE) AJD]]/10</f>
        <v/>
      </c>
      <c r="AB200" s="3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32" t="n"/>
      <c r="AN200" s="32">
        <f>Table6[[#This Row],[ (RESV. STORGE) SER]]/10</f>
        <v/>
      </c>
      <c r="AO200" s="68" t="n"/>
      <c r="AP200" s="99">
        <f>Table6[[#This Row],[(A/S) AJD]]-Table6[[#This Row],[SER_IN]]</f>
        <v/>
      </c>
    </row>
    <row r="201" ht="18.75" customHeight="1">
      <c r="A201" s="98" t="n">
        <v>47683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Table6[[#This Row],[(RESV. STORGE) AJD]]/10</f>
        <v/>
      </c>
      <c r="AB201" s="3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32" t="n"/>
      <c r="AN201" s="32">
        <f>Table6[[#This Row],[ (RESV. STORGE) SER]]/10</f>
        <v/>
      </c>
      <c r="AO201" s="68" t="n"/>
      <c r="AP201" s="99">
        <f>Table6[[#This Row],[(A/S) AJD]]-Table6[[#This Row],[SER_IN]]</f>
        <v/>
      </c>
    </row>
    <row r="202" ht="18.75" customHeight="1">
      <c r="A202" s="98" t="n">
        <v>47684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Table6[[#This Row],[(RESV. STORGE) AJD]]/10</f>
        <v/>
      </c>
      <c r="AB202" s="3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32" t="n"/>
      <c r="AN202" s="32">
        <f>Table6[[#This Row],[ (RESV. STORGE) SER]]/10</f>
        <v/>
      </c>
      <c r="AO202" s="68" t="n"/>
      <c r="AP202" s="99">
        <f>Table6[[#This Row],[(A/S) AJD]]-Table6[[#This Row],[SER_IN]]</f>
        <v/>
      </c>
    </row>
    <row r="203" ht="18.75" customHeight="1">
      <c r="A203" s="98" t="n">
        <v>47685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Table6[[#This Row],[(RESV. STORGE) AJD]]/10</f>
        <v/>
      </c>
      <c r="AB203" s="3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32" t="n"/>
      <c r="AN203" s="32">
        <f>Table6[[#This Row],[ (RESV. STORGE) SER]]/10</f>
        <v/>
      </c>
      <c r="AO203" s="68" t="n"/>
      <c r="AP203" s="99">
        <f>Table6[[#This Row],[(A/S) AJD]]-Table6[[#This Row],[SER_IN]]</f>
        <v/>
      </c>
    </row>
    <row r="204" ht="18.75" customHeight="1">
      <c r="A204" s="98" t="n">
        <v>47686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Table6[[#This Row],[(RESV. STORGE) AJD]]/10</f>
        <v/>
      </c>
      <c r="AB204" s="3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32" t="n"/>
      <c r="AN204" s="32">
        <f>Table6[[#This Row],[ (RESV. STORGE) SER]]/10</f>
        <v/>
      </c>
      <c r="AO204" s="68" t="n"/>
      <c r="AP204" s="99">
        <f>Table6[[#This Row],[(A/S) AJD]]-Table6[[#This Row],[SER_IN]]</f>
        <v/>
      </c>
    </row>
    <row r="205" ht="18.75" customHeight="1">
      <c r="A205" s="98" t="n">
        <v>47687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Table6[[#This Row],[(RESV. STORGE) AJD]]/10</f>
        <v/>
      </c>
      <c r="AB205" s="3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32" t="n"/>
      <c r="AN205" s="32">
        <f>Table6[[#This Row],[ (RESV. STORGE) SER]]/10</f>
        <v/>
      </c>
      <c r="AO205" s="68" t="n"/>
      <c r="AP205" s="99">
        <f>Table6[[#This Row],[(A/S) AJD]]-Table6[[#This Row],[SER_IN]]</f>
        <v/>
      </c>
    </row>
    <row r="206" ht="18.75" customHeight="1">
      <c r="A206" s="98" t="n">
        <v>47688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Table6[[#This Row],[(RESV. STORGE) AJD]]/10</f>
        <v/>
      </c>
      <c r="AB206" s="3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32" t="n"/>
      <c r="AN206" s="32">
        <f>Table6[[#This Row],[ (RESV. STORGE) SER]]/10</f>
        <v/>
      </c>
      <c r="AO206" s="68" t="n"/>
      <c r="AP206" s="99">
        <f>Table6[[#This Row],[(A/S) AJD]]-Table6[[#This Row],[SER_IN]]</f>
        <v/>
      </c>
    </row>
    <row r="207" ht="18.75" customHeight="1">
      <c r="A207" s="98" t="n">
        <v>47689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Table6[[#This Row],[(RESV. STORGE) AJD]]/10</f>
        <v/>
      </c>
      <c r="AB207" s="3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32" t="n"/>
      <c r="AN207" s="32">
        <f>Table6[[#This Row],[ (RESV. STORGE) SER]]/10</f>
        <v/>
      </c>
      <c r="AO207" s="68" t="n"/>
      <c r="AP207" s="99">
        <f>Table6[[#This Row],[(A/S) AJD]]-Table6[[#This Row],[SER_IN]]</f>
        <v/>
      </c>
    </row>
    <row r="208" ht="18.75" customHeight="1">
      <c r="A208" s="98" t="n">
        <v>47690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Table6[[#This Row],[(RESV. STORGE) AJD]]/10</f>
        <v/>
      </c>
      <c r="AB208" s="3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32" t="n"/>
      <c r="AN208" s="32">
        <f>Table6[[#This Row],[ (RESV. STORGE) SER]]/10</f>
        <v/>
      </c>
      <c r="AO208" s="68" t="n"/>
      <c r="AP208" s="99">
        <f>Table6[[#This Row],[(A/S) AJD]]-Table6[[#This Row],[SER_IN]]</f>
        <v/>
      </c>
    </row>
    <row r="209" ht="18.75" customHeight="1">
      <c r="A209" s="98" t="n">
        <v>47691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Table6[[#This Row],[(RESV. STORGE) AJD]]/10</f>
        <v/>
      </c>
      <c r="AB209" s="3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32" t="n"/>
      <c r="AN209" s="32">
        <f>Table6[[#This Row],[ (RESV. STORGE) SER]]/10</f>
        <v/>
      </c>
      <c r="AO209" s="68" t="n"/>
      <c r="AP209" s="99">
        <f>Table6[[#This Row],[(A/S) AJD]]-Table6[[#This Row],[SER_IN]]</f>
        <v/>
      </c>
    </row>
    <row r="210" ht="18.75" customHeight="1">
      <c r="A210" s="98" t="n">
        <v>47692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Table6[[#This Row],[(RESV. STORGE) AJD]]/10</f>
        <v/>
      </c>
      <c r="AB210" s="3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32" t="n"/>
      <c r="AN210" s="32">
        <f>Table6[[#This Row],[ (RESV. STORGE) SER]]/10</f>
        <v/>
      </c>
      <c r="AO210" s="68" t="n"/>
      <c r="AP210" s="99">
        <f>Table6[[#This Row],[(A/S) AJD]]-Table6[[#This Row],[SER_IN]]</f>
        <v/>
      </c>
    </row>
    <row r="211" ht="18.75" customHeight="1">
      <c r="A211" s="98" t="n">
        <v>47693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Table6[[#This Row],[(RESV. STORGE) AJD]]/10</f>
        <v/>
      </c>
      <c r="AB211" s="3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32" t="n"/>
      <c r="AN211" s="32">
        <f>Table6[[#This Row],[ (RESV. STORGE) SER]]/10</f>
        <v/>
      </c>
      <c r="AO211" s="68" t="n"/>
      <c r="AP211" s="99">
        <f>Table6[[#This Row],[(A/S) AJD]]-Table6[[#This Row],[SER_IN]]</f>
        <v/>
      </c>
    </row>
    <row r="212" ht="18.75" customHeight="1">
      <c r="A212" s="98" t="n">
        <v>47694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Table6[[#This Row],[(RESV. STORGE) AJD]]/10</f>
        <v/>
      </c>
      <c r="AB212" s="3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32" t="n"/>
      <c r="AN212" s="32">
        <f>Table6[[#This Row],[ (RESV. STORGE) SER]]/10</f>
        <v/>
      </c>
      <c r="AO212" s="68" t="n"/>
      <c r="AP212" s="99">
        <f>Table6[[#This Row],[(A/S) AJD]]-Table6[[#This Row],[SER_IN]]</f>
        <v/>
      </c>
    </row>
    <row r="213" ht="18.75" customHeight="1">
      <c r="A213" s="98" t="n">
        <v>47695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Table6[[#This Row],[(RESV. STORGE) AJD]]/10</f>
        <v/>
      </c>
      <c r="AB213" s="3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32" t="n"/>
      <c r="AN213" s="32">
        <f>Table6[[#This Row],[ (RESV. STORGE) SER]]/10</f>
        <v/>
      </c>
      <c r="AO213" s="68" t="n"/>
      <c r="AP213" s="99">
        <f>Table6[[#This Row],[(A/S) AJD]]-Table6[[#This Row],[SER_IN]]</f>
        <v/>
      </c>
    </row>
    <row r="214" ht="18.75" customHeight="1">
      <c r="A214" s="98" t="n">
        <v>47696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Table6[[#This Row],[ (T/B) SAR]]+Table6[[#This Row],[ (S/S) SAR]]</f>
        <v/>
      </c>
      <c r="L214" s="41" t="n"/>
      <c r="M214" s="42" t="n"/>
      <c r="N214" s="42" t="n"/>
      <c r="O214" s="39" t="n"/>
      <c r="P214" s="3">
        <f>Table6[[#This Row],[ (S/S) SAR]]-Table6[[#This Row],[(S/S) AJD]]</f>
        <v/>
      </c>
      <c r="Q214" s="39" t="n"/>
      <c r="R214" s="3">
        <f>Table6[[#This Row],[ (T/B) SAR]]-Table6[[#This Row],[(T/B) AJD]]</f>
        <v/>
      </c>
      <c r="S214" s="3">
        <f>Table6[[#This Row],[S/S_CON.]]+Table6[[#This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Table6[[#This Row],[(RESV. STORGE) AJD]]/10</f>
        <v/>
      </c>
      <c r="AB214" s="3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32" t="n"/>
      <c r="AN214" s="32">
        <f>Table6[[#This Row],[ (RESV. STORGE) SER]]/10</f>
        <v/>
      </c>
      <c r="AO214" s="68" t="n"/>
      <c r="AP214" s="99">
        <f>Table6[[#This Row],[(A/S) AJD]]-Table6[[#This Row],[SER_IN]]</f>
        <v/>
      </c>
    </row>
    <row r="215" ht="18.75" customHeight="1">
      <c r="A215" s="98" t="n">
        <v>47697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Table6[[#This Row],[ (T/B) SAR]]+Table6[[#This Row],[ (S/S) SAR]]</f>
        <v/>
      </c>
      <c r="L215" s="45" t="n"/>
      <c r="M215" s="46" t="n"/>
      <c r="N215" s="46" t="n"/>
      <c r="O215" s="40" t="n"/>
      <c r="P215" s="3">
        <f>Table6[[#This Row],[ (S/S) SAR]]-Table6[[#This Row],[(S/S) AJD]]</f>
        <v/>
      </c>
      <c r="Q215" s="40" t="n"/>
      <c r="R215" s="3">
        <f>Table6[[#This Row],[ (T/B) SAR]]-Table6[[#This Row],[(T/B) AJD]]</f>
        <v/>
      </c>
      <c r="S215" s="3">
        <f>Table6[[#This Row],[S/S_CON.]]+Table6[[#This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Table6[[#This Row],[(RESV. STORGE) AJD]]/10</f>
        <v/>
      </c>
      <c r="AB215" s="3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32" t="n"/>
      <c r="AN215" s="32">
        <f>Table6[[#This Row],[ (RESV. STORGE) SER]]/10</f>
        <v/>
      </c>
      <c r="AO215" s="68" t="n"/>
      <c r="AP215" s="99">
        <f>Table6[[#This Row],[(A/S) AJD]]-Table6[[#This Row],[SER_IN]]</f>
        <v/>
      </c>
    </row>
    <row r="216" ht="18.75" customHeight="1">
      <c r="A216" s="98" t="n">
        <v>47698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Table6[[#This Row],[ (T/B) SAR]]+Table6[[#This Row],[ (S/S) SAR]]</f>
        <v/>
      </c>
      <c r="L216" s="41" t="n"/>
      <c r="M216" s="42" t="n"/>
      <c r="N216" s="42" t="n"/>
      <c r="O216" s="39" t="n"/>
      <c r="P216" s="3">
        <f>Table6[[#This Row],[ (S/S) SAR]]-Table6[[#This Row],[(S/S) AJD]]</f>
        <v/>
      </c>
      <c r="Q216" s="39" t="n"/>
      <c r="R216" s="3">
        <f>Table6[[#This Row],[ (T/B) SAR]]-Table6[[#This Row],[(T/B) AJD]]</f>
        <v/>
      </c>
      <c r="S216" s="3">
        <f>Table6[[#This Row],[S/S_CON.]]+Table6[[#This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Table6[[#This Row],[(RESV. STORGE) AJD]]/10</f>
        <v/>
      </c>
      <c r="AB216" s="3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32" t="n"/>
      <c r="AN216" s="32">
        <f>Table6[[#This Row],[ (RESV. STORGE) SER]]/10</f>
        <v/>
      </c>
      <c r="AO216" s="68" t="n"/>
      <c r="AP216" s="99">
        <f>Table6[[#This Row],[(A/S) AJD]]-Table6[[#This Row],[SER_IN]]</f>
        <v/>
      </c>
    </row>
    <row r="217" ht="18.75" customHeight="1">
      <c r="A217" s="98" t="n">
        <v>47699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Table6[[#This Row],[ (T/B) SAR]]+Table6[[#This Row],[ (S/S) SAR]]</f>
        <v/>
      </c>
      <c r="L217" s="45" t="n"/>
      <c r="M217" s="46" t="n"/>
      <c r="N217" s="46" t="n"/>
      <c r="O217" s="40" t="n"/>
      <c r="P217" s="3">
        <f>Table6[[#This Row],[ (S/S) SAR]]-Table6[[#This Row],[(S/S) AJD]]</f>
        <v/>
      </c>
      <c r="Q217" s="40" t="n"/>
      <c r="R217" s="3">
        <f>Table6[[#This Row],[ (T/B) SAR]]-Table6[[#This Row],[(T/B) AJD]]</f>
        <v/>
      </c>
      <c r="S217" s="3">
        <f>Table6[[#This Row],[S/S_CON.]]+Table6[[#This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Table6[[#This Row],[(RESV. STORGE) AJD]]/10</f>
        <v/>
      </c>
      <c r="AB217" s="3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32" t="n"/>
      <c r="AN217" s="32">
        <f>Table6[[#This Row],[ (RESV. STORGE) SER]]/10</f>
        <v/>
      </c>
      <c r="AO217" s="68" t="n"/>
      <c r="AP217" s="99">
        <f>Table6[[#This Row],[(A/S) AJD]]-Table6[[#This Row],[SER_IN]]</f>
        <v/>
      </c>
    </row>
    <row r="218" ht="18.75" customHeight="1">
      <c r="A218" s="98" t="n">
        <v>47700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Table6[[#This Row],[ (T/B) SAR]]+Table6[[#This Row],[ (S/S) SAR]]</f>
        <v/>
      </c>
      <c r="L218" s="41" t="n"/>
      <c r="M218" s="42" t="n"/>
      <c r="N218" s="42" t="n"/>
      <c r="O218" s="39" t="n"/>
      <c r="P218" s="3">
        <f>Table6[[#This Row],[ (S/S) SAR]]-Table6[[#This Row],[(S/S) AJD]]</f>
        <v/>
      </c>
      <c r="Q218" s="39" t="n"/>
      <c r="R218" s="3">
        <f>Table6[[#This Row],[ (T/B) SAR]]-Table6[[#This Row],[(T/B) AJD]]</f>
        <v/>
      </c>
      <c r="S218" s="3">
        <f>Table6[[#This Row],[S/S_CON.]]+Table6[[#This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Table6[[#This Row],[(RESV. STORGE) AJD]]/10</f>
        <v/>
      </c>
      <c r="AB218" s="3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32" t="n"/>
      <c r="AN218" s="32">
        <f>Table6[[#This Row],[ (RESV. STORGE) SER]]/10</f>
        <v/>
      </c>
      <c r="AO218" s="68" t="n"/>
      <c r="AP218" s="99">
        <f>Table6[[#This Row],[(A/S) AJD]]-Table6[[#This Row],[SER_IN]]</f>
        <v/>
      </c>
    </row>
    <row r="219" ht="18.75" customHeight="1">
      <c r="A219" s="98" t="n">
        <v>47701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Table6[[#This Row],[ (T/B) SAR]]+Table6[[#This Row],[ (S/S) SAR]]</f>
        <v/>
      </c>
      <c r="L219" s="45" t="n"/>
      <c r="M219" s="46" t="n"/>
      <c r="N219" s="46" t="n"/>
      <c r="O219" s="40" t="n"/>
      <c r="P219" s="3">
        <f>Table6[[#This Row],[ (S/S) SAR]]-Table6[[#This Row],[(S/S) AJD]]</f>
        <v/>
      </c>
      <c r="Q219" s="40" t="n"/>
      <c r="R219" s="3">
        <f>Table6[[#This Row],[ (T/B) SAR]]-Table6[[#This Row],[(T/B) AJD]]</f>
        <v/>
      </c>
      <c r="S219" s="3">
        <f>Table6[[#This Row],[S/S_CON.]]+Table6[[#This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Table6[[#This Row],[(RESV. STORGE) AJD]]/10</f>
        <v/>
      </c>
      <c r="AB219" s="3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32" t="n"/>
      <c r="AN219" s="32">
        <f>Table6[[#This Row],[ (RESV. STORGE) SER]]/10</f>
        <v/>
      </c>
      <c r="AO219" s="68" t="n"/>
      <c r="AP219" s="99">
        <f>Table6[[#This Row],[(A/S) AJD]]-Table6[[#This Row],[SER_IN]]</f>
        <v/>
      </c>
    </row>
    <row r="220" ht="18.75" customHeight="1">
      <c r="A220" s="98" t="n">
        <v>47702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Table6[[#This Row],[ (T/B) SAR]]+Table6[[#This Row],[ (S/S) SAR]]</f>
        <v/>
      </c>
      <c r="L220" s="41" t="n"/>
      <c r="M220" s="42" t="n"/>
      <c r="N220" s="42" t="n"/>
      <c r="O220" s="39" t="n"/>
      <c r="P220" s="3">
        <f>Table6[[#This Row],[ (S/S) SAR]]-Table6[[#This Row],[(S/S) AJD]]</f>
        <v/>
      </c>
      <c r="Q220" s="39" t="n"/>
      <c r="R220" s="3">
        <f>Table6[[#This Row],[ (T/B) SAR]]-Table6[[#This Row],[(T/B) AJD]]</f>
        <v/>
      </c>
      <c r="S220" s="3">
        <f>Table6[[#This Row],[S/S_CON.]]+Table6[[#This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Table6[[#This Row],[(RESV. STORGE) AJD]]/10</f>
        <v/>
      </c>
      <c r="AB220" s="3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32" t="n"/>
      <c r="AN220" s="32">
        <f>Table6[[#This Row],[ (RESV. STORGE) SER]]/10</f>
        <v/>
      </c>
      <c r="AO220" s="68" t="n"/>
      <c r="AP220" s="99">
        <f>Table6[[#This Row],[(A/S) AJD]]-Table6[[#This Row],[SER_IN]]</f>
        <v/>
      </c>
    </row>
    <row r="221" ht="18.75" customHeight="1">
      <c r="A221" s="98" t="n">
        <v>47703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Table6[[#This Row],[ (T/B) SAR]]+Table6[[#This Row],[ (S/S) SAR]]</f>
        <v/>
      </c>
      <c r="L221" s="45" t="n"/>
      <c r="M221" s="46" t="n"/>
      <c r="N221" s="46" t="n"/>
      <c r="O221" s="40" t="n"/>
      <c r="P221" s="3">
        <f>Table6[[#This Row],[ (S/S) SAR]]-Table6[[#This Row],[(S/S) AJD]]</f>
        <v/>
      </c>
      <c r="Q221" s="40" t="n"/>
      <c r="R221" s="3">
        <f>Table6[[#This Row],[ (T/B) SAR]]-Table6[[#This Row],[(T/B) AJD]]</f>
        <v/>
      </c>
      <c r="S221" s="3">
        <f>Table6[[#This Row],[S/S_CON.]]+Table6[[#This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Table6[[#This Row],[(RESV. STORGE) AJD]]/10</f>
        <v/>
      </c>
      <c r="AB221" s="3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32" t="n"/>
      <c r="AN221" s="32">
        <f>Table6[[#This Row],[ (RESV. STORGE) SER]]/10</f>
        <v/>
      </c>
      <c r="AO221" s="68" t="n"/>
      <c r="AP221" s="99">
        <f>Table6[[#This Row],[(A/S) AJD]]-Table6[[#This Row],[SER_IN]]</f>
        <v/>
      </c>
    </row>
    <row r="222" ht="18.75" customHeight="1">
      <c r="A222" s="98" t="n">
        <v>47704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Table6[[#This Row],[ (T/B) SAR]]+Table6[[#This Row],[ (S/S) SAR]]</f>
        <v/>
      </c>
      <c r="L222" s="41" t="n"/>
      <c r="M222" s="42" t="n"/>
      <c r="N222" s="42" t="n"/>
      <c r="O222" s="39" t="n"/>
      <c r="P222" s="3">
        <f>Table6[[#This Row],[ (S/S) SAR]]-Table6[[#This Row],[(S/S) AJD]]</f>
        <v/>
      </c>
      <c r="Q222" s="39" t="n"/>
      <c r="R222" s="3">
        <f>Table6[[#This Row],[ (T/B) SAR]]-Table6[[#This Row],[(T/B) AJD]]</f>
        <v/>
      </c>
      <c r="S222" s="3">
        <f>Table6[[#This Row],[S/S_CON.]]+Table6[[#This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Table6[[#This Row],[(RESV. STORGE) AJD]]/10</f>
        <v/>
      </c>
      <c r="AB222" s="3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32" t="n"/>
      <c r="AN222" s="32">
        <f>Table6[[#This Row],[ (RESV. STORGE) SER]]/10</f>
        <v/>
      </c>
      <c r="AO222" s="68" t="n"/>
      <c r="AP222" s="99">
        <f>Table6[[#This Row],[(A/S) AJD]]-Table6[[#This Row],[SER_IN]]</f>
        <v/>
      </c>
    </row>
    <row r="223" ht="18.75" customHeight="1">
      <c r="A223" s="98" t="n">
        <v>47705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Table6[[#This Row],[ (T/B) SAR]]+Table6[[#This Row],[ (S/S) SAR]]</f>
        <v/>
      </c>
      <c r="L223" s="45" t="n"/>
      <c r="M223" s="46" t="n"/>
      <c r="N223" s="46" t="n"/>
      <c r="O223" s="40" t="n"/>
      <c r="P223" s="3">
        <f>Table6[[#This Row],[ (S/S) SAR]]-Table6[[#This Row],[(S/S) AJD]]</f>
        <v/>
      </c>
      <c r="Q223" s="40" t="n"/>
      <c r="R223" s="3">
        <f>Table6[[#This Row],[ (T/B) SAR]]-Table6[[#This Row],[(T/B) AJD]]</f>
        <v/>
      </c>
      <c r="S223" s="3">
        <f>Table6[[#This Row],[S/S_CON.]]+Table6[[#This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Table6[[#This Row],[(RESV. STORGE) AJD]]/10</f>
        <v/>
      </c>
      <c r="AB223" s="3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32" t="n"/>
      <c r="AN223" s="32">
        <f>Table6[[#This Row],[ (RESV. STORGE) SER]]/10</f>
        <v/>
      </c>
      <c r="AO223" s="68" t="n"/>
      <c r="AP223" s="99">
        <f>Table6[[#This Row],[(A/S) AJD]]-Table6[[#This Row],[SER_IN]]</f>
        <v/>
      </c>
    </row>
    <row r="224" ht="18.75" customHeight="1">
      <c r="A224" s="98" t="n">
        <v>47706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Table6[[#This Row],[ (T/B) SAR]]+Table6[[#This Row],[ (S/S) SAR]]</f>
        <v/>
      </c>
      <c r="L224" s="41" t="n"/>
      <c r="M224" s="42" t="n"/>
      <c r="N224" s="42" t="n"/>
      <c r="O224" s="39" t="n"/>
      <c r="P224" s="3">
        <f>Table6[[#This Row],[ (S/S) SAR]]-Table6[[#This Row],[(S/S) AJD]]</f>
        <v/>
      </c>
      <c r="Q224" s="39" t="n"/>
      <c r="R224" s="3">
        <f>Table6[[#This Row],[ (T/B) SAR]]-Table6[[#This Row],[(T/B) AJD]]</f>
        <v/>
      </c>
      <c r="S224" s="3">
        <f>Table6[[#This Row],[S/S_CON.]]+Table6[[#This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Table6[[#This Row],[(RESV. STORGE) AJD]]/10</f>
        <v/>
      </c>
      <c r="AB224" s="3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32" t="n"/>
      <c r="AN224" s="32">
        <f>Table6[[#This Row],[ (RESV. STORGE) SER]]/10</f>
        <v/>
      </c>
      <c r="AO224" s="68" t="n"/>
      <c r="AP224" s="99">
        <f>Table6[[#This Row],[(A/S) AJD]]-Table6[[#This Row],[SER_IN]]</f>
        <v/>
      </c>
    </row>
    <row r="225" ht="18.75" customHeight="1">
      <c r="A225" s="98" t="n">
        <v>47707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Table6[[#This Row],[ (T/B) SAR]]+Table6[[#This Row],[ (S/S) SAR]]</f>
        <v/>
      </c>
      <c r="L225" s="45" t="n"/>
      <c r="M225" s="46" t="n"/>
      <c r="N225" s="46" t="n"/>
      <c r="O225" s="40" t="n"/>
      <c r="P225" s="3">
        <f>Table6[[#This Row],[ (S/S) SAR]]-Table6[[#This Row],[(S/S) AJD]]</f>
        <v/>
      </c>
      <c r="Q225" s="40" t="n"/>
      <c r="R225" s="3">
        <f>Table6[[#This Row],[ (T/B) SAR]]-Table6[[#This Row],[(T/B) AJD]]</f>
        <v/>
      </c>
      <c r="S225" s="3">
        <f>Table6[[#This Row],[S/S_CON.]]+Table6[[#This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Table6[[#This Row],[(RESV. STORGE) AJD]]/10</f>
        <v/>
      </c>
      <c r="AB225" s="3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32" t="n"/>
      <c r="AN225" s="32">
        <f>Table6[[#This Row],[ (RESV. STORGE) SER]]/10</f>
        <v/>
      </c>
      <c r="AO225" s="68" t="n"/>
      <c r="AP225" s="99">
        <f>Table6[[#This Row],[(A/S) AJD]]-Table6[[#This Row],[SER_IN]]</f>
        <v/>
      </c>
    </row>
    <row r="226" ht="18.75" customHeight="1">
      <c r="A226" s="98" t="n">
        <v>47708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Table6[[#This Row],[ (T/B) SAR]]+Table6[[#This Row],[ (S/S) SAR]]</f>
        <v/>
      </c>
      <c r="L226" s="41" t="n"/>
      <c r="M226" s="42" t="n"/>
      <c r="N226" s="42" t="n"/>
      <c r="O226" s="39" t="n"/>
      <c r="P226" s="3">
        <f>Table6[[#This Row],[ (S/S) SAR]]-Table6[[#This Row],[(S/S) AJD]]</f>
        <v/>
      </c>
      <c r="Q226" s="39" t="n"/>
      <c r="R226" s="3">
        <f>Table6[[#This Row],[ (T/B) SAR]]-Table6[[#This Row],[(T/B) AJD]]</f>
        <v/>
      </c>
      <c r="S226" s="3">
        <f>Table6[[#This Row],[S/S_CON.]]+Table6[[#This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Table6[[#This Row],[(RESV. STORGE) AJD]]/10</f>
        <v/>
      </c>
      <c r="AB226" s="3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32" t="n"/>
      <c r="AN226" s="32">
        <f>Table6[[#This Row],[ (RESV. STORGE) SER]]/10</f>
        <v/>
      </c>
      <c r="AO226" s="68" t="n"/>
      <c r="AP226" s="99">
        <f>Table6[[#This Row],[(A/S) AJD]]-Table6[[#This Row],[SER_IN]]</f>
        <v/>
      </c>
    </row>
    <row r="227" ht="18.75" customHeight="1">
      <c r="A227" s="98" t="n">
        <v>47709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Table6[[#This Row],[ (T/B) SAR]]+Table6[[#This Row],[ (S/S) SAR]]</f>
        <v/>
      </c>
      <c r="L227" s="45" t="n"/>
      <c r="M227" s="46" t="n"/>
      <c r="N227" s="46" t="n"/>
      <c r="O227" s="40" t="n"/>
      <c r="P227" s="3">
        <f>Table6[[#This Row],[ (S/S) SAR]]-Table6[[#This Row],[(S/S) AJD]]</f>
        <v/>
      </c>
      <c r="Q227" s="40" t="n"/>
      <c r="R227" s="3">
        <f>Table6[[#This Row],[ (T/B) SAR]]-Table6[[#This Row],[(T/B) AJD]]</f>
        <v/>
      </c>
      <c r="S227" s="3">
        <f>Table6[[#This Row],[S/S_CON.]]+Table6[[#This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Table6[[#This Row],[(RESV. STORGE) AJD]]/10</f>
        <v/>
      </c>
      <c r="AB227" s="3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32" t="n"/>
      <c r="AN227" s="32">
        <f>Table6[[#This Row],[ (RESV. STORGE) SER]]/10</f>
        <v/>
      </c>
      <c r="AO227" s="68" t="n"/>
      <c r="AP227" s="99">
        <f>Table6[[#This Row],[(A/S) AJD]]-Table6[[#This Row],[SER_IN]]</f>
        <v/>
      </c>
    </row>
    <row r="228" ht="18.75" customHeight="1">
      <c r="A228" s="98" t="n">
        <v>47710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Table6[[#This Row],[ (T/B) SAR]]+Table6[[#This Row],[ (S/S) SAR]]</f>
        <v/>
      </c>
      <c r="L228" s="41" t="n"/>
      <c r="M228" s="42" t="n"/>
      <c r="N228" s="42" t="n"/>
      <c r="O228" s="39" t="n"/>
      <c r="P228" s="3">
        <f>Table6[[#This Row],[ (S/S) SAR]]-Table6[[#This Row],[(S/S) AJD]]</f>
        <v/>
      </c>
      <c r="Q228" s="39" t="n"/>
      <c r="R228" s="3">
        <f>Table6[[#This Row],[ (T/B) SAR]]-Table6[[#This Row],[(T/B) AJD]]</f>
        <v/>
      </c>
      <c r="S228" s="3">
        <f>Table6[[#This Row],[S/S_CON.]]+Table6[[#This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Table6[[#This Row],[(RESV. STORGE) AJD]]/10</f>
        <v/>
      </c>
      <c r="AB228" s="3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32" t="n"/>
      <c r="AN228" s="32">
        <f>Table6[[#This Row],[ (RESV. STORGE) SER]]/10</f>
        <v/>
      </c>
      <c r="AO228" s="68" t="n"/>
      <c r="AP228" s="99">
        <f>Table6[[#This Row],[(A/S) AJD]]-Table6[[#This Row],[SER_IN]]</f>
        <v/>
      </c>
    </row>
    <row r="229" ht="18.75" customHeight="1">
      <c r="A229" s="98" t="n">
        <v>47711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Table6[[#This Row],[ (T/B) SAR]]+Table6[[#This Row],[ (S/S) SAR]]</f>
        <v/>
      </c>
      <c r="L229" s="45" t="n"/>
      <c r="M229" s="46" t="n"/>
      <c r="N229" s="46" t="n"/>
      <c r="O229" s="40" t="n"/>
      <c r="P229" s="3">
        <f>Table6[[#This Row],[ (S/S) SAR]]-Table6[[#This Row],[(S/S) AJD]]</f>
        <v/>
      </c>
      <c r="Q229" s="40" t="n"/>
      <c r="R229" s="3">
        <f>Table6[[#This Row],[ (T/B) SAR]]-Table6[[#This Row],[(T/B) AJD]]</f>
        <v/>
      </c>
      <c r="S229" s="3">
        <f>Table6[[#This Row],[S/S_CON.]]+Table6[[#This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Table6[[#This Row],[(RESV. STORGE) AJD]]/10</f>
        <v/>
      </c>
      <c r="AB229" s="3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32" t="n"/>
      <c r="AN229" s="32">
        <f>Table6[[#This Row],[ (RESV. STORGE) SER]]/10</f>
        <v/>
      </c>
      <c r="AO229" s="68" t="n"/>
      <c r="AP229" s="99">
        <f>Table6[[#This Row],[(A/S) AJD]]-Table6[[#This Row],[SER_IN]]</f>
        <v/>
      </c>
    </row>
    <row r="230" ht="18.75" customHeight="1">
      <c r="A230" s="98" t="n">
        <v>47712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Table6[[#This Row],[ (T/B) SAR]]+Table6[[#This Row],[ (S/S) SAR]]</f>
        <v/>
      </c>
      <c r="L230" s="41" t="n"/>
      <c r="M230" s="42" t="n"/>
      <c r="N230" s="42" t="n"/>
      <c r="O230" s="39" t="n"/>
      <c r="P230" s="3">
        <f>Table6[[#This Row],[ (S/S) SAR]]-Table6[[#This Row],[(S/S) AJD]]</f>
        <v/>
      </c>
      <c r="Q230" s="39" t="n"/>
      <c r="R230" s="3">
        <f>Table6[[#This Row],[ (T/B) SAR]]-Table6[[#This Row],[(T/B) AJD]]</f>
        <v/>
      </c>
      <c r="S230" s="3">
        <f>Table6[[#This Row],[S/S_CON.]]+Table6[[#This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Table6[[#This Row],[(RESV. STORGE) AJD]]/10</f>
        <v/>
      </c>
      <c r="AB230" s="3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32" t="n"/>
      <c r="AN230" s="32">
        <f>Table6[[#This Row],[ (RESV. STORGE) SER]]/10</f>
        <v/>
      </c>
      <c r="AO230" s="68" t="n"/>
      <c r="AP230" s="99">
        <f>Table6[[#This Row],[(A/S) AJD]]-Table6[[#This Row],[SER_IN]]</f>
        <v/>
      </c>
    </row>
    <row r="231" ht="18.75" customHeight="1">
      <c r="A231" s="98" t="n">
        <v>47713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Table6[[#This Row],[ (T/B) SAR]]+Table6[[#This Row],[ (S/S) SAR]]</f>
        <v/>
      </c>
      <c r="L231" s="45" t="n"/>
      <c r="M231" s="46" t="n"/>
      <c r="N231" s="46" t="n"/>
      <c r="O231" s="40" t="n"/>
      <c r="P231" s="3">
        <f>Table6[[#This Row],[ (S/S) SAR]]-Table6[[#This Row],[(S/S) AJD]]</f>
        <v/>
      </c>
      <c r="Q231" s="40" t="n"/>
      <c r="R231" s="3">
        <f>Table6[[#This Row],[ (T/B) SAR]]-Table6[[#This Row],[(T/B) AJD]]</f>
        <v/>
      </c>
      <c r="S231" s="3">
        <f>Table6[[#This Row],[S/S_CON.]]+Table6[[#This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Table6[[#This Row],[(RESV. STORGE) AJD]]/10</f>
        <v/>
      </c>
      <c r="AB231" s="3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32" t="n"/>
      <c r="AN231" s="32">
        <f>Table6[[#This Row],[ (RESV. STORGE) SER]]/10</f>
        <v/>
      </c>
      <c r="AO231" s="68" t="n"/>
      <c r="AP231" s="99">
        <f>Table6[[#This Row],[(A/S) AJD]]-Table6[[#This Row],[SER_IN]]</f>
        <v/>
      </c>
    </row>
    <row r="232" ht="18.75" customHeight="1">
      <c r="A232" s="98" t="n">
        <v>47714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Table6[[#This Row],[ (T/B) SAR]]+Table6[[#This Row],[ (S/S) SAR]]</f>
        <v/>
      </c>
      <c r="L232" s="41" t="n"/>
      <c r="M232" s="42" t="n"/>
      <c r="N232" s="42" t="n"/>
      <c r="O232" s="39" t="n"/>
      <c r="P232" s="3">
        <f>Table6[[#This Row],[ (S/S) SAR]]-Table6[[#This Row],[(S/S) AJD]]</f>
        <v/>
      </c>
      <c r="Q232" s="39" t="n"/>
      <c r="R232" s="3">
        <f>Table6[[#This Row],[ (T/B) SAR]]-Table6[[#This Row],[(T/B) AJD]]</f>
        <v/>
      </c>
      <c r="S232" s="3">
        <f>Table6[[#This Row],[S/S_CON.]]+Table6[[#This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Table6[[#This Row],[(RESV. STORGE) AJD]]/10</f>
        <v/>
      </c>
      <c r="AB232" s="3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32" t="n"/>
      <c r="AN232" s="32">
        <f>Table6[[#This Row],[ (RESV. STORGE) SER]]/10</f>
        <v/>
      </c>
      <c r="AO232" s="68" t="n"/>
      <c r="AP232" s="99">
        <f>Table6[[#This Row],[(A/S) AJD]]-Table6[[#This Row],[SER_IN]]</f>
        <v/>
      </c>
    </row>
    <row r="233" ht="18.75" customHeight="1">
      <c r="A233" s="98" t="n">
        <v>47715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Table6[[#This Row],[ (T/B) SAR]]+Table6[[#This Row],[ (S/S) SAR]]</f>
        <v/>
      </c>
      <c r="L233" s="45" t="n"/>
      <c r="M233" s="46" t="n"/>
      <c r="N233" s="46" t="n"/>
      <c r="O233" s="40" t="n"/>
      <c r="P233" s="3">
        <f>Table6[[#This Row],[ (S/S) SAR]]-Table6[[#This Row],[(S/S) AJD]]</f>
        <v/>
      </c>
      <c r="Q233" s="40" t="n"/>
      <c r="R233" s="3">
        <f>Table6[[#This Row],[ (T/B) SAR]]-Table6[[#This Row],[(T/B) AJD]]</f>
        <v/>
      </c>
      <c r="S233" s="3">
        <f>Table6[[#This Row],[S/S_CON.]]+Table6[[#This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Table6[[#This Row],[(RESV. STORGE) AJD]]/10</f>
        <v/>
      </c>
      <c r="AB233" s="3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32" t="n"/>
      <c r="AN233" s="32">
        <f>Table6[[#This Row],[ (RESV. STORGE) SER]]/10</f>
        <v/>
      </c>
      <c r="AO233" s="68" t="n"/>
      <c r="AP233" s="99">
        <f>Table6[[#This Row],[(A/S) AJD]]-Table6[[#This Row],[SER_IN]]</f>
        <v/>
      </c>
    </row>
    <row r="234" ht="18.75" customHeight="1">
      <c r="A234" s="98" t="n">
        <v>47716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Table6[[#This Row],[ (T/B) SAR]]+Table6[[#This Row],[ (S/S) SAR]]</f>
        <v/>
      </c>
      <c r="L234" s="41" t="n"/>
      <c r="M234" s="42" t="n"/>
      <c r="N234" s="42" t="n"/>
      <c r="O234" s="39" t="n"/>
      <c r="P234" s="3">
        <f>Table6[[#This Row],[ (S/S) SAR]]-Table6[[#This Row],[(S/S) AJD]]</f>
        <v/>
      </c>
      <c r="Q234" s="39" t="n"/>
      <c r="R234" s="3">
        <f>Table6[[#This Row],[ (T/B) SAR]]-Table6[[#This Row],[(T/B) AJD]]</f>
        <v/>
      </c>
      <c r="S234" s="3">
        <f>Table6[[#This Row],[S/S_CON.]]+Table6[[#This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Table6[[#This Row],[(RESV. STORGE) AJD]]/10</f>
        <v/>
      </c>
      <c r="AB234" s="3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32" t="n"/>
      <c r="AN234" s="32">
        <f>Table6[[#This Row],[ (RESV. STORGE) SER]]/10</f>
        <v/>
      </c>
      <c r="AO234" s="68" t="n"/>
      <c r="AP234" s="99">
        <f>Table6[[#This Row],[(A/S) AJD]]-Table6[[#This Row],[SER_IN]]</f>
        <v/>
      </c>
    </row>
    <row r="235" ht="18.75" customHeight="1">
      <c r="A235" s="98" t="n">
        <v>47717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Table6[[#This Row],[ (T/B) SAR]]+Table6[[#This Row],[ (S/S) SAR]]</f>
        <v/>
      </c>
      <c r="L235" s="45" t="n"/>
      <c r="M235" s="46" t="n"/>
      <c r="N235" s="46" t="n"/>
      <c r="O235" s="40" t="n"/>
      <c r="P235" s="3">
        <f>Table6[[#This Row],[ (S/S) SAR]]-Table6[[#This Row],[(S/S) AJD]]</f>
        <v/>
      </c>
      <c r="Q235" s="40" t="n"/>
      <c r="R235" s="3">
        <f>Table6[[#This Row],[ (T/B) SAR]]-Table6[[#This Row],[(T/B) AJD]]</f>
        <v/>
      </c>
      <c r="S235" s="3">
        <f>Table6[[#This Row],[S/S_CON.]]+Table6[[#This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Table6[[#This Row],[(RESV. STORGE) AJD]]/10</f>
        <v/>
      </c>
      <c r="AB235" s="3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32" t="n"/>
      <c r="AN235" s="32">
        <f>Table6[[#This Row],[ (RESV. STORGE) SER]]/10</f>
        <v/>
      </c>
      <c r="AO235" s="68" t="n"/>
      <c r="AP235" s="99">
        <f>Table6[[#This Row],[(A/S) AJD]]-Table6[[#This Row],[SER_IN]]</f>
        <v/>
      </c>
    </row>
    <row r="236" ht="18.75" customHeight="1">
      <c r="A236" s="98" t="n">
        <v>47718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Table6[[#This Row],[ (T/B) SAR]]+Table6[[#This Row],[ (S/S) SAR]]</f>
        <v/>
      </c>
      <c r="L236" s="41" t="n"/>
      <c r="M236" s="42" t="n"/>
      <c r="N236" s="42" t="n"/>
      <c r="O236" s="39" t="n"/>
      <c r="P236" s="3">
        <f>Table6[[#This Row],[ (S/S) SAR]]-Table6[[#This Row],[(S/S) AJD]]</f>
        <v/>
      </c>
      <c r="Q236" s="39" t="n"/>
      <c r="R236" s="3">
        <f>Table6[[#This Row],[ (T/B) SAR]]-Table6[[#This Row],[(T/B) AJD]]</f>
        <v/>
      </c>
      <c r="S236" s="3">
        <f>Table6[[#This Row],[S/S_CON.]]+Table6[[#This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Table6[[#This Row],[(RESV. STORGE) AJD]]/10</f>
        <v/>
      </c>
      <c r="AB236" s="3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32" t="n"/>
      <c r="AN236" s="32">
        <f>Table6[[#This Row],[ (RESV. STORGE) SER]]/10</f>
        <v/>
      </c>
      <c r="AO236" s="68" t="n"/>
      <c r="AP236" s="99">
        <f>Table6[[#This Row],[(A/S) AJD]]-Table6[[#This Row],[SER_IN]]</f>
        <v/>
      </c>
    </row>
    <row r="237" ht="18.75" customHeight="1">
      <c r="A237" s="98" t="n">
        <v>47719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Table6[[#This Row],[ (T/B) SAR]]+Table6[[#This Row],[ (S/S) SAR]]</f>
        <v/>
      </c>
      <c r="L237" s="45" t="n"/>
      <c r="M237" s="46" t="n"/>
      <c r="N237" s="46" t="n"/>
      <c r="O237" s="40" t="n"/>
      <c r="P237" s="3">
        <f>Table6[[#This Row],[ (S/S) SAR]]-Table6[[#This Row],[(S/S) AJD]]</f>
        <v/>
      </c>
      <c r="Q237" s="40" t="n"/>
      <c r="R237" s="3">
        <f>Table6[[#This Row],[ (T/B) SAR]]-Table6[[#This Row],[(T/B) AJD]]</f>
        <v/>
      </c>
      <c r="S237" s="3">
        <f>Table6[[#This Row],[S/S_CON.]]+Table6[[#This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Table6[[#This Row],[(RESV. STORGE) AJD]]/10</f>
        <v/>
      </c>
      <c r="AB237" s="3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32" t="n"/>
      <c r="AN237" s="32">
        <f>Table6[[#This Row],[ (RESV. STORGE) SER]]/10</f>
        <v/>
      </c>
      <c r="AO237" s="68" t="n"/>
      <c r="AP237" s="99">
        <f>Table6[[#This Row],[(A/S) AJD]]-Table6[[#This Row],[SER_IN]]</f>
        <v/>
      </c>
    </row>
    <row r="238" ht="18.75" customHeight="1">
      <c r="A238" s="98" t="n">
        <v>47720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Table6[[#This Row],[ (T/B) SAR]]+Table6[[#This Row],[ (S/S) SAR]]</f>
        <v/>
      </c>
      <c r="L238" s="41" t="n"/>
      <c r="M238" s="42" t="n"/>
      <c r="N238" s="42" t="n"/>
      <c r="O238" s="39" t="n"/>
      <c r="P238" s="3">
        <f>Table6[[#This Row],[ (S/S) SAR]]-Table6[[#This Row],[(S/S) AJD]]</f>
        <v/>
      </c>
      <c r="Q238" s="39" t="n"/>
      <c r="R238" s="3">
        <f>Table6[[#This Row],[ (T/B) SAR]]-Table6[[#This Row],[(T/B) AJD]]</f>
        <v/>
      </c>
      <c r="S238" s="3">
        <f>Table6[[#This Row],[S/S_CON.]]+Table6[[#This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Table6[[#This Row],[(RESV. STORGE) AJD]]/10</f>
        <v/>
      </c>
      <c r="AB238" s="3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32" t="n"/>
      <c r="AN238" s="32">
        <f>Table6[[#This Row],[ (RESV. STORGE) SER]]/10</f>
        <v/>
      </c>
      <c r="AO238" s="68" t="n"/>
      <c r="AP238" s="99">
        <f>Table6[[#This Row],[(A/S) AJD]]-Table6[[#This Row],[SER_IN]]</f>
        <v/>
      </c>
    </row>
    <row r="239" ht="18.75" customHeight="1">
      <c r="A239" s="98" t="n">
        <v>47721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Table6[[#This Row],[ (T/B) SAR]]+Table6[[#This Row],[ (S/S) SAR]]</f>
        <v/>
      </c>
      <c r="L239" s="45" t="n"/>
      <c r="M239" s="46" t="n"/>
      <c r="N239" s="46" t="n"/>
      <c r="O239" s="40" t="n"/>
      <c r="P239" s="3">
        <f>Table6[[#This Row],[ (S/S) SAR]]-Table6[[#This Row],[(S/S) AJD]]</f>
        <v/>
      </c>
      <c r="Q239" s="40" t="n"/>
      <c r="R239" s="3">
        <f>Table6[[#This Row],[ (T/B) SAR]]-Table6[[#This Row],[(T/B) AJD]]</f>
        <v/>
      </c>
      <c r="S239" s="3">
        <f>Table6[[#This Row],[S/S_CON.]]+Table6[[#This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Table6[[#This Row],[(RESV. STORGE) AJD]]/10</f>
        <v/>
      </c>
      <c r="AB239" s="3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32" t="n"/>
      <c r="AN239" s="32">
        <f>Table6[[#This Row],[ (RESV. STORGE) SER]]/10</f>
        <v/>
      </c>
      <c r="AO239" s="68" t="n"/>
      <c r="AP239" s="99">
        <f>Table6[[#This Row],[(A/S) AJD]]-Table6[[#This Row],[SER_IN]]</f>
        <v/>
      </c>
    </row>
    <row r="240" ht="18.75" customHeight="1">
      <c r="A240" s="98" t="n">
        <v>47722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Table6[[#This Row],[ (T/B) SAR]]+Table6[[#This Row],[ (S/S) SAR]]</f>
        <v/>
      </c>
      <c r="L240" s="41" t="n"/>
      <c r="M240" s="42" t="n"/>
      <c r="N240" s="42" t="n"/>
      <c r="O240" s="39" t="n"/>
      <c r="P240" s="3">
        <f>Table6[[#This Row],[ (S/S) SAR]]-Table6[[#This Row],[(S/S) AJD]]</f>
        <v/>
      </c>
      <c r="Q240" s="39" t="n"/>
      <c r="R240" s="3">
        <f>Table6[[#This Row],[ (T/B) SAR]]-Table6[[#This Row],[(T/B) AJD]]</f>
        <v/>
      </c>
      <c r="S240" s="3">
        <f>Table6[[#This Row],[S/S_CON.]]+Table6[[#This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Table6[[#This Row],[(RESV. STORGE) AJD]]/10</f>
        <v/>
      </c>
      <c r="AB240" s="3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32" t="n"/>
      <c r="AN240" s="32">
        <f>Table6[[#This Row],[ (RESV. STORGE) SER]]/10</f>
        <v/>
      </c>
      <c r="AO240" s="68" t="n"/>
      <c r="AP240" s="99">
        <f>Table6[[#This Row],[(A/S) AJD]]-Table6[[#This Row],[SER_IN]]</f>
        <v/>
      </c>
    </row>
    <row r="241" ht="18.75" customHeight="1">
      <c r="A241" s="98" t="n">
        <v>47723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Table6[[#This Row],[ (T/B) SAR]]+Table6[[#This Row],[ (S/S) SAR]]</f>
        <v/>
      </c>
      <c r="L241" s="45" t="n"/>
      <c r="M241" s="46" t="n"/>
      <c r="N241" s="46" t="n"/>
      <c r="O241" s="40" t="n"/>
      <c r="P241" s="3">
        <f>Table6[[#This Row],[ (S/S) SAR]]-Table6[[#This Row],[(S/S) AJD]]</f>
        <v/>
      </c>
      <c r="Q241" s="40" t="n"/>
      <c r="R241" s="3">
        <f>Table6[[#This Row],[ (T/B) SAR]]-Table6[[#This Row],[(T/B) AJD]]</f>
        <v/>
      </c>
      <c r="S241" s="3">
        <f>Table6[[#This Row],[S/S_CON.]]+Table6[[#This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Table6[[#This Row],[(RESV. STORGE) AJD]]/10</f>
        <v/>
      </c>
      <c r="AB241" s="3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32" t="n"/>
      <c r="AN241" s="32">
        <f>Table6[[#This Row],[ (RESV. STORGE) SER]]/10</f>
        <v/>
      </c>
      <c r="AO241" s="68" t="n"/>
      <c r="AP241" s="99">
        <f>Table6[[#This Row],[(A/S) AJD]]-Table6[[#This Row],[SER_IN]]</f>
        <v/>
      </c>
    </row>
    <row r="242" ht="18.75" customHeight="1">
      <c r="A242" s="98" t="n">
        <v>47724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Table6[[#This Row],[ (T/B) SAR]]+Table6[[#This Row],[ (S/S) SAR]]</f>
        <v/>
      </c>
      <c r="L242" s="41" t="n"/>
      <c r="M242" s="42" t="n"/>
      <c r="N242" s="42" t="n"/>
      <c r="O242" s="39" t="n"/>
      <c r="P242" s="3">
        <f>Table6[[#This Row],[ (S/S) SAR]]-Table6[[#This Row],[(S/S) AJD]]</f>
        <v/>
      </c>
      <c r="Q242" s="39" t="n"/>
      <c r="R242" s="3">
        <f>Table6[[#This Row],[ (T/B) SAR]]-Table6[[#This Row],[(T/B) AJD]]</f>
        <v/>
      </c>
      <c r="S242" s="3">
        <f>Table6[[#This Row],[S/S_CON.]]+Table6[[#This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Table6[[#This Row],[(RESV. STORGE) AJD]]/10</f>
        <v/>
      </c>
      <c r="AB242" s="3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32" t="n"/>
      <c r="AN242" s="32">
        <f>Table6[[#This Row],[ (RESV. STORGE) SER]]/10</f>
        <v/>
      </c>
      <c r="AO242" s="68" t="n"/>
      <c r="AP242" s="99">
        <f>Table6[[#This Row],[(A/S) AJD]]-Table6[[#This Row],[SER_IN]]</f>
        <v/>
      </c>
    </row>
    <row r="243" ht="18.75" customHeight="1">
      <c r="A243" s="98" t="n">
        <v>47725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Table6[[#This Row],[ (T/B) SAR]]+Table6[[#This Row],[ (S/S) SAR]]</f>
        <v/>
      </c>
      <c r="L243" s="45" t="n"/>
      <c r="M243" s="46" t="n"/>
      <c r="N243" s="46" t="n"/>
      <c r="O243" s="40" t="n"/>
      <c r="P243" s="3">
        <f>Table6[[#This Row],[ (S/S) SAR]]-Table6[[#This Row],[(S/S) AJD]]</f>
        <v/>
      </c>
      <c r="Q243" s="40" t="n"/>
      <c r="R243" s="3">
        <f>Table6[[#This Row],[ (T/B) SAR]]-Table6[[#This Row],[(T/B) AJD]]</f>
        <v/>
      </c>
      <c r="S243" s="3">
        <f>Table6[[#This Row],[S/S_CON.]]+Table6[[#This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Table6[[#This Row],[(RESV. STORGE) AJD]]/10</f>
        <v/>
      </c>
      <c r="AB243" s="3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32" t="n"/>
      <c r="AN243" s="32">
        <f>Table6[[#This Row],[ (RESV. STORGE) SER]]/10</f>
        <v/>
      </c>
      <c r="AO243" s="68" t="n"/>
      <c r="AP243" s="99">
        <f>Table6[[#This Row],[(A/S) AJD]]-Table6[[#This Row],[SER_IN]]</f>
        <v/>
      </c>
    </row>
    <row r="244" ht="18.75" customHeight="1">
      <c r="A244" s="98" t="n">
        <v>47726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Table6[[#This Row],[ (T/B) SAR]]+Table6[[#This Row],[ (S/S) SAR]]</f>
        <v/>
      </c>
      <c r="L244" s="41" t="n"/>
      <c r="M244" s="42" t="n"/>
      <c r="N244" s="42" t="n"/>
      <c r="O244" s="39" t="n"/>
      <c r="P244" s="3">
        <f>Table6[[#This Row],[ (S/S) SAR]]-Table6[[#This Row],[(S/S) AJD]]</f>
        <v/>
      </c>
      <c r="Q244" s="39" t="n"/>
      <c r="R244" s="3">
        <f>Table6[[#This Row],[ (T/B) SAR]]-Table6[[#This Row],[(T/B) AJD]]</f>
        <v/>
      </c>
      <c r="S244" s="3">
        <f>Table6[[#This Row],[S/S_CON.]]+Table6[[#This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Table6[[#This Row],[(RESV. STORGE) AJD]]/10</f>
        <v/>
      </c>
      <c r="AB244" s="3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32" t="n"/>
      <c r="AN244" s="32">
        <f>Table6[[#This Row],[ (RESV. STORGE) SER]]/10</f>
        <v/>
      </c>
      <c r="AO244" s="68" t="n"/>
      <c r="AP244" s="99">
        <f>Table6[[#This Row],[(A/S) AJD]]-Table6[[#This Row],[SER_IN]]</f>
        <v/>
      </c>
    </row>
    <row r="245" ht="18.75" customHeight="1">
      <c r="A245" s="98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Table6[[#This Row],[(RESV. STORGE) AJD]]/10</f>
        <v/>
      </c>
      <c r="AB245" s="3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32" t="n"/>
      <c r="AN245" s="32">
        <f>Table6[[#This Row],[ (RESV. STORGE) SER]]/10</f>
        <v/>
      </c>
      <c r="AO245" s="68" t="n"/>
      <c r="AP245" s="99">
        <f>Table6[[#This Row],[(A/S) AJD]]-Table6[[#This Row],[SER_IN]]</f>
        <v/>
      </c>
    </row>
    <row r="246" ht="18.75" customHeight="1">
      <c r="A246" s="98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Table6[[#This Row],[(RESV. STORGE) AJD]]/10</f>
        <v/>
      </c>
      <c r="AB246" s="3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32" t="n"/>
      <c r="AN246" s="32">
        <f>Table6[[#This Row],[ (RESV. STORGE) SER]]/10</f>
        <v/>
      </c>
      <c r="AO246" s="68" t="n"/>
      <c r="AP246" s="99">
        <f>Table6[[#This Row],[(A/S) AJD]]-Table6[[#This Row],[SER_IN]]</f>
        <v/>
      </c>
    </row>
    <row r="247" ht="18.75" customHeight="1">
      <c r="A247" s="98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Table6[[#This Row],[(RESV. STORGE) AJD]]/10</f>
        <v/>
      </c>
      <c r="AB247" s="3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32" t="n"/>
      <c r="AN247" s="32">
        <f>Table6[[#This Row],[ (RESV. STORGE) SER]]/10</f>
        <v/>
      </c>
      <c r="AO247" s="68" t="n"/>
      <c r="AP247" s="99">
        <f>Table6[[#This Row],[(A/S) AJD]]-Table6[[#This Row],[SER_IN]]</f>
        <v/>
      </c>
    </row>
    <row r="248" ht="18.75" customHeight="1">
      <c r="A248" s="98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Table6[[#This Row],[(RESV. STORGE) AJD]]/10</f>
        <v/>
      </c>
      <c r="AB248" s="3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32" t="n"/>
      <c r="AN248" s="32">
        <f>Table6[[#This Row],[ (RESV. STORGE) SER]]/10</f>
        <v/>
      </c>
      <c r="AO248" s="68" t="n"/>
      <c r="AP248" s="99">
        <f>Table6[[#This Row],[(A/S) AJD]]-Table6[[#This Row],[SER_IN]]</f>
        <v/>
      </c>
    </row>
    <row r="249" ht="18.75" customHeight="1">
      <c r="A249" s="98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Table6[[#This Row],[(RESV. STORGE) AJD]]/10</f>
        <v/>
      </c>
      <c r="AB249" s="3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32" t="n"/>
      <c r="AN249" s="32">
        <f>Table6[[#This Row],[ (RESV. STORGE) SER]]/10</f>
        <v/>
      </c>
      <c r="AO249" s="68" t="n"/>
      <c r="AP249" s="99">
        <f>Table6[[#This Row],[(A/S) AJD]]-Table6[[#This Row],[SER_IN]]</f>
        <v/>
      </c>
    </row>
    <row r="250" ht="18.75" customHeight="1">
      <c r="A250" s="98" t="n">
        <v>47732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Table6[[#This Row],[ (T/B) SAR]]+Table6[[#This Row],[ (S/S) SAR]]</f>
        <v/>
      </c>
      <c r="L250" s="45" t="n"/>
      <c r="M250" s="46" t="n"/>
      <c r="N250" s="46" t="n"/>
      <c r="O250" s="40" t="n"/>
      <c r="P250" s="9">
        <f>Table6[[#This Row],[ (S/S) SAR]]-Table6[[#This Row],[(S/S) AJD]]</f>
        <v/>
      </c>
      <c r="Q250" s="40" t="n"/>
      <c r="R250" s="9">
        <f>Table6[[#This Row],[ (T/B) SAR]]-Table6[[#This Row],[(T/B) AJD]]</f>
        <v/>
      </c>
      <c r="S250" s="9">
        <f>Table6[[#This Row],[S/S_CON.]]+Table6[[#This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Table6[[#This Row],[(RESV. STORGE) AJD]]/10</f>
        <v/>
      </c>
      <c r="AB250" s="3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32" t="n"/>
      <c r="AN250" s="32">
        <f>Table6[[#This Row],[ (RESV. STORGE) SER]]/10</f>
        <v/>
      </c>
      <c r="AO250" s="68" t="n"/>
      <c r="AP250" s="99">
        <f>Table6[[#This Row],[(A/S) AJD]]-Table6[[#This Row],[SER_IN]]</f>
        <v/>
      </c>
    </row>
    <row r="251" ht="18.75" customHeight="1">
      <c r="A251" s="98" t="n">
        <v>47733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Table6[[#This Row],[ (T/B) SAR]]+Table6[[#This Row],[ (S/S) SAR]]</f>
        <v/>
      </c>
      <c r="L251" s="41" t="n"/>
      <c r="M251" s="42" t="n"/>
      <c r="N251" s="42" t="n"/>
      <c r="O251" s="39" t="n"/>
      <c r="P251" s="9">
        <f>Table6[[#This Row],[ (S/S) SAR]]-Table6[[#This Row],[(S/S) AJD]]</f>
        <v/>
      </c>
      <c r="Q251" s="39" t="n"/>
      <c r="R251" s="9">
        <f>Table6[[#This Row],[ (T/B) SAR]]-Table6[[#This Row],[(T/B) AJD]]</f>
        <v/>
      </c>
      <c r="S251" s="9">
        <f>Table6[[#This Row],[S/S_CON.]]+Table6[[#This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Table6[[#This Row],[(RESV. STORGE) AJD]]/10</f>
        <v/>
      </c>
      <c r="AB251" s="3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32" t="n"/>
      <c r="AN251" s="32">
        <f>Table6[[#This Row],[ (RESV. STORGE) SER]]/10</f>
        <v/>
      </c>
      <c r="AO251" s="68" t="n"/>
      <c r="AP251" s="99">
        <f>Table6[[#This Row],[(A/S) AJD]]-Table6[[#This Row],[SER_IN]]</f>
        <v/>
      </c>
    </row>
    <row r="252" ht="18.75" customHeight="1">
      <c r="A252" s="98" t="n">
        <v>47734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Table6[[#This Row],[ (T/B) SAR]]+Table6[[#This Row],[ (S/S) SAR]]</f>
        <v/>
      </c>
      <c r="L252" s="45" t="n"/>
      <c r="M252" s="46" t="n"/>
      <c r="N252" s="46" t="n"/>
      <c r="O252" s="40" t="n"/>
      <c r="P252" s="9">
        <f>Table6[[#This Row],[ (S/S) SAR]]-Table6[[#This Row],[(S/S) AJD]]</f>
        <v/>
      </c>
      <c r="Q252" s="40" t="n"/>
      <c r="R252" s="9">
        <f>Table6[[#This Row],[ (T/B) SAR]]-Table6[[#This Row],[(T/B) AJD]]</f>
        <v/>
      </c>
      <c r="S252" s="9">
        <f>Table6[[#This Row],[S/S_CON.]]+Table6[[#This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Table6[[#This Row],[(RESV. STORGE) AJD]]/10</f>
        <v/>
      </c>
      <c r="AB252" s="3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32" t="n"/>
      <c r="AN252" s="32">
        <f>Table6[[#This Row],[ (RESV. STORGE) SER]]/10</f>
        <v/>
      </c>
      <c r="AO252" s="68" t="n"/>
      <c r="AP252" s="99">
        <f>Table6[[#This Row],[(A/S) AJD]]-Table6[[#This Row],[SER_IN]]</f>
        <v/>
      </c>
    </row>
    <row r="253" ht="18.75" customHeight="1">
      <c r="A253" s="98" t="n">
        <v>47735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Table6[[#This Row],[ (T/B) SAR]]+Table6[[#This Row],[ (S/S) SAR]]</f>
        <v/>
      </c>
      <c r="L253" s="41" t="n"/>
      <c r="M253" s="42" t="n"/>
      <c r="N253" s="42" t="n"/>
      <c r="O253" s="39" t="n"/>
      <c r="P253" s="9">
        <f>Table6[[#This Row],[ (S/S) SAR]]-Table6[[#This Row],[(S/S) AJD]]</f>
        <v/>
      </c>
      <c r="Q253" s="39" t="n"/>
      <c r="R253" s="9">
        <f>Table6[[#This Row],[ (T/B) SAR]]-Table6[[#This Row],[(T/B) AJD]]</f>
        <v/>
      </c>
      <c r="S253" s="9">
        <f>Table6[[#This Row],[S/S_CON.]]+Table6[[#This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Table6[[#This Row],[(RESV. STORGE) AJD]]/10</f>
        <v/>
      </c>
      <c r="AB253" s="3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32" t="n"/>
      <c r="AN253" s="32">
        <f>Table6[[#This Row],[ (RESV. STORGE) SER]]/10</f>
        <v/>
      </c>
      <c r="AO253" s="68" t="n"/>
      <c r="AP253" s="99">
        <f>Table6[[#This Row],[(A/S) AJD]]-Table6[[#This Row],[SER_IN]]</f>
        <v/>
      </c>
    </row>
    <row r="254" ht="18.75" customHeight="1">
      <c r="A254" s="98" t="n">
        <v>47736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Table6[[#This Row],[ (T/B) SAR]]+Table6[[#This Row],[ (S/S) SAR]]</f>
        <v/>
      </c>
      <c r="L254" s="45" t="n"/>
      <c r="M254" s="46" t="n"/>
      <c r="N254" s="46" t="n"/>
      <c r="O254" s="40" t="n"/>
      <c r="P254" s="9">
        <f>Table6[[#This Row],[ (S/S) SAR]]-Table6[[#This Row],[(S/S) AJD]]</f>
        <v/>
      </c>
      <c r="Q254" s="40" t="n"/>
      <c r="R254" s="9">
        <f>Table6[[#This Row],[ (T/B) SAR]]-Table6[[#This Row],[(T/B) AJD]]</f>
        <v/>
      </c>
      <c r="S254" s="9">
        <f>Table6[[#This Row],[S/S_CON.]]+Table6[[#This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Table6[[#This Row],[(RESV. STORGE) AJD]]/10</f>
        <v/>
      </c>
      <c r="AB254" s="3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32" t="n"/>
      <c r="AN254" s="32">
        <f>Table6[[#This Row],[ (RESV. STORGE) SER]]/10</f>
        <v/>
      </c>
      <c r="AO254" s="68" t="n"/>
      <c r="AP254" s="99">
        <f>Table6[[#This Row],[(A/S) AJD]]-Table6[[#This Row],[SER_IN]]</f>
        <v/>
      </c>
    </row>
    <row r="255" ht="18.75" customHeight="1">
      <c r="A255" s="98" t="n">
        <v>47737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Table6[[#This Row],[ (T/B) SAR]]+Table6[[#This Row],[ (S/S) SAR]]</f>
        <v/>
      </c>
      <c r="L255" s="41" t="n"/>
      <c r="M255" s="42" t="n"/>
      <c r="N255" s="42" t="n"/>
      <c r="O255" s="39" t="n"/>
      <c r="P255" s="9">
        <f>Table6[[#This Row],[ (S/S) SAR]]-Table6[[#This Row],[(S/S) AJD]]</f>
        <v/>
      </c>
      <c r="Q255" s="39" t="n"/>
      <c r="R255" s="9">
        <f>Table6[[#This Row],[ (T/B) SAR]]-Table6[[#This Row],[(T/B) AJD]]</f>
        <v/>
      </c>
      <c r="S255" s="9">
        <f>Table6[[#This Row],[S/S_CON.]]+Table6[[#This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Table6[[#This Row],[(RESV. STORGE) AJD]]/10</f>
        <v/>
      </c>
      <c r="AB255" s="3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32" t="n"/>
      <c r="AN255" s="32">
        <f>Table6[[#This Row],[ (RESV. STORGE) SER]]/10</f>
        <v/>
      </c>
      <c r="AO255" s="68" t="n"/>
      <c r="AP255" s="99">
        <f>Table6[[#This Row],[(A/S) AJD]]-Table6[[#This Row],[SER_IN]]</f>
        <v/>
      </c>
    </row>
    <row r="256" ht="18.75" customHeight="1">
      <c r="A256" s="98" t="n">
        <v>47738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Table6[[#This Row],[ (T/B) SAR]]+Table6[[#This Row],[ (S/S) SAR]]</f>
        <v/>
      </c>
      <c r="L256" s="45" t="n"/>
      <c r="M256" s="46" t="n"/>
      <c r="N256" s="46" t="n"/>
      <c r="O256" s="40" t="n"/>
      <c r="P256" s="9">
        <f>Table6[[#This Row],[ (S/S) SAR]]-Table6[[#This Row],[(S/S) AJD]]</f>
        <v/>
      </c>
      <c r="Q256" s="40" t="n"/>
      <c r="R256" s="9">
        <f>Table6[[#This Row],[ (T/B) SAR]]-Table6[[#This Row],[(T/B) AJD]]</f>
        <v/>
      </c>
      <c r="S256" s="9">
        <f>Table6[[#This Row],[S/S_CON.]]+Table6[[#This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Table6[[#This Row],[(RESV. STORGE) AJD]]/10</f>
        <v/>
      </c>
      <c r="AB256" s="3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32" t="n"/>
      <c r="AN256" s="32">
        <f>Table6[[#This Row],[ (RESV. STORGE) SER]]/10</f>
        <v/>
      </c>
      <c r="AO256" s="68" t="n"/>
      <c r="AP256" s="99">
        <f>Table6[[#This Row],[(A/S) AJD]]-Table6[[#This Row],[SER_IN]]</f>
        <v/>
      </c>
    </row>
    <row r="257" ht="18.75" customHeight="1">
      <c r="A257" s="98" t="n">
        <v>47739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Table6[[#This Row],[ (T/B) SAR]]+Table6[[#This Row],[ (S/S) SAR]]</f>
        <v/>
      </c>
      <c r="L257" s="41" t="n"/>
      <c r="M257" s="42" t="n"/>
      <c r="N257" s="42" t="n"/>
      <c r="O257" s="39" t="n"/>
      <c r="P257" s="9">
        <f>Table6[[#This Row],[ (S/S) SAR]]-Table6[[#This Row],[(S/S) AJD]]</f>
        <v/>
      </c>
      <c r="Q257" s="39" t="n"/>
      <c r="R257" s="9">
        <f>Table6[[#This Row],[ (T/B) SAR]]-Table6[[#This Row],[(T/B) AJD]]</f>
        <v/>
      </c>
      <c r="S257" s="9">
        <f>Table6[[#This Row],[S/S_CON.]]+Table6[[#This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Table6[[#This Row],[(RESV. STORGE) AJD]]/10</f>
        <v/>
      </c>
      <c r="AB257" s="3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32" t="n"/>
      <c r="AN257" s="32">
        <f>Table6[[#This Row],[ (RESV. STORGE) SER]]/10</f>
        <v/>
      </c>
      <c r="AO257" s="68" t="n"/>
      <c r="AP257" s="99">
        <f>Table6[[#This Row],[(A/S) AJD]]-Table6[[#This Row],[SER_IN]]</f>
        <v/>
      </c>
    </row>
    <row r="258" ht="18.75" customHeight="1">
      <c r="A258" s="98" t="n">
        <v>47740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Table6[[#This Row],[ (T/B) SAR]]+Table6[[#This Row],[ (S/S) SAR]]</f>
        <v/>
      </c>
      <c r="L258" s="45" t="n"/>
      <c r="M258" s="46" t="n"/>
      <c r="N258" s="46" t="n"/>
      <c r="O258" s="40" t="n"/>
      <c r="P258" s="9">
        <f>Table6[[#This Row],[ (S/S) SAR]]-Table6[[#This Row],[(S/S) AJD]]</f>
        <v/>
      </c>
      <c r="Q258" s="40" t="n"/>
      <c r="R258" s="9">
        <f>Table6[[#This Row],[ (T/B) SAR]]-Table6[[#This Row],[(T/B) AJD]]</f>
        <v/>
      </c>
      <c r="S258" s="9">
        <f>Table6[[#This Row],[S/S_CON.]]+Table6[[#This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Table6[[#This Row],[(RESV. STORGE) AJD]]/10</f>
        <v/>
      </c>
      <c r="AB258" s="3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32" t="n"/>
      <c r="AN258" s="32">
        <f>Table6[[#This Row],[ (RESV. STORGE) SER]]/10</f>
        <v/>
      </c>
      <c r="AO258" s="68" t="n"/>
      <c r="AP258" s="99">
        <f>Table6[[#This Row],[(A/S) AJD]]-Table6[[#This Row],[SER_IN]]</f>
        <v/>
      </c>
    </row>
    <row r="259" ht="18.75" customHeight="1">
      <c r="A259" s="98" t="n">
        <v>47741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Table6[[#This Row],[ (T/B) SAR]]+Table6[[#This Row],[ (S/S) SAR]]</f>
        <v/>
      </c>
      <c r="L259" s="41" t="n"/>
      <c r="M259" s="42" t="n"/>
      <c r="N259" s="42" t="n"/>
      <c r="O259" s="39" t="n"/>
      <c r="P259" s="9">
        <f>Table6[[#This Row],[ (S/S) SAR]]-Table6[[#This Row],[(S/S) AJD]]</f>
        <v/>
      </c>
      <c r="Q259" s="39" t="n"/>
      <c r="R259" s="9">
        <f>Table6[[#This Row],[ (T/B) SAR]]-Table6[[#This Row],[(T/B) AJD]]</f>
        <v/>
      </c>
      <c r="S259" s="9">
        <f>Table6[[#This Row],[S/S_CON.]]+Table6[[#This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Table6[[#This Row],[(RESV. STORGE) AJD]]/10</f>
        <v/>
      </c>
      <c r="AB259" s="3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32" t="n"/>
      <c r="AN259" s="32">
        <f>Table6[[#This Row],[ (RESV. STORGE) SER]]/10</f>
        <v/>
      </c>
      <c r="AO259" s="68" t="n"/>
      <c r="AP259" s="99">
        <f>Table6[[#This Row],[(A/S) AJD]]-Table6[[#This Row],[SER_IN]]</f>
        <v/>
      </c>
    </row>
    <row r="260" ht="18.75" customHeight="1">
      <c r="A260" s="98" t="n">
        <v>47742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Table6[[#This Row],[ (T/B) SAR]]+Table6[[#This Row],[ (S/S) SAR]]</f>
        <v/>
      </c>
      <c r="L260" s="45" t="n"/>
      <c r="M260" s="46" t="n"/>
      <c r="N260" s="46" t="n"/>
      <c r="O260" s="40" t="n"/>
      <c r="P260" s="9">
        <f>Table6[[#This Row],[ (S/S) SAR]]-Table6[[#This Row],[(S/S) AJD]]</f>
        <v/>
      </c>
      <c r="Q260" s="40" t="n"/>
      <c r="R260" s="9">
        <f>Table6[[#This Row],[ (T/B) SAR]]-Table6[[#This Row],[(T/B) AJD]]</f>
        <v/>
      </c>
      <c r="S260" s="9">
        <f>Table6[[#This Row],[S/S_CON.]]+Table6[[#This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Table6[[#This Row],[(RESV. STORGE) AJD]]/10</f>
        <v/>
      </c>
      <c r="AB260" s="3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32" t="n"/>
      <c r="AN260" s="32">
        <f>Table6[[#This Row],[ (RESV. STORGE) SER]]/10</f>
        <v/>
      </c>
      <c r="AO260" s="68" t="n"/>
      <c r="AP260" s="99">
        <f>Table6[[#This Row],[(A/S) AJD]]-Table6[[#This Row],[SER_IN]]</f>
        <v/>
      </c>
    </row>
    <row r="261" ht="18.75" customHeight="1">
      <c r="A261" s="98" t="n">
        <v>47743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Table6[[#This Row],[ (T/B) SAR]]+Table6[[#This Row],[ (S/S) SAR]]</f>
        <v/>
      </c>
      <c r="L261" s="41" t="n"/>
      <c r="M261" s="42" t="n"/>
      <c r="N261" s="42" t="n"/>
      <c r="O261" s="39" t="n"/>
      <c r="P261" s="9">
        <f>Table6[[#This Row],[ (S/S) SAR]]-Table6[[#This Row],[(S/S) AJD]]</f>
        <v/>
      </c>
      <c r="Q261" s="39" t="n"/>
      <c r="R261" s="9">
        <f>Table6[[#This Row],[ (T/B) SAR]]-Table6[[#This Row],[(T/B) AJD]]</f>
        <v/>
      </c>
      <c r="S261" s="9">
        <f>Table6[[#This Row],[S/S_CON.]]+Table6[[#This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Table6[[#This Row],[(RESV. STORGE) AJD]]/10</f>
        <v/>
      </c>
      <c r="AB261" s="3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32" t="n"/>
      <c r="AN261" s="32">
        <f>Table6[[#This Row],[ (RESV. STORGE) SER]]/10</f>
        <v/>
      </c>
      <c r="AO261" s="68" t="n"/>
      <c r="AP261" s="99">
        <f>Table6[[#This Row],[(A/S) AJD]]-Table6[[#This Row],[SER_IN]]</f>
        <v/>
      </c>
    </row>
    <row r="262" ht="18.75" customHeight="1">
      <c r="A262" s="98" t="n">
        <v>47744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Table6[[#This Row],[ (T/B) SAR]]+Table6[[#This Row],[ (S/S) SAR]]</f>
        <v/>
      </c>
      <c r="L262" s="45" t="n"/>
      <c r="M262" s="46" t="n"/>
      <c r="N262" s="46" t="n"/>
      <c r="O262" s="40" t="n"/>
      <c r="P262" s="9">
        <f>Table6[[#This Row],[ (S/S) SAR]]-Table6[[#This Row],[(S/S) AJD]]</f>
        <v/>
      </c>
      <c r="Q262" s="40" t="n"/>
      <c r="R262" s="9">
        <f>Table6[[#This Row],[ (T/B) SAR]]-Table6[[#This Row],[(T/B) AJD]]</f>
        <v/>
      </c>
      <c r="S262" s="9">
        <f>Table6[[#This Row],[S/S_CON.]]+Table6[[#This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Table6[[#This Row],[(RESV. STORGE) AJD]]/10</f>
        <v/>
      </c>
      <c r="AB262" s="3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32" t="n"/>
      <c r="AN262" s="32">
        <f>Table6[[#This Row],[ (RESV. STORGE) SER]]/10</f>
        <v/>
      </c>
      <c r="AO262" s="68" t="n"/>
      <c r="AP262" s="99">
        <f>Table6[[#This Row],[(A/S) AJD]]-Table6[[#This Row],[SER_IN]]</f>
        <v/>
      </c>
    </row>
    <row r="263" ht="18.75" customHeight="1">
      <c r="A263" s="98" t="n">
        <v>47745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Table6[[#This Row],[ (T/B) SAR]]+Table6[[#This Row],[ (S/S) SAR]]</f>
        <v/>
      </c>
      <c r="L263" s="41" t="n"/>
      <c r="M263" s="42" t="n"/>
      <c r="N263" s="42" t="n"/>
      <c r="O263" s="39" t="n"/>
      <c r="P263" s="9">
        <f>Table6[[#This Row],[ (S/S) SAR]]-Table6[[#This Row],[(S/S) AJD]]</f>
        <v/>
      </c>
      <c r="Q263" s="39" t="n"/>
      <c r="R263" s="9">
        <f>Table6[[#This Row],[ (T/B) SAR]]-Table6[[#This Row],[(T/B) AJD]]</f>
        <v/>
      </c>
      <c r="S263" s="9">
        <f>Table6[[#This Row],[S/S_CON.]]+Table6[[#This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Table6[[#This Row],[(RESV. STORGE) AJD]]/10</f>
        <v/>
      </c>
      <c r="AB263" s="3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32" t="n"/>
      <c r="AN263" s="32">
        <f>Table6[[#This Row],[ (RESV. STORGE) SER]]/10</f>
        <v/>
      </c>
      <c r="AO263" s="68" t="n"/>
      <c r="AP263" s="99">
        <f>Table6[[#This Row],[(A/S) AJD]]-Table6[[#This Row],[SER_IN]]</f>
        <v/>
      </c>
    </row>
    <row r="264" ht="18.75" customHeight="1">
      <c r="A264" s="98" t="n">
        <v>47746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Table6[[#This Row],[ (T/B) SAR]]+Table6[[#This Row],[ (S/S) SAR]]</f>
        <v/>
      </c>
      <c r="L264" s="45" t="n"/>
      <c r="M264" s="46" t="n"/>
      <c r="N264" s="46" t="n"/>
      <c r="O264" s="40" t="n"/>
      <c r="P264" s="9">
        <f>Table6[[#This Row],[ (S/S) SAR]]-Table6[[#This Row],[(S/S) AJD]]</f>
        <v/>
      </c>
      <c r="Q264" s="40" t="n"/>
      <c r="R264" s="9">
        <f>Table6[[#This Row],[ (T/B) SAR]]-Table6[[#This Row],[(T/B) AJD]]</f>
        <v/>
      </c>
      <c r="S264" s="9">
        <f>Table6[[#This Row],[S/S_CON.]]+Table6[[#This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Table6[[#This Row],[(RESV. STORGE) AJD]]/10</f>
        <v/>
      </c>
      <c r="AB264" s="3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32" t="n"/>
      <c r="AN264" s="32">
        <f>Table6[[#This Row],[ (RESV. STORGE) SER]]/10</f>
        <v/>
      </c>
      <c r="AO264" s="68" t="n"/>
      <c r="AP264" s="99">
        <f>Table6[[#This Row],[(A/S) AJD]]-Table6[[#This Row],[SER_IN]]</f>
        <v/>
      </c>
    </row>
    <row r="265" ht="18.75" customHeight="1">
      <c r="A265" s="98" t="n">
        <v>47747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Table6[[#This Row],[ (T/B) SAR]]+Table6[[#This Row],[ (S/S) SAR]]</f>
        <v/>
      </c>
      <c r="L265" s="41" t="n"/>
      <c r="M265" s="42" t="n"/>
      <c r="N265" s="42" t="n"/>
      <c r="O265" s="39" t="n"/>
      <c r="P265" s="9">
        <f>Table6[[#This Row],[ (S/S) SAR]]-Table6[[#This Row],[(S/S) AJD]]</f>
        <v/>
      </c>
      <c r="Q265" s="39" t="n"/>
      <c r="R265" s="9">
        <f>Table6[[#This Row],[ (T/B) SAR]]-Table6[[#This Row],[(T/B) AJD]]</f>
        <v/>
      </c>
      <c r="S265" s="9">
        <f>Table6[[#This Row],[S/S_CON.]]+Table6[[#This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Table6[[#This Row],[(RESV. STORGE) AJD]]/10</f>
        <v/>
      </c>
      <c r="AB265" s="3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32" t="n"/>
      <c r="AN265" s="32">
        <f>Table6[[#This Row],[ (RESV. STORGE) SER]]/10</f>
        <v/>
      </c>
      <c r="AO265" s="68" t="n"/>
      <c r="AP265" s="99">
        <f>Table6[[#This Row],[(A/S) AJD]]-Table6[[#This Row],[SER_IN]]</f>
        <v/>
      </c>
    </row>
    <row r="266" ht="18.75" customHeight="1">
      <c r="A266" s="98" t="n">
        <v>47748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Table6[[#This Row],[ (T/B) SAR]]+Table6[[#This Row],[ (S/S) SAR]]</f>
        <v/>
      </c>
      <c r="L266" s="45" t="n"/>
      <c r="M266" s="46" t="n"/>
      <c r="N266" s="46" t="n"/>
      <c r="O266" s="40" t="n"/>
      <c r="P266" s="9">
        <f>Table6[[#This Row],[ (S/S) SAR]]-Table6[[#This Row],[(S/S) AJD]]</f>
        <v/>
      </c>
      <c r="Q266" s="40" t="n"/>
      <c r="R266" s="9">
        <f>Table6[[#This Row],[ (T/B) SAR]]-Table6[[#This Row],[(T/B) AJD]]</f>
        <v/>
      </c>
      <c r="S266" s="9">
        <f>Table6[[#This Row],[S/S_CON.]]+Table6[[#This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Table6[[#This Row],[(RESV. STORGE) AJD]]/10</f>
        <v/>
      </c>
      <c r="AB266" s="3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32" t="n"/>
      <c r="AN266" s="32">
        <f>Table6[[#This Row],[ (RESV. STORGE) SER]]/10</f>
        <v/>
      </c>
      <c r="AO266" s="68" t="n"/>
      <c r="AP266" s="99">
        <f>Table6[[#This Row],[(A/S) AJD]]-Table6[[#This Row],[SER_IN]]</f>
        <v/>
      </c>
    </row>
    <row r="267" ht="18.75" customHeight="1">
      <c r="A267" s="98" t="n">
        <v>47749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Table6[[#This Row],[ (T/B) SAR]]+Table6[[#This Row],[ (S/S) SAR]]</f>
        <v/>
      </c>
      <c r="L267" s="41" t="n"/>
      <c r="M267" s="42" t="n"/>
      <c r="N267" s="42" t="n"/>
      <c r="O267" s="39" t="n"/>
      <c r="P267" s="9">
        <f>Table6[[#This Row],[ (S/S) SAR]]-Table6[[#This Row],[(S/S) AJD]]</f>
        <v/>
      </c>
      <c r="Q267" s="39" t="n"/>
      <c r="R267" s="9">
        <f>Table6[[#This Row],[ (T/B) SAR]]-Table6[[#This Row],[(T/B) AJD]]</f>
        <v/>
      </c>
      <c r="S267" s="9">
        <f>Table6[[#This Row],[S/S_CON.]]+Table6[[#This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Table6[[#This Row],[(RESV. STORGE) AJD]]/10</f>
        <v/>
      </c>
      <c r="AB267" s="3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32" t="n"/>
      <c r="AN267" s="32">
        <f>Table6[[#This Row],[ (RESV. STORGE) SER]]/10</f>
        <v/>
      </c>
      <c r="AO267" s="68" t="n"/>
      <c r="AP267" s="99">
        <f>Table6[[#This Row],[(A/S) AJD]]-Table6[[#This Row],[SER_IN]]</f>
        <v/>
      </c>
    </row>
    <row r="268" ht="18.75" customHeight="1">
      <c r="A268" s="98" t="n">
        <v>47750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Table6[[#This Row],[ (T/B) SAR]]+Table6[[#This Row],[ (S/S) SAR]]</f>
        <v/>
      </c>
      <c r="L268" s="45" t="n"/>
      <c r="M268" s="46" t="n"/>
      <c r="N268" s="46" t="n"/>
      <c r="O268" s="40" t="n"/>
      <c r="P268" s="9">
        <f>Table6[[#This Row],[ (S/S) SAR]]-Table6[[#This Row],[(S/S) AJD]]</f>
        <v/>
      </c>
      <c r="Q268" s="40" t="n"/>
      <c r="R268" s="9">
        <f>Table6[[#This Row],[ (T/B) SAR]]-Table6[[#This Row],[(T/B) AJD]]</f>
        <v/>
      </c>
      <c r="S268" s="9">
        <f>Table6[[#This Row],[S/S_CON.]]+Table6[[#This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Table6[[#This Row],[(RESV. STORGE) AJD]]/10</f>
        <v/>
      </c>
      <c r="AB268" s="3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32" t="n"/>
      <c r="AN268" s="32">
        <f>Table6[[#This Row],[ (RESV. STORGE) SER]]/10</f>
        <v/>
      </c>
      <c r="AO268" s="68" t="n"/>
      <c r="AP268" s="99">
        <f>Table6[[#This Row],[(A/S) AJD]]-Table6[[#This Row],[SER_IN]]</f>
        <v/>
      </c>
    </row>
    <row r="269" ht="18.75" customHeight="1">
      <c r="A269" s="98" t="n">
        <v>47751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Table6[[#This Row],[ (T/B) SAR]]+Table6[[#This Row],[ (S/S) SAR]]</f>
        <v/>
      </c>
      <c r="L269" s="41" t="n"/>
      <c r="M269" s="42" t="n"/>
      <c r="N269" s="42" t="n"/>
      <c r="O269" s="39" t="n"/>
      <c r="P269" s="9">
        <f>Table6[[#This Row],[ (S/S) SAR]]-Table6[[#This Row],[(S/S) AJD]]</f>
        <v/>
      </c>
      <c r="Q269" s="39" t="n"/>
      <c r="R269" s="9">
        <f>Table6[[#This Row],[ (T/B) SAR]]-Table6[[#This Row],[(T/B) AJD]]</f>
        <v/>
      </c>
      <c r="S269" s="9">
        <f>Table6[[#This Row],[S/S_CON.]]+Table6[[#This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Table6[[#This Row],[(RESV. STORGE) AJD]]/10</f>
        <v/>
      </c>
      <c r="AB269" s="3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32" t="n"/>
      <c r="AN269" s="32">
        <f>Table6[[#This Row],[ (RESV. STORGE) SER]]/10</f>
        <v/>
      </c>
      <c r="AO269" s="68" t="n"/>
      <c r="AP269" s="99">
        <f>Table6[[#This Row],[(A/S) AJD]]-Table6[[#This Row],[SER_IN]]</f>
        <v/>
      </c>
    </row>
    <row r="270" ht="18.75" customHeight="1">
      <c r="A270" s="98" t="n">
        <v>47752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Table6[[#This Row],[ (T/B) SAR]]+Table6[[#This Row],[ (S/S) SAR]]</f>
        <v/>
      </c>
      <c r="L270" s="45" t="n"/>
      <c r="M270" s="46" t="n"/>
      <c r="N270" s="46" t="n"/>
      <c r="O270" s="40" t="n"/>
      <c r="P270" s="9">
        <f>Table6[[#This Row],[ (S/S) SAR]]-Table6[[#This Row],[(S/S) AJD]]</f>
        <v/>
      </c>
      <c r="Q270" s="40" t="n"/>
      <c r="R270" s="9">
        <f>Table6[[#This Row],[ (T/B) SAR]]-Table6[[#This Row],[(T/B) AJD]]</f>
        <v/>
      </c>
      <c r="S270" s="9">
        <f>Table6[[#This Row],[S/S_CON.]]+Table6[[#This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Table6[[#This Row],[(RESV. STORGE) AJD]]/10</f>
        <v/>
      </c>
      <c r="AB270" s="3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32" t="n"/>
      <c r="AN270" s="32">
        <f>Table6[[#This Row],[ (RESV. STORGE) SER]]/10</f>
        <v/>
      </c>
      <c r="AO270" s="68" t="n"/>
      <c r="AP270" s="99">
        <f>Table6[[#This Row],[(A/S) AJD]]-Table6[[#This Row],[SER_IN]]</f>
        <v/>
      </c>
    </row>
    <row r="271" ht="18.75" customHeight="1">
      <c r="A271" s="98" t="n">
        <v>47753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Table6[[#This Row],[ (T/B) SAR]]+Table6[[#This Row],[ (S/S) SAR]]</f>
        <v/>
      </c>
      <c r="L271" s="41" t="n"/>
      <c r="M271" s="42" t="n"/>
      <c r="N271" s="42" t="n"/>
      <c r="O271" s="39" t="n"/>
      <c r="P271" s="9">
        <f>Table6[[#This Row],[ (S/S) SAR]]-Table6[[#This Row],[(S/S) AJD]]</f>
        <v/>
      </c>
      <c r="Q271" s="9" t="n"/>
      <c r="R271" s="9">
        <f>Table6[[#This Row],[ (T/B) SAR]]-Table6[[#This Row],[(T/B) AJD]]</f>
        <v/>
      </c>
      <c r="S271" s="9">
        <f>Table6[[#This Row],[S/S_CON.]]+Table6[[#This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Table6[[#This Row],[(RESV. STORGE) AJD]]/10</f>
        <v/>
      </c>
      <c r="AB271" s="3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32" t="n"/>
      <c r="AN271" s="32">
        <f>Table6[[#This Row],[ (RESV. STORGE) SER]]/10</f>
        <v/>
      </c>
      <c r="AO271" s="68" t="n"/>
      <c r="AP271" s="99">
        <f>Table6[[#This Row],[(A/S) AJD]]-Table6[[#This Row],[SER_IN]]</f>
        <v/>
      </c>
    </row>
    <row r="272" ht="18.75" customHeight="1">
      <c r="A272" s="98" t="n">
        <v>47754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Table6[[#This Row],[ (T/B) SAR]]+Table6[[#This Row],[ (S/S) SAR]]</f>
        <v/>
      </c>
      <c r="L272" s="45" t="n"/>
      <c r="M272" s="46" t="n"/>
      <c r="N272" s="46" t="n"/>
      <c r="O272" s="9" t="n"/>
      <c r="P272" s="9">
        <f>Table6[[#This Row],[ (S/S) SAR]]-Table6[[#This Row],[(S/S) AJD]]</f>
        <v/>
      </c>
      <c r="Q272" s="9" t="n"/>
      <c r="R272" s="9">
        <f>Table6[[#This Row],[ (T/B) SAR]]-Table6[[#This Row],[(T/B) AJD]]</f>
        <v/>
      </c>
      <c r="S272" s="9">
        <f>Table6[[#This Row],[S/S_CON.]]+Table6[[#This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Table6[[#This Row],[(RESV. STORGE) AJD]]/10</f>
        <v/>
      </c>
      <c r="AB272" s="3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32" t="n"/>
      <c r="AN272" s="32">
        <f>Table6[[#This Row],[ (RESV. STORGE) SER]]/10</f>
        <v/>
      </c>
      <c r="AO272" s="68" t="n"/>
      <c r="AP272" s="99">
        <f>Table6[[#This Row],[(A/S) AJD]]-Table6[[#This Row],[SER_IN]]</f>
        <v/>
      </c>
    </row>
    <row r="273" ht="18.75" customHeight="1">
      <c r="A273" s="98" t="n">
        <v>47755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Table6[[#This Row],[ (T/B) SAR]]+Table6[[#This Row],[ (S/S) SAR]]</f>
        <v/>
      </c>
      <c r="L273" s="28" t="n"/>
      <c r="M273" s="29" t="n"/>
      <c r="N273" s="30" t="n"/>
      <c r="O273" s="9" t="n"/>
      <c r="P273" s="9">
        <f>Table6[[#This Row],[ (S/S) SAR]]-Table6[[#This Row],[(S/S) AJD]]</f>
        <v/>
      </c>
      <c r="Q273" s="9" t="n"/>
      <c r="R273" s="9">
        <f>Table6[[#This Row],[ (T/B) SAR]]-Table6[[#This Row],[(T/B) AJD]]</f>
        <v/>
      </c>
      <c r="S273" s="9">
        <f>Table6[[#This Row],[S/S_CON.]]+Table6[[#This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Table6[[#This Row],[(RESV. STORGE) AJD]]/10</f>
        <v/>
      </c>
      <c r="AB273" s="3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32" t="n"/>
      <c r="AN273" s="32">
        <f>Table6[[#This Row],[ (RESV. STORGE) SER]]/10</f>
        <v/>
      </c>
      <c r="AO273" s="68" t="n"/>
      <c r="AP273" s="99">
        <f>Table6[[#This Row],[(A/S) AJD]]-Table6[[#This Row],[SER_IN]]</f>
        <v/>
      </c>
    </row>
    <row r="274" ht="18.75" customHeight="1">
      <c r="A274" s="98" t="n">
        <v>47756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Table6[[#This Row],[ (T/B) SAR]]+Table6[[#This Row],[ (S/S) SAR]]</f>
        <v/>
      </c>
      <c r="L274" s="28" t="n"/>
      <c r="M274" s="29" t="n"/>
      <c r="N274" s="30" t="n"/>
      <c r="O274" s="9" t="n"/>
      <c r="P274" s="9">
        <f>Table6[[#This Row],[ (S/S) SAR]]-Table6[[#This Row],[(S/S) AJD]]</f>
        <v/>
      </c>
      <c r="Q274" s="9" t="n"/>
      <c r="R274" s="9">
        <f>Table6[[#This Row],[ (T/B) SAR]]-Table6[[#This Row],[(T/B) AJD]]</f>
        <v/>
      </c>
      <c r="S274" s="9">
        <f>Table6[[#This Row],[S/S_CON.]]+Table6[[#This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Table6[[#This Row],[(RESV. STORGE) AJD]]/10</f>
        <v/>
      </c>
      <c r="AB274" s="3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32" t="n"/>
      <c r="AN274" s="32">
        <f>Table6[[#This Row],[ (RESV. STORGE) SER]]/10</f>
        <v/>
      </c>
      <c r="AO274" s="68" t="n"/>
      <c r="AP274" s="99">
        <f>Table6[[#This Row],[(A/S) AJD]]-Table6[[#This Row],[SER_IN]]</f>
        <v/>
      </c>
    </row>
    <row r="275" ht="18.75" customHeight="1">
      <c r="A275" s="98" t="n">
        <v>47757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Table6[[#This Row],[ (T/B) SAR]]+Table6[[#This Row],[ (S/S) SAR]]</f>
        <v/>
      </c>
      <c r="L275" s="28" t="n"/>
      <c r="M275" s="29" t="n"/>
      <c r="N275" s="30" t="n"/>
      <c r="O275" s="14" t="n"/>
      <c r="P275" s="9">
        <f>Table6[[#This Row],[ (S/S) SAR]]-Table6[[#This Row],[(S/S) AJD]]</f>
        <v/>
      </c>
      <c r="Q275" s="14" t="n"/>
      <c r="R275" s="9">
        <f>Table6[[#This Row],[ (T/B) SAR]]-Table6[[#This Row],[(T/B) AJD]]</f>
        <v/>
      </c>
      <c r="S275" s="9">
        <f>Table6[[#This Row],[S/S_CON.]]+Table6[[#This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Table6[[#This Row],[(RESV. STORGE) AJD]]/10</f>
        <v/>
      </c>
      <c r="AB275" s="3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32" t="n"/>
      <c r="AN275" s="32">
        <f>Table6[[#This Row],[ (RESV. STORGE) SER]]/10</f>
        <v/>
      </c>
      <c r="AO275" s="68" t="n"/>
      <c r="AP275" s="99">
        <f>Table6[[#This Row],[(A/S) AJD]]-Table6[[#This Row],[SER_IN]]</f>
        <v/>
      </c>
    </row>
    <row r="276" ht="18.75" customHeight="1">
      <c r="A276" s="98" t="n">
        <v>47758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Table6[[#This Row],[ (T/B) SAR]]+Table6[[#This Row],[ (S/S) SAR]]</f>
        <v/>
      </c>
      <c r="L276" s="28" t="n"/>
      <c r="M276" s="29" t="n"/>
      <c r="N276" s="30" t="n"/>
      <c r="O276" s="14" t="n"/>
      <c r="P276" s="9">
        <f>Table6[[#This Row],[ (S/S) SAR]]-Table6[[#This Row],[(S/S) AJD]]</f>
        <v/>
      </c>
      <c r="Q276" s="14" t="n"/>
      <c r="R276" s="9">
        <f>Table6[[#This Row],[ (T/B) SAR]]-Table6[[#This Row],[(T/B) AJD]]</f>
        <v/>
      </c>
      <c r="S276" s="9">
        <f>Table6[[#This Row],[S/S_CON.]]+Table6[[#This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Table6[[#This Row],[(RESV. STORGE) AJD]]/10</f>
        <v/>
      </c>
      <c r="AB276" s="3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32" t="n"/>
      <c r="AN276" s="32">
        <f>Table6[[#This Row],[ (RESV. STORGE) SER]]/10</f>
        <v/>
      </c>
      <c r="AO276" s="68" t="n"/>
      <c r="AP276" s="99">
        <f>Table6[[#This Row],[(A/S) AJD]]-Table6[[#This Row],[SER_IN]]</f>
        <v/>
      </c>
    </row>
    <row r="277" ht="18.75" customHeight="1">
      <c r="A277" s="98" t="n">
        <v>47759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Table6[[#This Row],[ (T/B) SAR]]+Table6[[#This Row],[ (S/S) SAR]]</f>
        <v/>
      </c>
      <c r="L277" s="28" t="n"/>
      <c r="M277" s="29" t="n"/>
      <c r="N277" s="30" t="n"/>
      <c r="O277" s="14" t="n"/>
      <c r="P277" s="9">
        <f>Table6[[#This Row],[ (S/S) SAR]]-Table6[[#This Row],[(S/S) AJD]]</f>
        <v/>
      </c>
      <c r="Q277" s="14" t="n"/>
      <c r="R277" s="9">
        <f>Table6[[#This Row],[ (T/B) SAR]]-Table6[[#This Row],[(T/B) AJD]]</f>
        <v/>
      </c>
      <c r="S277" s="9">
        <f>Table6[[#This Row],[S/S_CON.]]+Table6[[#This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Table6[[#This Row],[(RESV. STORGE) AJD]]/10</f>
        <v/>
      </c>
      <c r="AB277" s="3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32" t="n"/>
      <c r="AN277" s="32">
        <f>Table6[[#This Row],[ (RESV. STORGE) SER]]/10</f>
        <v/>
      </c>
      <c r="AO277" s="68" t="n"/>
      <c r="AP277" s="99">
        <f>Table6[[#This Row],[(A/S) AJD]]-Table6[[#This Row],[SER_IN]]</f>
        <v/>
      </c>
    </row>
    <row r="278" ht="18.75" customHeight="1">
      <c r="A278" s="98" t="n">
        <v>47760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Table6[[#This Row],[ (T/B) SAR]]+Table6[[#This Row],[ (S/S) SAR]]</f>
        <v/>
      </c>
      <c r="L278" s="28" t="n"/>
      <c r="M278" s="29" t="n"/>
      <c r="N278" s="30" t="n"/>
      <c r="O278" s="14" t="n"/>
      <c r="P278" s="9">
        <f>Table6[[#This Row],[ (S/S) SAR]]-Table6[[#This Row],[(S/S) AJD]]</f>
        <v/>
      </c>
      <c r="Q278" s="14" t="n"/>
      <c r="R278" s="9">
        <f>Table6[[#This Row],[ (T/B) SAR]]-Table6[[#This Row],[(T/B) AJD]]</f>
        <v/>
      </c>
      <c r="S278" s="9">
        <f>Table6[[#This Row],[S/S_CON.]]+Table6[[#This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Table6[[#This Row],[(RESV. STORGE) AJD]]/10</f>
        <v/>
      </c>
      <c r="AB278" s="3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32" t="n"/>
      <c r="AN278" s="32">
        <f>Table6[[#This Row],[ (RESV. STORGE) SER]]/10</f>
        <v/>
      </c>
      <c r="AO278" s="68" t="n"/>
      <c r="AP278" s="99">
        <f>Table6[[#This Row],[(A/S) AJD]]-Table6[[#This Row],[SER_IN]]</f>
        <v/>
      </c>
    </row>
    <row r="279" ht="18.75" customHeight="1">
      <c r="A279" s="98" t="n">
        <v>47761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Table6[[#This Row],[ (T/B) SAR]]+Table6[[#This Row],[ (S/S) SAR]]</f>
        <v/>
      </c>
      <c r="L279" s="28" t="n"/>
      <c r="M279" s="29" t="n"/>
      <c r="N279" s="30" t="n"/>
      <c r="O279" s="14" t="n"/>
      <c r="P279" s="9">
        <f>Table6[[#This Row],[ (S/S) SAR]]-Table6[[#This Row],[(S/S) AJD]]</f>
        <v/>
      </c>
      <c r="Q279" s="14" t="n"/>
      <c r="R279" s="9">
        <f>Table6[[#This Row],[ (T/B) SAR]]-Table6[[#This Row],[(T/B) AJD]]</f>
        <v/>
      </c>
      <c r="S279" s="9">
        <f>Table6[[#This Row],[S/S_CON.]]+Table6[[#This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Table6[[#This Row],[(RESV. STORGE) AJD]]/10</f>
        <v/>
      </c>
      <c r="AB279" s="3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32" t="n"/>
      <c r="AN279" s="32">
        <f>Table6[[#This Row],[ (RESV. STORGE) SER]]/10</f>
        <v/>
      </c>
      <c r="AO279" s="68" t="n"/>
      <c r="AP279" s="99">
        <f>Table6[[#This Row],[(A/S) AJD]]-Table6[[#This Row],[SER_IN]]</f>
        <v/>
      </c>
    </row>
    <row r="280" ht="18.75" customHeight="1">
      <c r="A280" s="98" t="n">
        <v>47762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Table6[[#This Row],[ (T/B) SAR]]+Table6[[#This Row],[ (S/S) SAR]]</f>
        <v/>
      </c>
      <c r="L280" s="28" t="n"/>
      <c r="M280" s="29" t="n"/>
      <c r="N280" s="30" t="n"/>
      <c r="O280" s="14" t="n"/>
      <c r="P280" s="9">
        <f>Table6[[#This Row],[ (S/S) SAR]]-Table6[[#This Row],[(S/S) AJD]]</f>
        <v/>
      </c>
      <c r="Q280" s="14" t="n"/>
      <c r="R280" s="9">
        <f>Table6[[#This Row],[ (T/B) SAR]]-Table6[[#This Row],[(T/B) AJD]]</f>
        <v/>
      </c>
      <c r="S280" s="9">
        <f>Table6[[#This Row],[S/S_CON.]]+Table6[[#This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Table6[[#This Row],[(RESV. STORGE) AJD]]/10</f>
        <v/>
      </c>
      <c r="AB280" s="3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32" t="n"/>
      <c r="AN280" s="32">
        <f>Table6[[#This Row],[ (RESV. STORGE) SER]]/10</f>
        <v/>
      </c>
      <c r="AO280" s="68" t="n"/>
      <c r="AP280" s="99">
        <f>Table6[[#This Row],[(A/S) AJD]]-Table6[[#This Row],[SER_IN]]</f>
        <v/>
      </c>
    </row>
    <row r="281" ht="18.75" customHeight="1">
      <c r="A281" s="98" t="n">
        <v>47763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Table6[[#This Row],[ (T/B) SAR]]+Table6[[#This Row],[ (S/S) SAR]]</f>
        <v/>
      </c>
      <c r="L281" s="28" t="n"/>
      <c r="M281" s="29" t="n"/>
      <c r="N281" s="30" t="n"/>
      <c r="O281" s="14" t="n"/>
      <c r="P281" s="9">
        <f>Table6[[#This Row],[ (S/S) SAR]]-Table6[[#This Row],[(S/S) AJD]]</f>
        <v/>
      </c>
      <c r="Q281" s="14" t="n"/>
      <c r="R281" s="9">
        <f>Table6[[#This Row],[ (T/B) SAR]]-Table6[[#This Row],[(T/B) AJD]]</f>
        <v/>
      </c>
      <c r="S281" s="9">
        <f>Table6[[#This Row],[S/S_CON.]]+Table6[[#This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Table6[[#This Row],[(RESV. STORGE) AJD]]/10</f>
        <v/>
      </c>
      <c r="AB281" s="3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32" t="n"/>
      <c r="AN281" s="32">
        <f>Table6[[#This Row],[ (RESV. STORGE) SER]]/10</f>
        <v/>
      </c>
      <c r="AO281" s="68" t="n"/>
      <c r="AP281" s="99">
        <f>Table6[[#This Row],[(A/S) AJD]]-Table6[[#This Row],[SER_IN]]</f>
        <v/>
      </c>
    </row>
    <row r="282" ht="18.75" customHeight="1">
      <c r="A282" s="98" t="n">
        <v>47764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Table6[[#This Row],[ (T/B) SAR]]+Table6[[#This Row],[ (S/S) SAR]]</f>
        <v/>
      </c>
      <c r="L282" s="28" t="n"/>
      <c r="M282" s="29" t="n"/>
      <c r="N282" s="30" t="n"/>
      <c r="O282" s="14" t="n"/>
      <c r="P282" s="9">
        <f>Table6[[#This Row],[ (S/S) SAR]]-Table6[[#This Row],[(S/S) AJD]]</f>
        <v/>
      </c>
      <c r="Q282" s="14" t="n"/>
      <c r="R282" s="9">
        <f>Table6[[#This Row],[ (T/B) SAR]]-Table6[[#This Row],[(T/B) AJD]]</f>
        <v/>
      </c>
      <c r="S282" s="9">
        <f>Table6[[#This Row],[S/S_CON.]]+Table6[[#This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Table6[[#This Row],[(RESV. STORGE) AJD]]/10</f>
        <v/>
      </c>
      <c r="AB282" s="3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32" t="n"/>
      <c r="AN282" s="32">
        <f>Table6[[#This Row],[ (RESV. STORGE) SER]]/10</f>
        <v/>
      </c>
      <c r="AO282" s="68" t="n"/>
      <c r="AP282" s="99">
        <f>Table6[[#This Row],[(A/S) AJD]]-Table6[[#This Row],[SER_IN]]</f>
        <v/>
      </c>
    </row>
    <row r="283" ht="18.75" customHeight="1">
      <c r="A283" s="98" t="n">
        <v>47765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Table6[[#This Row],[ (T/B) SAR]]+Table6[[#This Row],[ (S/S) SAR]]</f>
        <v/>
      </c>
      <c r="L283" s="28" t="n"/>
      <c r="M283" s="29" t="n"/>
      <c r="N283" s="30" t="n"/>
      <c r="O283" s="14" t="n"/>
      <c r="P283" s="9">
        <f>Table6[[#This Row],[ (S/S) SAR]]-Table6[[#This Row],[(S/S) AJD]]</f>
        <v/>
      </c>
      <c r="Q283" s="14" t="n"/>
      <c r="R283" s="9">
        <f>Table6[[#This Row],[ (T/B) SAR]]-Table6[[#This Row],[(T/B) AJD]]</f>
        <v/>
      </c>
      <c r="S283" s="9">
        <f>Table6[[#This Row],[S/S_CON.]]+Table6[[#This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Table6[[#This Row],[(RESV. STORGE) AJD]]/10</f>
        <v/>
      </c>
      <c r="AB283" s="3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32" t="n"/>
      <c r="AN283" s="32">
        <f>Table6[[#This Row],[ (RESV. STORGE) SER]]/10</f>
        <v/>
      </c>
      <c r="AO283" s="68" t="n"/>
      <c r="AP283" s="99">
        <f>Table6[[#This Row],[(A/S) AJD]]-Table6[[#This Row],[SER_IN]]</f>
        <v/>
      </c>
    </row>
    <row r="284" ht="18.75" customHeight="1">
      <c r="A284" s="98" t="n">
        <v>47766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Table6[[#This Row],[ (T/B) SAR]]+Table6[[#This Row],[ (S/S) SAR]]</f>
        <v/>
      </c>
      <c r="L284" s="28" t="n"/>
      <c r="M284" s="29" t="n"/>
      <c r="N284" s="30" t="n"/>
      <c r="O284" s="14" t="n"/>
      <c r="P284" s="9">
        <f>Table6[[#This Row],[ (S/S) SAR]]-Table6[[#This Row],[(S/S) AJD]]</f>
        <v/>
      </c>
      <c r="Q284" s="14" t="n"/>
      <c r="R284" s="9">
        <f>Table6[[#This Row],[ (T/B) SAR]]-Table6[[#This Row],[(T/B) AJD]]</f>
        <v/>
      </c>
      <c r="S284" s="9">
        <f>Table6[[#This Row],[S/S_CON.]]+Table6[[#This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Table6[[#This Row],[(RESV. STORGE) AJD]]/10</f>
        <v/>
      </c>
      <c r="AB284" s="3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32" t="n"/>
      <c r="AN284" s="32">
        <f>Table6[[#This Row],[ (RESV. STORGE) SER]]/10</f>
        <v/>
      </c>
      <c r="AO284" s="68" t="n"/>
      <c r="AP284" s="99">
        <f>Table6[[#This Row],[(A/S) AJD]]-Table6[[#This Row],[SER_IN]]</f>
        <v/>
      </c>
    </row>
    <row r="285" ht="18.75" customHeight="1">
      <c r="A285" s="98" t="n">
        <v>47767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Table6[[#This Row],[ (T/B) SAR]]+Table6[[#This Row],[ (S/S) SAR]]</f>
        <v/>
      </c>
      <c r="L285" s="28" t="n"/>
      <c r="M285" s="29" t="n"/>
      <c r="N285" s="30" t="n"/>
      <c r="O285" s="14" t="n"/>
      <c r="P285" s="9">
        <f>Table6[[#This Row],[ (S/S) SAR]]-Table6[[#This Row],[(S/S) AJD]]</f>
        <v/>
      </c>
      <c r="Q285" s="14" t="n"/>
      <c r="R285" s="9">
        <f>Table6[[#This Row],[ (T/B) SAR]]-Table6[[#This Row],[(T/B) AJD]]</f>
        <v/>
      </c>
      <c r="S285" s="9">
        <f>Table6[[#This Row],[S/S_CON.]]+Table6[[#This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Table6[[#This Row],[(RESV. STORGE) AJD]]/10</f>
        <v/>
      </c>
      <c r="AB285" s="3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32" t="n"/>
      <c r="AN285" s="32">
        <f>Table6[[#This Row],[ (RESV. STORGE) SER]]/10</f>
        <v/>
      </c>
      <c r="AO285" s="68" t="n"/>
      <c r="AP285" s="99">
        <f>Table6[[#This Row],[(A/S) AJD]]-Table6[[#This Row],[SER_IN]]</f>
        <v/>
      </c>
    </row>
    <row r="286" ht="18.75" customHeight="1">
      <c r="A286" s="98" t="n">
        <v>47768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Table6[[#This Row],[ (T/B) SAR]]+Table6[[#This Row],[ (S/S) SAR]]</f>
        <v/>
      </c>
      <c r="L286" s="28" t="n"/>
      <c r="M286" s="29" t="n"/>
      <c r="N286" s="30" t="n"/>
      <c r="O286" s="14" t="n"/>
      <c r="P286" s="9">
        <f>Table6[[#This Row],[ (S/S) SAR]]-Table6[[#This Row],[(S/S) AJD]]</f>
        <v/>
      </c>
      <c r="Q286" s="14" t="n"/>
      <c r="R286" s="9">
        <f>Table6[[#This Row],[ (T/B) SAR]]-Table6[[#This Row],[(T/B) AJD]]</f>
        <v/>
      </c>
      <c r="S286" s="9">
        <f>Table6[[#This Row],[S/S_CON.]]+Table6[[#This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Table6[[#This Row],[(RESV. STORGE) AJD]]/10</f>
        <v/>
      </c>
      <c r="AB286" s="3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32" t="n"/>
      <c r="AN286" s="32">
        <f>Table6[[#This Row],[ (RESV. STORGE) SER]]/10</f>
        <v/>
      </c>
      <c r="AO286" s="68" t="n"/>
      <c r="AP286" s="99">
        <f>Table6[[#This Row],[(A/S) AJD]]-Table6[[#This Row],[SER_IN]]</f>
        <v/>
      </c>
    </row>
    <row r="287" ht="18.75" customHeight="1">
      <c r="A287" s="98" t="n">
        <v>47769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Table6[[#This Row],[ (T/B) SAR]]+Table6[[#This Row],[ (S/S) SAR]]</f>
        <v/>
      </c>
      <c r="L287" s="28" t="n"/>
      <c r="M287" s="29" t="n"/>
      <c r="N287" s="30" t="n"/>
      <c r="O287" s="14" t="n"/>
      <c r="P287" s="9">
        <f>Table6[[#This Row],[ (S/S) SAR]]-Table6[[#This Row],[(S/S) AJD]]</f>
        <v/>
      </c>
      <c r="Q287" s="14" t="n"/>
      <c r="R287" s="9">
        <f>Table6[[#This Row],[ (T/B) SAR]]-Table6[[#This Row],[(T/B) AJD]]</f>
        <v/>
      </c>
      <c r="S287" s="9">
        <f>Table6[[#This Row],[S/S_CON.]]+Table6[[#This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Table6[[#This Row],[(RESV. STORGE) AJD]]/10</f>
        <v/>
      </c>
      <c r="AB287" s="3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32" t="n"/>
      <c r="AN287" s="32">
        <f>Table6[[#This Row],[ (RESV. STORGE) SER]]/10</f>
        <v/>
      </c>
      <c r="AO287" s="68" t="n"/>
      <c r="AP287" s="99">
        <f>Table6[[#This Row],[(A/S) AJD]]-Table6[[#This Row],[SER_IN]]</f>
        <v/>
      </c>
    </row>
    <row r="288" ht="18.75" customHeight="1">
      <c r="A288" s="98" t="n">
        <v>47770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Table6[[#This Row],[ (T/B) SAR]]+Table6[[#This Row],[ (S/S) SAR]]</f>
        <v/>
      </c>
      <c r="L288" s="28" t="n"/>
      <c r="M288" s="29" t="n"/>
      <c r="N288" s="30" t="n"/>
      <c r="O288" s="14" t="n"/>
      <c r="P288" s="9">
        <f>Table6[[#This Row],[ (S/S) SAR]]-Table6[[#This Row],[(S/S) AJD]]</f>
        <v/>
      </c>
      <c r="Q288" s="14" t="n"/>
      <c r="R288" s="9">
        <f>Table6[[#This Row],[ (T/B) SAR]]-Table6[[#This Row],[(T/B) AJD]]</f>
        <v/>
      </c>
      <c r="S288" s="9">
        <f>Table6[[#This Row],[S/S_CON.]]+Table6[[#This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Table6[[#This Row],[(RESV. STORGE) AJD]]/10</f>
        <v/>
      </c>
      <c r="AB288" s="3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32" t="n"/>
      <c r="AN288" s="32">
        <f>Table6[[#This Row],[ (RESV. STORGE) SER]]/10</f>
        <v/>
      </c>
      <c r="AO288" s="68" t="n"/>
      <c r="AP288" s="99">
        <f>Table6[[#This Row],[(A/S) AJD]]-Table6[[#This Row],[SER_IN]]</f>
        <v/>
      </c>
    </row>
    <row r="289" ht="18.75" customHeight="1">
      <c r="A289" s="98" t="n">
        <v>47771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Table6[[#This Row],[ (T/B) SAR]]+Table6[[#This Row],[ (S/S) SAR]]</f>
        <v/>
      </c>
      <c r="L289" s="28" t="n"/>
      <c r="M289" s="29" t="n"/>
      <c r="N289" s="30" t="n"/>
      <c r="O289" s="14" t="n"/>
      <c r="P289" s="9">
        <f>Table6[[#This Row],[ (S/S) SAR]]-Table6[[#This Row],[(S/S) AJD]]</f>
        <v/>
      </c>
      <c r="Q289" s="14" t="n"/>
      <c r="R289" s="9">
        <f>Table6[[#This Row],[ (T/B) SAR]]-Table6[[#This Row],[(T/B) AJD]]</f>
        <v/>
      </c>
      <c r="S289" s="9">
        <f>Table6[[#This Row],[S/S_CON.]]+Table6[[#This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Table6[[#This Row],[(RESV. STORGE) AJD]]/10</f>
        <v/>
      </c>
      <c r="AB289" s="3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32" t="n"/>
      <c r="AN289" s="32">
        <f>Table6[[#This Row],[ (RESV. STORGE) SER]]/10</f>
        <v/>
      </c>
      <c r="AO289" s="68" t="n"/>
      <c r="AP289" s="99">
        <f>Table6[[#This Row],[(A/S) AJD]]-Table6[[#This Row],[SER_IN]]</f>
        <v/>
      </c>
    </row>
    <row r="290" ht="18.75" customHeight="1">
      <c r="A290" s="98" t="n">
        <v>47772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Table6[[#This Row],[ (T/B) SAR]]+Table6[[#This Row],[ (S/S) SAR]]</f>
        <v/>
      </c>
      <c r="L290" s="28" t="n"/>
      <c r="M290" s="29" t="n"/>
      <c r="N290" s="30" t="n"/>
      <c r="O290" s="14" t="n"/>
      <c r="P290" s="9">
        <f>Table6[[#This Row],[ (S/S) SAR]]-Table6[[#This Row],[(S/S) AJD]]</f>
        <v/>
      </c>
      <c r="Q290" s="14" t="n"/>
      <c r="R290" s="9">
        <f>Table6[[#This Row],[ (T/B) SAR]]-Table6[[#This Row],[(T/B) AJD]]</f>
        <v/>
      </c>
      <c r="S290" s="9">
        <f>Table6[[#This Row],[S/S_CON.]]+Table6[[#This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Table6[[#This Row],[(RESV. STORGE) AJD]]/10</f>
        <v/>
      </c>
      <c r="AB290" s="3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32" t="n"/>
      <c r="AN290" s="32">
        <f>Table6[[#This Row],[ (RESV. STORGE) SER]]/10</f>
        <v/>
      </c>
      <c r="AO290" s="68" t="n"/>
      <c r="AP290" s="99">
        <f>Table6[[#This Row],[(A/S) AJD]]-Table6[[#This Row],[SER_IN]]</f>
        <v/>
      </c>
    </row>
    <row r="291" ht="18.75" customHeight="1">
      <c r="A291" s="98" t="n">
        <v>47773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Table6[[#This Row],[ (T/B) SAR]]+Table6[[#This Row],[ (S/S) SAR]]</f>
        <v/>
      </c>
      <c r="L291" s="28" t="n"/>
      <c r="M291" s="29" t="n"/>
      <c r="N291" s="30" t="n"/>
      <c r="O291" s="14" t="n"/>
      <c r="P291" s="9">
        <f>Table6[[#This Row],[ (S/S) SAR]]-Table6[[#This Row],[(S/S) AJD]]</f>
        <v/>
      </c>
      <c r="Q291" s="14" t="n"/>
      <c r="R291" s="9">
        <f>Table6[[#This Row],[ (T/B) SAR]]-Table6[[#This Row],[(T/B) AJD]]</f>
        <v/>
      </c>
      <c r="S291" s="9">
        <f>Table6[[#This Row],[S/S_CON.]]+Table6[[#This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Table6[[#This Row],[(RESV. STORGE) AJD]]/10</f>
        <v/>
      </c>
      <c r="AB291" s="3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32" t="n"/>
      <c r="AN291" s="32">
        <f>Table6[[#This Row],[ (RESV. STORGE) SER]]/10</f>
        <v/>
      </c>
      <c r="AO291" s="68" t="n"/>
      <c r="AP291" s="99">
        <f>Table6[[#This Row],[(A/S) AJD]]-Table6[[#This Row],[SER_IN]]</f>
        <v/>
      </c>
    </row>
    <row r="292" ht="18.75" customHeight="1">
      <c r="A292" s="98" t="n">
        <v>47774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Table6[[#This Row],[ (T/B) SAR]]+Table6[[#This Row],[ (S/S) SAR]]</f>
        <v/>
      </c>
      <c r="L292" s="28" t="n"/>
      <c r="M292" s="29" t="n"/>
      <c r="N292" s="30" t="n"/>
      <c r="O292" s="9" t="n"/>
      <c r="P292" s="9">
        <f>Table6[[#This Row],[ (S/S) SAR]]-Table6[[#This Row],[(S/S) AJD]]</f>
        <v/>
      </c>
      <c r="Q292" s="9" t="n"/>
      <c r="R292" s="9">
        <f>Table6[[#This Row],[ (T/B) SAR]]-Table6[[#This Row],[(T/B) AJD]]</f>
        <v/>
      </c>
      <c r="S292" s="9">
        <f>Table6[[#This Row],[S/S_CON.]]+Table6[[#This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Table6[[#This Row],[(RESV. STORGE) AJD]]/10</f>
        <v/>
      </c>
      <c r="AB292" s="3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32" t="n"/>
      <c r="AN292" s="32">
        <f>Table6[[#This Row],[ (RESV. STORGE) SER]]/10</f>
        <v/>
      </c>
      <c r="AO292" s="68" t="n"/>
      <c r="AP292" s="99">
        <f>Table6[[#This Row],[(A/S) AJD]]-Table6[[#This Row],[SER_IN]]</f>
        <v/>
      </c>
    </row>
    <row r="293" ht="18.75" customHeight="1">
      <c r="A293" s="98" t="n">
        <v>47775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Table6[[#This Row],[ (T/B) SAR]]+Table6[[#This Row],[ (S/S) SAR]]</f>
        <v/>
      </c>
      <c r="L293" s="28" t="n"/>
      <c r="M293" s="29" t="n"/>
      <c r="N293" s="30" t="n"/>
      <c r="O293" s="9" t="n"/>
      <c r="P293" s="9">
        <f>Table6[[#This Row],[ (S/S) SAR]]-Table6[[#This Row],[(S/S) AJD]]</f>
        <v/>
      </c>
      <c r="Q293" s="9" t="n"/>
      <c r="R293" s="9">
        <f>Table6[[#This Row],[ (T/B) SAR]]-Table6[[#This Row],[(T/B) AJD]]</f>
        <v/>
      </c>
      <c r="S293" s="9">
        <f>Table6[[#This Row],[S/S_CON.]]+Table6[[#This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Table6[[#This Row],[(RESV. STORGE) AJD]]/10</f>
        <v/>
      </c>
      <c r="AB293" s="3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32" t="n"/>
      <c r="AN293" s="32">
        <f>Table6[[#This Row],[ (RESV. STORGE) SER]]/10</f>
        <v/>
      </c>
      <c r="AO293" s="68" t="n"/>
      <c r="AP293" s="99">
        <f>Table6[[#This Row],[(A/S) AJD]]-Table6[[#This Row],[SER_IN]]</f>
        <v/>
      </c>
    </row>
    <row r="294" ht="18.75" customHeight="1">
      <c r="A294" s="98" t="n">
        <v>47776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Table6[[#This Row],[ (T/B) SAR]]+Table6[[#This Row],[ (S/S) SAR]]</f>
        <v/>
      </c>
      <c r="L294" s="28" t="n"/>
      <c r="M294" s="29" t="n"/>
      <c r="N294" s="30" t="n"/>
      <c r="O294" s="9" t="n"/>
      <c r="P294" s="9">
        <f>Table6[[#This Row],[ (S/S) SAR]]-Table6[[#This Row],[(S/S) AJD]]</f>
        <v/>
      </c>
      <c r="Q294" s="9" t="n"/>
      <c r="R294" s="9">
        <f>Table6[[#This Row],[ (T/B) SAR]]-Table6[[#This Row],[(T/B) AJD]]</f>
        <v/>
      </c>
      <c r="S294" s="9">
        <f>Table6[[#This Row],[S/S_CON.]]+Table6[[#This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Table6[[#This Row],[(RESV. STORGE) AJD]]/10</f>
        <v/>
      </c>
      <c r="AB294" s="3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32" t="n"/>
      <c r="AN294" s="32">
        <f>Table6[[#This Row],[ (RESV. STORGE) SER]]/10</f>
        <v/>
      </c>
      <c r="AO294" s="68" t="n"/>
      <c r="AP294" s="99">
        <f>Table6[[#This Row],[(A/S) AJD]]-Table6[[#This Row],[SER_IN]]</f>
        <v/>
      </c>
    </row>
    <row r="295" ht="18.75" customHeight="1">
      <c r="A295" s="98" t="n">
        <v>47777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Table6[[#This Row],[ (T/B) SAR]]+Table6[[#This Row],[ (S/S) SAR]]</f>
        <v/>
      </c>
      <c r="L295" s="28" t="n"/>
      <c r="M295" s="29" t="n"/>
      <c r="N295" s="30" t="n"/>
      <c r="O295" s="9" t="n"/>
      <c r="P295" s="9">
        <f>Table6[[#This Row],[ (S/S) SAR]]-Table6[[#This Row],[(S/S) AJD]]</f>
        <v/>
      </c>
      <c r="Q295" s="9" t="n"/>
      <c r="R295" s="9">
        <f>Table6[[#This Row],[ (T/B) SAR]]-Table6[[#This Row],[(T/B) AJD]]</f>
        <v/>
      </c>
      <c r="S295" s="9">
        <f>Table6[[#This Row],[S/S_CON.]]+Table6[[#This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Table6[[#This Row],[(RESV. STORGE) AJD]]/10</f>
        <v/>
      </c>
      <c r="AB295" s="3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32" t="n"/>
      <c r="AN295" s="32">
        <f>Table6[[#This Row],[ (RESV. STORGE) SER]]/10</f>
        <v/>
      </c>
      <c r="AO295" s="68" t="n"/>
      <c r="AP295" s="99">
        <f>Table6[[#This Row],[(A/S) AJD]]-Table6[[#This Row],[SER_IN]]</f>
        <v/>
      </c>
    </row>
    <row r="296" ht="18.75" customHeight="1">
      <c r="A296" s="98" t="n">
        <v>47778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Table6[[#This Row],[ (T/B) SAR]]+Table6[[#This Row],[ (S/S) SAR]]</f>
        <v/>
      </c>
      <c r="L296" s="28" t="n"/>
      <c r="M296" s="29" t="n"/>
      <c r="N296" s="30" t="n"/>
      <c r="O296" s="9" t="n"/>
      <c r="P296" s="9">
        <f>Table6[[#This Row],[ (S/S) SAR]]-Table6[[#This Row],[(S/S) AJD]]</f>
        <v/>
      </c>
      <c r="Q296" s="9" t="n"/>
      <c r="R296" s="9">
        <f>Table6[[#This Row],[ (T/B) SAR]]-Table6[[#This Row],[(T/B) AJD]]</f>
        <v/>
      </c>
      <c r="S296" s="9">
        <f>Table6[[#This Row],[S/S_CON.]]+Table6[[#This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Table6[[#This Row],[(RESV. STORGE) AJD]]/10</f>
        <v/>
      </c>
      <c r="AB296" s="3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32" t="n"/>
      <c r="AN296" s="32">
        <f>Table6[[#This Row],[ (RESV. STORGE) SER]]/10</f>
        <v/>
      </c>
      <c r="AO296" s="68" t="n"/>
      <c r="AP296" s="99">
        <f>Table6[[#This Row],[(A/S) AJD]]-Table6[[#This Row],[SER_IN]]</f>
        <v/>
      </c>
    </row>
    <row r="297" ht="18.75" customHeight="1">
      <c r="A297" s="98" t="n">
        <v>47779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Table6[[#This Row],[ (T/B) SAR]]+Table6[[#This Row],[ (S/S) SAR]]</f>
        <v/>
      </c>
      <c r="L297" s="28" t="n"/>
      <c r="M297" s="29" t="n"/>
      <c r="N297" s="30" t="n"/>
      <c r="O297" s="9" t="n"/>
      <c r="P297" s="9">
        <f>Table6[[#This Row],[ (S/S) SAR]]-Table6[[#This Row],[(S/S) AJD]]</f>
        <v/>
      </c>
      <c r="Q297" s="9" t="n"/>
      <c r="R297" s="9">
        <f>Table6[[#This Row],[ (T/B) SAR]]-Table6[[#This Row],[(T/B) AJD]]</f>
        <v/>
      </c>
      <c r="S297" s="9">
        <f>Table6[[#This Row],[S/S_CON.]]+Table6[[#This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Table6[[#This Row],[(RESV. STORGE) AJD]]/10</f>
        <v/>
      </c>
      <c r="AB297" s="3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32" t="n"/>
      <c r="AN297" s="32">
        <f>Table6[[#This Row],[ (RESV. STORGE) SER]]/10</f>
        <v/>
      </c>
      <c r="AO297" s="68" t="n"/>
      <c r="AP297" s="99">
        <f>Table6[[#This Row],[(A/S) AJD]]-Table6[[#This Row],[SER_IN]]</f>
        <v/>
      </c>
    </row>
    <row r="298" ht="18.75" customHeight="1">
      <c r="A298" s="98" t="n">
        <v>47780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Table6[[#This Row],[ (T/B) SAR]]+Table6[[#This Row],[ (S/S) SAR]]</f>
        <v/>
      </c>
      <c r="L298" s="28" t="n"/>
      <c r="M298" s="29" t="n"/>
      <c r="N298" s="30" t="n"/>
      <c r="O298" s="9" t="n"/>
      <c r="P298" s="9">
        <f>Table6[[#This Row],[ (S/S) SAR]]-Table6[[#This Row],[(S/S) AJD]]</f>
        <v/>
      </c>
      <c r="Q298" s="9" t="n"/>
      <c r="R298" s="9">
        <f>Table6[[#This Row],[ (T/B) SAR]]-Table6[[#This Row],[(T/B) AJD]]</f>
        <v/>
      </c>
      <c r="S298" s="9">
        <f>Table6[[#This Row],[S/S_CON.]]+Table6[[#This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Table6[[#This Row],[(RESV. STORGE) AJD]]/10</f>
        <v/>
      </c>
      <c r="AB298" s="3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32" t="n"/>
      <c r="AN298" s="32">
        <f>Table6[[#This Row],[ (RESV. STORGE) SER]]/10</f>
        <v/>
      </c>
      <c r="AO298" s="68" t="n"/>
      <c r="AP298" s="99">
        <f>Table6[[#This Row],[(A/S) AJD]]-Table6[[#This Row],[SER_IN]]</f>
        <v/>
      </c>
    </row>
    <row r="299" ht="18.75" customHeight="1">
      <c r="A299" s="98" t="n">
        <v>47781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Table6[[#This Row],[ (T/B) SAR]]+Table6[[#This Row],[ (S/S) SAR]]</f>
        <v/>
      </c>
      <c r="L299" s="28" t="n"/>
      <c r="M299" s="29" t="n"/>
      <c r="N299" s="30" t="n"/>
      <c r="O299" s="9" t="n"/>
      <c r="P299" s="9">
        <f>Table6[[#This Row],[ (S/S) SAR]]-Table6[[#This Row],[(S/S) AJD]]</f>
        <v/>
      </c>
      <c r="Q299" s="9" t="n"/>
      <c r="R299" s="9">
        <f>Table6[[#This Row],[ (T/B) SAR]]-Table6[[#This Row],[(T/B) AJD]]</f>
        <v/>
      </c>
      <c r="S299" s="9">
        <f>Table6[[#This Row],[S/S_CON.]]+Table6[[#This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Table6[[#This Row],[(RESV. STORGE) AJD]]/10</f>
        <v/>
      </c>
      <c r="AB299" s="3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32" t="n"/>
      <c r="AN299" s="32">
        <f>Table6[[#This Row],[ (RESV. STORGE) SER]]/10</f>
        <v/>
      </c>
      <c r="AO299" s="68" t="n"/>
      <c r="AP299" s="99">
        <f>Table6[[#This Row],[(A/S) AJD]]-Table6[[#This Row],[SER_IN]]</f>
        <v/>
      </c>
    </row>
    <row r="300" ht="18.75" customHeight="1">
      <c r="A300" s="98" t="n">
        <v>47782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Table6[[#This Row],[ (T/B) SAR]]+Table6[[#This Row],[ (S/S) SAR]]</f>
        <v/>
      </c>
      <c r="L300" s="28" t="n"/>
      <c r="M300" s="29" t="n"/>
      <c r="N300" s="30" t="n"/>
      <c r="O300" s="9" t="n"/>
      <c r="P300" s="9">
        <f>Table6[[#This Row],[ (S/S) SAR]]-Table6[[#This Row],[(S/S) AJD]]</f>
        <v/>
      </c>
      <c r="Q300" s="9" t="n"/>
      <c r="R300" s="9">
        <f>Table6[[#This Row],[ (T/B) SAR]]-Table6[[#This Row],[(T/B) AJD]]</f>
        <v/>
      </c>
      <c r="S300" s="9">
        <f>Table6[[#This Row],[S/S_CON.]]+Table6[[#This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Table6[[#This Row],[(RESV. STORGE) AJD]]/10</f>
        <v/>
      </c>
      <c r="AB300" s="3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32" t="n"/>
      <c r="AN300" s="32">
        <f>Table6[[#This Row],[ (RESV. STORGE) SER]]/10</f>
        <v/>
      </c>
      <c r="AO300" s="68" t="n"/>
      <c r="AP300" s="99">
        <f>Table6[[#This Row],[(A/S) AJD]]-Table6[[#This Row],[SER_IN]]</f>
        <v/>
      </c>
    </row>
    <row r="301" ht="18.75" customHeight="1">
      <c r="A301" s="98" t="n">
        <v>47783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Table6[[#This Row],[ (T/B) SAR]]+Table6[[#This Row],[ (S/S) SAR]]</f>
        <v/>
      </c>
      <c r="L301" s="28" t="n"/>
      <c r="M301" s="29" t="n"/>
      <c r="N301" s="30" t="n"/>
      <c r="O301" s="9" t="n"/>
      <c r="P301" s="9">
        <f>Table6[[#This Row],[ (S/S) SAR]]-Table6[[#This Row],[(S/S) AJD]]</f>
        <v/>
      </c>
      <c r="Q301" s="9" t="n"/>
      <c r="R301" s="9">
        <f>Table6[[#This Row],[ (T/B) SAR]]-Table6[[#This Row],[(T/B) AJD]]</f>
        <v/>
      </c>
      <c r="S301" s="9">
        <f>Table6[[#This Row],[S/S_CON.]]+Table6[[#This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Table6[[#This Row],[(RESV. STORGE) AJD]]/10</f>
        <v/>
      </c>
      <c r="AB301" s="3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32" t="n"/>
      <c r="AN301" s="32">
        <f>Table6[[#This Row],[ (RESV. STORGE) SER]]/10</f>
        <v/>
      </c>
      <c r="AO301" s="68" t="n"/>
      <c r="AP301" s="99">
        <f>Table6[[#This Row],[(A/S) AJD]]-Table6[[#This Row],[SER_IN]]</f>
        <v/>
      </c>
    </row>
    <row r="302" ht="18.75" customHeight="1">
      <c r="A302" s="98" t="n">
        <v>47784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Table6[[#This Row],[ (T/B) SAR]]+Table6[[#This Row],[ (S/S) SAR]]</f>
        <v/>
      </c>
      <c r="L302" s="28" t="n"/>
      <c r="M302" s="29" t="n"/>
      <c r="N302" s="30" t="n"/>
      <c r="O302" s="9" t="n"/>
      <c r="P302" s="9">
        <f>Table6[[#This Row],[ (S/S) SAR]]-Table6[[#This Row],[(S/S) AJD]]</f>
        <v/>
      </c>
      <c r="Q302" s="9" t="n"/>
      <c r="R302" s="9">
        <f>Table6[[#This Row],[ (T/B) SAR]]-Table6[[#This Row],[(T/B) AJD]]</f>
        <v/>
      </c>
      <c r="S302" s="9">
        <f>Table6[[#This Row],[S/S_CON.]]+Table6[[#This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Table6[[#This Row],[(RESV. STORGE) AJD]]/10</f>
        <v/>
      </c>
      <c r="AB302" s="3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32" t="n"/>
      <c r="AN302" s="32">
        <f>Table6[[#This Row],[ (RESV. STORGE) SER]]/10</f>
        <v/>
      </c>
      <c r="AO302" s="68" t="n"/>
      <c r="AP302" s="99">
        <f>Table6[[#This Row],[(A/S) AJD]]-Table6[[#This Row],[SER_IN]]</f>
        <v/>
      </c>
    </row>
    <row r="303" ht="18.75" customHeight="1">
      <c r="A303" s="98" t="n">
        <v>47785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Table6[[#This Row],[ (T/B) SAR]]+Table6[[#This Row],[ (S/S) SAR]]</f>
        <v/>
      </c>
      <c r="L303" s="28" t="n"/>
      <c r="M303" s="29" t="n"/>
      <c r="N303" s="30" t="n"/>
      <c r="O303" s="9" t="n"/>
      <c r="P303" s="9">
        <f>Table6[[#This Row],[ (S/S) SAR]]-Table6[[#This Row],[(S/S) AJD]]</f>
        <v/>
      </c>
      <c r="Q303" s="9" t="n"/>
      <c r="R303" s="9">
        <f>Table6[[#This Row],[ (T/B) SAR]]-Table6[[#This Row],[(T/B) AJD]]</f>
        <v/>
      </c>
      <c r="S303" s="9">
        <f>Table6[[#This Row],[S/S_CON.]]+Table6[[#This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Table6[[#This Row],[(RESV. STORGE) AJD]]/10</f>
        <v/>
      </c>
      <c r="AB303" s="3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32" t="n"/>
      <c r="AN303" s="32">
        <f>Table6[[#This Row],[ (RESV. STORGE) SER]]/10</f>
        <v/>
      </c>
      <c r="AO303" s="68" t="n"/>
      <c r="AP303" s="99">
        <f>Table6[[#This Row],[(A/S) AJD]]-Table6[[#This Row],[SER_IN]]</f>
        <v/>
      </c>
    </row>
    <row r="304" ht="18.75" customHeight="1">
      <c r="A304" s="98" t="n">
        <v>47786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Table6[[#This Row],[ (T/B) SAR]]+Table6[[#This Row],[ (S/S) SAR]]</f>
        <v/>
      </c>
      <c r="L304" s="28" t="n"/>
      <c r="M304" s="29" t="n"/>
      <c r="N304" s="30" t="n"/>
      <c r="O304" s="9" t="n"/>
      <c r="P304" s="9">
        <f>Table6[[#This Row],[ (S/S) SAR]]-Table6[[#This Row],[(S/S) AJD]]</f>
        <v/>
      </c>
      <c r="Q304" s="9" t="n"/>
      <c r="R304" s="9">
        <f>Table6[[#This Row],[ (T/B) SAR]]-Table6[[#This Row],[(T/B) AJD]]</f>
        <v/>
      </c>
      <c r="S304" s="9">
        <f>Table6[[#This Row],[S/S_CON.]]+Table6[[#This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Table6[[#This Row],[(RESV. STORGE) AJD]]/10</f>
        <v/>
      </c>
      <c r="AB304" s="3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32" t="n"/>
      <c r="AN304" s="32">
        <f>Table6[[#This Row],[ (RESV. STORGE) SER]]/10</f>
        <v/>
      </c>
      <c r="AO304" s="68" t="n"/>
      <c r="AP304" s="99">
        <f>Table6[[#This Row],[(A/S) AJD]]-Table6[[#This Row],[SER_IN]]</f>
        <v/>
      </c>
    </row>
    <row r="305" ht="18.75" customHeight="1">
      <c r="A305" s="98" t="n">
        <v>47787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Table6[[#This Row],[ (T/B) SAR]]+Table6[[#This Row],[ (S/S) SAR]]</f>
        <v/>
      </c>
      <c r="L305" s="28" t="n"/>
      <c r="M305" s="29" t="n"/>
      <c r="N305" s="30" t="n"/>
      <c r="O305" s="9" t="n"/>
      <c r="P305" s="9">
        <f>Table6[[#This Row],[ (S/S) SAR]]-Table6[[#This Row],[(S/S) AJD]]</f>
        <v/>
      </c>
      <c r="Q305" s="9" t="n"/>
      <c r="R305" s="9">
        <f>Table6[[#This Row],[ (T/B) SAR]]-Table6[[#This Row],[(T/B) AJD]]</f>
        <v/>
      </c>
      <c r="S305" s="9">
        <f>Table6[[#This Row],[S/S_CON.]]+Table6[[#This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Table6[[#This Row],[(RESV. STORGE) AJD]]/10</f>
        <v/>
      </c>
      <c r="AB305" s="3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32" t="n"/>
      <c r="AN305" s="32">
        <f>Table6[[#This Row],[ (RESV. STORGE) SER]]/10</f>
        <v/>
      </c>
      <c r="AO305" s="68" t="n"/>
      <c r="AP305" s="99">
        <f>Table6[[#This Row],[(A/S) AJD]]-Table6[[#This Row],[SER_IN]]</f>
        <v/>
      </c>
    </row>
    <row r="306" ht="18.75" customHeight="1">
      <c r="A306" s="98" t="n">
        <v>47788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Table6[[#This Row],[ (T/B) SAR]]+Table6[[#This Row],[ (S/S) SAR]]</f>
        <v/>
      </c>
      <c r="L306" s="28" t="n"/>
      <c r="M306" s="29" t="n"/>
      <c r="N306" s="30" t="n"/>
      <c r="O306" s="39" t="n"/>
      <c r="P306" s="9">
        <f>Table6[[#This Row],[ (S/S) SAR]]-Table6[[#This Row],[(S/S) AJD]]</f>
        <v/>
      </c>
      <c r="Q306" s="9" t="n"/>
      <c r="R306" s="9">
        <f>Table6[[#This Row],[ (T/B) SAR]]-Table6[[#This Row],[(T/B) AJD]]</f>
        <v/>
      </c>
      <c r="S306" s="9">
        <f>Table6[[#This Row],[S/S_CON.]]+Table6[[#This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Table6[[#This Row],[(RESV. STORGE) AJD]]/10</f>
        <v/>
      </c>
      <c r="AB306" s="3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32" t="n"/>
      <c r="AN306" s="32">
        <f>Table6[[#This Row],[ (RESV. STORGE) SER]]/10</f>
        <v/>
      </c>
      <c r="AO306" s="68" t="n"/>
      <c r="AP306" s="99">
        <f>Table6[[#This Row],[(A/S) AJD]]-Table6[[#This Row],[SER_IN]]</f>
        <v/>
      </c>
    </row>
    <row r="307" ht="18.75" customHeight="1">
      <c r="A307" s="98" t="n">
        <v>47789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Table6[[#This Row],[ (T/B) SAR]]+Table6[[#This Row],[ (S/S) SAR]]</f>
        <v/>
      </c>
      <c r="L307" s="28" t="n"/>
      <c r="M307" s="29" t="n"/>
      <c r="N307" s="30" t="n"/>
      <c r="O307" s="40" t="n"/>
      <c r="P307" s="9">
        <f>Table6[[#This Row],[ (S/S) SAR]]-Table6[[#This Row],[(S/S) AJD]]</f>
        <v/>
      </c>
      <c r="Q307" s="9" t="n"/>
      <c r="R307" s="9">
        <f>Table6[[#This Row],[ (T/B) SAR]]-Table6[[#This Row],[(T/B) AJD]]</f>
        <v/>
      </c>
      <c r="S307" s="9">
        <f>Table6[[#This Row],[S/S_CON.]]+Table6[[#This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Table6[[#This Row],[(RESV. STORGE) AJD]]/10</f>
        <v/>
      </c>
      <c r="AB307" s="3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32" t="n"/>
      <c r="AN307" s="32">
        <f>Table6[[#This Row],[ (RESV. STORGE) SER]]/10</f>
        <v/>
      </c>
      <c r="AO307" s="68" t="n"/>
      <c r="AP307" s="99">
        <f>Table6[[#This Row],[(A/S) AJD]]-Table6[[#This Row],[SER_IN]]</f>
        <v/>
      </c>
    </row>
    <row r="308" ht="18.75" customHeight="1">
      <c r="A308" s="98" t="n">
        <v>47790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Table6[[#This Row],[ (T/B) SAR]]+Table6[[#This Row],[ (S/S) SAR]]</f>
        <v/>
      </c>
      <c r="L308" s="28" t="n"/>
      <c r="M308" s="29" t="n"/>
      <c r="N308" s="30" t="n"/>
      <c r="O308" s="39" t="n"/>
      <c r="P308" s="9">
        <f>Table6[[#This Row],[ (S/S) SAR]]-Table6[[#This Row],[(S/S) AJD]]</f>
        <v/>
      </c>
      <c r="Q308" s="9" t="n"/>
      <c r="R308" s="9">
        <f>Table6[[#This Row],[ (T/B) SAR]]-Table6[[#This Row],[(T/B) AJD]]</f>
        <v/>
      </c>
      <c r="S308" s="9">
        <f>Table6[[#This Row],[S/S_CON.]]+Table6[[#This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Table6[[#This Row],[(RESV. STORGE) AJD]]/10</f>
        <v/>
      </c>
      <c r="AB308" s="3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32" t="n"/>
      <c r="AN308" s="32">
        <f>Table6[[#This Row],[ (RESV. STORGE) SER]]/10</f>
        <v/>
      </c>
      <c r="AO308" s="68" t="n"/>
      <c r="AP308" s="99">
        <f>Table6[[#This Row],[(A/S) AJD]]-Table6[[#This Row],[SER_IN]]</f>
        <v/>
      </c>
    </row>
    <row r="309" ht="18.75" customHeight="1">
      <c r="A309" s="98" t="n">
        <v>47791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Table6[[#This Row],[ (T/B) SAR]]+Table6[[#This Row],[ (S/S) SAR]]</f>
        <v/>
      </c>
      <c r="L309" s="28" t="n"/>
      <c r="M309" s="29" t="n"/>
      <c r="N309" s="30" t="n"/>
      <c r="O309" s="40" t="n"/>
      <c r="P309" s="9">
        <f>Table6[[#This Row],[ (S/S) SAR]]-Table6[[#This Row],[(S/S) AJD]]</f>
        <v/>
      </c>
      <c r="Q309" s="9" t="n"/>
      <c r="R309" s="9">
        <f>Table6[[#This Row],[ (T/B) SAR]]-Table6[[#This Row],[(T/B) AJD]]</f>
        <v/>
      </c>
      <c r="S309" s="9">
        <f>Table6[[#This Row],[S/S_CON.]]+Table6[[#This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Table6[[#This Row],[(RESV. STORGE) AJD]]/10</f>
        <v/>
      </c>
      <c r="AB309" s="3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32" t="n"/>
      <c r="AN309" s="32">
        <f>Table6[[#This Row],[ (RESV. STORGE) SER]]/10</f>
        <v/>
      </c>
      <c r="AO309" s="68" t="n"/>
      <c r="AP309" s="99">
        <f>Table6[[#This Row],[(A/S) AJD]]-Table6[[#This Row],[SER_IN]]</f>
        <v/>
      </c>
    </row>
    <row r="310" ht="18.75" customHeight="1">
      <c r="A310" s="98" t="n">
        <v>47792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Table6[[#This Row],[ (T/B) SAR]]+Table6[[#This Row],[ (S/S) SAR]]</f>
        <v/>
      </c>
      <c r="L310" s="28" t="n"/>
      <c r="M310" s="29" t="n"/>
      <c r="N310" s="30" t="n"/>
      <c r="O310" s="39" t="n"/>
      <c r="P310" s="9">
        <f>Table6[[#This Row],[ (S/S) SAR]]-Table6[[#This Row],[(S/S) AJD]]</f>
        <v/>
      </c>
      <c r="Q310" s="9" t="n"/>
      <c r="R310" s="9">
        <f>Table6[[#This Row],[ (T/B) SAR]]-Table6[[#This Row],[(T/B) AJD]]</f>
        <v/>
      </c>
      <c r="S310" s="9">
        <f>Table6[[#This Row],[S/S_CON.]]+Table6[[#This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Table6[[#This Row],[(RESV. STORGE) AJD]]/10</f>
        <v/>
      </c>
      <c r="AB310" s="3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32" t="n"/>
      <c r="AN310" s="32">
        <f>Table6[[#This Row],[ (RESV. STORGE) SER]]/10</f>
        <v/>
      </c>
      <c r="AO310" s="68" t="n"/>
      <c r="AP310" s="99">
        <f>Table6[[#This Row],[(A/S) AJD]]-Table6[[#This Row],[SER_IN]]</f>
        <v/>
      </c>
    </row>
    <row r="311" ht="18.75" customHeight="1">
      <c r="A311" s="98" t="n">
        <v>47793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Table6[[#This Row],[ (T/B) SAR]]+Table6[[#This Row],[ (S/S) SAR]]</f>
        <v/>
      </c>
      <c r="L311" s="28" t="n"/>
      <c r="M311" s="29" t="n"/>
      <c r="N311" s="30" t="n"/>
      <c r="O311" s="40" t="n"/>
      <c r="P311" s="9">
        <f>Table6[[#This Row],[ (S/S) SAR]]-Table6[[#This Row],[(S/S) AJD]]</f>
        <v/>
      </c>
      <c r="Q311" s="9" t="n"/>
      <c r="R311" s="9">
        <f>Table6[[#This Row],[ (T/B) SAR]]-Table6[[#This Row],[(T/B) AJD]]</f>
        <v/>
      </c>
      <c r="S311" s="9">
        <f>Table6[[#This Row],[S/S_CON.]]+Table6[[#This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Table6[[#This Row],[(RESV. STORGE) AJD]]/10</f>
        <v/>
      </c>
      <c r="AB311" s="3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32" t="n"/>
      <c r="AN311" s="32">
        <f>Table6[[#This Row],[ (RESV. STORGE) SER]]/10</f>
        <v/>
      </c>
      <c r="AO311" s="68" t="n"/>
      <c r="AP311" s="99">
        <f>Table6[[#This Row],[(A/S) AJD]]-Table6[[#This Row],[SER_IN]]</f>
        <v/>
      </c>
    </row>
    <row r="312" ht="18.75" customHeight="1">
      <c r="A312" s="98" t="n">
        <v>47794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Table6[[#This Row],[ (T/B) SAR]]+Table6[[#This Row],[ (S/S) SAR]]</f>
        <v/>
      </c>
      <c r="L312" s="28" t="n"/>
      <c r="M312" s="29" t="n"/>
      <c r="N312" s="30" t="n"/>
      <c r="O312" s="39" t="n"/>
      <c r="P312" s="9">
        <f>Table6[[#This Row],[ (S/S) SAR]]-Table6[[#This Row],[(S/S) AJD]]</f>
        <v/>
      </c>
      <c r="Q312" s="9" t="n"/>
      <c r="R312" s="9">
        <f>Table6[[#This Row],[ (T/B) SAR]]-Table6[[#This Row],[(T/B) AJD]]</f>
        <v/>
      </c>
      <c r="S312" s="9">
        <f>Table6[[#This Row],[S/S_CON.]]+Table6[[#This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Table6[[#This Row],[(RESV. STORGE) AJD]]/10</f>
        <v/>
      </c>
      <c r="AB312" s="3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32" t="n"/>
      <c r="AN312" s="32">
        <f>Table6[[#This Row],[ (RESV. STORGE) SER]]/10</f>
        <v/>
      </c>
      <c r="AO312" s="68" t="n"/>
      <c r="AP312" s="99">
        <f>Table6[[#This Row],[(A/S) AJD]]-Table6[[#This Row],[SER_IN]]</f>
        <v/>
      </c>
    </row>
    <row r="313" ht="18.75" customHeight="1">
      <c r="A313" s="98" t="n">
        <v>47795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Table6[[#This Row],[ (T/B) SAR]]+Table6[[#This Row],[ (S/S) SAR]]</f>
        <v/>
      </c>
      <c r="L313" s="28" t="n"/>
      <c r="M313" s="29" t="n"/>
      <c r="N313" s="30" t="n"/>
      <c r="O313" s="40" t="n"/>
      <c r="P313" s="9">
        <f>Table6[[#This Row],[ (S/S) SAR]]-Table6[[#This Row],[(S/S) AJD]]</f>
        <v/>
      </c>
      <c r="Q313" s="9" t="n"/>
      <c r="R313" s="9">
        <f>Table6[[#This Row],[ (T/B) SAR]]-Table6[[#This Row],[(T/B) AJD]]</f>
        <v/>
      </c>
      <c r="S313" s="9">
        <f>Table6[[#This Row],[S/S_CON.]]+Table6[[#This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Table6[[#This Row],[(RESV. STORGE) AJD]]/10</f>
        <v/>
      </c>
      <c r="AB313" s="3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32" t="n"/>
      <c r="AN313" s="32">
        <f>Table6[[#This Row],[ (RESV. STORGE) SER]]/10</f>
        <v/>
      </c>
      <c r="AO313" s="68" t="n"/>
      <c r="AP313" s="99">
        <f>Table6[[#This Row],[(A/S) AJD]]-Table6[[#This Row],[SER_IN]]</f>
        <v/>
      </c>
    </row>
    <row r="314" ht="18.75" customHeight="1">
      <c r="A314" s="98" t="n">
        <v>47796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Table6[[#This Row],[ (T/B) SAR]]+Table6[[#This Row],[ (S/S) SAR]]</f>
        <v/>
      </c>
      <c r="L314" s="28" t="n"/>
      <c r="M314" s="29" t="n"/>
      <c r="N314" s="30" t="n"/>
      <c r="O314" s="39" t="n"/>
      <c r="P314" s="9">
        <f>Table6[[#This Row],[ (S/S) SAR]]-Table6[[#This Row],[(S/S) AJD]]</f>
        <v/>
      </c>
      <c r="Q314" s="9" t="n"/>
      <c r="R314" s="9">
        <f>Table6[[#This Row],[ (T/B) SAR]]-Table6[[#This Row],[(T/B) AJD]]</f>
        <v/>
      </c>
      <c r="S314" s="9">
        <f>Table6[[#This Row],[S/S_CON.]]+Table6[[#This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Table6[[#This Row],[(RESV. STORGE) AJD]]/10</f>
        <v/>
      </c>
      <c r="AB314" s="3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32" t="n"/>
      <c r="AN314" s="32">
        <f>Table6[[#This Row],[ (RESV. STORGE) SER]]/10</f>
        <v/>
      </c>
      <c r="AO314" s="68" t="n"/>
      <c r="AP314" s="99">
        <f>Table6[[#This Row],[(A/S) AJD]]-Table6[[#This Row],[SER_IN]]</f>
        <v/>
      </c>
    </row>
    <row r="315" ht="18.75" customHeight="1">
      <c r="A315" s="98" t="n">
        <v>47797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Table6[[#This Row],[ (T/B) SAR]]+Table6[[#This Row],[ (S/S) SAR]]</f>
        <v/>
      </c>
      <c r="L315" s="28" t="n"/>
      <c r="M315" s="29" t="n"/>
      <c r="N315" s="30" t="n"/>
      <c r="O315" s="40" t="n"/>
      <c r="P315" s="9">
        <f>Table6[[#This Row],[ (S/S) SAR]]-Table6[[#This Row],[(S/S) AJD]]</f>
        <v/>
      </c>
      <c r="Q315" s="9" t="n"/>
      <c r="R315" s="9">
        <f>Table6[[#This Row],[ (T/B) SAR]]-Table6[[#This Row],[(T/B) AJD]]</f>
        <v/>
      </c>
      <c r="S315" s="9">
        <f>Table6[[#This Row],[S/S_CON.]]+Table6[[#This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Table6[[#This Row],[(RESV. STORGE) AJD]]/10</f>
        <v/>
      </c>
      <c r="AB315" s="3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32" t="n"/>
      <c r="AN315" s="32">
        <f>Table6[[#This Row],[ (RESV. STORGE) SER]]/10</f>
        <v/>
      </c>
      <c r="AO315" s="68" t="n"/>
      <c r="AP315" s="99">
        <f>Table6[[#This Row],[(A/S) AJD]]-Table6[[#This Row],[SER_IN]]</f>
        <v/>
      </c>
    </row>
    <row r="316" ht="18.75" customHeight="1">
      <c r="A316" s="98" t="n">
        <v>47798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Table6[[#This Row],[ (T/B) SAR]]+Table6[[#This Row],[ (S/S) SAR]]</f>
        <v/>
      </c>
      <c r="L316" s="28" t="n"/>
      <c r="M316" s="29" t="n"/>
      <c r="N316" s="30" t="n"/>
      <c r="O316" s="39" t="n"/>
      <c r="P316" s="9">
        <f>Table6[[#This Row],[ (S/S) SAR]]-Table6[[#This Row],[(S/S) AJD]]</f>
        <v/>
      </c>
      <c r="Q316" s="9" t="n"/>
      <c r="R316" s="9">
        <f>Table6[[#This Row],[ (T/B) SAR]]-Table6[[#This Row],[(T/B) AJD]]</f>
        <v/>
      </c>
      <c r="S316" s="9">
        <f>Table6[[#This Row],[S/S_CON.]]+Table6[[#This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Table6[[#This Row],[(RESV. STORGE) AJD]]/10</f>
        <v/>
      </c>
      <c r="AB316" s="3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32" t="n"/>
      <c r="AN316" s="32">
        <f>Table6[[#This Row],[ (RESV. STORGE) SER]]/10</f>
        <v/>
      </c>
      <c r="AO316" s="68" t="n"/>
      <c r="AP316" s="99">
        <f>Table6[[#This Row],[(A/S) AJD]]-Table6[[#This Row],[SER_IN]]</f>
        <v/>
      </c>
    </row>
    <row r="317" ht="18.75" customHeight="1">
      <c r="A317" s="98" t="n">
        <v>47799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Table6[[#This Row],[ (T/B) SAR]]+Table6[[#This Row],[ (S/S) SAR]]</f>
        <v/>
      </c>
      <c r="L317" s="28" t="n"/>
      <c r="M317" s="29" t="n"/>
      <c r="N317" s="30" t="n"/>
      <c r="O317" s="40" t="n"/>
      <c r="P317" s="9">
        <f>Table6[[#This Row],[ (S/S) SAR]]-Table6[[#This Row],[(S/S) AJD]]</f>
        <v/>
      </c>
      <c r="Q317" s="9" t="n"/>
      <c r="R317" s="9">
        <f>Table6[[#This Row],[ (T/B) SAR]]-Table6[[#This Row],[(T/B) AJD]]</f>
        <v/>
      </c>
      <c r="S317" s="9">
        <f>Table6[[#This Row],[S/S_CON.]]+Table6[[#This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Table6[[#This Row],[(RESV. STORGE) AJD]]/10</f>
        <v/>
      </c>
      <c r="AB317" s="3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32" t="n"/>
      <c r="AN317" s="32">
        <f>Table6[[#This Row],[ (RESV. STORGE) SER]]/10</f>
        <v/>
      </c>
      <c r="AO317" s="68" t="n"/>
      <c r="AP317" s="99">
        <f>Table6[[#This Row],[(A/S) AJD]]-Table6[[#This Row],[SER_IN]]</f>
        <v/>
      </c>
    </row>
    <row r="318" ht="18.75" customHeight="1">
      <c r="A318" s="98" t="n">
        <v>47800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Table6[[#This Row],[ (T/B) SAR]]+Table6[[#This Row],[ (S/S) SAR]]</f>
        <v/>
      </c>
      <c r="L318" s="28" t="n"/>
      <c r="M318" s="29" t="n"/>
      <c r="N318" s="30" t="n"/>
      <c r="O318" s="39" t="n"/>
      <c r="P318" s="9">
        <f>Table6[[#This Row],[ (S/S) SAR]]-Table6[[#This Row],[(S/S) AJD]]</f>
        <v/>
      </c>
      <c r="Q318" s="9" t="n"/>
      <c r="R318" s="9">
        <f>Table6[[#This Row],[ (T/B) SAR]]-Table6[[#This Row],[(T/B) AJD]]</f>
        <v/>
      </c>
      <c r="S318" s="9">
        <f>Table6[[#This Row],[S/S_CON.]]+Table6[[#This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Table6[[#This Row],[(RESV. STORGE) AJD]]/10</f>
        <v/>
      </c>
      <c r="AB318" s="3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32" t="n"/>
      <c r="AN318" s="32">
        <f>Table6[[#This Row],[ (RESV. STORGE) SER]]/10</f>
        <v/>
      </c>
      <c r="AO318" s="68" t="n"/>
      <c r="AP318" s="99">
        <f>Table6[[#This Row],[(A/S) AJD]]-Table6[[#This Row],[SER_IN]]</f>
        <v/>
      </c>
    </row>
    <row r="319" ht="18.75" customHeight="1">
      <c r="A319" s="98" t="n">
        <v>47801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Table6[[#This Row],[ (T/B) SAR]]+Table6[[#This Row],[ (S/S) SAR]]</f>
        <v/>
      </c>
      <c r="L319" s="28" t="n"/>
      <c r="M319" s="29" t="n"/>
      <c r="N319" s="30" t="n"/>
      <c r="O319" s="40" t="n"/>
      <c r="P319" s="9">
        <f>Table6[[#This Row],[ (S/S) SAR]]-Table6[[#This Row],[(S/S) AJD]]</f>
        <v/>
      </c>
      <c r="Q319" s="9" t="n"/>
      <c r="R319" s="9">
        <f>Table6[[#This Row],[ (T/B) SAR]]-Table6[[#This Row],[(T/B) AJD]]</f>
        <v/>
      </c>
      <c r="S319" s="9">
        <f>Table6[[#This Row],[S/S_CON.]]+Table6[[#This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Table6[[#This Row],[(RESV. STORGE) AJD]]/10</f>
        <v/>
      </c>
      <c r="AB319" s="3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32" t="n"/>
      <c r="AN319" s="32">
        <f>Table6[[#This Row],[ (RESV. STORGE) SER]]/10</f>
        <v/>
      </c>
      <c r="AO319" s="68" t="n"/>
      <c r="AP319" s="99">
        <f>Table6[[#This Row],[(A/S) AJD]]-Table6[[#This Row],[SER_IN]]</f>
        <v/>
      </c>
    </row>
    <row r="320" ht="18.75" customHeight="1">
      <c r="A320" s="98" t="n">
        <v>47802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Table6[[#This Row],[ (T/B) SAR]]+Table6[[#This Row],[ (S/S) SAR]]</f>
        <v/>
      </c>
      <c r="L320" s="28" t="n"/>
      <c r="M320" s="29" t="n"/>
      <c r="N320" s="30" t="n"/>
      <c r="O320" s="39" t="n"/>
      <c r="P320" s="9">
        <f>Table6[[#This Row],[ (S/S) SAR]]-Table6[[#This Row],[(S/S) AJD]]</f>
        <v/>
      </c>
      <c r="Q320" s="9" t="n"/>
      <c r="R320" s="9">
        <f>Table6[[#This Row],[ (T/B) SAR]]-Table6[[#This Row],[(T/B) AJD]]</f>
        <v/>
      </c>
      <c r="S320" s="9">
        <f>Table6[[#This Row],[S/S_CON.]]+Table6[[#This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Table6[[#This Row],[(RESV. STORGE) AJD]]/10</f>
        <v/>
      </c>
      <c r="AB320" s="3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32" t="n"/>
      <c r="AN320" s="32">
        <f>Table6[[#This Row],[ (RESV. STORGE) SER]]/10</f>
        <v/>
      </c>
      <c r="AO320" s="68" t="n"/>
      <c r="AP320" s="99">
        <f>Table6[[#This Row],[(A/S) AJD]]-Table6[[#This Row],[SER_IN]]</f>
        <v/>
      </c>
    </row>
    <row r="321" ht="18.75" customHeight="1">
      <c r="A321" s="98" t="n">
        <v>47803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Table6[[#This Row],[ (T/B) SAR]]+Table6[[#This Row],[ (S/S) SAR]]</f>
        <v/>
      </c>
      <c r="L321" s="28" t="n"/>
      <c r="M321" s="29" t="n"/>
      <c r="N321" s="30" t="n"/>
      <c r="O321" s="40" t="n"/>
      <c r="P321" s="9">
        <f>Table6[[#This Row],[ (S/S) SAR]]-Table6[[#This Row],[(S/S) AJD]]</f>
        <v/>
      </c>
      <c r="Q321" s="9" t="n"/>
      <c r="R321" s="9">
        <f>Table6[[#This Row],[ (T/B) SAR]]-Table6[[#This Row],[(T/B) AJD]]</f>
        <v/>
      </c>
      <c r="S321" s="9">
        <f>Table6[[#This Row],[S/S_CON.]]+Table6[[#This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Table6[[#This Row],[(RESV. STORGE) AJD]]/10</f>
        <v/>
      </c>
      <c r="AB321" s="3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32" t="n"/>
      <c r="AN321" s="32">
        <f>Table6[[#This Row],[ (RESV. STORGE) SER]]/10</f>
        <v/>
      </c>
      <c r="AO321" s="68" t="n"/>
      <c r="AP321" s="99">
        <f>Table6[[#This Row],[(A/S) AJD]]-Table6[[#This Row],[SER_IN]]</f>
        <v/>
      </c>
    </row>
    <row r="322" ht="18.75" customHeight="1">
      <c r="A322" s="98" t="n">
        <v>47804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Table6[[#This Row],[ (T/B) SAR]]+Table6[[#This Row],[ (S/S) SAR]]</f>
        <v/>
      </c>
      <c r="L322" s="28" t="n"/>
      <c r="M322" s="29" t="n"/>
      <c r="N322" s="30" t="n"/>
      <c r="O322" s="39" t="n"/>
      <c r="P322" s="9">
        <f>Table6[[#This Row],[ (S/S) SAR]]-Table6[[#This Row],[(S/S) AJD]]</f>
        <v/>
      </c>
      <c r="Q322" s="9" t="n"/>
      <c r="R322" s="9">
        <f>Table6[[#This Row],[ (T/B) SAR]]-Table6[[#This Row],[(T/B) AJD]]</f>
        <v/>
      </c>
      <c r="S322" s="9">
        <f>Table6[[#This Row],[S/S_CON.]]+Table6[[#This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Table6[[#This Row],[(RESV. STORGE) AJD]]/10</f>
        <v/>
      </c>
      <c r="AB322" s="3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32" t="n"/>
      <c r="AN322" s="32">
        <f>Table6[[#This Row],[ (RESV. STORGE) SER]]/10</f>
        <v/>
      </c>
      <c r="AO322" s="68" t="n"/>
      <c r="AP322" s="99">
        <f>Table6[[#This Row],[(A/S) AJD]]-Table6[[#This Row],[SER_IN]]</f>
        <v/>
      </c>
    </row>
    <row r="323" ht="18.75" customHeight="1">
      <c r="A323" s="98" t="n">
        <v>47805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Table6[[#This Row],[ (T/B) SAR]]+Table6[[#This Row],[ (S/S) SAR]]</f>
        <v/>
      </c>
      <c r="L323" s="28" t="n"/>
      <c r="M323" s="29" t="n"/>
      <c r="N323" s="30" t="n"/>
      <c r="O323" s="40" t="n"/>
      <c r="P323" s="9">
        <f>Table6[[#This Row],[ (S/S) SAR]]-Table6[[#This Row],[(S/S) AJD]]</f>
        <v/>
      </c>
      <c r="Q323" s="9" t="n"/>
      <c r="R323" s="9">
        <f>Table6[[#This Row],[ (T/B) SAR]]-Table6[[#This Row],[(T/B) AJD]]</f>
        <v/>
      </c>
      <c r="S323" s="9">
        <f>Table6[[#This Row],[S/S_CON.]]+Table6[[#This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Table6[[#This Row],[(RESV. STORGE) AJD]]/10</f>
        <v/>
      </c>
      <c r="AB323" s="3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32" t="n"/>
      <c r="AN323" s="32">
        <f>Table6[[#This Row],[ (RESV. STORGE) SER]]/10</f>
        <v/>
      </c>
      <c r="AO323" s="68" t="n"/>
      <c r="AP323" s="99">
        <f>Table6[[#This Row],[(A/S) AJD]]-Table6[[#This Row],[SER_IN]]</f>
        <v/>
      </c>
    </row>
    <row r="324" ht="18.75" customHeight="1">
      <c r="A324" s="98" t="n">
        <v>47806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Table6[[#This Row],[ (T/B) SAR]]+Table6[[#This Row],[ (S/S) SAR]]</f>
        <v/>
      </c>
      <c r="L324" s="28" t="n"/>
      <c r="M324" s="29" t="n"/>
      <c r="N324" s="30" t="n"/>
      <c r="O324" s="39" t="n"/>
      <c r="P324" s="9">
        <f>Table6[[#This Row],[ (S/S) SAR]]-Table6[[#This Row],[(S/S) AJD]]</f>
        <v/>
      </c>
      <c r="Q324" s="9" t="n"/>
      <c r="R324" s="9">
        <f>Table6[[#This Row],[ (T/B) SAR]]-Table6[[#This Row],[(T/B) AJD]]</f>
        <v/>
      </c>
      <c r="S324" s="9">
        <f>Table6[[#This Row],[S/S_CON.]]+Table6[[#This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Table6[[#This Row],[(RESV. STORGE) AJD]]/10</f>
        <v/>
      </c>
      <c r="AB324" s="3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32" t="n"/>
      <c r="AN324" s="32">
        <f>Table6[[#This Row],[ (RESV. STORGE) SER]]/10</f>
        <v/>
      </c>
      <c r="AO324" s="68" t="n"/>
      <c r="AP324" s="99">
        <f>Table6[[#This Row],[(A/S) AJD]]-Table6[[#This Row],[SER_IN]]</f>
        <v/>
      </c>
    </row>
    <row r="325" ht="18.75" customHeight="1">
      <c r="A325" s="98" t="n">
        <v>47807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Table6[[#This Row],[ (T/B) SAR]]+Table6[[#This Row],[ (S/S) SAR]]</f>
        <v/>
      </c>
      <c r="L325" s="28" t="n"/>
      <c r="M325" s="29" t="n"/>
      <c r="N325" s="30" t="n"/>
      <c r="O325" s="40" t="n"/>
      <c r="P325" s="9">
        <f>Table6[[#This Row],[ (S/S) SAR]]-Table6[[#This Row],[(S/S) AJD]]</f>
        <v/>
      </c>
      <c r="Q325" s="9" t="n"/>
      <c r="R325" s="9">
        <f>Table6[[#This Row],[ (T/B) SAR]]-Table6[[#This Row],[(T/B) AJD]]</f>
        <v/>
      </c>
      <c r="S325" s="9">
        <f>Table6[[#This Row],[S/S_CON.]]+Table6[[#This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Table6[[#This Row],[(RESV. STORGE) AJD]]/10</f>
        <v/>
      </c>
      <c r="AB325" s="3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32" t="n"/>
      <c r="AN325" s="32">
        <f>Table6[[#This Row],[ (RESV. STORGE) SER]]/10</f>
        <v/>
      </c>
      <c r="AO325" s="68" t="n"/>
      <c r="AP325" s="99">
        <f>Table6[[#This Row],[(A/S) AJD]]-Table6[[#This Row],[SER_IN]]</f>
        <v/>
      </c>
    </row>
    <row r="326" ht="18.75" customHeight="1">
      <c r="A326" s="98" t="n">
        <v>47808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Table6[[#This Row],[ (T/B) SAR]]+Table6[[#This Row],[ (S/S) SAR]]</f>
        <v/>
      </c>
      <c r="L326" s="28" t="n"/>
      <c r="M326" s="29" t="n"/>
      <c r="N326" s="30" t="n"/>
      <c r="O326" s="39" t="n"/>
      <c r="P326" s="9">
        <f>Table6[[#This Row],[ (S/S) SAR]]-Table6[[#This Row],[(S/S) AJD]]</f>
        <v/>
      </c>
      <c r="Q326" s="9" t="n"/>
      <c r="R326" s="9">
        <f>Table6[[#This Row],[ (T/B) SAR]]-Table6[[#This Row],[(T/B) AJD]]</f>
        <v/>
      </c>
      <c r="S326" s="9">
        <f>Table6[[#This Row],[S/S_CON.]]+Table6[[#This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Table6[[#This Row],[(RESV. STORGE) AJD]]/10</f>
        <v/>
      </c>
      <c r="AB326" s="3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32" t="n"/>
      <c r="AN326" s="32">
        <f>Table6[[#This Row],[ (RESV. STORGE) SER]]/10</f>
        <v/>
      </c>
      <c r="AO326" s="68" t="n"/>
      <c r="AP326" s="99">
        <f>Table6[[#This Row],[(A/S) AJD]]-Table6[[#This Row],[SER_IN]]</f>
        <v/>
      </c>
    </row>
    <row r="327" ht="18.75" customHeight="1">
      <c r="A327" s="98" t="n">
        <v>47809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Table6[[#This Row],[ (T/B) SAR]]+Table6[[#This Row],[ (S/S) SAR]]</f>
        <v/>
      </c>
      <c r="L327" s="28" t="n"/>
      <c r="M327" s="29" t="n"/>
      <c r="N327" s="30" t="n"/>
      <c r="O327" s="40" t="n"/>
      <c r="P327" s="9">
        <f>Table6[[#This Row],[ (S/S) SAR]]-Table6[[#This Row],[(S/S) AJD]]</f>
        <v/>
      </c>
      <c r="Q327" s="9" t="n"/>
      <c r="R327" s="9">
        <f>Table6[[#This Row],[ (T/B) SAR]]-Table6[[#This Row],[(T/B) AJD]]</f>
        <v/>
      </c>
      <c r="S327" s="9">
        <f>Table6[[#This Row],[S/S_CON.]]+Table6[[#This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Table6[[#This Row],[(RESV. STORGE) AJD]]/10</f>
        <v/>
      </c>
      <c r="AB327" s="3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32" t="n"/>
      <c r="AN327" s="32">
        <f>Table6[[#This Row],[ (RESV. STORGE) SER]]/10</f>
        <v/>
      </c>
      <c r="AO327" s="68" t="n"/>
      <c r="AP327" s="99">
        <f>Table6[[#This Row],[(A/S) AJD]]-Table6[[#This Row],[SER_IN]]</f>
        <v/>
      </c>
    </row>
    <row r="328" ht="18.75" customHeight="1">
      <c r="A328" s="98" t="n">
        <v>47810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Table6[[#This Row],[ (T/B) SAR]]+Table6[[#This Row],[ (S/S) SAR]]</f>
        <v/>
      </c>
      <c r="L328" s="28" t="n"/>
      <c r="M328" s="29" t="n"/>
      <c r="N328" s="30" t="n"/>
      <c r="O328" s="39" t="n"/>
      <c r="P328" s="9">
        <f>Table6[[#This Row],[ (S/S) SAR]]-Table6[[#This Row],[(S/S) AJD]]</f>
        <v/>
      </c>
      <c r="Q328" s="9" t="n"/>
      <c r="R328" s="9">
        <f>Table6[[#This Row],[ (T/B) SAR]]-Table6[[#This Row],[(T/B) AJD]]</f>
        <v/>
      </c>
      <c r="S328" s="9">
        <f>Table6[[#This Row],[S/S_CON.]]+Table6[[#This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Table6[[#This Row],[(RESV. STORGE) AJD]]/10</f>
        <v/>
      </c>
      <c r="AB328" s="3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32" t="n"/>
      <c r="AN328" s="32">
        <f>Table6[[#This Row],[ (RESV. STORGE) SER]]/10</f>
        <v/>
      </c>
      <c r="AO328" s="68" t="n"/>
      <c r="AP328" s="99">
        <f>Table6[[#This Row],[(A/S) AJD]]-Table6[[#This Row],[SER_IN]]</f>
        <v/>
      </c>
    </row>
    <row r="329" ht="18.75" customHeight="1">
      <c r="A329" s="98" t="n">
        <v>47811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Table6[[#This Row],[ (T/B) SAR]]+Table6[[#This Row],[ (S/S) SAR]]</f>
        <v/>
      </c>
      <c r="L329" s="28" t="n"/>
      <c r="M329" s="29" t="n"/>
      <c r="N329" s="30" t="n"/>
      <c r="O329" s="40" t="n"/>
      <c r="P329" s="9">
        <f>Table6[[#This Row],[ (S/S) SAR]]-Table6[[#This Row],[(S/S) AJD]]</f>
        <v/>
      </c>
      <c r="Q329" s="9" t="n"/>
      <c r="R329" s="9">
        <f>Table6[[#This Row],[ (T/B) SAR]]-Table6[[#This Row],[(T/B) AJD]]</f>
        <v/>
      </c>
      <c r="S329" s="9">
        <f>Table6[[#This Row],[S/S_CON.]]+Table6[[#This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Table6[[#This Row],[(RESV. STORGE) AJD]]/10</f>
        <v/>
      </c>
      <c r="AB329" s="3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32" t="n"/>
      <c r="AN329" s="32">
        <f>Table6[[#This Row],[ (RESV. STORGE) SER]]/10</f>
        <v/>
      </c>
      <c r="AO329" s="68" t="n"/>
      <c r="AP329" s="99">
        <f>Table6[[#This Row],[(A/S) AJD]]-Table6[[#This Row],[SER_IN]]</f>
        <v/>
      </c>
    </row>
    <row r="330" ht="18.75" customHeight="1">
      <c r="A330" s="98" t="n">
        <v>47812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Table6[[#This Row],[ (T/B) SAR]]+Table6[[#This Row],[ (S/S) SAR]]</f>
        <v/>
      </c>
      <c r="L330" s="28" t="n"/>
      <c r="M330" s="29" t="n"/>
      <c r="N330" s="30" t="n"/>
      <c r="O330" s="39" t="n"/>
      <c r="P330" s="9">
        <f>Table6[[#This Row],[ (S/S) SAR]]-Table6[[#This Row],[(S/S) AJD]]</f>
        <v/>
      </c>
      <c r="Q330" s="9" t="n"/>
      <c r="R330" s="9">
        <f>Table6[[#This Row],[ (T/B) SAR]]-Table6[[#This Row],[(T/B) AJD]]</f>
        <v/>
      </c>
      <c r="S330" s="9">
        <f>Table6[[#This Row],[S/S_CON.]]+Table6[[#This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Table6[[#This Row],[(RESV. STORGE) AJD]]/10</f>
        <v/>
      </c>
      <c r="AB330" s="3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32" t="n"/>
      <c r="AN330" s="32">
        <f>Table6[[#This Row],[ (RESV. STORGE) SER]]/10</f>
        <v/>
      </c>
      <c r="AO330" s="68" t="n"/>
      <c r="AP330" s="99">
        <f>Table6[[#This Row],[(A/S) AJD]]-Table6[[#This Row],[SER_IN]]</f>
        <v/>
      </c>
    </row>
    <row r="331" ht="18.75" customHeight="1">
      <c r="A331" s="98" t="n">
        <v>47813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Table6[[#This Row],[ (T/B) SAR]]+Table6[[#This Row],[ (S/S) SAR]]</f>
        <v/>
      </c>
      <c r="L331" s="28" t="n"/>
      <c r="M331" s="29" t="n"/>
      <c r="N331" s="30" t="n"/>
      <c r="O331" s="40" t="n"/>
      <c r="P331" s="9">
        <f>Table6[[#This Row],[ (S/S) SAR]]-Table6[[#This Row],[(S/S) AJD]]</f>
        <v/>
      </c>
      <c r="Q331" s="9" t="n"/>
      <c r="R331" s="9">
        <f>Table6[[#This Row],[ (T/B) SAR]]-Table6[[#This Row],[(T/B) AJD]]</f>
        <v/>
      </c>
      <c r="S331" s="9">
        <f>Table6[[#This Row],[S/S_CON.]]+Table6[[#This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Table6[[#This Row],[(RESV. STORGE) AJD]]/10</f>
        <v/>
      </c>
      <c r="AB331" s="3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32" t="n"/>
      <c r="AN331" s="32">
        <f>Table6[[#This Row],[ (RESV. STORGE) SER]]/10</f>
        <v/>
      </c>
      <c r="AO331" s="68" t="n"/>
      <c r="AP331" s="99">
        <f>Table6[[#This Row],[(A/S) AJD]]-Table6[[#This Row],[SER_IN]]</f>
        <v/>
      </c>
    </row>
    <row r="332" ht="18.75" customHeight="1">
      <c r="A332" s="98" t="n">
        <v>47814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Table6[[#This Row],[ (T/B) SAR]]+Table6[[#This Row],[ (S/S) SAR]]</f>
        <v/>
      </c>
      <c r="L332" s="28" t="n"/>
      <c r="M332" s="29" t="n"/>
      <c r="N332" s="30" t="n"/>
      <c r="O332" s="39" t="n"/>
      <c r="P332" s="9">
        <f>Table6[[#This Row],[ (S/S) SAR]]-Table6[[#This Row],[(S/S) AJD]]</f>
        <v/>
      </c>
      <c r="Q332" s="9" t="n"/>
      <c r="R332" s="9">
        <f>Table6[[#This Row],[ (T/B) SAR]]-Table6[[#This Row],[(T/B) AJD]]</f>
        <v/>
      </c>
      <c r="S332" s="9">
        <f>Table6[[#This Row],[S/S_CON.]]+Table6[[#This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Table6[[#This Row],[(RESV. STORGE) AJD]]/10</f>
        <v/>
      </c>
      <c r="AB332" s="3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32" t="n"/>
      <c r="AN332" s="32">
        <f>Table6[[#This Row],[ (RESV. STORGE) SER]]/10</f>
        <v/>
      </c>
      <c r="AO332" s="68" t="n"/>
      <c r="AP332" s="99">
        <f>Table6[[#This Row],[(A/S) AJD]]-Table6[[#This Row],[SER_IN]]</f>
        <v/>
      </c>
    </row>
    <row r="333" ht="18.75" customHeight="1">
      <c r="A333" s="98" t="n">
        <v>47815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Table6[[#This Row],[ (T/B) SAR]]+Table6[[#This Row],[ (S/S) SAR]]</f>
        <v/>
      </c>
      <c r="L333" s="28" t="n"/>
      <c r="M333" s="29" t="n"/>
      <c r="N333" s="30" t="n"/>
      <c r="O333" s="40" t="n"/>
      <c r="P333" s="9">
        <f>Table6[[#This Row],[ (S/S) SAR]]-Table6[[#This Row],[(S/S) AJD]]</f>
        <v/>
      </c>
      <c r="Q333" s="9" t="n"/>
      <c r="R333" s="9">
        <f>Table6[[#This Row],[ (T/B) SAR]]-Table6[[#This Row],[(T/B) AJD]]</f>
        <v/>
      </c>
      <c r="S333" s="9">
        <f>Table6[[#This Row],[S/S_CON.]]+Table6[[#This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Table6[[#This Row],[(RESV. STORGE) AJD]]/10</f>
        <v/>
      </c>
      <c r="AB333" s="3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32" t="n"/>
      <c r="AN333" s="32">
        <f>Table6[[#This Row],[ (RESV. STORGE) SER]]/10</f>
        <v/>
      </c>
      <c r="AO333" s="68" t="n"/>
      <c r="AP333" s="99">
        <f>Table6[[#This Row],[(A/S) AJD]]-Table6[[#This Row],[SER_IN]]</f>
        <v/>
      </c>
    </row>
    <row r="334" ht="18.75" customHeight="1">
      <c r="A334" s="98" t="n">
        <v>47816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Table6[[#This Row],[ (T/B) SAR]]+Table6[[#This Row],[ (S/S) SAR]]</f>
        <v/>
      </c>
      <c r="L334" s="28" t="n"/>
      <c r="M334" s="29" t="n"/>
      <c r="N334" s="30" t="n"/>
      <c r="O334" s="39" t="n"/>
      <c r="P334" s="9">
        <f>Table6[[#This Row],[ (S/S) SAR]]-Table6[[#This Row],[(S/S) AJD]]</f>
        <v/>
      </c>
      <c r="Q334" s="9" t="n"/>
      <c r="R334" s="9">
        <f>Table6[[#This Row],[ (T/B) SAR]]-Table6[[#This Row],[(T/B) AJD]]</f>
        <v/>
      </c>
      <c r="S334" s="9">
        <f>Table6[[#This Row],[S/S_CON.]]+Table6[[#This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Table6[[#This Row],[(RESV. STORGE) AJD]]/10</f>
        <v/>
      </c>
      <c r="AB334" s="3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32" t="n"/>
      <c r="AN334" s="32">
        <f>Table6[[#This Row],[ (RESV. STORGE) SER]]/10</f>
        <v/>
      </c>
      <c r="AO334" s="68" t="n"/>
      <c r="AP334" s="99">
        <f>Table6[[#This Row],[(A/S) AJD]]-Table6[[#This Row],[SER_IN]]</f>
        <v/>
      </c>
    </row>
    <row r="335" ht="18.75" customHeight="1">
      <c r="A335" s="98" t="n">
        <v>47817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Table6[[#This Row],[ (T/B) SAR]]+Table6[[#This Row],[ (S/S) SAR]]</f>
        <v/>
      </c>
      <c r="L335" s="28" t="n"/>
      <c r="M335" s="29" t="n"/>
      <c r="N335" s="30" t="n"/>
      <c r="O335" s="40" t="n"/>
      <c r="P335" s="9">
        <f>Table6[[#This Row],[ (S/S) SAR]]-Table6[[#This Row],[(S/S) AJD]]</f>
        <v/>
      </c>
      <c r="Q335" s="9" t="n"/>
      <c r="R335" s="9">
        <f>Table6[[#This Row],[ (T/B) SAR]]-Table6[[#This Row],[(T/B) AJD]]</f>
        <v/>
      </c>
      <c r="S335" s="9">
        <f>Table6[[#This Row],[S/S_CON.]]+Table6[[#This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Table6[[#This Row],[(RESV. STORGE) AJD]]/10</f>
        <v/>
      </c>
      <c r="AB335" s="3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32" t="n"/>
      <c r="AN335" s="32">
        <f>Table6[[#This Row],[ (RESV. STORGE) SER]]/10</f>
        <v/>
      </c>
      <c r="AO335" s="68" t="n"/>
      <c r="AP335" s="99">
        <f>Table6[[#This Row],[(A/S) AJD]]-Table6[[#This Row],[SER_IN]]</f>
        <v/>
      </c>
    </row>
    <row r="336" ht="18.75" customHeight="1">
      <c r="A336" s="98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Table6[[#This Row],[ (T/B) SAR]]+Table6[[#This Row],[ (S/S) SAR]]</f>
        <v/>
      </c>
      <c r="L336" s="41" t="n"/>
      <c r="M336" s="42" t="n"/>
      <c r="N336" s="42" t="n"/>
      <c r="O336" s="39" t="n"/>
      <c r="P336" s="9">
        <f>Table6[[#This Row],[ (S/S) SAR]]-Table6[[#This Row],[(S/S) AJD]]</f>
        <v/>
      </c>
      <c r="Q336" s="39" t="n"/>
      <c r="R336" s="9">
        <f>Table6[[#This Row],[ (T/B) SAR]]-Table6[[#This Row],[(T/B) AJD]]</f>
        <v/>
      </c>
      <c r="S336" s="9">
        <f>Table6[[#This Row],[S/S_CON.]]+Table6[[#This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Table6[[#This Row],[(RESV. STORGE) AJD]]/10</f>
        <v/>
      </c>
      <c r="AB336" s="3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32" t="n"/>
      <c r="AN336" s="32">
        <f>Table6[[#This Row],[ (RESV. STORGE) SER]]/10</f>
        <v/>
      </c>
      <c r="AO336" s="68" t="n"/>
      <c r="AP336" s="99">
        <f>Table6[[#This Row],[(A/S) AJD]]-Table6[[#This Row],[SER_IN]]</f>
        <v/>
      </c>
    </row>
    <row r="337" ht="18.75" customHeight="1">
      <c r="A337" s="98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Table6[[#This Row],[ (T/B) SAR]]+Table6[[#This Row],[ (S/S) SAR]]</f>
        <v/>
      </c>
      <c r="L337" s="45" t="n"/>
      <c r="M337" s="46" t="n"/>
      <c r="N337" s="46" t="n"/>
      <c r="O337" s="40" t="n"/>
      <c r="P337" s="9">
        <f>Table6[[#This Row],[ (S/S) SAR]]-Table6[[#This Row],[(S/S) AJD]]</f>
        <v/>
      </c>
      <c r="Q337" s="40" t="n"/>
      <c r="R337" s="9">
        <f>Table6[[#This Row],[ (T/B) SAR]]-Table6[[#This Row],[(T/B) AJD]]</f>
        <v/>
      </c>
      <c r="S337" s="9">
        <f>Table6[[#This Row],[S/S_CON.]]+Table6[[#This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Table6[[#This Row],[(RESV. STORGE) AJD]]/10</f>
        <v/>
      </c>
      <c r="AB337" s="3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32" t="n"/>
      <c r="AN337" s="32">
        <f>Table6[[#This Row],[ (RESV. STORGE) SER]]/10</f>
        <v/>
      </c>
      <c r="AO337" s="68" t="n"/>
      <c r="AP337" s="99">
        <f>Table6[[#This Row],[(A/S) AJD]]-Table6[[#This Row],[SER_IN]]</f>
        <v/>
      </c>
    </row>
    <row r="338" ht="18.75" customHeight="1">
      <c r="A338" s="98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Table6[[#This Row],[ (T/B) SAR]]+Table6[[#This Row],[ (S/S) SAR]]</f>
        <v/>
      </c>
      <c r="L338" s="41" t="n"/>
      <c r="M338" s="42" t="n"/>
      <c r="N338" s="42" t="n"/>
      <c r="O338" s="39" t="n"/>
      <c r="P338" s="9">
        <f>Table6[[#This Row],[ (S/S) SAR]]-Table6[[#This Row],[(S/S) AJD]]</f>
        <v/>
      </c>
      <c r="Q338" s="39" t="n"/>
      <c r="R338" s="9">
        <f>Table6[[#This Row],[ (T/B) SAR]]-Table6[[#This Row],[(T/B) AJD]]</f>
        <v/>
      </c>
      <c r="S338" s="9">
        <f>Table6[[#This Row],[S/S_CON.]]+Table6[[#This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Table6[[#This Row],[(RESV. STORGE) AJD]]/10</f>
        <v/>
      </c>
      <c r="AB338" s="3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32" t="n"/>
      <c r="AN338" s="32">
        <f>Table6[[#This Row],[ (RESV. STORGE) SER]]/10</f>
        <v/>
      </c>
      <c r="AO338" s="68" t="n"/>
      <c r="AP338" s="99">
        <f>Table6[[#This Row],[(A/S) AJD]]-Table6[[#This Row],[SER_IN]]</f>
        <v/>
      </c>
    </row>
    <row r="339" ht="18.75" customHeight="1">
      <c r="A339" s="98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Table6[[#This Row],[ (T/B) SAR]]+Table6[[#This Row],[ (S/S) SAR]]</f>
        <v/>
      </c>
      <c r="L339" s="45" t="n"/>
      <c r="M339" s="46" t="n"/>
      <c r="N339" s="46" t="n"/>
      <c r="O339" s="40" t="n"/>
      <c r="P339" s="9">
        <f>Table6[[#This Row],[ (S/S) SAR]]-Table6[[#This Row],[(S/S) AJD]]</f>
        <v/>
      </c>
      <c r="Q339" s="40" t="n"/>
      <c r="R339" s="9">
        <f>Table6[[#This Row],[ (T/B) SAR]]-Table6[[#This Row],[(T/B) AJD]]</f>
        <v/>
      </c>
      <c r="S339" s="9">
        <f>Table6[[#This Row],[S/S_CON.]]+Table6[[#This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Table6[[#This Row],[(RESV. STORGE) AJD]]/10</f>
        <v/>
      </c>
      <c r="AB339" s="3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32" t="n"/>
      <c r="AN339" s="32">
        <f>Table6[[#This Row],[ (RESV. STORGE) SER]]/10</f>
        <v/>
      </c>
      <c r="AO339" s="68" t="n"/>
      <c r="AP339" s="99">
        <f>Table6[[#This Row],[(A/S) AJD]]-Table6[[#This Row],[SER_IN]]</f>
        <v/>
      </c>
    </row>
    <row r="340" ht="18.75" customHeight="1">
      <c r="A340" s="98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Table6[[#This Row],[ (T/B) SAR]]+Table6[[#This Row],[ (S/S) SAR]]</f>
        <v/>
      </c>
      <c r="L340" s="41" t="n"/>
      <c r="M340" s="42" t="n"/>
      <c r="N340" s="42" t="n"/>
      <c r="O340" s="39" t="n"/>
      <c r="P340" s="9">
        <f>Table6[[#This Row],[ (S/S) SAR]]-Table6[[#This Row],[(S/S) AJD]]</f>
        <v/>
      </c>
      <c r="Q340" s="39" t="n"/>
      <c r="R340" s="9">
        <f>Table6[[#This Row],[ (T/B) SAR]]-Table6[[#This Row],[(T/B) AJD]]</f>
        <v/>
      </c>
      <c r="S340" s="9">
        <f>Table6[[#This Row],[S/S_CON.]]+Table6[[#This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Table6[[#This Row],[(RESV. STORGE) AJD]]/10</f>
        <v/>
      </c>
      <c r="AB340" s="3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32" t="n"/>
      <c r="AN340" s="32">
        <f>Table6[[#This Row],[ (RESV. STORGE) SER]]/10</f>
        <v/>
      </c>
      <c r="AO340" s="68" t="n"/>
      <c r="AP340" s="99">
        <f>Table6[[#This Row],[(A/S) AJD]]-Table6[[#This Row],[SER_IN]]</f>
        <v/>
      </c>
    </row>
    <row r="341" ht="18.75" customHeight="1">
      <c r="A341" s="98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Table6[[#This Row],[ (T/B) SAR]]+Table6[[#This Row],[ (S/S) SAR]]</f>
        <v/>
      </c>
      <c r="L341" s="45" t="n"/>
      <c r="M341" s="46" t="n"/>
      <c r="N341" s="46" t="n"/>
      <c r="O341" s="40" t="n"/>
      <c r="P341" s="9">
        <f>Table6[[#This Row],[ (S/S) SAR]]-Table6[[#This Row],[(S/S) AJD]]</f>
        <v/>
      </c>
      <c r="Q341" s="40" t="n"/>
      <c r="R341" s="9">
        <f>Table6[[#This Row],[ (T/B) SAR]]-Table6[[#This Row],[(T/B) AJD]]</f>
        <v/>
      </c>
      <c r="S341" s="9">
        <f>Table6[[#This Row],[S/S_CON.]]+Table6[[#This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Table6[[#This Row],[(RESV. STORGE) AJD]]/10</f>
        <v/>
      </c>
      <c r="AB341" s="3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32" t="n"/>
      <c r="AN341" s="32">
        <f>Table6[[#This Row],[ (RESV. STORGE) SER]]/10</f>
        <v/>
      </c>
      <c r="AO341" s="68" t="n"/>
      <c r="AP341" s="99">
        <f>Table6[[#This Row],[(A/S) AJD]]-Table6[[#This Row],[SER_IN]]</f>
        <v/>
      </c>
    </row>
    <row r="342" ht="18.75" customHeight="1">
      <c r="A342" s="98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Table6[[#This Row],[ (T/B) SAR]]+Table6[[#This Row],[ (S/S) SAR]]</f>
        <v/>
      </c>
      <c r="L342" s="41" t="n"/>
      <c r="M342" s="42" t="n"/>
      <c r="N342" s="42" t="n"/>
      <c r="O342" s="39" t="n"/>
      <c r="P342" s="9">
        <f>Table6[[#This Row],[ (S/S) SAR]]-Table6[[#This Row],[(S/S) AJD]]</f>
        <v/>
      </c>
      <c r="Q342" s="39" t="n"/>
      <c r="R342" s="9">
        <f>Table6[[#This Row],[ (T/B) SAR]]-Table6[[#This Row],[(T/B) AJD]]</f>
        <v/>
      </c>
      <c r="S342" s="9">
        <f>Table6[[#This Row],[S/S_CON.]]+Table6[[#This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Table6[[#This Row],[(RESV. STORGE) AJD]]/10</f>
        <v/>
      </c>
      <c r="AB342" s="3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32" t="n"/>
      <c r="AN342" s="32">
        <f>Table6[[#This Row],[ (RESV. STORGE) SER]]/10</f>
        <v/>
      </c>
      <c r="AO342" s="68" t="n"/>
      <c r="AP342" s="99">
        <f>Table6[[#This Row],[(A/S) AJD]]-Table6[[#This Row],[SER_IN]]</f>
        <v/>
      </c>
    </row>
    <row r="343" ht="18.75" customHeight="1">
      <c r="A343" s="98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Table6[[#This Row],[ (T/B) SAR]]+Table6[[#This Row],[ (S/S) SAR]]</f>
        <v/>
      </c>
      <c r="L343" s="45" t="n"/>
      <c r="M343" s="46" t="n"/>
      <c r="N343" s="46" t="n"/>
      <c r="O343" s="40" t="n"/>
      <c r="P343" s="9">
        <f>Table6[[#This Row],[ (S/S) SAR]]-Table6[[#This Row],[(S/S) AJD]]</f>
        <v/>
      </c>
      <c r="Q343" s="40" t="n"/>
      <c r="R343" s="9">
        <f>Table6[[#This Row],[ (T/B) SAR]]-Table6[[#This Row],[(T/B) AJD]]</f>
        <v/>
      </c>
      <c r="S343" s="9">
        <f>Table6[[#This Row],[S/S_CON.]]+Table6[[#This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Table6[[#This Row],[(RESV. STORGE) AJD]]/10</f>
        <v/>
      </c>
      <c r="AB343" s="3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32" t="n"/>
      <c r="AN343" s="32">
        <f>Table6[[#This Row],[ (RESV. STORGE) SER]]/10</f>
        <v/>
      </c>
      <c r="AO343" s="68" t="n"/>
      <c r="AP343" s="99">
        <f>Table6[[#This Row],[(A/S) AJD]]-Table6[[#This Row],[SER_IN]]</f>
        <v/>
      </c>
    </row>
    <row r="344" ht="18.75" customHeight="1">
      <c r="A344" s="98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Table6[[#This Row],[ (T/B) SAR]]+Table6[[#This Row],[ (S/S) SAR]]</f>
        <v/>
      </c>
      <c r="L344" s="41" t="n"/>
      <c r="M344" s="42" t="n"/>
      <c r="N344" s="42" t="n"/>
      <c r="O344" s="39" t="n"/>
      <c r="P344" s="9">
        <f>Table6[[#This Row],[ (S/S) SAR]]-Table6[[#This Row],[(S/S) AJD]]</f>
        <v/>
      </c>
      <c r="Q344" s="39" t="n"/>
      <c r="R344" s="9">
        <f>Table6[[#This Row],[ (T/B) SAR]]-Table6[[#This Row],[(T/B) AJD]]</f>
        <v/>
      </c>
      <c r="S344" s="9">
        <f>Table6[[#This Row],[S/S_CON.]]+Table6[[#This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Table6[[#This Row],[(RESV. STORGE) AJD]]/10</f>
        <v/>
      </c>
      <c r="AB344" s="3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32" t="n"/>
      <c r="AN344" s="32">
        <f>Table6[[#This Row],[ (RESV. STORGE) SER]]/10</f>
        <v/>
      </c>
      <c r="AO344" s="68" t="n"/>
      <c r="AP344" s="99">
        <f>Table6[[#This Row],[(A/S) AJD]]-Table6[[#This Row],[SER_IN]]</f>
        <v/>
      </c>
    </row>
    <row r="345" ht="18.75" customHeight="1">
      <c r="A345" s="98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Table6[[#This Row],[ (T/B) SAR]]+Table6[[#This Row],[ (S/S) SAR]]</f>
        <v/>
      </c>
      <c r="L345" s="45" t="n"/>
      <c r="M345" s="46" t="n"/>
      <c r="N345" s="46" t="n"/>
      <c r="O345" s="40" t="n"/>
      <c r="P345" s="9">
        <f>Table6[[#This Row],[ (S/S) SAR]]-Table6[[#This Row],[(S/S) AJD]]</f>
        <v/>
      </c>
      <c r="Q345" s="40" t="n"/>
      <c r="R345" s="9">
        <f>Table6[[#This Row],[ (T/B) SAR]]-Table6[[#This Row],[(T/B) AJD]]</f>
        <v/>
      </c>
      <c r="S345" s="9">
        <f>Table6[[#This Row],[S/S_CON.]]+Table6[[#This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Table6[[#This Row],[(RESV. STORGE) AJD]]/10</f>
        <v/>
      </c>
      <c r="AB345" s="3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32" t="n"/>
      <c r="AN345" s="32">
        <f>Table6[[#This Row],[ (RESV. STORGE) SER]]/10</f>
        <v/>
      </c>
      <c r="AO345" s="68" t="n"/>
      <c r="AP345" s="99">
        <f>Table6[[#This Row],[(A/S) AJD]]-Table6[[#This Row],[SER_IN]]</f>
        <v/>
      </c>
    </row>
    <row r="346" ht="18.75" customHeight="1">
      <c r="A346" s="98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Table6[[#This Row],[ (T/B) SAR]]+Table6[[#This Row],[ (S/S) SAR]]</f>
        <v/>
      </c>
      <c r="L346" s="41" t="n"/>
      <c r="M346" s="42" t="n"/>
      <c r="N346" s="42" t="n"/>
      <c r="O346" s="39" t="n"/>
      <c r="P346" s="9">
        <f>Table6[[#This Row],[ (S/S) SAR]]-Table6[[#This Row],[(S/S) AJD]]</f>
        <v/>
      </c>
      <c r="Q346" s="39" t="n"/>
      <c r="R346" s="9">
        <f>Table6[[#This Row],[ (T/B) SAR]]-Table6[[#This Row],[(T/B) AJD]]</f>
        <v/>
      </c>
      <c r="S346" s="9">
        <f>Table6[[#This Row],[S/S_CON.]]+Table6[[#This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Table6[[#This Row],[(RESV. STORGE) AJD]]/10</f>
        <v/>
      </c>
      <c r="AB346" s="3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32" t="n"/>
      <c r="AN346" s="32">
        <f>Table6[[#This Row],[ (RESV. STORGE) SER]]/10</f>
        <v/>
      </c>
      <c r="AO346" s="68" t="n"/>
      <c r="AP346" s="99">
        <f>Table6[[#This Row],[(A/S) AJD]]-Table6[[#This Row],[SER_IN]]</f>
        <v/>
      </c>
    </row>
    <row r="347" ht="18.75" customHeight="1">
      <c r="A347" s="98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Table6[[#This Row],[ (T/B) SAR]]+Table6[[#This Row],[ (S/S) SAR]]</f>
        <v/>
      </c>
      <c r="L347" s="45" t="n"/>
      <c r="M347" s="46" t="n"/>
      <c r="N347" s="46" t="n"/>
      <c r="O347" s="40" t="n"/>
      <c r="P347" s="9">
        <f>Table6[[#This Row],[ (S/S) SAR]]-Table6[[#This Row],[(S/S) AJD]]</f>
        <v/>
      </c>
      <c r="Q347" s="40" t="n"/>
      <c r="R347" s="9">
        <f>Table6[[#This Row],[ (T/B) SAR]]-Table6[[#This Row],[(T/B) AJD]]</f>
        <v/>
      </c>
      <c r="S347" s="9">
        <f>Table6[[#This Row],[S/S_CON.]]+Table6[[#This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Table6[[#This Row],[(RESV. STORGE) AJD]]/10</f>
        <v/>
      </c>
      <c r="AB347" s="3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32" t="n"/>
      <c r="AN347" s="32">
        <f>Table6[[#This Row],[ (RESV. STORGE) SER]]/10</f>
        <v/>
      </c>
      <c r="AO347" s="68" t="n"/>
      <c r="AP347" s="99">
        <f>Table6[[#This Row],[(A/S) AJD]]-Table6[[#This Row],[SER_IN]]</f>
        <v/>
      </c>
    </row>
    <row r="348" ht="18.75" customHeight="1">
      <c r="A348" s="98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Table6[[#This Row],[ (T/B) SAR]]+Table6[[#This Row],[ (S/S) SAR]]</f>
        <v/>
      </c>
      <c r="L348" s="41" t="n"/>
      <c r="M348" s="42" t="n"/>
      <c r="N348" s="42" t="n"/>
      <c r="O348" s="39" t="n"/>
      <c r="P348" s="9">
        <f>Table6[[#This Row],[ (S/S) SAR]]-Table6[[#This Row],[(S/S) AJD]]</f>
        <v/>
      </c>
      <c r="Q348" s="39" t="n"/>
      <c r="R348" s="9">
        <f>Table6[[#This Row],[ (T/B) SAR]]-Table6[[#This Row],[(T/B) AJD]]</f>
        <v/>
      </c>
      <c r="S348" s="9">
        <f>Table6[[#This Row],[S/S_CON.]]+Table6[[#This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Table6[[#This Row],[(RESV. STORGE) AJD]]/10</f>
        <v/>
      </c>
      <c r="AB348" s="3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32" t="n"/>
      <c r="AN348" s="32">
        <f>Table6[[#This Row],[ (RESV. STORGE) SER]]/10</f>
        <v/>
      </c>
      <c r="AO348" s="68" t="n"/>
      <c r="AP348" s="99">
        <f>Table6[[#This Row],[(A/S) AJD]]-Table6[[#This Row],[SER_IN]]</f>
        <v/>
      </c>
    </row>
    <row r="349" ht="18.75" customHeight="1">
      <c r="A349" s="98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Table6[[#This Row],[ (T/B) SAR]]+Table6[[#This Row],[ (S/S) SAR]]</f>
        <v/>
      </c>
      <c r="L349" s="45" t="n"/>
      <c r="M349" s="46" t="n"/>
      <c r="N349" s="46" t="n"/>
      <c r="O349" s="40" t="n"/>
      <c r="P349" s="9">
        <f>Table6[[#This Row],[ (S/S) SAR]]-Table6[[#This Row],[(S/S) AJD]]</f>
        <v/>
      </c>
      <c r="Q349" s="40" t="n"/>
      <c r="R349" s="9">
        <f>Table6[[#This Row],[ (T/B) SAR]]-Table6[[#This Row],[(T/B) AJD]]</f>
        <v/>
      </c>
      <c r="S349" s="9">
        <f>Table6[[#This Row],[S/S_CON.]]+Table6[[#This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Table6[[#This Row],[(RESV. STORGE) AJD]]/10</f>
        <v/>
      </c>
      <c r="AB349" s="3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32" t="n"/>
      <c r="AN349" s="32">
        <f>Table6[[#This Row],[ (RESV. STORGE) SER]]/10</f>
        <v/>
      </c>
      <c r="AO349" s="68" t="n"/>
      <c r="AP349" s="99">
        <f>Table6[[#This Row],[(A/S) AJD]]-Table6[[#This Row],[SER_IN]]</f>
        <v/>
      </c>
    </row>
    <row r="350" ht="18.75" customHeight="1">
      <c r="A350" s="98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Table6[[#This Row],[ (T/B) SAR]]+Table6[[#This Row],[ (S/S) SAR]]</f>
        <v/>
      </c>
      <c r="L350" s="41" t="n"/>
      <c r="M350" s="42" t="n"/>
      <c r="N350" s="42" t="n"/>
      <c r="O350" s="39" t="n"/>
      <c r="P350" s="9">
        <f>Table6[[#This Row],[ (S/S) SAR]]-Table6[[#This Row],[(S/S) AJD]]</f>
        <v/>
      </c>
      <c r="Q350" s="39" t="n"/>
      <c r="R350" s="9">
        <f>Table6[[#This Row],[ (T/B) SAR]]-Table6[[#This Row],[(T/B) AJD]]</f>
        <v/>
      </c>
      <c r="S350" s="9">
        <f>Table6[[#This Row],[S/S_CON.]]+Table6[[#This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Table6[[#This Row],[(RESV. STORGE) AJD]]/10</f>
        <v/>
      </c>
      <c r="AB350" s="3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32" t="n"/>
      <c r="AN350" s="32">
        <f>Table6[[#This Row],[ (RESV. STORGE) SER]]/10</f>
        <v/>
      </c>
      <c r="AO350" s="68" t="n"/>
      <c r="AP350" s="99">
        <f>Table6[[#This Row],[(A/S) AJD]]-Table6[[#This Row],[SER_IN]]</f>
        <v/>
      </c>
    </row>
    <row r="351" ht="18.75" customHeight="1">
      <c r="A351" s="98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Table6[[#This Row],[ (T/B) SAR]]+Table6[[#This Row],[ (S/S) SAR]]</f>
        <v/>
      </c>
      <c r="L351" s="45" t="n"/>
      <c r="M351" s="46" t="n"/>
      <c r="N351" s="46" t="n"/>
      <c r="O351" s="40" t="n"/>
      <c r="P351" s="9">
        <f>Table6[[#This Row],[ (S/S) SAR]]-Table6[[#This Row],[(S/S) AJD]]</f>
        <v/>
      </c>
      <c r="Q351" s="40" t="n"/>
      <c r="R351" s="9">
        <f>Table6[[#This Row],[ (T/B) SAR]]-Table6[[#This Row],[(T/B) AJD]]</f>
        <v/>
      </c>
      <c r="S351" s="9">
        <f>Table6[[#This Row],[S/S_CON.]]+Table6[[#This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Table6[[#This Row],[(RESV. STORGE) AJD]]/10</f>
        <v/>
      </c>
      <c r="AB351" s="3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32" t="n"/>
      <c r="AN351" s="32">
        <f>Table6[[#This Row],[ (RESV. STORGE) SER]]/10</f>
        <v/>
      </c>
      <c r="AO351" s="68" t="n"/>
      <c r="AP351" s="99">
        <f>Table6[[#This Row],[(A/S) AJD]]-Table6[[#This Row],[SER_IN]]</f>
        <v/>
      </c>
    </row>
    <row r="352" ht="18.75" customHeight="1">
      <c r="A352" s="98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Table6[[#This Row],[ (T/B) SAR]]+Table6[[#This Row],[ (S/S) SAR]]</f>
        <v/>
      </c>
      <c r="L352" s="41" t="n"/>
      <c r="M352" s="42" t="n"/>
      <c r="N352" s="42" t="n"/>
      <c r="O352" s="39" t="n"/>
      <c r="P352" s="9">
        <f>Table6[[#This Row],[ (S/S) SAR]]-Table6[[#This Row],[(S/S) AJD]]</f>
        <v/>
      </c>
      <c r="Q352" s="39" t="n"/>
      <c r="R352" s="9">
        <f>Table6[[#This Row],[ (T/B) SAR]]-Table6[[#This Row],[(T/B) AJD]]</f>
        <v/>
      </c>
      <c r="S352" s="9">
        <f>Table6[[#This Row],[S/S_CON.]]+Table6[[#This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Table6[[#This Row],[(RESV. STORGE) AJD]]/10</f>
        <v/>
      </c>
      <c r="AB352" s="3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32" t="n"/>
      <c r="AN352" s="32">
        <f>Table6[[#This Row],[ (RESV. STORGE) SER]]/10</f>
        <v/>
      </c>
      <c r="AO352" s="68" t="n"/>
      <c r="AP352" s="99">
        <f>Table6[[#This Row],[(A/S) AJD]]-Table6[[#This Row],[SER_IN]]</f>
        <v/>
      </c>
    </row>
    <row r="353" ht="18.75" customHeight="1">
      <c r="A353" s="98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Table6[[#This Row],[ (T/B) SAR]]+Table6[[#This Row],[ (S/S) SAR]]</f>
        <v/>
      </c>
      <c r="L353" s="45" t="n"/>
      <c r="M353" s="46" t="n"/>
      <c r="N353" s="46" t="n"/>
      <c r="O353" s="40" t="n"/>
      <c r="P353" s="9">
        <f>Table6[[#This Row],[ (S/S) SAR]]-Table6[[#This Row],[(S/S) AJD]]</f>
        <v/>
      </c>
      <c r="Q353" s="40" t="n"/>
      <c r="R353" s="9">
        <f>Table6[[#This Row],[ (T/B) SAR]]-Table6[[#This Row],[(T/B) AJD]]</f>
        <v/>
      </c>
      <c r="S353" s="9">
        <f>Table6[[#This Row],[S/S_CON.]]+Table6[[#This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Table6[[#This Row],[(RESV. STORGE) AJD]]/10</f>
        <v/>
      </c>
      <c r="AB353" s="3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32" t="n"/>
      <c r="AN353" s="32">
        <f>Table6[[#This Row],[ (RESV. STORGE) SER]]/10</f>
        <v/>
      </c>
      <c r="AO353" s="68" t="n"/>
      <c r="AP353" s="99">
        <f>Table6[[#This Row],[(A/S) AJD]]-Table6[[#This Row],[SER_IN]]</f>
        <v/>
      </c>
    </row>
    <row r="354" ht="18.75" customHeight="1">
      <c r="A354" s="98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Table6[[#This Row],[ (T/B) SAR]]+Table6[[#This Row],[ (S/S) SAR]]</f>
        <v/>
      </c>
      <c r="L354" s="41" t="n"/>
      <c r="M354" s="42" t="n"/>
      <c r="N354" s="42" t="n"/>
      <c r="O354" s="39" t="n"/>
      <c r="P354" s="9">
        <f>Table6[[#This Row],[ (S/S) SAR]]-Table6[[#This Row],[(S/S) AJD]]</f>
        <v/>
      </c>
      <c r="Q354" s="39" t="n"/>
      <c r="R354" s="9">
        <f>Table6[[#This Row],[ (T/B) SAR]]-Table6[[#This Row],[(T/B) AJD]]</f>
        <v/>
      </c>
      <c r="S354" s="9">
        <f>Table6[[#This Row],[S/S_CON.]]+Table6[[#This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Table6[[#This Row],[(RESV. STORGE) AJD]]/10</f>
        <v/>
      </c>
      <c r="AB354" s="3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32" t="n"/>
      <c r="AN354" s="32">
        <f>Table6[[#This Row],[ (RESV. STORGE) SER]]/10</f>
        <v/>
      </c>
      <c r="AO354" s="68" t="n"/>
      <c r="AP354" s="99">
        <f>Table6[[#This Row],[(A/S) AJD]]-Table6[[#This Row],[SER_IN]]</f>
        <v/>
      </c>
    </row>
    <row r="355" ht="18.75" customHeight="1">
      <c r="A355" s="98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Table6[[#This Row],[ (T/B) SAR]]+Table6[[#This Row],[ (S/S) SAR]]</f>
        <v/>
      </c>
      <c r="L355" s="45" t="n"/>
      <c r="M355" s="46" t="n"/>
      <c r="N355" s="46" t="n"/>
      <c r="O355" s="40" t="n"/>
      <c r="P355" s="9">
        <f>Table6[[#This Row],[ (S/S) SAR]]-Table6[[#This Row],[(S/S) AJD]]</f>
        <v/>
      </c>
      <c r="Q355" s="40" t="n"/>
      <c r="R355" s="9">
        <f>Table6[[#This Row],[ (T/B) SAR]]-Table6[[#This Row],[(T/B) AJD]]</f>
        <v/>
      </c>
      <c r="S355" s="9">
        <f>Table6[[#This Row],[S/S_CON.]]+Table6[[#This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Table6[[#This Row],[(RESV. STORGE) AJD]]/10</f>
        <v/>
      </c>
      <c r="AB355" s="3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32" t="n"/>
      <c r="AN355" s="32">
        <f>Table6[[#This Row],[ (RESV. STORGE) SER]]/10</f>
        <v/>
      </c>
      <c r="AO355" s="68" t="n"/>
      <c r="AP355" s="99">
        <f>Table6[[#This Row],[(A/S) AJD]]-Table6[[#This Row],[SER_IN]]</f>
        <v/>
      </c>
    </row>
    <row r="356" ht="18.75" customHeight="1">
      <c r="A356" s="98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Table6[[#This Row],[ (T/B) SAR]]+Table6[[#This Row],[ (S/S) SAR]]</f>
        <v/>
      </c>
      <c r="L356" s="41" t="n"/>
      <c r="M356" s="42" t="n"/>
      <c r="N356" s="42" t="n"/>
      <c r="O356" s="39" t="n"/>
      <c r="P356" s="9">
        <f>Table6[[#This Row],[ (S/S) SAR]]-Table6[[#This Row],[(S/S) AJD]]</f>
        <v/>
      </c>
      <c r="Q356" s="39" t="n"/>
      <c r="R356" s="9">
        <f>Table6[[#This Row],[ (T/B) SAR]]-Table6[[#This Row],[(T/B) AJD]]</f>
        <v/>
      </c>
      <c r="S356" s="9">
        <f>Table6[[#This Row],[S/S_CON.]]+Table6[[#This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Table6[[#This Row],[(RESV. STORGE) AJD]]/10</f>
        <v/>
      </c>
      <c r="AB356" s="3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32" t="n"/>
      <c r="AN356" s="32">
        <f>Table6[[#This Row],[ (RESV. STORGE) SER]]/10</f>
        <v/>
      </c>
      <c r="AO356" s="68" t="n"/>
      <c r="AP356" s="99">
        <f>Table6[[#This Row],[(A/S) AJD]]-Table6[[#This Row],[SER_IN]]</f>
        <v/>
      </c>
    </row>
    <row r="357" ht="18.75" customHeight="1">
      <c r="A357" s="98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Table6[[#This Row],[ (T/B) SAR]]+Table6[[#This Row],[ (S/S) SAR]]</f>
        <v/>
      </c>
      <c r="L357" s="45" t="n"/>
      <c r="M357" s="46" t="n"/>
      <c r="N357" s="46" t="n"/>
      <c r="O357" s="40" t="n"/>
      <c r="P357" s="9">
        <f>Table6[[#This Row],[ (S/S) SAR]]-Table6[[#This Row],[(S/S) AJD]]</f>
        <v/>
      </c>
      <c r="Q357" s="40" t="n"/>
      <c r="R357" s="9">
        <f>Table6[[#This Row],[ (T/B) SAR]]-Table6[[#This Row],[(T/B) AJD]]</f>
        <v/>
      </c>
      <c r="S357" s="9">
        <f>Table6[[#This Row],[S/S_CON.]]+Table6[[#This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Table6[[#This Row],[(RESV. STORGE) AJD]]/10</f>
        <v/>
      </c>
      <c r="AB357" s="3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32" t="n"/>
      <c r="AN357" s="32">
        <f>Table6[[#This Row],[ (RESV. STORGE) SER]]/10</f>
        <v/>
      </c>
      <c r="AO357" s="68" t="n"/>
      <c r="AP357" s="99">
        <f>Table6[[#This Row],[(A/S) AJD]]-Table6[[#This Row],[SER_IN]]</f>
        <v/>
      </c>
    </row>
    <row r="358" ht="18.75" customHeight="1">
      <c r="A358" s="98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Table6[[#This Row],[ (T/B) SAR]]+Table6[[#This Row],[ (S/S) SAR]]</f>
        <v/>
      </c>
      <c r="L358" s="41" t="n"/>
      <c r="M358" s="42" t="n"/>
      <c r="N358" s="42" t="n"/>
      <c r="O358" s="39" t="n"/>
      <c r="P358" s="9">
        <f>Table6[[#This Row],[ (S/S) SAR]]-Table6[[#This Row],[(S/S) AJD]]</f>
        <v/>
      </c>
      <c r="Q358" s="39" t="n"/>
      <c r="R358" s="9">
        <f>Table6[[#This Row],[ (T/B) SAR]]-Table6[[#This Row],[(T/B) AJD]]</f>
        <v/>
      </c>
      <c r="S358" s="9">
        <f>Table6[[#This Row],[S/S_CON.]]+Table6[[#This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Table6[[#This Row],[(RESV. STORGE) AJD]]/10</f>
        <v/>
      </c>
      <c r="AB358" s="3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32" t="n"/>
      <c r="AN358" s="32">
        <f>Table6[[#This Row],[ (RESV. STORGE) SER]]/10</f>
        <v/>
      </c>
      <c r="AO358" s="68" t="n"/>
      <c r="AP358" s="99">
        <f>Table6[[#This Row],[(A/S) AJD]]-Table6[[#This Row],[SER_IN]]</f>
        <v/>
      </c>
    </row>
    <row r="359" ht="18.75" customHeight="1">
      <c r="A359" s="98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Table6[[#This Row],[ (T/B) SAR]]+Table6[[#This Row],[ (S/S) SAR]]</f>
        <v/>
      </c>
      <c r="L359" s="45" t="n"/>
      <c r="M359" s="46" t="n"/>
      <c r="N359" s="46" t="n"/>
      <c r="O359" s="40" t="n"/>
      <c r="P359" s="9">
        <f>Table6[[#This Row],[ (S/S) SAR]]-Table6[[#This Row],[(S/S) AJD]]</f>
        <v/>
      </c>
      <c r="Q359" s="40" t="n"/>
      <c r="R359" s="9">
        <f>Table6[[#This Row],[ (T/B) SAR]]-Table6[[#This Row],[(T/B) AJD]]</f>
        <v/>
      </c>
      <c r="S359" s="9">
        <f>Table6[[#This Row],[S/S_CON.]]+Table6[[#This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Table6[[#This Row],[(RESV. STORGE) AJD]]/10</f>
        <v/>
      </c>
      <c r="AB359" s="3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32" t="n"/>
      <c r="AN359" s="32">
        <f>Table6[[#This Row],[ (RESV. STORGE) SER]]/10</f>
        <v/>
      </c>
      <c r="AO359" s="68" t="n"/>
      <c r="AP359" s="99">
        <f>Table6[[#This Row],[(A/S) AJD]]-Table6[[#This Row],[SER_IN]]</f>
        <v/>
      </c>
    </row>
    <row r="360" ht="18.75" customHeight="1">
      <c r="A360" s="98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Table6[[#This Row],[ (T/B) SAR]]+Table6[[#This Row],[ (S/S) SAR]]</f>
        <v/>
      </c>
      <c r="L360" s="41" t="n"/>
      <c r="M360" s="42" t="n"/>
      <c r="N360" s="42" t="n"/>
      <c r="O360" s="39" t="n"/>
      <c r="P360" s="9">
        <f>Table6[[#This Row],[ (S/S) SAR]]-Table6[[#This Row],[(S/S) AJD]]</f>
        <v/>
      </c>
      <c r="Q360" s="39" t="n"/>
      <c r="R360" s="9">
        <f>Table6[[#This Row],[ (T/B) SAR]]-Table6[[#This Row],[(T/B) AJD]]</f>
        <v/>
      </c>
      <c r="S360" s="9">
        <f>Table6[[#This Row],[S/S_CON.]]+Table6[[#This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Table6[[#This Row],[(RESV. STORGE) AJD]]/10</f>
        <v/>
      </c>
      <c r="AB360" s="3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32" t="n"/>
      <c r="AN360" s="32">
        <f>Table6[[#This Row],[ (RESV. STORGE) SER]]/10</f>
        <v/>
      </c>
      <c r="AO360" s="68" t="n"/>
      <c r="AP360" s="99">
        <f>Table6[[#This Row],[(A/S) AJD]]-Table6[[#This Row],[SER_IN]]</f>
        <v/>
      </c>
    </row>
    <row r="361" ht="18.75" customHeight="1">
      <c r="A361" s="98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Table6[[#This Row],[ (T/B) SAR]]+Table6[[#This Row],[ (S/S) SAR]]</f>
        <v/>
      </c>
      <c r="L361" s="45" t="n"/>
      <c r="M361" s="46" t="n"/>
      <c r="N361" s="46" t="n"/>
      <c r="O361" s="40" t="n"/>
      <c r="P361" s="9">
        <f>Table6[[#This Row],[ (S/S) SAR]]-Table6[[#This Row],[(S/S) AJD]]</f>
        <v/>
      </c>
      <c r="Q361" s="40" t="n"/>
      <c r="R361" s="9">
        <f>Table6[[#This Row],[ (T/B) SAR]]-Table6[[#This Row],[(T/B) AJD]]</f>
        <v/>
      </c>
      <c r="S361" s="9">
        <f>Table6[[#This Row],[S/S_CON.]]+Table6[[#This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Table6[[#This Row],[(RESV. STORGE) AJD]]/10</f>
        <v/>
      </c>
      <c r="AB361" s="3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32" t="n"/>
      <c r="AN361" s="32">
        <f>Table6[[#This Row],[ (RESV. STORGE) SER]]/10</f>
        <v/>
      </c>
      <c r="AO361" s="68" t="n"/>
      <c r="AP361" s="99">
        <f>Table6[[#This Row],[(A/S) AJD]]-Table6[[#This Row],[SER_IN]]</f>
        <v/>
      </c>
    </row>
    <row r="362" ht="18.75" customHeight="1">
      <c r="A362" s="98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Table6[[#This Row],[ (T/B) SAR]]+Table6[[#This Row],[ (S/S) SAR]]</f>
        <v/>
      </c>
      <c r="L362" s="41" t="n"/>
      <c r="M362" s="42" t="n"/>
      <c r="N362" s="42" t="n"/>
      <c r="O362" s="39" t="n"/>
      <c r="P362" s="9">
        <f>Table6[[#This Row],[ (S/S) SAR]]-Table6[[#This Row],[(S/S) AJD]]</f>
        <v/>
      </c>
      <c r="Q362" s="39" t="n"/>
      <c r="R362" s="9">
        <f>Table6[[#This Row],[ (T/B) SAR]]-Table6[[#This Row],[(T/B) AJD]]</f>
        <v/>
      </c>
      <c r="S362" s="9">
        <f>Table6[[#This Row],[S/S_CON.]]+Table6[[#This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Table6[[#This Row],[(RESV. STORGE) AJD]]/10</f>
        <v/>
      </c>
      <c r="AB362" s="3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32" t="n"/>
      <c r="AN362" s="32">
        <f>Table6[[#This Row],[ (RESV. STORGE) SER]]/10</f>
        <v/>
      </c>
      <c r="AO362" s="68" t="n"/>
      <c r="AP362" s="99">
        <f>Table6[[#This Row],[(A/S) AJD]]-Table6[[#This Row],[SER_IN]]</f>
        <v/>
      </c>
    </row>
    <row r="363" ht="18.75" customHeight="1">
      <c r="A363" s="98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Table6[[#This Row],[ (T/B) SAR]]+Table6[[#This Row],[ (S/S) SAR]]</f>
        <v/>
      </c>
      <c r="L363" s="45" t="n"/>
      <c r="M363" s="46" t="n"/>
      <c r="N363" s="46" t="n"/>
      <c r="O363" s="40" t="n"/>
      <c r="P363" s="9">
        <f>Table6[[#This Row],[ (S/S) SAR]]-Table6[[#This Row],[(S/S) AJD]]</f>
        <v/>
      </c>
      <c r="Q363" s="40" t="n"/>
      <c r="R363" s="9">
        <f>Table6[[#This Row],[ (T/B) SAR]]-Table6[[#This Row],[(T/B) AJD]]</f>
        <v/>
      </c>
      <c r="S363" s="9">
        <f>Table6[[#This Row],[S/S_CON.]]+Table6[[#This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Table6[[#This Row],[(RESV. STORGE) AJD]]/10</f>
        <v/>
      </c>
      <c r="AB363" s="3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32" t="n"/>
      <c r="AN363" s="32">
        <f>Table6[[#This Row],[ (RESV. STORGE) SER]]/10</f>
        <v/>
      </c>
      <c r="AO363" s="68" t="n"/>
      <c r="AP363" s="99">
        <f>Table6[[#This Row],[(A/S) AJD]]-Table6[[#This Row],[SER_IN]]</f>
        <v/>
      </c>
    </row>
    <row r="364" ht="18.75" customHeight="1">
      <c r="A364" s="98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Table6[[#This Row],[ (T/B) SAR]]+Table6[[#This Row],[ (S/S) SAR]]</f>
        <v/>
      </c>
      <c r="L364" s="41" t="n"/>
      <c r="M364" s="42" t="n"/>
      <c r="N364" s="42" t="n"/>
      <c r="O364" s="39" t="n"/>
      <c r="P364" s="9">
        <f>Table6[[#This Row],[ (S/S) SAR]]-Table6[[#This Row],[(S/S) AJD]]</f>
        <v/>
      </c>
      <c r="Q364" s="39" t="n"/>
      <c r="R364" s="9">
        <f>Table6[[#This Row],[ (T/B) SAR]]-Table6[[#This Row],[(T/B) AJD]]</f>
        <v/>
      </c>
      <c r="S364" s="9">
        <f>Table6[[#This Row],[S/S_CON.]]+Table6[[#This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Table6[[#This Row],[(RESV. STORGE) AJD]]/10</f>
        <v/>
      </c>
      <c r="AB364" s="3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32" t="n"/>
      <c r="AN364" s="32">
        <f>Table6[[#This Row],[ (RESV. STORGE) SER]]/10</f>
        <v/>
      </c>
      <c r="AO364" s="68" t="n"/>
      <c r="AP364" s="99">
        <f>Table6[[#This Row],[(A/S) AJD]]-Table6[[#This Row],[SER_IN]]</f>
        <v/>
      </c>
    </row>
    <row r="365" ht="18.75" customHeight="1">
      <c r="A365" s="98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Table6[[#This Row],[ (T/B) SAR]]+Table6[[#This Row],[ (S/S) SAR]]</f>
        <v/>
      </c>
      <c r="L365" s="45" t="n"/>
      <c r="M365" s="46" t="n"/>
      <c r="N365" s="46" t="n"/>
      <c r="O365" s="40" t="n"/>
      <c r="P365" s="9">
        <f>Table6[[#This Row],[ (S/S) SAR]]-Table6[[#This Row],[(S/S) AJD]]</f>
        <v/>
      </c>
      <c r="Q365" s="40" t="n"/>
      <c r="R365" s="9">
        <f>Table6[[#This Row],[ (T/B) SAR]]-Table6[[#This Row],[(T/B) AJD]]</f>
        <v/>
      </c>
      <c r="S365" s="9">
        <f>Table6[[#This Row],[S/S_CON.]]+Table6[[#This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Table6[[#This Row],[(RESV. STORGE) AJD]]/10</f>
        <v/>
      </c>
      <c r="AB365" s="3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32" t="n"/>
      <c r="AN365" s="32">
        <f>Table6[[#This Row],[ (RESV. STORGE) SER]]/10</f>
        <v/>
      </c>
      <c r="AO365" s="68" t="n"/>
      <c r="AP365" s="99">
        <f>Table6[[#This Row],[(A/S) AJD]]-Table6[[#This Row],[SER_IN]]</f>
        <v/>
      </c>
    </row>
    <row r="366" ht="18.75" customHeight="1">
      <c r="A366" s="98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Table6[[#This Row],[(RESV. STORGE) AJD]]/10</f>
        <v/>
      </c>
      <c r="AB366" s="3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32" t="n"/>
      <c r="AN366" s="32">
        <f>Table6[[#This Row],[ (RESV. STORGE) SER]]/10</f>
        <v/>
      </c>
      <c r="AO366" s="82" t="n"/>
      <c r="AP366" s="99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2026-10-26T19:44:54Z</dcterms:modified>
  <cp:lastModifiedBy>nasserab965@gmail.com</cp:lastModifiedBy>
</cp:coreProperties>
</file>