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F16B2DA0-DD3C-4662-B1A7-EB438274CA16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5" i="4" l="1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AD2" i="4" s="1"/>
  <c r="W3" i="4"/>
  <c r="AD3" i="4" s="1"/>
  <c r="W4" i="4"/>
  <c r="AD4" i="4" s="1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T302" i="4"/>
  <c r="T303" i="4"/>
  <c r="X303" i="4" s="1"/>
  <c r="T304" i="4"/>
  <c r="T305" i="4"/>
  <c r="T306" i="4"/>
  <c r="T307" i="4"/>
  <c r="X307" i="4" s="1"/>
  <c r="T308" i="4"/>
  <c r="T309" i="4"/>
  <c r="T310" i="4"/>
  <c r="T311" i="4"/>
  <c r="X311" i="4" s="1"/>
  <c r="T312" i="4"/>
  <c r="T313" i="4"/>
  <c r="T314" i="4"/>
  <c r="T315" i="4"/>
  <c r="X315" i="4" s="1"/>
  <c r="T316" i="4"/>
  <c r="T317" i="4"/>
  <c r="T318" i="4"/>
  <c r="T319" i="4"/>
  <c r="X319" i="4" s="1"/>
  <c r="T320" i="4"/>
  <c r="T321" i="4"/>
  <c r="T322" i="4"/>
  <c r="T323" i="4"/>
  <c r="X323" i="4" s="1"/>
  <c r="T324" i="4"/>
  <c r="T325" i="4"/>
  <c r="T326" i="4"/>
  <c r="T327" i="4"/>
  <c r="X327" i="4" s="1"/>
  <c r="T328" i="4"/>
  <c r="T329" i="4"/>
  <c r="T330" i="4"/>
  <c r="T331" i="4"/>
  <c r="X331" i="4" s="1"/>
  <c r="T332" i="4"/>
  <c r="T333" i="4"/>
  <c r="T334" i="4"/>
  <c r="T335" i="4"/>
  <c r="X335" i="4" s="1"/>
  <c r="T336" i="4"/>
  <c r="T337" i="4"/>
  <c r="T338" i="4"/>
  <c r="T339" i="4"/>
  <c r="X339" i="4" s="1"/>
  <c r="T340" i="4"/>
  <c r="T341" i="4"/>
  <c r="T342" i="4"/>
  <c r="T343" i="4"/>
  <c r="X343" i="4" s="1"/>
  <c r="T344" i="4"/>
  <c r="T345" i="4"/>
  <c r="T346" i="4"/>
  <c r="T347" i="4"/>
  <c r="X347" i="4" s="1"/>
  <c r="T348" i="4"/>
  <c r="T349" i="4"/>
  <c r="T350" i="4"/>
  <c r="T351" i="4"/>
  <c r="X351" i="4" s="1"/>
  <c r="T352" i="4"/>
  <c r="T353" i="4"/>
  <c r="T354" i="4"/>
  <c r="T355" i="4"/>
  <c r="X355" i="4" s="1"/>
  <c r="T356" i="4"/>
  <c r="T357" i="4"/>
  <c r="T358" i="4"/>
  <c r="T359" i="4"/>
  <c r="X359" i="4" s="1"/>
  <c r="T360" i="4"/>
  <c r="T361" i="4"/>
  <c r="T362" i="4"/>
  <c r="T363" i="4"/>
  <c r="X363" i="4" s="1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S298" i="4" l="1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<sst xmlns="http://schemas.openxmlformats.org/spreadsheetml/2006/main" count="252" uniqueCount="42">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</sst>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177" dataCellStyle="Normal 2"/>
    <tableColumn id="19" xr3:uid="{73AF8B15-15C2-4FFB-A4CF-2BCAC459190F}" name="آبار منتجة TAZ" dataDxfId="337" totalsRowDxfId="176" dataCellStyle="Normal 2"/>
    <tableColumn id="18" xr3:uid="{09325C69-53C6-4F31-92E3-CB300328F497}" name="الانتاج 1000 (م3) TAZ" dataDxfId="336" totalsRowDxfId="175" dataCellStyle="Normal 2"/>
    <tableColumn id="17" xr3:uid="{16B8FBF1-029A-469C-B1C6-F69C4C4F7CAF}" name="آبار عاملة TAZ" dataDxfId="335" totalsRowDxfId="174" dataCellStyle="Normal 2"/>
    <tableColumn id="16" xr3:uid="{00C28CE5-3D49-4F68-919C-13DF472F495C}" name="آبار احتياطية" dataDxfId="334" totalsRowDxfId="173" dataCellStyle="Normal 2"/>
    <tableColumn id="26" xr3:uid="{EE5DB7EC-D86D-49D5-9B77-054A5BABE28D}" name="آبار منتجة SAR" dataDxfId="333" totalsRowDxfId="172" dataCellStyle="Normal 2"/>
    <tableColumn id="25" xr3:uid="{7C165A36-3712-4689-8755-F53FE5B20ABE}" name="إنتاج آبار  SAR" dataDxfId="332" totalsRowDxfId="171" dataCellStyle="Normal 2"/>
    <tableColumn id="24" xr3:uid="{83A6BBA7-380F-4769-8A42-D4612297E2AD}" name="آبار احتياطية  SAR" dataDxfId="331" totalsRowDxfId="170" dataCellStyle="Normal 2"/>
    <tableColumn id="8" xr3:uid="{AE56A76F-A0FC-417D-B2B6-D4978FB39679}" name=" (T/B) SAR" dataDxfId="330" totalsRowDxfId="169" dataCellStyle="Normal 2"/>
    <tableColumn id="22" xr3:uid="{DAAA7253-4784-4BE7-9784-7EAE5F799701}" name=" (S/S) SAR" dataDxfId="329" totalsRowDxfId="168" dataCellStyle="Normal 2"/>
    <tableColumn id="38" xr3:uid="{C17DFA01-DEFE-472D-8A02-0FF9206A0813}" name="(S/S+TB)SAR" dataDxfId="328" totalsRowDxfId="167" dataCellStyle="Normal 2">
      <calculatedColumnFormula>TABL12[[#This Row],[ (T/B) SAR]]+TABL12[[#This Row],[ (S/S) SAR]]</calculatedColumnFormula>
    </tableColumn>
    <tableColumn id="21" xr3:uid="{5D7F5EC4-F3B5-4C0B-BE31-CED811786A9A}" name="TAZ/SAR" dataDxfId="327" totalsRowDxfId="166" dataCellStyle="Normal 2"/>
    <tableColumn id="20" xr3:uid="{3C1CE13A-ADA2-44D8-9F21-A08E5B226D9C}" name=" % ECV SAR" dataDxfId="326" totalsRowDxfId="165" dataCellStyle="Normal 2"/>
    <tableColumn id="6" xr3:uid="{4245025E-4350-4CF5-A37D-368EE5D4C6E6}" name="ECV (bar) SAR" dataDxfId="325" totalsRowDxfId="164" dataCellStyle="Normal 2"/>
    <tableColumn id="3" xr3:uid="{E521A30B-C651-47F3-8C9F-1644C97E55AB}" name="(S/S) AJD" dataDxfId="324" totalsRowDxfId="163"/>
    <tableColumn id="36" xr3:uid="{2E18B7B5-1893-4635-84E6-AAD5165E012D}" name="S/S_CON." dataDxfId="323" totalsRowDxfId="162">
      <calculatedColumnFormula>TABL12[[#This Row],[ (S/S) SAR]]-TABL12[[#This Row],[(S/S) AJD]]</calculatedColumnFormula>
    </tableColumn>
    <tableColumn id="5" xr3:uid="{2560A6DC-201C-40F0-8F48-5525F036384E}" name="(T/B) AJD" dataDxfId="322" totalsRowDxfId="161"/>
    <tableColumn id="35" xr3:uid="{CCC03B44-9E2F-4CD1-89EE-A2983AA131AC}" name="T/B-CON." dataDxfId="321" totalsRowDxfId="160">
      <calculatedColumnFormula>TABL12[[#This Row],[ (T/B) SAR]]-TABL12[[#This Row],[(T/B) AJD]]</calculatedColumnFormula>
    </tableColumn>
    <tableColumn id="37" xr3:uid="{11AB6075-5F47-4BB0-9025-D8BC15EDE0E8}" name="(S/S-T/B)-CON." dataDxfId="320" totalsRowDxfId="159">
      <calculatedColumnFormula>TABL12[[#This Row],[S/S_CON.]]+TABL12[[#This Row],[T/B-CON.]]</calculatedColumnFormula>
    </tableColumn>
    <tableColumn id="13" xr3:uid="{19EB6091-9975-4502-8119-B7C9AD981DD0}" name="( S/S+T/B) AJD" dataDxfId="319" totalsRowDxfId="158">
      <calculatedColumnFormula>O2+Q2</calculatedColumnFormula>
    </tableColumn>
    <tableColumn id="7" xr3:uid="{FE67C820-40E0-442E-9E31-856C32A508B6}" name="(A/B) AJD" dataDxfId="318" totalsRowDxfId="157"/>
    <tableColumn id="9" xr3:uid="{D5679418-BA27-4A9E-9F79-B5750AE87354}" name="(A/S) AJD" dataDxfId="317" totalsRowDxfId="156"/>
    <tableColumn id="14" xr3:uid="{3D7832B3-0EBF-4C36-9589-8817B10DB712}" name="(A/B + A/S) AJD" dataDxfId="316" totalsRowDxfId="155">
      <calculatedColumnFormula>U2+V2</calculatedColumnFormula>
    </tableColumn>
    <tableColumn id="15" xr3:uid="{9DF00D84-966C-444D-B303-1741455D7F9D}" name="(IN-OUT) AJD" dataDxfId="315" totalsRowDxfId="154">
      <calculatedColumnFormula>T2-W2</calculatedColumnFormula>
    </tableColumn>
    <tableColumn id="10" xr3:uid="{F816C09C-6DAC-44D6-8748-76EA15069B1B}" name="(RES. LEVEL) AJD" dataDxfId="314" totalsRowDxfId="153"/>
    <tableColumn id="11" xr3:uid="{00C5DB16-3CE7-43C0-85AC-3A94F1DF93AB}" name="(RESV. STORGE) AJD" dataDxfId="313" totalsRowDxfId="152"/>
    <tableColumn id="40" xr3:uid="{3BB612D7-93EF-4EAC-AE56-DDA1277F66BC}" name="AJD_STORG.* 10" dataDxfId="312" totalsRowDxfId="151">
      <calculatedColumnFormula>TABL12[[#This Row],[(RESV. STORGE) AJD]]/10</calculatedColumnFormula>
    </tableColumn>
    <tableColumn id="4" xr3:uid="{15D5ED16-E158-4BC3-B9EB-7F0B835A68C3}" name="(STORGE DIFF.) AJD" dataDxfId="311" totalsRowDxfId="150"/>
    <tableColumn id="12" xr3:uid="{1995E128-14C8-4F8F-908D-D03A5E8655DC}" name="AJD_Evaporation" dataDxfId="310" totalsRowDxfId="149" dataCellStyle="Normal 2">
      <calculatedColumnFormula>(Z2-Z1)/1000</calculatedColumnFormula>
    </tableColumn>
    <tableColumn id="39" xr3:uid="{E732E22F-62E8-4E58-A573-7DF93813B1E1}" name="AJD_LOSES" dataDxfId="102" totalsRowDxfId="148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309" totalsRowDxfId="147"/>
    <tableColumn id="31" xr3:uid="{55F50B2A-C1E1-433E-9815-41A6E80E52CD}" name="(RES. LEVEL) BER" dataDxfId="308" totalsRowDxfId="146"/>
    <tableColumn id="28" xr3:uid="{2651ABE7-B931-449C-B6AE-ACC17C319D95}" name=" (RESV. STORGE) BER" dataDxfId="307" totalsRowDxfId="145"/>
    <tableColumn id="41" xr3:uid="{E68DD80B-5F75-4484-AE22-A4DBB5C3D9D7}" name="BER_STORG. * 10" dataDxfId="306" totalsRowDxfId="144">
      <calculatedColumnFormula>TABL12[[#This Row],[ (RESV. STORGE) BER]]/10</calculatedColumnFormula>
    </tableColumn>
    <tableColumn id="29" xr3:uid="{72C12724-11AC-42CC-A11D-EFF1C3F9C26F}" name="BER_Evap." dataDxfId="305" totalsRowDxfId="143"/>
    <tableColumn id="34" xr3:uid="{6D25E223-64FE-4345-BF75-4C64F7653DD7}" name="A/B_CON." totalsRowFunction="custom" dataDxfId="304" totalsRowDxfId="142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303" totalsRowDxfId="141"/>
    <tableColumn id="33" xr3:uid="{4E73E2C8-F54D-4138-8186-189B1AB2FC67}" name="(RES. LEVEL) SER " dataDxfId="302" totalsRowDxfId="140"/>
    <tableColumn id="27" xr3:uid="{078E4705-C3C5-46D2-9B78-A05F1D915B91}" name=" (RESV. STORGE) SER" dataDxfId="301" totalsRowDxfId="139"/>
    <tableColumn id="42" xr3:uid="{67E01307-DE8B-4AEB-9752-499927A54124}" name="SER_STORG.* 10" dataDxfId="300" totalsRowDxfId="138">
      <calculatedColumnFormula>TABL12[[#This Row],[ (RESV. STORGE) SER]]/10</calculatedColumnFormula>
    </tableColumn>
    <tableColumn id="2" xr3:uid="{E2C3B7C8-2EF3-47A2-B8EC-2DE7243E9A49}" name="SER_Evap." dataDxfId="299" totalsRowDxfId="137"/>
    <tableColumn id="23" xr3:uid="{BC79413F-8931-48D4-A08F-5DEBEF496FAE}" name="A/S_CON." dataDxfId="298" totalsRowDxfId="136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4" headerRowBorderDxfId="5" tableBorderDxfId="103">
  <autoFilter ref="A1:AP366" xr:uid="{C2A051BE-B5E3-493B-964B-8205F3177506}"/>
  <tableColumns count="42">
    <tableColumn id="1" xr3:uid="{F2C94FEB-A00A-4D88-9DB9-A505F694326E}" name=" اليوم" dataDxfId="101" totalsRowDxfId="100" dataCellStyle="Normal 2"/>
    <tableColumn id="19" xr3:uid="{68DB4C1E-A17C-490E-9705-B462F20FB2F5}" name="آبار منتجة TAZ" dataDxfId="99" totalsRowDxfId="98" dataCellStyle="Normal 2"/>
    <tableColumn id="18" xr3:uid="{E796FBBC-59BD-4C13-A0B4-3F479BF911CC}" name="الانتاج 1000 (م3) TAZ" dataDxfId="297" totalsRowDxfId="135" dataCellStyle="Normal 2"/>
    <tableColumn id="17" xr3:uid="{C89E9AFB-A295-4B42-8D04-66D22406019A}" name="آبار عاملة TAZ" dataDxfId="296" totalsRowDxfId="134" dataCellStyle="Normal 2"/>
    <tableColumn id="16" xr3:uid="{CCAB6794-76BB-4656-8BFD-720321A160A1}" name="آبار احتياطية" dataDxfId="295" totalsRowDxfId="133" dataCellStyle="Normal 2"/>
    <tableColumn id="26" xr3:uid="{B93CAD1F-9F70-4073-BA5B-9A25C7E0773A}" name="آبار منتجة SAR" dataDxfId="294" totalsRowDxfId="132" dataCellStyle="Normal 2"/>
    <tableColumn id="25" xr3:uid="{843065C2-FA24-4EBC-946C-017549EDBE73}" name="إنتاج آبار  SAR" dataDxfId="293" totalsRowDxfId="131" dataCellStyle="Normal 2"/>
    <tableColumn id="24" xr3:uid="{72E79D2B-11DD-4F09-9A98-C3DC5E961080}" name="آبار احتياطية  SAR" dataDxfId="292" totalsRowDxfId="130" dataCellStyle="Normal 2">
      <calculatedColumnFormula>103-F2</calculatedColumnFormula>
    </tableColumn>
    <tableColumn id="8" xr3:uid="{32ADAB80-0731-4497-9C74-B767F325E7AA}" name=" (T/B) SAR" dataDxfId="291" totalsRowDxfId="129" dataCellStyle="Normal 2"/>
    <tableColumn id="22" xr3:uid="{D6CA7FCA-765E-4E81-A162-4CD8BB0D7043}" name=" (S/S) SAR" dataDxfId="290" totalsRowDxfId="128" dataCellStyle="Normal 2"/>
    <tableColumn id="38" xr3:uid="{33C2CB21-9229-4243-ADAE-776B8647DFD1}" name="(S/S+TB)SAR" dataDxfId="289" totalsRowDxfId="127" dataCellStyle="Normal 2">
      <calculatedColumnFormula>TABL123[[#This Row],[ (T/B) SAR]]+TABL123[[#This Row],[ (S/S) SAR]]</calculatedColumnFormula>
    </tableColumn>
    <tableColumn id="21" xr3:uid="{5084FB58-C82F-41E5-A2B2-15A7632A1BEA}" name="TAZ/SAR" dataDxfId="288" totalsRowDxfId="126" dataCellStyle="Normal 2"/>
    <tableColumn id="20" xr3:uid="{66436F12-F860-44EF-B3A6-FFD54DC8AFC8}" name=" % ECV SAR" dataDxfId="287" totalsRowDxfId="125" dataCellStyle="Normal 2"/>
    <tableColumn id="6" xr3:uid="{4438EA12-D59A-4F0A-AA36-C59397D029D5}" name="ECV (bar) SAR" dataDxfId="97" totalsRowDxfId="96" dataCellStyle="Normal 2"/>
    <tableColumn id="3" xr3:uid="{5C7CE9FC-7273-4F20-97D1-277D70176732}" name="(S/S) AJD" dataDxfId="286" totalsRowDxfId="124"/>
    <tableColumn id="36" xr3:uid="{6672827C-38A3-4694-A87C-BC06C39D02A5}" name="S/S_CON." dataDxfId="285" totalsRowDxfId="123">
      <calculatedColumnFormula>TABL123[[#This Row],[ (S/S) SAR]]-TABL123[[#This Row],[(S/S) AJD]]</calculatedColumnFormula>
    </tableColumn>
    <tableColumn id="5" xr3:uid="{DF02E977-976C-497A-90D6-F963B833E43A}" name="(T/B) AJD" dataDxfId="284" totalsRowDxfId="122"/>
    <tableColumn id="35" xr3:uid="{EA1BE12C-3660-4876-BFF2-4646FCDB4BA4}" name="T/B-CON." dataDxfId="283" totalsRowDxfId="121">
      <calculatedColumnFormula>TABL123[[#This Row],[ (T/B) SAR]]-TABL123[[#This Row],[(T/B) AJD]]</calculatedColumnFormula>
    </tableColumn>
    <tableColumn id="37" xr3:uid="{CD73554D-A9F7-4280-84E5-B46659328447}" name="(S/S-T/B)-CON." dataDxfId="282" totalsRowDxfId="120">
      <calculatedColumnFormula>TABL123[[#This Row],[T/B-CON.]]+TABL123[[#This Row],[S/S_CON.]]</calculatedColumnFormula>
    </tableColumn>
    <tableColumn id="13" xr3:uid="{01AE2A1C-21BD-46A6-A4AA-D88652C86F49}" name="( S/S+T/B) AJD" dataDxfId="281" totalsRowDxfId="119">
      <calculatedColumnFormula>TABL123[[#This Row],[(S/S) AJD]]+TABL123[[#This Row],[(T/B) AJD]]</calculatedColumnFormula>
    </tableColumn>
    <tableColumn id="7" xr3:uid="{21BC058B-8A61-431E-BCD6-7FDA77C9E7C5}" name="(A/B) AJD" dataDxfId="280" totalsRowDxfId="118"/>
    <tableColumn id="9" xr3:uid="{E4125AA8-4C18-482A-92C7-44662200A444}" name="(A/S) AJD" dataDxfId="279" totalsRowDxfId="117"/>
    <tableColumn id="14" xr3:uid="{A5BCC66E-3B62-4C06-92B8-78FF88D4151A}" name="(A/B + A/S) AJD" dataDxfId="278" totalsRowDxfId="116">
      <calculatedColumnFormula>TABL123[[#This Row],[(A/B) AJD]]+TABL123[[#This Row],[(A/S) AJD]]</calculatedColumnFormula>
    </tableColumn>
    <tableColumn id="15" xr3:uid="{3BBEAFA6-6146-471B-A18A-86F379088B70}" name="(IN-OUT) AJD" dataDxfId="277" totalsRowDxfId="115">
      <calculatedColumnFormula>TABL123[[#This Row],[( S/S+T/B) AJD]]-TABL123[[#This Row],[(A/B + A/S) AJD]]</calculatedColumnFormula>
    </tableColumn>
    <tableColumn id="10" xr3:uid="{876922B5-A4E9-45ED-86BF-10C757F7DE2A}" name="(RES. LEVEL) AJD" dataDxfId="276" totalsRowDxfId="114"/>
    <tableColumn id="11" xr3:uid="{2F9A8435-0058-45F7-AA38-B4B4E3E3322D}" name="(RESV. STORGE) AJD" dataDxfId="275" totalsRowDxfId="113"/>
    <tableColumn id="40" xr3:uid="{F87A19EF-5769-4625-AC0A-777F3AC43946}" name="AJD_STORG.* 10" dataDxfId="274" totalsRowDxfId="112" dataCellStyle="Normal 2">
      <calculatedColumnFormula>TABL123[[#This Row],[(RESV. STORGE) AJD]]/10</calculatedColumnFormula>
    </tableColumn>
    <tableColumn id="4" xr3:uid="{F15E20D7-B8EF-4163-9E31-6D3BF77A73A3}" name="(STORGE DIFF.) AJD" dataDxfId="273" totalsRowDxfId="111"/>
    <tableColumn id="12" xr3:uid="{BC2F8435-ACF2-46F4-8794-4AC9C2B6C9E9}" name="AJD_Evaporation" dataDxfId="272" totalsRowDxfId="110" dataCellStyle="Normal 2"/>
    <tableColumn id="39" xr3:uid="{FCD950FB-697C-49D6-8E16-0E7ECE2CAB54}" name="AJD_LOSES" dataDxfId="87" totalsRowDxfId="86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271" totalsRowDxfId="109"/>
    <tableColumn id="31" xr3:uid="{5D2F464C-C9F4-4576-8552-66822FE5010C}" name="(RES. LEVEL) BER" dataDxfId="270" totalsRowDxfId="108"/>
    <tableColumn id="28" xr3:uid="{79AC9202-E111-492A-A1C7-C20EAB7DB475}" name=" (RESV. STORGE) BER" dataDxfId="269" totalsRowDxfId="107"/>
    <tableColumn id="29" xr3:uid="{0D3228DA-C740-4CD4-8142-FA2E5314F93F}" name="BER_STORG. * 10" dataDxfId="268" totalsRowDxfId="106"/>
    <tableColumn id="34" xr3:uid="{5733C1F9-D466-469C-ABB3-E7F7DB0EE0F1}" name="BER_Evap." dataDxfId="267" totalsRowDxfId="105"/>
    <tableColumn id="32" xr3:uid="{4CE1412A-4E2F-44FE-A87E-085A0A9129ED}" name="A/B_CON." dataDxfId="95" totalsRowDxfId="94">
      <calculatedColumnFormula>TABL123[[#This Row],[(A/B) AJD]]-TABL123[[#This Row],[BER_IN]]</calculatedColumnFormula>
    </tableColumn>
    <tableColumn id="33" xr3:uid="{2395CD46-6205-4986-BD68-620680EE6F2E}" name="SER_IN" dataDxfId="93" totalsRowDxfId="92"/>
    <tableColumn id="27" xr3:uid="{3AEA8C61-AA99-45B5-9461-2FF3EDCC8EA9}" name="(RES. LEVEL) SER " dataDxfId="266" totalsRowDxfId="104"/>
    <tableColumn id="2" xr3:uid="{7A48A26A-7876-4082-9402-59ED4782C9D4}" name=" (RESV. STORGE) SER" dataDxfId="91" totalsRowDxfId="90" dataCellStyle="Normal 2"/>
    <tableColumn id="23" xr3:uid="{CDFEC5F7-08FE-41DC-8D56-FDC100C5A4D5}" name="SER_STORG.* 10" dataDxfId="89" totalsRowDxfId="88" dataCellStyle="Normal 2">
      <calculatedColumnFormula>TABL123[[#This Row],[ (RESV. STORGE) SER]]/10</calculatedColumnFormula>
    </tableColumn>
    <tableColumn id="42" xr3:uid="{BEA2B6C9-A747-4952-BA2D-D4DE723F4074}" name="SER_Evap." dataDxfId="265"/>
    <tableColumn id="43" xr3:uid="{B393EE02-A71B-4CC5-BB4E-081FA4FD0162}" name="A/S_CON." dataDxfId="264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" headerRowBorderDxfId="3" tableBorderDxfId="263">
  <autoFilter ref="A1:AP366" xr:uid="{5FCB9D25-BF41-4AB4-98FB-CE010629717D}"/>
  <tableColumns count="42">
    <tableColumn id="1" xr3:uid="{CF2CC824-BD23-4EED-93E0-3B9E45F278EC}" name=" اليوم" dataDxfId="262" totalsRowDxfId="85" dataCellStyle="Normal 2"/>
    <tableColumn id="19" xr3:uid="{11FDAE88-09F6-4E94-8617-B2BA9147CD51}" name="آبار منتجة TAZ" dataDxfId="261" totalsRowDxfId="84" dataCellStyle="Normal 2"/>
    <tableColumn id="18" xr3:uid="{076C74DF-4714-4AD5-8210-E3B3407FBA13}" name="الانتاج 1000 (م3) TAZ" dataDxfId="260" totalsRowDxfId="83" dataCellStyle="Normal 2"/>
    <tableColumn id="17" xr3:uid="{C7220FDF-726E-40FC-99CD-A67D880F1387}" name="آبار عاملة TAZ" dataDxfId="259" totalsRowDxfId="82" dataCellStyle="Normal 2"/>
    <tableColumn id="16" xr3:uid="{DC504DC8-6426-4941-99CB-73AC50EFF406}" name="آبار احتياطية" dataDxfId="258" totalsRowDxfId="81" dataCellStyle="Normal 2"/>
    <tableColumn id="26" xr3:uid="{FF8B3ED8-B830-4308-B6C8-CB915A8ED015}" name="آبار منتجة SAR" dataDxfId="257" totalsRowDxfId="80" dataCellStyle="Normal 2"/>
    <tableColumn id="25" xr3:uid="{FA3000E5-6566-416F-921D-1508B5FB714F}" name="إنتاج آبار  SAR" dataDxfId="256" totalsRowDxfId="79" dataCellStyle="Normal 2"/>
    <tableColumn id="24" xr3:uid="{0AD83C01-DEC0-4843-A2F7-84F74F81F9CC}" name="آبار احتياطية  SAR" dataDxfId="255" totalsRowDxfId="78" dataCellStyle="Normal 2">
      <calculatedColumnFormula>103-F2</calculatedColumnFormula>
    </tableColumn>
    <tableColumn id="8" xr3:uid="{7253E698-DAEB-48C5-A750-7FE54CB2AA8A}" name=" (T/B) SAR" dataDxfId="254" totalsRowDxfId="77" dataCellStyle="Normal 2"/>
    <tableColumn id="22" xr3:uid="{876E68A1-B3C2-447A-AB99-8D4E310E232B}" name=" (S/S) SAR" dataDxfId="253" totalsRowDxfId="76" dataCellStyle="Normal 2"/>
    <tableColumn id="38" xr3:uid="{453CB68D-B69C-4F00-BDB3-40499D0BFC97}" name="(S/S+TB)SAR" dataDxfId="252" totalsRowDxfId="75" dataCellStyle="Normal 2">
      <calculatedColumnFormula>TABL1234[[#This Row],[ (T/B) SAR]]+TABL1234[[#This Row],[ (S/S) SAR]]</calculatedColumnFormula>
    </tableColumn>
    <tableColumn id="21" xr3:uid="{272404DA-C793-4A72-B0CB-0EB75185F322}" name="TAZ/SAR" dataDxfId="251" totalsRowDxfId="74" dataCellStyle="Normal 2"/>
    <tableColumn id="20" xr3:uid="{E1B79B18-AF6A-4A21-A847-69543D5853D3}" name=" % ECV SAR" dataDxfId="250" totalsRowDxfId="73" dataCellStyle="Normal 2"/>
    <tableColumn id="6" xr3:uid="{563D8C0C-0449-4C27-8802-1597757EAD90}" name="ECV (bar) SAR" dataDxfId="249" totalsRowDxfId="72" dataCellStyle="Normal 2"/>
    <tableColumn id="3" xr3:uid="{F8817DDA-13BF-41EE-A4AB-3E28920DA12E}" name="(S/S) AJD" dataDxfId="248" totalsRowDxfId="71"/>
    <tableColumn id="36" xr3:uid="{1AEC5609-B8DD-415A-B860-5CA0A2B19CE9}" name="S/S_CON." dataDxfId="247" totalsRowDxfId="70">
      <calculatedColumnFormula>TABL1234[[#This Row],[ (S/S) SAR]]-TABL1234[[#This Row],[(S/S) AJD]]</calculatedColumnFormula>
    </tableColumn>
    <tableColumn id="5" xr3:uid="{479D7584-5FE3-471E-B7AD-E43FC1963CC2}" name="(T/B) AJD" dataDxfId="246" totalsRowDxfId="69"/>
    <tableColumn id="35" xr3:uid="{A8D868F1-5EFC-4A0C-9EDC-13DB03872867}" name="T/B-CON." dataDxfId="245" totalsRowDxfId="68">
      <calculatedColumnFormula>TABL1234[[#This Row],[ (T/B) SAR]]-TABL1234[[#This Row],[(T/B) AJD]]</calculatedColumnFormula>
    </tableColumn>
    <tableColumn id="37" xr3:uid="{AA566E6C-9D8D-4B70-B216-3F23038B5006}" name="(S/S-T/B)-CON." dataDxfId="244" totalsRowDxfId="67">
      <calculatedColumnFormula>TABL1234[[#This Row],[T/B-CON.]]+TABL1234[[#This Row],[S/S_CON.]]</calculatedColumnFormula>
    </tableColumn>
    <tableColumn id="13" xr3:uid="{5DED3E6B-48E1-4C56-9CED-69CF638DBC14}" name="( S/S+T/B) AJD" dataDxfId="243" totalsRowDxfId="66">
      <calculatedColumnFormula>TABL1234[[#This Row],[(S/S) AJD]]+TABL1234[[#This Row],[(T/B) AJD]]</calculatedColumnFormula>
    </tableColumn>
    <tableColumn id="7" xr3:uid="{2F33E916-32B0-4678-8AF4-810EB069F853}" name="(A/B) AJD" dataDxfId="242" totalsRowDxfId="65"/>
    <tableColumn id="9" xr3:uid="{FE3BEA3B-570A-4810-85AD-CA10BE4443F4}" name="(A/S) AJD" dataDxfId="241" totalsRowDxfId="64"/>
    <tableColumn id="14" xr3:uid="{C6961044-444C-4633-81B0-E220652A0956}" name="(A/B + A/S) AJD" dataDxfId="240" totalsRowDxfId="63">
      <calculatedColumnFormula>TABL1234[[#This Row],[(A/B) AJD]]+TABL1234[[#This Row],[(A/S) AJD]]</calculatedColumnFormula>
    </tableColumn>
    <tableColumn id="15" xr3:uid="{084A6C51-A878-48CC-8273-CFCD05C0A26F}" name="(IN-OUT) AJD" dataDxfId="239" totalsRowDxfId="62">
      <calculatedColumnFormula>TABL1234[[#This Row],[( S/S+T/B) AJD]]-TABL1234[[#This Row],[(A/B + A/S) AJD]]</calculatedColumnFormula>
    </tableColumn>
    <tableColumn id="10" xr3:uid="{00FDC030-FCB6-400F-BDC0-59478D75D7A6}" name="(RES. LEVEL) AJD" dataDxfId="238" totalsRowDxfId="61"/>
    <tableColumn id="11" xr3:uid="{75090017-34DE-44D2-BD87-EF83DB956968}" name="(RESV. STORGE) AJD" dataDxfId="237" totalsRowDxfId="60"/>
    <tableColumn id="40" xr3:uid="{DF1E881D-1F9A-435B-BA4E-D02A45A7E3F5}" name="AJD_STORG.* 10" dataDxfId="236" totalsRowDxfId="59" dataCellStyle="Normal 2">
      <calculatedColumnFormula>TABL1234[[#This Row],[(RESV. STORGE) AJD]]/10</calculatedColumnFormula>
    </tableColumn>
    <tableColumn id="4" xr3:uid="{2B5AF874-2B4A-4BF8-9FF3-43DDA618D54F}" name="(STORGE DIFF.) AJD" dataDxfId="235" totalsRowDxfId="58">
      <calculatedColumnFormula>(TABL123[[#This Row],[(RESV. STORGE) AJD]]-500797)/1000</calculatedColumnFormula>
    </tableColumn>
    <tableColumn id="12" xr3:uid="{F362C966-6D40-4FD8-BEB9-91AD30F56531}" name="AJD_Evaporation" dataDxfId="234" totalsRowDxfId="57" dataCellStyle="Normal 2"/>
    <tableColumn id="39" xr3:uid="{F6CC0FCA-E331-472D-B69B-B56A51958C65}" name="AJD_LOSES" dataDxfId="233" totalsRowDxfId="56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232" totalsRowDxfId="55"/>
    <tableColumn id="31" xr3:uid="{6A01F181-E82D-4F2D-86AB-EDF51D7FA079}" name="(RES. LEVEL) BER" dataDxfId="231" totalsRowDxfId="54"/>
    <tableColumn id="28" xr3:uid="{FE95C7D8-F5FD-4278-BB5F-1F990B036A22}" name=" (RESV. STORGE) BER" dataDxfId="230" totalsRowDxfId="53"/>
    <tableColumn id="29" xr3:uid="{1BBABB8C-A2C2-442C-B886-2D89A404BDEB}" name="BER_STORG. * 10" dataDxfId="229" totalsRowDxfId="52"/>
    <tableColumn id="34" xr3:uid="{332C7D2C-C6A3-4A26-8AC2-FCD8106086E6}" name="BER_Evap." dataDxfId="228" totalsRowDxfId="51"/>
    <tableColumn id="32" xr3:uid="{C96F884E-1EEB-4DF2-9AA4-149162914A89}" name="A/B_CON." dataDxfId="227" totalsRowDxfId="50">
      <calculatedColumnFormula>TABL1234[[#This Row],[(A/B) AJD]]-TABL1234[[#This Row],[BER_IN]]</calculatedColumnFormula>
    </tableColumn>
    <tableColumn id="33" xr3:uid="{617EB27D-221C-4A84-8637-DB1B7E5C8E4C}" name="SER_IN" dataDxfId="226" totalsRowDxfId="49"/>
    <tableColumn id="27" xr3:uid="{F00A2A8B-D14F-4358-8227-4F0CF59784C3}" name="(RES. LEVEL) SER " dataDxfId="225" totalsRowDxfId="48"/>
    <tableColumn id="2" xr3:uid="{838E1437-DDEE-489A-9F90-354DE69A5FBD}" name=" (RESV. STORGE) SER" dataDxfId="224" totalsRowDxfId="47" dataCellStyle="Normal 2"/>
    <tableColumn id="23" xr3:uid="{09A5AB44-BC9D-4BE3-B380-C113AD5BED90}" name="SER_STORG.* 10" dataDxfId="223" totalsRowDxfId="46" dataCellStyle="Normal 2">
      <calculatedColumnFormula>TABL1234[[#This Row],[ (RESV. STORGE) SER]]/10</calculatedColumnFormula>
    </tableColumn>
    <tableColumn id="41" xr3:uid="{E4770EDE-8ED4-4463-B885-7849D12BD6A0}" name="SER_Evap." dataDxfId="222"/>
    <tableColumn id="42" xr3:uid="{EFDA9A53-0CFE-4CCE-95F2-20AE62E22C56}" name="A/S_CON." dataDxfId="221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0" headerRowBorderDxfId="1" tableBorderDxfId="220">
  <autoFilter ref="A1:AP366" xr:uid="{E27AB35F-C506-4638-82E0-C9375E719914}"/>
  <tableColumns count="42">
    <tableColumn id="1" xr3:uid="{02DACF0D-7EB8-407A-B9F7-7C2292288349}" name=" اليوم" dataDxfId="219" totalsRowDxfId="45" dataCellStyle="Normal 2"/>
    <tableColumn id="19" xr3:uid="{43E17B12-9F51-4E38-809C-0DC2FB9D2198}" name="آبار منتجة TAZ" dataDxfId="218" totalsRowDxfId="44" dataCellStyle="Normal 2"/>
    <tableColumn id="18" xr3:uid="{AE342FC5-E6EF-41F4-A320-A8389AD104C8}" name="الانتاج 1000 (م3) TAZ" dataDxfId="217" totalsRowDxfId="43" dataCellStyle="Normal 2"/>
    <tableColumn id="17" xr3:uid="{B3C5CB3A-D0F1-49AC-B037-6C320FADF260}" name="آبار عاملة TAZ" dataDxfId="216" totalsRowDxfId="42" dataCellStyle="Normal 2"/>
    <tableColumn id="16" xr3:uid="{B716E35D-9012-40EA-AC38-60E9F6339C0D}" name="آبار احتياطية" dataDxfId="215" totalsRowDxfId="41" dataCellStyle="Normal 2"/>
    <tableColumn id="26" xr3:uid="{BEC03712-E2DC-4DF5-9B30-7E545FD4FB18}" name="آبار منتجة SAR" dataDxfId="214" totalsRowDxfId="40" dataCellStyle="Normal 2"/>
    <tableColumn id="25" xr3:uid="{5D056D5F-DD4D-4B13-9030-D38421746905}" name="إنتاج آبار  SAR" dataDxfId="213" totalsRowDxfId="39" dataCellStyle="Normal 2"/>
    <tableColumn id="24" xr3:uid="{E0F5724B-8BCB-47AC-BCF7-0DBD0CF9C33E}" name="آبار احتياطية  SAR" dataDxfId="212" totalsRowDxfId="38" dataCellStyle="Normal 2"/>
    <tableColumn id="8" xr3:uid="{61D18039-EDAC-4612-86A4-AFF23A4064AC}" name=" (T/B) SAR" dataDxfId="211" totalsRowDxfId="37" dataCellStyle="Normal 2"/>
    <tableColumn id="22" xr3:uid="{2C3F81BA-C095-49B2-BF14-75F548667ECB}" name=" (S/S) SAR" dataDxfId="210" totalsRowDxfId="36" dataCellStyle="Normal 2"/>
    <tableColumn id="38" xr3:uid="{1679208C-75B3-4E3C-A4D6-0EECE2F8E911}" name="(S/S+TB)SAR" dataDxfId="209" totalsRowDxfId="35" dataCellStyle="Normal 2">
      <calculatedColumnFormula>TABL12345[[#This Row],[ (T/B) SAR]]+TABL12345[[#This Row],[ (S/S) SAR]]</calculatedColumnFormula>
    </tableColumn>
    <tableColumn id="21" xr3:uid="{D2194429-B14F-4E7B-97D2-E7110F4C07FC}" name="TAZ/SAR" dataDxfId="208" totalsRowDxfId="34" dataCellStyle="Normal 2"/>
    <tableColumn id="20" xr3:uid="{35B39C80-C517-4DB5-B3E6-2C24ACD3BA7C}" name=" % ECV SAR" dataDxfId="207" totalsRowDxfId="33" dataCellStyle="Normal 2"/>
    <tableColumn id="6" xr3:uid="{22D7E0F8-B392-42D3-806C-5E133C18B9F0}" name="ECV (bar) SAR" dataDxfId="206" totalsRowDxfId="32" dataCellStyle="Normal 2"/>
    <tableColumn id="3" xr3:uid="{3907C5E1-E143-4AF6-8647-6264088EB00F}" name="(S/S) AJD" dataDxfId="205" totalsRowDxfId="31"/>
    <tableColumn id="36" xr3:uid="{1631F47D-658D-4528-AA1F-B9937050D436}" name="S/S_CON." dataDxfId="204" totalsRowDxfId="30">
      <calculatedColumnFormula>TABL12345[[#This Row],[ (S/S) SAR]]-TABL12345[[#This Row],[(S/S) AJD]]</calculatedColumnFormula>
    </tableColumn>
    <tableColumn id="5" xr3:uid="{D53678E2-A269-4C4F-8B0A-9BAE8FA907ED}" name="(T/B) AJD" dataDxfId="203" totalsRowDxfId="29"/>
    <tableColumn id="35" xr3:uid="{5D374896-D11B-4B17-A855-150CE88C0760}" name="T/B-CON." dataDxfId="202" totalsRowDxfId="28">
      <calculatedColumnFormula>TABL12345[[#This Row],[ (T/B) SAR]]-TABL12345[[#This Row],[(T/B) AJD]]</calculatedColumnFormula>
    </tableColumn>
    <tableColumn id="37" xr3:uid="{09D6D753-1A3C-4535-BA78-4BF8327D882B}" name="(S/S-T/B)-CON." dataDxfId="201" totalsRowDxfId="27">
      <calculatedColumnFormula>TABL12345[[#This Row],[S/S_CON.]]+TABL12345[[#This Row],[T/B-CON.]]</calculatedColumnFormula>
    </tableColumn>
    <tableColumn id="13" xr3:uid="{C58643E7-024E-443D-83D0-9EB1C639B54D}" name="( S/S+T/B) AJD" dataDxfId="200" totalsRowDxfId="26">
      <calculatedColumnFormula>O2+Q2</calculatedColumnFormula>
    </tableColumn>
    <tableColumn id="7" xr3:uid="{78547799-DE98-4575-BA47-DD3795A95957}" name="(A/B) AJD" dataDxfId="199" totalsRowDxfId="25"/>
    <tableColumn id="9" xr3:uid="{07CD512D-7DBD-4DD8-A984-F7676F67A268}" name="(A/S) AJD" dataDxfId="198" totalsRowDxfId="24"/>
    <tableColumn id="14" xr3:uid="{0213E337-B3B2-47BB-B8E3-6770CDF25454}" name="(A/B + A/S) AJD" dataDxfId="197" totalsRowDxfId="23">
      <calculatedColumnFormula>U2+V2</calculatedColumnFormula>
    </tableColumn>
    <tableColumn id="15" xr3:uid="{84EC5F01-D93C-4CD0-894A-EF313BB95D21}" name="(IN-OUT) AJD" dataDxfId="196" totalsRowDxfId="22">
      <calculatedColumnFormula>T2-W2</calculatedColumnFormula>
    </tableColumn>
    <tableColumn id="10" xr3:uid="{0BD7EC09-04AD-4217-9B85-C8B6B7E453F7}" name="(RES. LEVEL) AJD" dataDxfId="195" totalsRowDxfId="21"/>
    <tableColumn id="11" xr3:uid="{E3E279F5-1486-4471-939B-55F7B0DA545B}" name="(RESV. STORGE) AJD" dataDxfId="194" totalsRowDxfId="20"/>
    <tableColumn id="40" xr3:uid="{AF2423A7-B305-48AC-A45C-F40DDE6E1EDC}" name="AJD_STORG.* 10" dataDxfId="193" totalsRowDxfId="19" dataCellStyle="Normal 2">
      <calculatedColumnFormula>TABL12345[[#This Row],[(RESV. STORGE) AJD]]/10</calculatedColumnFormula>
    </tableColumn>
    <tableColumn id="4" xr3:uid="{349662B3-3FED-4026-98BD-67FC3B66D23C}" name="(STORGE DIFF.) AJD" dataDxfId="192" totalsRowDxfId="18"/>
    <tableColumn id="12" xr3:uid="{852CAD1E-93C7-4B16-AA21-29103890C024}" name="AJD_Evaporation" dataDxfId="191" totalsRowDxfId="17" dataCellStyle="Normal 2"/>
    <tableColumn id="39" xr3:uid="{E8544CA2-A272-4E28-9BF8-A6613CA962F9}" name="AJD_LOSES" dataDxfId="190" totalsRowDxfId="16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89" totalsRowDxfId="15"/>
    <tableColumn id="31" xr3:uid="{6AB09860-41B2-43B9-9D14-E120039D4952}" name="(RES. LEVEL) BER" dataDxfId="188" totalsRowDxfId="14"/>
    <tableColumn id="28" xr3:uid="{49154F88-FC89-408C-8485-83AC6DB6FE9D}" name=" (RESV. STORGE) BER" dataDxfId="187" totalsRowDxfId="13"/>
    <tableColumn id="29" xr3:uid="{57AD5D30-9B52-48CE-81E9-4506CB0FF416}" name="BER_STORG. * 10" dataDxfId="186" totalsRowDxfId="12">
      <calculatedColumnFormula>TABL12345[[#This Row],[ (RESV. STORGE) BER]]/10</calculatedColumnFormula>
    </tableColumn>
    <tableColumn id="34" xr3:uid="{03FFF891-77B0-43E4-9D01-7AA2BB5AEA1B}" name="BER_Evap." dataDxfId="185" totalsRowDxfId="11"/>
    <tableColumn id="32" xr3:uid="{03EB162E-C5F0-4278-B7BA-4E7D6BDCA6AC}" name="A/B_CON." dataDxfId="184" totalsRowDxfId="10">
      <calculatedColumnFormula>TABL12345[[#This Row],[(A/B) AJD]]-TABL12345[[#This Row],[BER_IN]]</calculatedColumnFormula>
    </tableColumn>
    <tableColumn id="33" xr3:uid="{A605DDD5-2F17-45B7-899A-FD1B18D252A5}" name="SER_IN" dataDxfId="183" totalsRowDxfId="9"/>
    <tableColumn id="27" xr3:uid="{8EAA7A02-F906-476E-939D-D3BC9104B7ED}" name="(RES. LEVEL) SER " dataDxfId="182" totalsRowDxfId="8"/>
    <tableColumn id="2" xr3:uid="{8AA4184C-E831-4C5F-85E8-3E83C570A450}" name=" (RESV. STORGE) SER" dataDxfId="181" totalsRowDxfId="7" dataCellStyle="Normal 2"/>
    <tableColumn id="23" xr3:uid="{A3F2F42E-A42B-4160-AB32-0553ADC6D120}" name="SER_STORG.* 10" dataDxfId="180" totalsRowDxfId="6" dataCellStyle="Normal 2">
      <calculatedColumnFormula>TABL12345[[#This Row],[ (RESV. STORGE) SER]]/10</calculatedColumnFormula>
    </tableColumn>
    <tableColumn id="41" xr3:uid="{9BF764BC-F0F0-4E32-9F3F-BA2F58E16484}" name="SER_Evap." dataDxfId="179"/>
    <tableColumn id="42" xr3:uid="{569575F4-872C-43F8-A630-9E5D78196769}" name="A/S_CON." dataDxfId="178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zoomScale="115" zoomScaleNormal="115" workbookViewId="0">
      <selection activeCell="C21" sqref="C21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zoomScaleNormal="100" workbookViewId="0">
      <selection activeCell="D18" sqref="D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Row],[AJD_Evaporation]])/1000)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Row],[(A/B) AJD]]-TABL123[[#This Row],[BER_IN]]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Row],[(A/B) AJD]]-TABL123[[#This Row],[BER_IN]]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Row],[(A/B) AJD]]-TABL123[[#This Row],[BER_IN]]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Row],[(A/B) AJD]]-TABL123[[#This Row],[BER_IN]]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Row],[(A/B) AJD]]-TABL123[[#This Row],[BER_IN]]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Row],[(A/B) AJD]]-TABL123[[#This Row],[BER_IN]]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Row],[(A/B) AJD]]-TABL123[[#This Row],[BER_IN]]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Row],[(A/B) AJD]]-TABL123[[#This Row],[BER_IN]]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Row],[(A/B) AJD]]-TABL123[[#This Row],[BER_IN]]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Row],[(A/B) AJD]]-TABL123[[#This Row],[BER_IN]]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Row],[(A/B) AJD]]-TABL123[[#This Row],[BER_IN]]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Row],[(A/B) AJD]]-TABL123[[#This Row],[BER_IN]]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Row],[(A/B) AJD]]-TABL123[[#This Row],[BER_IN]]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Row],[(A/B) AJD]]-TABL123[[#This Row],[BER_IN]]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Row],[(A/B) AJD]]-TABL123[[#This Row],[BER_IN]]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Row],[(A/B) AJD]]-TABL123[[#This Row],[BER_IN]]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Row],[(A/B) AJD]]-TABL123[[#This Row],[BER_IN]]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Row],[(A/B) AJD]]-TABL123[[#This Row],[BER_IN]]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Row],[(A/B) AJD]]-TABL123[[#This Row],[BER_IN]]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Row],[(A/B) AJD]]-TABL123[[#This Row],[BER_IN]]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Row],[(A/B) AJD]]-TABL123[[#This Row],[BER_IN]]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Row],[(A/B) AJD]]-TABL123[[#This Row],[BER_IN]]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Row],[(A/B) AJD]]-TABL123[[#This Row],[BER_IN]]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Row],[(A/B) AJD]]-TABL123[[#This Row],[BER_IN]]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Row],[(A/B) AJD]]-TABL123[[#This Row],[BER_IN]]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Row],[(A/B) AJD]]-TABL123[[#This Row],[BER_IN]]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Row],[(A/B) AJD]]-TABL123[[#This Row],[BER_IN]]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Row],[(A/B) AJD]]-TABL123[[#This Row],[BER_IN]]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Row],[(A/B) AJD]]-TABL123[[#This Row],[BER_IN]]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Row],[(A/B) AJD]]-TABL123[[#This Row],[BER_IN]]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Row],[(A/B) AJD]]-TABL123[[#This Row],[BER_IN]]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Row],[(A/B) AJD]]-TABL123[[#This Row],[BER_IN]]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Row],[(A/B) AJD]]-TABL123[[#This Row],[BER_IN]]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Row],[(A/B) AJD]]-TABL123[[#This Row],[BER_IN]]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Row],[(A/B) AJD]]-TABL123[[#This Row],[BER_IN]]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Row],[(A/B) AJD]]-TABL123[[#This Row],[BER_IN]]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Row],[(A/B) AJD]]-TABL123[[#This Row],[BER_IN]]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Row],[(A/B) AJD]]-TABL123[[#This Row],[BER_IN]]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Row],[(A/B) AJD]]-TABL123[[#This Row],[BER_IN]]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Row],[(A/B) AJD]]-TABL123[[#This Row],[BER_IN]]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Row],[(A/B) AJD]]-TABL123[[#This Row],[BER_IN]]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Row],[(A/B) AJD]]-TABL123[[#This Row],[BER_IN]]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Row],[(A/B) AJD]]-TABL123[[#This Row],[BER_IN]]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Row],[(A/B) AJD]]-TABL123[[#This Row],[BER_IN]]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Row],[(A/B) AJD]]-TABL123[[#This Row],[BER_IN]]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Row],[(A/B) AJD]]-TABL123[[#This Row],[BER_IN]]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Row],[(A/B) AJD]]-TABL123[[#This Row],[BER_IN]]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Row],[(A/B) AJD]]-TABL123[[#This Row],[BER_IN]]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Row],[(A/B) AJD]]-TABL123[[#This Row],[BER_IN]]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Row],[(A/B) AJD]]-TABL123[[#This Row],[BER_IN]]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Row],[(A/B) AJD]]-TABL123[[#This Row],[BER_IN]]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Row],[(A/B) AJD]]-TABL123[[#This Row],[BER_IN]]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Row],[(A/B) AJD]]-TABL123[[#This Row],[BER_IN]]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Row],[(A/B) AJD]]-TABL123[[#This Row],[BER_IN]]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Row],[(A/B) AJD]]-TABL123[[#This Row],[BER_IN]]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Row],[(A/B) AJD]]-TABL123[[#This Row],[BER_IN]]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Row],[(A/B) AJD]]-TABL123[[#This Row],[BER_IN]]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Row],[(A/B) AJD]]-TABL123[[#This Row],[BER_IN]]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Row],[(A/B) AJD]]-TABL123[[#This Row],[BER_IN]]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Row],[(A/B) AJD]]-TABL123[[#This Row],[BER_IN]]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Row],[(A/B) AJD]]-TABL123[[#This Row],[BER_IN]]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Row],[(A/B) AJD]]-TABL123[[#This Row],[BER_IN]]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Row],[(A/B) AJD]]-TABL123[[#This Row],[BER_IN]]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Row],[(A/B) AJD]]-TABL123[[#This Row],[BER_IN]]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Row],[(A/B) AJD]]-TABL123[[#This Row],[BER_IN]]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Row],[(A/B) AJD]]-TABL123[[#This Row],[BER_IN]]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Row],[(A/B) AJD]]-TABL123[[#This Row],[BER_IN]]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Row],[(A/B) AJD]]-TABL123[[#This Row],[BER_IN]]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Row],[(A/B) AJD]]-TABL123[[#This Row],[BER_IN]]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Row],[(A/B) AJD]]-TABL123[[#This Row],[BER_IN]]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Row],[(A/B) AJD]]-TABL123[[#This Row],[BER_IN]]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Row],[(A/B) AJD]]-TABL123[[#This Row],[BER_IN]]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Row],[(A/B) AJD]]-TABL123[[#This Row],[BER_IN]]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Row],[(A/B) AJD]]-TABL123[[#This Row],[BER_IN]]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Row],[(A/B) AJD]]-TABL123[[#This Row],[BER_IN]]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Row],[(A/B) AJD]]-TABL123[[#This Row],[BER_IN]]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Row],[(A/B) AJD]]-TABL123[[#This Row],[BER_IN]]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Row],[(A/B) AJD]]-TABL123[[#This Row],[BER_IN]]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Row],[(A/B) AJD]]-TABL123[[#This Row],[BER_IN]]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Row],[(A/B) AJD]]-TABL123[[#This Row],[BER_IN]]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Row],[(A/B) AJD]]-TABL123[[#This Row],[BER_IN]]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Row],[(A/B) AJD]]-TABL123[[#This Row],[BER_IN]]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Row],[(A/B) AJD]]-TABL123[[#This Row],[BER_IN]]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Row],[(A/B) AJD]]-TABL123[[#This Row],[BER_IN]]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Row],[(A/B) AJD]]-TABL123[[#This Row],[BER_IN]]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Row],[(A/B) AJD]]-TABL123[[#This Row],[BER_IN]]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Row],[(A/B) AJD]]-TABL123[[#This Row],[BER_IN]]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Row],[(A/B) AJD]]-TABL123[[#This Row],[BER_IN]]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Row],[(A/B) AJD]]-TABL123[[#This Row],[BER_IN]]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Row],[(A/B) AJD]]-TABL123[[#This Row],[BER_IN]]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Row],[(A/B) AJD]]-TABL123[[#This Row],[BER_IN]]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Row],[(A/B) AJD]]-TABL123[[#This Row],[BER_IN]]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Row],[(A/B) AJD]]-TABL123[[#This Row],[BER_IN]]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Row],[(A/B) AJD]]-TABL123[[#This Row],[BER_IN]]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Row],[(A/B) AJD]]-TABL123[[#This Row],[BER_IN]]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Row],[(A/B) AJD]]-TABL123[[#This Row],[BER_IN]]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Row],[(A/B) AJD]]-TABL123[[#This Row],[BER_IN]]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Row],[(A/B) AJD]]-TABL123[[#This Row],[BER_IN]]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Row],[(A/B) AJD]]-TABL123[[#This Row],[BER_IN]]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Row],[(A/B) AJD]]-TABL123[[#This Row],[BER_IN]]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Row],[(A/B) AJD]]-TABL123[[#This Row],[BER_IN]]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Row],[(A/B) AJD]]-TABL123[[#This Row],[BER_IN]]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Row],[(A/B) AJD]]-TABL123[[#This Row],[BER_IN]]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Row],[(A/B) AJD]]-TABL123[[#This Row],[BER_IN]]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Row],[(A/B) AJD]]-TABL123[[#This Row],[BER_IN]]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Row],[(A/B) AJD]]-TABL123[[#This Row],[BER_IN]]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Row],[(A/B) AJD]]-TABL123[[#This Row],[BER_IN]]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Row],[(A/B) AJD]]-TABL123[[#This Row],[BER_IN]]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Row],[(A/B) AJD]]-TABL123[[#This Row],[BER_IN]]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Row],[(A/B) AJD]]-TABL123[[#This Row],[BER_IN]]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Row],[(A/B) AJD]]-TABL123[[#This Row],[BER_IN]]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Row],[(A/B) AJD]]-TABL123[[#This Row],[BER_IN]]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Row],[(A/B) AJD]]-TABL123[[#This Row],[BER_IN]]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Row],[(A/B) AJD]]-TABL123[[#This Row],[BER_IN]]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Row],[(A/B) AJD]]-TABL123[[#This Row],[BER_IN]]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Row],[(A/B) AJD]]-TABL123[[#This Row],[BER_IN]]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Row],[(A/B) AJD]]-TABL123[[#This Row],[BER_IN]]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Row],[(A/B) AJD]]-TABL123[[#This Row],[BER_IN]]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Row],[(A/B) AJD]]-TABL123[[#This Row],[BER_IN]]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Row],[(A/B) AJD]]-TABL123[[#This Row],[BER_IN]]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Row],[(A/B) AJD]]-TABL123[[#This Row],[BER_IN]]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Row],[(A/B) AJD]]-TABL123[[#This Row],[BER_IN]]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Row],[(A/B) AJD]]-TABL123[[#This Row],[BER_IN]]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Row],[(A/B) AJD]]-TABL123[[#This Row],[BER_IN]]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Row],[(A/B) AJD]]-TABL123[[#This Row],[BER_IN]]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Row],[(A/B) AJD]]-TABL123[[#This Row],[BER_IN]]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Row],[(A/B) AJD]]-TABL123[[#This Row],[BER_IN]]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Row],[(A/B) AJD]]-TABL123[[#This Row],[BER_IN]]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Row],[(A/B) AJD]]-TABL123[[#This Row],[BER_IN]]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Row],[(A/B) AJD]]-TABL123[[#This Row],[BER_IN]]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Row],[(A/B) AJD]]-TABL123[[#This Row],[BER_IN]]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Row],[(A/B) AJD]]-TABL123[[#This Row],[BER_IN]]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Row],[(A/B) AJD]]-TABL123[[#This Row],[BER_IN]]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Row],[(A/B) AJD]]-TABL123[[#This Row],[BER_IN]]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Row],[(A/B) AJD]]-TABL123[[#This Row],[BER_IN]]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Row],[(A/B) AJD]]-TABL123[[#This Row],[BER_IN]]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Row],[(A/B) AJD]]-TABL123[[#This Row],[BER_IN]]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Row],[(A/B) AJD]]-TABL123[[#This Row],[BER_IN]]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Row],[(A/B) AJD]]-TABL123[[#This Row],[BER_IN]]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Row],[(A/B) AJD]]-TABL123[[#This Row],[BER_IN]]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Row],[(A/B) AJD]]-TABL123[[#This Row],[BER_IN]]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Row],[(A/B) AJD]]-TABL123[[#This Row],[BER_IN]]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Row],[(A/B) AJD]]-TABL123[[#This Row],[BER_IN]]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Row],[(A/B) AJD]]-TABL123[[#This Row],[BER_IN]]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Row],[(A/B) AJD]]-TABL123[[#This Row],[BER_IN]]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Row],[(A/B) AJD]]-TABL123[[#This Row],[BER_IN]]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Row],[(A/B) AJD]]-TABL123[[#This Row],[BER_IN]]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Row],[(A/B) AJD]]-TABL123[[#This Row],[BER_IN]]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Row],[(A/B) AJD]]-TABL123[[#This Row],[BER_IN]]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Row],[(A/B) AJD]]-TABL123[[#This Row],[BER_IN]]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Row],[(A/B) AJD]]-TABL123[[#This Row],[BER_IN]]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Row],[(A/B) AJD]]-TABL123[[#This Row],[BER_IN]]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Row],[(A/B) AJD]]-TABL123[[#This Row],[BER_IN]]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Row],[(A/B) AJD]]-TABL123[[#This Row],[BER_IN]]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Row],[(A/B) AJD]]-TABL123[[#This Row],[BER_IN]]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Row],[(A/B) AJD]]-TABL123[[#This Row],[BER_IN]]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Row],[(A/B) AJD]]-TABL123[[#This Row],[BER_IN]]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Row],[(A/B) AJD]]-TABL123[[#This Row],[BER_IN]]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Row],[(A/B) AJD]]-TABL123[[#This Row],[BER_IN]]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Row],[(A/B) AJD]]-TABL123[[#This Row],[BER_IN]]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Row],[(A/B) AJD]]-TABL123[[#This Row],[BER_IN]]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Row],[(A/B) AJD]]-TABL123[[#This Row],[BER_IN]]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Row],[(A/B) AJD]]-TABL123[[#This Row],[BER_IN]]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Row],[(A/B) AJD]]-TABL123[[#This Row],[BER_IN]]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Row],[(A/B) AJD]]-TABL123[[#This Row],[BER_IN]]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Row],[(A/B) AJD]]-TABL123[[#This Row],[BER_IN]]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Row],[(A/B) AJD]]-TABL123[[#This Row],[BER_IN]]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Row],[(A/B) AJD]]-TABL123[[#This Row],[BER_IN]]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Row],[(A/B) AJD]]-TABL123[[#This Row],[BER_IN]]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Row],[(A/B) AJD]]-TABL123[[#This Row],[BER_IN]]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Row],[(A/B) AJD]]-TABL123[[#This Row],[BER_IN]]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Row],[(A/B) AJD]]-TABL123[[#This Row],[BER_IN]]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Row],[(A/B) AJD]]-TABL123[[#This Row],[BER_IN]]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Row],[(A/B) AJD]]-TABL123[[#This Row],[BER_IN]]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Row],[(A/B) AJD]]-TABL123[[#This Row],[BER_IN]]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Row],[(A/B) AJD]]-TABL123[[#This Row],[BER_IN]]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Row],[(A/B) AJD]]-TABL123[[#This Row],[BER_IN]]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Row],[(A/B) AJD]]-TABL123[[#This Row],[BER_IN]]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Row],[(A/B) AJD]]-TABL123[[#This Row],[BER_IN]]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Row],[(A/B) AJD]]-TABL123[[#This Row],[BER_IN]]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Row],[(A/B) AJD]]-TABL123[[#This Row],[BER_IN]]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Row],[(A/B) AJD]]-TABL123[[#This Row],[BER_IN]]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Row],[(A/B) AJD]]-TABL123[[#This Row],[BER_IN]]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Row],[(A/B) AJD]]-TABL123[[#This Row],[BER_IN]]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Row],[(A/B) AJD]]-TABL123[[#This Row],[BER_IN]]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Row],[(A/B) AJD]]-TABL123[[#This Row],[BER_IN]]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Row],[(A/B) AJD]]-TABL123[[#This Row],[BER_IN]]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Row],[(A/B) AJD]]-TABL123[[#This Row],[BER_IN]]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Row],[(A/B) AJD]]-TABL123[[#This Row],[BER_IN]]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Row],[(A/B) AJD]]-TABL123[[#This Row],[BER_IN]]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Row],[(A/B) AJD]]-TABL123[[#This Row],[BER_IN]]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Row],[(A/B) AJD]]-TABL123[[#This Row],[BER_IN]]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Row],[(A/B) AJD]]-TABL123[[#This Row],[BER_IN]]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Row],[(A/B) AJD]]-TABL123[[#This Row],[BER_IN]]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Row],[(A/B) AJD]]-TABL123[[#This Row],[BER_IN]]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Row],[(A/B) AJD]]-TABL123[[#This Row],[BER_IN]]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Row],[(A/B) AJD]]-TABL123[[#This Row],[BER_IN]]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Row],[(A/B) AJD]]-TABL123[[#This Row],[BER_IN]]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Row],[(A/B) AJD]]-TABL123[[#This Row],[BER_IN]]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Row],[(A/B) AJD]]-TABL123[[#This Row],[BER_IN]]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Row],[(A/B) AJD]]-TABL123[[#This Row],[BER_IN]]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Row],[(A/B) AJD]]-TABL123[[#This Row],[BER_IN]]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Row],[(A/B) AJD]]-TABL123[[#This Row],[BER_IN]]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Row],[(A/B) AJD]]-TABL123[[#This Row],[BER_IN]]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Row],[(A/B) AJD]]-TABL123[[#This Row],[BER_IN]]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Row],[(A/B) AJD]]-TABL123[[#This Row],[BER_IN]]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Row],[(A/B) AJD]]-TABL123[[#This Row],[BER_IN]]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Row],[(A/B) AJD]]-TABL123[[#This Row],[BER_IN]]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Row],[(A/B) AJD]]-TABL123[[#This Row],[BER_IN]]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Row],[(A/B) AJD]]-TABL123[[#This Row],[BER_IN]]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Row],[(A/B) AJD]]-TABL123[[#This Row],[BER_IN]]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Row],[(A/B) AJD]]-TABL123[[#This Row],[BER_IN]]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Row],[(A/B) AJD]]-TABL123[[#This Row],[BER_IN]]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Row],[(A/B) AJD]]-TABL123[[#This Row],[BER_IN]]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Row],[(A/B) AJD]]-TABL123[[#This Row],[BER_IN]]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Row],[(A/B) AJD]]-TABL123[[#This Row],[BER_IN]]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Row],[(A/B) AJD]]-TABL123[[#This Row],[BER_IN]]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Row],[(A/B) AJD]]-TABL123[[#This Row],[BER_IN]]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Row],[(A/B) AJD]]-TABL123[[#This Row],[BER_IN]]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Row],[(A/B) AJD]]-TABL123[[#This Row],[BER_IN]]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Row],[(A/B) AJD]]-TABL123[[#This Row],[BER_IN]]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Row],[(A/B) AJD]]-TABL123[[#This Row],[BER_IN]]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Row],[(A/B) AJD]]-TABL123[[#This Row],[BER_IN]]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Row],[(A/B) AJD]]-TABL123[[#This Row],[BER_IN]]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Row],[(A/B) AJD]]-TABL123[[#This Row],[BER_IN]]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Row],[(A/B) AJD]]-TABL123[[#This Row],[BER_IN]]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Row],[(A/B) AJD]]-TABL123[[#This Row],[BER_IN]]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Row],[(A/B) AJD]]-TABL123[[#This Row],[BER_IN]]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Row],[(A/B) AJD]]-TABL123[[#This Row],[BER_IN]]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Row],[(A/B) AJD]]-TABL123[[#This Row],[BER_IN]]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Row],[(A/B) AJD]]-TABL123[[#This Row],[BER_IN]]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Row],[(A/B) AJD]]-TABL123[[#This Row],[BER_IN]]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Row],[(A/B) AJD]]-TABL123[[#This Row],[BER_IN]]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Row],[(A/B) AJD]]-TABL123[[#This Row],[BER_IN]]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Row],[(A/B) AJD]]-TABL123[[#This Row],[BER_IN]]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Row],[(A/B) AJD]]-TABL123[[#This Row],[BER_IN]]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Row],[(A/B) AJD]]-TABL123[[#This Row],[BER_IN]]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Row],[(A/B) AJD]]-TABL123[[#This Row],[BER_IN]]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Row],[(A/B) AJD]]-TABL123[[#This Row],[BER_IN]]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Row],[(A/B) AJD]]-TABL123[[#This Row],[BER_IN]]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Row],[(A/B) AJD]]-TABL123[[#This Row],[BER_IN]]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Row],[(A/B) AJD]]-TABL123[[#This Row],[BER_IN]]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Row],[(A/B) AJD]]-TABL123[[#This Row],[BER_IN]]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Row],[(A/B) AJD]]-TABL123[[#This Row],[BER_IN]]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Row],[(A/B) AJD]]-TABL123[[#This Row],[BER_IN]]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Row],[(A/B) AJD]]-TABL123[[#This Row],[BER_IN]]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Row],[(A/B) AJD]]-TABL123[[#This Row],[BER_IN]]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Row],[(A/B) AJD]]-TABL123[[#This Row],[BER_IN]]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Row],[(A/B) AJD]]-TABL123[[#This Row],[BER_IN]]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Row],[(A/B) AJD]]-TABL123[[#This Row],[BER_IN]]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Row],[(A/B) AJD]]-TABL123[[#This Row],[BER_IN]]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Row],[(A/B) AJD]]-TABL123[[#This Row],[BER_IN]]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Row],[(A/B) AJD]]-TABL123[[#This Row],[BER_IN]]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Row],[(A/B) AJD]]-TABL123[[#This Row],[BER_IN]]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Row],[(A/B) AJD]]-TABL123[[#This Row],[BER_IN]]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Row],[(A/B) AJD]]-TABL123[[#This Row],[BER_IN]]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Row],[(A/B) AJD]]-TABL123[[#This Row],[BER_IN]]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Row],[(A/B) AJD]]-TABL123[[#This Row],[BER_IN]]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Row],[(A/B) AJD]]-TABL123[[#This Row],[BER_IN]]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Row],[(A/B) AJD]]-TABL123[[#This Row],[BER_IN]]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Row],[(A/B) AJD]]-TABL123[[#This Row],[BER_IN]]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Row],[(A/B) AJD]]-TABL123[[#This Row],[BER_IN]]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Row],[(A/B) AJD]]-TABL123[[#This Row],[BER_IN]]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Row],[(A/B) AJD]]-TABL123[[#This Row],[BER_IN]]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Row],[(A/B) AJD]]-TABL123[[#This Row],[BER_IN]]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Row],[(A/B) AJD]]-TABL123[[#This Row],[BER_IN]]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Row],[(A/B) AJD]]-TABL123[[#This Row],[BER_IN]]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9"/>
      <c r="AJ269" s="79">
        <f>TABL123[[#This Row],[(A/B) AJD]]-TABL123[[#This Row],[BER_IN]]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9"/>
      <c r="AJ270" s="79">
        <f>TABL123[[#This Row],[(A/B) AJD]]-TABL123[[#This Row],[BER_IN]]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9"/>
      <c r="AJ271" s="79">
        <f>TABL123[[#This Row],[(A/B) AJD]]-TABL123[[#This Row],[BER_IN]]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9"/>
      <c r="AJ272" s="79">
        <f>TABL123[[#This Row],[(A/B) AJD]]-TABL123[[#This Row],[BER_IN]]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9"/>
      <c r="AJ273" s="79">
        <f>TABL123[[#This Row],[(A/B) AJD]]-TABL123[[#This Row],[BER_IN]]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8">
        <v>395</v>
      </c>
      <c r="P274" s="9">
        <f>TABL123[[#This Row],[ (S/S) SAR]]-TABL123[[#This Row],[(S/S) AJD]]</f>
        <v>-395</v>
      </c>
      <c r="Q274" s="78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8">
        <v>536</v>
      </c>
      <c r="V274" s="78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9"/>
      <c r="AJ274" s="79">
        <f>TABL123[[#This Row],[(A/B) AJD]]-TABL123[[#This Row],[BER_IN]]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9"/>
      <c r="AJ275" s="79">
        <f>TABL123[[#This Row],[(A/B) AJD]]-TABL123[[#This Row],[BER_IN]]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9"/>
      <c r="AJ276" s="79">
        <f>TABL123[[#This Row],[(A/B) AJD]]-TABL123[[#This Row],[BER_IN]]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9"/>
      <c r="AJ277" s="79">
        <f>TABL123[[#This Row],[(A/B) AJD]]-TABL123[[#This Row],[BER_IN]]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9"/>
      <c r="AJ278" s="79">
        <f>TABL123[[#This Row],[(A/B) AJD]]-TABL123[[#This Row],[BER_IN]]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9"/>
      <c r="AJ279" s="79">
        <f>TABL123[[#This Row],[(A/B) AJD]]-TABL123[[#This Row],[BER_IN]]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9"/>
      <c r="AJ280" s="79">
        <f>TABL123[[#This Row],[(A/B) AJD]]-TABL123[[#This Row],[BER_IN]]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9"/>
      <c r="AJ281" s="79">
        <f>TABL123[[#This Row],[(A/B) AJD]]-TABL123[[#This Row],[BER_IN]]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9"/>
      <c r="AJ282" s="79">
        <f>TABL123[[#This Row],[(A/B) AJD]]-TABL123[[#This Row],[BER_IN]]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9"/>
      <c r="AJ283" s="79">
        <f>TABL123[[#This Row],[(A/B) AJD]]-TABL123[[#This Row],[BER_IN]]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9"/>
      <c r="AJ284" s="79">
        <f>TABL123[[#This Row],[(A/B) AJD]]-TABL123[[#This Row],[BER_IN]]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9"/>
      <c r="AJ285" s="79">
        <f>TABL123[[#This Row],[(A/B) AJD]]-TABL123[[#This Row],[BER_IN]]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9"/>
      <c r="AJ286" s="79">
        <f>TABL123[[#This Row],[(A/B) AJD]]-TABL123[[#This Row],[BER_IN]]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9"/>
      <c r="AJ287" s="79">
        <f>TABL123[[#This Row],[(A/B) AJD]]-TABL123[[#This Row],[BER_IN]]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9"/>
      <c r="AJ288" s="79">
        <f>TABL123[[#This Row],[(A/B) AJD]]-TABL123[[#This Row],[BER_IN]]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9"/>
      <c r="AJ289" s="79">
        <f>TABL123[[#This Row],[(A/B) AJD]]-TABL123[[#This Row],[BER_IN]]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9"/>
      <c r="AJ290" s="79">
        <f>TABL123[[#This Row],[(A/B) AJD]]-TABL123[[#This Row],[BER_IN]]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9"/>
      <c r="AJ291" s="79">
        <f>TABL123[[#This Row],[(A/B) AJD]]-TABL123[[#This Row],[BER_IN]]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9"/>
      <c r="AJ292" s="79">
        <f>TABL123[[#This Row],[(A/B) AJD]]-TABL123[[#This Row],[BER_IN]]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9"/>
      <c r="AJ293" s="79">
        <f>TABL123[[#This Row],[(A/B) AJD]]-TABL123[[#This Row],[BER_IN]]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9"/>
      <c r="AJ294" s="79">
        <f>TABL123[[#This Row],[(A/B) AJD]]-TABL123[[#This Row],[BER_IN]]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9"/>
      <c r="AJ295" s="79">
        <f>TABL123[[#This Row],[(A/B) AJD]]-TABL123[[#This Row],[BER_IN]]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9"/>
      <c r="AJ296" s="79">
        <f>TABL123[[#This Row],[(A/B) AJD]]-TABL123[[#This Row],[BER_IN]]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AJD]]+TABL123[[#This Row],[(STORGE DIFF.) AJD]]+(TABL123[[#This Row],[AJD_Evaporation]])/1000)</f>
        <v>447.64177100000001</v>
      </c>
      <c r="AE297" s="68"/>
      <c r="AF297" s="68"/>
      <c r="AG297" s="68"/>
      <c r="AH297" s="6"/>
      <c r="AI297" s="79"/>
      <c r="AJ297" s="79">
        <f>TABL123[[#This Row],[(A/B) AJD]]-TABL123[[#This Row],[BER_IN]]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9"/>
      <c r="P298" s="9">
        <f>TABL123[[#This Row],[ (S/S) SAR]]-TABL123[[#This Row],[(S/S) AJD]]</f>
        <v>0</v>
      </c>
      <c r="Q298" s="9"/>
      <c r="R298" s="9">
        <f>TABL123[[#This Row],[ (T/B) SAR]]-TABL123[[#This Row],[(T/B) AJD]]</f>
        <v>0</v>
      </c>
      <c r="S298" s="9">
        <f>TABL123[[#This Row],[T/B-CON.]]+TABL123[[#This Row],[S/S_CON.]]</f>
        <v>0</v>
      </c>
      <c r="T298" s="9">
        <f>TABL123[[#This Row],[(S/S) AJD]]+TABL123[[#This Row],[(T/B) AJD]]</f>
        <v>0</v>
      </c>
      <c r="U298" s="9"/>
      <c r="V298" s="9"/>
      <c r="W298" s="9">
        <f>TABL123[[#This Row],[(A/B) AJD]]+TABL123[[#This Row],[(A/S)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AJD]]+TABL123[[#This Row],[(STORGE DIFF.) AJD]]+(TABL123[[#This Row],[AJD_Evaporation]])/1000)</f>
        <v>0.42222899999999997</v>
      </c>
      <c r="AE298" s="68"/>
      <c r="AF298" s="68"/>
      <c r="AG298" s="68"/>
      <c r="AH298" s="6"/>
      <c r="AI298" s="79"/>
      <c r="AJ298" s="79">
        <f>TABL123[[#This Row],[(A/B) AJD]]-TABL123[[#This Row],[BER_IN]]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Row],[(A/S) AJD]]-TABL123[[#This Row],[SER_IN]]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9"/>
      <c r="P299" s="9">
        <f>TABL123[[#This Row],[ (S/S) SAR]]-TABL123[[#This Row],[(S/S) AJD]]</f>
        <v>0</v>
      </c>
      <c r="Q299" s="9"/>
      <c r="R299" s="9">
        <f>TABL123[[#This Row],[ (T/B) SAR]]-TABL123[[#This Row],[(T/B) AJD]]</f>
        <v>0</v>
      </c>
      <c r="S299" s="9">
        <f>TABL123[[#This Row],[T/B-CON.]]+TABL123[[#This Row],[S/S_CON.]]</f>
        <v>0</v>
      </c>
      <c r="T299" s="9">
        <f>TABL123[[#This Row],[(S/S) AJD]]+TABL123[[#This Row],[(T/B) AJD]]</f>
        <v>0</v>
      </c>
      <c r="U299" s="9"/>
      <c r="V299" s="9"/>
      <c r="W299" s="9">
        <f>TABL123[[#This Row],[(A/B) AJD]]+TABL123[[#This Row],[(A/S)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AJD]]+TABL123[[#This Row],[(STORGE DIFF.) AJD]]+(TABL123[[#This Row],[AJD_Evaporation]])/1000)</f>
        <v>0</v>
      </c>
      <c r="AE299" s="68"/>
      <c r="AF299" s="68"/>
      <c r="AG299" s="68"/>
      <c r="AH299" s="6"/>
      <c r="AI299" s="79"/>
      <c r="AJ299" s="79">
        <f>TABL123[[#This Row],[(A/B) AJD]]-TABL123[[#This Row],[BER_IN]]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Row],[(A/S) AJD]]-TABL123[[#This Row],[SER_IN]]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9"/>
      <c r="P300" s="9">
        <f>TABL123[[#This Row],[ (S/S) SAR]]-TABL123[[#This Row],[(S/S) AJD]]</f>
        <v>0</v>
      </c>
      <c r="Q300" s="9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9"/>
      <c r="V300" s="9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9"/>
      <c r="AJ300" s="79">
        <f>TABL123[[#This Row],[(A/B) AJD]]-TABL123[[#This Row],[BER_IN]]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9"/>
      <c r="P301" s="9">
        <f>TABL123[[#This Row],[ (S/S) SAR]]-TABL123[[#This Row],[(S/S) AJD]]</f>
        <v>0</v>
      </c>
      <c r="Q301" s="9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9"/>
      <c r="V301" s="9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9"/>
      <c r="AJ301" s="79">
        <f>TABL123[[#This Row],[(A/B) AJD]]-TABL123[[#This Row],[BER_IN]]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9"/>
      <c r="P302" s="9">
        <f>TABL123[[#This Row],[ (S/S) SAR]]-TABL123[[#This Row],[(S/S) AJD]]</f>
        <v>0</v>
      </c>
      <c r="Q302" s="9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9"/>
      <c r="V302" s="9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9"/>
      <c r="AJ302" s="79">
        <f>TABL123[[#This Row],[(A/B) AJD]]-TABL123[[#This Row],[BER_IN]]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9"/>
      <c r="P303" s="9">
        <f>TABL123[[#This Row],[ (S/S) SAR]]-TABL123[[#This Row],[(S/S) AJD]]</f>
        <v>0</v>
      </c>
      <c r="Q303" s="9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9"/>
      <c r="V303" s="9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9"/>
      <c r="AJ303" s="79">
        <f>TABL123[[#This Row],[(A/B) AJD]]-TABL123[[#This Row],[BER_IN]]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9"/>
      <c r="P304" s="9">
        <f>TABL123[[#This Row],[ (S/S) SAR]]-TABL123[[#This Row],[(S/S) AJD]]</f>
        <v>0</v>
      </c>
      <c r="Q304" s="9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9"/>
      <c r="V304" s="9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9"/>
      <c r="AJ304" s="79">
        <f>TABL123[[#This Row],[(A/B) AJD]]-TABL123[[#This Row],[BER_IN]]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9"/>
      <c r="P305" s="9">
        <f>TABL123[[#This Row],[ (S/S) SAR]]-TABL123[[#This Row],[(S/S) AJD]]</f>
        <v>0</v>
      </c>
      <c r="Q305" s="9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9"/>
      <c r="V305" s="9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9"/>
      <c r="AJ305" s="79">
        <f>TABL123[[#This Row],[(A/B) AJD]]-TABL123[[#This Row],[BER_IN]]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9"/>
      <c r="AJ306" s="79">
        <f>TABL123[[#This Row],[(A/B) AJD]]-TABL123[[#This Row],[BER_IN]]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9"/>
      <c r="AJ307" s="79">
        <f>TABL123[[#This Row],[(A/B) AJD]]-TABL123[[#This Row],[BER_IN]]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9"/>
      <c r="AJ308" s="79">
        <f>TABL123[[#This Row],[(A/B) AJD]]-TABL123[[#This Row],[BER_IN]]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9"/>
      <c r="AJ309" s="79">
        <f>TABL123[[#This Row],[(A/B) AJD]]-TABL123[[#This Row],[BER_IN]]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9"/>
      <c r="AJ310" s="79">
        <f>TABL123[[#This Row],[(A/B) AJD]]-TABL123[[#This Row],[BER_IN]]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9"/>
      <c r="AJ311" s="79">
        <f>TABL123[[#This Row],[(A/B) AJD]]-TABL123[[#This Row],[BER_IN]]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9"/>
      <c r="AJ312" s="79">
        <f>TABL123[[#This Row],[(A/B) AJD]]-TABL123[[#This Row],[BER_IN]]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9"/>
      <c r="AJ313" s="79">
        <f>TABL123[[#This Row],[(A/B) AJD]]-TABL123[[#This Row],[BER_IN]]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9"/>
      <c r="AJ314" s="79">
        <f>TABL123[[#This Row],[(A/B) AJD]]-TABL123[[#This Row],[BER_IN]]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9"/>
      <c r="AJ315" s="79">
        <f>TABL123[[#This Row],[(A/B) AJD]]-TABL123[[#This Row],[BER_IN]]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9"/>
      <c r="AJ316" s="79">
        <f>TABL123[[#This Row],[(A/B) AJD]]-TABL123[[#This Row],[BER_IN]]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9"/>
      <c r="AJ317" s="79">
        <f>TABL123[[#This Row],[(A/B) AJD]]-TABL123[[#This Row],[BER_IN]]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9"/>
      <c r="AJ318" s="79">
        <f>TABL123[[#This Row],[(A/B) AJD]]-TABL123[[#This Row],[BER_IN]]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9"/>
      <c r="AJ319" s="79">
        <f>TABL123[[#This Row],[(A/B) AJD]]-TABL123[[#This Row],[BER_IN]]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9"/>
      <c r="AJ320" s="79">
        <f>TABL123[[#This Row],[(A/B) AJD]]-TABL123[[#This Row],[BER_IN]]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9"/>
      <c r="AJ321" s="79">
        <f>TABL123[[#This Row],[(A/B) AJD]]-TABL123[[#This Row],[BER_IN]]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9"/>
      <c r="AJ322" s="79">
        <f>TABL123[[#This Row],[(A/B) AJD]]-TABL123[[#This Row],[BER_IN]]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9"/>
      <c r="AJ323" s="79">
        <f>TABL123[[#This Row],[(A/B) AJD]]-TABL123[[#This Row],[BER_IN]]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9"/>
      <c r="AJ324" s="79">
        <f>TABL123[[#This Row],[(A/B) AJD]]-TABL123[[#This Row],[BER_IN]]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9"/>
      <c r="AJ325" s="79">
        <f>TABL123[[#This Row],[(A/B) AJD]]-TABL123[[#This Row],[BER_IN]]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9"/>
      <c r="AJ326" s="79">
        <f>TABL123[[#This Row],[(A/B) AJD]]-TABL123[[#This Row],[BER_IN]]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9"/>
      <c r="AJ327" s="79">
        <f>TABL123[[#This Row],[(A/B) AJD]]-TABL123[[#This Row],[BER_IN]]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9"/>
      <c r="AJ328" s="79">
        <f>TABL123[[#This Row],[(A/B) AJD]]-TABL123[[#This Row],[BER_IN]]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9"/>
      <c r="AJ329" s="79">
        <f>TABL123[[#This Row],[(A/B) AJD]]-TABL123[[#This Row],[BER_IN]]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9"/>
      <c r="AJ330" s="79">
        <f>TABL123[[#This Row],[(A/B) AJD]]-TABL123[[#This Row],[BER_IN]]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9"/>
      <c r="AJ331" s="79">
        <f>TABL123[[#This Row],[(A/B) AJD]]-TABL123[[#This Row],[BER_IN]]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9"/>
      <c r="AJ332" s="79">
        <f>TABL123[[#This Row],[(A/B) AJD]]-TABL123[[#This Row],[BER_IN]]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9"/>
      <c r="AJ333" s="79">
        <f>TABL123[[#This Row],[(A/B) AJD]]-TABL123[[#This Row],[BER_IN]]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9"/>
      <c r="AJ334" s="79">
        <f>TABL123[[#This Row],[(A/B) AJD]]-TABL123[[#This Row],[BER_IN]]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9"/>
      <c r="AJ335" s="79">
        <f>TABL123[[#This Row],[(A/B) AJD]]-TABL123[[#This Row],[BER_IN]]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9"/>
      <c r="AJ336" s="79">
        <f>TABL123[[#This Row],[(A/B) AJD]]-TABL123[[#This Row],[BER_IN]]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9"/>
      <c r="AJ337" s="79">
        <f>TABL123[[#This Row],[(A/B) AJD]]-TABL123[[#This Row],[BER_IN]]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9"/>
      <c r="AJ338" s="79">
        <f>TABL123[[#This Row],[(A/B) AJD]]-TABL123[[#This Row],[BER_IN]]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9"/>
      <c r="AJ339" s="79">
        <f>TABL123[[#This Row],[(A/B) AJD]]-TABL123[[#This Row],[BER_IN]]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9"/>
      <c r="AJ340" s="79">
        <f>TABL123[[#This Row],[(A/B) AJD]]-TABL123[[#This Row],[BER_IN]]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9"/>
      <c r="AJ341" s="79">
        <f>TABL123[[#This Row],[(A/B) AJD]]-TABL123[[#This Row],[BER_IN]]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9"/>
      <c r="AJ342" s="79">
        <f>TABL123[[#This Row],[(A/B) AJD]]-TABL123[[#This Row],[BER_IN]]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9"/>
      <c r="AJ343" s="79">
        <f>TABL123[[#This Row],[(A/B) AJD]]-TABL123[[#This Row],[BER_IN]]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9"/>
      <c r="AJ344" s="79">
        <f>TABL123[[#This Row],[(A/B) AJD]]-TABL123[[#This Row],[BER_IN]]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9"/>
      <c r="AJ345" s="79">
        <f>TABL123[[#This Row],[(A/B) AJD]]-TABL123[[#This Row],[BER_IN]]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9"/>
      <c r="AJ346" s="79">
        <f>TABL123[[#This Row],[(A/B) AJD]]-TABL123[[#This Row],[BER_IN]]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9"/>
      <c r="AJ347" s="79">
        <f>TABL123[[#This Row],[(A/B) AJD]]-TABL123[[#This Row],[BER_IN]]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9"/>
      <c r="AJ348" s="79">
        <f>TABL123[[#This Row],[(A/B) AJD]]-TABL123[[#This Row],[BER_IN]]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9"/>
      <c r="AJ349" s="79">
        <f>TABL123[[#This Row],[(A/B) AJD]]-TABL123[[#This Row],[BER_IN]]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9"/>
      <c r="AJ350" s="79">
        <f>TABL123[[#This Row],[(A/B) AJD]]-TABL123[[#This Row],[BER_IN]]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9"/>
      <c r="AJ351" s="79">
        <f>TABL123[[#This Row],[(A/B) AJD]]-TABL123[[#This Row],[BER_IN]]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9"/>
      <c r="AJ352" s="79">
        <f>TABL123[[#This Row],[(A/B) AJD]]-TABL123[[#This Row],[BER_IN]]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9"/>
      <c r="AJ353" s="79">
        <f>TABL123[[#This Row],[(A/B) AJD]]-TABL123[[#This Row],[BER_IN]]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9"/>
      <c r="AJ354" s="79">
        <f>TABL123[[#This Row],[(A/B) AJD]]-TABL123[[#This Row],[BER_IN]]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9"/>
      <c r="AJ355" s="79">
        <f>TABL123[[#This Row],[(A/B) AJD]]-TABL123[[#This Row],[BER_IN]]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9"/>
      <c r="AJ356" s="79">
        <f>TABL123[[#This Row],[(A/B) AJD]]-TABL123[[#This Row],[BER_IN]]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9"/>
      <c r="AJ357" s="79">
        <f>TABL123[[#This Row],[(A/B) AJD]]-TABL123[[#This Row],[BER_IN]]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9"/>
      <c r="AJ358" s="79">
        <f>TABL123[[#This Row],[(A/B) AJD]]-TABL123[[#This Row],[BER_IN]]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9"/>
      <c r="AJ359" s="79">
        <f>TABL123[[#This Row],[(A/B) AJD]]-TABL123[[#This Row],[BER_IN]]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9"/>
      <c r="AJ360" s="79">
        <f>TABL123[[#This Row],[(A/B) AJD]]-TABL123[[#This Row],[BER_IN]]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9"/>
      <c r="AJ361" s="79">
        <f>TABL123[[#This Row],[(A/B) AJD]]-TABL123[[#This Row],[BER_IN]]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9"/>
      <c r="AJ362" s="79">
        <f>TABL123[[#This Row],[(A/B) AJD]]-TABL123[[#This Row],[BER_IN]]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9"/>
      <c r="AJ363" s="79">
        <f>TABL123[[#This Row],[(A/B) AJD]]-TABL123[[#This Row],[BER_IN]]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9"/>
      <c r="AJ364" s="79">
        <f>TABL123[[#This Row],[(A/B) AJD]]-TABL123[[#This Row],[BER_IN]]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9"/>
      <c r="AJ365" s="79">
        <f>TABL123[[#This Row],[(A/B) AJD]]-TABL123[[#This Row],[BER_IN]]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3"/>
      <c r="AF366" s="83"/>
      <c r="AG366" s="83"/>
      <c r="AH366" s="43"/>
      <c r="AI366" s="81"/>
      <c r="AJ366" s="81">
        <f>TABL123[[#This Row],[(A/B) AJD]]-TABL123[[#This Row],[BER_IN]]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workbookViewId="0">
      <selection activeCell="F20" sqref="F20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Row],[AJD_Evaporation]])</f>
        <v>500797</v>
      </c>
      <c r="AE2" s="82"/>
      <c r="AF2" s="82"/>
      <c r="AG2" s="82"/>
      <c r="AH2" s="43"/>
      <c r="AI2" s="43"/>
      <c r="AJ2" s="80">
        <f>TABL1234[[#This Row],[(A/B) AJD]]-TABL1234[[#This Row],[BER_IN]]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1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1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1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1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2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H15" sqref="H1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workbookViewId="0">
      <selection activeCell="H12" sqref="H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2026-10-25T05:40:46Z</dcterms:modified>
</cp:coreProperties>
</file>