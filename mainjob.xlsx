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tables/table2.xml" ContentType="application/vnd.openxmlformats-officedocument.spreadsheetml.table+xml"/>
  <Override PartName="/xl/worksheets/sheet3.xml" ContentType="application/vnd.openxmlformats-officedocument.spreadsheetml.worksheet+xml"/>
  <Override PartName="/xl/tables/table3.xml" ContentType="application/vnd.openxmlformats-officedocument.spreadsheetml.table+xml"/>
  <Override PartName="/xl/worksheets/sheet4.xml" ContentType="application/vnd.openxmlformats-officedocument.spreadsheetml.worksheet+xml"/>
  <Override PartName="/xl/tables/table4.xml" ContentType="application/vnd.openxmlformats-officedocument.spreadsheetml.table+xml"/>
  <Override PartName="/xl/worksheets/sheet5.xml" ContentType="application/vnd.openxmlformats-officedocument.spreadsheetml.worksheet+xml"/>
  <Override PartName="/xl/tables/table5.xml" ContentType="application/vnd.openxmlformats-officedocument.spreadsheetml.table+xml"/>
  <Override PartName="/xl/worksheets/sheet6.xml" ContentType="application/vnd.openxmlformats-officedocument.spreadsheetml.worksheet+xml"/>
  <Override PartName="/xl/tables/table6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19440" windowHeight="15000" tabRatio="707" firstSheet="0" activeTab="1" autoFilterDateGrouping="1"/>
  </bookViews>
  <sheets>
    <sheet name="my_job - 2025" sheetId="1" state="visible" r:id="rId1"/>
    <sheet name="my_job2 - 2026" sheetId="2" state="visible" r:id="rId2"/>
    <sheet name="my_job - 2027" sheetId="3" state="visible" r:id="rId3"/>
    <sheet name="my_job - 2028" sheetId="4" state="visible" r:id="rId4"/>
    <sheet name="my_job - 2029" sheetId="5" state="visible" r:id="rId5"/>
    <sheet name="my_job - 2030" sheetId="6" state="visible" r:id="rId6"/>
  </sheets>
  <definedNames>
    <definedName name="Table123456">Table5[]</definedName>
    <definedName name="Table1234567">Table6[]</definedName>
  </definedNames>
  <calcPr calcId="191029" fullCalcOnLoad="1"/>
</workbook>
</file>

<file path=xl/styles.xml><?xml version="1.0" encoding="utf-8"?>
<styleSheet xmlns="http://schemas.openxmlformats.org/spreadsheetml/2006/main">
  <numFmts count="4">
    <numFmt numFmtId="164" formatCode="[$-1010000]yyyy/mm/dd;@"/>
    <numFmt numFmtId="165" formatCode="#,##0.000"/>
    <numFmt numFmtId="166" formatCode="0.000"/>
    <numFmt numFmtId="167" formatCode="0.0"/>
  </numFmts>
  <fonts count="16">
    <font>
      <name val="Arial"/>
      <charset val="178"/>
      <family val="2"/>
      <color theme="1"/>
      <sz val="11"/>
      <scheme val="minor"/>
    </font>
    <font>
      <name val="Arial"/>
      <family val="2"/>
      <b val="1"/>
      <color rgb="FFFF0000"/>
      <sz val="11"/>
      <scheme val="minor"/>
    </font>
    <font>
      <name val="Arial"/>
      <family val="2"/>
      <color theme="1"/>
      <sz val="11"/>
      <scheme val="minor"/>
    </font>
    <font>
      <name val="Arial"/>
      <family val="2"/>
      <color theme="1"/>
      <sz val="12"/>
      <scheme val="minor"/>
    </font>
    <font>
      <name val="Arial"/>
      <family val="2"/>
      <b val="1"/>
      <sz val="10"/>
      <scheme val="minor"/>
    </font>
    <font>
      <name val="Arial"/>
      <family val="2"/>
      <b val="1"/>
      <sz val="11"/>
      <scheme val="minor"/>
    </font>
    <font>
      <name val="Arial"/>
      <family val="2"/>
      <b val="1"/>
      <sz val="7"/>
      <scheme val="minor"/>
    </font>
    <font>
      <name val="Arial"/>
      <family val="2"/>
      <b val="1"/>
      <sz val="12"/>
      <scheme val="minor"/>
    </font>
    <font>
      <name val="Arial"/>
      <family val="2"/>
      <b val="1"/>
      <color theme="1"/>
      <sz val="10"/>
      <scheme val="minor"/>
    </font>
    <font>
      <name val="Arial"/>
      <family val="2"/>
      <b val="1"/>
      <color theme="3" tint="-0.249977111117893"/>
      <sz val="10"/>
      <scheme val="minor"/>
    </font>
    <font>
      <name val="Arial"/>
      <family val="2"/>
      <b val="1"/>
      <color theme="1"/>
      <sz val="11"/>
      <scheme val="minor"/>
    </font>
    <font>
      <name val="Arial"/>
      <family val="2"/>
      <b val="1"/>
      <color rgb="FFFF0000"/>
      <sz val="10"/>
      <scheme val="minor"/>
    </font>
    <font>
      <name val="Arial"/>
      <family val="2"/>
      <b val="1"/>
      <color theme="0"/>
      <sz val="11"/>
      <scheme val="minor"/>
    </font>
    <font>
      <name val="Times New Roman"/>
      <family val="2"/>
      <b val="1"/>
      <color theme="1"/>
      <sz val="14"/>
      <scheme val="major"/>
    </font>
    <font>
      <name val="Times New Roman"/>
      <family val="2"/>
      <b val="1"/>
      <color rgb="FFFF0000"/>
      <sz val="14"/>
      <scheme val="major"/>
    </font>
    <font>
      <name val="Times New Roman"/>
      <family val="2"/>
      <b val="1"/>
      <sz val="14"/>
      <scheme val="major"/>
    </font>
  </fonts>
  <fills count="12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6F9DB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 tint="0.7999816888943144"/>
        <bgColor theme="5" tint="0.799981688894314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</borders>
  <cellStyleXfs count="2">
    <xf numFmtId="0" fontId="0" fillId="0" borderId="0"/>
    <xf numFmtId="0" fontId="2" fillId="0" borderId="0"/>
  </cellStyleXfs>
  <cellXfs count="109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164" fontId="3" fillId="4" borderId="1" applyAlignment="1" pivotButton="0" quotePrefix="0" xfId="1">
      <alignment horizontal="center" vertical="center" readingOrder="1"/>
    </xf>
    <xf numFmtId="3" fontId="4" fillId="0" borderId="1" applyAlignment="1" pivotButton="0" quotePrefix="0" xfId="1">
      <alignment horizontal="center" vertical="center" readingOrder="1"/>
    </xf>
    <xf numFmtId="165" fontId="4" fillId="0" borderId="1" applyAlignment="1" pivotButton="0" quotePrefix="0" xfId="1">
      <alignment horizontal="center" vertical="center" readingOrder="1"/>
    </xf>
    <xf numFmtId="3" fontId="5" fillId="0" borderId="2" applyAlignment="1" pivotButton="0" quotePrefix="0" xfId="0">
      <alignment horizontal="center"/>
    </xf>
    <xf numFmtId="3" fontId="5" fillId="0" borderId="3" applyAlignment="1" pivotButton="0" quotePrefix="0" xfId="0">
      <alignment horizontal="center"/>
    </xf>
    <xf numFmtId="0" fontId="5" fillId="0" borderId="0" applyAlignment="1" pivotButton="0" quotePrefix="0" xfId="0">
      <alignment horizontal="center"/>
    </xf>
    <xf numFmtId="164" fontId="3" fillId="4" borderId="4" applyAlignment="1" pivotButton="0" quotePrefix="0" xfId="1">
      <alignment horizontal="center" vertical="center" readingOrder="1"/>
    </xf>
    <xf numFmtId="3" fontId="5" fillId="0" borderId="1" applyAlignment="1" pivotButton="0" quotePrefix="0" xfId="0">
      <alignment horizontal="center"/>
    </xf>
    <xf numFmtId="3" fontId="5" fillId="0" borderId="1" applyAlignment="1" pivotButton="0" quotePrefix="0" xfId="1">
      <alignment horizontal="center" vertical="center" readingOrder="1"/>
    </xf>
    <xf numFmtId="3" fontId="6" fillId="0" borderId="1" applyAlignment="1" pivotButton="0" quotePrefix="0" xfId="1">
      <alignment horizontal="center" vertical="center" readingOrder="1"/>
    </xf>
    <xf numFmtId="3" fontId="7" fillId="0" borderId="1" applyAlignment="1" pivotButton="0" quotePrefix="0" xfId="1">
      <alignment horizontal="center" vertical="center" readingOrder="1"/>
    </xf>
    <xf numFmtId="165" fontId="7" fillId="0" borderId="1" applyAlignment="1" pivotButton="0" quotePrefix="0" xfId="1">
      <alignment horizontal="center" vertical="center" readingOrder="1"/>
    </xf>
    <xf numFmtId="3" fontId="8" fillId="5" borderId="5" applyAlignment="1" pivotButton="0" quotePrefix="0" xfId="1">
      <alignment horizontal="center" vertical="center" readingOrder="1"/>
    </xf>
    <xf numFmtId="166" fontId="8" fillId="6" borderId="1" applyAlignment="1" pivotButton="0" quotePrefix="0" xfId="1">
      <alignment horizontal="center" vertical="center" readingOrder="1"/>
    </xf>
    <xf numFmtId="3" fontId="9" fillId="7" borderId="6" applyAlignment="1" pivotButton="0" quotePrefix="0" xfId="1">
      <alignment horizontal="center" vertical="center" readingOrder="1"/>
    </xf>
    <xf numFmtId="165" fontId="8" fillId="6" borderId="1" applyAlignment="1" pivotButton="0" quotePrefix="0" xfId="1">
      <alignment horizontal="center" vertical="center" readingOrder="1"/>
    </xf>
    <xf numFmtId="165" fontId="5" fillId="0" borderId="1" applyAlignment="1" pivotButton="0" quotePrefix="0" xfId="0">
      <alignment horizontal="center"/>
    </xf>
    <xf numFmtId="3" fontId="5" fillId="0" borderId="4" applyAlignment="1" pivotButton="0" quotePrefix="0" xfId="0">
      <alignment horizontal="center"/>
    </xf>
    <xf numFmtId="165" fontId="5" fillId="0" borderId="4" applyAlignment="1" pivotButton="0" quotePrefix="0" xfId="0">
      <alignment horizontal="center"/>
    </xf>
    <xf numFmtId="3" fontId="5" fillId="0" borderId="7" applyAlignment="1" pivotButton="0" quotePrefix="0" xfId="0">
      <alignment horizontal="center"/>
    </xf>
    <xf numFmtId="0" fontId="10" fillId="3" borderId="1" applyAlignment="1" pivotButton="0" quotePrefix="0" xfId="0">
      <alignment horizontal="center" vertical="center" wrapText="1"/>
    </xf>
    <xf numFmtId="1" fontId="11" fillId="2" borderId="1" applyAlignment="1" pivotButton="0" quotePrefix="0" xfId="0">
      <alignment horizontal="center" vertical="center" wrapText="1"/>
    </xf>
    <xf numFmtId="1" fontId="8" fillId="8" borderId="1" applyAlignment="1" pivotButton="0" quotePrefix="0" xfId="0">
      <alignment horizontal="center" vertical="center" wrapText="1"/>
    </xf>
    <xf numFmtId="0" fontId="12" fillId="8" borderId="1" applyAlignment="1" pivotButton="0" quotePrefix="0" xfId="0">
      <alignment horizontal="center" vertical="center" wrapText="1"/>
    </xf>
    <xf numFmtId="0" fontId="12" fillId="3" borderId="1" applyAlignment="1" pivotButton="0" quotePrefix="0" xfId="0">
      <alignment horizontal="center" vertical="center" wrapText="1"/>
    </xf>
    <xf numFmtId="0" fontId="10" fillId="0" borderId="0" applyAlignment="1" pivotButton="0" quotePrefix="0" xfId="0">
      <alignment horizontal="center" vertical="center" wrapText="1"/>
    </xf>
    <xf numFmtId="1" fontId="8" fillId="0" borderId="1" applyAlignment="1" pivotButton="0" quotePrefix="0" xfId="1">
      <alignment horizontal="center" vertical="center" readingOrder="1"/>
    </xf>
    <xf numFmtId="167" fontId="8" fillId="0" borderId="1" applyAlignment="1" pivotButton="0" quotePrefix="0" xfId="1">
      <alignment horizontal="center" vertical="center" readingOrder="1"/>
    </xf>
    <xf numFmtId="2" fontId="8" fillId="0" borderId="1" applyAlignment="1" pivotButton="0" quotePrefix="0" xfId="1">
      <alignment horizontal="center" vertical="center" readingOrder="1"/>
    </xf>
    <xf numFmtId="165" fontId="5" fillId="0" borderId="2" applyAlignment="1" pivotButton="0" quotePrefix="0" xfId="0">
      <alignment horizontal="center"/>
    </xf>
    <xf numFmtId="3" fontId="4" fillId="0" borderId="2" applyAlignment="1" pivotButton="0" quotePrefix="0" xfId="1">
      <alignment horizontal="center" vertical="center" readingOrder="1"/>
    </xf>
    <xf numFmtId="165" fontId="5" fillId="0" borderId="3" applyAlignment="1" pivotButton="0" quotePrefix="0" xfId="0">
      <alignment horizontal="center"/>
    </xf>
    <xf numFmtId="1" fontId="8" fillId="0" borderId="5" applyAlignment="1" pivotButton="0" quotePrefix="0" xfId="1">
      <alignment horizontal="center" vertical="center" readingOrder="1"/>
    </xf>
    <xf numFmtId="1" fontId="8" fillId="0" borderId="8" applyAlignment="1" pivotButton="0" quotePrefix="0" xfId="1">
      <alignment horizontal="center" vertical="center" readingOrder="1"/>
    </xf>
    <xf numFmtId="167" fontId="8" fillId="0" borderId="5" applyAlignment="1" pivotButton="0" quotePrefix="0" xfId="1">
      <alignment horizontal="center" vertical="center" readingOrder="1"/>
    </xf>
    <xf numFmtId="2" fontId="8" fillId="0" borderId="5" applyAlignment="1" pivotButton="0" quotePrefix="0" xfId="1">
      <alignment horizontal="center" vertical="center" readingOrder="1"/>
    </xf>
    <xf numFmtId="3" fontId="9" fillId="7" borderId="0" applyAlignment="1" pivotButton="0" quotePrefix="0" xfId="1">
      <alignment horizontal="center" vertical="center" readingOrder="1"/>
    </xf>
    <xf numFmtId="1" fontId="13" fillId="9" borderId="1" applyAlignment="1" pivotButton="0" quotePrefix="0" xfId="0">
      <alignment horizontal="center" vertical="center"/>
    </xf>
    <xf numFmtId="1" fontId="13" fillId="10" borderId="1" applyAlignment="1" pivotButton="0" quotePrefix="0" xfId="0">
      <alignment horizontal="center" vertical="center"/>
    </xf>
    <xf numFmtId="0" fontId="13" fillId="9" borderId="1" applyAlignment="1" pivotButton="0" quotePrefix="0" xfId="0">
      <alignment horizontal="center" vertical="center"/>
    </xf>
    <xf numFmtId="2" fontId="13" fillId="9" borderId="1" applyAlignment="1" pivotButton="0" quotePrefix="0" xfId="0">
      <alignment horizontal="center" vertical="center"/>
    </xf>
    <xf numFmtId="3" fontId="13" fillId="9" borderId="1" applyAlignment="1" pivotButton="0" quotePrefix="0" xfId="0">
      <alignment horizontal="center" vertical="center"/>
    </xf>
    <xf numFmtId="0" fontId="13" fillId="10" borderId="1" applyAlignment="1" pivotButton="0" quotePrefix="0" xfId="0">
      <alignment horizontal="center" vertical="center"/>
    </xf>
    <xf numFmtId="3" fontId="13" fillId="10" borderId="1" applyAlignment="1" pivotButton="0" quotePrefix="0" xfId="0">
      <alignment horizontal="center" vertical="center"/>
    </xf>
    <xf numFmtId="2" fontId="13" fillId="10" borderId="1" applyAlignment="1" pivotButton="0" quotePrefix="0" xfId="0">
      <alignment horizontal="center" vertical="center"/>
    </xf>
    <xf numFmtId="0" fontId="14" fillId="10" borderId="1" applyAlignment="1" pivotButton="0" quotePrefix="0" xfId="0">
      <alignment horizontal="center" vertical="center"/>
    </xf>
    <xf numFmtId="3" fontId="14" fillId="9" borderId="1" applyAlignment="1" pivotButton="0" quotePrefix="0" xfId="0">
      <alignment horizontal="center" vertical="center"/>
    </xf>
    <xf numFmtId="0" fontId="14" fillId="9" borderId="1" applyAlignment="1" pivotButton="0" quotePrefix="0" xfId="0">
      <alignment horizontal="center" vertical="center"/>
    </xf>
    <xf numFmtId="1" fontId="14" fillId="10" borderId="1" applyAlignment="1" pivotButton="0" quotePrefix="0" xfId="0">
      <alignment horizontal="center" vertical="center"/>
    </xf>
    <xf numFmtId="1" fontId="8" fillId="0" borderId="4" applyAlignment="1" pivotButton="0" quotePrefix="0" xfId="1">
      <alignment horizontal="center" vertical="center" readingOrder="1"/>
    </xf>
    <xf numFmtId="3" fontId="5" fillId="0" borderId="9" applyAlignment="1" pivotButton="0" quotePrefix="0" xfId="0">
      <alignment horizontal="center"/>
    </xf>
    <xf numFmtId="165" fontId="5" fillId="0" borderId="9" applyAlignment="1" pivotButton="0" quotePrefix="0" xfId="0">
      <alignment horizontal="center"/>
    </xf>
    <xf numFmtId="3" fontId="5" fillId="0" borderId="10" applyAlignment="1" pivotButton="0" quotePrefix="0" xfId="0">
      <alignment horizontal="center"/>
    </xf>
    <xf numFmtId="165" fontId="5" fillId="0" borderId="10" applyAlignment="1" pivotButton="0" quotePrefix="0" xfId="0">
      <alignment horizontal="center"/>
    </xf>
    <xf numFmtId="1" fontId="8" fillId="0" borderId="0" pivotButton="0" quotePrefix="0" xfId="0"/>
    <xf numFmtId="167" fontId="8" fillId="0" borderId="0" pivotButton="0" quotePrefix="0" xfId="0"/>
    <xf numFmtId="2" fontId="8" fillId="0" borderId="0" pivotButton="0" quotePrefix="0" xfId="0"/>
    <xf numFmtId="164" fontId="3" fillId="4" borderId="7" applyAlignment="1" pivotButton="0" quotePrefix="0" xfId="0">
      <alignment horizontal="center" vertical="center" readingOrder="1"/>
    </xf>
    <xf numFmtId="1" fontId="8" fillId="0" borderId="7" applyAlignment="1" pivotButton="0" quotePrefix="0" xfId="0">
      <alignment horizontal="center" vertical="center" readingOrder="1"/>
    </xf>
    <xf numFmtId="1" fontId="8" fillId="0" borderId="9" applyAlignment="1" pivotButton="0" quotePrefix="0" xfId="0">
      <alignment horizontal="center" vertical="center" readingOrder="1"/>
    </xf>
    <xf numFmtId="1" fontId="8" fillId="0" borderId="4" applyAlignment="1" pivotButton="0" quotePrefix="0" xfId="0">
      <alignment horizontal="center" vertical="center" readingOrder="1"/>
    </xf>
    <xf numFmtId="167" fontId="8" fillId="0" borderId="9" applyAlignment="1" pivotButton="0" quotePrefix="0" xfId="0">
      <alignment horizontal="center" vertical="center" readingOrder="1"/>
    </xf>
    <xf numFmtId="2" fontId="8" fillId="0" borderId="10" applyAlignment="1" pivotButton="0" quotePrefix="0" xfId="0">
      <alignment horizontal="center" vertical="center" readingOrder="1"/>
    </xf>
    <xf numFmtId="3" fontId="4" fillId="0" borderId="9" applyAlignment="1" pivotButton="0" quotePrefix="0" xfId="0">
      <alignment horizontal="center"/>
    </xf>
    <xf numFmtId="3" fontId="4" fillId="0" borderId="10" applyAlignment="1" pivotButton="0" quotePrefix="0" xfId="0">
      <alignment horizontal="center" vertical="center" readingOrder="1"/>
    </xf>
    <xf numFmtId="0" fontId="15" fillId="10" borderId="1" applyAlignment="1" pivotButton="0" quotePrefix="0" xfId="0">
      <alignment horizontal="center" vertical="center"/>
    </xf>
    <xf numFmtId="3" fontId="15" fillId="9" borderId="1" applyAlignment="1" pivotButton="0" quotePrefix="0" xfId="0">
      <alignment horizontal="center" vertical="center"/>
    </xf>
    <xf numFmtId="0" fontId="15" fillId="9" borderId="1" applyAlignment="1" pivotButton="0" quotePrefix="0" xfId="0">
      <alignment horizontal="center" vertical="center"/>
    </xf>
    <xf numFmtId="1" fontId="15" fillId="10" borderId="1" applyAlignment="1" pivotButton="0" quotePrefix="0" xfId="0">
      <alignment horizontal="center" vertical="center"/>
    </xf>
    <xf numFmtId="1" fontId="15" fillId="9" borderId="1" applyAlignment="1" pivotButton="0" quotePrefix="0" xfId="0">
      <alignment horizontal="center" vertical="center"/>
    </xf>
    <xf numFmtId="164" fontId="3" fillId="4" borderId="10" applyAlignment="1" pivotButton="0" quotePrefix="0" xfId="0">
      <alignment horizontal="center" vertical="center" readingOrder="1"/>
    </xf>
    <xf numFmtId="1" fontId="8" fillId="0" borderId="10" applyAlignment="1" pivotButton="0" quotePrefix="0" xfId="0">
      <alignment horizontal="center" vertical="center" readingOrder="1"/>
    </xf>
    <xf numFmtId="2" fontId="8" fillId="0" borderId="7" applyAlignment="1" pivotButton="0" quotePrefix="0" xfId="0">
      <alignment horizontal="center" vertical="center" readingOrder="1"/>
    </xf>
    <xf numFmtId="165" fontId="5" fillId="0" borderId="7" applyAlignment="1" pivotButton="0" quotePrefix="0" xfId="0">
      <alignment horizontal="center"/>
    </xf>
    <xf numFmtId="3" fontId="4" fillId="0" borderId="7" applyAlignment="1" pivotButton="0" quotePrefix="0" xfId="0">
      <alignment horizontal="center" vertical="center" readingOrder="1"/>
    </xf>
    <xf numFmtId="3" fontId="8" fillId="5" borderId="12" applyAlignment="1" pivotButton="0" quotePrefix="0" xfId="1">
      <alignment horizontal="center" vertical="center" readingOrder="1"/>
    </xf>
    <xf numFmtId="3" fontId="15" fillId="9" borderId="1" applyAlignment="1" pivotButton="0" quotePrefix="0" xfId="0">
      <alignment horizontal="center"/>
    </xf>
    <xf numFmtId="3" fontId="15" fillId="9" borderId="5" applyAlignment="1" pivotButton="0" quotePrefix="0" xfId="0">
      <alignment horizontal="center"/>
    </xf>
    <xf numFmtId="3" fontId="15" fillId="9" borderId="4" applyAlignment="1" pivotButton="0" quotePrefix="0" xfId="0">
      <alignment horizontal="center"/>
    </xf>
    <xf numFmtId="3" fontId="15" fillId="9" borderId="5" applyAlignment="1" pivotButton="0" quotePrefix="0" xfId="0">
      <alignment horizontal="center" vertical="center"/>
    </xf>
    <xf numFmtId="3" fontId="15" fillId="9" borderId="4" applyAlignment="1" pivotButton="0" quotePrefix="0" xfId="0">
      <alignment horizontal="center" vertical="center"/>
    </xf>
    <xf numFmtId="3" fontId="5" fillId="0" borderId="11" applyAlignment="1" pivotButton="0" quotePrefix="0" xfId="0">
      <alignment horizontal="center"/>
    </xf>
    <xf numFmtId="3" fontId="5" fillId="0" borderId="13" applyAlignment="1" pivotButton="0" quotePrefix="0" xfId="0">
      <alignment horizontal="center"/>
    </xf>
    <xf numFmtId="166" fontId="8" fillId="6" borderId="4" applyAlignment="1" pivotButton="0" quotePrefix="0" xfId="1">
      <alignment horizontal="center" vertical="center" readingOrder="1"/>
    </xf>
    <xf numFmtId="3" fontId="9" fillId="7" borderId="14" applyAlignment="1" pivotButton="0" quotePrefix="0" xfId="1">
      <alignment horizontal="center" vertical="center" readingOrder="1"/>
    </xf>
    <xf numFmtId="3" fontId="15" fillId="9" borderId="1" applyAlignment="1" pivotButton="0" quotePrefix="0" xfId="1">
      <alignment horizontal="center" vertical="center"/>
    </xf>
    <xf numFmtId="3" fontId="15" fillId="9" borderId="5" applyAlignment="1" pivotButton="0" quotePrefix="0" xfId="1">
      <alignment horizontal="center" vertical="center"/>
    </xf>
    <xf numFmtId="3" fontId="15" fillId="9" borderId="4" applyAlignment="1" pivotButton="0" quotePrefix="0" xfId="1">
      <alignment horizontal="center" vertical="center"/>
    </xf>
    <xf numFmtId="3" fontId="15" fillId="10" borderId="1" applyAlignment="1" pivotButton="0" quotePrefix="0" xfId="0">
      <alignment horizontal="center" vertical="center"/>
    </xf>
    <xf numFmtId="3" fontId="14" fillId="10" borderId="1" applyAlignment="1" pivotButton="0" quotePrefix="0" xfId="0">
      <alignment horizontal="center" vertical="center"/>
    </xf>
    <xf numFmtId="3" fontId="4" fillId="11" borderId="1" applyAlignment="1" pivotButton="0" quotePrefix="0" xfId="1">
      <alignment horizontal="center" vertical="center" readingOrder="1"/>
    </xf>
    <xf numFmtId="1" fontId="13" fillId="9" borderId="1" applyAlignment="1" pivotButton="0" quotePrefix="0" xfId="1">
      <alignment horizontal="center" vertical="center"/>
    </xf>
    <xf numFmtId="2" fontId="13" fillId="9" borderId="1" applyAlignment="1" pivotButton="0" quotePrefix="0" xfId="1">
      <alignment horizontal="center" vertical="center"/>
    </xf>
    <xf numFmtId="165" fontId="15" fillId="9" borderId="1" applyAlignment="1" pivotButton="0" quotePrefix="0" xfId="0">
      <alignment horizontal="center" vertical="center"/>
    </xf>
    <xf numFmtId="3" fontId="4" fillId="0" borderId="2" applyAlignment="1" pivotButton="0" quotePrefix="0" xfId="1">
      <alignment horizontal="center"/>
    </xf>
    <xf numFmtId="3" fontId="4" fillId="0" borderId="3" applyAlignment="1" pivotButton="0" quotePrefix="0" xfId="1">
      <alignment horizontal="center" vertical="center" readingOrder="1"/>
    </xf>
    <xf numFmtId="164" fontId="3" fillId="4" borderId="3" applyAlignment="1" pivotButton="0" quotePrefix="0" xfId="1">
      <alignment horizontal="center" vertical="center" readingOrder="1"/>
    </xf>
    <xf numFmtId="3" fontId="15" fillId="9" borderId="13" applyAlignment="1" pivotButton="0" quotePrefix="0" xfId="0">
      <alignment horizontal="center" vertical="center"/>
    </xf>
    <xf numFmtId="3" fontId="15" fillId="9" borderId="11" applyAlignment="1" pivotButton="0" quotePrefix="0" xfId="0">
      <alignment horizontal="center" vertical="center"/>
    </xf>
    <xf numFmtId="3" fontId="15" fillId="9" borderId="10" applyAlignment="1" pivotButton="0" quotePrefix="0" xfId="0">
      <alignment horizontal="center" vertical="center"/>
    </xf>
    <xf numFmtId="0" fontId="10" fillId="3" borderId="2" applyAlignment="1" pivotButton="0" quotePrefix="0" xfId="0">
      <alignment horizontal="center" vertical="center" wrapText="1"/>
    </xf>
    <xf numFmtId="1" fontId="11" fillId="2" borderId="5" applyAlignment="1" pivotButton="0" quotePrefix="0" xfId="0">
      <alignment horizontal="center" vertical="center" wrapText="1"/>
    </xf>
    <xf numFmtId="1" fontId="8" fillId="8" borderId="5" applyAlignment="1" pivotButton="0" quotePrefix="0" xfId="0">
      <alignment horizontal="center" vertical="center" wrapText="1"/>
    </xf>
    <xf numFmtId="0" fontId="12" fillId="8" borderId="5" applyAlignment="1" pivotButton="0" quotePrefix="0" xfId="0">
      <alignment horizontal="center" vertical="center" wrapText="1"/>
    </xf>
    <xf numFmtId="0" fontId="12" fillId="3" borderId="5" applyAlignment="1" pivotButton="0" quotePrefix="0" xfId="0">
      <alignment horizontal="center" vertical="center" wrapText="1"/>
    </xf>
    <xf numFmtId="0" fontId="1" fillId="2" borderId="5" applyAlignment="1" pivotButton="0" quotePrefix="0" xfId="0">
      <alignment horizontal="center" vertical="center" wrapText="1"/>
    </xf>
    <xf numFmtId="0" fontId="12" fillId="3" borderId="13" applyAlignment="1" pivotButton="0" quotePrefix="0" xfId="0">
      <alignment horizontal="center" vertical="center" wrapText="1"/>
    </xf>
  </cellXfs>
  <cellStyles count="2">
    <cellStyle name="Normal" xfId="0" builtinId="0"/>
    <cellStyle name="Normal 2" xfId="1"/>
  </cellStyles>
  <dxfs count="432"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0" formatCode="General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65" formatCode="#,##0.0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lor auto="1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bottom style="thin">
          <color indexed="64"/>
        </bottom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sz val="10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 vertical="bottom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165" formatCode="#,##0.00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165" formatCode="#,##0.00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fill>
        <patternFill>
          <fgColor indexed="64"/>
          <bgColor indexed="65"/>
        </patternFill>
      </fill>
      <alignment horizont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lor auto="1"/>
        <vertAlign val="baseline"/>
        <scheme val="minor"/>
      </font>
      <numFmt numFmtId="3" formatCode="#,##0"/>
      <fill>
        <patternFill>
          <fgColor indexed="64"/>
          <bgColor auto="1"/>
        </patternFill>
      </fill>
      <alignment horizontal="center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2" formatCode="0.00"/>
      <fill>
        <patternFill>
          <fgColor indexed="64"/>
          <bgColor auto="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67" formatCode="0.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 style="thin">
          <color indexed="64"/>
        </left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/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/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fill>
        <patternFill>
          <fgColor indexed="64"/>
          <bgColor auto="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/>
        <right style="thin">
          <color indexed="64"/>
        </right>
        <top style="thin">
          <color indexed="64"/>
        </top>
        <bottom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 outline="0">
        <left style="thin">
          <color indexed="64"/>
        </left>
        <right/>
        <top style="thin">
          <color indexed="64"/>
        </top>
        <bottom style="thin">
          <color indexed="64"/>
        </bottom>
      </border>
    </dxf>
    <dxf>
      <border outline="0">
        <bottom style="thin">
          <color indexed="64"/>
        </bottom>
      </border>
    </dxf>
    <dxf>
      <border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auto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numFmt numFmtId="1" formatCode="0"/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/>
        <right style="thin">
          <color indexed="64"/>
        </right>
        <top/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0"/>
        <vertAlign val="baseline"/>
        <scheme val="minor"/>
      </font>
      <numFmt numFmtId="3" formatCode="#,##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3" formatCode="#,##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auto="1"/>
        <extend val="0"/>
        <sz val="11"/>
        <vertAlign val="baseline"/>
        <scheme val="minor"/>
      </font>
      <numFmt numFmtId="3" formatCode="#,##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2" formatCode="0.0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b val="1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1" formatCode="0"/>
      <alignment horizontal="center" vertical="center" readingOrder="1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numFmt numFmtId="1" formatCode="0"/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Times New Roman"/>
        <family val="2"/>
        <b val="1"/>
        <strike val="0"/>
        <outline val="0"/>
        <shadow val="0"/>
        <condense val="0"/>
        <color theme="1"/>
        <extend val="0"/>
        <sz val="14"/>
        <vertAlign val="baseline"/>
        <scheme val="major"/>
      </font>
      <fill>
        <patternFill patternType="solid">
          <fgColor indexed="64"/>
          <bgColor theme="8" tint="0.5999938962981048"/>
        </patternFill>
      </fill>
      <alignment horizontal="center" vertical="center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font>
        <name val="Arial"/>
        <family val="2"/>
        <strike val="0"/>
        <outline val="0"/>
        <shadow val="0"/>
        <condense val="0"/>
        <color theme="1"/>
        <extend val="0"/>
        <sz val="12"/>
        <vertAlign val="baseline"/>
        <scheme val="minor"/>
      </font>
      <numFmt numFmtId="164" formatCode="[$-1010000]yyyy/mm/dd;@"/>
      <fill>
        <patternFill patternType="solid">
          <fgColor indexed="64"/>
          <bgColor theme="2" tint="-0.09997863704336681"/>
        </patternFill>
      </fill>
      <alignment horizontal="center" vertical="center" readingOrder="1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/>
        <horizontal/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</border>
    </dxf>
    <dxf>
      <border outline="0">
        <bottom style="thin">
          <color indexed="64"/>
        </bottom>
      </border>
    </dxf>
    <dxf>
      <font>
        <name val="Arial"/>
        <family val="2"/>
        <b val="1"/>
        <strike val="0"/>
        <outline val="0"/>
        <shadow val="0"/>
        <condense val="0"/>
        <color theme="0"/>
        <extend val="0"/>
        <sz val="11"/>
        <vertAlign val="baseline"/>
        <scheme val="minor"/>
      </font>
      <fill>
        <patternFill patternType="solid">
          <fgColor indexed="64"/>
          <bgColor theme="9" tint="0.3999755851924192"/>
        </patternFill>
      </fill>
      <alignment horizontal="center" vertical="center" wrapText="1"/>
      <border outline="0">
        <left style="thin">
          <color indexed="64"/>
        </left>
        <right style="thin">
          <color indexed="64"/>
        </right>
        <top/>
        <bottom/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ables/table1.xml><?xml version="1.0" encoding="utf-8"?>
<table xmlns="http://schemas.openxmlformats.org/spreadsheetml/2006/main" id="1" name="TABL12" displayName="TABL12" ref="A1:AP367" headerRowCount="1" totalsRowCount="1" headerRowDxfId="386" headerRowBorderDxfId="385" tableBorderDxfId="384">
  <autoFilter ref="A1:AP366"/>
  <tableColumns count="42">
    <tableColumn id="1" name=" اليوم" dataDxfId="383" totalsRowDxfId="382" dataCellStyle="Normal 2"/>
    <tableColumn id="19" name="آبار منتجة TAZ" dataDxfId="381" totalsRowDxfId="380" dataCellStyle="Normal 2"/>
    <tableColumn id="18" name="الانتاج 1000 (م3) TAZ" dataDxfId="379" totalsRowDxfId="378" dataCellStyle="Normal 2"/>
    <tableColumn id="17" name="آبار عاملة TAZ" dataDxfId="377" totalsRowDxfId="376" dataCellStyle="Normal 2"/>
    <tableColumn id="16" name="آبار احتياطية" dataDxfId="375" totalsRowDxfId="374" dataCellStyle="Normal 2"/>
    <tableColumn id="26" name="آبار منتجة SAR" dataDxfId="373" totalsRowDxfId="372" dataCellStyle="Normal 2"/>
    <tableColumn id="25" name="إنتاج آبار  SAR" dataDxfId="371" totalsRowDxfId="370" dataCellStyle="Normal 2"/>
    <tableColumn id="24" name="آبار احتياطية  SAR" dataDxfId="369" totalsRowDxfId="368" dataCellStyle="Normal 2"/>
    <tableColumn id="8" name=" (T/B) SAR" dataDxfId="367" totalsRowDxfId="366" dataCellStyle="Normal 2"/>
    <tableColumn id="22" name=" (S/S) SAR" dataDxfId="365" totalsRowDxfId="364" dataCellStyle="Normal 2"/>
    <tableColumn id="38" name="(S/S+TB)SAR" dataDxfId="363" totalsRowDxfId="362" dataCellStyle="Normal 2">
      <calculatedColumnFormula>TABL12[[#This Row],[ (T/B) SAR]]+TABL12[[#This Row],[ (S/S) SAR]]</calculatedColumnFormula>
    </tableColumn>
    <tableColumn id="21" name="TAZ/SAR" dataDxfId="361" totalsRowDxfId="360" dataCellStyle="Normal 2"/>
    <tableColumn id="20" name=" % ECV SAR" dataDxfId="359" totalsRowDxfId="358" dataCellStyle="Normal 2"/>
    <tableColumn id="6" name="ECV (bar) SAR" dataDxfId="357" totalsRowDxfId="356" dataCellStyle="Normal 2"/>
    <tableColumn id="3" name="(S/S) AJD" dataDxfId="355" totalsRowDxfId="354"/>
    <tableColumn id="36" name="S/S_CON." dataDxfId="353" totalsRowDxfId="352">
      <calculatedColumnFormula>TABL12[[#This Row],[ (S/S) SAR]]-TABL12[[#This Row],[(S/S) AJD]]</calculatedColumnFormula>
    </tableColumn>
    <tableColumn id="5" name="(T/B) AJD" dataDxfId="351" totalsRowDxfId="350"/>
    <tableColumn id="35" name="T/B-CON." dataDxfId="349" totalsRowDxfId="348">
      <calculatedColumnFormula>TABL12[[#This Row],[ (T/B) SAR]]-TABL12[[#This Row],[(T/B) AJD]]</calculatedColumnFormula>
    </tableColumn>
    <tableColumn id="37" name="(S/S-T/B)-CON." dataDxfId="347" totalsRowDxfId="346">
      <calculatedColumnFormula>TABL12[[#This Row],[S/S_CON.]]+TABL12[[#This Row],[T/B-CON.]]</calculatedColumnFormula>
    </tableColumn>
    <tableColumn id="13" name="( S/S+T/B) AJD" dataDxfId="345" totalsRowDxfId="344">
      <calculatedColumnFormula>O2+Q2</calculatedColumnFormula>
    </tableColumn>
    <tableColumn id="7" name="(A/B) AJD" dataDxfId="343" totalsRowDxfId="342"/>
    <tableColumn id="9" name="(A/S) AJD" dataDxfId="341" totalsRowDxfId="340"/>
    <tableColumn id="14" name="(A/B + A/S) AJD" dataDxfId="339" totalsRowDxfId="338">
      <calculatedColumnFormula>U2+V2</calculatedColumnFormula>
    </tableColumn>
    <tableColumn id="15" name="(IN-OUT) AJD" dataDxfId="337" totalsRowDxfId="336">
      <calculatedColumnFormula>T2-W2</calculatedColumnFormula>
    </tableColumn>
    <tableColumn id="10" name="(RES. LEVEL) AJD" dataDxfId="335" totalsRowDxfId="334"/>
    <tableColumn id="11" name="(RESV. STORGE) AJD" dataDxfId="333" totalsRowDxfId="332"/>
    <tableColumn id="40" name="AJD_STORG.* 10" dataDxfId="331" totalsRowDxfId="330">
      <calculatedColumnFormula>TABL12[[#This Row],[(RESV. STORGE) AJD]]/10</calculatedColumnFormula>
    </tableColumn>
    <tableColumn id="4" name="(STORGE DIFF.) AJD" dataDxfId="329" totalsRowDxfId="328"/>
    <tableColumn id="12" name="AJD_Evaporation" dataDxfId="327" totalsRowDxfId="326" dataCellStyle="Normal 2">
      <calculatedColumnFormula>(Z2-Z1)/1000</calculatedColumnFormula>
    </tableColumn>
    <tableColumn id="39" name="AJD_LOSES" dataDxfId="325" totalsRowDxfId="324">
      <calculatedColumnFormula>TABL12[[#This Row],[( S/S+T/B) AJD]]-(TABL12[[#This Row],[(A/B + A/S) AJD]]+TABL12[[#This Row],[(STORGE DIFF.) AJD]]+(TABL12[[#This Row],[AJD_Evaporation]]))</calculatedColumnFormula>
    </tableColumn>
    <tableColumn id="30" name="BER_IN" dataDxfId="323" totalsRowDxfId="322"/>
    <tableColumn id="31" name="(RES. LEVEL) BER" dataDxfId="321" totalsRowDxfId="320"/>
    <tableColumn id="28" name=" (RESV. STORGE) BER" dataDxfId="319" totalsRowDxfId="318"/>
    <tableColumn id="41" name="BER_STORG. * 10" dataDxfId="317" totalsRowDxfId="316">
      <calculatedColumnFormula>TABL12[[#This Row],[ (RESV. STORGE) BER]]/10</calculatedColumnFormula>
    </tableColumn>
    <tableColumn id="29" name="BER_Evap." dataDxfId="315" totalsRowDxfId="314"/>
    <tableColumn id="34" name="A/B_CON." totalsRowFunction="custom" dataDxfId="313" totalsRowDxfId="312">
      <calculatedColumnFormula>TABL12[[#This Row],[(A/B) AJD]]-TABL12[[#This Row],[BER_IN]]</calculatedColumnFormula>
      <totalsRowFormula>SUBTOTAL(109,TABL12[] TABL12[A/B_CON.] )</totalsRowFormula>
    </tableColumn>
    <tableColumn id="32" name="SER_IN" dataDxfId="311" totalsRowDxfId="310"/>
    <tableColumn id="33" name="(RES. LEVEL) SER " dataDxfId="309" totalsRowDxfId="308"/>
    <tableColumn id="27" name=" (RESV. STORGE) SER" dataDxfId="307" totalsRowDxfId="306"/>
    <tableColumn id="42" name="SER_STORG.* 10" dataDxfId="305" totalsRowDxfId="304">
      <calculatedColumnFormula>TABL12[[#This Row],[ (RESV. STORGE) SER]]/10</calculatedColumnFormula>
    </tableColumn>
    <tableColumn id="2" name="SER_Evap." dataDxfId="303" totalsRowDxfId="302"/>
    <tableColumn id="23" name="A/S_CON." dataDxfId="301" totalsRowDxfId="300" dataCellStyle="Normal 2">
      <calculatedColumnFormula>TABL12[[#This Row],[(A/S) AJD]]-TABL12[[#This Row],[SER_IN]]</calculatedColumnFormula>
    </tableColumn>
  </tableColumns>
  <tableStyleInfo name="TableStyleMedium3" showFirstColumn="0" showLastColumn="0" showRowStripes="1" showColumnStripes="0"/>
</table>
</file>

<file path=xl/tables/table2.xml><?xml version="1.0" encoding="utf-8"?>
<table xmlns="http://schemas.openxmlformats.org/spreadsheetml/2006/main" id="2" name="TABL123" displayName="TABL123" ref="A1:AP367" headerRowCount="1" totalsRowCount="1" headerRowDxfId="299" headerRowBorderDxfId="298" tableBorderDxfId="297">
  <autoFilter ref="A1:AP366"/>
  <tableColumns count="42">
    <tableColumn id="1" name=" اليوم" dataDxfId="296" totalsRowDxfId="39" dataCellStyle="Normal 2"/>
    <tableColumn id="19" name="آبار منتجة TAZ" dataDxfId="295" totalsRowDxfId="38" dataCellStyle="Normal 2"/>
    <tableColumn id="18" name="الانتاج 1000 (م3) TAZ" dataDxfId="294" totalsRowDxfId="37" dataCellStyle="Normal 2"/>
    <tableColumn id="17" name="آبار عاملة TAZ" dataDxfId="293" totalsRowDxfId="36" dataCellStyle="Normal 2"/>
    <tableColumn id="16" name="آبار احتياطية" dataDxfId="292" totalsRowDxfId="35" dataCellStyle="Normal 2"/>
    <tableColumn id="26" name="آبار منتجة SAR" dataDxfId="291" totalsRowDxfId="34" dataCellStyle="Normal 2"/>
    <tableColumn id="25" name="إنتاج آبار  SAR" dataDxfId="290" totalsRowDxfId="33" dataCellStyle="Normal 2"/>
    <tableColumn id="24" name="آبار احتياطية  SAR" dataDxfId="289" totalsRowDxfId="32" dataCellStyle="Normal 2">
      <calculatedColumnFormula>103-F2</calculatedColumnFormula>
    </tableColumn>
    <tableColumn id="8" name=" (T/B) SAR" dataDxfId="288" totalsRowDxfId="31" dataCellStyle="Normal 2"/>
    <tableColumn id="22" name=" (S/S) SAR" dataDxfId="287" totalsRowDxfId="30" dataCellStyle="Normal 2"/>
    <tableColumn id="38" name="(S/S+TB)SAR" dataDxfId="286" totalsRowDxfId="29" dataCellStyle="Normal 2">
      <calculatedColumnFormula>TABL123[[#This Row],[ (T/B) SAR]]+TABL123[[#This Row],[ (S/S) SAR]]</calculatedColumnFormula>
    </tableColumn>
    <tableColumn id="21" name="TAZ/SAR" dataDxfId="285" totalsRowDxfId="28" dataCellStyle="Normal 2"/>
    <tableColumn id="20" name=" % ECV SAR" dataDxfId="284" totalsRowDxfId="27" dataCellStyle="Normal 2"/>
    <tableColumn id="6" name="ECV (bar) SAR" dataDxfId="283" totalsRowDxfId="26" dataCellStyle="Normal 2"/>
    <tableColumn id="3" name="(S/S) AJD" dataDxfId="282" totalsRowDxfId="25"/>
    <tableColumn id="36" name="S/S_CON." dataDxfId="281" totalsRowDxfId="24">
      <calculatedColumnFormula>TABL123[[#This Row],[ (S/S) SAR]]-TABL123[[#This Row],[(S/S) AJD]]</calculatedColumnFormula>
    </tableColumn>
    <tableColumn id="5" name="(T/B) AJD" dataDxfId="280" totalsRowDxfId="23"/>
    <tableColumn id="35" name="T/B-CON." dataDxfId="279" totalsRowDxfId="22">
      <calculatedColumnFormula>TABL123[[#This Row],[ (T/B) SAR]]-TABL123[[#This Row],[(T/B) AJD]]</calculatedColumnFormula>
    </tableColumn>
    <tableColumn id="37" name="(S/S-T/B)-CON." dataDxfId="278" totalsRowDxfId="21">
      <calculatedColumnFormula>TABL123[[#This Row],[T/B-CON.]]+TABL123[[#This Row],[S/S_CON.]]</calculatedColumnFormula>
    </tableColumn>
    <tableColumn id="13" name="( S/S+T/B) AJD" dataDxfId="277" totalsRowDxfId="20">
      <calculatedColumnFormula>TABL123[[#This Row],[(S/S) AJD]]+TABL123[[#This Row],[(T/B) AJD]]</calculatedColumnFormula>
    </tableColumn>
    <tableColumn id="7" name="(A/B) AJD" dataDxfId="276" totalsRowDxfId="19"/>
    <tableColumn id="9" name="(A/S) AJD" dataDxfId="275" totalsRowDxfId="18"/>
    <tableColumn id="14" name="(A/B + A/S) AJD" dataDxfId="274" totalsRowDxfId="17">
      <calculatedColumnFormula>TABL123[[#This Row],[(A/B) AJD]]+TABL123[[#This Row],[(A/S) AJD]]</calculatedColumnFormula>
    </tableColumn>
    <tableColumn id="15" name="(IN-OUT) AJD" dataDxfId="273" totalsRowDxfId="16">
      <calculatedColumnFormula>TABL123[[#This Row],[( S/S+T/B) AJD]]-TABL123[[#This Row],[(A/B + A/S) AJD]]</calculatedColumnFormula>
    </tableColumn>
    <tableColumn id="10" name="(RES. LEVEL) AJD" dataDxfId="272" totalsRowDxfId="15"/>
    <tableColumn id="11" name="(RESV. STORGE) AJD" dataDxfId="271" totalsRowDxfId="14"/>
    <tableColumn id="40" name="AJD_STORG.* 10" dataDxfId="270" totalsRowDxfId="13" dataCellStyle="Normal 2">
      <calculatedColumnFormula>TABL123[[#This Row],[(RESV. STORGE) AJD]]/10</calculatedColumnFormula>
    </tableColumn>
    <tableColumn id="4" name="(STORGE DIFF.) AJD" dataDxfId="269" totalsRowDxfId="12"/>
    <tableColumn id="12" name="AJD_Evaporation" dataDxfId="268" totalsRowDxfId="11" dataCellStyle="Normal 2"/>
    <tableColumn id="39" name="AJD_LOSES" dataDxfId="267" totalsRowDxfId="10">
      <calculatedColumnFormula>TABL123[[#This Row],[( S/S+T/B) AJD]]-(TABL123[[#This Row],[(A/B + A/S) AJD]]+TABL123[[#This Row],[(STORGE DIFF.) AJD]]+(TABL123[[#This Row],[AJD_Evaporation]])/1000)</calculatedColumnFormula>
    </tableColumn>
    <tableColumn id="30" name="BER_IN" dataDxfId="266" totalsRowDxfId="9"/>
    <tableColumn id="31" name="(RES. LEVEL) BER" dataDxfId="265" totalsRowDxfId="8"/>
    <tableColumn id="28" name=" (RESV. STORGE) BER" dataDxfId="264" totalsRowDxfId="7"/>
    <tableColumn id="29" name="BER_STORG. * 10" dataDxfId="263" totalsRowDxfId="6"/>
    <tableColumn id="34" name="BER_Evap." dataDxfId="262" totalsRowDxfId="5"/>
    <tableColumn id="32" name="A/B_CON." dataDxfId="261" totalsRowDxfId="4">
      <calculatedColumnFormula>TABL123[[#This Row],[(A/B) AJD]]-TABL123[[#This Row],[BER_IN]]</calculatedColumnFormula>
    </tableColumn>
    <tableColumn id="33" name="SER_IN" dataDxfId="260" totalsRowDxfId="3"/>
    <tableColumn id="27" name="(RES. LEVEL) SER " dataDxfId="259" totalsRowDxfId="2"/>
    <tableColumn id="2" name=" (RESV. STORGE) SER" dataDxfId="258" totalsRowDxfId="1" dataCellStyle="Normal 2"/>
    <tableColumn id="23" name="SER_STORG.* 10" dataDxfId="257" totalsRowDxfId="0" dataCellStyle="Normal 2">
      <calculatedColumnFormula>TABL123[[#This Row],[ (RESV. STORGE) SER]]/10</calculatedColumnFormula>
    </tableColumn>
    <tableColumn id="42" name="SER_Evap." dataDxfId="256"/>
    <tableColumn id="43" name="A/S_CON." dataDxfId="255" dataCellStyle="Normal 2">
      <calculatedColumnFormula>TABL123[[#This Row],[(A/S) AJD]]-TABL123[[#This Row],[SER_IN]]</calculatedColumnFormula>
    </tableColumn>
  </tableColumns>
  <tableStyleInfo name="TableStyleMedium3" showFirstColumn="0" showLastColumn="0" showRowStripes="1" showColumnStripes="0"/>
</table>
</file>

<file path=xl/tables/table3.xml><?xml version="1.0" encoding="utf-8"?>
<table xmlns="http://schemas.openxmlformats.org/spreadsheetml/2006/main" id="3" name="TABL1234" displayName="TABL1234" ref="A1:AP367" headerRowCount="1" totalsRowCount="1" headerRowDxfId="254" headerRowBorderDxfId="253" tableBorderDxfId="252">
  <autoFilter ref="A1:AP366"/>
  <tableColumns count="42">
    <tableColumn id="1" name=" اليوم" dataDxfId="251" totalsRowDxfId="250" dataCellStyle="Normal 2"/>
    <tableColumn id="19" name="آبار منتجة TAZ" dataDxfId="249" totalsRowDxfId="248" dataCellStyle="Normal 2"/>
    <tableColumn id="18" name="الانتاج 1000 (م3) TAZ" dataDxfId="247" totalsRowDxfId="246" dataCellStyle="Normal 2"/>
    <tableColumn id="17" name="آبار عاملة TAZ" dataDxfId="245" totalsRowDxfId="244" dataCellStyle="Normal 2"/>
    <tableColumn id="16" name="آبار احتياطية" dataDxfId="243" totalsRowDxfId="242" dataCellStyle="Normal 2"/>
    <tableColumn id="26" name="آبار منتجة SAR" dataDxfId="241" totalsRowDxfId="240" dataCellStyle="Normal 2"/>
    <tableColumn id="25" name="إنتاج آبار  SAR" dataDxfId="239" totalsRowDxfId="238" dataCellStyle="Normal 2"/>
    <tableColumn id="24" name="آبار احتياطية  SAR" dataDxfId="237" totalsRowDxfId="236" dataCellStyle="Normal 2">
      <calculatedColumnFormula>103-F2</calculatedColumnFormula>
    </tableColumn>
    <tableColumn id="8" name=" (T/B) SAR" dataDxfId="235" totalsRowDxfId="234" dataCellStyle="Normal 2"/>
    <tableColumn id="22" name=" (S/S) SAR" dataDxfId="233" totalsRowDxfId="232" dataCellStyle="Normal 2"/>
    <tableColumn id="38" name="(S/S+TB)SAR" dataDxfId="231" totalsRowDxfId="230" dataCellStyle="Normal 2">
      <calculatedColumnFormula>TABL1234[[#This Row],[ (T/B) SAR]]+TABL1234[[#This Row],[ (S/S) SAR]]</calculatedColumnFormula>
    </tableColumn>
    <tableColumn id="21" name="TAZ/SAR" dataDxfId="229" totalsRowDxfId="228" dataCellStyle="Normal 2"/>
    <tableColumn id="20" name=" % ECV SAR" dataDxfId="227" totalsRowDxfId="226" dataCellStyle="Normal 2"/>
    <tableColumn id="6" name="ECV (bar) SAR" dataDxfId="225" totalsRowDxfId="224" dataCellStyle="Normal 2"/>
    <tableColumn id="3" name="(S/S) AJD" dataDxfId="223" totalsRowDxfId="222"/>
    <tableColumn id="36" name="S/S_CON." dataDxfId="221" totalsRowDxfId="220">
      <calculatedColumnFormula>TABL1234[[#This Row],[ (S/S) SAR]]-TABL1234[[#This Row],[(S/S) AJD]]</calculatedColumnFormula>
    </tableColumn>
    <tableColumn id="5" name="(T/B) AJD" dataDxfId="219" totalsRowDxfId="218"/>
    <tableColumn id="35" name="T/B-CON." dataDxfId="217" totalsRowDxfId="216">
      <calculatedColumnFormula>TABL1234[[#This Row],[ (T/B) SAR]]-TABL1234[[#This Row],[(T/B) AJD]]</calculatedColumnFormula>
    </tableColumn>
    <tableColumn id="37" name="(S/S-T/B)-CON." dataDxfId="215" totalsRowDxfId="214">
      <calculatedColumnFormula>TABL1234[[#This Row],[T/B-CON.]]+TABL1234[[#This Row],[S/S_CON.]]</calculatedColumnFormula>
    </tableColumn>
    <tableColumn id="13" name="( S/S+T/B) AJD" dataDxfId="213" totalsRowDxfId="212">
      <calculatedColumnFormula>TABL1234[[#This Row],[(S/S) AJD]]+TABL1234[[#This Row],[(T/B) AJD]]</calculatedColumnFormula>
    </tableColumn>
    <tableColumn id="7" name="(A/B) AJD" dataDxfId="211" totalsRowDxfId="210"/>
    <tableColumn id="9" name="(A/S) AJD" dataDxfId="209" totalsRowDxfId="208"/>
    <tableColumn id="14" name="(A/B + A/S) AJD" dataDxfId="207" totalsRowDxfId="206">
      <calculatedColumnFormula>TABL1234[[#This Row],[(A/B) AJD]]+TABL1234[[#This Row],[(A/S) AJD]]</calculatedColumnFormula>
    </tableColumn>
    <tableColumn id="15" name="(IN-OUT) AJD" dataDxfId="205" totalsRowDxfId="204">
      <calculatedColumnFormula>TABL1234[[#This Row],[( S/S+T/B) AJD]]-TABL1234[[#This Row],[(A/B + A/S) AJD]]</calculatedColumnFormula>
    </tableColumn>
    <tableColumn id="10" name="(RES. LEVEL) AJD" dataDxfId="203" totalsRowDxfId="202"/>
    <tableColumn id="11" name="(RESV. STORGE) AJD" dataDxfId="201" totalsRowDxfId="200"/>
    <tableColumn id="40" name="AJD_STORG.* 10" dataDxfId="199" totalsRowDxfId="198" dataCellStyle="Normal 2">
      <calculatedColumnFormula>TABL1234[[#This Row],[(RESV. STORGE) AJD]]/10</calculatedColumnFormula>
    </tableColumn>
    <tableColumn id="4" name="(STORGE DIFF.) AJD" dataDxfId="197" totalsRowDxfId="196">
      <calculatedColumnFormula>(TABL123[[#This Row],[(RESV. STORGE) AJD]]-500797)/1000</calculatedColumnFormula>
    </tableColumn>
    <tableColumn id="12" name="AJD_Evaporation" dataDxfId="195" totalsRowDxfId="194" dataCellStyle="Normal 2"/>
    <tableColumn id="39" name="AJD_LOSES" dataDxfId="193" totalsRowDxfId="192">
      <calculatedColumnFormula>TABL1234[[#This Row],[( S/S+T/B) AJD]]-(TABL1234[[#This Row],[(A/B + A/S) AJD]]+(TABL1234[[#This Row],[(STORGE DIFF.) AJD]]*1000)+TABL1234[[#This Row],[AJD_Evaporation]])</calculatedColumnFormula>
    </tableColumn>
    <tableColumn id="30" name="BER_IN" dataDxfId="191" totalsRowDxfId="190"/>
    <tableColumn id="31" name="(RES. LEVEL) BER" dataDxfId="189" totalsRowDxfId="188"/>
    <tableColumn id="28" name=" (RESV. STORGE) BER" dataDxfId="187" totalsRowDxfId="186"/>
    <tableColumn id="29" name="BER_STORG. * 10" dataDxfId="185" totalsRowDxfId="184"/>
    <tableColumn id="34" name="BER_Evap." dataDxfId="183" totalsRowDxfId="182"/>
    <tableColumn id="32" name="A/B_CON." dataDxfId="181" totalsRowDxfId="180">
      <calculatedColumnFormula>TABL1234[[#This Row],[(A/B) AJD]]-TABL1234[[#This Row],[BER_IN]]</calculatedColumnFormula>
    </tableColumn>
    <tableColumn id="33" name="SER_IN" dataDxfId="179" totalsRowDxfId="178"/>
    <tableColumn id="27" name="(RES. LEVEL) SER " dataDxfId="177" totalsRowDxfId="176"/>
    <tableColumn id="2" name=" (RESV. STORGE) SER" dataDxfId="175" totalsRowDxfId="174" dataCellStyle="Normal 2"/>
    <tableColumn id="23" name="SER_STORG.* 10" dataDxfId="173" totalsRowDxfId="172" dataCellStyle="Normal 2">
      <calculatedColumnFormula>TABL1234[[#This Row],[ (RESV. STORGE) SER]]/10</calculatedColumnFormula>
    </tableColumn>
    <tableColumn id="41" name="SER_Evap." dataDxfId="171"/>
    <tableColumn id="42" name="A/S_CON." dataDxfId="170">
      <calculatedColumnFormula>TABL1234[[#This Row],[(A/S) AJD]]-TABL1234[[#This Row],[SER_IN]]</calculatedColumnFormula>
    </tableColumn>
  </tableColumns>
  <tableStyleInfo name="TableStyleMedium3" showFirstColumn="0" showLastColumn="0" showRowStripes="1" showColumnStripes="0"/>
</table>
</file>

<file path=xl/tables/table4.xml><?xml version="1.0" encoding="utf-8"?>
<table xmlns="http://schemas.openxmlformats.org/spreadsheetml/2006/main" id="4" name="TABL12345" displayName="TABL12345" ref="A1:AP368" headerRowCount="1" totalsRowCount="1" headerRowDxfId="169" headerRowBorderDxfId="168" tableBorderDxfId="167">
  <autoFilter ref="A1:AP367"/>
  <tableColumns count="42">
    <tableColumn id="1" name=" اليوم" dataDxfId="166" totalsRowDxfId="165" dataCellStyle="Normal 2"/>
    <tableColumn id="19" name="آبار منتجة TAZ" dataDxfId="164" totalsRowDxfId="163" dataCellStyle="Normal 2"/>
    <tableColumn id="18" name="الانتاج 1000 (م3) TAZ" dataDxfId="162" totalsRowDxfId="161" dataCellStyle="Normal 2"/>
    <tableColumn id="17" name="آبار عاملة TAZ" dataDxfId="160" totalsRowDxfId="159" dataCellStyle="Normal 2"/>
    <tableColumn id="16" name="آبار احتياطية" dataDxfId="158" totalsRowDxfId="157" dataCellStyle="Normal 2"/>
    <tableColumn id="26" name="آبار منتجة SAR" dataDxfId="156" totalsRowDxfId="155" dataCellStyle="Normal 2"/>
    <tableColumn id="25" name="إنتاج آبار  SAR" dataDxfId="154" totalsRowDxfId="153" dataCellStyle="Normal 2"/>
    <tableColumn id="24" name="آبار احتياطية  SAR" dataDxfId="152" totalsRowDxfId="151" dataCellStyle="Normal 2"/>
    <tableColumn id="8" name=" (T/B) SAR" dataDxfId="150" totalsRowDxfId="149" dataCellStyle="Normal 2"/>
    <tableColumn id="22" name=" (S/S) SAR" dataDxfId="148" totalsRowDxfId="147" dataCellStyle="Normal 2"/>
    <tableColumn id="38" name="(S/S+TB)SAR" dataDxfId="146" totalsRowDxfId="145" dataCellStyle="Normal 2">
      <calculatedColumnFormula>TABL12345[[#This Row],[ (T/B) SAR]]+TABL12345[[#This Row],[ (S/S) SAR]]</calculatedColumnFormula>
    </tableColumn>
    <tableColumn id="21" name="TAZ/SAR" dataDxfId="144" totalsRowDxfId="143" dataCellStyle="Normal 2"/>
    <tableColumn id="20" name=" % ECV SAR" dataDxfId="142" totalsRowDxfId="141" dataCellStyle="Normal 2"/>
    <tableColumn id="6" name="ECV (bar) SAR" dataDxfId="140" totalsRowDxfId="139" dataCellStyle="Normal 2"/>
    <tableColumn id="3" name="(S/S) AJD" dataDxfId="138" totalsRowDxfId="137"/>
    <tableColumn id="36" name="S/S_CON." dataDxfId="136" totalsRowDxfId="135">
      <calculatedColumnFormula>TABL12345[[#This Row],[ (S/S) SAR]]-TABL12345[[#This Row],[(S/S) AJD]]</calculatedColumnFormula>
    </tableColumn>
    <tableColumn id="5" name="(T/B) AJD" dataDxfId="134" totalsRowDxfId="133"/>
    <tableColumn id="35" name="T/B-CON." dataDxfId="132" totalsRowDxfId="131">
      <calculatedColumnFormula>TABL12345[[#This Row],[ (T/B) SAR]]-TABL12345[[#This Row],[(T/B) AJD]]</calculatedColumnFormula>
    </tableColumn>
    <tableColumn id="37" name="(S/S-T/B)-CON." dataDxfId="130" totalsRowDxfId="129">
      <calculatedColumnFormula>TABL12345[[#This Row],[S/S_CON.]]+TABL12345[[#This Row],[T/B-CON.]]</calculatedColumnFormula>
    </tableColumn>
    <tableColumn id="13" name="( S/S+T/B) AJD" dataDxfId="128" totalsRowDxfId="127">
      <calculatedColumnFormula>O2+Q2</calculatedColumnFormula>
    </tableColumn>
    <tableColumn id="7" name="(A/B) AJD" dataDxfId="126" totalsRowDxfId="125"/>
    <tableColumn id="9" name="(A/S) AJD" dataDxfId="124" totalsRowDxfId="123"/>
    <tableColumn id="14" name="(A/B + A/S) AJD" dataDxfId="122" totalsRowDxfId="121">
      <calculatedColumnFormula>U2+V2</calculatedColumnFormula>
    </tableColumn>
    <tableColumn id="15" name="(IN-OUT) AJD" dataDxfId="120" totalsRowDxfId="119">
      <calculatedColumnFormula>T2-W2</calculatedColumnFormula>
    </tableColumn>
    <tableColumn id="10" name="(RES. LEVEL) AJD" dataDxfId="118" totalsRowDxfId="117"/>
    <tableColumn id="11" name="(RESV. STORGE) AJD" dataDxfId="116" totalsRowDxfId="115"/>
    <tableColumn id="40" name="AJD_STORG.* 10" dataDxfId="114" totalsRowDxfId="113" dataCellStyle="Normal 2">
      <calculatedColumnFormula>TABL12345[[#This Row],[(RESV. STORGE) AJD]]/10</calculatedColumnFormula>
    </tableColumn>
    <tableColumn id="4" name="(STORGE DIFF.) AJD" dataDxfId="112" totalsRowDxfId="111"/>
    <tableColumn id="12" name="AJD_Evaporation" dataDxfId="110" totalsRowDxfId="109" dataCellStyle="Normal 2"/>
    <tableColumn id="39" name="AJD_LOSES" dataDxfId="108" totalsRowDxfId="107">
      <calculatedColumnFormula>(TABL12345[[#This Row],[( S/S+T/B) AJD]]*1000)-((TABL12345[[#This Row],[(STORGE DIFF.) AJD]]*1000)+TABL12345[[#This Row],[AJD_Evaporation]]+(TABL12345[[#This Row],[(A/B + A/S) AJD]]*1000))</calculatedColumnFormula>
    </tableColumn>
    <tableColumn id="30" name="BER_IN" dataDxfId="106" totalsRowDxfId="105"/>
    <tableColumn id="31" name="(RES. LEVEL) BER" dataDxfId="104" totalsRowDxfId="103"/>
    <tableColumn id="28" name=" (RESV. STORGE) BER" dataDxfId="102" totalsRowDxfId="101"/>
    <tableColumn id="29" name="BER_STORG. * 10" dataDxfId="100" totalsRowDxfId="99">
      <calculatedColumnFormula>TABL12345[[#This Row],[ (RESV. STORGE) BER]]/10</calculatedColumnFormula>
    </tableColumn>
    <tableColumn id="34" name="BER_Evap." dataDxfId="98" totalsRowDxfId="97"/>
    <tableColumn id="32" name="A/B_CON." dataDxfId="96" totalsRowDxfId="95">
      <calculatedColumnFormula>TABL12345[[#This Row],[(A/B) AJD]]-TABL12345[[#This Row],[BER_IN]]</calculatedColumnFormula>
    </tableColumn>
    <tableColumn id="33" name="SER_IN" dataDxfId="94" totalsRowDxfId="93"/>
    <tableColumn id="27" name="(RES. LEVEL) SER " dataDxfId="92" totalsRowDxfId="91"/>
    <tableColumn id="2" name=" (RESV. STORGE) SER" dataDxfId="90" totalsRowDxfId="89" dataCellStyle="Normal 2"/>
    <tableColumn id="23" name="SER_STORG.* 10" dataDxfId="88" totalsRowDxfId="87" dataCellStyle="Normal 2">
      <calculatedColumnFormula>TABL12345[[#This Row],[ (RESV. STORGE) SER]]/10</calculatedColumnFormula>
    </tableColumn>
    <tableColumn id="41" name="SER_Evap." dataDxfId="86"/>
    <tableColumn id="42" name="A/S_CON." dataDxfId="85">
      <calculatedColumnFormula>TABL12345[[#This Row],[(A/S) AJD]]-TABL12345[[#This Row],[SER_IN]]</calculatedColumnFormula>
    </tableColumn>
  </tableColumns>
  <tableStyleInfo name="TableStyleMedium3" showFirstColumn="0" showLastColumn="0" showRowStripes="1" showColumnStripes="0"/>
</table>
</file>

<file path=xl/tables/table5.xml><?xml version="1.0" encoding="utf-8"?>
<table xmlns="http://schemas.openxmlformats.org/spreadsheetml/2006/main" id="5" name="Table5" displayName="Table5" ref="A1:AP366" headerRowCount="1" totalsRowShown="0" headerRowDxfId="84" headerRowBorderDxfId="83" tableBorderDxfId="82">
  <autoFilter ref="A1:AP366"/>
  <tableColumns count="42">
    <tableColumn id="1" name=" اليوم" dataDxfId="81" dataCellStyle="Normal 2"/>
    <tableColumn id="2" name="آبار منتجة TAZ" dataDxfId="80"/>
    <tableColumn id="3" name="الانتاج 1000 (م3) TAZ" dataDxfId="79"/>
    <tableColumn id="4" name="آبار عاملة TAZ" dataDxfId="78"/>
    <tableColumn id="5" name="آبار احتياطية" dataDxfId="77"/>
    <tableColumn id="6" name="آبار منتجة SAR" dataDxfId="76"/>
    <tableColumn id="7" name="إنتاج آبار  SAR" dataDxfId="75"/>
    <tableColumn id="8" name="آبار احتياطية  SAR" dataDxfId="74"/>
    <tableColumn id="9" name=" (T/B) SAR" dataDxfId="73"/>
    <tableColumn id="10" name=" (S/S) SAR" dataDxfId="72"/>
    <tableColumn id="11" name="(S/S+TB)SAR" dataDxfId="71" dataCellStyle="Normal 2">
      <calculatedColumnFormula>Table5[[#This Row],[ (T/B) SAR]]+Table5[[#This Row],[ (S/S) SAR]]</calculatedColumnFormula>
    </tableColumn>
    <tableColumn id="12" name="TAZ/SAR" dataDxfId="70"/>
    <tableColumn id="13" name=" % ECV SAR" dataDxfId="69"/>
    <tableColumn id="14" name="ECV (bar) SAR" dataDxfId="68"/>
    <tableColumn id="15" name="(S/S) AJD" dataDxfId="67"/>
    <tableColumn id="16" name="S/S_CON." dataDxfId="66">
      <calculatedColumnFormula>Table5[[#This Row],[ (S/S) SAR]]-Table5[[#This Row],[(S/S) AJD]]</calculatedColumnFormula>
    </tableColumn>
    <tableColumn id="17" name="(T/B) AJD" dataDxfId="65"/>
    <tableColumn id="18" name="T/B-CON." dataDxfId="64">
      <calculatedColumnFormula>Table5[[#This Row],[ (T/B) SAR]]-Table5[[#This Row],[(T/B) AJD]]</calculatedColumnFormula>
    </tableColumn>
    <tableColumn id="19" name="(S/S-T/B)-CON." dataDxfId="63">
      <calculatedColumnFormula>Table5[[#This Row],[S/S_CON.]]+Table5[[#This Row],[T/B-CON.]]</calculatedColumnFormula>
    </tableColumn>
    <tableColumn id="20" name="( S/S+T/B) AJD" dataDxfId="62">
      <calculatedColumnFormula>O2+Q2</calculatedColumnFormula>
    </tableColumn>
    <tableColumn id="21" name="(A/B) AJD" dataDxfId="61"/>
    <tableColumn id="22" name="(A/S) AJD" dataDxfId="60"/>
    <tableColumn id="23" name="(A/B + A/S) AJD" dataDxfId="59">
      <calculatedColumnFormula>U2+V2</calculatedColumnFormula>
    </tableColumn>
    <tableColumn id="24" name="(IN-OUT) AJD" dataDxfId="58">
      <calculatedColumnFormula>T2-W2</calculatedColumnFormula>
    </tableColumn>
    <tableColumn id="25" name="(RES. LEVEL) AJD" dataDxfId="57"/>
    <tableColumn id="26" name="(RESV. STORGE) AJD" dataDxfId="56"/>
    <tableColumn id="27" name="AJD_STORG.* 10" dataDxfId="55" dataCellStyle="Normal 2">
      <calculatedColumnFormula>Table5[[#This Row],[(RESV. STORGE) AJD]]/10</calculatedColumnFormula>
    </tableColumn>
    <tableColumn id="28" name="(STORGE DIFF.) AJD" dataDxfId="54" dataCellStyle="Normal 2">
      <calculatedColumnFormula>IF(TRIM(Z2)="",,(Z2-Z1)/1000)</calculatedColumnFormula>
    </tableColumn>
    <tableColumn id="29" name="AJD_Evaporation" dataDxfId="53"/>
    <tableColumn id="30" name="AJD_LOSES" dataDxfId="52">
      <calculatedColumnFormula>(Table5[[#This Row],[( S/S+T/B) AJD]]*1000)-((Table5[[#This Row],[(STORGE DIFF.) AJD]]*1000)+Table5[[#This Row],[AJD_Evaporation]]+(Table5[[#This Row],[(A/B + A/S) AJD]]*1000))</calculatedColumnFormula>
    </tableColumn>
    <tableColumn id="31" name="BER_IN" dataDxfId="51"/>
    <tableColumn id="32" name="(RES. LEVEL) BER" dataDxfId="50"/>
    <tableColumn id="33" name=" (RESV. STORGE) BER" dataDxfId="49"/>
    <tableColumn id="34" name="BER_STORG. * 10" dataDxfId="48">
      <calculatedColumnFormula>Table5[[#This Row],[ (RESV. STORGE) BER]]/10</calculatedColumnFormula>
    </tableColumn>
    <tableColumn id="35" name="BER_Evap." dataDxfId="47"/>
    <tableColumn id="36" name="A/B_CON." dataDxfId="46">
      <calculatedColumnFormula>Table5[[#This Row],[(A/B) AJD]]-Table5[[#This Row],[BER_IN]]</calculatedColumnFormula>
    </tableColumn>
    <tableColumn id="37" name="SER_IN" dataDxfId="45"/>
    <tableColumn id="38" name="(RES. LEVEL) SER " dataDxfId="44"/>
    <tableColumn id="39" name=" (RESV. STORGE) SER" dataDxfId="43" dataCellStyle="Normal 2"/>
    <tableColumn id="40" name="SER_STORG.* 10" dataDxfId="42" dataCellStyle="Normal 2">
      <calculatedColumnFormula>Table5[[#This Row],[ (RESV. STORGE) SER]]/10</calculatedColumnFormula>
    </tableColumn>
    <tableColumn id="41" name="SER_Evap." dataDxfId="41"/>
    <tableColumn id="42" name="A/S_CON." dataDxfId="40">
      <calculatedColumnFormula>Table5[[#This Row],[(A/S) AJD]]-Table5[[#This Row],[SER_IN]]</calculatedColumnFormula>
    </tableColumn>
  </tableColumns>
  <tableStyleInfo name="TableStyleMedium2" showFirstColumn="0" showLastColumn="0" showRowStripes="1" showColumnStripes="0"/>
</table>
</file>

<file path=xl/tables/table6.xml><?xml version="1.0" encoding="utf-8"?>
<table xmlns="http://schemas.openxmlformats.org/spreadsheetml/2006/main" id="6" name="Table6" displayName="Table6" ref="A1:AP366" headerRowCount="1" totalsRowShown="0" headerRowDxfId="431" headerRowBorderDxfId="430" tableBorderDxfId="429">
  <autoFilter ref="A1:AP366"/>
  <tableColumns count="42">
    <tableColumn id="1" name=" اليوم" dataDxfId="428" dataCellStyle="Normal 2"/>
    <tableColumn id="2" name="آبار منتجة TAZ" dataDxfId="427"/>
    <tableColumn id="3" name="الانتاج 1000 (م3) TAZ" dataDxfId="426"/>
    <tableColumn id="4" name="آبار عاملة TAZ" dataDxfId="425"/>
    <tableColumn id="5" name="آبار احتياطية" dataDxfId="424"/>
    <tableColumn id="6" name="آبار منتجة SAR" dataDxfId="423"/>
    <tableColumn id="7" name="إنتاج آبار  SAR" dataDxfId="422"/>
    <tableColumn id="8" name="آبار احتياطية  SAR" dataDxfId="421"/>
    <tableColumn id="9" name=" (T/B) SAR" dataDxfId="420"/>
    <tableColumn id="10" name=" (S/S) SAR" dataDxfId="419"/>
    <tableColumn id="11" name="(S/S+TB)SAR" dataDxfId="418" dataCellStyle="Normal 2">
      <calculatedColumnFormula>Table6[[#This Row],[ (T/B) SAR]]+Table6[[#This Row],[ (S/S) SAR]]</calculatedColumnFormula>
    </tableColumn>
    <tableColumn id="12" name="TAZ/SAR" dataDxfId="417"/>
    <tableColumn id="13" name=" % ECV SAR" dataDxfId="416"/>
    <tableColumn id="14" name="ECV (bar) SAR" dataDxfId="415"/>
    <tableColumn id="15" name="(S/S) AJD" dataDxfId="414"/>
    <tableColumn id="16" name="S/S_CON." dataDxfId="413">
      <calculatedColumnFormula>Table6[[#This Row],[ (S/S) SAR]]-Table6[[#This Row],[(S/S) AJD]]</calculatedColumnFormula>
    </tableColumn>
    <tableColumn id="17" name="(T/B) AJD" dataDxfId="412"/>
    <tableColumn id="18" name="T/B-CON." dataDxfId="411">
      <calculatedColumnFormula>Table6[[#This Row],[ (T/B) SAR]]-Table6[[#This Row],[(T/B) AJD]]</calculatedColumnFormula>
    </tableColumn>
    <tableColumn id="19" name="(S/S-T/B)-CON." dataDxfId="410">
      <calculatedColumnFormula>Table6[[#This Row],[S/S_CON.]]+Table6[[#This Row],[T/B-CON.]]</calculatedColumnFormula>
    </tableColumn>
    <tableColumn id="20" name="( S/S+T/B) AJD" dataDxfId="409">
      <calculatedColumnFormula>O2+Q2</calculatedColumnFormula>
    </tableColumn>
    <tableColumn id="21" name="(A/B) AJD" dataDxfId="408"/>
    <tableColumn id="22" name="(A/S) AJD" dataDxfId="407"/>
    <tableColumn id="23" name="(A/B + A/S) AJD" dataDxfId="406">
      <calculatedColumnFormula>U2+V2</calculatedColumnFormula>
    </tableColumn>
    <tableColumn id="24" name="(IN-OUT) AJD" dataDxfId="405">
      <calculatedColumnFormula>T2-W2</calculatedColumnFormula>
    </tableColumn>
    <tableColumn id="25" name="(RES. LEVEL) AJD" dataDxfId="404"/>
    <tableColumn id="26" name="(RESV. STORGE) AJD" dataDxfId="403"/>
    <tableColumn id="27" name="AJD_STORG.* 10" dataDxfId="402" dataCellStyle="Normal 2">
      <calculatedColumnFormula>Table6[[#This Row],[(RESV. STORGE) AJD]]/10</calculatedColumnFormula>
    </tableColumn>
    <tableColumn id="28" name="(STORGE DIFF.) AJD" dataDxfId="401" dataCellStyle="Normal 2">
      <calculatedColumnFormula>IF(TRIM(Z2)="",,(Z2-Z1)/1000)</calculatedColumnFormula>
    </tableColumn>
    <tableColumn id="29" name="AJD_Evaporation" dataDxfId="400"/>
    <tableColumn id="30" name="AJD_LOSES" dataDxfId="399">
      <calculatedColumnFormula>(Table6[[#This Row],[( S/S+T/B) AJD]]*1000)-((Table6[[#This Row],[(STORGE DIFF.) AJD]]*1000)+Table6[[#This Row],[AJD_Evaporation]]+(Table6[[#This Row],[(A/B + A/S) AJD]]*1000))</calculatedColumnFormula>
    </tableColumn>
    <tableColumn id="31" name="BER_IN" dataDxfId="398"/>
    <tableColumn id="32" name="(RES. LEVEL) BER" dataDxfId="397"/>
    <tableColumn id="33" name=" (RESV. STORGE) BER" dataDxfId="396"/>
    <tableColumn id="34" name="BER_STORG. * 10" dataDxfId="395">
      <calculatedColumnFormula>Table6[[#This Row],[ (RESV. STORGE) BER]]/10</calculatedColumnFormula>
    </tableColumn>
    <tableColumn id="35" name="BER_Evap." dataDxfId="394"/>
    <tableColumn id="36" name="A/B_CON." dataDxfId="393">
      <calculatedColumnFormula>Table6[[#This Row],[(A/B) AJD]]-TABL12345[[#This Row],[BER_IN]]</calculatedColumnFormula>
    </tableColumn>
    <tableColumn id="37" name="SER_IN" dataDxfId="392"/>
    <tableColumn id="38" name="(RES. LEVEL) SER " dataDxfId="391"/>
    <tableColumn id="39" name=" (RESV. STORGE) SER" dataDxfId="390" dataCellStyle="Normal 2"/>
    <tableColumn id="40" name="SER_STORG.* 10" dataDxfId="389" dataCellStyle="Normal 2">
      <calculatedColumnFormula>Table6[[#This Row],[ (RESV. STORGE) SER]]/10</calculatedColumnFormula>
    </tableColumn>
    <tableColumn id="41" name="SER_Evap." dataDxfId="388"/>
    <tableColumn id="42" name="A/S_CON." dataDxfId="387">
      <calculatedColumnFormula>Table6[[#This Row],[(A/S) AJD]]-Table6[[#This Row],[SER_IN]]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2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4.xml" Id="rId1" /></Relationships>
</file>

<file path=xl/worksheets/_rels/sheet5.xml.rels><Relationships xmlns="http://schemas.openxmlformats.org/package/2006/relationships"><Relationship Type="http://schemas.openxmlformats.org/officeDocument/2006/relationships/table" Target="/xl/tables/table5.xml" Id="rId1" /></Relationships>
</file>

<file path=xl/worksheets/_rels/sheet6.xml.rels><Relationships xmlns="http://schemas.openxmlformats.org/package/2006/relationships"><Relationship Type="http://schemas.openxmlformats.org/officeDocument/2006/relationships/table" Target="/xl/tables/table6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G1" zoomScale="115" zoomScaleNormal="115" workbookViewId="0">
      <selection activeCell="AN2" sqref="AN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12" customWidth="1" style="7" min="30" max="30"/>
    <col width="9.625" customWidth="1" style="7" min="31" max="32"/>
    <col width="11.25" customWidth="1" style="7" min="33" max="33"/>
    <col width="12.5" customWidth="1" style="7" min="34" max="34"/>
    <col width="9.625" customWidth="1" style="7" min="35" max="35"/>
    <col width="14.25" customWidth="1" style="7" min="36" max="36"/>
    <col width="9.625" customWidth="1" style="7" min="37" max="38"/>
    <col width="14.5" customWidth="1" style="7" min="39" max="40"/>
    <col width="9.625" customWidth="1" style="7" min="41" max="41"/>
    <col width="11.625" customWidth="1" style="7" min="42" max="42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45658</v>
      </c>
      <c r="B2" s="28" t="n">
        <v>37</v>
      </c>
      <c r="C2" s="28" t="n">
        <v>306</v>
      </c>
      <c r="D2" s="28" t="n">
        <v>37</v>
      </c>
      <c r="E2" s="28" t="n">
        <v>0</v>
      </c>
      <c r="F2" s="28" t="n">
        <v>87</v>
      </c>
      <c r="G2" s="28" t="n">
        <v>543</v>
      </c>
      <c r="H2" s="28" t="n">
        <v>1</v>
      </c>
      <c r="I2" s="28" t="n">
        <v>414</v>
      </c>
      <c r="J2" s="28" t="n">
        <v>433</v>
      </c>
      <c r="K2" s="28">
        <f>TABL12[[#This Row],[ (T/B) SAR]]+TABL12[[#This Row],[ (S/S) SAR]]</f>
        <v/>
      </c>
      <c r="L2" s="28" t="n">
        <v>312</v>
      </c>
      <c r="M2" s="29" t="n">
        <v>24.7</v>
      </c>
      <c r="N2" s="30" t="n">
        <v>7.31</v>
      </c>
      <c r="O2" s="3" t="n">
        <v>387</v>
      </c>
      <c r="P2" s="3">
        <f>TABL12[[#This Row],[ (S/S) SAR]]-TABL12[[#This Row],[(S/S) AJD]]</f>
        <v/>
      </c>
      <c r="Q2" s="3" t="n">
        <v>426</v>
      </c>
      <c r="R2" s="3">
        <f>TABL12[[#This Row],[ (T/B) SAR]]-TABL12[[#This Row],[(T/B) AJD]]</f>
        <v/>
      </c>
      <c r="S2" s="3">
        <f>TABL12[[#This Row],[S/S_CON.]]+TABL12[[#This Row],[T/B-CON.]]</f>
        <v/>
      </c>
      <c r="T2" s="3">
        <f>O2+Q2</f>
        <v/>
      </c>
      <c r="U2" s="3" t="n">
        <v>514</v>
      </c>
      <c r="V2" s="3" t="n">
        <v>264</v>
      </c>
      <c r="W2" s="3">
        <f>U2+V2</f>
        <v/>
      </c>
      <c r="X2" s="3">
        <f>T2-W2</f>
        <v/>
      </c>
      <c r="Y2" s="4" t="n">
        <v>93.852</v>
      </c>
      <c r="Z2" s="3" t="n">
        <v>1309529</v>
      </c>
      <c r="AA2" s="3">
        <f>TABL12[[#This Row],[(RESV. STORGE) AJD]]/10</f>
        <v/>
      </c>
      <c r="AB2" s="3" t="n">
        <v>-10</v>
      </c>
      <c r="AC2" s="5" t="n">
        <v>901</v>
      </c>
      <c r="AD2" s="5">
        <f>TABL12[[#This Row],[( S/S+T/B) AJD]]-(TABL12[[#This Row],[(A/B + A/S) AJD]]+TABL12[[#This Row],[(STORGE DIFF.) AJD]]+(TABL12[[#This Row],[AJD_Evaporation]]))</f>
        <v/>
      </c>
      <c r="AE2" s="5" t="n">
        <v>60</v>
      </c>
      <c r="AF2" s="31" t="n">
        <v>59.041</v>
      </c>
      <c r="AG2" s="5" t="n">
        <v>1650725</v>
      </c>
      <c r="AH2" s="5">
        <f>TABL12[[#This Row],[ (RESV. STORGE) BER]]/10</f>
        <v/>
      </c>
      <c r="AI2" s="5" t="n">
        <v>1667</v>
      </c>
      <c r="AJ2" s="5">
        <f>TABL12[[#This Row],[(A/B) AJD]]-TABL12[[#This Row],[BER_IN]]</f>
        <v/>
      </c>
      <c r="AK2" s="5" t="n">
        <v>52</v>
      </c>
      <c r="AL2" s="31" t="n">
        <v>43.899</v>
      </c>
      <c r="AM2" s="5" t="n">
        <v>3597900</v>
      </c>
      <c r="AN2" s="5">
        <f>TABL12[[#This Row],[ (RESV. STORGE) SER]]/10</f>
        <v/>
      </c>
      <c r="AO2" s="5" t="n">
        <v>540</v>
      </c>
      <c r="AP2" s="32">
        <f>TABL12[[#This Row],[(A/S) AJD]]-TABL12[[#This Row],[SER_IN]]</f>
        <v/>
      </c>
    </row>
    <row r="3">
      <c r="A3" s="2" t="n">
        <v>45659</v>
      </c>
      <c r="B3" s="28" t="n">
        <v>35</v>
      </c>
      <c r="C3" s="28" t="n">
        <v>306</v>
      </c>
      <c r="D3" s="28" t="n">
        <v>36</v>
      </c>
      <c r="E3" s="28" t="n">
        <v>0</v>
      </c>
      <c r="F3" s="28" t="n">
        <v>88</v>
      </c>
      <c r="G3" s="28" t="n">
        <v>543</v>
      </c>
      <c r="H3" s="28" t="n">
        <v>0</v>
      </c>
      <c r="I3" s="28" t="n">
        <v>408</v>
      </c>
      <c r="J3" s="28" t="n">
        <v>425</v>
      </c>
      <c r="K3" s="28">
        <f>TABL12[[#This Row],[ (T/B) SAR]]+TABL12[[#This Row],[ (S/S) SAR]]</f>
        <v/>
      </c>
      <c r="L3" s="28" t="n">
        <v>310</v>
      </c>
      <c r="M3" s="29" t="n">
        <v>24.3</v>
      </c>
      <c r="N3" s="30" t="n">
        <v>7.2</v>
      </c>
      <c r="O3" s="3" t="n">
        <v>386</v>
      </c>
      <c r="P3" s="3">
        <f>TABL12[[#This Row],[ (S/S) SAR]]-TABL12[[#This Row],[(S/S) AJD]]</f>
        <v/>
      </c>
      <c r="Q3" s="3" t="n">
        <v>425</v>
      </c>
      <c r="R3" s="3">
        <f>TABL12[[#This Row],[ (T/B) SAR]]-TABL12[[#This Row],[(T/B) AJD]]</f>
        <v/>
      </c>
      <c r="S3" s="3">
        <f>TABL12[[#This Row],[S/S_CON.]]+TABL12[[#This Row],[T/B-CON.]]</f>
        <v/>
      </c>
      <c r="T3" s="3">
        <f>O3+Q3</f>
        <v/>
      </c>
      <c r="U3" s="3" t="n">
        <v>513</v>
      </c>
      <c r="V3" s="3" t="n">
        <v>268</v>
      </c>
      <c r="W3" s="3">
        <f>U3+V3</f>
        <v/>
      </c>
      <c r="X3" s="3">
        <f>T3-W3</f>
        <v/>
      </c>
      <c r="Y3" s="4" t="n">
        <v>93.81999999999999</v>
      </c>
      <c r="Z3" s="3" t="n">
        <v>1290113</v>
      </c>
      <c r="AA3" s="3">
        <f>TABL12[[#This Row],[(RESV. STORGE) AJD]]/10</f>
        <v/>
      </c>
      <c r="AB3" s="3">
        <f>(Z3-Z2)/1000</f>
        <v/>
      </c>
      <c r="AC3" s="6" t="n">
        <v>798</v>
      </c>
      <c r="AD3" s="5">
        <f>TABL12[[#This Row],[( S/S+T/B) AJD]]-(TABL12[[#This Row],[(A/B + A/S) AJD]]+TABL12[[#This Row],[(STORGE DIFF.) AJD]]+(TABL12[[#This Row],[AJD_Evaporation]]))</f>
        <v/>
      </c>
      <c r="AE3" s="6" t="n">
        <v>60</v>
      </c>
      <c r="AF3" s="33" t="n">
        <v>59.069</v>
      </c>
      <c r="AG3" s="6" t="n">
        <v>1669224</v>
      </c>
      <c r="AH3" s="6">
        <f>TABL12[[#This Row],[ (RESV. STORGE) BER]]/10</f>
        <v/>
      </c>
      <c r="AI3" s="6" t="n">
        <v>1661</v>
      </c>
      <c r="AJ3" s="6">
        <f>TABL12[[#This Row],[(A/B) AJD]]-TABL12[[#This Row],[BER_IN]]</f>
        <v/>
      </c>
      <c r="AK3" s="6" t="n">
        <v>48</v>
      </c>
      <c r="AL3" s="33" t="n">
        <v>43.9853</v>
      </c>
      <c r="AM3" s="6" t="n">
        <v>3644980</v>
      </c>
      <c r="AN3" s="6">
        <f>TABL12[[#This Row],[ (RESV. STORGE) SER]]/10</f>
        <v/>
      </c>
      <c r="AO3" s="6" t="n">
        <v>920</v>
      </c>
      <c r="AP3" s="32">
        <f>TABL12[[#This Row],[(A/S) AJD]]-TABL12[[#This Row],[SER_IN]]</f>
        <v/>
      </c>
    </row>
    <row r="4">
      <c r="A4" s="2" t="n">
        <v>45660</v>
      </c>
      <c r="B4" s="28" t="n">
        <v>36</v>
      </c>
      <c r="C4" s="28" t="n">
        <v>302</v>
      </c>
      <c r="D4" s="28" t="n">
        <v>36</v>
      </c>
      <c r="E4" s="28" t="n">
        <v>0</v>
      </c>
      <c r="F4" s="28" t="n">
        <v>88</v>
      </c>
      <c r="G4" s="28" t="n">
        <v>553</v>
      </c>
      <c r="H4" s="28" t="n">
        <v>0</v>
      </c>
      <c r="I4" s="28" t="n">
        <v>407</v>
      </c>
      <c r="J4" s="28" t="n">
        <v>425</v>
      </c>
      <c r="K4" s="28">
        <f>TABL12[[#This Row],[ (T/B) SAR]]+TABL12[[#This Row],[ (S/S) SAR]]</f>
        <v/>
      </c>
      <c r="L4" s="28" t="n">
        <v>295</v>
      </c>
      <c r="M4" s="29" t="n">
        <v>24.4</v>
      </c>
      <c r="N4" s="30" t="n">
        <v>7.18</v>
      </c>
      <c r="O4" s="3" t="n">
        <v>383</v>
      </c>
      <c r="P4" s="3">
        <f>TABL12[[#This Row],[ (S/S) SAR]]-TABL12[[#This Row],[(S/S) AJD]]</f>
        <v/>
      </c>
      <c r="Q4" s="3" t="n">
        <v>423</v>
      </c>
      <c r="R4" s="3">
        <f>TABL12[[#This Row],[ (T/B) SAR]]-TABL12[[#This Row],[(T/B) AJD]]</f>
        <v/>
      </c>
      <c r="S4" s="3">
        <f>TABL12[[#This Row],[S/S_CON.]]+TABL12[[#This Row],[T/B-CON.]]</f>
        <v/>
      </c>
      <c r="T4" s="3">
        <f>O4+Q4</f>
        <v/>
      </c>
      <c r="U4" s="3" t="n">
        <v>519</v>
      </c>
      <c r="V4" s="3" t="n">
        <v>259</v>
      </c>
      <c r="W4" s="3">
        <f>U4+V4</f>
        <v/>
      </c>
      <c r="X4" s="3">
        <f>T4-W4</f>
        <v/>
      </c>
      <c r="Y4" s="4" t="n">
        <v>93.73999999999999</v>
      </c>
      <c r="Z4" s="3" t="n">
        <v>1241611</v>
      </c>
      <c r="AA4" s="3">
        <f>TABL12[[#This Row],[(RESV. STORGE) AJD]]/10</f>
        <v/>
      </c>
      <c r="AB4" s="3">
        <f>(Z4-Z3)/1000</f>
        <v/>
      </c>
      <c r="AC4" s="6" t="n">
        <v>849</v>
      </c>
      <c r="AD4" s="5">
        <f>TABL12[[#This Row],[( S/S+T/B) AJD]]-(TABL12[[#This Row],[(A/B + A/S) AJD]]+TABL12[[#This Row],[(STORGE DIFF.) AJD]]+(TABL12[[#This Row],[AJD_Evaporation]]))</f>
        <v/>
      </c>
      <c r="AE4" s="6" t="n">
        <v>60</v>
      </c>
      <c r="AF4" s="33" t="n">
        <v>59.098</v>
      </c>
      <c r="AG4" s="6" t="n">
        <v>1688390</v>
      </c>
      <c r="AH4" s="6">
        <f>TABL12[[#This Row],[ (RESV. STORGE) BER]]/10</f>
        <v/>
      </c>
      <c r="AI4" s="6" t="n">
        <v>1654</v>
      </c>
      <c r="AJ4" s="6">
        <f>TABL12[[#This Row],[(A/B) AJD]]-TABL12[[#This Row],[BER_IN]]</f>
        <v/>
      </c>
      <c r="AK4" s="6" t="n">
        <v>42</v>
      </c>
      <c r="AL4" s="33" t="n">
        <v>44.0539</v>
      </c>
      <c r="AM4" s="6" t="n">
        <v>3683240</v>
      </c>
      <c r="AN4" s="6">
        <f>TABL12[[#This Row],[ (RESV. STORGE) SER]]/10</f>
        <v/>
      </c>
      <c r="AO4" s="6" t="n">
        <v>680</v>
      </c>
      <c r="AP4" s="32">
        <f>TABL12[[#This Row],[(A/S) AJD]]-TABL12[[#This Row],[SER_IN]]</f>
        <v/>
      </c>
    </row>
    <row r="5">
      <c r="A5" s="2" t="n">
        <v>45661</v>
      </c>
      <c r="B5" s="28" t="n">
        <v>34</v>
      </c>
      <c r="C5" s="28" t="n">
        <v>290</v>
      </c>
      <c r="D5" s="28" t="n">
        <v>35</v>
      </c>
      <c r="E5" s="28" t="n">
        <v>0</v>
      </c>
      <c r="F5" s="28" t="n">
        <v>88</v>
      </c>
      <c r="G5" s="28" t="n">
        <v>539</v>
      </c>
      <c r="H5" s="28" t="n">
        <v>0</v>
      </c>
      <c r="I5" s="28" t="n">
        <v>401</v>
      </c>
      <c r="J5" s="28" t="n">
        <v>419</v>
      </c>
      <c r="K5" s="28">
        <f>TABL12[[#This Row],[ (T/B) SAR]]+TABL12[[#This Row],[ (S/S) SAR]]</f>
        <v/>
      </c>
      <c r="L5" s="28" t="n">
        <v>296</v>
      </c>
      <c r="M5" s="29" t="n">
        <v>24.4</v>
      </c>
      <c r="N5" s="30" t="n">
        <v>7.15</v>
      </c>
      <c r="O5" s="3" t="n">
        <v>377</v>
      </c>
      <c r="P5" s="3">
        <f>TABL12[[#This Row],[ (S/S) SAR]]-TABL12[[#This Row],[(S/S) AJD]]</f>
        <v/>
      </c>
      <c r="Q5" s="3" t="n">
        <v>416</v>
      </c>
      <c r="R5" s="3">
        <f>TABL12[[#This Row],[ (T/B) SAR]]-TABL12[[#This Row],[(T/B) AJD]]</f>
        <v/>
      </c>
      <c r="S5" s="3">
        <f>TABL12[[#This Row],[S/S_CON.]]+TABL12[[#This Row],[T/B-CON.]]</f>
        <v/>
      </c>
      <c r="T5" s="3">
        <f>O5+Q5</f>
        <v/>
      </c>
      <c r="U5" s="3" t="n">
        <v>520</v>
      </c>
      <c r="V5" s="3" t="n">
        <v>266</v>
      </c>
      <c r="W5" s="3">
        <f>U5+V5</f>
        <v/>
      </c>
      <c r="X5" s="3">
        <f>T5-W5</f>
        <v/>
      </c>
      <c r="Y5" s="4" t="n">
        <v>93.655</v>
      </c>
      <c r="Z5" s="3" t="n">
        <v>1190136</v>
      </c>
      <c r="AA5" s="3">
        <f>TABL12[[#This Row],[(RESV. STORGE) AJD]]/10</f>
        <v/>
      </c>
      <c r="AB5" s="3">
        <f>(Z5-Z4)/1000</f>
        <v/>
      </c>
      <c r="AC5" s="6" t="n">
        <v>1000</v>
      </c>
      <c r="AD5" s="5">
        <f>TABL12[[#This Row],[( S/S+T/B) AJD]]-(TABL12[[#This Row],[(A/B + A/S) AJD]]+TABL12[[#This Row],[(STORGE DIFF.) AJD]]+(TABL12[[#This Row],[AJD_Evaporation]]))</f>
        <v/>
      </c>
      <c r="AE5" s="6" t="n">
        <v>60</v>
      </c>
      <c r="AF5" s="33" t="n">
        <v>59.13</v>
      </c>
      <c r="AG5" s="6" t="n">
        <v>1709548</v>
      </c>
      <c r="AH5" s="6">
        <f>TABL12[[#This Row],[ (RESV. STORGE) BER]]/10</f>
        <v/>
      </c>
      <c r="AI5" s="6" t="n">
        <v>1661</v>
      </c>
      <c r="AJ5" s="6">
        <f>TABL12[[#This Row],[(A/B) AJD]]-TABL12[[#This Row],[BER_IN]]</f>
        <v/>
      </c>
      <c r="AK5" s="6" t="n">
        <v>42</v>
      </c>
      <c r="AL5" s="33" t="n">
        <v>44.1284</v>
      </c>
      <c r="AM5" s="6" t="n">
        <v>3723631</v>
      </c>
      <c r="AN5" s="6">
        <f>TABL12[[#This Row],[ (RESV. STORGE) SER]]/10</f>
        <v/>
      </c>
      <c r="AO5" s="6" t="n">
        <v>580</v>
      </c>
      <c r="AP5" s="32">
        <f>TABL12[[#This Row],[(A/S) AJD]]-TABL12[[#This Row],[SER_IN]]</f>
        <v/>
      </c>
    </row>
    <row r="6">
      <c r="A6" s="2" t="n">
        <v>45662</v>
      </c>
      <c r="B6" s="28" t="n">
        <v>36</v>
      </c>
      <c r="C6" s="28" t="n">
        <v>303</v>
      </c>
      <c r="D6" s="28" t="n">
        <v>36</v>
      </c>
      <c r="E6" s="28" t="n">
        <v>0</v>
      </c>
      <c r="F6" s="28" t="n">
        <v>88</v>
      </c>
      <c r="G6" s="28" t="n">
        <v>540</v>
      </c>
      <c r="H6" s="28" t="n">
        <v>0</v>
      </c>
      <c r="I6" s="28" t="n">
        <v>397</v>
      </c>
      <c r="J6" s="28" t="n">
        <v>413</v>
      </c>
      <c r="K6" s="28">
        <f>TABL12[[#This Row],[ (T/B) SAR]]+TABL12[[#This Row],[ (S/S) SAR]]</f>
        <v/>
      </c>
      <c r="L6" s="28" t="n">
        <v>286</v>
      </c>
      <c r="M6" s="29" t="n">
        <v>23.6</v>
      </c>
      <c r="N6" s="30" t="n">
        <v>7.19</v>
      </c>
      <c r="O6" s="3" t="n">
        <v>372</v>
      </c>
      <c r="P6" s="3">
        <f>TABL12[[#This Row],[ (S/S) SAR]]-TABL12[[#This Row],[(S/S) AJD]]</f>
        <v/>
      </c>
      <c r="Q6" s="3" t="n">
        <v>412</v>
      </c>
      <c r="R6" s="3">
        <f>TABL12[[#This Row],[ (T/B) SAR]]-TABL12[[#This Row],[(T/B) AJD]]</f>
        <v/>
      </c>
      <c r="S6" s="3">
        <f>TABL12[[#This Row],[S/S_CON.]]+TABL12[[#This Row],[T/B-CON.]]</f>
        <v/>
      </c>
      <c r="T6" s="3">
        <f>O6+Q6</f>
        <v/>
      </c>
      <c r="U6" s="3" t="n">
        <v>515</v>
      </c>
      <c r="V6" s="3" t="n">
        <v>263</v>
      </c>
      <c r="W6" s="3">
        <f>U6+V6</f>
        <v/>
      </c>
      <c r="X6" s="3">
        <f>T6-W6</f>
        <v/>
      </c>
      <c r="Y6" s="4" t="n">
        <v>93.598</v>
      </c>
      <c r="Z6" s="3" t="n">
        <v>1155652</v>
      </c>
      <c r="AA6" s="3">
        <f>TABL12[[#This Row],[(RESV. STORGE) AJD]]/10</f>
        <v/>
      </c>
      <c r="AB6" s="3">
        <f>(Z6-Z5)/1000</f>
        <v/>
      </c>
      <c r="AC6" s="6" t="n">
        <v>1118</v>
      </c>
      <c r="AD6" s="5">
        <f>TABL12[[#This Row],[( S/S+T/B) AJD]]-(TABL12[[#This Row],[(A/B + A/S) AJD]]+TABL12[[#This Row],[(STORGE DIFF.) AJD]]+(TABL12[[#This Row],[AJD_Evaporation]]))</f>
        <v/>
      </c>
      <c r="AE6" s="6" t="n">
        <v>60</v>
      </c>
      <c r="AF6" s="33" t="n">
        <v>59.158</v>
      </c>
      <c r="AG6" s="6" t="n">
        <v>1728069</v>
      </c>
      <c r="AH6" s="6">
        <f>TABL12[[#This Row],[ (RESV. STORGE) BER]]/10</f>
        <v/>
      </c>
      <c r="AI6" s="6" t="n">
        <v>1639</v>
      </c>
      <c r="AJ6" s="6">
        <f>TABL12[[#This Row],[(A/B) AJD]]-TABL12[[#This Row],[BER_IN]]</f>
        <v/>
      </c>
      <c r="AK6" s="6" t="n">
        <v>40</v>
      </c>
      <c r="AL6" s="33" t="n">
        <v>44.1898</v>
      </c>
      <c r="AM6" s="6" t="n">
        <v>3757756</v>
      </c>
      <c r="AN6" s="6">
        <f>TABL12[[#This Row],[ (RESV. STORGE) SER]]/10</f>
        <v/>
      </c>
      <c r="AO6" s="6" t="n">
        <v>610</v>
      </c>
      <c r="AP6" s="32">
        <f>TABL12[[#This Row],[(A/S) AJD]]-TABL12[[#This Row],[SER_IN]]</f>
        <v/>
      </c>
    </row>
    <row r="7">
      <c r="A7" s="2" t="n">
        <v>45663</v>
      </c>
      <c r="B7" s="28" t="n">
        <v>36</v>
      </c>
      <c r="C7" s="28" t="n">
        <v>308</v>
      </c>
      <c r="D7" s="28" t="n">
        <v>36</v>
      </c>
      <c r="E7" s="28" t="n">
        <v>0</v>
      </c>
      <c r="F7" s="28" t="n">
        <v>88</v>
      </c>
      <c r="G7" s="28" t="n">
        <v>533</v>
      </c>
      <c r="H7" s="28" t="n">
        <v>0</v>
      </c>
      <c r="I7" s="28" t="n">
        <v>401</v>
      </c>
      <c r="J7" s="28" t="n">
        <v>419</v>
      </c>
      <c r="K7" s="28">
        <f>TABL12[[#This Row],[ (T/B) SAR]]+TABL12[[#This Row],[ (S/S) SAR]]</f>
        <v/>
      </c>
      <c r="L7" s="28" t="n">
        <v>288</v>
      </c>
      <c r="M7" s="29" t="n">
        <v>23.6</v>
      </c>
      <c r="N7" s="30" t="n">
        <v>7.25</v>
      </c>
      <c r="O7" s="3" t="n">
        <v>369</v>
      </c>
      <c r="P7" s="3">
        <f>TABL12[[#This Row],[ (S/S) SAR]]-TABL12[[#This Row],[(S/S) AJD]]</f>
        <v/>
      </c>
      <c r="Q7" s="3" t="n">
        <v>410</v>
      </c>
      <c r="R7" s="3">
        <f>TABL12[[#This Row],[ (T/B) SAR]]-TABL12[[#This Row],[(T/B) AJD]]</f>
        <v/>
      </c>
      <c r="S7" s="3">
        <f>TABL12[[#This Row],[S/S_CON.]]+TABL12[[#This Row],[T/B-CON.]]</f>
        <v/>
      </c>
      <c r="T7" s="3">
        <f>O7+Q7</f>
        <v/>
      </c>
      <c r="U7" s="3" t="n">
        <v>516</v>
      </c>
      <c r="V7" s="3" t="n">
        <v>269</v>
      </c>
      <c r="W7" s="3">
        <f>U7+V7</f>
        <v/>
      </c>
      <c r="X7" s="3">
        <f>T7-W7</f>
        <v/>
      </c>
      <c r="Y7" s="4" t="n">
        <v>93.54000000000001</v>
      </c>
      <c r="Z7" s="3" t="n">
        <v>1120590</v>
      </c>
      <c r="AA7" s="3">
        <f>TABL12[[#This Row],[(RESV. STORGE) AJD]]/10</f>
        <v/>
      </c>
      <c r="AB7" s="3">
        <f>(Z7-Z6)/1000</f>
        <v/>
      </c>
      <c r="AC7" s="6" t="n">
        <v>1176</v>
      </c>
      <c r="AD7" s="5">
        <f>TABL12[[#This Row],[( S/S+T/B) AJD]]-(TABL12[[#This Row],[(A/B + A/S) AJD]]+TABL12[[#This Row],[(STORGE DIFF.) AJD]]+(TABL12[[#This Row],[AJD_Evaporation]]))</f>
        <v/>
      </c>
      <c r="AE7" s="6" t="n">
        <v>60</v>
      </c>
      <c r="AF7" s="33" t="n">
        <v>59.185</v>
      </c>
      <c r="AG7" s="6" t="n">
        <v>1745935</v>
      </c>
      <c r="AH7" s="6">
        <f>TABL12[[#This Row],[ (RESV. STORGE) BER]]/10</f>
        <v/>
      </c>
      <c r="AI7" s="6" t="n">
        <v>2294</v>
      </c>
      <c r="AJ7" s="6">
        <f>TABL12[[#This Row],[(A/B) AJD]]-TABL12[[#This Row],[BER_IN]]</f>
        <v/>
      </c>
      <c r="AK7" s="6" t="n">
        <v>42</v>
      </c>
      <c r="AL7" s="33" t="n">
        <v>44.2661</v>
      </c>
      <c r="AM7" s="6" t="n">
        <v>3799600</v>
      </c>
      <c r="AN7" s="6">
        <f>TABL12[[#This Row],[ (RESV. STORGE) SER]]/10</f>
        <v/>
      </c>
      <c r="AO7" s="6" t="n">
        <v>156</v>
      </c>
      <c r="AP7" s="32">
        <f>TABL12[[#This Row],[(A/S) AJD]]-TABL12[[#This Row],[SER_IN]]</f>
        <v/>
      </c>
    </row>
    <row r="8">
      <c r="A8" s="2" t="n">
        <v>45664</v>
      </c>
      <c r="B8" s="28" t="n">
        <v>36</v>
      </c>
      <c r="C8" s="28" t="n">
        <v>309</v>
      </c>
      <c r="D8" s="28" t="n">
        <v>36</v>
      </c>
      <c r="E8" s="28" t="n">
        <v>0</v>
      </c>
      <c r="F8" s="28" t="n">
        <v>88</v>
      </c>
      <c r="G8" s="28" t="n">
        <v>539</v>
      </c>
      <c r="H8" s="28" t="n">
        <v>0</v>
      </c>
      <c r="I8" s="28" t="n">
        <v>399</v>
      </c>
      <c r="J8" s="28" t="n">
        <v>417</v>
      </c>
      <c r="K8" s="28">
        <f>TABL12[[#This Row],[ (T/B) SAR]]+TABL12[[#This Row],[ (S/S) SAR]]</f>
        <v/>
      </c>
      <c r="L8" s="28" t="n">
        <v>287</v>
      </c>
      <c r="M8" s="29" t="n">
        <v>23.6</v>
      </c>
      <c r="N8" s="30" t="n">
        <v>7.34</v>
      </c>
      <c r="O8" s="3" t="n">
        <v>372</v>
      </c>
      <c r="P8" s="3">
        <f>TABL12[[#This Row],[ (S/S) SAR]]-TABL12[[#This Row],[(S/S) AJD]]</f>
        <v/>
      </c>
      <c r="Q8" s="3" t="n">
        <v>412</v>
      </c>
      <c r="R8" s="3">
        <f>TABL12[[#This Row],[ (T/B) SAR]]-TABL12[[#This Row],[(T/B) AJD]]</f>
        <v/>
      </c>
      <c r="S8" s="3">
        <f>TABL12[[#This Row],[S/S_CON.]]+TABL12[[#This Row],[T/B-CON.]]</f>
        <v/>
      </c>
      <c r="T8" s="3">
        <f>O8+Q8</f>
        <v/>
      </c>
      <c r="U8" s="3" t="n">
        <v>524</v>
      </c>
      <c r="V8" s="3" t="n">
        <v>267</v>
      </c>
      <c r="W8" s="3">
        <f>U8+V8</f>
        <v/>
      </c>
      <c r="X8" s="3">
        <f>T8-W8</f>
        <v/>
      </c>
      <c r="Y8" s="4" t="n">
        <v>93.45</v>
      </c>
      <c r="Z8" s="3" t="n">
        <v>1066239</v>
      </c>
      <c r="AA8" s="3">
        <f>TABL12[[#This Row],[(RESV. STORGE) AJD]]/10</f>
        <v/>
      </c>
      <c r="AB8" s="3">
        <f>(Z8-Z7)/1000</f>
        <v/>
      </c>
      <c r="AC8" s="6" t="n">
        <v>1191</v>
      </c>
      <c r="AD8" s="5">
        <f>TABL12[[#This Row],[( S/S+T/B) AJD]]-(TABL12[[#This Row],[(A/B + A/S) AJD]]+TABL12[[#This Row],[(STORGE DIFF.) AJD]]+(TABL12[[#This Row],[AJD_Evaporation]]))</f>
        <v/>
      </c>
      <c r="AE8" s="6" t="n">
        <v>60</v>
      </c>
      <c r="AF8" s="33" t="n">
        <v>59.212</v>
      </c>
      <c r="AG8" s="6" t="n">
        <v>1763806</v>
      </c>
      <c r="AH8" s="6">
        <f>TABL12[[#This Row],[ (RESV. STORGE) BER]]/10</f>
        <v/>
      </c>
      <c r="AI8" s="6" t="n">
        <v>2288</v>
      </c>
      <c r="AJ8" s="6">
        <f>TABL12[[#This Row],[(A/B) AJD]]-TABL12[[#This Row],[BER_IN]]</f>
        <v/>
      </c>
      <c r="AK8" s="6" t="n">
        <v>44</v>
      </c>
      <c r="AL8" s="33" t="n">
        <v>44.344</v>
      </c>
      <c r="AM8" s="6" t="n">
        <v>3842640</v>
      </c>
      <c r="AN8" s="6">
        <f>TABL12[[#This Row],[ (RESV. STORGE) SER]]/10</f>
        <v/>
      </c>
      <c r="AO8" s="6" t="n">
        <v>960</v>
      </c>
      <c r="AP8" s="32">
        <f>TABL12[[#This Row],[(A/S) AJD]]-TABL12[[#This Row],[SER_IN]]</f>
        <v/>
      </c>
    </row>
    <row r="9">
      <c r="A9" s="2" t="n">
        <v>45665</v>
      </c>
      <c r="B9" s="28" t="n">
        <v>35</v>
      </c>
      <c r="C9" s="28" t="n">
        <v>298</v>
      </c>
      <c r="D9" s="28" t="n">
        <v>36</v>
      </c>
      <c r="E9" s="28" t="n">
        <v>0</v>
      </c>
      <c r="F9" s="28" t="n">
        <v>88</v>
      </c>
      <c r="G9" s="28" t="n">
        <v>540</v>
      </c>
      <c r="H9" s="28" t="n">
        <v>0</v>
      </c>
      <c r="I9" s="28" t="n">
        <v>402</v>
      </c>
      <c r="J9" s="28" t="n">
        <v>421</v>
      </c>
      <c r="K9" s="28">
        <f>TABL12[[#This Row],[ (T/B) SAR]]+TABL12[[#This Row],[ (S/S) SAR]]</f>
        <v/>
      </c>
      <c r="L9" s="28" t="n">
        <v>290</v>
      </c>
      <c r="M9" s="29" t="n">
        <v>23.6</v>
      </c>
      <c r="N9" s="30" t="n">
        <v>7.37</v>
      </c>
      <c r="O9" s="3" t="n">
        <v>374</v>
      </c>
      <c r="P9" s="3">
        <f>TABL12[[#This Row],[ (S/S) SAR]]-TABL12[[#This Row],[(S/S) AJD]]</f>
        <v/>
      </c>
      <c r="Q9" s="3" t="n">
        <v>414</v>
      </c>
      <c r="R9" s="3">
        <f>TABL12[[#This Row],[ (T/B) SAR]]-TABL12[[#This Row],[(T/B) AJD]]</f>
        <v/>
      </c>
      <c r="S9" s="3">
        <f>TABL12[[#This Row],[S/S_CON.]]+TABL12[[#This Row],[T/B-CON.]]</f>
        <v/>
      </c>
      <c r="T9" s="3">
        <f>O9+Q9</f>
        <v/>
      </c>
      <c r="U9" s="3" t="n">
        <v>518</v>
      </c>
      <c r="V9" s="3" t="n">
        <v>287</v>
      </c>
      <c r="W9" s="3">
        <f>U9+V9</f>
        <v/>
      </c>
      <c r="X9" s="3">
        <f>T9-W9</f>
        <v/>
      </c>
      <c r="Y9" s="4" t="n">
        <v>93.34099999999999</v>
      </c>
      <c r="Z9" s="3" t="n">
        <v>1000504</v>
      </c>
      <c r="AA9" s="3">
        <f>TABL12[[#This Row],[(RESV. STORGE) AJD]]/10</f>
        <v/>
      </c>
      <c r="AB9" s="3">
        <f>(Z9-Z8)/1000</f>
        <v/>
      </c>
      <c r="AC9" s="6" t="n">
        <v>1191</v>
      </c>
      <c r="AD9" s="5">
        <f>TABL12[[#This Row],[( S/S+T/B) AJD]]-(TABL12[[#This Row],[(A/B + A/S) AJD]]+TABL12[[#This Row],[(STORGE DIFF.) AJD]]+(TABL12[[#This Row],[AJD_Evaporation]]))</f>
        <v/>
      </c>
      <c r="AE9" s="6" t="n">
        <v>60</v>
      </c>
      <c r="AF9" s="33" t="n">
        <v>59.239</v>
      </c>
      <c r="AG9" s="6" t="n">
        <v>1781684</v>
      </c>
      <c r="AH9" s="6">
        <f>TABL12[[#This Row],[ (RESV. STORGE) BER]]/10</f>
        <v/>
      </c>
      <c r="AI9" s="6" t="n">
        <v>2281</v>
      </c>
      <c r="AJ9" s="6">
        <f>TABL12[[#This Row],[(A/B) AJD]]-TABL12[[#This Row],[BER_IN]]</f>
        <v/>
      </c>
      <c r="AK9" s="6" t="n">
        <v>44</v>
      </c>
      <c r="AL9" s="33" t="n">
        <v>44.4075</v>
      </c>
      <c r="AM9" s="6" t="n">
        <v>3877416</v>
      </c>
      <c r="AN9" s="6">
        <f>TABL12[[#This Row],[ (RESV. STORGE) SER]]/10</f>
        <v/>
      </c>
      <c r="AO9" s="6" t="n">
        <v>978</v>
      </c>
      <c r="AP9" s="32">
        <f>TABL12[[#This Row],[(A/S) AJD]]-TABL12[[#This Row],[SER_IN]]</f>
        <v/>
      </c>
    </row>
    <row r="10">
      <c r="A10" s="2" t="n">
        <v>45666</v>
      </c>
      <c r="B10" s="28" t="n">
        <v>36</v>
      </c>
      <c r="C10" s="28" t="n">
        <v>298</v>
      </c>
      <c r="D10" s="28" t="n">
        <v>37</v>
      </c>
      <c r="E10" s="28" t="n">
        <v>0</v>
      </c>
      <c r="F10" s="28" t="n">
        <v>87</v>
      </c>
      <c r="G10" s="28" t="n">
        <v>541</v>
      </c>
      <c r="H10" s="28" t="n">
        <v>1</v>
      </c>
      <c r="I10" s="28" t="n">
        <v>405</v>
      </c>
      <c r="J10" s="28" t="n">
        <v>423</v>
      </c>
      <c r="K10" s="28">
        <f>TABL12[[#This Row],[ (T/B) SAR]]+TABL12[[#This Row],[ (S/S) SAR]]</f>
        <v/>
      </c>
      <c r="L10" s="28" t="n">
        <v>289</v>
      </c>
      <c r="M10" s="29" t="n">
        <v>23.6</v>
      </c>
      <c r="N10" s="30" t="n">
        <v>7.38</v>
      </c>
      <c r="O10" s="3" t="n">
        <v>374</v>
      </c>
      <c r="P10" s="3">
        <f>TABL12[[#This Row],[ (S/S) SAR]]-TABL12[[#This Row],[(S/S) AJD]]</f>
        <v/>
      </c>
      <c r="Q10" s="3" t="n">
        <v>414</v>
      </c>
      <c r="R10" s="3">
        <f>TABL12[[#This Row],[ (T/B) SAR]]-TABL12[[#This Row],[(T/B) AJD]]</f>
        <v/>
      </c>
      <c r="S10" s="3">
        <f>TABL12[[#This Row],[S/S_CON.]]+TABL12[[#This Row],[T/B-CON.]]</f>
        <v/>
      </c>
      <c r="T10" s="3">
        <f>O10+Q10</f>
        <v/>
      </c>
      <c r="U10" s="3" t="n">
        <v>520</v>
      </c>
      <c r="V10" s="3" t="n">
        <v>287</v>
      </c>
      <c r="W10" s="3">
        <f>U10+V10</f>
        <v/>
      </c>
      <c r="X10" s="3">
        <f>T10-W10</f>
        <v/>
      </c>
      <c r="Y10" s="4" t="n">
        <v>93.256</v>
      </c>
      <c r="Z10" s="3" t="n">
        <v>949311</v>
      </c>
      <c r="AA10" s="3">
        <f>TABL12[[#This Row],[(RESV. STORGE) AJD]]/10</f>
        <v/>
      </c>
      <c r="AB10" s="3">
        <f>(Z10-Z9)/1000</f>
        <v/>
      </c>
      <c r="AC10" s="6" t="n">
        <v>1095</v>
      </c>
      <c r="AD10" s="5">
        <f>TABL12[[#This Row],[( S/S+T/B) AJD]]-(TABL12[[#This Row],[(A/B + A/S) AJD]]+TABL12[[#This Row],[(STORGE DIFF.) AJD]]+(TABL12[[#This Row],[AJD_Evaporation]]))</f>
        <v/>
      </c>
      <c r="AE10" s="6" t="n">
        <v>60</v>
      </c>
      <c r="AF10" s="33" t="n">
        <v>59.267</v>
      </c>
      <c r="AG10" s="6" t="n">
        <v>1800231</v>
      </c>
      <c r="AH10" s="6">
        <f>TABL12[[#This Row],[ (RESV. STORGE) BER]]/10</f>
        <v/>
      </c>
      <c r="AI10" s="6" t="n">
        <v>1613</v>
      </c>
      <c r="AJ10" s="6">
        <f>TABL12[[#This Row],[(A/B) AJD]]-TABL12[[#This Row],[BER_IN]]</f>
        <v/>
      </c>
      <c r="AK10" s="6" t="n">
        <v>44</v>
      </c>
      <c r="AL10" s="33" t="n">
        <v>44.4728</v>
      </c>
      <c r="AM10" s="6" t="n">
        <v>3913550</v>
      </c>
      <c r="AN10" s="6">
        <f>TABL12[[#This Row],[ (RESV. STORGE) SER]]/10</f>
        <v/>
      </c>
      <c r="AO10" s="6" t="n">
        <v>630</v>
      </c>
      <c r="AP10" s="32">
        <f>TABL12[[#This Row],[(A/S) AJD]]-TABL12[[#This Row],[SER_IN]]</f>
        <v/>
      </c>
    </row>
    <row r="11">
      <c r="A11" s="2" t="n">
        <v>45667</v>
      </c>
      <c r="B11" s="28" t="n">
        <v>36</v>
      </c>
      <c r="C11" s="28" t="n">
        <v>298</v>
      </c>
      <c r="D11" s="28" t="n">
        <v>37</v>
      </c>
      <c r="E11" s="28" t="n">
        <v>0</v>
      </c>
      <c r="F11" s="28" t="n">
        <v>86</v>
      </c>
      <c r="G11" s="28" t="n">
        <v>547</v>
      </c>
      <c r="H11" s="28" t="n">
        <v>2</v>
      </c>
      <c r="I11" s="28" t="n">
        <v>404</v>
      </c>
      <c r="J11" s="28" t="n">
        <v>423</v>
      </c>
      <c r="K11" s="28">
        <f>TABL12[[#This Row],[ (T/B) SAR]]+TABL12[[#This Row],[ (S/S) SAR]]</f>
        <v/>
      </c>
      <c r="L11" s="28" t="n">
        <v>290</v>
      </c>
      <c r="M11" s="29" t="n">
        <v>23.6</v>
      </c>
      <c r="N11" s="30" t="n">
        <v>7.45</v>
      </c>
      <c r="O11" s="3" t="n">
        <v>377</v>
      </c>
      <c r="P11" s="3">
        <f>TABL12[[#This Row],[ (S/S) SAR]]-TABL12[[#This Row],[(S/S) AJD]]</f>
        <v/>
      </c>
      <c r="Q11" s="3" t="n">
        <v>418</v>
      </c>
      <c r="R11" s="3">
        <f>TABL12[[#This Row],[ (T/B) SAR]]-TABL12[[#This Row],[(T/B) AJD]]</f>
        <v/>
      </c>
      <c r="S11" s="3">
        <f>TABL12[[#This Row],[S/S_CON.]]+TABL12[[#This Row],[T/B-CON.]]</f>
        <v/>
      </c>
      <c r="T11" s="3">
        <f>O11+Q11</f>
        <v/>
      </c>
      <c r="U11" s="3" t="n">
        <v>514</v>
      </c>
      <c r="V11" s="3" t="n">
        <v>256</v>
      </c>
      <c r="W11" s="3">
        <f>U11+V11</f>
        <v/>
      </c>
      <c r="X11" s="3">
        <f>T11-W11</f>
        <v/>
      </c>
      <c r="Y11" s="4" t="n">
        <v>93.258</v>
      </c>
      <c r="Z11" s="3" t="n">
        <v>950514</v>
      </c>
      <c r="AA11" s="3">
        <f>TABL12[[#This Row],[(RESV. STORGE) AJD]]/10</f>
        <v/>
      </c>
      <c r="AB11" s="3">
        <f>(Z11-Z10)/1000</f>
        <v/>
      </c>
      <c r="AC11" s="6" t="n">
        <v>1095</v>
      </c>
      <c r="AD11" s="5">
        <f>TABL12[[#This Row],[( S/S+T/B) AJD]]-(TABL12[[#This Row],[(A/B + A/S) AJD]]+TABL12[[#This Row],[(STORGE DIFF.) AJD]]+(TABL12[[#This Row],[AJD_Evaporation]]))</f>
        <v/>
      </c>
      <c r="AE11" s="6" t="n">
        <v>60</v>
      </c>
      <c r="AF11" s="33" t="n">
        <v>59.295</v>
      </c>
      <c r="AG11" s="6" t="n">
        <v>1818785</v>
      </c>
      <c r="AH11" s="6">
        <f>TABL12[[#This Row],[ (RESV. STORGE) BER]]/10</f>
        <v/>
      </c>
      <c r="AI11" s="6" t="n">
        <v>1606</v>
      </c>
      <c r="AJ11" s="6">
        <f>TABL12[[#This Row],[(A/B) AJD]]-TABL12[[#This Row],[BER_IN]]</f>
        <v/>
      </c>
      <c r="AK11" s="6" t="n">
        <v>44</v>
      </c>
      <c r="AL11" s="33" t="n">
        <v>44.5573</v>
      </c>
      <c r="AM11" s="6" t="n">
        <v>3960320</v>
      </c>
      <c r="AN11" s="6">
        <f>TABL12[[#This Row],[ (RESV. STORGE) SER]]/10</f>
        <v/>
      </c>
      <c r="AO11" s="6" t="n">
        <v>230</v>
      </c>
      <c r="AP11" s="32">
        <f>TABL12[[#This Row],[(A/S) AJD]]-TABL12[[#This Row],[SER_IN]]</f>
        <v/>
      </c>
    </row>
    <row r="12">
      <c r="A12" s="2" t="n">
        <v>45668</v>
      </c>
      <c r="B12" s="28" t="n">
        <v>38</v>
      </c>
      <c r="C12" s="28" t="n">
        <v>328</v>
      </c>
      <c r="D12" s="28" t="n">
        <v>38</v>
      </c>
      <c r="E12" s="28" t="n">
        <v>0</v>
      </c>
      <c r="F12" s="28" t="n">
        <v>86</v>
      </c>
      <c r="G12" s="28" t="n">
        <v>546</v>
      </c>
      <c r="H12" s="28" t="n">
        <v>2</v>
      </c>
      <c r="I12" s="28" t="n">
        <v>424</v>
      </c>
      <c r="J12" s="28" t="n">
        <v>405</v>
      </c>
      <c r="K12" s="28">
        <f>TABL12[[#This Row],[ (T/B) SAR]]+TABL12[[#This Row],[ (S/S) SAR]]</f>
        <v/>
      </c>
      <c r="L12" s="28" t="n">
        <v>292</v>
      </c>
      <c r="M12" s="29" t="n">
        <v>23.6</v>
      </c>
      <c r="N12" s="30" t="n">
        <v>7.58</v>
      </c>
      <c r="O12" s="3" t="n">
        <v>378</v>
      </c>
      <c r="P12" s="3">
        <f>TABL12[[#This Row],[ (S/S) SAR]]-TABL12[[#This Row],[(S/S) AJD]]</f>
        <v/>
      </c>
      <c r="Q12" s="3" t="n">
        <v>418</v>
      </c>
      <c r="R12" s="3">
        <f>TABL12[[#This Row],[ (T/B) SAR]]-TABL12[[#This Row],[(T/B) AJD]]</f>
        <v/>
      </c>
      <c r="S12" s="3">
        <f>TABL12[[#This Row],[S/S_CON.]]+TABL12[[#This Row],[T/B-CON.]]</f>
        <v/>
      </c>
      <c r="T12" s="3">
        <f>O12+Q12</f>
        <v/>
      </c>
      <c r="U12" s="3" t="n">
        <v>519</v>
      </c>
      <c r="V12" s="3" t="n">
        <v>253</v>
      </c>
      <c r="W12" s="3">
        <f>U12+V12</f>
        <v/>
      </c>
      <c r="X12" s="3">
        <f>T12-W12</f>
        <v/>
      </c>
      <c r="Y12" s="4" t="n">
        <v>93.248</v>
      </c>
      <c r="Z12" s="3" t="n">
        <v>944496</v>
      </c>
      <c r="AA12" s="3">
        <f>TABL12[[#This Row],[(RESV. STORGE) AJD]]/10</f>
        <v/>
      </c>
      <c r="AB12" s="3">
        <f>(Z12-Z11)/1000</f>
        <v/>
      </c>
      <c r="AC12" s="6" t="n">
        <v>910</v>
      </c>
      <c r="AD12" s="5">
        <f>TABL12[[#This Row],[( S/S+T/B) AJD]]-(TABL12[[#This Row],[(A/B + A/S) AJD]]+TABL12[[#This Row],[(STORGE DIFF.) AJD]]+(TABL12[[#This Row],[AJD_Evaporation]]))</f>
        <v/>
      </c>
      <c r="AE12" s="6" t="n">
        <v>60</v>
      </c>
      <c r="AF12" s="33" t="n">
        <v>59.323</v>
      </c>
      <c r="AG12" s="6" t="n">
        <v>1837346</v>
      </c>
      <c r="AH12" s="6">
        <f>TABL12[[#This Row],[ (RESV. STORGE) BER]]/10</f>
        <v/>
      </c>
      <c r="AI12" s="6" t="n">
        <v>1599</v>
      </c>
      <c r="AJ12" s="6">
        <f>TABL12[[#This Row],[(A/B) AJD]]-TABL12[[#This Row],[BER_IN]]</f>
        <v/>
      </c>
      <c r="AK12" s="6" t="n">
        <v>44</v>
      </c>
      <c r="AL12" s="33" t="n">
        <v>44.6324</v>
      </c>
      <c r="AM12" s="6" t="n">
        <v>4001990</v>
      </c>
      <c r="AN12" s="6">
        <f>TABL12[[#This Row],[ (RESV. STORGE) SER]]/10</f>
        <v/>
      </c>
      <c r="AO12" s="6" t="n">
        <v>560</v>
      </c>
      <c r="AP12" s="32">
        <f>TABL12[[#This Row],[(A/S) AJD]]-TABL12[[#This Row],[SER_IN]]</f>
        <v/>
      </c>
    </row>
    <row r="13">
      <c r="A13" s="2" t="n">
        <v>45669</v>
      </c>
      <c r="B13" s="28" t="n">
        <v>38</v>
      </c>
      <c r="C13" s="28" t="n">
        <v>319</v>
      </c>
      <c r="D13" s="28" t="n">
        <v>38</v>
      </c>
      <c r="E13" s="28" t="n">
        <v>0</v>
      </c>
      <c r="F13" s="28" t="n">
        <v>87</v>
      </c>
      <c r="G13" s="28" t="n">
        <v>546</v>
      </c>
      <c r="H13" s="28" t="n">
        <v>1</v>
      </c>
      <c r="I13" s="28" t="n">
        <v>409</v>
      </c>
      <c r="J13" s="28" t="n">
        <v>428</v>
      </c>
      <c r="K13" s="28">
        <f>TABL12[[#This Row],[ (T/B) SAR]]+TABL12[[#This Row],[ (S/S) SAR]]</f>
        <v/>
      </c>
      <c r="L13" s="28" t="n">
        <v>294</v>
      </c>
      <c r="M13" s="29" t="n">
        <v>23.6</v>
      </c>
      <c r="N13" s="30" t="n">
        <v>7.68</v>
      </c>
      <c r="O13" s="3" t="n">
        <v>379</v>
      </c>
      <c r="P13" s="3">
        <f>TABL12[[#This Row],[ (S/S) SAR]]-TABL12[[#This Row],[(S/S) AJD]]</f>
        <v/>
      </c>
      <c r="Q13" s="3" t="n">
        <v>419</v>
      </c>
      <c r="R13" s="3">
        <f>TABL12[[#This Row],[ (T/B) SAR]]-TABL12[[#This Row],[(T/B) AJD]]</f>
        <v/>
      </c>
      <c r="S13" s="3">
        <f>TABL12[[#This Row],[S/S_CON.]]+TABL12[[#This Row],[T/B-CON.]]</f>
        <v/>
      </c>
      <c r="T13" s="3">
        <f>O13+Q13</f>
        <v/>
      </c>
      <c r="U13" s="3" t="n">
        <v>511</v>
      </c>
      <c r="V13" s="3" t="n">
        <v>267</v>
      </c>
      <c r="W13" s="3">
        <f>U13+V13</f>
        <v/>
      </c>
      <c r="X13" s="3">
        <f>T13-W13</f>
        <v/>
      </c>
      <c r="Y13" s="4" t="n">
        <v>93.241</v>
      </c>
      <c r="Z13" s="3" t="n">
        <v>940283</v>
      </c>
      <c r="AA13" s="3">
        <f>TABL12[[#This Row],[(RESV. STORGE) AJD]]/10</f>
        <v/>
      </c>
      <c r="AB13" s="3">
        <f>(Z13-Z12)/1000</f>
        <v/>
      </c>
      <c r="AC13" s="6" t="n">
        <v>1070</v>
      </c>
      <c r="AD13" s="5">
        <f>TABL12[[#This Row],[( S/S+T/B) AJD]]-(TABL12[[#This Row],[(A/B + A/S) AJD]]+TABL12[[#This Row],[(STORGE DIFF.) AJD]]+(TABL12[[#This Row],[AJD_Evaporation]]))</f>
        <v/>
      </c>
      <c r="AE13" s="6" t="n">
        <v>60</v>
      </c>
      <c r="AF13" s="33" t="n">
        <v>59.351</v>
      </c>
      <c r="AG13" s="6" t="n">
        <v>1855913</v>
      </c>
      <c r="AH13" s="6">
        <f>TABL12[[#This Row],[ (RESV. STORGE) BER]]/10</f>
        <v/>
      </c>
      <c r="AI13" s="6" t="n">
        <v>1592</v>
      </c>
      <c r="AJ13" s="6">
        <f>TABL12[[#This Row],[(A/B) AJD]]-TABL12[[#This Row],[BER_IN]]</f>
        <v/>
      </c>
      <c r="AK13" s="6" t="n">
        <v>44</v>
      </c>
      <c r="AL13" s="33" t="n">
        <v>44.7077</v>
      </c>
      <c r="AM13" s="6" t="n">
        <v>4043770</v>
      </c>
      <c r="AN13" s="6">
        <f>TABL12[[#This Row],[ (RESV. STORGE) SER]]/10</f>
        <v/>
      </c>
      <c r="AO13" s="6" t="n">
        <v>530</v>
      </c>
      <c r="AP13" s="32">
        <f>TABL12[[#This Row],[(A/S) AJD]]-TABL12[[#This Row],[SER_IN]]</f>
        <v/>
      </c>
    </row>
    <row r="14">
      <c r="A14" s="2" t="n">
        <v>45670</v>
      </c>
      <c r="B14" s="28" t="n">
        <v>38</v>
      </c>
      <c r="C14" s="28" t="n">
        <v>320</v>
      </c>
      <c r="D14" s="28" t="n">
        <v>38</v>
      </c>
      <c r="E14" s="28" t="n">
        <v>0</v>
      </c>
      <c r="F14" s="28" t="n">
        <v>88</v>
      </c>
      <c r="G14" s="28" t="n">
        <v>568.48</v>
      </c>
      <c r="H14" s="28" t="n">
        <v>0</v>
      </c>
      <c r="I14" s="28" t="n">
        <v>444.74</v>
      </c>
      <c r="J14" s="28" t="n">
        <v>440.74</v>
      </c>
      <c r="K14" s="28">
        <f>TABL12[[#This Row],[ (T/B) SAR]]+TABL12[[#This Row],[ (S/S) SAR]]</f>
        <v/>
      </c>
      <c r="L14" s="28" t="n">
        <v>317</v>
      </c>
      <c r="M14" s="29" t="n">
        <v>23.6</v>
      </c>
      <c r="N14" s="30" t="n">
        <v>7.77</v>
      </c>
      <c r="O14" s="3" t="n">
        <v>383</v>
      </c>
      <c r="P14" s="3">
        <f>TABL12[[#This Row],[ (S/S) SAR]]-TABL12[[#This Row],[(S/S) AJD]]</f>
        <v/>
      </c>
      <c r="Q14" s="3" t="n">
        <v>424</v>
      </c>
      <c r="R14" s="3">
        <f>TABL12[[#This Row],[ (T/B) SAR]]-TABL12[[#This Row],[(T/B) AJD]]</f>
        <v/>
      </c>
      <c r="S14" s="3">
        <f>TABL12[[#This Row],[S/S_CON.]]+TABL12[[#This Row],[T/B-CON.]]</f>
        <v/>
      </c>
      <c r="T14" s="3">
        <f>O14+Q14</f>
        <v/>
      </c>
      <c r="U14" s="3" t="n">
        <v>518</v>
      </c>
      <c r="V14" s="3" t="n">
        <v>275</v>
      </c>
      <c r="W14" s="3">
        <f>U14+V14</f>
        <v/>
      </c>
      <c r="X14" s="3">
        <f>T14-W14</f>
        <v/>
      </c>
      <c r="Y14" s="4" t="n">
        <v>93.218</v>
      </c>
      <c r="Z14" s="3" t="n">
        <v>926444</v>
      </c>
      <c r="AA14" s="3">
        <f>TABL12[[#This Row],[(RESV. STORGE) AJD]]/10</f>
        <v/>
      </c>
      <c r="AB14" s="3">
        <f>(Z14-Z13)/1000</f>
        <v/>
      </c>
      <c r="AC14" s="6" t="n">
        <v>1137</v>
      </c>
      <c r="AD14" s="5">
        <f>TABL12[[#This Row],[( S/S+T/B) AJD]]-(TABL12[[#This Row],[(A/B + A/S) AJD]]+TABL12[[#This Row],[(STORGE DIFF.) AJD]]+(TABL12[[#This Row],[AJD_Evaporation]]))</f>
        <v/>
      </c>
      <c r="AE14" s="6" t="n">
        <v>60</v>
      </c>
      <c r="AF14" s="33" t="n">
        <v>59.379</v>
      </c>
      <c r="AG14" s="6" t="n">
        <v>1874487</v>
      </c>
      <c r="AH14" s="6">
        <f>TABL12[[#This Row],[ (RESV. STORGE) BER]]/10</f>
        <v/>
      </c>
      <c r="AI14" s="6" t="n">
        <v>1585</v>
      </c>
      <c r="AJ14" s="6">
        <f>TABL12[[#This Row],[(A/B) AJD]]-TABL12[[#This Row],[BER_IN]]</f>
        <v/>
      </c>
      <c r="AK14" s="6" t="n">
        <v>44</v>
      </c>
      <c r="AL14" s="33" t="n">
        <v>44.7784</v>
      </c>
      <c r="AM14" s="6" t="n">
        <v>4082810</v>
      </c>
      <c r="AN14" s="6">
        <f>TABL12[[#This Row],[ (RESV. STORGE) SER]]/10</f>
        <v/>
      </c>
      <c r="AO14" s="6" t="n">
        <v>580</v>
      </c>
      <c r="AP14" s="32">
        <f>TABL12[[#This Row],[(A/S) AJD]]-TABL12[[#This Row],[SER_IN]]</f>
        <v/>
      </c>
    </row>
    <row r="15">
      <c r="A15" s="2" t="n">
        <v>45671</v>
      </c>
      <c r="B15" s="28" t="n">
        <v>38</v>
      </c>
      <c r="C15" s="28" t="n">
        <v>321</v>
      </c>
      <c r="D15" s="28" t="n">
        <v>38</v>
      </c>
      <c r="E15" s="28" t="n">
        <v>0</v>
      </c>
      <c r="F15" s="28" t="n">
        <v>88</v>
      </c>
      <c r="G15" s="28" t="n">
        <v>569.36</v>
      </c>
      <c r="H15" s="28" t="n">
        <v>0</v>
      </c>
      <c r="I15" s="28" t="n">
        <v>445.68</v>
      </c>
      <c r="J15" s="28" t="n">
        <v>441.68</v>
      </c>
      <c r="K15" s="28">
        <f>TABL12[[#This Row],[ (T/B) SAR]]+TABL12[[#This Row],[ (S/S) SAR]]</f>
        <v/>
      </c>
      <c r="L15" s="28" t="n">
        <v>318</v>
      </c>
      <c r="M15" s="29" t="n">
        <v>23.6</v>
      </c>
      <c r="N15" s="30" t="n">
        <v>7.9</v>
      </c>
      <c r="O15" s="3" t="n">
        <v>387</v>
      </c>
      <c r="P15" s="3">
        <f>TABL12[[#This Row],[ (S/S) SAR]]-TABL12[[#This Row],[(S/S) AJD]]</f>
        <v/>
      </c>
      <c r="Q15" s="3" t="n">
        <v>427</v>
      </c>
      <c r="R15" s="3">
        <f>TABL12[[#This Row],[ (T/B) SAR]]-TABL12[[#This Row],[(T/B) AJD]]</f>
        <v/>
      </c>
      <c r="S15" s="3">
        <f>TABL12[[#This Row],[S/S_CON.]]+TABL12[[#This Row],[T/B-CON.]]</f>
        <v/>
      </c>
      <c r="T15" s="3">
        <f>O15+Q15</f>
        <v/>
      </c>
      <c r="U15" s="3" t="n">
        <v>512</v>
      </c>
      <c r="V15" s="3" t="n">
        <v>282</v>
      </c>
      <c r="W15" s="3">
        <f>U15+V15</f>
        <v/>
      </c>
      <c r="X15" s="3">
        <f>T15-W15</f>
        <v/>
      </c>
      <c r="Y15" s="4" t="n">
        <v>93.176</v>
      </c>
      <c r="Z15" s="3" t="n">
        <v>901184</v>
      </c>
      <c r="AA15" s="3">
        <f>TABL12[[#This Row],[(RESV. STORGE) AJD]]/10</f>
        <v/>
      </c>
      <c r="AB15" s="3">
        <f>(Z15-Z14)/1000</f>
        <v/>
      </c>
      <c r="AC15" s="6" t="n">
        <v>1011</v>
      </c>
      <c r="AD15" s="5">
        <f>TABL12[[#This Row],[( S/S+T/B) AJD]]-(TABL12[[#This Row],[(A/B + A/S) AJD]]+TABL12[[#This Row],[(STORGE DIFF.) AJD]]+(TABL12[[#This Row],[AJD_Evaporation]]))</f>
        <v/>
      </c>
      <c r="AE15" s="6" t="n">
        <v>60</v>
      </c>
      <c r="AF15" s="33" t="n">
        <v>59.407</v>
      </c>
      <c r="AG15" s="6" t="n">
        <v>1893068</v>
      </c>
      <c r="AH15" s="6">
        <f>TABL12[[#This Row],[ (RESV. STORGE) BER]]/10</f>
        <v/>
      </c>
      <c r="AI15" s="6" t="n">
        <v>1579</v>
      </c>
      <c r="AJ15" s="6">
        <f>TABL12[[#This Row],[(A/B) AJD]]-TABL12[[#This Row],[BER_IN]]</f>
        <v/>
      </c>
      <c r="AK15" s="6" t="n">
        <v>44</v>
      </c>
      <c r="AL15" s="33" t="n">
        <v>44.7794</v>
      </c>
      <c r="AM15" s="6" t="n">
        <v>4083710</v>
      </c>
      <c r="AN15" s="6">
        <f>TABL12[[#This Row],[ (RESV. STORGE) SER]]/10</f>
        <v/>
      </c>
      <c r="AO15" s="6" t="n">
        <v>630</v>
      </c>
      <c r="AP15" s="32">
        <f>TABL12[[#This Row],[(A/S) AJD]]-TABL12[[#This Row],[SER_IN]]</f>
        <v/>
      </c>
    </row>
    <row r="16">
      <c r="A16" s="2" t="n">
        <v>45672</v>
      </c>
      <c r="B16" s="28" t="n">
        <v>38</v>
      </c>
      <c r="C16" s="28" t="n">
        <v>328</v>
      </c>
      <c r="D16" s="28" t="n">
        <v>38</v>
      </c>
      <c r="E16" s="28" t="n">
        <v>0</v>
      </c>
      <c r="F16" s="28" t="n">
        <v>88</v>
      </c>
      <c r="G16" s="28" t="n">
        <v>564.9599999999999</v>
      </c>
      <c r="H16" s="28" t="n">
        <v>0</v>
      </c>
      <c r="I16" s="28" t="n">
        <v>447.98</v>
      </c>
      <c r="J16" s="28" t="n">
        <v>443.98</v>
      </c>
      <c r="K16" s="28">
        <f>TABL12[[#This Row],[ (T/B) SAR]]+TABL12[[#This Row],[ (S/S) SAR]]</f>
        <v/>
      </c>
      <c r="L16" s="28" t="n">
        <v>327</v>
      </c>
      <c r="M16" s="29" t="n">
        <v>23.6</v>
      </c>
      <c r="N16" s="30" t="n">
        <v>7.97</v>
      </c>
      <c r="O16" s="3" t="n">
        <v>387</v>
      </c>
      <c r="P16" s="3">
        <f>TABL12[[#This Row],[ (S/S) SAR]]-TABL12[[#This Row],[(S/S) AJD]]</f>
        <v/>
      </c>
      <c r="Q16" s="3" t="n">
        <v>428</v>
      </c>
      <c r="R16" s="3">
        <f>TABL12[[#This Row],[ (T/B) SAR]]-TABL12[[#This Row],[(T/B) AJD]]</f>
        <v/>
      </c>
      <c r="S16" s="3">
        <f>TABL12[[#This Row],[S/S_CON.]]+TABL12[[#This Row],[T/B-CON.]]</f>
        <v/>
      </c>
      <c r="T16" s="3">
        <f>O16+Q16</f>
        <v/>
      </c>
      <c r="U16" s="3" t="n">
        <v>503</v>
      </c>
      <c r="V16" s="3" t="n">
        <v>264</v>
      </c>
      <c r="W16" s="3">
        <f>U16+V16</f>
        <v/>
      </c>
      <c r="X16" s="3">
        <f>T16-W16</f>
        <v/>
      </c>
      <c r="Y16" s="4" t="n">
        <v>93.20099999999999</v>
      </c>
      <c r="Z16" s="3" t="n">
        <v>916218</v>
      </c>
      <c r="AA16" s="3">
        <f>TABL12[[#This Row],[(RESV. STORGE) AJD]]/10</f>
        <v/>
      </c>
      <c r="AB16" s="3">
        <f>(Z16-Z15)/1000</f>
        <v/>
      </c>
      <c r="AC16" s="6" t="n">
        <v>1137</v>
      </c>
      <c r="AD16" s="5">
        <f>TABL12[[#This Row],[( S/S+T/B) AJD]]-(TABL12[[#This Row],[(A/B + A/S) AJD]]+TABL12[[#This Row],[(STORGE DIFF.) AJD]]+(TABL12[[#This Row],[AJD_Evaporation]]))</f>
        <v/>
      </c>
      <c r="AE16" s="6" t="n">
        <v>60</v>
      </c>
      <c r="AF16" s="33" t="n">
        <v>59.435</v>
      </c>
      <c r="AG16" s="6" t="n">
        <v>1911655</v>
      </c>
      <c r="AH16" s="6">
        <f>TABL12[[#This Row],[ (RESV. STORGE) BER]]/10</f>
        <v/>
      </c>
      <c r="AI16" s="6" t="n">
        <v>1572</v>
      </c>
      <c r="AJ16" s="6">
        <f>TABL12[[#This Row],[(A/B) AJD]]-TABL12[[#This Row],[BER_IN]]</f>
        <v/>
      </c>
      <c r="AK16" s="6" t="n">
        <v>44</v>
      </c>
      <c r="AL16" s="33" t="n">
        <v>44.8044</v>
      </c>
      <c r="AM16" s="6" t="n">
        <v>4097320</v>
      </c>
      <c r="AN16" s="6">
        <f>TABL12[[#This Row],[ (RESV. STORGE) SER]]/10</f>
        <v/>
      </c>
      <c r="AO16" s="6" t="n">
        <v>644</v>
      </c>
      <c r="AP16" s="32">
        <f>TABL12[[#This Row],[(A/S) AJD]]-TABL12[[#This Row],[SER_IN]]</f>
        <v/>
      </c>
    </row>
    <row r="17">
      <c r="A17" s="2" t="n">
        <v>45673</v>
      </c>
      <c r="B17" s="28" t="n">
        <v>38</v>
      </c>
      <c r="C17" s="28" t="n">
        <v>307</v>
      </c>
      <c r="D17" s="28" t="n">
        <v>38</v>
      </c>
      <c r="E17" s="28" t="n">
        <v>0</v>
      </c>
      <c r="F17" s="28" t="n">
        <v>88</v>
      </c>
      <c r="G17" s="28" t="n">
        <v>568.48</v>
      </c>
      <c r="H17" s="28" t="n">
        <v>0</v>
      </c>
      <c r="I17" s="28" t="n">
        <v>438.24</v>
      </c>
      <c r="J17" s="28" t="n">
        <v>434.24</v>
      </c>
      <c r="K17" s="28">
        <f>TABL12[[#This Row],[ (T/B) SAR]]+TABL12[[#This Row],[ (S/S) SAR]]</f>
        <v/>
      </c>
      <c r="L17" s="28" t="n">
        <v>304</v>
      </c>
      <c r="M17" s="29" t="n">
        <v>24.2</v>
      </c>
      <c r="N17" s="30" t="n">
        <v>7.95</v>
      </c>
      <c r="O17" s="3" t="n">
        <v>389</v>
      </c>
      <c r="P17" s="3">
        <f>TABL12[[#This Row],[ (S/S) SAR]]-TABL12[[#This Row],[(S/S) AJD]]</f>
        <v/>
      </c>
      <c r="Q17" s="3" t="n">
        <v>430</v>
      </c>
      <c r="R17" s="3">
        <f>TABL12[[#This Row],[ (T/B) SAR]]-TABL12[[#This Row],[(T/B) AJD]]</f>
        <v/>
      </c>
      <c r="S17" s="3">
        <f>TABL12[[#This Row],[S/S_CON.]]+TABL12[[#This Row],[T/B-CON.]]</f>
        <v/>
      </c>
      <c r="T17" s="3">
        <f>O17+Q17</f>
        <v/>
      </c>
      <c r="U17" s="3" t="n">
        <v>511</v>
      </c>
      <c r="V17" s="3" t="n">
        <v>285</v>
      </c>
      <c r="W17" s="3">
        <f>U17+V17</f>
        <v/>
      </c>
      <c r="X17" s="3">
        <f>T17-W17</f>
        <v/>
      </c>
      <c r="Y17" s="4" t="n">
        <v>93.181</v>
      </c>
      <c r="Z17" s="3" t="n">
        <v>904190</v>
      </c>
      <c r="AA17" s="3">
        <f>TABL12[[#This Row],[(RESV. STORGE) AJD]]/10</f>
        <v/>
      </c>
      <c r="AB17" s="3">
        <f>(Z17-Z16)/1000</f>
        <v/>
      </c>
      <c r="AC17" s="6" t="n">
        <v>1263</v>
      </c>
      <c r="AD17" s="5">
        <f>TABL12[[#This Row],[( S/S+T/B) AJD]]-(TABL12[[#This Row],[(A/B + A/S) AJD]]+TABL12[[#This Row],[(STORGE DIFF.) AJD]]+(TABL12[[#This Row],[AJD_Evaporation]]))</f>
        <v/>
      </c>
      <c r="AE17" s="6" t="n">
        <v>60</v>
      </c>
      <c r="AF17" s="33" t="n">
        <v>59.463</v>
      </c>
      <c r="AG17" s="6" t="n">
        <v>1930250</v>
      </c>
      <c r="AH17" s="6">
        <f>TABL12[[#This Row],[ (RESV. STORGE) BER]]/10</f>
        <v/>
      </c>
      <c r="AI17" s="6" t="n">
        <v>1565</v>
      </c>
      <c r="AJ17" s="6">
        <f>TABL12[[#This Row],[(A/B) AJD]]-TABL12[[#This Row],[BER_IN]]</f>
        <v/>
      </c>
      <c r="AK17" s="6" t="n">
        <v>44</v>
      </c>
      <c r="AL17" s="33" t="n">
        <v>44.8598</v>
      </c>
      <c r="AM17" s="6" t="n">
        <v>4126163</v>
      </c>
      <c r="AN17" s="6">
        <f>TABL12[[#This Row],[ (RESV. STORGE) SER]]/10</f>
        <v/>
      </c>
      <c r="AO17" s="6" t="n">
        <v>1063</v>
      </c>
      <c r="AP17" s="32">
        <f>TABL12[[#This Row],[(A/S) AJD]]-TABL12[[#This Row],[SER_IN]]</f>
        <v/>
      </c>
    </row>
    <row r="18">
      <c r="A18" s="2" t="n">
        <v>45674</v>
      </c>
      <c r="B18" s="28" t="n">
        <v>38</v>
      </c>
      <c r="C18" s="28" t="n">
        <v>315</v>
      </c>
      <c r="D18" s="28" t="n">
        <v>38</v>
      </c>
      <c r="E18" s="28" t="n">
        <v>0</v>
      </c>
      <c r="F18" s="28" t="n">
        <v>88</v>
      </c>
      <c r="G18" s="28" t="n">
        <v>569.36</v>
      </c>
      <c r="H18" s="28" t="n">
        <v>0</v>
      </c>
      <c r="I18" s="28" t="n">
        <v>443</v>
      </c>
      <c r="J18" s="28" t="n">
        <v>439</v>
      </c>
      <c r="K18" s="28">
        <f>TABL12[[#This Row],[ (T/B) SAR]]+TABL12[[#This Row],[ (S/S) SAR]]</f>
        <v/>
      </c>
      <c r="L18" s="28" t="n">
        <v>312</v>
      </c>
      <c r="M18" s="29" t="n">
        <v>24.2</v>
      </c>
      <c r="N18" s="30" t="n">
        <v>7.89</v>
      </c>
      <c r="O18" s="3" t="n">
        <v>395</v>
      </c>
      <c r="P18" s="3">
        <f>TABL12[[#This Row],[ (S/S) SAR]]-TABL12[[#This Row],[(S/S) AJD]]</f>
        <v/>
      </c>
      <c r="Q18" s="3" t="n">
        <v>435</v>
      </c>
      <c r="R18" s="3">
        <f>TABL12[[#This Row],[ (T/B) SAR]]-TABL12[[#This Row],[(T/B) AJD]]</f>
        <v/>
      </c>
      <c r="S18" s="3">
        <f>TABL12[[#This Row],[S/S_CON.]]+TABL12[[#This Row],[T/B-CON.]]</f>
        <v/>
      </c>
      <c r="T18" s="3">
        <f>O18+Q18</f>
        <v/>
      </c>
      <c r="U18" s="3" t="n">
        <v>510</v>
      </c>
      <c r="V18" s="3" t="n">
        <v>295</v>
      </c>
      <c r="W18" s="3">
        <f>U18+V18</f>
        <v/>
      </c>
      <c r="X18" s="3">
        <f>T18-W18</f>
        <v/>
      </c>
      <c r="Y18" s="4" t="n">
        <v>93.161</v>
      </c>
      <c r="Z18" s="3" t="n">
        <v>892166</v>
      </c>
      <c r="AA18" s="3">
        <f>TABL12[[#This Row],[(RESV. STORGE) AJD]]/10</f>
        <v/>
      </c>
      <c r="AB18" s="3">
        <f>(Z18-Z17)/1000</f>
        <v/>
      </c>
      <c r="AC18" s="6" t="n">
        <v>1810</v>
      </c>
      <c r="AD18" s="5">
        <f>TABL12[[#This Row],[( S/S+T/B) AJD]]-(TABL12[[#This Row],[(A/B + A/S) AJD]]+TABL12[[#This Row],[(STORGE DIFF.) AJD]]+(TABL12[[#This Row],[AJD_Evaporation]]))</f>
        <v/>
      </c>
      <c r="AE18" s="6" t="n">
        <v>60</v>
      </c>
      <c r="AF18" s="33" t="n">
        <v>59.49</v>
      </c>
      <c r="AG18" s="6" t="n">
        <v>1948187</v>
      </c>
      <c r="AH18" s="6">
        <f>TABL12[[#This Row],[ (RESV. STORGE) BER]]/10</f>
        <v/>
      </c>
      <c r="AI18" s="6" t="n">
        <v>2223</v>
      </c>
      <c r="AJ18" s="6">
        <f>TABL12[[#This Row],[(A/B) AJD]]-TABL12[[#This Row],[BER_IN]]</f>
        <v/>
      </c>
      <c r="AK18" s="6" t="n">
        <v>44</v>
      </c>
      <c r="AL18" s="33" t="n">
        <v>44.8919</v>
      </c>
      <c r="AM18" s="6" t="n">
        <v>4146130</v>
      </c>
      <c r="AN18" s="6">
        <f>TABL12[[#This Row],[ (RESV. STORGE) SER]]/10</f>
        <v/>
      </c>
      <c r="AO18" s="6" t="n">
        <v>1433</v>
      </c>
      <c r="AP18" s="32">
        <f>TABL12[[#This Row],[(A/S) AJD]]-TABL12[[#This Row],[SER_IN]]</f>
        <v/>
      </c>
    </row>
    <row r="19">
      <c r="A19" s="2" t="n">
        <v>45675</v>
      </c>
      <c r="B19" s="28" t="n">
        <v>37</v>
      </c>
      <c r="C19" s="28" t="n">
        <v>318</v>
      </c>
      <c r="D19" s="28" t="n">
        <v>37</v>
      </c>
      <c r="E19" s="28" t="n">
        <v>0</v>
      </c>
      <c r="F19" s="28" t="n">
        <v>88</v>
      </c>
      <c r="G19" s="28" t="n">
        <v>564.9599999999999</v>
      </c>
      <c r="H19" s="28" t="n">
        <v>0</v>
      </c>
      <c r="I19" s="28" t="n">
        <v>442.98</v>
      </c>
      <c r="J19" s="28" t="n">
        <v>438.98</v>
      </c>
      <c r="K19" s="28">
        <f>TABL12[[#This Row],[ (T/B) SAR]]+TABL12[[#This Row],[ (S/S) SAR]]</f>
        <v/>
      </c>
      <c r="L19" s="28" t="n">
        <v>317</v>
      </c>
      <c r="M19" s="29" t="n">
        <v>24.2</v>
      </c>
      <c r="N19" s="30" t="n">
        <v>7.86</v>
      </c>
      <c r="O19" s="3" t="n">
        <v>395</v>
      </c>
      <c r="P19" s="3">
        <f>TABL12[[#This Row],[ (S/S) SAR]]-TABL12[[#This Row],[(S/S) AJD]]</f>
        <v/>
      </c>
      <c r="Q19" s="3" t="n">
        <v>437</v>
      </c>
      <c r="R19" s="3">
        <f>TABL12[[#This Row],[ (T/B) SAR]]-TABL12[[#This Row],[(T/B) AJD]]</f>
        <v/>
      </c>
      <c r="S19" s="3">
        <f>TABL12[[#This Row],[S/S_CON.]]+TABL12[[#This Row],[T/B-CON.]]</f>
        <v/>
      </c>
      <c r="T19" s="3">
        <f>O19+Q19</f>
        <v/>
      </c>
      <c r="U19" s="3" t="n">
        <v>493</v>
      </c>
      <c r="V19" s="3" t="n">
        <v>298</v>
      </c>
      <c r="W19" s="3">
        <f>U19+V19</f>
        <v/>
      </c>
      <c r="X19" s="3">
        <f>T19-W19</f>
        <v/>
      </c>
      <c r="Y19" s="4" t="n">
        <v>93.178</v>
      </c>
      <c r="Z19" s="3" t="n">
        <v>902386</v>
      </c>
      <c r="AA19" s="3">
        <f>TABL12[[#This Row],[(RESV. STORGE) AJD]]/10</f>
        <v/>
      </c>
      <c r="AB19" s="3">
        <f>(Z19-Z18)/1000</f>
        <v/>
      </c>
      <c r="AC19" s="6" t="n">
        <v>1852</v>
      </c>
      <c r="AD19" s="5">
        <f>TABL12[[#This Row],[( S/S+T/B) AJD]]-(TABL12[[#This Row],[(A/B + A/S) AJD]]+TABL12[[#This Row],[(STORGE DIFF.) AJD]]+(TABL12[[#This Row],[AJD_Evaporation]]))</f>
        <v/>
      </c>
      <c r="AE19" s="6" t="n">
        <v>60</v>
      </c>
      <c r="AF19" s="33" t="n">
        <v>59.519</v>
      </c>
      <c r="AG19" s="6" t="n">
        <v>1967459</v>
      </c>
      <c r="AH19" s="6">
        <f>TABL12[[#This Row],[ (RESV. STORGE) BER]]/10</f>
        <v/>
      </c>
      <c r="AI19" s="6" t="n">
        <v>1751</v>
      </c>
      <c r="AJ19" s="6">
        <f>TABL12[[#This Row],[(A/B) AJD]]-TABL12[[#This Row],[BER_IN]]</f>
        <v/>
      </c>
      <c r="AK19" s="6" t="n">
        <v>44</v>
      </c>
      <c r="AL19" s="33" t="n">
        <v>44.9617</v>
      </c>
      <c r="AM19" s="6" t="n">
        <v>4184900</v>
      </c>
      <c r="AN19" s="6">
        <f>TABL12[[#This Row],[ (RESV. STORGE) SER]]/10</f>
        <v/>
      </c>
      <c r="AO19" s="6" t="n">
        <v>1230</v>
      </c>
      <c r="AP19" s="32">
        <f>TABL12[[#This Row],[(A/S) AJD]]-TABL12[[#This Row],[SER_IN]]</f>
        <v/>
      </c>
    </row>
    <row r="20">
      <c r="A20" s="2" t="n">
        <v>45676</v>
      </c>
      <c r="B20" s="28" t="n">
        <v>37</v>
      </c>
      <c r="C20" s="28" t="n">
        <v>320</v>
      </c>
      <c r="D20" s="28" t="n">
        <v>37</v>
      </c>
      <c r="E20" s="28" t="n">
        <v>0</v>
      </c>
      <c r="F20" s="28" t="n">
        <v>88</v>
      </c>
      <c r="G20" s="28" t="n">
        <v>568.48</v>
      </c>
      <c r="H20" s="28" t="n">
        <v>0</v>
      </c>
      <c r="I20" s="28" t="n">
        <v>444.74</v>
      </c>
      <c r="J20" s="28" t="n">
        <v>440.74</v>
      </c>
      <c r="K20" s="28">
        <f>TABL12[[#This Row],[ (T/B) SAR]]+TABL12[[#This Row],[ (S/S) SAR]]</f>
        <v/>
      </c>
      <c r="L20" s="28" t="n">
        <v>317</v>
      </c>
      <c r="M20" s="29" t="n">
        <v>24.2</v>
      </c>
      <c r="N20" s="30" t="n">
        <v>7.86</v>
      </c>
      <c r="O20" s="3" t="n">
        <v>395</v>
      </c>
      <c r="P20" s="3">
        <f>TABL12[[#This Row],[ (S/S) SAR]]-TABL12[[#This Row],[(S/S) AJD]]</f>
        <v/>
      </c>
      <c r="Q20" s="3" t="n">
        <v>436</v>
      </c>
      <c r="R20" s="3">
        <f>TABL12[[#This Row],[ (T/B) SAR]]-TABL12[[#This Row],[(T/B) AJD]]</f>
        <v/>
      </c>
      <c r="S20" s="3">
        <f>TABL12[[#This Row],[S/S_CON.]]+TABL12[[#This Row],[T/B-CON.]]</f>
        <v/>
      </c>
      <c r="T20" s="3">
        <f>O20+Q20</f>
        <v/>
      </c>
      <c r="U20" s="3" t="n">
        <v>520</v>
      </c>
      <c r="V20" s="3" t="n">
        <v>288</v>
      </c>
      <c r="W20" s="3">
        <f>U20+V20</f>
        <v/>
      </c>
      <c r="X20" s="3">
        <f>T20-W20</f>
        <v/>
      </c>
      <c r="Y20" s="4" t="n">
        <v>93.163</v>
      </c>
      <c r="Z20" s="3" t="n">
        <v>893368</v>
      </c>
      <c r="AA20" s="3">
        <f>TABL12[[#This Row],[(RESV. STORGE) AJD]]/10</f>
        <v/>
      </c>
      <c r="AB20" s="3">
        <f>(Z20-Z19)/1000</f>
        <v/>
      </c>
      <c r="AC20" s="6" t="n">
        <v>1137</v>
      </c>
      <c r="AD20" s="5">
        <f>TABL12[[#This Row],[( S/S+T/B) AJD]]-(TABL12[[#This Row],[(A/B + A/S) AJD]]+TABL12[[#This Row],[(STORGE DIFF.) AJD]]+(TABL12[[#This Row],[AJD_Evaporation]]))</f>
        <v/>
      </c>
      <c r="AE20" s="6" t="n">
        <v>60</v>
      </c>
      <c r="AF20" s="33" t="n">
        <v>59.547</v>
      </c>
      <c r="AG20" s="6" t="n">
        <v>1986074</v>
      </c>
      <c r="AH20" s="6">
        <f>TABL12[[#This Row],[ (RESV. STORGE) BER]]/10</f>
        <v/>
      </c>
      <c r="AI20" s="6" t="n">
        <v>1545</v>
      </c>
      <c r="AJ20" s="6">
        <f>TABL12[[#This Row],[(A/B) AJD]]-TABL12[[#This Row],[BER_IN]]</f>
        <v/>
      </c>
      <c r="AK20" s="6" t="n">
        <v>44</v>
      </c>
      <c r="AL20" s="33" t="n">
        <v>44.9862</v>
      </c>
      <c r="AM20" s="6" t="n">
        <v>4198280</v>
      </c>
      <c r="AN20" s="6">
        <f>TABL12[[#This Row],[ (RESV. STORGE) SER]]/10</f>
        <v/>
      </c>
      <c r="AO20" s="6" t="n">
        <v>1620</v>
      </c>
      <c r="AP20" s="32">
        <f>TABL12[[#This Row],[(A/S) AJD]]-TABL12[[#This Row],[SER_IN]]</f>
        <v/>
      </c>
    </row>
    <row r="21">
      <c r="A21" s="2" t="n">
        <v>45677</v>
      </c>
      <c r="B21" s="28" t="n">
        <v>37</v>
      </c>
      <c r="C21" s="28" t="n">
        <v>315</v>
      </c>
      <c r="D21" s="28" t="n">
        <v>37</v>
      </c>
      <c r="E21" s="28" t="n">
        <v>0</v>
      </c>
      <c r="F21" s="28" t="n">
        <v>88</v>
      </c>
      <c r="G21" s="28" t="n">
        <v>569.36</v>
      </c>
      <c r="H21" s="28" t="n">
        <v>0</v>
      </c>
      <c r="I21" s="28" t="n">
        <v>442.68</v>
      </c>
      <c r="J21" s="28" t="n">
        <v>438.68</v>
      </c>
      <c r="K21" s="28">
        <f>TABL12[[#This Row],[ (T/B) SAR]]+TABL12[[#This Row],[ (S/S) SAR]]</f>
        <v/>
      </c>
      <c r="L21" s="28" t="n">
        <v>312</v>
      </c>
      <c r="M21" s="29" t="n">
        <v>24.2</v>
      </c>
      <c r="N21" s="30" t="n">
        <v>7.83</v>
      </c>
      <c r="O21" s="3" t="n">
        <v>395</v>
      </c>
      <c r="P21" s="3">
        <f>TABL12[[#This Row],[ (S/S) SAR]]-TABL12[[#This Row],[(S/S) AJD]]</f>
        <v/>
      </c>
      <c r="Q21" s="3" t="n">
        <v>435</v>
      </c>
      <c r="R21" s="3">
        <f>TABL12[[#This Row],[ (T/B) SAR]]-TABL12[[#This Row],[(T/B) AJD]]</f>
        <v/>
      </c>
      <c r="S21" s="3">
        <f>TABL12[[#This Row],[S/S_CON.]]+TABL12[[#This Row],[T/B-CON.]]</f>
        <v/>
      </c>
      <c r="T21" s="3">
        <f>O21+Q21</f>
        <v/>
      </c>
      <c r="U21" s="3" t="n">
        <v>507</v>
      </c>
      <c r="V21" s="3" t="n">
        <v>268</v>
      </c>
      <c r="W21" s="3">
        <f>U21+V21</f>
        <v/>
      </c>
      <c r="X21" s="3">
        <f>T21-W21</f>
        <v/>
      </c>
      <c r="Y21" s="4" t="n">
        <v>93.23099999999999</v>
      </c>
      <c r="Z21" s="3" t="n">
        <v>934265</v>
      </c>
      <c r="AA21" s="3">
        <f>TABL12[[#This Row],[(RESV. STORGE) AJD]]/10</f>
        <v/>
      </c>
      <c r="AB21" s="3">
        <f>(Z21-Z20)/1000</f>
        <v/>
      </c>
      <c r="AC21" s="6" t="n">
        <v>1685</v>
      </c>
      <c r="AD21" s="5">
        <f>TABL12[[#This Row],[( S/S+T/B) AJD]]-(TABL12[[#This Row],[(A/B + A/S) AJD]]+TABL12[[#This Row],[(STORGE DIFF.) AJD]]+(TABL12[[#This Row],[AJD_Evaporation]]))</f>
        <v/>
      </c>
      <c r="AE21" s="6" t="n">
        <v>60</v>
      </c>
      <c r="AF21" s="33" t="n">
        <v>59.578</v>
      </c>
      <c r="AG21" s="6" t="n">
        <v>2006691</v>
      </c>
      <c r="AH21" s="6">
        <f>TABL12[[#This Row],[ (RESV. STORGE) BER]]/10</f>
        <v/>
      </c>
      <c r="AI21" s="6" t="n">
        <v>1665</v>
      </c>
      <c r="AJ21" s="6">
        <f>TABL12[[#This Row],[(A/B) AJD]]-TABL12[[#This Row],[BER_IN]]</f>
        <v/>
      </c>
      <c r="AK21" s="6" t="n">
        <v>44</v>
      </c>
      <c r="AL21" s="33" t="n">
        <v>44.976</v>
      </c>
      <c r="AM21" s="6" t="n">
        <v>4192900</v>
      </c>
      <c r="AN21" s="6">
        <f>TABL12[[#This Row],[ (RESV. STORGE) SER]]/10</f>
        <v/>
      </c>
      <c r="AO21" s="6" t="n">
        <v>880</v>
      </c>
      <c r="AP21" s="32">
        <f>TABL12[[#This Row],[(A/S) AJD]]-TABL12[[#This Row],[SER_IN]]</f>
        <v/>
      </c>
    </row>
    <row r="22">
      <c r="A22" s="2" t="n">
        <v>45678</v>
      </c>
      <c r="B22" s="28" t="n">
        <v>37</v>
      </c>
      <c r="C22" s="28" t="n">
        <v>312</v>
      </c>
      <c r="D22" s="28" t="n">
        <v>37</v>
      </c>
      <c r="E22" s="28" t="n">
        <v>0</v>
      </c>
      <c r="F22" s="28" t="n">
        <v>88</v>
      </c>
      <c r="G22" s="28" t="n">
        <v>564.9599999999999</v>
      </c>
      <c r="H22" s="28" t="n">
        <v>0</v>
      </c>
      <c r="I22" s="28" t="n">
        <v>439.98</v>
      </c>
      <c r="J22" s="28" t="n">
        <v>435.98</v>
      </c>
      <c r="K22" s="28">
        <f>TABL12[[#This Row],[ (T/B) SAR]]+TABL12[[#This Row],[ (S/S) SAR]]</f>
        <v/>
      </c>
      <c r="L22" s="28" t="n">
        <v>311</v>
      </c>
      <c r="M22" s="29" t="n">
        <v>24.2</v>
      </c>
      <c r="N22" s="30" t="n">
        <v>7.8</v>
      </c>
      <c r="O22" s="3" t="n">
        <v>394</v>
      </c>
      <c r="P22" s="3">
        <f>TABL12[[#This Row],[ (S/S) SAR]]-TABL12[[#This Row],[(S/S) AJD]]</f>
        <v/>
      </c>
      <c r="Q22" s="3" t="n">
        <v>436</v>
      </c>
      <c r="R22" s="3">
        <f>TABL12[[#This Row],[ (T/B) SAR]]-TABL12[[#This Row],[(T/B) AJD]]</f>
        <v/>
      </c>
      <c r="S22" s="3">
        <f>TABL12[[#This Row],[S/S_CON.]]+TABL12[[#This Row],[T/B-CON.]]</f>
        <v/>
      </c>
      <c r="T22" s="3">
        <f>O22+Q22</f>
        <v/>
      </c>
      <c r="U22" s="3" t="n">
        <v>514</v>
      </c>
      <c r="V22" s="3" t="n">
        <v>285</v>
      </c>
      <c r="W22" s="3">
        <f>U22+V22</f>
        <v/>
      </c>
      <c r="X22" s="3">
        <f>T22-W22</f>
        <v/>
      </c>
      <c r="Y22" s="4" t="n">
        <v>93.203</v>
      </c>
      <c r="Z22" s="3" t="n">
        <v>917421</v>
      </c>
      <c r="AA22" s="3">
        <f>TABL12[[#This Row],[(RESV. STORGE) AJD]]/10</f>
        <v/>
      </c>
      <c r="AB22" s="3">
        <f>(Z22-Z21)/1000</f>
        <v/>
      </c>
      <c r="AC22" s="6" t="n">
        <v>421</v>
      </c>
      <c r="AD22" s="5">
        <f>TABL12[[#This Row],[( S/S+T/B) AJD]]-(TABL12[[#This Row],[(A/B + A/S) AJD]]+TABL12[[#This Row],[(STORGE DIFF.) AJD]]+(TABL12[[#This Row],[AJD_Evaporation]]))</f>
        <v/>
      </c>
      <c r="AE22" s="6" t="n">
        <v>75</v>
      </c>
      <c r="AF22" s="33" t="n">
        <v>59.64</v>
      </c>
      <c r="AG22" s="6" t="n">
        <v>2047951</v>
      </c>
      <c r="AH22" s="6">
        <f>TABL12[[#This Row],[ (RESV. STORGE) BER]]/10</f>
        <v/>
      </c>
      <c r="AI22" s="6" t="n">
        <v>1370</v>
      </c>
      <c r="AJ22" s="6">
        <f>TABL12[[#This Row],[(A/B) AJD]]-TABL12[[#This Row],[BER_IN]]</f>
        <v/>
      </c>
      <c r="AK22" s="6" t="n">
        <v>60</v>
      </c>
      <c r="AL22" s="33" t="n">
        <v>44.913</v>
      </c>
      <c r="AM22" s="6" t="n">
        <v>4158290</v>
      </c>
      <c r="AN22" s="6">
        <f>TABL12[[#This Row],[ (RESV. STORGE) SER]]/10</f>
        <v/>
      </c>
      <c r="AO22" s="6" t="n">
        <v>1026</v>
      </c>
      <c r="AP22" s="32">
        <f>TABL12[[#This Row],[(A/S) AJD]]-TABL12[[#This Row],[SER_IN]]</f>
        <v/>
      </c>
    </row>
    <row r="23">
      <c r="A23" s="2" t="n">
        <v>45679</v>
      </c>
      <c r="B23" s="28" t="n">
        <v>36</v>
      </c>
      <c r="C23" s="28" t="n">
        <v>301</v>
      </c>
      <c r="D23" s="28" t="n">
        <v>36</v>
      </c>
      <c r="E23" s="28" t="n">
        <v>0</v>
      </c>
      <c r="F23" s="28" t="n">
        <v>88</v>
      </c>
      <c r="G23" s="28" t="n">
        <v>568.48</v>
      </c>
      <c r="H23" s="28" t="n">
        <v>0</v>
      </c>
      <c r="I23" s="28" t="n">
        <v>435.24</v>
      </c>
      <c r="J23" s="28" t="n">
        <v>431.24</v>
      </c>
      <c r="K23" s="28">
        <f>TABL12[[#This Row],[ (T/B) SAR]]+TABL12[[#This Row],[ (S/S) SAR]]</f>
        <v/>
      </c>
      <c r="L23" s="28" t="n">
        <v>298</v>
      </c>
      <c r="M23" s="29" t="n">
        <v>24.2</v>
      </c>
      <c r="N23" s="30" t="n">
        <v>7.78</v>
      </c>
      <c r="O23" s="3" t="n">
        <v>393</v>
      </c>
      <c r="P23" s="3">
        <f>TABL12[[#This Row],[ (S/S) SAR]]-TABL12[[#This Row],[(S/S) AJD]]</f>
        <v/>
      </c>
      <c r="Q23" s="3" t="n">
        <v>435</v>
      </c>
      <c r="R23" s="3">
        <f>TABL12[[#This Row],[ (T/B) SAR]]-TABL12[[#This Row],[(T/B) AJD]]</f>
        <v/>
      </c>
      <c r="S23" s="3">
        <f>TABL12[[#This Row],[S/S_CON.]]+TABL12[[#This Row],[T/B-CON.]]</f>
        <v/>
      </c>
      <c r="T23" s="3">
        <f>O23+Q23</f>
        <v/>
      </c>
      <c r="U23" s="3" t="n">
        <v>526</v>
      </c>
      <c r="V23" s="3" t="n">
        <v>330</v>
      </c>
      <c r="W23" s="3">
        <f>U23+V23</f>
        <v/>
      </c>
      <c r="X23" s="3">
        <f>T23-W23</f>
        <v/>
      </c>
      <c r="Y23" s="4" t="n">
        <v>93.111</v>
      </c>
      <c r="Z23" s="3" t="n">
        <v>862120</v>
      </c>
      <c r="AA23" s="3">
        <f>TABL12[[#This Row],[(RESV. STORGE) AJD]]/10</f>
        <v/>
      </c>
      <c r="AB23" s="3">
        <f>(Z23-Z22)/1000</f>
        <v/>
      </c>
      <c r="AC23" s="6" t="n">
        <v>976</v>
      </c>
      <c r="AD23" s="5">
        <f>TABL12[[#This Row],[( S/S+T/B) AJD]]-(TABL12[[#This Row],[(A/B + A/S) AJD]]+TABL12[[#This Row],[(STORGE DIFF.) AJD]]+(TABL12[[#This Row],[AJD_Evaporation]]))</f>
        <v/>
      </c>
      <c r="AE23" s="6" t="n">
        <v>95</v>
      </c>
      <c r="AF23" s="33" t="n">
        <v>59.721</v>
      </c>
      <c r="AG23" s="6" t="n">
        <v>2101904</v>
      </c>
      <c r="AH23" s="6">
        <f>TABL12[[#This Row],[ (RESV. STORGE) BER]]/10</f>
        <v/>
      </c>
      <c r="AI23" s="6" t="n">
        <v>1206</v>
      </c>
      <c r="AJ23" s="6">
        <f>TABL12[[#This Row],[(A/B) AJD]]-TABL12[[#This Row],[BER_IN]]</f>
        <v/>
      </c>
      <c r="AK23" s="6" t="n">
        <v>74</v>
      </c>
      <c r="AL23" s="33" t="n">
        <v>44.8783</v>
      </c>
      <c r="AM23" s="6" t="n">
        <v>4138370</v>
      </c>
      <c r="AN23" s="6">
        <f>TABL12[[#This Row],[ (RESV. STORGE) SER]]/10</f>
        <v/>
      </c>
      <c r="AO23" s="6" t="n">
        <v>1087</v>
      </c>
      <c r="AP23" s="32">
        <f>TABL12[[#This Row],[(A/S) AJD]]-TABL12[[#This Row],[SER_IN]]</f>
        <v/>
      </c>
    </row>
    <row r="24">
      <c r="A24" s="2" t="n">
        <v>45680</v>
      </c>
      <c r="B24" s="28" t="n">
        <v>35</v>
      </c>
      <c r="C24" s="28" t="n">
        <v>297</v>
      </c>
      <c r="D24" s="28" t="n">
        <v>36</v>
      </c>
      <c r="E24" s="28" t="n">
        <v>0</v>
      </c>
      <c r="F24" s="28" t="n">
        <v>88</v>
      </c>
      <c r="G24" s="28" t="n">
        <v>569.36</v>
      </c>
      <c r="H24" s="28" t="n">
        <v>0</v>
      </c>
      <c r="I24" s="28" t="n">
        <v>433.68</v>
      </c>
      <c r="J24" s="28" t="n">
        <v>429.68</v>
      </c>
      <c r="K24" s="28">
        <f>TABL12[[#This Row],[ (T/B) SAR]]+TABL12[[#This Row],[ (S/S) SAR]]</f>
        <v/>
      </c>
      <c r="L24" s="28" t="n">
        <v>294</v>
      </c>
      <c r="M24" s="29" t="n">
        <v>24.2</v>
      </c>
      <c r="N24" s="30" t="n">
        <v>7.59</v>
      </c>
      <c r="O24" s="3" t="n">
        <v>395</v>
      </c>
      <c r="P24" s="3">
        <f>TABL12[[#This Row],[ (S/S) SAR]]-TABL12[[#This Row],[(S/S) AJD]]</f>
        <v/>
      </c>
      <c r="Q24" s="3" t="n">
        <v>434</v>
      </c>
      <c r="R24" s="3">
        <f>TABL12[[#This Row],[ (T/B) SAR]]-TABL12[[#This Row],[(T/B) AJD]]</f>
        <v/>
      </c>
      <c r="S24" s="3">
        <f>TABL12[[#This Row],[S/S_CON.]]+TABL12[[#This Row],[T/B-CON.]]</f>
        <v/>
      </c>
      <c r="T24" s="3">
        <f>O24+Q24</f>
        <v/>
      </c>
      <c r="U24" s="3" t="n">
        <v>531</v>
      </c>
      <c r="V24" s="3" t="n">
        <v>331</v>
      </c>
      <c r="W24" s="3">
        <f>U24+V24</f>
        <v/>
      </c>
      <c r="X24" s="3">
        <f>T24-W24</f>
        <v/>
      </c>
      <c r="Y24" s="4" t="n">
        <v>92.98099999999999</v>
      </c>
      <c r="Z24" s="3" t="n">
        <v>784096</v>
      </c>
      <c r="AA24" s="3">
        <f>TABL12[[#This Row],[(RESV. STORGE) AJD]]/10</f>
        <v/>
      </c>
      <c r="AB24" s="3">
        <f>(Z24-Z23)/1000</f>
        <v/>
      </c>
      <c r="AC24" s="6" t="n">
        <v>839</v>
      </c>
      <c r="AD24" s="5">
        <f>TABL12[[#This Row],[( S/S+T/B) AJD]]-(TABL12[[#This Row],[(A/B + A/S) AJD]]+TABL12[[#This Row],[(STORGE DIFF.) AJD]]+(TABL12[[#This Row],[AJD_Evaporation]]))</f>
        <v/>
      </c>
      <c r="AE24" s="6" t="n">
        <v>100</v>
      </c>
      <c r="AF24" s="33" t="n">
        <v>59.809</v>
      </c>
      <c r="AG24" s="6" t="n">
        <v>2160585</v>
      </c>
      <c r="AH24" s="6">
        <f>TABL12[[#This Row],[ (RESV. STORGE) BER]]/10</f>
        <v/>
      </c>
      <c r="AI24" s="6" t="n">
        <v>1479</v>
      </c>
      <c r="AJ24" s="6">
        <f>TABL12[[#This Row],[(A/B) AJD]]-TABL12[[#This Row],[BER_IN]]</f>
        <v/>
      </c>
      <c r="AK24" s="6" t="n">
        <v>89</v>
      </c>
      <c r="AL24" s="33" t="n">
        <v>44.864</v>
      </c>
      <c r="AM24" s="6" t="n">
        <v>4130590</v>
      </c>
      <c r="AN24" s="6">
        <f>TABL12[[#This Row],[ (RESV. STORGE) SER]]/10</f>
        <v/>
      </c>
      <c r="AO24" s="6" t="n">
        <v>1364</v>
      </c>
      <c r="AP24" s="32">
        <f>TABL12[[#This Row],[(A/S) AJD]]-TABL12[[#This Row],[SER_IN]]</f>
        <v/>
      </c>
    </row>
    <row r="25">
      <c r="A25" s="2" t="n">
        <v>45681</v>
      </c>
      <c r="B25" s="28" t="n">
        <v>37</v>
      </c>
      <c r="C25" s="28" t="n">
        <v>306</v>
      </c>
      <c r="D25" s="28" t="n">
        <v>38</v>
      </c>
      <c r="E25" s="28" t="n">
        <v>0</v>
      </c>
      <c r="F25" s="28" t="n">
        <v>88</v>
      </c>
      <c r="G25" s="28" t="n">
        <v>564.9599999999999</v>
      </c>
      <c r="H25" s="28" t="n">
        <v>0</v>
      </c>
      <c r="I25" s="28" t="n">
        <v>436.98</v>
      </c>
      <c r="J25" s="28" t="n">
        <v>432.98</v>
      </c>
      <c r="K25" s="28">
        <f>TABL12[[#This Row],[ (T/B) SAR]]+TABL12[[#This Row],[ (S/S) SAR]]</f>
        <v/>
      </c>
      <c r="L25" s="28" t="n">
        <v>305</v>
      </c>
      <c r="M25" s="29" t="n">
        <v>24.2</v>
      </c>
      <c r="N25" s="30" t="n">
        <v>7.54</v>
      </c>
      <c r="O25" s="3" t="n">
        <v>394</v>
      </c>
      <c r="P25" s="3">
        <f>TABL12[[#This Row],[ (S/S) SAR]]-TABL12[[#This Row],[(S/S) AJD]]</f>
        <v/>
      </c>
      <c r="Q25" s="3" t="n">
        <v>434</v>
      </c>
      <c r="R25" s="3">
        <f>TABL12[[#This Row],[ (T/B) SAR]]-TABL12[[#This Row],[(T/B) AJD]]</f>
        <v/>
      </c>
      <c r="S25" s="3">
        <f>TABL12[[#This Row],[S/S_CON.]]+TABL12[[#This Row],[T/B-CON.]]</f>
        <v/>
      </c>
      <c r="T25" s="3">
        <f>O25+Q25</f>
        <v/>
      </c>
      <c r="U25" s="3" t="n">
        <v>550</v>
      </c>
      <c r="V25" s="3" t="n">
        <v>340</v>
      </c>
      <c r="W25" s="3">
        <f>U25+V25</f>
        <v/>
      </c>
      <c r="X25" s="3">
        <f>T25-W25</f>
        <v/>
      </c>
      <c r="Y25" s="4" t="n">
        <v>92.83199999999999</v>
      </c>
      <c r="Z25" s="3" t="n">
        <v>694841</v>
      </c>
      <c r="AA25" s="3">
        <f>TABL12[[#This Row],[(RESV. STORGE) AJD]]/10</f>
        <v/>
      </c>
      <c r="AB25" s="3">
        <f>(Z25-Z24)/1000</f>
        <v/>
      </c>
      <c r="AC25" s="6" t="n">
        <v>923</v>
      </c>
      <c r="AD25" s="5">
        <f>TABL12[[#This Row],[( S/S+T/B) AJD]]-(TABL12[[#This Row],[(A/B + A/S) AJD]]+TABL12[[#This Row],[(STORGE DIFF.) AJD]]+(TABL12[[#This Row],[AJD_Evaporation]]))</f>
        <v/>
      </c>
      <c r="AE25" s="6" t="n">
        <v>100</v>
      </c>
      <c r="AF25" s="33" t="n">
        <v>59.897</v>
      </c>
      <c r="AG25" s="6" t="n">
        <v>2219334</v>
      </c>
      <c r="AH25" s="6">
        <f>TABL12[[#This Row],[ (RESV. STORGE) BER]]/10</f>
        <v/>
      </c>
      <c r="AI25" s="6" t="n">
        <v>1411</v>
      </c>
      <c r="AJ25" s="6">
        <f>TABL12[[#This Row],[(A/B) AJD]]-TABL12[[#This Row],[BER_IN]]</f>
        <v/>
      </c>
      <c r="AK25" s="6" t="n">
        <v>100</v>
      </c>
      <c r="AL25" s="33" t="n">
        <v>44.8705</v>
      </c>
      <c r="AM25" s="6" t="n">
        <v>4134480</v>
      </c>
      <c r="AN25" s="6">
        <f>TABL12[[#This Row],[ (RESV. STORGE) SER]]/10</f>
        <v/>
      </c>
      <c r="AO25" s="6" t="n">
        <v>1110</v>
      </c>
      <c r="AP25" s="32">
        <f>TABL12[[#This Row],[(A/S) AJD]]-TABL12[[#This Row],[SER_IN]]</f>
        <v/>
      </c>
    </row>
    <row r="26">
      <c r="A26" s="2" t="n">
        <v>45682</v>
      </c>
      <c r="B26" s="28" t="n">
        <v>38</v>
      </c>
      <c r="C26" s="28" t="n">
        <v>319</v>
      </c>
      <c r="D26" s="28" t="n">
        <v>38</v>
      </c>
      <c r="E26" s="28" t="n">
        <v>0</v>
      </c>
      <c r="F26" s="28" t="n">
        <v>88</v>
      </c>
      <c r="G26" s="28" t="n">
        <v>568.48</v>
      </c>
      <c r="H26" s="28" t="n">
        <v>0</v>
      </c>
      <c r="I26" s="28" t="n">
        <v>444.24</v>
      </c>
      <c r="J26" s="28" t="n">
        <v>440.24</v>
      </c>
      <c r="K26" s="28">
        <f>TABL12[[#This Row],[ (T/B) SAR]]+TABL12[[#This Row],[ (S/S) SAR]]</f>
        <v/>
      </c>
      <c r="L26" s="28" t="n">
        <v>316</v>
      </c>
      <c r="M26" s="29" t="n">
        <v>24.2</v>
      </c>
      <c r="N26" s="30" t="n">
        <v>7.54</v>
      </c>
      <c r="O26" s="3" t="n">
        <v>391</v>
      </c>
      <c r="P26" s="3">
        <f>TABL12[[#This Row],[ (S/S) SAR]]-TABL12[[#This Row],[(S/S) AJD]]</f>
        <v/>
      </c>
      <c r="Q26" s="3" t="n">
        <v>433</v>
      </c>
      <c r="R26" s="3">
        <f>TABL12[[#This Row],[ (T/B) SAR]]-TABL12[[#This Row],[(T/B) AJD]]</f>
        <v/>
      </c>
      <c r="S26" s="3">
        <f>TABL12[[#This Row],[S/S_CON.]]+TABL12[[#This Row],[T/B-CON.]]</f>
        <v/>
      </c>
      <c r="T26" s="3">
        <f>O26+Q26</f>
        <v/>
      </c>
      <c r="U26" s="3" t="n">
        <v>551</v>
      </c>
      <c r="V26" s="3" t="n">
        <v>321</v>
      </c>
      <c r="W26" s="3">
        <f>U26+V26</f>
        <v/>
      </c>
      <c r="X26" s="3">
        <f>T26-W26</f>
        <v/>
      </c>
      <c r="Y26" s="4" t="n">
        <v>92.732</v>
      </c>
      <c r="Z26" s="3" t="n">
        <v>635042</v>
      </c>
      <c r="AA26" s="3">
        <f>TABL12[[#This Row],[(RESV. STORGE) AJD]]/10</f>
        <v/>
      </c>
      <c r="AB26" s="3">
        <f>(Z26-Z25)/1000</f>
        <v/>
      </c>
      <c r="AC26" s="6" t="n">
        <v>1126</v>
      </c>
      <c r="AD26" s="5">
        <f>TABL12[[#This Row],[( S/S+T/B) AJD]]-(TABL12[[#This Row],[(A/B + A/S) AJD]]+TABL12[[#This Row],[(STORGE DIFF.) AJD]]+(TABL12[[#This Row],[AJD_Evaporation]]))</f>
        <v/>
      </c>
      <c r="AE26" s="6" t="n">
        <v>100</v>
      </c>
      <c r="AF26" s="33" t="n">
        <v>59.985</v>
      </c>
      <c r="AG26" s="6" t="n">
        <v>2278149</v>
      </c>
      <c r="AH26" s="6">
        <f>TABL12[[#This Row],[ (RESV. STORGE) BER]]/10</f>
        <v/>
      </c>
      <c r="AI26" s="6" t="n">
        <v>1344</v>
      </c>
      <c r="AJ26" s="6">
        <f>TABL12[[#This Row],[(A/B) AJD]]-TABL12[[#This Row],[BER_IN]]</f>
        <v/>
      </c>
      <c r="AK26" s="6" t="n">
        <v>100</v>
      </c>
      <c r="AL26" s="33" t="n">
        <v>44.9617</v>
      </c>
      <c r="AM26" s="6" t="n">
        <v>4185100</v>
      </c>
      <c r="AN26" s="6">
        <f>TABL12[[#This Row],[ (RESV. STORGE) SER]]/10</f>
        <v/>
      </c>
      <c r="AO26" s="6" t="n">
        <v>1380</v>
      </c>
      <c r="AP26" s="32">
        <f>TABL12[[#This Row],[(A/S) AJD]]-TABL12[[#This Row],[SER_IN]]</f>
        <v/>
      </c>
    </row>
    <row r="27">
      <c r="A27" s="2" t="n">
        <v>45683</v>
      </c>
      <c r="B27" s="28" t="n">
        <v>38</v>
      </c>
      <c r="C27" s="28" t="n">
        <v>321</v>
      </c>
      <c r="D27" s="28" t="n">
        <v>38</v>
      </c>
      <c r="E27" s="28" t="n">
        <v>0</v>
      </c>
      <c r="F27" s="28" t="n">
        <v>88</v>
      </c>
      <c r="G27" s="28" t="n">
        <v>569.36</v>
      </c>
      <c r="H27" s="28" t="n">
        <v>0</v>
      </c>
      <c r="I27" s="28" t="n">
        <v>445.68</v>
      </c>
      <c r="J27" s="28" t="n">
        <v>441.68</v>
      </c>
      <c r="K27" s="28">
        <f>TABL12[[#This Row],[ (T/B) SAR]]+TABL12[[#This Row],[ (S/S) SAR]]</f>
        <v/>
      </c>
      <c r="L27" s="28" t="n">
        <v>318</v>
      </c>
      <c r="M27" s="29" t="n">
        <v>24.2</v>
      </c>
      <c r="N27" s="30" t="n">
        <v>7.57</v>
      </c>
      <c r="O27" s="3" t="n">
        <v>391</v>
      </c>
      <c r="P27" s="3">
        <f>TABL12[[#This Row],[ (S/S) SAR]]-TABL12[[#This Row],[(S/S) AJD]]</f>
        <v/>
      </c>
      <c r="Q27" s="3" t="n">
        <v>433</v>
      </c>
      <c r="R27" s="3">
        <f>TABL12[[#This Row],[ (T/B) SAR]]-TABL12[[#This Row],[(T/B) AJD]]</f>
        <v/>
      </c>
      <c r="S27" s="3">
        <f>TABL12[[#This Row],[S/S_CON.]]+TABL12[[#This Row],[T/B-CON.]]</f>
        <v/>
      </c>
      <c r="T27" s="3">
        <f>O27+Q27</f>
        <v/>
      </c>
      <c r="U27" s="3" t="n">
        <v>543</v>
      </c>
      <c r="V27" s="3" t="n">
        <v>367</v>
      </c>
      <c r="W27" s="3">
        <f>U27+V27</f>
        <v/>
      </c>
      <c r="X27" s="3">
        <f>T27-W27</f>
        <v/>
      </c>
      <c r="Y27" s="4" t="n">
        <v>92.542</v>
      </c>
      <c r="Z27" s="3" t="n">
        <v>521649</v>
      </c>
      <c r="AA27" s="3">
        <f>TABL12[[#This Row],[(RESV. STORGE) AJD]]/10</f>
        <v/>
      </c>
      <c r="AB27" s="3">
        <f>(Z27-Z26)/1000</f>
        <v/>
      </c>
      <c r="AC27" s="6" t="n">
        <v>1126</v>
      </c>
      <c r="AD27" s="5">
        <f>TABL12[[#This Row],[( S/S+T/B) AJD]]-(TABL12[[#This Row],[(A/B + A/S) AJD]]+TABL12[[#This Row],[(STORGE DIFF.) AJD]]+(TABL12[[#This Row],[AJD_Evaporation]]))</f>
        <v/>
      </c>
      <c r="AE27" s="6" t="n">
        <v>100</v>
      </c>
      <c r="AF27" s="33" t="n">
        <v>60.017</v>
      </c>
      <c r="AG27" s="6" t="n">
        <v>2299553</v>
      </c>
      <c r="AH27" s="6">
        <f>TABL12[[#This Row],[ (RESV. STORGE) BER]]/10</f>
        <v/>
      </c>
      <c r="AI27" s="6" t="n">
        <v>1405</v>
      </c>
      <c r="AJ27" s="6">
        <f>TABL12[[#This Row],[(A/B) AJD]]-TABL12[[#This Row],[BER_IN]]</f>
        <v/>
      </c>
      <c r="AK27" s="6" t="n">
        <v>114</v>
      </c>
      <c r="AL27" s="33" t="n">
        <v>45.1537</v>
      </c>
      <c r="AM27" s="6" t="n">
        <v>4292280</v>
      </c>
      <c r="AN27" s="6">
        <f>TABL12[[#This Row],[ (RESV. STORGE) SER]]/10</f>
        <v/>
      </c>
      <c r="AO27" s="6" t="n">
        <v>1415</v>
      </c>
      <c r="AP27" s="32">
        <f>TABL12[[#This Row],[(A/S) AJD]]-TABL12[[#This Row],[SER_IN]]</f>
        <v/>
      </c>
    </row>
    <row r="28">
      <c r="A28" s="2" t="n">
        <v>45684</v>
      </c>
      <c r="B28" s="28" t="n">
        <v>37</v>
      </c>
      <c r="C28" s="28" t="n">
        <v>319</v>
      </c>
      <c r="D28" s="28" t="n">
        <v>37</v>
      </c>
      <c r="E28" s="28" t="n">
        <v>0</v>
      </c>
      <c r="F28" s="28" t="n">
        <v>88</v>
      </c>
      <c r="G28" s="28" t="n">
        <v>564.9599999999999</v>
      </c>
      <c r="H28" s="28" t="n">
        <v>0</v>
      </c>
      <c r="I28" s="28" t="n">
        <v>443.48</v>
      </c>
      <c r="J28" s="28" t="n">
        <v>439.48</v>
      </c>
      <c r="K28" s="28">
        <f>TABL12[[#This Row],[ (T/B) SAR]]+TABL12[[#This Row],[ (S/S) SAR]]</f>
        <v/>
      </c>
      <c r="L28" s="28" t="n">
        <v>318</v>
      </c>
      <c r="M28" s="29" t="n">
        <v>24.2</v>
      </c>
      <c r="N28" s="30" t="n">
        <v>7.59</v>
      </c>
      <c r="O28" s="3" t="n">
        <v>389</v>
      </c>
      <c r="P28" s="3">
        <f>TABL12[[#This Row],[ (S/S) SAR]]-TABL12[[#This Row],[(S/S) AJD]]</f>
        <v/>
      </c>
      <c r="Q28" s="3" t="n">
        <v>431</v>
      </c>
      <c r="R28" s="3">
        <f>TABL12[[#This Row],[ (T/B) SAR]]-TABL12[[#This Row],[(T/B) AJD]]</f>
        <v/>
      </c>
      <c r="S28" s="3">
        <f>TABL12[[#This Row],[S/S_CON.]]+TABL12[[#This Row],[T/B-CON.]]</f>
        <v/>
      </c>
      <c r="T28" s="3">
        <f>O28+Q28</f>
        <v/>
      </c>
      <c r="U28" s="3" t="n">
        <v>544</v>
      </c>
      <c r="V28" s="3" t="n">
        <v>359</v>
      </c>
      <c r="W28" s="3">
        <f>U28+V28</f>
        <v/>
      </c>
      <c r="X28" s="3">
        <f>T28-W28</f>
        <v/>
      </c>
      <c r="Y28" s="4" t="n">
        <v>92.345</v>
      </c>
      <c r="Z28" s="3" t="n">
        <v>404392</v>
      </c>
      <c r="AA28" s="3">
        <f>TABL12[[#This Row],[(RESV. STORGE) AJD]]/10</f>
        <v/>
      </c>
      <c r="AB28" s="3">
        <f>(Z28-Z27)/1000</f>
        <v/>
      </c>
      <c r="AC28" s="6" t="n">
        <v>1373</v>
      </c>
      <c r="AD28" s="5">
        <f>TABL12[[#This Row],[( S/S+T/B) AJD]]-(TABL12[[#This Row],[(A/B + A/S) AJD]]+TABL12[[#This Row],[(STORGE DIFF.) AJD]]+(TABL12[[#This Row],[AJD_Evaporation]]))</f>
        <v/>
      </c>
      <c r="AE28" s="6" t="n">
        <v>100</v>
      </c>
      <c r="AF28" s="33" t="n">
        <v>60.045</v>
      </c>
      <c r="AG28" s="6" t="n">
        <v>2318289</v>
      </c>
      <c r="AH28" s="6">
        <f>TABL12[[#This Row],[ (RESV. STORGE) BER]]/10</f>
        <v/>
      </c>
      <c r="AI28" s="6" t="n">
        <v>1584</v>
      </c>
      <c r="AJ28" s="6">
        <f>TABL12[[#This Row],[(A/B) AJD]]-TABL12[[#This Row],[BER_IN]]</f>
        <v/>
      </c>
      <c r="AK28" s="6" t="n">
        <v>125</v>
      </c>
      <c r="AL28" s="33" t="n">
        <v>45.3671</v>
      </c>
      <c r="AM28" s="6" t="n">
        <v>4415670</v>
      </c>
      <c r="AN28" s="6">
        <f>TABL12[[#This Row],[ (RESV. STORGE) SER]]/10</f>
        <v/>
      </c>
      <c r="AO28" s="6" t="n">
        <v>1610</v>
      </c>
      <c r="AP28" s="32">
        <f>TABL12[[#This Row],[(A/S) AJD]]-TABL12[[#This Row],[SER_IN]]</f>
        <v/>
      </c>
    </row>
    <row r="29">
      <c r="A29" s="2" t="n">
        <v>45685</v>
      </c>
      <c r="B29" s="28" t="n">
        <v>38</v>
      </c>
      <c r="C29" s="28" t="n">
        <v>322</v>
      </c>
      <c r="D29" s="28" t="n">
        <v>38</v>
      </c>
      <c r="E29" s="28" t="n">
        <v>0</v>
      </c>
      <c r="F29" s="28" t="n">
        <v>88</v>
      </c>
      <c r="G29" s="28" t="n">
        <v>569.36</v>
      </c>
      <c r="H29" s="28" t="n">
        <v>0</v>
      </c>
      <c r="I29" s="28" t="n">
        <v>446.18</v>
      </c>
      <c r="J29" s="28" t="n">
        <v>442.18</v>
      </c>
      <c r="K29" s="28">
        <f>TABL12[[#This Row],[ (T/B) SAR]]+TABL12[[#This Row],[ (S/S) SAR]]</f>
        <v/>
      </c>
      <c r="L29" s="28" t="n">
        <v>319</v>
      </c>
      <c r="M29" s="29" t="n">
        <v>24.2</v>
      </c>
      <c r="N29" s="30" t="n">
        <v>7.67</v>
      </c>
      <c r="O29" s="3" t="n">
        <v>388</v>
      </c>
      <c r="P29" s="3">
        <f>TABL12[[#This Row],[ (S/S) SAR]]-TABL12[[#This Row],[(S/S) AJD]]</f>
        <v/>
      </c>
      <c r="Q29" s="3" t="n">
        <v>429</v>
      </c>
      <c r="R29" s="3">
        <f>TABL12[[#This Row],[ (T/B) SAR]]-TABL12[[#This Row],[(T/B) AJD]]</f>
        <v/>
      </c>
      <c r="S29" s="3">
        <f>TABL12[[#This Row],[S/S_CON.]]+TABL12[[#This Row],[T/B-CON.]]</f>
        <v/>
      </c>
      <c r="T29" s="3">
        <f>O29+Q29</f>
        <v/>
      </c>
      <c r="U29" s="3" t="n">
        <v>544</v>
      </c>
      <c r="V29" s="3" t="n">
        <v>358</v>
      </c>
      <c r="W29" s="3">
        <f>U29+V29</f>
        <v/>
      </c>
      <c r="X29" s="3">
        <f>T29-W29</f>
        <v/>
      </c>
      <c r="Y29" s="4" t="n">
        <v>92.175</v>
      </c>
      <c r="Z29" s="3" t="n">
        <v>303463</v>
      </c>
      <c r="AA29" s="3">
        <f>TABL12[[#This Row],[(RESV. STORGE) AJD]]/10</f>
        <v/>
      </c>
      <c r="AB29" s="3">
        <f>(Z29-Z28)/1000</f>
        <v/>
      </c>
      <c r="AC29" s="6" t="n">
        <v>1121</v>
      </c>
      <c r="AD29" s="5">
        <f>TABL12[[#This Row],[( S/S+T/B) AJD]]-(TABL12[[#This Row],[(A/B + A/S) AJD]]+TABL12[[#This Row],[(STORGE DIFF.) AJD]]+(TABL12[[#This Row],[AJD_Evaporation]]))</f>
        <v/>
      </c>
      <c r="AE29" s="6" t="n">
        <v>100</v>
      </c>
      <c r="AF29" s="33" t="n">
        <v>60.073</v>
      </c>
      <c r="AG29" s="6" t="n">
        <v>2337032</v>
      </c>
      <c r="AH29" s="6">
        <f>TABL12[[#This Row],[ (RESV. STORGE) BER]]/10</f>
        <v/>
      </c>
      <c r="AI29" s="6" t="n">
        <v>1577</v>
      </c>
      <c r="AJ29" s="6">
        <f>TABL12[[#This Row],[(A/B) AJD]]-TABL12[[#This Row],[BER_IN]]</f>
        <v/>
      </c>
      <c r="AK29" s="6" t="n">
        <v>113</v>
      </c>
      <c r="AL29" s="33" t="n">
        <v>45.5742</v>
      </c>
      <c r="AM29" s="6" t="n">
        <v>4527240</v>
      </c>
      <c r="AN29" s="6">
        <f>TABL12[[#This Row],[ (RESV. STORGE) SER]]/10</f>
        <v/>
      </c>
      <c r="AO29" s="6" t="n">
        <v>1430</v>
      </c>
      <c r="AP29" s="32">
        <f>TABL12[[#This Row],[(A/S) AJD]]-TABL12[[#This Row],[SER_IN]]</f>
        <v/>
      </c>
    </row>
    <row r="30">
      <c r="A30" s="2" t="n">
        <v>45686</v>
      </c>
      <c r="B30" s="28" t="n">
        <v>38</v>
      </c>
      <c r="C30" s="28" t="n">
        <v>314</v>
      </c>
      <c r="D30" s="28" t="n">
        <v>38</v>
      </c>
      <c r="E30" s="28" t="n">
        <v>0</v>
      </c>
      <c r="F30" s="28" t="n">
        <v>81</v>
      </c>
      <c r="G30" s="28" t="n">
        <v>523.26</v>
      </c>
      <c r="H30" s="28" t="n">
        <v>7</v>
      </c>
      <c r="I30" s="28" t="n">
        <v>419.13</v>
      </c>
      <c r="J30" s="28" t="n">
        <v>415.13</v>
      </c>
      <c r="K30" s="28">
        <f>TABL12[[#This Row],[ (T/B) SAR]]+TABL12[[#This Row],[ (S/S) SAR]]</f>
        <v/>
      </c>
      <c r="L30" s="28" t="n">
        <v>311</v>
      </c>
      <c r="M30" s="29" t="n">
        <v>24.2</v>
      </c>
      <c r="N30" s="30" t="n">
        <v>7.63</v>
      </c>
      <c r="O30" s="3" t="n">
        <v>384</v>
      </c>
      <c r="P30" s="3">
        <f>TABL12[[#This Row],[ (S/S) SAR]]-TABL12[[#This Row],[(S/S) AJD]]</f>
        <v/>
      </c>
      <c r="Q30" s="3" t="n">
        <v>425</v>
      </c>
      <c r="R30" s="3">
        <f>TABL12[[#This Row],[ (T/B) SAR]]-TABL12[[#This Row],[(T/B) AJD]]</f>
        <v/>
      </c>
      <c r="S30" s="3">
        <f>TABL12[[#This Row],[S/S_CON.]]+TABL12[[#This Row],[T/B-CON.]]</f>
        <v/>
      </c>
      <c r="T30" s="3">
        <f>O30+Q30</f>
        <v/>
      </c>
      <c r="U30" s="3" t="n">
        <v>542</v>
      </c>
      <c r="V30" s="3" t="n">
        <v>333</v>
      </c>
      <c r="W30" s="3">
        <f>U30+V30</f>
        <v/>
      </c>
      <c r="X30" s="3">
        <f>T30-W30</f>
        <v/>
      </c>
      <c r="Y30" s="4" t="n">
        <v>92.018</v>
      </c>
      <c r="Z30" s="3" t="n">
        <v>210461</v>
      </c>
      <c r="AA30" s="3">
        <f>TABL12[[#This Row],[(RESV. STORGE) AJD]]/10</f>
        <v/>
      </c>
      <c r="AB30" s="3">
        <f>(Z30-Z29)/1000</f>
        <v/>
      </c>
      <c r="AC30" s="6" t="n">
        <v>1367</v>
      </c>
      <c r="AD30" s="5">
        <f>TABL12[[#This Row],[( S/S+T/B) AJD]]-(TABL12[[#This Row],[(A/B + A/S) AJD]]+TABL12[[#This Row],[(STORGE DIFF.) AJD]]+(TABL12[[#This Row],[AJD_Evaporation]]))</f>
        <v/>
      </c>
      <c r="AE30" s="6" t="n">
        <v>100</v>
      </c>
      <c r="AF30" s="33" t="n">
        <v>60.101</v>
      </c>
      <c r="AG30" s="6" t="n">
        <v>2355782</v>
      </c>
      <c r="AH30" s="6">
        <f>TABL12[[#This Row],[ (RESV. STORGE) BER]]/10</f>
        <v/>
      </c>
      <c r="AI30" s="6" t="n">
        <v>1570</v>
      </c>
      <c r="AJ30" s="6">
        <f>TABL12[[#This Row],[(A/B) AJD]]-TABL12[[#This Row],[BER_IN]]</f>
        <v/>
      </c>
      <c r="AK30" s="6" t="n">
        <v>66</v>
      </c>
      <c r="AL30" s="33" t="n">
        <v>45.689</v>
      </c>
      <c r="AM30" s="6" t="n">
        <v>4591880</v>
      </c>
      <c r="AN30" s="6">
        <f>TABL12[[#This Row],[ (RESV. STORGE) SER]]/10</f>
        <v/>
      </c>
      <c r="AO30" s="6" t="n">
        <v>1510</v>
      </c>
      <c r="AP30" s="32">
        <f>TABL12[[#This Row],[(A/S) AJD]]-TABL12[[#This Row],[SER_IN]]</f>
        <v/>
      </c>
    </row>
    <row r="31">
      <c r="A31" s="2" t="n">
        <v>45687</v>
      </c>
      <c r="B31" s="28" t="n">
        <v>37</v>
      </c>
      <c r="C31" s="28" t="n">
        <v>318</v>
      </c>
      <c r="D31" s="28" t="n">
        <v>38</v>
      </c>
      <c r="E31" s="28" t="n">
        <v>0</v>
      </c>
      <c r="F31" s="28" t="n">
        <v>81</v>
      </c>
      <c r="G31" s="28" t="n">
        <v>520.02</v>
      </c>
      <c r="H31" s="28" t="n">
        <v>7</v>
      </c>
      <c r="I31" s="28" t="n">
        <v>420.51</v>
      </c>
      <c r="J31" s="28" t="n">
        <v>416.51</v>
      </c>
      <c r="K31" s="28">
        <f>TABL12[[#This Row],[ (T/B) SAR]]+TABL12[[#This Row],[ (S/S) SAR]]</f>
        <v/>
      </c>
      <c r="L31" s="28" t="n">
        <v>317</v>
      </c>
      <c r="M31" s="29" t="n">
        <v>24.2</v>
      </c>
      <c r="N31" s="30" t="n">
        <v>7.61</v>
      </c>
      <c r="O31" s="3" t="n">
        <v>370</v>
      </c>
      <c r="P31" s="3">
        <f>TABL12[[#This Row],[ (S/S) SAR]]-TABL12[[#This Row],[(S/S) AJD]]</f>
        <v/>
      </c>
      <c r="Q31" s="3" t="n">
        <v>411</v>
      </c>
      <c r="R31" s="3">
        <f>TABL12[[#This Row],[ (T/B) SAR]]-TABL12[[#This Row],[(T/B) AJD]]</f>
        <v/>
      </c>
      <c r="S31" s="3">
        <f>TABL12[[#This Row],[S/S_CON.]]+TABL12[[#This Row],[T/B-CON.]]</f>
        <v/>
      </c>
      <c r="T31" s="3">
        <f>O31+Q31</f>
        <v/>
      </c>
      <c r="U31" s="3" t="n">
        <v>550</v>
      </c>
      <c r="V31" s="3" t="n">
        <v>262</v>
      </c>
      <c r="W31" s="3">
        <f>U31+V31</f>
        <v/>
      </c>
      <c r="X31" s="3">
        <f>T31-W31</f>
        <v/>
      </c>
      <c r="Y31" s="4" t="n">
        <v>91.953</v>
      </c>
      <c r="Z31" s="3" t="n">
        <v>172017</v>
      </c>
      <c r="AA31" s="3">
        <f>TABL12[[#This Row],[(RESV. STORGE) AJD]]/10</f>
        <v/>
      </c>
      <c r="AB31" s="3">
        <f>(Z31-Z30)/1000</f>
        <v/>
      </c>
      <c r="AC31" s="6" t="n">
        <v>1407</v>
      </c>
      <c r="AD31" s="5">
        <f>TABL12[[#This Row],[( S/S+T/B) AJD]]-(TABL12[[#This Row],[(A/B + A/S) AJD]]+TABL12[[#This Row],[(STORGE DIFF.) AJD]]+(TABL12[[#This Row],[AJD_Evaporation]]))</f>
        <v/>
      </c>
      <c r="AE31" s="6" t="n">
        <v>100</v>
      </c>
      <c r="AF31" s="33" t="n">
        <v>60.129</v>
      </c>
      <c r="AG31" s="6" t="n">
        <v>2374538</v>
      </c>
      <c r="AH31" s="6">
        <f>TABL12[[#This Row],[ (RESV. STORGE) BER]]/10</f>
        <v/>
      </c>
      <c r="AI31" s="6" t="n">
        <v>1563</v>
      </c>
      <c r="AJ31" s="6">
        <f>TABL12[[#This Row],[(A/B) AJD]]-TABL12[[#This Row],[BER_IN]]</f>
        <v/>
      </c>
      <c r="AK31" s="6" t="n">
        <v>13</v>
      </c>
      <c r="AL31" s="33" t="n">
        <v>45.7085</v>
      </c>
      <c r="AM31" s="6" t="n">
        <v>4603650</v>
      </c>
      <c r="AN31" s="6">
        <f>TABL12[[#This Row],[ (RESV. STORGE) SER]]/10</f>
        <v/>
      </c>
      <c r="AO31" s="6" t="n">
        <v>730</v>
      </c>
      <c r="AP31" s="32">
        <f>TABL12[[#This Row],[(A/S) AJD]]-TABL12[[#This Row],[SER_IN]]</f>
        <v/>
      </c>
    </row>
    <row r="32">
      <c r="A32" s="2" t="n">
        <v>45688</v>
      </c>
      <c r="B32" s="28" t="n">
        <v>38</v>
      </c>
      <c r="C32" s="28" t="n">
        <v>326</v>
      </c>
      <c r="D32" s="28" t="n">
        <v>38</v>
      </c>
      <c r="E32" s="28" t="n">
        <v>0</v>
      </c>
      <c r="F32" s="28" t="n">
        <v>81</v>
      </c>
      <c r="G32" s="28" t="n">
        <v>524.0700000000001</v>
      </c>
      <c r="H32" s="28" t="n">
        <v>7</v>
      </c>
      <c r="I32" s="28" t="n">
        <v>425.535</v>
      </c>
      <c r="J32" s="28" t="n">
        <v>421.535</v>
      </c>
      <c r="K32" s="28">
        <f>TABL12[[#This Row],[ (T/B) SAR]]+TABL12[[#This Row],[ (S/S) SAR]]</f>
        <v/>
      </c>
      <c r="L32" s="28" t="n">
        <v>323</v>
      </c>
      <c r="M32" s="29" t="n">
        <v>24.2</v>
      </c>
      <c r="N32" s="30" t="n">
        <v>7.64</v>
      </c>
      <c r="O32" s="3" t="n">
        <v>367</v>
      </c>
      <c r="P32" s="3">
        <f>TABL12[[#This Row],[ (S/S) SAR]]-TABL12[[#This Row],[(S/S) AJD]]</f>
        <v/>
      </c>
      <c r="Q32" s="3" t="n">
        <v>409</v>
      </c>
      <c r="R32" s="3">
        <f>TABL12[[#This Row],[ (T/B) SAR]]-TABL12[[#This Row],[(T/B) AJD]]</f>
        <v/>
      </c>
      <c r="S32" s="3">
        <f>TABL12[[#This Row],[S/S_CON.]]+TABL12[[#This Row],[T/B-CON.]]</f>
        <v/>
      </c>
      <c r="T32" s="3">
        <f>O32+Q32</f>
        <v/>
      </c>
      <c r="U32" s="3" t="n">
        <v>556</v>
      </c>
      <c r="V32" s="3" t="n">
        <v>237</v>
      </c>
      <c r="W32" s="3">
        <f>U32+V32</f>
        <v/>
      </c>
      <c r="X32" s="3">
        <f>T32-W32</f>
        <v/>
      </c>
      <c r="Y32" s="4" t="n">
        <v>91.92100000000001</v>
      </c>
      <c r="Z32" s="3" t="n">
        <v>153103</v>
      </c>
      <c r="AA32" s="3">
        <f>TABL12[[#This Row],[(RESV. STORGE) AJD]]/10</f>
        <v/>
      </c>
      <c r="AB32" s="3">
        <f>(Z32-Z31)/1000</f>
        <v/>
      </c>
      <c r="AC32" s="6" t="n">
        <v>1903</v>
      </c>
      <c r="AD32" s="5">
        <f>TABL12[[#This Row],[( S/S+T/B) AJD]]-(TABL12[[#This Row],[(A/B + A/S) AJD]]+TABL12[[#This Row],[(STORGE DIFF.) AJD]]+(TABL12[[#This Row],[AJD_Evaporation]]))</f>
        <v/>
      </c>
      <c r="AE32" s="6" t="n">
        <v>100</v>
      </c>
      <c r="AF32" s="33" t="n">
        <v>60.157</v>
      </c>
      <c r="AG32" s="6" t="n">
        <v>2393301</v>
      </c>
      <c r="AH32" s="6">
        <f>TABL12[[#This Row],[ (RESV. STORGE) BER]]/10</f>
        <v/>
      </c>
      <c r="AI32" s="6" t="n">
        <v>1556</v>
      </c>
      <c r="AJ32" s="6">
        <f>TABL12[[#This Row],[(A/B) AJD]]-TABL12[[#This Row],[BER_IN]]</f>
        <v/>
      </c>
      <c r="AK32" s="6" t="n">
        <v>0</v>
      </c>
      <c r="AL32" s="33" t="n">
        <v>45.7041</v>
      </c>
      <c r="AM32" s="6" t="n">
        <v>4600300</v>
      </c>
      <c r="AN32" s="6">
        <f>TABL12[[#This Row],[ (RESV. STORGE) SER]]/10</f>
        <v/>
      </c>
      <c r="AO32" s="6" t="n">
        <v>1400</v>
      </c>
      <c r="AP32" s="32">
        <f>TABL12[[#This Row],[(A/S) AJD]]-TABL12[[#This Row],[SER_IN]]</f>
        <v/>
      </c>
    </row>
    <row r="33">
      <c r="A33" s="2" t="n">
        <v>45689</v>
      </c>
      <c r="B33" s="28" t="n">
        <v>38</v>
      </c>
      <c r="C33" s="28" t="n">
        <v>326</v>
      </c>
      <c r="D33" s="28" t="n">
        <v>38</v>
      </c>
      <c r="E33" s="28" t="n">
        <v>0</v>
      </c>
      <c r="F33" s="28" t="n">
        <v>81</v>
      </c>
      <c r="G33" s="28" t="n">
        <v>523.26</v>
      </c>
      <c r="H33" s="28" t="n">
        <v>7</v>
      </c>
      <c r="I33" s="28" t="n">
        <v>425.13</v>
      </c>
      <c r="J33" s="28" t="n">
        <v>421.13</v>
      </c>
      <c r="K33" s="28">
        <f>TABL12[[#This Row],[ (T/B) SAR]]+TABL12[[#This Row],[ (S/S) SAR]]</f>
        <v/>
      </c>
      <c r="L33" s="28" t="n">
        <v>323</v>
      </c>
      <c r="M33" s="29" t="n">
        <v>24.2</v>
      </c>
      <c r="N33" s="30" t="n">
        <v>7.69</v>
      </c>
      <c r="O33" s="3" t="n">
        <v>367</v>
      </c>
      <c r="P33" s="3">
        <f>TABL12[[#This Row],[ (S/S) SAR]]-TABL12[[#This Row],[(S/S) AJD]]</f>
        <v/>
      </c>
      <c r="Q33" s="3" t="n">
        <v>409</v>
      </c>
      <c r="R33" s="3">
        <f>TABL12[[#This Row],[ (T/B) SAR]]-TABL12[[#This Row],[(T/B) AJD]]</f>
        <v/>
      </c>
      <c r="S33" s="3">
        <f>TABL12[[#This Row],[S/S_CON.]]+TABL12[[#This Row],[T/B-CON.]]</f>
        <v/>
      </c>
      <c r="T33" s="3">
        <f>O33+Q33</f>
        <v/>
      </c>
      <c r="U33" s="3" t="n">
        <v>554</v>
      </c>
      <c r="V33" s="3" t="n">
        <v>260</v>
      </c>
      <c r="W33" s="3">
        <f>U33+V33</f>
        <v/>
      </c>
      <c r="X33" s="3">
        <f>T33-W33</f>
        <v/>
      </c>
      <c r="Y33" s="4" t="n">
        <v>91.92100000000001</v>
      </c>
      <c r="Z33" s="3" t="n">
        <v>0</v>
      </c>
      <c r="AA33" s="3">
        <f>TABL12[[#This Row],[(RESV. STORGE) AJD]]/10</f>
        <v/>
      </c>
      <c r="AB33" s="3">
        <f>(Z33-Z32)/1000</f>
        <v/>
      </c>
      <c r="AC33" s="6" t="n">
        <v>1564</v>
      </c>
      <c r="AD33" s="5">
        <f>TABL12[[#This Row],[( S/S+T/B) AJD]]-(TABL12[[#This Row],[(A/B + A/S) AJD]]+TABL12[[#This Row],[(STORGE DIFF.) AJD]]+(TABL12[[#This Row],[AJD_Evaporation]]))</f>
        <v/>
      </c>
      <c r="AE33" s="6" t="n">
        <v>100</v>
      </c>
      <c r="AF33" s="33" t="n">
        <v>60.204</v>
      </c>
      <c r="AG33" s="6" t="n">
        <v>2424812</v>
      </c>
      <c r="AH33" s="6">
        <f>TABL12[[#This Row],[ (RESV. STORGE) BER]]/10</f>
        <v/>
      </c>
      <c r="AI33" s="6" t="n">
        <v>1259</v>
      </c>
      <c r="AJ33" s="6">
        <f>TABL12[[#This Row],[(A/B) AJD]]-TABL12[[#This Row],[BER_IN]]</f>
        <v/>
      </c>
      <c r="AK33" s="6" t="n">
        <v>0</v>
      </c>
      <c r="AL33" s="33" t="n">
        <v>45.6899</v>
      </c>
      <c r="AM33" s="6" t="n">
        <v>4592430</v>
      </c>
      <c r="AN33" s="6">
        <f>TABL12[[#This Row],[ (RESV. STORGE) SER]]/10</f>
        <v/>
      </c>
      <c r="AO33" s="6" t="n">
        <v>1380</v>
      </c>
      <c r="AP33" s="32">
        <f>TABL12[[#This Row],[(A/S) AJD]]-TABL12[[#This Row],[SER_IN]]</f>
        <v/>
      </c>
    </row>
    <row r="34">
      <c r="A34" s="2" t="n">
        <v>45690</v>
      </c>
      <c r="B34" s="28" t="n">
        <v>38</v>
      </c>
      <c r="C34" s="28" t="n">
        <v>327</v>
      </c>
      <c r="D34" s="28" t="n">
        <v>38</v>
      </c>
      <c r="E34" s="28" t="n">
        <v>0</v>
      </c>
      <c r="F34" s="28" t="n">
        <v>81</v>
      </c>
      <c r="G34" s="28" t="n">
        <v>524.0700000000001</v>
      </c>
      <c r="H34" s="28" t="n">
        <v>7</v>
      </c>
      <c r="I34" s="28" t="n">
        <v>426.035</v>
      </c>
      <c r="J34" s="28" t="n">
        <v>422.035</v>
      </c>
      <c r="K34" s="28">
        <f>TABL12[[#This Row],[ (T/B) SAR]]+TABL12[[#This Row],[ (S/S) SAR]]</f>
        <v/>
      </c>
      <c r="L34" s="28" t="n">
        <v>324</v>
      </c>
      <c r="M34" s="29" t="n">
        <v>24.2</v>
      </c>
      <c r="N34" s="30" t="n">
        <v>7.74</v>
      </c>
      <c r="O34" s="3" t="n">
        <v>367</v>
      </c>
      <c r="P34" s="3">
        <f>TABL12[[#This Row],[ (S/S) SAR]]-TABL12[[#This Row],[(S/S) AJD]]</f>
        <v/>
      </c>
      <c r="Q34" s="3" t="n">
        <v>410</v>
      </c>
      <c r="R34" s="3">
        <f>TABL12[[#This Row],[ (T/B) SAR]]-TABL12[[#This Row],[(T/B) AJD]]</f>
        <v/>
      </c>
      <c r="S34" s="3">
        <f>TABL12[[#This Row],[S/S_CON.]]+TABL12[[#This Row],[T/B-CON.]]</f>
        <v/>
      </c>
      <c r="T34" s="3">
        <f>O34+Q34</f>
        <v/>
      </c>
      <c r="U34" s="3" t="n">
        <v>557</v>
      </c>
      <c r="V34" s="3" t="n">
        <v>259</v>
      </c>
      <c r="W34" s="3">
        <f>U34+V34</f>
        <v/>
      </c>
      <c r="X34" s="3">
        <f>T34-W34</f>
        <v/>
      </c>
      <c r="Y34" s="4" t="n">
        <v>91.92100000000001</v>
      </c>
      <c r="Z34" s="3" t="n">
        <v>0</v>
      </c>
      <c r="AA34" s="3">
        <f>TABL12[[#This Row],[(RESV. STORGE) AJD]]/10</f>
        <v/>
      </c>
      <c r="AB34" s="3">
        <f>(Z34-Z33)/1000</f>
        <v/>
      </c>
      <c r="AC34" s="6" t="n">
        <v>1332</v>
      </c>
      <c r="AD34" s="5">
        <f>TABL12[[#This Row],[( S/S+T/B) AJD]]-(TABL12[[#This Row],[(A/B + A/S) AJD]]+TABL12[[#This Row],[(STORGE DIFF.) AJD]]+(TABL12[[#This Row],[AJD_Evaporation]]))</f>
        <v/>
      </c>
      <c r="AE34" s="6" t="n">
        <v>100</v>
      </c>
      <c r="AF34" s="33" t="n">
        <v>60.232</v>
      </c>
      <c r="AG34" s="6" t="n">
        <v>2443594</v>
      </c>
      <c r="AH34" s="6">
        <f>TABL12[[#This Row],[ (RESV. STORGE) BER]]/10</f>
        <v/>
      </c>
      <c r="AI34" s="6" t="n">
        <v>1538</v>
      </c>
      <c r="AJ34" s="6">
        <f>TABL12[[#This Row],[(A/B) AJD]]-TABL12[[#This Row],[BER_IN]]</f>
        <v/>
      </c>
      <c r="AK34" s="6" t="n">
        <v>0</v>
      </c>
      <c r="AL34" s="33" t="n">
        <v>45.674</v>
      </c>
      <c r="AM34" s="6" t="n">
        <v>4583430</v>
      </c>
      <c r="AN34" s="6">
        <f>TABL12[[#This Row],[ (RESV. STORGE) SER]]/10</f>
        <v/>
      </c>
      <c r="AO34" s="6" t="n">
        <v>1430</v>
      </c>
      <c r="AP34" s="32">
        <f>TABL12[[#This Row],[(A/S) AJD]]-TABL12[[#This Row],[SER_IN]]</f>
        <v/>
      </c>
    </row>
    <row r="35">
      <c r="A35" s="2" t="n">
        <v>45691</v>
      </c>
      <c r="B35" s="28" t="n">
        <v>38</v>
      </c>
      <c r="C35" s="28" t="n">
        <v>325</v>
      </c>
      <c r="D35" s="28" t="n">
        <v>38</v>
      </c>
      <c r="E35" s="28" t="n">
        <v>0</v>
      </c>
      <c r="F35" s="28" t="n">
        <v>81</v>
      </c>
      <c r="G35" s="28" t="n">
        <v>524.0700000000001</v>
      </c>
      <c r="H35" s="28" t="n">
        <v>7</v>
      </c>
      <c r="I35" s="28" t="n">
        <v>425.035</v>
      </c>
      <c r="J35" s="28" t="n">
        <v>421.035</v>
      </c>
      <c r="K35" s="28">
        <f>TABL12[[#This Row],[ (T/B) SAR]]+TABL12[[#This Row],[ (S/S) SAR]]</f>
        <v/>
      </c>
      <c r="L35" s="28" t="n">
        <v>322</v>
      </c>
      <c r="M35" s="29" t="n">
        <v>24.2</v>
      </c>
      <c r="N35" s="30" t="n">
        <v>7.78</v>
      </c>
      <c r="O35" s="3" t="n">
        <v>367</v>
      </c>
      <c r="P35" s="3">
        <f>TABL12[[#This Row],[ (S/S) SAR]]-TABL12[[#This Row],[(S/S) AJD]]</f>
        <v/>
      </c>
      <c r="Q35" s="3" t="n">
        <v>409</v>
      </c>
      <c r="R35" s="3">
        <f>TABL12[[#This Row],[ (T/B) SAR]]-TABL12[[#This Row],[(T/B) AJD]]</f>
        <v/>
      </c>
      <c r="S35" s="3">
        <f>TABL12[[#This Row],[S/S_CON.]]+TABL12[[#This Row],[T/B-CON.]]</f>
        <v/>
      </c>
      <c r="T35" s="3">
        <f>O35+Q35</f>
        <v/>
      </c>
      <c r="U35" s="3" t="n">
        <v>544</v>
      </c>
      <c r="V35" s="3" t="n">
        <v>262</v>
      </c>
      <c r="W35" s="3">
        <f>U35+V35</f>
        <v/>
      </c>
      <c r="X35" s="3">
        <f>T35-W35</f>
        <v/>
      </c>
      <c r="Y35" s="4" t="n">
        <v>91.92100000000001</v>
      </c>
      <c r="Z35" s="3" t="n">
        <v>0</v>
      </c>
      <c r="AA35" s="3">
        <f>TABL12[[#This Row],[(RESV. STORGE) AJD]]/10</f>
        <v/>
      </c>
      <c r="AB35" s="3">
        <f>(Z35-Z34)/1000</f>
        <v/>
      </c>
      <c r="AC35" s="6" t="n">
        <v>1531</v>
      </c>
      <c r="AD35" s="5">
        <f>TABL12[[#This Row],[( S/S+T/B) AJD]]-(TABL12[[#This Row],[(A/B + A/S) AJD]]+TABL12[[#This Row],[(STORGE DIFF.) AJD]]+(TABL12[[#This Row],[AJD_Evaporation]]))</f>
        <v/>
      </c>
      <c r="AE35" s="6" t="n">
        <v>100</v>
      </c>
      <c r="AF35" s="33" t="n">
        <v>60.26</v>
      </c>
      <c r="AG35" s="6" t="n">
        <v>2462382</v>
      </c>
      <c r="AH35" s="6">
        <f>TABL12[[#This Row],[ (RESV. STORGE) BER]]/10</f>
        <v/>
      </c>
      <c r="AI35" s="6" t="n">
        <v>1531</v>
      </c>
      <c r="AJ35" s="6">
        <f>TABL12[[#This Row],[(A/B) AJD]]-TABL12[[#This Row],[BER_IN]]</f>
        <v/>
      </c>
      <c r="AK35" s="6" t="n">
        <v>0</v>
      </c>
      <c r="AL35" s="33" t="n">
        <v>45.6601</v>
      </c>
      <c r="AM35" s="6" t="n">
        <v>4575940</v>
      </c>
      <c r="AN35" s="6">
        <f>TABL12[[#This Row],[ (RESV. STORGE) SER]]/10</f>
        <v/>
      </c>
      <c r="AO35" s="6" t="n">
        <v>1215</v>
      </c>
      <c r="AP35" s="32">
        <f>TABL12[[#This Row],[(A/S) AJD]]-TABL12[[#This Row],[SER_IN]]</f>
        <v/>
      </c>
    </row>
    <row r="36">
      <c r="A36" s="2" t="n">
        <v>45692</v>
      </c>
      <c r="B36" s="28" t="n">
        <v>38</v>
      </c>
      <c r="C36" s="28" t="n">
        <v>324</v>
      </c>
      <c r="D36" s="28" t="n">
        <v>38</v>
      </c>
      <c r="E36" s="28" t="n">
        <v>0</v>
      </c>
      <c r="F36" s="28" t="n">
        <v>81</v>
      </c>
      <c r="G36" s="28" t="n">
        <v>523.26</v>
      </c>
      <c r="H36" s="28" t="n">
        <v>7</v>
      </c>
      <c r="I36" s="28" t="n">
        <v>424.13</v>
      </c>
      <c r="J36" s="28" t="n">
        <v>420.13</v>
      </c>
      <c r="K36" s="28">
        <f>TABL12[[#This Row],[ (T/B) SAR]]+TABL12[[#This Row],[ (S/S) SAR]]</f>
        <v/>
      </c>
      <c r="L36" s="28" t="n">
        <v>321</v>
      </c>
      <c r="M36" s="29" t="n">
        <v>24.2</v>
      </c>
      <c r="N36" s="30" t="n">
        <v>7.82</v>
      </c>
      <c r="O36" s="3" t="n">
        <v>369</v>
      </c>
      <c r="P36" s="3">
        <f>TABL12[[#This Row],[ (S/S) SAR]]-TABL12[[#This Row],[(S/S) AJD]]</f>
        <v/>
      </c>
      <c r="Q36" s="3" t="n">
        <v>411</v>
      </c>
      <c r="R36" s="3">
        <f>TABL12[[#This Row],[ (T/B) SAR]]-TABL12[[#This Row],[(T/B) AJD]]</f>
        <v/>
      </c>
      <c r="S36" s="3">
        <f>TABL12[[#This Row],[S/S_CON.]]+TABL12[[#This Row],[T/B-CON.]]</f>
        <v/>
      </c>
      <c r="T36" s="3">
        <f>O36+Q36</f>
        <v/>
      </c>
      <c r="U36" s="3" t="n">
        <v>511</v>
      </c>
      <c r="V36" s="3" t="n">
        <v>267</v>
      </c>
      <c r="W36" s="3">
        <f>U36+V36</f>
        <v/>
      </c>
      <c r="X36" s="3">
        <f>T36-W36</f>
        <v/>
      </c>
      <c r="Y36" s="4" t="n">
        <v>91.92</v>
      </c>
      <c r="Z36" s="3" t="n">
        <v>0</v>
      </c>
      <c r="AA36" s="3">
        <f>TABL12[[#This Row],[(RESV. STORGE) AJD]]/10</f>
        <v/>
      </c>
      <c r="AB36" s="3">
        <f>(Z36-Z35)/1000</f>
        <v/>
      </c>
      <c r="AC36" s="6" t="n">
        <v>1779</v>
      </c>
      <c r="AD36" s="5">
        <f>TABL12[[#This Row],[( S/S+T/B) AJD]]-(TABL12[[#This Row],[(A/B + A/S) AJD]]+TABL12[[#This Row],[(STORGE DIFF.) AJD]]+(TABL12[[#This Row],[AJD_Evaporation]]))</f>
        <v/>
      </c>
      <c r="AE36" s="6" t="n">
        <v>30</v>
      </c>
      <c r="AF36" s="33" t="n">
        <v>60.638</v>
      </c>
      <c r="AG36" s="6" t="n">
        <v>2716694</v>
      </c>
      <c r="AH36" s="6">
        <f>TABL12[[#This Row],[ (RESV. STORGE) BER]]/10</f>
        <v/>
      </c>
      <c r="AI36" s="6" t="n">
        <v>2548</v>
      </c>
      <c r="AJ36" s="6">
        <f>TABL12[[#This Row],[(A/B) AJD]]-TABL12[[#This Row],[BER_IN]]</f>
        <v/>
      </c>
      <c r="AK36" s="6" t="n">
        <v>0</v>
      </c>
      <c r="AL36" s="33" t="n">
        <v>45.6476</v>
      </c>
      <c r="AM36" s="6" t="n">
        <v>4568360</v>
      </c>
      <c r="AN36" s="6">
        <f>TABL12[[#This Row],[ (RESV. STORGE) SER]]/10</f>
        <v/>
      </c>
      <c r="AO36" s="6" t="n">
        <v>1285</v>
      </c>
      <c r="AP36" s="32">
        <f>TABL12[[#This Row],[(A/S) AJD]]-TABL12[[#This Row],[SER_IN]]</f>
        <v/>
      </c>
    </row>
    <row r="37">
      <c r="A37" s="2" t="n">
        <v>45693</v>
      </c>
      <c r="B37" s="28" t="n">
        <v>38</v>
      </c>
      <c r="C37" s="28" t="n">
        <v>321</v>
      </c>
      <c r="D37" s="28" t="n">
        <v>38</v>
      </c>
      <c r="E37" s="28" t="n">
        <v>0</v>
      </c>
      <c r="F37" s="28" t="n">
        <v>81</v>
      </c>
      <c r="G37" s="28" t="n">
        <v>523.26</v>
      </c>
      <c r="H37" s="28" t="n">
        <v>7</v>
      </c>
      <c r="I37" s="28" t="n">
        <v>422.63</v>
      </c>
      <c r="J37" s="28" t="n">
        <v>418.63</v>
      </c>
      <c r="K37" s="28">
        <f>TABL12[[#This Row],[ (T/B) SAR]]+TABL12[[#This Row],[ (S/S) SAR]]</f>
        <v/>
      </c>
      <c r="L37" s="28" t="n">
        <v>318</v>
      </c>
      <c r="M37" s="29" t="n">
        <v>24.2</v>
      </c>
      <c r="N37" s="30" t="n">
        <v>7.83</v>
      </c>
      <c r="O37" s="3" t="n">
        <v>374</v>
      </c>
      <c r="P37" s="3">
        <f>TABL12[[#This Row],[ (S/S) SAR]]-TABL12[[#This Row],[(S/S) AJD]]</f>
        <v/>
      </c>
      <c r="Q37" s="3" t="n">
        <v>412</v>
      </c>
      <c r="R37" s="3">
        <f>TABL12[[#This Row],[ (T/B) SAR]]-TABL12[[#This Row],[(T/B) AJD]]</f>
        <v/>
      </c>
      <c r="S37" s="3">
        <f>TABL12[[#This Row],[S/S_CON.]]+TABL12[[#This Row],[T/B-CON.]]</f>
        <v/>
      </c>
      <c r="T37" s="3">
        <f>O37+Q37</f>
        <v/>
      </c>
      <c r="U37" s="3" t="n">
        <v>500</v>
      </c>
      <c r="V37" s="3" t="n">
        <v>245</v>
      </c>
      <c r="W37" s="3">
        <f>U37+V37</f>
        <v/>
      </c>
      <c r="X37" s="3">
        <f>T37-W37</f>
        <v/>
      </c>
      <c r="Y37" s="4" t="n">
        <v>91.92</v>
      </c>
      <c r="Z37" s="3" t="n">
        <v>0</v>
      </c>
      <c r="AA37" s="3">
        <f>TABL12[[#This Row],[(RESV. STORGE) AJD]]/10</f>
        <v/>
      </c>
      <c r="AB37" s="3">
        <f>(Z37-Z36)/1000</f>
        <v/>
      </c>
      <c r="AC37" s="6" t="n">
        <v>1704</v>
      </c>
      <c r="AD37" s="5">
        <f>TABL12[[#This Row],[( S/S+T/B) AJD]]-(TABL12[[#This Row],[(A/B + A/S) AJD]]+TABL12[[#This Row],[(STORGE DIFF.) AJD]]+(TABL12[[#This Row],[AJD_Evaporation]]))</f>
        <v/>
      </c>
      <c r="AE37" s="6" t="n">
        <v>161</v>
      </c>
      <c r="AF37" s="33" t="n">
        <v>60.772</v>
      </c>
      <c r="AG37" s="6" t="n">
        <v>2807146</v>
      </c>
      <c r="AH37" s="6">
        <f>TABL12[[#This Row],[ (RESV. STORGE) BER]]/10</f>
        <v/>
      </c>
      <c r="AI37" s="6" t="n">
        <v>2487</v>
      </c>
      <c r="AJ37" s="6">
        <f>TABL12[[#This Row],[(A/B) AJD]]-TABL12[[#This Row],[BER_IN]]</f>
        <v/>
      </c>
      <c r="AK37" s="6" t="n">
        <v>0</v>
      </c>
      <c r="AL37" s="33" t="n">
        <v>45.6276</v>
      </c>
      <c r="AM37" s="6" t="n">
        <v>4557580</v>
      </c>
      <c r="AN37" s="6">
        <f>TABL12[[#This Row],[ (RESV. STORGE) SER]]/10</f>
        <v/>
      </c>
      <c r="AO37" s="6" t="n">
        <v>1350</v>
      </c>
      <c r="AP37" s="32">
        <f>TABL12[[#This Row],[(A/S) AJD]]-TABL12[[#This Row],[SER_IN]]</f>
        <v/>
      </c>
    </row>
    <row r="38">
      <c r="A38" s="2" t="n">
        <v>45694</v>
      </c>
      <c r="B38" s="28" t="n">
        <v>38</v>
      </c>
      <c r="C38" s="28" t="n">
        <v>326</v>
      </c>
      <c r="D38" s="28" t="n">
        <v>38</v>
      </c>
      <c r="E38" s="28" t="n">
        <v>0</v>
      </c>
      <c r="F38" s="28" t="n">
        <v>81</v>
      </c>
      <c r="G38" s="28" t="n">
        <v>523.26</v>
      </c>
      <c r="H38" s="28" t="n">
        <v>7</v>
      </c>
      <c r="I38" s="28" t="n">
        <v>426.13</v>
      </c>
      <c r="J38" s="28" t="n">
        <v>422.13</v>
      </c>
      <c r="K38" s="28">
        <f>TABL12[[#This Row],[ (T/B) SAR]]+TABL12[[#This Row],[ (S/S) SAR]]</f>
        <v/>
      </c>
      <c r="L38" s="28" t="n">
        <v>325</v>
      </c>
      <c r="M38" s="29" t="n">
        <v>24.2</v>
      </c>
      <c r="N38" s="30" t="n">
        <v>7.82</v>
      </c>
      <c r="O38" s="3" t="n">
        <v>372</v>
      </c>
      <c r="P38" s="3">
        <f>TABL12[[#This Row],[ (S/S) SAR]]-TABL12[[#This Row],[(S/S) AJD]]</f>
        <v/>
      </c>
      <c r="Q38" s="3" t="n">
        <v>410</v>
      </c>
      <c r="R38" s="3">
        <f>TABL12[[#This Row],[ (T/B) SAR]]-TABL12[[#This Row],[(T/B) AJD]]</f>
        <v/>
      </c>
      <c r="S38" s="3">
        <f>TABL12[[#This Row],[S/S_CON.]]+TABL12[[#This Row],[T/B-CON.]]</f>
        <v/>
      </c>
      <c r="T38" s="3">
        <f>O38+Q38</f>
        <v/>
      </c>
      <c r="U38" s="3" t="n">
        <v>515</v>
      </c>
      <c r="V38" s="3" t="n">
        <v>263</v>
      </c>
      <c r="W38" s="3">
        <f>U38+V38</f>
        <v/>
      </c>
      <c r="X38" s="3">
        <f>T38-W38</f>
        <v/>
      </c>
      <c r="Y38" s="4" t="n">
        <v>91.92</v>
      </c>
      <c r="Z38" s="3" t="n">
        <v>0</v>
      </c>
      <c r="AA38" s="3">
        <f>TABL12[[#This Row],[(RESV. STORGE) AJD]]/10</f>
        <v/>
      </c>
      <c r="AB38" s="3">
        <f>(Z38-Z37)/1000</f>
        <v/>
      </c>
      <c r="AC38" s="6" t="n">
        <v>1812</v>
      </c>
      <c r="AD38" s="5">
        <f>TABL12[[#This Row],[( S/S+T/B) AJD]]-(TABL12[[#This Row],[(A/B + A/S) AJD]]+TABL12[[#This Row],[(STORGE DIFF.) AJD]]+(TABL12[[#This Row],[AJD_Evaporation]]))</f>
        <v/>
      </c>
      <c r="AE38" s="6" t="n">
        <v>92</v>
      </c>
      <c r="AF38" s="33" t="n">
        <v>60.787</v>
      </c>
      <c r="AG38" s="6" t="n">
        <v>2817281</v>
      </c>
      <c r="AH38" s="6">
        <f>TABL12[[#This Row],[ (RESV. STORGE) BER]]/10</f>
        <v/>
      </c>
      <c r="AI38" s="6" t="n">
        <v>2184</v>
      </c>
      <c r="AJ38" s="6">
        <f>TABL12[[#This Row],[(A/B) AJD]]-TABL12[[#This Row],[BER_IN]]</f>
        <v/>
      </c>
      <c r="AK38" s="6" t="n">
        <v>0</v>
      </c>
      <c r="AL38" s="33" t="n">
        <v>45.6057</v>
      </c>
      <c r="AM38" s="6" t="n">
        <v>4545350</v>
      </c>
      <c r="AN38" s="6">
        <f>TABL12[[#This Row],[ (RESV. STORGE) SER]]/10</f>
        <v/>
      </c>
      <c r="AO38" s="6" t="n">
        <v>1320</v>
      </c>
      <c r="AP38" s="32">
        <f>TABL12[[#This Row],[(A/S) AJD]]-TABL12[[#This Row],[SER_IN]]</f>
        <v/>
      </c>
    </row>
    <row r="39">
      <c r="A39" s="2" t="n">
        <v>45695</v>
      </c>
      <c r="B39" s="28" t="n">
        <v>38</v>
      </c>
      <c r="C39" s="28" t="n">
        <v>320</v>
      </c>
      <c r="D39" s="28" t="n">
        <v>38</v>
      </c>
      <c r="E39" s="28" t="n">
        <v>0</v>
      </c>
      <c r="F39" s="28" t="n">
        <v>81</v>
      </c>
      <c r="G39" s="28" t="n">
        <v>523.26</v>
      </c>
      <c r="H39" s="28" t="n">
        <v>7</v>
      </c>
      <c r="I39" s="28" t="n">
        <v>422.13</v>
      </c>
      <c r="J39" s="28" t="n">
        <v>418.13</v>
      </c>
      <c r="K39" s="28">
        <f>TABL12[[#This Row],[ (T/B) SAR]]+TABL12[[#This Row],[ (S/S) SAR]]</f>
        <v/>
      </c>
      <c r="L39" s="28" t="n">
        <v>317</v>
      </c>
      <c r="M39" s="29" t="n">
        <v>24.2</v>
      </c>
      <c r="N39" s="30" t="n">
        <v>7.85</v>
      </c>
      <c r="O39" s="3" t="n">
        <v>370</v>
      </c>
      <c r="P39" s="3">
        <f>TABL12[[#This Row],[ (S/S) SAR]]-TABL12[[#This Row],[(S/S) AJD]]</f>
        <v/>
      </c>
      <c r="Q39" s="3" t="n">
        <v>408</v>
      </c>
      <c r="R39" s="3">
        <f>TABL12[[#This Row],[ (T/B) SAR]]-TABL12[[#This Row],[(T/B) AJD]]</f>
        <v/>
      </c>
      <c r="S39" s="3">
        <f>TABL12[[#This Row],[S/S_CON.]]+TABL12[[#This Row],[T/B-CON.]]</f>
        <v/>
      </c>
      <c r="T39" s="3">
        <f>O39+Q39</f>
        <v/>
      </c>
      <c r="U39" s="3" t="n">
        <v>516</v>
      </c>
      <c r="V39" s="3" t="n">
        <v>263</v>
      </c>
      <c r="W39" s="3">
        <f>U39+V39</f>
        <v/>
      </c>
      <c r="X39" s="3">
        <f>T39-W39</f>
        <v/>
      </c>
      <c r="Y39" s="4" t="n">
        <v>91.92</v>
      </c>
      <c r="Z39" s="3" t="n">
        <v>0</v>
      </c>
      <c r="AA39" s="3">
        <f>TABL12[[#This Row],[(RESV. STORGE) AJD]]/10</f>
        <v/>
      </c>
      <c r="AB39" s="3">
        <f>(Z39-Z38)/1000</f>
        <v/>
      </c>
      <c r="AC39" s="6" t="n">
        <v>0</v>
      </c>
      <c r="AD39" s="5">
        <f>TABL12[[#This Row],[( S/S+T/B) AJD]]-(TABL12[[#This Row],[(A/B + A/S) AJD]]+TABL12[[#This Row],[(STORGE DIFF.) AJD]]+(TABL12[[#This Row],[AJD_Evaporation]]))</f>
        <v/>
      </c>
      <c r="AE39" s="6" t="n">
        <v>90</v>
      </c>
      <c r="AF39" s="33" t="n">
        <v>60.799</v>
      </c>
      <c r="AG39" s="6" t="n">
        <v>2825391</v>
      </c>
      <c r="AH39" s="6">
        <f>TABL12[[#This Row],[ (RESV. STORGE) BER]]/10</f>
        <v/>
      </c>
      <c r="AI39" s="6" t="n">
        <v>2210</v>
      </c>
      <c r="AJ39" s="6">
        <f>TABL12[[#This Row],[(A/B) AJD]]-TABL12[[#This Row],[BER_IN]]</f>
        <v/>
      </c>
      <c r="AK39" s="6" t="n">
        <v>0</v>
      </c>
      <c r="AL39" s="33" t="n">
        <v>45.5793</v>
      </c>
      <c r="AM39" s="6" t="n">
        <v>4530220</v>
      </c>
      <c r="AN39" s="6">
        <f>TABL12[[#This Row],[ (RESV. STORGE) SER]]/10</f>
        <v/>
      </c>
      <c r="AO39" s="6" t="n">
        <v>1350</v>
      </c>
      <c r="AP39" s="32">
        <f>TABL12[[#This Row],[(A/S) AJD]]-TABL12[[#This Row],[SER_IN]]</f>
        <v/>
      </c>
    </row>
    <row r="40">
      <c r="A40" s="2" t="n">
        <v>45696</v>
      </c>
      <c r="B40" s="28" t="n">
        <v>38</v>
      </c>
      <c r="C40" s="28" t="n">
        <v>323</v>
      </c>
      <c r="D40" s="28" t="n">
        <v>38</v>
      </c>
      <c r="E40" s="28" t="n">
        <v>0</v>
      </c>
      <c r="F40" s="28" t="n">
        <v>81</v>
      </c>
      <c r="G40" s="28" t="n">
        <v>523.26</v>
      </c>
      <c r="H40" s="28" t="n">
        <v>7</v>
      </c>
      <c r="I40" s="28" t="n">
        <v>423.63</v>
      </c>
      <c r="J40" s="28" t="n">
        <v>419.63</v>
      </c>
      <c r="K40" s="28">
        <f>TABL12[[#This Row],[ (T/B) SAR]]+TABL12[[#This Row],[ (S/S) SAR]]</f>
        <v/>
      </c>
      <c r="L40" s="28" t="n">
        <v>320</v>
      </c>
      <c r="M40" s="29" t="n">
        <v>24.2</v>
      </c>
      <c r="N40" s="30" t="n">
        <v>7.86</v>
      </c>
      <c r="O40" s="3" t="n">
        <v>373</v>
      </c>
      <c r="P40" s="3">
        <f>TABL12[[#This Row],[ (S/S) SAR]]-TABL12[[#This Row],[(S/S) AJD]]</f>
        <v/>
      </c>
      <c r="Q40" s="3" t="n">
        <v>413</v>
      </c>
      <c r="R40" s="3">
        <f>TABL12[[#This Row],[ (T/B) SAR]]-TABL12[[#This Row],[(T/B) AJD]]</f>
        <v/>
      </c>
      <c r="S40" s="3">
        <f>TABL12[[#This Row],[S/S_CON.]]+TABL12[[#This Row],[T/B-CON.]]</f>
        <v/>
      </c>
      <c r="T40" s="3">
        <f>O40+Q40</f>
        <v/>
      </c>
      <c r="U40" s="3" t="n">
        <v>528</v>
      </c>
      <c r="V40" s="3" t="n">
        <v>260</v>
      </c>
      <c r="W40" s="3">
        <f>U40+V40</f>
        <v/>
      </c>
      <c r="X40" s="3">
        <f>T40-W40</f>
        <v/>
      </c>
      <c r="Y40" s="4" t="n">
        <v>91.92</v>
      </c>
      <c r="Z40" s="3" t="n">
        <v>0</v>
      </c>
      <c r="AA40" s="3">
        <f>TABL12[[#This Row],[(RESV. STORGE) AJD]]/10</f>
        <v/>
      </c>
      <c r="AB40" s="3">
        <f>(Z40-Z39)/1000</f>
        <v/>
      </c>
      <c r="AC40" s="6" t="n">
        <v>0</v>
      </c>
      <c r="AD40" s="5">
        <f>TABL12[[#This Row],[( S/S+T/B) AJD]]-(TABL12[[#This Row],[(A/B + A/S) AJD]]+TABL12[[#This Row],[(STORGE DIFF.) AJD]]+(TABL12[[#This Row],[AJD_Evaporation]]))</f>
        <v/>
      </c>
      <c r="AE40" s="6" t="n">
        <v>90</v>
      </c>
      <c r="AF40" s="33" t="n">
        <v>60.811</v>
      </c>
      <c r="AG40" s="6" t="n">
        <v>2833501</v>
      </c>
      <c r="AH40" s="6">
        <f>TABL12[[#This Row],[ (RESV. STORGE) BER]]/10</f>
        <v/>
      </c>
      <c r="AI40" s="6" t="n">
        <v>2209</v>
      </c>
      <c r="AJ40" s="6">
        <f>TABL12[[#This Row],[(A/B) AJD]]-TABL12[[#This Row],[BER_IN]]</f>
        <v/>
      </c>
      <c r="AK40" s="6" t="n">
        <v>0</v>
      </c>
      <c r="AL40" s="33" t="n">
        <v>45.5491</v>
      </c>
      <c r="AM40" s="6" t="n">
        <v>4513050</v>
      </c>
      <c r="AN40" s="6">
        <f>TABL12[[#This Row],[ (RESV. STORGE) SER]]/10</f>
        <v/>
      </c>
      <c r="AO40" s="6" t="n">
        <v>1290</v>
      </c>
      <c r="AP40" s="32">
        <f>TABL12[[#This Row],[(A/S) AJD]]-TABL12[[#This Row],[SER_IN]]</f>
        <v/>
      </c>
    </row>
    <row r="41">
      <c r="A41" s="2" t="n">
        <v>45697</v>
      </c>
      <c r="B41" s="28" t="n">
        <v>38</v>
      </c>
      <c r="C41" s="28" t="n">
        <v>318</v>
      </c>
      <c r="D41" s="28" t="n">
        <v>38</v>
      </c>
      <c r="E41" s="28" t="n">
        <v>0</v>
      </c>
      <c r="F41" s="28" t="n">
        <v>81</v>
      </c>
      <c r="G41" s="28" t="n">
        <v>523.26</v>
      </c>
      <c r="H41" s="28" t="n">
        <v>7</v>
      </c>
      <c r="I41" s="28" t="n">
        <v>421.13</v>
      </c>
      <c r="J41" s="28" t="n">
        <v>417.13</v>
      </c>
      <c r="K41" s="28">
        <f>TABL12[[#This Row],[ (T/B) SAR]]+TABL12[[#This Row],[ (S/S) SAR]]</f>
        <v/>
      </c>
      <c r="L41" s="28" t="n">
        <v>315</v>
      </c>
      <c r="M41" s="29" t="n">
        <v>24.2</v>
      </c>
      <c r="N41" s="30" t="n">
        <v>7.86</v>
      </c>
      <c r="O41" s="3" t="n">
        <v>373</v>
      </c>
      <c r="P41" s="3">
        <f>TABL12[[#This Row],[ (S/S) SAR]]-TABL12[[#This Row],[(S/S) AJD]]</f>
        <v/>
      </c>
      <c r="Q41" s="3" t="n">
        <v>415</v>
      </c>
      <c r="R41" s="3">
        <f>TABL12[[#This Row],[ (T/B) SAR]]-TABL12[[#This Row],[(T/B) AJD]]</f>
        <v/>
      </c>
      <c r="S41" s="3">
        <f>TABL12[[#This Row],[S/S_CON.]]+TABL12[[#This Row],[T/B-CON.]]</f>
        <v/>
      </c>
      <c r="T41" s="3">
        <f>O41+Q41</f>
        <v/>
      </c>
      <c r="U41" s="3" t="n">
        <v>513</v>
      </c>
      <c r="V41" s="3" t="n">
        <v>280</v>
      </c>
      <c r="W41" s="3">
        <f>U41+V41</f>
        <v/>
      </c>
      <c r="X41" s="3">
        <f>T41-W41</f>
        <v/>
      </c>
      <c r="Y41" s="4" t="n">
        <v>91.92</v>
      </c>
      <c r="Z41" s="3" t="n">
        <v>0</v>
      </c>
      <c r="AA41" s="3">
        <f>TABL12[[#This Row],[(RESV. STORGE) AJD]]/10</f>
        <v/>
      </c>
      <c r="AB41" s="3">
        <f>(Z41-Z40)/1000</f>
        <v/>
      </c>
      <c r="AC41" s="6" t="n">
        <v>0</v>
      </c>
      <c r="AD41" s="5">
        <f>TABL12[[#This Row],[( S/S+T/B) AJD]]-(TABL12[[#This Row],[(A/B + A/S) AJD]]+TABL12[[#This Row],[(STORGE DIFF.) AJD]]+(TABL12[[#This Row],[AJD_Evaporation]]))</f>
        <v/>
      </c>
      <c r="AE41" s="6" t="n">
        <v>95</v>
      </c>
      <c r="AF41" s="33" t="n">
        <v>60.84</v>
      </c>
      <c r="AG41" s="6" t="n">
        <v>2853107</v>
      </c>
      <c r="AH41" s="6">
        <f>TABL12[[#This Row],[ (RESV. STORGE) BER]]/10</f>
        <v/>
      </c>
      <c r="AI41" s="6" t="n">
        <v>1523</v>
      </c>
      <c r="AJ41" s="6">
        <f>TABL12[[#This Row],[(A/B) AJD]]-TABL12[[#This Row],[BER_IN]]</f>
        <v/>
      </c>
      <c r="AK41" s="6" t="n">
        <v>0</v>
      </c>
      <c r="AL41" s="33" t="n">
        <v>45.515</v>
      </c>
      <c r="AM41" s="6" t="n">
        <v>4493670</v>
      </c>
      <c r="AN41" s="6">
        <f>TABL12[[#This Row],[ (RESV. STORGE) SER]]/10</f>
        <v/>
      </c>
      <c r="AO41" s="6" t="n">
        <v>1310</v>
      </c>
      <c r="AP41" s="32">
        <f>TABL12[[#This Row],[(A/S) AJD]]-TABL12[[#This Row],[SER_IN]]</f>
        <v/>
      </c>
    </row>
    <row r="42">
      <c r="A42" s="2" t="n">
        <v>45698</v>
      </c>
      <c r="B42" s="28" t="n">
        <v>38</v>
      </c>
      <c r="C42" s="28" t="n">
        <v>315</v>
      </c>
      <c r="D42" s="28" t="n">
        <v>38</v>
      </c>
      <c r="E42" s="28" t="n">
        <v>0</v>
      </c>
      <c r="F42" s="28" t="n">
        <v>81</v>
      </c>
      <c r="G42" s="28" t="n">
        <v>524.0699999999999</v>
      </c>
      <c r="H42" s="28" t="n">
        <v>7</v>
      </c>
      <c r="I42" s="28" t="n">
        <v>420.535</v>
      </c>
      <c r="J42" s="28" t="n">
        <v>416.535</v>
      </c>
      <c r="K42" s="28">
        <f>TABL12[[#This Row],[ (T/B) SAR]]+TABL12[[#This Row],[ (S/S) SAR]]</f>
        <v/>
      </c>
      <c r="L42" s="28" t="n">
        <v>313</v>
      </c>
      <c r="M42" s="29" t="n">
        <v>24.2</v>
      </c>
      <c r="N42" s="30" t="n">
        <v>7.84</v>
      </c>
      <c r="O42" s="3" t="n">
        <v>373</v>
      </c>
      <c r="P42" s="3">
        <f>TABL12[[#This Row],[ (S/S) SAR]]-TABL12[[#This Row],[(S/S) AJD]]</f>
        <v/>
      </c>
      <c r="Q42" s="3" t="n">
        <v>414</v>
      </c>
      <c r="R42" s="3">
        <f>TABL12[[#This Row],[ (T/B) SAR]]-TABL12[[#This Row],[(T/B) AJD]]</f>
        <v/>
      </c>
      <c r="S42" s="3">
        <f>TABL12[[#This Row],[S/S_CON.]]+TABL12[[#This Row],[T/B-CON.]]</f>
        <v/>
      </c>
      <c r="T42" s="3">
        <f>O42+Q42</f>
        <v/>
      </c>
      <c r="U42" s="3" t="n">
        <v>503</v>
      </c>
      <c r="V42" s="3" t="n">
        <v>280</v>
      </c>
      <c r="W42" s="3">
        <f>U42+V42</f>
        <v/>
      </c>
      <c r="X42" s="3">
        <f>T42-W42</f>
        <v/>
      </c>
      <c r="Y42" s="4" t="n">
        <v>91.92</v>
      </c>
      <c r="Z42" s="3" t="n">
        <v>0</v>
      </c>
      <c r="AA42" s="3">
        <f>TABL12[[#This Row],[(RESV. STORGE) AJD]]/10</f>
        <v/>
      </c>
      <c r="AB42" s="3">
        <f>(Z42-Z41)/1000</f>
        <v/>
      </c>
      <c r="AC42" s="6" t="n">
        <v>0</v>
      </c>
      <c r="AD42" s="5">
        <f>TABL12[[#This Row],[( S/S+T/B) AJD]]-(TABL12[[#This Row],[(A/B + A/S) AJD]]+TABL12[[#This Row],[(STORGE DIFF.) AJD]]+(TABL12[[#This Row],[AJD_Evaporation]]))</f>
        <v/>
      </c>
      <c r="AE42" s="6" t="n">
        <v>87</v>
      </c>
      <c r="AF42" s="33" t="n">
        <v>60.882</v>
      </c>
      <c r="AG42" s="6" t="n">
        <v>2881515</v>
      </c>
      <c r="AH42" s="6">
        <f>TABL12[[#This Row],[ (RESV. STORGE) BER]]/10</f>
        <v/>
      </c>
      <c r="AI42" s="6" t="n">
        <v>2151</v>
      </c>
      <c r="AJ42" s="6">
        <f>TABL12[[#This Row],[(A/B) AJD]]-TABL12[[#This Row],[BER_IN]]</f>
        <v/>
      </c>
      <c r="AK42" s="6" t="n">
        <v>0</v>
      </c>
      <c r="AL42" s="33" t="n">
        <v>45.482</v>
      </c>
      <c r="AM42" s="6" t="n">
        <v>4475620</v>
      </c>
      <c r="AN42" s="6">
        <f>TABL12[[#This Row],[ (RESV. STORGE) SER]]/10</f>
        <v/>
      </c>
      <c r="AO42" s="6" t="n">
        <v>1362</v>
      </c>
      <c r="AP42" s="32">
        <f>TABL12[[#This Row],[(A/S) AJD]]-TABL12[[#This Row],[SER_IN]]</f>
        <v/>
      </c>
    </row>
    <row r="43">
      <c r="A43" s="2" t="n">
        <v>45699</v>
      </c>
      <c r="B43" s="28" t="n">
        <v>37</v>
      </c>
      <c r="C43" s="28" t="n">
        <v>308</v>
      </c>
      <c r="D43" s="28" t="n">
        <v>37</v>
      </c>
      <c r="E43" s="28" t="n">
        <v>0</v>
      </c>
      <c r="F43" s="28" t="n">
        <v>81</v>
      </c>
      <c r="G43" s="28" t="n">
        <v>524.0699999999999</v>
      </c>
      <c r="H43" s="28" t="n">
        <v>7</v>
      </c>
      <c r="I43" s="28" t="n">
        <v>416.535</v>
      </c>
      <c r="J43" s="28" t="n">
        <v>412.535</v>
      </c>
      <c r="K43" s="28">
        <f>TABL12[[#This Row],[ (T/B) SAR]]+TABL12[[#This Row],[ (S/S) SAR]]</f>
        <v/>
      </c>
      <c r="L43" s="28" t="n">
        <v>305</v>
      </c>
      <c r="M43" s="29" t="n">
        <v>24.2</v>
      </c>
      <c r="N43" s="30" t="n">
        <v>7.77</v>
      </c>
      <c r="O43" s="3" t="n">
        <v>373</v>
      </c>
      <c r="P43" s="3">
        <f>TABL12[[#This Row],[ (S/S) SAR]]-TABL12[[#This Row],[(S/S) AJD]]</f>
        <v/>
      </c>
      <c r="Q43" s="3" t="n">
        <v>415</v>
      </c>
      <c r="R43" s="3">
        <f>TABL12[[#This Row],[ (T/B) SAR]]-TABL12[[#This Row],[(T/B) AJD]]</f>
        <v/>
      </c>
      <c r="S43" s="3">
        <f>TABL12[[#This Row],[S/S_CON.]]+TABL12[[#This Row],[T/B-CON.]]</f>
        <v/>
      </c>
      <c r="T43" s="3">
        <f>O43+Q43</f>
        <v/>
      </c>
      <c r="U43" s="3" t="n">
        <v>517</v>
      </c>
      <c r="V43" s="3" t="n">
        <v>273</v>
      </c>
      <c r="W43" s="3">
        <f>U43+V43</f>
        <v/>
      </c>
      <c r="X43" s="3">
        <f>T43-W43</f>
        <v/>
      </c>
      <c r="Y43" s="4" t="n">
        <v>91.92</v>
      </c>
      <c r="Z43" s="3" t="n">
        <v>0</v>
      </c>
      <c r="AA43" s="3">
        <f>TABL12[[#This Row],[(RESV. STORGE) AJD]]/10</f>
        <v/>
      </c>
      <c r="AB43" s="3">
        <f>(Z43-Z42)/1000</f>
        <v/>
      </c>
      <c r="AC43" s="6" t="n">
        <v>0</v>
      </c>
      <c r="AD43" s="5">
        <f>TABL12[[#This Row],[( S/S+T/B) AJD]]-(TABL12[[#This Row],[(A/B + A/S) AJD]]+TABL12[[#This Row],[(STORGE DIFF.) AJD]]+(TABL12[[#This Row],[AJD_Evaporation]]))</f>
        <v/>
      </c>
      <c r="AE43" s="6" t="n">
        <v>72</v>
      </c>
      <c r="AF43" s="33" t="n">
        <v>60.873</v>
      </c>
      <c r="AG43" s="6" t="n">
        <v>2875427</v>
      </c>
      <c r="AH43" s="6">
        <f>TABL12[[#This Row],[ (RESV. STORGE) BER]]/10</f>
        <v/>
      </c>
      <c r="AI43" s="6" t="n">
        <v>1728</v>
      </c>
      <c r="AJ43" s="6">
        <f>TABL12[[#This Row],[(A/B) AJD]]-TABL12[[#This Row],[BER_IN]]</f>
        <v/>
      </c>
      <c r="AK43" s="6" t="n">
        <v>0</v>
      </c>
      <c r="AL43" s="33" t="n">
        <v>45.411</v>
      </c>
      <c r="AM43" s="6" t="n">
        <v>4435830</v>
      </c>
      <c r="AN43" s="6">
        <f>TABL12[[#This Row],[ (RESV. STORGE) SER]]/10</f>
        <v/>
      </c>
      <c r="AO43" s="6" t="n">
        <v>1382</v>
      </c>
      <c r="AP43" s="32">
        <f>TABL12[[#This Row],[(A/S) AJD]]-TABL12[[#This Row],[SER_IN]]</f>
        <v/>
      </c>
    </row>
    <row r="44">
      <c r="A44" s="2" t="n">
        <v>45700</v>
      </c>
      <c r="B44" s="28" t="n">
        <v>36</v>
      </c>
      <c r="C44" s="28" t="n">
        <v>291</v>
      </c>
      <c r="D44" s="28" t="n">
        <v>37</v>
      </c>
      <c r="E44" s="28" t="n">
        <v>0</v>
      </c>
      <c r="F44" s="28" t="n">
        <v>83</v>
      </c>
      <c r="G44" s="28" t="n">
        <v>536.1800000000001</v>
      </c>
      <c r="H44" s="28" t="n">
        <v>5</v>
      </c>
      <c r="I44" s="28" t="n">
        <v>414.59</v>
      </c>
      <c r="J44" s="28" t="n">
        <v>410.59</v>
      </c>
      <c r="K44" s="28">
        <f>TABL12[[#This Row],[ (T/B) SAR]]+TABL12[[#This Row],[ (S/S) SAR]]</f>
        <v/>
      </c>
      <c r="L44" s="28" t="n">
        <v>289</v>
      </c>
      <c r="M44" s="29" t="n">
        <v>23.9</v>
      </c>
      <c r="N44" s="30" t="n">
        <v>7.39</v>
      </c>
      <c r="O44" s="3" t="n">
        <v>372</v>
      </c>
      <c r="P44" s="3">
        <f>TABL12[[#This Row],[ (S/S) SAR]]-TABL12[[#This Row],[(S/S) AJD]]</f>
        <v/>
      </c>
      <c r="Q44" s="3" t="n">
        <v>413</v>
      </c>
      <c r="R44" s="3">
        <f>TABL12[[#This Row],[ (T/B) SAR]]-TABL12[[#This Row],[(T/B) AJD]]</f>
        <v/>
      </c>
      <c r="S44" s="3">
        <f>TABL12[[#This Row],[S/S_CON.]]+TABL12[[#This Row],[T/B-CON.]]</f>
        <v/>
      </c>
      <c r="T44" s="3">
        <f>O44+Q44</f>
        <v/>
      </c>
      <c r="U44" s="3" t="n">
        <v>539</v>
      </c>
      <c r="V44" s="3" t="n">
        <v>249</v>
      </c>
      <c r="W44" s="3">
        <f>U44+V44</f>
        <v/>
      </c>
      <c r="X44" s="3">
        <f>T44-W44</f>
        <v/>
      </c>
      <c r="Y44" s="4" t="n">
        <v>91.92</v>
      </c>
      <c r="Z44" s="3" t="n">
        <v>0</v>
      </c>
      <c r="AA44" s="3">
        <f>TABL12[[#This Row],[(RESV. STORGE) AJD]]/10</f>
        <v/>
      </c>
      <c r="AB44" s="3">
        <f>(Z44-Z43)/1000</f>
        <v/>
      </c>
      <c r="AC44" s="6" t="n">
        <v>0</v>
      </c>
      <c r="AD44" s="5">
        <f>TABL12[[#This Row],[( S/S+T/B) AJD]]-(TABL12[[#This Row],[(A/B + A/S) AJD]]+TABL12[[#This Row],[(STORGE DIFF.) AJD]]+(TABL12[[#This Row],[AJD_Evaporation]]))</f>
        <v/>
      </c>
      <c r="AE44" s="6" t="n">
        <v>65</v>
      </c>
      <c r="AF44" s="33" t="n">
        <v>60.877</v>
      </c>
      <c r="AG44" s="6" t="n">
        <v>2878133</v>
      </c>
      <c r="AH44" s="6">
        <f>TABL12[[#This Row],[ (RESV. STORGE) BER]]/10</f>
        <v/>
      </c>
      <c r="AI44" s="6" t="n">
        <v>1559</v>
      </c>
      <c r="AJ44" s="6">
        <f>TABL12[[#This Row],[(A/B) AJD]]-TABL12[[#This Row],[BER_IN]]</f>
        <v/>
      </c>
      <c r="AK44" s="6" t="n">
        <v>32</v>
      </c>
      <c r="AL44" s="33" t="n">
        <v>44.9328</v>
      </c>
      <c r="AM44" s="6" t="n">
        <v>4168970</v>
      </c>
      <c r="AN44" s="6">
        <f>TABL12[[#This Row],[ (RESV. STORGE) SER]]/10</f>
        <v/>
      </c>
      <c r="AO44" s="6" t="n">
        <v>1300</v>
      </c>
      <c r="AP44" s="32">
        <f>TABL12[[#This Row],[(A/S) AJD]]-TABL12[[#This Row],[SER_IN]]</f>
        <v/>
      </c>
    </row>
    <row r="45">
      <c r="A45" s="2" t="n">
        <v>45701</v>
      </c>
      <c r="B45" s="28" t="n">
        <v>37</v>
      </c>
      <c r="C45" s="28" t="n">
        <v>301</v>
      </c>
      <c r="D45" s="28" t="n">
        <v>37</v>
      </c>
      <c r="E45" s="28" t="n">
        <v>0</v>
      </c>
      <c r="F45" s="28" t="n">
        <v>81</v>
      </c>
      <c r="G45" s="28" t="n">
        <v>523.26</v>
      </c>
      <c r="H45" s="28" t="n">
        <v>7</v>
      </c>
      <c r="I45" s="28" t="n">
        <v>412.63</v>
      </c>
      <c r="J45" s="28" t="n">
        <v>408.63</v>
      </c>
      <c r="K45" s="28">
        <f>TABL12[[#This Row],[ (T/B) SAR]]+TABL12[[#This Row],[ (S/S) SAR]]</f>
        <v/>
      </c>
      <c r="L45" s="28" t="n">
        <v>298</v>
      </c>
      <c r="M45" s="29" t="n">
        <v>24.2</v>
      </c>
      <c r="N45" s="30" t="n">
        <v>7.61</v>
      </c>
      <c r="O45" s="3" t="n">
        <v>370</v>
      </c>
      <c r="P45" s="3">
        <f>TABL12[[#This Row],[ (S/S) SAR]]-TABL12[[#This Row],[(S/S) AJD]]</f>
        <v/>
      </c>
      <c r="Q45" s="3" t="n">
        <v>413</v>
      </c>
      <c r="R45" s="3">
        <f>TABL12[[#This Row],[ (T/B) SAR]]-TABL12[[#This Row],[(T/B) AJD]]</f>
        <v/>
      </c>
      <c r="S45" s="3">
        <f>TABL12[[#This Row],[S/S_CON.]]+TABL12[[#This Row],[T/B-CON.]]</f>
        <v/>
      </c>
      <c r="T45" s="3">
        <f>O45+Q45</f>
        <v/>
      </c>
      <c r="U45" s="3" t="n">
        <v>543</v>
      </c>
      <c r="V45" s="3" t="n">
        <v>241</v>
      </c>
      <c r="W45" s="3">
        <f>U45+V45</f>
        <v/>
      </c>
      <c r="X45" s="3">
        <f>T45-W45</f>
        <v/>
      </c>
      <c r="Y45" s="4" t="n">
        <v>91.92</v>
      </c>
      <c r="Z45" s="3" t="n">
        <v>0</v>
      </c>
      <c r="AA45" s="3">
        <f>TABL12[[#This Row],[(RESV. STORGE) AJD]]/10</f>
        <v/>
      </c>
      <c r="AB45" s="3">
        <f>(Z45-Z44)/1000</f>
        <v/>
      </c>
      <c r="AC45" s="6" t="n">
        <v>0</v>
      </c>
      <c r="AD45" s="5">
        <f>TABL12[[#This Row],[( S/S+T/B) AJD]]-(TABL12[[#This Row],[(A/B + A/S) AJD]]+TABL12[[#This Row],[(STORGE DIFF.) AJD]]+(TABL12[[#This Row],[AJD_Evaporation]]))</f>
        <v/>
      </c>
      <c r="AE45" s="6" t="n">
        <v>88</v>
      </c>
      <c r="AF45" s="33" t="n">
        <v>60.887</v>
      </c>
      <c r="AG45" s="6" t="n">
        <v>2884898</v>
      </c>
      <c r="AH45" s="6">
        <f>TABL12[[#This Row],[ (RESV. STORGE) BER]]/10</f>
        <v/>
      </c>
      <c r="AI45" s="6" t="n">
        <v>1554</v>
      </c>
      <c r="AJ45" s="6">
        <f>TABL12[[#This Row],[(A/B) AJD]]-TABL12[[#This Row],[BER_IN]]</f>
        <v/>
      </c>
      <c r="AK45" s="6" t="n">
        <v>0</v>
      </c>
      <c r="AL45" s="33" t="n">
        <v>45.359</v>
      </c>
      <c r="AM45" s="6" t="n">
        <v>4406730</v>
      </c>
      <c r="AN45" s="6">
        <f>TABL12[[#This Row],[ (RESV. STORGE) SER]]/10</f>
        <v/>
      </c>
      <c r="AO45" s="6" t="n">
        <v>1395</v>
      </c>
      <c r="AP45" s="32">
        <f>TABL12[[#This Row],[(A/S) AJD]]-TABL12[[#This Row],[SER_IN]]</f>
        <v/>
      </c>
    </row>
    <row r="46">
      <c r="A46" s="2" t="n">
        <v>45702</v>
      </c>
      <c r="B46" s="28" t="n">
        <v>37</v>
      </c>
      <c r="C46" s="28" t="n">
        <v>289</v>
      </c>
      <c r="D46" s="28" t="n">
        <v>37</v>
      </c>
      <c r="E46" s="28" t="n">
        <v>0</v>
      </c>
      <c r="F46" s="28" t="n">
        <v>83</v>
      </c>
      <c r="G46" s="28" t="n">
        <v>537.01</v>
      </c>
      <c r="H46" s="28" t="n">
        <v>5</v>
      </c>
      <c r="I46" s="28" t="n">
        <v>413.505</v>
      </c>
      <c r="J46" s="28" t="n">
        <v>409.505</v>
      </c>
      <c r="K46" s="28">
        <f>TABL12[[#This Row],[ (T/B) SAR]]+TABL12[[#This Row],[ (S/S) SAR]]</f>
        <v/>
      </c>
      <c r="L46" s="28" t="n">
        <v>286</v>
      </c>
      <c r="M46" s="29" t="n">
        <v>23.9</v>
      </c>
      <c r="N46" s="30" t="n">
        <v>7.55</v>
      </c>
      <c r="O46" s="3" t="n">
        <v>371</v>
      </c>
      <c r="P46" s="3">
        <f>TABL12[[#This Row],[ (S/S) SAR]]-TABL12[[#This Row],[(S/S) AJD]]</f>
        <v/>
      </c>
      <c r="Q46" s="3" t="n">
        <v>413</v>
      </c>
      <c r="R46" s="3">
        <f>TABL12[[#This Row],[ (T/B) SAR]]-TABL12[[#This Row],[(T/B) AJD]]</f>
        <v/>
      </c>
      <c r="S46" s="3">
        <f>TABL12[[#This Row],[S/S_CON.]]+TABL12[[#This Row],[T/B-CON.]]</f>
        <v/>
      </c>
      <c r="T46" s="3">
        <f>O46+Q46</f>
        <v/>
      </c>
      <c r="U46" s="3" t="n">
        <v>545</v>
      </c>
      <c r="V46" s="3" t="n">
        <v>234</v>
      </c>
      <c r="W46" s="3">
        <f>U46+V46</f>
        <v/>
      </c>
      <c r="X46" s="3">
        <f>T46-W46</f>
        <v/>
      </c>
      <c r="Y46" s="4" t="n">
        <v>91.92</v>
      </c>
      <c r="Z46" s="3" t="n">
        <v>0</v>
      </c>
      <c r="AA46" s="3">
        <f>TABL12[[#This Row],[(RESV. STORGE) AJD]]/10</f>
        <v/>
      </c>
      <c r="AB46" s="3">
        <f>(Z46-Z45)/1000</f>
        <v/>
      </c>
      <c r="AC46" s="6" t="n">
        <v>0</v>
      </c>
      <c r="AD46" s="5">
        <f>TABL12[[#This Row],[( S/S+T/B) AJD]]-(TABL12[[#This Row],[(A/B + A/S) AJD]]+TABL12[[#This Row],[(STORGE DIFF.) AJD]]+(TABL12[[#This Row],[AJD_Evaporation]]))</f>
        <v/>
      </c>
      <c r="AE46" s="6" t="n">
        <v>100</v>
      </c>
      <c r="AF46" s="33" t="n">
        <v>60.915</v>
      </c>
      <c r="AG46" s="6" t="n">
        <v>2903847</v>
      </c>
      <c r="AH46" s="6">
        <f>TABL12[[#This Row],[ (RESV. STORGE) BER]]/10</f>
        <v/>
      </c>
      <c r="AI46" s="6" t="n">
        <v>1371</v>
      </c>
      <c r="AJ46" s="6">
        <f>TABL12[[#This Row],[(A/B) AJD]]-TABL12[[#This Row],[BER_IN]]</f>
        <v/>
      </c>
      <c r="AK46" s="6" t="n">
        <v>0</v>
      </c>
      <c r="AL46" s="33" t="n">
        <v>45.3077</v>
      </c>
      <c r="AM46" s="6" t="n">
        <v>4377610</v>
      </c>
      <c r="AN46" s="6">
        <f>TABL12[[#This Row],[ (RESV. STORGE) SER]]/10</f>
        <v/>
      </c>
      <c r="AO46" s="6" t="n">
        <v>1420</v>
      </c>
      <c r="AP46" s="32">
        <f>TABL12[[#This Row],[(A/S) AJD]]-TABL12[[#This Row],[SER_IN]]</f>
        <v/>
      </c>
    </row>
    <row r="47">
      <c r="A47" s="2" t="n">
        <v>45703</v>
      </c>
      <c r="B47" s="28" t="n">
        <v>37</v>
      </c>
      <c r="C47" s="28" t="n">
        <v>308</v>
      </c>
      <c r="D47" s="28" t="n">
        <v>37</v>
      </c>
      <c r="E47" s="28" t="n">
        <v>0</v>
      </c>
      <c r="F47" s="28" t="n">
        <v>83</v>
      </c>
      <c r="G47" s="28" t="n">
        <v>532.86</v>
      </c>
      <c r="H47" s="28" t="n">
        <v>5</v>
      </c>
      <c r="I47" s="28" t="n">
        <v>421.93</v>
      </c>
      <c r="J47" s="28" t="n">
        <v>417.93</v>
      </c>
      <c r="K47" s="28">
        <f>TABL12[[#This Row],[ (T/B) SAR]]+TABL12[[#This Row],[ (S/S) SAR]]</f>
        <v/>
      </c>
      <c r="L47" s="28" t="n">
        <v>307</v>
      </c>
      <c r="M47" s="29" t="n">
        <v>23.9</v>
      </c>
      <c r="N47" s="30" t="n">
        <v>7.56</v>
      </c>
      <c r="O47" s="3" t="n">
        <v>371</v>
      </c>
      <c r="P47" s="3">
        <f>TABL12[[#This Row],[ (S/S) SAR]]-TABL12[[#This Row],[(S/S) AJD]]</f>
        <v/>
      </c>
      <c r="Q47" s="3" t="n">
        <v>413</v>
      </c>
      <c r="R47" s="3">
        <f>TABL12[[#This Row],[ (T/B) SAR]]-TABL12[[#This Row],[(T/B) AJD]]</f>
        <v/>
      </c>
      <c r="S47" s="3">
        <f>TABL12[[#This Row],[S/S_CON.]]+TABL12[[#This Row],[T/B-CON.]]</f>
        <v/>
      </c>
      <c r="T47" s="3">
        <f>O47+Q47</f>
        <v/>
      </c>
      <c r="U47" s="3" t="n">
        <v>524</v>
      </c>
      <c r="V47" s="3" t="n">
        <v>262</v>
      </c>
      <c r="W47" s="3">
        <f>U47+V47</f>
        <v/>
      </c>
      <c r="X47" s="3">
        <f>T47-W47</f>
        <v/>
      </c>
      <c r="Y47" s="4" t="n">
        <v>91.92</v>
      </c>
      <c r="Z47" s="3" t="n">
        <v>0</v>
      </c>
      <c r="AA47" s="3">
        <f>TABL12[[#This Row],[(RESV. STORGE) AJD]]/10</f>
        <v/>
      </c>
      <c r="AB47" s="3">
        <f>(Z47-Z46)/1000</f>
        <v/>
      </c>
      <c r="AC47" s="6" t="n">
        <v>0</v>
      </c>
      <c r="AD47" s="5">
        <f>TABL12[[#This Row],[( S/S+T/B) AJD]]-(TABL12[[#This Row],[(A/B + A/S) AJD]]+TABL12[[#This Row],[(STORGE DIFF.) AJD]]+(TABL12[[#This Row],[AJD_Evaporation]]))</f>
        <v/>
      </c>
      <c r="AE47" s="6" t="n">
        <v>100</v>
      </c>
      <c r="AF47" s="33" t="n">
        <v>60.943</v>
      </c>
      <c r="AG47" s="6" t="n">
        <v>2922802</v>
      </c>
      <c r="AH47" s="6">
        <f>TABL12[[#This Row],[ (RESV. STORGE) BER]]/10</f>
        <v/>
      </c>
      <c r="AI47" s="6" t="n">
        <v>1364</v>
      </c>
      <c r="AJ47" s="6">
        <f>TABL12[[#This Row],[(A/B) AJD]]-TABL12[[#This Row],[BER_IN]]</f>
        <v/>
      </c>
      <c r="AK47" s="6" t="n">
        <v>30</v>
      </c>
      <c r="AL47" s="33" t="n">
        <v>45.3017</v>
      </c>
      <c r="AM47" s="6" t="n">
        <v>4374300</v>
      </c>
      <c r="AN47" s="6">
        <f>TABL12[[#This Row],[ (RESV. STORGE) SER]]/10</f>
        <v/>
      </c>
      <c r="AO47" s="6" t="n">
        <v>2000</v>
      </c>
      <c r="AP47" s="32">
        <f>TABL12[[#This Row],[(A/S) AJD]]-TABL12[[#This Row],[SER_IN]]</f>
        <v/>
      </c>
    </row>
    <row r="48">
      <c r="A48" s="2" t="n">
        <v>45704</v>
      </c>
      <c r="B48" s="28" t="n">
        <v>37</v>
      </c>
      <c r="C48" s="28" t="n">
        <v>302</v>
      </c>
      <c r="D48" s="28" t="n">
        <v>37</v>
      </c>
      <c r="E48" s="28" t="n">
        <v>0</v>
      </c>
      <c r="F48" s="28" t="n">
        <v>83</v>
      </c>
      <c r="G48" s="28" t="n">
        <v>536.1800000000001</v>
      </c>
      <c r="H48" s="28" t="n">
        <v>5</v>
      </c>
      <c r="I48" s="28" t="n">
        <v>419.59</v>
      </c>
      <c r="J48" s="28" t="n">
        <v>415.59</v>
      </c>
      <c r="K48" s="28">
        <f>TABL12[[#This Row],[ (T/B) SAR]]+TABL12[[#This Row],[ (S/S) SAR]]</f>
        <v/>
      </c>
      <c r="L48" s="28" t="n">
        <v>299</v>
      </c>
      <c r="M48" s="29" t="n">
        <v>23.9</v>
      </c>
      <c r="N48" s="30" t="n">
        <v>7.56</v>
      </c>
      <c r="O48" s="3" t="n">
        <v>371</v>
      </c>
      <c r="P48" s="3">
        <f>TABL12[[#This Row],[ (S/S) SAR]]-TABL12[[#This Row],[(S/S) AJD]]</f>
        <v/>
      </c>
      <c r="Q48" s="3" t="n">
        <v>413</v>
      </c>
      <c r="R48" s="3">
        <f>TABL12[[#This Row],[ (T/B) SAR]]-TABL12[[#This Row],[(T/B) AJD]]</f>
        <v/>
      </c>
      <c r="S48" s="3">
        <f>TABL12[[#This Row],[S/S_CON.]]+TABL12[[#This Row],[T/B-CON.]]</f>
        <v/>
      </c>
      <c r="T48" s="3">
        <f>O48+Q48</f>
        <v/>
      </c>
      <c r="U48" s="3" t="n">
        <v>522</v>
      </c>
      <c r="V48" s="3" t="n">
        <v>262</v>
      </c>
      <c r="W48" s="3">
        <f>U48+V48</f>
        <v/>
      </c>
      <c r="X48" s="3">
        <f>T48-W48</f>
        <v/>
      </c>
      <c r="Y48" s="4" t="n">
        <v>91.92</v>
      </c>
      <c r="Z48" s="3" t="n">
        <v>0</v>
      </c>
      <c r="AA48" s="3">
        <f>TABL12[[#This Row],[(RESV. STORGE) AJD]]/10</f>
        <v/>
      </c>
      <c r="AB48" s="3">
        <f>(Z48-Z47)/1000</f>
        <v/>
      </c>
      <c r="AC48" s="6" t="n">
        <v>0</v>
      </c>
      <c r="AD48" s="5">
        <f>TABL12[[#This Row],[( S/S+T/B) AJD]]-(TABL12[[#This Row],[(A/B + A/S) AJD]]+TABL12[[#This Row],[(STORGE DIFF.) AJD]]+(TABL12[[#This Row],[AJD_Evaporation]]))</f>
        <v/>
      </c>
      <c r="AE48" s="6" t="n">
        <v>100</v>
      </c>
      <c r="AF48" s="33" t="n">
        <v>60.971</v>
      </c>
      <c r="AG48" s="6" t="n">
        <v>2941764</v>
      </c>
      <c r="AH48" s="6">
        <f>TABL12[[#This Row],[ (RESV. STORGE) BER]]/10</f>
        <v/>
      </c>
      <c r="AI48" s="6" t="n">
        <v>1357</v>
      </c>
      <c r="AJ48" s="6">
        <f>TABL12[[#This Row],[(A/B) AJD]]-TABL12[[#This Row],[BER_IN]]</f>
        <v/>
      </c>
      <c r="AK48" s="6" t="n">
        <v>19</v>
      </c>
      <c r="AL48" s="33" t="n">
        <v>45.2534</v>
      </c>
      <c r="AM48" s="6" t="n">
        <v>4347440</v>
      </c>
      <c r="AN48" s="6">
        <f>TABL12[[#This Row],[ (RESV. STORGE) SER]]/10</f>
        <v/>
      </c>
      <c r="AO48" s="6" t="n">
        <v>1860</v>
      </c>
      <c r="AP48" s="32">
        <f>TABL12[[#This Row],[(A/S) AJD]]-TABL12[[#This Row],[SER_IN]]</f>
        <v/>
      </c>
    </row>
    <row r="49">
      <c r="A49" s="2" t="n">
        <v>45705</v>
      </c>
      <c r="B49" s="28" t="n">
        <v>37</v>
      </c>
      <c r="C49" s="28" t="n">
        <v>296</v>
      </c>
      <c r="D49" s="28" t="n">
        <v>37</v>
      </c>
      <c r="E49" s="28" t="n">
        <v>0</v>
      </c>
      <c r="F49" s="28" t="n">
        <v>83</v>
      </c>
      <c r="G49" s="28" t="n">
        <v>537.01</v>
      </c>
      <c r="H49" s="28" t="n">
        <v>5</v>
      </c>
      <c r="I49" s="28" t="n">
        <v>417.005</v>
      </c>
      <c r="J49" s="28" t="n">
        <v>413.005</v>
      </c>
      <c r="K49" s="28">
        <f>TABL12[[#This Row],[ (T/B) SAR]]+TABL12[[#This Row],[ (S/S) SAR]]</f>
        <v/>
      </c>
      <c r="L49" s="28" t="n">
        <v>293</v>
      </c>
      <c r="M49" s="29" t="n">
        <v>23.9</v>
      </c>
      <c r="N49" s="30" t="n">
        <v>7.55</v>
      </c>
      <c r="O49" s="3" t="n">
        <v>372</v>
      </c>
      <c r="P49" s="3">
        <f>TABL12[[#This Row],[ (S/S) SAR]]-TABL12[[#This Row],[(S/S) AJD]]</f>
        <v/>
      </c>
      <c r="Q49" s="3" t="n">
        <v>413</v>
      </c>
      <c r="R49" s="3">
        <f>TABL12[[#This Row],[ (T/B) SAR]]-TABL12[[#This Row],[(T/B) AJD]]</f>
        <v/>
      </c>
      <c r="S49" s="3">
        <f>TABL12[[#This Row],[S/S_CON.]]+TABL12[[#This Row],[T/B-CON.]]</f>
        <v/>
      </c>
      <c r="T49" s="3">
        <f>O49+Q49</f>
        <v/>
      </c>
      <c r="U49" s="3" t="n">
        <v>517</v>
      </c>
      <c r="V49" s="3" t="n">
        <v>270</v>
      </c>
      <c r="W49" s="3">
        <f>U49+V49</f>
        <v/>
      </c>
      <c r="X49" s="3">
        <f>T49-W49</f>
        <v/>
      </c>
      <c r="Y49" s="4" t="n">
        <v>91.92</v>
      </c>
      <c r="Z49" s="3" t="n">
        <v>0</v>
      </c>
      <c r="AA49" s="3">
        <f>TABL12[[#This Row],[(RESV. STORGE) AJD]]/10</f>
        <v/>
      </c>
      <c r="AB49" s="3">
        <f>(Z49-Z48)/1000</f>
        <v/>
      </c>
      <c r="AC49" s="6" t="n">
        <v>0</v>
      </c>
      <c r="AD49" s="5">
        <f>TABL12[[#This Row],[( S/S+T/B) AJD]]-(TABL12[[#This Row],[(A/B + A/S) AJD]]+TABL12[[#This Row],[(STORGE DIFF.) AJD]]+(TABL12[[#This Row],[AJD_Evaporation]]))</f>
        <v/>
      </c>
      <c r="AE49" s="6" t="n">
        <v>85</v>
      </c>
      <c r="AF49" s="33" t="n">
        <v>60.977</v>
      </c>
      <c r="AG49" s="6" t="n">
        <v>2945829</v>
      </c>
      <c r="AH49" s="6">
        <f>TABL12[[#This Row],[ (RESV. STORGE) BER]]/10</f>
        <v/>
      </c>
      <c r="AI49" s="6" t="n">
        <v>1255</v>
      </c>
      <c r="AJ49" s="6">
        <f>TABL12[[#This Row],[(A/B) AJD]]-TABL12[[#This Row],[BER_IN]]</f>
        <v/>
      </c>
      <c r="AK49" s="6" t="n">
        <v>26</v>
      </c>
      <c r="AL49" s="33" t="n">
        <v>45.2596</v>
      </c>
      <c r="AM49" s="6" t="n">
        <v>4351320</v>
      </c>
      <c r="AN49" s="6">
        <f>TABL12[[#This Row],[ (RESV. STORGE) SER]]/10</f>
        <v/>
      </c>
      <c r="AO49" s="6" t="n">
        <v>1120</v>
      </c>
      <c r="AP49" s="32">
        <f>TABL12[[#This Row],[(A/S) AJD]]-TABL12[[#This Row],[SER_IN]]</f>
        <v/>
      </c>
    </row>
    <row r="50">
      <c r="A50" s="2" t="n">
        <v>45706</v>
      </c>
      <c r="B50" s="28" t="n">
        <v>35</v>
      </c>
      <c r="C50" s="28" t="n">
        <v>289</v>
      </c>
      <c r="D50" s="28" t="n">
        <v>37</v>
      </c>
      <c r="E50" s="28" t="n">
        <v>0</v>
      </c>
      <c r="F50" s="28" t="n">
        <v>83</v>
      </c>
      <c r="G50" s="28" t="n">
        <v>532.86</v>
      </c>
      <c r="H50" s="28" t="n">
        <v>5</v>
      </c>
      <c r="I50" s="28" t="n">
        <v>412.43</v>
      </c>
      <c r="J50" s="28" t="n">
        <v>408.43</v>
      </c>
      <c r="K50" s="28">
        <f>TABL12[[#This Row],[ (T/B) SAR]]+TABL12[[#This Row],[ (S/S) SAR]]</f>
        <v/>
      </c>
      <c r="L50" s="28" t="n">
        <v>288</v>
      </c>
      <c r="M50" s="29" t="n">
        <v>23.9</v>
      </c>
      <c r="N50" s="30" t="n">
        <v>7.49</v>
      </c>
      <c r="O50" s="3" t="n">
        <v>371</v>
      </c>
      <c r="P50" s="3">
        <f>TABL12[[#This Row],[ (S/S) SAR]]-TABL12[[#This Row],[(S/S) AJD]]</f>
        <v/>
      </c>
      <c r="Q50" s="3" t="n">
        <v>413</v>
      </c>
      <c r="R50" s="3">
        <f>TABL12[[#This Row],[ (T/B) SAR]]-TABL12[[#This Row],[(T/B) AJD]]</f>
        <v/>
      </c>
      <c r="S50" s="3">
        <f>TABL12[[#This Row],[S/S_CON.]]+TABL12[[#This Row],[T/B-CON.]]</f>
        <v/>
      </c>
      <c r="T50" s="3">
        <f>O50+Q50</f>
        <v/>
      </c>
      <c r="U50" s="3" t="n">
        <v>511</v>
      </c>
      <c r="V50" s="3" t="n">
        <v>276</v>
      </c>
      <c r="W50" s="3">
        <f>U50+V50</f>
        <v/>
      </c>
      <c r="X50" s="3">
        <f>T50-W50</f>
        <v/>
      </c>
      <c r="Y50" s="4" t="n">
        <v>91.92</v>
      </c>
      <c r="Z50" s="3" t="n">
        <v>0</v>
      </c>
      <c r="AA50" s="3">
        <f>TABL12[[#This Row],[(RESV. STORGE) AJD]]/10</f>
        <v/>
      </c>
      <c r="AB50" s="3">
        <f>(Z50-Z49)/1000</f>
        <v/>
      </c>
      <c r="AC50" s="6" t="n">
        <v>0</v>
      </c>
      <c r="AD50" s="5">
        <f>TABL12[[#This Row],[( S/S+T/B) AJD]]-(TABL12[[#This Row],[(A/B + A/S) AJD]]+TABL12[[#This Row],[(STORGE DIFF.) AJD]]+(TABL12[[#This Row],[AJD_Evaporation]]))</f>
        <v/>
      </c>
      <c r="AE50" s="6" t="n">
        <v>75</v>
      </c>
      <c r="AF50" s="33" t="n">
        <v>60.968</v>
      </c>
      <c r="AG50" s="6" t="n">
        <v>2939732</v>
      </c>
      <c r="AH50" s="6">
        <f>TABL12[[#This Row],[ (RESV. STORGE) BER]]/10</f>
        <v/>
      </c>
      <c r="AI50" s="6" t="n">
        <v>1416</v>
      </c>
      <c r="AJ50" s="6">
        <f>TABL12[[#This Row],[(A/B) AJD]]-TABL12[[#This Row],[BER_IN]]</f>
        <v/>
      </c>
      <c r="AK50" s="6" t="n">
        <v>26</v>
      </c>
      <c r="AL50" s="33" t="n">
        <v>45.2687</v>
      </c>
      <c r="AM50" s="6" t="n">
        <v>4356520</v>
      </c>
      <c r="AN50" s="6">
        <f>TABL12[[#This Row],[ (RESV. STORGE) SER]]/10</f>
        <v/>
      </c>
      <c r="AO50" s="6" t="n">
        <v>1800</v>
      </c>
      <c r="AP50" s="32">
        <f>TABL12[[#This Row],[(A/S) AJD]]-TABL12[[#This Row],[SER_IN]]</f>
        <v/>
      </c>
    </row>
    <row r="51">
      <c r="A51" s="2" t="n">
        <v>45707</v>
      </c>
      <c r="B51" s="28" t="n">
        <v>35</v>
      </c>
      <c r="C51" s="28" t="n">
        <v>288</v>
      </c>
      <c r="D51" s="28" t="n">
        <v>37</v>
      </c>
      <c r="E51" s="28" t="n">
        <v>0</v>
      </c>
      <c r="F51" s="28" t="n">
        <v>83</v>
      </c>
      <c r="G51" s="28" t="n">
        <v>536.1800000000001</v>
      </c>
      <c r="H51" s="28" t="n">
        <v>5</v>
      </c>
      <c r="I51" s="28" t="n">
        <v>412.59</v>
      </c>
      <c r="J51" s="28" t="n">
        <v>408.59</v>
      </c>
      <c r="K51" s="28">
        <f>TABL12[[#This Row],[ (T/B) SAR]]+TABL12[[#This Row],[ (S/S) SAR]]</f>
        <v/>
      </c>
      <c r="L51" s="28" t="n">
        <v>285</v>
      </c>
      <c r="M51" s="29" t="n">
        <v>23.9</v>
      </c>
      <c r="N51" s="30" t="n">
        <v>7.42</v>
      </c>
      <c r="O51" s="3" t="n">
        <v>370</v>
      </c>
      <c r="P51" s="3">
        <f>TABL12[[#This Row],[ (S/S) SAR]]-TABL12[[#This Row],[(S/S) AJD]]</f>
        <v/>
      </c>
      <c r="Q51" s="3" t="n">
        <v>412</v>
      </c>
      <c r="R51" s="3">
        <f>TABL12[[#This Row],[ (T/B) SAR]]-TABL12[[#This Row],[(T/B) AJD]]</f>
        <v/>
      </c>
      <c r="S51" s="3">
        <f>TABL12[[#This Row],[S/S_CON.]]+TABL12[[#This Row],[T/B-CON.]]</f>
        <v/>
      </c>
      <c r="T51" s="3">
        <f>O51+Q51</f>
        <v/>
      </c>
      <c r="U51" s="3" t="n">
        <v>506</v>
      </c>
      <c r="V51" s="3" t="n">
        <v>280</v>
      </c>
      <c r="W51" s="3">
        <f>U51+V51</f>
        <v/>
      </c>
      <c r="X51" s="3">
        <f>T51-W51</f>
        <v/>
      </c>
      <c r="Y51" s="4" t="n">
        <v>91.92</v>
      </c>
      <c r="Z51" s="3" t="n">
        <v>0</v>
      </c>
      <c r="AA51" s="3">
        <f>TABL12[[#This Row],[(RESV. STORGE) AJD]]/10</f>
        <v/>
      </c>
      <c r="AB51" s="3">
        <f>(Z51-Z50)/1000</f>
        <v/>
      </c>
      <c r="AC51" s="6" t="n">
        <v>0</v>
      </c>
      <c r="AD51" s="5">
        <f>TABL12[[#This Row],[( S/S+T/B) AJD]]-(TABL12[[#This Row],[(A/B + A/S) AJD]]+TABL12[[#This Row],[(STORGE DIFF.) AJD]]+(TABL12[[#This Row],[AJD_Evaporation]]))</f>
        <v/>
      </c>
      <c r="AE51" s="6" t="n">
        <v>75</v>
      </c>
      <c r="AF51" s="33" t="n">
        <v>60.959</v>
      </c>
      <c r="AG51" s="6" t="n">
        <v>2933637</v>
      </c>
      <c r="AH51" s="6">
        <f>TABL12[[#This Row],[ (RESV. STORGE) BER]]/10</f>
        <v/>
      </c>
      <c r="AI51" s="6" t="n">
        <v>1415</v>
      </c>
      <c r="AJ51" s="6">
        <f>TABL12[[#This Row],[(A/B) AJD]]-TABL12[[#This Row],[BER_IN]]</f>
        <v/>
      </c>
      <c r="AK51" s="6" t="n">
        <v>26</v>
      </c>
      <c r="AL51" s="33" t="n">
        <v>45.229</v>
      </c>
      <c r="AM51" s="6" t="n">
        <v>4334004</v>
      </c>
      <c r="AN51" s="6">
        <f>TABL12[[#This Row],[ (RESV. STORGE) SER]]/10</f>
        <v/>
      </c>
      <c r="AO51" s="6" t="n">
        <v>1816</v>
      </c>
      <c r="AP51" s="32">
        <f>TABL12[[#This Row],[(A/S) AJD]]-TABL12[[#This Row],[SER_IN]]</f>
        <v/>
      </c>
    </row>
    <row r="52">
      <c r="A52" s="2" t="n">
        <v>45708</v>
      </c>
      <c r="B52" s="28" t="n">
        <v>38</v>
      </c>
      <c r="C52" s="28" t="n">
        <v>303</v>
      </c>
      <c r="D52" s="28" t="n">
        <v>38</v>
      </c>
      <c r="E52" s="28" t="n">
        <v>0</v>
      </c>
      <c r="F52" s="28" t="n">
        <v>83</v>
      </c>
      <c r="G52" s="28" t="n">
        <v>537.01</v>
      </c>
      <c r="H52" s="28" t="n">
        <v>5</v>
      </c>
      <c r="I52" s="28" t="n">
        <v>420.505</v>
      </c>
      <c r="J52" s="28" t="n">
        <v>416.505</v>
      </c>
      <c r="K52" s="28">
        <f>TABL12[[#This Row],[ (T/B) SAR]]+TABL12[[#This Row],[ (S/S) SAR]]</f>
        <v/>
      </c>
      <c r="L52" s="28" t="n">
        <v>300</v>
      </c>
      <c r="M52" s="29" t="n">
        <v>23.9</v>
      </c>
      <c r="N52" s="30" t="n">
        <v>7.4</v>
      </c>
      <c r="O52" s="3" t="n">
        <v>371</v>
      </c>
      <c r="P52" s="3">
        <f>TABL12[[#This Row],[ (S/S) SAR]]-TABL12[[#This Row],[(S/S) AJD]]</f>
        <v/>
      </c>
      <c r="Q52" s="3" t="n">
        <v>412</v>
      </c>
      <c r="R52" s="3">
        <f>TABL12[[#This Row],[ (T/B) SAR]]-TABL12[[#This Row],[(T/B) AJD]]</f>
        <v/>
      </c>
      <c r="S52" s="3">
        <f>TABL12[[#This Row],[S/S_CON.]]+TABL12[[#This Row],[T/B-CON.]]</f>
        <v/>
      </c>
      <c r="T52" s="3">
        <f>O52+Q52</f>
        <v/>
      </c>
      <c r="U52" s="3" t="n">
        <v>517</v>
      </c>
      <c r="V52" s="3" t="n">
        <v>266</v>
      </c>
      <c r="W52" s="3">
        <f>U52+V52</f>
        <v/>
      </c>
      <c r="X52" s="3">
        <f>T52-W52</f>
        <v/>
      </c>
      <c r="Y52" s="4" t="n">
        <v>91.92</v>
      </c>
      <c r="Z52" s="3" t="n">
        <v>0</v>
      </c>
      <c r="AA52" s="3">
        <f>TABL12[[#This Row],[(RESV. STORGE) AJD]]/10</f>
        <v/>
      </c>
      <c r="AB52" s="3">
        <f>(Z52-Z51)/1000</f>
        <v/>
      </c>
      <c r="AC52" s="6" t="n">
        <v>0</v>
      </c>
      <c r="AD52" s="5">
        <f>TABL12[[#This Row],[( S/S+T/B) AJD]]-(TABL12[[#This Row],[(A/B + A/S) AJD]]+TABL12[[#This Row],[(STORGE DIFF.) AJD]]+(TABL12[[#This Row],[AJD_Evaporation]]))</f>
        <v/>
      </c>
      <c r="AE52" s="6" t="n">
        <v>75</v>
      </c>
      <c r="AF52" s="33" t="n">
        <v>60.95</v>
      </c>
      <c r="AG52" s="6" t="n">
        <v>2927542</v>
      </c>
      <c r="AH52" s="6">
        <f>TABL12[[#This Row],[ (RESV. STORGE) BER]]/10</f>
        <v/>
      </c>
      <c r="AI52" s="6" t="n">
        <v>1414.7</v>
      </c>
      <c r="AJ52" s="6">
        <f>TABL12[[#This Row],[(A/B) AJD]]-TABL12[[#This Row],[BER_IN]]</f>
        <v/>
      </c>
      <c r="AK52" s="6" t="n">
        <v>28</v>
      </c>
      <c r="AL52" s="33" t="n">
        <v>45.11</v>
      </c>
      <c r="AM52" s="6" t="n">
        <v>4267570</v>
      </c>
      <c r="AN52" s="6">
        <f>TABL12[[#This Row],[ (RESV. STORGE) SER]]/10</f>
        <v/>
      </c>
      <c r="AO52" s="6" t="n">
        <v>2267</v>
      </c>
      <c r="AP52" s="32">
        <f>TABL12[[#This Row],[(A/S) AJD]]-TABL12[[#This Row],[SER_IN]]</f>
        <v/>
      </c>
    </row>
    <row r="53">
      <c r="A53" s="2" t="n">
        <v>45709</v>
      </c>
      <c r="B53" s="28" t="n">
        <v>38</v>
      </c>
      <c r="C53" s="28" t="n">
        <v>311</v>
      </c>
      <c r="D53" s="28" t="n">
        <v>38</v>
      </c>
      <c r="E53" s="28" t="n">
        <v>0</v>
      </c>
      <c r="F53" s="28" t="n">
        <v>83</v>
      </c>
      <c r="G53" s="28" t="n">
        <v>532.86</v>
      </c>
      <c r="H53" s="28" t="n">
        <v>5</v>
      </c>
      <c r="I53" s="28" t="n">
        <v>423.43</v>
      </c>
      <c r="J53" s="28" t="n">
        <v>419.43</v>
      </c>
      <c r="K53" s="28">
        <f>TABL12[[#This Row],[ (T/B) SAR]]+TABL12[[#This Row],[ (S/S) SAR]]</f>
        <v/>
      </c>
      <c r="L53" s="28" t="n">
        <v>310</v>
      </c>
      <c r="M53" s="29" t="n">
        <v>23.9</v>
      </c>
      <c r="N53" s="30" t="n">
        <v>7.48</v>
      </c>
      <c r="O53" s="3" t="n">
        <v>370</v>
      </c>
      <c r="P53" s="3">
        <f>TABL12[[#This Row],[ (S/S) SAR]]-TABL12[[#This Row],[(S/S) AJD]]</f>
        <v/>
      </c>
      <c r="Q53" s="3" t="n">
        <v>411</v>
      </c>
      <c r="R53" s="3">
        <f>TABL12[[#This Row],[ (T/B) SAR]]-TABL12[[#This Row],[(T/B) AJD]]</f>
        <v/>
      </c>
      <c r="S53" s="3">
        <f>TABL12[[#This Row],[S/S_CON.]]+TABL12[[#This Row],[T/B-CON.]]</f>
        <v/>
      </c>
      <c r="T53" s="3">
        <f>O53+Q53</f>
        <v/>
      </c>
      <c r="U53" s="3" t="n">
        <v>513</v>
      </c>
      <c r="V53" s="3" t="n">
        <v>272</v>
      </c>
      <c r="W53" s="3">
        <f>U53+V53</f>
        <v/>
      </c>
      <c r="X53" s="3">
        <f>T53-W53</f>
        <v/>
      </c>
      <c r="Y53" s="4" t="n">
        <v>91.92</v>
      </c>
      <c r="Z53" s="3" t="n">
        <v>0</v>
      </c>
      <c r="AA53" s="3">
        <f>TABL12[[#This Row],[(RESV. STORGE) AJD]]/10</f>
        <v/>
      </c>
      <c r="AB53" s="3">
        <f>(Z53-Z52)/1000</f>
        <v/>
      </c>
      <c r="AC53" s="6" t="n">
        <v>0</v>
      </c>
      <c r="AD53" s="5">
        <f>TABL12[[#This Row],[( S/S+T/B) AJD]]-(TABL12[[#This Row],[(A/B + A/S) AJD]]+TABL12[[#This Row],[(STORGE DIFF.) AJD]]+(TABL12[[#This Row],[AJD_Evaporation]]))</f>
        <v/>
      </c>
      <c r="AE53" s="6" t="n">
        <v>75</v>
      </c>
      <c r="AF53" s="33" t="n">
        <v>60.941</v>
      </c>
      <c r="AG53" s="6" t="n">
        <v>2921448</v>
      </c>
      <c r="AH53" s="6">
        <f>TABL12[[#This Row],[ (RESV. STORGE) BER]]/10</f>
        <v/>
      </c>
      <c r="AI53" s="6" t="n">
        <v>1414</v>
      </c>
      <c r="AJ53" s="6">
        <f>TABL12[[#This Row],[(A/B) AJD]]-TABL12[[#This Row],[BER_IN]]</f>
        <v/>
      </c>
      <c r="AK53" s="6" t="n">
        <v>36</v>
      </c>
      <c r="AL53" s="33" t="n">
        <v>45.0154</v>
      </c>
      <c r="AM53" s="6" t="n">
        <v>4214610</v>
      </c>
      <c r="AN53" s="6">
        <f>TABL12[[#This Row],[ (RESV. STORGE) SER]]/10</f>
        <v/>
      </c>
      <c r="AO53" s="6" t="n">
        <v>1960</v>
      </c>
      <c r="AP53" s="32">
        <f>TABL12[[#This Row],[(A/S) AJD]]-TABL12[[#This Row],[SER_IN]]</f>
        <v/>
      </c>
    </row>
    <row r="54">
      <c r="A54" s="2" t="n">
        <v>45710</v>
      </c>
      <c r="B54" s="28" t="n">
        <v>36</v>
      </c>
      <c r="C54" s="28" t="n">
        <v>299</v>
      </c>
      <c r="D54" s="28" t="n">
        <v>37</v>
      </c>
      <c r="E54" s="28" t="n">
        <v>0</v>
      </c>
      <c r="F54" s="28" t="n">
        <v>83</v>
      </c>
      <c r="G54" s="28" t="n">
        <v>536.1800000000001</v>
      </c>
      <c r="H54" s="28" t="n">
        <v>5</v>
      </c>
      <c r="I54" s="28" t="n">
        <v>418.09</v>
      </c>
      <c r="J54" s="28" t="n">
        <v>414.09</v>
      </c>
      <c r="K54" s="28">
        <f>TABL12[[#This Row],[ (T/B) SAR]]+TABL12[[#This Row],[ (S/S) SAR]]</f>
        <v/>
      </c>
      <c r="L54" s="28" t="n">
        <v>296</v>
      </c>
      <c r="M54" s="29" t="n">
        <v>23.9</v>
      </c>
      <c r="N54" s="30" t="n">
        <v>7.47</v>
      </c>
      <c r="O54" s="3" t="n">
        <v>371</v>
      </c>
      <c r="P54" s="3">
        <f>TABL12[[#This Row],[ (S/S) SAR]]-TABL12[[#This Row],[(S/S) AJD]]</f>
        <v/>
      </c>
      <c r="Q54" s="3" t="n">
        <v>412</v>
      </c>
      <c r="R54" s="3">
        <f>TABL12[[#This Row],[ (T/B) SAR]]-TABL12[[#This Row],[(T/B) AJD]]</f>
        <v/>
      </c>
      <c r="S54" s="3">
        <f>TABL12[[#This Row],[S/S_CON.]]+TABL12[[#This Row],[T/B-CON.]]</f>
        <v/>
      </c>
      <c r="T54" s="3">
        <f>O54+Q54</f>
        <v/>
      </c>
      <c r="U54" s="3" t="n">
        <v>513</v>
      </c>
      <c r="V54" s="3" t="n">
        <v>271</v>
      </c>
      <c r="W54" s="3">
        <f>U54+V54</f>
        <v/>
      </c>
      <c r="X54" s="3">
        <f>T54-W54</f>
        <v/>
      </c>
      <c r="Y54" s="4" t="n">
        <v>91.92</v>
      </c>
      <c r="Z54" s="3" t="n">
        <v>0</v>
      </c>
      <c r="AA54" s="3">
        <f>TABL12[[#This Row],[(RESV. STORGE) AJD]]/10</f>
        <v/>
      </c>
      <c r="AB54" s="3">
        <f>(Z54-Z53)/1000</f>
        <v/>
      </c>
      <c r="AC54" s="6" t="n">
        <v>0</v>
      </c>
      <c r="AD54" s="5">
        <f>TABL12[[#This Row],[( S/S+T/B) AJD]]-(TABL12[[#This Row],[(A/B + A/S) AJD]]+TABL12[[#This Row],[(STORGE DIFF.) AJD]]+(TABL12[[#This Row],[AJD_Evaporation]]))</f>
        <v/>
      </c>
      <c r="AE54" s="6" t="n">
        <v>75</v>
      </c>
      <c r="AF54" s="33" t="n">
        <v>60.931</v>
      </c>
      <c r="AG54" s="6" t="n">
        <v>2914678</v>
      </c>
      <c r="AH54" s="6">
        <f>TABL12[[#This Row],[ (RESV. STORGE) BER]]/10</f>
        <v/>
      </c>
      <c r="AI54" s="6" t="n">
        <v>2090</v>
      </c>
      <c r="AJ54" s="6">
        <f>TABL12[[#This Row],[(A/B) AJD]]-TABL12[[#This Row],[BER_IN]]</f>
        <v/>
      </c>
      <c r="AK54" s="6" t="n">
        <v>39</v>
      </c>
      <c r="AL54" s="33" t="n">
        <v>45.0154</v>
      </c>
      <c r="AM54" s="6" t="n">
        <v>4214610</v>
      </c>
      <c r="AN54" s="6">
        <f>TABL12[[#This Row],[ (RESV. STORGE) SER]]/10</f>
        <v/>
      </c>
      <c r="AO54" s="6" t="n">
        <v>1600</v>
      </c>
      <c r="AP54" s="32">
        <f>TABL12[[#This Row],[(A/S) AJD]]-TABL12[[#This Row],[SER_IN]]</f>
        <v/>
      </c>
    </row>
    <row r="55">
      <c r="A55" s="2" t="n">
        <v>45711</v>
      </c>
      <c r="B55" s="28" t="n">
        <v>36</v>
      </c>
      <c r="C55" s="28" t="n">
        <v>301</v>
      </c>
      <c r="D55" s="28" t="n">
        <v>37</v>
      </c>
      <c r="E55" s="28" t="n">
        <v>0</v>
      </c>
      <c r="F55" s="28" t="n">
        <v>83</v>
      </c>
      <c r="G55" s="28" t="n">
        <v>537.01</v>
      </c>
      <c r="H55" s="28" t="n">
        <v>5</v>
      </c>
      <c r="I55" s="28" t="n">
        <v>419.505</v>
      </c>
      <c r="J55" s="28" t="n">
        <v>415.505</v>
      </c>
      <c r="K55" s="28">
        <f>TABL12[[#This Row],[ (T/B) SAR]]+TABL12[[#This Row],[ (S/S) SAR]]</f>
        <v/>
      </c>
      <c r="L55" s="28" t="n">
        <v>298</v>
      </c>
      <c r="M55" s="29" t="n">
        <v>23.9</v>
      </c>
      <c r="N55" s="30" t="n">
        <v>7.46</v>
      </c>
      <c r="O55" s="3" t="n">
        <v>371</v>
      </c>
      <c r="P55" s="3">
        <f>TABL12[[#This Row],[ (S/S) SAR]]-TABL12[[#This Row],[(S/S) AJD]]</f>
        <v/>
      </c>
      <c r="Q55" s="3" t="n">
        <v>412</v>
      </c>
      <c r="R55" s="3">
        <f>TABL12[[#This Row],[ (T/B) SAR]]-TABL12[[#This Row],[(T/B) AJD]]</f>
        <v/>
      </c>
      <c r="S55" s="3">
        <f>TABL12[[#This Row],[S/S_CON.]]+TABL12[[#This Row],[T/B-CON.]]</f>
        <v/>
      </c>
      <c r="T55" s="3">
        <f>O55+Q55</f>
        <v/>
      </c>
      <c r="U55" s="3" t="n">
        <v>519</v>
      </c>
      <c r="V55" s="3" t="n">
        <v>267</v>
      </c>
      <c r="W55" s="3">
        <f>U55+V55</f>
        <v/>
      </c>
      <c r="X55" s="3">
        <f>T55-W55</f>
        <v/>
      </c>
      <c r="Y55" s="4" t="n">
        <v>91.92</v>
      </c>
      <c r="Z55" s="3" t="n">
        <v>0</v>
      </c>
      <c r="AA55" s="3">
        <f>TABL12[[#This Row],[(RESV. STORGE) AJD]]/10</f>
        <v/>
      </c>
      <c r="AB55" s="3">
        <f>(Z55-Z54)/1000</f>
        <v/>
      </c>
      <c r="AC55" s="6" t="n">
        <v>0</v>
      </c>
      <c r="AD55" s="5">
        <f>TABL12[[#This Row],[( S/S+T/B) AJD]]-(TABL12[[#This Row],[(A/B + A/S) AJD]]+TABL12[[#This Row],[(STORGE DIFF.) AJD]]+(TABL12[[#This Row],[AJD_Evaporation]]))</f>
        <v/>
      </c>
      <c r="AE55" s="6" t="n">
        <v>75</v>
      </c>
      <c r="AF55" s="33" t="n">
        <v>60.921</v>
      </c>
      <c r="AG55" s="6" t="n">
        <v>2907908</v>
      </c>
      <c r="AH55" s="6">
        <f>TABL12[[#This Row],[ (RESV. STORGE) BER]]/10</f>
        <v/>
      </c>
      <c r="AI55" s="6" t="n">
        <v>1909</v>
      </c>
      <c r="AJ55" s="6">
        <f>TABL12[[#This Row],[(A/B) AJD]]-TABL12[[#This Row],[BER_IN]]</f>
        <v/>
      </c>
      <c r="AK55" s="6" t="n">
        <v>40</v>
      </c>
      <c r="AL55" s="33" t="n">
        <v>44.8831</v>
      </c>
      <c r="AM55" s="6" t="n">
        <v>4141250</v>
      </c>
      <c r="AN55" s="6">
        <f>TABL12[[#This Row],[ (RESV. STORGE) SER]]/10</f>
        <v/>
      </c>
      <c r="AO55" s="6" t="n">
        <v>1360</v>
      </c>
      <c r="AP55" s="32">
        <f>TABL12[[#This Row],[(A/S) AJD]]-TABL12[[#This Row],[SER_IN]]</f>
        <v/>
      </c>
    </row>
    <row r="56">
      <c r="A56" s="2" t="n">
        <v>45712</v>
      </c>
      <c r="B56" s="28" t="n">
        <v>36</v>
      </c>
      <c r="C56" s="28" t="n">
        <v>296</v>
      </c>
      <c r="D56" s="28" t="n">
        <v>37</v>
      </c>
      <c r="E56" s="28" t="n">
        <v>0</v>
      </c>
      <c r="F56" s="28" t="n">
        <v>83</v>
      </c>
      <c r="G56" s="28" t="n">
        <v>532.86</v>
      </c>
      <c r="H56" s="28" t="n">
        <v>5</v>
      </c>
      <c r="I56" s="28" t="n">
        <v>415.93</v>
      </c>
      <c r="J56" s="28" t="n">
        <v>411.93</v>
      </c>
      <c r="K56" s="28">
        <f>TABL12[[#This Row],[ (T/B) SAR]]+TABL12[[#This Row],[ (S/S) SAR]]</f>
        <v/>
      </c>
      <c r="L56" s="28" t="n">
        <v>295</v>
      </c>
      <c r="M56" s="29" t="n">
        <v>23.9</v>
      </c>
      <c r="N56" s="30" t="n">
        <v>7.44</v>
      </c>
      <c r="O56" s="3" t="n">
        <v>317</v>
      </c>
      <c r="P56" s="3">
        <f>TABL12[[#This Row],[ (S/S) SAR]]-TABL12[[#This Row],[(S/S) AJD]]</f>
        <v/>
      </c>
      <c r="Q56" s="3" t="n">
        <v>412</v>
      </c>
      <c r="R56" s="3">
        <f>TABL12[[#This Row],[ (T/B) SAR]]-TABL12[[#This Row],[(T/B) AJD]]</f>
        <v/>
      </c>
      <c r="S56" s="3">
        <f>TABL12[[#This Row],[S/S_CON.]]+TABL12[[#This Row],[T/B-CON.]]</f>
        <v/>
      </c>
      <c r="T56" s="3">
        <f>O56+Q56</f>
        <v/>
      </c>
      <c r="U56" s="3" t="n">
        <v>506</v>
      </c>
      <c r="V56" s="3" t="n">
        <v>274</v>
      </c>
      <c r="W56" s="3">
        <f>U56+V56</f>
        <v/>
      </c>
      <c r="X56" s="3">
        <f>T56-W56</f>
        <v/>
      </c>
      <c r="Y56" s="4" t="n">
        <v>91.92</v>
      </c>
      <c r="Z56" s="3" t="n">
        <v>0</v>
      </c>
      <c r="AA56" s="3">
        <f>TABL12[[#This Row],[(RESV. STORGE) AJD]]/10</f>
        <v/>
      </c>
      <c r="AB56" s="3">
        <f>(Z56-Z55)/1000</f>
        <v/>
      </c>
      <c r="AC56" s="6" t="n">
        <v>0</v>
      </c>
      <c r="AD56" s="5">
        <f>TABL12[[#This Row],[( S/S+T/B) AJD]]-(TABL12[[#This Row],[(A/B + A/S) AJD]]+TABL12[[#This Row],[(STORGE DIFF.) AJD]]+(TABL12[[#This Row],[AJD_Evaporation]]))</f>
        <v/>
      </c>
      <c r="AE56" s="6" t="n">
        <v>68</v>
      </c>
      <c r="AF56" s="33" t="n">
        <v>60.901</v>
      </c>
      <c r="AG56" s="6" t="n">
        <v>2894372</v>
      </c>
      <c r="AH56" s="6">
        <f>TABL12[[#This Row],[ (RESV. STORGE) BER]]/10</f>
        <v/>
      </c>
      <c r="AI56" s="6" t="n">
        <v>1856</v>
      </c>
      <c r="AJ56" s="6">
        <f>TABL12[[#This Row],[(A/B) AJD]]-TABL12[[#This Row],[BER_IN]]</f>
        <v/>
      </c>
      <c r="AK56" s="6" t="n">
        <v>43</v>
      </c>
      <c r="AL56" s="33" t="n">
        <v>44.8863</v>
      </c>
      <c r="AM56" s="6" t="n">
        <v>4142820</v>
      </c>
      <c r="AN56" s="6">
        <f>TABL12[[#This Row],[ (RESV. STORGE) SER]]/10</f>
        <v/>
      </c>
      <c r="AO56" s="6" t="n">
        <v>1430</v>
      </c>
      <c r="AP56" s="32">
        <f>TABL12[[#This Row],[(A/S) AJD]]-TABL12[[#This Row],[SER_IN]]</f>
        <v/>
      </c>
    </row>
    <row r="57">
      <c r="A57" s="2" t="n">
        <v>45713</v>
      </c>
      <c r="B57" s="28" t="n">
        <v>36</v>
      </c>
      <c r="C57" s="28" t="n">
        <v>291</v>
      </c>
      <c r="D57" s="28" t="n">
        <v>37</v>
      </c>
      <c r="E57" s="28" t="n">
        <v>0</v>
      </c>
      <c r="F57" s="28" t="n">
        <v>83</v>
      </c>
      <c r="G57" s="28" t="n">
        <v>536.1800000000001</v>
      </c>
      <c r="H57" s="28" t="n">
        <v>5</v>
      </c>
      <c r="I57" s="28" t="n">
        <v>414.09</v>
      </c>
      <c r="J57" s="28" t="n">
        <v>410.09</v>
      </c>
      <c r="K57" s="28">
        <f>TABL12[[#This Row],[ (T/B) SAR]]+TABL12[[#This Row],[ (S/S) SAR]]</f>
        <v/>
      </c>
      <c r="L57" s="28" t="n">
        <v>288</v>
      </c>
      <c r="M57" s="29" t="n">
        <v>23.9</v>
      </c>
      <c r="N57" s="30" t="n">
        <v>7.39</v>
      </c>
      <c r="O57" s="3" t="n">
        <v>371</v>
      </c>
      <c r="P57" s="3">
        <f>TABL12[[#This Row],[ (S/S) SAR]]-TABL12[[#This Row],[(S/S) AJD]]</f>
        <v/>
      </c>
      <c r="Q57" s="3" t="n">
        <v>412</v>
      </c>
      <c r="R57" s="3">
        <f>TABL12[[#This Row],[ (T/B) SAR]]-TABL12[[#This Row],[(T/B) AJD]]</f>
        <v/>
      </c>
      <c r="S57" s="3">
        <f>TABL12[[#This Row],[S/S_CON.]]+TABL12[[#This Row],[T/B-CON.]]</f>
        <v/>
      </c>
      <c r="T57" s="3">
        <f>O57+Q57</f>
        <v/>
      </c>
      <c r="U57" s="3" t="n">
        <v>511</v>
      </c>
      <c r="V57" s="3" t="n">
        <v>273</v>
      </c>
      <c r="W57" s="3">
        <f>U57+V57</f>
        <v/>
      </c>
      <c r="X57" s="3">
        <f>T57-W57</f>
        <v/>
      </c>
      <c r="Y57" s="4" t="n">
        <v>91.92</v>
      </c>
      <c r="Z57" s="3" t="n">
        <v>0</v>
      </c>
      <c r="AA57" s="3">
        <f>TABL12[[#This Row],[(RESV. STORGE) AJD]]/10</f>
        <v/>
      </c>
      <c r="AB57" s="3">
        <f>(Z57-Z56)/1000</f>
        <v/>
      </c>
      <c r="AC57" s="6" t="n">
        <v>0</v>
      </c>
      <c r="AD57" s="5">
        <f>TABL12[[#This Row],[( S/S+T/B) AJD]]-(TABL12[[#This Row],[(A/B + A/S) AJD]]+TABL12[[#This Row],[(STORGE DIFF.) AJD]]+(TABL12[[#This Row],[AJD_Evaporation]]))</f>
        <v/>
      </c>
      <c r="AE57" s="6" t="n">
        <v>65</v>
      </c>
      <c r="AF57" s="33" t="n">
        <v>60.877</v>
      </c>
      <c r="AG57" s="6" t="n">
        <v>2878133</v>
      </c>
      <c r="AH57" s="6">
        <f>TABL12[[#This Row],[ (RESV. STORGE) BER]]/10</f>
        <v/>
      </c>
      <c r="AI57" s="6" t="n">
        <v>1559</v>
      </c>
      <c r="AJ57" s="6">
        <f>TABL12[[#This Row],[(A/B) AJD]]-TABL12[[#This Row],[BER_IN]]</f>
        <v/>
      </c>
      <c r="AK57" s="6" t="n">
        <v>32</v>
      </c>
      <c r="AL57" s="33" t="n">
        <v>44.9328</v>
      </c>
      <c r="AM57" s="6" t="n">
        <v>4168970</v>
      </c>
      <c r="AN57" s="6">
        <f>TABL12[[#This Row],[ (RESV. STORGE) SER]]/10</f>
        <v/>
      </c>
      <c r="AO57" s="6" t="n">
        <v>1300</v>
      </c>
      <c r="AP57" s="32">
        <f>TABL12[[#This Row],[(A/S) AJD]]-TABL12[[#This Row],[SER_IN]]</f>
        <v/>
      </c>
    </row>
    <row r="58">
      <c r="A58" s="2" t="n">
        <v>45714</v>
      </c>
      <c r="B58" s="28" t="n">
        <v>37</v>
      </c>
      <c r="C58" s="28" t="n">
        <v>296</v>
      </c>
      <c r="D58" s="28" t="n">
        <v>37</v>
      </c>
      <c r="E58" s="28" t="n">
        <v>0</v>
      </c>
      <c r="F58" s="28" t="n">
        <v>83</v>
      </c>
      <c r="G58" s="28" t="n">
        <v>537.01</v>
      </c>
      <c r="H58" s="28" t="n">
        <v>5</v>
      </c>
      <c r="I58" s="28" t="n">
        <v>417.005</v>
      </c>
      <c r="J58" s="28" t="n">
        <v>413.005</v>
      </c>
      <c r="K58" s="28">
        <f>TABL12[[#This Row],[ (T/B) SAR]]+TABL12[[#This Row],[ (S/S) SAR]]</f>
        <v/>
      </c>
      <c r="L58" s="28" t="n">
        <v>293</v>
      </c>
      <c r="M58" s="29" t="n">
        <v>23.9</v>
      </c>
      <c r="N58" s="30" t="n">
        <v>7.37</v>
      </c>
      <c r="O58" s="3" t="n">
        <v>371</v>
      </c>
      <c r="P58" s="3">
        <f>TABL12[[#This Row],[ (S/S) SAR]]-TABL12[[#This Row],[(S/S) AJD]]</f>
        <v/>
      </c>
      <c r="Q58" s="3" t="n">
        <v>411</v>
      </c>
      <c r="R58" s="3">
        <f>TABL12[[#This Row],[ (T/B) SAR]]-TABL12[[#This Row],[(T/B) AJD]]</f>
        <v/>
      </c>
      <c r="S58" s="3">
        <f>TABL12[[#This Row],[S/S_CON.]]+TABL12[[#This Row],[T/B-CON.]]</f>
        <v/>
      </c>
      <c r="T58" s="3">
        <f>O58+Q58</f>
        <v/>
      </c>
      <c r="U58" s="3" t="n">
        <v>505</v>
      </c>
      <c r="V58" s="3" t="n">
        <v>280</v>
      </c>
      <c r="W58" s="3">
        <f>U58+V58</f>
        <v/>
      </c>
      <c r="X58" s="3">
        <f>T58-W58</f>
        <v/>
      </c>
      <c r="Y58" s="4" t="n">
        <v>91.92</v>
      </c>
      <c r="Z58" s="3" t="n">
        <v>0</v>
      </c>
      <c r="AA58" s="3">
        <f>TABL12[[#This Row],[(RESV. STORGE) AJD]]/10</f>
        <v/>
      </c>
      <c r="AB58" s="3">
        <f>(Z58-Z57)/1000</f>
        <v/>
      </c>
      <c r="AC58" s="6" t="n">
        <v>0</v>
      </c>
      <c r="AD58" s="5">
        <f>TABL12[[#This Row],[( S/S+T/B) AJD]]-(TABL12[[#This Row],[(A/B + A/S) AJD]]+TABL12[[#This Row],[(STORGE DIFF.) AJD]]+(TABL12[[#This Row],[AJD_Evaporation]]))</f>
        <v/>
      </c>
      <c r="AE58" s="6" t="n">
        <v>65</v>
      </c>
      <c r="AF58" s="33" t="n">
        <v>60.859</v>
      </c>
      <c r="AG58" s="6" t="n">
        <v>2865957</v>
      </c>
      <c r="AH58" s="6">
        <f>TABL12[[#This Row],[ (RESV. STORGE) BER]]/10</f>
        <v/>
      </c>
      <c r="AI58" s="6" t="n">
        <v>1645</v>
      </c>
      <c r="AJ58" s="6">
        <f>TABL12[[#This Row],[(A/B) AJD]]-TABL12[[#This Row],[BER_IN]]</f>
        <v/>
      </c>
      <c r="AK58" s="6" t="n">
        <v>32</v>
      </c>
      <c r="AL58" s="33" t="n">
        <v>44.978</v>
      </c>
      <c r="AM58" s="6" t="n">
        <v>4194140</v>
      </c>
      <c r="AN58" s="6">
        <f>TABL12[[#This Row],[ (RESV. STORGE) SER]]/10</f>
        <v/>
      </c>
      <c r="AO58" s="6" t="n">
        <v>1300</v>
      </c>
      <c r="AP58" s="32">
        <f>TABL12[[#This Row],[(A/S) AJD]]-TABL12[[#This Row],[SER_IN]]</f>
        <v/>
      </c>
    </row>
    <row r="59">
      <c r="A59" s="2" t="n">
        <v>45715</v>
      </c>
      <c r="B59" s="28" t="n">
        <v>38</v>
      </c>
      <c r="C59" s="28" t="n">
        <v>304</v>
      </c>
      <c r="D59" s="28" t="n">
        <v>38</v>
      </c>
      <c r="E59" s="28" t="n">
        <v>0</v>
      </c>
      <c r="F59" s="28" t="n">
        <v>83</v>
      </c>
      <c r="G59" s="28" t="n">
        <v>532.86</v>
      </c>
      <c r="H59" s="28" t="n">
        <v>5</v>
      </c>
      <c r="I59" s="28" t="n">
        <v>419.93</v>
      </c>
      <c r="J59" s="28" t="n">
        <v>415.93</v>
      </c>
      <c r="K59" s="28">
        <f>TABL12[[#This Row],[ (T/B) SAR]]+TABL12[[#This Row],[ (S/S) SAR]]</f>
        <v/>
      </c>
      <c r="L59" s="28" t="n">
        <v>303</v>
      </c>
      <c r="M59" s="29" t="n">
        <v>23.9</v>
      </c>
      <c r="N59" s="30" t="n">
        <v>7.39</v>
      </c>
      <c r="O59" s="3" t="n">
        <v>370</v>
      </c>
      <c r="P59" s="3">
        <f>TABL12[[#This Row],[ (S/S) SAR]]-TABL12[[#This Row],[(S/S) AJD]]</f>
        <v/>
      </c>
      <c r="Q59" s="3" t="n">
        <v>411</v>
      </c>
      <c r="R59" s="3">
        <f>TABL12[[#This Row],[ (T/B) SAR]]-TABL12[[#This Row],[(T/B) AJD]]</f>
        <v/>
      </c>
      <c r="S59" s="3">
        <f>TABL12[[#This Row],[S/S_CON.]]+TABL12[[#This Row],[T/B-CON.]]</f>
        <v/>
      </c>
      <c r="T59" s="3">
        <f>O59+Q59</f>
        <v/>
      </c>
      <c r="U59" s="3" t="n">
        <v>511</v>
      </c>
      <c r="V59" s="3" t="n">
        <v>272</v>
      </c>
      <c r="W59" s="3">
        <f>U59+V59</f>
        <v/>
      </c>
      <c r="X59" s="3">
        <f>T59-W59</f>
        <v/>
      </c>
      <c r="Y59" s="4" t="n">
        <v>91.92</v>
      </c>
      <c r="Z59" s="3" t="n">
        <v>0</v>
      </c>
      <c r="AA59" s="3">
        <f>TABL12[[#This Row],[(RESV. STORGE) AJD]]/10</f>
        <v/>
      </c>
      <c r="AB59" s="3">
        <f>(Z59-Z58)/1000</f>
        <v/>
      </c>
      <c r="AC59" s="6" t="n">
        <v>0</v>
      </c>
      <c r="AD59" s="5">
        <f>TABL12[[#This Row],[( S/S+T/B) AJD]]-(TABL12[[#This Row],[(A/B + A/S) AJD]]+TABL12[[#This Row],[(STORGE DIFF.) AJD]]+(TABL12[[#This Row],[AJD_Evaporation]]))</f>
        <v/>
      </c>
      <c r="AE59" s="6" t="n">
        <v>65</v>
      </c>
      <c r="AF59" s="33" t="n">
        <v>60.835</v>
      </c>
      <c r="AG59" s="6" t="n">
        <v>2849727</v>
      </c>
      <c r="AH59" s="6">
        <f>TABL12[[#This Row],[ (RESV. STORGE) BER]]/10</f>
        <v/>
      </c>
      <c r="AI59" s="6" t="n">
        <v>1550</v>
      </c>
      <c r="AJ59" s="6">
        <f>TABL12[[#This Row],[(A/B) AJD]]-TABL12[[#This Row],[BER_IN]]</f>
        <v/>
      </c>
      <c r="AK59" s="6" t="n">
        <v>33</v>
      </c>
      <c r="AL59" s="33" t="n">
        <v>45.0165</v>
      </c>
      <c r="AM59" s="6" t="n">
        <v>4215710</v>
      </c>
      <c r="AN59" s="6">
        <f>TABL12[[#This Row],[ (RESV. STORGE) SER]]/10</f>
        <v/>
      </c>
      <c r="AO59" s="6" t="n">
        <v>1430</v>
      </c>
      <c r="AP59" s="32">
        <f>TABL12[[#This Row],[(A/S) AJD]]-TABL12[[#This Row],[SER_IN]]</f>
        <v/>
      </c>
    </row>
    <row r="60">
      <c r="A60" s="2" t="n">
        <v>45716</v>
      </c>
      <c r="B60" s="28" t="n">
        <v>37</v>
      </c>
      <c r="C60" s="28" t="n">
        <v>310</v>
      </c>
      <c r="D60" s="28" t="n">
        <v>37</v>
      </c>
      <c r="E60" s="28" t="n">
        <v>0</v>
      </c>
      <c r="F60" s="28" t="n">
        <v>83</v>
      </c>
      <c r="G60" s="28" t="n">
        <v>537.01</v>
      </c>
      <c r="H60" s="28" t="n">
        <v>5</v>
      </c>
      <c r="I60" s="28" t="n">
        <v>424.005</v>
      </c>
      <c r="J60" s="28" t="n">
        <v>420.005</v>
      </c>
      <c r="K60" s="28">
        <f>TABL12[[#This Row],[ (T/B) SAR]]+TABL12[[#This Row],[ (S/S) SAR]]</f>
        <v/>
      </c>
      <c r="L60" s="28" t="n">
        <v>307</v>
      </c>
      <c r="M60" s="29" t="n">
        <v>23.9</v>
      </c>
      <c r="N60" s="30" t="n">
        <v>7.44</v>
      </c>
      <c r="O60" s="3" t="n">
        <v>370</v>
      </c>
      <c r="P60" s="3">
        <f>TABL12[[#This Row],[ (S/S) SAR]]-TABL12[[#This Row],[(S/S) AJD]]</f>
        <v/>
      </c>
      <c r="Q60" s="3" t="n">
        <v>412</v>
      </c>
      <c r="R60" s="3">
        <f>TABL12[[#This Row],[ (T/B) SAR]]-TABL12[[#This Row],[(T/B) AJD]]</f>
        <v/>
      </c>
      <c r="S60" s="3">
        <f>TABL12[[#This Row],[S/S_CON.]]+TABL12[[#This Row],[T/B-CON.]]</f>
        <v/>
      </c>
      <c r="T60" s="3">
        <f>O60+Q60</f>
        <v/>
      </c>
      <c r="U60" s="3" t="n">
        <v>500</v>
      </c>
      <c r="V60" s="3" t="n">
        <v>284</v>
      </c>
      <c r="W60" s="3">
        <f>U60+V60</f>
        <v/>
      </c>
      <c r="X60" s="3">
        <f>T60-W60</f>
        <v/>
      </c>
      <c r="Y60" s="4" t="n">
        <v>91.92</v>
      </c>
      <c r="Z60" s="3" t="n">
        <v>0</v>
      </c>
      <c r="AA60" s="3">
        <f>TABL12[[#This Row],[(RESV. STORGE) AJD]]/10</f>
        <v/>
      </c>
      <c r="AB60" s="3">
        <f>(Z60-Z59)/1000</f>
        <v/>
      </c>
      <c r="AC60" s="6" t="n">
        <v>0</v>
      </c>
      <c r="AD60" s="5">
        <f>TABL12[[#This Row],[( S/S+T/B) AJD]]-(TABL12[[#This Row],[(A/B + A/S) AJD]]+TABL12[[#This Row],[(STORGE DIFF.) AJD]]+(TABL12[[#This Row],[AJD_Evaporation]]))</f>
        <v/>
      </c>
      <c r="AE60" s="6" t="n">
        <v>65</v>
      </c>
      <c r="AF60" s="33" t="n">
        <v>60.811</v>
      </c>
      <c r="AG60" s="6" t="n">
        <v>2833501</v>
      </c>
      <c r="AH60" s="6">
        <f>TABL12[[#This Row],[ (RESV. STORGE) BER]]/10</f>
        <v/>
      </c>
      <c r="AI60" s="6" t="n">
        <v>1545</v>
      </c>
      <c r="AJ60" s="6">
        <f>TABL12[[#This Row],[(A/B) AJD]]-TABL12[[#This Row],[BER_IN]]</f>
        <v/>
      </c>
      <c r="AK60" s="6" t="n">
        <v>43</v>
      </c>
      <c r="AL60" s="33" t="n">
        <v>45.0461</v>
      </c>
      <c r="AM60" s="6" t="n">
        <v>4231890</v>
      </c>
      <c r="AN60" s="6">
        <f>TABL12[[#This Row],[ (RESV. STORGE) SER]]/10</f>
        <v/>
      </c>
      <c r="AO60" s="6" t="n">
        <v>1820</v>
      </c>
      <c r="AP60" s="32">
        <f>TABL12[[#This Row],[(A/S) AJD]]-TABL12[[#This Row],[SER_IN]]</f>
        <v/>
      </c>
    </row>
    <row r="61">
      <c r="A61" s="2" t="n">
        <v>45717</v>
      </c>
      <c r="B61" s="28" t="n">
        <v>37</v>
      </c>
      <c r="C61" s="28" t="n">
        <v>326</v>
      </c>
      <c r="D61" s="28" t="n">
        <v>38</v>
      </c>
      <c r="E61" s="28" t="n">
        <v>0</v>
      </c>
      <c r="F61" s="28" t="n">
        <v>83</v>
      </c>
      <c r="G61" s="28" t="n">
        <v>538</v>
      </c>
      <c r="H61" s="28" t="n">
        <v>5</v>
      </c>
      <c r="I61" s="28" t="n">
        <v>421</v>
      </c>
      <c r="J61" s="28" t="n">
        <v>417</v>
      </c>
      <c r="K61" s="28">
        <f>TABL12[[#This Row],[ (T/B) SAR]]+TABL12[[#This Row],[ (S/S) SAR]]</f>
        <v/>
      </c>
      <c r="L61" s="28" t="n">
        <v>302</v>
      </c>
      <c r="M61" s="29" t="n">
        <v>23.9</v>
      </c>
      <c r="N61" s="30" t="n">
        <v>7.48</v>
      </c>
      <c r="O61" s="3" t="n">
        <v>371</v>
      </c>
      <c r="P61" s="3">
        <f>TABL12[[#This Row],[ (S/S) SAR]]-TABL12[[#This Row],[(S/S) AJD]]</f>
        <v/>
      </c>
      <c r="Q61" s="3" t="n">
        <v>411</v>
      </c>
      <c r="R61" s="3">
        <f>TABL12[[#This Row],[ (T/B) SAR]]-TABL12[[#This Row],[(T/B) AJD]]</f>
        <v/>
      </c>
      <c r="S61" s="3">
        <f>TABL12[[#This Row],[S/S_CON.]]+TABL12[[#This Row],[T/B-CON.]]</f>
        <v/>
      </c>
      <c r="T61" s="3">
        <f>O61+Q61</f>
        <v/>
      </c>
      <c r="U61" s="3" t="n">
        <v>504</v>
      </c>
      <c r="V61" s="3" t="n">
        <v>277</v>
      </c>
      <c r="W61" s="3">
        <f>U61+V61</f>
        <v/>
      </c>
      <c r="X61" s="3">
        <f>T61-W61</f>
        <v/>
      </c>
      <c r="Y61" s="4" t="n">
        <v>91.92</v>
      </c>
      <c r="Z61" s="3" t="n">
        <v>0</v>
      </c>
      <c r="AA61" s="3">
        <f>TABL12[[#This Row],[(RESV. STORGE) AJD]]/10</f>
        <v/>
      </c>
      <c r="AB61" s="3">
        <f>(Z61-Z60)/1000</f>
        <v/>
      </c>
      <c r="AC61" s="6" t="n">
        <v>0</v>
      </c>
      <c r="AD61" s="5">
        <f>TABL12[[#This Row],[( S/S+T/B) AJD]]-(TABL12[[#This Row],[(A/B + A/S) AJD]]+TABL12[[#This Row],[(STORGE DIFF.) AJD]]+(TABL12[[#This Row],[AJD_Evaporation]]))</f>
        <v/>
      </c>
      <c r="AE61" s="6" t="n">
        <v>65</v>
      </c>
      <c r="AF61" s="33" t="n">
        <v>60.787</v>
      </c>
      <c r="AG61" s="6" t="n">
        <v>2817281</v>
      </c>
      <c r="AH61" s="6">
        <f>TABL12[[#This Row],[ (RESV. STORGE) BER]]/10</f>
        <v/>
      </c>
      <c r="AI61" s="6" t="n">
        <v>1540</v>
      </c>
      <c r="AJ61" s="6">
        <f>TABL12[[#This Row],[(A/B) AJD]]-TABL12[[#This Row],[BER_IN]]</f>
        <v/>
      </c>
      <c r="AK61" s="6" t="n">
        <v>37</v>
      </c>
      <c r="AL61" s="33" t="n">
        <v>45.1075</v>
      </c>
      <c r="AM61" s="6" t="n">
        <v>4265900</v>
      </c>
      <c r="AN61" s="6">
        <f>TABL12[[#This Row],[ (RESV. STORGE) SER]]/10</f>
        <v/>
      </c>
      <c r="AO61" s="6" t="n">
        <v>1620</v>
      </c>
      <c r="AP61" s="32">
        <f>TABL12[[#This Row],[(A/S) AJD]]-TABL12[[#This Row],[SER_IN]]</f>
        <v/>
      </c>
    </row>
    <row r="62">
      <c r="A62" s="2" t="n">
        <v>45718</v>
      </c>
      <c r="B62" s="28" t="n">
        <v>38</v>
      </c>
      <c r="C62" s="28" t="n">
        <v>303</v>
      </c>
      <c r="D62" s="28" t="n">
        <v>38</v>
      </c>
      <c r="E62" s="28" t="n">
        <v>0</v>
      </c>
      <c r="F62" s="28" t="n">
        <v>83</v>
      </c>
      <c r="G62" s="28" t="n">
        <v>537</v>
      </c>
      <c r="H62" s="28" t="n">
        <v>5</v>
      </c>
      <c r="I62" s="28" t="n">
        <v>421</v>
      </c>
      <c r="J62" s="28" t="n">
        <v>417</v>
      </c>
      <c r="K62" s="28">
        <f>TABL12[[#This Row],[ (T/B) SAR]]+TABL12[[#This Row],[ (S/S) SAR]]</f>
        <v/>
      </c>
      <c r="L62" s="28" t="n">
        <v>300</v>
      </c>
      <c r="M62" s="29" t="n">
        <v>23.9</v>
      </c>
      <c r="N62" s="30" t="n">
        <v>7.44</v>
      </c>
      <c r="O62" s="3" t="n">
        <v>371</v>
      </c>
      <c r="P62" s="3">
        <f>TABL12[[#This Row],[ (S/S) SAR]]-TABL12[[#This Row],[(S/S) AJD]]</f>
        <v/>
      </c>
      <c r="Q62" s="3" t="n">
        <v>412</v>
      </c>
      <c r="R62" s="3">
        <f>TABL12[[#This Row],[ (T/B) SAR]]-TABL12[[#This Row],[(T/B) AJD]]</f>
        <v/>
      </c>
      <c r="S62" s="3">
        <f>TABL12[[#This Row],[S/S_CON.]]+TABL12[[#This Row],[T/B-CON.]]</f>
        <v/>
      </c>
      <c r="T62" s="3">
        <f>O62+Q62</f>
        <v/>
      </c>
      <c r="U62" s="3" t="n">
        <v>508</v>
      </c>
      <c r="V62" s="3" t="n">
        <v>274</v>
      </c>
      <c r="W62" s="3">
        <f>U62+V62</f>
        <v/>
      </c>
      <c r="X62" s="3">
        <f>T62-W62</f>
        <v/>
      </c>
      <c r="Y62" s="4" t="n">
        <v>91.92</v>
      </c>
      <c r="Z62" s="3" t="n">
        <v>0</v>
      </c>
      <c r="AA62" s="3">
        <f>TABL12[[#This Row],[(RESV. STORGE) AJD]]/10</f>
        <v/>
      </c>
      <c r="AB62" s="3">
        <f>(Z62-Z61)/1000</f>
        <v/>
      </c>
      <c r="AC62" s="6" t="n">
        <v>0</v>
      </c>
      <c r="AD62" s="5">
        <f>TABL12[[#This Row],[( S/S+T/B) AJD]]-(TABL12[[#This Row],[(A/B + A/S) AJD]]+TABL12[[#This Row],[(STORGE DIFF.) AJD]]+(TABL12[[#This Row],[AJD_Evaporation]]))</f>
        <v/>
      </c>
      <c r="AE62" s="6" t="n">
        <v>59</v>
      </c>
      <c r="AF62" s="33" t="n">
        <v>60.754</v>
      </c>
      <c r="AG62" s="6" t="n">
        <v>2794987</v>
      </c>
      <c r="AH62" s="6">
        <f>TABL12[[#This Row],[ (RESV. STORGE) BER]]/10</f>
        <v/>
      </c>
      <c r="AI62" s="6" t="n">
        <v>1518</v>
      </c>
      <c r="AJ62" s="6">
        <f>TABL12[[#This Row],[(A/B) AJD]]-TABL12[[#This Row],[BER_IN]]</f>
        <v/>
      </c>
      <c r="AK62" s="6" t="n">
        <v>28</v>
      </c>
      <c r="AL62" s="33" t="n">
        <v>45.1427</v>
      </c>
      <c r="AM62" s="6" t="n">
        <v>4286350</v>
      </c>
      <c r="AN62" s="6">
        <f>TABL12[[#This Row],[ (RESV. STORGE) SER]]/10</f>
        <v/>
      </c>
      <c r="AO62" s="6" t="n">
        <v>1725</v>
      </c>
      <c r="AP62" s="32">
        <f>TABL12[[#This Row],[(A/S) AJD]]-TABL12[[#This Row],[SER_IN]]</f>
        <v/>
      </c>
    </row>
    <row r="63">
      <c r="A63" s="2" t="n">
        <v>45719</v>
      </c>
      <c r="B63" s="28" t="n">
        <v>38</v>
      </c>
      <c r="C63" s="28" t="n">
        <v>305</v>
      </c>
      <c r="D63" s="28" t="n">
        <v>38</v>
      </c>
      <c r="E63" s="28" t="n">
        <v>0</v>
      </c>
      <c r="F63" s="28" t="n">
        <v>83</v>
      </c>
      <c r="G63" s="28" t="n">
        <v>537</v>
      </c>
      <c r="H63" s="28" t="n">
        <v>5</v>
      </c>
      <c r="I63" s="28" t="n">
        <v>422</v>
      </c>
      <c r="J63" s="28" t="n">
        <v>418</v>
      </c>
      <c r="K63" s="28">
        <f>TABL12[[#This Row],[ (T/B) SAR]]+TABL12[[#This Row],[ (S/S) SAR]]</f>
        <v/>
      </c>
      <c r="L63" s="28" t="n">
        <v>302</v>
      </c>
      <c r="M63" s="29" t="n">
        <v>23.9</v>
      </c>
      <c r="N63" s="30" t="n">
        <v>7.48</v>
      </c>
      <c r="O63" s="3" t="n">
        <v>371</v>
      </c>
      <c r="P63" s="3">
        <f>TABL12[[#This Row],[ (S/S) SAR]]-TABL12[[#This Row],[(S/S) AJD]]</f>
        <v/>
      </c>
      <c r="Q63" s="3" t="n">
        <v>411</v>
      </c>
      <c r="R63" s="3">
        <f>TABL12[[#This Row],[ (T/B) SAR]]-TABL12[[#This Row],[(T/B) AJD]]</f>
        <v/>
      </c>
      <c r="S63" s="3">
        <f>TABL12[[#This Row],[S/S_CON.]]+TABL12[[#This Row],[T/B-CON.]]</f>
        <v/>
      </c>
      <c r="T63" s="3">
        <f>O63+Q63</f>
        <v/>
      </c>
      <c r="U63" s="3" t="n">
        <v>513</v>
      </c>
      <c r="V63" s="3" t="n">
        <v>273</v>
      </c>
      <c r="W63" s="3">
        <f>U63+V63</f>
        <v/>
      </c>
      <c r="X63" s="3">
        <f>T63-W63</f>
        <v/>
      </c>
      <c r="Y63" s="4" t="n">
        <v>91.92</v>
      </c>
      <c r="Z63" s="3" t="n">
        <v>0</v>
      </c>
      <c r="AA63" s="3">
        <f>TABL12[[#This Row],[(RESV. STORGE) AJD]]/10</f>
        <v/>
      </c>
      <c r="AB63" s="3">
        <f>(Z63-Z62)/1000</f>
        <v/>
      </c>
      <c r="AC63" s="6" t="n">
        <v>0</v>
      </c>
      <c r="AD63" s="5">
        <f>TABL12[[#This Row],[( S/S+T/B) AJD]]-(TABL12[[#This Row],[(A/B + A/S) AJD]]+TABL12[[#This Row],[(STORGE DIFF.) AJD]]+(TABL12[[#This Row],[AJD_Evaporation]]))</f>
        <v/>
      </c>
      <c r="AE63" s="6" t="n">
        <v>55</v>
      </c>
      <c r="AF63" s="33" t="n">
        <v>60.715</v>
      </c>
      <c r="AG63" s="6" t="n">
        <v>2768651</v>
      </c>
      <c r="AH63" s="6">
        <f>TABL12[[#This Row],[ (RESV. STORGE) BER]]/10</f>
        <v/>
      </c>
      <c r="AI63" s="6" t="n">
        <v>1655</v>
      </c>
      <c r="AJ63" s="6">
        <f>TABL12[[#This Row],[(A/B) AJD]]-TABL12[[#This Row],[BER_IN]]</f>
        <v/>
      </c>
      <c r="AK63" s="6" t="n">
        <v>30</v>
      </c>
      <c r="AL63" s="33" t="n">
        <v>46.1689</v>
      </c>
      <c r="AM63" s="6" t="n">
        <v>4300500</v>
      </c>
      <c r="AN63" s="6">
        <f>TABL12[[#This Row],[ (RESV. STORGE) SER]]/10</f>
        <v/>
      </c>
      <c r="AO63" s="6" t="n">
        <v>1757</v>
      </c>
      <c r="AP63" s="32">
        <f>TABL12[[#This Row],[(A/S) AJD]]-TABL12[[#This Row],[SER_IN]]</f>
        <v/>
      </c>
    </row>
    <row r="64">
      <c r="A64" s="2" t="n">
        <v>45720</v>
      </c>
      <c r="B64" s="28" t="n">
        <v>38</v>
      </c>
      <c r="C64" s="28" t="n">
        <v>335</v>
      </c>
      <c r="D64" s="28" t="n">
        <v>40</v>
      </c>
      <c r="E64" s="28" t="n">
        <v>0</v>
      </c>
      <c r="F64" s="28" t="n">
        <v>83</v>
      </c>
      <c r="G64" s="28" t="n">
        <v>536</v>
      </c>
      <c r="H64" s="28" t="n">
        <v>5</v>
      </c>
      <c r="I64" s="28" t="n">
        <v>436</v>
      </c>
      <c r="J64" s="28" t="n">
        <v>432</v>
      </c>
      <c r="K64" s="28">
        <f>TABL12[[#This Row],[ (T/B) SAR]]+TABL12[[#This Row],[ (S/S) SAR]]</f>
        <v/>
      </c>
      <c r="L64" s="28" t="n">
        <v>332</v>
      </c>
      <c r="M64" s="29" t="n">
        <v>23.9</v>
      </c>
      <c r="N64" s="30" t="n">
        <v>7.58</v>
      </c>
      <c r="O64" s="3" t="n">
        <v>370</v>
      </c>
      <c r="P64" s="3">
        <f>TABL12[[#This Row],[ (S/S) SAR]]-TABL12[[#This Row],[(S/S) AJD]]</f>
        <v/>
      </c>
      <c r="Q64" s="3" t="n">
        <v>412</v>
      </c>
      <c r="R64" s="3">
        <f>TABL12[[#This Row],[ (T/B) SAR]]-TABL12[[#This Row],[(T/B) AJD]]</f>
        <v/>
      </c>
      <c r="S64" s="3">
        <f>TABL12[[#This Row],[S/S_CON.]]+TABL12[[#This Row],[T/B-CON.]]</f>
        <v/>
      </c>
      <c r="T64" s="3">
        <f>O64+Q64</f>
        <v/>
      </c>
      <c r="U64" s="3" t="n">
        <v>489</v>
      </c>
      <c r="V64" s="3" t="n">
        <v>295</v>
      </c>
      <c r="W64" s="3">
        <f>U64+V64</f>
        <v/>
      </c>
      <c r="X64" s="3">
        <f>T64-W64</f>
        <v/>
      </c>
      <c r="Y64" s="4" t="n">
        <v>91.92</v>
      </c>
      <c r="Z64" s="3" t="n">
        <v>0</v>
      </c>
      <c r="AA64" s="3">
        <f>TABL12[[#This Row],[(RESV. STORGE) AJD]]/10</f>
        <v/>
      </c>
      <c r="AB64" s="3">
        <f>(Z64-Z63)/1000</f>
        <v/>
      </c>
      <c r="AC64" s="6" t="n">
        <v>0</v>
      </c>
      <c r="AD64" s="5">
        <f>TABL12[[#This Row],[( S/S+T/B) AJD]]-(TABL12[[#This Row],[(A/B + A/S) AJD]]+TABL12[[#This Row],[(STORGE DIFF.) AJD]]+(TABL12[[#This Row],[AJD_Evaporation]]))</f>
        <v/>
      </c>
      <c r="AE64" s="6" t="n">
        <v>55</v>
      </c>
      <c r="AF64" s="33" t="n">
        <v>60.675</v>
      </c>
      <c r="AG64" s="6" t="n">
        <v>2741654</v>
      </c>
      <c r="AH64" s="6">
        <f>TABL12[[#This Row],[ (RESV. STORGE) BER]]/10</f>
        <v/>
      </c>
      <c r="AI64" s="6" t="n">
        <v>2317</v>
      </c>
      <c r="AJ64" s="6">
        <f>TABL12[[#This Row],[(A/B) AJD]]-TABL12[[#This Row],[BER_IN]]</f>
        <v/>
      </c>
      <c r="AK64" s="6" t="n">
        <v>30</v>
      </c>
      <c r="AL64" s="33" t="n">
        <v>45.1996</v>
      </c>
      <c r="AM64" s="6" t="n">
        <v>4317800</v>
      </c>
      <c r="AN64" s="6">
        <f>TABL12[[#This Row],[ (RESV. STORGE) SER]]/10</f>
        <v/>
      </c>
      <c r="AO64" s="6" t="n">
        <v>1782</v>
      </c>
      <c r="AP64" s="32">
        <f>TABL12[[#This Row],[(A/S) AJD]]-TABL12[[#This Row],[SER_IN]]</f>
        <v/>
      </c>
    </row>
    <row r="65">
      <c r="A65" s="2" t="n">
        <v>45721</v>
      </c>
      <c r="B65" s="28" t="n">
        <v>38</v>
      </c>
      <c r="C65" s="28" t="n">
        <v>328</v>
      </c>
      <c r="D65" s="28" t="n">
        <v>39</v>
      </c>
      <c r="E65" s="28" t="n">
        <v>0</v>
      </c>
      <c r="F65" s="28" t="n">
        <v>83</v>
      </c>
      <c r="G65" s="28" t="n">
        <v>512</v>
      </c>
      <c r="H65" s="28" t="n">
        <v>5</v>
      </c>
      <c r="I65" s="28" t="n">
        <v>399</v>
      </c>
      <c r="J65" s="28" t="n">
        <v>417</v>
      </c>
      <c r="K65" s="28">
        <f>TABL12[[#This Row],[ (T/B) SAR]]+TABL12[[#This Row],[ (S/S) SAR]]</f>
        <v/>
      </c>
      <c r="L65" s="28" t="n">
        <v>304</v>
      </c>
      <c r="M65" s="29" t="n">
        <v>23.9</v>
      </c>
      <c r="N65" s="30" t="n">
        <v>7.73</v>
      </c>
      <c r="O65" s="3" t="n">
        <v>369</v>
      </c>
      <c r="P65" s="3">
        <f>TABL12[[#This Row],[ (S/S) SAR]]-TABL12[[#This Row],[(S/S) AJD]]</f>
        <v/>
      </c>
      <c r="Q65" s="3" t="n">
        <v>410</v>
      </c>
      <c r="R65" s="3">
        <f>TABL12[[#This Row],[ (T/B) SAR]]-TABL12[[#This Row],[(T/B) AJD]]</f>
        <v/>
      </c>
      <c r="S65" s="3">
        <f>TABL12[[#This Row],[S/S_CON.]]+TABL12[[#This Row],[T/B-CON.]]</f>
        <v/>
      </c>
      <c r="T65" s="3">
        <f>O65+Q65</f>
        <v/>
      </c>
      <c r="U65" s="3" t="n">
        <v>496</v>
      </c>
      <c r="V65" s="3" t="n">
        <v>285</v>
      </c>
      <c r="W65" s="3">
        <f>U65+V65</f>
        <v/>
      </c>
      <c r="X65" s="3">
        <f>T65-W65</f>
        <v/>
      </c>
      <c r="Y65" s="4" t="n">
        <v>91.92</v>
      </c>
      <c r="Z65" s="3" t="n">
        <v>0</v>
      </c>
      <c r="AA65" s="3">
        <f>TABL12[[#This Row],[(RESV. STORGE) AJD]]/10</f>
        <v/>
      </c>
      <c r="AB65" s="3">
        <f>(Z65-Z64)/1000</f>
        <v/>
      </c>
      <c r="AC65" s="6" t="n">
        <v>0</v>
      </c>
      <c r="AD65" s="5">
        <f>TABL12[[#This Row],[( S/S+T/B) AJD]]-(TABL12[[#This Row],[(A/B + A/S) AJD]]+TABL12[[#This Row],[(STORGE DIFF.) AJD]]+(TABL12[[#This Row],[AJD_Evaporation]]))</f>
        <v/>
      </c>
      <c r="AE65" s="6" t="n">
        <v>39</v>
      </c>
      <c r="AF65" s="33" t="n">
        <v>60.612</v>
      </c>
      <c r="AG65" s="6" t="n">
        <v>2699162</v>
      </c>
      <c r="AH65" s="6">
        <f>TABL12[[#This Row],[ (RESV. STORGE) BER]]/10</f>
        <v/>
      </c>
      <c r="AI65" s="6" t="n">
        <v>1812</v>
      </c>
      <c r="AJ65" s="6">
        <f>TABL12[[#This Row],[(A/B) AJD]]-TABL12[[#This Row],[BER_IN]]</f>
        <v/>
      </c>
      <c r="AK65" s="6" t="n">
        <v>30</v>
      </c>
      <c r="AL65" s="33" t="n">
        <v>45.2315</v>
      </c>
      <c r="AM65" s="6" t="n">
        <v>4335390</v>
      </c>
      <c r="AN65" s="6">
        <f>TABL12[[#This Row],[ (RESV. STORGE) SER]]/10</f>
        <v/>
      </c>
      <c r="AO65" s="6" t="n">
        <v>1795</v>
      </c>
      <c r="AP65" s="32">
        <f>TABL12[[#This Row],[(A/S) AJD]]-TABL12[[#This Row],[SER_IN]]</f>
        <v/>
      </c>
    </row>
    <row r="66">
      <c r="A66" s="2" t="n">
        <v>45722</v>
      </c>
      <c r="B66" s="28" t="n">
        <v>39</v>
      </c>
      <c r="C66" s="28" t="n">
        <v>326</v>
      </c>
      <c r="D66" s="28" t="n">
        <v>39</v>
      </c>
      <c r="E66" s="28" t="n">
        <v>0</v>
      </c>
      <c r="F66" s="28" t="n">
        <v>83</v>
      </c>
      <c r="G66" s="28" t="n">
        <v>513</v>
      </c>
      <c r="H66" s="28" t="n">
        <v>5</v>
      </c>
      <c r="I66" s="28" t="n">
        <v>401</v>
      </c>
      <c r="J66" s="28" t="n">
        <v>419</v>
      </c>
      <c r="K66" s="28">
        <f>TABL12[[#This Row],[ (T/B) SAR]]+TABL12[[#This Row],[ (S/S) SAR]]</f>
        <v/>
      </c>
      <c r="L66" s="28" t="n">
        <v>307</v>
      </c>
      <c r="M66" s="29" t="n">
        <v>23.9</v>
      </c>
      <c r="N66" s="30" t="n">
        <v>7.85</v>
      </c>
      <c r="O66" s="3" t="n">
        <v>370</v>
      </c>
      <c r="P66" s="3">
        <f>TABL12[[#This Row],[ (S/S) SAR]]-TABL12[[#This Row],[(S/S) AJD]]</f>
        <v/>
      </c>
      <c r="Q66" s="3" t="n">
        <v>411</v>
      </c>
      <c r="R66" s="3">
        <f>TABL12[[#This Row],[ (T/B) SAR]]-TABL12[[#This Row],[(T/B) AJD]]</f>
        <v/>
      </c>
      <c r="S66" s="3">
        <f>TABL12[[#This Row],[S/S_CON.]]+TABL12[[#This Row],[T/B-CON.]]</f>
        <v/>
      </c>
      <c r="T66" s="3">
        <f>O66+Q66</f>
        <v/>
      </c>
      <c r="U66" s="3" t="n">
        <v>497</v>
      </c>
      <c r="V66" s="3" t="n">
        <v>286</v>
      </c>
      <c r="W66" s="3">
        <f>U66+V66</f>
        <v/>
      </c>
      <c r="X66" s="3">
        <f>T66-W66</f>
        <v/>
      </c>
      <c r="Y66" s="4" t="n">
        <v>91.92</v>
      </c>
      <c r="Z66" s="3" t="n">
        <v>0</v>
      </c>
      <c r="AA66" s="3">
        <f>TABL12[[#This Row],[(RESV. STORGE) AJD]]/10</f>
        <v/>
      </c>
      <c r="AB66" s="3">
        <f>(Z66-Z65)/1000</f>
        <v/>
      </c>
      <c r="AC66" s="6" t="n">
        <v>0</v>
      </c>
      <c r="AD66" s="5">
        <f>TABL12[[#This Row],[( S/S+T/B) AJD]]-(TABL12[[#This Row],[(A/B + A/S) AJD]]+TABL12[[#This Row],[(STORGE DIFF.) AJD]]+(TABL12[[#This Row],[AJD_Evaporation]]))</f>
        <v/>
      </c>
      <c r="AE66" s="6" t="n">
        <v>35</v>
      </c>
      <c r="AF66" s="33" t="n">
        <v>60.543</v>
      </c>
      <c r="AG66" s="6" t="n">
        <v>2652662</v>
      </c>
      <c r="AH66" s="6">
        <f>TABL12[[#This Row],[ (RESV. STORGE) BER]]/10</f>
        <v/>
      </c>
      <c r="AI66" s="6" t="n">
        <v>1819</v>
      </c>
      <c r="AJ66" s="6">
        <f>TABL12[[#This Row],[(A/B) AJD]]-TABL12[[#This Row],[BER_IN]]</f>
        <v/>
      </c>
      <c r="AK66" s="6" t="n">
        <v>30</v>
      </c>
      <c r="AL66" s="33" t="n">
        <v>45.2647</v>
      </c>
      <c r="AM66" s="6" t="n">
        <v>4353890</v>
      </c>
      <c r="AN66" s="6">
        <f>TABL12[[#This Row],[ (RESV. STORGE) SER]]/10</f>
        <v/>
      </c>
      <c r="AO66" s="6" t="n">
        <v>1743</v>
      </c>
      <c r="AP66" s="32">
        <f>TABL12[[#This Row],[(A/S) AJD]]-TABL12[[#This Row],[SER_IN]]</f>
        <v/>
      </c>
    </row>
    <row r="67">
      <c r="A67" s="2" t="n">
        <v>45723</v>
      </c>
      <c r="B67" s="28" t="n">
        <v>41</v>
      </c>
      <c r="C67" s="28" t="n">
        <v>337</v>
      </c>
      <c r="D67" s="28" t="n">
        <v>41</v>
      </c>
      <c r="E67" s="28" t="n">
        <v>0</v>
      </c>
      <c r="F67" s="28" t="n">
        <v>83</v>
      </c>
      <c r="G67" s="28" t="n">
        <v>514</v>
      </c>
      <c r="H67" s="28" t="n">
        <v>5</v>
      </c>
      <c r="I67" s="28" t="n">
        <v>402</v>
      </c>
      <c r="J67" s="28" t="n">
        <v>419</v>
      </c>
      <c r="K67" s="28">
        <f>TABL12[[#This Row],[ (T/B) SAR]]+TABL12[[#This Row],[ (S/S) SAR]]</f>
        <v/>
      </c>
      <c r="L67" s="28" t="n">
        <v>307</v>
      </c>
      <c r="M67" s="29" t="n">
        <v>23.9</v>
      </c>
      <c r="N67" s="30" t="n">
        <v>7.97</v>
      </c>
      <c r="O67" s="3" t="n">
        <v>373</v>
      </c>
      <c r="P67" s="3">
        <f>TABL12[[#This Row],[ (S/S) SAR]]-TABL12[[#This Row],[(S/S) AJD]]</f>
        <v/>
      </c>
      <c r="Q67" s="3" t="n">
        <v>412</v>
      </c>
      <c r="R67" s="3">
        <f>TABL12[[#This Row],[ (T/B) SAR]]-TABL12[[#This Row],[(T/B) AJD]]</f>
        <v/>
      </c>
      <c r="S67" s="3">
        <f>TABL12[[#This Row],[S/S_CON.]]+TABL12[[#This Row],[T/B-CON.]]</f>
        <v/>
      </c>
      <c r="T67" s="3">
        <f>O67+Q67</f>
        <v/>
      </c>
      <c r="U67" s="3" t="n">
        <v>504</v>
      </c>
      <c r="V67" s="3" t="n">
        <v>282</v>
      </c>
      <c r="W67" s="3">
        <f>U67+V67</f>
        <v/>
      </c>
      <c r="X67" s="3">
        <f>T67-W67</f>
        <v/>
      </c>
      <c r="Y67" s="4" t="n">
        <v>91.92</v>
      </c>
      <c r="Z67" s="3" t="n">
        <v>0</v>
      </c>
      <c r="AA67" s="3">
        <f>TABL12[[#This Row],[(RESV. STORGE) AJD]]/10</f>
        <v/>
      </c>
      <c r="AB67" s="3">
        <f>(Z67-Z66)/1000</f>
        <v/>
      </c>
      <c r="AC67" s="6" t="n">
        <v>0</v>
      </c>
      <c r="AD67" s="5">
        <f>TABL12[[#This Row],[( S/S+T/B) AJD]]-(TABL12[[#This Row],[(A/B + A/S) AJD]]+TABL12[[#This Row],[(STORGE DIFF.) AJD]]+(TABL12[[#This Row],[AJD_Evaporation]]))</f>
        <v/>
      </c>
      <c r="AE67" s="6" t="n">
        <v>35</v>
      </c>
      <c r="AF67" s="33" t="n">
        <v>60.474</v>
      </c>
      <c r="AG67" s="6" t="n">
        <v>2606204</v>
      </c>
      <c r="AH67" s="6">
        <f>TABL12[[#This Row],[ (RESV. STORGE) BER]]/10</f>
        <v/>
      </c>
      <c r="AI67" s="6" t="n">
        <v>1777</v>
      </c>
      <c r="AJ67" s="6">
        <f>TABL12[[#This Row],[(A/B) AJD]]-TABL12[[#This Row],[BER_IN]]</f>
        <v/>
      </c>
      <c r="AK67" s="6" t="n">
        <v>30</v>
      </c>
      <c r="AL67" s="33" t="n">
        <v>45.2533</v>
      </c>
      <c r="AM67" s="6" t="n">
        <v>4347620</v>
      </c>
      <c r="AN67" s="6">
        <f>TABL12[[#This Row],[ (RESV. STORGE) SER]]/10</f>
        <v/>
      </c>
      <c r="AO67" s="6" t="n">
        <v>1650</v>
      </c>
      <c r="AP67" s="32">
        <f>TABL12[[#This Row],[(A/S) AJD]]-TABL12[[#This Row],[SER_IN]]</f>
        <v/>
      </c>
    </row>
    <row r="68">
      <c r="A68" s="2" t="n">
        <v>45724</v>
      </c>
      <c r="B68" s="28" t="n">
        <v>41</v>
      </c>
      <c r="C68" s="28" t="n">
        <v>328</v>
      </c>
      <c r="D68" s="28" t="n">
        <v>41</v>
      </c>
      <c r="E68" s="28" t="n">
        <v>0</v>
      </c>
      <c r="F68" s="28" t="n">
        <v>83</v>
      </c>
      <c r="G68" s="28" t="n">
        <v>517</v>
      </c>
      <c r="H68" s="28" t="n">
        <v>5</v>
      </c>
      <c r="I68" s="28" t="n">
        <v>406</v>
      </c>
      <c r="J68" s="28" t="n">
        <v>424</v>
      </c>
      <c r="K68" s="28">
        <f>TABL12[[#This Row],[ (T/B) SAR]]+TABL12[[#This Row],[ (S/S) SAR]]</f>
        <v/>
      </c>
      <c r="L68" s="28" t="n">
        <v>313</v>
      </c>
      <c r="M68" s="29" t="n">
        <v>23.9</v>
      </c>
      <c r="N68" s="30" t="n">
        <v>8.119999999999999</v>
      </c>
      <c r="O68" s="3" t="n">
        <v>373</v>
      </c>
      <c r="P68" s="3">
        <f>TABL12[[#This Row],[ (S/S) SAR]]-TABL12[[#This Row],[(S/S) AJD]]</f>
        <v/>
      </c>
      <c r="Q68" s="3" t="n">
        <v>413</v>
      </c>
      <c r="R68" s="3">
        <f>TABL12[[#This Row],[ (T/B) SAR]]-TABL12[[#This Row],[(T/B) AJD]]</f>
        <v/>
      </c>
      <c r="S68" s="3">
        <f>TABL12[[#This Row],[S/S_CON.]]+TABL12[[#This Row],[T/B-CON.]]</f>
        <v/>
      </c>
      <c r="T68" s="3">
        <f>O68+Q68</f>
        <v/>
      </c>
      <c r="U68" s="3" t="n">
        <v>515</v>
      </c>
      <c r="V68" s="3" t="n">
        <v>268</v>
      </c>
      <c r="W68" s="3">
        <f>U68+V68</f>
        <v/>
      </c>
      <c r="X68" s="3">
        <f>T68-W68</f>
        <v/>
      </c>
      <c r="Y68" s="4" t="n">
        <v>91.92</v>
      </c>
      <c r="Z68" s="3" t="n">
        <v>0</v>
      </c>
      <c r="AA68" s="3">
        <f>TABL12[[#This Row],[(RESV. STORGE) AJD]]/10</f>
        <v/>
      </c>
      <c r="AB68" s="3">
        <f>(Z68-Z67)/1000</f>
        <v/>
      </c>
      <c r="AC68" s="6" t="n">
        <v>0</v>
      </c>
      <c r="AD68" s="5">
        <f>TABL12[[#This Row],[( S/S+T/B) AJD]]-(TABL12[[#This Row],[(A/B + A/S) AJD]]+TABL12[[#This Row],[(STORGE DIFF.) AJD]]+(TABL12[[#This Row],[AJD_Evaporation]]))</f>
        <v/>
      </c>
      <c r="AE68" s="6" t="n">
        <v>55</v>
      </c>
      <c r="AF68" s="33" t="n">
        <v>60.435</v>
      </c>
      <c r="AG68" s="6" t="n">
        <v>2579964</v>
      </c>
      <c r="AH68" s="6">
        <f>TABL12[[#This Row],[ (RESV. STORGE) BER]]/10</f>
        <v/>
      </c>
      <c r="AI68" s="6" t="n">
        <v>1560</v>
      </c>
      <c r="AJ68" s="6">
        <f>TABL12[[#This Row],[(A/B) AJD]]-TABL12[[#This Row],[BER_IN]]</f>
        <v/>
      </c>
      <c r="AK68" s="6" t="n">
        <v>30</v>
      </c>
      <c r="AL68" s="33" t="n">
        <v>45.2626</v>
      </c>
      <c r="AM68" s="6" t="n">
        <v>4352480</v>
      </c>
      <c r="AN68" s="6">
        <f>TABL12[[#This Row],[ (RESV. STORGE) SER]]/10</f>
        <v/>
      </c>
      <c r="AO68" s="6" t="n">
        <v>1483</v>
      </c>
      <c r="AP68" s="32">
        <f>TABL12[[#This Row],[(A/S) AJD]]-TABL12[[#This Row],[SER_IN]]</f>
        <v/>
      </c>
    </row>
    <row r="69">
      <c r="A69" s="2" t="n">
        <v>45725</v>
      </c>
      <c r="B69" s="28" t="n">
        <v>38</v>
      </c>
      <c r="C69" s="28" t="n">
        <v>311</v>
      </c>
      <c r="D69" s="28" t="n">
        <v>38</v>
      </c>
      <c r="E69" s="28" t="n">
        <v>0</v>
      </c>
      <c r="F69" s="28" t="n">
        <v>83</v>
      </c>
      <c r="G69" s="28" t="n">
        <v>514</v>
      </c>
      <c r="H69" s="28" t="n">
        <v>5</v>
      </c>
      <c r="I69" s="28" t="n">
        <v>409</v>
      </c>
      <c r="J69" s="28" t="n">
        <v>424</v>
      </c>
      <c r="K69" s="28">
        <f>TABL12[[#This Row],[ (T/B) SAR]]+TABL12[[#This Row],[ (S/S) SAR]]</f>
        <v/>
      </c>
      <c r="L69" s="28" t="n">
        <v>319</v>
      </c>
      <c r="M69" s="29" t="n">
        <v>24.2</v>
      </c>
      <c r="N69" s="30" t="n">
        <v>8.1</v>
      </c>
      <c r="O69" s="3" t="n">
        <v>376</v>
      </c>
      <c r="P69" s="3">
        <f>TABL12[[#This Row],[ (S/S) SAR]]-TABL12[[#This Row],[(S/S) AJD]]</f>
        <v/>
      </c>
      <c r="Q69" s="3" t="n">
        <v>416</v>
      </c>
      <c r="R69" s="3">
        <f>TABL12[[#This Row],[ (T/B) SAR]]-TABL12[[#This Row],[(T/B) AJD]]</f>
        <v/>
      </c>
      <c r="S69" s="3">
        <f>TABL12[[#This Row],[S/S_CON.]]+TABL12[[#This Row],[T/B-CON.]]</f>
        <v/>
      </c>
      <c r="T69" s="3">
        <f>O69+Q69</f>
        <v/>
      </c>
      <c r="U69" s="3" t="n">
        <v>521</v>
      </c>
      <c r="V69" s="3" t="n">
        <v>266</v>
      </c>
      <c r="W69" s="3">
        <f>U69+V69</f>
        <v/>
      </c>
      <c r="X69" s="3">
        <f>T69-W69</f>
        <v/>
      </c>
      <c r="Y69" s="4" t="n">
        <v>91.92</v>
      </c>
      <c r="Z69" s="3" t="n">
        <v>0</v>
      </c>
      <c r="AA69" s="3">
        <f>TABL12[[#This Row],[(RESV. STORGE) AJD]]/10</f>
        <v/>
      </c>
      <c r="AB69" s="3">
        <f>(Z69-Z68)/1000</f>
        <v/>
      </c>
      <c r="AC69" s="6" t="n">
        <v>0</v>
      </c>
      <c r="AD69" s="5">
        <f>TABL12[[#This Row],[( S/S+T/B) AJD]]-(TABL12[[#This Row],[(A/B + A/S) AJD]]+TABL12[[#This Row],[(STORGE DIFF.) AJD]]+(TABL12[[#This Row],[AJD_Evaporation]]))</f>
        <v/>
      </c>
      <c r="AE69" s="6" t="n">
        <v>60</v>
      </c>
      <c r="AF69" s="33" t="n">
        <v>60.405</v>
      </c>
      <c r="AG69" s="6" t="n">
        <v>2559788</v>
      </c>
      <c r="AH69" s="6">
        <f>TABL12[[#This Row],[ (RESV. STORGE) BER]]/10</f>
        <v/>
      </c>
      <c r="AI69" s="6" t="n">
        <v>1823</v>
      </c>
      <c r="AJ69" s="6">
        <f>TABL12[[#This Row],[(A/B) AJD]]-TABL12[[#This Row],[BER_IN]]</f>
        <v/>
      </c>
      <c r="AK69" s="6" t="n">
        <v>63</v>
      </c>
      <c r="AL69" s="33" t="n">
        <v>45.308</v>
      </c>
      <c r="AM69" s="6" t="n">
        <v>4377760</v>
      </c>
      <c r="AN69" s="6">
        <f>TABL12[[#This Row],[ (RESV. STORGE) SER]]/10</f>
        <v/>
      </c>
      <c r="AO69" s="6" t="n">
        <v>1563</v>
      </c>
      <c r="AP69" s="32">
        <f>TABL12[[#This Row],[(A/S) AJD]]-TABL12[[#This Row],[SER_IN]]</f>
        <v/>
      </c>
    </row>
    <row r="70">
      <c r="A70" s="2" t="n">
        <v>45726</v>
      </c>
      <c r="B70" s="28" t="n">
        <v>38</v>
      </c>
      <c r="C70" s="28" t="n">
        <v>304</v>
      </c>
      <c r="D70" s="28" t="n">
        <v>38</v>
      </c>
      <c r="E70" s="28" t="n">
        <v>0</v>
      </c>
      <c r="F70" s="28" t="n">
        <v>82</v>
      </c>
      <c r="G70" s="28" t="n">
        <v>516</v>
      </c>
      <c r="H70" s="28" t="n">
        <v>6</v>
      </c>
      <c r="I70" s="28" t="n">
        <v>411</v>
      </c>
      <c r="J70" s="28" t="n">
        <v>428</v>
      </c>
      <c r="K70" s="28">
        <f>TABL12[[#This Row],[ (T/B) SAR]]+TABL12[[#This Row],[ (S/S) SAR]]</f>
        <v/>
      </c>
      <c r="L70" s="28" t="n">
        <v>323</v>
      </c>
      <c r="M70" s="29" t="n">
        <v>24.2</v>
      </c>
      <c r="N70" s="30" t="n">
        <v>7.99</v>
      </c>
      <c r="O70" s="3" t="n">
        <v>377</v>
      </c>
      <c r="P70" s="3">
        <f>TABL12[[#This Row],[ (S/S) SAR]]-TABL12[[#This Row],[(S/S) AJD]]</f>
        <v/>
      </c>
      <c r="Q70" s="3" t="n">
        <v>419</v>
      </c>
      <c r="R70" s="3">
        <f>TABL12[[#This Row],[ (T/B) SAR]]-TABL12[[#This Row],[(T/B) AJD]]</f>
        <v/>
      </c>
      <c r="S70" s="3">
        <f>TABL12[[#This Row],[S/S_CON.]]+TABL12[[#This Row],[T/B-CON.]]</f>
        <v/>
      </c>
      <c r="T70" s="3">
        <f>O70+Q70</f>
        <v/>
      </c>
      <c r="U70" s="3" t="n">
        <v>528</v>
      </c>
      <c r="V70" s="3" t="n">
        <v>265</v>
      </c>
      <c r="W70" s="3">
        <f>U70+V70</f>
        <v/>
      </c>
      <c r="X70" s="3">
        <f>T70-W70</f>
        <v/>
      </c>
      <c r="Y70" s="4" t="n">
        <v>91.92</v>
      </c>
      <c r="Z70" s="3" t="n">
        <v>0</v>
      </c>
      <c r="AA70" s="3">
        <f>TABL12[[#This Row],[(RESV. STORGE) AJD]]/10</f>
        <v/>
      </c>
      <c r="AB70" s="3">
        <f>(Z70-Z69)/1000</f>
        <v/>
      </c>
      <c r="AC70" s="6" t="n">
        <v>0</v>
      </c>
      <c r="AD70" s="5">
        <f>TABL12[[#This Row],[( S/S+T/B) AJD]]-(TABL12[[#This Row],[(A/B + A/S) AJD]]+TABL12[[#This Row],[(STORGE DIFF.) AJD]]+(TABL12[[#This Row],[AJD_Evaporation]]))</f>
        <v/>
      </c>
      <c r="AE70" s="6" t="n">
        <v>62</v>
      </c>
      <c r="AF70" s="33" t="n">
        <v>60.376</v>
      </c>
      <c r="AG70" s="6" t="n">
        <v>2540292</v>
      </c>
      <c r="AH70" s="6">
        <f>TABL12[[#This Row],[ (RESV. STORGE) BER]]/10</f>
        <v/>
      </c>
      <c r="AI70" s="6" t="n">
        <v>1815</v>
      </c>
      <c r="AJ70" s="6">
        <f>TABL12[[#This Row],[(A/B) AJD]]-TABL12[[#This Row],[BER_IN]]</f>
        <v/>
      </c>
      <c r="AK70" s="6" t="n">
        <v>63</v>
      </c>
      <c r="AL70" s="33" t="n">
        <v>45.3874</v>
      </c>
      <c r="AM70" s="6" t="n">
        <v>4422700</v>
      </c>
      <c r="AN70" s="6">
        <f>TABL12[[#This Row],[ (RESV. STORGE) SER]]/10</f>
        <v/>
      </c>
      <c r="AO70" s="6" t="n">
        <v>1652</v>
      </c>
      <c r="AP70" s="32">
        <f>TABL12[[#This Row],[(A/S) AJD]]-TABL12[[#This Row],[SER_IN]]</f>
        <v/>
      </c>
    </row>
    <row r="71">
      <c r="A71" s="2" t="n">
        <v>45727</v>
      </c>
      <c r="B71" s="28" t="n">
        <v>36</v>
      </c>
      <c r="C71" s="28" t="n">
        <v>301</v>
      </c>
      <c r="D71" s="28" t="n">
        <v>37</v>
      </c>
      <c r="E71" s="28" t="n">
        <v>0</v>
      </c>
      <c r="F71" s="28" t="n">
        <v>82</v>
      </c>
      <c r="G71" s="28" t="n">
        <v>507</v>
      </c>
      <c r="H71" s="28" t="n">
        <v>6</v>
      </c>
      <c r="I71" s="28" t="n">
        <v>405</v>
      </c>
      <c r="J71" s="28" t="n">
        <v>422</v>
      </c>
      <c r="K71" s="28">
        <f>TABL12[[#This Row],[ (T/B) SAR]]+TABL12[[#This Row],[ (S/S) SAR]]</f>
        <v/>
      </c>
      <c r="L71" s="28" t="n">
        <v>320</v>
      </c>
      <c r="M71" s="29" t="n">
        <v>24.2</v>
      </c>
      <c r="N71" s="30" t="n">
        <v>7.89</v>
      </c>
      <c r="O71" s="3" t="n">
        <v>376</v>
      </c>
      <c r="P71" s="3">
        <f>TABL12[[#This Row],[ (S/S) SAR]]-TABL12[[#This Row],[(S/S) AJD]]</f>
        <v/>
      </c>
      <c r="Q71" s="3" t="n">
        <v>418</v>
      </c>
      <c r="R71" s="3">
        <f>TABL12[[#This Row],[ (T/B) SAR]]-TABL12[[#This Row],[(T/B) AJD]]</f>
        <v/>
      </c>
      <c r="S71" s="3">
        <f>TABL12[[#This Row],[S/S_CON.]]+TABL12[[#This Row],[T/B-CON.]]</f>
        <v/>
      </c>
      <c r="T71" s="3">
        <f>O71+Q71</f>
        <v/>
      </c>
      <c r="U71" s="3" t="n">
        <v>516</v>
      </c>
      <c r="V71" s="3" t="n">
        <v>282</v>
      </c>
      <c r="W71" s="3">
        <f>U71+V71</f>
        <v/>
      </c>
      <c r="X71" s="3">
        <f>T71-W71</f>
        <v/>
      </c>
      <c r="Y71" s="4" t="n">
        <v>91.92</v>
      </c>
      <c r="Z71" s="3" t="n">
        <v>0</v>
      </c>
      <c r="AA71" s="3">
        <f>TABL12[[#This Row],[(RESV. STORGE) AJD]]/10</f>
        <v/>
      </c>
      <c r="AB71" s="3">
        <f>(Z71-Z70)/1000</f>
        <v/>
      </c>
      <c r="AC71" s="6" t="n">
        <v>0</v>
      </c>
      <c r="AD71" s="5">
        <f>TABL12[[#This Row],[( S/S+T/B) AJD]]-(TABL12[[#This Row],[(A/B + A/S) AJD]]+TABL12[[#This Row],[(STORGE DIFF.) AJD]]+(TABL12[[#This Row],[AJD_Evaporation]]))</f>
        <v/>
      </c>
      <c r="AE71" s="6" t="n">
        <v>70</v>
      </c>
      <c r="AF71" s="33" t="n">
        <v>60.359</v>
      </c>
      <c r="AG71" s="6" t="n">
        <v>2528867</v>
      </c>
      <c r="AH71" s="6">
        <f>TABL12[[#This Row],[ (RESV. STORGE) BER]]/10</f>
        <v/>
      </c>
      <c r="AI71" s="6" t="n">
        <v>1745</v>
      </c>
      <c r="AJ71" s="6">
        <f>TABL12[[#This Row],[(A/B) AJD]]-TABL12[[#This Row],[BER_IN]]</f>
        <v/>
      </c>
      <c r="AK71" s="6" t="n">
        <v>63</v>
      </c>
      <c r="AL71" s="33" t="n">
        <v>45.4508</v>
      </c>
      <c r="AM71" s="6" t="n">
        <v>4458240</v>
      </c>
      <c r="AN71" s="6">
        <f>TABL12[[#This Row],[ (RESV. STORGE) SER]]/10</f>
        <v/>
      </c>
      <c r="AO71" s="6" t="n">
        <v>1673</v>
      </c>
      <c r="AP71" s="32">
        <f>TABL12[[#This Row],[(A/S) AJD]]-TABL12[[#This Row],[SER_IN]]</f>
        <v/>
      </c>
    </row>
    <row r="72">
      <c r="A72" s="2" t="n">
        <v>45728</v>
      </c>
      <c r="B72" s="28" t="n">
        <v>40</v>
      </c>
      <c r="C72" s="28" t="n">
        <v>318</v>
      </c>
      <c r="D72" s="28" t="n">
        <v>40</v>
      </c>
      <c r="E72" s="28" t="n">
        <v>0</v>
      </c>
      <c r="F72" s="28" t="n">
        <v>82</v>
      </c>
      <c r="G72" s="28" t="n">
        <v>508</v>
      </c>
      <c r="H72" s="28" t="n">
        <v>6</v>
      </c>
      <c r="I72" s="28" t="n">
        <v>404</v>
      </c>
      <c r="J72" s="28" t="n">
        <v>421</v>
      </c>
      <c r="K72" s="28">
        <f>TABL12[[#This Row],[ (T/B) SAR]]+TABL12[[#This Row],[ (S/S) SAR]]</f>
        <v/>
      </c>
      <c r="L72" s="28" t="n">
        <v>318</v>
      </c>
      <c r="M72" s="29" t="n">
        <v>24.2</v>
      </c>
      <c r="N72" s="30" t="n">
        <v>7.86</v>
      </c>
      <c r="O72" s="3" t="n">
        <v>374</v>
      </c>
      <c r="P72" s="3">
        <f>TABL12[[#This Row],[ (S/S) SAR]]-TABL12[[#This Row],[(S/S) AJD]]</f>
        <v/>
      </c>
      <c r="Q72" s="3" t="n">
        <v>416</v>
      </c>
      <c r="R72" s="3">
        <f>TABL12[[#This Row],[ (T/B) SAR]]-TABL12[[#This Row],[(T/B) AJD]]</f>
        <v/>
      </c>
      <c r="S72" s="3">
        <f>TABL12[[#This Row],[S/S_CON.]]+TABL12[[#This Row],[T/B-CON.]]</f>
        <v/>
      </c>
      <c r="T72" s="3">
        <f>O72+Q72</f>
        <v/>
      </c>
      <c r="U72" s="3" t="n">
        <v>510</v>
      </c>
      <c r="V72" s="3" t="n">
        <v>280</v>
      </c>
      <c r="W72" s="3">
        <f>U72+V72</f>
        <v/>
      </c>
      <c r="X72" s="3">
        <f>T72-W72</f>
        <v/>
      </c>
      <c r="Y72" s="4" t="n">
        <v>91.92</v>
      </c>
      <c r="Z72" s="3" t="n">
        <v>0</v>
      </c>
      <c r="AA72" s="3">
        <f>TABL12[[#This Row],[(RESV. STORGE) AJD]]/10</f>
        <v/>
      </c>
      <c r="AB72" s="3">
        <f>(Z72-Z71)/1000</f>
        <v/>
      </c>
      <c r="AC72" s="6" t="n">
        <v>0</v>
      </c>
      <c r="AD72" s="5">
        <f>TABL12[[#This Row],[( S/S+T/B) AJD]]-(TABL12[[#This Row],[(A/B + A/S) AJD]]+TABL12[[#This Row],[(STORGE DIFF.) AJD]]+(TABL12[[#This Row],[AJD_Evaporation]]))</f>
        <v/>
      </c>
      <c r="AE72" s="6" t="n">
        <v>70</v>
      </c>
      <c r="AF72" s="33" t="n">
        <v>60.341</v>
      </c>
      <c r="AG72" s="6" t="n">
        <v>2516773</v>
      </c>
      <c r="AH72" s="6">
        <f>TABL12[[#This Row],[ (RESV. STORGE) BER]]/10</f>
        <v/>
      </c>
      <c r="AI72" s="6" t="n">
        <v>2414</v>
      </c>
      <c r="AJ72" s="6">
        <f>TABL12[[#This Row],[(A/B) AJD]]-TABL12[[#This Row],[BER_IN]]</f>
        <v/>
      </c>
      <c r="AK72" s="6" t="n">
        <v>54</v>
      </c>
      <c r="AL72" s="33" t="n">
        <v>45.5283</v>
      </c>
      <c r="AM72" s="6" t="n">
        <v>4501980</v>
      </c>
      <c r="AN72" s="6">
        <f>TABL12[[#This Row],[ (RESV. STORGE) SER]]/10</f>
        <v/>
      </c>
      <c r="AO72" s="6" t="n">
        <v>1853</v>
      </c>
      <c r="AP72" s="32">
        <f>TABL12[[#This Row],[(A/S) AJD]]-TABL12[[#This Row],[SER_IN]]</f>
        <v/>
      </c>
    </row>
    <row r="73">
      <c r="A73" s="2" t="n">
        <v>45729</v>
      </c>
      <c r="B73" s="28" t="n">
        <v>38</v>
      </c>
      <c r="C73" s="28" t="n">
        <v>317</v>
      </c>
      <c r="D73" s="28" t="n">
        <v>39</v>
      </c>
      <c r="E73" s="28" t="n">
        <v>0</v>
      </c>
      <c r="F73" s="28" t="n">
        <v>82</v>
      </c>
      <c r="G73" s="28" t="n">
        <v>508</v>
      </c>
      <c r="H73" s="28" t="n">
        <v>6</v>
      </c>
      <c r="I73" s="28" t="n">
        <v>404</v>
      </c>
      <c r="J73" s="28" t="n">
        <v>423</v>
      </c>
      <c r="K73" s="28">
        <f>TABL12[[#This Row],[ (T/B) SAR]]+TABL12[[#This Row],[ (S/S) SAR]]</f>
        <v/>
      </c>
      <c r="L73" s="28" t="n">
        <v>319</v>
      </c>
      <c r="M73" s="29" t="n">
        <v>24.2</v>
      </c>
      <c r="N73" s="30" t="n">
        <v>7.88</v>
      </c>
      <c r="O73" s="3" t="n">
        <v>373</v>
      </c>
      <c r="P73" s="3">
        <f>TABL12[[#This Row],[ (S/S) SAR]]-TABL12[[#This Row],[(S/S) AJD]]</f>
        <v/>
      </c>
      <c r="Q73" s="3" t="n">
        <v>415</v>
      </c>
      <c r="R73" s="3">
        <f>TABL12[[#This Row],[ (T/B) SAR]]-TABL12[[#This Row],[(T/B) AJD]]</f>
        <v/>
      </c>
      <c r="S73" s="3">
        <f>TABL12[[#This Row],[S/S_CON.]]+TABL12[[#This Row],[T/B-CON.]]</f>
        <v/>
      </c>
      <c r="T73" s="3">
        <f>O73+Q73</f>
        <v/>
      </c>
      <c r="U73" s="3" t="n">
        <v>504</v>
      </c>
      <c r="V73" s="3" t="n">
        <v>285</v>
      </c>
      <c r="W73" s="3">
        <f>U73+V73</f>
        <v/>
      </c>
      <c r="X73" s="3">
        <f>T73-W73</f>
        <v/>
      </c>
      <c r="Y73" s="4" t="n">
        <v>91.92</v>
      </c>
      <c r="Z73" s="3" t="n">
        <v>0</v>
      </c>
      <c r="AA73" s="3">
        <f>TABL12[[#This Row],[(RESV. STORGE) AJD]]/10</f>
        <v/>
      </c>
      <c r="AB73" s="3">
        <f>(Z73-Z72)/1000</f>
        <v/>
      </c>
      <c r="AC73" s="6" t="n">
        <v>0</v>
      </c>
      <c r="AD73" s="5">
        <f>TABL12[[#This Row],[( S/S+T/B) AJD]]-(TABL12[[#This Row],[(A/B + A/S) AJD]]+TABL12[[#This Row],[(STORGE DIFF.) AJD]]+(TABL12[[#This Row],[AJD_Evaporation]]))</f>
        <v/>
      </c>
      <c r="AE73" s="6" t="n">
        <v>39</v>
      </c>
      <c r="AF73" s="33" t="n">
        <v>60.227</v>
      </c>
      <c r="AG73" s="6" t="n">
        <v>2473793</v>
      </c>
      <c r="AH73" s="6">
        <f>TABL12[[#This Row],[ (RESV. STORGE) BER]]/10</f>
        <v/>
      </c>
      <c r="AI73" s="6" t="n">
        <v>2299</v>
      </c>
      <c r="AJ73" s="6">
        <f>TABL12[[#This Row],[(A/B) AJD]]-TABL12[[#This Row],[BER_IN]]</f>
        <v/>
      </c>
      <c r="AK73" s="6" t="n">
        <v>21</v>
      </c>
      <c r="AL73" s="33" t="n">
        <v>45.55</v>
      </c>
      <c r="AM73" s="6" t="n">
        <v>4513770</v>
      </c>
      <c r="AN73" s="6">
        <f>TABL12[[#This Row],[ (RESV. STORGE) SER]]/10</f>
        <v/>
      </c>
      <c r="AO73" s="6" t="n">
        <v>1785</v>
      </c>
      <c r="AP73" s="32">
        <f>TABL12[[#This Row],[(A/S) AJD]]-TABL12[[#This Row],[SER_IN]]</f>
        <v/>
      </c>
    </row>
    <row r="74">
      <c r="A74" s="2" t="n">
        <v>45730</v>
      </c>
      <c r="B74" s="28" t="n">
        <v>39</v>
      </c>
      <c r="C74" s="28" t="n">
        <v>364</v>
      </c>
      <c r="D74" s="28" t="n">
        <v>39</v>
      </c>
      <c r="E74" s="28" t="n">
        <v>0</v>
      </c>
      <c r="F74" s="28" t="n">
        <v>82</v>
      </c>
      <c r="G74" s="28" t="n">
        <v>506</v>
      </c>
      <c r="H74" s="28" t="n">
        <v>6</v>
      </c>
      <c r="I74" s="28" t="n">
        <v>403</v>
      </c>
      <c r="J74" s="28" t="n">
        <v>421</v>
      </c>
      <c r="K74" s="28">
        <f>TABL12[[#This Row],[ (T/B) SAR]]+TABL12[[#This Row],[ (S/S) SAR]]</f>
        <v/>
      </c>
      <c r="L74" s="28" t="n">
        <v>318</v>
      </c>
      <c r="M74" s="29" t="n">
        <v>24.2</v>
      </c>
      <c r="N74" s="30" t="n">
        <v>7.9</v>
      </c>
      <c r="O74" s="3" t="n">
        <v>373</v>
      </c>
      <c r="P74" s="3">
        <f>TABL12[[#This Row],[ (S/S) SAR]]-TABL12[[#This Row],[(S/S) AJD]]</f>
        <v/>
      </c>
      <c r="Q74" s="3" t="n">
        <v>415</v>
      </c>
      <c r="R74" s="3">
        <f>TABL12[[#This Row],[ (T/B) SAR]]-TABL12[[#This Row],[(T/B) AJD]]</f>
        <v/>
      </c>
      <c r="S74" s="3">
        <f>TABL12[[#This Row],[S/S_CON.]]+TABL12[[#This Row],[T/B-CON.]]</f>
        <v/>
      </c>
      <c r="T74" s="3">
        <f>O74+Q74</f>
        <v/>
      </c>
      <c r="U74" s="3" t="n">
        <v>516</v>
      </c>
      <c r="V74" s="3" t="n">
        <v>274</v>
      </c>
      <c r="W74" s="3">
        <f>U74+V74</f>
        <v/>
      </c>
      <c r="X74" s="3">
        <f>T74-W74</f>
        <v/>
      </c>
      <c r="Y74" s="4" t="n">
        <v>91.92</v>
      </c>
      <c r="Z74" s="3" t="n">
        <v>0</v>
      </c>
      <c r="AA74" s="3">
        <f>TABL12[[#This Row],[(RESV. STORGE) AJD]]/10</f>
        <v/>
      </c>
      <c r="AB74" s="3">
        <f>(Z74-Z73)/1000</f>
        <v/>
      </c>
      <c r="AC74" s="6" t="n">
        <v>0</v>
      </c>
      <c r="AD74" s="5">
        <f>TABL12[[#This Row],[( S/S+T/B) AJD]]-(TABL12[[#This Row],[(A/B + A/S) AJD]]+TABL12[[#This Row],[(STORGE DIFF.) AJD]]+(TABL12[[#This Row],[AJD_Evaporation]]))</f>
        <v/>
      </c>
      <c r="AE74" s="6" t="n">
        <v>30</v>
      </c>
      <c r="AF74" s="33" t="n">
        <v>60.219</v>
      </c>
      <c r="AG74" s="6" t="n">
        <v>2434873</v>
      </c>
      <c r="AH74" s="6">
        <f>TABL12[[#This Row],[ (RESV. STORGE) BER]]/10</f>
        <v/>
      </c>
      <c r="AI74" s="6" t="n">
        <v>2353</v>
      </c>
      <c r="AJ74" s="6">
        <f>TABL12[[#This Row],[(A/B) AJD]]-TABL12[[#This Row],[BER_IN]]</f>
        <v/>
      </c>
      <c r="AK74" s="6" t="n">
        <v>17</v>
      </c>
      <c r="AL74" s="33" t="n">
        <v>45.5211</v>
      </c>
      <c r="AM74" s="6" t="n">
        <v>4497857</v>
      </c>
      <c r="AN74" s="6">
        <f>TABL12[[#This Row],[ (RESV. STORGE) SER]]/10</f>
        <v/>
      </c>
      <c r="AO74" s="6" t="n">
        <v>1620</v>
      </c>
      <c r="AP74" s="32">
        <f>TABL12[[#This Row],[(A/S) AJD]]-TABL12[[#This Row],[SER_IN]]</f>
        <v/>
      </c>
    </row>
    <row r="75">
      <c r="A75" s="2" t="n">
        <v>45731</v>
      </c>
      <c r="B75" s="28" t="n">
        <v>40</v>
      </c>
      <c r="C75" s="28" t="n">
        <v>339</v>
      </c>
      <c r="D75" s="28" t="n">
        <v>40</v>
      </c>
      <c r="E75" s="28" t="n">
        <v>0</v>
      </c>
      <c r="F75" s="28" t="n">
        <v>82</v>
      </c>
      <c r="G75" s="28" t="n">
        <v>510</v>
      </c>
      <c r="H75" s="28" t="n">
        <v>6</v>
      </c>
      <c r="I75" s="28" t="n">
        <v>406</v>
      </c>
      <c r="J75" s="28" t="n">
        <v>424</v>
      </c>
      <c r="K75" s="28">
        <f>TABL12[[#This Row],[ (T/B) SAR]]+TABL12[[#This Row],[ (S/S) SAR]]</f>
        <v/>
      </c>
      <c r="L75" s="28" t="n">
        <v>320</v>
      </c>
      <c r="M75" s="29" t="n">
        <v>24.2</v>
      </c>
      <c r="N75" s="30" t="n">
        <v>8.01</v>
      </c>
      <c r="O75" s="3" t="n">
        <v>374</v>
      </c>
      <c r="P75" s="3">
        <f>TABL12[[#This Row],[ (S/S) SAR]]-TABL12[[#This Row],[(S/S) AJD]]</f>
        <v/>
      </c>
      <c r="Q75" s="3" t="n">
        <v>416</v>
      </c>
      <c r="R75" s="3">
        <f>TABL12[[#This Row],[ (T/B) SAR]]-TABL12[[#This Row],[(T/B) AJD]]</f>
        <v/>
      </c>
      <c r="S75" s="3">
        <f>TABL12[[#This Row],[S/S_CON.]]+TABL12[[#This Row],[T/B-CON.]]</f>
        <v/>
      </c>
      <c r="T75" s="3">
        <f>O75+Q75</f>
        <v/>
      </c>
      <c r="U75" s="3" t="n">
        <v>528</v>
      </c>
      <c r="V75" s="3" t="n">
        <v>262</v>
      </c>
      <c r="W75" s="3">
        <f>U75+V75</f>
        <v/>
      </c>
      <c r="X75" s="3">
        <f>T75-W75</f>
        <v/>
      </c>
      <c r="Y75" s="4" t="n">
        <v>91.92</v>
      </c>
      <c r="Z75" s="3" t="n">
        <v>0</v>
      </c>
      <c r="AA75" s="3">
        <f>TABL12[[#This Row],[(RESV. STORGE) AJD]]/10</f>
        <v/>
      </c>
      <c r="AB75" s="3">
        <f>(Z75-Z74)/1000</f>
        <v/>
      </c>
      <c r="AC75" s="6" t="n">
        <v>0</v>
      </c>
      <c r="AD75" s="5">
        <f>TABL12[[#This Row],[( S/S+T/B) AJD]]-(TABL12[[#This Row],[(A/B + A/S) AJD]]+TABL12[[#This Row],[(STORGE DIFF.) AJD]]+(TABL12[[#This Row],[AJD_Evaporation]]))</f>
        <v/>
      </c>
      <c r="AE75" s="6" t="n">
        <v>30</v>
      </c>
      <c r="AF75" s="33" t="n">
        <v>60.141</v>
      </c>
      <c r="AG75" s="6" t="n">
        <v>2382579</v>
      </c>
      <c r="AH75" s="6">
        <f>TABL12[[#This Row],[ (RESV. STORGE) BER]]/10</f>
        <v/>
      </c>
      <c r="AI75" s="6" t="n">
        <v>2814</v>
      </c>
      <c r="AJ75" s="6">
        <f>TABL12[[#This Row],[(A/B) AJD]]-TABL12[[#This Row],[BER_IN]]</f>
        <v/>
      </c>
      <c r="AK75" s="6" t="n">
        <v>17</v>
      </c>
      <c r="AL75" s="33" t="n">
        <v>45.5334</v>
      </c>
      <c r="AM75" s="6" t="n">
        <v>4504680</v>
      </c>
      <c r="AN75" s="6">
        <f>TABL12[[#This Row],[ (RESV. STORGE) SER]]/10</f>
        <v/>
      </c>
      <c r="AO75" s="6" t="n">
        <v>1750</v>
      </c>
      <c r="AP75" s="32">
        <f>TABL12[[#This Row],[(A/S) AJD]]-TABL12[[#This Row],[SER_IN]]</f>
        <v/>
      </c>
    </row>
    <row r="76">
      <c r="A76" s="2" t="n">
        <v>45732</v>
      </c>
      <c r="B76" s="28" t="n">
        <v>38</v>
      </c>
      <c r="C76" s="28" t="n">
        <v>322</v>
      </c>
      <c r="D76" s="28" t="n">
        <v>38</v>
      </c>
      <c r="E76" s="28" t="n">
        <v>0</v>
      </c>
      <c r="F76" s="28" t="n">
        <v>82</v>
      </c>
      <c r="G76" s="28" t="n">
        <v>511</v>
      </c>
      <c r="H76" s="28" t="n">
        <v>6</v>
      </c>
      <c r="I76" s="28" t="n">
        <v>408</v>
      </c>
      <c r="J76" s="28" t="n">
        <v>426</v>
      </c>
      <c r="K76" s="28">
        <f>TABL12[[#This Row],[ (T/B) SAR]]+TABL12[[#This Row],[ (S/S) SAR]]</f>
        <v/>
      </c>
      <c r="L76" s="28" t="n">
        <v>323</v>
      </c>
      <c r="M76" s="29" t="n">
        <v>24.2</v>
      </c>
      <c r="N76" s="30" t="n">
        <v>8.029999999999999</v>
      </c>
      <c r="O76" s="3" t="n">
        <v>375</v>
      </c>
      <c r="P76" s="3">
        <f>TABL12[[#This Row],[ (S/S) SAR]]-TABL12[[#This Row],[(S/S) AJD]]</f>
        <v/>
      </c>
      <c r="Q76" s="3" t="n">
        <v>417</v>
      </c>
      <c r="R76" s="3">
        <f>TABL12[[#This Row],[ (T/B) SAR]]-TABL12[[#This Row],[(T/B) AJD]]</f>
        <v/>
      </c>
      <c r="S76" s="3">
        <f>TABL12[[#This Row],[S/S_CON.]]+TABL12[[#This Row],[T/B-CON.]]</f>
        <v/>
      </c>
      <c r="T76" s="3">
        <f>O76+Q76</f>
        <v/>
      </c>
      <c r="U76" s="3" t="n">
        <v>521</v>
      </c>
      <c r="V76" s="3" t="n">
        <v>277</v>
      </c>
      <c r="W76" s="3">
        <f>U76+V76</f>
        <v/>
      </c>
      <c r="X76" s="3">
        <f>T76-W76</f>
        <v/>
      </c>
      <c r="Y76" s="4" t="n">
        <v>91.92</v>
      </c>
      <c r="Z76" s="3" t="n">
        <v>0</v>
      </c>
      <c r="AA76" s="3">
        <f>TABL12[[#This Row],[(RESV. STORGE) AJD]]/10</f>
        <v/>
      </c>
      <c r="AB76" s="3">
        <f>(Z76-Z75)/1000</f>
        <v/>
      </c>
      <c r="AC76" s="6" t="n">
        <v>0</v>
      </c>
      <c r="AD76" s="5">
        <f>TABL12[[#This Row],[( S/S+T/B) AJD]]-(TABL12[[#This Row],[(A/B + A/S) AJD]]+TABL12[[#This Row],[(STORGE DIFF.) AJD]]+(TABL12[[#This Row],[AJD_Evaporation]]))</f>
        <v/>
      </c>
      <c r="AE76" s="6" t="n">
        <v>30</v>
      </c>
      <c r="AF76" s="33" t="n">
        <v>60.062</v>
      </c>
      <c r="AG76" s="6" t="n">
        <v>2329668</v>
      </c>
      <c r="AH76" s="6">
        <f>TABL12[[#This Row],[ (RESV. STORGE) BER]]/10</f>
        <v/>
      </c>
      <c r="AI76" s="6" t="n">
        <v>3230</v>
      </c>
      <c r="AJ76" s="6">
        <f>TABL12[[#This Row],[(A/B) AJD]]-TABL12[[#This Row],[BER_IN]]</f>
        <v/>
      </c>
      <c r="AK76" s="6" t="n">
        <v>32</v>
      </c>
      <c r="AL76" s="33" t="n">
        <v>45.5348</v>
      </c>
      <c r="AM76" s="6" t="n">
        <v>4505340</v>
      </c>
      <c r="AN76" s="6">
        <f>TABL12[[#This Row],[ (RESV. STORGE) SER]]/10</f>
        <v/>
      </c>
      <c r="AO76" s="6" t="n">
        <v>1340</v>
      </c>
      <c r="AP76" s="32">
        <f>TABL12[[#This Row],[(A/S) AJD]]-TABL12[[#This Row],[SER_IN]]</f>
        <v/>
      </c>
    </row>
    <row r="77">
      <c r="A77" s="2" t="n">
        <v>45733</v>
      </c>
      <c r="B77" s="28" t="n">
        <v>39</v>
      </c>
      <c r="C77" s="28" t="n">
        <v>324</v>
      </c>
      <c r="D77" s="28" t="n">
        <v>38</v>
      </c>
      <c r="E77" s="28" t="n">
        <v>0</v>
      </c>
      <c r="F77" s="28" t="n">
        <v>82</v>
      </c>
      <c r="G77" s="28" t="n">
        <v>512</v>
      </c>
      <c r="H77" s="28" t="n">
        <v>6</v>
      </c>
      <c r="I77" s="28" t="n">
        <v>408</v>
      </c>
      <c r="J77" s="28" t="n">
        <v>425</v>
      </c>
      <c r="K77" s="28">
        <f>TABL12[[#This Row],[ (T/B) SAR]]+TABL12[[#This Row],[ (S/S) SAR]]</f>
        <v/>
      </c>
      <c r="L77" s="28" t="n">
        <v>321</v>
      </c>
      <c r="M77" s="29" t="n">
        <v>24.2</v>
      </c>
      <c r="N77" s="30" t="n">
        <v>7.96</v>
      </c>
      <c r="O77" s="3" t="n">
        <v>377</v>
      </c>
      <c r="P77" s="3">
        <f>TABL12[[#This Row],[ (S/S) SAR]]-TABL12[[#This Row],[(S/S) AJD]]</f>
        <v/>
      </c>
      <c r="Q77" s="3" t="n">
        <v>418</v>
      </c>
      <c r="R77" s="3">
        <f>TABL12[[#This Row],[ (T/B) SAR]]-TABL12[[#This Row],[(T/B) AJD]]</f>
        <v/>
      </c>
      <c r="S77" s="3">
        <f>TABL12[[#This Row],[S/S_CON.]]+TABL12[[#This Row],[T/B-CON.]]</f>
        <v/>
      </c>
      <c r="T77" s="3">
        <f>O77+Q77</f>
        <v/>
      </c>
      <c r="U77" s="3" t="n">
        <v>514</v>
      </c>
      <c r="V77" s="3" t="n">
        <v>277</v>
      </c>
      <c r="W77" s="3">
        <f>U77+V77</f>
        <v/>
      </c>
      <c r="X77" s="3">
        <f>T77-W77</f>
        <v/>
      </c>
      <c r="Y77" s="4" t="n">
        <v>91.92</v>
      </c>
      <c r="Z77" s="3" t="n">
        <v>0</v>
      </c>
      <c r="AA77" s="3">
        <f>TABL12[[#This Row],[(RESV. STORGE) AJD]]/10</f>
        <v/>
      </c>
      <c r="AB77" s="3">
        <f>(Z77-Z76)/1000</f>
        <v/>
      </c>
      <c r="AC77" s="6" t="n">
        <v>0</v>
      </c>
      <c r="AD77" s="5">
        <f>TABL12[[#This Row],[( S/S+T/B) AJD]]-(TABL12[[#This Row],[(A/B + A/S) AJD]]+TABL12[[#This Row],[(STORGE DIFF.) AJD]]+(TABL12[[#This Row],[AJD_Evaporation]]))</f>
        <v/>
      </c>
      <c r="AE77" s="6" t="n">
        <v>30</v>
      </c>
      <c r="AF77" s="33" t="n">
        <v>59.993</v>
      </c>
      <c r="AG77" s="6" t="n">
        <v>2283499</v>
      </c>
      <c r="AH77" s="6">
        <f>TABL12[[#This Row],[ (RESV. STORGE) BER]]/10</f>
        <v/>
      </c>
      <c r="AI77" s="6" t="n">
        <v>2852</v>
      </c>
      <c r="AJ77" s="6">
        <f>TABL12[[#This Row],[(A/B) AJD]]-TABL12[[#This Row],[BER_IN]]</f>
        <v/>
      </c>
      <c r="AK77" s="6" t="n">
        <v>34</v>
      </c>
      <c r="AL77" s="33" t="n">
        <v>45.5276</v>
      </c>
      <c r="AM77" s="6" t="n">
        <v>4501370</v>
      </c>
      <c r="AN77" s="6">
        <f>TABL12[[#This Row],[ (RESV. STORGE) SER]]/10</f>
        <v/>
      </c>
      <c r="AO77" s="6" t="n">
        <v>1970</v>
      </c>
      <c r="AP77" s="32">
        <f>TABL12[[#This Row],[(A/S) AJD]]-TABL12[[#This Row],[SER_IN]]</f>
        <v/>
      </c>
    </row>
    <row r="78">
      <c r="A78" s="2" t="n">
        <v>45734</v>
      </c>
      <c r="B78" s="28" t="n">
        <v>39</v>
      </c>
      <c r="C78" s="28" t="n">
        <v>324</v>
      </c>
      <c r="D78" s="28" t="n">
        <v>38</v>
      </c>
      <c r="E78" s="28" t="n">
        <v>0</v>
      </c>
      <c r="F78" s="28" t="n">
        <v>82</v>
      </c>
      <c r="G78" s="28" t="n">
        <v>506</v>
      </c>
      <c r="H78" s="28" t="n">
        <v>6</v>
      </c>
      <c r="I78" s="28" t="n">
        <v>404</v>
      </c>
      <c r="J78" s="28" t="n">
        <v>422</v>
      </c>
      <c r="K78" s="28">
        <f>TABL12[[#This Row],[ (T/B) SAR]]+TABL12[[#This Row],[ (S/S) SAR]]</f>
        <v/>
      </c>
      <c r="L78" s="28" t="n">
        <v>320</v>
      </c>
      <c r="M78" s="29" t="n">
        <v>24.2</v>
      </c>
      <c r="N78" s="30" t="n">
        <v>7.9</v>
      </c>
      <c r="O78" s="3" t="n">
        <v>375</v>
      </c>
      <c r="P78" s="3">
        <f>TABL12[[#This Row],[ (S/S) SAR]]-TABL12[[#This Row],[(S/S) AJD]]</f>
        <v/>
      </c>
      <c r="Q78" s="3" t="n">
        <v>418</v>
      </c>
      <c r="R78" s="3">
        <f>TABL12[[#This Row],[ (T/B) SAR]]-TABL12[[#This Row],[(T/B) AJD]]</f>
        <v/>
      </c>
      <c r="S78" s="3">
        <f>TABL12[[#This Row],[S/S_CON.]]+TABL12[[#This Row],[T/B-CON.]]</f>
        <v/>
      </c>
      <c r="T78" s="3">
        <f>O78+Q78</f>
        <v/>
      </c>
      <c r="U78" s="3" t="n">
        <v>535</v>
      </c>
      <c r="V78" s="3" t="n">
        <v>263</v>
      </c>
      <c r="W78" s="3">
        <f>U78+V78</f>
        <v/>
      </c>
      <c r="X78" s="3">
        <f>T78-W78</f>
        <v/>
      </c>
      <c r="Y78" s="4" t="n">
        <v>91.92</v>
      </c>
      <c r="Z78" s="3" t="n">
        <v>0</v>
      </c>
      <c r="AA78" s="3">
        <f>TABL12[[#This Row],[(RESV. STORGE) AJD]]/10</f>
        <v/>
      </c>
      <c r="AB78" s="3">
        <f>(Z78-Z77)/1000</f>
        <v/>
      </c>
      <c r="AC78" s="6" t="n">
        <v>0</v>
      </c>
      <c r="AD78" s="5">
        <f>TABL12[[#This Row],[( S/S+T/B) AJD]]-(TABL12[[#This Row],[(A/B + A/S) AJD]]+TABL12[[#This Row],[(STORGE DIFF.) AJD]]+(TABL12[[#This Row],[AJD_Evaporation]]))</f>
        <v/>
      </c>
      <c r="AE78" s="6" t="n">
        <v>30</v>
      </c>
      <c r="AF78" s="33" t="n">
        <v>59.904</v>
      </c>
      <c r="AG78" s="6" t="n">
        <v>2224010</v>
      </c>
      <c r="AH78" s="6">
        <f>TABL12[[#This Row],[ (RESV. STORGE) BER]]/10</f>
        <v/>
      </c>
      <c r="AI78" s="6" t="n">
        <v>3509</v>
      </c>
      <c r="AJ78" s="6">
        <f>TABL12[[#This Row],[(A/B) AJD]]-TABL12[[#This Row],[BER_IN]]</f>
        <v/>
      </c>
      <c r="AK78" s="6" t="n">
        <v>33</v>
      </c>
      <c r="AL78" s="33" t="n">
        <v>45.5205</v>
      </c>
      <c r="AM78" s="6" t="n">
        <v>4497500</v>
      </c>
      <c r="AN78" s="6">
        <f>TABL12[[#This Row],[ (RESV. STORGE) SER]]/10</f>
        <v/>
      </c>
      <c r="AO78" s="6" t="n">
        <v>1870</v>
      </c>
      <c r="AP78" s="32">
        <f>TABL12[[#This Row],[(A/S) AJD]]-TABL12[[#This Row],[SER_IN]]</f>
        <v/>
      </c>
    </row>
    <row r="79">
      <c r="A79" s="2" t="n">
        <v>45735</v>
      </c>
      <c r="B79" s="28" t="n">
        <v>39</v>
      </c>
      <c r="C79" s="28" t="n">
        <v>324</v>
      </c>
      <c r="D79" s="28" t="n">
        <v>38</v>
      </c>
      <c r="E79" s="28" t="n">
        <v>0</v>
      </c>
      <c r="F79" s="28" t="n">
        <v>82</v>
      </c>
      <c r="G79" s="28" t="n">
        <v>505</v>
      </c>
      <c r="H79" s="28" t="n">
        <v>6</v>
      </c>
      <c r="I79" s="28" t="n">
        <v>401</v>
      </c>
      <c r="J79" s="28" t="n">
        <v>424</v>
      </c>
      <c r="K79" s="28">
        <f>TABL12[[#This Row],[ (T/B) SAR]]+TABL12[[#This Row],[ (S/S) SAR]]</f>
        <v/>
      </c>
      <c r="L79" s="28" t="n">
        <v>320</v>
      </c>
      <c r="M79" s="29" t="n">
        <v>24.2</v>
      </c>
      <c r="N79" s="30" t="n">
        <v>7.87</v>
      </c>
      <c r="O79" s="3" t="n">
        <v>374</v>
      </c>
      <c r="P79" s="3">
        <f>TABL12[[#This Row],[ (S/S) SAR]]-TABL12[[#This Row],[(S/S) AJD]]</f>
        <v/>
      </c>
      <c r="Q79" s="3" t="n">
        <v>416</v>
      </c>
      <c r="R79" s="3">
        <f>TABL12[[#This Row],[ (T/B) SAR]]-TABL12[[#This Row],[(T/B) AJD]]</f>
        <v/>
      </c>
      <c r="S79" s="3">
        <f>TABL12[[#This Row],[S/S_CON.]]+TABL12[[#This Row],[T/B-CON.]]</f>
        <v/>
      </c>
      <c r="T79" s="3">
        <f>O79+Q79</f>
        <v/>
      </c>
      <c r="U79" s="3" t="n">
        <v>514</v>
      </c>
      <c r="V79" s="3" t="n">
        <v>278</v>
      </c>
      <c r="W79" s="3">
        <f>U79+V79</f>
        <v/>
      </c>
      <c r="X79" s="3">
        <f>T79-W79</f>
        <v/>
      </c>
      <c r="Y79" s="4" t="n">
        <v>91.92</v>
      </c>
      <c r="Z79" s="3" t="n">
        <v>0</v>
      </c>
      <c r="AA79" s="3">
        <f>TABL12[[#This Row],[(RESV. STORGE) AJD]]/10</f>
        <v/>
      </c>
      <c r="AB79" s="3">
        <f>(Z79-Z78)/1000</f>
        <v/>
      </c>
      <c r="AC79" s="6" t="n">
        <v>0</v>
      </c>
      <c r="AD79" s="5">
        <f>TABL12[[#This Row],[( S/S+T/B) AJD]]-(TABL12[[#This Row],[(A/B + A/S) AJD]]+TABL12[[#This Row],[(STORGE DIFF.) AJD]]+(TABL12[[#This Row],[AJD_Evaporation]]))</f>
        <v/>
      </c>
      <c r="AE79" s="6" t="n">
        <v>30</v>
      </c>
      <c r="AF79" s="33" t="n">
        <v>59.826</v>
      </c>
      <c r="AG79" s="6" t="n">
        <v>2171929</v>
      </c>
      <c r="AH79" s="6">
        <f>TABL12[[#This Row],[ (RESV. STORGE) BER]]/10</f>
        <v/>
      </c>
      <c r="AI79" s="6" t="n">
        <v>2400</v>
      </c>
      <c r="AJ79" s="6">
        <f>TABL12[[#This Row],[(A/B) AJD]]-TABL12[[#This Row],[BER_IN]]</f>
        <v/>
      </c>
      <c r="AK79" s="6" t="n">
        <v>32</v>
      </c>
      <c r="AL79" s="33" t="n">
        <v>45.5093</v>
      </c>
      <c r="AM79" s="6" t="n">
        <v>4491310</v>
      </c>
      <c r="AN79" s="6">
        <f>TABL12[[#This Row],[ (RESV. STORGE) SER]]/10</f>
        <v/>
      </c>
      <c r="AO79" s="6" t="n">
        <v>1190</v>
      </c>
      <c r="AP79" s="32">
        <f>TABL12[[#This Row],[(A/S) AJD]]-TABL12[[#This Row],[SER_IN]]</f>
        <v/>
      </c>
    </row>
    <row r="80">
      <c r="A80" s="2" t="n">
        <v>45736</v>
      </c>
      <c r="B80" s="28" t="n">
        <v>39</v>
      </c>
      <c r="C80" s="28" t="n">
        <v>334</v>
      </c>
      <c r="D80" s="28" t="n">
        <v>39</v>
      </c>
      <c r="E80" s="28" t="n">
        <v>0</v>
      </c>
      <c r="F80" s="28" t="n">
        <v>82</v>
      </c>
      <c r="G80" s="28" t="n">
        <v>512</v>
      </c>
      <c r="H80" s="28" t="n">
        <v>6</v>
      </c>
      <c r="I80" s="28" t="n">
        <v>407</v>
      </c>
      <c r="J80" s="28" t="n">
        <v>427</v>
      </c>
      <c r="K80" s="28">
        <f>TABL12[[#This Row],[ (T/B) SAR]]+TABL12[[#This Row],[ (S/S) SAR]]</f>
        <v/>
      </c>
      <c r="L80" s="28" t="n">
        <v>322</v>
      </c>
      <c r="M80" s="29" t="n">
        <v>24.2</v>
      </c>
      <c r="N80" s="30" t="n">
        <v>7.87</v>
      </c>
      <c r="O80" s="3" t="n">
        <v>373</v>
      </c>
      <c r="P80" s="3">
        <f>TABL12[[#This Row],[ (S/S) SAR]]-TABL12[[#This Row],[(S/S) AJD]]</f>
        <v/>
      </c>
      <c r="Q80" s="3" t="n">
        <v>414</v>
      </c>
      <c r="R80" s="3">
        <f>TABL12[[#This Row],[ (T/B) SAR]]-TABL12[[#This Row],[(T/B) AJD]]</f>
        <v/>
      </c>
      <c r="S80" s="3">
        <f>TABL12[[#This Row],[S/S_CON.]]+TABL12[[#This Row],[T/B-CON.]]</f>
        <v/>
      </c>
      <c r="T80" s="3">
        <f>O80+Q80</f>
        <v/>
      </c>
      <c r="U80" s="3" t="n">
        <v>521</v>
      </c>
      <c r="V80" s="3" t="n">
        <v>265</v>
      </c>
      <c r="W80" s="3">
        <f>U80+V80</f>
        <v/>
      </c>
      <c r="X80" s="3">
        <f>T80-W80</f>
        <v/>
      </c>
      <c r="Y80" s="4" t="n">
        <v>91.92</v>
      </c>
      <c r="Z80" s="3" t="n">
        <v>0</v>
      </c>
      <c r="AA80" s="3">
        <f>TABL12[[#This Row],[(RESV. STORGE) AJD]]/10</f>
        <v/>
      </c>
      <c r="AB80" s="3">
        <f>(Z80-Z79)/1000</f>
        <v/>
      </c>
      <c r="AC80" s="6" t="n">
        <v>0</v>
      </c>
      <c r="AD80" s="5">
        <f>TABL12[[#This Row],[( S/S+T/B) AJD]]-(TABL12[[#This Row],[(A/B + A/S) AJD]]+TABL12[[#This Row],[(STORGE DIFF.) AJD]]+(TABL12[[#This Row],[AJD_Evaporation]]))</f>
        <v/>
      </c>
      <c r="AE80" s="6" t="n">
        <v>30</v>
      </c>
      <c r="AF80" s="33" t="n">
        <v>59.755</v>
      </c>
      <c r="AG80" s="6" t="n">
        <v>2124589</v>
      </c>
      <c r="AH80" s="6">
        <f>TABL12[[#This Row],[ (RESV. STORGE) BER]]/10</f>
        <v/>
      </c>
      <c r="AI80" s="6" t="n">
        <v>2799</v>
      </c>
      <c r="AJ80" s="6">
        <f>TABL12[[#This Row],[(A/B) AJD]]-TABL12[[#This Row],[BER_IN]]</f>
        <v/>
      </c>
      <c r="AK80" s="6" t="n">
        <v>33</v>
      </c>
      <c r="AL80" s="33" t="n">
        <v>45.5057</v>
      </c>
      <c r="AM80" s="6" t="n">
        <v>4488880</v>
      </c>
      <c r="AN80" s="6">
        <f>TABL12[[#This Row],[ (RESV. STORGE) SER]]/10</f>
        <v/>
      </c>
      <c r="AO80" s="6" t="n">
        <v>1430</v>
      </c>
      <c r="AP80" s="32">
        <f>TABL12[[#This Row],[(A/S) AJD]]-TABL12[[#This Row],[SER_IN]]</f>
        <v/>
      </c>
    </row>
    <row r="81">
      <c r="A81" s="2" t="n">
        <v>45737</v>
      </c>
      <c r="B81" s="28" t="n">
        <v>39</v>
      </c>
      <c r="C81" s="28" t="n">
        <v>332</v>
      </c>
      <c r="D81" s="28" t="n">
        <v>39</v>
      </c>
      <c r="E81" s="28" t="n">
        <v>0</v>
      </c>
      <c r="F81" s="28" t="n">
        <v>82</v>
      </c>
      <c r="G81" s="28" t="n">
        <v>513</v>
      </c>
      <c r="H81" s="28" t="n">
        <v>6</v>
      </c>
      <c r="I81" s="28" t="n">
        <v>401</v>
      </c>
      <c r="J81" s="28" t="n">
        <v>419</v>
      </c>
      <c r="K81" s="28">
        <f>TABL12[[#This Row],[ (T/B) SAR]]+TABL12[[#This Row],[ (S/S) SAR]]</f>
        <v/>
      </c>
      <c r="L81" s="28" t="n">
        <v>307</v>
      </c>
      <c r="M81" s="29" t="n">
        <v>24.2</v>
      </c>
      <c r="N81" s="30" t="n">
        <v>7.89</v>
      </c>
      <c r="O81" s="3" t="n">
        <v>373</v>
      </c>
      <c r="P81" s="3">
        <f>TABL12[[#This Row],[ (S/S) SAR]]-TABL12[[#This Row],[(S/S) AJD]]</f>
        <v/>
      </c>
      <c r="Q81" s="3" t="n">
        <v>415</v>
      </c>
      <c r="R81" s="3">
        <f>TABL12[[#This Row],[ (T/B) SAR]]-TABL12[[#This Row],[(T/B) AJD]]</f>
        <v/>
      </c>
      <c r="S81" s="3">
        <f>TABL12[[#This Row],[S/S_CON.]]+TABL12[[#This Row],[T/B-CON.]]</f>
        <v/>
      </c>
      <c r="T81" s="3">
        <f>O81+Q81</f>
        <v/>
      </c>
      <c r="U81" s="3" t="n">
        <v>521</v>
      </c>
      <c r="V81" s="3" t="n">
        <v>265</v>
      </c>
      <c r="W81" s="3">
        <f>U81+V81</f>
        <v/>
      </c>
      <c r="X81" s="3">
        <f>T81-W81</f>
        <v/>
      </c>
      <c r="Y81" s="4" t="n">
        <v>91.92</v>
      </c>
      <c r="Z81" s="3" t="n">
        <v>0</v>
      </c>
      <c r="AA81" s="3">
        <f>TABL12[[#This Row],[(RESV. STORGE) AJD]]/10</f>
        <v/>
      </c>
      <c r="AB81" s="3">
        <f>(Z81-Z80)/1000</f>
        <v/>
      </c>
      <c r="AC81" s="6" t="n">
        <v>0</v>
      </c>
      <c r="AD81" s="5">
        <f>TABL12[[#This Row],[( S/S+T/B) AJD]]-(TABL12[[#This Row],[(A/B + A/S) AJD]]+TABL12[[#This Row],[(STORGE DIFF.) AJD]]+(TABL12[[#This Row],[AJD_Evaporation]]))</f>
        <v/>
      </c>
      <c r="AE81" s="6" t="n">
        <v>30</v>
      </c>
      <c r="AF81" s="33" t="n">
        <v>59.878</v>
      </c>
      <c r="AG81" s="6" t="n">
        <v>2073255</v>
      </c>
      <c r="AH81" s="6">
        <f>TABL12[[#This Row],[ (RESV. STORGE) BER]]/10</f>
        <v/>
      </c>
      <c r="AI81" s="6" t="n">
        <v>1293</v>
      </c>
      <c r="AJ81" s="6">
        <f>TABL12[[#This Row],[(A/B) AJD]]-TABL12[[#This Row],[BER_IN]]</f>
        <v/>
      </c>
      <c r="AK81" s="6" t="n">
        <v>30</v>
      </c>
      <c r="AL81" s="33" t="n">
        <v>45.4958</v>
      </c>
      <c r="AM81" s="6" t="n">
        <v>4483390</v>
      </c>
      <c r="AN81" s="6">
        <f>TABL12[[#This Row],[ (RESV. STORGE) SER]]/10</f>
        <v/>
      </c>
      <c r="AO81" s="6" t="n">
        <v>1490</v>
      </c>
      <c r="AP81" s="32">
        <f>TABL12[[#This Row],[(A/S) AJD]]-TABL12[[#This Row],[SER_IN]]</f>
        <v/>
      </c>
    </row>
    <row r="82">
      <c r="A82" s="2" t="n">
        <v>45738</v>
      </c>
      <c r="B82" s="28" t="n">
        <v>39</v>
      </c>
      <c r="C82" s="28" t="n">
        <v>344</v>
      </c>
      <c r="D82" s="28" t="n">
        <v>39</v>
      </c>
      <c r="E82" s="28" t="n">
        <v>0</v>
      </c>
      <c r="F82" s="28" t="n">
        <v>83</v>
      </c>
      <c r="G82" s="28" t="n">
        <v>513</v>
      </c>
      <c r="H82" s="28" t="n">
        <v>5</v>
      </c>
      <c r="I82" s="28" t="n">
        <v>401</v>
      </c>
      <c r="J82" s="28" t="n">
        <v>419</v>
      </c>
      <c r="K82" s="28">
        <f>TABL12[[#This Row],[ (T/B) SAR]]+TABL12[[#This Row],[ (S/S) SAR]]</f>
        <v/>
      </c>
      <c r="L82" s="28" t="n">
        <v>307</v>
      </c>
      <c r="M82" s="29" t="n">
        <v>24.2</v>
      </c>
      <c r="N82" s="30" t="n">
        <v>7.97</v>
      </c>
      <c r="O82" s="3" t="n">
        <v>373</v>
      </c>
      <c r="P82" s="3">
        <f>TABL12[[#This Row],[ (S/S) SAR]]-TABL12[[#This Row],[(S/S) AJD]]</f>
        <v/>
      </c>
      <c r="Q82" s="3" t="n">
        <v>415</v>
      </c>
      <c r="R82" s="3">
        <f>TABL12[[#This Row],[ (T/B) SAR]]-TABL12[[#This Row],[(T/B) AJD]]</f>
        <v/>
      </c>
      <c r="S82" s="3">
        <f>TABL12[[#This Row],[S/S_CON.]]+TABL12[[#This Row],[T/B-CON.]]</f>
        <v/>
      </c>
      <c r="T82" s="3">
        <f>O82+Q82</f>
        <v/>
      </c>
      <c r="U82" s="3" t="n">
        <v>516</v>
      </c>
      <c r="V82" s="3" t="n">
        <v>279</v>
      </c>
      <c r="W82" s="3">
        <f>U82+V82</f>
        <v/>
      </c>
      <c r="X82" s="3">
        <f>T82-W82</f>
        <v/>
      </c>
      <c r="Y82" s="4" t="n">
        <v>91.92</v>
      </c>
      <c r="Z82" s="3" t="n">
        <v>0</v>
      </c>
      <c r="AA82" s="3">
        <f>TABL12[[#This Row],[(RESV. STORGE) AJD]]/10</f>
        <v/>
      </c>
      <c r="AB82" s="3">
        <f>(Z82-Z81)/1000</f>
        <v/>
      </c>
      <c r="AC82" s="6" t="n">
        <v>0</v>
      </c>
      <c r="AD82" s="5">
        <f>TABL12[[#This Row],[( S/S+T/B) AJD]]-(TABL12[[#This Row],[(A/B + A/S) AJD]]+TABL12[[#This Row],[(STORGE DIFF.) AJD]]+(TABL12[[#This Row],[AJD_Evaporation]]))</f>
        <v/>
      </c>
      <c r="AE82" s="6" t="n">
        <v>30</v>
      </c>
      <c r="AF82" s="33" t="n">
        <v>59.6</v>
      </c>
      <c r="AG82" s="6" t="n">
        <v>2021328</v>
      </c>
      <c r="AH82" s="6">
        <f>TABL12[[#This Row],[ (RESV. STORGE) BER]]/10</f>
        <v/>
      </c>
      <c r="AI82" s="6" t="n">
        <v>2247</v>
      </c>
      <c r="AJ82" s="6">
        <f>TABL12[[#This Row],[(A/B) AJD]]-TABL12[[#This Row],[BER_IN]]</f>
        <v/>
      </c>
      <c r="AK82" s="6" t="n">
        <v>15</v>
      </c>
      <c r="AL82" s="33" t="n">
        <v>45.3894</v>
      </c>
      <c r="AM82" s="6" t="n">
        <v>4423500</v>
      </c>
      <c r="AN82" s="6">
        <f>TABL12[[#This Row],[ (RESV. STORGE) SER]]/10</f>
        <v/>
      </c>
      <c r="AO82" s="6" t="n">
        <v>1890</v>
      </c>
      <c r="AP82" s="32">
        <f>TABL12[[#This Row],[(A/S) AJD]]-TABL12[[#This Row],[SER_IN]]</f>
        <v/>
      </c>
    </row>
    <row r="83">
      <c r="A83" s="2" t="n">
        <v>45739</v>
      </c>
      <c r="B83" s="28" t="n">
        <v>39</v>
      </c>
      <c r="C83" s="28" t="n">
        <v>329</v>
      </c>
      <c r="D83" s="28" t="n">
        <v>39</v>
      </c>
      <c r="E83" s="28" t="n">
        <v>0</v>
      </c>
      <c r="F83" s="28" t="n">
        <v>83</v>
      </c>
      <c r="G83" s="28" t="n">
        <v>507</v>
      </c>
      <c r="H83" s="28" t="n">
        <v>5</v>
      </c>
      <c r="I83" s="28" t="n">
        <v>405</v>
      </c>
      <c r="J83" s="28" t="n">
        <v>424</v>
      </c>
      <c r="K83" s="28">
        <f>TABL12[[#This Row],[ (T/B) SAR]]+TABL12[[#This Row],[ (S/S) SAR]]</f>
        <v/>
      </c>
      <c r="L83" s="28" t="n">
        <v>322</v>
      </c>
      <c r="M83" s="29" t="n">
        <v>24.2</v>
      </c>
      <c r="N83" s="30" t="n">
        <v>8.01</v>
      </c>
      <c r="O83" s="3" t="n">
        <v>373</v>
      </c>
      <c r="P83" s="3">
        <f>TABL12[[#This Row],[ (S/S) SAR]]-TABL12[[#This Row],[(S/S) AJD]]</f>
        <v/>
      </c>
      <c r="Q83" s="3" t="n">
        <v>417</v>
      </c>
      <c r="R83" s="3">
        <f>TABL12[[#This Row],[ (T/B) SAR]]-TABL12[[#This Row],[(T/B) AJD]]</f>
        <v/>
      </c>
      <c r="S83" s="3">
        <f>TABL12[[#This Row],[S/S_CON.]]+TABL12[[#This Row],[T/B-CON.]]</f>
        <v/>
      </c>
      <c r="T83" s="3">
        <f>O83+Q83</f>
        <v/>
      </c>
      <c r="U83" s="3" t="n">
        <v>535</v>
      </c>
      <c r="V83" s="3" t="n">
        <v>253</v>
      </c>
      <c r="W83" s="3">
        <f>U83+V83</f>
        <v/>
      </c>
      <c r="X83" s="3">
        <f>T83-W83</f>
        <v/>
      </c>
      <c r="Y83" s="4" t="n">
        <v>91.92</v>
      </c>
      <c r="Z83" s="3" t="n">
        <v>0</v>
      </c>
      <c r="AA83" s="3">
        <f>TABL12[[#This Row],[(RESV. STORGE) AJD]]/10</f>
        <v/>
      </c>
      <c r="AB83" s="3">
        <f>(Z83-Z82)/1000</f>
        <v/>
      </c>
      <c r="AC83" s="6" t="n">
        <v>0</v>
      </c>
      <c r="AD83" s="5">
        <f>TABL12[[#This Row],[( S/S+T/B) AJD]]-(TABL12[[#This Row],[(A/B + A/S) AJD]]+TABL12[[#This Row],[(STORGE DIFF.) AJD]]+(TABL12[[#This Row],[AJD_Evaporation]]))</f>
        <v/>
      </c>
      <c r="AE83" s="6" t="n">
        <v>30</v>
      </c>
      <c r="AF83" s="33" t="n">
        <v>59.522</v>
      </c>
      <c r="AG83" s="6" t="n">
        <v>1969435</v>
      </c>
      <c r="AH83" s="6">
        <f>TABL12[[#This Row],[ (RESV. STORGE) BER]]/10</f>
        <v/>
      </c>
      <c r="AI83" s="6" t="n">
        <v>2194</v>
      </c>
      <c r="AJ83" s="6">
        <f>TABL12[[#This Row],[(A/B) AJD]]-TABL12[[#This Row],[BER_IN]]</f>
        <v/>
      </c>
      <c r="AK83" s="6" t="n">
        <v>0</v>
      </c>
      <c r="AL83" s="33" t="n">
        <v>45.1996</v>
      </c>
      <c r="AM83" s="6" t="n">
        <v>4317800</v>
      </c>
      <c r="AN83" s="6">
        <f>TABL12[[#This Row],[ (RESV. STORGE) SER]]/10</f>
        <v/>
      </c>
      <c r="AO83" s="6" t="n">
        <v>1700</v>
      </c>
      <c r="AP83" s="32">
        <f>TABL12[[#This Row],[(A/S) AJD]]-TABL12[[#This Row],[SER_IN]]</f>
        <v/>
      </c>
    </row>
    <row r="84">
      <c r="A84" s="2" t="n">
        <v>45740</v>
      </c>
      <c r="B84" s="28" t="n">
        <v>38</v>
      </c>
      <c r="C84" s="28" t="n">
        <v>323</v>
      </c>
      <c r="D84" s="28" t="n">
        <v>38</v>
      </c>
      <c r="E84" s="28" t="n">
        <v>0</v>
      </c>
      <c r="F84" s="28" t="n">
        <v>83</v>
      </c>
      <c r="G84" s="28" t="n">
        <v>507</v>
      </c>
      <c r="H84" s="28" t="n">
        <v>5</v>
      </c>
      <c r="I84" s="28" t="n">
        <v>405</v>
      </c>
      <c r="J84" s="28" t="n">
        <v>423</v>
      </c>
      <c r="K84" s="28">
        <f>TABL12[[#This Row],[ (T/B) SAR]]+TABL12[[#This Row],[ (S/S) SAR]]</f>
        <v/>
      </c>
      <c r="L84" s="28" t="n">
        <v>325</v>
      </c>
      <c r="M84" s="29" t="n">
        <v>24.2</v>
      </c>
      <c r="N84" s="30" t="n">
        <v>7.98</v>
      </c>
      <c r="O84" s="3" t="n">
        <v>375</v>
      </c>
      <c r="P84" s="3">
        <f>TABL12[[#This Row],[ (S/S) SAR]]-TABL12[[#This Row],[(S/S) AJD]]</f>
        <v/>
      </c>
      <c r="Q84" s="3" t="n">
        <v>417</v>
      </c>
      <c r="R84" s="3">
        <f>TABL12[[#This Row],[ (T/B) SAR]]-TABL12[[#This Row],[(T/B) AJD]]</f>
        <v/>
      </c>
      <c r="S84" s="3">
        <f>TABL12[[#This Row],[S/S_CON.]]+TABL12[[#This Row],[T/B-CON.]]</f>
        <v/>
      </c>
      <c r="T84" s="3">
        <f>O84+Q84</f>
        <v/>
      </c>
      <c r="U84" s="3" t="n">
        <v>557</v>
      </c>
      <c r="V84" s="3" t="n">
        <v>230</v>
      </c>
      <c r="W84" s="3">
        <f>U84+V84</f>
        <v/>
      </c>
      <c r="X84" s="3">
        <f>T84-W84</f>
        <v/>
      </c>
      <c r="Y84" s="4" t="n">
        <v>91.92</v>
      </c>
      <c r="Z84" s="3" t="n">
        <v>0</v>
      </c>
      <c r="AA84" s="3">
        <f>TABL12[[#This Row],[(RESV. STORGE) AJD]]/10</f>
        <v/>
      </c>
      <c r="AB84" s="3">
        <f>(Z84-Z83)/1000</f>
        <v/>
      </c>
      <c r="AC84" s="6" t="n">
        <v>0</v>
      </c>
      <c r="AD84" s="5">
        <f>TABL12[[#This Row],[( S/S+T/B) AJD]]-(TABL12[[#This Row],[(A/B + A/S) AJD]]+TABL12[[#This Row],[(STORGE DIFF.) AJD]]+(TABL12[[#This Row],[AJD_Evaporation]]))</f>
        <v/>
      </c>
      <c r="AE84" s="6" t="n">
        <v>30</v>
      </c>
      <c r="AF84" s="33" t="n">
        <v>59.444</v>
      </c>
      <c r="AG84" s="6" t="n">
        <v>1917632</v>
      </c>
      <c r="AH84" s="6">
        <f>TABL12[[#This Row],[ (RESV. STORGE) BER]]/10</f>
        <v/>
      </c>
      <c r="AI84" s="6" t="n">
        <v>2141</v>
      </c>
      <c r="AJ84" s="6">
        <f>TABL12[[#This Row],[(A/B) AJD]]-TABL12[[#This Row],[BER_IN]]</f>
        <v/>
      </c>
      <c r="AK84" s="6" t="n">
        <v>10</v>
      </c>
      <c r="AL84" s="33" t="n">
        <v>44.976</v>
      </c>
      <c r="AM84" s="6" t="n">
        <v>4192900</v>
      </c>
      <c r="AN84" s="6">
        <f>TABL12[[#This Row],[ (RESV. STORGE) SER]]/10</f>
        <v/>
      </c>
      <c r="AO84" s="6" t="n">
        <v>1900</v>
      </c>
      <c r="AP84" s="32">
        <f>TABL12[[#This Row],[(A/S) AJD]]-TABL12[[#This Row],[SER_IN]]</f>
        <v/>
      </c>
    </row>
    <row r="85">
      <c r="A85" s="2" t="n">
        <v>45741</v>
      </c>
      <c r="B85" s="28" t="n">
        <v>39</v>
      </c>
      <c r="C85" s="28" t="n">
        <v>334</v>
      </c>
      <c r="D85" s="28" t="n">
        <v>39</v>
      </c>
      <c r="E85" s="28" t="n">
        <v>0</v>
      </c>
      <c r="F85" s="28" t="n">
        <v>83</v>
      </c>
      <c r="G85" s="28" t="n">
        <v>506</v>
      </c>
      <c r="H85" s="28" t="n">
        <v>5</v>
      </c>
      <c r="I85" s="28" t="n">
        <v>405</v>
      </c>
      <c r="J85" s="28" t="n">
        <v>423</v>
      </c>
      <c r="K85" s="28">
        <f>TABL12[[#This Row],[ (T/B) SAR]]+TABL12[[#This Row],[ (S/S) SAR]]</f>
        <v/>
      </c>
      <c r="L85" s="28" t="n">
        <v>322</v>
      </c>
      <c r="M85" s="29" t="n">
        <v>24.2</v>
      </c>
      <c r="N85" s="30" t="n">
        <v>8.01</v>
      </c>
      <c r="O85" s="3" t="n">
        <v>373</v>
      </c>
      <c r="P85" s="3">
        <f>TABL12[[#This Row],[ (S/S) SAR]]-TABL12[[#This Row],[(S/S) AJD]]</f>
        <v/>
      </c>
      <c r="Q85" s="3" t="n">
        <v>417</v>
      </c>
      <c r="R85" s="3">
        <f>TABL12[[#This Row],[ (T/B) SAR]]-TABL12[[#This Row],[(T/B) AJD]]</f>
        <v/>
      </c>
      <c r="S85" s="3">
        <f>TABL12[[#This Row],[S/S_CON.]]+TABL12[[#This Row],[T/B-CON.]]</f>
        <v/>
      </c>
      <c r="T85" s="3">
        <f>O85+Q85</f>
        <v/>
      </c>
      <c r="U85" s="3" t="n">
        <v>551</v>
      </c>
      <c r="V85" s="3" t="n">
        <v>242</v>
      </c>
      <c r="W85" s="3">
        <f>U85+V85</f>
        <v/>
      </c>
      <c r="X85" s="3">
        <f>T85-W85</f>
        <v/>
      </c>
      <c r="Y85" s="4" t="n">
        <v>91.92</v>
      </c>
      <c r="Z85" s="3" t="n">
        <v>0</v>
      </c>
      <c r="AA85" s="3">
        <f>TABL12[[#This Row],[(RESV. STORGE) AJD]]/10</f>
        <v/>
      </c>
      <c r="AB85" s="3">
        <f>(Z85-Z84)/1000</f>
        <v/>
      </c>
      <c r="AC85" s="6" t="n">
        <v>0</v>
      </c>
      <c r="AD85" s="5">
        <f>TABL12[[#This Row],[( S/S+T/B) AJD]]-(TABL12[[#This Row],[(A/B + A/S) AJD]]+TABL12[[#This Row],[(STORGE DIFF.) AJD]]+(TABL12[[#This Row],[AJD_Evaporation]]))</f>
        <v/>
      </c>
      <c r="AE85" s="6" t="n">
        <v>30</v>
      </c>
      <c r="AF85" s="33" t="n">
        <v>59.365</v>
      </c>
      <c r="AG85" s="6" t="n">
        <v>1865199</v>
      </c>
      <c r="AH85" s="6">
        <f>TABL12[[#This Row],[ (RESV. STORGE) BER]]/10</f>
        <v/>
      </c>
      <c r="AI85" s="6" t="n">
        <v>2752</v>
      </c>
      <c r="AJ85" s="6">
        <f>TABL12[[#This Row],[(A/B) AJD]]-TABL12[[#This Row],[BER_IN]]</f>
        <v/>
      </c>
      <c r="AK85" s="6" t="n">
        <v>19</v>
      </c>
      <c r="AL85" s="33" t="n">
        <v>44.8349</v>
      </c>
      <c r="AM85" s="6" t="n">
        <v>4114480</v>
      </c>
      <c r="AN85" s="6">
        <f>TABL12[[#This Row],[ (RESV. STORGE) SER]]/10</f>
        <v/>
      </c>
      <c r="AO85" s="6" t="n">
        <v>1420</v>
      </c>
      <c r="AP85" s="32">
        <f>TABL12[[#This Row],[(A/S) AJD]]-TABL12[[#This Row],[SER_IN]]</f>
        <v/>
      </c>
    </row>
    <row r="86">
      <c r="A86" s="2" t="n">
        <v>45742</v>
      </c>
      <c r="B86" s="28" t="n">
        <v>39</v>
      </c>
      <c r="C86" s="28" t="n">
        <v>331</v>
      </c>
      <c r="D86" s="28" t="n">
        <v>39</v>
      </c>
      <c r="E86" s="28" t="n">
        <v>0</v>
      </c>
      <c r="F86" s="28" t="n">
        <v>83</v>
      </c>
      <c r="G86" s="28" t="n">
        <v>512</v>
      </c>
      <c r="H86" s="28" t="n">
        <v>5</v>
      </c>
      <c r="I86" s="28" t="n">
        <v>407</v>
      </c>
      <c r="J86" s="28" t="n">
        <v>426</v>
      </c>
      <c r="K86" s="28">
        <f>TABL12[[#This Row],[ (T/B) SAR]]+TABL12[[#This Row],[ (S/S) SAR]]</f>
        <v/>
      </c>
      <c r="L86" s="28" t="n">
        <v>321</v>
      </c>
      <c r="M86" s="29" t="n">
        <v>24.2</v>
      </c>
      <c r="N86" s="30" t="n">
        <v>8.06</v>
      </c>
      <c r="O86" s="3" t="n">
        <v>375</v>
      </c>
      <c r="P86" s="3">
        <f>TABL12[[#This Row],[ (S/S) SAR]]-TABL12[[#This Row],[(S/S) AJD]]</f>
        <v/>
      </c>
      <c r="Q86" s="3" t="n">
        <v>415</v>
      </c>
      <c r="R86" s="3">
        <f>TABL12[[#This Row],[ (T/B) SAR]]-TABL12[[#This Row],[(T/B) AJD]]</f>
        <v/>
      </c>
      <c r="S86" s="3">
        <f>TABL12[[#This Row],[S/S_CON.]]+TABL12[[#This Row],[T/B-CON.]]</f>
        <v/>
      </c>
      <c r="T86" s="3">
        <f>O86+Q86</f>
        <v/>
      </c>
      <c r="U86" s="3" t="n">
        <v>546</v>
      </c>
      <c r="V86" s="3" t="n">
        <v>245</v>
      </c>
      <c r="W86" s="3">
        <f>U86+V86</f>
        <v/>
      </c>
      <c r="X86" s="3">
        <f>T86-W86</f>
        <v/>
      </c>
      <c r="Y86" s="4" t="n">
        <v>91.92</v>
      </c>
      <c r="Z86" s="3" t="n">
        <v>0</v>
      </c>
      <c r="AA86" s="3">
        <f>TABL12[[#This Row],[(RESV. STORGE) AJD]]/10</f>
        <v/>
      </c>
      <c r="AB86" s="3">
        <f>(Z86-Z85)/1000</f>
        <v/>
      </c>
      <c r="AC86" s="6" t="n">
        <v>0</v>
      </c>
      <c r="AD86" s="5">
        <f>TABL12[[#This Row],[( S/S+T/B) AJD]]-(TABL12[[#This Row],[(A/B + A/S) AJD]]+TABL12[[#This Row],[(STORGE DIFF.) AJD]]+(TABL12[[#This Row],[AJD_Evaporation]]))</f>
        <v/>
      </c>
      <c r="AE86" s="6" t="n">
        <v>65</v>
      </c>
      <c r="AF86" s="33" t="n">
        <v>59.286</v>
      </c>
      <c r="AG86" s="6" t="n">
        <v>1812821</v>
      </c>
      <c r="AH86" s="6">
        <f>TABL12[[#This Row],[ (RESV. STORGE) BER]]/10</f>
        <v/>
      </c>
      <c r="AI86" s="6" t="n">
        <v>2698</v>
      </c>
      <c r="AJ86" s="6">
        <f>TABL12[[#This Row],[(A/B) AJD]]-TABL12[[#This Row],[BER_IN]]</f>
        <v/>
      </c>
      <c r="AK86" s="6" t="n">
        <v>20</v>
      </c>
      <c r="AL86" s="33" t="n">
        <v>44.7303</v>
      </c>
      <c r="AM86" s="6" t="n">
        <v>4056420</v>
      </c>
      <c r="AN86" s="6">
        <f>TABL12[[#This Row],[ (RESV. STORGE) SER]]/10</f>
        <v/>
      </c>
      <c r="AO86" s="6" t="n">
        <v>1060</v>
      </c>
      <c r="AP86" s="32">
        <f>TABL12[[#This Row],[(A/S) AJD]]-TABL12[[#This Row],[SER_IN]]</f>
        <v/>
      </c>
    </row>
    <row r="87">
      <c r="A87" s="2" t="n">
        <v>45743</v>
      </c>
      <c r="B87" s="28" t="n">
        <v>38</v>
      </c>
      <c r="C87" s="28" t="n">
        <v>326</v>
      </c>
      <c r="D87" s="28" t="n">
        <v>38</v>
      </c>
      <c r="E87" s="28" t="n">
        <v>0</v>
      </c>
      <c r="F87" s="28" t="n">
        <v>86</v>
      </c>
      <c r="G87" s="28" t="n">
        <v>512</v>
      </c>
      <c r="H87" s="28" t="n">
        <v>2</v>
      </c>
      <c r="I87" s="28" t="n">
        <v>408</v>
      </c>
      <c r="J87" s="28" t="n">
        <v>426</v>
      </c>
      <c r="K87" s="28">
        <f>TABL12[[#This Row],[ (T/B) SAR]]+TABL12[[#This Row],[ (S/S) SAR]]</f>
        <v/>
      </c>
      <c r="L87" s="28" t="n">
        <v>322</v>
      </c>
      <c r="M87" s="29" t="n">
        <v>24.2</v>
      </c>
      <c r="N87" s="30" t="n">
        <v>8.08</v>
      </c>
      <c r="O87" s="3" t="n">
        <v>377</v>
      </c>
      <c r="P87" s="3">
        <f>TABL12[[#This Row],[ (S/S) SAR]]-TABL12[[#This Row],[(S/S) AJD]]</f>
        <v/>
      </c>
      <c r="Q87" s="3" t="n">
        <v>418</v>
      </c>
      <c r="R87" s="3">
        <f>TABL12[[#This Row],[ (T/B) SAR]]-TABL12[[#This Row],[(T/B) AJD]]</f>
        <v/>
      </c>
      <c r="S87" s="3">
        <f>TABL12[[#This Row],[S/S_CON.]]+TABL12[[#This Row],[T/B-CON.]]</f>
        <v/>
      </c>
      <c r="T87" s="3">
        <f>O87+Q87</f>
        <v/>
      </c>
      <c r="U87" s="3" t="n">
        <v>528</v>
      </c>
      <c r="V87" s="3" t="n">
        <v>269</v>
      </c>
      <c r="W87" s="3">
        <f>U87+V87</f>
        <v/>
      </c>
      <c r="X87" s="3">
        <f>T87-W87</f>
        <v/>
      </c>
      <c r="Y87" s="4" t="n">
        <v>91.92</v>
      </c>
      <c r="Z87" s="3" t="n">
        <v>0</v>
      </c>
      <c r="AA87" s="3">
        <f>TABL12[[#This Row],[(RESV. STORGE) AJD]]/10</f>
        <v/>
      </c>
      <c r="AB87" s="3">
        <f>(Z87-Z86)/1000</f>
        <v/>
      </c>
      <c r="AC87" s="6" t="n">
        <v>0</v>
      </c>
      <c r="AD87" s="5">
        <f>TABL12[[#This Row],[( S/S+T/B) AJD]]-(TABL12[[#This Row],[(A/B + A/S) AJD]]+TABL12[[#This Row],[(STORGE DIFF.) AJD]]+(TABL12[[#This Row],[AJD_Evaporation]]))</f>
        <v/>
      </c>
      <c r="AE87" s="6" t="n">
        <v>30</v>
      </c>
      <c r="AF87" s="33" t="n">
        <v>59.207</v>
      </c>
      <c r="AG87" s="6" t="n">
        <v>1760496</v>
      </c>
      <c r="AH87" s="6">
        <f>TABL12[[#This Row],[ (RESV. STORGE) BER]]/10</f>
        <v/>
      </c>
      <c r="AI87" s="6" t="n">
        <v>2644</v>
      </c>
      <c r="AJ87" s="6">
        <f>TABL12[[#This Row],[(A/B) AJD]]-TABL12[[#This Row],[BER_IN]]</f>
        <v/>
      </c>
      <c r="AK87" s="6" t="n">
        <v>7</v>
      </c>
      <c r="AL87" s="33" t="n">
        <v>44.7156</v>
      </c>
      <c r="AM87" s="6" t="n">
        <v>4048410</v>
      </c>
      <c r="AN87" s="6">
        <f>TABL12[[#This Row],[ (RESV. STORGE) SER]]/10</f>
        <v/>
      </c>
      <c r="AO87" s="6" t="n">
        <v>1070</v>
      </c>
      <c r="AP87" s="32">
        <f>TABL12[[#This Row],[(A/S) AJD]]-TABL12[[#This Row],[SER_IN]]</f>
        <v/>
      </c>
    </row>
    <row r="88">
      <c r="A88" s="2" t="n">
        <v>45744</v>
      </c>
      <c r="B88" s="28" t="n">
        <v>39</v>
      </c>
      <c r="C88" s="28" t="n">
        <v>326</v>
      </c>
      <c r="D88" s="28" t="n">
        <v>38</v>
      </c>
      <c r="E88" s="28" t="n">
        <v>0</v>
      </c>
      <c r="F88" s="28" t="n">
        <v>86</v>
      </c>
      <c r="G88" s="28" t="n">
        <v>512</v>
      </c>
      <c r="H88" s="28" t="n">
        <v>2</v>
      </c>
      <c r="I88" s="28" t="n">
        <v>417</v>
      </c>
      <c r="J88" s="28" t="n">
        <v>435</v>
      </c>
      <c r="K88" s="28">
        <f>TABL12[[#This Row],[ (T/B) SAR]]+TABL12[[#This Row],[ (S/S) SAR]]</f>
        <v/>
      </c>
      <c r="L88" s="28" t="n">
        <v>340</v>
      </c>
      <c r="M88" s="29" t="n">
        <v>25.1</v>
      </c>
      <c r="N88" s="30" t="n">
        <v>7.87</v>
      </c>
      <c r="O88" s="3" t="n">
        <v>379</v>
      </c>
      <c r="P88" s="3">
        <f>TABL12[[#This Row],[ (S/S) SAR]]-TABL12[[#This Row],[(S/S) AJD]]</f>
        <v/>
      </c>
      <c r="Q88" s="3" t="n">
        <v>421</v>
      </c>
      <c r="R88" s="3">
        <f>TABL12[[#This Row],[ (T/B) SAR]]-TABL12[[#This Row],[(T/B) AJD]]</f>
        <v/>
      </c>
      <c r="S88" s="3">
        <f>TABL12[[#This Row],[S/S_CON.]]+TABL12[[#This Row],[T/B-CON.]]</f>
        <v/>
      </c>
      <c r="T88" s="3">
        <f>O88+Q88</f>
        <v/>
      </c>
      <c r="U88" s="3" t="n">
        <v>530</v>
      </c>
      <c r="V88" s="3" t="n">
        <v>270</v>
      </c>
      <c r="W88" s="3">
        <f>U88+V88</f>
        <v/>
      </c>
      <c r="X88" s="3">
        <f>T88-W88</f>
        <v/>
      </c>
      <c r="Y88" s="4" t="n">
        <v>91.92</v>
      </c>
      <c r="Z88" s="3" t="n">
        <v>0</v>
      </c>
      <c r="AA88" s="3">
        <f>TABL12[[#This Row],[(RESV. STORGE) AJD]]/10</f>
        <v/>
      </c>
      <c r="AB88" s="3">
        <f>(Z88-Z87)/1000</f>
        <v/>
      </c>
      <c r="AC88" s="6" t="n">
        <v>0</v>
      </c>
      <c r="AD88" s="5">
        <f>TABL12[[#This Row],[( S/S+T/B) AJD]]-(TABL12[[#This Row],[(A/B + A/S) AJD]]+TABL12[[#This Row],[(STORGE DIFF.) AJD]]+(TABL12[[#This Row],[AJD_Evaporation]]))</f>
        <v/>
      </c>
      <c r="AE88" s="6" t="n">
        <v>50</v>
      </c>
      <c r="AF88" s="33" t="n">
        <v>59.137</v>
      </c>
      <c r="AG88" s="6" t="n">
        <v>1714178</v>
      </c>
      <c r="AH88" s="6">
        <f>TABL12[[#This Row],[ (RESV. STORGE) BER]]/10</f>
        <v/>
      </c>
      <c r="AI88" s="6" t="n">
        <v>2918</v>
      </c>
      <c r="AJ88" s="6">
        <f>TABL12[[#This Row],[(A/B) AJD]]-TABL12[[#This Row],[BER_IN]]</f>
        <v/>
      </c>
      <c r="AK88" s="6" t="n">
        <v>0</v>
      </c>
      <c r="AL88" s="33" t="n">
        <v>44.6877</v>
      </c>
      <c r="AM88" s="6" t="n">
        <v>4032850</v>
      </c>
      <c r="AN88" s="6">
        <f>TABL12[[#This Row],[ (RESV. STORGE) SER]]/10</f>
        <v/>
      </c>
      <c r="AO88" s="6" t="n">
        <v>1650</v>
      </c>
      <c r="AP88" s="32">
        <f>TABL12[[#This Row],[(A/S) AJD]]-TABL12[[#This Row],[SER_IN]]</f>
        <v/>
      </c>
    </row>
    <row r="89">
      <c r="A89" s="2" t="n">
        <v>45745</v>
      </c>
      <c r="B89" s="28" t="n">
        <v>38</v>
      </c>
      <c r="C89" s="28" t="n">
        <v>329</v>
      </c>
      <c r="D89" s="28" t="n">
        <v>38</v>
      </c>
      <c r="E89" s="28" t="n">
        <v>0</v>
      </c>
      <c r="F89" s="28" t="n">
        <v>86</v>
      </c>
      <c r="G89" s="28" t="n">
        <v>514</v>
      </c>
      <c r="H89" s="28" t="n">
        <v>2</v>
      </c>
      <c r="I89" s="28" t="n">
        <v>417</v>
      </c>
      <c r="J89" s="28" t="n">
        <v>436</v>
      </c>
      <c r="K89" s="28">
        <f>TABL12[[#This Row],[ (T/B) SAR]]+TABL12[[#This Row],[ (S/S) SAR]]</f>
        <v/>
      </c>
      <c r="L89" s="28" t="n">
        <v>339</v>
      </c>
      <c r="M89" s="29" t="n">
        <v>25.1</v>
      </c>
      <c r="N89" s="30" t="n">
        <v>7.79</v>
      </c>
      <c r="O89" s="3" t="n">
        <v>385</v>
      </c>
      <c r="P89" s="3">
        <f>TABL12[[#This Row],[ (S/S) SAR]]-TABL12[[#This Row],[(S/S) AJD]]</f>
        <v/>
      </c>
      <c r="Q89" s="3" t="n">
        <v>429</v>
      </c>
      <c r="R89" s="3">
        <f>TABL12[[#This Row],[ (T/B) SAR]]-TABL12[[#This Row],[(T/B) AJD]]</f>
        <v/>
      </c>
      <c r="S89" s="3">
        <f>TABL12[[#This Row],[S/S_CON.]]+TABL12[[#This Row],[T/B-CON.]]</f>
        <v/>
      </c>
      <c r="T89" s="3">
        <f>O89+Q89</f>
        <v/>
      </c>
      <c r="U89" s="3" t="n">
        <v>510</v>
      </c>
      <c r="V89" s="3" t="n">
        <v>270</v>
      </c>
      <c r="W89" s="3">
        <f>U89+V89</f>
        <v/>
      </c>
      <c r="X89" s="3">
        <f>T89-W89</f>
        <v/>
      </c>
      <c r="Y89" s="4" t="n">
        <v>91.92</v>
      </c>
      <c r="Z89" s="3" t="n">
        <v>0</v>
      </c>
      <c r="AA89" s="3">
        <f>TABL12[[#This Row],[(RESV. STORGE) AJD]]/10</f>
        <v/>
      </c>
      <c r="AB89" s="3">
        <f>(Z89-Z88)/1000</f>
        <v/>
      </c>
      <c r="AC89" s="6" t="n">
        <v>0</v>
      </c>
      <c r="AD89" s="5">
        <f>TABL12[[#This Row],[( S/S+T/B) AJD]]-(TABL12[[#This Row],[(A/B + A/S) AJD]]+TABL12[[#This Row],[(STORGE DIFF.) AJD]]+(TABL12[[#This Row],[AJD_Evaporation]]))</f>
        <v/>
      </c>
      <c r="AE89" s="6" t="n">
        <v>50</v>
      </c>
      <c r="AF89" s="33" t="n">
        <v>59.115</v>
      </c>
      <c r="AG89" s="6" t="n">
        <v>1700040</v>
      </c>
      <c r="AH89" s="6">
        <f>TABL12[[#This Row],[ (RESV. STORGE) BER]]/10</f>
        <v/>
      </c>
      <c r="AI89" s="6" t="n">
        <v>2717</v>
      </c>
      <c r="AJ89" s="6">
        <f>TABL12[[#This Row],[(A/B) AJD]]-TABL12[[#This Row],[BER_IN]]</f>
        <v/>
      </c>
      <c r="AK89" s="6" t="n">
        <v>12</v>
      </c>
      <c r="AL89" s="33" t="n">
        <v>44.698</v>
      </c>
      <c r="AM89" s="6" t="n">
        <v>4036382</v>
      </c>
      <c r="AN89" s="6">
        <f>TABL12[[#This Row],[ (RESV. STORGE) SER]]/10</f>
        <v/>
      </c>
      <c r="AO89" s="6" t="n">
        <v>1468</v>
      </c>
      <c r="AP89" s="32">
        <f>TABL12[[#This Row],[(A/S) AJD]]-TABL12[[#This Row],[SER_IN]]</f>
        <v/>
      </c>
    </row>
    <row r="90">
      <c r="A90" s="2" t="n">
        <v>45746</v>
      </c>
      <c r="B90" s="28" t="n">
        <v>41</v>
      </c>
      <c r="C90" s="28" t="n">
        <v>342</v>
      </c>
      <c r="D90" s="28" t="n">
        <v>41</v>
      </c>
      <c r="E90" s="28" t="n">
        <v>0</v>
      </c>
      <c r="F90" s="28" t="n">
        <v>86</v>
      </c>
      <c r="G90" s="28" t="n">
        <v>519</v>
      </c>
      <c r="H90" s="28" t="n">
        <v>2</v>
      </c>
      <c r="I90" s="28" t="n">
        <v>417</v>
      </c>
      <c r="J90" s="28" t="n">
        <v>436</v>
      </c>
      <c r="K90" s="28">
        <f>TABL12[[#This Row],[ (T/B) SAR]]+TABL12[[#This Row],[ (S/S) SAR]]</f>
        <v/>
      </c>
      <c r="L90" s="28" t="n">
        <v>339</v>
      </c>
      <c r="M90" s="29" t="n">
        <v>25.1</v>
      </c>
      <c r="N90" s="30" t="n">
        <v>7.79</v>
      </c>
      <c r="O90" s="3" t="n">
        <v>386</v>
      </c>
      <c r="P90" s="3">
        <f>TABL12[[#This Row],[ (S/S) SAR]]-TABL12[[#This Row],[(S/S) AJD]]</f>
        <v/>
      </c>
      <c r="Q90" s="3" t="n">
        <v>429</v>
      </c>
      <c r="R90" s="3">
        <f>TABL12[[#This Row],[ (T/B) SAR]]-TABL12[[#This Row],[(T/B) AJD]]</f>
        <v/>
      </c>
      <c r="S90" s="3">
        <f>TABL12[[#This Row],[S/S_CON.]]+TABL12[[#This Row],[T/B-CON.]]</f>
        <v/>
      </c>
      <c r="T90" s="3">
        <f>O90+Q90</f>
        <v/>
      </c>
      <c r="U90" s="3" t="n">
        <v>553</v>
      </c>
      <c r="V90" s="3" t="n">
        <v>259</v>
      </c>
      <c r="W90" s="3">
        <f>U90+V90</f>
        <v/>
      </c>
      <c r="X90" s="3">
        <f>T90-W90</f>
        <v/>
      </c>
      <c r="Y90" s="4" t="n">
        <v>91.92</v>
      </c>
      <c r="Z90" s="3" t="n">
        <v>0</v>
      </c>
      <c r="AA90" s="3">
        <f>TABL12[[#This Row],[(RESV. STORGE) AJD]]/10</f>
        <v/>
      </c>
      <c r="AB90" s="3">
        <f>(Z90-Z89)/1000</f>
        <v/>
      </c>
      <c r="AC90" s="6" t="n">
        <v>0</v>
      </c>
      <c r="AD90" s="5">
        <f>TABL12[[#This Row],[( S/S+T/B) AJD]]-(TABL12[[#This Row],[(A/B + A/S) AJD]]+TABL12[[#This Row],[(STORGE DIFF.) AJD]]+(TABL12[[#This Row],[AJD_Evaporation]]))</f>
        <v/>
      </c>
      <c r="AE90" s="6" t="n">
        <v>50</v>
      </c>
      <c r="AF90" s="33" t="n">
        <v>59.065</v>
      </c>
      <c r="AG90" s="6" t="n">
        <v>1666581</v>
      </c>
      <c r="AH90" s="6">
        <f>TABL12[[#This Row],[ (RESV. STORGE) BER]]/10</f>
        <v/>
      </c>
      <c r="AI90" s="6" t="n">
        <v>3779</v>
      </c>
      <c r="AJ90" s="6">
        <f>TABL12[[#This Row],[(A/B) AJD]]-TABL12[[#This Row],[BER_IN]]</f>
        <v/>
      </c>
      <c r="AK90" s="6" t="n">
        <v>25</v>
      </c>
      <c r="AL90" s="33" t="n">
        <v>44.721</v>
      </c>
      <c r="AM90" s="6" t="n">
        <v>4049132</v>
      </c>
      <c r="AN90" s="6">
        <f>TABL12[[#This Row],[ (RESV. STORGE) SER]]/10</f>
        <v/>
      </c>
      <c r="AO90" s="6" t="n">
        <v>1250</v>
      </c>
      <c r="AP90" s="32">
        <f>TABL12[[#This Row],[(A/S) AJD]]-TABL12[[#This Row],[SER_IN]]</f>
        <v/>
      </c>
    </row>
    <row r="91">
      <c r="A91" s="2" t="n">
        <v>45747</v>
      </c>
      <c r="B91" s="28" t="n">
        <v>38</v>
      </c>
      <c r="C91" s="28" t="n">
        <v>333</v>
      </c>
      <c r="D91" s="28" t="n">
        <v>38</v>
      </c>
      <c r="E91" s="28" t="n">
        <v>0</v>
      </c>
      <c r="F91" s="28" t="n">
        <v>86</v>
      </c>
      <c r="G91" s="28" t="n">
        <v>515</v>
      </c>
      <c r="H91" s="28" t="n">
        <v>2</v>
      </c>
      <c r="I91" s="28" t="n">
        <v>417</v>
      </c>
      <c r="J91" s="28" t="n">
        <v>436</v>
      </c>
      <c r="K91" s="28">
        <f>TABL12[[#This Row],[ (T/B) SAR]]+TABL12[[#This Row],[ (S/S) SAR]]</f>
        <v/>
      </c>
      <c r="L91" s="28" t="n">
        <v>339</v>
      </c>
      <c r="M91" s="29" t="n">
        <v>25.1</v>
      </c>
      <c r="N91" s="30" t="n">
        <v>7.79</v>
      </c>
      <c r="O91" s="3" t="n">
        <v>385</v>
      </c>
      <c r="P91" s="3">
        <f>TABL12[[#This Row],[ (S/S) SAR]]-TABL12[[#This Row],[(S/S) AJD]]</f>
        <v/>
      </c>
      <c r="Q91" s="3" t="n">
        <v>428</v>
      </c>
      <c r="R91" s="3">
        <f>TABL12[[#This Row],[ (T/B) SAR]]-TABL12[[#This Row],[(T/B) AJD]]</f>
        <v/>
      </c>
      <c r="S91" s="3">
        <f>TABL12[[#This Row],[S/S_CON.]]+TABL12[[#This Row],[T/B-CON.]]</f>
        <v/>
      </c>
      <c r="T91" s="3">
        <f>O91+Q91</f>
        <v/>
      </c>
      <c r="U91" s="3" t="n">
        <v>559</v>
      </c>
      <c r="V91" s="3" t="n">
        <v>260</v>
      </c>
      <c r="W91" s="3">
        <f>U91+V91</f>
        <v/>
      </c>
      <c r="X91" s="3">
        <f>T91-W91</f>
        <v/>
      </c>
      <c r="Y91" s="4" t="n">
        <v>91.92</v>
      </c>
      <c r="Z91" s="3" t="n">
        <v>0</v>
      </c>
      <c r="AA91" s="3">
        <f>TABL12[[#This Row],[(RESV. STORGE) AJD]]/10</f>
        <v/>
      </c>
      <c r="AB91" s="3">
        <f>(Z91-Z90)/1000</f>
        <v/>
      </c>
      <c r="AC91" s="6" t="n">
        <v>0</v>
      </c>
      <c r="AD91" s="5">
        <f>TABL12[[#This Row],[( S/S+T/B) AJD]]-(TABL12[[#This Row],[(A/B + A/S) AJD]]+TABL12[[#This Row],[(STORGE DIFF.) AJD]]+(TABL12[[#This Row],[AJD_Evaporation]]))</f>
        <v/>
      </c>
      <c r="AE91" s="6" t="n">
        <v>50</v>
      </c>
      <c r="AF91" s="33" t="n">
        <v>59.072</v>
      </c>
      <c r="AG91" s="6" t="n">
        <v>1671206</v>
      </c>
      <c r="AH91" s="6">
        <f>TABL12[[#This Row],[ (RESV. STORGE) BER]]/10</f>
        <v/>
      </c>
      <c r="AI91" s="6" t="n">
        <v>2214</v>
      </c>
      <c r="AJ91" s="6">
        <f>TABL12[[#This Row],[(A/B) AJD]]-TABL12[[#This Row],[BER_IN]]</f>
        <v/>
      </c>
      <c r="AK91" s="6" t="n">
        <v>20</v>
      </c>
      <c r="AL91" s="33" t="n">
        <v>44.736</v>
      </c>
      <c r="AM91" s="6" t="n">
        <v>4057449</v>
      </c>
      <c r="AN91" s="6">
        <f>TABL12[[#This Row],[ (RESV. STORGE) SER]]/10</f>
        <v/>
      </c>
      <c r="AO91" s="6" t="n">
        <v>1683</v>
      </c>
      <c r="AP91" s="32">
        <f>TABL12[[#This Row],[(A/S) AJD]]-TABL12[[#This Row],[SER_IN]]</f>
        <v/>
      </c>
    </row>
    <row r="92">
      <c r="A92" s="2" t="n">
        <v>45748</v>
      </c>
      <c r="B92" s="28" t="n">
        <v>37</v>
      </c>
      <c r="C92" s="28" t="n">
        <v>327</v>
      </c>
      <c r="D92" s="28" t="n">
        <v>37</v>
      </c>
      <c r="E92" s="28" t="n">
        <v>0</v>
      </c>
      <c r="F92" s="28" t="n">
        <v>86</v>
      </c>
      <c r="G92" s="28" t="n">
        <v>515</v>
      </c>
      <c r="H92" s="28" t="n">
        <v>2</v>
      </c>
      <c r="I92" s="28" t="n">
        <v>418</v>
      </c>
      <c r="J92" s="28" t="n">
        <v>436</v>
      </c>
      <c r="K92" s="28">
        <f>TABL12[[#This Row],[ (T/B) SAR]]+TABL12[[#This Row],[ (S/S) SAR]]</f>
        <v/>
      </c>
      <c r="L92" s="28" t="n">
        <v>338</v>
      </c>
      <c r="M92" s="29" t="n">
        <v>25.1</v>
      </c>
      <c r="N92" s="30" t="n">
        <v>7.63</v>
      </c>
      <c r="O92" s="3" t="n">
        <v>384</v>
      </c>
      <c r="P92" s="3">
        <f>TABL12[[#This Row],[ (S/S) SAR]]-TABL12[[#This Row],[(S/S) AJD]]</f>
        <v/>
      </c>
      <c r="Q92" s="3" t="n">
        <v>426</v>
      </c>
      <c r="R92" s="3">
        <f>TABL12[[#This Row],[ (T/B) SAR]]-TABL12[[#This Row],[(T/B) AJD]]</f>
        <v/>
      </c>
      <c r="S92" s="3">
        <f>TABL12[[#This Row],[S/S_CON.]]+TABL12[[#This Row],[T/B-CON.]]</f>
        <v/>
      </c>
      <c r="T92" s="3">
        <f>O92+Q92</f>
        <v/>
      </c>
      <c r="U92" s="3" t="n">
        <v>550</v>
      </c>
      <c r="V92" s="3" t="n">
        <v>259</v>
      </c>
      <c r="W92" s="3">
        <f>U92+V92</f>
        <v/>
      </c>
      <c r="X92" s="3">
        <f>T92-W92</f>
        <v/>
      </c>
      <c r="Y92" s="4" t="n">
        <v>91.92</v>
      </c>
      <c r="Z92" s="3" t="n">
        <v>0</v>
      </c>
      <c r="AA92" s="3">
        <f>TABL12[[#This Row],[(RESV. STORGE) AJD]]/10</f>
        <v/>
      </c>
      <c r="AB92" s="3">
        <f>(Z92-Z91)/1000</f>
        <v/>
      </c>
      <c r="AC92" s="6" t="n">
        <v>0</v>
      </c>
      <c r="AD92" s="5">
        <f>TABL12[[#This Row],[( S/S+T/B) AJD]]-(TABL12[[#This Row],[(A/B + A/S) AJD]]+TABL12[[#This Row],[(STORGE DIFF.) AJD]]+(TABL12[[#This Row],[AJD_Evaporation]]))</f>
        <v/>
      </c>
      <c r="AE92" s="6" t="n">
        <v>50</v>
      </c>
      <c r="AF92" s="33" t="n">
        <v>59.07</v>
      </c>
      <c r="AG92" s="6" t="n">
        <v>1669884</v>
      </c>
      <c r="AH92" s="6">
        <f>TABL12[[#This Row],[ (RESV. STORGE) BER]]/10</f>
        <v/>
      </c>
      <c r="AI92" s="6" t="n">
        <v>1521</v>
      </c>
      <c r="AJ92" s="6">
        <f>TABL12[[#This Row],[(A/B) AJD]]-TABL12[[#This Row],[BER_IN]]</f>
        <v/>
      </c>
      <c r="AK92" s="6" t="n">
        <v>20</v>
      </c>
      <c r="AL92" s="33" t="n">
        <v>44.713</v>
      </c>
      <c r="AM92" s="6" t="n">
        <v>4044697</v>
      </c>
      <c r="AN92" s="6">
        <f>TABL12[[#This Row],[ (RESV. STORGE) SER]]/10</f>
        <v/>
      </c>
      <c r="AO92" s="6" t="n">
        <v>1400</v>
      </c>
      <c r="AP92" s="32">
        <f>TABL12[[#This Row],[(A/S) AJD]]-TABL12[[#This Row],[SER_IN]]</f>
        <v/>
      </c>
    </row>
    <row r="93">
      <c r="A93" s="2" t="n">
        <v>45749</v>
      </c>
      <c r="B93" s="28" t="n">
        <v>38</v>
      </c>
      <c r="C93" s="28" t="n">
        <v>319</v>
      </c>
      <c r="D93" s="28" t="n">
        <v>38</v>
      </c>
      <c r="E93" s="28" t="n">
        <v>0</v>
      </c>
      <c r="F93" s="28" t="n">
        <v>86</v>
      </c>
      <c r="G93" s="28" t="n">
        <v>506</v>
      </c>
      <c r="H93" s="28" t="n">
        <v>2</v>
      </c>
      <c r="I93" s="28" t="n">
        <v>411</v>
      </c>
      <c r="J93" s="28" t="n">
        <v>428</v>
      </c>
      <c r="K93" s="28">
        <f>TABL12[[#This Row],[ (T/B) SAR]]+TABL12[[#This Row],[ (S/S) SAR]]</f>
        <v/>
      </c>
      <c r="L93" s="28" t="n">
        <v>333</v>
      </c>
      <c r="M93" s="29" t="n">
        <v>25.1</v>
      </c>
      <c r="N93" s="30" t="n">
        <v>7.48</v>
      </c>
      <c r="O93" s="3" t="n">
        <v>381</v>
      </c>
      <c r="P93" s="3">
        <f>TABL12[[#This Row],[ (S/S) SAR]]-TABL12[[#This Row],[(S/S) AJD]]</f>
        <v/>
      </c>
      <c r="Q93" s="3" t="n">
        <v>424</v>
      </c>
      <c r="R93" s="3">
        <f>TABL12[[#This Row],[ (T/B) SAR]]-TABL12[[#This Row],[(T/B) AJD]]</f>
        <v/>
      </c>
      <c r="S93" s="3">
        <f>TABL12[[#This Row],[S/S_CON.]]+TABL12[[#This Row],[T/B-CON.]]</f>
        <v/>
      </c>
      <c r="T93" s="3">
        <f>O93+Q93</f>
        <v/>
      </c>
      <c r="U93" s="3" t="n">
        <v>555</v>
      </c>
      <c r="V93" s="3" t="n">
        <v>254</v>
      </c>
      <c r="W93" s="3">
        <f>U93+V93</f>
        <v/>
      </c>
      <c r="X93" s="3">
        <f>T93-W93</f>
        <v/>
      </c>
      <c r="Y93" s="4" t="n">
        <v>91.92</v>
      </c>
      <c r="Z93" s="3" t="n">
        <v>0</v>
      </c>
      <c r="AA93" s="3">
        <f>TABL12[[#This Row],[(RESV. STORGE) AJD]]/10</f>
        <v/>
      </c>
      <c r="AB93" s="3">
        <f>(Z93-Z92)/1000</f>
        <v/>
      </c>
      <c r="AC93" s="6" t="n">
        <v>0</v>
      </c>
      <c r="AD93" s="5">
        <f>TABL12[[#This Row],[( S/S+T/B) AJD]]-(TABL12[[#This Row],[(A/B + A/S) AJD]]+TABL12[[#This Row],[(STORGE DIFF.) AJD]]+(TABL12[[#This Row],[AJD_Evaporation]]))</f>
        <v/>
      </c>
      <c r="AE93" s="6" t="n">
        <v>63</v>
      </c>
      <c r="AF93" s="33" t="n">
        <v>59.055</v>
      </c>
      <c r="AG93" s="6" t="n">
        <v>1659975</v>
      </c>
      <c r="AH93" s="6">
        <f>TABL12[[#This Row],[ (RESV. STORGE) BER]]/10</f>
        <v/>
      </c>
      <c r="AI93" s="6" t="n">
        <v>1232</v>
      </c>
      <c r="AJ93" s="6">
        <f>TABL12[[#This Row],[(A/B) AJD]]-TABL12[[#This Row],[BER_IN]]</f>
        <v/>
      </c>
      <c r="AK93" s="6" t="n">
        <v>13</v>
      </c>
      <c r="AL93" s="33" t="n">
        <v>44.71</v>
      </c>
      <c r="AM93" s="6" t="n">
        <v>4043033</v>
      </c>
      <c r="AN93" s="6">
        <f>TABL12[[#This Row],[ (RESV. STORGE) SER]]/10</f>
        <v/>
      </c>
      <c r="AO93" s="6" t="n">
        <v>1560</v>
      </c>
      <c r="AP93" s="32">
        <f>TABL12[[#This Row],[(A/S) AJD]]-TABL12[[#This Row],[SER_IN]]</f>
        <v/>
      </c>
    </row>
    <row r="94">
      <c r="A94" s="2" t="n">
        <v>45750</v>
      </c>
      <c r="B94" s="28" t="n">
        <v>37</v>
      </c>
      <c r="C94" s="28" t="n">
        <v>321</v>
      </c>
      <c r="D94" s="28" t="n">
        <v>37</v>
      </c>
      <c r="E94" s="28" t="n">
        <v>0</v>
      </c>
      <c r="F94" s="28" t="n">
        <v>86</v>
      </c>
      <c r="G94" s="28" t="n">
        <v>509</v>
      </c>
      <c r="H94" s="28" t="n">
        <v>2</v>
      </c>
      <c r="I94" s="28" t="n">
        <v>406</v>
      </c>
      <c r="J94" s="28" t="n">
        <v>425</v>
      </c>
      <c r="K94" s="28">
        <f>TABL12[[#This Row],[ (T/B) SAR]]+TABL12[[#This Row],[ (S/S) SAR]]</f>
        <v/>
      </c>
      <c r="L94" s="28" t="n">
        <v>322</v>
      </c>
      <c r="M94" s="29" t="n">
        <v>24.7</v>
      </c>
      <c r="N94" s="30" t="n">
        <v>7.48</v>
      </c>
      <c r="O94" s="3" t="n">
        <v>378</v>
      </c>
      <c r="P94" s="3">
        <f>TABL12[[#This Row],[ (S/S) SAR]]-TABL12[[#This Row],[(S/S) AJD]]</f>
        <v/>
      </c>
      <c r="Q94" s="3" t="n">
        <v>420</v>
      </c>
      <c r="R94" s="3">
        <f>TABL12[[#This Row],[ (T/B) SAR]]-TABL12[[#This Row],[(T/B) AJD]]</f>
        <v/>
      </c>
      <c r="S94" s="3">
        <f>TABL12[[#This Row],[S/S_CON.]]+TABL12[[#This Row],[T/B-CON.]]</f>
        <v/>
      </c>
      <c r="T94" s="3">
        <f>O94+Q94</f>
        <v/>
      </c>
      <c r="U94" s="3" t="n">
        <v>530</v>
      </c>
      <c r="V94" s="3" t="n">
        <v>273</v>
      </c>
      <c r="W94" s="3">
        <f>U94+V94</f>
        <v/>
      </c>
      <c r="X94" s="3">
        <f>T94-W94</f>
        <v/>
      </c>
      <c r="Y94" s="4" t="n">
        <v>91.92</v>
      </c>
      <c r="Z94" s="3" t="n">
        <v>0</v>
      </c>
      <c r="AA94" s="3">
        <f>TABL12[[#This Row],[(RESV. STORGE) AJD]]/10</f>
        <v/>
      </c>
      <c r="AB94" s="3">
        <f>(Z94-Z93)/1000</f>
        <v/>
      </c>
      <c r="AC94" s="6" t="n">
        <v>0</v>
      </c>
      <c r="AD94" s="5">
        <f>TABL12[[#This Row],[( S/S+T/B) AJD]]-(TABL12[[#This Row],[(A/B + A/S) AJD]]+TABL12[[#This Row],[(STORGE DIFF.) AJD]]+(TABL12[[#This Row],[AJD_Evaporation]]))</f>
        <v/>
      </c>
      <c r="AE94" s="6" t="n">
        <v>60</v>
      </c>
      <c r="AF94" s="33" t="n">
        <v>59.022</v>
      </c>
      <c r="AG94" s="6" t="n">
        <v>1638170</v>
      </c>
      <c r="AH94" s="6">
        <f>TABL12[[#This Row],[ (RESV. STORGE) BER]]/10</f>
        <v/>
      </c>
      <c r="AI94" s="6" t="n">
        <v>2117</v>
      </c>
      <c r="AJ94" s="6">
        <f>TABL12[[#This Row],[(A/B) AJD]]-TABL12[[#This Row],[BER_IN]]</f>
        <v/>
      </c>
      <c r="AK94" s="6" t="n">
        <v>0</v>
      </c>
      <c r="AL94" s="33" t="n">
        <v>44.694</v>
      </c>
      <c r="AM94" s="6" t="n">
        <v>4034165</v>
      </c>
      <c r="AN94" s="6">
        <f>TABL12[[#This Row],[ (RESV. STORGE) SER]]/10</f>
        <v/>
      </c>
      <c r="AO94" s="6" t="n">
        <v>1573</v>
      </c>
      <c r="AP94" s="32">
        <f>TABL12[[#This Row],[(A/S) AJD]]-TABL12[[#This Row],[SER_IN]]</f>
        <v/>
      </c>
    </row>
    <row r="95">
      <c r="A95" s="2" t="n">
        <v>45751</v>
      </c>
      <c r="B95" s="28" t="n">
        <v>37</v>
      </c>
      <c r="C95" s="28" t="n">
        <v>313</v>
      </c>
      <c r="D95" s="28" t="n">
        <v>37</v>
      </c>
      <c r="E95" s="28" t="n">
        <v>0</v>
      </c>
      <c r="F95" s="28" t="n">
        <v>86</v>
      </c>
      <c r="G95" s="28" t="n">
        <v>503</v>
      </c>
      <c r="H95" s="28" t="n">
        <v>2</v>
      </c>
      <c r="I95" s="28" t="n">
        <v>399</v>
      </c>
      <c r="J95" s="28" t="n">
        <v>418</v>
      </c>
      <c r="K95" s="28">
        <f>TABL12[[#This Row],[ (T/B) SAR]]+TABL12[[#This Row],[ (S/S) SAR]]</f>
        <v/>
      </c>
      <c r="L95" s="28" t="n">
        <v>314</v>
      </c>
      <c r="M95" s="29" t="n">
        <v>24.7</v>
      </c>
      <c r="N95" s="30" t="n">
        <v>7.44</v>
      </c>
      <c r="O95" s="3" t="n">
        <v>372</v>
      </c>
      <c r="P95" s="3">
        <f>TABL12[[#This Row],[ (S/S) SAR]]-TABL12[[#This Row],[(S/S) AJD]]</f>
        <v/>
      </c>
      <c r="Q95" s="3" t="n">
        <v>415</v>
      </c>
      <c r="R95" s="3">
        <f>TABL12[[#This Row],[ (T/B) SAR]]-TABL12[[#This Row],[(T/B) AJD]]</f>
        <v/>
      </c>
      <c r="S95" s="3">
        <f>TABL12[[#This Row],[S/S_CON.]]+TABL12[[#This Row],[T/B-CON.]]</f>
        <v/>
      </c>
      <c r="T95" s="3">
        <f>O95+Q95</f>
        <v/>
      </c>
      <c r="U95" s="3" t="n">
        <v>519</v>
      </c>
      <c r="V95" s="3" t="n">
        <v>268</v>
      </c>
      <c r="W95" s="3">
        <f>U95+V95</f>
        <v/>
      </c>
      <c r="X95" s="3">
        <f>T95-W95</f>
        <v/>
      </c>
      <c r="Y95" s="4" t="n">
        <v>91.92</v>
      </c>
      <c r="Z95" s="3" t="n">
        <v>0</v>
      </c>
      <c r="AA95" s="3">
        <f>TABL12[[#This Row],[(RESV. STORGE) AJD]]/10</f>
        <v/>
      </c>
      <c r="AB95" s="3">
        <f>(Z95-Z94)/1000</f>
        <v/>
      </c>
      <c r="AC95" s="6" t="n">
        <v>0</v>
      </c>
      <c r="AD95" s="5">
        <f>TABL12[[#This Row],[( S/S+T/B) AJD]]-(TABL12[[#This Row],[(A/B + A/S) AJD]]+TABL12[[#This Row],[(STORGE DIFF.) AJD]]+(TABL12[[#This Row],[AJD_Evaporation]]))</f>
        <v/>
      </c>
      <c r="AE95" s="6" t="n">
        <v>42</v>
      </c>
      <c r="AF95" s="33" t="n">
        <v>58.975</v>
      </c>
      <c r="AG95" s="6" t="n">
        <v>1607147</v>
      </c>
      <c r="AH95" s="6">
        <f>TABL12[[#This Row],[ (RESV. STORGE) BER]]/10</f>
        <v/>
      </c>
      <c r="AI95" s="6" t="n">
        <v>1642</v>
      </c>
      <c r="AJ95" s="6">
        <f>TABL12[[#This Row],[(A/B) AJD]]-TABL12[[#This Row],[BER_IN]]</f>
        <v/>
      </c>
      <c r="AK95" s="6" t="n">
        <v>0</v>
      </c>
      <c r="AL95" s="33" t="n">
        <v>44.677</v>
      </c>
      <c r="AM95" s="6" t="n">
        <v>4024744</v>
      </c>
      <c r="AN95" s="6">
        <f>TABL12[[#This Row],[ (RESV. STORGE) SER]]/10</f>
        <v/>
      </c>
      <c r="AO95" s="6" t="n">
        <v>1600</v>
      </c>
      <c r="AP95" s="32">
        <f>TABL12[[#This Row],[(A/S) AJD]]-TABL12[[#This Row],[SER_IN]]</f>
        <v/>
      </c>
    </row>
    <row r="96">
      <c r="A96" s="2" t="n">
        <v>45752</v>
      </c>
      <c r="B96" s="28" t="n">
        <v>36</v>
      </c>
      <c r="C96" s="28" t="n">
        <v>302</v>
      </c>
      <c r="D96" s="28" t="n">
        <v>37</v>
      </c>
      <c r="E96" s="28" t="n">
        <v>0</v>
      </c>
      <c r="F96" s="28" t="n">
        <v>86</v>
      </c>
      <c r="G96" s="28" t="n">
        <v>512</v>
      </c>
      <c r="H96" s="28" t="n">
        <v>2</v>
      </c>
      <c r="I96" s="28" t="n">
        <v>404</v>
      </c>
      <c r="J96" s="28" t="n">
        <v>424</v>
      </c>
      <c r="K96" s="28">
        <f>TABL12[[#This Row],[ (T/B) SAR]]+TABL12[[#This Row],[ (S/S) SAR]]</f>
        <v/>
      </c>
      <c r="L96" s="28" t="n">
        <v>316</v>
      </c>
      <c r="M96" s="29" t="n">
        <v>24.7</v>
      </c>
      <c r="N96" s="30" t="n">
        <v>7.39</v>
      </c>
      <c r="O96" s="3" t="n">
        <v>372</v>
      </c>
      <c r="P96" s="3">
        <f>TABL12[[#This Row],[ (S/S) SAR]]-TABL12[[#This Row],[(S/S) AJD]]</f>
        <v/>
      </c>
      <c r="Q96" s="3" t="n">
        <v>413</v>
      </c>
      <c r="R96" s="3">
        <f>TABL12[[#This Row],[ (T/B) SAR]]-TABL12[[#This Row],[(T/B) AJD]]</f>
        <v/>
      </c>
      <c r="S96" s="3">
        <f>TABL12[[#This Row],[S/S_CON.]]+TABL12[[#This Row],[T/B-CON.]]</f>
        <v/>
      </c>
      <c r="T96" s="3">
        <f>O96+Q96</f>
        <v/>
      </c>
      <c r="U96" s="3" t="n">
        <v>521</v>
      </c>
      <c r="V96" s="3" t="n">
        <v>268</v>
      </c>
      <c r="W96" s="3">
        <f>U96+V96</f>
        <v/>
      </c>
      <c r="X96" s="3">
        <f>T96-W96</f>
        <v/>
      </c>
      <c r="Y96" s="4" t="n">
        <v>91.92</v>
      </c>
      <c r="Z96" s="3" t="n">
        <v>0</v>
      </c>
      <c r="AA96" s="3">
        <f>TABL12[[#This Row],[(RESV. STORGE) AJD]]/10</f>
        <v/>
      </c>
      <c r="AB96" s="3">
        <f>(Z96-Z95)/1000</f>
        <v/>
      </c>
      <c r="AC96" s="6" t="n">
        <v>0</v>
      </c>
      <c r="AD96" s="5">
        <f>TABL12[[#This Row],[( S/S+T/B) AJD]]-(TABL12[[#This Row],[(A/B + A/S) AJD]]+TABL12[[#This Row],[(STORGE DIFF.) AJD]]+(TABL12[[#This Row],[AJD_Evaporation]]))</f>
        <v/>
      </c>
      <c r="AE96" s="6" t="n">
        <v>30</v>
      </c>
      <c r="AF96" s="33" t="n">
        <v>58.916</v>
      </c>
      <c r="AG96" s="6" t="n">
        <v>1568223</v>
      </c>
      <c r="AH96" s="6">
        <f>TABL12[[#This Row],[ (RESV. STORGE) BER]]/10</f>
        <v/>
      </c>
      <c r="AI96" s="6" t="n">
        <v>2524</v>
      </c>
      <c r="AJ96" s="6">
        <f>TABL12[[#This Row],[(A/B) AJD]]-TABL12[[#This Row],[BER_IN]]</f>
        <v/>
      </c>
      <c r="AK96" s="6" t="n">
        <v>0</v>
      </c>
      <c r="AL96" s="33" t="n">
        <v>44.675</v>
      </c>
      <c r="AM96" s="6" t="n">
        <v>4023636</v>
      </c>
      <c r="AN96" s="6">
        <f>TABL12[[#This Row],[ (RESV. STORGE) SER]]/10</f>
        <v/>
      </c>
      <c r="AO96" s="6" t="n">
        <v>1108</v>
      </c>
      <c r="AP96" s="32">
        <f>TABL12[[#This Row],[(A/S) AJD]]-TABL12[[#This Row],[SER_IN]]</f>
        <v/>
      </c>
    </row>
    <row r="97">
      <c r="A97" s="2" t="n">
        <v>45753</v>
      </c>
      <c r="B97" s="28" t="n">
        <v>36</v>
      </c>
      <c r="C97" s="28" t="n">
        <v>296</v>
      </c>
      <c r="D97" s="28" t="n">
        <v>36</v>
      </c>
      <c r="E97" s="28" t="n">
        <v>0</v>
      </c>
      <c r="F97" s="28" t="n">
        <v>88</v>
      </c>
      <c r="G97" s="28" t="n">
        <v>513</v>
      </c>
      <c r="H97" s="28" t="n">
        <v>0</v>
      </c>
      <c r="I97" s="28" t="n">
        <v>401</v>
      </c>
      <c r="J97" s="28" t="n">
        <v>419</v>
      </c>
      <c r="K97" s="28">
        <f>TABL12[[#This Row],[ (T/B) SAR]]+TABL12[[#This Row],[ (S/S) SAR]]</f>
        <v/>
      </c>
      <c r="L97" s="28" t="n">
        <v>307</v>
      </c>
      <c r="M97" s="29" t="n">
        <v>24.7</v>
      </c>
      <c r="N97" s="30" t="n">
        <v>7.23</v>
      </c>
      <c r="O97" s="3" t="n">
        <v>374</v>
      </c>
      <c r="P97" s="3">
        <f>TABL12[[#This Row],[ (S/S) SAR]]-TABL12[[#This Row],[(S/S) AJD]]</f>
        <v/>
      </c>
      <c r="Q97" s="3" t="n">
        <v>417</v>
      </c>
      <c r="R97" s="3">
        <f>TABL12[[#This Row],[ (T/B) SAR]]-TABL12[[#This Row],[(T/B) AJD]]</f>
        <v/>
      </c>
      <c r="S97" s="3">
        <f>TABL12[[#This Row],[S/S_CON.]]+TABL12[[#This Row],[T/B-CON.]]</f>
        <v/>
      </c>
      <c r="T97" s="3">
        <f>O97+Q97</f>
        <v/>
      </c>
      <c r="U97" s="3" t="n">
        <v>530</v>
      </c>
      <c r="V97" s="3" t="n">
        <v>256</v>
      </c>
      <c r="W97" s="3">
        <f>U97+V97</f>
        <v/>
      </c>
      <c r="X97" s="3">
        <f>T97-W97</f>
        <v/>
      </c>
      <c r="Y97" s="4" t="n">
        <v>91.92</v>
      </c>
      <c r="Z97" s="3" t="n">
        <v>0</v>
      </c>
      <c r="AA97" s="3">
        <f>TABL12[[#This Row],[(RESV. STORGE) AJD]]/10</f>
        <v/>
      </c>
      <c r="AB97" s="3">
        <f>(Z97-Z96)/1000</f>
        <v/>
      </c>
      <c r="AC97" s="6" t="n">
        <v>0</v>
      </c>
      <c r="AD97" s="5">
        <f>TABL12[[#This Row],[( S/S+T/B) AJD]]-(TABL12[[#This Row],[(A/B + A/S) AJD]]+TABL12[[#This Row],[(STORGE DIFF.) AJD]]+(TABL12[[#This Row],[AJD_Evaporation]]))</f>
        <v/>
      </c>
      <c r="AE97" s="6" t="n">
        <v>30</v>
      </c>
      <c r="AF97" s="33" t="n">
        <v>58.86</v>
      </c>
      <c r="AG97" s="6" t="n">
        <v>1531306</v>
      </c>
      <c r="AH97" s="6">
        <f>TABL12[[#This Row],[ (RESV. STORGE) BER]]/10</f>
        <v/>
      </c>
      <c r="AI97" s="6" t="n">
        <v>2177</v>
      </c>
      <c r="AJ97" s="6">
        <f>TABL12[[#This Row],[(A/B) AJD]]-TABL12[[#This Row],[BER_IN]]</f>
        <v/>
      </c>
      <c r="AK97" s="6" t="n">
        <v>0</v>
      </c>
      <c r="AL97" s="33" t="n">
        <v>44.657</v>
      </c>
      <c r="AM97" s="6" t="n">
        <v>4013664</v>
      </c>
      <c r="AN97" s="6">
        <f>TABL12[[#This Row],[ (RESV. STORGE) SER]]/10</f>
        <v/>
      </c>
      <c r="AO97" s="6" t="n">
        <v>1250</v>
      </c>
      <c r="AP97" s="32">
        <f>TABL12[[#This Row],[(A/S) AJD]]-TABL12[[#This Row],[SER_IN]]</f>
        <v/>
      </c>
    </row>
    <row r="98">
      <c r="A98" s="2" t="n">
        <v>45754</v>
      </c>
      <c r="B98" s="28" t="n">
        <v>39</v>
      </c>
      <c r="C98" s="28" t="n">
        <v>331</v>
      </c>
      <c r="D98" s="28" t="n">
        <v>39</v>
      </c>
      <c r="E98" s="28" t="n">
        <v>0</v>
      </c>
      <c r="F98" s="28" t="n">
        <v>88</v>
      </c>
      <c r="G98" s="28" t="n">
        <v>514</v>
      </c>
      <c r="H98" s="28" t="n">
        <v>0</v>
      </c>
      <c r="I98" s="28" t="n">
        <v>402</v>
      </c>
      <c r="J98" s="28" t="n">
        <v>419</v>
      </c>
      <c r="K98" s="28">
        <f>TABL12[[#This Row],[ (T/B) SAR]]+TABL12[[#This Row],[ (S/S) SAR]]</f>
        <v/>
      </c>
      <c r="L98" s="28" t="n">
        <v>307</v>
      </c>
      <c r="M98" s="29" t="n">
        <v>24.7</v>
      </c>
      <c r="N98" s="30" t="n">
        <v>7.21</v>
      </c>
      <c r="O98" s="3" t="n">
        <v>378</v>
      </c>
      <c r="P98" s="3">
        <f>TABL12[[#This Row],[ (S/S) SAR]]-TABL12[[#This Row],[(S/S) AJD]]</f>
        <v/>
      </c>
      <c r="Q98" s="3" t="n">
        <v>420</v>
      </c>
      <c r="R98" s="3">
        <f>TABL12[[#This Row],[ (T/B) SAR]]-TABL12[[#This Row],[(T/B) AJD]]</f>
        <v/>
      </c>
      <c r="S98" s="3">
        <f>TABL12[[#This Row],[S/S_CON.]]+TABL12[[#This Row],[T/B-CON.]]</f>
        <v/>
      </c>
      <c r="T98" s="3">
        <f>O98+Q98</f>
        <v/>
      </c>
      <c r="U98" s="3" t="n">
        <v>558</v>
      </c>
      <c r="V98" s="3" t="n">
        <v>243</v>
      </c>
      <c r="W98" s="3">
        <f>U98+V98</f>
        <v/>
      </c>
      <c r="X98" s="3">
        <f>T98-W98</f>
        <v/>
      </c>
      <c r="Y98" s="4" t="n">
        <v>91.92</v>
      </c>
      <c r="Z98" s="3" t="n">
        <v>0</v>
      </c>
      <c r="AA98" s="3">
        <f>TABL12[[#This Row],[(RESV. STORGE) AJD]]/10</f>
        <v/>
      </c>
      <c r="AB98" s="3">
        <f>(Z98-Z97)/1000</f>
        <v/>
      </c>
      <c r="AC98" s="6" t="n">
        <v>0</v>
      </c>
      <c r="AD98" s="5">
        <f>TABL12[[#This Row],[( S/S+T/B) AJD]]-(TABL12[[#This Row],[(A/B + A/S) AJD]]+TABL12[[#This Row],[(STORGE DIFF.) AJD]]+(TABL12[[#This Row],[AJD_Evaporation]]))</f>
        <v/>
      </c>
      <c r="AE98" s="6" t="n">
        <v>30</v>
      </c>
      <c r="AF98" s="33" t="n">
        <v>58.806</v>
      </c>
      <c r="AG98" s="6" t="n">
        <v>1495732</v>
      </c>
      <c r="AH98" s="6">
        <f>TABL12[[#This Row],[ (RESV. STORGE) BER]]/10</f>
        <v/>
      </c>
      <c r="AI98" s="6" t="n">
        <v>2493</v>
      </c>
      <c r="AJ98" s="6">
        <f>TABL12[[#This Row],[(A/B) AJD]]-TABL12[[#This Row],[BER_IN]]</f>
        <v/>
      </c>
      <c r="AK98" s="6" t="n">
        <v>0</v>
      </c>
      <c r="AL98" s="33" t="n">
        <v>44.624</v>
      </c>
      <c r="AM98" s="6" t="n">
        <v>3995389</v>
      </c>
      <c r="AN98" s="6">
        <f>TABL12[[#This Row],[ (RESV. STORGE) SER]]/10</f>
        <v/>
      </c>
      <c r="AO98" s="6" t="n">
        <v>1275</v>
      </c>
      <c r="AP98" s="32">
        <f>TABL12[[#This Row],[(A/S) AJD]]-TABL12[[#This Row],[SER_IN]]</f>
        <v/>
      </c>
    </row>
    <row r="99">
      <c r="A99" s="2" t="n">
        <v>45755</v>
      </c>
      <c r="B99" s="28" t="n">
        <v>41</v>
      </c>
      <c r="C99" s="28" t="n">
        <v>338</v>
      </c>
      <c r="D99" s="28" t="n">
        <v>40</v>
      </c>
      <c r="E99" s="28" t="n">
        <v>0</v>
      </c>
      <c r="F99" s="28" t="n">
        <v>88</v>
      </c>
      <c r="G99" s="28" t="n">
        <v>524</v>
      </c>
      <c r="H99" s="28" t="n">
        <v>0</v>
      </c>
      <c r="I99" s="28" t="n">
        <v>408</v>
      </c>
      <c r="J99" s="28" t="n">
        <v>427</v>
      </c>
      <c r="K99" s="28">
        <f>TABL12[[#This Row],[ (T/B) SAR]]+TABL12[[#This Row],[ (S/S) SAR]]</f>
        <v/>
      </c>
      <c r="L99" s="28" t="n">
        <v>311</v>
      </c>
      <c r="M99" s="29" t="n">
        <v>24.7</v>
      </c>
      <c r="N99" s="30" t="n">
        <v>7.32</v>
      </c>
      <c r="O99" s="3" t="n">
        <v>378</v>
      </c>
      <c r="P99" s="3">
        <f>TABL12[[#This Row],[ (S/S) SAR]]-TABL12[[#This Row],[(S/S) AJD]]</f>
        <v/>
      </c>
      <c r="Q99" s="3" t="n">
        <v>420</v>
      </c>
      <c r="R99" s="3">
        <f>TABL12[[#This Row],[ (T/B) SAR]]-TABL12[[#This Row],[(T/B) AJD]]</f>
        <v/>
      </c>
      <c r="S99" s="3">
        <f>TABL12[[#This Row],[S/S_CON.]]+TABL12[[#This Row],[T/B-CON.]]</f>
        <v/>
      </c>
      <c r="T99" s="3">
        <f>O99+Q99</f>
        <v/>
      </c>
      <c r="U99" s="3" t="n">
        <v>562</v>
      </c>
      <c r="V99" s="3" t="n">
        <v>234</v>
      </c>
      <c r="W99" s="3">
        <f>U99+V99</f>
        <v/>
      </c>
      <c r="X99" s="3">
        <f>T99-W99</f>
        <v/>
      </c>
      <c r="Y99" s="4" t="n">
        <v>91.92</v>
      </c>
      <c r="Z99" s="3" t="n">
        <v>0</v>
      </c>
      <c r="AA99" s="3">
        <f>TABL12[[#This Row],[(RESV. STORGE) AJD]]/10</f>
        <v/>
      </c>
      <c r="AB99" s="3">
        <f>(Z99-Z98)/1000</f>
        <v/>
      </c>
      <c r="AC99" s="6" t="n">
        <v>0</v>
      </c>
      <c r="AD99" s="5">
        <f>TABL12[[#This Row],[( S/S+T/B) AJD]]-(TABL12[[#This Row],[(A/B + A/S) AJD]]+TABL12[[#This Row],[(STORGE DIFF.) AJD]]+(TABL12[[#This Row],[AJD_Evaporation]]))</f>
        <v/>
      </c>
      <c r="AE99" s="6" t="n">
        <v>30</v>
      </c>
      <c r="AF99" s="33" t="n">
        <v>58.726</v>
      </c>
      <c r="AG99" s="6" t="n">
        <v>1443078</v>
      </c>
      <c r="AH99" s="6">
        <f>TABL12[[#This Row],[ (RESV. STORGE) BER]]/10</f>
        <v/>
      </c>
      <c r="AI99" s="6" t="n">
        <v>2974</v>
      </c>
      <c r="AJ99" s="6">
        <f>TABL12[[#This Row],[(A/B) AJD]]-TABL12[[#This Row],[BER_IN]]</f>
        <v/>
      </c>
      <c r="AK99" s="6" t="n">
        <v>0</v>
      </c>
      <c r="AL99" s="33" t="n">
        <v>44.615</v>
      </c>
      <c r="AM99" s="6" t="n">
        <v>3990406</v>
      </c>
      <c r="AN99" s="6">
        <f>TABL12[[#This Row],[ (RESV. STORGE) SER]]/10</f>
        <v/>
      </c>
      <c r="AO99" s="6" t="n">
        <v>1120</v>
      </c>
      <c r="AP99" s="32">
        <f>TABL12[[#This Row],[(A/S) AJD]]-TABL12[[#This Row],[SER_IN]]</f>
        <v/>
      </c>
    </row>
    <row r="100">
      <c r="A100" s="2" t="n">
        <v>45756</v>
      </c>
      <c r="B100" s="28" t="n">
        <v>38</v>
      </c>
      <c r="C100" s="28" t="n">
        <v>327</v>
      </c>
      <c r="D100" s="28" t="n">
        <v>38</v>
      </c>
      <c r="E100" s="28" t="n">
        <v>0</v>
      </c>
      <c r="F100" s="28" t="n">
        <v>87</v>
      </c>
      <c r="G100" s="28" t="n">
        <v>514</v>
      </c>
      <c r="H100" s="28" t="n">
        <v>1</v>
      </c>
      <c r="I100" s="28" t="n">
        <v>409</v>
      </c>
      <c r="J100" s="28" t="n">
        <v>424</v>
      </c>
      <c r="K100" s="28">
        <f>TABL12[[#This Row],[ (T/B) SAR]]+TABL12[[#This Row],[ (S/S) SAR]]</f>
        <v/>
      </c>
      <c r="L100" s="28" t="n">
        <v>319</v>
      </c>
      <c r="M100" s="29" t="n">
        <v>24.7</v>
      </c>
      <c r="N100" s="30" t="n">
        <v>7.39</v>
      </c>
      <c r="O100" s="3" t="n">
        <v>379</v>
      </c>
      <c r="P100" s="3">
        <f>TABL12[[#This Row],[ (S/S) SAR]]-TABL12[[#This Row],[(S/S) AJD]]</f>
        <v/>
      </c>
      <c r="Q100" s="3" t="n">
        <v>421</v>
      </c>
      <c r="R100" s="3">
        <f>TABL12[[#This Row],[ (T/B) SAR]]-TABL12[[#This Row],[(T/B) AJD]]</f>
        <v/>
      </c>
      <c r="S100" s="3">
        <f>TABL12[[#This Row],[S/S_CON.]]+TABL12[[#This Row],[T/B-CON.]]</f>
        <v/>
      </c>
      <c r="T100" s="3">
        <f>O100+Q100</f>
        <v/>
      </c>
      <c r="U100" s="3" t="n">
        <v>563</v>
      </c>
      <c r="V100" s="3" t="n">
        <v>230</v>
      </c>
      <c r="W100" s="3">
        <f>U100+V100</f>
        <v/>
      </c>
      <c r="X100" s="3">
        <f>T100-W100</f>
        <v/>
      </c>
      <c r="Y100" s="4" t="n">
        <v>91.92</v>
      </c>
      <c r="Z100" s="3" t="n">
        <v>0</v>
      </c>
      <c r="AA100" s="3">
        <f>TABL12[[#This Row],[(RESV. STORGE) AJD]]/10</f>
        <v/>
      </c>
      <c r="AB100" s="3">
        <f>(Z100-Z99)/1000</f>
        <v/>
      </c>
      <c r="AC100" s="6" t="n">
        <v>0</v>
      </c>
      <c r="AD100" s="5">
        <f>TABL12[[#This Row],[( S/S+T/B) AJD]]-(TABL12[[#This Row],[(A/B + A/S) AJD]]+TABL12[[#This Row],[(STORGE DIFF.) AJD]]+(TABL12[[#This Row],[AJD_Evaporation]]))</f>
        <v/>
      </c>
      <c r="AE100" s="6" t="n">
        <v>40</v>
      </c>
      <c r="AF100" s="33" t="n">
        <v>58.662</v>
      </c>
      <c r="AG100" s="6" t="n">
        <v>1400994</v>
      </c>
      <c r="AH100" s="6">
        <f>TABL12[[#This Row],[ (RESV. STORGE) BER]]/10</f>
        <v/>
      </c>
      <c r="AI100" s="6" t="n">
        <v>2403</v>
      </c>
      <c r="AJ100" s="6">
        <f>TABL12[[#This Row],[(A/B) AJD]]-TABL12[[#This Row],[BER_IN]]</f>
        <v/>
      </c>
      <c r="AK100" s="6" t="n">
        <v>0</v>
      </c>
      <c r="AL100" s="33" t="n">
        <v>44.598</v>
      </c>
      <c r="AM100" s="6" t="n">
        <v>3980997</v>
      </c>
      <c r="AN100" s="6">
        <f>TABL12[[#This Row],[ (RESV. STORGE) SER]]/10</f>
        <v/>
      </c>
      <c r="AO100" s="6" t="n">
        <v>1175</v>
      </c>
      <c r="AP100" s="32">
        <f>TABL12[[#This Row],[(A/S) AJD]]-TABL12[[#This Row],[SER_IN]]</f>
        <v/>
      </c>
    </row>
    <row r="101">
      <c r="A101" s="2" t="n">
        <v>45757</v>
      </c>
      <c r="B101" s="28" t="n">
        <v>39</v>
      </c>
      <c r="C101" s="28" t="n">
        <v>334</v>
      </c>
      <c r="D101" s="28" t="n">
        <v>39</v>
      </c>
      <c r="E101" s="28" t="n">
        <v>0</v>
      </c>
      <c r="F101" s="28" t="n">
        <v>87</v>
      </c>
      <c r="G101" s="28" t="n">
        <v>524</v>
      </c>
      <c r="H101" s="28" t="n">
        <v>1</v>
      </c>
      <c r="I101" s="28" t="n">
        <v>409</v>
      </c>
      <c r="J101" s="28" t="n">
        <v>428</v>
      </c>
      <c r="K101" s="28">
        <f>TABL12[[#This Row],[ (T/B) SAR]]+TABL12[[#This Row],[ (S/S) SAR]]</f>
        <v/>
      </c>
      <c r="L101" s="28" t="n">
        <v>313</v>
      </c>
      <c r="M101" s="29" t="n">
        <v>24.7</v>
      </c>
      <c r="N101" s="30" t="n">
        <v>7.43</v>
      </c>
      <c r="O101" s="3" t="n">
        <v>382</v>
      </c>
      <c r="P101" s="3">
        <f>TABL12[[#This Row],[ (S/S) SAR]]-TABL12[[#This Row],[(S/S) AJD]]</f>
        <v/>
      </c>
      <c r="Q101" s="3" t="n">
        <v>424</v>
      </c>
      <c r="R101" s="3">
        <f>TABL12[[#This Row],[ (T/B) SAR]]-TABL12[[#This Row],[(T/B) AJD]]</f>
        <v/>
      </c>
      <c r="S101" s="3">
        <f>TABL12[[#This Row],[S/S_CON.]]+TABL12[[#This Row],[T/B-CON.]]</f>
        <v/>
      </c>
      <c r="T101" s="3">
        <f>O101+Q101</f>
        <v/>
      </c>
      <c r="U101" s="3" t="n">
        <v>570</v>
      </c>
      <c r="V101" s="3" t="n">
        <v>230</v>
      </c>
      <c r="W101" s="3">
        <f>U101+V101</f>
        <v/>
      </c>
      <c r="X101" s="3">
        <f>T101-W101</f>
        <v/>
      </c>
      <c r="Y101" s="4" t="n">
        <v>91.92</v>
      </c>
      <c r="Z101" s="3" t="n">
        <v>0</v>
      </c>
      <c r="AA101" s="3">
        <f>TABL12[[#This Row],[(RESV. STORGE) AJD]]/10</f>
        <v/>
      </c>
      <c r="AB101" s="3">
        <f>(Z101-Z100)/1000</f>
        <v/>
      </c>
      <c r="AC101" s="6" t="n">
        <v>0</v>
      </c>
      <c r="AD101" s="5">
        <f>TABL12[[#This Row],[( S/S+T/B) AJD]]-(TABL12[[#This Row],[(A/B + A/S) AJD]]+TABL12[[#This Row],[(STORGE DIFF.) AJD]]+(TABL12[[#This Row],[AJD_Evaporation]]))</f>
        <v/>
      </c>
      <c r="AE101" s="6" t="n">
        <v>64</v>
      </c>
      <c r="AF101" s="33" t="n">
        <v>58.635</v>
      </c>
      <c r="AG101" s="6" t="n">
        <v>1383250</v>
      </c>
      <c r="AH101" s="6">
        <f>TABL12[[#This Row],[ (RESV. STORGE) BER]]/10</f>
        <v/>
      </c>
      <c r="AI101" s="6" t="n">
        <v>2063</v>
      </c>
      <c r="AJ101" s="6">
        <f>TABL12[[#This Row],[(A/B) AJD]]-TABL12[[#This Row],[BER_IN]]</f>
        <v/>
      </c>
      <c r="AK101" s="6" t="n">
        <v>24</v>
      </c>
      <c r="AL101" s="33" t="n">
        <v>44.623</v>
      </c>
      <c r="AM101" s="6" t="n">
        <v>3998835</v>
      </c>
      <c r="AN101" s="6">
        <f>TABL12[[#This Row],[ (RESV. STORGE) SER]]/10</f>
        <v/>
      </c>
      <c r="AO101" s="6" t="n">
        <v>1155</v>
      </c>
      <c r="AP101" s="32">
        <f>TABL12[[#This Row],[(A/S) AJD]]-TABL12[[#This Row],[SER_IN]]</f>
        <v/>
      </c>
    </row>
    <row r="102">
      <c r="A102" s="2" t="n">
        <v>45758</v>
      </c>
      <c r="B102" s="28" t="n">
        <v>39</v>
      </c>
      <c r="C102" s="28" t="n">
        <v>334</v>
      </c>
      <c r="D102" s="28" t="n">
        <v>39</v>
      </c>
      <c r="E102" s="28" t="n">
        <v>0</v>
      </c>
      <c r="F102" s="28" t="n">
        <v>88</v>
      </c>
      <c r="G102" s="28" t="n">
        <v>527</v>
      </c>
      <c r="H102" s="28" t="n">
        <v>0</v>
      </c>
      <c r="I102" s="28" t="n">
        <v>412</v>
      </c>
      <c r="J102" s="28" t="n">
        <v>430</v>
      </c>
      <c r="K102" s="28">
        <f>TABL12[[#This Row],[ (T/B) SAR]]+TABL12[[#This Row],[ (S/S) SAR]]</f>
        <v/>
      </c>
      <c r="L102" s="28" t="n">
        <v>315</v>
      </c>
      <c r="M102" s="29" t="n">
        <v>24.7</v>
      </c>
      <c r="N102" s="30" t="n">
        <v>7.49</v>
      </c>
      <c r="O102" s="3" t="n">
        <v>383</v>
      </c>
      <c r="P102" s="3">
        <f>TABL12[[#This Row],[ (S/S) SAR]]-TABL12[[#This Row],[(S/S) AJD]]</f>
        <v/>
      </c>
      <c r="Q102" s="3" t="n">
        <v>425</v>
      </c>
      <c r="R102" s="3">
        <f>TABL12[[#This Row],[ (T/B) SAR]]-TABL12[[#This Row],[(T/B) AJD]]</f>
        <v/>
      </c>
      <c r="S102" s="3">
        <f>TABL12[[#This Row],[S/S_CON.]]+TABL12[[#This Row],[T/B-CON.]]</f>
        <v/>
      </c>
      <c r="T102" s="3">
        <f>O102+Q102</f>
        <v/>
      </c>
      <c r="U102" s="3" t="n">
        <v>553</v>
      </c>
      <c r="V102" s="3" t="n">
        <v>256</v>
      </c>
      <c r="W102" s="3">
        <f>U102+V102</f>
        <v/>
      </c>
      <c r="X102" s="3">
        <f>T102-W102</f>
        <v/>
      </c>
      <c r="Y102" s="4" t="n">
        <v>91.92</v>
      </c>
      <c r="Z102" s="3" t="n">
        <v>0</v>
      </c>
      <c r="AA102" s="3">
        <f>TABL12[[#This Row],[(RESV. STORGE) AJD]]/10</f>
        <v/>
      </c>
      <c r="AB102" s="3">
        <f>(Z102-Z101)/1000</f>
        <v/>
      </c>
      <c r="AC102" s="6" t="n">
        <v>0</v>
      </c>
      <c r="AD102" s="5">
        <f>TABL12[[#This Row],[( S/S+T/B) AJD]]-(TABL12[[#This Row],[(A/B + A/S) AJD]]+TABL12[[#This Row],[(STORGE DIFF.) AJD]]+(TABL12[[#This Row],[AJD_Evaporation]]))</f>
        <v/>
      </c>
      <c r="AE102" s="6" t="n">
        <v>70</v>
      </c>
      <c r="AF102" s="33" t="n">
        <v>58.64</v>
      </c>
      <c r="AG102" s="6" t="n">
        <v>1386536</v>
      </c>
      <c r="AH102" s="6">
        <f>TABL12[[#This Row],[ (RESV. STORGE) BER]]/10</f>
        <v/>
      </c>
      <c r="AI102" s="6" t="n">
        <v>1974</v>
      </c>
      <c r="AJ102" s="6">
        <f>TABL12[[#This Row],[(A/B) AJD]]-TABL12[[#This Row],[BER_IN]]</f>
        <v/>
      </c>
      <c r="AK102" s="6" t="n">
        <v>40</v>
      </c>
      <c r="AL102" s="33" t="n">
        <v>44.617</v>
      </c>
      <c r="AM102" s="6" t="n">
        <v>3991514</v>
      </c>
      <c r="AN102" s="6">
        <f>TABL12[[#This Row],[ (RESV. STORGE) SER]]/10</f>
        <v/>
      </c>
      <c r="AO102" s="6" t="n">
        <v>1230</v>
      </c>
      <c r="AP102" s="32">
        <f>TABL12[[#This Row],[(A/S) AJD]]-TABL12[[#This Row],[SER_IN]]</f>
        <v/>
      </c>
    </row>
    <row r="103">
      <c r="A103" s="2" t="n">
        <v>45759</v>
      </c>
      <c r="B103" s="28" t="n">
        <v>39</v>
      </c>
      <c r="C103" s="28" t="n">
        <v>332</v>
      </c>
      <c r="D103" s="28" t="n">
        <v>39</v>
      </c>
      <c r="E103" s="28" t="n">
        <v>0</v>
      </c>
      <c r="F103" s="28" t="n">
        <v>88</v>
      </c>
      <c r="G103" s="28" t="n">
        <v>512</v>
      </c>
      <c r="H103" s="28" t="n">
        <v>0</v>
      </c>
      <c r="I103" s="28" t="n">
        <v>404</v>
      </c>
      <c r="J103" s="28" t="n">
        <v>434</v>
      </c>
      <c r="K103" s="28">
        <f>TABL12[[#This Row],[ (T/B) SAR]]+TABL12[[#This Row],[ (S/S) SAR]]</f>
        <v/>
      </c>
      <c r="L103" s="28" t="n">
        <v>317</v>
      </c>
      <c r="M103" s="29" t="n">
        <v>24.7</v>
      </c>
      <c r="N103" s="30" t="n">
        <v>7.57</v>
      </c>
      <c r="O103" s="3" t="n">
        <v>388</v>
      </c>
      <c r="P103" s="3">
        <f>TABL12[[#This Row],[ (S/S) SAR]]-TABL12[[#This Row],[(S/S) AJD]]</f>
        <v/>
      </c>
      <c r="Q103" s="3" t="n">
        <v>430</v>
      </c>
      <c r="R103" s="3">
        <f>TABL12[[#This Row],[ (T/B) SAR]]-TABL12[[#This Row],[(T/B) AJD]]</f>
        <v/>
      </c>
      <c r="S103" s="3">
        <f>TABL12[[#This Row],[S/S_CON.]]+TABL12[[#This Row],[T/B-CON.]]</f>
        <v/>
      </c>
      <c r="T103" s="3">
        <f>O103+Q103</f>
        <v/>
      </c>
      <c r="U103" s="3" t="n">
        <v>539</v>
      </c>
      <c r="V103" s="3" t="n">
        <v>287</v>
      </c>
      <c r="W103" s="3">
        <f>U103+V103</f>
        <v/>
      </c>
      <c r="X103" s="3">
        <f>T103-W103</f>
        <v/>
      </c>
      <c r="Y103" s="4" t="n">
        <v>91.92</v>
      </c>
      <c r="Z103" s="3" t="n">
        <v>0</v>
      </c>
      <c r="AA103" s="3">
        <f>TABL12[[#This Row],[(RESV. STORGE) AJD]]/10</f>
        <v/>
      </c>
      <c r="AB103" s="3">
        <f>(Z103-Z102)/1000</f>
        <v/>
      </c>
      <c r="AC103" s="6" t="n">
        <v>0</v>
      </c>
      <c r="AD103" s="5">
        <f>TABL12[[#This Row],[( S/S+T/B) AJD]]-(TABL12[[#This Row],[(A/B + A/S) AJD]]+TABL12[[#This Row],[(STORGE DIFF.) AJD]]+(TABL12[[#This Row],[AJD_Evaporation]]))</f>
        <v/>
      </c>
      <c r="AE103" s="6" t="n">
        <v>70</v>
      </c>
      <c r="AF103" s="33" t="n">
        <v>58.649</v>
      </c>
      <c r="AG103" s="6" t="n">
        <v>1392450</v>
      </c>
      <c r="AH103" s="6">
        <f>TABL12[[#This Row],[ (RESV. STORGE) BER]]/10</f>
        <v/>
      </c>
      <c r="AI103" s="6" t="n">
        <v>2499</v>
      </c>
      <c r="AJ103" s="6">
        <f>TABL12[[#This Row],[(A/B) AJD]]-TABL12[[#This Row],[BER_IN]]</f>
        <v/>
      </c>
      <c r="AK103" s="6" t="n">
        <v>36</v>
      </c>
      <c r="AL103" s="33" t="n">
        <v>44.652</v>
      </c>
      <c r="AM103" s="6" t="n">
        <v>4010895</v>
      </c>
      <c r="AN103" s="6">
        <f>TABL12[[#This Row],[ (RESV. STORGE) SER]]/10</f>
        <v/>
      </c>
      <c r="AO103" s="6" t="n">
        <v>1375</v>
      </c>
      <c r="AP103" s="32">
        <f>TABL12[[#This Row],[(A/S) AJD]]-TABL12[[#This Row],[SER_IN]]</f>
        <v/>
      </c>
    </row>
    <row r="104">
      <c r="A104" s="2" t="n">
        <v>45760</v>
      </c>
      <c r="B104" s="28" t="n">
        <v>40</v>
      </c>
      <c r="C104" s="28" t="n">
        <v>340</v>
      </c>
      <c r="D104" s="28" t="n">
        <v>40</v>
      </c>
      <c r="E104" s="28" t="n">
        <v>0</v>
      </c>
      <c r="F104" s="28" t="n">
        <v>88</v>
      </c>
      <c r="G104" s="28" t="n">
        <v>529</v>
      </c>
      <c r="H104" s="28" t="n">
        <v>0</v>
      </c>
      <c r="I104" s="28" t="n">
        <v>414</v>
      </c>
      <c r="J104" s="28" t="n">
        <v>433</v>
      </c>
      <c r="K104" s="28">
        <f>TABL12[[#This Row],[ (T/B) SAR]]+TABL12[[#This Row],[ (S/S) SAR]]</f>
        <v/>
      </c>
      <c r="L104" s="28" t="n">
        <v>318</v>
      </c>
      <c r="M104" s="29" t="n">
        <v>24.7</v>
      </c>
      <c r="N104" s="30" t="n">
        <v>7.61</v>
      </c>
      <c r="O104" s="3" t="n">
        <v>385</v>
      </c>
      <c r="P104" s="3">
        <f>TABL12[[#This Row],[ (S/S) SAR]]-TABL12[[#This Row],[(S/S) AJD]]</f>
        <v/>
      </c>
      <c r="Q104" s="3" t="n">
        <v>426</v>
      </c>
      <c r="R104" s="3">
        <f>TABL12[[#This Row],[ (T/B) SAR]]-TABL12[[#This Row],[(T/B) AJD]]</f>
        <v/>
      </c>
      <c r="S104" s="3">
        <f>TABL12[[#This Row],[S/S_CON.]]+TABL12[[#This Row],[T/B-CON.]]</f>
        <v/>
      </c>
      <c r="T104" s="3">
        <f>O104+Q104</f>
        <v/>
      </c>
      <c r="U104" s="3" t="n">
        <v>517</v>
      </c>
      <c r="V104" s="3" t="n">
        <v>293</v>
      </c>
      <c r="W104" s="3">
        <f>U104+V104</f>
        <v/>
      </c>
      <c r="X104" s="3">
        <f>T104-W104</f>
        <v/>
      </c>
      <c r="Y104" s="4" t="n">
        <v>91.92</v>
      </c>
      <c r="Z104" s="3" t="n">
        <v>0</v>
      </c>
      <c r="AA104" s="3">
        <f>TABL12[[#This Row],[(RESV. STORGE) AJD]]/10</f>
        <v/>
      </c>
      <c r="AB104" s="3">
        <f>(Z104-Z103)/1000</f>
        <v/>
      </c>
      <c r="AC104" s="6" t="n">
        <v>0</v>
      </c>
      <c r="AD104" s="5">
        <f>TABL12[[#This Row],[( S/S+T/B) AJD]]-(TABL12[[#This Row],[(A/B + A/S) AJD]]+TABL12[[#This Row],[(STORGE DIFF.) AJD]]+(TABL12[[#This Row],[AJD_Evaporation]]))</f>
        <v/>
      </c>
      <c r="AE104" s="6" t="n">
        <v>70</v>
      </c>
      <c r="AF104" s="33" t="n">
        <v>58.655</v>
      </c>
      <c r="AG104" s="6" t="n">
        <v>1396393</v>
      </c>
      <c r="AH104" s="6">
        <f>TABL12[[#This Row],[ (RESV. STORGE) BER]]/10</f>
        <v/>
      </c>
      <c r="AI104" s="6" t="n">
        <v>2146</v>
      </c>
      <c r="AJ104" s="6">
        <f>TABL12[[#This Row],[(A/B) AJD]]-TABL12[[#This Row],[BER_IN]]</f>
        <v/>
      </c>
      <c r="AK104" s="6" t="n">
        <v>42</v>
      </c>
      <c r="AL104" s="33" t="n">
        <v>44.653</v>
      </c>
      <c r="AM104" s="6" t="n">
        <v>4011449</v>
      </c>
      <c r="AN104" s="6">
        <f>TABL12[[#This Row],[ (RESV. STORGE) SER]]/10</f>
        <v/>
      </c>
      <c r="AO104" s="6" t="n">
        <v>1390</v>
      </c>
      <c r="AP104" s="32">
        <f>TABL12[[#This Row],[(A/S) AJD]]-TABL12[[#This Row],[SER_IN]]</f>
        <v/>
      </c>
    </row>
    <row r="105">
      <c r="A105" s="2" t="n">
        <v>45761</v>
      </c>
      <c r="B105" s="28" t="n">
        <v>39</v>
      </c>
      <c r="C105" s="28" t="n">
        <v>336</v>
      </c>
      <c r="D105" s="28" t="n">
        <v>39</v>
      </c>
      <c r="E105" s="28" t="n">
        <v>0</v>
      </c>
      <c r="F105" s="28" t="n">
        <v>88</v>
      </c>
      <c r="G105" s="28" t="n">
        <v>528</v>
      </c>
      <c r="H105" s="28" t="n">
        <v>0</v>
      </c>
      <c r="I105" s="28" t="n">
        <v>413</v>
      </c>
      <c r="J105" s="28" t="n">
        <v>433</v>
      </c>
      <c r="K105" s="28">
        <f>TABL12[[#This Row],[ (T/B) SAR]]+TABL12[[#This Row],[ (S/S) SAR]]</f>
        <v/>
      </c>
      <c r="L105" s="28" t="n">
        <v>318</v>
      </c>
      <c r="M105" s="29" t="n">
        <v>24.7</v>
      </c>
      <c r="N105" s="30" t="n">
        <v>7.67</v>
      </c>
      <c r="O105" s="3" t="n">
        <v>383</v>
      </c>
      <c r="P105" s="3">
        <f>TABL12[[#This Row],[ (S/S) SAR]]-TABL12[[#This Row],[(S/S) AJD]]</f>
        <v/>
      </c>
      <c r="Q105" s="3" t="n">
        <v>426</v>
      </c>
      <c r="R105" s="3">
        <f>TABL12[[#This Row],[ (T/B) SAR]]-TABL12[[#This Row],[(T/B) AJD]]</f>
        <v/>
      </c>
      <c r="S105" s="3">
        <f>TABL12[[#This Row],[S/S_CON.]]+TABL12[[#This Row],[T/B-CON.]]</f>
        <v/>
      </c>
      <c r="T105" s="3">
        <f>O105+Q105</f>
        <v/>
      </c>
      <c r="U105" s="3" t="n">
        <v>522</v>
      </c>
      <c r="V105" s="3" t="n">
        <v>281</v>
      </c>
      <c r="W105" s="3">
        <f>U105+V105</f>
        <v/>
      </c>
      <c r="X105" s="3">
        <f>T105-W105</f>
        <v/>
      </c>
      <c r="Y105" s="4" t="n">
        <v>91.92</v>
      </c>
      <c r="Z105" s="3" t="n">
        <v>0</v>
      </c>
      <c r="AA105" s="3">
        <f>TABL12[[#This Row],[(RESV. STORGE) AJD]]/10</f>
        <v/>
      </c>
      <c r="AB105" s="3">
        <f>(Z105-Z104)/1000</f>
        <v/>
      </c>
      <c r="AC105" s="6" t="n">
        <v>0</v>
      </c>
      <c r="AD105" s="5">
        <f>TABL12[[#This Row],[( S/S+T/B) AJD]]-(TABL12[[#This Row],[(A/B + A/S) AJD]]+TABL12[[#This Row],[(STORGE DIFF.) AJD]]+(TABL12[[#This Row],[AJD_Evaporation]]))</f>
        <v/>
      </c>
      <c r="AE105" s="6" t="n">
        <v>70</v>
      </c>
      <c r="AF105" s="33" t="n">
        <v>58.66</v>
      </c>
      <c r="AG105" s="6" t="n">
        <v>1399679</v>
      </c>
      <c r="AH105" s="6">
        <f>TABL12[[#This Row],[ (RESV. STORGE) BER]]/10</f>
        <v/>
      </c>
      <c r="AI105" s="6" t="n">
        <v>2803</v>
      </c>
      <c r="AJ105" s="6">
        <f>TABL12[[#This Row],[(A/B) AJD]]-TABL12[[#This Row],[BER_IN]]</f>
        <v/>
      </c>
      <c r="AK105" s="6" t="n">
        <v>36</v>
      </c>
      <c r="AL105" s="33" t="n">
        <v>44.67</v>
      </c>
      <c r="AM105" s="6" t="n">
        <v>4022480</v>
      </c>
      <c r="AN105" s="6">
        <f>TABL12[[#This Row],[ (RESV. STORGE) SER]]/10</f>
        <v/>
      </c>
      <c r="AO105" s="6" t="n">
        <v>1425</v>
      </c>
      <c r="AP105" s="32">
        <f>TABL12[[#This Row],[(A/S) AJD]]-TABL12[[#This Row],[SER_IN]]</f>
        <v/>
      </c>
    </row>
    <row r="106">
      <c r="A106" s="2" t="n">
        <v>45762</v>
      </c>
      <c r="B106" s="28" t="n">
        <v>39</v>
      </c>
      <c r="C106" s="28" t="n">
        <v>333</v>
      </c>
      <c r="D106" s="28" t="n">
        <v>39</v>
      </c>
      <c r="E106" s="28" t="n">
        <v>0</v>
      </c>
      <c r="F106" s="28" t="n">
        <v>88</v>
      </c>
      <c r="G106" s="28" t="n">
        <v>538</v>
      </c>
      <c r="H106" s="28" t="n">
        <v>0</v>
      </c>
      <c r="I106" s="28" t="n">
        <v>420</v>
      </c>
      <c r="J106" s="28" t="n">
        <v>439</v>
      </c>
      <c r="K106" s="28">
        <f>TABL12[[#This Row],[ (T/B) SAR]]+TABL12[[#This Row],[ (S/S) SAR]]</f>
        <v/>
      </c>
      <c r="L106" s="28" t="n">
        <v>321</v>
      </c>
      <c r="M106" s="29" t="n">
        <v>24.7</v>
      </c>
      <c r="N106" s="30" t="n">
        <v>7.73</v>
      </c>
      <c r="O106" s="3" t="n">
        <v>386</v>
      </c>
      <c r="P106" s="3">
        <f>TABL12[[#This Row],[ (S/S) SAR]]-TABL12[[#This Row],[(S/S) AJD]]</f>
        <v/>
      </c>
      <c r="Q106" s="3" t="n">
        <v>428</v>
      </c>
      <c r="R106" s="3">
        <f>TABL12[[#This Row],[ (T/B) SAR]]-TABL12[[#This Row],[(T/B) AJD]]</f>
        <v/>
      </c>
      <c r="S106" s="3">
        <f>TABL12[[#This Row],[S/S_CON.]]+TABL12[[#This Row],[T/B-CON.]]</f>
        <v/>
      </c>
      <c r="T106" s="3">
        <f>O106+Q106</f>
        <v/>
      </c>
      <c r="U106" s="3" t="n">
        <v>549</v>
      </c>
      <c r="V106" s="3" t="n">
        <v>268</v>
      </c>
      <c r="W106" s="3">
        <f>U106+V106</f>
        <v/>
      </c>
      <c r="X106" s="3">
        <f>T106-W106</f>
        <v/>
      </c>
      <c r="Y106" s="4" t="n">
        <v>91.92</v>
      </c>
      <c r="Z106" s="3" t="n">
        <v>0</v>
      </c>
      <c r="AA106" s="3">
        <f>TABL12[[#This Row],[(RESV. STORGE) AJD]]/10</f>
        <v/>
      </c>
      <c r="AB106" s="3">
        <f>(Z106-Z105)/1000</f>
        <v/>
      </c>
      <c r="AC106" s="6" t="n">
        <v>0</v>
      </c>
      <c r="AD106" s="5">
        <f>TABL12[[#This Row],[( S/S+T/B) AJD]]-(TABL12[[#This Row],[(A/B + A/S) AJD]]+TABL12[[#This Row],[(STORGE DIFF.) AJD]]+(TABL12[[#This Row],[AJD_Evaporation]]))</f>
        <v/>
      </c>
      <c r="AE106" s="6" t="n">
        <v>70</v>
      </c>
      <c r="AF106" s="33" t="n">
        <v>58.664</v>
      </c>
      <c r="AG106" s="6" t="n">
        <v>1402309</v>
      </c>
      <c r="AH106" s="6">
        <f>TABL12[[#This Row],[ (RESV. STORGE) BER]]/10</f>
        <v/>
      </c>
      <c r="AI106" s="6" t="n">
        <v>2630</v>
      </c>
      <c r="AJ106" s="6">
        <f>TABL12[[#This Row],[(A/B) AJD]]-TABL12[[#This Row],[BER_IN]]</f>
        <v/>
      </c>
      <c r="AK106" s="6" t="n">
        <v>28</v>
      </c>
      <c r="AL106" s="33" t="n">
        <v>44.6637</v>
      </c>
      <c r="AM106" s="6" t="n">
        <v>4019330</v>
      </c>
      <c r="AN106" s="6">
        <f>TABL12[[#This Row],[ (RESV. STORGE) SER]]/10</f>
        <v/>
      </c>
      <c r="AO106" s="6" t="n">
        <v>1500</v>
      </c>
      <c r="AP106" s="32">
        <f>TABL12[[#This Row],[(A/S) AJD]]-TABL12[[#This Row],[SER_IN]]</f>
        <v/>
      </c>
    </row>
    <row r="107">
      <c r="A107" s="2" t="n">
        <v>45763</v>
      </c>
      <c r="B107" s="28" t="n">
        <v>39</v>
      </c>
      <c r="C107" s="28" t="n">
        <v>313</v>
      </c>
      <c r="D107" s="28" t="n">
        <v>39</v>
      </c>
      <c r="E107" s="28" t="n">
        <v>0</v>
      </c>
      <c r="F107" s="28" t="n">
        <v>88</v>
      </c>
      <c r="G107" s="28" t="n">
        <v>534</v>
      </c>
      <c r="H107" s="28" t="n">
        <v>0</v>
      </c>
      <c r="I107" s="28" t="n">
        <v>417</v>
      </c>
      <c r="J107" s="28" t="n">
        <v>437</v>
      </c>
      <c r="K107" s="28">
        <f>TABL12[[#This Row],[ (T/B) SAR]]+TABL12[[#This Row],[ (S/S) SAR]]</f>
        <v/>
      </c>
      <c r="L107" s="28" t="n">
        <v>320</v>
      </c>
      <c r="M107" s="29" t="n">
        <v>24.7</v>
      </c>
      <c r="N107" s="30" t="n">
        <v>7.72</v>
      </c>
      <c r="O107" s="3" t="n">
        <v>389</v>
      </c>
      <c r="P107" s="3">
        <f>TABL12[[#This Row],[ (S/S) SAR]]-TABL12[[#This Row],[(S/S) AJD]]</f>
        <v/>
      </c>
      <c r="Q107" s="3" t="n">
        <v>431</v>
      </c>
      <c r="R107" s="3">
        <f>TABL12[[#This Row],[ (T/B) SAR]]-TABL12[[#This Row],[(T/B) AJD]]</f>
        <v/>
      </c>
      <c r="S107" s="3">
        <f>TABL12[[#This Row],[S/S_CON.]]+TABL12[[#This Row],[T/B-CON.]]</f>
        <v/>
      </c>
      <c r="T107" s="3">
        <f>O107+Q107</f>
        <v/>
      </c>
      <c r="U107" s="3" t="n">
        <v>533</v>
      </c>
      <c r="V107" s="3" t="n">
        <v>283</v>
      </c>
      <c r="W107" s="3">
        <f>U107+V107</f>
        <v/>
      </c>
      <c r="X107" s="3">
        <f>T107-W107</f>
        <v/>
      </c>
      <c r="Y107" s="4" t="n">
        <v>91.92</v>
      </c>
      <c r="Z107" s="3" t="n">
        <v>0</v>
      </c>
      <c r="AA107" s="3">
        <f>TABL12[[#This Row],[(RESV. STORGE) AJD]]/10</f>
        <v/>
      </c>
      <c r="AB107" s="3">
        <f>(Z107-Z106)/1000</f>
        <v/>
      </c>
      <c r="AC107" s="6" t="n">
        <v>0</v>
      </c>
      <c r="AD107" s="5">
        <f>TABL12[[#This Row],[( S/S+T/B) AJD]]-(TABL12[[#This Row],[(A/B + A/S) AJD]]+TABL12[[#This Row],[(STORGE DIFF.) AJD]]+(TABL12[[#This Row],[AJD_Evaporation]]))</f>
        <v/>
      </c>
      <c r="AE107" s="6" t="n">
        <v>70</v>
      </c>
      <c r="AF107" s="33" t="n">
        <v>58.645</v>
      </c>
      <c r="AG107" s="6" t="n">
        <v>1389821</v>
      </c>
      <c r="AH107" s="6">
        <f>TABL12[[#This Row],[ (RESV. STORGE) BER]]/10</f>
        <v/>
      </c>
      <c r="AI107" s="6" t="n">
        <v>2807</v>
      </c>
      <c r="AJ107" s="6">
        <f>TABL12[[#This Row],[(A/B) AJD]]-TABL12[[#This Row],[BER_IN]]</f>
        <v/>
      </c>
      <c r="AK107" s="6" t="n">
        <v>20</v>
      </c>
      <c r="AL107" s="33" t="n">
        <v>44.6294</v>
      </c>
      <c r="AM107" s="6" t="n">
        <v>4000410</v>
      </c>
      <c r="AN107" s="6">
        <f>TABL12[[#This Row],[ (RESV. STORGE) SER]]/10</f>
        <v/>
      </c>
      <c r="AO107" s="6" t="n">
        <v>1920</v>
      </c>
      <c r="AP107" s="32">
        <f>TABL12[[#This Row],[(A/S) AJD]]-TABL12[[#This Row],[SER_IN]]</f>
        <v/>
      </c>
    </row>
    <row r="108">
      <c r="A108" s="2" t="n">
        <v>45764</v>
      </c>
      <c r="B108" s="28" t="n">
        <v>39</v>
      </c>
      <c r="C108" s="28" t="n">
        <v>329</v>
      </c>
      <c r="D108" s="28" t="n">
        <v>39</v>
      </c>
      <c r="E108" s="28" t="n">
        <v>0</v>
      </c>
      <c r="F108" s="28" t="n">
        <v>88</v>
      </c>
      <c r="G108" s="28" t="n">
        <v>536</v>
      </c>
      <c r="H108" s="28" t="n">
        <v>0</v>
      </c>
      <c r="I108" s="28" t="n">
        <v>418</v>
      </c>
      <c r="J108" s="28" t="n">
        <v>438</v>
      </c>
      <c r="K108" s="28">
        <f>TABL12[[#This Row],[ (T/B) SAR]]+TABL12[[#This Row],[ (S/S) SAR]]</f>
        <v/>
      </c>
      <c r="L108" s="28" t="n">
        <v>320</v>
      </c>
      <c r="M108" s="29" t="n">
        <v>24.7</v>
      </c>
      <c r="N108" s="30" t="n">
        <v>7.75</v>
      </c>
      <c r="O108" s="3" t="n">
        <v>388</v>
      </c>
      <c r="P108" s="3">
        <f>TABL12[[#This Row],[ (S/S) SAR]]-TABL12[[#This Row],[(S/S) AJD]]</f>
        <v/>
      </c>
      <c r="Q108" s="3" t="n">
        <v>431</v>
      </c>
      <c r="R108" s="3">
        <f>TABL12[[#This Row],[ (T/B) SAR]]-TABL12[[#This Row],[(T/B) AJD]]</f>
        <v/>
      </c>
      <c r="S108" s="3">
        <f>TABL12[[#This Row],[S/S_CON.]]+TABL12[[#This Row],[T/B-CON.]]</f>
        <v/>
      </c>
      <c r="T108" s="3">
        <f>O108+Q108</f>
        <v/>
      </c>
      <c r="U108" s="3" t="n">
        <v>548</v>
      </c>
      <c r="V108" s="3" t="n">
        <v>273</v>
      </c>
      <c r="W108" s="3">
        <f>U108+V108</f>
        <v/>
      </c>
      <c r="X108" s="3">
        <f>T108-W108</f>
        <v/>
      </c>
      <c r="Y108" s="4" t="n">
        <v>91.92</v>
      </c>
      <c r="Z108" s="3" t="n">
        <v>0</v>
      </c>
      <c r="AA108" s="3">
        <f>TABL12[[#This Row],[(RESV. STORGE) AJD]]/10</f>
        <v/>
      </c>
      <c r="AB108" s="3">
        <f>(Z108-Z107)/1000</f>
        <v/>
      </c>
      <c r="AC108" s="6" t="n">
        <v>0</v>
      </c>
      <c r="AD108" s="5">
        <f>TABL12[[#This Row],[( S/S+T/B) AJD]]-(TABL12[[#This Row],[(A/B + A/S) AJD]]+TABL12[[#This Row],[(STORGE DIFF.) AJD]]+(TABL12[[#This Row],[AJD_Evaporation]]))</f>
        <v/>
      </c>
      <c r="AE108" s="6" t="n">
        <v>70</v>
      </c>
      <c r="AF108" s="33" t="n">
        <v>58.627</v>
      </c>
      <c r="AG108" s="6" t="n">
        <v>1377944</v>
      </c>
      <c r="AH108" s="6">
        <f>TABL12[[#This Row],[ (RESV. STORGE) BER]]/10</f>
        <v/>
      </c>
      <c r="AI108" s="6" t="n">
        <v>2147</v>
      </c>
      <c r="AJ108" s="6">
        <f>TABL12[[#This Row],[(A/B) AJD]]-TABL12[[#This Row],[BER_IN]]</f>
        <v/>
      </c>
      <c r="AK108" s="6" t="n">
        <v>20</v>
      </c>
      <c r="AL108" s="33" t="n">
        <v>44.6177</v>
      </c>
      <c r="AM108" s="6" t="n">
        <v>3990770</v>
      </c>
      <c r="AN108" s="6">
        <f>TABL12[[#This Row],[ (RESV. STORGE) SER]]/10</f>
        <v/>
      </c>
      <c r="AO108" s="6" t="n">
        <v>1640</v>
      </c>
      <c r="AP108" s="32">
        <f>TABL12[[#This Row],[(A/S) AJD]]-TABL12[[#This Row],[SER_IN]]</f>
        <v/>
      </c>
    </row>
    <row r="109">
      <c r="A109" s="2" t="n">
        <v>45765</v>
      </c>
      <c r="B109" s="28" t="n">
        <v>39</v>
      </c>
      <c r="C109" s="28" t="n">
        <v>327</v>
      </c>
      <c r="D109" s="28" t="n">
        <v>39</v>
      </c>
      <c r="E109" s="28" t="n">
        <v>0</v>
      </c>
      <c r="F109" s="28" t="n">
        <v>88</v>
      </c>
      <c r="G109" s="28" t="n">
        <v>538</v>
      </c>
      <c r="H109" s="28" t="n">
        <v>0</v>
      </c>
      <c r="I109" s="28" t="n">
        <v>420</v>
      </c>
      <c r="J109" s="28" t="n">
        <v>439</v>
      </c>
      <c r="K109" s="28">
        <f>TABL12[[#This Row],[ (T/B) SAR]]+TABL12[[#This Row],[ (S/S) SAR]]</f>
        <v/>
      </c>
      <c r="L109" s="28" t="n">
        <v>321</v>
      </c>
      <c r="M109" s="29" t="n">
        <v>24.7</v>
      </c>
      <c r="N109" s="30" t="n">
        <v>7.7</v>
      </c>
      <c r="O109" s="3" t="n">
        <v>388</v>
      </c>
      <c r="P109" s="3">
        <f>TABL12[[#This Row],[ (S/S) SAR]]-TABL12[[#This Row],[(S/S) AJD]]</f>
        <v/>
      </c>
      <c r="Q109" s="3" t="n">
        <v>430</v>
      </c>
      <c r="R109" s="3">
        <f>TABL12[[#This Row],[ (T/B) SAR]]-TABL12[[#This Row],[(T/B) AJD]]</f>
        <v/>
      </c>
      <c r="S109" s="3">
        <f>TABL12[[#This Row],[S/S_CON.]]+TABL12[[#This Row],[T/B-CON.]]</f>
        <v/>
      </c>
      <c r="T109" s="3">
        <f>O109+Q109</f>
        <v/>
      </c>
      <c r="U109" s="3" t="n">
        <v>555</v>
      </c>
      <c r="V109" s="3" t="n">
        <v>264</v>
      </c>
      <c r="W109" s="3">
        <f>U109+V109</f>
        <v/>
      </c>
      <c r="X109" s="3">
        <f>T109-W109</f>
        <v/>
      </c>
      <c r="Y109" s="4" t="n">
        <v>91.92</v>
      </c>
      <c r="Z109" s="3" t="n">
        <v>0</v>
      </c>
      <c r="AA109" s="3">
        <f>TABL12[[#This Row],[(RESV. STORGE) AJD]]/10</f>
        <v/>
      </c>
      <c r="AB109" s="3">
        <f>(Z109-Z108)/1000</f>
        <v/>
      </c>
      <c r="AC109" s="6" t="n">
        <v>0</v>
      </c>
      <c r="AD109" s="5">
        <f>TABL12[[#This Row],[( S/S+T/B) AJD]]-(TABL12[[#This Row],[(A/B + A/S) AJD]]+TABL12[[#This Row],[(STORGE DIFF.) AJD]]+(TABL12[[#This Row],[AJD_Evaporation]]))</f>
        <v/>
      </c>
      <c r="AE109" s="6" t="n">
        <v>70</v>
      </c>
      <c r="AF109" s="33" t="n">
        <v>58.608</v>
      </c>
      <c r="AG109" s="6" t="n">
        <v>1365513</v>
      </c>
      <c r="AH109" s="6">
        <f>TABL12[[#This Row],[ (RESV. STORGE) BER]]/10</f>
        <v/>
      </c>
      <c r="AI109" s="6" t="n">
        <v>2801</v>
      </c>
      <c r="AJ109" s="6">
        <f>TABL12[[#This Row],[(A/B) AJD]]-TABL12[[#This Row],[BER_IN]]</f>
        <v/>
      </c>
      <c r="AK109" s="6" t="n">
        <v>26</v>
      </c>
      <c r="AL109" s="33" t="n">
        <v>44.6178</v>
      </c>
      <c r="AM109" s="6" t="n">
        <v>3994090</v>
      </c>
      <c r="AN109" s="6">
        <f>TABL12[[#This Row],[ (RESV. STORGE) SER]]/10</f>
        <v/>
      </c>
      <c r="AO109" s="6" t="n">
        <v>1680</v>
      </c>
      <c r="AP109" s="32">
        <f>TABL12[[#This Row],[(A/S) AJD]]-TABL12[[#This Row],[SER_IN]]</f>
        <v/>
      </c>
    </row>
    <row r="110">
      <c r="A110" s="2" t="n">
        <v>45766</v>
      </c>
      <c r="B110" s="28" t="n">
        <v>38</v>
      </c>
      <c r="C110" s="28" t="n">
        <v>317</v>
      </c>
      <c r="D110" s="28" t="n">
        <v>39</v>
      </c>
      <c r="E110" s="28" t="n">
        <v>0</v>
      </c>
      <c r="F110" s="28" t="n">
        <v>88</v>
      </c>
      <c r="G110" s="28" t="n">
        <v>533</v>
      </c>
      <c r="H110" s="28" t="n">
        <v>0</v>
      </c>
      <c r="I110" s="28" t="n">
        <v>417</v>
      </c>
      <c r="J110" s="28" t="n">
        <v>436</v>
      </c>
      <c r="K110" s="28">
        <f>TABL12[[#This Row],[ (T/B) SAR]]+TABL12[[#This Row],[ (S/S) SAR]]</f>
        <v/>
      </c>
      <c r="L110" s="28" t="n">
        <v>320</v>
      </c>
      <c r="M110" s="29" t="n">
        <v>24.7</v>
      </c>
      <c r="N110" s="30" t="n">
        <v>7.82</v>
      </c>
      <c r="O110" s="3" t="n">
        <v>388</v>
      </c>
      <c r="P110" s="3">
        <f>TABL12[[#This Row],[ (S/S) SAR]]-TABL12[[#This Row],[(S/S) AJD]]</f>
        <v/>
      </c>
      <c r="Q110" s="3" t="n">
        <v>430</v>
      </c>
      <c r="R110" s="3">
        <f>TABL12[[#This Row],[ (T/B) SAR]]-TABL12[[#This Row],[(T/B) AJD]]</f>
        <v/>
      </c>
      <c r="S110" s="3">
        <f>TABL12[[#This Row],[S/S_CON.]]+TABL12[[#This Row],[T/B-CON.]]</f>
        <v/>
      </c>
      <c r="T110" s="3">
        <f>O110+Q110</f>
        <v/>
      </c>
      <c r="U110" s="3" t="n">
        <v>537</v>
      </c>
      <c r="V110" s="3" t="n">
        <v>285</v>
      </c>
      <c r="W110" s="3">
        <f>U110+V110</f>
        <v/>
      </c>
      <c r="X110" s="3">
        <f>T110-W110</f>
        <v/>
      </c>
      <c r="Y110" s="4" t="n">
        <v>91.92</v>
      </c>
      <c r="Z110" s="3" t="n">
        <v>0</v>
      </c>
      <c r="AA110" s="3">
        <f>TABL12[[#This Row],[(RESV. STORGE) AJD]]/10</f>
        <v/>
      </c>
      <c r="AB110" s="3">
        <f>(Z110-Z109)/1000</f>
        <v/>
      </c>
      <c r="AC110" s="6" t="n">
        <v>0</v>
      </c>
      <c r="AD110" s="5">
        <f>TABL12[[#This Row],[( S/S+T/B) AJD]]-(TABL12[[#This Row],[(A/B + A/S) AJD]]+TABL12[[#This Row],[(STORGE DIFF.) AJD]]+(TABL12[[#This Row],[AJD_Evaporation]]))</f>
        <v/>
      </c>
      <c r="AE110" s="6" t="n">
        <v>70</v>
      </c>
      <c r="AF110" s="33" t="n">
        <v>58.617</v>
      </c>
      <c r="AG110" s="6" t="n">
        <v>1371425</v>
      </c>
      <c r="AH110" s="6">
        <f>TABL12[[#This Row],[ (RESV. STORGE) BER]]/10</f>
        <v/>
      </c>
      <c r="AI110" s="6" t="n">
        <v>2688</v>
      </c>
      <c r="AJ110" s="6">
        <f>TABL12[[#This Row],[(A/B) AJD]]-TABL12[[#This Row],[BER_IN]]</f>
        <v/>
      </c>
      <c r="AK110" s="6" t="n">
        <v>40</v>
      </c>
      <c r="AL110" s="33" t="n">
        <v>44.6927</v>
      </c>
      <c r="AM110" s="6" t="n">
        <v>4031780</v>
      </c>
      <c r="AN110" s="6">
        <f>TABL12[[#This Row],[ (RESV. STORGE) SER]]/10</f>
        <v/>
      </c>
      <c r="AO110" s="6" t="n">
        <v>2130</v>
      </c>
      <c r="AP110" s="32">
        <f>TABL12[[#This Row],[(A/S) AJD]]-TABL12[[#This Row],[SER_IN]]</f>
        <v/>
      </c>
    </row>
    <row r="111">
      <c r="A111" s="2" t="n">
        <v>45767</v>
      </c>
      <c r="B111" s="28" t="n">
        <v>40</v>
      </c>
      <c r="C111" s="28" t="n">
        <v>324</v>
      </c>
      <c r="D111" s="28" t="n">
        <v>40</v>
      </c>
      <c r="E111" s="28" t="n">
        <v>0</v>
      </c>
      <c r="F111" s="28" t="n">
        <v>88</v>
      </c>
      <c r="G111" s="28" t="n">
        <v>519</v>
      </c>
      <c r="H111" s="28" t="n">
        <v>0</v>
      </c>
      <c r="I111" s="28" t="n">
        <v>411</v>
      </c>
      <c r="J111" s="28" t="n">
        <v>429</v>
      </c>
      <c r="K111" s="28">
        <f>TABL12[[#This Row],[ (T/B) SAR]]+TABL12[[#This Row],[ (S/S) SAR]]</f>
        <v/>
      </c>
      <c r="L111" s="28" t="n">
        <v>321</v>
      </c>
      <c r="M111" s="29" t="n">
        <v>24.7</v>
      </c>
      <c r="N111" s="30" t="n">
        <v>7.82</v>
      </c>
      <c r="O111" s="3" t="n">
        <v>387</v>
      </c>
      <c r="P111" s="3">
        <f>TABL12[[#This Row],[ (S/S) SAR]]-TABL12[[#This Row],[(S/S) AJD]]</f>
        <v/>
      </c>
      <c r="Q111" s="3" t="n">
        <v>428</v>
      </c>
      <c r="R111" s="3">
        <f>TABL12[[#This Row],[ (T/B) SAR]]-TABL12[[#This Row],[(T/B) AJD]]</f>
        <v/>
      </c>
      <c r="S111" s="3">
        <f>TABL12[[#This Row],[S/S_CON.]]+TABL12[[#This Row],[T/B-CON.]]</f>
        <v/>
      </c>
      <c r="T111" s="3">
        <f>O111+Q111</f>
        <v/>
      </c>
      <c r="U111" s="3" t="n">
        <v>526</v>
      </c>
      <c r="V111" s="3" t="n">
        <v>294</v>
      </c>
      <c r="W111" s="3">
        <f>U111+V111</f>
        <v/>
      </c>
      <c r="X111" s="3">
        <f>T111-W111</f>
        <v/>
      </c>
      <c r="Y111" s="4" t="n">
        <v>91.92</v>
      </c>
      <c r="Z111" s="3" t="n">
        <v>0</v>
      </c>
      <c r="AA111" s="3">
        <f>TABL12[[#This Row],[(RESV. STORGE) AJD]]/10</f>
        <v/>
      </c>
      <c r="AB111" s="3">
        <f>(Z111-Z110)/1000</f>
        <v/>
      </c>
      <c r="AC111" s="6" t="n">
        <v>0</v>
      </c>
      <c r="AD111" s="5">
        <f>TABL12[[#This Row],[( S/S+T/B) AJD]]-(TABL12[[#This Row],[(A/B + A/S) AJD]]+TABL12[[#This Row],[(STORGE DIFF.) AJD]]+(TABL12[[#This Row],[AJD_Evaporation]]))</f>
        <v/>
      </c>
      <c r="AE111" s="6" t="n">
        <v>70</v>
      </c>
      <c r="AF111" s="33" t="n">
        <v>58.599</v>
      </c>
      <c r="AG111" s="6" t="n">
        <v>1359602</v>
      </c>
      <c r="AH111" s="6">
        <f>TABL12[[#This Row],[ (RESV. STORGE) BER]]/10</f>
        <v/>
      </c>
      <c r="AI111" s="6" t="n">
        <v>2142</v>
      </c>
      <c r="AJ111" s="6">
        <f>TABL12[[#This Row],[(A/B) AJD]]-TABL12[[#This Row],[BER_IN]]</f>
        <v/>
      </c>
      <c r="AK111" s="6" t="n">
        <v>37</v>
      </c>
      <c r="AL111" s="33" t="n">
        <v>44.7099</v>
      </c>
      <c r="AM111" s="6" t="n">
        <v>4045080</v>
      </c>
      <c r="AN111" s="6">
        <f>TABL12[[#This Row],[ (RESV. STORGE) SER]]/10</f>
        <v/>
      </c>
      <c r="AO111" s="6" t="n">
        <v>1700</v>
      </c>
      <c r="AP111" s="32">
        <f>TABL12[[#This Row],[(A/S) AJD]]-TABL12[[#This Row],[SER_IN]]</f>
        <v/>
      </c>
    </row>
    <row r="112">
      <c r="A112" s="2" t="n">
        <v>45768</v>
      </c>
      <c r="B112" s="28" t="n">
        <v>40</v>
      </c>
      <c r="C112" s="28" t="n">
        <v>333</v>
      </c>
      <c r="D112" s="28" t="n">
        <v>40</v>
      </c>
      <c r="E112" s="28" t="n">
        <v>0</v>
      </c>
      <c r="F112" s="28" t="n">
        <v>88</v>
      </c>
      <c r="G112" s="28" t="n">
        <v>530</v>
      </c>
      <c r="H112" s="28" t="n">
        <v>0</v>
      </c>
      <c r="I112" s="28" t="n">
        <v>417</v>
      </c>
      <c r="J112" s="28" t="n">
        <v>436</v>
      </c>
      <c r="K112" s="28">
        <f>TABL12[[#This Row],[ (T/B) SAR]]+TABL12[[#This Row],[ (S/S) SAR]]</f>
        <v/>
      </c>
      <c r="L112" s="28" t="n">
        <v>323</v>
      </c>
      <c r="M112" s="29" t="n">
        <v>24.7</v>
      </c>
      <c r="N112" s="30" t="n">
        <v>7.89</v>
      </c>
      <c r="O112" s="3" t="n">
        <v>384</v>
      </c>
      <c r="P112" s="3">
        <f>TABL12[[#This Row],[ (S/S) SAR]]-TABL12[[#This Row],[(S/S) AJD]]</f>
        <v/>
      </c>
      <c r="Q112" s="3" t="n">
        <v>427</v>
      </c>
      <c r="R112" s="3">
        <f>TABL12[[#This Row],[ (T/B) SAR]]-TABL12[[#This Row],[(T/B) AJD]]</f>
        <v/>
      </c>
      <c r="S112" s="3">
        <f>TABL12[[#This Row],[S/S_CON.]]+TABL12[[#This Row],[T/B-CON.]]</f>
        <v/>
      </c>
      <c r="T112" s="3">
        <f>O112+Q112</f>
        <v/>
      </c>
      <c r="U112" s="3" t="n">
        <v>545</v>
      </c>
      <c r="V112" s="3" t="n">
        <v>266</v>
      </c>
      <c r="W112" s="3">
        <f>U112+V112</f>
        <v/>
      </c>
      <c r="X112" s="3">
        <f>T112-W112</f>
        <v/>
      </c>
      <c r="Y112" s="4" t="n">
        <v>91.92</v>
      </c>
      <c r="Z112" s="3" t="n">
        <v>0</v>
      </c>
      <c r="AA112" s="3">
        <f>TABL12[[#This Row],[(RESV. STORGE) AJD]]/10</f>
        <v/>
      </c>
      <c r="AB112" s="3">
        <f>(Z112-Z111)/1000</f>
        <v/>
      </c>
      <c r="AC112" s="6" t="n">
        <v>0</v>
      </c>
      <c r="AD112" s="5">
        <f>TABL12[[#This Row],[( S/S+T/B) AJD]]-(TABL12[[#This Row],[(A/B + A/S) AJD]]+TABL12[[#This Row],[(STORGE DIFF.) AJD]]+(TABL12[[#This Row],[AJD_Evaporation]]))</f>
        <v/>
      </c>
      <c r="AE112" s="6" t="n">
        <v>70</v>
      </c>
      <c r="AF112" s="33" t="n">
        <v>58.615</v>
      </c>
      <c r="AG112" s="6" t="n">
        <v>1370111</v>
      </c>
      <c r="AH112" s="6">
        <f>TABL12[[#This Row],[ (RESV. STORGE) BER]]/10</f>
        <v/>
      </c>
      <c r="AI112" s="6" t="n">
        <v>1391</v>
      </c>
      <c r="AJ112" s="6">
        <f>TABL12[[#This Row],[(A/B) AJD]]-TABL12[[#This Row],[BER_IN]]</f>
        <v/>
      </c>
      <c r="AK112" s="6" t="n">
        <v>20</v>
      </c>
      <c r="AL112" s="33" t="n">
        <v>44.7035</v>
      </c>
      <c r="AM112" s="6" t="n">
        <v>4041200</v>
      </c>
      <c r="AN112" s="6">
        <f>TABL12[[#This Row],[ (RESV. STORGE) SER]]/10</f>
        <v/>
      </c>
      <c r="AO112" s="6" t="n">
        <v>1880</v>
      </c>
      <c r="AP112" s="32">
        <f>TABL12[[#This Row],[(A/S) AJD]]-TABL12[[#This Row],[SER_IN]]</f>
        <v/>
      </c>
    </row>
    <row r="113">
      <c r="A113" s="2" t="n">
        <v>45769</v>
      </c>
      <c r="B113" s="28" t="n">
        <v>39</v>
      </c>
      <c r="C113" s="28" t="n">
        <v>321</v>
      </c>
      <c r="D113" s="28" t="n">
        <v>40</v>
      </c>
      <c r="E113" s="28" t="n">
        <v>0</v>
      </c>
      <c r="F113" s="28" t="n">
        <v>88</v>
      </c>
      <c r="G113" s="28" t="n">
        <v>521</v>
      </c>
      <c r="H113" s="28" t="n">
        <v>0</v>
      </c>
      <c r="I113" s="28" t="n">
        <v>412</v>
      </c>
      <c r="J113" s="28" t="n">
        <v>429</v>
      </c>
      <c r="K113" s="28">
        <f>TABL12[[#This Row],[ (T/B) SAR]]+TABL12[[#This Row],[ (S/S) SAR]]</f>
        <v/>
      </c>
      <c r="L113" s="28" t="n">
        <v>320</v>
      </c>
      <c r="M113" s="29" t="n">
        <v>24.7</v>
      </c>
      <c r="N113" s="30" t="n">
        <v>7.92</v>
      </c>
      <c r="O113" s="3" t="n">
        <v>384</v>
      </c>
      <c r="P113" s="3">
        <f>TABL12[[#This Row],[ (S/S) SAR]]-TABL12[[#This Row],[(S/S) AJD]]</f>
        <v/>
      </c>
      <c r="Q113" s="3" t="n">
        <v>426</v>
      </c>
      <c r="R113" s="3">
        <f>TABL12[[#This Row],[ (T/B) SAR]]-TABL12[[#This Row],[(T/B) AJD]]</f>
        <v/>
      </c>
      <c r="S113" s="3">
        <f>TABL12[[#This Row],[S/S_CON.]]+TABL12[[#This Row],[T/B-CON.]]</f>
        <v/>
      </c>
      <c r="T113" s="3">
        <f>O113+Q113</f>
        <v/>
      </c>
      <c r="U113" s="3" t="n">
        <v>529</v>
      </c>
      <c r="V113" s="3" t="n">
        <v>285</v>
      </c>
      <c r="W113" s="3">
        <f>U113+V113</f>
        <v/>
      </c>
      <c r="X113" s="3">
        <f>T113-W113</f>
        <v/>
      </c>
      <c r="Y113" s="4" t="n">
        <v>91.92</v>
      </c>
      <c r="Z113" s="3" t="n">
        <v>0</v>
      </c>
      <c r="AA113" s="3">
        <f>TABL12[[#This Row],[(RESV. STORGE) AJD]]/10</f>
        <v/>
      </c>
      <c r="AB113" s="3">
        <f>(Z113-Z112)/1000</f>
        <v/>
      </c>
      <c r="AC113" s="6" t="n">
        <v>0</v>
      </c>
      <c r="AD113" s="5">
        <f>TABL12[[#This Row],[( S/S+T/B) AJD]]-(TABL12[[#This Row],[(A/B + A/S) AJD]]+TABL12[[#This Row],[(STORGE DIFF.) AJD]]+(TABL12[[#This Row],[AJD_Evaporation]]))</f>
        <v/>
      </c>
      <c r="AE113" s="6" t="n">
        <v>70</v>
      </c>
      <c r="AF113" s="33" t="n">
        <v>58.597</v>
      </c>
      <c r="AG113" s="6" t="n">
        <v>1358289</v>
      </c>
      <c r="AH113" s="6">
        <f>TABL12[[#This Row],[ (RESV. STORGE) BER]]/10</f>
        <v/>
      </c>
      <c r="AI113" s="6" t="n">
        <v>2142</v>
      </c>
      <c r="AJ113" s="6">
        <f>TABL12[[#This Row],[(A/B) AJD]]-TABL12[[#This Row],[BER_IN]]</f>
        <v/>
      </c>
      <c r="AK113" s="6" t="n">
        <v>20</v>
      </c>
      <c r="AL113" s="33" t="n">
        <v>44.6714</v>
      </c>
      <c r="AM113" s="6" t="n">
        <v>4023460</v>
      </c>
      <c r="AN113" s="6">
        <f>TABL12[[#This Row],[ (RESV. STORGE) SER]]/10</f>
        <v/>
      </c>
      <c r="AO113" s="6" t="n">
        <v>1740</v>
      </c>
      <c r="AP113" s="32">
        <f>TABL12[[#This Row],[(A/S) AJD]]-TABL12[[#This Row],[SER_IN]]</f>
        <v/>
      </c>
    </row>
    <row r="114">
      <c r="A114" s="2" t="n">
        <v>45770</v>
      </c>
      <c r="B114" s="28" t="n">
        <v>39</v>
      </c>
      <c r="C114" s="28" t="n">
        <v>322</v>
      </c>
      <c r="D114" s="28" t="n">
        <v>40</v>
      </c>
      <c r="E114" s="28" t="n">
        <v>0</v>
      </c>
      <c r="F114" s="28" t="n">
        <v>88</v>
      </c>
      <c r="G114" s="28" t="n">
        <v>530</v>
      </c>
      <c r="H114" s="28" t="n">
        <v>0</v>
      </c>
      <c r="I114" s="28" t="n">
        <v>417</v>
      </c>
      <c r="J114" s="28" t="n">
        <v>436</v>
      </c>
      <c r="K114" s="28">
        <f>TABL12[[#This Row],[ (T/B) SAR]]+TABL12[[#This Row],[ (S/S) SAR]]</f>
        <v/>
      </c>
      <c r="L114" s="28" t="n">
        <v>323</v>
      </c>
      <c r="M114" s="29" t="n">
        <v>24.7</v>
      </c>
      <c r="N114" s="30" t="n">
        <v>7.91</v>
      </c>
      <c r="O114" s="3" t="n">
        <v>384</v>
      </c>
      <c r="P114" s="3">
        <f>TABL12[[#This Row],[ (S/S) SAR]]-TABL12[[#This Row],[(S/S) AJD]]</f>
        <v/>
      </c>
      <c r="Q114" s="3" t="n">
        <v>426</v>
      </c>
      <c r="R114" s="3">
        <f>TABL12[[#This Row],[ (T/B) SAR]]-TABL12[[#This Row],[(T/B) AJD]]</f>
        <v/>
      </c>
      <c r="S114" s="3">
        <f>TABL12[[#This Row],[S/S_CON.]]+TABL12[[#This Row],[T/B-CON.]]</f>
        <v/>
      </c>
      <c r="T114" s="3">
        <f>O114+Q114</f>
        <v/>
      </c>
      <c r="U114" s="3" t="n">
        <v>550</v>
      </c>
      <c r="V114" s="3" t="n">
        <v>261</v>
      </c>
      <c r="W114" s="3">
        <f>U114+V114</f>
        <v/>
      </c>
      <c r="X114" s="3">
        <f>T114-W114</f>
        <v/>
      </c>
      <c r="Y114" s="4" t="n">
        <v>91.92</v>
      </c>
      <c r="Z114" s="3" t="n">
        <v>0</v>
      </c>
      <c r="AA114" s="3">
        <f>TABL12[[#This Row],[(RESV. STORGE) AJD]]/10</f>
        <v/>
      </c>
      <c r="AB114" s="3">
        <f>(Z114-Z113)/1000</f>
        <v/>
      </c>
      <c r="AC114" s="6" t="n">
        <v>0</v>
      </c>
      <c r="AD114" s="5">
        <f>TABL12[[#This Row],[( S/S+T/B) AJD]]-(TABL12[[#This Row],[(A/B + A/S) AJD]]+TABL12[[#This Row],[(STORGE DIFF.) AJD]]+(TABL12[[#This Row],[AJD_Evaporation]]))</f>
        <v/>
      </c>
      <c r="AE114" s="6" t="n">
        <v>70</v>
      </c>
      <c r="AF114" s="33" t="n">
        <v>58.599</v>
      </c>
      <c r="AG114" s="6" t="n">
        <v>1359602</v>
      </c>
      <c r="AH114" s="6">
        <f>TABL12[[#This Row],[ (RESV. STORGE) BER]]/10</f>
        <v/>
      </c>
      <c r="AI114" s="6" t="n">
        <v>2286</v>
      </c>
      <c r="AJ114" s="6">
        <f>TABL12[[#This Row],[(A/B) AJD]]-TABL12[[#This Row],[BER_IN]]</f>
        <v/>
      </c>
      <c r="AK114" s="6" t="n">
        <v>20</v>
      </c>
      <c r="AL114" s="33" t="n">
        <v>44.6286</v>
      </c>
      <c r="AM114" s="6" t="n">
        <v>4000190</v>
      </c>
      <c r="AN114" s="6">
        <f>TABL12[[#This Row],[ (RESV. STORGE) SER]]/10</f>
        <v/>
      </c>
      <c r="AO114" s="6" t="n">
        <v>1270</v>
      </c>
      <c r="AP114" s="32">
        <f>TABL12[[#This Row],[(A/S) AJD]]-TABL12[[#This Row],[SER_IN]]</f>
        <v/>
      </c>
    </row>
    <row r="115">
      <c r="A115" s="2" t="n">
        <v>45771</v>
      </c>
      <c r="B115" s="28" t="n">
        <v>40</v>
      </c>
      <c r="C115" s="28" t="n">
        <v>334</v>
      </c>
      <c r="D115" s="28" t="n">
        <v>40</v>
      </c>
      <c r="E115" s="28" t="n">
        <v>0</v>
      </c>
      <c r="F115" s="28" t="n">
        <v>88</v>
      </c>
      <c r="G115" s="28" t="n">
        <v>528</v>
      </c>
      <c r="H115" s="28" t="n">
        <v>0</v>
      </c>
      <c r="I115" s="28" t="n">
        <v>416</v>
      </c>
      <c r="J115" s="28" t="n">
        <v>436</v>
      </c>
      <c r="K115" s="28">
        <f>TABL12[[#This Row],[ (T/B) SAR]]+TABL12[[#This Row],[ (S/S) SAR]]</f>
        <v/>
      </c>
      <c r="L115" s="28" t="n">
        <v>324</v>
      </c>
      <c r="M115" s="29" t="n">
        <v>24.7</v>
      </c>
      <c r="N115" s="30" t="n">
        <v>7.96</v>
      </c>
      <c r="O115" s="3" t="n">
        <v>384</v>
      </c>
      <c r="P115" s="3">
        <f>TABL12[[#This Row],[ (S/S) SAR]]-TABL12[[#This Row],[(S/S) AJD]]</f>
        <v/>
      </c>
      <c r="Q115" s="3" t="n">
        <v>426</v>
      </c>
      <c r="R115" s="3">
        <f>TABL12[[#This Row],[ (T/B) SAR]]-TABL12[[#This Row],[(T/B) AJD]]</f>
        <v/>
      </c>
      <c r="S115" s="3">
        <f>TABL12[[#This Row],[S/S_CON.]]+TABL12[[#This Row],[T/B-CON.]]</f>
        <v/>
      </c>
      <c r="T115" s="3">
        <f>O115+Q115</f>
        <v/>
      </c>
      <c r="U115" s="3" t="n">
        <v>545</v>
      </c>
      <c r="V115" s="3" t="n">
        <v>268</v>
      </c>
      <c r="W115" s="3">
        <f>U115+V115</f>
        <v/>
      </c>
      <c r="X115" s="3">
        <f>T115-W115</f>
        <v/>
      </c>
      <c r="Y115" s="4" t="n">
        <v>91.92</v>
      </c>
      <c r="Z115" s="3" t="n">
        <v>0</v>
      </c>
      <c r="AA115" s="3">
        <f>TABL12[[#This Row],[(RESV. STORGE) AJD]]/10</f>
        <v/>
      </c>
      <c r="AB115" s="3">
        <f>(Z115-Z114)/1000</f>
        <v/>
      </c>
      <c r="AC115" s="6" t="n">
        <v>0</v>
      </c>
      <c r="AD115" s="5">
        <f>TABL12[[#This Row],[( S/S+T/B) AJD]]-(TABL12[[#This Row],[(A/B + A/S) AJD]]+TABL12[[#This Row],[(STORGE DIFF.) AJD]]+(TABL12[[#This Row],[AJD_Evaporation]]))</f>
        <v/>
      </c>
      <c r="AE115" s="6" t="n">
        <v>70</v>
      </c>
      <c r="AF115" s="33" t="n">
        <v>58.611</v>
      </c>
      <c r="AG115" s="6" t="n">
        <v>1367484</v>
      </c>
      <c r="AH115" s="6">
        <f>TABL12[[#This Row],[ (RESV. STORGE) BER]]/10</f>
        <v/>
      </c>
      <c r="AI115" s="6" t="n">
        <v>2358</v>
      </c>
      <c r="AJ115" s="6">
        <f>TABL12[[#This Row],[(A/B) AJD]]-TABL12[[#This Row],[BER_IN]]</f>
        <v/>
      </c>
      <c r="AK115" s="6" t="n">
        <v>20</v>
      </c>
      <c r="AL115" s="33" t="n">
        <v>44.4783</v>
      </c>
      <c r="AM115" s="6" t="n">
        <v>3917180</v>
      </c>
      <c r="AN115" s="6">
        <f>TABL12[[#This Row],[ (RESV. STORGE) SER]]/10</f>
        <v/>
      </c>
      <c r="AO115" s="6" t="n">
        <v>1010</v>
      </c>
      <c r="AP115" s="32">
        <f>TABL12[[#This Row],[(A/S) AJD]]-TABL12[[#This Row],[SER_IN]]</f>
        <v/>
      </c>
    </row>
    <row r="116">
      <c r="A116" s="2" t="n">
        <v>45772</v>
      </c>
      <c r="B116" s="28" t="n">
        <v>40</v>
      </c>
      <c r="C116" s="28" t="n">
        <v>334</v>
      </c>
      <c r="D116" s="28" t="n">
        <v>40</v>
      </c>
      <c r="E116" s="28" t="n">
        <v>0</v>
      </c>
      <c r="F116" s="28" t="n">
        <v>88</v>
      </c>
      <c r="G116" s="28" t="n">
        <v>529</v>
      </c>
      <c r="H116" s="28" t="n">
        <v>0</v>
      </c>
      <c r="I116" s="28" t="n">
        <v>417</v>
      </c>
      <c r="J116" s="28" t="n">
        <v>436</v>
      </c>
      <c r="K116" s="28">
        <f>TABL12[[#This Row],[ (T/B) SAR]]+TABL12[[#This Row],[ (S/S) SAR]]</f>
        <v/>
      </c>
      <c r="L116" s="28" t="n">
        <v>324</v>
      </c>
      <c r="M116" s="29" t="n">
        <v>24.7</v>
      </c>
      <c r="N116" s="30" t="n">
        <v>8.08</v>
      </c>
      <c r="O116" s="3" t="n">
        <v>385</v>
      </c>
      <c r="P116" s="3">
        <f>TABL12[[#This Row],[ (S/S) SAR]]-TABL12[[#This Row],[(S/S) AJD]]</f>
        <v/>
      </c>
      <c r="Q116" s="3" t="n">
        <v>427</v>
      </c>
      <c r="R116" s="3">
        <f>TABL12[[#This Row],[ (T/B) SAR]]-TABL12[[#This Row],[(T/B) AJD]]</f>
        <v/>
      </c>
      <c r="S116" s="3">
        <f>TABL12[[#This Row],[S/S_CON.]]+TABL12[[#This Row],[T/B-CON.]]</f>
        <v/>
      </c>
      <c r="T116" s="3">
        <f>O116+Q116</f>
        <v/>
      </c>
      <c r="U116" s="3" t="n">
        <v>539</v>
      </c>
      <c r="V116" s="3" t="n">
        <v>274</v>
      </c>
      <c r="W116" s="3">
        <f>U116+V116</f>
        <v/>
      </c>
      <c r="X116" s="3">
        <f>T116-W116</f>
        <v/>
      </c>
      <c r="Y116" s="4" t="n">
        <v>91.92</v>
      </c>
      <c r="Z116" s="3" t="n">
        <v>0</v>
      </c>
      <c r="AA116" s="3">
        <f>TABL12[[#This Row],[(RESV. STORGE) AJD]]/10</f>
        <v/>
      </c>
      <c r="AB116" s="3">
        <f>(Z116-Z115)/1000</f>
        <v/>
      </c>
      <c r="AC116" s="6" t="n">
        <v>0</v>
      </c>
      <c r="AD116" s="5">
        <f>TABL12[[#This Row],[( S/S+T/B) AJD]]-(TABL12[[#This Row],[(A/B + A/S) AJD]]+TABL12[[#This Row],[(STORGE DIFF.) AJD]]+(TABL12[[#This Row],[AJD_Evaporation]]))</f>
        <v/>
      </c>
      <c r="AE116" s="6" t="n">
        <v>70</v>
      </c>
      <c r="AF116" s="33" t="n">
        <v>58.623</v>
      </c>
      <c r="AG116" s="6" t="n">
        <v>1375366</v>
      </c>
      <c r="AH116" s="6">
        <f>TABL12[[#This Row],[ (RESV. STORGE) BER]]/10</f>
        <v/>
      </c>
      <c r="AI116" s="6" t="n">
        <v>2357</v>
      </c>
      <c r="AJ116" s="6">
        <f>TABL12[[#This Row],[(A/B) AJD]]-TABL12[[#This Row],[BER_IN]]</f>
        <v/>
      </c>
      <c r="AK116" s="6" t="n">
        <v>20</v>
      </c>
      <c r="AL116" s="33" t="n">
        <v>44.3194</v>
      </c>
      <c r="AM116" s="6" t="n">
        <v>3828830</v>
      </c>
      <c r="AN116" s="6">
        <f>TABL12[[#This Row],[ (RESV. STORGE) SER]]/10</f>
        <v/>
      </c>
      <c r="AO116" s="6" t="n">
        <v>1350</v>
      </c>
      <c r="AP116" s="32">
        <f>TABL12[[#This Row],[(A/S) AJD]]-TABL12[[#This Row],[SER_IN]]</f>
        <v/>
      </c>
    </row>
    <row r="117">
      <c r="A117" s="2" t="n">
        <v>45773</v>
      </c>
      <c r="B117" s="28" t="n">
        <v>40</v>
      </c>
      <c r="C117" s="28" t="n">
        <v>330</v>
      </c>
      <c r="D117" s="28" t="n">
        <v>40</v>
      </c>
      <c r="E117" s="28" t="n">
        <v>0</v>
      </c>
      <c r="F117" s="28" t="n">
        <v>88</v>
      </c>
      <c r="G117" s="28" t="n">
        <v>524</v>
      </c>
      <c r="H117" s="28" t="n">
        <v>0</v>
      </c>
      <c r="I117" s="28" t="n">
        <v>415</v>
      </c>
      <c r="J117" s="28" t="n">
        <v>434</v>
      </c>
      <c r="K117" s="28">
        <f>TABL12[[#This Row],[ (T/B) SAR]]+TABL12[[#This Row],[ (S/S) SAR]]</f>
        <v/>
      </c>
      <c r="L117" s="28" t="n">
        <v>325</v>
      </c>
      <c r="M117" s="29" t="n">
        <v>24.7</v>
      </c>
      <c r="N117" s="30" t="n">
        <v>8.109999999999999</v>
      </c>
      <c r="O117" s="3" t="n">
        <v>385</v>
      </c>
      <c r="P117" s="3">
        <f>TABL12[[#This Row],[ (S/S) SAR]]-TABL12[[#This Row],[(S/S) AJD]]</f>
        <v/>
      </c>
      <c r="Q117" s="3" t="n">
        <v>427</v>
      </c>
      <c r="R117" s="3">
        <f>TABL12[[#This Row],[ (T/B) SAR]]-TABL12[[#This Row],[(T/B) AJD]]</f>
        <v/>
      </c>
      <c r="S117" s="3">
        <f>TABL12[[#This Row],[S/S_CON.]]+TABL12[[#This Row],[T/B-CON.]]</f>
        <v/>
      </c>
      <c r="T117" s="3">
        <f>O117+Q117</f>
        <v/>
      </c>
      <c r="U117" s="3" t="n">
        <v>532</v>
      </c>
      <c r="V117" s="3" t="n">
        <v>283</v>
      </c>
      <c r="W117" s="3">
        <f>U117+V117</f>
        <v/>
      </c>
      <c r="X117" s="3">
        <f>T117-W117</f>
        <v/>
      </c>
      <c r="Y117" s="4" t="n">
        <v>91.92</v>
      </c>
      <c r="Z117" s="3" t="n">
        <v>0</v>
      </c>
      <c r="AA117" s="3">
        <f>TABL12[[#This Row],[(RESV. STORGE) AJD]]/10</f>
        <v/>
      </c>
      <c r="AB117" s="3">
        <f>(Z117-Z116)/1000</f>
        <v/>
      </c>
      <c r="AC117" s="6" t="n">
        <v>0</v>
      </c>
      <c r="AD117" s="5">
        <f>TABL12[[#This Row],[( S/S+T/B) AJD]]-(TABL12[[#This Row],[(A/B + A/S) AJD]]+TABL12[[#This Row],[(STORGE DIFF.) AJD]]+(TABL12[[#This Row],[AJD_Evaporation]]))</f>
        <v/>
      </c>
      <c r="AE117" s="6" t="n">
        <v>70</v>
      </c>
      <c r="AF117" s="33" t="n">
        <v>58.635</v>
      </c>
      <c r="AG117" s="6" t="n">
        <v>1383250</v>
      </c>
      <c r="AH117" s="6">
        <f>TABL12[[#This Row],[ (RESV. STORGE) BER]]/10</f>
        <v/>
      </c>
      <c r="AI117" s="6" t="n">
        <v>2355</v>
      </c>
      <c r="AJ117" s="6">
        <f>TABL12[[#This Row],[(A/B) AJD]]-TABL12[[#This Row],[BER_IN]]</f>
        <v/>
      </c>
      <c r="AK117" s="6" t="n">
        <v>20</v>
      </c>
      <c r="AL117" s="33" t="n">
        <v>44.1898</v>
      </c>
      <c r="AM117" s="6" t="n">
        <v>3757750</v>
      </c>
      <c r="AN117" s="6">
        <f>TABL12[[#This Row],[ (RESV. STORGE) SER]]/10</f>
        <v/>
      </c>
      <c r="AO117" s="6" t="n">
        <v>1080</v>
      </c>
      <c r="AP117" s="32">
        <f>TABL12[[#This Row],[(A/S) AJD]]-TABL12[[#This Row],[SER_IN]]</f>
        <v/>
      </c>
    </row>
    <row r="118">
      <c r="A118" s="2" t="n">
        <v>45774</v>
      </c>
      <c r="B118" s="28" t="n">
        <v>38</v>
      </c>
      <c r="C118" s="28" t="n">
        <v>313</v>
      </c>
      <c r="D118" s="28" t="n">
        <v>38</v>
      </c>
      <c r="E118" s="28" t="n">
        <v>0</v>
      </c>
      <c r="F118" s="28" t="n">
        <v>88</v>
      </c>
      <c r="G118" s="28" t="n">
        <v>529</v>
      </c>
      <c r="H118" s="28" t="n">
        <v>0</v>
      </c>
      <c r="I118" s="28" t="n">
        <v>418</v>
      </c>
      <c r="J118" s="28" t="n">
        <v>436</v>
      </c>
      <c r="K118" s="28">
        <f>TABL12[[#This Row],[ (T/B) SAR]]+TABL12[[#This Row],[ (S/S) SAR]]</f>
        <v/>
      </c>
      <c r="L118" s="28" t="n">
        <v>325</v>
      </c>
      <c r="M118" s="29" t="n">
        <v>24.7</v>
      </c>
      <c r="N118" s="30" t="n">
        <v>8.07</v>
      </c>
      <c r="O118" s="3" t="n">
        <v>386</v>
      </c>
      <c r="P118" s="3">
        <f>TABL12[[#This Row],[ (S/S) SAR]]-TABL12[[#This Row],[(S/S) AJD]]</f>
        <v/>
      </c>
      <c r="Q118" s="3" t="n">
        <v>429</v>
      </c>
      <c r="R118" s="3">
        <f>TABL12[[#This Row],[ (T/B) SAR]]-TABL12[[#This Row],[(T/B) AJD]]</f>
        <v/>
      </c>
      <c r="S118" s="3">
        <f>TABL12[[#This Row],[S/S_CON.]]+TABL12[[#This Row],[T/B-CON.]]</f>
        <v/>
      </c>
      <c r="T118" s="3">
        <f>O118+Q118</f>
        <v/>
      </c>
      <c r="U118" s="3" t="n">
        <v>541</v>
      </c>
      <c r="V118" s="3" t="n">
        <v>278</v>
      </c>
      <c r="W118" s="3">
        <f>U118+V118</f>
        <v/>
      </c>
      <c r="X118" s="3">
        <f>T118-W118</f>
        <v/>
      </c>
      <c r="Y118" s="4" t="n">
        <v>91.92</v>
      </c>
      <c r="Z118" s="3" t="n">
        <v>0</v>
      </c>
      <c r="AA118" s="3">
        <f>TABL12[[#This Row],[(RESV. STORGE) AJD]]/10</f>
        <v/>
      </c>
      <c r="AB118" s="3">
        <f>(Z118-Z117)/1000</f>
        <v/>
      </c>
      <c r="AC118" s="6" t="n">
        <v>0</v>
      </c>
      <c r="AD118" s="5">
        <f>TABL12[[#This Row],[( S/S+T/B) AJD]]-(TABL12[[#This Row],[(A/B + A/S) AJD]]+TABL12[[#This Row],[(STORGE DIFF.) AJD]]+(TABL12[[#This Row],[AJD_Evaporation]]))</f>
        <v/>
      </c>
      <c r="AE118" s="6" t="n">
        <v>70</v>
      </c>
      <c r="AF118" s="33" t="n">
        <v>58.655</v>
      </c>
      <c r="AG118" s="6" t="n">
        <v>1396393</v>
      </c>
      <c r="AH118" s="6">
        <f>TABL12[[#This Row],[ (RESV. STORGE) BER]]/10</f>
        <v/>
      </c>
      <c r="AI118" s="6" t="n">
        <v>2077</v>
      </c>
      <c r="AJ118" s="6">
        <f>TABL12[[#This Row],[(A/B) AJD]]-TABL12[[#This Row],[BER_IN]]</f>
        <v/>
      </c>
      <c r="AK118" s="6" t="n">
        <v>20</v>
      </c>
      <c r="AL118" s="33" t="n">
        <v>44.0642</v>
      </c>
      <c r="AM118" s="6" t="n">
        <v>3688110</v>
      </c>
      <c r="AN118" s="6">
        <f>TABL12[[#This Row],[ (RESV. STORGE) SER]]/10</f>
        <v/>
      </c>
      <c r="AO118" s="6" t="n">
        <v>1640</v>
      </c>
      <c r="AP118" s="32">
        <f>TABL12[[#This Row],[(A/S) AJD]]-TABL12[[#This Row],[SER_IN]]</f>
        <v/>
      </c>
    </row>
    <row r="119">
      <c r="A119" s="2" t="n">
        <v>45775</v>
      </c>
      <c r="B119" s="28" t="n">
        <v>38</v>
      </c>
      <c r="C119" s="28" t="n">
        <v>302</v>
      </c>
      <c r="D119" s="28" t="n">
        <v>36</v>
      </c>
      <c r="E119" s="28" t="n">
        <v>0</v>
      </c>
      <c r="F119" s="28" t="n">
        <v>88</v>
      </c>
      <c r="G119" s="28" t="n">
        <v>526</v>
      </c>
      <c r="H119" s="28" t="n">
        <v>0</v>
      </c>
      <c r="I119" s="28" t="n">
        <v>416</v>
      </c>
      <c r="J119" s="28" t="n">
        <v>435</v>
      </c>
      <c r="K119" s="28">
        <f>TABL12[[#This Row],[ (T/B) SAR]]+TABL12[[#This Row],[ (S/S) SAR]]</f>
        <v/>
      </c>
      <c r="L119" s="28" t="n">
        <v>325</v>
      </c>
      <c r="M119" s="29" t="n">
        <v>24.7</v>
      </c>
      <c r="N119" s="30" t="n">
        <v>7.97</v>
      </c>
      <c r="O119" s="3" t="n">
        <v>386</v>
      </c>
      <c r="P119" s="3">
        <f>TABL12[[#This Row],[ (S/S) SAR]]-TABL12[[#This Row],[(S/S) AJD]]</f>
        <v/>
      </c>
      <c r="Q119" s="3" t="n">
        <v>428</v>
      </c>
      <c r="R119" s="3">
        <f>TABL12[[#This Row],[ (T/B) SAR]]-TABL12[[#This Row],[(T/B) AJD]]</f>
        <v/>
      </c>
      <c r="S119" s="3">
        <f>TABL12[[#This Row],[S/S_CON.]]+TABL12[[#This Row],[T/B-CON.]]</f>
        <v/>
      </c>
      <c r="T119" s="3">
        <f>O119+Q119</f>
        <v/>
      </c>
      <c r="U119" s="3" t="n">
        <v>518</v>
      </c>
      <c r="V119" s="3" t="n">
        <v>298</v>
      </c>
      <c r="W119" s="3">
        <f>U119+V119</f>
        <v/>
      </c>
      <c r="X119" s="3">
        <f>T119-W119</f>
        <v/>
      </c>
      <c r="Y119" s="4" t="n">
        <v>91.92</v>
      </c>
      <c r="Z119" s="3" t="n">
        <v>0</v>
      </c>
      <c r="AA119" s="3">
        <f>TABL12[[#This Row],[(RESV. STORGE) AJD]]/10</f>
        <v/>
      </c>
      <c r="AB119" s="3">
        <f>(Z119-Z118)/1000</f>
        <v/>
      </c>
      <c r="AC119" s="6" t="n">
        <v>0</v>
      </c>
      <c r="AD119" s="5">
        <f>TABL12[[#This Row],[( S/S+T/B) AJD]]-(TABL12[[#This Row],[(A/B + A/S) AJD]]+TABL12[[#This Row],[(STORGE DIFF.) AJD]]+(TABL12[[#This Row],[AJD_Evaporation]]))</f>
        <v/>
      </c>
      <c r="AE119" s="6" t="n">
        <v>70</v>
      </c>
      <c r="AF119" s="33" t="n">
        <v>58.657</v>
      </c>
      <c r="AG119" s="6" t="n">
        <v>1397708</v>
      </c>
      <c r="AH119" s="6">
        <f>TABL12[[#This Row],[ (RESV. STORGE) BER]]/10</f>
        <v/>
      </c>
      <c r="AI119" s="6" t="n">
        <v>2285</v>
      </c>
      <c r="AJ119" s="6">
        <f>TABL12[[#This Row],[(A/B) AJD]]-TABL12[[#This Row],[BER_IN]]</f>
        <v/>
      </c>
      <c r="AK119" s="6" t="n">
        <v>20</v>
      </c>
      <c r="AL119" s="33" t="n">
        <v>44.0055</v>
      </c>
      <c r="AM119" s="6" t="n">
        <v>3656590</v>
      </c>
      <c r="AN119" s="6">
        <f>TABL12[[#This Row],[ (RESV. STORGE) SER]]/10</f>
        <v/>
      </c>
      <c r="AO119" s="6" t="n">
        <v>1520</v>
      </c>
      <c r="AP119" s="32">
        <f>TABL12[[#This Row],[(A/S) AJD]]-TABL12[[#This Row],[SER_IN]]</f>
        <v/>
      </c>
    </row>
    <row r="120">
      <c r="A120" s="2" t="n">
        <v>45776</v>
      </c>
      <c r="B120" s="28" t="n">
        <v>38</v>
      </c>
      <c r="C120" s="28" t="n">
        <v>313</v>
      </c>
      <c r="D120" s="28" t="n">
        <v>38</v>
      </c>
      <c r="E120" s="28" t="n">
        <v>0</v>
      </c>
      <c r="F120" s="28" t="n">
        <v>88</v>
      </c>
      <c r="G120" s="28" t="n">
        <v>529</v>
      </c>
      <c r="H120" s="28" t="n">
        <v>0</v>
      </c>
      <c r="I120" s="28" t="n">
        <v>417</v>
      </c>
      <c r="J120" s="28" t="n">
        <v>436</v>
      </c>
      <c r="K120" s="28">
        <f>TABL12[[#This Row],[ (T/B) SAR]]+TABL12[[#This Row],[ (S/S) SAR]]</f>
        <v/>
      </c>
      <c r="L120" s="28" t="n">
        <v>324</v>
      </c>
      <c r="M120" s="29" t="n">
        <v>24.7</v>
      </c>
      <c r="N120" s="30" t="n">
        <v>7.87</v>
      </c>
      <c r="O120" s="3" t="n">
        <v>384</v>
      </c>
      <c r="P120" s="3">
        <f>TABL12[[#This Row],[ (S/S) SAR]]-TABL12[[#This Row],[(S/S) AJD]]</f>
        <v/>
      </c>
      <c r="Q120" s="3" t="n">
        <v>426</v>
      </c>
      <c r="R120" s="3">
        <f>TABL12[[#This Row],[ (T/B) SAR]]-TABL12[[#This Row],[(T/B) AJD]]</f>
        <v/>
      </c>
      <c r="S120" s="3">
        <f>TABL12[[#This Row],[S/S_CON.]]+TABL12[[#This Row],[T/B-CON.]]</f>
        <v/>
      </c>
      <c r="T120" s="3">
        <f>O120+Q120</f>
        <v/>
      </c>
      <c r="U120" s="3" t="n">
        <v>531</v>
      </c>
      <c r="V120" s="3" t="n">
        <v>281</v>
      </c>
      <c r="W120" s="3">
        <f>U120+V120</f>
        <v/>
      </c>
      <c r="X120" s="3">
        <f>T120-W120</f>
        <v/>
      </c>
      <c r="Y120" s="4" t="n">
        <v>91.92</v>
      </c>
      <c r="Z120" s="3" t="n">
        <v>0</v>
      </c>
      <c r="AA120" s="3">
        <f>TABL12[[#This Row],[(RESV. STORGE) AJD]]/10</f>
        <v/>
      </c>
      <c r="AB120" s="3">
        <f>(Z120-Z119)/1000</f>
        <v/>
      </c>
      <c r="AC120" s="6" t="n">
        <v>0</v>
      </c>
      <c r="AD120" s="5">
        <f>TABL12[[#This Row],[( S/S+T/B) AJD]]-(TABL12[[#This Row],[(A/B + A/S) AJD]]+TABL12[[#This Row],[(STORGE DIFF.) AJD]]+(TABL12[[#This Row],[AJD_Evaporation]]))</f>
        <v/>
      </c>
      <c r="AE120" s="6" t="n">
        <v>70</v>
      </c>
      <c r="AF120" s="33" t="n">
        <v>58.639</v>
      </c>
      <c r="AG120" s="6" t="n">
        <v>1385879</v>
      </c>
      <c r="AH120" s="6">
        <f>TABL12[[#This Row],[ (RESV. STORGE) BER]]/10</f>
        <v/>
      </c>
      <c r="AI120" s="6" t="n">
        <v>2148</v>
      </c>
      <c r="AJ120" s="6">
        <f>TABL12[[#This Row],[(A/B) AJD]]-TABL12[[#This Row],[BER_IN]]</f>
        <v/>
      </c>
      <c r="AK120" s="6" t="n">
        <v>20</v>
      </c>
      <c r="AL120" s="33" t="n">
        <v>44.0396</v>
      </c>
      <c r="AM120" s="6" t="n">
        <v>3675140</v>
      </c>
      <c r="AN120" s="6">
        <f>TABL12[[#This Row],[ (RESV. STORGE) SER]]/10</f>
        <v/>
      </c>
      <c r="AO120" s="6" t="n">
        <v>1450</v>
      </c>
      <c r="AP120" s="32">
        <f>TABL12[[#This Row],[(A/S) AJD]]-TABL12[[#This Row],[SER_IN]]</f>
        <v/>
      </c>
    </row>
    <row r="121">
      <c r="A121" s="2" t="n">
        <v>45777</v>
      </c>
      <c r="B121" s="28" t="n">
        <v>38</v>
      </c>
      <c r="C121" s="28" t="n">
        <v>319</v>
      </c>
      <c r="D121" s="28" t="n">
        <v>38</v>
      </c>
      <c r="E121" s="28" t="n">
        <v>0</v>
      </c>
      <c r="F121" s="28" t="n">
        <v>88</v>
      </c>
      <c r="G121" s="28" t="n">
        <v>526</v>
      </c>
      <c r="H121" s="28" t="n">
        <v>0</v>
      </c>
      <c r="I121" s="28" t="n">
        <v>415</v>
      </c>
      <c r="J121" s="28" t="n">
        <v>435</v>
      </c>
      <c r="K121" s="28">
        <f>TABL12[[#This Row],[ (T/B) SAR]]+TABL12[[#This Row],[ (S/S) SAR]]</f>
        <v/>
      </c>
      <c r="L121" s="28" t="n">
        <v>324</v>
      </c>
      <c r="M121" s="29" t="n">
        <v>24.7</v>
      </c>
      <c r="N121" s="30" t="n">
        <v>7.87</v>
      </c>
      <c r="O121" s="3" t="n">
        <v>385</v>
      </c>
      <c r="P121" s="3">
        <f>TABL12[[#This Row],[ (S/S) SAR]]-TABL12[[#This Row],[(S/S) AJD]]</f>
        <v/>
      </c>
      <c r="Q121" s="3" t="n">
        <v>427</v>
      </c>
      <c r="R121" s="3">
        <f>TABL12[[#This Row],[ (T/B) SAR]]-TABL12[[#This Row],[(T/B) AJD]]</f>
        <v/>
      </c>
      <c r="S121" s="3">
        <f>TABL12[[#This Row],[S/S_CON.]]+TABL12[[#This Row],[T/B-CON.]]</f>
        <v/>
      </c>
      <c r="T121" s="3">
        <f>O121+Q121</f>
        <v/>
      </c>
      <c r="U121" s="3" t="n">
        <v>525</v>
      </c>
      <c r="V121" s="3" t="n">
        <v>289</v>
      </c>
      <c r="W121" s="3">
        <f>U121+V121</f>
        <v/>
      </c>
      <c r="X121" s="3">
        <f>T121-W121</f>
        <v/>
      </c>
      <c r="Y121" s="4" t="n">
        <v>91.92</v>
      </c>
      <c r="Z121" s="3" t="n">
        <v>0</v>
      </c>
      <c r="AA121" s="3">
        <f>TABL12[[#This Row],[(RESV. STORGE) AJD]]/10</f>
        <v/>
      </c>
      <c r="AB121" s="3">
        <f>(Z121-Z120)/1000</f>
        <v/>
      </c>
      <c r="AC121" s="6" t="n">
        <v>0</v>
      </c>
      <c r="AD121" s="5">
        <f>TABL12[[#This Row],[( S/S+T/B) AJD]]-(TABL12[[#This Row],[(A/B + A/S) AJD]]+TABL12[[#This Row],[(STORGE DIFF.) AJD]]+(TABL12[[#This Row],[AJD_Evaporation]]))</f>
        <v/>
      </c>
      <c r="AE121" s="6" t="n">
        <v>70</v>
      </c>
      <c r="AF121" s="33" t="n">
        <v>58.633</v>
      </c>
      <c r="AG121" s="6" t="n">
        <v>1381936</v>
      </c>
      <c r="AH121" s="6">
        <f>TABL12[[#This Row],[ (RESV. STORGE) BER]]/10</f>
        <v/>
      </c>
      <c r="AI121" s="6" t="n">
        <v>2519</v>
      </c>
      <c r="AJ121" s="6">
        <f>TABL12[[#This Row],[(A/B) AJD]]-TABL12[[#This Row],[BER_IN]]</f>
        <v/>
      </c>
      <c r="AK121" s="6" t="n">
        <v>23</v>
      </c>
      <c r="AL121" s="33" t="n">
        <v>44.083</v>
      </c>
      <c r="AM121" s="6" t="n">
        <v>3697013</v>
      </c>
      <c r="AN121" s="6">
        <f>TABL12[[#This Row],[ (RESV. STORGE) SER]]/10</f>
        <v/>
      </c>
      <c r="AO121" s="6" t="n">
        <v>1127</v>
      </c>
      <c r="AP121" s="32">
        <f>TABL12[[#This Row],[(A/S) AJD]]-TABL12[[#This Row],[SER_IN]]</f>
        <v/>
      </c>
    </row>
    <row r="122">
      <c r="A122" s="2" t="n">
        <v>45778</v>
      </c>
      <c r="B122" s="28" t="n">
        <v>38</v>
      </c>
      <c r="C122" s="28" t="n">
        <v>316</v>
      </c>
      <c r="D122" s="28" t="n">
        <v>38</v>
      </c>
      <c r="E122" s="28" t="n">
        <v>0</v>
      </c>
      <c r="F122" s="28" t="n">
        <v>88</v>
      </c>
      <c r="G122" s="28" t="n">
        <v>525</v>
      </c>
      <c r="H122" s="28" t="n">
        <v>0</v>
      </c>
      <c r="I122" s="28" t="n">
        <v>414</v>
      </c>
      <c r="J122" s="28" t="n">
        <v>433</v>
      </c>
      <c r="K122" s="28">
        <f>TABL12[[#This Row],[ (T/B) SAR]]+TABL12[[#This Row],[ (S/S) SAR]]</f>
        <v/>
      </c>
      <c r="L122" s="28" t="n">
        <v>322</v>
      </c>
      <c r="M122" s="29" t="n">
        <v>24.7</v>
      </c>
      <c r="N122" s="30" t="n">
        <v>7.85</v>
      </c>
      <c r="O122" s="3" t="n">
        <v>384</v>
      </c>
      <c r="P122" s="3">
        <f>TABL12[[#This Row],[ (S/S) SAR]]-TABL12[[#This Row],[(S/S) AJD]]</f>
        <v/>
      </c>
      <c r="Q122" s="3" t="n">
        <v>426</v>
      </c>
      <c r="R122" s="3">
        <f>TABL12[[#This Row],[ (T/B) SAR]]-TABL12[[#This Row],[(T/B) AJD]]</f>
        <v/>
      </c>
      <c r="S122" s="3">
        <f>TABL12[[#This Row],[S/S_CON.]]+TABL12[[#This Row],[T/B-CON.]]</f>
        <v/>
      </c>
      <c r="T122" s="3">
        <f>O122+Q122</f>
        <v/>
      </c>
      <c r="U122" s="3" t="n">
        <v>541</v>
      </c>
      <c r="V122" s="3" t="n">
        <v>267</v>
      </c>
      <c r="W122" s="3">
        <f>U122+V122</f>
        <v/>
      </c>
      <c r="X122" s="3">
        <f>T122-W122</f>
        <v/>
      </c>
      <c r="Y122" s="4" t="n">
        <v>91.92</v>
      </c>
      <c r="Z122" s="3" t="n">
        <v>0</v>
      </c>
      <c r="AA122" s="3">
        <f>TABL12[[#This Row],[(RESV. STORGE) AJD]]/10</f>
        <v/>
      </c>
      <c r="AB122" s="3">
        <f>(Z122-Z121)/1000</f>
        <v/>
      </c>
      <c r="AC122" s="6" t="n">
        <v>0</v>
      </c>
      <c r="AD122" s="5">
        <f>TABL12[[#This Row],[( S/S+T/B) AJD]]-(TABL12[[#This Row],[(A/B + A/S) AJD]]+TABL12[[#This Row],[(STORGE DIFF.) AJD]]+(TABL12[[#This Row],[AJD_Evaporation]]))</f>
        <v/>
      </c>
      <c r="AE122" s="6" t="n">
        <v>70</v>
      </c>
      <c r="AF122" s="33" t="n">
        <v>58.615</v>
      </c>
      <c r="AG122" s="6" t="n">
        <v>1370111</v>
      </c>
      <c r="AH122" s="6">
        <f>TABL12[[#This Row],[ (RESV. STORGE) BER]]/10</f>
        <v/>
      </c>
      <c r="AI122" s="6" t="n">
        <v>2145</v>
      </c>
      <c r="AJ122" s="6">
        <f>TABL12[[#This Row],[(A/B) AJD]]-TABL12[[#This Row],[BER_IN]]</f>
        <v/>
      </c>
      <c r="AK122" s="6" t="n">
        <v>23</v>
      </c>
      <c r="AL122" s="33" t="n">
        <v>44.1125</v>
      </c>
      <c r="AM122" s="6" t="n">
        <v>3715380</v>
      </c>
      <c r="AN122" s="6">
        <f>TABL12[[#This Row],[ (RESV. STORGE) SER]]/10</f>
        <v/>
      </c>
      <c r="AO122" s="6" t="n">
        <v>1400</v>
      </c>
      <c r="AP122" s="32">
        <f>TABL12[[#This Row],[(A/S) AJD]]-TABL12[[#This Row],[SER_IN]]</f>
        <v/>
      </c>
    </row>
    <row r="123">
      <c r="A123" s="2" t="n">
        <v>45779</v>
      </c>
      <c r="B123" s="28" t="n">
        <v>37</v>
      </c>
      <c r="C123" s="28" t="n">
        <v>311</v>
      </c>
      <c r="D123" s="28" t="n">
        <v>38</v>
      </c>
      <c r="E123" s="28" t="n">
        <v>0</v>
      </c>
      <c r="F123" s="28" t="n">
        <v>88</v>
      </c>
      <c r="G123" s="28" t="n">
        <v>530</v>
      </c>
      <c r="H123" s="28" t="n">
        <v>0</v>
      </c>
      <c r="I123" s="28" t="n">
        <v>415</v>
      </c>
      <c r="J123" s="28" t="n">
        <v>435</v>
      </c>
      <c r="K123" s="28">
        <f>TABL12[[#This Row],[ (T/B) SAR]]+TABL12[[#This Row],[ (S/S) SAR]]</f>
        <v/>
      </c>
      <c r="L123" s="28" t="n">
        <v>320</v>
      </c>
      <c r="M123" s="29" t="n">
        <v>24.7</v>
      </c>
      <c r="N123" s="30" t="n">
        <v>7.77</v>
      </c>
      <c r="O123" s="3" t="n">
        <v>385</v>
      </c>
      <c r="P123" s="3">
        <f>TABL12[[#This Row],[ (S/S) SAR]]-TABL12[[#This Row],[(S/S) AJD]]</f>
        <v/>
      </c>
      <c r="Q123" s="3" t="n">
        <v>427</v>
      </c>
      <c r="R123" s="3">
        <f>TABL12[[#This Row],[ (T/B) SAR]]-TABL12[[#This Row],[(T/B) AJD]]</f>
        <v/>
      </c>
      <c r="S123" s="3">
        <f>TABL12[[#This Row],[S/S_CON.]]+TABL12[[#This Row],[T/B-CON.]]</f>
        <v/>
      </c>
      <c r="T123" s="3">
        <f>O123+Q123</f>
        <v/>
      </c>
      <c r="U123" s="3" t="n">
        <v>556</v>
      </c>
      <c r="V123" s="3" t="n">
        <v>258</v>
      </c>
      <c r="W123" s="3">
        <f>U123+V123</f>
        <v/>
      </c>
      <c r="X123" s="3">
        <f>T123-W123</f>
        <v/>
      </c>
      <c r="Y123" s="4" t="n">
        <v>91.92</v>
      </c>
      <c r="Z123" s="3" t="n">
        <v>0</v>
      </c>
      <c r="AA123" s="3">
        <f>TABL12[[#This Row],[(RESV. STORGE) AJD]]/10</f>
        <v/>
      </c>
      <c r="AB123" s="3">
        <f>(Z123-Z122)/1000</f>
        <v/>
      </c>
      <c r="AC123" s="6" t="n">
        <v>0</v>
      </c>
      <c r="AD123" s="5">
        <f>TABL12[[#This Row],[( S/S+T/B) AJD]]-(TABL12[[#This Row],[(A/B + A/S) AJD]]+TABL12[[#This Row],[(STORGE DIFF.) AJD]]+(TABL12[[#This Row],[AJD_Evaporation]]))</f>
        <v/>
      </c>
      <c r="AE123" s="6" t="n">
        <v>70</v>
      </c>
      <c r="AF123" s="33" t="n">
        <v>58.624</v>
      </c>
      <c r="AG123" s="6" t="n">
        <v>1376023</v>
      </c>
      <c r="AH123" s="6">
        <f>TABL12[[#This Row],[ (RESV. STORGE) BER]]/10</f>
        <v/>
      </c>
      <c r="AI123" s="6" t="n">
        <v>2667</v>
      </c>
      <c r="AJ123" s="6">
        <f>TABL12[[#This Row],[(A/B) AJD]]-TABL12[[#This Row],[BER_IN]]</f>
        <v/>
      </c>
      <c r="AK123" s="6" t="n">
        <v>23</v>
      </c>
      <c r="AL123" s="33" t="n">
        <v>44.1439</v>
      </c>
      <c r="AM123" s="6" t="n">
        <v>3732200</v>
      </c>
      <c r="AN123" s="6">
        <f>TABL12[[#This Row],[ (RESV. STORGE) SER]]/10</f>
        <v/>
      </c>
      <c r="AO123" s="6" t="n">
        <v>1570</v>
      </c>
      <c r="AP123" s="32">
        <f>TABL12[[#This Row],[(A/S) AJD]]-TABL12[[#This Row],[SER_IN]]</f>
        <v/>
      </c>
    </row>
    <row r="124">
      <c r="A124" s="2" t="n">
        <v>45780</v>
      </c>
      <c r="B124" s="28" t="n">
        <v>38</v>
      </c>
      <c r="C124" s="28" t="n">
        <v>309</v>
      </c>
      <c r="D124" s="28" t="n">
        <v>39</v>
      </c>
      <c r="E124" s="28" t="n">
        <v>0</v>
      </c>
      <c r="F124" s="28" t="n">
        <v>88</v>
      </c>
      <c r="G124" s="28" t="n">
        <v>532</v>
      </c>
      <c r="H124" s="28" t="n">
        <v>0</v>
      </c>
      <c r="I124" s="28" t="n">
        <v>416</v>
      </c>
      <c r="J124" s="28" t="n">
        <v>435</v>
      </c>
      <c r="K124" s="28">
        <f>TABL12[[#This Row],[ (T/B) SAR]]+TABL12[[#This Row],[ (S/S) SAR]]</f>
        <v/>
      </c>
      <c r="L124" s="28" t="n">
        <v>319</v>
      </c>
      <c r="M124" s="29" t="n">
        <v>24.7</v>
      </c>
      <c r="N124" s="30" t="n">
        <v>7.7</v>
      </c>
      <c r="O124" s="3" t="n">
        <v>390</v>
      </c>
      <c r="P124" s="3">
        <f>TABL12[[#This Row],[ (S/S) SAR]]-TABL12[[#This Row],[(S/S) AJD]]</f>
        <v/>
      </c>
      <c r="Q124" s="3" t="n">
        <v>430</v>
      </c>
      <c r="R124" s="3">
        <f>TABL12[[#This Row],[ (T/B) SAR]]-TABL12[[#This Row],[(T/B) AJD]]</f>
        <v/>
      </c>
      <c r="S124" s="3">
        <f>TABL12[[#This Row],[S/S_CON.]]+TABL12[[#This Row],[T/B-CON.]]</f>
        <v/>
      </c>
      <c r="T124" s="3">
        <f>O124+Q124</f>
        <v/>
      </c>
      <c r="U124" s="3" t="n">
        <v>556</v>
      </c>
      <c r="V124" s="3" t="n">
        <v>265</v>
      </c>
      <c r="W124" s="3">
        <f>U124+V124</f>
        <v/>
      </c>
      <c r="X124" s="3">
        <f>T124-W124</f>
        <v/>
      </c>
      <c r="Y124" s="4" t="n">
        <v>91.92</v>
      </c>
      <c r="Z124" s="3" t="n">
        <v>0</v>
      </c>
      <c r="AA124" s="3">
        <f>TABL12[[#This Row],[(RESV. STORGE) AJD]]/10</f>
        <v/>
      </c>
      <c r="AB124" s="3">
        <f>(Z124-Z123)/1000</f>
        <v/>
      </c>
      <c r="AC124" s="6" t="n">
        <v>0</v>
      </c>
      <c r="AD124" s="5">
        <f>TABL12[[#This Row],[( S/S+T/B) AJD]]-(TABL12[[#This Row],[(A/B + A/S) AJD]]+TABL12[[#This Row],[(STORGE DIFF.) AJD]]+(TABL12[[#This Row],[AJD_Evaporation]]))</f>
        <v/>
      </c>
      <c r="AE124" s="6" t="n">
        <v>70</v>
      </c>
      <c r="AF124" s="33" t="n">
        <v>58.605</v>
      </c>
      <c r="AG124" s="6" t="n">
        <v>1363543</v>
      </c>
      <c r="AH124" s="6">
        <f>TABL12[[#This Row],[ (RESV. STORGE) BER]]/10</f>
        <v/>
      </c>
      <c r="AI124" s="6" t="n">
        <v>2800</v>
      </c>
      <c r="AJ124" s="6">
        <f>TABL12[[#This Row],[(A/B) AJD]]-TABL12[[#This Row],[BER_IN]]</f>
        <v/>
      </c>
      <c r="AK124" s="6" t="n">
        <v>24</v>
      </c>
      <c r="AL124" s="33" t="n">
        <v>44.1898</v>
      </c>
      <c r="AM124" s="6" t="n">
        <v>3756200</v>
      </c>
      <c r="AN124" s="6">
        <f>TABL12[[#This Row],[ (RESV. STORGE) SER]]/10</f>
        <v/>
      </c>
      <c r="AO124" s="6" t="n">
        <v>1570</v>
      </c>
      <c r="AP124" s="32">
        <f>TABL12[[#This Row],[(A/S) AJD]]-TABL12[[#This Row],[SER_IN]]</f>
        <v/>
      </c>
    </row>
    <row r="125">
      <c r="A125" s="2" t="n">
        <v>45781</v>
      </c>
      <c r="B125" s="28" t="n">
        <v>41</v>
      </c>
      <c r="C125" s="28" t="n">
        <v>323</v>
      </c>
      <c r="D125" s="28" t="n">
        <v>42</v>
      </c>
      <c r="E125" s="28" t="n">
        <v>0</v>
      </c>
      <c r="F125" s="28" t="n">
        <v>88</v>
      </c>
      <c r="G125" s="28" t="n">
        <v>530</v>
      </c>
      <c r="H125" s="28" t="n">
        <v>0</v>
      </c>
      <c r="I125" s="28" t="n">
        <v>415</v>
      </c>
      <c r="J125" s="28" t="n">
        <v>435</v>
      </c>
      <c r="K125" s="28">
        <f>TABL12[[#This Row],[ (T/B) SAR]]+TABL12[[#This Row],[ (S/S) SAR]]</f>
        <v/>
      </c>
      <c r="L125" s="28" t="n">
        <v>320</v>
      </c>
      <c r="M125" s="29" t="n">
        <v>24.7</v>
      </c>
      <c r="N125" s="30" t="n">
        <v>7.68</v>
      </c>
      <c r="O125" s="3" t="n">
        <v>386</v>
      </c>
      <c r="P125" s="3">
        <f>TABL12[[#This Row],[ (S/S) SAR]]-TABL12[[#This Row],[(S/S) AJD]]</f>
        <v/>
      </c>
      <c r="Q125" s="3" t="n">
        <v>429</v>
      </c>
      <c r="R125" s="3">
        <f>TABL12[[#This Row],[ (T/B) SAR]]-TABL12[[#This Row],[(T/B) AJD]]</f>
        <v/>
      </c>
      <c r="S125" s="3">
        <f>TABL12[[#This Row],[S/S_CON.]]+TABL12[[#This Row],[T/B-CON.]]</f>
        <v/>
      </c>
      <c r="T125" s="3">
        <f>O125+Q125</f>
        <v/>
      </c>
      <c r="U125" s="3" t="n">
        <v>537</v>
      </c>
      <c r="V125" s="3" t="n">
        <v>278</v>
      </c>
      <c r="W125" s="3">
        <f>U125+V125</f>
        <v/>
      </c>
      <c r="X125" s="3">
        <f>T125-W125</f>
        <v/>
      </c>
      <c r="Y125" s="4" t="n">
        <v>91.92</v>
      </c>
      <c r="Z125" s="3" t="n">
        <v>0</v>
      </c>
      <c r="AA125" s="3">
        <f>TABL12[[#This Row],[(RESV. STORGE) AJD]]/10</f>
        <v/>
      </c>
      <c r="AB125" s="3">
        <f>(Z125-Z124)/1000</f>
        <v/>
      </c>
      <c r="AC125" s="6" t="n">
        <v>0</v>
      </c>
      <c r="AD125" s="5">
        <f>TABL12[[#This Row],[( S/S+T/B) AJD]]-(TABL12[[#This Row],[(A/B + A/S) AJD]]+TABL12[[#This Row],[(STORGE DIFF.) AJD]]+(TABL12[[#This Row],[AJD_Evaporation]]))</f>
        <v/>
      </c>
      <c r="AE125" s="6" t="n">
        <v>70</v>
      </c>
      <c r="AF125" s="33" t="n">
        <v>58.595</v>
      </c>
      <c r="AG125" s="6" t="n">
        <v>1356975</v>
      </c>
      <c r="AH125" s="6">
        <f>TABL12[[#This Row],[ (RESV. STORGE) BER]]/10</f>
        <v/>
      </c>
      <c r="AI125" s="6" t="n">
        <v>2863</v>
      </c>
      <c r="AJ125" s="6">
        <f>TABL12[[#This Row],[(A/B) AJD]]-TABL12[[#This Row],[BER_IN]]</f>
        <v/>
      </c>
      <c r="AK125" s="6" t="n">
        <v>23</v>
      </c>
      <c r="AL125" s="33" t="n">
        <v>44.2183</v>
      </c>
      <c r="AM125" s="6" t="n">
        <v>3773160</v>
      </c>
      <c r="AN125" s="6">
        <f>TABL12[[#This Row],[ (RESV. STORGE) SER]]/10</f>
        <v/>
      </c>
      <c r="AO125" s="6" t="n">
        <v>1545</v>
      </c>
      <c r="AP125" s="32">
        <f>TABL12[[#This Row],[(A/S) AJD]]-TABL12[[#This Row],[SER_IN]]</f>
        <v/>
      </c>
    </row>
    <row r="126">
      <c r="A126" s="2" t="n">
        <v>45782</v>
      </c>
      <c r="B126" s="28" t="n">
        <v>41</v>
      </c>
      <c r="C126" s="28" t="n">
        <v>331</v>
      </c>
      <c r="D126" s="28" t="n">
        <v>41</v>
      </c>
      <c r="E126" s="28" t="n">
        <v>0</v>
      </c>
      <c r="F126" s="28" t="n">
        <v>88</v>
      </c>
      <c r="G126" s="28" t="n">
        <v>534</v>
      </c>
      <c r="H126" s="28" t="n">
        <v>0</v>
      </c>
      <c r="I126" s="28" t="n">
        <v>417</v>
      </c>
      <c r="J126" s="28" t="n">
        <v>437</v>
      </c>
      <c r="K126" s="28">
        <f>TABL12[[#This Row],[ (T/B) SAR]]+TABL12[[#This Row],[ (S/S) SAR]]</f>
        <v/>
      </c>
      <c r="L126" s="28" t="n">
        <v>320</v>
      </c>
      <c r="M126" s="29" t="n">
        <v>24.7</v>
      </c>
      <c r="N126" s="30" t="n">
        <v>7.73</v>
      </c>
      <c r="O126" s="3" t="n">
        <v>385</v>
      </c>
      <c r="P126" s="3">
        <f>TABL12[[#This Row],[ (S/S) SAR]]-TABL12[[#This Row],[(S/S) AJD]]</f>
        <v/>
      </c>
      <c r="Q126" s="3" t="n">
        <v>428</v>
      </c>
      <c r="R126" s="3">
        <f>TABL12[[#This Row],[ (T/B) SAR]]-TABL12[[#This Row],[(T/B) AJD]]</f>
        <v/>
      </c>
      <c r="S126" s="3">
        <f>TABL12[[#This Row],[S/S_CON.]]+TABL12[[#This Row],[T/B-CON.]]</f>
        <v/>
      </c>
      <c r="T126" s="3">
        <f>O126+Q126</f>
        <v/>
      </c>
      <c r="U126" s="3" t="n">
        <v>544</v>
      </c>
      <c r="V126" s="3" t="n">
        <v>273</v>
      </c>
      <c r="W126" s="3">
        <f>U126+V126</f>
        <v/>
      </c>
      <c r="X126" s="3">
        <f>T126-W126</f>
        <v/>
      </c>
      <c r="Y126" s="4" t="n">
        <v>91.92</v>
      </c>
      <c r="Z126" s="3" t="n">
        <v>0</v>
      </c>
      <c r="AA126" s="3">
        <f>TABL12[[#This Row],[(RESV. STORGE) AJD]]/10</f>
        <v/>
      </c>
      <c r="AB126" s="3">
        <f>(Z126-Z125)/1000</f>
        <v/>
      </c>
      <c r="AC126" s="6" t="n">
        <v>0</v>
      </c>
      <c r="AD126" s="5">
        <f>TABL12[[#This Row],[( S/S+T/B) AJD]]-(TABL12[[#This Row],[(A/B + A/S) AJD]]+TABL12[[#This Row],[(STORGE DIFF.) AJD]]+(TABL12[[#This Row],[AJD_Evaporation]]))</f>
        <v/>
      </c>
      <c r="AE126" s="6" t="n">
        <v>70</v>
      </c>
      <c r="AF126" s="33" t="n">
        <v>58.591</v>
      </c>
      <c r="AG126" s="6" t="n">
        <v>1354349</v>
      </c>
      <c r="AH126" s="6">
        <f>TABL12[[#This Row],[ (RESV. STORGE) BER]]/10</f>
        <v/>
      </c>
      <c r="AI126" s="6" t="n">
        <v>2740</v>
      </c>
      <c r="AJ126" s="6">
        <f>TABL12[[#This Row],[(A/B) AJD]]-TABL12[[#This Row],[BER_IN]]</f>
        <v/>
      </c>
      <c r="AK126" s="6" t="n">
        <v>23</v>
      </c>
      <c r="AL126" s="33" t="n">
        <v>44.2405</v>
      </c>
      <c r="AM126" s="6" t="n">
        <v>3785490</v>
      </c>
      <c r="AN126" s="6">
        <f>TABL12[[#This Row],[ (RESV. STORGE) SER]]/10</f>
        <v/>
      </c>
      <c r="AO126" s="6" t="n">
        <v>1620</v>
      </c>
      <c r="AP126" s="32">
        <f>TABL12[[#This Row],[(A/S) AJD]]-TABL12[[#This Row],[SER_IN]]</f>
        <v/>
      </c>
    </row>
    <row r="127">
      <c r="A127" s="2" t="n">
        <v>45783</v>
      </c>
      <c r="B127" s="28" t="n">
        <v>38</v>
      </c>
      <c r="C127" s="28" t="n">
        <v>320</v>
      </c>
      <c r="D127" s="28" t="n">
        <v>39</v>
      </c>
      <c r="E127" s="28" t="n">
        <v>0</v>
      </c>
      <c r="F127" s="28" t="n">
        <v>88</v>
      </c>
      <c r="G127" s="28" t="n">
        <v>526</v>
      </c>
      <c r="H127" s="28" t="n">
        <v>0</v>
      </c>
      <c r="I127" s="28" t="n">
        <v>413</v>
      </c>
      <c r="J127" s="28" t="n">
        <v>433</v>
      </c>
      <c r="K127" s="28">
        <f>TABL12[[#This Row],[ (T/B) SAR]]+TABL12[[#This Row],[ (S/S) SAR]]</f>
        <v/>
      </c>
      <c r="L127" s="28" t="n">
        <v>320</v>
      </c>
      <c r="M127" s="29" t="n">
        <v>24.7</v>
      </c>
      <c r="N127" s="30" t="n">
        <v>7.75</v>
      </c>
      <c r="O127" s="3" t="n">
        <v>386</v>
      </c>
      <c r="P127" s="3">
        <f>TABL12[[#This Row],[ (S/S) SAR]]-TABL12[[#This Row],[(S/S) AJD]]</f>
        <v/>
      </c>
      <c r="Q127" s="3" t="n">
        <v>429</v>
      </c>
      <c r="R127" s="3">
        <f>TABL12[[#This Row],[ (T/B) SAR]]-TABL12[[#This Row],[(T/B) AJD]]</f>
        <v/>
      </c>
      <c r="S127" s="3">
        <f>TABL12[[#This Row],[S/S_CON.]]+TABL12[[#This Row],[T/B-CON.]]</f>
        <v/>
      </c>
      <c r="T127" s="3">
        <f>O127+Q127</f>
        <v/>
      </c>
      <c r="U127" s="3" t="n">
        <v>509</v>
      </c>
      <c r="V127" s="3" t="n">
        <v>311</v>
      </c>
      <c r="W127" s="3">
        <f>U127+V127</f>
        <v/>
      </c>
      <c r="X127" s="3">
        <f>T127-W127</f>
        <v/>
      </c>
      <c r="Y127" s="4" t="n">
        <v>91.92</v>
      </c>
      <c r="Z127" s="3" t="n">
        <v>0</v>
      </c>
      <c r="AA127" s="3">
        <f>TABL12[[#This Row],[(RESV. STORGE) AJD]]/10</f>
        <v/>
      </c>
      <c r="AB127" s="3">
        <f>(Z127-Z126)/1000</f>
        <v/>
      </c>
      <c r="AC127" s="6" t="n">
        <v>0</v>
      </c>
      <c r="AD127" s="5">
        <f>TABL12[[#This Row],[( S/S+T/B) AJD]]-(TABL12[[#This Row],[(A/B + A/S) AJD]]+TABL12[[#This Row],[(STORGE DIFF.) AJD]]+(TABL12[[#This Row],[AJD_Evaporation]]))</f>
        <v/>
      </c>
      <c r="AE127" s="6" t="n">
        <v>70</v>
      </c>
      <c r="AF127" s="33" t="n">
        <v>58.573</v>
      </c>
      <c r="AG127" s="6" t="n">
        <v>1342530</v>
      </c>
      <c r="AH127" s="6">
        <f>TABL12[[#This Row],[ (RESV. STORGE) BER]]/10</f>
        <v/>
      </c>
      <c r="AI127" s="6" t="n">
        <v>2138</v>
      </c>
      <c r="AJ127" s="6">
        <f>TABL12[[#This Row],[(A/B) AJD]]-TABL12[[#This Row],[BER_IN]]</f>
        <v/>
      </c>
      <c r="AK127" s="6" t="n">
        <v>23</v>
      </c>
      <c r="AL127" s="33" t="n">
        <v>44.2706</v>
      </c>
      <c r="AM127" s="6" t="n">
        <v>3801280</v>
      </c>
      <c r="AN127" s="6">
        <f>TABL12[[#This Row],[ (RESV. STORGE) SER]]/10</f>
        <v/>
      </c>
      <c r="AO127" s="6" t="n">
        <v>1685</v>
      </c>
      <c r="AP127" s="32">
        <f>TABL12[[#This Row],[(A/S) AJD]]-TABL12[[#This Row],[SER_IN]]</f>
        <v/>
      </c>
    </row>
    <row r="128">
      <c r="A128" s="2" t="n">
        <v>45784</v>
      </c>
      <c r="B128" s="28" t="n">
        <v>39</v>
      </c>
      <c r="C128" s="28" t="n">
        <v>325</v>
      </c>
      <c r="D128" s="28" t="n">
        <v>39</v>
      </c>
      <c r="E128" s="28" t="n">
        <v>0</v>
      </c>
      <c r="F128" s="28" t="n">
        <v>88</v>
      </c>
      <c r="G128" s="28" t="n">
        <v>536</v>
      </c>
      <c r="H128" s="28" t="n">
        <v>0</v>
      </c>
      <c r="I128" s="28" t="n">
        <v>419</v>
      </c>
      <c r="J128" s="28" t="n">
        <v>439</v>
      </c>
      <c r="K128" s="28">
        <f>TABL12[[#This Row],[ (T/B) SAR]]+TABL12[[#This Row],[ (S/S) SAR]]</f>
        <v/>
      </c>
      <c r="L128" s="28" t="n">
        <v>322</v>
      </c>
      <c r="M128" s="29" t="n">
        <v>24.7</v>
      </c>
      <c r="N128" s="30" t="n">
        <v>7.77</v>
      </c>
      <c r="O128" s="3" t="n">
        <v>388</v>
      </c>
      <c r="P128" s="3">
        <f>TABL12[[#This Row],[ (S/S) SAR]]-TABL12[[#This Row],[(S/S) AJD]]</f>
        <v/>
      </c>
      <c r="Q128" s="3" t="n">
        <v>430</v>
      </c>
      <c r="R128" s="3">
        <f>TABL12[[#This Row],[ (T/B) SAR]]-TABL12[[#This Row],[(T/B) AJD]]</f>
        <v/>
      </c>
      <c r="S128" s="3">
        <f>TABL12[[#This Row],[S/S_CON.]]+TABL12[[#This Row],[T/B-CON.]]</f>
        <v/>
      </c>
      <c r="T128" s="3">
        <f>O128+Q128</f>
        <v/>
      </c>
      <c r="U128" s="3" t="n">
        <v>529</v>
      </c>
      <c r="V128" s="3" t="n">
        <v>291</v>
      </c>
      <c r="W128" s="3">
        <f>U128+V128</f>
        <v/>
      </c>
      <c r="X128" s="3">
        <f>T128-W128</f>
        <v/>
      </c>
      <c r="Y128" s="4" t="n">
        <v>91.92</v>
      </c>
      <c r="Z128" s="3" t="n">
        <v>0</v>
      </c>
      <c r="AA128" s="3">
        <f>TABL12[[#This Row],[(RESV. STORGE) AJD]]/10</f>
        <v/>
      </c>
      <c r="AB128" s="3">
        <f>(Z128-Z127)/1000</f>
        <v/>
      </c>
      <c r="AC128" s="6" t="n">
        <v>0</v>
      </c>
      <c r="AD128" s="5">
        <f>TABL12[[#This Row],[( S/S+T/B) AJD]]-(TABL12[[#This Row],[(A/B + A/S) AJD]]+TABL12[[#This Row],[(STORGE DIFF.) AJD]]+(TABL12[[#This Row],[AJD_Evaporation]]))</f>
        <v/>
      </c>
      <c r="AE128" s="6" t="n">
        <v>70</v>
      </c>
      <c r="AF128" s="33" t="n">
        <v>58.554</v>
      </c>
      <c r="AG128" s="6" t="n">
        <v>1330058</v>
      </c>
      <c r="AH128" s="6">
        <f>TABL12[[#This Row],[ (RESV. STORGE) BER]]/10</f>
        <v/>
      </c>
      <c r="AI128" s="6" t="n">
        <v>2768</v>
      </c>
      <c r="AJ128" s="6">
        <f>TABL12[[#This Row],[(A/B) AJD]]-TABL12[[#This Row],[BER_IN]]</f>
        <v/>
      </c>
      <c r="AK128" s="6" t="n">
        <v>13</v>
      </c>
      <c r="AL128" s="33" t="n">
        <v>44.2819</v>
      </c>
      <c r="AM128" s="6" t="n">
        <v>3808430</v>
      </c>
      <c r="AN128" s="6">
        <f>TABL12[[#This Row],[ (RESV. STORGE) SER]]/10</f>
        <v/>
      </c>
      <c r="AO128" s="6" t="n">
        <v>1765</v>
      </c>
      <c r="AP128" s="32">
        <f>TABL12[[#This Row],[(A/S) AJD]]-TABL12[[#This Row],[SER_IN]]</f>
        <v/>
      </c>
    </row>
    <row r="129">
      <c r="A129" s="2" t="n">
        <v>45785</v>
      </c>
      <c r="B129" s="28" t="n">
        <v>39</v>
      </c>
      <c r="C129" s="28" t="n">
        <v>328</v>
      </c>
      <c r="D129" s="28" t="n">
        <v>39</v>
      </c>
      <c r="E129" s="28" t="n">
        <v>0</v>
      </c>
      <c r="F129" s="28" t="n">
        <v>88</v>
      </c>
      <c r="G129" s="28" t="n">
        <v>563</v>
      </c>
      <c r="H129" s="28" t="n">
        <v>0</v>
      </c>
      <c r="I129" s="28" t="n">
        <v>420</v>
      </c>
      <c r="J129" s="28" t="n">
        <v>440</v>
      </c>
      <c r="K129" s="28">
        <f>TABL12[[#This Row],[ (T/B) SAR]]+TABL12[[#This Row],[ (S/S) SAR]]</f>
        <v/>
      </c>
      <c r="L129" s="28" t="n">
        <v>324</v>
      </c>
      <c r="M129" s="29" t="n">
        <v>24.7</v>
      </c>
      <c r="N129" s="30" t="n">
        <v>7.81</v>
      </c>
      <c r="O129" s="3" t="n">
        <v>386</v>
      </c>
      <c r="P129" s="3">
        <f>TABL12[[#This Row],[ (S/S) SAR]]-TABL12[[#This Row],[(S/S) AJD]]</f>
        <v/>
      </c>
      <c r="Q129" s="3" t="n">
        <v>429</v>
      </c>
      <c r="R129" s="3">
        <f>TABL12[[#This Row],[ (T/B) SAR]]-TABL12[[#This Row],[(T/B) AJD]]</f>
        <v/>
      </c>
      <c r="S129" s="3">
        <f>TABL12[[#This Row],[S/S_CON.]]+TABL12[[#This Row],[T/B-CON.]]</f>
        <v/>
      </c>
      <c r="T129" s="3">
        <f>O129+Q129</f>
        <v/>
      </c>
      <c r="U129" s="3" t="n">
        <v>557</v>
      </c>
      <c r="V129" s="3" t="n">
        <v>260</v>
      </c>
      <c r="W129" s="3">
        <f>U129+V129</f>
        <v/>
      </c>
      <c r="X129" s="3">
        <f>T129-W129</f>
        <v/>
      </c>
      <c r="Y129" s="4" t="n">
        <v>91.92</v>
      </c>
      <c r="Z129" s="3" t="n">
        <v>0</v>
      </c>
      <c r="AA129" s="3">
        <f>TABL12[[#This Row],[(RESV. STORGE) AJD]]/10</f>
        <v/>
      </c>
      <c r="AB129" s="3">
        <f>(Z129-Z128)/1000</f>
        <v/>
      </c>
      <c r="AC129" s="6" t="n">
        <v>0</v>
      </c>
      <c r="AD129" s="5">
        <f>TABL12[[#This Row],[( S/S+T/B) AJD]]-(TABL12[[#This Row],[(A/B + A/S) AJD]]+TABL12[[#This Row],[(STORGE DIFF.) AJD]]+(TABL12[[#This Row],[AJD_Evaporation]]))</f>
        <v/>
      </c>
      <c r="AE129" s="6" t="n">
        <v>51</v>
      </c>
      <c r="AF129" s="33" t="n">
        <v>58.506</v>
      </c>
      <c r="AG129" s="6" t="n">
        <v>1298562</v>
      </c>
      <c r="AH129" s="6">
        <f>TABL12[[#This Row],[ (RESV. STORGE) BER]]/10</f>
        <v/>
      </c>
      <c r="AI129" s="6" t="n">
        <v>2815</v>
      </c>
      <c r="AJ129" s="6">
        <f>TABL12[[#This Row],[(A/B) AJD]]-TABL12[[#This Row],[BER_IN]]</f>
        <v/>
      </c>
      <c r="AK129" s="6" t="n">
        <v>0</v>
      </c>
      <c r="AL129" s="33" t="n">
        <v>44.2551</v>
      </c>
      <c r="AM129" s="6" t="n">
        <v>3793550</v>
      </c>
      <c r="AN129" s="6">
        <f>TABL12[[#This Row],[ (RESV. STORGE) SER]]/10</f>
        <v/>
      </c>
      <c r="AO129" s="6" t="n">
        <v>1795</v>
      </c>
      <c r="AP129" s="32">
        <f>TABL12[[#This Row],[(A/S) AJD]]-TABL12[[#This Row],[SER_IN]]</f>
        <v/>
      </c>
    </row>
    <row r="130">
      <c r="A130" s="2" t="n">
        <v>45786</v>
      </c>
      <c r="B130" s="28" t="n">
        <v>39</v>
      </c>
      <c r="C130" s="28" t="n">
        <v>323</v>
      </c>
      <c r="D130" s="28" t="n">
        <v>39</v>
      </c>
      <c r="E130" s="28" t="n">
        <v>0</v>
      </c>
      <c r="F130" s="28" t="n">
        <v>88</v>
      </c>
      <c r="G130" s="28" t="n">
        <v>533</v>
      </c>
      <c r="H130" s="28" t="n">
        <v>0</v>
      </c>
      <c r="I130" s="28" t="n">
        <v>420</v>
      </c>
      <c r="J130" s="28" t="n">
        <v>437</v>
      </c>
      <c r="K130" s="28">
        <f>TABL12[[#This Row],[ (T/B) SAR]]+TABL12[[#This Row],[ (S/S) SAR]]</f>
        <v/>
      </c>
      <c r="L130" s="28" t="n">
        <v>324</v>
      </c>
      <c r="M130" s="29" t="n">
        <v>24.7</v>
      </c>
      <c r="N130" s="30" t="n">
        <v>7.83</v>
      </c>
      <c r="O130" s="3" t="n">
        <v>392</v>
      </c>
      <c r="P130" s="3">
        <f>TABL12[[#This Row],[ (S/S) SAR]]-TABL12[[#This Row],[(S/S) AJD]]</f>
        <v/>
      </c>
      <c r="Q130" s="3" t="n">
        <v>435</v>
      </c>
      <c r="R130" s="3">
        <f>TABL12[[#This Row],[ (T/B) SAR]]-TABL12[[#This Row],[(T/B) AJD]]</f>
        <v/>
      </c>
      <c r="S130" s="3">
        <f>TABL12[[#This Row],[S/S_CON.]]+TABL12[[#This Row],[T/B-CON.]]</f>
        <v/>
      </c>
      <c r="T130" s="3">
        <f>O130+Q130</f>
        <v/>
      </c>
      <c r="U130" s="3" t="n">
        <v>512</v>
      </c>
      <c r="V130" s="3" t="n">
        <v>320</v>
      </c>
      <c r="W130" s="3">
        <f>U130+V130</f>
        <v/>
      </c>
      <c r="X130" s="3">
        <f>T130-W130</f>
        <v/>
      </c>
      <c r="Y130" s="4" t="n">
        <v>91.92</v>
      </c>
      <c r="Z130" s="3" t="n">
        <v>0</v>
      </c>
      <c r="AA130" s="3">
        <f>TABL12[[#This Row],[(RESV. STORGE) AJD]]/10</f>
        <v/>
      </c>
      <c r="AB130" s="3">
        <f>(Z130-Z129)/1000</f>
        <v/>
      </c>
      <c r="AC130" s="6" t="n">
        <v>0</v>
      </c>
      <c r="AD130" s="5">
        <f>TABL12[[#This Row],[( S/S+T/B) AJD]]-(TABL12[[#This Row],[(A/B + A/S) AJD]]+TABL12[[#This Row],[(STORGE DIFF.) AJD]]+(TABL12[[#This Row],[AJD_Evaporation]]))</f>
        <v/>
      </c>
      <c r="AE130" s="6" t="n">
        <v>57</v>
      </c>
      <c r="AF130" s="33" t="n">
        <v>58.466</v>
      </c>
      <c r="AG130" s="6" t="n">
        <v>1272332</v>
      </c>
      <c r="AH130" s="6">
        <f>TABL12[[#This Row],[ (RESV. STORGE) BER]]/10</f>
        <v/>
      </c>
      <c r="AI130" s="6" t="n">
        <v>3550</v>
      </c>
      <c r="AJ130" s="6">
        <f>TABL12[[#This Row],[(A/B) AJD]]-TABL12[[#This Row],[BER_IN]]</f>
        <v/>
      </c>
      <c r="AK130" s="6" t="n">
        <v>0</v>
      </c>
      <c r="AL130" s="33" t="n">
        <v>44.2365</v>
      </c>
      <c r="AM130" s="6" t="n">
        <v>3783250</v>
      </c>
      <c r="AN130" s="6">
        <f>TABL12[[#This Row],[ (RESV. STORGE) SER]]/10</f>
        <v/>
      </c>
      <c r="AO130" s="6" t="n">
        <v>1825</v>
      </c>
      <c r="AP130" s="32">
        <f>TABL12[[#This Row],[(A/S) AJD]]-TABL12[[#This Row],[SER_IN]]</f>
        <v/>
      </c>
    </row>
    <row r="131">
      <c r="A131" s="2" t="n">
        <v>45787</v>
      </c>
      <c r="B131" s="28" t="n">
        <v>39</v>
      </c>
      <c r="C131" s="28" t="n">
        <v>326</v>
      </c>
      <c r="D131" s="28" t="n">
        <v>39</v>
      </c>
      <c r="E131" s="28" t="n">
        <v>0</v>
      </c>
      <c r="F131" s="28" t="n">
        <v>88</v>
      </c>
      <c r="G131" s="28" t="n">
        <v>534</v>
      </c>
      <c r="H131" s="28" t="n">
        <v>0</v>
      </c>
      <c r="I131" s="28" t="n">
        <v>420</v>
      </c>
      <c r="J131" s="28" t="n">
        <v>438</v>
      </c>
      <c r="K131" s="28">
        <f>TABL12[[#This Row],[ (T/B) SAR]]+TABL12[[#This Row],[ (S/S) SAR]]</f>
        <v/>
      </c>
      <c r="L131" s="28" t="n">
        <v>324</v>
      </c>
      <c r="M131" s="29" t="n">
        <v>24.7</v>
      </c>
      <c r="N131" s="30" t="n">
        <v>7.86</v>
      </c>
      <c r="O131" s="3" t="n">
        <v>386</v>
      </c>
      <c r="P131" s="3">
        <f>TABL12[[#This Row],[ (S/S) SAR]]-TABL12[[#This Row],[(S/S) AJD]]</f>
        <v/>
      </c>
      <c r="Q131" s="3" t="n">
        <v>430</v>
      </c>
      <c r="R131" s="3">
        <f>TABL12[[#This Row],[ (T/B) SAR]]-TABL12[[#This Row],[(T/B) AJD]]</f>
        <v/>
      </c>
      <c r="S131" s="3">
        <f>TABL12[[#This Row],[S/S_CON.]]+TABL12[[#This Row],[T/B-CON.]]</f>
        <v/>
      </c>
      <c r="T131" s="3">
        <f>O131+Q131</f>
        <v/>
      </c>
      <c r="U131" s="3" t="n">
        <v>530</v>
      </c>
      <c r="V131" s="3" t="n">
        <v>289</v>
      </c>
      <c r="W131" s="3">
        <f>U131+V131</f>
        <v/>
      </c>
      <c r="X131" s="3">
        <f>T131-W131</f>
        <v/>
      </c>
      <c r="Y131" s="4" t="n">
        <v>91.92</v>
      </c>
      <c r="Z131" s="3" t="n">
        <v>0</v>
      </c>
      <c r="AA131" s="3">
        <f>TABL12[[#This Row],[(RESV. STORGE) AJD]]/10</f>
        <v/>
      </c>
      <c r="AB131" s="3">
        <f>(Z131-Z130)/1000</f>
        <v/>
      </c>
      <c r="AC131" s="6" t="n">
        <v>0</v>
      </c>
      <c r="AD131" s="5">
        <f>TABL12[[#This Row],[( S/S+T/B) AJD]]-(TABL12[[#This Row],[(A/B + A/S) AJD]]+TABL12[[#This Row],[(STORGE DIFF.) AJD]]+(TABL12[[#This Row],[AJD_Evaporation]]))</f>
        <v/>
      </c>
      <c r="AE131" s="6" t="n">
        <v>63</v>
      </c>
      <c r="AF131" s="33" t="n">
        <v>58.435</v>
      </c>
      <c r="AG131" s="6" t="n">
        <v>1252012</v>
      </c>
      <c r="AH131" s="6">
        <f>TABL12[[#This Row],[ (RESV. STORGE) BER]]/10</f>
        <v/>
      </c>
      <c r="AI131" s="6" t="n">
        <v>3639</v>
      </c>
      <c r="AJ131" s="6">
        <f>TABL12[[#This Row],[(A/B) AJD]]-TABL12[[#This Row],[BER_IN]]</f>
        <v/>
      </c>
      <c r="AK131" s="6" t="n">
        <v>25</v>
      </c>
      <c r="AL131" s="33" t="n">
        <v>44.2756</v>
      </c>
      <c r="AM131" s="6" t="n">
        <v>3803590</v>
      </c>
      <c r="AN131" s="6">
        <f>TABL12[[#This Row],[ (RESV. STORGE) SER]]/10</f>
        <v/>
      </c>
      <c r="AO131" s="6" t="n">
        <v>1875</v>
      </c>
      <c r="AP131" s="32">
        <f>TABL12[[#This Row],[(A/S) AJD]]-TABL12[[#This Row],[SER_IN]]</f>
        <v/>
      </c>
    </row>
    <row r="132">
      <c r="A132" s="2" t="n">
        <v>45788</v>
      </c>
      <c r="B132" s="28" t="n">
        <v>39</v>
      </c>
      <c r="C132" s="28" t="n">
        <v>311</v>
      </c>
      <c r="D132" s="28" t="n">
        <v>39</v>
      </c>
      <c r="E132" s="28" t="n">
        <v>0</v>
      </c>
      <c r="F132" s="28" t="n">
        <v>87</v>
      </c>
      <c r="G132" s="28" t="n">
        <v>530</v>
      </c>
      <c r="H132" s="28" t="n">
        <v>1</v>
      </c>
      <c r="I132" s="28" t="n">
        <v>417</v>
      </c>
      <c r="J132" s="28" t="n">
        <v>437</v>
      </c>
      <c r="K132" s="28">
        <f>TABL12[[#This Row],[ (T/B) SAR]]+TABL12[[#This Row],[ (S/S) SAR]]</f>
        <v/>
      </c>
      <c r="L132" s="28" t="n">
        <v>324</v>
      </c>
      <c r="M132" s="29" t="n">
        <v>24.7</v>
      </c>
      <c r="N132" s="30" t="n">
        <v>7.82</v>
      </c>
      <c r="O132" s="3" t="n">
        <v>387</v>
      </c>
      <c r="P132" s="3">
        <f>TABL12[[#This Row],[ (S/S) SAR]]-TABL12[[#This Row],[(S/S) AJD]]</f>
        <v/>
      </c>
      <c r="Q132" s="3" t="n">
        <v>430</v>
      </c>
      <c r="R132" s="3">
        <f>TABL12[[#This Row],[ (T/B) SAR]]-TABL12[[#This Row],[(T/B) AJD]]</f>
        <v/>
      </c>
      <c r="S132" s="3">
        <f>TABL12[[#This Row],[S/S_CON.]]+TABL12[[#This Row],[T/B-CON.]]</f>
        <v/>
      </c>
      <c r="T132" s="3">
        <f>O132+Q132</f>
        <v/>
      </c>
      <c r="U132" s="3" t="n">
        <v>562</v>
      </c>
      <c r="V132" s="3" t="n">
        <v>246</v>
      </c>
      <c r="W132" s="3">
        <f>U132+V132</f>
        <v/>
      </c>
      <c r="X132" s="3">
        <f>T132-W132</f>
        <v/>
      </c>
      <c r="Y132" s="4" t="n">
        <v>91.92</v>
      </c>
      <c r="Z132" s="3" t="n">
        <v>0</v>
      </c>
      <c r="AA132" s="3">
        <f>TABL12[[#This Row],[(RESV. STORGE) AJD]]/10</f>
        <v/>
      </c>
      <c r="AB132" s="3">
        <f>(Z132-Z131)/1000</f>
        <v/>
      </c>
      <c r="AC132" s="6" t="n">
        <v>0</v>
      </c>
      <c r="AD132" s="5">
        <f>TABL12[[#This Row],[( S/S+T/B) AJD]]-(TABL12[[#This Row],[(A/B + A/S) AJD]]+TABL12[[#This Row],[(STORGE DIFF.) AJD]]+(TABL12[[#This Row],[AJD_Evaporation]]))</f>
        <v/>
      </c>
      <c r="AE132" s="6" t="n">
        <v>73</v>
      </c>
      <c r="AF132" s="33" t="n">
        <v>58.42</v>
      </c>
      <c r="AG132" s="6" t="n">
        <v>1242183</v>
      </c>
      <c r="AH132" s="6">
        <f>TABL12[[#This Row],[ (RESV. STORGE) BER]]/10</f>
        <v/>
      </c>
      <c r="AI132" s="6" t="n">
        <v>3184</v>
      </c>
      <c r="AJ132" s="6">
        <f>TABL12[[#This Row],[(A/B) AJD]]-TABL12[[#This Row],[BER_IN]]</f>
        <v/>
      </c>
      <c r="AK132" s="6" t="n">
        <v>34</v>
      </c>
      <c r="AL132" s="33" t="n">
        <v>44.3269</v>
      </c>
      <c r="AM132" s="6" t="n">
        <v>3833240</v>
      </c>
      <c r="AN132" s="6">
        <f>TABL12[[#This Row],[ (RESV. STORGE) SER]]/10</f>
        <v/>
      </c>
      <c r="AO132" s="6" t="n">
        <v>1830</v>
      </c>
      <c r="AP132" s="32">
        <f>TABL12[[#This Row],[(A/S) AJD]]-TABL12[[#This Row],[SER_IN]]</f>
        <v/>
      </c>
    </row>
    <row r="133">
      <c r="A133" s="2" t="n">
        <v>45789</v>
      </c>
      <c r="B133" s="28" t="n">
        <v>39</v>
      </c>
      <c r="C133" s="28" t="n">
        <v>316</v>
      </c>
      <c r="D133" s="28" t="n">
        <v>39</v>
      </c>
      <c r="E133" s="28" t="n">
        <v>0</v>
      </c>
      <c r="F133" s="28" t="n">
        <v>87</v>
      </c>
      <c r="G133" s="28" t="n">
        <v>532</v>
      </c>
      <c r="H133" s="28" t="n">
        <v>1</v>
      </c>
      <c r="I133" s="28" t="n">
        <v>417</v>
      </c>
      <c r="J133" s="28" t="n">
        <v>437</v>
      </c>
      <c r="K133" s="28">
        <f>TABL12[[#This Row],[ (T/B) SAR]]+TABL12[[#This Row],[ (S/S) SAR]]</f>
        <v/>
      </c>
      <c r="L133" s="28" t="n">
        <v>322</v>
      </c>
      <c r="M133" s="29" t="n">
        <v>24.7</v>
      </c>
      <c r="N133" s="30" t="n">
        <v>7.75</v>
      </c>
      <c r="O133" s="3" t="n">
        <v>386</v>
      </c>
      <c r="P133" s="3">
        <f>TABL12[[#This Row],[ (S/S) SAR]]-TABL12[[#This Row],[(S/S) AJD]]</f>
        <v/>
      </c>
      <c r="Q133" s="3" t="n">
        <v>429</v>
      </c>
      <c r="R133" s="3">
        <f>TABL12[[#This Row],[ (T/B) SAR]]-TABL12[[#This Row],[(T/B) AJD]]</f>
        <v/>
      </c>
      <c r="S133" s="3">
        <f>TABL12[[#This Row],[S/S_CON.]]+TABL12[[#This Row],[T/B-CON.]]</f>
        <v/>
      </c>
      <c r="T133" s="3">
        <f>O133+Q133</f>
        <v/>
      </c>
      <c r="U133" s="3" t="n">
        <v>557</v>
      </c>
      <c r="V133" s="3" t="n">
        <v>260</v>
      </c>
      <c r="W133" s="3">
        <f>U133+V133</f>
        <v/>
      </c>
      <c r="X133" s="3">
        <f>T133-W133</f>
        <v/>
      </c>
      <c r="Y133" s="4" t="n">
        <v>91.92</v>
      </c>
      <c r="Z133" s="3" t="n">
        <v>0</v>
      </c>
      <c r="AA133" s="3">
        <f>TABL12[[#This Row],[(RESV. STORGE) AJD]]/10</f>
        <v/>
      </c>
      <c r="AB133" s="3">
        <f>(Z133-Z132)/1000</f>
        <v/>
      </c>
      <c r="AC133" s="6" t="n">
        <v>0</v>
      </c>
      <c r="AD133" s="5">
        <f>TABL12[[#This Row],[( S/S+T/B) AJD]]-(TABL12[[#This Row],[(A/B + A/S) AJD]]+TABL12[[#This Row],[(STORGE DIFF.) AJD]]+(TABL12[[#This Row],[AJD_Evaporation]]))</f>
        <v/>
      </c>
      <c r="AE133" s="6" t="n">
        <v>80</v>
      </c>
      <c r="AF133" s="33" t="n">
        <v>58.417</v>
      </c>
      <c r="AG133" s="6" t="n">
        <v>1240218</v>
      </c>
      <c r="AH133" s="6">
        <f>TABL12[[#This Row],[ (RESV. STORGE) BER]]/10</f>
        <v/>
      </c>
      <c r="AI133" s="6" t="n">
        <v>2285</v>
      </c>
      <c r="AJ133" s="6">
        <f>TABL12[[#This Row],[(A/B) AJD]]-TABL12[[#This Row],[BER_IN]]</f>
        <v/>
      </c>
      <c r="AK133" s="6" t="n">
        <v>43</v>
      </c>
      <c r="AL133" s="33" t="n">
        <v>44.3973</v>
      </c>
      <c r="AM133" s="6" t="n">
        <v>3871880</v>
      </c>
      <c r="AN133" s="6">
        <f>TABL12[[#This Row],[ (RESV. STORGE) SER]]/10</f>
        <v/>
      </c>
      <c r="AO133" s="6" t="n">
        <v>1860</v>
      </c>
      <c r="AP133" s="32">
        <f>TABL12[[#This Row],[(A/S) AJD]]-TABL12[[#This Row],[SER_IN]]</f>
        <v/>
      </c>
    </row>
    <row r="134">
      <c r="A134" s="2" t="n">
        <v>45790</v>
      </c>
      <c r="B134" s="28" t="n">
        <v>39</v>
      </c>
      <c r="C134" s="28" t="n">
        <v>308</v>
      </c>
      <c r="D134" s="28" t="n">
        <v>39</v>
      </c>
      <c r="E134" s="28" t="n">
        <v>0</v>
      </c>
      <c r="F134" s="28" t="n">
        <v>89</v>
      </c>
      <c r="G134" s="28" t="n">
        <v>532</v>
      </c>
      <c r="H134" s="28" t="n">
        <v>0</v>
      </c>
      <c r="I134" s="28" t="n">
        <v>418</v>
      </c>
      <c r="J134" s="28" t="n">
        <v>435</v>
      </c>
      <c r="K134" s="28">
        <f>TABL12[[#This Row],[ (T/B) SAR]]+TABL12[[#This Row],[ (S/S) SAR]]</f>
        <v/>
      </c>
      <c r="L134" s="28" t="n">
        <v>321</v>
      </c>
      <c r="M134" s="29" t="n">
        <v>24.7</v>
      </c>
      <c r="N134" s="30" t="n">
        <v>7.68</v>
      </c>
      <c r="O134" s="3" t="n">
        <v>386</v>
      </c>
      <c r="P134" s="3">
        <f>TABL12[[#This Row],[ (S/S) SAR]]-TABL12[[#This Row],[(S/S) AJD]]</f>
        <v/>
      </c>
      <c r="Q134" s="3" t="n">
        <v>429</v>
      </c>
      <c r="R134" s="3">
        <f>TABL12[[#This Row],[ (T/B) SAR]]-TABL12[[#This Row],[(T/B) AJD]]</f>
        <v/>
      </c>
      <c r="S134" s="3">
        <f>TABL12[[#This Row],[S/S_CON.]]+TABL12[[#This Row],[T/B-CON.]]</f>
        <v/>
      </c>
      <c r="T134" s="3">
        <f>O134+Q134</f>
        <v/>
      </c>
      <c r="U134" s="3" t="n">
        <v>550</v>
      </c>
      <c r="V134" s="3" t="n">
        <v>268</v>
      </c>
      <c r="W134" s="3">
        <f>U134+V134</f>
        <v/>
      </c>
      <c r="X134" s="3">
        <f>T134-W134</f>
        <v/>
      </c>
      <c r="Y134" s="4" t="n">
        <v>91.92</v>
      </c>
      <c r="Z134" s="3" t="n">
        <v>0</v>
      </c>
      <c r="AA134" s="3">
        <f>TABL12[[#This Row],[(RESV. STORGE) AJD]]/10</f>
        <v/>
      </c>
      <c r="AB134" s="3">
        <f>(Z134-Z133)/1000</f>
        <v/>
      </c>
      <c r="AC134" s="6" t="n">
        <v>0</v>
      </c>
      <c r="AD134" s="5">
        <f>TABL12[[#This Row],[( S/S+T/B) AJD]]-(TABL12[[#This Row],[(A/B + A/S) AJD]]+TABL12[[#This Row],[(STORGE DIFF.) AJD]]+(TABL12[[#This Row],[AJD_Evaporation]]))</f>
        <v/>
      </c>
      <c r="AE134" s="6" t="n">
        <v>80</v>
      </c>
      <c r="AF134" s="33" t="n">
        <v>58.413</v>
      </c>
      <c r="AG134" s="6" t="n">
        <v>1237597</v>
      </c>
      <c r="AH134" s="6">
        <f>TABL12[[#This Row],[ (RESV. STORGE) BER]]/10</f>
        <v/>
      </c>
      <c r="AI134" s="6" t="n">
        <v>2940</v>
      </c>
      <c r="AJ134" s="6">
        <f>TABL12[[#This Row],[(A/B) AJD]]-TABL12[[#This Row],[BER_IN]]</f>
        <v/>
      </c>
      <c r="AK134" s="6" t="n">
        <v>43</v>
      </c>
      <c r="AL134" s="33" t="n">
        <v>44.4565</v>
      </c>
      <c r="AM134" s="6" t="n">
        <v>3904470</v>
      </c>
      <c r="AN134" s="6">
        <f>TABL12[[#This Row],[ (RESV. STORGE) SER]]/10</f>
        <v/>
      </c>
      <c r="AO134" s="6" t="n">
        <v>1825</v>
      </c>
      <c r="AP134" s="32">
        <f>TABL12[[#This Row],[(A/S) AJD]]-TABL12[[#This Row],[SER_IN]]</f>
        <v/>
      </c>
    </row>
    <row r="135">
      <c r="A135" s="2" t="n">
        <v>45791</v>
      </c>
      <c r="B135" s="28" t="n">
        <v>39</v>
      </c>
      <c r="C135" s="28" t="n">
        <v>320</v>
      </c>
      <c r="D135" s="28" t="n">
        <v>39</v>
      </c>
      <c r="E135" s="28" t="n">
        <v>0</v>
      </c>
      <c r="F135" s="28" t="n">
        <v>89</v>
      </c>
      <c r="G135" s="28" t="n">
        <v>536</v>
      </c>
      <c r="H135" s="28" t="n">
        <v>0</v>
      </c>
      <c r="I135" s="28" t="n">
        <v>418</v>
      </c>
      <c r="J135" s="28" t="n">
        <v>438</v>
      </c>
      <c r="K135" s="28">
        <f>TABL12[[#This Row],[ (T/B) SAR]]+TABL12[[#This Row],[ (S/S) SAR]]</f>
        <v/>
      </c>
      <c r="L135" s="28" t="n">
        <v>320</v>
      </c>
      <c r="M135" s="29" t="n">
        <v>24.7</v>
      </c>
      <c r="N135" s="30" t="n">
        <v>7.64</v>
      </c>
      <c r="O135" s="3" t="n">
        <v>387</v>
      </c>
      <c r="P135" s="3">
        <f>TABL12[[#This Row],[ (S/S) SAR]]-TABL12[[#This Row],[(S/S) AJD]]</f>
        <v/>
      </c>
      <c r="Q135" s="3" t="n">
        <v>430</v>
      </c>
      <c r="R135" s="3">
        <f>TABL12[[#This Row],[ (T/B) SAR]]-TABL12[[#This Row],[(T/B) AJD]]</f>
        <v/>
      </c>
      <c r="S135" s="3">
        <f>TABL12[[#This Row],[S/S_CON.]]+TABL12[[#This Row],[T/B-CON.]]</f>
        <v/>
      </c>
      <c r="T135" s="3">
        <f>O135+Q135</f>
        <v/>
      </c>
      <c r="U135" s="3" t="n">
        <v>508</v>
      </c>
      <c r="V135" s="3" t="n">
        <v>312</v>
      </c>
      <c r="W135" s="3">
        <f>U135+V135</f>
        <v/>
      </c>
      <c r="X135" s="3">
        <f>T135-W135</f>
        <v/>
      </c>
      <c r="Y135" s="4" t="n">
        <v>91.92</v>
      </c>
      <c r="Z135" s="3" t="n">
        <v>0</v>
      </c>
      <c r="AA135" s="3">
        <f>TABL12[[#This Row],[(RESV. STORGE) AJD]]/10</f>
        <v/>
      </c>
      <c r="AB135" s="3">
        <f>(Z135-Z134)/1000</f>
        <v/>
      </c>
      <c r="AC135" s="6" t="n">
        <v>0</v>
      </c>
      <c r="AD135" s="5">
        <f>TABL12[[#This Row],[( S/S+T/B) AJD]]-(TABL12[[#This Row],[(A/B + A/S) AJD]]+TABL12[[#This Row],[(STORGE DIFF.) AJD]]+(TABL12[[#This Row],[AJD_Evaporation]]))</f>
        <v/>
      </c>
      <c r="AE135" s="6" t="n">
        <v>59</v>
      </c>
      <c r="AF135" s="33" t="n">
        <v>58.377</v>
      </c>
      <c r="AG135" s="6" t="n">
        <v>1214018</v>
      </c>
      <c r="AH135" s="6">
        <f>TABL12[[#This Row],[ (RESV. STORGE) BER]]/10</f>
        <v/>
      </c>
      <c r="AI135" s="6" t="n">
        <v>2899</v>
      </c>
      <c r="AJ135" s="6">
        <f>TABL12[[#This Row],[(A/B) AJD]]-TABL12[[#This Row],[BER_IN]]</f>
        <v/>
      </c>
      <c r="AK135" s="6" t="n">
        <v>23</v>
      </c>
      <c r="AL135" s="33" t="n">
        <v>44.4866</v>
      </c>
      <c r="AM135" s="6" t="n">
        <v>3921600</v>
      </c>
      <c r="AN135" s="6">
        <f>TABL12[[#This Row],[ (RESV. STORGE) SER]]/10</f>
        <v/>
      </c>
      <c r="AO135" s="6" t="n">
        <v>1765</v>
      </c>
      <c r="AP135" s="32">
        <f>TABL12[[#This Row],[(A/S) AJD]]-TABL12[[#This Row],[SER_IN]]</f>
        <v/>
      </c>
    </row>
    <row r="136">
      <c r="A136" s="2" t="n">
        <v>45792</v>
      </c>
      <c r="B136" s="28" t="n">
        <v>40</v>
      </c>
      <c r="C136" s="28" t="n">
        <v>332</v>
      </c>
      <c r="D136" s="28" t="n">
        <v>40</v>
      </c>
      <c r="E136" s="28" t="n">
        <v>0</v>
      </c>
      <c r="F136" s="28" t="n">
        <v>90</v>
      </c>
      <c r="G136" s="28" t="n">
        <v>542</v>
      </c>
      <c r="H136" s="28" t="n">
        <v>0</v>
      </c>
      <c r="I136" s="28" t="n">
        <v>425</v>
      </c>
      <c r="J136" s="28" t="n">
        <v>442</v>
      </c>
      <c r="K136" s="28">
        <f>TABL12[[#This Row],[ (T/B) SAR]]+TABL12[[#This Row],[ (S/S) SAR]]</f>
        <v/>
      </c>
      <c r="L136" s="28" t="n">
        <v>325</v>
      </c>
      <c r="M136" s="29" t="n">
        <v>24.7</v>
      </c>
      <c r="N136" s="30" t="n">
        <v>7.7</v>
      </c>
      <c r="O136" s="3" t="n">
        <v>390</v>
      </c>
      <c r="P136" s="3">
        <f>TABL12[[#This Row],[ (S/S) SAR]]-TABL12[[#This Row],[(S/S) AJD]]</f>
        <v/>
      </c>
      <c r="Q136" s="3" t="n">
        <v>431</v>
      </c>
      <c r="R136" s="3">
        <f>TABL12[[#This Row],[ (T/B) SAR]]-TABL12[[#This Row],[(T/B) AJD]]</f>
        <v/>
      </c>
      <c r="S136" s="3">
        <f>TABL12[[#This Row],[S/S_CON.]]+TABL12[[#This Row],[T/B-CON.]]</f>
        <v/>
      </c>
      <c r="T136" s="3">
        <f>O136+Q136</f>
        <v/>
      </c>
      <c r="U136" s="3" t="n">
        <v>529</v>
      </c>
      <c r="V136" s="3" t="n">
        <v>293</v>
      </c>
      <c r="W136" s="3">
        <f>U136+V136</f>
        <v/>
      </c>
      <c r="X136" s="3">
        <f>T136-W136</f>
        <v/>
      </c>
      <c r="Y136" s="4" t="n">
        <v>91.92</v>
      </c>
      <c r="Z136" s="3" t="n">
        <v>0</v>
      </c>
      <c r="AA136" s="3">
        <f>TABL12[[#This Row],[(RESV. STORGE) AJD]]/10</f>
        <v/>
      </c>
      <c r="AB136" s="3">
        <f>(Z136-Z135)/1000</f>
        <v/>
      </c>
      <c r="AC136" s="6" t="n">
        <v>0</v>
      </c>
      <c r="AD136" s="5">
        <f>TABL12[[#This Row],[( S/S+T/B) AJD]]-(TABL12[[#This Row],[(A/B + A/S) AJD]]+TABL12[[#This Row],[(STORGE DIFF.) AJD]]+(TABL12[[#This Row],[AJD_Evaporation]]))</f>
        <v/>
      </c>
      <c r="AE136" s="6" t="n">
        <v>50</v>
      </c>
      <c r="AF136" s="33" t="n">
        <v>58.328</v>
      </c>
      <c r="AG136" s="6" t="n">
        <v>1181941</v>
      </c>
      <c r="AH136" s="6">
        <f>TABL12[[#This Row],[ (RESV. STORGE) BER]]/10</f>
        <v/>
      </c>
      <c r="AI136" s="6" t="n">
        <v>2396</v>
      </c>
      <c r="AJ136" s="6">
        <f>TABL12[[#This Row],[(A/B) AJD]]-TABL12[[#This Row],[BER_IN]]</f>
        <v/>
      </c>
      <c r="AK136" s="6" t="n">
        <v>25</v>
      </c>
      <c r="AL136" s="33" t="n">
        <v>44.5108</v>
      </c>
      <c r="AM136" s="6" t="n">
        <v>3934870</v>
      </c>
      <c r="AN136" s="6">
        <f>TABL12[[#This Row],[ (RESV. STORGE) SER]]/10</f>
        <v/>
      </c>
      <c r="AO136" s="6" t="n">
        <v>1850</v>
      </c>
      <c r="AP136" s="32">
        <f>TABL12[[#This Row],[(A/S) AJD]]-TABL12[[#This Row],[SER_IN]]</f>
        <v/>
      </c>
    </row>
    <row r="137">
      <c r="A137" s="2" t="n">
        <v>45793</v>
      </c>
      <c r="B137" s="28" t="n">
        <v>40</v>
      </c>
      <c r="C137" s="28" t="n">
        <v>316</v>
      </c>
      <c r="D137" s="28" t="n">
        <v>40</v>
      </c>
      <c r="E137" s="28" t="n">
        <v>0</v>
      </c>
      <c r="F137" s="28" t="n">
        <v>90</v>
      </c>
      <c r="G137" s="28" t="n">
        <v>540</v>
      </c>
      <c r="H137" s="28" t="n">
        <v>0</v>
      </c>
      <c r="I137" s="28" t="n">
        <v>420</v>
      </c>
      <c r="J137" s="28" t="n">
        <v>440</v>
      </c>
      <c r="K137" s="28">
        <f>TABL12[[#This Row],[ (T/B) SAR]]+TABL12[[#This Row],[ (S/S) SAR]]</f>
        <v/>
      </c>
      <c r="L137" s="28" t="n">
        <v>320</v>
      </c>
      <c r="M137" s="29" t="n">
        <v>24.7</v>
      </c>
      <c r="N137" s="30" t="n">
        <v>7.74</v>
      </c>
      <c r="O137" s="3" t="n">
        <v>392</v>
      </c>
      <c r="P137" s="3">
        <f>TABL12[[#This Row],[ (S/S) SAR]]-TABL12[[#This Row],[(S/S) AJD]]</f>
        <v/>
      </c>
      <c r="Q137" s="3" t="n">
        <v>435</v>
      </c>
      <c r="R137" s="3">
        <f>TABL12[[#This Row],[ (T/B) SAR]]-TABL12[[#This Row],[(T/B) AJD]]</f>
        <v/>
      </c>
      <c r="S137" s="3">
        <f>TABL12[[#This Row],[S/S_CON.]]+TABL12[[#This Row],[T/B-CON.]]</f>
        <v/>
      </c>
      <c r="T137" s="3">
        <f>O137+Q137</f>
        <v/>
      </c>
      <c r="U137" s="3" t="n">
        <v>512</v>
      </c>
      <c r="V137" s="3" t="n">
        <v>320</v>
      </c>
      <c r="W137" s="3">
        <f>U137+V137</f>
        <v/>
      </c>
      <c r="X137" s="3">
        <f>T137-W137</f>
        <v/>
      </c>
      <c r="Y137" s="4" t="n">
        <v>91.92</v>
      </c>
      <c r="Z137" s="3" t="n">
        <v>0</v>
      </c>
      <c r="AA137" s="3">
        <f>TABL12[[#This Row],[(RESV. STORGE) AJD]]/10</f>
        <v/>
      </c>
      <c r="AB137" s="3">
        <f>(Z137-Z136)/1000</f>
        <v/>
      </c>
      <c r="AC137" s="6" t="n">
        <v>0</v>
      </c>
      <c r="AD137" s="5">
        <f>TABL12[[#This Row],[( S/S+T/B) AJD]]-(TABL12[[#This Row],[(A/B + A/S) AJD]]+TABL12[[#This Row],[(STORGE DIFF.) AJD]]+(TABL12[[#This Row],[AJD_Evaporation]]))</f>
        <v/>
      </c>
      <c r="AE137" s="6" t="n">
        <v>50</v>
      </c>
      <c r="AF137" s="33" t="n">
        <v>58.327</v>
      </c>
      <c r="AG137" s="6" t="n">
        <v>1181287</v>
      </c>
      <c r="AH137" s="6">
        <f>TABL12[[#This Row],[ (RESV. STORGE) BER]]/10</f>
        <v/>
      </c>
      <c r="AI137" s="6" t="n">
        <v>2791</v>
      </c>
      <c r="AJ137" s="6">
        <f>TABL12[[#This Row],[(A/B) AJD]]-TABL12[[#This Row],[BER_IN]]</f>
        <v/>
      </c>
      <c r="AK137" s="6" t="n">
        <v>28</v>
      </c>
      <c r="AL137" s="33" t="n">
        <v>44.6423</v>
      </c>
      <c r="AM137" s="6" t="n">
        <v>4007390</v>
      </c>
      <c r="AN137" s="6">
        <f>TABL12[[#This Row],[ (RESV. STORGE) SER]]/10</f>
        <v/>
      </c>
      <c r="AO137" s="6" t="n">
        <v>1410</v>
      </c>
      <c r="AP137" s="32">
        <f>TABL12[[#This Row],[(A/S) AJD]]-TABL12[[#This Row],[SER_IN]]</f>
        <v/>
      </c>
    </row>
    <row r="138">
      <c r="A138" s="2" t="n">
        <v>45794</v>
      </c>
      <c r="B138" s="28" t="n">
        <v>38</v>
      </c>
      <c r="C138" s="28" t="n">
        <v>280</v>
      </c>
      <c r="D138" s="28" t="n">
        <v>36</v>
      </c>
      <c r="E138" s="28" t="n">
        <v>0</v>
      </c>
      <c r="F138" s="28" t="n">
        <v>90</v>
      </c>
      <c r="G138" s="28" t="n">
        <v>538</v>
      </c>
      <c r="H138" s="28" t="n">
        <v>0</v>
      </c>
      <c r="I138" s="28" t="n">
        <v>420</v>
      </c>
      <c r="J138" s="28" t="n">
        <v>436</v>
      </c>
      <c r="K138" s="28">
        <f>TABL12[[#This Row],[ (T/B) SAR]]+TABL12[[#This Row],[ (S/S) SAR]]</f>
        <v/>
      </c>
      <c r="L138" s="28" t="n">
        <v>318</v>
      </c>
      <c r="M138" s="29" t="n">
        <v>24.7</v>
      </c>
      <c r="N138" s="30" t="n">
        <v>7.61</v>
      </c>
      <c r="O138" s="3" t="n">
        <v>390</v>
      </c>
      <c r="P138" s="3">
        <f>TABL12[[#This Row],[ (S/S) SAR]]-TABL12[[#This Row],[(S/S) AJD]]</f>
        <v/>
      </c>
      <c r="Q138" s="3" t="n">
        <v>432</v>
      </c>
      <c r="R138" s="3">
        <f>TABL12[[#This Row],[ (T/B) SAR]]-TABL12[[#This Row],[(T/B) AJD]]</f>
        <v/>
      </c>
      <c r="S138" s="3">
        <f>TABL12[[#This Row],[S/S_CON.]]+TABL12[[#This Row],[T/B-CON.]]</f>
        <v/>
      </c>
      <c r="T138" s="3">
        <f>O138+Q138</f>
        <v/>
      </c>
      <c r="U138" s="3" t="n">
        <v>524</v>
      </c>
      <c r="V138" s="3" t="n">
        <v>294</v>
      </c>
      <c r="W138" s="3">
        <f>U138+V138</f>
        <v/>
      </c>
      <c r="X138" s="3">
        <f>T138-W138</f>
        <v/>
      </c>
      <c r="Y138" s="4" t="n">
        <v>91.92</v>
      </c>
      <c r="Z138" s="3" t="n">
        <v>0</v>
      </c>
      <c r="AA138" s="3">
        <f>TABL12[[#This Row],[(RESV. STORGE) AJD]]/10</f>
        <v/>
      </c>
      <c r="AB138" s="3">
        <f>(Z138-Z137)/1000</f>
        <v/>
      </c>
      <c r="AC138" s="6" t="n">
        <v>0</v>
      </c>
      <c r="AD138" s="5">
        <f>TABL12[[#This Row],[( S/S+T/B) AJD]]-(TABL12[[#This Row],[(A/B + A/S) AJD]]+TABL12[[#This Row],[(STORGE DIFF.) AJD]]+(TABL12[[#This Row],[AJD_Evaporation]]))</f>
        <v/>
      </c>
      <c r="AE138" s="6" t="n">
        <v>50</v>
      </c>
      <c r="AF138" s="33" t="n">
        <v>58.324</v>
      </c>
      <c r="AG138" s="6" t="n">
        <v>1179324</v>
      </c>
      <c r="AH138" s="6">
        <f>TABL12[[#This Row],[ (RESV. STORGE) BER]]/10</f>
        <v/>
      </c>
      <c r="AI138" s="6" t="n">
        <v>2163</v>
      </c>
      <c r="AJ138" s="6">
        <f>TABL12[[#This Row],[(A/B) AJD]]-TABL12[[#This Row],[BER_IN]]</f>
        <v/>
      </c>
      <c r="AK138" s="6" t="n">
        <v>28</v>
      </c>
      <c r="AL138" s="33" t="n">
        <v>44.5955</v>
      </c>
      <c r="AM138" s="6" t="n">
        <v>3980800</v>
      </c>
      <c r="AN138" s="6">
        <f>TABL12[[#This Row],[ (RESV. STORGE) SER]]/10</f>
        <v/>
      </c>
      <c r="AO138" s="6" t="n">
        <v>1500</v>
      </c>
      <c r="AP138" s="32">
        <f>TABL12[[#This Row],[(A/S) AJD]]-TABL12[[#This Row],[SER_IN]]</f>
        <v/>
      </c>
    </row>
    <row r="139">
      <c r="A139" s="2" t="n">
        <v>45795</v>
      </c>
      <c r="B139" s="28" t="n">
        <v>39</v>
      </c>
      <c r="C139" s="28" t="n">
        <v>304</v>
      </c>
      <c r="D139" s="28" t="n">
        <v>39</v>
      </c>
      <c r="E139" s="28" t="n">
        <v>0</v>
      </c>
      <c r="F139" s="28" t="n">
        <v>90</v>
      </c>
      <c r="G139" s="28" t="n">
        <v>536</v>
      </c>
      <c r="H139" s="28" t="n">
        <v>0</v>
      </c>
      <c r="I139" s="28" t="n">
        <v>420</v>
      </c>
      <c r="J139" s="28" t="n">
        <v>433</v>
      </c>
      <c r="K139" s="28">
        <f>TABL12[[#This Row],[ (T/B) SAR]]+TABL12[[#This Row],[ (S/S) SAR]]</f>
        <v/>
      </c>
      <c r="L139" s="28" t="n">
        <v>317</v>
      </c>
      <c r="M139" s="29" t="n">
        <v>24.7</v>
      </c>
      <c r="N139" s="30" t="n">
        <v>7.47</v>
      </c>
      <c r="O139" s="3" t="n">
        <v>386</v>
      </c>
      <c r="P139" s="3">
        <f>TABL12[[#This Row],[ (S/S) SAR]]-TABL12[[#This Row],[(S/S) AJD]]</f>
        <v/>
      </c>
      <c r="Q139" s="3" t="n">
        <v>430</v>
      </c>
      <c r="R139" s="3">
        <f>TABL12[[#This Row],[ (T/B) SAR]]-TABL12[[#This Row],[(T/B) AJD]]</f>
        <v/>
      </c>
      <c r="S139" s="3">
        <f>TABL12[[#This Row],[S/S_CON.]]+TABL12[[#This Row],[T/B-CON.]]</f>
        <v/>
      </c>
      <c r="T139" s="3">
        <f>O139+Q139</f>
        <v/>
      </c>
      <c r="U139" s="3" t="n">
        <v>530</v>
      </c>
      <c r="V139" s="3" t="n">
        <v>289</v>
      </c>
      <c r="W139" s="3">
        <f>U139+V139</f>
        <v/>
      </c>
      <c r="X139" s="3">
        <f>T139-W139</f>
        <v/>
      </c>
      <c r="Y139" s="4" t="n">
        <v>91.92</v>
      </c>
      <c r="Z139" s="3" t="n">
        <v>0</v>
      </c>
      <c r="AA139" s="3">
        <f>TABL12[[#This Row],[(RESV. STORGE) AJD]]/10</f>
        <v/>
      </c>
      <c r="AB139" s="3">
        <f>(Z139-Z138)/1000</f>
        <v/>
      </c>
      <c r="AC139" s="6" t="n">
        <v>0</v>
      </c>
      <c r="AD139" s="5">
        <f>TABL12[[#This Row],[( S/S+T/B) AJD]]-(TABL12[[#This Row],[(A/B + A/S) AJD]]+TABL12[[#This Row],[(STORGE DIFF.) AJD]]+(TABL12[[#This Row],[AJD_Evaporation]]))</f>
        <v/>
      </c>
      <c r="AE139" s="6" t="n">
        <v>50</v>
      </c>
      <c r="AF139" s="33" t="n">
        <v>58.275</v>
      </c>
      <c r="AG139" s="6" t="n">
        <v>1147270</v>
      </c>
      <c r="AH139" s="6">
        <f>TABL12[[#This Row],[ (RESV. STORGE) BER]]/10</f>
        <v/>
      </c>
      <c r="AI139" s="6" t="n">
        <v>2373</v>
      </c>
      <c r="AJ139" s="6">
        <f>TABL12[[#This Row],[(A/B) AJD]]-TABL12[[#This Row],[BER_IN]]</f>
        <v/>
      </c>
      <c r="AK139" s="6" t="n">
        <v>28</v>
      </c>
      <c r="AL139" s="33" t="n">
        <v>44.6423</v>
      </c>
      <c r="AM139" s="6" t="n">
        <v>4007390</v>
      </c>
      <c r="AN139" s="6">
        <f>TABL12[[#This Row],[ (RESV. STORGE) SER]]/10</f>
        <v/>
      </c>
      <c r="AO139" s="6" t="n">
        <v>1410</v>
      </c>
      <c r="AP139" s="32">
        <f>TABL12[[#This Row],[(A/S) AJD]]-TABL12[[#This Row],[SER_IN]]</f>
        <v/>
      </c>
    </row>
    <row r="140">
      <c r="A140" s="2" t="n">
        <v>45796</v>
      </c>
      <c r="B140" s="28" t="n">
        <v>39</v>
      </c>
      <c r="C140" s="28" t="n">
        <v>309</v>
      </c>
      <c r="D140" s="28" t="n">
        <v>39</v>
      </c>
      <c r="E140" s="28" t="n">
        <v>0</v>
      </c>
      <c r="F140" s="28" t="n">
        <v>90</v>
      </c>
      <c r="G140" s="28" t="n">
        <v>551</v>
      </c>
      <c r="H140" s="28" t="n">
        <v>0</v>
      </c>
      <c r="I140" s="28" t="n">
        <v>437</v>
      </c>
      <c r="J140" s="28" t="n">
        <v>430</v>
      </c>
      <c r="K140" s="28">
        <f>TABL12[[#This Row],[ (T/B) SAR]]+TABL12[[#This Row],[ (S/S) SAR]]</f>
        <v/>
      </c>
      <c r="L140" s="28" t="n">
        <v>316</v>
      </c>
      <c r="M140" s="29" t="n">
        <v>24.7</v>
      </c>
      <c r="N140" s="30" t="n">
        <v>7.47</v>
      </c>
      <c r="O140" s="3" t="n">
        <v>385</v>
      </c>
      <c r="P140" s="3">
        <f>TABL12[[#This Row],[ (S/S) SAR]]-TABL12[[#This Row],[(S/S) AJD]]</f>
        <v/>
      </c>
      <c r="Q140" s="3" t="n">
        <v>426</v>
      </c>
      <c r="R140" s="3">
        <f>TABL12[[#This Row],[ (T/B) SAR]]-TABL12[[#This Row],[(T/B) AJD]]</f>
        <v/>
      </c>
      <c r="S140" s="3">
        <f>TABL12[[#This Row],[S/S_CON.]]+TABL12[[#This Row],[T/B-CON.]]</f>
        <v/>
      </c>
      <c r="T140" s="3">
        <f>O140+Q140</f>
        <v/>
      </c>
      <c r="U140" s="3" t="n">
        <v>530</v>
      </c>
      <c r="V140" s="3" t="n">
        <v>269</v>
      </c>
      <c r="W140" s="3">
        <f>U140+V140</f>
        <v/>
      </c>
      <c r="X140" s="3">
        <f>T140-W140</f>
        <v/>
      </c>
      <c r="Y140" s="4" t="n">
        <v>91.92</v>
      </c>
      <c r="Z140" s="3" t="n">
        <v>0</v>
      </c>
      <c r="AA140" s="3">
        <f>TABL12[[#This Row],[(RESV. STORGE) AJD]]/10</f>
        <v/>
      </c>
      <c r="AB140" s="3">
        <f>(Z140-Z139)/1000</f>
        <v/>
      </c>
      <c r="AC140" s="6" t="n">
        <v>0</v>
      </c>
      <c r="AD140" s="5">
        <f>TABL12[[#This Row],[( S/S+T/B) AJD]]-(TABL12[[#This Row],[(A/B + A/S) AJD]]+TABL12[[#This Row],[(STORGE DIFF.) AJD]]+(TABL12[[#This Row],[AJD_Evaporation]]))</f>
        <v/>
      </c>
      <c r="AE140" s="6" t="n">
        <v>55</v>
      </c>
      <c r="AF140" s="33" t="n">
        <v>58.234</v>
      </c>
      <c r="AG140" s="6" t="n">
        <v>1120465</v>
      </c>
      <c r="AH140" s="6">
        <f>TABL12[[#This Row],[ (RESV. STORGE) BER]]/10</f>
        <v/>
      </c>
      <c r="AI140" s="6" t="n">
        <v>2124</v>
      </c>
      <c r="AJ140" s="6">
        <f>TABL12[[#This Row],[(A/B) AJD]]-TABL12[[#This Row],[BER_IN]]</f>
        <v/>
      </c>
      <c r="AK140" s="6" t="n">
        <v>28</v>
      </c>
      <c r="AL140" s="33" t="n">
        <v>44.673</v>
      </c>
      <c r="AM140" s="6" t="n">
        <v>4025050</v>
      </c>
      <c r="AN140" s="6">
        <f>TABL12[[#This Row],[ (RESV. STORGE) SER]]/10</f>
        <v/>
      </c>
      <c r="AO140" s="6" t="n">
        <v>1800</v>
      </c>
      <c r="AP140" s="32">
        <f>TABL12[[#This Row],[(A/S) AJD]]-TABL12[[#This Row],[SER_IN]]</f>
        <v/>
      </c>
    </row>
    <row r="141">
      <c r="A141" s="2" t="n">
        <v>45797</v>
      </c>
      <c r="B141" s="28" t="n">
        <v>37</v>
      </c>
      <c r="C141" s="28" t="n">
        <v>306</v>
      </c>
      <c r="D141" s="28" t="n">
        <v>39</v>
      </c>
      <c r="E141" s="28" t="n">
        <v>0</v>
      </c>
      <c r="F141" s="28" t="n">
        <v>89</v>
      </c>
      <c r="G141" s="28" t="n">
        <v>535</v>
      </c>
      <c r="H141" s="28" t="n">
        <v>1</v>
      </c>
      <c r="I141" s="28" t="n">
        <v>418</v>
      </c>
      <c r="J141" s="28" t="n">
        <v>433</v>
      </c>
      <c r="K141" s="28">
        <f>TABL12[[#This Row],[ (T/B) SAR]]+TABL12[[#This Row],[ (S/S) SAR]]</f>
        <v/>
      </c>
      <c r="L141" s="28" t="n">
        <v>316</v>
      </c>
      <c r="M141" s="29" t="n">
        <v>24.7</v>
      </c>
      <c r="N141" s="30" t="n">
        <v>7.4</v>
      </c>
      <c r="O141" s="3" t="n">
        <v>384</v>
      </c>
      <c r="P141" s="3">
        <f>TABL12[[#This Row],[ (S/S) SAR]]-TABL12[[#This Row],[(S/S) AJD]]</f>
        <v/>
      </c>
      <c r="Q141" s="3" t="n">
        <v>427</v>
      </c>
      <c r="R141" s="3">
        <f>TABL12[[#This Row],[ (T/B) SAR]]-TABL12[[#This Row],[(T/B) AJD]]</f>
        <v/>
      </c>
      <c r="S141" s="3">
        <f>TABL12[[#This Row],[S/S_CON.]]+TABL12[[#This Row],[T/B-CON.]]</f>
        <v/>
      </c>
      <c r="T141" s="3">
        <f>O141+Q141</f>
        <v/>
      </c>
      <c r="U141" s="3" t="n">
        <v>537</v>
      </c>
      <c r="V141" s="3" t="n">
        <v>271</v>
      </c>
      <c r="W141" s="3">
        <f>U141+V141</f>
        <v/>
      </c>
      <c r="X141" s="3">
        <f>T141-W141</f>
        <v/>
      </c>
      <c r="Y141" s="4" t="n">
        <v>91.92</v>
      </c>
      <c r="Z141" s="3" t="n">
        <v>0</v>
      </c>
      <c r="AA141" s="3">
        <f>TABL12[[#This Row],[(RESV. STORGE) AJD]]/10</f>
        <v/>
      </c>
      <c r="AB141" s="3">
        <f>(Z141-Z140)/1000</f>
        <v/>
      </c>
      <c r="AC141" s="6" t="n">
        <v>0</v>
      </c>
      <c r="AD141" s="5">
        <f>TABL12[[#This Row],[( S/S+T/B) AJD]]-(TABL12[[#This Row],[(A/B + A/S) AJD]]+TABL12[[#This Row],[(STORGE DIFF.) AJD]]+(TABL12[[#This Row],[AJD_Evaporation]]))</f>
        <v/>
      </c>
      <c r="AE141" s="6" t="n">
        <v>60</v>
      </c>
      <c r="AF141" s="33" t="n">
        <v>58.201</v>
      </c>
      <c r="AG141" s="6" t="n">
        <v>1098901</v>
      </c>
      <c r="AH141" s="6">
        <f>TABL12[[#This Row],[ (RESV. STORGE) BER]]/10</f>
        <v/>
      </c>
      <c r="AI141" s="6" t="n">
        <v>2204</v>
      </c>
      <c r="AJ141" s="6">
        <f>TABL12[[#This Row],[(A/B) AJD]]-TABL12[[#This Row],[BER_IN]]</f>
        <v/>
      </c>
      <c r="AK141" s="6" t="n">
        <v>28</v>
      </c>
      <c r="AL141" s="33" t="n">
        <v>44.7027</v>
      </c>
      <c r="AM141" s="6" t="n">
        <v>4041200</v>
      </c>
      <c r="AN141" s="6">
        <f>TABL12[[#This Row],[ (RESV. STORGE) SER]]/10</f>
        <v/>
      </c>
      <c r="AO141" s="6" t="n">
        <v>1850</v>
      </c>
      <c r="AP141" s="32">
        <f>TABL12[[#This Row],[(A/S) AJD]]-TABL12[[#This Row],[SER_IN]]</f>
        <v/>
      </c>
    </row>
    <row r="142">
      <c r="A142" s="2" t="n">
        <v>45798</v>
      </c>
      <c r="B142" s="28" t="n">
        <v>35</v>
      </c>
      <c r="C142" s="28" t="n">
        <v>283</v>
      </c>
      <c r="D142" s="28" t="n">
        <v>38</v>
      </c>
      <c r="E142" s="28" t="n">
        <v>0</v>
      </c>
      <c r="F142" s="28" t="n">
        <v>90</v>
      </c>
      <c r="G142" s="28" t="n">
        <v>536</v>
      </c>
      <c r="H142" s="28" t="n">
        <v>1</v>
      </c>
      <c r="I142" s="28" t="n">
        <v>418</v>
      </c>
      <c r="J142" s="28" t="n">
        <v>432</v>
      </c>
      <c r="K142" s="28">
        <f>TABL12[[#This Row],[ (T/B) SAR]]+TABL12[[#This Row],[ (S/S) SAR]]</f>
        <v/>
      </c>
      <c r="L142" s="28" t="n">
        <v>314</v>
      </c>
      <c r="M142" s="29" t="n">
        <v>24.7</v>
      </c>
      <c r="N142" s="30" t="n">
        <v>7.4</v>
      </c>
      <c r="O142" s="3" t="n">
        <v>381</v>
      </c>
      <c r="P142" s="3">
        <f>TABL12[[#This Row],[ (S/S) SAR]]-TABL12[[#This Row],[(S/S) AJD]]</f>
        <v/>
      </c>
      <c r="Q142" s="3" t="n">
        <v>427</v>
      </c>
      <c r="R142" s="3">
        <f>TABL12[[#This Row],[ (T/B) SAR]]-TABL12[[#This Row],[(T/B) AJD]]</f>
        <v/>
      </c>
      <c r="S142" s="3">
        <f>TABL12[[#This Row],[S/S_CON.]]+TABL12[[#This Row],[T/B-CON.]]</f>
        <v/>
      </c>
      <c r="T142" s="3">
        <f>O142+Q142</f>
        <v/>
      </c>
      <c r="U142" s="3" t="n">
        <v>544</v>
      </c>
      <c r="V142" s="3" t="n">
        <v>263</v>
      </c>
      <c r="W142" s="3">
        <f>U142+V142</f>
        <v/>
      </c>
      <c r="X142" s="3">
        <f>T142-W142</f>
        <v/>
      </c>
      <c r="Y142" s="4" t="n">
        <v>91.92</v>
      </c>
      <c r="Z142" s="3" t="n">
        <v>0</v>
      </c>
      <c r="AA142" s="3">
        <f>TABL12[[#This Row],[(RESV. STORGE) AJD]]/10</f>
        <v/>
      </c>
      <c r="AB142" s="3">
        <f>(Z142-Z141)/1000</f>
        <v/>
      </c>
      <c r="AC142" s="6" t="n">
        <v>0</v>
      </c>
      <c r="AD142" s="5">
        <f>TABL12[[#This Row],[( S/S+T/B) AJD]]-(TABL12[[#This Row],[(A/B + A/S) AJD]]+TABL12[[#This Row],[(STORGE DIFF.) AJD]]+(TABL12[[#This Row],[AJD_Evaporation]]))</f>
        <v/>
      </c>
      <c r="AE142" s="6" t="n">
        <v>60</v>
      </c>
      <c r="AF142" s="33" t="n">
        <v>58.201</v>
      </c>
      <c r="AG142" s="6" t="n">
        <v>1098901</v>
      </c>
      <c r="AH142" s="6">
        <f>TABL12[[#This Row],[ (RESV. STORGE) BER]]/10</f>
        <v/>
      </c>
      <c r="AI142" s="6" t="n">
        <v>2853</v>
      </c>
      <c r="AJ142" s="6">
        <f>TABL12[[#This Row],[(A/B) AJD]]-TABL12[[#This Row],[BER_IN]]</f>
        <v/>
      </c>
      <c r="AK142" s="6" t="n">
        <v>28</v>
      </c>
      <c r="AL142" s="33" t="n">
        <v>44.7246</v>
      </c>
      <c r="AM142" s="6" t="n">
        <v>4053160</v>
      </c>
      <c r="AN142" s="6">
        <f>TABL12[[#This Row],[ (RESV. STORGE) SER]]/10</f>
        <v/>
      </c>
      <c r="AO142" s="6" t="n">
        <v>1840</v>
      </c>
      <c r="AP142" s="32">
        <f>TABL12[[#This Row],[(A/S) AJD]]-TABL12[[#This Row],[SER_IN]]</f>
        <v/>
      </c>
    </row>
    <row r="143">
      <c r="A143" s="2" t="n">
        <v>45799</v>
      </c>
      <c r="B143" s="28" t="n">
        <v>36</v>
      </c>
      <c r="C143" s="28" t="n">
        <v>289</v>
      </c>
      <c r="D143" s="28" t="n">
        <v>37</v>
      </c>
      <c r="E143" s="28" t="n">
        <v>0</v>
      </c>
      <c r="F143" s="28" t="n">
        <v>90</v>
      </c>
      <c r="G143" s="28" t="n">
        <v>532</v>
      </c>
      <c r="H143" s="28" t="n">
        <v>2</v>
      </c>
      <c r="I143" s="28" t="n">
        <v>415</v>
      </c>
      <c r="J143" s="28" t="n">
        <v>430</v>
      </c>
      <c r="K143" s="28">
        <f>TABL12[[#This Row],[ (T/B) SAR]]+TABL12[[#This Row],[ (S/S) SAR]]</f>
        <v/>
      </c>
      <c r="L143" s="28" t="n">
        <v>313</v>
      </c>
      <c r="M143" s="29" t="n">
        <v>24.7</v>
      </c>
      <c r="N143" s="30" t="n">
        <v>7.35</v>
      </c>
      <c r="O143" s="3" t="n">
        <v>380</v>
      </c>
      <c r="P143" s="3">
        <f>TABL12[[#This Row],[ (S/S) SAR]]-TABL12[[#This Row],[(S/S) AJD]]</f>
        <v/>
      </c>
      <c r="Q143" s="3" t="n">
        <v>426</v>
      </c>
      <c r="R143" s="3">
        <f>TABL12[[#This Row],[ (T/B) SAR]]-TABL12[[#This Row],[(T/B) AJD]]</f>
        <v/>
      </c>
      <c r="S143" s="3">
        <f>TABL12[[#This Row],[S/S_CON.]]+TABL12[[#This Row],[T/B-CON.]]</f>
        <v/>
      </c>
      <c r="T143" s="3">
        <f>O143+Q143</f>
        <v/>
      </c>
      <c r="U143" s="3" t="n">
        <v>493</v>
      </c>
      <c r="V143" s="3" t="n">
        <v>311</v>
      </c>
      <c r="W143" s="3">
        <f>U143+V143</f>
        <v/>
      </c>
      <c r="X143" s="3">
        <f>T143-W143</f>
        <v/>
      </c>
      <c r="Y143" s="4" t="n">
        <v>91.92</v>
      </c>
      <c r="Z143" s="3" t="n">
        <v>0</v>
      </c>
      <c r="AA143" s="3">
        <f>TABL12[[#This Row],[(RESV. STORGE) AJD]]/10</f>
        <v/>
      </c>
      <c r="AB143" s="3">
        <f>(Z143-Z142)/1000</f>
        <v/>
      </c>
      <c r="AC143" s="6" t="n">
        <v>0</v>
      </c>
      <c r="AD143" s="5">
        <f>TABL12[[#This Row],[( S/S+T/B) AJD]]-(TABL12[[#This Row],[(A/B + A/S) AJD]]+TABL12[[#This Row],[(STORGE DIFF.) AJD]]+(TABL12[[#This Row],[AJD_Evaporation]]))</f>
        <v/>
      </c>
      <c r="AE143" s="6" t="n">
        <v>82</v>
      </c>
      <c r="AF143" s="33" t="n">
        <v>58.262</v>
      </c>
      <c r="AG143" s="6" t="n">
        <v>1138769</v>
      </c>
      <c r="AH143" s="6">
        <f>TABL12[[#This Row],[ (RESV. STORGE) BER]]/10</f>
        <v/>
      </c>
      <c r="AI143" s="6" t="n">
        <v>2291</v>
      </c>
      <c r="AJ143" s="6">
        <f>TABL12[[#This Row],[(A/B) AJD]]-TABL12[[#This Row],[BER_IN]]</f>
        <v/>
      </c>
      <c r="AK143" s="6" t="n">
        <v>28</v>
      </c>
      <c r="AL143" s="33" t="n">
        <v>44.7426</v>
      </c>
      <c r="AM143" s="6" t="n">
        <v>4062840</v>
      </c>
      <c r="AN143" s="6">
        <f>TABL12[[#This Row],[ (RESV. STORGE) SER]]/10</f>
        <v/>
      </c>
      <c r="AO143" s="6" t="n">
        <v>1820</v>
      </c>
      <c r="AP143" s="32">
        <f>TABL12[[#This Row],[(A/S) AJD]]-TABL12[[#This Row],[SER_IN]]</f>
        <v/>
      </c>
    </row>
    <row r="144">
      <c r="A144" s="2" t="n">
        <v>45800</v>
      </c>
      <c r="B144" s="28" t="n">
        <v>38</v>
      </c>
      <c r="C144" s="28" t="n">
        <v>302</v>
      </c>
      <c r="D144" s="28" t="n">
        <v>38</v>
      </c>
      <c r="E144" s="28" t="n">
        <v>0</v>
      </c>
      <c r="F144" s="28" t="n">
        <v>90</v>
      </c>
      <c r="G144" s="28" t="n">
        <v>526</v>
      </c>
      <c r="H144" s="28" t="n">
        <v>2</v>
      </c>
      <c r="I144" s="28" t="n">
        <v>410</v>
      </c>
      <c r="J144" s="28" t="n">
        <v>423</v>
      </c>
      <c r="K144" s="28">
        <f>TABL12[[#This Row],[ (T/B) SAR]]+TABL12[[#This Row],[ (S/S) SAR]]</f>
        <v/>
      </c>
      <c r="L144" s="28" t="n">
        <v>307</v>
      </c>
      <c r="M144" s="29" t="n">
        <v>24.7</v>
      </c>
      <c r="N144" s="30" t="n">
        <v>7.33</v>
      </c>
      <c r="O144" s="3" t="n">
        <v>376</v>
      </c>
      <c r="P144" s="3">
        <f>TABL12[[#This Row],[ (S/S) SAR]]-TABL12[[#This Row],[(S/S) AJD]]</f>
        <v/>
      </c>
      <c r="Q144" s="3" t="n">
        <v>422</v>
      </c>
      <c r="R144" s="3">
        <f>TABL12[[#This Row],[ (T/B) SAR]]-TABL12[[#This Row],[(T/B) AJD]]</f>
        <v/>
      </c>
      <c r="S144" s="3">
        <f>TABL12[[#This Row],[S/S_CON.]]+TABL12[[#This Row],[T/B-CON.]]</f>
        <v/>
      </c>
      <c r="T144" s="3">
        <f>O144+Q144</f>
        <v/>
      </c>
      <c r="U144" s="3" t="n">
        <v>486</v>
      </c>
      <c r="V144" s="3" t="n">
        <v>313</v>
      </c>
      <c r="W144" s="3">
        <f>U144+V144</f>
        <v/>
      </c>
      <c r="X144" s="3">
        <f>T144-W144</f>
        <v/>
      </c>
      <c r="Y144" s="4" t="n">
        <v>91.92</v>
      </c>
      <c r="Z144" s="3" t="n">
        <v>0</v>
      </c>
      <c r="AA144" s="3">
        <f>TABL12[[#This Row],[(RESV. STORGE) AJD]]/10</f>
        <v/>
      </c>
      <c r="AB144" s="3">
        <f>(Z144-Z143)/1000</f>
        <v/>
      </c>
      <c r="AC144" s="6" t="n">
        <v>0</v>
      </c>
      <c r="AD144" s="5">
        <f>TABL12[[#This Row],[( S/S+T/B) AJD]]-(TABL12[[#This Row],[(A/B + A/S) AJD]]+TABL12[[#This Row],[(STORGE DIFF.) AJD]]+(TABL12[[#This Row],[AJD_Evaporation]]))</f>
        <v/>
      </c>
      <c r="AE144" s="6" t="n">
        <v>74</v>
      </c>
      <c r="AF144" s="33" t="n">
        <v>58.249</v>
      </c>
      <c r="AG144" s="6" t="n">
        <v>1130270</v>
      </c>
      <c r="AH144" s="6">
        <f>TABL12[[#This Row],[ (RESV. STORGE) BER]]/10</f>
        <v/>
      </c>
      <c r="AI144" s="6" t="n">
        <v>2819</v>
      </c>
      <c r="AJ144" s="6">
        <f>TABL12[[#This Row],[(A/B) AJD]]-TABL12[[#This Row],[BER_IN]]</f>
        <v/>
      </c>
      <c r="AK144" s="6" t="n">
        <v>28</v>
      </c>
      <c r="AL144" s="33" t="n">
        <v>44.6838</v>
      </c>
      <c r="AM144" s="6" t="n">
        <v>4030320</v>
      </c>
      <c r="AN144" s="6">
        <f>TABL12[[#This Row],[ (RESV. STORGE) SER]]/10</f>
        <v/>
      </c>
      <c r="AO144" s="6" t="n">
        <v>1920</v>
      </c>
      <c r="AP144" s="32">
        <f>TABL12[[#This Row],[(A/S) AJD]]-TABL12[[#This Row],[SER_IN]]</f>
        <v/>
      </c>
    </row>
    <row r="145">
      <c r="A145" s="2" t="n">
        <v>45801</v>
      </c>
      <c r="B145" s="28" t="n">
        <v>36</v>
      </c>
      <c r="C145" s="28" t="n">
        <v>270</v>
      </c>
      <c r="D145" s="28" t="n">
        <v>38</v>
      </c>
      <c r="E145" s="28" t="n">
        <v>0</v>
      </c>
      <c r="F145" s="28" t="n">
        <v>50</v>
      </c>
      <c r="G145" s="28" t="n">
        <v>327</v>
      </c>
      <c r="H145" s="28" t="n">
        <v>42</v>
      </c>
      <c r="I145" s="28" t="n">
        <v>284</v>
      </c>
      <c r="J145" s="28" t="n">
        <v>327</v>
      </c>
      <c r="K145" s="28">
        <f>TABL12[[#This Row],[ (T/B) SAR]]+TABL12[[#This Row],[ (S/S) SAR]]</f>
        <v/>
      </c>
      <c r="L145" s="28" t="n">
        <v>284</v>
      </c>
      <c r="M145" s="29" t="n">
        <v>0</v>
      </c>
      <c r="N145" s="30" t="n">
        <v>7.2</v>
      </c>
      <c r="O145" s="3" t="n">
        <v>374</v>
      </c>
      <c r="P145" s="3">
        <f>TABL12[[#This Row],[ (S/S) SAR]]-TABL12[[#This Row],[(S/S) AJD]]</f>
        <v/>
      </c>
      <c r="Q145" s="3" t="n">
        <v>314</v>
      </c>
      <c r="R145" s="3">
        <f>TABL12[[#This Row],[ (T/B) SAR]]-TABL12[[#This Row],[(T/B) AJD]]</f>
        <v/>
      </c>
      <c r="S145" s="3">
        <f>TABL12[[#This Row],[S/S_CON.]]+TABL12[[#This Row],[T/B-CON.]]</f>
        <v/>
      </c>
      <c r="T145" s="3">
        <f>O145+Q145</f>
        <v/>
      </c>
      <c r="U145" s="3" t="n">
        <v>460</v>
      </c>
      <c r="V145" s="3" t="n">
        <v>316</v>
      </c>
      <c r="W145" s="3">
        <f>U145+V145</f>
        <v/>
      </c>
      <c r="X145" s="3">
        <f>T145-W145</f>
        <v/>
      </c>
      <c r="Y145" s="4" t="n">
        <v>91.92</v>
      </c>
      <c r="Z145" s="3" t="n">
        <v>0</v>
      </c>
      <c r="AA145" s="3">
        <f>TABL12[[#This Row],[(RESV. STORGE) AJD]]/10</f>
        <v/>
      </c>
      <c r="AB145" s="3">
        <f>(Z145-Z144)/1000</f>
        <v/>
      </c>
      <c r="AC145" s="6" t="n">
        <v>0</v>
      </c>
      <c r="AD145" s="5">
        <f>TABL12[[#This Row],[( S/S+T/B) AJD]]-(TABL12[[#This Row],[(A/B + A/S) AJD]]+TABL12[[#This Row],[(STORGE DIFF.) AJD]]+(TABL12[[#This Row],[AJD_Evaporation]]))</f>
        <v/>
      </c>
      <c r="AE145" s="6" t="n">
        <v>92</v>
      </c>
      <c r="AF145" s="33" t="n">
        <v>58.289</v>
      </c>
      <c r="AG145" s="6" t="n">
        <v>1156426</v>
      </c>
      <c r="AH145" s="6">
        <f>TABL12[[#This Row],[ (RESV. STORGE) BER]]/10</f>
        <v/>
      </c>
      <c r="AI145" s="6" t="n">
        <v>3593</v>
      </c>
      <c r="AJ145" s="6">
        <f>TABL12[[#This Row],[(A/B) AJD]]-TABL12[[#This Row],[BER_IN]]</f>
        <v/>
      </c>
      <c r="AK145" s="6" t="n">
        <v>28</v>
      </c>
      <c r="AL145" s="33" t="n">
        <v>44.5793</v>
      </c>
      <c r="AM145" s="6" t="n">
        <v>3972500</v>
      </c>
      <c r="AN145" s="6">
        <f>TABL12[[#This Row],[ (RESV. STORGE) SER]]/10</f>
        <v/>
      </c>
      <c r="AO145" s="6" t="n">
        <v>1820</v>
      </c>
      <c r="AP145" s="32">
        <f>TABL12[[#This Row],[(A/S) AJD]]-TABL12[[#This Row],[SER_IN]]</f>
        <v/>
      </c>
    </row>
    <row r="146">
      <c r="A146" s="2" t="n">
        <v>45802</v>
      </c>
      <c r="B146" s="28" t="n">
        <v>36</v>
      </c>
      <c r="C146" s="28" t="n">
        <v>246</v>
      </c>
      <c r="D146" s="28" t="n">
        <v>36</v>
      </c>
      <c r="E146" s="28" t="n">
        <v>0</v>
      </c>
      <c r="F146" s="28" t="n">
        <v>88</v>
      </c>
      <c r="G146" s="28" t="n">
        <v>499</v>
      </c>
      <c r="H146" s="28" t="n">
        <v>4</v>
      </c>
      <c r="I146" s="28" t="n">
        <v>374</v>
      </c>
      <c r="J146" s="28" t="n">
        <v>361</v>
      </c>
      <c r="K146" s="28">
        <f>TABL12[[#This Row],[ (T/B) SAR]]+TABL12[[#This Row],[ (S/S) SAR]]</f>
        <v/>
      </c>
      <c r="L146" s="28" t="n">
        <v>236</v>
      </c>
      <c r="M146" s="29" t="n">
        <v>0</v>
      </c>
      <c r="N146" s="30" t="n">
        <v>6.7</v>
      </c>
      <c r="O146" s="3" t="n">
        <v>266</v>
      </c>
      <c r="P146" s="3">
        <f>TABL12[[#This Row],[ (S/S) SAR]]-TABL12[[#This Row],[(S/S) AJD]]</f>
        <v/>
      </c>
      <c r="Q146" s="3" t="n">
        <v>312</v>
      </c>
      <c r="R146" s="3">
        <f>TABL12[[#This Row],[ (T/B) SAR]]-TABL12[[#This Row],[(T/B) AJD]]</f>
        <v/>
      </c>
      <c r="S146" s="3">
        <f>TABL12[[#This Row],[S/S_CON.]]+TABL12[[#This Row],[T/B-CON.]]</f>
        <v/>
      </c>
      <c r="T146" s="3">
        <f>O146+Q146</f>
        <v/>
      </c>
      <c r="U146" s="3" t="n">
        <v>341</v>
      </c>
      <c r="V146" s="3" t="n">
        <v>238</v>
      </c>
      <c r="W146" s="3">
        <f>U146+V146</f>
        <v/>
      </c>
      <c r="X146" s="3">
        <f>T146-W146</f>
        <v/>
      </c>
      <c r="Y146" s="4" t="n">
        <v>91.92</v>
      </c>
      <c r="Z146" s="3" t="n">
        <v>0</v>
      </c>
      <c r="AA146" s="3">
        <f>TABL12[[#This Row],[(RESV. STORGE) AJD]]/10</f>
        <v/>
      </c>
      <c r="AB146" s="3">
        <f>(Z146-Z145)/1000</f>
        <v/>
      </c>
      <c r="AC146" s="6" t="n">
        <v>0</v>
      </c>
      <c r="AD146" s="5">
        <f>TABL12[[#This Row],[( S/S+T/B) AJD]]-(TABL12[[#This Row],[(A/B + A/S) AJD]]+TABL12[[#This Row],[(STORGE DIFF.) AJD]]+(TABL12[[#This Row],[AJD_Evaporation]]))</f>
        <v/>
      </c>
      <c r="AE146" s="6" t="n">
        <v>25</v>
      </c>
      <c r="AF146" s="33" t="n">
        <v>58.269</v>
      </c>
      <c r="AG146" s="6" t="n">
        <v>1143346</v>
      </c>
      <c r="AH146" s="6">
        <f>TABL12[[#This Row],[ (RESV. STORGE) BER]]/10</f>
        <v/>
      </c>
      <c r="AI146" s="6" t="n">
        <v>3550</v>
      </c>
      <c r="AJ146" s="6">
        <f>TABL12[[#This Row],[(A/B) AJD]]-TABL12[[#This Row],[BER_IN]]</f>
        <v/>
      </c>
      <c r="AK146" s="6" t="n">
        <v>2</v>
      </c>
      <c r="AL146" s="33" t="n">
        <v>44.5036</v>
      </c>
      <c r="AM146" s="6" t="n">
        <v>3930390</v>
      </c>
      <c r="AN146" s="6">
        <f>TABL12[[#This Row],[ (RESV. STORGE) SER]]/10</f>
        <v/>
      </c>
      <c r="AO146" s="6" t="n">
        <v>1710</v>
      </c>
      <c r="AP146" s="32">
        <f>TABL12[[#This Row],[(A/S) AJD]]-TABL12[[#This Row],[SER_IN]]</f>
        <v/>
      </c>
    </row>
    <row r="147">
      <c r="A147" s="2" t="n">
        <v>45803</v>
      </c>
      <c r="B147" s="28" t="n">
        <v>34</v>
      </c>
      <c r="C147" s="28" t="n">
        <v>258</v>
      </c>
      <c r="D147" s="28" t="n">
        <v>35</v>
      </c>
      <c r="E147" s="28" t="n">
        <v>0</v>
      </c>
      <c r="F147" s="28" t="n">
        <v>88</v>
      </c>
      <c r="G147" s="28" t="n">
        <v>558</v>
      </c>
      <c r="H147" s="28" t="n">
        <v>4</v>
      </c>
      <c r="I147" s="28" t="n">
        <v>398</v>
      </c>
      <c r="J147" s="28" t="n">
        <v>380</v>
      </c>
      <c r="K147" s="28">
        <f>TABL12[[#This Row],[ (T/B) SAR]]+TABL12[[#This Row],[ (S/S) SAR]]</f>
        <v/>
      </c>
      <c r="L147" s="28" t="n">
        <v>220</v>
      </c>
      <c r="M147" s="29" t="n">
        <v>0</v>
      </c>
      <c r="N147" s="30" t="n">
        <v>6.9</v>
      </c>
      <c r="O147" s="3" t="n">
        <v>323</v>
      </c>
      <c r="P147" s="3">
        <f>TABL12[[#This Row],[ (S/S) SAR]]-TABL12[[#This Row],[(S/S) AJD]]</f>
        <v/>
      </c>
      <c r="Q147" s="3" t="n">
        <v>366</v>
      </c>
      <c r="R147" s="3">
        <f>TABL12[[#This Row],[ (T/B) SAR]]-TABL12[[#This Row],[(T/B) AJD]]</f>
        <v/>
      </c>
      <c r="S147" s="3">
        <f>TABL12[[#This Row],[S/S_CON.]]+TABL12[[#This Row],[T/B-CON.]]</f>
        <v/>
      </c>
      <c r="T147" s="3">
        <f>O147+Q147</f>
        <v/>
      </c>
      <c r="U147" s="3" t="n">
        <v>451</v>
      </c>
      <c r="V147" s="3" t="n">
        <v>238</v>
      </c>
      <c r="W147" s="3">
        <f>U147+V147</f>
        <v/>
      </c>
      <c r="X147" s="3">
        <f>T147-W147</f>
        <v/>
      </c>
      <c r="Y147" s="4" t="n">
        <v>91.92</v>
      </c>
      <c r="Z147" s="3" t="n">
        <v>0</v>
      </c>
      <c r="AA147" s="3">
        <f>TABL12[[#This Row],[(RESV. STORGE) AJD]]/10</f>
        <v/>
      </c>
      <c r="AB147" s="3">
        <f>(Z147-Z146)/1000</f>
        <v/>
      </c>
      <c r="AC147" s="6" t="n">
        <v>0</v>
      </c>
      <c r="AD147" s="5">
        <f>TABL12[[#This Row],[( S/S+T/B) AJD]]-(TABL12[[#This Row],[(A/B + A/S) AJD]]+TABL12[[#This Row],[(STORGE DIFF.) AJD]]+(TABL12[[#This Row],[AJD_Evaporation]]))</f>
        <v/>
      </c>
      <c r="AE147" s="6" t="n">
        <v>20</v>
      </c>
      <c r="AF147" s="33" t="n">
        <v>58.203</v>
      </c>
      <c r="AG147" s="6" t="n">
        <v>1100208</v>
      </c>
      <c r="AH147" s="6">
        <f>TABL12[[#This Row],[ (RESV. STORGE) BER]]/10</f>
        <v/>
      </c>
      <c r="AI147" s="6" t="n">
        <v>3378</v>
      </c>
      <c r="AJ147" s="6">
        <f>TABL12[[#This Row],[(A/B) AJD]]-TABL12[[#This Row],[BER_IN]]</f>
        <v/>
      </c>
      <c r="AK147" s="6" t="n">
        <v>0</v>
      </c>
      <c r="AL147" s="33" t="n">
        <v>44.4874</v>
      </c>
      <c r="AM147" s="6" t="n">
        <v>3921600</v>
      </c>
      <c r="AN147" s="6">
        <f>TABL12[[#This Row],[ (RESV. STORGE) SER]]/10</f>
        <v/>
      </c>
      <c r="AO147" s="6" t="n">
        <v>1790</v>
      </c>
      <c r="AP147" s="32">
        <f>TABL12[[#This Row],[(A/S) AJD]]-TABL12[[#This Row],[SER_IN]]</f>
        <v/>
      </c>
    </row>
    <row r="148">
      <c r="A148" s="2" t="n">
        <v>45804</v>
      </c>
      <c r="B148" s="28" t="n">
        <v>37</v>
      </c>
      <c r="C148" s="28" t="n">
        <v>285</v>
      </c>
      <c r="D148" s="28" t="n">
        <v>37</v>
      </c>
      <c r="E148" s="28" t="n">
        <v>0</v>
      </c>
      <c r="F148" s="28" t="n">
        <v>90</v>
      </c>
      <c r="G148" s="28" t="n">
        <v>565</v>
      </c>
      <c r="H148" s="28" t="n">
        <v>2</v>
      </c>
      <c r="I148" s="28" t="n">
        <v>409</v>
      </c>
      <c r="J148" s="28" t="n">
        <v>395</v>
      </c>
      <c r="K148" s="28">
        <f>TABL12[[#This Row],[ (T/B) SAR]]+TABL12[[#This Row],[ (S/S) SAR]]</f>
        <v/>
      </c>
      <c r="L148" s="28" t="n">
        <v>239</v>
      </c>
      <c r="M148" s="29" t="n">
        <v>24.7</v>
      </c>
      <c r="N148" s="30" t="n">
        <v>7.1</v>
      </c>
      <c r="O148" s="3" t="n">
        <v>334</v>
      </c>
      <c r="P148" s="3">
        <f>TABL12[[#This Row],[ (S/S) SAR]]-TABL12[[#This Row],[(S/S) AJD]]</f>
        <v/>
      </c>
      <c r="Q148" s="3" t="n">
        <v>377</v>
      </c>
      <c r="R148" s="3">
        <f>TABL12[[#This Row],[ (T/B) SAR]]-TABL12[[#This Row],[(T/B) AJD]]</f>
        <v/>
      </c>
      <c r="S148" s="3">
        <f>TABL12[[#This Row],[S/S_CON.]]+TABL12[[#This Row],[T/B-CON.]]</f>
        <v/>
      </c>
      <c r="T148" s="3">
        <f>O148+Q148</f>
        <v/>
      </c>
      <c r="U148" s="3" t="n">
        <v>473</v>
      </c>
      <c r="V148" s="3" t="n">
        <v>239</v>
      </c>
      <c r="W148" s="3">
        <f>U148+V148</f>
        <v/>
      </c>
      <c r="X148" s="3">
        <f>T148-W148</f>
        <v/>
      </c>
      <c r="Y148" s="4" t="n">
        <v>91.92</v>
      </c>
      <c r="Z148" s="3" t="n">
        <v>0</v>
      </c>
      <c r="AA148" s="3">
        <f>TABL12[[#This Row],[(RESV. STORGE) AJD]]/10</f>
        <v/>
      </c>
      <c r="AB148" s="3">
        <f>(Z148-Z147)/1000</f>
        <v/>
      </c>
      <c r="AC148" s="6" t="n">
        <v>0</v>
      </c>
      <c r="AD148" s="5">
        <f>TABL12[[#This Row],[( S/S+T/B) AJD]]-(TABL12[[#This Row],[(A/B + A/S) AJD]]+TABL12[[#This Row],[(STORGE DIFF.) AJD]]+(TABL12[[#This Row],[AJD_Evaporation]]))</f>
        <v/>
      </c>
      <c r="AE148" s="6" t="n">
        <v>20</v>
      </c>
      <c r="AF148" s="33" t="n">
        <v>58.229</v>
      </c>
      <c r="AG148" s="6" t="n">
        <v>1117197</v>
      </c>
      <c r="AH148" s="6">
        <f>TABL12[[#This Row],[ (RESV. STORGE) BER]]/10</f>
        <v/>
      </c>
      <c r="AI148" s="6" t="n">
        <v>3010</v>
      </c>
      <c r="AJ148" s="6">
        <f>TABL12[[#This Row],[(A/B) AJD]]-TABL12[[#This Row],[BER_IN]]</f>
        <v/>
      </c>
      <c r="AK148" s="6" t="n">
        <v>0</v>
      </c>
      <c r="AL148" s="33" t="n">
        <v>44.4723</v>
      </c>
      <c r="AM148" s="6" t="n">
        <v>3913310</v>
      </c>
      <c r="AN148" s="6">
        <f>TABL12[[#This Row],[ (RESV. STORGE) SER]]/10</f>
        <v/>
      </c>
      <c r="AO148" s="6" t="n">
        <v>1790</v>
      </c>
      <c r="AP148" s="32">
        <f>TABL12[[#This Row],[(A/S) AJD]]-TABL12[[#This Row],[SER_IN]]</f>
        <v/>
      </c>
    </row>
    <row r="149">
      <c r="A149" s="2" t="n">
        <v>45805</v>
      </c>
      <c r="B149" s="28" t="n">
        <v>38</v>
      </c>
      <c r="C149" s="28" t="n">
        <v>297</v>
      </c>
      <c r="D149" s="28" t="n">
        <v>38</v>
      </c>
      <c r="E149" s="28" t="n">
        <v>0</v>
      </c>
      <c r="F149" s="28" t="n">
        <v>92</v>
      </c>
      <c r="G149" s="28" t="n">
        <v>580</v>
      </c>
      <c r="H149" s="28" t="n">
        <v>0</v>
      </c>
      <c r="I149" s="28" t="n">
        <v>418</v>
      </c>
      <c r="J149" s="28" t="n">
        <v>410</v>
      </c>
      <c r="K149" s="28">
        <f>TABL12[[#This Row],[ (T/B) SAR]]+TABL12[[#This Row],[ (S/S) SAR]]</f>
        <v/>
      </c>
      <c r="L149" s="28" t="n">
        <v>248</v>
      </c>
      <c r="M149" s="29" t="n">
        <v>24.7</v>
      </c>
      <c r="N149" s="30" t="n">
        <v>7.1</v>
      </c>
      <c r="O149" s="3" t="n">
        <v>348</v>
      </c>
      <c r="P149" s="3">
        <f>TABL12[[#This Row],[ (S/S) SAR]]-TABL12[[#This Row],[(S/S) AJD]]</f>
        <v/>
      </c>
      <c r="Q149" s="3" t="n">
        <v>392</v>
      </c>
      <c r="R149" s="3">
        <f>TABL12[[#This Row],[ (T/B) SAR]]-TABL12[[#This Row],[(T/B) AJD]]</f>
        <v/>
      </c>
      <c r="S149" s="3">
        <f>TABL12[[#This Row],[S/S_CON.]]+TABL12[[#This Row],[T/B-CON.]]</f>
        <v/>
      </c>
      <c r="T149" s="3">
        <f>O149+Q149</f>
        <v/>
      </c>
      <c r="U149" s="3" t="n">
        <v>505</v>
      </c>
      <c r="V149" s="3" t="n">
        <v>238</v>
      </c>
      <c r="W149" s="3">
        <f>U149+V149</f>
        <v/>
      </c>
      <c r="X149" s="3">
        <f>T149-W149</f>
        <v/>
      </c>
      <c r="Y149" s="4" t="n">
        <v>91.92</v>
      </c>
      <c r="Z149" s="3" t="n">
        <v>0</v>
      </c>
      <c r="AA149" s="3">
        <f>TABL12[[#This Row],[(RESV. STORGE) AJD]]/10</f>
        <v/>
      </c>
      <c r="AB149" s="3">
        <f>(Z149-Z148)/1000</f>
        <v/>
      </c>
      <c r="AC149" s="6" t="n">
        <v>0</v>
      </c>
      <c r="AD149" s="5">
        <f>TABL12[[#This Row],[( S/S+T/B) AJD]]-(TABL12[[#This Row],[(A/B + A/S) AJD]]+TABL12[[#This Row],[(STORGE DIFF.) AJD]]+(TABL12[[#This Row],[AJD_Evaporation]]))</f>
        <v/>
      </c>
      <c r="AE149" s="6" t="n">
        <v>20</v>
      </c>
      <c r="AF149" s="33" t="n">
        <v>58.255</v>
      </c>
      <c r="AG149" s="6" t="n">
        <v>1134193</v>
      </c>
      <c r="AH149" s="6">
        <f>TABL12[[#This Row],[ (RESV. STORGE) BER]]/10</f>
        <v/>
      </c>
      <c r="AI149" s="6" t="n">
        <v>3004</v>
      </c>
      <c r="AJ149" s="6">
        <f>TABL12[[#This Row],[(A/B) AJD]]-TABL12[[#This Row],[BER_IN]]</f>
        <v/>
      </c>
      <c r="AK149" s="6" t="n">
        <v>0</v>
      </c>
      <c r="AL149" s="33" t="n">
        <v>44.4578</v>
      </c>
      <c r="AM149" s="6" t="n">
        <v>3905020</v>
      </c>
      <c r="AN149" s="6">
        <f>TABL12[[#This Row],[ (RESV. STORGE) SER]]/10</f>
        <v/>
      </c>
      <c r="AO149" s="6" t="n">
        <v>1890</v>
      </c>
      <c r="AP149" s="32">
        <f>TABL12[[#This Row],[(A/S) AJD]]-TABL12[[#This Row],[SER_IN]]</f>
        <v/>
      </c>
    </row>
    <row r="150">
      <c r="A150" s="2" t="n">
        <v>45806</v>
      </c>
      <c r="B150" s="28" t="n">
        <v>37</v>
      </c>
      <c r="C150" s="28" t="n">
        <v>296</v>
      </c>
      <c r="D150" s="28" t="n">
        <v>37</v>
      </c>
      <c r="E150" s="28" t="n">
        <v>0</v>
      </c>
      <c r="F150" s="28" t="n">
        <v>92</v>
      </c>
      <c r="G150" s="28" t="n">
        <v>586</v>
      </c>
      <c r="H150" s="28" t="n">
        <v>0</v>
      </c>
      <c r="I150" s="28" t="n">
        <v>420</v>
      </c>
      <c r="J150" s="28" t="n">
        <v>418</v>
      </c>
      <c r="K150" s="28">
        <f>TABL12[[#This Row],[ (T/B) SAR]]+TABL12[[#This Row],[ (S/S) SAR]]</f>
        <v/>
      </c>
      <c r="L150" s="28" t="n">
        <v>252</v>
      </c>
      <c r="M150" s="29" t="n">
        <v>18.4</v>
      </c>
      <c r="N150" s="30" t="n">
        <v>7.6</v>
      </c>
      <c r="O150" s="3" t="n">
        <v>359</v>
      </c>
      <c r="P150" s="3">
        <f>TABL12[[#This Row],[ (S/S) SAR]]-TABL12[[#This Row],[(S/S) AJD]]</f>
        <v/>
      </c>
      <c r="Q150" s="3" t="n">
        <v>404</v>
      </c>
      <c r="R150" s="3">
        <f>TABL12[[#This Row],[ (T/B) SAR]]-TABL12[[#This Row],[(T/B) AJD]]</f>
        <v/>
      </c>
      <c r="S150" s="3">
        <f>TABL12[[#This Row],[S/S_CON.]]+TABL12[[#This Row],[T/B-CON.]]</f>
        <v/>
      </c>
      <c r="T150" s="3">
        <f>O150+Q150</f>
        <v/>
      </c>
      <c r="U150" s="3" t="n">
        <v>518</v>
      </c>
      <c r="V150" s="3" t="n">
        <v>246</v>
      </c>
      <c r="W150" s="3">
        <f>U150+V150</f>
        <v/>
      </c>
      <c r="X150" s="3">
        <f>T150-W150</f>
        <v/>
      </c>
      <c r="Y150" s="4" t="n">
        <v>91.92</v>
      </c>
      <c r="Z150" s="3" t="n">
        <v>0</v>
      </c>
      <c r="AA150" s="3">
        <f>TABL12[[#This Row],[(RESV. STORGE) AJD]]/10</f>
        <v/>
      </c>
      <c r="AB150" s="3">
        <f>(Z150-Z149)/1000</f>
        <v/>
      </c>
      <c r="AC150" s="6" t="n">
        <v>0</v>
      </c>
      <c r="AD150" s="5">
        <f>TABL12[[#This Row],[( S/S+T/B) AJD]]-(TABL12[[#This Row],[(A/B + A/S) AJD]]+TABL12[[#This Row],[(STORGE DIFF.) AJD]]+(TABL12[[#This Row],[AJD_Evaporation]]))</f>
        <v/>
      </c>
      <c r="AE150" s="6" t="n">
        <v>20</v>
      </c>
      <c r="AF150" s="33" t="n">
        <v>58.281</v>
      </c>
      <c r="AG150" s="6" t="n">
        <v>1151194</v>
      </c>
      <c r="AH150" s="6">
        <f>TABL12[[#This Row],[ (RESV. STORGE) BER]]/10</f>
        <v/>
      </c>
      <c r="AI150" s="6" t="n">
        <v>2998</v>
      </c>
      <c r="AJ150" s="6">
        <f>TABL12[[#This Row],[(A/B) AJD]]-TABL12[[#This Row],[BER_IN]]</f>
        <v/>
      </c>
      <c r="AK150" s="6" t="n">
        <v>0</v>
      </c>
      <c r="AL150" s="33" t="n">
        <v>44.4503</v>
      </c>
      <c r="AM150" s="6" t="n">
        <v>3901150</v>
      </c>
      <c r="AN150" s="6">
        <f>TABL12[[#This Row],[ (RESV. STORGE) SER]]/10</f>
        <v/>
      </c>
      <c r="AO150" s="6" t="n">
        <v>1870</v>
      </c>
      <c r="AP150" s="32">
        <f>TABL12[[#This Row],[(A/S) AJD]]-TABL12[[#This Row],[SER_IN]]</f>
        <v/>
      </c>
    </row>
    <row r="151">
      <c r="A151" s="2" t="n">
        <v>45807</v>
      </c>
      <c r="B151" s="28" t="n">
        <v>37</v>
      </c>
      <c r="C151" s="28" t="n">
        <v>293</v>
      </c>
      <c r="D151" s="28" t="n">
        <v>37</v>
      </c>
      <c r="E151" s="28" t="n">
        <v>0</v>
      </c>
      <c r="F151" s="28" t="n">
        <v>92</v>
      </c>
      <c r="G151" s="28" t="n">
        <v>583</v>
      </c>
      <c r="H151" s="28" t="n">
        <v>0</v>
      </c>
      <c r="I151" s="28" t="n">
        <v>419</v>
      </c>
      <c r="J151" s="28" t="n">
        <v>416</v>
      </c>
      <c r="K151" s="28">
        <f>TABL12[[#This Row],[ (T/B) SAR]]+TABL12[[#This Row],[ (S/S) SAR]]</f>
        <v/>
      </c>
      <c r="L151" s="28" t="n">
        <v>252</v>
      </c>
      <c r="M151" s="29" t="n">
        <v>19.4</v>
      </c>
      <c r="N151" s="30" t="n">
        <v>7.8</v>
      </c>
      <c r="O151" s="3" t="n">
        <v>363</v>
      </c>
      <c r="P151" s="3">
        <f>TABL12[[#This Row],[ (S/S) SAR]]-TABL12[[#This Row],[(S/S) AJD]]</f>
        <v/>
      </c>
      <c r="Q151" s="3" t="n">
        <v>409</v>
      </c>
      <c r="R151" s="3">
        <f>TABL12[[#This Row],[ (T/B) SAR]]-TABL12[[#This Row],[(T/B) AJD]]</f>
        <v/>
      </c>
      <c r="S151" s="3">
        <f>TABL12[[#This Row],[S/S_CON.]]+TABL12[[#This Row],[T/B-CON.]]</f>
        <v/>
      </c>
      <c r="T151" s="3">
        <f>O151+Q151</f>
        <v/>
      </c>
      <c r="U151" s="3" t="n">
        <v>510</v>
      </c>
      <c r="V151" s="3" t="n">
        <v>267</v>
      </c>
      <c r="W151" s="3">
        <f>U151+V151</f>
        <v/>
      </c>
      <c r="X151" s="3">
        <f>T151-W151</f>
        <v/>
      </c>
      <c r="Y151" s="4" t="n">
        <v>91.92</v>
      </c>
      <c r="Z151" s="3" t="n">
        <v>0</v>
      </c>
      <c r="AA151" s="3">
        <f>TABL12[[#This Row],[(RESV. STORGE) AJD]]/10</f>
        <v/>
      </c>
      <c r="AB151" s="3">
        <f>(Z151-Z150)/1000</f>
        <v/>
      </c>
      <c r="AC151" s="6" t="n">
        <v>0</v>
      </c>
      <c r="AD151" s="5">
        <f>TABL12[[#This Row],[( S/S+T/B) AJD]]-(TABL12[[#This Row],[(A/B + A/S) AJD]]+TABL12[[#This Row],[(STORGE DIFF.) AJD]]+(TABL12[[#This Row],[AJD_Evaporation]]))</f>
        <v/>
      </c>
      <c r="AE151" s="6" t="n">
        <v>20</v>
      </c>
      <c r="AF151" s="33" t="n">
        <v>58.307</v>
      </c>
      <c r="AG151" s="6" t="n">
        <v>1168201</v>
      </c>
      <c r="AH151" s="6">
        <f>TABL12[[#This Row],[ (RESV. STORGE) BER]]/10</f>
        <v/>
      </c>
      <c r="AI151" s="6" t="n">
        <v>2992</v>
      </c>
      <c r="AJ151" s="6">
        <f>TABL12[[#This Row],[(A/B) AJD]]-TABL12[[#This Row],[BER_IN]]</f>
        <v/>
      </c>
      <c r="AK151" s="6" t="n">
        <v>0</v>
      </c>
      <c r="AL151" s="33" t="n">
        <v>44.4267</v>
      </c>
      <c r="AM151" s="6" t="n">
        <v>3888450</v>
      </c>
      <c r="AN151" s="6">
        <f>TABL12[[#This Row],[ (RESV. STORGE) SER]]/10</f>
        <v/>
      </c>
      <c r="AO151" s="6" t="n">
        <v>1700</v>
      </c>
      <c r="AP151" s="32">
        <f>TABL12[[#This Row],[(A/S) AJD]]-TABL12[[#This Row],[SER_IN]]</f>
        <v/>
      </c>
    </row>
    <row r="152">
      <c r="A152" s="2" t="n">
        <v>45808</v>
      </c>
      <c r="B152" s="28" t="n">
        <v>36</v>
      </c>
      <c r="C152" s="28" t="n">
        <v>287</v>
      </c>
      <c r="D152" s="28" t="n">
        <v>36</v>
      </c>
      <c r="E152" s="28" t="n">
        <v>0</v>
      </c>
      <c r="F152" s="28" t="n">
        <v>92</v>
      </c>
      <c r="G152" s="28" t="n">
        <v>579</v>
      </c>
      <c r="H152" s="28" t="n">
        <v>0</v>
      </c>
      <c r="I152" s="28" t="n">
        <v>425</v>
      </c>
      <c r="J152" s="28" t="n">
        <v>422</v>
      </c>
      <c r="K152" s="28">
        <f>TABL12[[#This Row],[ (T/B) SAR]]+TABL12[[#This Row],[ (S/S) SAR]]</f>
        <v/>
      </c>
      <c r="L152" s="28" t="n">
        <v>268</v>
      </c>
      <c r="M152" s="29" t="n">
        <v>20.8</v>
      </c>
      <c r="N152" s="30" t="n">
        <v>8</v>
      </c>
      <c r="O152" s="3" t="n">
        <v>365</v>
      </c>
      <c r="P152" s="3">
        <f>TABL12[[#This Row],[ (S/S) SAR]]-TABL12[[#This Row],[(S/S) AJD]]</f>
        <v/>
      </c>
      <c r="Q152" s="3" t="n">
        <v>409</v>
      </c>
      <c r="R152" s="3">
        <f>TABL12[[#This Row],[ (T/B) SAR]]-TABL12[[#This Row],[(T/B) AJD]]</f>
        <v/>
      </c>
      <c r="S152" s="3">
        <f>TABL12[[#This Row],[S/S_CON.]]+TABL12[[#This Row],[T/B-CON.]]</f>
        <v/>
      </c>
      <c r="T152" s="3">
        <f>O152+Q152</f>
        <v/>
      </c>
      <c r="U152" s="3" t="n">
        <v>504</v>
      </c>
      <c r="V152" s="3" t="n">
        <v>271</v>
      </c>
      <c r="W152" s="3">
        <f>U152+V152</f>
        <v/>
      </c>
      <c r="X152" s="3">
        <f>T152-W152</f>
        <v/>
      </c>
      <c r="Y152" s="4" t="n">
        <v>91.92</v>
      </c>
      <c r="Z152" s="3" t="n">
        <v>0</v>
      </c>
      <c r="AA152" s="3">
        <f>TABL12[[#This Row],[(RESV. STORGE) AJD]]/10</f>
        <v/>
      </c>
      <c r="AB152" s="3">
        <f>(Z152-Z151)/1000</f>
        <v/>
      </c>
      <c r="AC152" s="6" t="n">
        <v>0</v>
      </c>
      <c r="AD152" s="5">
        <f>TABL12[[#This Row],[( S/S+T/B) AJD]]-(TABL12[[#This Row],[(A/B + A/S) AJD]]+TABL12[[#This Row],[(STORGE DIFF.) AJD]]+(TABL12[[#This Row],[AJD_Evaporation]]))</f>
        <v/>
      </c>
      <c r="AE152" s="6" t="n">
        <v>20</v>
      </c>
      <c r="AF152" s="33" t="n">
        <v>58.333</v>
      </c>
      <c r="AG152" s="6" t="n">
        <v>1185214</v>
      </c>
      <c r="AH152" s="6">
        <f>TABL12[[#This Row],[ (RESV. STORGE) BER]]/10</f>
        <v/>
      </c>
      <c r="AI152" s="6" t="n">
        <v>2987</v>
      </c>
      <c r="AJ152" s="6">
        <f>TABL12[[#This Row],[(A/B) AJD]]-TABL12[[#This Row],[BER_IN]]</f>
        <v/>
      </c>
      <c r="AK152" s="6" t="n">
        <v>0</v>
      </c>
      <c r="AL152" s="33" t="n">
        <v>44.4187</v>
      </c>
      <c r="AM152" s="6" t="n">
        <v>3884020</v>
      </c>
      <c r="AN152" s="6">
        <f>TABL12[[#This Row],[ (RESV. STORGE) SER]]/10</f>
        <v/>
      </c>
      <c r="AO152" s="6" t="n">
        <v>1830</v>
      </c>
      <c r="AP152" s="32">
        <f>TABL12[[#This Row],[(A/S) AJD]]-TABL12[[#This Row],[SER_IN]]</f>
        <v/>
      </c>
    </row>
    <row r="153">
      <c r="A153" s="2" t="n">
        <v>45809</v>
      </c>
      <c r="B153" s="28" t="n">
        <v>37</v>
      </c>
      <c r="C153" s="28" t="n">
        <v>307</v>
      </c>
      <c r="D153" s="28" t="n">
        <v>37</v>
      </c>
      <c r="E153" s="28" t="n">
        <v>0</v>
      </c>
      <c r="F153" s="28" t="n">
        <v>92</v>
      </c>
      <c r="G153" s="28" t="n">
        <v>561</v>
      </c>
      <c r="H153" s="28" t="n">
        <v>0</v>
      </c>
      <c r="I153" s="28" t="n">
        <v>420</v>
      </c>
      <c r="J153" s="28" t="n">
        <v>430</v>
      </c>
      <c r="K153" s="28">
        <f>TABL12[[#This Row],[ (T/B) SAR]]+TABL12[[#This Row],[ (S/S) SAR]]</f>
        <v/>
      </c>
      <c r="L153" s="28" t="n">
        <v>289</v>
      </c>
      <c r="M153" s="29" t="n">
        <v>22.6</v>
      </c>
      <c r="N153" s="30" t="n">
        <v>8</v>
      </c>
      <c r="O153" s="10" t="n">
        <v>370</v>
      </c>
      <c r="P153" s="10">
        <f>TABL12[[#This Row],[ (S/S) SAR]]-TABL12[[#This Row],[(S/S) AJD]]</f>
        <v/>
      </c>
      <c r="Q153" s="10" t="n">
        <v>416</v>
      </c>
      <c r="R153" s="10">
        <f>TABL12[[#This Row],[ (T/B) SAR]]-TABL12[[#This Row],[(T/B) AJD]]</f>
        <v/>
      </c>
      <c r="S153" s="10">
        <f>TABL12[[#This Row],[S/S_CON.]]+TABL12[[#This Row],[T/B-CON.]]</f>
        <v/>
      </c>
      <c r="T153" s="10">
        <f>O153+Q153</f>
        <v/>
      </c>
      <c r="U153" s="10" t="n">
        <v>508</v>
      </c>
      <c r="V153" s="10" t="n">
        <v>282</v>
      </c>
      <c r="W153" s="10">
        <f>U153+V153</f>
        <v/>
      </c>
      <c r="X153" s="10">
        <f>T153-W153</f>
        <v/>
      </c>
      <c r="Y153" s="4" t="n">
        <v>91.92</v>
      </c>
      <c r="Z153" s="10" t="n">
        <v>0</v>
      </c>
      <c r="AA153" s="10">
        <f>TABL12[[#This Row],[(RESV. STORGE) AJD]]/10</f>
        <v/>
      </c>
      <c r="AB153" s="3">
        <f>(Z153-Z152)/1000</f>
        <v/>
      </c>
      <c r="AC153" s="6" t="n">
        <v>0</v>
      </c>
      <c r="AD153" s="5">
        <f>TABL12[[#This Row],[( S/S+T/B) AJD]]-(TABL12[[#This Row],[(A/B + A/S) AJD]]+TABL12[[#This Row],[(STORGE DIFF.) AJD]]+(TABL12[[#This Row],[AJD_Evaporation]]))</f>
        <v/>
      </c>
      <c r="AE153" s="6" t="n">
        <v>20</v>
      </c>
      <c r="AF153" s="33" t="n">
        <v>58.358</v>
      </c>
      <c r="AG153" s="6" t="n">
        <v>1202232</v>
      </c>
      <c r="AH153" s="6">
        <f>TABL12[[#This Row],[ (RESV. STORGE) BER]]/10</f>
        <v/>
      </c>
      <c r="AI153" s="6" t="n">
        <v>2981</v>
      </c>
      <c r="AJ153" s="6">
        <f>TABL12[[#This Row],[(A/B) AJD]]-TABL12[[#This Row],[BER_IN]]</f>
        <v/>
      </c>
      <c r="AK153" s="6" t="n">
        <v>0</v>
      </c>
      <c r="AL153" s="33" t="n">
        <v>44.4034</v>
      </c>
      <c r="AM153" s="6" t="n">
        <v>3875340</v>
      </c>
      <c r="AN153" s="6">
        <f>TABL12[[#This Row],[ (RESV. STORGE) SER]]/10</f>
        <v/>
      </c>
      <c r="AO153" s="6" t="n">
        <v>1870</v>
      </c>
      <c r="AP153" s="32">
        <f>TABL12[[#This Row],[(A/S) AJD]]-TABL12[[#This Row],[SER_IN]]</f>
        <v/>
      </c>
    </row>
    <row r="154">
      <c r="A154" s="2" t="n">
        <v>45810</v>
      </c>
      <c r="B154" s="28" t="n">
        <v>37</v>
      </c>
      <c r="C154" s="28" t="n">
        <v>302</v>
      </c>
      <c r="D154" s="28" t="n">
        <v>37</v>
      </c>
      <c r="E154" s="28" t="n">
        <v>0</v>
      </c>
      <c r="F154" s="28" t="n">
        <v>92</v>
      </c>
      <c r="G154" s="28" t="n">
        <v>550</v>
      </c>
      <c r="H154" s="28" t="n">
        <v>0</v>
      </c>
      <c r="I154" s="28" t="n">
        <v>422</v>
      </c>
      <c r="J154" s="28" t="n">
        <v>438</v>
      </c>
      <c r="K154" s="28">
        <f>TABL12[[#This Row],[ (T/B) SAR]]+TABL12[[#This Row],[ (S/S) SAR]]</f>
        <v/>
      </c>
      <c r="L154" s="28" t="n">
        <v>310</v>
      </c>
      <c r="M154" s="29" t="n">
        <v>23.6</v>
      </c>
      <c r="N154" s="30" t="n">
        <v>7.9</v>
      </c>
      <c r="O154" s="10" t="n">
        <v>382</v>
      </c>
      <c r="P154" s="10">
        <f>TABL12[[#This Row],[ (S/S) SAR]]-TABL12[[#This Row],[(S/S) AJD]]</f>
        <v/>
      </c>
      <c r="Q154" s="10" t="n">
        <v>428</v>
      </c>
      <c r="R154" s="10">
        <f>TABL12[[#This Row],[ (T/B) SAR]]-TABL12[[#This Row],[(T/B) AJD]]</f>
        <v/>
      </c>
      <c r="S154" s="10">
        <f>TABL12[[#This Row],[S/S_CON.]]+TABL12[[#This Row],[T/B-CON.]]</f>
        <v/>
      </c>
      <c r="T154" s="10">
        <f>O154+Q154</f>
        <v/>
      </c>
      <c r="U154" s="10" t="n">
        <v>550</v>
      </c>
      <c r="V154" s="10" t="n">
        <v>256</v>
      </c>
      <c r="W154" s="10">
        <f>U154+V154</f>
        <v/>
      </c>
      <c r="X154" s="10">
        <f>T154-W154</f>
        <v/>
      </c>
      <c r="Y154" s="4" t="n">
        <v>91.92</v>
      </c>
      <c r="Z154" s="10" t="n">
        <v>0</v>
      </c>
      <c r="AA154" s="10">
        <f>TABL12[[#This Row],[(RESV. STORGE) AJD]]/10</f>
        <v/>
      </c>
      <c r="AB154" s="3">
        <f>(Z154-Z153)/1000</f>
        <v/>
      </c>
      <c r="AC154" s="6" t="n">
        <v>0</v>
      </c>
      <c r="AD154" s="5">
        <f>TABL12[[#This Row],[( S/S+T/B) AJD]]-(TABL12[[#This Row],[(A/B + A/S) AJD]]+TABL12[[#This Row],[(STORGE DIFF.) AJD]]+(TABL12[[#This Row],[AJD_Evaporation]]))</f>
        <v/>
      </c>
      <c r="AE154" s="6" t="n">
        <v>28</v>
      </c>
      <c r="AF154" s="33" t="n">
        <v>58.398</v>
      </c>
      <c r="AG154" s="6" t="n">
        <v>1227771</v>
      </c>
      <c r="AH154" s="6">
        <f>TABL12[[#This Row],[ (RESV. STORGE) BER]]/10</f>
        <v/>
      </c>
      <c r="AI154" s="6" t="n">
        <v>2461</v>
      </c>
      <c r="AJ154" s="6">
        <f>TABL12[[#This Row],[(A/B) AJD]]-TABL12[[#This Row],[BER_IN]]</f>
        <v/>
      </c>
      <c r="AK154" s="6" t="n">
        <v>0</v>
      </c>
      <c r="AL154" s="33" t="n">
        <v>44.3269</v>
      </c>
      <c r="AM154" s="6" t="n">
        <v>3833240</v>
      </c>
      <c r="AN154" s="6">
        <f>TABL12[[#This Row],[ (RESV. STORGE) SER]]/10</f>
        <v/>
      </c>
      <c r="AO154" s="6" t="n">
        <v>1845</v>
      </c>
      <c r="AP154" s="32">
        <f>TABL12[[#This Row],[(A/S) AJD]]-TABL12[[#This Row],[SER_IN]]</f>
        <v/>
      </c>
    </row>
    <row r="155">
      <c r="A155" s="2" t="n">
        <v>45811</v>
      </c>
      <c r="B155" s="28" t="n">
        <v>37</v>
      </c>
      <c r="C155" s="28" t="n">
        <v>297</v>
      </c>
      <c r="D155" s="28" t="n">
        <v>37</v>
      </c>
      <c r="E155" s="28" t="n">
        <v>0</v>
      </c>
      <c r="F155" s="28" t="n">
        <v>92</v>
      </c>
      <c r="G155" s="28" t="n">
        <v>535</v>
      </c>
      <c r="H155" s="28" t="n">
        <v>0</v>
      </c>
      <c r="I155" s="28" t="n">
        <v>414</v>
      </c>
      <c r="J155" s="28" t="n">
        <v>430</v>
      </c>
      <c r="K155" s="28">
        <f>TABL12[[#This Row],[ (T/B) SAR]]+TABL12[[#This Row],[ (S/S) SAR]]</f>
        <v/>
      </c>
      <c r="L155" s="28" t="n">
        <v>309</v>
      </c>
      <c r="M155" s="29" t="n">
        <v>23.6</v>
      </c>
      <c r="N155" s="30" t="n">
        <v>7.9</v>
      </c>
      <c r="O155" s="10" t="n">
        <v>385</v>
      </c>
      <c r="P155" s="10">
        <f>TABL12[[#This Row],[ (S/S) SAR]]-TABL12[[#This Row],[(S/S) AJD]]</f>
        <v/>
      </c>
      <c r="Q155" s="10" t="n">
        <v>432</v>
      </c>
      <c r="R155" s="10">
        <f>TABL12[[#This Row],[ (T/B) SAR]]-TABL12[[#This Row],[(T/B) AJD]]</f>
        <v/>
      </c>
      <c r="S155" s="10">
        <f>TABL12[[#This Row],[S/S_CON.]]+TABL12[[#This Row],[T/B-CON.]]</f>
        <v/>
      </c>
      <c r="T155" s="10">
        <f>O155+Q155</f>
        <v/>
      </c>
      <c r="U155" s="10" t="n">
        <v>562</v>
      </c>
      <c r="V155" s="10" t="n">
        <v>259</v>
      </c>
      <c r="W155" s="10">
        <f>U155+V155</f>
        <v/>
      </c>
      <c r="X155" s="10">
        <f>T155-W155</f>
        <v/>
      </c>
      <c r="Y155" s="4" t="n">
        <v>91.92</v>
      </c>
      <c r="Z155" s="10" t="n">
        <v>0</v>
      </c>
      <c r="AA155" s="10">
        <f>TABL12[[#This Row],[(RESV. STORGE) AJD]]/10</f>
        <v/>
      </c>
      <c r="AB155" s="3">
        <f>(Z155-Z154)/1000</f>
        <v/>
      </c>
      <c r="AC155" s="6" t="n">
        <v>0</v>
      </c>
      <c r="AD155" s="5">
        <f>TABL12[[#This Row],[( S/S+T/B) AJD]]-(TABL12[[#This Row],[(A/B + A/S) AJD]]+TABL12[[#This Row],[(STORGE DIFF.) AJD]]+(TABL12[[#This Row],[AJD_Evaporation]]))</f>
        <v/>
      </c>
      <c r="AE155" s="6" t="n">
        <v>35</v>
      </c>
      <c r="AF155" s="33" t="n">
        <v>58.447</v>
      </c>
      <c r="AG155" s="6" t="n">
        <v>1259877</v>
      </c>
      <c r="AH155" s="6">
        <f>TABL12[[#This Row],[ (RESV. STORGE) BER]]/10</f>
        <v/>
      </c>
      <c r="AI155" s="6" t="n">
        <v>2894</v>
      </c>
      <c r="AJ155" s="6">
        <f>TABL12[[#This Row],[(A/B) AJD]]-TABL12[[#This Row],[BER_IN]]</f>
        <v/>
      </c>
      <c r="AK155" s="6" t="n">
        <v>0</v>
      </c>
      <c r="AL155" s="33" t="n">
        <v>44.3035</v>
      </c>
      <c r="AM155" s="6" t="n">
        <v>3820430</v>
      </c>
      <c r="AN155" s="6">
        <f>TABL12[[#This Row],[ (RESV. STORGE) SER]]/10</f>
        <v/>
      </c>
      <c r="AO155" s="6" t="n">
        <v>1785</v>
      </c>
      <c r="AP155" s="32">
        <f>TABL12[[#This Row],[(A/S) AJD]]-TABL12[[#This Row],[SER_IN]]</f>
        <v/>
      </c>
    </row>
    <row r="156">
      <c r="A156" s="2" t="n">
        <v>45812</v>
      </c>
      <c r="B156" s="28" t="n">
        <v>37</v>
      </c>
      <c r="C156" s="28" t="n">
        <v>291</v>
      </c>
      <c r="D156" s="28" t="n">
        <v>37</v>
      </c>
      <c r="E156" s="28" t="n">
        <v>0</v>
      </c>
      <c r="F156" s="28" t="n">
        <v>91</v>
      </c>
      <c r="G156" s="28" t="n">
        <v>548</v>
      </c>
      <c r="H156" s="28" t="n">
        <v>1</v>
      </c>
      <c r="I156" s="28" t="n">
        <v>422</v>
      </c>
      <c r="J156" s="28" t="n">
        <v>436</v>
      </c>
      <c r="K156" s="28">
        <f>TABL12[[#This Row],[ (T/B) SAR]]+TABL12[[#This Row],[ (S/S) SAR]]</f>
        <v/>
      </c>
      <c r="L156" s="28" t="n">
        <v>310</v>
      </c>
      <c r="M156" s="29" t="n">
        <v>23.6</v>
      </c>
      <c r="N156" s="30" t="n">
        <v>7.7</v>
      </c>
      <c r="O156" s="10" t="n">
        <v>380</v>
      </c>
      <c r="P156" s="10">
        <f>TABL12[[#This Row],[ (S/S) SAR]]-TABL12[[#This Row],[(S/S) AJD]]</f>
        <v/>
      </c>
      <c r="Q156" s="10" t="n">
        <v>427</v>
      </c>
      <c r="R156" s="10">
        <f>TABL12[[#This Row],[ (T/B) SAR]]-TABL12[[#This Row],[(T/B) AJD]]</f>
        <v/>
      </c>
      <c r="S156" s="10">
        <f>TABL12[[#This Row],[S/S_CON.]]+TABL12[[#This Row],[T/B-CON.]]</f>
        <v/>
      </c>
      <c r="T156" s="10">
        <f>O156+Q156</f>
        <v/>
      </c>
      <c r="U156" s="10" t="n">
        <v>549</v>
      </c>
      <c r="V156" s="10" t="n">
        <v>261</v>
      </c>
      <c r="W156" s="10">
        <f>U156+V156</f>
        <v/>
      </c>
      <c r="X156" s="10">
        <f>T156-W156</f>
        <v/>
      </c>
      <c r="Y156" s="4" t="n">
        <v>91.92</v>
      </c>
      <c r="Z156" s="10" t="n">
        <v>0</v>
      </c>
      <c r="AA156" s="10">
        <f>TABL12[[#This Row],[(RESV. STORGE) AJD]]/10</f>
        <v/>
      </c>
      <c r="AB156" s="3">
        <f>(Z156-Z155)/1000</f>
        <v/>
      </c>
      <c r="AC156" s="6" t="n">
        <v>0</v>
      </c>
      <c r="AD156" s="5">
        <f>TABL12[[#This Row],[( S/S+T/B) AJD]]-(TABL12[[#This Row],[(A/B + A/S) AJD]]+TABL12[[#This Row],[(STORGE DIFF.) AJD]]+(TABL12[[#This Row],[AJD_Evaporation]]))</f>
        <v/>
      </c>
      <c r="AE156" s="6" t="n">
        <v>35</v>
      </c>
      <c r="AF156" s="33" t="n">
        <v>58.496</v>
      </c>
      <c r="AG156" s="6" t="n">
        <v>1294877</v>
      </c>
      <c r="AH156" s="6">
        <f>TABL12[[#This Row],[ (RESV. STORGE) BER]]/10</f>
        <v/>
      </c>
      <c r="AI156" s="6" t="n">
        <v>2873</v>
      </c>
      <c r="AJ156" s="6">
        <f>TABL12[[#This Row],[(A/B) AJD]]-TABL12[[#This Row],[BER_IN]]</f>
        <v/>
      </c>
      <c r="AK156" s="6" t="n">
        <v>0</v>
      </c>
      <c r="AL156" s="33" t="n">
        <v>44.2819</v>
      </c>
      <c r="AM156" s="6" t="n">
        <v>3808430</v>
      </c>
      <c r="AN156" s="6">
        <f>TABL12[[#This Row],[ (RESV. STORGE) SER]]/10</f>
        <v/>
      </c>
      <c r="AO156" s="6" t="n">
        <v>1760</v>
      </c>
      <c r="AP156" s="32">
        <f>TABL12[[#This Row],[(A/S) AJD]]-TABL12[[#This Row],[SER_IN]]</f>
        <v/>
      </c>
    </row>
    <row r="157">
      <c r="A157" s="2" t="n">
        <v>45813</v>
      </c>
      <c r="B157" s="28" t="n">
        <v>37</v>
      </c>
      <c r="C157" s="28" t="n">
        <v>292</v>
      </c>
      <c r="D157" s="28" t="n">
        <v>37</v>
      </c>
      <c r="E157" s="28" t="n">
        <v>0</v>
      </c>
      <c r="F157" s="28" t="n">
        <v>91</v>
      </c>
      <c r="G157" s="28" t="n">
        <v>549</v>
      </c>
      <c r="H157" s="28" t="n">
        <v>1</v>
      </c>
      <c r="I157" s="28" t="n">
        <v>422</v>
      </c>
      <c r="J157" s="28" t="n">
        <v>435</v>
      </c>
      <c r="K157" s="28">
        <f>TABL12[[#This Row],[ (T/B) SAR]]+TABL12[[#This Row],[ (S/S) SAR]]</f>
        <v/>
      </c>
      <c r="L157" s="28" t="n">
        <v>308</v>
      </c>
      <c r="M157" s="29" t="n">
        <v>23.6</v>
      </c>
      <c r="N157" s="30" t="n">
        <v>7.7</v>
      </c>
      <c r="O157" s="10" t="n">
        <v>383</v>
      </c>
      <c r="P157" s="10">
        <f>TABL12[[#This Row],[ (S/S) SAR]]-TABL12[[#This Row],[(S/S) AJD]]</f>
        <v/>
      </c>
      <c r="Q157" s="10" t="n">
        <v>431</v>
      </c>
      <c r="R157" s="10">
        <f>TABL12[[#This Row],[ (T/B) SAR]]-TABL12[[#This Row],[(T/B) AJD]]</f>
        <v/>
      </c>
      <c r="S157" s="10">
        <f>TABL12[[#This Row],[S/S_CON.]]+TABL12[[#This Row],[T/B-CON.]]</f>
        <v/>
      </c>
      <c r="T157" s="10">
        <f>O157+Q157</f>
        <v/>
      </c>
      <c r="U157" s="10" t="n">
        <v>559</v>
      </c>
      <c r="V157" s="10" t="n">
        <v>258</v>
      </c>
      <c r="W157" s="10">
        <f>U157+V157</f>
        <v/>
      </c>
      <c r="X157" s="10">
        <f>T157-W157</f>
        <v/>
      </c>
      <c r="Y157" s="4" t="n">
        <v>91.92</v>
      </c>
      <c r="Z157" s="10" t="n">
        <v>0</v>
      </c>
      <c r="AA157" s="10">
        <f>TABL12[[#This Row],[(RESV. STORGE) AJD]]/10</f>
        <v/>
      </c>
      <c r="AB157" s="3">
        <f>(Z157-Z156)/1000</f>
        <v/>
      </c>
      <c r="AC157" s="6" t="n">
        <v>0</v>
      </c>
      <c r="AD157" s="5">
        <f>TABL12[[#This Row],[( S/S+T/B) AJD]]-(TABL12[[#This Row],[(A/B + A/S) AJD]]+TABL12[[#This Row],[(STORGE DIFF.) AJD]]+(TABL12[[#This Row],[AJD_Evaporation]]))</f>
        <v/>
      </c>
      <c r="AE157" s="6" t="n">
        <v>35</v>
      </c>
      <c r="AF157" s="33" t="n">
        <v>58.546</v>
      </c>
      <c r="AG157" s="6" t="n">
        <v>1324807</v>
      </c>
      <c r="AH157" s="6">
        <f>TABL12[[#This Row],[ (RESV. STORGE) BER]]/10</f>
        <v/>
      </c>
      <c r="AI157" s="6" t="n">
        <v>2196</v>
      </c>
      <c r="AJ157" s="6">
        <f>TABL12[[#This Row],[(A/B) AJD]]-TABL12[[#This Row],[BER_IN]]</f>
        <v/>
      </c>
      <c r="AK157" s="6" t="n">
        <v>0</v>
      </c>
      <c r="AL157" s="33" t="n">
        <v>44.2282</v>
      </c>
      <c r="AM157" s="6" t="n">
        <v>3778570</v>
      </c>
      <c r="AN157" s="6">
        <f>TABL12[[#This Row],[ (RESV. STORGE) SER]]/10</f>
        <v/>
      </c>
      <c r="AO157" s="6" t="n">
        <v>1745</v>
      </c>
      <c r="AP157" s="32">
        <f>TABL12[[#This Row],[(A/S) AJD]]-TABL12[[#This Row],[SER_IN]]</f>
        <v/>
      </c>
    </row>
    <row r="158">
      <c r="A158" s="2" t="n">
        <v>45814</v>
      </c>
      <c r="B158" s="28" t="n">
        <v>36</v>
      </c>
      <c r="C158" s="28" t="n">
        <v>284</v>
      </c>
      <c r="D158" s="28" t="n">
        <v>36</v>
      </c>
      <c r="E158" s="28" t="n">
        <v>0</v>
      </c>
      <c r="F158" s="28" t="n">
        <v>91</v>
      </c>
      <c r="G158" s="28" t="n">
        <v>539</v>
      </c>
      <c r="H158" s="28" t="n">
        <v>1</v>
      </c>
      <c r="I158" s="28" t="n">
        <v>415</v>
      </c>
      <c r="J158" s="28" t="n">
        <v>428</v>
      </c>
      <c r="K158" s="28">
        <f>TABL12[[#This Row],[ (T/B) SAR]]+TABL12[[#This Row],[ (S/S) SAR]]</f>
        <v/>
      </c>
      <c r="L158" s="28" t="n">
        <v>304</v>
      </c>
      <c r="M158" s="29" t="n">
        <v>23.6</v>
      </c>
      <c r="N158" s="30" t="n">
        <v>7.6</v>
      </c>
      <c r="O158" s="10" t="n">
        <v>378</v>
      </c>
      <c r="P158" s="10">
        <f>TABL12[[#This Row],[ (S/S) SAR]]-TABL12[[#This Row],[(S/S) AJD]]</f>
        <v/>
      </c>
      <c r="Q158" s="10" t="n">
        <v>425</v>
      </c>
      <c r="R158" s="10">
        <f>TABL12[[#This Row],[ (T/B) SAR]]-TABL12[[#This Row],[(T/B) AJD]]</f>
        <v/>
      </c>
      <c r="S158" s="10">
        <f>TABL12[[#This Row],[S/S_CON.]]+TABL12[[#This Row],[T/B-CON.]]</f>
        <v/>
      </c>
      <c r="T158" s="10">
        <f>O158+Q158</f>
        <v/>
      </c>
      <c r="U158" s="10" t="n">
        <v>528</v>
      </c>
      <c r="V158" s="10" t="n">
        <v>278</v>
      </c>
      <c r="W158" s="10">
        <f>U158+V158</f>
        <v/>
      </c>
      <c r="X158" s="10">
        <f>T158-W158</f>
        <v/>
      </c>
      <c r="Y158" s="4" t="n">
        <v>91.92</v>
      </c>
      <c r="Z158" s="10" t="n">
        <v>0</v>
      </c>
      <c r="AA158" s="10">
        <f>TABL12[[#This Row],[(RESV. STORGE) AJD]]/10</f>
        <v/>
      </c>
      <c r="AB158" s="3">
        <f>(Z158-Z157)/1000</f>
        <v/>
      </c>
      <c r="AC158" s="6" t="n">
        <v>0</v>
      </c>
      <c r="AD158" s="5">
        <f>TABL12[[#This Row],[( S/S+T/B) AJD]]-(TABL12[[#This Row],[(A/B + A/S) AJD]]+TABL12[[#This Row],[(STORGE DIFF.) AJD]]+(TABL12[[#This Row],[AJD_Evaporation]]))</f>
        <v/>
      </c>
      <c r="AE158" s="6" t="n">
        <v>35</v>
      </c>
      <c r="AF158" s="33" t="n">
        <v>58.595</v>
      </c>
      <c r="AG158" s="6" t="n">
        <v>1356975</v>
      </c>
      <c r="AH158" s="6">
        <f>TABL12[[#This Row],[ (RESV. STORGE) BER]]/10</f>
        <v/>
      </c>
      <c r="AI158" s="6" t="n">
        <v>2831</v>
      </c>
      <c r="AJ158" s="6">
        <f>TABL12[[#This Row],[(A/B) AJD]]-TABL12[[#This Row],[BER_IN]]</f>
        <v/>
      </c>
      <c r="AK158" s="6" t="n">
        <v>0</v>
      </c>
      <c r="AL158" s="33" t="n">
        <v>44.037</v>
      </c>
      <c r="AM158" s="6" t="n">
        <v>3673612</v>
      </c>
      <c r="AN158" s="6">
        <f>TABL12[[#This Row],[ (RESV. STORGE) SER]]/10</f>
        <v/>
      </c>
      <c r="AO158" s="6" t="n">
        <v>2800</v>
      </c>
      <c r="AP158" s="32">
        <f>TABL12[[#This Row],[(A/S) AJD]]-TABL12[[#This Row],[SER_IN]]</f>
        <v/>
      </c>
    </row>
    <row r="159">
      <c r="A159" s="2" t="n">
        <v>45815</v>
      </c>
      <c r="B159" s="28" t="n">
        <v>36</v>
      </c>
      <c r="C159" s="28" t="n">
        <v>281</v>
      </c>
      <c r="D159" s="28" t="n">
        <v>36</v>
      </c>
      <c r="E159" s="28" t="n">
        <v>0</v>
      </c>
      <c r="F159" s="28" t="n">
        <v>91</v>
      </c>
      <c r="G159" s="28" t="n">
        <v>544</v>
      </c>
      <c r="H159" s="28" t="n">
        <v>1</v>
      </c>
      <c r="I159" s="28" t="n">
        <v>418</v>
      </c>
      <c r="J159" s="28" t="n">
        <v>432</v>
      </c>
      <c r="K159" s="28">
        <f>TABL12[[#This Row],[ (T/B) SAR]]+TABL12[[#This Row],[ (S/S) SAR]]</f>
        <v/>
      </c>
      <c r="L159" s="28" t="n">
        <v>306</v>
      </c>
      <c r="M159" s="29" t="n">
        <v>23.6</v>
      </c>
      <c r="N159" s="30" t="n">
        <v>7.5</v>
      </c>
      <c r="O159" s="10" t="n">
        <v>379</v>
      </c>
      <c r="P159" s="10">
        <f>TABL12[[#This Row],[ (S/S) SAR]]-TABL12[[#This Row],[(S/S) AJD]]</f>
        <v/>
      </c>
      <c r="Q159" s="10" t="n">
        <v>426</v>
      </c>
      <c r="R159" s="10">
        <f>TABL12[[#This Row],[ (T/B) SAR]]-TABL12[[#This Row],[(T/B) AJD]]</f>
        <v/>
      </c>
      <c r="S159" s="10">
        <f>TABL12[[#This Row],[S/S_CON.]]+TABL12[[#This Row],[T/B-CON.]]</f>
        <v/>
      </c>
      <c r="T159" s="10">
        <f>O159+Q159</f>
        <v/>
      </c>
      <c r="U159" s="10" t="n">
        <v>516</v>
      </c>
      <c r="V159" s="10" t="n">
        <v>290</v>
      </c>
      <c r="W159" s="10">
        <f>U159+V159</f>
        <v/>
      </c>
      <c r="X159" s="10">
        <f>T159-W159</f>
        <v/>
      </c>
      <c r="Y159" s="4" t="n">
        <v>91.92</v>
      </c>
      <c r="Z159" s="10" t="n">
        <v>0</v>
      </c>
      <c r="AA159" s="10">
        <f>TABL12[[#This Row],[(RESV. STORGE) AJD]]/10</f>
        <v/>
      </c>
      <c r="AB159" s="3">
        <f>(Z159-Z158)/1000</f>
        <v/>
      </c>
      <c r="AC159" s="6" t="n">
        <v>0</v>
      </c>
      <c r="AD159" s="5">
        <f>TABL12[[#This Row],[( S/S+T/B) AJD]]-(TABL12[[#This Row],[(A/B + A/S) AJD]]+TABL12[[#This Row],[(STORGE DIFF.) AJD]]+(TABL12[[#This Row],[AJD_Evaporation]]))</f>
        <v/>
      </c>
      <c r="AE159" s="6" t="n">
        <v>27</v>
      </c>
      <c r="AF159" s="33" t="n">
        <v>58.632</v>
      </c>
      <c r="AG159" s="6" t="n">
        <v>1381279</v>
      </c>
      <c r="AH159" s="6">
        <f>TABL12[[#This Row],[ (RESV. STORGE) BER]]/10</f>
        <v/>
      </c>
      <c r="AI159" s="6" t="n">
        <v>2695</v>
      </c>
      <c r="AJ159" s="6">
        <f>TABL12[[#This Row],[(A/B) AJD]]-TABL12[[#This Row],[BER_IN]]</f>
        <v/>
      </c>
      <c r="AK159" s="6" t="n">
        <v>0</v>
      </c>
      <c r="AL159" s="33" t="n">
        <v>43.8698</v>
      </c>
      <c r="AM159" s="6" t="n">
        <v>3581480</v>
      </c>
      <c r="AN159" s="6">
        <f>TABL12[[#This Row],[ (RESV. STORGE) SER]]/10</f>
        <v/>
      </c>
      <c r="AO159" s="6" t="n">
        <v>1745</v>
      </c>
      <c r="AP159" s="32">
        <f>TABL12[[#This Row],[(A/S) AJD]]-TABL12[[#This Row],[SER_IN]]</f>
        <v/>
      </c>
    </row>
    <row r="160">
      <c r="A160" s="2" t="n">
        <v>45816</v>
      </c>
      <c r="B160" s="28" t="n">
        <v>36</v>
      </c>
      <c r="C160" s="28" t="n">
        <v>265</v>
      </c>
      <c r="D160" s="28" t="n">
        <v>36</v>
      </c>
      <c r="E160" s="28" t="n">
        <v>0</v>
      </c>
      <c r="F160" s="28" t="n">
        <v>91</v>
      </c>
      <c r="G160" s="28" t="n">
        <v>543</v>
      </c>
      <c r="H160" s="28" t="n">
        <v>1</v>
      </c>
      <c r="I160" s="28" t="n">
        <v>416</v>
      </c>
      <c r="J160" s="28" t="n">
        <v>429</v>
      </c>
      <c r="K160" s="28">
        <f>TABL12[[#This Row],[ (T/B) SAR]]+TABL12[[#This Row],[ (S/S) SAR]]</f>
        <v/>
      </c>
      <c r="L160" s="28" t="n">
        <v>302</v>
      </c>
      <c r="M160" s="29" t="n">
        <v>23.6</v>
      </c>
      <c r="N160" s="30" t="n">
        <v>7.3</v>
      </c>
      <c r="O160" s="10" t="n">
        <v>378</v>
      </c>
      <c r="P160" s="10">
        <f>TABL12[[#This Row],[ (S/S) SAR]]-TABL12[[#This Row],[(S/S) AJD]]</f>
        <v/>
      </c>
      <c r="Q160" s="10" t="n">
        <v>425</v>
      </c>
      <c r="R160" s="10">
        <f>TABL12[[#This Row],[ (T/B) SAR]]-TABL12[[#This Row],[(T/B) AJD]]</f>
        <v/>
      </c>
      <c r="S160" s="10">
        <f>TABL12[[#This Row],[S/S_CON.]]+TABL12[[#This Row],[T/B-CON.]]</f>
        <v/>
      </c>
      <c r="T160" s="10">
        <f>O160+Q160</f>
        <v/>
      </c>
      <c r="U160" s="10" t="n">
        <v>528</v>
      </c>
      <c r="V160" s="10" t="n">
        <v>278</v>
      </c>
      <c r="W160" s="10">
        <f>U160+V160</f>
        <v/>
      </c>
      <c r="X160" s="10">
        <f>T160-W160</f>
        <v/>
      </c>
      <c r="Y160" s="4" t="n">
        <v>91.92</v>
      </c>
      <c r="Z160" s="10" t="n">
        <v>0</v>
      </c>
      <c r="AA160" s="10">
        <f>TABL12[[#This Row],[(RESV. STORGE) AJD]]/10</f>
        <v/>
      </c>
      <c r="AB160" s="3">
        <f>(Z160-Z159)/1000</f>
        <v/>
      </c>
      <c r="AC160" s="6" t="n">
        <v>0</v>
      </c>
      <c r="AD160" s="5">
        <f>TABL12[[#This Row],[( S/S+T/B) AJD]]-(TABL12[[#This Row],[(A/B + A/S) AJD]]+TABL12[[#This Row],[(STORGE DIFF.) AJD]]+(TABL12[[#This Row],[AJD_Evaporation]]))</f>
        <v/>
      </c>
      <c r="AE160" s="6" t="n">
        <v>20</v>
      </c>
      <c r="AF160" s="33" t="n">
        <v>58.658</v>
      </c>
      <c r="AG160" s="6" t="n">
        <v>1398365</v>
      </c>
      <c r="AH160" s="6">
        <f>TABL12[[#This Row],[ (RESV. STORGE) BER]]/10</f>
        <v/>
      </c>
      <c r="AI160" s="6" t="n">
        <v>2914</v>
      </c>
      <c r="AJ160" s="6">
        <f>TABL12[[#This Row],[(A/B) AJD]]-TABL12[[#This Row],[BER_IN]]</f>
        <v/>
      </c>
      <c r="AK160" s="6" t="n">
        <v>0</v>
      </c>
      <c r="AL160" s="33" t="n">
        <v>43.7725</v>
      </c>
      <c r="AM160" s="6" t="n">
        <v>3528720</v>
      </c>
      <c r="AN160" s="6">
        <f>TABL12[[#This Row],[ (RESV. STORGE) SER]]/10</f>
        <v/>
      </c>
      <c r="AO160" s="6" t="n">
        <v>1880</v>
      </c>
      <c r="AP160" s="32">
        <f>TABL12[[#This Row],[(A/S) AJD]]-TABL12[[#This Row],[SER_IN]]</f>
        <v/>
      </c>
    </row>
    <row r="161">
      <c r="A161" s="2" t="n">
        <v>45817</v>
      </c>
      <c r="B161" s="28" t="n">
        <v>33</v>
      </c>
      <c r="C161" s="28" t="n">
        <v>272</v>
      </c>
      <c r="D161" s="28" t="n">
        <v>34</v>
      </c>
      <c r="E161" s="28" t="n">
        <v>0</v>
      </c>
      <c r="F161" s="28" t="n">
        <v>91</v>
      </c>
      <c r="G161" s="28" t="n">
        <v>545</v>
      </c>
      <c r="H161" s="28" t="n">
        <v>1</v>
      </c>
      <c r="I161" s="28" t="n">
        <v>416</v>
      </c>
      <c r="J161" s="28" t="n">
        <v>428</v>
      </c>
      <c r="K161" s="28">
        <f>TABL12[[#This Row],[ (T/B) SAR]]+TABL12[[#This Row],[ (S/S) SAR]]</f>
        <v/>
      </c>
      <c r="L161" s="28" t="n">
        <v>299</v>
      </c>
      <c r="M161" s="29" t="n">
        <v>23.6</v>
      </c>
      <c r="N161" s="30" t="n">
        <v>7.1</v>
      </c>
      <c r="O161" s="10" t="n">
        <v>376</v>
      </c>
      <c r="P161" s="10">
        <f>TABL12[[#This Row],[ (S/S) SAR]]-TABL12[[#This Row],[(S/S) AJD]]</f>
        <v/>
      </c>
      <c r="Q161" s="10" t="n">
        <v>424</v>
      </c>
      <c r="R161" s="10">
        <f>TABL12[[#This Row],[ (T/B) SAR]]-TABL12[[#This Row],[(T/B) AJD]]</f>
        <v/>
      </c>
      <c r="S161" s="10">
        <f>TABL12[[#This Row],[S/S_CON.]]+TABL12[[#This Row],[T/B-CON.]]</f>
        <v/>
      </c>
      <c r="T161" s="10">
        <f>O161+Q161</f>
        <v/>
      </c>
      <c r="U161" s="10" t="n">
        <v>527</v>
      </c>
      <c r="V161" s="10" t="n">
        <v>272</v>
      </c>
      <c r="W161" s="10">
        <f>U161+V161</f>
        <v/>
      </c>
      <c r="X161" s="10">
        <f>T161-W161</f>
        <v/>
      </c>
      <c r="Y161" s="4" t="n">
        <v>91.92</v>
      </c>
      <c r="Z161" s="10" t="n">
        <v>0</v>
      </c>
      <c r="AA161" s="10">
        <f>TABL12[[#This Row],[(RESV. STORGE) AJD]]/10</f>
        <v/>
      </c>
      <c r="AB161" s="3">
        <f>(Z161-Z160)/1000</f>
        <v/>
      </c>
      <c r="AC161" s="6" t="n">
        <v>0</v>
      </c>
      <c r="AD161" s="5">
        <f>TABL12[[#This Row],[( S/S+T/B) AJD]]-(TABL12[[#This Row],[(A/B + A/S) AJD]]+TABL12[[#This Row],[(STORGE DIFF.) AJD]]+(TABL12[[#This Row],[AJD_Evaporation]]))</f>
        <v/>
      </c>
      <c r="AE161" s="6" t="n">
        <v>20</v>
      </c>
      <c r="AF161" s="33" t="n">
        <v>58.684</v>
      </c>
      <c r="AG161" s="6" t="n">
        <v>1415456</v>
      </c>
      <c r="AH161" s="6">
        <f>TABL12[[#This Row],[ (RESV. STORGE) BER]]/10</f>
        <v/>
      </c>
      <c r="AI161" s="6" t="n">
        <v>2908</v>
      </c>
      <c r="AJ161" s="6">
        <f>TABL12[[#This Row],[(A/B) AJD]]-TABL12[[#This Row],[BER_IN]]</f>
        <v/>
      </c>
      <c r="AK161" s="6" t="n">
        <v>0</v>
      </c>
      <c r="AL161" s="33" t="n">
        <v>43.7466</v>
      </c>
      <c r="AM161" s="6" t="n">
        <v>3514650</v>
      </c>
      <c r="AN161" s="6">
        <f>TABL12[[#This Row],[ (RESV. STORGE) SER]]/10</f>
        <v/>
      </c>
      <c r="AO161" s="6" t="n">
        <v>1950</v>
      </c>
      <c r="AP161" s="32">
        <f>TABL12[[#This Row],[(A/S) AJD]]-TABL12[[#This Row],[SER_IN]]</f>
        <v/>
      </c>
    </row>
    <row r="162">
      <c r="A162" s="2" t="n">
        <v>45818</v>
      </c>
      <c r="B162" s="28" t="n">
        <v>33</v>
      </c>
      <c r="C162" s="28" t="n">
        <v>271</v>
      </c>
      <c r="D162" s="28" t="n">
        <v>33</v>
      </c>
      <c r="E162" s="28" t="n">
        <v>0</v>
      </c>
      <c r="F162" s="28" t="n">
        <v>89</v>
      </c>
      <c r="G162" s="28" t="n">
        <v>550</v>
      </c>
      <c r="H162" s="28" t="n">
        <v>3</v>
      </c>
      <c r="I162" s="28" t="n">
        <v>417</v>
      </c>
      <c r="J162" s="28" t="n">
        <v>429</v>
      </c>
      <c r="K162" s="28">
        <f>TABL12[[#This Row],[ (T/B) SAR]]+TABL12[[#This Row],[ (S/S) SAR]]</f>
        <v/>
      </c>
      <c r="L162" s="28" t="n">
        <v>296</v>
      </c>
      <c r="M162" s="29" t="n">
        <v>23.6</v>
      </c>
      <c r="N162" s="30" t="n">
        <v>7</v>
      </c>
      <c r="O162" s="10" t="n">
        <v>376</v>
      </c>
      <c r="P162" s="10">
        <f>TABL12[[#This Row],[ (S/S) SAR]]-TABL12[[#This Row],[(S/S) AJD]]</f>
        <v/>
      </c>
      <c r="Q162" s="10" t="n">
        <v>423</v>
      </c>
      <c r="R162" s="10">
        <f>TABL12[[#This Row],[ (T/B) SAR]]-TABL12[[#This Row],[(T/B) AJD]]</f>
        <v/>
      </c>
      <c r="S162" s="10">
        <f>TABL12[[#This Row],[S/S_CON.]]+TABL12[[#This Row],[T/B-CON.]]</f>
        <v/>
      </c>
      <c r="T162" s="10">
        <f>O162+Q162</f>
        <v/>
      </c>
      <c r="U162" s="10" t="n">
        <v>530</v>
      </c>
      <c r="V162" s="10" t="n">
        <v>267</v>
      </c>
      <c r="W162" s="10">
        <f>U162+V162</f>
        <v/>
      </c>
      <c r="X162" s="10">
        <f>T162-W162</f>
        <v/>
      </c>
      <c r="Y162" s="4" t="n">
        <v>91.92</v>
      </c>
      <c r="Z162" s="10" t="n">
        <v>0</v>
      </c>
      <c r="AA162" s="10">
        <f>TABL12[[#This Row],[(RESV. STORGE) AJD]]/10</f>
        <v/>
      </c>
      <c r="AB162" s="3">
        <f>(Z162-Z161)/1000</f>
        <v/>
      </c>
      <c r="AC162" s="6" t="n">
        <v>0</v>
      </c>
      <c r="AD162" s="5">
        <f>TABL12[[#This Row],[( S/S+T/B) AJD]]-(TABL12[[#This Row],[(A/B + A/S) AJD]]+TABL12[[#This Row],[(STORGE DIFF.) AJD]]+(TABL12[[#This Row],[AJD_Evaporation]]))</f>
        <v/>
      </c>
      <c r="AE162" s="6" t="n">
        <v>20</v>
      </c>
      <c r="AF162" s="33" t="n">
        <v>58.71</v>
      </c>
      <c r="AG162" s="6" t="n">
        <v>1432554</v>
      </c>
      <c r="AH162" s="6">
        <f>TABL12[[#This Row],[ (RESV. STORGE) BER]]/10</f>
        <v/>
      </c>
      <c r="AI162" s="6" t="n">
        <v>2902</v>
      </c>
      <c r="AJ162" s="6">
        <f>TABL12[[#This Row],[(A/B) AJD]]-TABL12[[#This Row],[BER_IN]]</f>
        <v/>
      </c>
      <c r="AK162" s="6" t="n">
        <v>0</v>
      </c>
      <c r="AL162" s="33" t="n">
        <v>43.7308</v>
      </c>
      <c r="AM162" s="6" t="n">
        <v>3505892</v>
      </c>
      <c r="AN162" s="6">
        <f>TABL12[[#This Row],[ (RESV. STORGE) SER]]/10</f>
        <v/>
      </c>
      <c r="AO162" s="6" t="n">
        <v>1760</v>
      </c>
      <c r="AP162" s="32">
        <f>TABL12[[#This Row],[(A/S) AJD]]-TABL12[[#This Row],[SER_IN]]</f>
        <v/>
      </c>
    </row>
    <row r="163">
      <c r="A163" s="2" t="n">
        <v>45819</v>
      </c>
      <c r="B163" s="28" t="n">
        <v>34</v>
      </c>
      <c r="C163" s="28" t="n">
        <v>272</v>
      </c>
      <c r="D163" s="28" t="n">
        <v>34</v>
      </c>
      <c r="E163" s="28" t="n">
        <v>0</v>
      </c>
      <c r="F163" s="28" t="n">
        <v>91</v>
      </c>
      <c r="G163" s="28" t="n">
        <v>560</v>
      </c>
      <c r="H163" s="28" t="n">
        <v>1</v>
      </c>
      <c r="I163" s="28" t="n">
        <v>418</v>
      </c>
      <c r="J163" s="28" t="n">
        <v>428</v>
      </c>
      <c r="K163" s="28">
        <f>TABL12[[#This Row],[ (T/B) SAR]]+TABL12[[#This Row],[ (S/S) SAR]]</f>
        <v/>
      </c>
      <c r="L163" s="28" t="n">
        <v>286</v>
      </c>
      <c r="M163" s="29" t="n">
        <v>23.3</v>
      </c>
      <c r="N163" s="30" t="n">
        <v>6.9</v>
      </c>
      <c r="O163" s="10" t="n">
        <v>377</v>
      </c>
      <c r="P163" s="10">
        <f>TABL12[[#This Row],[ (S/S) SAR]]-TABL12[[#This Row],[(S/S) AJD]]</f>
        <v/>
      </c>
      <c r="Q163" s="10" t="n">
        <v>423</v>
      </c>
      <c r="R163" s="10">
        <f>TABL12[[#This Row],[ (T/B) SAR]]-TABL12[[#This Row],[(T/B) AJD]]</f>
        <v/>
      </c>
      <c r="S163" s="10">
        <f>TABL12[[#This Row],[S/S_CON.]]+TABL12[[#This Row],[T/B-CON.]]</f>
        <v/>
      </c>
      <c r="T163" s="10">
        <f>O163+Q163</f>
        <v/>
      </c>
      <c r="U163" s="10" t="n">
        <v>545</v>
      </c>
      <c r="V163" s="10" t="n">
        <v>258</v>
      </c>
      <c r="W163" s="10">
        <f>U163+V163</f>
        <v/>
      </c>
      <c r="X163" s="10">
        <f>T163-W163</f>
        <v/>
      </c>
      <c r="Y163" s="4" t="n">
        <v>91.92</v>
      </c>
      <c r="Z163" s="10" t="n">
        <v>0</v>
      </c>
      <c r="AA163" s="10">
        <f>TABL12[[#This Row],[(RESV. STORGE) AJD]]/10</f>
        <v/>
      </c>
      <c r="AB163" s="3">
        <f>(Z163-Z162)/1000</f>
        <v/>
      </c>
      <c r="AC163" s="6" t="n">
        <v>0</v>
      </c>
      <c r="AD163" s="5">
        <f>TABL12[[#This Row],[( S/S+T/B) AJD]]-(TABL12[[#This Row],[(A/B + A/S) AJD]]+TABL12[[#This Row],[(STORGE DIFF.) AJD]]+(TABL12[[#This Row],[AJD_Evaporation]]))</f>
        <v/>
      </c>
      <c r="AE163" s="6" t="n">
        <v>38</v>
      </c>
      <c r="AF163" s="33" t="n">
        <v>58.721</v>
      </c>
      <c r="AG163" s="6" t="n">
        <v>1439789</v>
      </c>
      <c r="AH163" s="6">
        <f>TABL12[[#This Row],[ (RESV. STORGE) BER]]/10</f>
        <v/>
      </c>
      <c r="AI163" s="6" t="n">
        <v>3208</v>
      </c>
      <c r="AJ163" s="6">
        <f>TABL12[[#This Row],[(A/B) AJD]]-TABL12[[#This Row],[BER_IN]]</f>
        <v/>
      </c>
      <c r="AK163" s="6" t="n">
        <v>0</v>
      </c>
      <c r="AL163" s="33" t="n">
        <v>43.713</v>
      </c>
      <c r="AM163" s="6" t="n">
        <v>3495980</v>
      </c>
      <c r="AN163" s="6">
        <f>TABL12[[#This Row],[ (RESV. STORGE) SER]]/10</f>
        <v/>
      </c>
      <c r="AO163" s="6" t="n">
        <v>1855</v>
      </c>
      <c r="AP163" s="32">
        <f>TABL12[[#This Row],[(A/S) AJD]]-TABL12[[#This Row],[SER_IN]]</f>
        <v/>
      </c>
    </row>
    <row r="164">
      <c r="A164" s="2" t="n">
        <v>45820</v>
      </c>
      <c r="B164" s="28" t="n">
        <v>34</v>
      </c>
      <c r="C164" s="28" t="n">
        <v>289</v>
      </c>
      <c r="D164" s="28" t="n">
        <v>34</v>
      </c>
      <c r="E164" s="28" t="n">
        <v>0</v>
      </c>
      <c r="F164" s="28" t="n">
        <v>91</v>
      </c>
      <c r="G164" s="28" t="n">
        <v>567</v>
      </c>
      <c r="H164" s="28" t="n">
        <v>1</v>
      </c>
      <c r="I164" s="28" t="n">
        <v>416</v>
      </c>
      <c r="J164" s="28" t="n">
        <v>420</v>
      </c>
      <c r="K164" s="28">
        <f>TABL12[[#This Row],[ (T/B) SAR]]+TABL12[[#This Row],[ (S/S) SAR]]</f>
        <v/>
      </c>
      <c r="L164" s="28" t="n">
        <v>269</v>
      </c>
      <c r="M164" s="29" t="n">
        <v>22.1</v>
      </c>
      <c r="N164" s="30" t="n">
        <v>7</v>
      </c>
      <c r="O164" s="10" t="n">
        <v>373</v>
      </c>
      <c r="P164" s="10">
        <f>TABL12[[#This Row],[ (S/S) SAR]]-TABL12[[#This Row],[(S/S) AJD]]</f>
        <v/>
      </c>
      <c r="Q164" s="10" t="n">
        <v>419</v>
      </c>
      <c r="R164" s="10">
        <f>TABL12[[#This Row],[ (T/B) SAR]]-TABL12[[#This Row],[(T/B) AJD]]</f>
        <v/>
      </c>
      <c r="S164" s="10">
        <f>TABL12[[#This Row],[S/S_CON.]]+TABL12[[#This Row],[T/B-CON.]]</f>
        <v/>
      </c>
      <c r="T164" s="10">
        <f>O164+Q164</f>
        <v/>
      </c>
      <c r="U164" s="10" t="n">
        <v>541</v>
      </c>
      <c r="V164" s="10" t="n">
        <v>248</v>
      </c>
      <c r="W164" s="10">
        <f>U164+V164</f>
        <v/>
      </c>
      <c r="X164" s="10">
        <f>T164-W164</f>
        <v/>
      </c>
      <c r="Y164" s="4" t="n">
        <v>91.92</v>
      </c>
      <c r="Z164" s="10" t="n">
        <v>0</v>
      </c>
      <c r="AA164" s="10">
        <f>TABL12[[#This Row],[(RESV. STORGE) AJD]]/10</f>
        <v/>
      </c>
      <c r="AB164" s="3">
        <f>(Z164-Z163)/1000</f>
        <v/>
      </c>
      <c r="AC164" s="6" t="n">
        <v>0</v>
      </c>
      <c r="AD164" s="5">
        <f>TABL12[[#This Row],[( S/S+T/B) AJD]]-(TABL12[[#This Row],[(A/B + A/S) AJD]]+TABL12[[#This Row],[(STORGE DIFF.) AJD]]+(TABL12[[#This Row],[AJD_Evaporation]]))</f>
        <v/>
      </c>
      <c r="AE164" s="6" t="n">
        <v>45</v>
      </c>
      <c r="AF164" s="33" t="n">
        <v>58.753</v>
      </c>
      <c r="AG164" s="6" t="n">
        <v>1460843</v>
      </c>
      <c r="AH164" s="6">
        <f>TABL12[[#This Row],[ (RESV. STORGE) BER]]/10</f>
        <v/>
      </c>
      <c r="AI164" s="6" t="n">
        <v>3030</v>
      </c>
      <c r="AJ164" s="6">
        <f>TABL12[[#This Row],[(A/B) AJD]]-TABL12[[#This Row],[BER_IN]]</f>
        <v/>
      </c>
      <c r="AK164" s="6" t="n">
        <v>0</v>
      </c>
      <c r="AL164" s="33" t="n">
        <v>43.6998</v>
      </c>
      <c r="AM164" s="6" t="n">
        <v>3488473</v>
      </c>
      <c r="AN164" s="6">
        <f>TABL12[[#This Row],[ (RESV. STORGE) SER]]/10</f>
        <v/>
      </c>
      <c r="AO164" s="6" t="n">
        <v>1620</v>
      </c>
      <c r="AP164" s="32">
        <f>TABL12[[#This Row],[(A/S) AJD]]-TABL12[[#This Row],[SER_IN]]</f>
        <v/>
      </c>
    </row>
    <row r="165">
      <c r="A165" s="2" t="n">
        <v>45821</v>
      </c>
      <c r="B165" s="28" t="n">
        <v>34</v>
      </c>
      <c r="C165" s="28" t="n">
        <v>287</v>
      </c>
      <c r="D165" s="28" t="n">
        <v>34</v>
      </c>
      <c r="E165" s="28" t="n">
        <v>0</v>
      </c>
      <c r="F165" s="28" t="n">
        <v>91</v>
      </c>
      <c r="G165" s="28" t="n">
        <v>564</v>
      </c>
      <c r="H165" s="28" t="n">
        <v>1</v>
      </c>
      <c r="I165" s="28" t="n">
        <v>415</v>
      </c>
      <c r="J165" s="28" t="n">
        <v>419</v>
      </c>
      <c r="K165" s="28">
        <f>TABL12[[#This Row],[ (T/B) SAR]]+TABL12[[#This Row],[ (S/S) SAR]]</f>
        <v/>
      </c>
      <c r="L165" s="28" t="n">
        <v>270</v>
      </c>
      <c r="M165" s="29" t="n">
        <v>22.1</v>
      </c>
      <c r="N165" s="30" t="n">
        <v>7.1</v>
      </c>
      <c r="O165" s="10" t="n">
        <v>371</v>
      </c>
      <c r="P165" s="10">
        <f>TABL12[[#This Row],[ (S/S) SAR]]-TABL12[[#This Row],[(S/S) AJD]]</f>
        <v/>
      </c>
      <c r="Q165" s="10" t="n">
        <v>415</v>
      </c>
      <c r="R165" s="10">
        <f>TABL12[[#This Row],[ (T/B) SAR]]-TABL12[[#This Row],[(T/B) AJD]]</f>
        <v/>
      </c>
      <c r="S165" s="10">
        <f>TABL12[[#This Row],[S/S_CON.]]+TABL12[[#This Row],[T/B-CON.]]</f>
        <v/>
      </c>
      <c r="T165" s="10">
        <f>O165+Q165</f>
        <v/>
      </c>
      <c r="U165" s="10" t="n">
        <v>536</v>
      </c>
      <c r="V165" s="10" t="n">
        <v>251</v>
      </c>
      <c r="W165" s="10">
        <f>U165+V165</f>
        <v/>
      </c>
      <c r="X165" s="10">
        <f>T165-W165</f>
        <v/>
      </c>
      <c r="Y165" s="4" t="n">
        <v>91.92</v>
      </c>
      <c r="Z165" s="11" t="n"/>
      <c r="AA165" s="11">
        <f>TABL12[[#This Row],[(RESV. STORGE) AJD]]/10</f>
        <v/>
      </c>
      <c r="AB165" s="3">
        <f>(Z165-Z164)/1000</f>
        <v/>
      </c>
      <c r="AC165" s="6" t="n">
        <v>0</v>
      </c>
      <c r="AD165" s="5">
        <f>TABL12[[#This Row],[( S/S+T/B) AJD]]-(TABL12[[#This Row],[(A/B + A/S) AJD]]+TABL12[[#This Row],[(STORGE DIFF.) AJD]]+(TABL12[[#This Row],[AJD_Evaporation]]))</f>
        <v/>
      </c>
      <c r="AE165" s="6" t="n">
        <v>45</v>
      </c>
      <c r="AF165" s="33" t="n">
        <v>58.759</v>
      </c>
      <c r="AG165" s="6" t="n">
        <v>1464791</v>
      </c>
      <c r="AH165" s="6">
        <f>TABL12[[#This Row],[ (RESV. STORGE) BER]]/10</f>
        <v/>
      </c>
      <c r="AI165" s="6" t="n">
        <v>2705</v>
      </c>
      <c r="AJ165" s="6">
        <f>TABL12[[#This Row],[(A/B) AJD]]-TABL12[[#This Row],[BER_IN]]</f>
        <v/>
      </c>
      <c r="AK165" s="6" t="n">
        <v>0</v>
      </c>
      <c r="AL165" s="33" t="n">
        <v>43.677</v>
      </c>
      <c r="AM165" s="6" t="n">
        <v>3486871</v>
      </c>
      <c r="AN165" s="6">
        <f>TABL12[[#This Row],[ (RESV. STORGE) SER]]/10</f>
        <v/>
      </c>
      <c r="AO165" s="6" t="n">
        <v>1780</v>
      </c>
      <c r="AP165" s="32">
        <f>TABL12[[#This Row],[(A/S) AJD]]-TABL12[[#This Row],[SER_IN]]</f>
        <v/>
      </c>
    </row>
    <row r="166">
      <c r="A166" s="2" t="n">
        <v>45822</v>
      </c>
      <c r="B166" s="28" t="n">
        <v>34</v>
      </c>
      <c r="C166" s="28" t="n">
        <v>274</v>
      </c>
      <c r="D166" s="28" t="n">
        <v>34</v>
      </c>
      <c r="E166" s="28" t="n">
        <v>0</v>
      </c>
      <c r="F166" s="28" t="n">
        <v>91</v>
      </c>
      <c r="G166" s="28" t="n">
        <v>565</v>
      </c>
      <c r="H166" s="28" t="n">
        <v>1</v>
      </c>
      <c r="I166" s="28" t="n">
        <v>416</v>
      </c>
      <c r="J166" s="28" t="n">
        <v>421</v>
      </c>
      <c r="K166" s="28">
        <f>TABL12[[#This Row],[ (T/B) SAR]]+TABL12[[#This Row],[ (S/S) SAR]]</f>
        <v/>
      </c>
      <c r="L166" s="28" t="n">
        <v>272</v>
      </c>
      <c r="M166" s="29" t="n">
        <v>22.1</v>
      </c>
      <c r="N166" s="30" t="n">
        <v>7.11</v>
      </c>
      <c r="O166" s="10" t="n">
        <v>370</v>
      </c>
      <c r="P166" s="10">
        <f>TABL12[[#This Row],[ (S/S) SAR]]-TABL12[[#This Row],[(S/S) AJD]]</f>
        <v/>
      </c>
      <c r="Q166" s="10" t="n">
        <v>414</v>
      </c>
      <c r="R166" s="10">
        <f>TABL12[[#This Row],[ (T/B) SAR]]-TABL12[[#This Row],[(T/B) AJD]]</f>
        <v/>
      </c>
      <c r="S166" s="10">
        <f>TABL12[[#This Row],[S/S_CON.]]+TABL12[[#This Row],[T/B-CON.]]</f>
        <v/>
      </c>
      <c r="T166" s="10">
        <f>O166+Q166</f>
        <v/>
      </c>
      <c r="U166" s="10" t="n">
        <v>540</v>
      </c>
      <c r="V166" s="10" t="n">
        <v>248</v>
      </c>
      <c r="W166" s="10">
        <f>U166+V166</f>
        <v/>
      </c>
      <c r="X166" s="10">
        <f>T166-W166</f>
        <v/>
      </c>
      <c r="Y166" s="4" t="n">
        <v>91.92</v>
      </c>
      <c r="Z166" s="10" t="n">
        <v>0</v>
      </c>
      <c r="AA166" s="10">
        <f>TABL12[[#This Row],[(RESV. STORGE) AJD]]/10</f>
        <v/>
      </c>
      <c r="AB166" s="3">
        <f>(Z166-Z165)/1000</f>
        <v/>
      </c>
      <c r="AC166" s="6" t="n">
        <v>0</v>
      </c>
      <c r="AD166" s="5">
        <f>TABL12[[#This Row],[( S/S+T/B) AJD]]-(TABL12[[#This Row],[(A/B + A/S) AJD]]+TABL12[[#This Row],[(STORGE DIFF.) AJD]]+(TABL12[[#This Row],[AJD_Evaporation]]))</f>
        <v/>
      </c>
      <c r="AE166" s="6" t="n">
        <v>45</v>
      </c>
      <c r="AF166" s="33" t="n">
        <v>58.762</v>
      </c>
      <c r="AG166" s="6" t="n">
        <v>1466766</v>
      </c>
      <c r="AH166" s="6">
        <f>TABL12[[#This Row],[ (RESV. STORGE) BER]]/10</f>
        <v/>
      </c>
      <c r="AI166" s="6" t="n">
        <v>3185</v>
      </c>
      <c r="AJ166" s="6">
        <f>TABL12[[#This Row],[(A/B) AJD]]-TABL12[[#This Row],[BER_IN]]</f>
        <v/>
      </c>
      <c r="AK166" s="6" t="n">
        <v>0</v>
      </c>
      <c r="AL166" s="33" t="n">
        <v>43.6752</v>
      </c>
      <c r="AM166" s="6" t="n">
        <v>3474783</v>
      </c>
      <c r="AN166" s="6">
        <f>TABL12[[#This Row],[ (RESV. STORGE) SER]]/10</f>
        <v/>
      </c>
      <c r="AO166" s="6" t="n">
        <v>2088</v>
      </c>
      <c r="AP166" s="32">
        <f>TABL12[[#This Row],[(A/S) AJD]]-TABL12[[#This Row],[SER_IN]]</f>
        <v/>
      </c>
    </row>
    <row r="167">
      <c r="A167" s="2" t="n">
        <v>45823</v>
      </c>
      <c r="B167" s="28" t="n">
        <v>32</v>
      </c>
      <c r="C167" s="28" t="n">
        <v>275</v>
      </c>
      <c r="D167" s="28" t="n">
        <v>34</v>
      </c>
      <c r="E167" s="28" t="n">
        <v>0</v>
      </c>
      <c r="F167" s="28" t="n">
        <v>91</v>
      </c>
      <c r="G167" s="28" t="n">
        <v>563</v>
      </c>
      <c r="H167" s="28" t="n">
        <v>1</v>
      </c>
      <c r="I167" s="28" t="n">
        <v>419</v>
      </c>
      <c r="J167" s="28" t="n">
        <v>415</v>
      </c>
      <c r="K167" s="28">
        <f>TABL12[[#This Row],[ (T/B) SAR]]+TABL12[[#This Row],[ (S/S) SAR]]</f>
        <v/>
      </c>
      <c r="L167" s="28" t="n">
        <v>271</v>
      </c>
      <c r="M167" s="29" t="n">
        <v>22.1</v>
      </c>
      <c r="N167" s="30" t="n">
        <v>7.13</v>
      </c>
      <c r="O167" s="10" t="n">
        <v>370</v>
      </c>
      <c r="P167" s="10">
        <f>TABL12[[#This Row],[ (S/S) SAR]]-TABL12[[#This Row],[(S/S) AJD]]</f>
        <v/>
      </c>
      <c r="Q167" s="10" t="n">
        <v>415</v>
      </c>
      <c r="R167" s="10">
        <f>TABL12[[#This Row],[ (T/B) SAR]]-TABL12[[#This Row],[(T/B) AJD]]</f>
        <v/>
      </c>
      <c r="S167" s="10">
        <f>TABL12[[#This Row],[S/S_CON.]]+TABL12[[#This Row],[T/B-CON.]]</f>
        <v/>
      </c>
      <c r="T167" s="10">
        <f>O167+Q167</f>
        <v/>
      </c>
      <c r="U167" s="10" t="n">
        <v>493</v>
      </c>
      <c r="V167" s="10" t="n">
        <v>293</v>
      </c>
      <c r="W167" s="10">
        <f>U167+V167</f>
        <v/>
      </c>
      <c r="X167" s="10">
        <f>T167-W167</f>
        <v/>
      </c>
      <c r="Y167" s="4" t="n">
        <v>91.92</v>
      </c>
      <c r="Z167" s="10" t="n">
        <v>0</v>
      </c>
      <c r="AA167" s="10">
        <f>TABL12[[#This Row],[(RESV. STORGE) AJD]]/10</f>
        <v/>
      </c>
      <c r="AB167" s="3">
        <f>(Z167-Z166)/1000</f>
        <v/>
      </c>
      <c r="AC167" s="6" t="n">
        <v>0</v>
      </c>
      <c r="AD167" s="5">
        <f>TABL12[[#This Row],[( S/S+T/B) AJD]]-(TABL12[[#This Row],[(A/B + A/S) AJD]]+TABL12[[#This Row],[(STORGE DIFF.) AJD]]+(TABL12[[#This Row],[AJD_Evaporation]]))</f>
        <v/>
      </c>
      <c r="AE167" s="6" t="n">
        <v>28</v>
      </c>
      <c r="AF167" s="33" t="n">
        <v>58.739</v>
      </c>
      <c r="AG167" s="6" t="n">
        <v>1451631</v>
      </c>
      <c r="AH167" s="6">
        <f>TABL12[[#This Row],[ (RESV. STORGE) BER]]/10</f>
        <v/>
      </c>
      <c r="AI167" s="6" t="n">
        <v>3295</v>
      </c>
      <c r="AJ167" s="6">
        <f>TABL12[[#This Row],[(A/B) AJD]]-TABL12[[#This Row],[BER_IN]]</f>
        <v/>
      </c>
      <c r="AK167" s="6" t="n">
        <v>0</v>
      </c>
      <c r="AL167" s="33" t="n">
        <v>43.6546</v>
      </c>
      <c r="AM167" s="6" t="n">
        <v>3463822</v>
      </c>
      <c r="AN167" s="6">
        <f>TABL12[[#This Row],[ (RESV. STORGE) SER]]/10</f>
        <v/>
      </c>
      <c r="AO167" s="6" t="n">
        <v>1570</v>
      </c>
      <c r="AP167" s="32">
        <f>TABL12[[#This Row],[(A/S) AJD]]-TABL12[[#This Row],[SER_IN]]</f>
        <v/>
      </c>
    </row>
    <row r="168">
      <c r="A168" s="2" t="n">
        <v>45824</v>
      </c>
      <c r="B168" s="28" t="n">
        <v>32</v>
      </c>
      <c r="C168" s="28" t="n">
        <v>257</v>
      </c>
      <c r="D168" s="28" t="n">
        <v>32</v>
      </c>
      <c r="E168" s="28" t="n">
        <v>0</v>
      </c>
      <c r="F168" s="28" t="n">
        <v>91</v>
      </c>
      <c r="G168" s="28" t="n">
        <v>573</v>
      </c>
      <c r="H168" s="28" t="n">
        <v>1</v>
      </c>
      <c r="I168" s="28" t="n">
        <v>420</v>
      </c>
      <c r="J168" s="28" t="n">
        <v>428</v>
      </c>
      <c r="K168" s="28">
        <f>TABL12[[#This Row],[ (T/B) SAR]]+TABL12[[#This Row],[ (S/S) SAR]]</f>
        <v/>
      </c>
      <c r="L168" s="28" t="n">
        <v>275</v>
      </c>
      <c r="M168" s="29" t="n">
        <v>22.1</v>
      </c>
      <c r="N168" s="30" t="n">
        <v>7.1</v>
      </c>
      <c r="O168" s="10" t="n">
        <v>370</v>
      </c>
      <c r="P168" s="10">
        <f>TABL12[[#This Row],[ (S/S) SAR]]-TABL12[[#This Row],[(S/S) AJD]]</f>
        <v/>
      </c>
      <c r="Q168" s="10" t="n">
        <v>415</v>
      </c>
      <c r="R168" s="10">
        <f>TABL12[[#This Row],[ (T/B) SAR]]-TABL12[[#This Row],[(T/B) AJD]]</f>
        <v/>
      </c>
      <c r="S168" s="10">
        <f>TABL12[[#This Row],[S/S_CON.]]+TABL12[[#This Row],[T/B-CON.]]</f>
        <v/>
      </c>
      <c r="T168" s="10">
        <f>O168+Q168</f>
        <v/>
      </c>
      <c r="U168" s="10" t="n">
        <v>512</v>
      </c>
      <c r="V168" s="10" t="n">
        <v>276</v>
      </c>
      <c r="W168" s="10">
        <f>U168+V168</f>
        <v/>
      </c>
      <c r="X168" s="10">
        <f>T168-W168</f>
        <v/>
      </c>
      <c r="Y168" s="4" t="n">
        <v>91.92</v>
      </c>
      <c r="Z168" s="10" t="n">
        <v>0</v>
      </c>
      <c r="AA168" s="10">
        <f>TABL12[[#This Row],[(RESV. STORGE) AJD]]/10</f>
        <v/>
      </c>
      <c r="AB168" s="3">
        <f>(Z168-Z167)/1000</f>
        <v/>
      </c>
      <c r="AC168" s="6" t="n">
        <v>0</v>
      </c>
      <c r="AD168" s="5">
        <f>TABL12[[#This Row],[( S/S+T/B) AJD]]-(TABL12[[#This Row],[(A/B + A/S) AJD]]+TABL12[[#This Row],[(STORGE DIFF.) AJD]]+(TABL12[[#This Row],[AJD_Evaporation]]))</f>
        <v/>
      </c>
      <c r="AE168" s="6" t="n">
        <v>25</v>
      </c>
      <c r="AF168" s="33" t="n">
        <v>58.711</v>
      </c>
      <c r="AG168" s="6" t="n">
        <v>1433211</v>
      </c>
      <c r="AH168" s="6">
        <f>TABL12[[#This Row],[ (RESV. STORGE) BER]]/10</f>
        <v/>
      </c>
      <c r="AI168" s="6" t="n">
        <v>3579</v>
      </c>
      <c r="AJ168" s="6">
        <f>TABL12[[#This Row],[(A/B) AJD]]-TABL12[[#This Row],[BER_IN]]</f>
        <v/>
      </c>
      <c r="AK168" s="6" t="n">
        <v>0</v>
      </c>
      <c r="AL168" s="33" t="n">
        <v>43.6309</v>
      </c>
      <c r="AM168" s="6" t="n">
        <v>3451550</v>
      </c>
      <c r="AN168" s="6">
        <f>TABL12[[#This Row],[ (RESV. STORGE) SER]]/10</f>
        <v/>
      </c>
      <c r="AO168" s="6" t="n">
        <v>1750</v>
      </c>
      <c r="AP168" s="32">
        <f>TABL12[[#This Row],[(A/S) AJD]]-TABL12[[#This Row],[SER_IN]]</f>
        <v/>
      </c>
    </row>
    <row r="169">
      <c r="A169" s="2" t="n">
        <v>45825</v>
      </c>
      <c r="B169" s="28" t="n">
        <v>32</v>
      </c>
      <c r="C169" s="28" t="n">
        <v>260</v>
      </c>
      <c r="D169" s="28" t="n">
        <v>31</v>
      </c>
      <c r="E169" s="28" t="n">
        <v>0</v>
      </c>
      <c r="F169" s="28" t="n">
        <v>91</v>
      </c>
      <c r="G169" s="28" t="n">
        <v>577</v>
      </c>
      <c r="H169" s="28" t="n">
        <v>1</v>
      </c>
      <c r="I169" s="28" t="n">
        <v>420</v>
      </c>
      <c r="J169" s="28" t="n">
        <v>428</v>
      </c>
      <c r="K169" s="28">
        <f>TABL12[[#This Row],[ (T/B) SAR]]+TABL12[[#This Row],[ (S/S) SAR]]</f>
        <v/>
      </c>
      <c r="L169" s="28" t="n">
        <v>271</v>
      </c>
      <c r="M169" s="29" t="n">
        <v>22.1</v>
      </c>
      <c r="N169" s="30" t="n">
        <v>7.07</v>
      </c>
      <c r="O169" s="10" t="n">
        <v>372</v>
      </c>
      <c r="P169" s="10">
        <f>TABL12[[#This Row],[ (S/S) SAR]]-TABL12[[#This Row],[(S/S) AJD]]</f>
        <v/>
      </c>
      <c r="Q169" s="10" t="n">
        <v>418</v>
      </c>
      <c r="R169" s="10">
        <f>TABL12[[#This Row],[ (T/B) SAR]]-TABL12[[#This Row],[(T/B) AJD]]</f>
        <v/>
      </c>
      <c r="S169" s="10">
        <f>TABL12[[#This Row],[S/S_CON.]]+TABL12[[#This Row],[T/B-CON.]]</f>
        <v/>
      </c>
      <c r="T169" s="10">
        <f>O169+Q169</f>
        <v/>
      </c>
      <c r="U169" s="10" t="n">
        <v>518</v>
      </c>
      <c r="V169" s="10" t="n">
        <v>273</v>
      </c>
      <c r="W169" s="10">
        <f>U169+V169</f>
        <v/>
      </c>
      <c r="X169" s="10">
        <f>T169-W169</f>
        <v/>
      </c>
      <c r="Y169" s="4" t="n">
        <v>91.92</v>
      </c>
      <c r="Z169" s="10" t="n">
        <v>0</v>
      </c>
      <c r="AA169" s="10">
        <f>TABL12[[#This Row],[(RESV. STORGE) AJD]]/10</f>
        <v/>
      </c>
      <c r="AB169" s="3">
        <f>(Z169-Z168)/1000</f>
        <v/>
      </c>
      <c r="AC169" s="6" t="n">
        <v>0</v>
      </c>
      <c r="AD169" s="5">
        <f>TABL12[[#This Row],[( S/S+T/B) AJD]]-(TABL12[[#This Row],[(A/B + A/S) AJD]]+TABL12[[#This Row],[(STORGE DIFF.) AJD]]+(TABL12[[#This Row],[AJD_Evaporation]]))</f>
        <v/>
      </c>
      <c r="AE169" s="6" t="n">
        <v>35</v>
      </c>
      <c r="AF169" s="33" t="n">
        <v>58.698</v>
      </c>
      <c r="AG169" s="6" t="n">
        <v>1424662</v>
      </c>
      <c r="AH169" s="6">
        <f>TABL12[[#This Row],[ (RESV. STORGE) BER]]/10</f>
        <v/>
      </c>
      <c r="AI169" s="6" t="n">
        <v>3709</v>
      </c>
      <c r="AJ169" s="6">
        <f>TABL12[[#This Row],[(A/B) AJD]]-TABL12[[#This Row],[BER_IN]]</f>
        <v/>
      </c>
      <c r="AK169" s="6" t="n">
        <v>0</v>
      </c>
      <c r="AL169" s="33" t="n">
        <v>43.6079</v>
      </c>
      <c r="AM169" s="6" t="n">
        <v>3438680</v>
      </c>
      <c r="AN169" s="6">
        <f>TABL12[[#This Row],[ (RESV. STORGE) SER]]/10</f>
        <v/>
      </c>
      <c r="AO169" s="6" t="n">
        <v>1870</v>
      </c>
      <c r="AP169" s="32">
        <f>TABL12[[#This Row],[(A/S) AJD]]-TABL12[[#This Row],[SER_IN]]</f>
        <v/>
      </c>
    </row>
    <row r="170">
      <c r="A170" s="2" t="n">
        <v>45826</v>
      </c>
      <c r="B170" s="28" t="n">
        <v>32</v>
      </c>
      <c r="C170" s="28" t="n">
        <v>262</v>
      </c>
      <c r="D170" s="28" t="n">
        <v>34</v>
      </c>
      <c r="E170" s="28" t="n">
        <v>0</v>
      </c>
      <c r="F170" s="28" t="n">
        <v>91</v>
      </c>
      <c r="G170" s="28" t="n">
        <v>606</v>
      </c>
      <c r="H170" s="28" t="n">
        <v>1</v>
      </c>
      <c r="I170" s="28" t="n">
        <v>437</v>
      </c>
      <c r="J170" s="28" t="n">
        <v>439</v>
      </c>
      <c r="K170" s="28">
        <f>TABL12[[#This Row],[ (T/B) SAR]]+TABL12[[#This Row],[ (S/S) SAR]]</f>
        <v/>
      </c>
      <c r="L170" s="28" t="n">
        <v>270</v>
      </c>
      <c r="M170" s="29" t="n">
        <v>22.1</v>
      </c>
      <c r="N170" s="30" t="n">
        <v>6.95</v>
      </c>
      <c r="O170" s="3" t="n">
        <v>376</v>
      </c>
      <c r="P170" s="3">
        <f>TABL12[[#This Row],[ (S/S) SAR]]-TABL12[[#This Row],[(S/S) AJD]]</f>
        <v/>
      </c>
      <c r="Q170" s="3" t="n">
        <v>423</v>
      </c>
      <c r="R170" s="3">
        <f>TABL12[[#This Row],[ (T/B) SAR]]-TABL12[[#This Row],[(T/B) AJD]]</f>
        <v/>
      </c>
      <c r="S170" s="3">
        <f>TABL12[[#This Row],[S/S_CON.]]+TABL12[[#This Row],[T/B-CON.]]</f>
        <v/>
      </c>
      <c r="T170" s="3">
        <f>O170+Q170</f>
        <v/>
      </c>
      <c r="U170" s="3" t="n">
        <v>531</v>
      </c>
      <c r="V170" s="3" t="n">
        <v>265</v>
      </c>
      <c r="W170" s="3">
        <f>U170+V170</f>
        <v/>
      </c>
      <c r="X170" s="3">
        <f>T170-W170</f>
        <v/>
      </c>
      <c r="Y170" s="4" t="n">
        <v>91.92</v>
      </c>
      <c r="Z170" s="3" t="n">
        <v>0</v>
      </c>
      <c r="AA170" s="3">
        <f>TABL12[[#This Row],[(RESV. STORGE) AJD]]/10</f>
        <v/>
      </c>
      <c r="AB170" s="3">
        <f>(Z170-Z169)/1000</f>
        <v/>
      </c>
      <c r="AC170" s="6" t="n">
        <v>0</v>
      </c>
      <c r="AD170" s="5">
        <f>TABL12[[#This Row],[( S/S+T/B) AJD]]-(TABL12[[#This Row],[(A/B + A/S) AJD]]+TABL12[[#This Row],[(STORGE DIFF.) AJD]]+(TABL12[[#This Row],[AJD_Evaporation]]))</f>
        <v/>
      </c>
      <c r="AE170" s="6" t="n">
        <v>40</v>
      </c>
      <c r="AF170" s="33" t="n">
        <v>58.693</v>
      </c>
      <c r="AG170" s="6" t="n">
        <v>1421374</v>
      </c>
      <c r="AH170" s="6">
        <f>TABL12[[#This Row],[ (RESV. STORGE) BER]]/10</f>
        <v/>
      </c>
      <c r="AI170" s="6" t="n">
        <v>3447</v>
      </c>
      <c r="AJ170" s="6">
        <f>TABL12[[#This Row],[(A/B) AJD]]-TABL12[[#This Row],[BER_IN]]</f>
        <v/>
      </c>
      <c r="AK170" s="6" t="n">
        <v>5</v>
      </c>
      <c r="AL170" s="33" t="n">
        <v>43.6078</v>
      </c>
      <c r="AM170" s="6" t="n">
        <v>3438660</v>
      </c>
      <c r="AN170" s="6">
        <f>TABL12[[#This Row],[ (RESV. STORGE) SER]]/10</f>
        <v/>
      </c>
      <c r="AO170" s="6" t="n">
        <v>1720</v>
      </c>
      <c r="AP170" s="32">
        <f>TABL12[[#This Row],[(A/S) AJD]]-TABL12[[#This Row],[SER_IN]]</f>
        <v/>
      </c>
    </row>
    <row r="171">
      <c r="A171" s="2" t="n">
        <v>45827</v>
      </c>
      <c r="B171" s="28" t="n">
        <v>34</v>
      </c>
      <c r="C171" s="28" t="n">
        <v>280</v>
      </c>
      <c r="D171" s="28" t="n">
        <v>34</v>
      </c>
      <c r="E171" s="28" t="n">
        <v>0</v>
      </c>
      <c r="F171" s="28" t="n">
        <v>91</v>
      </c>
      <c r="G171" s="28" t="n">
        <v>596</v>
      </c>
      <c r="H171" s="28" t="n">
        <v>1</v>
      </c>
      <c r="I171" s="28" t="n">
        <v>440</v>
      </c>
      <c r="J171" s="28" t="n">
        <v>427</v>
      </c>
      <c r="K171" s="28">
        <f>TABL12[[#This Row],[ (T/B) SAR]]+TABL12[[#This Row],[ (S/S) SAR]]</f>
        <v/>
      </c>
      <c r="L171" s="28" t="n">
        <v>271</v>
      </c>
      <c r="M171" s="29" t="n">
        <v>22.1</v>
      </c>
      <c r="N171" s="30" t="n">
        <v>7.03</v>
      </c>
      <c r="O171" s="3" t="n">
        <v>372</v>
      </c>
      <c r="P171" s="3">
        <f>TABL12[[#This Row],[ (S/S) SAR]]-TABL12[[#This Row],[(S/S) AJD]]</f>
        <v/>
      </c>
      <c r="Q171" s="3" t="n">
        <v>418</v>
      </c>
      <c r="R171" s="3">
        <f>TABL12[[#This Row],[ (T/B) SAR]]-TABL12[[#This Row],[(T/B) AJD]]</f>
        <v/>
      </c>
      <c r="S171" s="3">
        <f>TABL12[[#This Row],[S/S_CON.]]+TABL12[[#This Row],[T/B-CON.]]</f>
        <v/>
      </c>
      <c r="T171" s="3">
        <f>O171+Q171</f>
        <v/>
      </c>
      <c r="U171" s="3" t="n">
        <v>516</v>
      </c>
      <c r="V171" s="3" t="n">
        <v>268</v>
      </c>
      <c r="W171" s="3">
        <f>U171+V171</f>
        <v/>
      </c>
      <c r="X171" s="3">
        <f>T171-W171</f>
        <v/>
      </c>
      <c r="Y171" s="4" t="n">
        <v>91.92</v>
      </c>
      <c r="Z171" s="3" t="n">
        <v>0</v>
      </c>
      <c r="AA171" s="3">
        <f>TABL12[[#This Row],[(RESV. STORGE) AJD]]/10</f>
        <v/>
      </c>
      <c r="AB171" s="3">
        <f>(Z171-Z170)/1000</f>
        <v/>
      </c>
      <c r="AC171" s="6" t="n">
        <v>0</v>
      </c>
      <c r="AD171" s="5">
        <f>TABL12[[#This Row],[( S/S+T/B) AJD]]-(TABL12[[#This Row],[(A/B + A/S) AJD]]+TABL12[[#This Row],[(STORGE DIFF.) AJD]]+(TABL12[[#This Row],[AJD_Evaporation]]))</f>
        <v/>
      </c>
      <c r="AE171" s="6" t="n">
        <v>40</v>
      </c>
      <c r="AF171" s="33" t="n">
        <v>58.693</v>
      </c>
      <c r="AG171" s="6" t="n">
        <v>1421374</v>
      </c>
      <c r="AH171" s="6">
        <f>TABL12[[#This Row],[ (RESV. STORGE) BER]]/10</f>
        <v/>
      </c>
      <c r="AI171" s="6" t="n">
        <v>3480</v>
      </c>
      <c r="AJ171" s="6">
        <f>TABL12[[#This Row],[(A/B) AJD]]-TABL12[[#This Row],[BER_IN]]</f>
        <v/>
      </c>
      <c r="AK171" s="6" t="n">
        <v>20</v>
      </c>
      <c r="AL171" s="33" t="n">
        <v>43.6079</v>
      </c>
      <c r="AM171" s="6" t="n">
        <v>3438680</v>
      </c>
      <c r="AN171" s="6">
        <f>TABL12[[#This Row],[ (RESV. STORGE) SER]]/10</f>
        <v/>
      </c>
      <c r="AO171" s="6" t="n">
        <v>1980</v>
      </c>
      <c r="AP171" s="32">
        <f>TABL12[[#This Row],[(A/S) AJD]]-TABL12[[#This Row],[SER_IN]]</f>
        <v/>
      </c>
    </row>
    <row r="172">
      <c r="A172" s="2" t="n">
        <v>45828</v>
      </c>
      <c r="B172" s="28" t="n">
        <v>35</v>
      </c>
      <c r="C172" s="28" t="n">
        <v>292</v>
      </c>
      <c r="D172" s="28" t="n">
        <v>35</v>
      </c>
      <c r="E172" s="28" t="n">
        <v>0</v>
      </c>
      <c r="F172" s="28" t="n">
        <v>92</v>
      </c>
      <c r="G172" s="28" t="n">
        <v>603</v>
      </c>
      <c r="H172" s="28" t="n">
        <v>0</v>
      </c>
      <c r="I172" s="28" t="n">
        <v>444</v>
      </c>
      <c r="J172" s="28" t="n">
        <v>431</v>
      </c>
      <c r="K172" s="28">
        <f>TABL12[[#This Row],[ (T/B) SAR]]+TABL12[[#This Row],[ (S/S) SAR]]</f>
        <v/>
      </c>
      <c r="L172" s="28" t="n">
        <v>272</v>
      </c>
      <c r="M172" s="29" t="n">
        <v>22.1</v>
      </c>
      <c r="N172" s="30" t="n">
        <v>7.03</v>
      </c>
      <c r="O172" s="3" t="n">
        <v>374</v>
      </c>
      <c r="P172" s="3">
        <f>TABL12[[#This Row],[ (S/S) SAR]]-TABL12[[#This Row],[(S/S) AJD]]</f>
        <v/>
      </c>
      <c r="Q172" s="3" t="n">
        <v>420</v>
      </c>
      <c r="R172" s="3">
        <f>TABL12[[#This Row],[ (T/B) SAR]]-TABL12[[#This Row],[(T/B) AJD]]</f>
        <v/>
      </c>
      <c r="S172" s="3">
        <f>TABL12[[#This Row],[S/S_CON.]]+TABL12[[#This Row],[T/B-CON.]]</f>
        <v/>
      </c>
      <c r="T172" s="3">
        <f>O172+Q172</f>
        <v/>
      </c>
      <c r="U172" s="3" t="n">
        <v>526</v>
      </c>
      <c r="V172" s="3" t="n">
        <v>269</v>
      </c>
      <c r="W172" s="3">
        <f>U172+V172</f>
        <v/>
      </c>
      <c r="X172" s="3">
        <f>T172-W172</f>
        <v/>
      </c>
      <c r="Y172" s="4" t="n">
        <v>91.92</v>
      </c>
      <c r="Z172" s="3" t="n">
        <v>0</v>
      </c>
      <c r="AA172" s="3">
        <f>TABL12[[#This Row],[(RESV. STORGE) AJD]]/10</f>
        <v/>
      </c>
      <c r="AB172" s="3">
        <f>(Z172-Z171)/1000</f>
        <v/>
      </c>
      <c r="AC172" s="6" t="n">
        <v>0</v>
      </c>
      <c r="AD172" s="5">
        <f>TABL12[[#This Row],[( S/S+T/B) AJD]]-(TABL12[[#This Row],[(A/B + A/S) AJD]]+TABL12[[#This Row],[(STORGE DIFF.) AJD]]+(TABL12[[#This Row],[AJD_Evaporation]]))</f>
        <v/>
      </c>
      <c r="AE172" s="6" t="n">
        <v>55</v>
      </c>
      <c r="AF172" s="33" t="n">
        <v>58.711</v>
      </c>
      <c r="AG172" s="6" t="n">
        <v>1433211</v>
      </c>
      <c r="AH172" s="6">
        <f>TABL12[[#This Row],[ (RESV. STORGE) BER]]/10</f>
        <v/>
      </c>
      <c r="AI172" s="6" t="n">
        <v>3322</v>
      </c>
      <c r="AJ172" s="6">
        <f>TABL12[[#This Row],[(A/B) AJD]]-TABL12[[#This Row],[BER_IN]]</f>
        <v/>
      </c>
      <c r="AK172" s="6" t="n">
        <v>20</v>
      </c>
      <c r="AL172" s="33" t="n">
        <v>43.6129</v>
      </c>
      <c r="AM172" s="6" t="n">
        <v>3441400</v>
      </c>
      <c r="AN172" s="6">
        <f>TABL12[[#This Row],[ (RESV. STORGE) SER]]/10</f>
        <v/>
      </c>
      <c r="AO172" s="6" t="n">
        <v>1780</v>
      </c>
      <c r="AP172" s="32">
        <f>TABL12[[#This Row],[(A/S) AJD]]-TABL12[[#This Row],[SER_IN]]</f>
        <v/>
      </c>
    </row>
    <row r="173">
      <c r="A173" s="2" t="n">
        <v>45829</v>
      </c>
      <c r="B173" s="28" t="n">
        <v>34</v>
      </c>
      <c r="C173" s="28" t="n">
        <v>276</v>
      </c>
      <c r="D173" s="28" t="n">
        <v>36</v>
      </c>
      <c r="E173" s="28" t="n">
        <v>0</v>
      </c>
      <c r="F173" s="28" t="n">
        <v>92</v>
      </c>
      <c r="G173" s="28" t="n">
        <v>606</v>
      </c>
      <c r="H173" s="28" t="n">
        <v>0</v>
      </c>
      <c r="I173" s="28" t="n">
        <v>446</v>
      </c>
      <c r="J173" s="28" t="n">
        <v>431</v>
      </c>
      <c r="K173" s="28">
        <f>TABL12[[#This Row],[ (T/B) SAR]]+TABL12[[#This Row],[ (S/S) SAR]]</f>
        <v/>
      </c>
      <c r="L173" s="28" t="n">
        <v>271</v>
      </c>
      <c r="M173" s="29" t="n">
        <v>22.1</v>
      </c>
      <c r="N173" s="30" t="n">
        <v>7.02</v>
      </c>
      <c r="O173" s="3" t="n">
        <v>377</v>
      </c>
      <c r="P173" s="3">
        <f>TABL12[[#This Row],[ (S/S) SAR]]-TABL12[[#This Row],[(S/S) AJD]]</f>
        <v/>
      </c>
      <c r="Q173" s="3" t="n">
        <v>422</v>
      </c>
      <c r="R173" s="3">
        <f>TABL12[[#This Row],[ (T/B) SAR]]-TABL12[[#This Row],[(T/B) AJD]]</f>
        <v/>
      </c>
      <c r="S173" s="3">
        <f>TABL12[[#This Row],[S/S_CON.]]+TABL12[[#This Row],[T/B-CON.]]</f>
        <v/>
      </c>
      <c r="T173" s="3">
        <f>O173+Q173</f>
        <v/>
      </c>
      <c r="U173" s="3" t="n">
        <v>537</v>
      </c>
      <c r="V173" s="3" t="n">
        <v>265</v>
      </c>
      <c r="W173" s="3">
        <f>U173+V173</f>
        <v/>
      </c>
      <c r="X173" s="3">
        <f>T173-W173</f>
        <v/>
      </c>
      <c r="Y173" s="4" t="n">
        <v>91.92</v>
      </c>
      <c r="Z173" s="3" t="n">
        <v>0</v>
      </c>
      <c r="AA173" s="3">
        <f>TABL12[[#This Row],[(RESV. STORGE) AJD]]/10</f>
        <v/>
      </c>
      <c r="AB173" s="3">
        <f>(Z173-Z172)/1000</f>
        <v/>
      </c>
      <c r="AC173" s="6" t="n">
        <v>0</v>
      </c>
      <c r="AD173" s="5">
        <f>TABL12[[#This Row],[( S/S+T/B) AJD]]-(TABL12[[#This Row],[(A/B + A/S) AJD]]+TABL12[[#This Row],[(STORGE DIFF.) AJD]]+(TABL12[[#This Row],[AJD_Evaporation]]))</f>
        <v/>
      </c>
      <c r="AE173" s="6" t="n">
        <v>60</v>
      </c>
      <c r="AF173" s="33" t="n">
        <v>58.736</v>
      </c>
      <c r="AG173" s="6" t="n">
        <v>1449657</v>
      </c>
      <c r="AH173" s="6">
        <f>TABL12[[#This Row],[ (RESV. STORGE) BER]]/10</f>
        <v/>
      </c>
      <c r="AI173" s="6" t="n">
        <v>3714</v>
      </c>
      <c r="AJ173" s="6">
        <f>TABL12[[#This Row],[(A/B) AJD]]-TABL12[[#This Row],[BER_IN]]</f>
        <v/>
      </c>
      <c r="AK173" s="6" t="n">
        <v>20</v>
      </c>
      <c r="AL173" s="33" t="n">
        <v>43.6377</v>
      </c>
      <c r="AM173" s="6" t="n">
        <v>3454040</v>
      </c>
      <c r="AN173" s="6">
        <f>TABL12[[#This Row],[ (RESV. STORGE) SER]]/10</f>
        <v/>
      </c>
      <c r="AO173" s="6" t="n">
        <v>1860</v>
      </c>
      <c r="AP173" s="32">
        <f>TABL12[[#This Row],[(A/S) AJD]]-TABL12[[#This Row],[SER_IN]]</f>
        <v/>
      </c>
    </row>
    <row r="174">
      <c r="A174" s="2" t="n">
        <v>45830</v>
      </c>
      <c r="B174" s="28" t="n">
        <v>37</v>
      </c>
      <c r="C174" s="28" t="n">
        <v>284</v>
      </c>
      <c r="D174" s="28" t="n">
        <v>37</v>
      </c>
      <c r="E174" s="28" t="n">
        <v>0</v>
      </c>
      <c r="F174" s="28" t="n">
        <v>93</v>
      </c>
      <c r="G174" s="28" t="n">
        <v>599</v>
      </c>
      <c r="H174" s="28" t="n">
        <v>0</v>
      </c>
      <c r="I174" s="28" t="n">
        <v>443</v>
      </c>
      <c r="J174" s="28" t="n">
        <v>431</v>
      </c>
      <c r="K174" s="28">
        <f>TABL12[[#This Row],[ (T/B) SAR]]+TABL12[[#This Row],[ (S/S) SAR]]</f>
        <v/>
      </c>
      <c r="L174" s="28" t="n">
        <v>275</v>
      </c>
      <c r="M174" s="29" t="n">
        <v>22.1</v>
      </c>
      <c r="N174" s="30" t="n">
        <v>7.2</v>
      </c>
      <c r="O174" s="3" t="n">
        <v>381</v>
      </c>
      <c r="P174" s="3">
        <f>TABL12[[#This Row],[ (S/S) SAR]]-TABL12[[#This Row],[(S/S) AJD]]</f>
        <v/>
      </c>
      <c r="Q174" s="3" t="n">
        <v>425</v>
      </c>
      <c r="R174" s="3">
        <f>TABL12[[#This Row],[ (T/B) SAR]]-TABL12[[#This Row],[(T/B) AJD]]</f>
        <v/>
      </c>
      <c r="S174" s="3">
        <f>TABL12[[#This Row],[S/S_CON.]]+TABL12[[#This Row],[T/B-CON.]]</f>
        <v/>
      </c>
      <c r="T174" s="3">
        <f>O174+Q174</f>
        <v/>
      </c>
      <c r="U174" s="3" t="n">
        <v>527</v>
      </c>
      <c r="V174" s="3" t="n">
        <v>287</v>
      </c>
      <c r="W174" s="3">
        <f>U174+V174</f>
        <v/>
      </c>
      <c r="X174" s="3">
        <f>T174-W174</f>
        <v/>
      </c>
      <c r="Y174" s="4" t="n">
        <v>91.92</v>
      </c>
      <c r="Z174" s="3" t="n">
        <v>0</v>
      </c>
      <c r="AA174" s="3">
        <f>TABL12[[#This Row],[(RESV. STORGE) AJD]]/10</f>
        <v/>
      </c>
      <c r="AB174" s="3">
        <f>(Z174-Z173)/1000</f>
        <v/>
      </c>
      <c r="AC174" s="6" t="n">
        <v>0</v>
      </c>
      <c r="AD174" s="5">
        <f>TABL12[[#This Row],[( S/S+T/B) AJD]]-(TABL12[[#This Row],[(A/B + A/S) AJD]]+TABL12[[#This Row],[(STORGE DIFF.) AJD]]+(TABL12[[#This Row],[AJD_Evaporation]]))</f>
        <v/>
      </c>
      <c r="AE174" s="6" t="n">
        <v>60</v>
      </c>
      <c r="AF174" s="33" t="n">
        <v>58.805</v>
      </c>
      <c r="AG174" s="6" t="n">
        <v>1495074</v>
      </c>
      <c r="AH174" s="6">
        <f>TABL12[[#This Row],[ (RESV. STORGE) BER]]/10</f>
        <v/>
      </c>
      <c r="AI174" s="6" t="n">
        <v>3792</v>
      </c>
      <c r="AJ174" s="6">
        <f>TABL12[[#This Row],[(A/B) AJD]]-TABL12[[#This Row],[BER_IN]]</f>
        <v/>
      </c>
      <c r="AK174" s="6" t="n">
        <v>20</v>
      </c>
      <c r="AL174" s="33" t="n">
        <v>43.6467</v>
      </c>
      <c r="AM174" s="6" t="n">
        <v>3459980</v>
      </c>
      <c r="AN174" s="6">
        <f>TABL12[[#This Row],[ (RESV. STORGE) SER]]/10</f>
        <v/>
      </c>
      <c r="AO174" s="6" t="n">
        <v>1860</v>
      </c>
      <c r="AP174" s="32">
        <f>TABL12[[#This Row],[(A/S) AJD]]-TABL12[[#This Row],[SER_IN]]</f>
        <v/>
      </c>
    </row>
    <row r="175">
      <c r="A175" s="2" t="n">
        <v>45831</v>
      </c>
      <c r="B175" s="28" t="n">
        <v>37</v>
      </c>
      <c r="C175" s="28" t="n">
        <v>289</v>
      </c>
      <c r="D175" s="28" t="n">
        <v>37</v>
      </c>
      <c r="E175" s="28" t="n">
        <v>0</v>
      </c>
      <c r="F175" s="28" t="n">
        <v>94</v>
      </c>
      <c r="G175" s="28" t="n">
        <v>599</v>
      </c>
      <c r="H175" s="28" t="n">
        <v>0</v>
      </c>
      <c r="I175" s="28" t="n">
        <v>444</v>
      </c>
      <c r="J175" s="28" t="n">
        <v>431</v>
      </c>
      <c r="K175" s="28">
        <f>TABL12[[#This Row],[ (T/B) SAR]]+TABL12[[#This Row],[ (S/S) SAR]]</f>
        <v/>
      </c>
      <c r="L175" s="28" t="n">
        <v>276</v>
      </c>
      <c r="M175" s="29" t="n">
        <v>22.1</v>
      </c>
      <c r="N175" s="30" t="n">
        <v>7.3</v>
      </c>
      <c r="O175" s="3" t="n">
        <v>379</v>
      </c>
      <c r="P175" s="3">
        <f>TABL12[[#This Row],[ (S/S) SAR]]-TABL12[[#This Row],[(S/S) AJD]]</f>
        <v/>
      </c>
      <c r="Q175" s="3" t="n">
        <v>420</v>
      </c>
      <c r="R175" s="3">
        <f>TABL12[[#This Row],[ (T/B) SAR]]-TABL12[[#This Row],[(T/B) AJD]]</f>
        <v/>
      </c>
      <c r="S175" s="3">
        <f>TABL12[[#This Row],[S/S_CON.]]+TABL12[[#This Row],[T/B-CON.]]</f>
        <v/>
      </c>
      <c r="T175" s="3">
        <f>O175+Q175</f>
        <v/>
      </c>
      <c r="U175" s="3" t="n">
        <v>515</v>
      </c>
      <c r="V175" s="3" t="n">
        <v>277</v>
      </c>
      <c r="W175" s="3">
        <f>U175+V175</f>
        <v/>
      </c>
      <c r="X175" s="3">
        <f>T175-W175</f>
        <v/>
      </c>
      <c r="Y175" s="4" t="n">
        <v>91.92</v>
      </c>
      <c r="Z175" s="3" t="n">
        <v>0</v>
      </c>
      <c r="AA175" s="3">
        <f>TABL12[[#This Row],[(RESV. STORGE) AJD]]/10</f>
        <v/>
      </c>
      <c r="AB175" s="3">
        <f>(Z175-Z174)/1000</f>
        <v/>
      </c>
      <c r="AC175" s="6" t="n">
        <v>0</v>
      </c>
      <c r="AD175" s="5">
        <f>TABL12[[#This Row],[( S/S+T/B) AJD]]-(TABL12[[#This Row],[(A/B + A/S) AJD]]+TABL12[[#This Row],[(STORGE DIFF.) AJD]]+(TABL12[[#This Row],[AJD_Evaporation]]))</f>
        <v/>
      </c>
      <c r="AE175" s="6" t="n">
        <v>48</v>
      </c>
      <c r="AF175" s="33" t="n">
        <v>58.823</v>
      </c>
      <c r="AG175" s="6" t="n">
        <v>1506929</v>
      </c>
      <c r="AH175" s="6">
        <f>TABL12[[#This Row],[ (RESV. STORGE) BER]]/10</f>
        <v/>
      </c>
      <c r="AI175" s="6" t="n">
        <v>3775</v>
      </c>
      <c r="AJ175" s="6">
        <f>TABL12[[#This Row],[(A/B) AJD]]-TABL12[[#This Row],[BER_IN]]</f>
        <v/>
      </c>
      <c r="AK175" s="6" t="n">
        <v>20</v>
      </c>
      <c r="AL175" s="33" t="n">
        <v>43.6562</v>
      </c>
      <c r="AM175" s="6" t="n">
        <v>3464620</v>
      </c>
      <c r="AN175" s="6">
        <f>TABL12[[#This Row],[ (RESV. STORGE) SER]]/10</f>
        <v/>
      </c>
      <c r="AO175" s="6" t="n">
        <v>1860</v>
      </c>
      <c r="AP175" s="32">
        <f>TABL12[[#This Row],[(A/S) AJD]]-TABL12[[#This Row],[SER_IN]]</f>
        <v/>
      </c>
    </row>
    <row r="176">
      <c r="A176" s="2" t="n">
        <v>45832</v>
      </c>
      <c r="B176" s="28" t="n">
        <v>36</v>
      </c>
      <c r="C176" s="28" t="n">
        <v>285</v>
      </c>
      <c r="D176" s="28" t="n">
        <v>37</v>
      </c>
      <c r="E176" s="28" t="n">
        <v>0</v>
      </c>
      <c r="F176" s="28" t="n">
        <v>95</v>
      </c>
      <c r="G176" s="28" t="n">
        <v>589</v>
      </c>
      <c r="H176" s="28" t="n">
        <v>0</v>
      </c>
      <c r="I176" s="28" t="n">
        <v>443</v>
      </c>
      <c r="J176" s="28" t="n">
        <v>431</v>
      </c>
      <c r="K176" s="28">
        <f>TABL12[[#This Row],[ (T/B) SAR]]+TABL12[[#This Row],[ (S/S) SAR]]</f>
        <v/>
      </c>
      <c r="L176" s="28" t="n">
        <v>276</v>
      </c>
      <c r="M176" s="29" t="n">
        <v>22.1</v>
      </c>
      <c r="N176" s="30" t="n">
        <v>7.3</v>
      </c>
      <c r="O176" s="3" t="n">
        <v>381</v>
      </c>
      <c r="P176" s="3">
        <f>TABL12[[#This Row],[ (S/S) SAR]]-TABL12[[#This Row],[(S/S) AJD]]</f>
        <v/>
      </c>
      <c r="Q176" s="3" t="n">
        <v>422</v>
      </c>
      <c r="R176" s="3">
        <f>TABL12[[#This Row],[ (T/B) SAR]]-TABL12[[#This Row],[(T/B) AJD]]</f>
        <v/>
      </c>
      <c r="S176" s="3">
        <f>TABL12[[#This Row],[S/S_CON.]]+TABL12[[#This Row],[T/B-CON.]]</f>
        <v/>
      </c>
      <c r="T176" s="3">
        <f>O176+Q176</f>
        <v/>
      </c>
      <c r="U176" s="3" t="n">
        <v>537</v>
      </c>
      <c r="V176" s="3" t="n">
        <v>235</v>
      </c>
      <c r="W176" s="3">
        <f>U176+V176</f>
        <v/>
      </c>
      <c r="X176" s="3">
        <f>T176-W176</f>
        <v/>
      </c>
      <c r="Y176" s="4" t="n">
        <v>91.92</v>
      </c>
      <c r="Z176" s="3" t="n">
        <v>0</v>
      </c>
      <c r="AA176" s="3">
        <f>TABL12[[#This Row],[(RESV. STORGE) AJD]]/10</f>
        <v/>
      </c>
      <c r="AB176" s="3">
        <f>(Z176-Z175)/1000</f>
        <v/>
      </c>
      <c r="AC176" s="6" t="n">
        <v>0</v>
      </c>
      <c r="AD176" s="5">
        <f>TABL12[[#This Row],[( S/S+T/B) AJD]]-(TABL12[[#This Row],[(A/B + A/S) AJD]]+TABL12[[#This Row],[(STORGE DIFF.) AJD]]+(TABL12[[#This Row],[AJD_Evaporation]]))</f>
        <v/>
      </c>
      <c r="AE176" s="6" t="n">
        <v>60</v>
      </c>
      <c r="AF176" s="33" t="n">
        <v>58.849</v>
      </c>
      <c r="AG176" s="6" t="n">
        <v>1524057</v>
      </c>
      <c r="AH176" s="6">
        <f>TABL12[[#This Row],[ (RESV. STORGE) BER]]/10</f>
        <v/>
      </c>
      <c r="AI176" s="6" t="n">
        <v>3031</v>
      </c>
      <c r="AJ176" s="6">
        <f>TABL12[[#This Row],[(A/B) AJD]]-TABL12[[#This Row],[BER_IN]]</f>
        <v/>
      </c>
      <c r="AK176" s="6" t="n">
        <v>20</v>
      </c>
      <c r="AL176" s="33" t="n">
        <v>43.6694</v>
      </c>
      <c r="AM176" s="6" t="n">
        <v>3472000</v>
      </c>
      <c r="AN176" s="6">
        <f>TABL12[[#This Row],[ (RESV. STORGE) SER]]/10</f>
        <v/>
      </c>
      <c r="AO176" s="6" t="n">
        <v>1620</v>
      </c>
      <c r="AP176" s="32">
        <f>TABL12[[#This Row],[(A/S) AJD]]-TABL12[[#This Row],[SER_IN]]</f>
        <v/>
      </c>
    </row>
    <row r="177">
      <c r="A177" s="2" t="n">
        <v>45833</v>
      </c>
      <c r="B177" s="28" t="n">
        <v>37</v>
      </c>
      <c r="C177" s="28" t="n">
        <v>287</v>
      </c>
      <c r="D177" s="28" t="n">
        <v>37</v>
      </c>
      <c r="E177" s="28" t="n">
        <v>0</v>
      </c>
      <c r="F177" s="28" t="n">
        <v>96</v>
      </c>
      <c r="G177" s="28" t="n">
        <v>605</v>
      </c>
      <c r="H177" s="28" t="n">
        <v>0</v>
      </c>
      <c r="I177" s="28" t="n">
        <v>448</v>
      </c>
      <c r="J177" s="28" t="n">
        <v>435</v>
      </c>
      <c r="K177" s="28">
        <f>TABL12[[#This Row],[ (T/B) SAR]]+TABL12[[#This Row],[ (S/S) SAR]]</f>
        <v/>
      </c>
      <c r="L177" s="28" t="n">
        <v>278</v>
      </c>
      <c r="M177" s="29" t="n">
        <v>22.1</v>
      </c>
      <c r="N177" s="30" t="n">
        <v>7.4</v>
      </c>
      <c r="O177" s="3" t="n">
        <v>380</v>
      </c>
      <c r="P177" s="3">
        <f>TABL12[[#This Row],[ (S/S) SAR]]-TABL12[[#This Row],[(S/S) AJD]]</f>
        <v/>
      </c>
      <c r="Q177" s="3" t="n">
        <v>421</v>
      </c>
      <c r="R177" s="3">
        <f>TABL12[[#This Row],[ (T/B) SAR]]-TABL12[[#This Row],[(T/B) AJD]]</f>
        <v/>
      </c>
      <c r="S177" s="3">
        <f>TABL12[[#This Row],[S/S_CON.]]+TABL12[[#This Row],[T/B-CON.]]</f>
        <v/>
      </c>
      <c r="T177" s="3">
        <f>O177+Q177</f>
        <v/>
      </c>
      <c r="U177" s="3" t="n">
        <v>536</v>
      </c>
      <c r="V177" s="3" t="n">
        <v>270</v>
      </c>
      <c r="W177" s="3">
        <f>U177+V177</f>
        <v/>
      </c>
      <c r="X177" s="3">
        <f>T177-W177</f>
        <v/>
      </c>
      <c r="Y177" s="4" t="n">
        <v>91.92</v>
      </c>
      <c r="Z177" s="3" t="n">
        <v>0</v>
      </c>
      <c r="AA177" s="3">
        <f>TABL12[[#This Row],[(RESV. STORGE) AJD]]/10</f>
        <v/>
      </c>
      <c r="AB177" s="3">
        <f>(Z177-Z176)/1000</f>
        <v/>
      </c>
      <c r="AC177" s="6" t="n">
        <v>0</v>
      </c>
      <c r="AD177" s="5">
        <f>TABL12[[#This Row],[( S/S+T/B) AJD]]-(TABL12[[#This Row],[(A/B + A/S) AJD]]+TABL12[[#This Row],[(STORGE DIFF.) AJD]]+(TABL12[[#This Row],[AJD_Evaporation]]))</f>
        <v/>
      </c>
      <c r="AE177" s="6" t="n">
        <v>60</v>
      </c>
      <c r="AF177" s="33" t="n">
        <v>58.874</v>
      </c>
      <c r="AG177" s="6" t="n">
        <v>1540532</v>
      </c>
      <c r="AH177" s="6">
        <f>TABL12[[#This Row],[ (RESV. STORGE) BER]]/10</f>
        <v/>
      </c>
      <c r="AI177" s="6" t="n">
        <v>3684</v>
      </c>
      <c r="AJ177" s="6">
        <f>TABL12[[#This Row],[(A/B) AJD]]-TABL12[[#This Row],[BER_IN]]</f>
        <v/>
      </c>
      <c r="AK177" s="6" t="n">
        <v>20</v>
      </c>
      <c r="AL177" s="33" t="n">
        <v>43.6787</v>
      </c>
      <c r="AM177" s="6" t="n">
        <v>3477470</v>
      </c>
      <c r="AN177" s="6">
        <f>TABL12[[#This Row],[ (RESV. STORGE) SER]]/10</f>
        <v/>
      </c>
      <c r="AO177" s="6" t="n">
        <v>1730</v>
      </c>
      <c r="AP177" s="32">
        <f>TABL12[[#This Row],[(A/S) AJD]]-TABL12[[#This Row],[SER_IN]]</f>
        <v/>
      </c>
    </row>
    <row r="178">
      <c r="A178" s="2" t="n">
        <v>45834</v>
      </c>
      <c r="B178" s="28" t="n">
        <v>35</v>
      </c>
      <c r="C178" s="28" t="n">
        <v>277</v>
      </c>
      <c r="D178" s="28" t="n">
        <v>36</v>
      </c>
      <c r="E178" s="28" t="n">
        <v>0</v>
      </c>
      <c r="F178" s="28" t="n">
        <v>97</v>
      </c>
      <c r="G178" s="28" t="n">
        <v>636</v>
      </c>
      <c r="H178" s="28" t="n">
        <v>0</v>
      </c>
      <c r="I178" s="28" t="n">
        <v>466</v>
      </c>
      <c r="J178" s="28" t="n">
        <v>449</v>
      </c>
      <c r="K178" s="28">
        <f>TABL12[[#This Row],[ (T/B) SAR]]+TABL12[[#This Row],[ (S/S) SAR]]</f>
        <v/>
      </c>
      <c r="L178" s="28" t="n">
        <v>279</v>
      </c>
      <c r="M178" s="29" t="n">
        <v>22.1</v>
      </c>
      <c r="N178" s="30" t="n">
        <v>7.4</v>
      </c>
      <c r="O178" s="3" t="n">
        <v>388</v>
      </c>
      <c r="P178" s="3">
        <f>TABL12[[#This Row],[ (S/S) SAR]]-TABL12[[#This Row],[(S/S) AJD]]</f>
        <v/>
      </c>
      <c r="Q178" s="3" t="n">
        <v>430</v>
      </c>
      <c r="R178" s="3">
        <f>TABL12[[#This Row],[ (T/B) SAR]]-TABL12[[#This Row],[(T/B) AJD]]</f>
        <v/>
      </c>
      <c r="S178" s="3">
        <f>TABL12[[#This Row],[S/S_CON.]]+TABL12[[#This Row],[T/B-CON.]]</f>
        <v/>
      </c>
      <c r="T178" s="3">
        <f>O178+Q178</f>
        <v/>
      </c>
      <c r="U178" s="3" t="n">
        <v>487</v>
      </c>
      <c r="V178" s="3" t="n">
        <v>267</v>
      </c>
      <c r="W178" s="3">
        <f>U178+V178</f>
        <v/>
      </c>
      <c r="X178" s="3">
        <f>T178-W178</f>
        <v/>
      </c>
      <c r="Y178" s="4" t="n">
        <v>91.92</v>
      </c>
      <c r="Z178" s="3" t="n">
        <v>0</v>
      </c>
      <c r="AA178" s="3">
        <f>TABL12[[#This Row],[(RESV. STORGE) AJD]]/10</f>
        <v/>
      </c>
      <c r="AB178" s="3">
        <f>(Z178-Z177)/1000</f>
        <v/>
      </c>
      <c r="AC178" s="6" t="n">
        <v>0</v>
      </c>
      <c r="AD178" s="5">
        <f>TABL12[[#This Row],[( S/S+T/B) AJD]]-(TABL12[[#This Row],[(A/B + A/S) AJD]]+TABL12[[#This Row],[(STORGE DIFF.) AJD]]+(TABL12[[#This Row],[AJD_Evaporation]]))</f>
        <v/>
      </c>
      <c r="AE178" s="6" t="n">
        <v>44</v>
      </c>
      <c r="AF178" s="33" t="n">
        <v>58.88</v>
      </c>
      <c r="AG178" s="6" t="n">
        <v>1544487</v>
      </c>
      <c r="AH178" s="6">
        <f>TABL12[[#This Row],[ (RESV. STORGE) BER]]/10</f>
        <v/>
      </c>
      <c r="AI178" s="6" t="n">
        <v>3525</v>
      </c>
      <c r="AJ178" s="6">
        <f>TABL12[[#This Row],[(A/B) AJD]]-TABL12[[#This Row],[BER_IN]]</f>
        <v/>
      </c>
      <c r="AK178" s="6" t="n">
        <v>3.5</v>
      </c>
      <c r="AL178" s="33" t="n">
        <v>43.6694</v>
      </c>
      <c r="AM178" s="6" t="n">
        <v>3472000</v>
      </c>
      <c r="AN178" s="6">
        <f>TABL12[[#This Row],[ (RESV. STORGE) SER]]/10</f>
        <v/>
      </c>
      <c r="AO178" s="6" t="n">
        <v>1970</v>
      </c>
      <c r="AP178" s="32">
        <f>TABL12[[#This Row],[(A/S) AJD]]-TABL12[[#This Row],[SER_IN]]</f>
        <v/>
      </c>
    </row>
    <row r="179">
      <c r="A179" s="2" t="n">
        <v>45835</v>
      </c>
      <c r="B179" s="28" t="n">
        <v>36</v>
      </c>
      <c r="C179" s="28" t="n">
        <v>293</v>
      </c>
      <c r="D179" s="28" t="n">
        <v>36</v>
      </c>
      <c r="E179" s="28" t="n">
        <v>0</v>
      </c>
      <c r="F179" s="28" t="n">
        <v>96</v>
      </c>
      <c r="G179" s="28" t="n">
        <v>637</v>
      </c>
      <c r="H179" s="28" t="n">
        <v>1</v>
      </c>
      <c r="I179" s="28" t="n">
        <v>462</v>
      </c>
      <c r="J179" s="28" t="n">
        <v>445</v>
      </c>
      <c r="K179" s="28">
        <f>TABL12[[#This Row],[ (T/B) SAR]]+TABL12[[#This Row],[ (S/S) SAR]]</f>
        <v/>
      </c>
      <c r="L179" s="28" t="n">
        <v>270</v>
      </c>
      <c r="M179" s="29" t="n">
        <v>22.1</v>
      </c>
      <c r="N179" s="30" t="n">
        <v>7.4</v>
      </c>
      <c r="O179" s="3" t="n">
        <v>395</v>
      </c>
      <c r="P179" s="3">
        <f>TABL12[[#This Row],[ (S/S) SAR]]-TABL12[[#This Row],[(S/S) AJD]]</f>
        <v/>
      </c>
      <c r="Q179" s="3" t="n">
        <v>435</v>
      </c>
      <c r="R179" s="3">
        <f>TABL12[[#This Row],[ (T/B) SAR]]-TABL12[[#This Row],[(T/B) AJD]]</f>
        <v/>
      </c>
      <c r="S179" s="3">
        <f>TABL12[[#This Row],[S/S_CON.]]+TABL12[[#This Row],[T/B-CON.]]</f>
        <v/>
      </c>
      <c r="T179" s="3">
        <f>O179+Q179</f>
        <v/>
      </c>
      <c r="U179" s="3" t="n">
        <v>495</v>
      </c>
      <c r="V179" s="3" t="n">
        <v>265</v>
      </c>
      <c r="W179" s="3">
        <f>U179+V179</f>
        <v/>
      </c>
      <c r="X179" s="3">
        <f>T179-W179</f>
        <v/>
      </c>
      <c r="Y179" s="4" t="n">
        <v>91.92</v>
      </c>
      <c r="Z179" s="3" t="n">
        <v>0</v>
      </c>
      <c r="AA179" s="3">
        <f>TABL12[[#This Row],[(RESV. STORGE) AJD]]/10</f>
        <v/>
      </c>
      <c r="AB179" s="3">
        <f>(Z179-Z178)/1000</f>
        <v/>
      </c>
      <c r="AC179" s="6" t="n">
        <v>0</v>
      </c>
      <c r="AD179" s="5">
        <f>TABL12[[#This Row],[( S/S+T/B) AJD]]-(TABL12[[#This Row],[(A/B + A/S) AJD]]+TABL12[[#This Row],[(STORGE DIFF.) AJD]]+(TABL12[[#This Row],[AJD_Evaporation]]))</f>
        <v/>
      </c>
      <c r="AE179" s="6" t="n">
        <v>40</v>
      </c>
      <c r="AF179" s="33" t="n">
        <v>58.875</v>
      </c>
      <c r="AG179" s="6" t="n">
        <v>1541191</v>
      </c>
      <c r="AH179" s="6">
        <f>TABL12[[#This Row],[ (RESV. STORGE) BER]]/10</f>
        <v/>
      </c>
      <c r="AI179" s="6" t="n">
        <v>3455</v>
      </c>
      <c r="AJ179" s="6">
        <f>TABL12[[#This Row],[(A/B) AJD]]-TABL12[[#This Row],[BER_IN]]</f>
        <v/>
      </c>
      <c r="AK179" s="6" t="n">
        <v>0</v>
      </c>
      <c r="AL179" s="33" t="n">
        <v>43.647</v>
      </c>
      <c r="AM179" s="6" t="n">
        <v>3460200</v>
      </c>
      <c r="AN179" s="6">
        <f>TABL12[[#This Row],[ (RESV. STORGE) SER]]/10</f>
        <v/>
      </c>
      <c r="AO179" s="6" t="n">
        <v>1800</v>
      </c>
      <c r="AP179" s="32">
        <f>TABL12[[#This Row],[(A/S) AJD]]-TABL12[[#This Row],[SER_IN]]</f>
        <v/>
      </c>
    </row>
    <row r="180">
      <c r="A180" s="2" t="n">
        <v>45836</v>
      </c>
      <c r="B180" s="28" t="n">
        <v>36</v>
      </c>
      <c r="C180" s="28" t="n">
        <v>283</v>
      </c>
      <c r="D180" s="28" t="n">
        <v>36</v>
      </c>
      <c r="E180" s="28" t="n">
        <v>0</v>
      </c>
      <c r="F180" s="28" t="n">
        <v>99</v>
      </c>
      <c r="G180" s="28" t="n">
        <v>657</v>
      </c>
      <c r="H180" s="28" t="n">
        <v>0</v>
      </c>
      <c r="I180" s="28" t="n">
        <v>480</v>
      </c>
      <c r="J180" s="28" t="n">
        <v>457</v>
      </c>
      <c r="K180" s="28">
        <f>TABL12[[#This Row],[ (T/B) SAR]]+TABL12[[#This Row],[ (S/S) SAR]]</f>
        <v/>
      </c>
      <c r="L180" s="28" t="n">
        <v>280</v>
      </c>
      <c r="M180" s="29" t="n">
        <v>22.1</v>
      </c>
      <c r="N180" s="30" t="n">
        <v>7.5</v>
      </c>
      <c r="O180" s="3" t="n">
        <v>398</v>
      </c>
      <c r="P180" s="3">
        <f>TABL12[[#This Row],[ (S/S) SAR]]-TABL12[[#This Row],[(S/S) AJD]]</f>
        <v/>
      </c>
      <c r="Q180" s="3" t="n">
        <v>440</v>
      </c>
      <c r="R180" s="3">
        <f>TABL12[[#This Row],[ (T/B) SAR]]-TABL12[[#This Row],[(T/B) AJD]]</f>
        <v/>
      </c>
      <c r="S180" s="3">
        <f>TABL12[[#This Row],[S/S_CON.]]+TABL12[[#This Row],[T/B-CON.]]</f>
        <v/>
      </c>
      <c r="T180" s="3">
        <f>O180+Q180</f>
        <v/>
      </c>
      <c r="U180" s="3" t="n">
        <v>508</v>
      </c>
      <c r="V180" s="3" t="n">
        <v>248</v>
      </c>
      <c r="W180" s="3">
        <f>U180+V180</f>
        <v/>
      </c>
      <c r="X180" s="3">
        <f>T180-W180</f>
        <v/>
      </c>
      <c r="Y180" s="4" t="n">
        <v>91.92</v>
      </c>
      <c r="Z180" s="3" t="n">
        <v>0</v>
      </c>
      <c r="AA180" s="3">
        <f>TABL12[[#This Row],[(RESV. STORGE) AJD]]/10</f>
        <v/>
      </c>
      <c r="AB180" s="3">
        <f>(Z180-Z179)/1000</f>
        <v/>
      </c>
      <c r="AC180" s="6" t="n">
        <v>0</v>
      </c>
      <c r="AD180" s="5">
        <f>TABL12[[#This Row],[( S/S+T/B) AJD]]-(TABL12[[#This Row],[(A/B + A/S) AJD]]+TABL12[[#This Row],[(STORGE DIFF.) AJD]]+(TABL12[[#This Row],[AJD_Evaporation]]))</f>
        <v/>
      </c>
      <c r="AE180" s="6" t="n">
        <v>40</v>
      </c>
      <c r="AF180" s="33" t="n">
        <v>58.886</v>
      </c>
      <c r="AG180" s="6" t="n">
        <v>1548442</v>
      </c>
      <c r="AH180" s="6">
        <f>TABL12[[#This Row],[ (RESV. STORGE) BER]]/10</f>
        <v/>
      </c>
      <c r="AI180" s="6" t="n">
        <v>3699</v>
      </c>
      <c r="AJ180" s="6">
        <f>TABL12[[#This Row],[(A/B) AJD]]-TABL12[[#This Row],[BER_IN]]</f>
        <v/>
      </c>
      <c r="AK180" s="6" t="n">
        <v>0</v>
      </c>
      <c r="AL180" s="33" t="n">
        <v>43.647</v>
      </c>
      <c r="AM180" s="6" t="n">
        <v>3458226</v>
      </c>
      <c r="AN180" s="6">
        <f>TABL12[[#This Row],[ (RESV. STORGE) SER]]/10</f>
        <v/>
      </c>
      <c r="AO180" s="6" t="n">
        <v>1974</v>
      </c>
      <c r="AP180" s="32">
        <f>TABL12[[#This Row],[(A/S) AJD]]-TABL12[[#This Row],[SER_IN]]</f>
        <v/>
      </c>
    </row>
    <row r="181">
      <c r="A181" s="2" t="n">
        <v>45837</v>
      </c>
      <c r="B181" s="28" t="n">
        <v>36</v>
      </c>
      <c r="C181" s="28" t="n">
        <v>288</v>
      </c>
      <c r="D181" s="28" t="n">
        <v>36</v>
      </c>
      <c r="E181" s="28" t="n">
        <v>0</v>
      </c>
      <c r="F181" s="28" t="n">
        <v>99</v>
      </c>
      <c r="G181" s="28" t="n">
        <v>651</v>
      </c>
      <c r="H181" s="28" t="n">
        <v>0</v>
      </c>
      <c r="I181" s="28" t="n">
        <v>473</v>
      </c>
      <c r="J181" s="28" t="n">
        <v>457</v>
      </c>
      <c r="K181" s="28">
        <f>TABL12[[#This Row],[ (T/B) SAR]]+TABL12[[#This Row],[ (S/S) SAR]]</f>
        <v/>
      </c>
      <c r="L181" s="28" t="n">
        <v>279</v>
      </c>
      <c r="M181" s="29" t="n">
        <v>22.1</v>
      </c>
      <c r="N181" s="30" t="n">
        <v>7.5</v>
      </c>
      <c r="O181" s="3" t="n">
        <v>405</v>
      </c>
      <c r="P181" s="3">
        <f>TABL12[[#This Row],[ (S/S) SAR]]-TABL12[[#This Row],[(S/S) AJD]]</f>
        <v/>
      </c>
      <c r="Q181" s="3" t="n">
        <v>446</v>
      </c>
      <c r="R181" s="3">
        <f>TABL12[[#This Row],[ (T/B) SAR]]-TABL12[[#This Row],[(T/B) AJD]]</f>
        <v/>
      </c>
      <c r="S181" s="3">
        <f>TABL12[[#This Row],[S/S_CON.]]+TABL12[[#This Row],[T/B-CON.]]</f>
        <v/>
      </c>
      <c r="T181" s="3">
        <f>O181+Q181</f>
        <v/>
      </c>
      <c r="U181" s="3" t="n">
        <v>528</v>
      </c>
      <c r="V181" s="3" t="n">
        <v>258</v>
      </c>
      <c r="W181" s="3">
        <f>U181+V181</f>
        <v/>
      </c>
      <c r="X181" s="3">
        <f>T181-W181</f>
        <v/>
      </c>
      <c r="Y181" s="4" t="n">
        <v>91.923</v>
      </c>
      <c r="Z181" s="3" t="n">
        <v>154284</v>
      </c>
      <c r="AA181" s="3">
        <f>TABL12[[#This Row],[(RESV. STORGE) AJD]]/10</f>
        <v/>
      </c>
      <c r="AB181" s="3">
        <f>(Z181-Z180)/1000</f>
        <v/>
      </c>
      <c r="AC181" s="6" t="n">
        <v>0</v>
      </c>
      <c r="AD181" s="5">
        <f>TABL12[[#This Row],[( S/S+T/B) AJD]]-(TABL12[[#This Row],[(A/B + A/S) AJD]]+TABL12[[#This Row],[(STORGE DIFF.) AJD]]+(TABL12[[#This Row],[AJD_Evaporation]]))</f>
        <v/>
      </c>
      <c r="AE181" s="6" t="n">
        <v>40</v>
      </c>
      <c r="AF181" s="33" t="n">
        <v>58.881</v>
      </c>
      <c r="AG181" s="6" t="n">
        <v>1545146</v>
      </c>
      <c r="AH181" s="6">
        <f>TABL12[[#This Row],[ (RESV. STORGE) BER]]/10</f>
        <v/>
      </c>
      <c r="AI181" s="6" t="n">
        <v>3455</v>
      </c>
      <c r="AJ181" s="6">
        <f>TABL12[[#This Row],[(A/B) AJD]]-TABL12[[#This Row],[BER_IN]]</f>
        <v/>
      </c>
      <c r="AK181" s="6" t="n">
        <v>0</v>
      </c>
      <c r="AL181" s="33" t="n">
        <v>43.6283</v>
      </c>
      <c r="AM181" s="6" t="n">
        <v>3449900</v>
      </c>
      <c r="AN181" s="6">
        <f>TABL12[[#This Row],[ (RESV. STORGE) SER]]/10</f>
        <v/>
      </c>
      <c r="AO181" s="6" t="n">
        <v>1726</v>
      </c>
      <c r="AP181" s="32">
        <f>TABL12[[#This Row],[(A/S) AJD]]-TABL12[[#This Row],[SER_IN]]</f>
        <v/>
      </c>
    </row>
    <row r="182">
      <c r="A182" s="2" t="n">
        <v>45838</v>
      </c>
      <c r="B182" s="28" t="n">
        <v>36</v>
      </c>
      <c r="C182" s="28" t="n">
        <v>275</v>
      </c>
      <c r="D182" s="28" t="n">
        <v>36</v>
      </c>
      <c r="E182" s="28" t="n">
        <v>0</v>
      </c>
      <c r="F182" s="28" t="n">
        <v>100</v>
      </c>
      <c r="G182" s="28" t="n">
        <v>657</v>
      </c>
      <c r="H182" s="28" t="n">
        <v>0</v>
      </c>
      <c r="I182" s="28" t="n">
        <v>477</v>
      </c>
      <c r="J182" s="28" t="n">
        <v>461</v>
      </c>
      <c r="K182" s="28">
        <f>TABL12[[#This Row],[ (T/B) SAR]]+TABL12[[#This Row],[ (S/S) SAR]]</f>
        <v/>
      </c>
      <c r="L182" s="28" t="n">
        <v>281</v>
      </c>
      <c r="M182" s="29" t="n">
        <v>22.1</v>
      </c>
      <c r="N182" s="30" t="n">
        <v>7.6</v>
      </c>
      <c r="O182" s="3" t="n">
        <v>407</v>
      </c>
      <c r="P182" s="3">
        <f>TABL12[[#This Row],[ (S/S) SAR]]-TABL12[[#This Row],[(S/S) AJD]]</f>
        <v/>
      </c>
      <c r="Q182" s="3" t="n">
        <v>448</v>
      </c>
      <c r="R182" s="3">
        <f>TABL12[[#This Row],[ (T/B) SAR]]-TABL12[[#This Row],[(T/B) AJD]]</f>
        <v/>
      </c>
      <c r="S182" s="3">
        <f>TABL12[[#This Row],[S/S_CON.]]+TABL12[[#This Row],[T/B-CON.]]</f>
        <v/>
      </c>
      <c r="T182" s="3">
        <f>O182+Q182</f>
        <v/>
      </c>
      <c r="U182" s="3" t="n">
        <v>528</v>
      </c>
      <c r="V182" s="3" t="n">
        <v>273</v>
      </c>
      <c r="W182" s="3">
        <f>U182+V182</f>
        <v/>
      </c>
      <c r="X182" s="3">
        <f>T182-W182</f>
        <v/>
      </c>
      <c r="Y182" s="4" t="n">
        <v>91.97799999999999</v>
      </c>
      <c r="Z182" s="3" t="n">
        <v>186798</v>
      </c>
      <c r="AA182" s="3">
        <f>TABL12[[#This Row],[(RESV. STORGE) AJD]]/10</f>
        <v/>
      </c>
      <c r="AB182" s="3">
        <f>(Z182-Z181)/1000</f>
        <v/>
      </c>
      <c r="AC182" s="6" t="n">
        <v>0</v>
      </c>
      <c r="AD182" s="5">
        <f>TABL12[[#This Row],[( S/S+T/B) AJD]]-(TABL12[[#This Row],[(A/B + A/S) AJD]]+TABL12[[#This Row],[(STORGE DIFF.) AJD]]+(TABL12[[#This Row],[AJD_Evaporation]]))</f>
        <v/>
      </c>
      <c r="AE182" s="6" t="n">
        <v>53</v>
      </c>
      <c r="AF182" s="33" t="n">
        <v>58.896</v>
      </c>
      <c r="AG182" s="6" t="n">
        <v>1555035</v>
      </c>
      <c r="AH182" s="6">
        <f>TABL12[[#This Row],[ (RESV. STORGE) BER]]/10</f>
        <v/>
      </c>
      <c r="AI182" s="6" t="n">
        <v>3271</v>
      </c>
      <c r="AJ182" s="6">
        <f>TABL12[[#This Row],[(A/B) AJD]]-TABL12[[#This Row],[BER_IN]]</f>
        <v/>
      </c>
      <c r="AK182" s="6" t="n">
        <v>6.5</v>
      </c>
      <c r="AL182" s="33" t="n">
        <v>43.6309</v>
      </c>
      <c r="AM182" s="6" t="n">
        <v>3451240</v>
      </c>
      <c r="AN182" s="6">
        <f>TABL12[[#This Row],[ (RESV. STORGE) SER]]/10</f>
        <v/>
      </c>
      <c r="AO182" s="6" t="n">
        <v>1760</v>
      </c>
      <c r="AP182" s="32">
        <f>TABL12[[#This Row],[(A/S) AJD]]-TABL12[[#This Row],[SER_IN]]</f>
        <v/>
      </c>
    </row>
    <row r="183" ht="15.75" customHeight="1">
      <c r="A183" s="2" t="n">
        <v>45839</v>
      </c>
      <c r="B183" s="28" t="n">
        <v>36</v>
      </c>
      <c r="C183" s="28" t="n">
        <v>273</v>
      </c>
      <c r="D183" s="28" t="n">
        <v>36</v>
      </c>
      <c r="E183" s="28" t="n">
        <v>0</v>
      </c>
      <c r="F183" s="28" t="n">
        <v>101</v>
      </c>
      <c r="G183" s="28" t="n">
        <v>655</v>
      </c>
      <c r="H183" s="28" t="n">
        <v>0</v>
      </c>
      <c r="I183" s="28" t="n">
        <v>475</v>
      </c>
      <c r="J183" s="28" t="n">
        <v>461</v>
      </c>
      <c r="K183" s="28">
        <f>TABL12[[#This Row],[ (T/B) SAR]]+TABL12[[#This Row],[ (S/S) SAR]]</f>
        <v/>
      </c>
      <c r="L183" s="28" t="n">
        <v>281</v>
      </c>
      <c r="M183" s="29" t="n">
        <v>22.1</v>
      </c>
      <c r="N183" s="30" t="n">
        <v>7.55</v>
      </c>
      <c r="O183" s="12" t="n">
        <v>410</v>
      </c>
      <c r="P183" s="12">
        <f>TABL12[[#This Row],[ (S/S) SAR]]-TABL12[[#This Row],[(S/S) AJD]]</f>
        <v/>
      </c>
      <c r="Q183" s="12" t="n">
        <v>450</v>
      </c>
      <c r="R183" s="12">
        <f>TABL12[[#This Row],[ (T/B) SAR]]-TABL12[[#This Row],[(T/B) AJD]]</f>
        <v/>
      </c>
      <c r="S183" s="12">
        <f>TABL12[[#This Row],[S/S_CON.]]+TABL12[[#This Row],[T/B-CON.]]</f>
        <v/>
      </c>
      <c r="T183" s="12">
        <f>O183+Q183</f>
        <v/>
      </c>
      <c r="U183" s="12" t="n">
        <v>529</v>
      </c>
      <c r="V183" s="12" t="n">
        <v>295</v>
      </c>
      <c r="W183" s="12">
        <f>U183+V183</f>
        <v/>
      </c>
      <c r="X183" s="12">
        <f>T183-W183</f>
        <v/>
      </c>
      <c r="Y183" s="13" t="n">
        <v>92.033</v>
      </c>
      <c r="Z183" s="12" t="n">
        <v>219338</v>
      </c>
      <c r="AA183" s="12">
        <f>TABL12[[#This Row],[(RESV. STORGE) AJD]]/10</f>
        <v/>
      </c>
      <c r="AB183" s="3">
        <f>(Z183-Z182)/1000</f>
        <v/>
      </c>
      <c r="AC183" s="6" t="n">
        <v>0</v>
      </c>
      <c r="AD183" s="5">
        <f>TABL12[[#This Row],[( S/S+T/B) AJD]]-(TABL12[[#This Row],[(A/B + A/S) AJD]]+TABL12[[#This Row],[(STORGE DIFF.) AJD]]+(TABL12[[#This Row],[AJD_Evaporation]]))</f>
        <v/>
      </c>
      <c r="AE183" s="6" t="n">
        <v>60</v>
      </c>
      <c r="AF183" s="33" t="n">
        <v>58.878</v>
      </c>
      <c r="AG183" s="6" t="n">
        <v>1543169</v>
      </c>
      <c r="AH183" s="6">
        <f>TABL12[[#This Row],[ (RESV. STORGE) BER]]/10</f>
        <v/>
      </c>
      <c r="AI183" s="6" t="n">
        <v>2981</v>
      </c>
      <c r="AJ183" s="6">
        <f>TABL12[[#This Row],[(A/B) AJD]]-TABL12[[#This Row],[BER_IN]]</f>
        <v/>
      </c>
      <c r="AK183" s="6" t="n">
        <v>0</v>
      </c>
      <c r="AL183" s="33" t="n">
        <v>44.4034</v>
      </c>
      <c r="AM183" s="6" t="n">
        <v>3875340</v>
      </c>
      <c r="AN183" s="6">
        <f>TABL12[[#This Row],[ (RESV. STORGE) SER]]/10</f>
        <v/>
      </c>
      <c r="AO183" s="6" t="n">
        <v>1870</v>
      </c>
      <c r="AP183" s="32">
        <f>TABL12[[#This Row],[(A/S) AJD]]-TABL12[[#This Row],[SER_IN]]</f>
        <v/>
      </c>
    </row>
    <row r="184" ht="15.75" customHeight="1">
      <c r="A184" s="2" t="n">
        <v>45840</v>
      </c>
      <c r="B184" s="28" t="n">
        <v>33</v>
      </c>
      <c r="C184" s="28" t="n">
        <v>274</v>
      </c>
      <c r="D184" s="28" t="n">
        <v>33</v>
      </c>
      <c r="E184" s="28" t="n">
        <v>0</v>
      </c>
      <c r="F184" s="28" t="n">
        <v>101</v>
      </c>
      <c r="G184" s="28" t="n">
        <v>661</v>
      </c>
      <c r="H184" s="28" t="n">
        <v>0</v>
      </c>
      <c r="I184" s="28" t="n">
        <v>478</v>
      </c>
      <c r="J184" s="28" t="n">
        <v>462</v>
      </c>
      <c r="K184" s="28">
        <f>TABL12[[#This Row],[ (T/B) SAR]]+TABL12[[#This Row],[ (S/S) SAR]]</f>
        <v/>
      </c>
      <c r="L184" s="28" t="n">
        <v>279</v>
      </c>
      <c r="M184" s="29" t="n">
        <v>22.1</v>
      </c>
      <c r="N184" s="30" t="n">
        <v>7.53</v>
      </c>
      <c r="O184" s="12" t="n">
        <v>409</v>
      </c>
      <c r="P184" s="12">
        <f>TABL12[[#This Row],[ (S/S) SAR]]-TABL12[[#This Row],[(S/S) AJD]]</f>
        <v/>
      </c>
      <c r="Q184" s="12" t="n">
        <v>450</v>
      </c>
      <c r="R184" s="12">
        <f>TABL12[[#This Row],[ (T/B) SAR]]-TABL12[[#This Row],[(T/B) AJD]]</f>
        <v/>
      </c>
      <c r="S184" s="12">
        <f>TABL12[[#This Row],[S/S_CON.]]+TABL12[[#This Row],[T/B-CON.]]</f>
        <v/>
      </c>
      <c r="T184" s="12">
        <f>O184+Q184</f>
        <v/>
      </c>
      <c r="U184" s="12" t="n">
        <v>550</v>
      </c>
      <c r="V184" s="12" t="n">
        <v>299</v>
      </c>
      <c r="W184" s="12">
        <f>U184+V184</f>
        <v/>
      </c>
      <c r="X184" s="12">
        <f>T184-W184</f>
        <v/>
      </c>
      <c r="Y184" s="13" t="n">
        <v>92.042</v>
      </c>
      <c r="Z184" s="12" t="n">
        <v>225258</v>
      </c>
      <c r="AA184" s="12">
        <f>TABL12[[#This Row],[(RESV. STORGE) AJD]]/10</f>
        <v/>
      </c>
      <c r="AB184" s="3">
        <f>(Z184-Z183)/1000</f>
        <v/>
      </c>
      <c r="AC184" s="6" t="n">
        <v>0</v>
      </c>
      <c r="AD184" s="5">
        <f>TABL12[[#This Row],[( S/S+T/B) AJD]]-(TABL12[[#This Row],[(A/B + A/S) AJD]]+TABL12[[#This Row],[(STORGE DIFF.) AJD]]+(TABL12[[#This Row],[AJD_Evaporation]]))</f>
        <v/>
      </c>
      <c r="AE184" s="6" t="n">
        <v>73</v>
      </c>
      <c r="AF184" s="33" t="n">
        <v>58.862</v>
      </c>
      <c r="AG184" s="6" t="n">
        <v>1532624</v>
      </c>
      <c r="AH184" s="6">
        <f>TABL12[[#This Row],[ (RESV. STORGE) BER]]/10</f>
        <v/>
      </c>
      <c r="AI184" s="6" t="n">
        <v>3865</v>
      </c>
      <c r="AJ184" s="6">
        <f>TABL12[[#This Row],[(A/B) AJD]]-TABL12[[#This Row],[BER_IN]]</f>
        <v/>
      </c>
      <c r="AK184" s="6" t="n">
        <v>38</v>
      </c>
      <c r="AL184" s="33" t="n">
        <v>43.6872</v>
      </c>
      <c r="AM184" s="6" t="n">
        <v>3481690</v>
      </c>
      <c r="AN184" s="6">
        <f>TABL12[[#This Row],[ (RESV. STORGE) SER]]/10</f>
        <v/>
      </c>
      <c r="AO184" s="6" t="n">
        <v>1775</v>
      </c>
      <c r="AP184" s="32">
        <f>TABL12[[#This Row],[(A/S) AJD]]-TABL12[[#This Row],[SER_IN]]</f>
        <v/>
      </c>
    </row>
    <row r="185" ht="15.75" customHeight="1">
      <c r="A185" s="2" t="n">
        <v>45841</v>
      </c>
      <c r="B185" s="28" t="n">
        <v>33</v>
      </c>
      <c r="C185" s="28" t="n">
        <v>274</v>
      </c>
      <c r="D185" s="28" t="n">
        <v>33</v>
      </c>
      <c r="E185" s="28" t="n">
        <v>0</v>
      </c>
      <c r="F185" s="28" t="n">
        <v>102</v>
      </c>
      <c r="G185" s="28" t="n">
        <v>659</v>
      </c>
      <c r="H185" s="28" t="n">
        <v>0</v>
      </c>
      <c r="I185" s="28" t="n">
        <v>479</v>
      </c>
      <c r="J185" s="28" t="n">
        <v>459</v>
      </c>
      <c r="K185" s="28">
        <f>TABL12[[#This Row],[ (T/B) SAR]]+TABL12[[#This Row],[ (S/S) SAR]]</f>
        <v/>
      </c>
      <c r="L185" s="28" t="n">
        <v>279</v>
      </c>
      <c r="M185" s="29" t="n">
        <v>22.1</v>
      </c>
      <c r="N185" s="30" t="n">
        <v>7.5</v>
      </c>
      <c r="O185" s="12" t="n">
        <v>410</v>
      </c>
      <c r="P185" s="12">
        <f>TABL12[[#This Row],[ (S/S) SAR]]-TABL12[[#This Row],[(S/S) AJD]]</f>
        <v/>
      </c>
      <c r="Q185" s="12" t="n">
        <v>450</v>
      </c>
      <c r="R185" s="12">
        <f>TABL12[[#This Row],[ (T/B) SAR]]-TABL12[[#This Row],[(T/B) AJD]]</f>
        <v/>
      </c>
      <c r="S185" s="12">
        <f>TABL12[[#This Row],[S/S_CON.]]+TABL12[[#This Row],[T/B-CON.]]</f>
        <v/>
      </c>
      <c r="T185" s="12">
        <f>O185+Q185</f>
        <v/>
      </c>
      <c r="U185" s="12" t="n">
        <v>557</v>
      </c>
      <c r="V185" s="12" t="n">
        <v>295</v>
      </c>
      <c r="W185" s="12">
        <f>U185+V185</f>
        <v/>
      </c>
      <c r="X185" s="12">
        <f>T185-W185</f>
        <v/>
      </c>
      <c r="Y185" s="13" t="n">
        <v>92.023</v>
      </c>
      <c r="Z185" s="12" t="n">
        <v>213423</v>
      </c>
      <c r="AA185" s="12">
        <f>TABL12[[#This Row],[(RESV. STORGE) AJD]]/10</f>
        <v/>
      </c>
      <c r="AB185" s="3">
        <f>(Z185-Z184)/1000</f>
        <v/>
      </c>
      <c r="AC185" s="6" t="n">
        <v>0</v>
      </c>
      <c r="AD185" s="5">
        <f>TABL12[[#This Row],[( S/S+T/B) AJD]]-(TABL12[[#This Row],[(A/B + A/S) AJD]]+TABL12[[#This Row],[(STORGE DIFF.) AJD]]+(TABL12[[#This Row],[AJD_Evaporation]]))</f>
        <v/>
      </c>
      <c r="AE185" s="6" t="n">
        <v>80</v>
      </c>
      <c r="AF185" s="33" t="n">
        <v>58.857</v>
      </c>
      <c r="AG185" s="6" t="n">
        <v>1529329</v>
      </c>
      <c r="AH185" s="6">
        <f>TABL12[[#This Row],[ (RESV. STORGE) BER]]/10</f>
        <v/>
      </c>
      <c r="AI185" s="6" t="n">
        <v>3614</v>
      </c>
      <c r="AJ185" s="6">
        <f>TABL12[[#This Row],[(A/B) AJD]]-TABL12[[#This Row],[BER_IN]]</f>
        <v/>
      </c>
      <c r="AK185" s="6" t="n">
        <v>36</v>
      </c>
      <c r="AL185" s="33" t="n">
        <v>43.7124</v>
      </c>
      <c r="AM185" s="6" t="n">
        <v>3495900</v>
      </c>
      <c r="AN185" s="6">
        <f>TABL12[[#This Row],[ (RESV. STORGE) SER]]/10</f>
        <v/>
      </c>
      <c r="AO185" s="6" t="n">
        <v>1773</v>
      </c>
      <c r="AP185" s="32">
        <f>TABL12[[#This Row],[(A/S) AJD]]-TABL12[[#This Row],[SER_IN]]</f>
        <v/>
      </c>
    </row>
    <row r="186" ht="15.75" customHeight="1">
      <c r="A186" s="2" t="n">
        <v>45842</v>
      </c>
      <c r="B186" s="28" t="n">
        <v>32</v>
      </c>
      <c r="C186" s="28" t="n">
        <v>263</v>
      </c>
      <c r="D186" s="28" t="n">
        <v>33</v>
      </c>
      <c r="E186" s="28" t="n">
        <v>0</v>
      </c>
      <c r="F186" s="28" t="n">
        <v>102</v>
      </c>
      <c r="G186" s="28" t="n">
        <v>661</v>
      </c>
      <c r="H186" s="28" t="n">
        <v>0</v>
      </c>
      <c r="I186" s="28" t="n">
        <v>477</v>
      </c>
      <c r="J186" s="28" t="n">
        <v>461</v>
      </c>
      <c r="K186" s="28">
        <f>TABL12[[#This Row],[ (T/B) SAR]]+TABL12[[#This Row],[ (S/S) SAR]]</f>
        <v/>
      </c>
      <c r="L186" s="28" t="n">
        <v>277</v>
      </c>
      <c r="M186" s="29" t="n">
        <v>22.1</v>
      </c>
      <c r="N186" s="30" t="n">
        <v>7.4</v>
      </c>
      <c r="O186" s="12" t="n">
        <v>410</v>
      </c>
      <c r="P186" s="12">
        <f>TABL12[[#This Row],[ (S/S) SAR]]-TABL12[[#This Row],[(S/S) AJD]]</f>
        <v/>
      </c>
      <c r="Q186" s="12" t="n">
        <v>451</v>
      </c>
      <c r="R186" s="12">
        <f>TABL12[[#This Row],[ (T/B) SAR]]-TABL12[[#This Row],[(T/B) AJD]]</f>
        <v/>
      </c>
      <c r="S186" s="12">
        <f>TABL12[[#This Row],[S/S_CON.]]+TABL12[[#This Row],[T/B-CON.]]</f>
        <v/>
      </c>
      <c r="T186" s="12">
        <f>O186+Q186</f>
        <v/>
      </c>
      <c r="U186" s="12" t="n">
        <v>545</v>
      </c>
      <c r="V186" s="12" t="n">
        <v>277</v>
      </c>
      <c r="W186" s="12">
        <f>U186+V186</f>
        <v/>
      </c>
      <c r="X186" s="12">
        <f>T186-W186</f>
        <v/>
      </c>
      <c r="Y186" s="13" t="n">
        <v>92.07299999999999</v>
      </c>
      <c r="Z186" s="12" t="n">
        <v>243018</v>
      </c>
      <c r="AA186" s="12">
        <f>TABL12[[#This Row],[(RESV. STORGE) AJD]]/10</f>
        <v/>
      </c>
      <c r="AB186" s="3">
        <f>(Z186-Z185)/1000</f>
        <v/>
      </c>
      <c r="AC186" s="6" t="n">
        <v>2487</v>
      </c>
      <c r="AD186" s="5">
        <f>TABL12[[#This Row],[( S/S+T/B) AJD]]-(TABL12[[#This Row],[(A/B + A/S) AJD]]+TABL12[[#This Row],[(STORGE DIFF.) AJD]]+(TABL12[[#This Row],[AJD_Evaporation]]))</f>
        <v/>
      </c>
      <c r="AE186" s="6" t="n">
        <v>80</v>
      </c>
      <c r="AF186" s="33" t="n">
        <v>58.888</v>
      </c>
      <c r="AG186" s="6" t="n">
        <v>1549761</v>
      </c>
      <c r="AH186" s="6">
        <f>TABL12[[#This Row],[ (RESV. STORGE) BER]]/10</f>
        <v/>
      </c>
      <c r="AI186" s="6" t="n">
        <v>3127</v>
      </c>
      <c r="AJ186" s="6">
        <f>TABL12[[#This Row],[(A/B) AJD]]-TABL12[[#This Row],[BER_IN]]</f>
        <v/>
      </c>
      <c r="AK186" s="6" t="n">
        <v>35</v>
      </c>
      <c r="AL186" s="33" t="n">
        <v>43.7379</v>
      </c>
      <c r="AM186" s="6" t="n">
        <v>3509720</v>
      </c>
      <c r="AN186" s="6">
        <f>TABL12[[#This Row],[ (RESV. STORGE) SER]]/10</f>
        <v/>
      </c>
      <c r="AO186" s="6" t="n">
        <v>1780</v>
      </c>
      <c r="AP186" s="32">
        <f>TABL12[[#This Row],[(A/S) AJD]]-TABL12[[#This Row],[SER_IN]]</f>
        <v/>
      </c>
    </row>
    <row r="187" ht="15.75" customHeight="1">
      <c r="A187" s="2" t="n">
        <v>45843</v>
      </c>
      <c r="B187" s="28" t="n">
        <v>32</v>
      </c>
      <c r="C187" s="28" t="n">
        <v>259</v>
      </c>
      <c r="D187" s="28" t="n">
        <v>32</v>
      </c>
      <c r="E187" s="28" t="n">
        <v>0</v>
      </c>
      <c r="F187" s="28" t="n">
        <v>102</v>
      </c>
      <c r="G187" s="28" t="n">
        <v>661</v>
      </c>
      <c r="H187" s="28" t="n">
        <v>0</v>
      </c>
      <c r="I187" s="28" t="n">
        <v>476</v>
      </c>
      <c r="J187" s="28" t="n">
        <v>462</v>
      </c>
      <c r="K187" s="28">
        <f>TABL12[[#This Row],[ (T/B) SAR]]+TABL12[[#This Row],[ (S/S) SAR]]</f>
        <v/>
      </c>
      <c r="L187" s="28" t="n">
        <v>277</v>
      </c>
      <c r="M187" s="29" t="n">
        <v>22.1</v>
      </c>
      <c r="N187" s="30" t="n">
        <v>7.3</v>
      </c>
      <c r="O187" s="12" t="n">
        <v>410</v>
      </c>
      <c r="P187" s="12">
        <f>TABL12[[#This Row],[ (S/S) SAR]]-TABL12[[#This Row],[(S/S) AJD]]</f>
        <v/>
      </c>
      <c r="Q187" s="12" t="n">
        <v>452</v>
      </c>
      <c r="R187" s="12">
        <f>TABL12[[#This Row],[ (T/B) SAR]]-TABL12[[#This Row],[(T/B) AJD]]</f>
        <v/>
      </c>
      <c r="S187" s="12">
        <f>TABL12[[#This Row],[S/S_CON.]]+TABL12[[#This Row],[T/B-CON.]]</f>
        <v/>
      </c>
      <c r="T187" s="12">
        <f>O187+Q187</f>
        <v/>
      </c>
      <c r="U187" s="12" t="n">
        <v>560</v>
      </c>
      <c r="V187" s="10" t="n">
        <v>271</v>
      </c>
      <c r="W187" s="10">
        <f>U187+V187</f>
        <v/>
      </c>
      <c r="X187" s="10">
        <f>T187-W187</f>
        <v/>
      </c>
      <c r="Y187" s="13" t="n">
        <v>92.108</v>
      </c>
      <c r="Z187" s="12" t="n">
        <v>263752</v>
      </c>
      <c r="AA187" s="12">
        <f>TABL12[[#This Row],[(RESV. STORGE) AJD]]/10</f>
        <v/>
      </c>
      <c r="AB187" s="3">
        <f>(Z187-Z186)/1000</f>
        <v/>
      </c>
      <c r="AC187" s="6" t="n">
        <v>1875</v>
      </c>
      <c r="AD187" s="5">
        <f>TABL12[[#This Row],[( S/S+T/B) AJD]]-(TABL12[[#This Row],[(A/B + A/S) AJD]]+TABL12[[#This Row],[(STORGE DIFF.) AJD]]+(TABL12[[#This Row],[AJD_Evaporation]]))</f>
        <v/>
      </c>
      <c r="AE187" s="6" t="n">
        <v>80</v>
      </c>
      <c r="AF187" s="33" t="n">
        <v>58.944</v>
      </c>
      <c r="AG187" s="6" t="n">
        <v>1586691</v>
      </c>
      <c r="AH187" s="6">
        <f>TABL12[[#This Row],[ (RESV. STORGE) BER]]/10</f>
        <v/>
      </c>
      <c r="AI187" s="6" t="n">
        <v>3229</v>
      </c>
      <c r="AJ187" s="6">
        <f>TABL12[[#This Row],[(A/B) AJD]]-TABL12[[#This Row],[BER_IN]]</f>
        <v/>
      </c>
      <c r="AK187" s="6" t="n">
        <v>34</v>
      </c>
      <c r="AL187" s="33" t="n">
        <v>43.7844</v>
      </c>
      <c r="AM187" s="6" t="n">
        <v>3534897</v>
      </c>
      <c r="AN187" s="6">
        <f>TABL12[[#This Row],[ (RESV. STORGE) SER]]/10</f>
        <v/>
      </c>
      <c r="AO187" s="6" t="n">
        <v>1790</v>
      </c>
      <c r="AP187" s="32">
        <f>TABL12[[#This Row],[(A/S) AJD]]-TABL12[[#This Row],[SER_IN]]</f>
        <v/>
      </c>
    </row>
    <row r="188" ht="15.75" customHeight="1">
      <c r="A188" s="2" t="n">
        <v>45844</v>
      </c>
      <c r="B188" s="28" t="n">
        <v>32</v>
      </c>
      <c r="C188" s="28" t="n">
        <v>252</v>
      </c>
      <c r="D188" s="28" t="n">
        <v>32</v>
      </c>
      <c r="E188" s="28" t="n">
        <v>0</v>
      </c>
      <c r="F188" s="28" t="n">
        <v>102</v>
      </c>
      <c r="G188" s="28" t="n">
        <v>660</v>
      </c>
      <c r="H188" s="28" t="n">
        <v>0</v>
      </c>
      <c r="I188" s="28" t="n">
        <v>475</v>
      </c>
      <c r="J188" s="28" t="n">
        <v>460</v>
      </c>
      <c r="K188" s="28">
        <f>TABL12[[#This Row],[ (T/B) SAR]]+TABL12[[#This Row],[ (S/S) SAR]]</f>
        <v/>
      </c>
      <c r="L188" s="28" t="n">
        <v>275</v>
      </c>
      <c r="M188" s="29" t="n">
        <v>22.1</v>
      </c>
      <c r="N188" s="30" t="n">
        <v>7.2</v>
      </c>
      <c r="O188" s="12" t="n">
        <v>411</v>
      </c>
      <c r="P188" s="12">
        <f>TABL12[[#This Row],[ (S/S) SAR]]-TABL12[[#This Row],[(S/S) AJD]]</f>
        <v/>
      </c>
      <c r="Q188" s="12" t="n">
        <v>453</v>
      </c>
      <c r="R188" s="12">
        <f>TABL12[[#This Row],[ (T/B) SAR]]-TABL12[[#This Row],[(T/B) AJD]]</f>
        <v/>
      </c>
      <c r="S188" s="12">
        <f>TABL12[[#This Row],[S/S_CON.]]+TABL12[[#This Row],[T/B-CON.]]</f>
        <v/>
      </c>
      <c r="T188" s="12">
        <f>O188+Q188</f>
        <v/>
      </c>
      <c r="U188" s="12" t="n">
        <v>557</v>
      </c>
      <c r="V188" s="12" t="n">
        <v>265</v>
      </c>
      <c r="W188" s="12">
        <f>U188+V188</f>
        <v/>
      </c>
      <c r="X188" s="12">
        <f>T188-W188</f>
        <v/>
      </c>
      <c r="Y188" s="13" t="n">
        <v>92.17</v>
      </c>
      <c r="Z188" s="12" t="n">
        <v>300501</v>
      </c>
      <c r="AA188" s="12">
        <f>TABL12[[#This Row],[(RESV. STORGE) AJD]]/10</f>
        <v/>
      </c>
      <c r="AB188" s="3">
        <f>(Z188-Z187)/1000</f>
        <v/>
      </c>
      <c r="AC188" s="6" t="n">
        <v>0</v>
      </c>
      <c r="AD188" s="5">
        <f>TABL12[[#This Row],[( S/S+T/B) AJD]]-(TABL12[[#This Row],[(A/B + A/S) AJD]]+TABL12[[#This Row],[(STORGE DIFF.) AJD]]+(TABL12[[#This Row],[AJD_Evaporation]]))</f>
        <v/>
      </c>
      <c r="AE188" s="6" t="n">
        <v>80</v>
      </c>
      <c r="AF188" s="33" t="n">
        <v>59.003</v>
      </c>
      <c r="AG188" s="6" t="n">
        <v>1625630</v>
      </c>
      <c r="AH188" s="6">
        <f>TABL12[[#This Row],[ (RESV. STORGE) BER]]/10</f>
        <v/>
      </c>
      <c r="AI188" s="6" t="n">
        <v>3296</v>
      </c>
      <c r="AJ188" s="6">
        <f>TABL12[[#This Row],[(A/B) AJD]]-TABL12[[#This Row],[BER_IN]]</f>
        <v/>
      </c>
      <c r="AK188" s="6" t="n">
        <v>36</v>
      </c>
      <c r="AL188" s="33" t="n">
        <v>43.7466</v>
      </c>
      <c r="AM188" s="6" t="n">
        <v>3514650</v>
      </c>
      <c r="AN188" s="6">
        <f>TABL12[[#This Row],[ (RESV. STORGE) SER]]/10</f>
        <v/>
      </c>
      <c r="AO188" s="6" t="n">
        <v>1810</v>
      </c>
      <c r="AP188" s="32">
        <f>TABL12[[#This Row],[(A/S) AJD]]-TABL12[[#This Row],[SER_IN]]</f>
        <v/>
      </c>
    </row>
    <row r="189" ht="15.75" customHeight="1">
      <c r="A189" s="2" t="n">
        <v>45845</v>
      </c>
      <c r="B189" s="28" t="n">
        <v>36</v>
      </c>
      <c r="C189" s="28" t="n">
        <v>251</v>
      </c>
      <c r="D189" s="28" t="n">
        <v>32</v>
      </c>
      <c r="E189" s="28" t="n">
        <v>0</v>
      </c>
      <c r="F189" s="28" t="n">
        <v>102</v>
      </c>
      <c r="G189" s="28" t="n">
        <v>652</v>
      </c>
      <c r="H189" s="28" t="n">
        <v>0</v>
      </c>
      <c r="I189" s="28" t="n">
        <v>470</v>
      </c>
      <c r="J189" s="28" t="n">
        <v>455</v>
      </c>
      <c r="K189" s="28">
        <f>TABL12[[#This Row],[ (T/B) SAR]]+TABL12[[#This Row],[ (S/S) SAR]]</f>
        <v/>
      </c>
      <c r="L189" s="28" t="n">
        <v>273</v>
      </c>
      <c r="M189" s="29" t="n">
        <v>22.1</v>
      </c>
      <c r="N189" s="30" t="n">
        <v>7.1</v>
      </c>
      <c r="O189" s="12" t="n">
        <v>411</v>
      </c>
      <c r="P189" s="12">
        <f>TABL12[[#This Row],[ (S/S) SAR]]-TABL12[[#This Row],[(S/S) AJD]]</f>
        <v/>
      </c>
      <c r="Q189" s="12" t="n">
        <v>449</v>
      </c>
      <c r="R189" s="12">
        <f>TABL12[[#This Row],[ (T/B) SAR]]-TABL12[[#This Row],[(T/B) AJD]]</f>
        <v/>
      </c>
      <c r="S189" s="12">
        <f>TABL12[[#This Row],[S/S_CON.]]+TABL12[[#This Row],[T/B-CON.]]</f>
        <v/>
      </c>
      <c r="T189" s="12">
        <f>O189+Q189</f>
        <v/>
      </c>
      <c r="U189" s="12" t="n">
        <v>550</v>
      </c>
      <c r="V189" s="12" t="n">
        <v>257</v>
      </c>
      <c r="W189" s="12">
        <f>U189+V189</f>
        <v/>
      </c>
      <c r="X189" s="12">
        <f>T189-W189</f>
        <v/>
      </c>
      <c r="Y189" s="13" t="n">
        <v>92.24299999999999</v>
      </c>
      <c r="Z189" s="12" t="n">
        <v>343808</v>
      </c>
      <c r="AA189" s="12">
        <f>TABL12[[#This Row],[(RESV. STORGE) AJD]]/10</f>
        <v/>
      </c>
      <c r="AB189" s="3">
        <f>(Z189-Z188)/1000</f>
        <v/>
      </c>
      <c r="AC189" s="6" t="n">
        <v>0</v>
      </c>
      <c r="AD189" s="5">
        <f>TABL12[[#This Row],[( S/S+T/B) AJD]]-(TABL12[[#This Row],[(A/B + A/S) AJD]]+TABL12[[#This Row],[(STORGE DIFF.) AJD]]+(TABL12[[#This Row],[AJD_Evaporation]]))</f>
        <v/>
      </c>
      <c r="AE189" s="6" t="n">
        <v>80</v>
      </c>
      <c r="AF189" s="33" t="n">
        <v>59.066</v>
      </c>
      <c r="AG189" s="6" t="n">
        <v>1667241</v>
      </c>
      <c r="AH189" s="6">
        <f>TABL12[[#This Row],[ (RESV. STORGE) BER]]/10</f>
        <v/>
      </c>
      <c r="AI189" s="6" t="n">
        <v>3252</v>
      </c>
      <c r="AJ189" s="6">
        <f>TABL12[[#This Row],[(A/B) AJD]]-TABL12[[#This Row],[BER_IN]]</f>
        <v/>
      </c>
      <c r="AK189" s="6" t="n">
        <v>36</v>
      </c>
      <c r="AL189" s="33" t="n">
        <v>43.7239</v>
      </c>
      <c r="AM189" s="6" t="n">
        <v>3502080</v>
      </c>
      <c r="AN189" s="6">
        <f>TABL12[[#This Row],[ (RESV. STORGE) SER]]/10</f>
        <v/>
      </c>
      <c r="AO189" s="6" t="n">
        <v>1890</v>
      </c>
      <c r="AP189" s="32">
        <f>TABL12[[#This Row],[(A/S) AJD]]-TABL12[[#This Row],[SER_IN]]</f>
        <v/>
      </c>
    </row>
    <row r="190" ht="15.75" customHeight="1">
      <c r="A190" s="2" t="n">
        <v>45846</v>
      </c>
      <c r="B190" s="28" t="n">
        <v>30</v>
      </c>
      <c r="C190" s="28" t="n">
        <v>243</v>
      </c>
      <c r="D190" s="28" t="n">
        <v>31</v>
      </c>
      <c r="E190" s="28" t="n">
        <v>0</v>
      </c>
      <c r="F190" s="28" t="n">
        <v>102</v>
      </c>
      <c r="G190" s="28" t="n">
        <v>658</v>
      </c>
      <c r="H190" s="28" t="n">
        <v>0</v>
      </c>
      <c r="I190" s="28" t="n">
        <v>471</v>
      </c>
      <c r="J190" s="28" t="n">
        <v>458</v>
      </c>
      <c r="K190" s="28">
        <f>TABL12[[#This Row],[ (T/B) SAR]]+TABL12[[#This Row],[ (S/S) SAR]]</f>
        <v/>
      </c>
      <c r="L190" s="28" t="n">
        <v>271</v>
      </c>
      <c r="M190" s="29" t="n">
        <v>22.1</v>
      </c>
      <c r="N190" s="30" t="n">
        <v>7.03</v>
      </c>
      <c r="O190" s="12" t="n">
        <v>400</v>
      </c>
      <c r="P190" s="12">
        <f>TABL12[[#This Row],[ (S/S) SAR]]-TABL12[[#This Row],[(S/S) AJD]]</f>
        <v/>
      </c>
      <c r="Q190" s="12" t="n">
        <v>443</v>
      </c>
      <c r="R190" s="12">
        <f>TABL12[[#This Row],[ (T/B) SAR]]-TABL12[[#This Row],[(T/B) AJD]]</f>
        <v/>
      </c>
      <c r="S190" s="12">
        <f>TABL12[[#This Row],[S/S_CON.]]+TABL12[[#This Row],[T/B-CON.]]</f>
        <v/>
      </c>
      <c r="T190" s="12">
        <f>O190+Q190</f>
        <v/>
      </c>
      <c r="U190" s="12" t="n">
        <v>561</v>
      </c>
      <c r="V190" s="12" t="n">
        <v>255</v>
      </c>
      <c r="W190" s="12">
        <f>U190+V190</f>
        <v/>
      </c>
      <c r="X190" s="12">
        <f>T190-W190</f>
        <v/>
      </c>
      <c r="Y190" s="13" t="n">
        <v>92.27</v>
      </c>
      <c r="Z190" s="12" t="n">
        <v>359834</v>
      </c>
      <c r="AA190" s="12">
        <f>TABL12[[#This Row],[(RESV. STORGE) AJD]]/10</f>
        <v/>
      </c>
      <c r="AB190" s="3">
        <f>(Z190-Z189)/1000</f>
        <v/>
      </c>
      <c r="AC190" s="6" t="n">
        <v>2610</v>
      </c>
      <c r="AD190" s="5">
        <f>TABL12[[#This Row],[( S/S+T/B) AJD]]-(TABL12[[#This Row],[(A/B + A/S) AJD]]+TABL12[[#This Row],[(STORGE DIFF.) AJD]]+(TABL12[[#This Row],[AJD_Evaporation]]))</f>
        <v/>
      </c>
      <c r="AE190" s="6" t="n">
        <v>80</v>
      </c>
      <c r="AF190" s="33" t="n">
        <v>59.151</v>
      </c>
      <c r="AG190" s="6" t="n">
        <v>1723438</v>
      </c>
      <c r="AH190" s="6">
        <f>TABL12[[#This Row],[ (RESV. STORGE) BER]]/10</f>
        <v/>
      </c>
      <c r="AI190" s="6" t="n">
        <v>3053</v>
      </c>
      <c r="AJ190" s="6">
        <f>TABL12[[#This Row],[(A/B) AJD]]-TABL12[[#This Row],[BER_IN]]</f>
        <v/>
      </c>
      <c r="AK190" s="6" t="n">
        <v>36</v>
      </c>
      <c r="AL190" s="33" t="n">
        <v>43.7074</v>
      </c>
      <c r="AM190" s="6" t="n">
        <v>3493110</v>
      </c>
      <c r="AN190" s="6">
        <f>TABL12[[#This Row],[ (RESV. STORGE) SER]]/10</f>
        <v/>
      </c>
      <c r="AO190" s="6" t="n">
        <v>1950</v>
      </c>
      <c r="AP190" s="32">
        <f>TABL12[[#This Row],[(A/S) AJD]]-TABL12[[#This Row],[SER_IN]]</f>
        <v/>
      </c>
    </row>
    <row r="191" ht="15.75" customHeight="1">
      <c r="A191" s="2" t="n">
        <v>45847</v>
      </c>
      <c r="B191" s="28" t="n">
        <v>30</v>
      </c>
      <c r="C191" s="28" t="n">
        <v>242</v>
      </c>
      <c r="D191" s="28" t="n">
        <v>31</v>
      </c>
      <c r="E191" s="28" t="n">
        <v>0</v>
      </c>
      <c r="F191" s="28" t="n">
        <v>102</v>
      </c>
      <c r="G191" s="28" t="n">
        <v>677</v>
      </c>
      <c r="H191" s="28" t="n">
        <v>0</v>
      </c>
      <c r="I191" s="28" t="n">
        <v>490</v>
      </c>
      <c r="J191" s="28" t="n">
        <v>458</v>
      </c>
      <c r="K191" s="28">
        <f>TABL12[[#This Row],[ (T/B) SAR]]+TABL12[[#This Row],[ (S/S) SAR]]</f>
        <v/>
      </c>
      <c r="L191" s="28" t="n">
        <v>271</v>
      </c>
      <c r="M191" s="29" t="n">
        <v>22.1</v>
      </c>
      <c r="N191" s="30" t="n">
        <v>6.98</v>
      </c>
      <c r="O191" s="12" t="n">
        <v>404</v>
      </c>
      <c r="P191" s="12">
        <f>TABL12[[#This Row],[ (S/S) SAR]]-TABL12[[#This Row],[(S/S) AJD]]</f>
        <v/>
      </c>
      <c r="Q191" s="12" t="n">
        <v>447</v>
      </c>
      <c r="R191" s="12">
        <f>TABL12[[#This Row],[ (T/B) SAR]]-TABL12[[#This Row],[(T/B) AJD]]</f>
        <v/>
      </c>
      <c r="S191" s="12">
        <f>TABL12[[#This Row],[S/S_CON.]]+TABL12[[#This Row],[T/B-CON.]]</f>
        <v/>
      </c>
      <c r="T191" s="12">
        <f>O191+Q191</f>
        <v/>
      </c>
      <c r="U191" s="12" t="n">
        <v>586</v>
      </c>
      <c r="V191" s="12" t="n">
        <v>304</v>
      </c>
      <c r="W191" s="12">
        <f>U191+V191</f>
        <v/>
      </c>
      <c r="X191" s="12">
        <f>T191-W191</f>
        <v/>
      </c>
      <c r="Y191" s="13" t="n">
        <v>92.19</v>
      </c>
      <c r="Z191" s="12" t="n">
        <v>312364</v>
      </c>
      <c r="AA191" s="12">
        <f>TABL12[[#This Row],[(RESV. STORGE) AJD]]/10</f>
        <v/>
      </c>
      <c r="AB191" s="3">
        <f>(Z191-Z190)/1000</f>
        <v/>
      </c>
      <c r="AC191" s="6" t="n">
        <v>2768</v>
      </c>
      <c r="AD191" s="5">
        <f>TABL12[[#This Row],[( S/S+T/B) AJD]]-(TABL12[[#This Row],[(A/B + A/S) AJD]]+TABL12[[#This Row],[(STORGE DIFF.) AJD]]+(TABL12[[#This Row],[AJD_Evaporation]]))</f>
        <v/>
      </c>
      <c r="AE191" s="6" t="n">
        <v>80</v>
      </c>
      <c r="AF191" s="33" t="n">
        <v>59.207</v>
      </c>
      <c r="AG191" s="6" t="n">
        <v>1760496</v>
      </c>
      <c r="AH191" s="6">
        <f>TABL12[[#This Row],[ (RESV. STORGE) BER]]/10</f>
        <v/>
      </c>
      <c r="AI191" s="6" t="n">
        <v>3102</v>
      </c>
      <c r="AJ191" s="6">
        <f>TABL12[[#This Row],[(A/B) AJD]]-TABL12[[#This Row],[BER_IN]]</f>
        <v/>
      </c>
      <c r="AK191" s="6" t="n">
        <v>38</v>
      </c>
      <c r="AL191" s="33" t="n">
        <v>43.7007</v>
      </c>
      <c r="AM191" s="6" t="n">
        <v>3489490</v>
      </c>
      <c r="AN191" s="6">
        <f>TABL12[[#This Row],[ (RESV. STORGE) SER]]/10</f>
        <v/>
      </c>
      <c r="AO191" s="6" t="n">
        <v>2120</v>
      </c>
      <c r="AP191" s="32">
        <f>TABL12[[#This Row],[(A/S) AJD]]-TABL12[[#This Row],[SER_IN]]</f>
        <v/>
      </c>
    </row>
    <row r="192" ht="15.75" customHeight="1">
      <c r="A192" s="2" t="n">
        <v>45848</v>
      </c>
      <c r="B192" s="28" t="n">
        <v>31</v>
      </c>
      <c r="C192" s="28" t="n">
        <v>251</v>
      </c>
      <c r="D192" s="28" t="n">
        <v>31</v>
      </c>
      <c r="E192" s="28" t="n">
        <v>0</v>
      </c>
      <c r="F192" s="28" t="n">
        <v>102</v>
      </c>
      <c r="G192" s="28" t="n">
        <v>668</v>
      </c>
      <c r="H192" s="28" t="n">
        <v>0</v>
      </c>
      <c r="I192" s="28" t="n">
        <v>461</v>
      </c>
      <c r="J192" s="28" t="n">
        <v>456</v>
      </c>
      <c r="K192" s="28">
        <f>TABL12[[#This Row],[ (T/B) SAR]]+TABL12[[#This Row],[ (S/S) SAR]]</f>
        <v/>
      </c>
      <c r="L192" s="28" t="n">
        <v>249</v>
      </c>
      <c r="M192" s="29" t="n">
        <v>20.8</v>
      </c>
      <c r="N192" s="30" t="n">
        <v>6.77</v>
      </c>
      <c r="O192" s="12" t="n">
        <v>402</v>
      </c>
      <c r="P192" s="12">
        <f>TABL12[[#This Row],[ (S/S) SAR]]-TABL12[[#This Row],[(S/S) AJD]]</f>
        <v/>
      </c>
      <c r="Q192" s="12" t="n">
        <v>444</v>
      </c>
      <c r="R192" s="12">
        <f>TABL12[[#This Row],[ (T/B) SAR]]-TABL12[[#This Row],[(T/B) AJD]]</f>
        <v/>
      </c>
      <c r="S192" s="12">
        <f>TABL12[[#This Row],[S/S_CON.]]+TABL12[[#This Row],[T/B-CON.]]</f>
        <v/>
      </c>
      <c r="T192" s="12">
        <f>O192+Q192</f>
        <v/>
      </c>
      <c r="U192" s="12" t="n">
        <v>572</v>
      </c>
      <c r="V192" s="12" t="n">
        <v>298</v>
      </c>
      <c r="W192" s="12">
        <f>U192+V192</f>
        <v/>
      </c>
      <c r="X192" s="12">
        <f>T192-W192</f>
        <v/>
      </c>
      <c r="Y192" s="13" t="n">
        <v>92.113</v>
      </c>
      <c r="Z192" s="12" t="n">
        <v>266936</v>
      </c>
      <c r="AA192" s="12">
        <f>TABL12[[#This Row],[(RESV. STORGE) AJD]]/10</f>
        <v/>
      </c>
      <c r="AB192" s="3">
        <f>(Z192-Z191)/1000</f>
        <v/>
      </c>
      <c r="AC192" s="6" t="n">
        <v>0</v>
      </c>
      <c r="AD192" s="5">
        <f>TABL12[[#This Row],[( S/S+T/B) AJD]]-(TABL12[[#This Row],[(A/B + A/S) AJD]]+TABL12[[#This Row],[(STORGE DIFF.) AJD]]+(TABL12[[#This Row],[AJD_Evaporation]]))</f>
        <v/>
      </c>
      <c r="AE192" s="6" t="n">
        <v>80</v>
      </c>
      <c r="AF192" s="33" t="n">
        <v>59.225</v>
      </c>
      <c r="AG192" s="6" t="n">
        <v>1772414</v>
      </c>
      <c r="AH192" s="6">
        <f>TABL12[[#This Row],[ (RESV. STORGE) BER]]/10</f>
        <v/>
      </c>
      <c r="AI192" s="6" t="n">
        <v>2927</v>
      </c>
      <c r="AJ192" s="6">
        <f>TABL12[[#This Row],[(A/B) AJD]]-TABL12[[#This Row],[BER_IN]]</f>
        <v/>
      </c>
      <c r="AK192" s="6" t="n">
        <v>39</v>
      </c>
      <c r="AL192" s="33" t="n">
        <v>43.6616</v>
      </c>
      <c r="AM192" s="6" t="n">
        <v>3468170</v>
      </c>
      <c r="AN192" s="6">
        <f>TABL12[[#This Row],[ (RESV. STORGE) SER]]/10</f>
        <v/>
      </c>
      <c r="AO192" s="6" t="n">
        <v>2135</v>
      </c>
      <c r="AP192" s="32">
        <f>TABL12[[#This Row],[(A/S) AJD]]-TABL12[[#This Row],[SER_IN]]</f>
        <v/>
      </c>
    </row>
    <row r="193" ht="15.75" customHeight="1">
      <c r="A193" s="2" t="n">
        <v>45849</v>
      </c>
      <c r="B193" s="28" t="n">
        <v>31</v>
      </c>
      <c r="C193" s="28" t="n">
        <v>257</v>
      </c>
      <c r="D193" s="28" t="n">
        <v>31</v>
      </c>
      <c r="E193" s="28" t="n">
        <v>0</v>
      </c>
      <c r="F193" s="28" t="n">
        <v>102</v>
      </c>
      <c r="G193" s="28" t="n">
        <v>668</v>
      </c>
      <c r="H193" s="28" t="n">
        <v>0</v>
      </c>
      <c r="I193" s="28" t="n">
        <v>470</v>
      </c>
      <c r="J193" s="28" t="n">
        <v>453</v>
      </c>
      <c r="K193" s="28">
        <f>TABL12[[#This Row],[ (T/B) SAR]]+TABL12[[#This Row],[ (S/S) SAR]]</f>
        <v/>
      </c>
      <c r="L193" s="28" t="n">
        <v>255</v>
      </c>
      <c r="M193" s="29" t="n">
        <v>20.8</v>
      </c>
      <c r="N193" s="30" t="n">
        <v>6.79</v>
      </c>
      <c r="O193" s="12" t="n">
        <v>409</v>
      </c>
      <c r="P193" s="12">
        <f>TABL12[[#This Row],[ (S/S) SAR]]-TABL12[[#This Row],[(S/S) AJD]]</f>
        <v/>
      </c>
      <c r="Q193" s="12" t="n">
        <v>436</v>
      </c>
      <c r="R193" s="12">
        <f>TABL12[[#This Row],[ (T/B) SAR]]-TABL12[[#This Row],[(T/B) AJD]]</f>
        <v/>
      </c>
      <c r="S193" s="12">
        <f>TABL12[[#This Row],[S/S_CON.]]+TABL12[[#This Row],[T/B-CON.]]</f>
        <v/>
      </c>
      <c r="T193" s="12">
        <f>O193+Q193</f>
        <v/>
      </c>
      <c r="U193" s="12" t="n">
        <v>575</v>
      </c>
      <c r="V193" s="12" t="n">
        <v>294</v>
      </c>
      <c r="W193" s="12">
        <f>U193+V193</f>
        <v/>
      </c>
      <c r="X193" s="12">
        <f>T193-W193</f>
        <v/>
      </c>
      <c r="Y193" s="13" t="n">
        <v>92.038</v>
      </c>
      <c r="Z193" s="12" t="n">
        <v>222300</v>
      </c>
      <c r="AA193" s="12">
        <f>TABL12[[#This Row],[(RESV. STORGE) AJD]]/10</f>
        <v/>
      </c>
      <c r="AB193" s="3">
        <f>(Z193-Z192)/1000</f>
        <v/>
      </c>
      <c r="AC193" s="6" t="n">
        <v>0</v>
      </c>
      <c r="AD193" s="5">
        <f>TABL12[[#This Row],[( S/S+T/B) AJD]]-(TABL12[[#This Row],[(A/B + A/S) AJD]]+TABL12[[#This Row],[(STORGE DIFF.) AJD]]+(TABL12[[#This Row],[AJD_Evaporation]]))</f>
        <v/>
      </c>
      <c r="AE193" s="6" t="n">
        <v>80</v>
      </c>
      <c r="AF193" s="33" t="n">
        <v>59.221</v>
      </c>
      <c r="AG193" s="6" t="n">
        <v>1769765</v>
      </c>
      <c r="AH193" s="6">
        <f>TABL12[[#This Row],[ (RESV. STORGE) BER]]/10</f>
        <v/>
      </c>
      <c r="AI193" s="6" t="n">
        <v>2968</v>
      </c>
      <c r="AJ193" s="6">
        <f>TABL12[[#This Row],[(A/B) AJD]]-TABL12[[#This Row],[BER_IN]]</f>
        <v/>
      </c>
      <c r="AK193" s="6" t="n">
        <v>36</v>
      </c>
      <c r="AL193" s="33" t="n">
        <v>43.4789</v>
      </c>
      <c r="AM193" s="6" t="n">
        <v>3368325</v>
      </c>
      <c r="AN193" s="6">
        <f>TABL12[[#This Row],[ (RESV. STORGE) SER]]/10</f>
        <v/>
      </c>
      <c r="AO193" s="6" t="n">
        <v>2050</v>
      </c>
      <c r="AP193" s="32">
        <f>TABL12[[#This Row],[(A/S) AJD]]-TABL12[[#This Row],[SER_IN]]</f>
        <v/>
      </c>
    </row>
    <row r="194" ht="15.75" customHeight="1">
      <c r="A194" s="2" t="n">
        <v>45850</v>
      </c>
      <c r="B194" s="28" t="n">
        <v>31</v>
      </c>
      <c r="C194" s="28" t="n">
        <v>259</v>
      </c>
      <c r="D194" s="28" t="n">
        <v>31</v>
      </c>
      <c r="E194" s="28" t="n">
        <v>0</v>
      </c>
      <c r="F194" s="28" t="n">
        <v>102</v>
      </c>
      <c r="G194" s="28" t="n">
        <v>669</v>
      </c>
      <c r="H194" s="28" t="n">
        <v>0</v>
      </c>
      <c r="I194" s="28" t="n">
        <v>468</v>
      </c>
      <c r="J194" s="28" t="n">
        <v>448</v>
      </c>
      <c r="K194" s="28">
        <f>TABL12[[#This Row],[ (T/B) SAR]]+TABL12[[#This Row],[ (S/S) SAR]]</f>
        <v/>
      </c>
      <c r="L194" s="28" t="n">
        <v>247</v>
      </c>
      <c r="M194" s="29" t="n">
        <v>20</v>
      </c>
      <c r="N194" s="30" t="n">
        <v>6.86</v>
      </c>
      <c r="O194" s="12" t="n">
        <v>399</v>
      </c>
      <c r="P194" s="12">
        <f>TABL12[[#This Row],[ (S/S) SAR]]-TABL12[[#This Row],[(S/S) AJD]]</f>
        <v/>
      </c>
      <c r="Q194" s="12" t="n">
        <v>441</v>
      </c>
      <c r="R194" s="12">
        <f>TABL12[[#This Row],[ (T/B) SAR]]-TABL12[[#This Row],[(T/B) AJD]]</f>
        <v/>
      </c>
      <c r="S194" s="12">
        <f>TABL12[[#This Row],[S/S_CON.]]+TABL12[[#This Row],[T/B-CON.]]</f>
        <v/>
      </c>
      <c r="T194" s="12">
        <f>O194+Q194</f>
        <v/>
      </c>
      <c r="U194" s="12" t="n">
        <v>574</v>
      </c>
      <c r="V194" s="12" t="n">
        <v>300</v>
      </c>
      <c r="W194" s="12">
        <f>U194+V194</f>
        <v/>
      </c>
      <c r="X194" s="12">
        <f>T194-W194</f>
        <v/>
      </c>
      <c r="Y194" s="13" t="n">
        <v>91.968</v>
      </c>
      <c r="Z194" s="12" t="n">
        <v>180660</v>
      </c>
      <c r="AA194" s="12">
        <f>TABL12[[#This Row],[(RESV. STORGE) AJD]]/10</f>
        <v/>
      </c>
      <c r="AB194" s="3">
        <f>(Z194-Z193)/1000</f>
        <v/>
      </c>
      <c r="AC194" s="6" t="n">
        <v>2293</v>
      </c>
      <c r="AD194" s="5">
        <f>TABL12[[#This Row],[( S/S+T/B) AJD]]-(TABL12[[#This Row],[(A/B + A/S) AJD]]+TABL12[[#This Row],[(STORGE DIFF.) AJD]]+(TABL12[[#This Row],[AJD_Evaporation]]))</f>
        <v/>
      </c>
      <c r="AE194" s="6" t="n">
        <v>80</v>
      </c>
      <c r="AF194" s="33" t="n">
        <v>59.218</v>
      </c>
      <c r="AG194" s="6" t="n">
        <v>1767779</v>
      </c>
      <c r="AH194" s="6">
        <f>TABL12[[#This Row],[ (RESV. STORGE) BER]]/10</f>
        <v/>
      </c>
      <c r="AI194" s="6" t="n">
        <v>2306</v>
      </c>
      <c r="AJ194" s="6">
        <f>TABL12[[#This Row],[(A/B) AJD]]-TABL12[[#This Row],[BER_IN]]</f>
        <v/>
      </c>
      <c r="AK194" s="6" t="n">
        <v>35</v>
      </c>
      <c r="AL194" s="33" t="n">
        <v>43.3303</v>
      </c>
      <c r="AM194" s="6" t="n">
        <v>3287230</v>
      </c>
      <c r="AN194" s="6">
        <f>TABL12[[#This Row],[ (RESV. STORGE) SER]]/10</f>
        <v/>
      </c>
      <c r="AO194" s="6" t="n">
        <v>2010</v>
      </c>
      <c r="AP194" s="32">
        <f>TABL12[[#This Row],[(A/S) AJD]]-TABL12[[#This Row],[SER_IN]]</f>
        <v/>
      </c>
    </row>
    <row r="195" ht="15.75" customHeight="1">
      <c r="A195" s="2" t="n">
        <v>45851</v>
      </c>
      <c r="B195" s="28" t="n">
        <v>30</v>
      </c>
      <c r="C195" s="28" t="n">
        <v>258</v>
      </c>
      <c r="D195" s="28" t="n">
        <v>30</v>
      </c>
      <c r="E195" s="28" t="n">
        <v>0</v>
      </c>
      <c r="F195" s="28" t="n">
        <v>102</v>
      </c>
      <c r="G195" s="28" t="n">
        <v>668</v>
      </c>
      <c r="H195" s="28" t="n">
        <v>0</v>
      </c>
      <c r="I195" s="28" t="n">
        <v>466</v>
      </c>
      <c r="J195" s="28" t="n">
        <v>449</v>
      </c>
      <c r="K195" s="28">
        <f>TABL12[[#This Row],[ (T/B) SAR]]+TABL12[[#This Row],[ (S/S) SAR]]</f>
        <v/>
      </c>
      <c r="L195" s="28" t="n">
        <v>247</v>
      </c>
      <c r="M195" s="29" t="n">
        <v>20</v>
      </c>
      <c r="N195" s="30" t="n">
        <v>6.94</v>
      </c>
      <c r="O195" s="12" t="n">
        <v>397</v>
      </c>
      <c r="P195" s="12">
        <f>TABL12[[#This Row],[ (S/S) SAR]]-TABL12[[#This Row],[(S/S) AJD]]</f>
        <v/>
      </c>
      <c r="Q195" s="12" t="n">
        <v>438</v>
      </c>
      <c r="R195" s="12">
        <f>TABL12[[#This Row],[ (T/B) SAR]]-TABL12[[#This Row],[(T/B) AJD]]</f>
        <v/>
      </c>
      <c r="S195" s="12">
        <f>TABL12[[#This Row],[S/S_CON.]]+TABL12[[#This Row],[T/B-CON.]]</f>
        <v/>
      </c>
      <c r="T195" s="12">
        <f>O195+Q195</f>
        <v/>
      </c>
      <c r="U195" s="12" t="n">
        <v>573</v>
      </c>
      <c r="V195" s="12" t="n">
        <v>273</v>
      </c>
      <c r="W195" s="12">
        <f>U195+V195</f>
        <v/>
      </c>
      <c r="X195" s="12">
        <f>T195-W195</f>
        <v/>
      </c>
      <c r="Y195" s="13" t="n">
        <v>91.931</v>
      </c>
      <c r="Z195" s="12" t="n">
        <v>159014</v>
      </c>
      <c r="AA195" s="12">
        <f>TABL12[[#This Row],[(RESV. STORGE) AJD]]/10</f>
        <v/>
      </c>
      <c r="AB195" s="3">
        <f>(Z195-Z194)/1000</f>
        <v/>
      </c>
      <c r="AC195" s="6" t="n">
        <v>0</v>
      </c>
      <c r="AD195" s="5">
        <f>TABL12[[#This Row],[( S/S+T/B) AJD]]-(TABL12[[#This Row],[(A/B + A/S) AJD]]+TABL12[[#This Row],[(STORGE DIFF.) AJD]]+(TABL12[[#This Row],[AJD_Evaporation]]))</f>
        <v/>
      </c>
      <c r="AE195" s="6" t="n">
        <v>80</v>
      </c>
      <c r="AF195" s="33" t="n">
        <v>59.214</v>
      </c>
      <c r="AG195" s="6" t="n">
        <v>1765130</v>
      </c>
      <c r="AH195" s="6">
        <f>TABL12[[#This Row],[ (RESV. STORGE) BER]]/10</f>
        <v/>
      </c>
      <c r="AI195" s="6" t="n">
        <v>2968</v>
      </c>
      <c r="AJ195" s="6">
        <f>TABL12[[#This Row],[(A/B) AJD]]-TABL12[[#This Row],[BER_IN]]</f>
        <v/>
      </c>
      <c r="AK195" s="6" t="n">
        <v>35</v>
      </c>
      <c r="AL195" s="33" t="n">
        <v>43.2026</v>
      </c>
      <c r="AM195" s="6" t="n">
        <v>3218380</v>
      </c>
      <c r="AN195" s="6">
        <f>TABL12[[#This Row],[ (RESV. STORGE) SER]]/10</f>
        <v/>
      </c>
      <c r="AO195" s="6" t="n">
        <v>2120</v>
      </c>
      <c r="AP195" s="32">
        <f>TABL12[[#This Row],[(A/S) AJD]]-TABL12[[#This Row],[SER_IN]]</f>
        <v/>
      </c>
    </row>
    <row r="196" ht="15.75" customHeight="1">
      <c r="A196" s="2" t="n">
        <v>45852</v>
      </c>
      <c r="B196" s="28" t="n">
        <v>30</v>
      </c>
      <c r="C196" s="28" t="n">
        <v>256</v>
      </c>
      <c r="D196" s="28" t="n">
        <v>30</v>
      </c>
      <c r="E196" s="28" t="n">
        <v>0</v>
      </c>
      <c r="F196" s="28" t="n">
        <v>102</v>
      </c>
      <c r="G196" s="28" t="n">
        <v>662</v>
      </c>
      <c r="H196" s="28" t="n">
        <v>0</v>
      </c>
      <c r="I196" s="28" t="n">
        <v>465</v>
      </c>
      <c r="J196" s="28" t="n">
        <v>446</v>
      </c>
      <c r="K196" s="28">
        <f>TABL12[[#This Row],[ (T/B) SAR]]+TABL12[[#This Row],[ (S/S) SAR]]</f>
        <v/>
      </c>
      <c r="L196" s="28" t="n">
        <v>249</v>
      </c>
      <c r="M196" s="29" t="n">
        <v>20</v>
      </c>
      <c r="N196" s="30" t="n">
        <v>7</v>
      </c>
      <c r="O196" s="12" t="n">
        <v>399</v>
      </c>
      <c r="P196" s="12">
        <f>TABL12[[#This Row],[ (S/S) SAR]]-TABL12[[#This Row],[(S/S) AJD]]</f>
        <v/>
      </c>
      <c r="Q196" s="12" t="n">
        <v>441</v>
      </c>
      <c r="R196" s="12">
        <f>TABL12[[#This Row],[ (T/B) SAR]]-TABL12[[#This Row],[(T/B) AJD]]</f>
        <v/>
      </c>
      <c r="S196" s="12">
        <f>TABL12[[#This Row],[S/S_CON.]]+TABL12[[#This Row],[T/B-CON.]]</f>
        <v/>
      </c>
      <c r="T196" s="12">
        <f>O196+Q196</f>
        <v/>
      </c>
      <c r="U196" s="12" t="n">
        <v>572</v>
      </c>
      <c r="V196" s="12" t="n">
        <v>272</v>
      </c>
      <c r="W196" s="12">
        <f>U196+V196</f>
        <v/>
      </c>
      <c r="X196" s="12">
        <f>T196-W196</f>
        <v/>
      </c>
      <c r="Y196" s="13" t="n">
        <v>91.92</v>
      </c>
      <c r="Z196" s="12" t="n">
        <v>152512</v>
      </c>
      <c r="AA196" s="12">
        <f>TABL12[[#This Row],[(RESV. STORGE) AJD]]/10</f>
        <v/>
      </c>
      <c r="AB196" s="3">
        <f>(Z196-Z195)/1000</f>
        <v/>
      </c>
      <c r="AC196" s="6" t="n">
        <v>0</v>
      </c>
      <c r="AD196" s="5">
        <f>TABL12[[#This Row],[( S/S+T/B) AJD]]-(TABL12[[#This Row],[(A/B + A/S) AJD]]+TABL12[[#This Row],[(STORGE DIFF.) AJD]]+(TABL12[[#This Row],[AJD_Evaporation]]))</f>
        <v/>
      </c>
      <c r="AE196" s="6" t="n">
        <v>58</v>
      </c>
      <c r="AF196" s="33" t="n">
        <v>59.229</v>
      </c>
      <c r="AG196" s="6" t="n">
        <v>1775062</v>
      </c>
      <c r="AH196" s="6">
        <f>TABL12[[#This Row],[ (RESV. STORGE) BER]]/10</f>
        <v/>
      </c>
      <c r="AI196" s="6" t="n">
        <v>3248</v>
      </c>
      <c r="AJ196" s="6">
        <f>TABL12[[#This Row],[(A/B) AJD]]-TABL12[[#This Row],[BER_IN]]</f>
        <v/>
      </c>
      <c r="AK196" s="6" t="n">
        <v>35</v>
      </c>
      <c r="AL196" s="33" t="n">
        <v>43.073</v>
      </c>
      <c r="AM196" s="6" t="n">
        <v>3148280</v>
      </c>
      <c r="AN196" s="6">
        <f>TABL12[[#This Row],[ (RESV. STORGE) SER]]/10</f>
        <v/>
      </c>
      <c r="AO196" s="6" t="n">
        <v>2100</v>
      </c>
      <c r="AP196" s="32">
        <f>TABL12[[#This Row],[(A/S) AJD]]-TABL12[[#This Row],[SER_IN]]</f>
        <v/>
      </c>
    </row>
    <row r="197" ht="15.75" customHeight="1">
      <c r="A197" s="2" t="n">
        <v>45853</v>
      </c>
      <c r="B197" s="28" t="n">
        <v>30</v>
      </c>
      <c r="C197" s="28" t="n">
        <v>251</v>
      </c>
      <c r="D197" s="28" t="n">
        <v>30</v>
      </c>
      <c r="E197" s="28" t="n">
        <v>0</v>
      </c>
      <c r="F197" s="28" t="n">
        <v>101</v>
      </c>
      <c r="G197" s="28" t="n">
        <v>669</v>
      </c>
      <c r="H197" s="28" t="n">
        <v>1</v>
      </c>
      <c r="I197" s="28" t="n">
        <v>467</v>
      </c>
      <c r="J197" s="28" t="n">
        <v>451</v>
      </c>
      <c r="K197" s="28">
        <f>TABL12[[#This Row],[ (T/B) SAR]]+TABL12[[#This Row],[ (S/S) SAR]]</f>
        <v/>
      </c>
      <c r="L197" s="28" t="n">
        <v>249</v>
      </c>
      <c r="M197" s="29" t="n">
        <v>20</v>
      </c>
      <c r="N197" s="30" t="n">
        <v>6.99</v>
      </c>
      <c r="O197" s="12" t="n">
        <v>398</v>
      </c>
      <c r="P197" s="12">
        <f>TABL12[[#This Row],[ (S/S) SAR]]-TABL12[[#This Row],[(S/S) AJD]]</f>
        <v/>
      </c>
      <c r="Q197" s="12" t="n">
        <v>436</v>
      </c>
      <c r="R197" s="12">
        <f>TABL12[[#This Row],[ (T/B) SAR]]-TABL12[[#This Row],[(T/B) AJD]]</f>
        <v/>
      </c>
      <c r="S197" s="12">
        <f>TABL12[[#This Row],[S/S_CON.]]+TABL12[[#This Row],[T/B-CON.]]</f>
        <v/>
      </c>
      <c r="T197" s="12">
        <f>O197+Q197</f>
        <v/>
      </c>
      <c r="U197" s="12" t="n">
        <v>548</v>
      </c>
      <c r="V197" s="12" t="n">
        <v>272</v>
      </c>
      <c r="W197" s="12">
        <f>U197+V197</f>
        <v/>
      </c>
      <c r="X197" s="12">
        <f>T197-W197</f>
        <v/>
      </c>
      <c r="Y197" s="13" t="n">
        <v>91.92</v>
      </c>
      <c r="Z197" s="12" t="n">
        <v>152512</v>
      </c>
      <c r="AA197" s="12">
        <f>TABL12[[#This Row],[(RESV. STORGE) AJD]]/10</f>
        <v/>
      </c>
      <c r="AB197" s="3">
        <f>(Z197-Z196)/1000</f>
        <v/>
      </c>
      <c r="AC197" s="6" t="n">
        <v>0</v>
      </c>
      <c r="AD197" s="5">
        <f>TABL12[[#This Row],[( S/S+T/B) AJD]]-(TABL12[[#This Row],[(A/B + A/S) AJD]]+TABL12[[#This Row],[(STORGE DIFF.) AJD]]+(TABL12[[#This Row],[AJD_Evaporation]]))</f>
        <v/>
      </c>
      <c r="AE197" s="6" t="n">
        <v>40</v>
      </c>
      <c r="AF197" s="33" t="n">
        <v>59.245</v>
      </c>
      <c r="AG197" s="6" t="n">
        <v>1785658</v>
      </c>
      <c r="AH197" s="6">
        <f>TABL12[[#This Row],[ (RESV. STORGE) BER]]/10</f>
        <v/>
      </c>
      <c r="AI197" s="6" t="n">
        <v>3125</v>
      </c>
      <c r="AJ197" s="6">
        <f>TABL12[[#This Row],[(A/B) AJD]]-TABL12[[#This Row],[BER_IN]]</f>
        <v/>
      </c>
      <c r="AK197" s="6" t="n">
        <v>36</v>
      </c>
      <c r="AL197" s="33" t="n">
        <v>43.0342</v>
      </c>
      <c r="AM197" s="6" t="n">
        <v>3126610</v>
      </c>
      <c r="AN197" s="6">
        <f>TABL12[[#This Row],[ (RESV. STORGE) SER]]/10</f>
        <v/>
      </c>
      <c r="AO197" s="6" t="n">
        <v>2075</v>
      </c>
      <c r="AP197" s="32">
        <f>TABL12[[#This Row],[(A/S) AJD]]-TABL12[[#This Row],[SER_IN]]</f>
        <v/>
      </c>
    </row>
    <row r="198" ht="15.75" customHeight="1">
      <c r="A198" s="2" t="n">
        <v>45854</v>
      </c>
      <c r="B198" s="28" t="n">
        <v>30</v>
      </c>
      <c r="C198" s="28" t="n">
        <v>254</v>
      </c>
      <c r="D198" s="28" t="n">
        <v>30</v>
      </c>
      <c r="E198" s="28" t="n">
        <v>0</v>
      </c>
      <c r="F198" s="28" t="n">
        <v>102</v>
      </c>
      <c r="G198" s="28" t="n">
        <v>680</v>
      </c>
      <c r="H198" s="28" t="n">
        <v>0</v>
      </c>
      <c r="I198" s="28" t="n">
        <v>472</v>
      </c>
      <c r="J198" s="28" t="n">
        <v>458</v>
      </c>
      <c r="K198" s="28">
        <f>TABL12[[#This Row],[ (T/B) SAR]]+TABL12[[#This Row],[ (S/S) SAR]]</f>
        <v/>
      </c>
      <c r="L198" s="28" t="n">
        <v>250</v>
      </c>
      <c r="M198" s="29" t="n">
        <v>20</v>
      </c>
      <c r="N198" s="30" t="n">
        <v>7.04</v>
      </c>
      <c r="O198" s="12" t="n">
        <v>397</v>
      </c>
      <c r="P198" s="12">
        <f>TABL12[[#This Row],[ (S/S) SAR]]-TABL12[[#This Row],[(S/S) AJD]]</f>
        <v/>
      </c>
      <c r="Q198" s="12" t="n">
        <v>419</v>
      </c>
      <c r="R198" s="12">
        <f>TABL12[[#This Row],[ (T/B) SAR]]-TABL12[[#This Row],[(T/B) AJD]]</f>
        <v/>
      </c>
      <c r="S198" s="12">
        <f>TABL12[[#This Row],[S/S_CON.]]+TABL12[[#This Row],[T/B-CON.]]</f>
        <v/>
      </c>
      <c r="T198" s="12">
        <f>O198+Q198</f>
        <v/>
      </c>
      <c r="U198" s="12" t="n">
        <v>550</v>
      </c>
      <c r="V198" s="12" t="n">
        <v>278</v>
      </c>
      <c r="W198" s="12">
        <f>U198+V198</f>
        <v/>
      </c>
      <c r="X198" s="12">
        <f>T198-W198</f>
        <v/>
      </c>
      <c r="Y198" s="13" t="n">
        <v>91.92</v>
      </c>
      <c r="Z198" s="12" t="n">
        <v>152512</v>
      </c>
      <c r="AA198" s="12">
        <f>TABL12[[#This Row],[(RESV. STORGE) AJD]]/10</f>
        <v/>
      </c>
      <c r="AB198" s="3">
        <f>(Z198-Z197)/1000</f>
        <v/>
      </c>
      <c r="AC198" s="6" t="n">
        <v>0</v>
      </c>
      <c r="AD198" s="5">
        <f>TABL12[[#This Row],[( S/S+T/B) AJD]]-(TABL12[[#This Row],[(A/B + A/S) AJD]]+TABL12[[#This Row],[(STORGE DIFF.) AJD]]+(TABL12[[#This Row],[AJD_Evaporation]]))</f>
        <v/>
      </c>
      <c r="AE198" s="6" t="n">
        <v>40</v>
      </c>
      <c r="AF198" s="33" t="n">
        <v>59.25</v>
      </c>
      <c r="AG198" s="6" t="n">
        <v>1788970</v>
      </c>
      <c r="AH198" s="6">
        <f>TABL12[[#This Row],[ (RESV. STORGE) BER]]/10</f>
        <v/>
      </c>
      <c r="AI198" s="6" t="n">
        <v>2658</v>
      </c>
      <c r="AJ198" s="6">
        <f>TABL12[[#This Row],[(A/B) AJD]]-TABL12[[#This Row],[BER_IN]]</f>
        <v/>
      </c>
      <c r="AK198" s="6" t="n">
        <v>35</v>
      </c>
      <c r="AL198" s="33" t="n">
        <v>43.0625</v>
      </c>
      <c r="AM198" s="6" t="n">
        <v>3141320</v>
      </c>
      <c r="AN198" s="6">
        <f>TABL12[[#This Row],[ (RESV. STORGE) SER]]/10</f>
        <v/>
      </c>
      <c r="AO198" s="6" t="n">
        <v>1790</v>
      </c>
      <c r="AP198" s="32">
        <f>TABL12[[#This Row],[(A/S) AJD]]-TABL12[[#This Row],[SER_IN]]</f>
        <v/>
      </c>
    </row>
    <row r="199" ht="15.75" customHeight="1">
      <c r="A199" s="2" t="n">
        <v>45855</v>
      </c>
      <c r="B199" s="28" t="n">
        <v>30</v>
      </c>
      <c r="C199" s="28" t="n">
        <v>252</v>
      </c>
      <c r="D199" s="28" t="n">
        <v>30</v>
      </c>
      <c r="E199" s="28" t="n">
        <v>0</v>
      </c>
      <c r="F199" s="28" t="n">
        <v>103</v>
      </c>
      <c r="G199" s="28" t="n">
        <v>685</v>
      </c>
      <c r="H199" s="28" t="n">
        <v>0</v>
      </c>
      <c r="I199" s="28" t="n">
        <v>475</v>
      </c>
      <c r="J199" s="28" t="n">
        <v>459</v>
      </c>
      <c r="K199" s="28">
        <f>TABL12[[#This Row],[ (T/B) SAR]]+TABL12[[#This Row],[ (S/S) SAR]]</f>
        <v/>
      </c>
      <c r="L199" s="28" t="n">
        <v>249</v>
      </c>
      <c r="M199" s="29" t="n">
        <v>20</v>
      </c>
      <c r="N199" s="30" t="n">
        <v>7.06</v>
      </c>
      <c r="O199" s="12" t="n">
        <v>405</v>
      </c>
      <c r="P199" s="12">
        <f>TABL12[[#This Row],[ (S/S) SAR]]-TABL12[[#This Row],[(S/S) AJD]]</f>
        <v/>
      </c>
      <c r="Q199" s="12" t="n">
        <v>443</v>
      </c>
      <c r="R199" s="12">
        <f>TABL12[[#This Row],[ (T/B) SAR]]-TABL12[[#This Row],[(T/B) AJD]]</f>
        <v/>
      </c>
      <c r="S199" s="12">
        <f>TABL12[[#This Row],[S/S_CON.]]+TABL12[[#This Row],[T/B-CON.]]</f>
        <v/>
      </c>
      <c r="T199" s="12">
        <f>O199+Q199</f>
        <v/>
      </c>
      <c r="U199" s="12" t="n">
        <v>518</v>
      </c>
      <c r="V199" s="12" t="n">
        <v>257</v>
      </c>
      <c r="W199" s="12">
        <f>U199+V199</f>
        <v/>
      </c>
      <c r="X199" s="12">
        <f>T199-W199</f>
        <v/>
      </c>
      <c r="Y199" s="13" t="n">
        <v>91.92</v>
      </c>
      <c r="Z199" s="12" t="n">
        <v>152512</v>
      </c>
      <c r="AA199" s="12">
        <f>TABL12[[#This Row],[(RESV. STORGE) AJD]]/10</f>
        <v/>
      </c>
      <c r="AB199" s="3">
        <f>(Z199-Z198)/1000</f>
        <v/>
      </c>
      <c r="AC199" s="6" t="n">
        <v>0</v>
      </c>
      <c r="AD199" s="5">
        <f>TABL12[[#This Row],[( S/S+T/B) AJD]]-(TABL12[[#This Row],[(A/B + A/S) AJD]]+TABL12[[#This Row],[(STORGE DIFF.) AJD]]+(TABL12[[#This Row],[AJD_Evaporation]]))</f>
        <v/>
      </c>
      <c r="AE199" s="6" t="n">
        <v>24</v>
      </c>
      <c r="AF199" s="33" t="n">
        <v>59.222</v>
      </c>
      <c r="AG199" s="6" t="n">
        <v>1770427</v>
      </c>
      <c r="AH199" s="6">
        <f>TABL12[[#This Row],[ (RESV. STORGE) BER]]/10</f>
        <v/>
      </c>
      <c r="AI199" s="6" t="n">
        <v>2702</v>
      </c>
      <c r="AJ199" s="6">
        <f>TABL12[[#This Row],[(A/B) AJD]]-TABL12[[#This Row],[BER_IN]]</f>
        <v/>
      </c>
      <c r="AK199" s="6" t="n">
        <v>35</v>
      </c>
      <c r="AL199" s="33" t="n">
        <v>43.0956</v>
      </c>
      <c r="AM199" s="6" t="n">
        <v>3160200</v>
      </c>
      <c r="AN199" s="6">
        <f>TABL12[[#This Row],[ (RESV. STORGE) SER]]/10</f>
        <v/>
      </c>
      <c r="AO199" s="6" t="n">
        <v>1820</v>
      </c>
      <c r="AP199" s="32">
        <f>TABL12[[#This Row],[(A/S) AJD]]-TABL12[[#This Row],[SER_IN]]</f>
        <v/>
      </c>
    </row>
    <row r="200" ht="15.75" customHeight="1">
      <c r="A200" s="2" t="n">
        <v>45856</v>
      </c>
      <c r="B200" s="28" t="n">
        <v>30</v>
      </c>
      <c r="C200" s="28" t="n">
        <v>251</v>
      </c>
      <c r="D200" s="28" t="n">
        <v>30</v>
      </c>
      <c r="E200" s="28" t="n">
        <v>0</v>
      </c>
      <c r="F200" s="28" t="n">
        <v>103</v>
      </c>
      <c r="G200" s="28" t="n">
        <v>684</v>
      </c>
      <c r="H200" s="28" t="n">
        <v>0</v>
      </c>
      <c r="I200" s="28" t="n">
        <v>475</v>
      </c>
      <c r="J200" s="28" t="n">
        <v>459</v>
      </c>
      <c r="K200" s="28">
        <f>TABL12[[#This Row],[ (T/B) SAR]]+TABL12[[#This Row],[ (S/S) SAR]]</f>
        <v/>
      </c>
      <c r="L200" s="28" t="n">
        <v>250</v>
      </c>
      <c r="M200" s="29" t="n">
        <v>20</v>
      </c>
      <c r="N200" s="30" t="n">
        <v>7.08</v>
      </c>
      <c r="O200" s="12" t="n">
        <v>409</v>
      </c>
      <c r="P200" s="12">
        <f>TABL12[[#This Row],[ (S/S) SAR]]-TABL12[[#This Row],[(S/S) AJD]]</f>
        <v/>
      </c>
      <c r="Q200" s="12" t="n">
        <v>447</v>
      </c>
      <c r="R200" s="12">
        <f>TABL12[[#This Row],[ (T/B) SAR]]-TABL12[[#This Row],[(T/B) AJD]]</f>
        <v/>
      </c>
      <c r="S200" s="12">
        <f>TABL12[[#This Row],[S/S_CON.]]+TABL12[[#This Row],[T/B-CON.]]</f>
        <v/>
      </c>
      <c r="T200" s="12">
        <f>O200+Q200</f>
        <v/>
      </c>
      <c r="U200" s="12" t="n">
        <v>491</v>
      </c>
      <c r="V200" s="12" t="n">
        <v>354</v>
      </c>
      <c r="W200" s="12">
        <f>U200+V200</f>
        <v/>
      </c>
      <c r="X200" s="12">
        <f>T200-W200</f>
        <v/>
      </c>
      <c r="Y200" s="13" t="n">
        <v>92.011</v>
      </c>
      <c r="Z200" s="12" t="n">
        <v>206322</v>
      </c>
      <c r="AA200" s="12">
        <f>TABL12[[#This Row],[(RESV. STORGE) AJD]]/10</f>
        <v/>
      </c>
      <c r="AB200" s="3">
        <f>(Z200-Z199)/1000</f>
        <v/>
      </c>
      <c r="AC200" s="6" t="n">
        <v>0</v>
      </c>
      <c r="AD200" s="5">
        <f>TABL12[[#This Row],[( S/S+T/B) AJD]]-(TABL12[[#This Row],[(A/B + A/S) AJD]]+TABL12[[#This Row],[(STORGE DIFF.) AJD]]+(TABL12[[#This Row],[AJD_Evaporation]]))</f>
        <v/>
      </c>
      <c r="AE200" s="6" t="n">
        <v>20</v>
      </c>
      <c r="AF200" s="33" t="n">
        <v>59.188</v>
      </c>
      <c r="AG200" s="6" t="n">
        <v>1747920</v>
      </c>
      <c r="AH200" s="6">
        <f>TABL12[[#This Row],[ (RESV. STORGE) BER]]/10</f>
        <v/>
      </c>
      <c r="AI200" s="6" t="n">
        <v>2667</v>
      </c>
      <c r="AJ200" s="6">
        <f>TABL12[[#This Row],[(A/B) AJD]]-TABL12[[#This Row],[BER_IN]]</f>
        <v/>
      </c>
      <c r="AK200" s="6" t="n">
        <v>35</v>
      </c>
      <c r="AL200" s="33" t="n">
        <v>43.1263</v>
      </c>
      <c r="AM200" s="6" t="n">
        <v>3176460</v>
      </c>
      <c r="AN200" s="6">
        <f>TABL12[[#This Row],[ (RESV. STORGE) SER]]/10</f>
        <v/>
      </c>
      <c r="AO200" s="6" t="n">
        <v>1740</v>
      </c>
      <c r="AP200" s="32">
        <f>TABL12[[#This Row],[(A/S) AJD]]-TABL12[[#This Row],[SER_IN]]</f>
        <v/>
      </c>
    </row>
    <row r="201" ht="15.75" customHeight="1">
      <c r="A201" s="2" t="n">
        <v>45857</v>
      </c>
      <c r="B201" s="28" t="n">
        <v>30</v>
      </c>
      <c r="C201" s="28" t="n">
        <v>247</v>
      </c>
      <c r="D201" s="28" t="n">
        <v>30</v>
      </c>
      <c r="E201" s="28" t="n">
        <v>0</v>
      </c>
      <c r="F201" s="28" t="n">
        <v>103</v>
      </c>
      <c r="G201" s="28" t="n">
        <v>677</v>
      </c>
      <c r="H201" s="28" t="n">
        <v>0</v>
      </c>
      <c r="I201" s="28" t="n">
        <v>471</v>
      </c>
      <c r="J201" s="28" t="n">
        <v>455</v>
      </c>
      <c r="K201" s="28">
        <f>TABL12[[#This Row],[ (T/B) SAR]]+TABL12[[#This Row],[ (S/S) SAR]]</f>
        <v/>
      </c>
      <c r="L201" s="28" t="n">
        <v>249</v>
      </c>
      <c r="M201" s="29" t="n">
        <v>20</v>
      </c>
      <c r="N201" s="30" t="n">
        <v>7.04</v>
      </c>
      <c r="O201" s="12" t="n">
        <v>411</v>
      </c>
      <c r="P201" s="12">
        <f>TABL12[[#This Row],[ (S/S) SAR]]-TABL12[[#This Row],[(S/S) AJD]]</f>
        <v/>
      </c>
      <c r="Q201" s="12" t="n">
        <v>448</v>
      </c>
      <c r="R201" s="12">
        <f>TABL12[[#This Row],[ (T/B) SAR]]-TABL12[[#This Row],[(T/B) AJD]]</f>
        <v/>
      </c>
      <c r="S201" s="12">
        <f>TABL12[[#This Row],[S/S_CON.]]+TABL12[[#This Row],[T/B-CON.]]</f>
        <v/>
      </c>
      <c r="T201" s="12">
        <f>O201+Q201</f>
        <v/>
      </c>
      <c r="U201" s="12" t="n">
        <v>497</v>
      </c>
      <c r="V201" s="12" t="n">
        <v>302</v>
      </c>
      <c r="W201" s="12">
        <f>U201+V201</f>
        <v/>
      </c>
      <c r="X201" s="12">
        <f>T201-W201</f>
        <v/>
      </c>
      <c r="Y201" s="13" t="n">
        <v>92.095</v>
      </c>
      <c r="Z201" s="12" t="n">
        <v>256050</v>
      </c>
      <c r="AA201" s="12">
        <f>TABL12[[#This Row],[(RESV. STORGE) AJD]]/10</f>
        <v/>
      </c>
      <c r="AB201" s="3">
        <f>(Z201-Z200)/1000</f>
        <v/>
      </c>
      <c r="AC201" s="6" t="n">
        <v>0</v>
      </c>
      <c r="AD201" s="5">
        <f>TABL12[[#This Row],[( S/S+T/B) AJD]]-(TABL12[[#This Row],[(A/B + A/S) AJD]]+TABL12[[#This Row],[(STORGE DIFF.) AJD]]+(TABL12[[#This Row],[AJD_Evaporation]]))</f>
        <v/>
      </c>
      <c r="AE201" s="6" t="n">
        <v>20</v>
      </c>
      <c r="AF201" s="33" t="n">
        <v>59.153</v>
      </c>
      <c r="AG201" s="6" t="n">
        <v>1724761</v>
      </c>
      <c r="AH201" s="6">
        <f>TABL12[[#This Row],[ (RESV. STORGE) BER]]/10</f>
        <v/>
      </c>
      <c r="AI201" s="6" t="n">
        <v>3318</v>
      </c>
      <c r="AJ201" s="6">
        <f>TABL12[[#This Row],[(A/B) AJD]]-TABL12[[#This Row],[BER_IN]]</f>
        <v/>
      </c>
      <c r="AK201" s="6" t="n">
        <v>35</v>
      </c>
      <c r="AL201" s="33" t="n">
        <v>43.1525</v>
      </c>
      <c r="AM201" s="6" t="n">
        <v>3190050</v>
      </c>
      <c r="AN201" s="6">
        <f>TABL12[[#This Row],[ (RESV. STORGE) SER]]/10</f>
        <v/>
      </c>
      <c r="AO201" s="6" t="n">
        <v>1810</v>
      </c>
      <c r="AP201" s="32">
        <f>TABL12[[#This Row],[(A/S) AJD]]-TABL12[[#This Row],[SER_IN]]</f>
        <v/>
      </c>
    </row>
    <row r="202" ht="15.75" customHeight="1">
      <c r="A202" s="2" t="n">
        <v>45858</v>
      </c>
      <c r="B202" s="28" t="n">
        <v>29</v>
      </c>
      <c r="C202" s="28" t="n">
        <v>246</v>
      </c>
      <c r="D202" s="28" t="n">
        <v>29</v>
      </c>
      <c r="E202" s="28" t="n">
        <v>0</v>
      </c>
      <c r="F202" s="28" t="n">
        <v>103</v>
      </c>
      <c r="G202" s="28" t="n">
        <v>676</v>
      </c>
      <c r="H202" s="28" t="n">
        <v>0</v>
      </c>
      <c r="I202" s="28" t="n">
        <v>470</v>
      </c>
      <c r="J202" s="28" t="n">
        <v>454</v>
      </c>
      <c r="K202" s="28">
        <f>TABL12[[#This Row],[ (T/B) SAR]]+TABL12[[#This Row],[ (S/S) SAR]]</f>
        <v/>
      </c>
      <c r="L202" s="28" t="n">
        <v>248</v>
      </c>
      <c r="M202" s="29" t="n">
        <v>20</v>
      </c>
      <c r="N202" s="30" t="n">
        <v>6.99</v>
      </c>
      <c r="O202" s="12" t="n">
        <v>406</v>
      </c>
      <c r="P202" s="12">
        <f>TABL12[[#This Row],[ (S/S) SAR]]-TABL12[[#This Row],[(S/S) AJD]]</f>
        <v/>
      </c>
      <c r="Q202" s="12" t="n">
        <v>446</v>
      </c>
      <c r="R202" s="12">
        <f>TABL12[[#This Row],[ (T/B) SAR]]-TABL12[[#This Row],[(T/B) AJD]]</f>
        <v/>
      </c>
      <c r="S202" s="12">
        <f>TABL12[[#This Row],[S/S_CON.]]+TABL12[[#This Row],[T/B-CON.]]</f>
        <v/>
      </c>
      <c r="T202" s="12">
        <f>O202+Q202</f>
        <v/>
      </c>
      <c r="U202" s="12" t="n">
        <v>505</v>
      </c>
      <c r="V202" s="12" t="n">
        <v>284</v>
      </c>
      <c r="W202" s="12">
        <f>U202+V202</f>
        <v/>
      </c>
      <c r="X202" s="12">
        <f>T202-W202</f>
        <v/>
      </c>
      <c r="Y202" s="13" t="n">
        <v>92.16500000000001</v>
      </c>
      <c r="Z202" s="12" t="n">
        <v>297535</v>
      </c>
      <c r="AA202" s="12">
        <f>TABL12[[#This Row],[(RESV. STORGE) AJD]]/10</f>
        <v/>
      </c>
      <c r="AB202" s="3">
        <f>(Z202-Z201)/1000</f>
        <v/>
      </c>
      <c r="AC202" s="6" t="n">
        <v>0</v>
      </c>
      <c r="AD202" s="5">
        <f>TABL12[[#This Row],[( S/S+T/B) AJD]]-(TABL12[[#This Row],[(A/B + A/S) AJD]]+TABL12[[#This Row],[(STORGE DIFF.) AJD]]+(TABL12[[#This Row],[AJD_Evaporation]]))</f>
        <v/>
      </c>
      <c r="AE202" s="6" t="n">
        <v>20</v>
      </c>
      <c r="AF202" s="33" t="n">
        <v>59.118</v>
      </c>
      <c r="AG202" s="6" t="n">
        <v>1701613</v>
      </c>
      <c r="AH202" s="6">
        <f>TABL12[[#This Row],[ (RESV. STORGE) BER]]/10</f>
        <v/>
      </c>
      <c r="AI202" s="6" t="n">
        <v>3308</v>
      </c>
      <c r="AJ202" s="6">
        <f>TABL12[[#This Row],[(A/B) AJD]]-TABL12[[#This Row],[BER_IN]]</f>
        <v/>
      </c>
      <c r="AK202" s="6" t="n">
        <v>35</v>
      </c>
      <c r="AL202" s="33" t="n">
        <v>43.18</v>
      </c>
      <c r="AM202" s="6" t="n">
        <v>3205740</v>
      </c>
      <c r="AN202" s="6">
        <f>TABL12[[#This Row],[ (RESV. STORGE) SER]]/10</f>
        <v/>
      </c>
      <c r="AO202" s="6" t="n">
        <v>1810</v>
      </c>
      <c r="AP202" s="32">
        <f>TABL12[[#This Row],[(A/S) AJD]]-TABL12[[#This Row],[SER_IN]]</f>
        <v/>
      </c>
    </row>
    <row r="203" ht="15.75" customHeight="1">
      <c r="A203" s="2" t="n">
        <v>45859</v>
      </c>
      <c r="B203" s="28" t="n">
        <v>29</v>
      </c>
      <c r="C203" s="28" t="n">
        <v>251</v>
      </c>
      <c r="D203" s="28" t="n">
        <v>29</v>
      </c>
      <c r="E203" s="28" t="n">
        <v>0</v>
      </c>
      <c r="F203" s="28" t="n">
        <v>103</v>
      </c>
      <c r="G203" s="28" t="n">
        <v>676</v>
      </c>
      <c r="H203" s="28" t="n">
        <v>0</v>
      </c>
      <c r="I203" s="28" t="n">
        <v>470</v>
      </c>
      <c r="J203" s="28" t="n">
        <v>453</v>
      </c>
      <c r="K203" s="28">
        <f>TABL12[[#This Row],[ (T/B) SAR]]+TABL12[[#This Row],[ (S/S) SAR]]</f>
        <v/>
      </c>
      <c r="L203" s="28" t="n">
        <v>247</v>
      </c>
      <c r="M203" s="29" t="n">
        <v>20</v>
      </c>
      <c r="N203" s="30" t="n">
        <v>6.94</v>
      </c>
      <c r="O203" s="12" t="n">
        <v>404</v>
      </c>
      <c r="P203" s="12">
        <f>TABL12[[#This Row],[ (S/S) SAR]]-TABL12[[#This Row],[(S/S) AJD]]</f>
        <v/>
      </c>
      <c r="Q203" s="12" t="n">
        <v>443</v>
      </c>
      <c r="R203" s="12">
        <f>TABL12[[#This Row],[ (T/B) SAR]]-TABL12[[#This Row],[(T/B) AJD]]</f>
        <v/>
      </c>
      <c r="S203" s="12">
        <f>TABL12[[#This Row],[S/S_CON.]]+TABL12[[#This Row],[T/B-CON.]]</f>
        <v/>
      </c>
      <c r="T203" s="12">
        <f>O203+Q203</f>
        <v/>
      </c>
      <c r="U203" s="12" t="n">
        <v>498</v>
      </c>
      <c r="V203" s="12" t="n">
        <v>286</v>
      </c>
      <c r="W203" s="12">
        <f>U203+V203</f>
        <v/>
      </c>
      <c r="X203" s="12">
        <f>T203-W203</f>
        <v/>
      </c>
      <c r="Y203" s="13" t="n">
        <v>92.24299999999999</v>
      </c>
      <c r="Z203" s="12" t="n">
        <v>343805</v>
      </c>
      <c r="AA203" s="12">
        <f>TABL12[[#This Row],[(RESV. STORGE) AJD]]/10</f>
        <v/>
      </c>
      <c r="AB203" s="3">
        <f>(Z203-Z202)/1000</f>
        <v/>
      </c>
      <c r="AC203" s="6" t="n">
        <v>0</v>
      </c>
      <c r="AD203" s="5">
        <f>TABL12[[#This Row],[( S/S+T/B) AJD]]-(TABL12[[#This Row],[(A/B + A/S) AJD]]+TABL12[[#This Row],[(STORGE DIFF.) AJD]]+(TABL12[[#This Row],[AJD_Evaporation]]))</f>
        <v/>
      </c>
      <c r="AE203" s="6" t="n">
        <v>20</v>
      </c>
      <c r="AF203" s="33" t="n">
        <v>59.083</v>
      </c>
      <c r="AG203" s="6" t="n">
        <v>1678476</v>
      </c>
      <c r="AH203" s="6">
        <f>TABL12[[#This Row],[ (RESV. STORGE) BER]]/10</f>
        <v/>
      </c>
      <c r="AI203" s="6" t="n">
        <v>3297</v>
      </c>
      <c r="AJ203" s="6">
        <f>TABL12[[#This Row],[(A/B) AJD]]-TABL12[[#This Row],[BER_IN]]</f>
        <v/>
      </c>
      <c r="AK203" s="6" t="n">
        <v>35</v>
      </c>
      <c r="AL203" s="33" t="n">
        <v>43.1948</v>
      </c>
      <c r="AM203" s="6" t="n">
        <v>3213880</v>
      </c>
      <c r="AN203" s="6">
        <f>TABL12[[#This Row],[ (RESV. STORGE) SER]]/10</f>
        <v/>
      </c>
      <c r="AO203" s="6" t="n">
        <v>1860</v>
      </c>
      <c r="AP203" s="32">
        <f>TABL12[[#This Row],[(A/S) AJD]]-TABL12[[#This Row],[SER_IN]]</f>
        <v/>
      </c>
    </row>
    <row r="204" ht="15.75" customHeight="1">
      <c r="A204" s="2" t="n">
        <v>45860</v>
      </c>
      <c r="B204" s="28" t="n">
        <v>29</v>
      </c>
      <c r="C204" s="28" t="n">
        <v>244</v>
      </c>
      <c r="D204" s="28" t="n">
        <v>29</v>
      </c>
      <c r="E204" s="28" t="n">
        <v>0</v>
      </c>
      <c r="F204" s="28" t="n">
        <v>103</v>
      </c>
      <c r="G204" s="28" t="n">
        <v>671</v>
      </c>
      <c r="H204" s="28" t="n">
        <v>0</v>
      </c>
      <c r="I204" s="28" t="n">
        <v>468</v>
      </c>
      <c r="J204" s="28" t="n">
        <v>450</v>
      </c>
      <c r="K204" s="28">
        <f>TABL12[[#This Row],[ (T/B) SAR]]+TABL12[[#This Row],[ (S/S) SAR]]</f>
        <v/>
      </c>
      <c r="L204" s="28" t="n">
        <v>247</v>
      </c>
      <c r="M204" s="29" t="n">
        <v>20</v>
      </c>
      <c r="N204" s="30" t="n">
        <v>6.88</v>
      </c>
      <c r="O204" s="12" t="n">
        <v>403</v>
      </c>
      <c r="P204" s="12">
        <f>TABL12[[#This Row],[ (S/S) SAR]]-TABL12[[#This Row],[(S/S) AJD]]</f>
        <v/>
      </c>
      <c r="Q204" s="12" t="n">
        <v>442</v>
      </c>
      <c r="R204" s="12">
        <f>TABL12[[#This Row],[ (T/B) SAR]]-TABL12[[#This Row],[(T/B) AJD]]</f>
        <v/>
      </c>
      <c r="S204" s="12">
        <f>TABL12[[#This Row],[S/S_CON.]]+TABL12[[#This Row],[T/B-CON.]]</f>
        <v/>
      </c>
      <c r="T204" s="12">
        <f>O204+Q204</f>
        <v/>
      </c>
      <c r="U204" s="12" t="n">
        <v>505</v>
      </c>
      <c r="V204" s="12" t="n">
        <v>288</v>
      </c>
      <c r="W204" s="12">
        <f>U204+V204</f>
        <v/>
      </c>
      <c r="X204" s="12">
        <f>T204-W204</f>
        <v/>
      </c>
      <c r="Y204" s="13" t="n">
        <v>92.3</v>
      </c>
      <c r="Z204" s="12" t="n">
        <v>377652</v>
      </c>
      <c r="AA204" s="12">
        <f>TABL12[[#This Row],[(RESV. STORGE) AJD]]/10</f>
        <v/>
      </c>
      <c r="AB204" s="3">
        <f>(Z204-Z203)/1000</f>
        <v/>
      </c>
      <c r="AC204" s="6" t="n">
        <v>0</v>
      </c>
      <c r="AD204" s="5">
        <f>TABL12[[#This Row],[( S/S+T/B) AJD]]-(TABL12[[#This Row],[(A/B + A/S) AJD]]+TABL12[[#This Row],[(STORGE DIFF.) AJD]]+(TABL12[[#This Row],[AJD_Evaporation]]))</f>
        <v/>
      </c>
      <c r="AE204" s="6" t="n">
        <v>20</v>
      </c>
      <c r="AF204" s="33" t="n">
        <v>59.047</v>
      </c>
      <c r="AG204" s="6" t="n">
        <v>1654688</v>
      </c>
      <c r="AH204" s="6">
        <f>TABL12[[#This Row],[ (RESV. STORGE) BER]]/10</f>
        <v/>
      </c>
      <c r="AI204" s="6" t="n">
        <v>3947</v>
      </c>
      <c r="AJ204" s="6">
        <f>TABL12[[#This Row],[(A/B) AJD]]-TABL12[[#This Row],[BER_IN]]</f>
        <v/>
      </c>
      <c r="AK204" s="6" t="n">
        <v>35</v>
      </c>
      <c r="AL204" s="33" t="n">
        <v>43.2333</v>
      </c>
      <c r="AM204" s="6" t="n">
        <v>3234880</v>
      </c>
      <c r="AN204" s="6">
        <f>TABL12[[#This Row],[ (RESV. STORGE) SER]]/10</f>
        <v/>
      </c>
      <c r="AO204" s="6" t="n">
        <v>1800</v>
      </c>
      <c r="AP204" s="32">
        <f>TABL12[[#This Row],[(A/S) AJD]]-TABL12[[#This Row],[SER_IN]]</f>
        <v/>
      </c>
    </row>
    <row r="205" ht="15.75" customHeight="1">
      <c r="A205" s="2" t="n">
        <v>45861</v>
      </c>
      <c r="B205" s="28" t="n">
        <v>30</v>
      </c>
      <c r="C205" s="28" t="n">
        <v>248</v>
      </c>
      <c r="D205" s="28" t="n">
        <v>30</v>
      </c>
      <c r="E205" s="28" t="n">
        <v>0</v>
      </c>
      <c r="F205" s="28" t="n">
        <v>103</v>
      </c>
      <c r="G205" s="28" t="n">
        <v>676</v>
      </c>
      <c r="H205" s="28" t="n">
        <v>0</v>
      </c>
      <c r="I205" s="28" t="n">
        <v>469</v>
      </c>
      <c r="J205" s="28" t="n">
        <v>452</v>
      </c>
      <c r="K205" s="28">
        <f>TABL12[[#This Row],[ (T/B) SAR]]+TABL12[[#This Row],[ (S/S) SAR]]</f>
        <v/>
      </c>
      <c r="L205" s="28" t="n">
        <v>245</v>
      </c>
      <c r="M205" s="29" t="n">
        <v>20</v>
      </c>
      <c r="N205" s="30" t="n">
        <v>6.83</v>
      </c>
      <c r="O205" s="12" t="n">
        <v>401</v>
      </c>
      <c r="P205" s="12">
        <f>TABL12[[#This Row],[ (S/S) SAR]]-TABL12[[#This Row],[(S/S) AJD]]</f>
        <v/>
      </c>
      <c r="Q205" s="12" t="n">
        <v>438</v>
      </c>
      <c r="R205" s="12">
        <f>TABL12[[#This Row],[ (T/B) SAR]]-TABL12[[#This Row],[(T/B) AJD]]</f>
        <v/>
      </c>
      <c r="S205" s="12">
        <f>TABL12[[#This Row],[S/S_CON.]]+TABL12[[#This Row],[T/B-CON.]]</f>
        <v/>
      </c>
      <c r="T205" s="12">
        <f>O205+Q205</f>
        <v/>
      </c>
      <c r="U205" s="12" t="n">
        <v>483</v>
      </c>
      <c r="V205" s="12" t="n">
        <v>302</v>
      </c>
      <c r="W205" s="12">
        <f>U205+V205</f>
        <v/>
      </c>
      <c r="X205" s="12">
        <f>T205-W205</f>
        <v/>
      </c>
      <c r="Y205" s="13" t="n">
        <v>92.363</v>
      </c>
      <c r="Z205" s="12" t="n">
        <v>414499</v>
      </c>
      <c r="AA205" s="12">
        <f>TABL12[[#This Row],[(RESV. STORGE) AJD]]/10</f>
        <v/>
      </c>
      <c r="AB205" s="3">
        <f>(Z205-Z204)/1000</f>
        <v/>
      </c>
      <c r="AC205" s="6" t="n">
        <v>0</v>
      </c>
      <c r="AD205" s="5">
        <f>TABL12[[#This Row],[( S/S+T/B) AJD]]-(TABL12[[#This Row],[(A/B + A/S) AJD]]+TABL12[[#This Row],[(STORGE DIFF.) AJD]]+(TABL12[[#This Row],[AJD_Evaporation]]))</f>
        <v/>
      </c>
      <c r="AE205" s="6" t="n">
        <v>20</v>
      </c>
      <c r="AF205" s="33" t="n">
        <v>59.042</v>
      </c>
      <c r="AG205" s="6" t="n">
        <v>1651385</v>
      </c>
      <c r="AH205" s="6">
        <f>TABL12[[#This Row],[ (RESV. STORGE) BER]]/10</f>
        <v/>
      </c>
      <c r="AI205" s="6" t="n">
        <v>3382</v>
      </c>
      <c r="AJ205" s="6">
        <f>TABL12[[#This Row],[(A/B) AJD]]-TABL12[[#This Row],[BER_IN]]</f>
        <v/>
      </c>
      <c r="AK205" s="6" t="n">
        <v>35</v>
      </c>
      <c r="AL205" s="33" t="n">
        <v>43.2718</v>
      </c>
      <c r="AM205" s="6" t="n">
        <v>3255690</v>
      </c>
      <c r="AN205" s="6">
        <f>TABL12[[#This Row],[ (RESV. STORGE) SER]]/10</f>
        <v/>
      </c>
      <c r="AO205" s="6" t="n">
        <v>1770</v>
      </c>
      <c r="AP205" s="32">
        <f>TABL12[[#This Row],[(A/S) AJD]]-TABL12[[#This Row],[SER_IN]]</f>
        <v/>
      </c>
    </row>
    <row r="206" ht="15.75" customHeight="1">
      <c r="A206" s="2" t="n">
        <v>45862</v>
      </c>
      <c r="B206" s="28" t="n">
        <v>31</v>
      </c>
      <c r="C206" s="28" t="n">
        <v>252</v>
      </c>
      <c r="D206" s="28" t="n">
        <v>31</v>
      </c>
      <c r="E206" s="28" t="n">
        <v>0</v>
      </c>
      <c r="F206" s="28" t="n">
        <v>103</v>
      </c>
      <c r="G206" s="28" t="n">
        <v>675</v>
      </c>
      <c r="H206" s="28" t="n">
        <v>0</v>
      </c>
      <c r="I206" s="28" t="n">
        <v>469</v>
      </c>
      <c r="J206" s="28" t="n">
        <v>451</v>
      </c>
      <c r="K206" s="28">
        <f>TABL12[[#This Row],[ (T/B) SAR]]+TABL12[[#This Row],[ (S/S) SAR]]</f>
        <v/>
      </c>
      <c r="L206" s="28" t="n">
        <v>245</v>
      </c>
      <c r="M206" s="29" t="n">
        <v>20</v>
      </c>
      <c r="N206" s="30" t="n">
        <v>6.81</v>
      </c>
      <c r="O206" s="12" t="n">
        <v>401</v>
      </c>
      <c r="P206" s="12">
        <f>TABL12[[#This Row],[ (S/S) SAR]]-TABL12[[#This Row],[(S/S) AJD]]</f>
        <v/>
      </c>
      <c r="Q206" s="12" t="n">
        <v>439</v>
      </c>
      <c r="R206" s="12">
        <f>TABL12[[#This Row],[ (T/B) SAR]]-TABL12[[#This Row],[(T/B) AJD]]</f>
        <v/>
      </c>
      <c r="S206" s="12">
        <f>TABL12[[#This Row],[S/S_CON.]]+TABL12[[#This Row],[T/B-CON.]]</f>
        <v/>
      </c>
      <c r="T206" s="12">
        <f>O206+Q206</f>
        <v/>
      </c>
      <c r="U206" s="12" t="n">
        <v>503</v>
      </c>
      <c r="V206" s="12" t="n">
        <v>307</v>
      </c>
      <c r="W206" s="12">
        <f>U206+V206</f>
        <v/>
      </c>
      <c r="X206" s="12">
        <f>T206-W206</f>
        <v/>
      </c>
      <c r="Y206" s="13" t="n">
        <v>92.38</v>
      </c>
      <c r="Z206" s="12" t="n">
        <v>425205</v>
      </c>
      <c r="AA206" s="12">
        <f>TABL12[[#This Row],[(RESV. STORGE) AJD]]/10</f>
        <v/>
      </c>
      <c r="AB206" s="3">
        <f>(Z206-Z205)/1000</f>
        <v/>
      </c>
      <c r="AC206" s="6" t="n">
        <v>0</v>
      </c>
      <c r="AD206" s="5">
        <f>TABL12[[#This Row],[( S/S+T/B) AJD]]-(TABL12[[#This Row],[(A/B + A/S) AJD]]+TABL12[[#This Row],[(STORGE DIFF.) AJD]]+(TABL12[[#This Row],[AJD_Evaporation]]))</f>
        <v/>
      </c>
      <c r="AE206" s="6" t="n">
        <v>20</v>
      </c>
      <c r="AF206" s="33" t="n">
        <v>59.007</v>
      </c>
      <c r="AG206" s="6" t="n">
        <v>1628271</v>
      </c>
      <c r="AH206" s="6">
        <f>TABL12[[#This Row],[ (RESV. STORGE) BER]]/10</f>
        <v/>
      </c>
      <c r="AI206" s="6" t="n">
        <v>3274</v>
      </c>
      <c r="AJ206" s="6">
        <f>TABL12[[#This Row],[(A/B) AJD]]-TABL12[[#This Row],[BER_IN]]</f>
        <v/>
      </c>
      <c r="AK206" s="6" t="n">
        <v>35</v>
      </c>
      <c r="AL206" s="33" t="n">
        <v>43.3025</v>
      </c>
      <c r="AM206" s="6" t="n">
        <v>3272000</v>
      </c>
      <c r="AN206" s="6">
        <f>TABL12[[#This Row],[ (RESV. STORGE) SER]]/10</f>
        <v/>
      </c>
      <c r="AO206" s="6" t="n">
        <v>1890</v>
      </c>
      <c r="AP206" s="32">
        <f>TABL12[[#This Row],[(A/S) AJD]]-TABL12[[#This Row],[SER_IN]]</f>
        <v/>
      </c>
    </row>
    <row r="207" ht="15.75" customHeight="1">
      <c r="A207" s="2" t="n">
        <v>45863</v>
      </c>
      <c r="B207" s="28" t="n">
        <v>31</v>
      </c>
      <c r="C207" s="28" t="n">
        <v>250</v>
      </c>
      <c r="D207" s="28" t="n">
        <v>31</v>
      </c>
      <c r="E207" s="28" t="n">
        <v>0</v>
      </c>
      <c r="F207" s="28" t="n">
        <v>103</v>
      </c>
      <c r="G207" s="28" t="n">
        <v>675</v>
      </c>
      <c r="H207" s="28" t="n">
        <v>0</v>
      </c>
      <c r="I207" s="28" t="n">
        <v>468</v>
      </c>
      <c r="J207" s="28" t="n">
        <v>452</v>
      </c>
      <c r="K207" s="28">
        <f>TABL12[[#This Row],[ (T/B) SAR]]+TABL12[[#This Row],[ (S/S) SAR]]</f>
        <v/>
      </c>
      <c r="L207" s="28" t="n">
        <v>245</v>
      </c>
      <c r="M207" s="29" t="n">
        <v>20</v>
      </c>
      <c r="N207" s="30" t="n">
        <v>6.78</v>
      </c>
      <c r="O207" s="12" t="n">
        <v>402</v>
      </c>
      <c r="P207" s="12">
        <f>TABL12[[#This Row],[ (S/S) SAR]]-TABL12[[#This Row],[(S/S) AJD]]</f>
        <v/>
      </c>
      <c r="Q207" s="12" t="n">
        <v>439</v>
      </c>
      <c r="R207" s="12">
        <f>TABL12[[#This Row],[ (T/B) SAR]]-TABL12[[#This Row],[(T/B) AJD]]</f>
        <v/>
      </c>
      <c r="S207" s="12">
        <f>TABL12[[#This Row],[S/S_CON.]]+TABL12[[#This Row],[T/B-CON.]]</f>
        <v/>
      </c>
      <c r="T207" s="12">
        <f>O207+Q207</f>
        <v/>
      </c>
      <c r="U207" s="12" t="n">
        <v>503</v>
      </c>
      <c r="V207" s="12" t="n">
        <v>292</v>
      </c>
      <c r="W207" s="12">
        <f>U207+V207</f>
        <v/>
      </c>
      <c r="X207" s="12">
        <f>T207-W207</f>
        <v/>
      </c>
      <c r="Y207" s="13" t="n">
        <v>92.42700000000001</v>
      </c>
      <c r="Z207" s="12" t="n">
        <v>454947</v>
      </c>
      <c r="AA207" s="12">
        <f>TABL12[[#This Row],[(RESV. STORGE) AJD]]/10</f>
        <v/>
      </c>
      <c r="AB207" s="3">
        <f>(Z207-Z206)/1000</f>
        <v/>
      </c>
      <c r="AC207" s="6" t="n">
        <v>4470</v>
      </c>
      <c r="AD207" s="5">
        <f>TABL12[[#This Row],[( S/S+T/B) AJD]]-(TABL12[[#This Row],[(A/B + A/S) AJD]]+TABL12[[#This Row],[(STORGE DIFF.) AJD]]+(TABL12[[#This Row],[AJD_Evaporation]]))</f>
        <v/>
      </c>
      <c r="AE207" s="6" t="n">
        <v>35</v>
      </c>
      <c r="AF207" s="33" t="n">
        <v>58.995</v>
      </c>
      <c r="AG207" s="6" t="n">
        <v>1620384</v>
      </c>
      <c r="AH207" s="6">
        <f>TABL12[[#This Row],[ (RESV. STORGE) BER]]/10</f>
        <v/>
      </c>
      <c r="AI207" s="6" t="n">
        <v>3082</v>
      </c>
      <c r="AJ207" s="6">
        <f>TABL12[[#This Row],[(A/B) AJD]]-TABL12[[#This Row],[BER_IN]]</f>
        <v/>
      </c>
      <c r="AK207" s="6" t="n">
        <v>35</v>
      </c>
      <c r="AL207" s="33" t="n">
        <v>43.343</v>
      </c>
      <c r="AM207" s="6" t="n">
        <v>3292660</v>
      </c>
      <c r="AN207" s="6">
        <f>TABL12[[#This Row],[ (RESV. STORGE) SER]]/10</f>
        <v/>
      </c>
      <c r="AO207" s="6" t="n">
        <v>1840</v>
      </c>
      <c r="AP207" s="32">
        <f>TABL12[[#This Row],[(A/S) AJD]]-TABL12[[#This Row],[SER_IN]]</f>
        <v/>
      </c>
    </row>
    <row r="208" ht="15.75" customHeight="1">
      <c r="A208" s="2" t="n">
        <v>45864</v>
      </c>
      <c r="B208" s="28" t="n">
        <v>31</v>
      </c>
      <c r="C208" s="28" t="n">
        <v>247</v>
      </c>
      <c r="D208" s="28" t="n">
        <v>31</v>
      </c>
      <c r="E208" s="28" t="n">
        <v>0</v>
      </c>
      <c r="F208" s="28" t="n">
        <v>103</v>
      </c>
      <c r="G208" s="28" t="n">
        <v>675</v>
      </c>
      <c r="H208" s="28" t="n">
        <v>0</v>
      </c>
      <c r="I208" s="28" t="n">
        <v>468</v>
      </c>
      <c r="J208" s="28" t="n">
        <v>452</v>
      </c>
      <c r="K208" s="28">
        <f>TABL12[[#This Row],[ (T/B) SAR]]+TABL12[[#This Row],[ (S/S) SAR]]</f>
        <v/>
      </c>
      <c r="L208" s="28" t="n">
        <v>245</v>
      </c>
      <c r="M208" s="29" t="n">
        <v>20</v>
      </c>
      <c r="N208" s="30" t="n">
        <v>6.78</v>
      </c>
      <c r="O208" s="12" t="n">
        <v>402</v>
      </c>
      <c r="P208" s="12">
        <f>TABL12[[#This Row],[ (S/S) SAR]]-TABL12[[#This Row],[(S/S) AJD]]</f>
        <v/>
      </c>
      <c r="Q208" s="12" t="n">
        <v>442</v>
      </c>
      <c r="R208" s="12">
        <f>TABL12[[#This Row],[ (T/B) SAR]]-TABL12[[#This Row],[(T/B) AJD]]</f>
        <v/>
      </c>
      <c r="S208" s="12">
        <f>TABL12[[#This Row],[S/S_CON.]]+TABL12[[#This Row],[T/B-CON.]]</f>
        <v/>
      </c>
      <c r="T208" s="12">
        <f>O208+Q208</f>
        <v/>
      </c>
      <c r="U208" s="12" t="n">
        <v>505</v>
      </c>
      <c r="V208" s="12" t="n">
        <v>281</v>
      </c>
      <c r="W208" s="12">
        <f>U208+V208</f>
        <v/>
      </c>
      <c r="X208" s="12">
        <f>T208-W208</f>
        <v/>
      </c>
      <c r="Y208" s="13" t="n">
        <v>92.48699999999999</v>
      </c>
      <c r="Z208" s="12" t="n">
        <v>488876</v>
      </c>
      <c r="AA208" s="12">
        <f>TABL12[[#This Row],[(RESV. STORGE) AJD]]/10</f>
        <v/>
      </c>
      <c r="AB208" s="3">
        <f>(Z208-Z207)/1000</f>
        <v/>
      </c>
      <c r="AC208" s="6" t="n">
        <v>3640</v>
      </c>
      <c r="AD208" s="5">
        <f>TABL12[[#This Row],[( S/S+T/B) AJD]]-(TABL12[[#This Row],[(A/B + A/S) AJD]]+TABL12[[#This Row],[(STORGE DIFF.) AJD]]+(TABL12[[#This Row],[AJD_Evaporation]]))</f>
        <v/>
      </c>
      <c r="AE208" s="6" t="n">
        <v>40</v>
      </c>
      <c r="AF208" s="33" t="n">
        <v>58.99</v>
      </c>
      <c r="AG208" s="6" t="n">
        <v>1617048</v>
      </c>
      <c r="AH208" s="6">
        <f>TABL12[[#This Row],[ (RESV. STORGE) BER]]/10</f>
        <v/>
      </c>
      <c r="AI208" s="6" t="n">
        <v>3460</v>
      </c>
      <c r="AJ208" s="6">
        <f>TABL12[[#This Row],[(A/B) AJD]]-TABL12[[#This Row],[BER_IN]]</f>
        <v/>
      </c>
      <c r="AK208" s="6" t="n">
        <v>35</v>
      </c>
      <c r="AL208" s="33" t="n">
        <v>43.3944</v>
      </c>
      <c r="AM208" s="6" t="n">
        <v>3322340</v>
      </c>
      <c r="AN208" s="6">
        <f>TABL12[[#This Row],[ (RESV. STORGE) SER]]/10</f>
        <v/>
      </c>
      <c r="AO208" s="6" t="n">
        <v>1820</v>
      </c>
      <c r="AP208" s="32">
        <f>TABL12[[#This Row],[(A/S) AJD]]-TABL12[[#This Row],[SER_IN]]</f>
        <v/>
      </c>
    </row>
    <row r="209" ht="15.75" customHeight="1">
      <c r="A209" s="2" t="n">
        <v>45865</v>
      </c>
      <c r="B209" s="28" t="n">
        <v>31</v>
      </c>
      <c r="C209" s="28" t="n">
        <v>249</v>
      </c>
      <c r="D209" s="28" t="n">
        <v>31</v>
      </c>
      <c r="E209" s="28" t="n">
        <v>0</v>
      </c>
      <c r="F209" s="28" t="n">
        <v>103</v>
      </c>
      <c r="G209" s="28" t="n">
        <v>675</v>
      </c>
      <c r="H209" s="28" t="n">
        <v>0</v>
      </c>
      <c r="I209" s="28" t="n">
        <v>468</v>
      </c>
      <c r="J209" s="28" t="n">
        <v>452</v>
      </c>
      <c r="K209" s="28">
        <f>TABL12[[#This Row],[ (T/B) SAR]]+TABL12[[#This Row],[ (S/S) SAR]]</f>
        <v/>
      </c>
      <c r="L209" s="28" t="n">
        <v>245</v>
      </c>
      <c r="M209" s="29" t="n">
        <v>20</v>
      </c>
      <c r="N209" s="30" t="n">
        <v>6.78</v>
      </c>
      <c r="O209" s="12" t="n">
        <v>403</v>
      </c>
      <c r="P209" s="12">
        <f>TABL12[[#This Row],[ (S/S) SAR]]-TABL12[[#This Row],[(S/S) AJD]]</f>
        <v/>
      </c>
      <c r="Q209" s="12" t="n">
        <v>442</v>
      </c>
      <c r="R209" s="12">
        <f>TABL12[[#This Row],[ (T/B) SAR]]-TABL12[[#This Row],[(T/B) AJD]]</f>
        <v/>
      </c>
      <c r="S209" s="12">
        <f>TABL12[[#This Row],[S/S_CON.]]+TABL12[[#This Row],[T/B-CON.]]</f>
        <v/>
      </c>
      <c r="T209" s="12">
        <f>O209+Q209</f>
        <v/>
      </c>
      <c r="U209" s="12" t="n">
        <v>517</v>
      </c>
      <c r="V209" s="12" t="n">
        <v>285</v>
      </c>
      <c r="W209" s="12">
        <f>U209+V209</f>
        <v/>
      </c>
      <c r="X209" s="12">
        <f>T209-W209</f>
        <v/>
      </c>
      <c r="Y209" s="13" t="n">
        <v>92.524</v>
      </c>
      <c r="Z209" s="12" t="n">
        <v>510932</v>
      </c>
      <c r="AA209" s="12">
        <f>TABL12[[#This Row],[(RESV. STORGE) AJD]]/10</f>
        <v/>
      </c>
      <c r="AB209" s="3">
        <f>(Z209-Z208)/1000</f>
        <v/>
      </c>
      <c r="AC209" s="6" t="n">
        <v>4004</v>
      </c>
      <c r="AD209" s="5">
        <f>TABL12[[#This Row],[( S/S+T/B) AJD]]-(TABL12[[#This Row],[(A/B + A/S) AJD]]+TABL12[[#This Row],[(STORGE DIFF.) AJD]]+(TABL12[[#This Row],[AJD_Evaporation]]))</f>
        <v/>
      </c>
      <c r="AE209" s="6" t="n">
        <v>40</v>
      </c>
      <c r="AF209" s="33" t="n">
        <v>58.985</v>
      </c>
      <c r="AG209" s="6" t="n">
        <v>1613747</v>
      </c>
      <c r="AH209" s="6">
        <f>TABL12[[#This Row],[ (RESV. STORGE) BER]]/10</f>
        <v/>
      </c>
      <c r="AI209" s="6" t="n">
        <v>3460</v>
      </c>
      <c r="AJ209" s="6">
        <f>TABL12[[#This Row],[(A/B) AJD]]-TABL12[[#This Row],[BER_IN]]</f>
        <v/>
      </c>
      <c r="AK209" s="6" t="n">
        <v>35</v>
      </c>
      <c r="AL209" s="33" t="n">
        <v>43.426</v>
      </c>
      <c r="AM209" s="6" t="n">
        <v>3339300</v>
      </c>
      <c r="AN209" s="6">
        <f>TABL12[[#This Row],[ (RESV. STORGE) SER]]/10</f>
        <v/>
      </c>
      <c r="AO209" s="6" t="n">
        <v>1940</v>
      </c>
      <c r="AP209" s="32">
        <f>TABL12[[#This Row],[(A/S) AJD]]-TABL12[[#This Row],[SER_IN]]</f>
        <v/>
      </c>
    </row>
    <row r="210" ht="15.75" customHeight="1">
      <c r="A210" s="2" t="n">
        <v>45866</v>
      </c>
      <c r="B210" s="28" t="n">
        <v>31</v>
      </c>
      <c r="C210" s="28" t="n">
        <v>254</v>
      </c>
      <c r="D210" s="28" t="n">
        <v>31</v>
      </c>
      <c r="E210" s="28" t="n">
        <v>0</v>
      </c>
      <c r="F210" s="28" t="n">
        <v>103</v>
      </c>
      <c r="G210" s="28" t="n">
        <v>675</v>
      </c>
      <c r="H210" s="28" t="n">
        <v>0</v>
      </c>
      <c r="I210" s="28" t="n">
        <v>469</v>
      </c>
      <c r="J210" s="28" t="n">
        <v>453</v>
      </c>
      <c r="K210" s="28">
        <f>TABL12[[#This Row],[ (T/B) SAR]]+TABL12[[#This Row],[ (S/S) SAR]]</f>
        <v/>
      </c>
      <c r="L210" s="28" t="n">
        <v>245</v>
      </c>
      <c r="M210" s="29" t="n">
        <v>20</v>
      </c>
      <c r="N210" s="30" t="n">
        <v>6.78</v>
      </c>
      <c r="O210" s="12" t="n">
        <v>406</v>
      </c>
      <c r="P210" s="12">
        <f>TABL12[[#This Row],[ (S/S) SAR]]-TABL12[[#This Row],[(S/S) AJD]]</f>
        <v/>
      </c>
      <c r="Q210" s="12" t="n">
        <v>444</v>
      </c>
      <c r="R210" s="12">
        <f>TABL12[[#This Row],[ (T/B) SAR]]-TABL12[[#This Row],[(T/B) AJD]]</f>
        <v/>
      </c>
      <c r="S210" s="12">
        <f>TABL12[[#This Row],[S/S_CON.]]+TABL12[[#This Row],[T/B-CON.]]</f>
        <v/>
      </c>
      <c r="T210" s="12">
        <f>O210+Q210</f>
        <v/>
      </c>
      <c r="U210" s="12" t="n">
        <v>522</v>
      </c>
      <c r="V210" s="12" t="n">
        <v>283</v>
      </c>
      <c r="W210" s="12">
        <f>U210+V210</f>
        <v/>
      </c>
      <c r="X210" s="12">
        <f>T210-W210</f>
        <v/>
      </c>
      <c r="Y210" s="13" t="n">
        <v>92.58499999999999</v>
      </c>
      <c r="Z210" s="12" t="n">
        <v>547286</v>
      </c>
      <c r="AA210" s="12">
        <f>TABL12[[#This Row],[(RESV. STORGE) AJD]]/10</f>
        <v/>
      </c>
      <c r="AB210" s="3">
        <f>(Z210-Z209)/1000</f>
        <v/>
      </c>
      <c r="AC210" s="6" t="n">
        <v>0</v>
      </c>
      <c r="AD210" s="5">
        <f>TABL12[[#This Row],[( S/S+T/B) AJD]]-(TABL12[[#This Row],[(A/B + A/S) AJD]]+TABL12[[#This Row],[(STORGE DIFF.) AJD]]+(TABL12[[#This Row],[AJD_Evaporation]]))</f>
        <v/>
      </c>
      <c r="AE210" s="6" t="n">
        <v>40</v>
      </c>
      <c r="AF210" s="33" t="n">
        <v>58.98</v>
      </c>
      <c r="AG210" s="6" t="n">
        <v>1610447</v>
      </c>
      <c r="AH210" s="6">
        <f>TABL12[[#This Row],[ (RESV. STORGE) BER]]/10</f>
        <v/>
      </c>
      <c r="AI210" s="6" t="n">
        <v>3460</v>
      </c>
      <c r="AJ210" s="6">
        <f>TABL12[[#This Row],[(A/B) AJD]]-TABL12[[#This Row],[BER_IN]]</f>
        <v/>
      </c>
      <c r="AK210" s="6" t="n">
        <v>35</v>
      </c>
      <c r="AL210" s="33" t="n">
        <v>43.4549</v>
      </c>
      <c r="AM210" s="6" t="n">
        <v>3355210</v>
      </c>
      <c r="AN210" s="6">
        <f>TABL12[[#This Row],[ (RESV. STORGE) SER]]/10</f>
        <v/>
      </c>
      <c r="AO210" s="6" t="n">
        <v>1890</v>
      </c>
      <c r="AP210" s="32">
        <f>TABL12[[#This Row],[(A/S) AJD]]-TABL12[[#This Row],[SER_IN]]</f>
        <v/>
      </c>
    </row>
    <row r="211" ht="15.75" customHeight="1">
      <c r="A211" s="2" t="n">
        <v>45867</v>
      </c>
      <c r="B211" s="28" t="n">
        <v>31</v>
      </c>
      <c r="C211" s="28" t="n">
        <v>255</v>
      </c>
      <c r="D211" s="28" t="n">
        <v>31</v>
      </c>
      <c r="E211" s="28" t="n">
        <v>0</v>
      </c>
      <c r="F211" s="28" t="n">
        <v>103</v>
      </c>
      <c r="G211" s="28" t="n">
        <v>677</v>
      </c>
      <c r="H211" s="28" t="n">
        <v>0</v>
      </c>
      <c r="I211" s="28" t="n">
        <v>455</v>
      </c>
      <c r="J211" s="28" t="n">
        <v>437</v>
      </c>
      <c r="K211" s="28">
        <f>TABL12[[#This Row],[ (T/B) SAR]]+TABL12[[#This Row],[ (S/S) SAR]]</f>
        <v/>
      </c>
      <c r="L211" s="28" t="n">
        <v>215</v>
      </c>
      <c r="M211" s="29" t="n">
        <v>18.3</v>
      </c>
      <c r="N211" s="30" t="n">
        <v>7</v>
      </c>
      <c r="O211" s="12" t="n">
        <v>400</v>
      </c>
      <c r="P211" s="12">
        <f>TABL12[[#This Row],[ (S/S) SAR]]-TABL12[[#This Row],[(S/S) AJD]]</f>
        <v/>
      </c>
      <c r="Q211" s="12" t="n">
        <v>441</v>
      </c>
      <c r="R211" s="12">
        <f>TABL12[[#This Row],[ (T/B) SAR]]-TABL12[[#This Row],[(T/B) AJD]]</f>
        <v/>
      </c>
      <c r="S211" s="12">
        <f>TABL12[[#This Row],[S/S_CON.]]+TABL12[[#This Row],[T/B-CON.]]</f>
        <v/>
      </c>
      <c r="T211" s="12">
        <f>O211+Q211</f>
        <v/>
      </c>
      <c r="U211" s="12" t="n">
        <v>519</v>
      </c>
      <c r="V211" s="12" t="n">
        <v>298</v>
      </c>
      <c r="W211" s="12">
        <f>U211+V211</f>
        <v/>
      </c>
      <c r="X211" s="12">
        <f>T211-W211</f>
        <v/>
      </c>
      <c r="Y211" s="13" t="n">
        <v>92.557</v>
      </c>
      <c r="Z211" s="12" t="n">
        <v>530591</v>
      </c>
      <c r="AA211" s="12">
        <f>TABL12[[#This Row],[(RESV. STORGE) AJD]]/10</f>
        <v/>
      </c>
      <c r="AB211" s="3">
        <f>(Z211-Z210)/1000</f>
        <v/>
      </c>
      <c r="AC211" s="6" t="n">
        <v>0</v>
      </c>
      <c r="AD211" s="5">
        <f>TABL12[[#This Row],[( S/S+T/B) AJD]]-(TABL12[[#This Row],[(A/B + A/S) AJD]]+TABL12[[#This Row],[(STORGE DIFF.) AJD]]+(TABL12[[#This Row],[AJD_Evaporation]]))</f>
        <v/>
      </c>
      <c r="AE211" s="6" t="n">
        <v>40</v>
      </c>
      <c r="AF211" s="33" t="n">
        <v>58.975</v>
      </c>
      <c r="AG211" s="6" t="n">
        <v>1607147</v>
      </c>
      <c r="AH211" s="6">
        <f>TABL12[[#This Row],[ (RESV. STORGE) BER]]/10</f>
        <v/>
      </c>
      <c r="AI211" s="6" t="n">
        <v>3460</v>
      </c>
      <c r="AJ211" s="6">
        <f>TABL12[[#This Row],[(A/B) AJD]]-TABL12[[#This Row],[BER_IN]]</f>
        <v/>
      </c>
      <c r="AK211" s="6" t="n">
        <v>35</v>
      </c>
      <c r="AL211" s="33" t="n">
        <v>43.4753</v>
      </c>
      <c r="AM211" s="6" t="n">
        <v>3366150</v>
      </c>
      <c r="AN211" s="6">
        <f>TABL12[[#This Row],[ (RESV. STORGE) SER]]/10</f>
        <v/>
      </c>
      <c r="AO211" s="6" t="n">
        <v>1860</v>
      </c>
      <c r="AP211" s="32">
        <f>TABL12[[#This Row],[(A/S) AJD]]-TABL12[[#This Row],[SER_IN]]</f>
        <v/>
      </c>
    </row>
    <row r="212" ht="15.75" customHeight="1">
      <c r="A212" s="2" t="n">
        <v>45868</v>
      </c>
      <c r="B212" s="28" t="n">
        <v>33</v>
      </c>
      <c r="C212" s="28" t="n">
        <v>267</v>
      </c>
      <c r="D212" s="28" t="n">
        <v>33</v>
      </c>
      <c r="E212" s="28" t="n">
        <v>0</v>
      </c>
      <c r="F212" s="28" t="n">
        <v>103</v>
      </c>
      <c r="G212" s="28" t="n">
        <v>677</v>
      </c>
      <c r="H212" s="28" t="n">
        <v>0</v>
      </c>
      <c r="I212" s="28" t="n">
        <v>455</v>
      </c>
      <c r="J212" s="28" t="n">
        <v>437</v>
      </c>
      <c r="K212" s="28">
        <f>TABL12[[#This Row],[ (T/B) SAR]]+TABL12[[#This Row],[ (S/S) SAR]]</f>
        <v/>
      </c>
      <c r="L212" s="28" t="n">
        <v>215</v>
      </c>
      <c r="M212" s="29" t="n">
        <v>18.3</v>
      </c>
      <c r="N212" s="30" t="n">
        <v>7.27</v>
      </c>
      <c r="O212" s="12" t="n">
        <v>390</v>
      </c>
      <c r="P212" s="12">
        <f>TABL12[[#This Row],[ (S/S) SAR]]-TABL12[[#This Row],[(S/S) AJD]]</f>
        <v/>
      </c>
      <c r="Q212" s="12" t="n">
        <v>429</v>
      </c>
      <c r="R212" s="12">
        <f>TABL12[[#This Row],[ (T/B) SAR]]-TABL12[[#This Row],[(T/B) AJD]]</f>
        <v/>
      </c>
      <c r="S212" s="12">
        <f>TABL12[[#This Row],[S/S_CON.]]+TABL12[[#This Row],[T/B-CON.]]</f>
        <v/>
      </c>
      <c r="T212" s="12">
        <f>O212+Q212</f>
        <v/>
      </c>
      <c r="U212" s="12" t="n">
        <v>520</v>
      </c>
      <c r="V212" s="12" t="n">
        <v>297</v>
      </c>
      <c r="W212" s="12">
        <f>U212+V212</f>
        <v/>
      </c>
      <c r="X212" s="12">
        <f>T212-W212</f>
        <v/>
      </c>
      <c r="Y212" s="13" t="n">
        <v>92.529</v>
      </c>
      <c r="Z212" s="12" t="n">
        <v>513897</v>
      </c>
      <c r="AA212" s="12">
        <f>TABL12[[#This Row],[(RESV. STORGE) AJD]]/10</f>
        <v/>
      </c>
      <c r="AB212" s="3">
        <f>(Z212-Z211)/1000</f>
        <v/>
      </c>
      <c r="AC212" s="6" t="n">
        <v>0</v>
      </c>
      <c r="AD212" s="5">
        <f>TABL12[[#This Row],[( S/S+T/B) AJD]]-(TABL12[[#This Row],[(A/B + A/S) AJD]]+TABL12[[#This Row],[(STORGE DIFF.) AJD]]+(TABL12[[#This Row],[AJD_Evaporation]]))</f>
        <v/>
      </c>
      <c r="AE212" s="6" t="n">
        <v>40</v>
      </c>
      <c r="AF212" s="33" t="n">
        <v>58.97</v>
      </c>
      <c r="AG212" s="6" t="n">
        <v>1603847</v>
      </c>
      <c r="AH212" s="6">
        <f>TABL12[[#This Row],[ (RESV. STORGE) BER]]/10</f>
        <v/>
      </c>
      <c r="AI212" s="6" t="n">
        <v>3459</v>
      </c>
      <c r="AJ212" s="6">
        <f>TABL12[[#This Row],[(A/B) AJD]]-TABL12[[#This Row],[BER_IN]]</f>
        <v/>
      </c>
      <c r="AK212" s="6" t="n">
        <v>35</v>
      </c>
      <c r="AL212" s="33" t="n">
        <v>43.4993</v>
      </c>
      <c r="AM212" s="6" t="n">
        <v>3379210</v>
      </c>
      <c r="AN212" s="6">
        <f>TABL12[[#This Row],[ (RESV. STORGE) SER]]/10</f>
        <v/>
      </c>
      <c r="AO212" s="6" t="n">
        <v>1840</v>
      </c>
      <c r="AP212" s="32">
        <f>TABL12[[#This Row],[(A/S) AJD]]-TABL12[[#This Row],[SER_IN]]</f>
        <v/>
      </c>
    </row>
    <row r="213" ht="15.75" customHeight="1">
      <c r="A213" s="2" t="n">
        <v>45869</v>
      </c>
      <c r="B213" s="28" t="n">
        <v>33</v>
      </c>
      <c r="C213" s="28" t="n">
        <v>276</v>
      </c>
      <c r="D213" s="28" t="n">
        <v>33</v>
      </c>
      <c r="E213" s="28" t="n">
        <v>0</v>
      </c>
      <c r="F213" s="28" t="n">
        <v>103</v>
      </c>
      <c r="G213" s="28" t="n">
        <v>677</v>
      </c>
      <c r="H213" s="28" t="n">
        <v>0</v>
      </c>
      <c r="I213" s="28" t="n">
        <v>457</v>
      </c>
      <c r="J213" s="28" t="n">
        <v>440</v>
      </c>
      <c r="K213" s="28">
        <f>TABL12[[#This Row],[ (T/B) SAR]]+TABL12[[#This Row],[ (S/S) SAR]]</f>
        <v/>
      </c>
      <c r="L213" s="28" t="n">
        <v>220</v>
      </c>
      <c r="M213" s="29" t="n">
        <v>18.3</v>
      </c>
      <c r="N213" s="30" t="n">
        <v>7.53</v>
      </c>
      <c r="O213" s="12" t="n">
        <v>392</v>
      </c>
      <c r="P213" s="12">
        <f>TABL12[[#This Row],[ (S/S) SAR]]-TABL12[[#This Row],[(S/S) AJD]]</f>
        <v/>
      </c>
      <c r="Q213" s="12" t="n">
        <v>431</v>
      </c>
      <c r="R213" s="12">
        <f>TABL12[[#This Row],[ (T/B) SAR]]-TABL12[[#This Row],[(T/B) AJD]]</f>
        <v/>
      </c>
      <c r="S213" s="12">
        <f>TABL12[[#This Row],[S/S_CON.]]+TABL12[[#This Row],[T/B-CON.]]</f>
        <v/>
      </c>
      <c r="T213" s="12">
        <f>O213+Q213</f>
        <v/>
      </c>
      <c r="U213" s="12" t="n">
        <v>523</v>
      </c>
      <c r="V213" s="12" t="n">
        <v>287</v>
      </c>
      <c r="W213" s="12">
        <f>U213+V213</f>
        <v/>
      </c>
      <c r="X213" s="12">
        <f>T213-W213</f>
        <v/>
      </c>
      <c r="Y213" s="13" t="n">
        <v>92.505</v>
      </c>
      <c r="Z213" s="12" t="n">
        <v>499601</v>
      </c>
      <c r="AA213" s="12">
        <f>TABL12[[#This Row],[(RESV. STORGE) AJD]]/10</f>
        <v/>
      </c>
      <c r="AB213" s="3">
        <f>(Z213-Z212)/1000</f>
        <v/>
      </c>
      <c r="AC213" s="6" t="n">
        <v>2106</v>
      </c>
      <c r="AD213" s="5">
        <f>TABL12[[#This Row],[( S/S+T/B) AJD]]-(TABL12[[#This Row],[(A/B + A/S) AJD]]+TABL12[[#This Row],[(STORGE DIFF.) AJD]]+(TABL12[[#This Row],[AJD_Evaporation]]))</f>
        <v/>
      </c>
      <c r="AE213" s="6" t="n">
        <v>40</v>
      </c>
      <c r="AF213" s="33" t="n">
        <v>58.965</v>
      </c>
      <c r="AG213" s="6" t="n">
        <v>1600547</v>
      </c>
      <c r="AH213" s="6">
        <f>TABL12[[#This Row],[ (RESV. STORGE) BER]]/10</f>
        <v/>
      </c>
      <c r="AI213" s="6" t="n">
        <v>3459</v>
      </c>
      <c r="AJ213" s="6">
        <f>TABL12[[#This Row],[(A/B) AJD]]-TABL12[[#This Row],[BER_IN]]</f>
        <v/>
      </c>
      <c r="AK213" s="6" t="n">
        <v>35</v>
      </c>
      <c r="AL213" s="33" t="n">
        <v>43.5352</v>
      </c>
      <c r="AM213" s="6" t="n">
        <v>3397237</v>
      </c>
      <c r="AN213" s="6">
        <f>TABL12[[#This Row],[ (RESV. STORGE) SER]]/10</f>
        <v/>
      </c>
      <c r="AO213" s="6" t="n">
        <v>1873</v>
      </c>
      <c r="AP213" s="32">
        <f>TABL12[[#This Row],[(A/S) AJD]]-TABL12[[#This Row],[SER_IN]]</f>
        <v/>
      </c>
    </row>
    <row r="214">
      <c r="A214" s="2" t="n">
        <v>45870</v>
      </c>
      <c r="B214" s="28" t="n">
        <v>33</v>
      </c>
      <c r="C214" s="28" t="n">
        <v>272</v>
      </c>
      <c r="D214" s="28" t="n">
        <v>33</v>
      </c>
      <c r="E214" s="28" t="n">
        <v>0</v>
      </c>
      <c r="F214" s="28" t="n">
        <v>103</v>
      </c>
      <c r="G214" s="28" t="n">
        <v>676</v>
      </c>
      <c r="H214" s="28" t="n">
        <v>0</v>
      </c>
      <c r="I214" s="28" t="n">
        <v>457</v>
      </c>
      <c r="J214" s="28" t="n">
        <v>442</v>
      </c>
      <c r="K214" s="28">
        <f>TABL12[[#This Row],[ (T/B) SAR]]+TABL12[[#This Row],[ (S/S) SAR]]</f>
        <v/>
      </c>
      <c r="L214" s="28" t="n">
        <v>223</v>
      </c>
      <c r="M214" s="29" t="n">
        <v>18.3</v>
      </c>
      <c r="N214" s="30" t="n">
        <v>7.76</v>
      </c>
      <c r="O214" s="3" t="n">
        <v>391</v>
      </c>
      <c r="P214" s="3">
        <f>TABL12[[#This Row],[ (S/S) SAR]]-TABL12[[#This Row],[(S/S) AJD]]</f>
        <v/>
      </c>
      <c r="Q214" s="3" t="n">
        <v>429</v>
      </c>
      <c r="R214" s="3">
        <f>TABL12[[#This Row],[ (T/B) SAR]]-TABL12[[#This Row],[(T/B) AJD]]</f>
        <v/>
      </c>
      <c r="S214" s="3">
        <f>TABL12[[#This Row],[S/S_CON.]]+TABL12[[#This Row],[T/B-CON.]]</f>
        <v/>
      </c>
      <c r="T214" s="3">
        <f>O214+Q214</f>
        <v/>
      </c>
      <c r="U214" s="3" t="n">
        <v>519</v>
      </c>
      <c r="V214" s="3" t="n">
        <v>293</v>
      </c>
      <c r="W214" s="3">
        <f>U214+V214</f>
        <v/>
      </c>
      <c r="X214" s="3">
        <f>T214-W214</f>
        <v/>
      </c>
      <c r="Y214" s="4" t="n">
        <v>92.48699999999999</v>
      </c>
      <c r="Z214" s="3" t="n">
        <v>488888</v>
      </c>
      <c r="AA214" s="3">
        <f>TABL12[[#This Row],[(RESV. STORGE) AJD]]/10</f>
        <v/>
      </c>
      <c r="AB214" s="3">
        <f>(Z214-Z213)/1000</f>
        <v/>
      </c>
      <c r="AC214" s="6" t="n">
        <v>0</v>
      </c>
      <c r="AD214" s="5">
        <f>TABL12[[#This Row],[( S/S+T/B) AJD]]-(TABL12[[#This Row],[(A/B + A/S) AJD]]+TABL12[[#This Row],[(STORGE DIFF.) AJD]]+(TABL12[[#This Row],[AJD_Evaporation]]))</f>
        <v/>
      </c>
      <c r="AE214" s="6" t="n">
        <v>40</v>
      </c>
      <c r="AF214" s="33" t="n">
        <v>58.972</v>
      </c>
      <c r="AG214" s="6" t="n">
        <v>1605167</v>
      </c>
      <c r="AH214" s="6">
        <f>TABL12[[#This Row],[ (RESV. STORGE) BER]]/10</f>
        <v/>
      </c>
      <c r="AI214" s="6" t="n">
        <v>3425</v>
      </c>
      <c r="AJ214" s="6">
        <f>TABL12[[#This Row],[(A/B) AJD]]-TABL12[[#This Row],[BER_IN]]</f>
        <v/>
      </c>
      <c r="AK214" s="6" t="n">
        <v>35</v>
      </c>
      <c r="AL214" s="33" t="n">
        <v>43.5772</v>
      </c>
      <c r="AM214" s="6" t="n">
        <v>3421763</v>
      </c>
      <c r="AN214" s="6">
        <f>TABL12[[#This Row],[ (RESV. STORGE) SER]]/10</f>
        <v/>
      </c>
      <c r="AO214" s="6" t="n">
        <v>1910</v>
      </c>
      <c r="AP214" s="32">
        <f>TABL12[[#This Row],[(A/S) AJD]]-TABL12[[#This Row],[SER_IN]]</f>
        <v/>
      </c>
    </row>
    <row r="215">
      <c r="A215" s="2" t="n">
        <v>45871</v>
      </c>
      <c r="B215" s="28" t="n">
        <v>34</v>
      </c>
      <c r="C215" s="28" t="n">
        <v>279</v>
      </c>
      <c r="D215" s="28" t="n">
        <v>34</v>
      </c>
      <c r="E215" s="28" t="n">
        <v>0</v>
      </c>
      <c r="F215" s="28" t="n">
        <v>103</v>
      </c>
      <c r="G215" s="28" t="n">
        <v>679</v>
      </c>
      <c r="H215" s="28" t="n">
        <v>0</v>
      </c>
      <c r="I215" s="28" t="n">
        <v>477</v>
      </c>
      <c r="J215" s="28" t="n">
        <v>462</v>
      </c>
      <c r="K215" s="28">
        <f>TABL12[[#This Row],[ (T/B) SAR]]+TABL12[[#This Row],[ (S/S) SAR]]</f>
        <v/>
      </c>
      <c r="L215" s="28" t="n">
        <v>260</v>
      </c>
      <c r="M215" s="29" t="n">
        <v>20.4</v>
      </c>
      <c r="N215" s="30" t="n">
        <v>7.8</v>
      </c>
      <c r="O215" s="3" t="n">
        <v>395</v>
      </c>
      <c r="P215" s="3">
        <f>TABL12[[#This Row],[ (S/S) SAR]]-TABL12[[#This Row],[(S/S) AJD]]</f>
        <v/>
      </c>
      <c r="Q215" s="3" t="n">
        <v>434</v>
      </c>
      <c r="R215" s="3">
        <f>TABL12[[#This Row],[ (T/B) SAR]]-TABL12[[#This Row],[(T/B) AJD]]</f>
        <v/>
      </c>
      <c r="S215" s="3">
        <f>TABL12[[#This Row],[S/S_CON.]]+TABL12[[#This Row],[T/B-CON.]]</f>
        <v/>
      </c>
      <c r="T215" s="3">
        <f>O215+Q215</f>
        <v/>
      </c>
      <c r="U215" s="3" t="n">
        <v>517</v>
      </c>
      <c r="V215" s="3" t="n">
        <v>272</v>
      </c>
      <c r="W215" s="3">
        <f>U215+V215</f>
        <v/>
      </c>
      <c r="X215" s="3">
        <f>T215-W215</f>
        <v/>
      </c>
      <c r="Y215" s="4" t="n">
        <v>92.512</v>
      </c>
      <c r="Z215" s="3" t="n">
        <v>503774</v>
      </c>
      <c r="AA215" s="3">
        <f>TABL12[[#This Row],[(RESV. STORGE) AJD]]/10</f>
        <v/>
      </c>
      <c r="AB215" s="3">
        <f>(Z215-Z214)/1000</f>
        <v/>
      </c>
      <c r="AC215" s="6" t="n">
        <v>0</v>
      </c>
      <c r="AD215" s="5">
        <f>TABL12[[#This Row],[( S/S+T/B) AJD]]-(TABL12[[#This Row],[(A/B + A/S) AJD]]+TABL12[[#This Row],[(STORGE DIFF.) AJD]]+(TABL12[[#This Row],[AJD_Evaporation]]))</f>
        <v/>
      </c>
      <c r="AE215" s="6" t="n">
        <v>40</v>
      </c>
      <c r="AF215" s="33" t="n">
        <v>58.967</v>
      </c>
      <c r="AG215" s="6" t="n">
        <v>1601867</v>
      </c>
      <c r="AH215" s="6">
        <f>TABL12[[#This Row],[ (RESV. STORGE) BER]]/10</f>
        <v/>
      </c>
      <c r="AI215" s="6" t="n">
        <v>3459</v>
      </c>
      <c r="AJ215" s="6">
        <f>TABL12[[#This Row],[(A/B) AJD]]-TABL12[[#This Row],[BER_IN]]</f>
        <v/>
      </c>
      <c r="AK215" s="6" t="n">
        <v>36</v>
      </c>
      <c r="AL215" s="33" t="n">
        <v>43.6293</v>
      </c>
      <c r="AM215" s="6" t="n">
        <v>3450167</v>
      </c>
      <c r="AN215" s="6">
        <f>TABL12[[#This Row],[ (RESV. STORGE) SER]]/10</f>
        <v/>
      </c>
      <c r="AO215" s="6" t="n">
        <v>1830</v>
      </c>
      <c r="AP215" s="32">
        <f>TABL12[[#This Row],[(A/S) AJD]]-TABL12[[#This Row],[SER_IN]]</f>
        <v/>
      </c>
    </row>
    <row r="216">
      <c r="A216" s="2" t="n">
        <v>45872</v>
      </c>
      <c r="B216" s="28" t="n">
        <v>33</v>
      </c>
      <c r="C216" s="28" t="n">
        <v>230</v>
      </c>
      <c r="D216" s="28" t="n">
        <v>33</v>
      </c>
      <c r="E216" s="28" t="n">
        <v>0</v>
      </c>
      <c r="F216" s="28" t="n">
        <v>103</v>
      </c>
      <c r="G216" s="28" t="n">
        <v>671</v>
      </c>
      <c r="H216" s="28" t="n">
        <v>0</v>
      </c>
      <c r="I216" s="28" t="n">
        <v>477</v>
      </c>
      <c r="J216" s="28" t="n">
        <v>462</v>
      </c>
      <c r="K216" s="28">
        <f>TABL12[[#This Row],[ (T/B) SAR]]+TABL12[[#This Row],[ (S/S) SAR]]</f>
        <v/>
      </c>
      <c r="L216" s="28" t="n">
        <v>268</v>
      </c>
      <c r="M216" s="29" t="n">
        <v>20.4</v>
      </c>
      <c r="N216" s="30" t="n">
        <v>7.74</v>
      </c>
      <c r="O216" s="3" t="n">
        <v>410</v>
      </c>
      <c r="P216" s="3">
        <f>TABL12[[#This Row],[ (S/S) SAR]]-TABL12[[#This Row],[(S/S) AJD]]</f>
        <v/>
      </c>
      <c r="Q216" s="3" t="n">
        <v>449</v>
      </c>
      <c r="R216" s="3">
        <f>TABL12[[#This Row],[ (T/B) SAR]]-TABL12[[#This Row],[(T/B) AJD]]</f>
        <v/>
      </c>
      <c r="S216" s="3">
        <f>TABL12[[#This Row],[S/S_CON.]]+TABL12[[#This Row],[T/B-CON.]]</f>
        <v/>
      </c>
      <c r="T216" s="3">
        <f>O216+Q216</f>
        <v/>
      </c>
      <c r="U216" s="3" t="n">
        <v>518</v>
      </c>
      <c r="V216" s="3" t="n">
        <v>285</v>
      </c>
      <c r="W216" s="3">
        <f>U216+V216</f>
        <v/>
      </c>
      <c r="X216" s="3">
        <f>T216-W216</f>
        <v/>
      </c>
      <c r="Y216" s="4" t="n">
        <v>92.56399999999999</v>
      </c>
      <c r="Z216" s="3" t="n">
        <v>534766</v>
      </c>
      <c r="AA216" s="3">
        <f>TABL12[[#This Row],[(RESV. STORGE) AJD]]/10</f>
        <v/>
      </c>
      <c r="AB216" s="3">
        <f>(Z216-Z215)/1000</f>
        <v/>
      </c>
      <c r="AC216" s="6" t="n">
        <v>0</v>
      </c>
      <c r="AD216" s="5">
        <f>TABL12[[#This Row],[( S/S+T/B) AJD]]-(TABL12[[#This Row],[(A/B + A/S) AJD]]+TABL12[[#This Row],[(STORGE DIFF.) AJD]]+(TABL12[[#This Row],[AJD_Evaporation]]))</f>
        <v/>
      </c>
      <c r="AE216" s="6" t="n">
        <v>40</v>
      </c>
      <c r="AF216" s="33" t="n">
        <v>58.962</v>
      </c>
      <c r="AG216" s="6" t="n">
        <v>1598568</v>
      </c>
      <c r="AH216" s="6">
        <f>TABL12[[#This Row],[ (RESV. STORGE) BER]]/10</f>
        <v/>
      </c>
      <c r="AI216" s="6" t="n">
        <v>3459</v>
      </c>
      <c r="AJ216" s="6">
        <f>TABL12[[#This Row],[(A/B) AJD]]-TABL12[[#This Row],[BER_IN]]</f>
        <v/>
      </c>
      <c r="AK216" s="6" t="n">
        <v>34</v>
      </c>
      <c r="AL216" s="33" t="n">
        <v>43.6575</v>
      </c>
      <c r="AM216" s="6" t="n">
        <v>3465470</v>
      </c>
      <c r="AN216" s="6">
        <f>TABL12[[#This Row],[ (RESV. STORGE) SER]]/10</f>
        <v/>
      </c>
      <c r="AO216" s="6" t="n">
        <v>1895</v>
      </c>
      <c r="AP216" s="32">
        <f>TABL12[[#This Row],[(A/S) AJD]]-TABL12[[#This Row],[SER_IN]]</f>
        <v/>
      </c>
    </row>
    <row r="217">
      <c r="A217" s="2" t="n">
        <v>45873</v>
      </c>
      <c r="B217" s="28" t="n">
        <v>24</v>
      </c>
      <c r="C217" s="28" t="n">
        <v>150</v>
      </c>
      <c r="D217" s="28" t="n">
        <v>24</v>
      </c>
      <c r="E217" s="28" t="n">
        <v>0</v>
      </c>
      <c r="F217" s="28" t="n">
        <v>103</v>
      </c>
      <c r="G217" s="28" t="n">
        <v>659</v>
      </c>
      <c r="H217" s="28" t="n">
        <v>0</v>
      </c>
      <c r="I217" s="28" t="n">
        <v>454</v>
      </c>
      <c r="J217" s="28" t="n">
        <v>438</v>
      </c>
      <c r="K217" s="28">
        <f>TABL12[[#This Row],[ (T/B) SAR]]+TABL12[[#This Row],[ (S/S) SAR]]</f>
        <v/>
      </c>
      <c r="L217" s="28" t="n">
        <v>233</v>
      </c>
      <c r="M217" s="29" t="n">
        <v>19.2</v>
      </c>
      <c r="N217" s="30" t="n">
        <v>7.12</v>
      </c>
      <c r="O217" s="3" t="n">
        <v>406</v>
      </c>
      <c r="P217" s="3">
        <f>TABL12[[#This Row],[ (S/S) SAR]]-TABL12[[#This Row],[(S/S) AJD]]</f>
        <v/>
      </c>
      <c r="Q217" s="3" t="n">
        <v>446</v>
      </c>
      <c r="R217" s="3">
        <f>TABL12[[#This Row],[ (T/B) SAR]]-TABL12[[#This Row],[(T/B) AJD]]</f>
        <v/>
      </c>
      <c r="S217" s="3">
        <f>TABL12[[#This Row],[S/S_CON.]]+TABL12[[#This Row],[T/B-CON.]]</f>
        <v/>
      </c>
      <c r="T217" s="3">
        <f>O217+Q217</f>
        <v/>
      </c>
      <c r="U217" s="3" t="n">
        <v>513</v>
      </c>
      <c r="V217" s="3" t="n">
        <v>275</v>
      </c>
      <c r="W217" s="3">
        <f>U217+V217</f>
        <v/>
      </c>
      <c r="X217" s="3">
        <f>T217-W217</f>
        <v/>
      </c>
      <c r="Y217" s="4" t="n">
        <v>92.634</v>
      </c>
      <c r="Z217" s="3" t="n">
        <v>576521</v>
      </c>
      <c r="AA217" s="3">
        <f>TABL12[[#This Row],[(RESV. STORGE) AJD]]/10</f>
        <v/>
      </c>
      <c r="AB217" s="3">
        <f>(Z217-Z216)/1000</f>
        <v/>
      </c>
      <c r="AC217" s="6" t="n">
        <v>0</v>
      </c>
      <c r="AD217" s="5">
        <f>TABL12[[#This Row],[( S/S+T/B) AJD]]-(TABL12[[#This Row],[(A/B + A/S) AJD]]+TABL12[[#This Row],[(STORGE DIFF.) AJD]]+(TABL12[[#This Row],[AJD_Evaporation]]))</f>
        <v/>
      </c>
      <c r="AE217" s="6" t="n">
        <v>30</v>
      </c>
      <c r="AF217" s="33" t="n">
        <v>58.942</v>
      </c>
      <c r="AG217" s="6" t="n">
        <v>1585372</v>
      </c>
      <c r="AH217" s="6">
        <f>TABL12[[#This Row],[ (RESV. STORGE) BER]]/10</f>
        <v/>
      </c>
      <c r="AI217" s="6" t="n">
        <v>3355</v>
      </c>
      <c r="AJ217" s="6">
        <f>TABL12[[#This Row],[(A/B) AJD]]-TABL12[[#This Row],[BER_IN]]</f>
        <v/>
      </c>
      <c r="AK217" s="6" t="n">
        <v>20</v>
      </c>
      <c r="AL217" s="33" t="n">
        <v>43.6694</v>
      </c>
      <c r="AM217" s="6" t="n">
        <v>3472000</v>
      </c>
      <c r="AN217" s="6">
        <f>TABL12[[#This Row],[ (RESV. STORGE) SER]]/10</f>
        <v/>
      </c>
      <c r="AO217" s="6" t="n">
        <v>2150</v>
      </c>
      <c r="AP217" s="32">
        <f>TABL12[[#This Row],[(A/S) AJD]]-TABL12[[#This Row],[SER_IN]]</f>
        <v/>
      </c>
    </row>
    <row r="218">
      <c r="A218" s="2" t="n">
        <v>45874</v>
      </c>
      <c r="B218" s="28" t="n">
        <v>21</v>
      </c>
      <c r="C218" s="28" t="n">
        <v>201</v>
      </c>
      <c r="D218" s="28" t="n">
        <v>21</v>
      </c>
      <c r="E218" s="28" t="n">
        <v>0</v>
      </c>
      <c r="F218" s="28" t="n">
        <v>103</v>
      </c>
      <c r="G218" s="28" t="n">
        <v>659</v>
      </c>
      <c r="H218" s="28" t="n">
        <v>0</v>
      </c>
      <c r="I218" s="28" t="n">
        <v>430</v>
      </c>
      <c r="J218" s="28" t="n">
        <v>414</v>
      </c>
      <c r="K218" s="28">
        <f>TABL12[[#This Row],[ (T/B) SAR]]+TABL12[[#This Row],[ (S/S) SAR]]</f>
        <v/>
      </c>
      <c r="L218" s="28" t="n">
        <v>185</v>
      </c>
      <c r="M218" s="29" t="n">
        <v>16.3</v>
      </c>
      <c r="N218" s="30" t="n">
        <v>6.7</v>
      </c>
      <c r="O218" s="3" t="n">
        <v>391</v>
      </c>
      <c r="P218" s="3">
        <f>TABL12[[#This Row],[ (S/S) SAR]]-TABL12[[#This Row],[(S/S) AJD]]</f>
        <v/>
      </c>
      <c r="Q218" s="3" t="n">
        <v>430</v>
      </c>
      <c r="R218" s="3">
        <f>TABL12[[#This Row],[ (T/B) SAR]]-TABL12[[#This Row],[(T/B) AJD]]</f>
        <v/>
      </c>
      <c r="S218" s="3">
        <f>TABL12[[#This Row],[S/S_CON.]]+TABL12[[#This Row],[T/B-CON.]]</f>
        <v/>
      </c>
      <c r="T218" s="3">
        <f>O218+Q218</f>
        <v/>
      </c>
      <c r="U218" s="3" t="n">
        <v>510</v>
      </c>
      <c r="V218" s="3" t="n">
        <v>258</v>
      </c>
      <c r="W218" s="3">
        <f>U218+V218</f>
        <v/>
      </c>
      <c r="X218" s="3">
        <f>T218-W218</f>
        <v/>
      </c>
      <c r="Y218" s="4" t="n">
        <v>92.679</v>
      </c>
      <c r="Z218" s="3" t="n">
        <v>603307</v>
      </c>
      <c r="AA218" s="3">
        <f>TABL12[[#This Row],[(RESV. STORGE) AJD]]/10</f>
        <v/>
      </c>
      <c r="AB218" s="3">
        <f>(Z218-Z217)/1000</f>
        <v/>
      </c>
      <c r="AC218" s="6" t="n">
        <v>0</v>
      </c>
      <c r="AD218" s="5">
        <f>TABL12[[#This Row],[( S/S+T/B) AJD]]-(TABL12[[#This Row],[(A/B + A/S) AJD]]+TABL12[[#This Row],[(STORGE DIFF.) AJD]]+(TABL12[[#This Row],[AJD_Evaporation]]))</f>
        <v/>
      </c>
      <c r="AE218" s="6" t="n">
        <v>30</v>
      </c>
      <c r="AF218" s="33" t="n">
        <v>58.922</v>
      </c>
      <c r="AG218" s="6" t="n">
        <v>1572180</v>
      </c>
      <c r="AH218" s="6">
        <f>TABL12[[#This Row],[ (RESV. STORGE) BER]]/10</f>
        <v/>
      </c>
      <c r="AI218" s="6" t="n">
        <v>3352</v>
      </c>
      <c r="AJ218" s="6">
        <f>TABL12[[#This Row],[(A/B) AJD]]-TABL12[[#This Row],[BER_IN]]</f>
        <v/>
      </c>
      <c r="AK218" s="6" t="n">
        <v>0</v>
      </c>
      <c r="AL218" s="33" t="n">
        <v>43.6396</v>
      </c>
      <c r="AM218" s="6" t="n">
        <v>3456160</v>
      </c>
      <c r="AN218" s="6">
        <f>TABL12[[#This Row],[ (RESV. STORGE) SER]]/10</f>
        <v/>
      </c>
      <c r="AO218" s="6" t="n">
        <v>2230</v>
      </c>
      <c r="AP218" s="32">
        <f>TABL12[[#This Row],[(A/S) AJD]]-TABL12[[#This Row],[SER_IN]]</f>
        <v/>
      </c>
    </row>
    <row r="219">
      <c r="A219" s="2" t="n">
        <v>45875</v>
      </c>
      <c r="B219" s="28" t="n">
        <v>25</v>
      </c>
      <c r="C219" s="28" t="n">
        <v>222</v>
      </c>
      <c r="D219" s="28" t="n">
        <v>25</v>
      </c>
      <c r="E219" s="28" t="n">
        <v>0</v>
      </c>
      <c r="F219" s="28" t="n">
        <v>103</v>
      </c>
      <c r="G219" s="28" t="n">
        <v>659</v>
      </c>
      <c r="H219" s="28" t="n">
        <v>0</v>
      </c>
      <c r="I219" s="28" t="n">
        <v>430</v>
      </c>
      <c r="J219" s="28" t="n">
        <v>414</v>
      </c>
      <c r="K219" s="28">
        <f>TABL12[[#This Row],[ (T/B) SAR]]+TABL12[[#This Row],[ (S/S) SAR]]</f>
        <v/>
      </c>
      <c r="L219" s="28" t="n">
        <v>185</v>
      </c>
      <c r="M219" s="29" t="n">
        <v>16.3</v>
      </c>
      <c r="N219" s="30" t="n">
        <v>6.77</v>
      </c>
      <c r="O219" s="3" t="n">
        <v>367</v>
      </c>
      <c r="P219" s="3">
        <f>TABL12[[#This Row],[ (S/S) SAR]]-TABL12[[#This Row],[(S/S) AJD]]</f>
        <v/>
      </c>
      <c r="Q219" s="3" t="n">
        <v>405</v>
      </c>
      <c r="R219" s="3">
        <f>TABL12[[#This Row],[ (T/B) SAR]]-TABL12[[#This Row],[(T/B) AJD]]</f>
        <v/>
      </c>
      <c r="S219" s="3">
        <f>TABL12[[#This Row],[S/S_CON.]]+TABL12[[#This Row],[T/B-CON.]]</f>
        <v/>
      </c>
      <c r="T219" s="3">
        <f>O219+Q219</f>
        <v/>
      </c>
      <c r="U219" s="3" t="n">
        <v>513</v>
      </c>
      <c r="V219" s="3" t="n">
        <v>262</v>
      </c>
      <c r="W219" s="3">
        <f>U219+V219</f>
        <v/>
      </c>
      <c r="X219" s="3">
        <f>T219-W219</f>
        <v/>
      </c>
      <c r="Y219" s="4" t="n">
        <v>92.624</v>
      </c>
      <c r="Z219" s="3" t="n">
        <v>570532</v>
      </c>
      <c r="AA219" s="3">
        <f>TABL12[[#This Row],[(RESV. STORGE) AJD]]/10</f>
        <v/>
      </c>
      <c r="AB219" s="3">
        <f>(Z219-Z218)/1000</f>
        <v/>
      </c>
      <c r="AC219" s="6" t="n">
        <v>2728</v>
      </c>
      <c r="AD219" s="5">
        <f>TABL12[[#This Row],[( S/S+T/B) AJD]]-(TABL12[[#This Row],[(A/B + A/S) AJD]]+TABL12[[#This Row],[(STORGE DIFF.) AJD]]+(TABL12[[#This Row],[AJD_Evaporation]]))</f>
        <v/>
      </c>
      <c r="AE219" s="6" t="n">
        <v>20</v>
      </c>
      <c r="AF219" s="33" t="n">
        <v>58.904</v>
      </c>
      <c r="AG219" s="6" t="n">
        <v>1560310</v>
      </c>
      <c r="AH219" s="6">
        <f>TABL12[[#This Row],[ (RESV. STORGE) BER]]/10</f>
        <v/>
      </c>
      <c r="AI219" s="6" t="n">
        <v>3473</v>
      </c>
      <c r="AJ219" s="6">
        <f>TABL12[[#This Row],[(A/B) AJD]]-TABL12[[#This Row],[BER_IN]]</f>
        <v/>
      </c>
      <c r="AK219" s="6" t="n">
        <v>0</v>
      </c>
      <c r="AL219" s="33" t="n">
        <v>43.6088</v>
      </c>
      <c r="AM219" s="6" t="n">
        <v>3439230</v>
      </c>
      <c r="AN219" s="6">
        <f>TABL12[[#This Row],[ (RESV. STORGE) SER]]/10</f>
        <v/>
      </c>
      <c r="AO219" s="6" t="n">
        <v>2245</v>
      </c>
      <c r="AP219" s="32">
        <f>TABL12[[#This Row],[(A/S) AJD]]-TABL12[[#This Row],[SER_IN]]</f>
        <v/>
      </c>
    </row>
    <row r="220">
      <c r="A220" s="2" t="n">
        <v>45876</v>
      </c>
      <c r="B220" s="28" t="n">
        <v>28</v>
      </c>
      <c r="C220" s="28" t="n">
        <v>239</v>
      </c>
      <c r="D220" s="28" t="n">
        <v>28</v>
      </c>
      <c r="E220" s="28" t="n">
        <v>0</v>
      </c>
      <c r="F220" s="28" t="n">
        <v>103</v>
      </c>
      <c r="G220" s="28" t="n">
        <v>660</v>
      </c>
      <c r="H220" s="28" t="n">
        <v>0</v>
      </c>
      <c r="I220" s="28" t="n">
        <v>430</v>
      </c>
      <c r="J220" s="28" t="n">
        <v>415</v>
      </c>
      <c r="K220" s="28">
        <f>TABL12[[#This Row],[ (T/B) SAR]]+TABL12[[#This Row],[ (S/S) SAR]]</f>
        <v/>
      </c>
      <c r="L220" s="28" t="n">
        <v>185</v>
      </c>
      <c r="M220" s="29" t="n">
        <v>16.3</v>
      </c>
      <c r="N220" s="30" t="n">
        <v>7.03</v>
      </c>
      <c r="O220" s="3" t="n">
        <v>367</v>
      </c>
      <c r="P220" s="3">
        <f>TABL12[[#This Row],[ (S/S) SAR]]-TABL12[[#This Row],[(S/S) AJD]]</f>
        <v/>
      </c>
      <c r="Q220" s="3" t="n">
        <v>404</v>
      </c>
      <c r="R220" s="3">
        <f>TABL12[[#This Row],[ (T/B) SAR]]-TABL12[[#This Row],[(T/B) AJD]]</f>
        <v/>
      </c>
      <c r="S220" s="3">
        <f>TABL12[[#This Row],[S/S_CON.]]+TABL12[[#This Row],[T/B-CON.]]</f>
        <v/>
      </c>
      <c r="T220" s="3">
        <f>O220+Q220</f>
        <v/>
      </c>
      <c r="U220" s="3" t="n">
        <v>515</v>
      </c>
      <c r="V220" s="3" t="n">
        <v>275</v>
      </c>
      <c r="W220" s="3">
        <f>U220+V220</f>
        <v/>
      </c>
      <c r="X220" s="3">
        <f>T220-W220</f>
        <v/>
      </c>
      <c r="Y220" s="4" t="n">
        <v>92.55</v>
      </c>
      <c r="Z220" s="3" t="n">
        <v>526629</v>
      </c>
      <c r="AA220" s="3">
        <f>TABL12[[#This Row],[(RESV. STORGE) AJD]]/10</f>
        <v/>
      </c>
      <c r="AB220" s="3">
        <f>(Z220-Z219)/1000</f>
        <v/>
      </c>
      <c r="AC220" s="6" t="n">
        <v>2687</v>
      </c>
      <c r="AD220" s="5">
        <f>TABL12[[#This Row],[( S/S+T/B) AJD]]-(TABL12[[#This Row],[(A/B + A/S) AJD]]+TABL12[[#This Row],[(STORGE DIFF.) AJD]]+(TABL12[[#This Row],[AJD_Evaporation]]))</f>
        <v/>
      </c>
      <c r="AE220" s="6" t="n">
        <v>20</v>
      </c>
      <c r="AF220" s="33" t="n">
        <v>58.872</v>
      </c>
      <c r="AG220" s="6" t="n">
        <v>1539214</v>
      </c>
      <c r="AH220" s="6">
        <f>TABL12[[#This Row],[ (RESV. STORGE) BER]]/10</f>
        <v/>
      </c>
      <c r="AI220" s="6" t="n">
        <v>3192</v>
      </c>
      <c r="AJ220" s="6">
        <f>TABL12[[#This Row],[(A/B) AJD]]-TABL12[[#This Row],[BER_IN]]</f>
        <v/>
      </c>
      <c r="AK220" s="6" t="n">
        <v>0</v>
      </c>
      <c r="AL220" s="33" t="n">
        <v>43.6008</v>
      </c>
      <c r="AM220" s="6" t="n">
        <v>3434860</v>
      </c>
      <c r="AN220" s="6">
        <f>TABL12[[#This Row],[ (RESV. STORGE) SER]]/10</f>
        <v/>
      </c>
      <c r="AO220" s="6" t="n">
        <v>2235</v>
      </c>
      <c r="AP220" s="32">
        <f>TABL12[[#This Row],[(A/S) AJD]]-TABL12[[#This Row],[SER_IN]]</f>
        <v/>
      </c>
    </row>
    <row r="221">
      <c r="A221" s="2" t="n">
        <v>45877</v>
      </c>
      <c r="B221" s="28" t="n">
        <v>30</v>
      </c>
      <c r="C221" s="28" t="n">
        <v>231</v>
      </c>
      <c r="D221" s="28" t="n">
        <v>30</v>
      </c>
      <c r="E221" s="28" t="n">
        <v>0</v>
      </c>
      <c r="F221" s="28" t="n">
        <v>103</v>
      </c>
      <c r="G221" s="28" t="n">
        <v>659</v>
      </c>
      <c r="H221" s="28" t="n">
        <v>0</v>
      </c>
      <c r="I221" s="28" t="n">
        <v>430</v>
      </c>
      <c r="J221" s="28" t="n">
        <v>417</v>
      </c>
      <c r="K221" s="28">
        <f>TABL12[[#This Row],[ (T/B) SAR]]+TABL12[[#This Row],[ (S/S) SAR]]</f>
        <v/>
      </c>
      <c r="L221" s="28" t="n">
        <v>188</v>
      </c>
      <c r="M221" s="29" t="n">
        <v>16.3</v>
      </c>
      <c r="N221" s="30" t="n">
        <v>7.32</v>
      </c>
      <c r="O221" s="3" t="n">
        <v>368</v>
      </c>
      <c r="P221" s="3">
        <f>TABL12[[#This Row],[ (S/S) SAR]]-TABL12[[#This Row],[(S/S) AJD]]</f>
        <v/>
      </c>
      <c r="Q221" s="3" t="n">
        <v>404</v>
      </c>
      <c r="R221" s="3">
        <f>TABL12[[#This Row],[ (T/B) SAR]]-TABL12[[#This Row],[(T/B) AJD]]</f>
        <v/>
      </c>
      <c r="S221" s="3">
        <f>TABL12[[#This Row],[S/S_CON.]]+TABL12[[#This Row],[T/B-CON.]]</f>
        <v/>
      </c>
      <c r="T221" s="3">
        <f>O221+Q221</f>
        <v/>
      </c>
      <c r="U221" s="3" t="n">
        <v>506</v>
      </c>
      <c r="V221" s="3" t="n">
        <v>272</v>
      </c>
      <c r="W221" s="3">
        <f>U221+V221</f>
        <v/>
      </c>
      <c r="X221" s="3">
        <f>T221-W221</f>
        <v/>
      </c>
      <c r="Y221" s="4" t="n">
        <v>92.502</v>
      </c>
      <c r="Z221" s="3" t="n">
        <v>526629</v>
      </c>
      <c r="AA221" s="3">
        <f>TABL12[[#This Row],[(RESV. STORGE) AJD]]/10</f>
        <v/>
      </c>
      <c r="AB221" s="3">
        <f>(Z221-Z220)/1000</f>
        <v/>
      </c>
      <c r="AC221" s="6" t="n">
        <v>2752</v>
      </c>
      <c r="AD221" s="5">
        <f>TABL12[[#This Row],[( S/S+T/B) AJD]]-(TABL12[[#This Row],[(A/B + A/S) AJD]]+TABL12[[#This Row],[(STORGE DIFF.) AJD]]+(TABL12[[#This Row],[AJD_Evaporation]]))</f>
        <v/>
      </c>
      <c r="AE221" s="6" t="n">
        <v>20</v>
      </c>
      <c r="AF221" s="33" t="n">
        <v>58.837</v>
      </c>
      <c r="AG221" s="6" t="n">
        <v>1516151</v>
      </c>
      <c r="AH221" s="6">
        <f>TABL12[[#This Row],[ (RESV. STORGE) BER]]/10</f>
        <v/>
      </c>
      <c r="AI221" s="6" t="n">
        <v>3362</v>
      </c>
      <c r="AJ221" s="6">
        <f>TABL12[[#This Row],[(A/B) AJD]]-TABL12[[#This Row],[BER_IN]]</f>
        <v/>
      </c>
      <c r="AK221" s="6" t="n">
        <v>0</v>
      </c>
      <c r="AL221" s="33" t="n">
        <v>43.5529</v>
      </c>
      <c r="AM221" s="6" t="n">
        <v>3409550</v>
      </c>
      <c r="AN221" s="6">
        <f>TABL12[[#This Row],[ (RESV. STORGE) SER]]/10</f>
        <v/>
      </c>
      <c r="AO221" s="6" t="n">
        <v>2120</v>
      </c>
      <c r="AP221" s="32">
        <f>TABL12[[#This Row],[(A/S) AJD]]-TABL12[[#This Row],[SER_IN]]</f>
        <v/>
      </c>
    </row>
    <row r="222">
      <c r="A222" s="2" t="n">
        <v>45878</v>
      </c>
      <c r="B222" s="28" t="n">
        <v>31</v>
      </c>
      <c r="C222" s="28" t="n">
        <v>236</v>
      </c>
      <c r="D222" s="28" t="n">
        <v>31</v>
      </c>
      <c r="E222" s="28" t="n">
        <v>0</v>
      </c>
      <c r="F222" s="28" t="n">
        <v>103</v>
      </c>
      <c r="G222" s="28" t="n">
        <v>659</v>
      </c>
      <c r="H222" s="28" t="n">
        <v>0</v>
      </c>
      <c r="I222" s="28" t="n">
        <v>432</v>
      </c>
      <c r="J222" s="28" t="n">
        <v>417</v>
      </c>
      <c r="K222" s="28">
        <f>TABL12[[#This Row],[ (T/B) SAR]]+TABL12[[#This Row],[ (S/S) SAR]]</f>
        <v/>
      </c>
      <c r="L222" s="28" t="n">
        <v>190</v>
      </c>
      <c r="M222" s="29" t="n">
        <v>16.3</v>
      </c>
      <c r="N222" s="30" t="n">
        <v>7.55</v>
      </c>
      <c r="O222" s="3" t="n">
        <v>373</v>
      </c>
      <c r="P222" s="3">
        <f>TABL12[[#This Row],[ (S/S) SAR]]-TABL12[[#This Row],[(S/S) AJD]]</f>
        <v/>
      </c>
      <c r="Q222" s="3" t="n">
        <v>407</v>
      </c>
      <c r="R222" s="3">
        <f>TABL12[[#This Row],[ (T/B) SAR]]-TABL12[[#This Row],[(T/B) AJD]]</f>
        <v/>
      </c>
      <c r="S222" s="3">
        <f>TABL12[[#This Row],[S/S_CON.]]+TABL12[[#This Row],[T/B-CON.]]</f>
        <v/>
      </c>
      <c r="T222" s="3">
        <f>O222+Q222</f>
        <v/>
      </c>
      <c r="U222" s="3" t="n">
        <v>505</v>
      </c>
      <c r="V222" s="3" t="n">
        <v>249</v>
      </c>
      <c r="W222" s="3">
        <f>U222+V222</f>
        <v/>
      </c>
      <c r="X222" s="3">
        <f>T222-W222</f>
        <v/>
      </c>
      <c r="Y222" s="4" t="n">
        <v>92.5</v>
      </c>
      <c r="Z222" s="3" t="n">
        <v>496624</v>
      </c>
      <c r="AA222" s="3">
        <f>TABL12[[#This Row],[(RESV. STORGE) AJD]]/10</f>
        <v/>
      </c>
      <c r="AB222" s="3">
        <f>(Z222-Z221)/1000</f>
        <v/>
      </c>
      <c r="AC222" s="6" t="n">
        <v>2744</v>
      </c>
      <c r="AD222" s="5">
        <f>TABL12[[#This Row],[( S/S+T/B) AJD]]-(TABL12[[#This Row],[(A/B + A/S) AJD]]+TABL12[[#This Row],[(STORGE DIFF.) AJD]]+(TABL12[[#This Row],[AJD_Evaporation]]))</f>
        <v/>
      </c>
      <c r="AE222" s="6" t="n">
        <v>20</v>
      </c>
      <c r="AF222" s="33" t="n">
        <v>58.802</v>
      </c>
      <c r="AG222" s="6" t="n">
        <v>1493098</v>
      </c>
      <c r="AH222" s="6">
        <f>TABL12[[#This Row],[ (RESV. STORGE) BER]]/10</f>
        <v/>
      </c>
      <c r="AI222" s="6" t="n">
        <v>3212</v>
      </c>
      <c r="AJ222" s="6">
        <f>TABL12[[#This Row],[(A/B) AJD]]-TABL12[[#This Row],[BER_IN]]</f>
        <v/>
      </c>
      <c r="AK222" s="6" t="n">
        <v>0</v>
      </c>
      <c r="AL222" s="33" t="n">
        <v>43.5096</v>
      </c>
      <c r="AM222" s="6" t="n">
        <v>3385410</v>
      </c>
      <c r="AN222" s="6">
        <f>TABL12[[#This Row],[ (RESV. STORGE) SER]]/10</f>
        <v/>
      </c>
      <c r="AO222" s="6" t="n">
        <v>2100</v>
      </c>
      <c r="AP222" s="32">
        <f>TABL12[[#This Row],[(A/S) AJD]]-TABL12[[#This Row],[SER_IN]]</f>
        <v/>
      </c>
    </row>
    <row r="223">
      <c r="A223" s="2" t="n">
        <v>45879</v>
      </c>
      <c r="B223" s="28" t="n">
        <v>31</v>
      </c>
      <c r="C223" s="28" t="n">
        <v>244</v>
      </c>
      <c r="D223" s="28" t="n">
        <v>31</v>
      </c>
      <c r="E223" s="28" t="n">
        <v>0</v>
      </c>
      <c r="F223" s="28" t="n">
        <v>103</v>
      </c>
      <c r="G223" s="28" t="n">
        <v>658</v>
      </c>
      <c r="H223" s="28" t="n">
        <v>0</v>
      </c>
      <c r="I223" s="28" t="n">
        <v>446</v>
      </c>
      <c r="J223" s="28" t="n">
        <v>430</v>
      </c>
      <c r="K223" s="28">
        <f>TABL12[[#This Row],[ (T/B) SAR]]+TABL12[[#This Row],[ (S/S) SAR]]</f>
        <v/>
      </c>
      <c r="L223" s="28" t="n">
        <v>218</v>
      </c>
      <c r="M223" s="29" t="n">
        <v>17.6</v>
      </c>
      <c r="N223" s="30" t="n">
        <v>7.73</v>
      </c>
      <c r="O223" s="3" t="n">
        <v>376</v>
      </c>
      <c r="P223" s="3">
        <f>TABL12[[#This Row],[ (S/S) SAR]]-TABL12[[#This Row],[(S/S) AJD]]</f>
        <v/>
      </c>
      <c r="Q223" s="3" t="n">
        <v>410</v>
      </c>
      <c r="R223" s="3">
        <f>TABL12[[#This Row],[ (T/B) SAR]]-TABL12[[#This Row],[(T/B) AJD]]</f>
        <v/>
      </c>
      <c r="S223" s="3">
        <f>TABL12[[#This Row],[S/S_CON.]]+TABL12[[#This Row],[T/B-CON.]]</f>
        <v/>
      </c>
      <c r="T223" s="3">
        <f>O223+Q223</f>
        <v/>
      </c>
      <c r="U223" s="3" t="n">
        <v>508</v>
      </c>
      <c r="V223" s="3" t="n">
        <v>254</v>
      </c>
      <c r="W223" s="3">
        <f>U223+V223</f>
        <v/>
      </c>
      <c r="X223" s="3">
        <f>T223-W223</f>
        <v/>
      </c>
      <c r="Y223" s="4" t="n">
        <v>92.515</v>
      </c>
      <c r="Z223" s="3" t="n">
        <v>505560</v>
      </c>
      <c r="AA223" s="3">
        <f>TABL12[[#This Row],[(RESV. STORGE) AJD]]/10</f>
        <v/>
      </c>
      <c r="AB223" s="3">
        <f>(Z223-Z222)/1000</f>
        <v/>
      </c>
      <c r="AC223" s="6" t="n">
        <v>2819</v>
      </c>
      <c r="AD223" s="5">
        <f>TABL12[[#This Row],[( S/S+T/B) AJD]]-(TABL12[[#This Row],[(A/B + A/S) AJD]]+TABL12[[#This Row],[(STORGE DIFF.) AJD]]+(TABL12[[#This Row],[AJD_Evaporation]]))</f>
        <v/>
      </c>
      <c r="AE223" s="6" t="n">
        <v>20</v>
      </c>
      <c r="AF223" s="33" t="n">
        <v>58.767</v>
      </c>
      <c r="AG223" s="6" t="n">
        <v>1470056</v>
      </c>
      <c r="AH223" s="6">
        <f>TABL12[[#This Row],[ (RESV. STORGE) BER]]/10</f>
        <v/>
      </c>
      <c r="AI223" s="6" t="n">
        <v>3201</v>
      </c>
      <c r="AJ223" s="6">
        <f>TABL12[[#This Row],[(A/B) AJD]]-TABL12[[#This Row],[BER_IN]]</f>
        <v/>
      </c>
      <c r="AK223" s="6" t="n">
        <v>0</v>
      </c>
      <c r="AL223" s="33" t="n">
        <v>43.4696</v>
      </c>
      <c r="AM223" s="6" t="n">
        <v>3363423</v>
      </c>
      <c r="AN223" s="6">
        <f>TABL12[[#This Row],[ (RESV. STORGE) SER]]/10</f>
        <v/>
      </c>
      <c r="AO223" s="6" t="n">
        <v>2160</v>
      </c>
      <c r="AP223" s="32">
        <f>TABL12[[#This Row],[(A/S) AJD]]-TABL12[[#This Row],[SER_IN]]</f>
        <v/>
      </c>
    </row>
    <row r="224">
      <c r="A224" s="2" t="n">
        <v>45880</v>
      </c>
      <c r="B224" s="28" t="n">
        <v>30</v>
      </c>
      <c r="C224" s="28" t="n">
        <v>240</v>
      </c>
      <c r="D224" s="28" t="n">
        <v>30</v>
      </c>
      <c r="E224" s="28" t="n">
        <v>0</v>
      </c>
      <c r="F224" s="28" t="n">
        <v>103</v>
      </c>
      <c r="G224" s="28" t="n">
        <v>677</v>
      </c>
      <c r="H224" s="28" t="n">
        <v>0</v>
      </c>
      <c r="I224" s="28" t="n">
        <v>464</v>
      </c>
      <c r="J224" s="28" t="n">
        <v>449</v>
      </c>
      <c r="K224" s="28">
        <f>TABL12[[#This Row],[ (T/B) SAR]]+TABL12[[#This Row],[ (S/S) SAR]]</f>
        <v/>
      </c>
      <c r="L224" s="28" t="n">
        <v>236</v>
      </c>
      <c r="M224" s="29" t="n">
        <v>18.5</v>
      </c>
      <c r="N224" s="30" t="n">
        <v>7.75</v>
      </c>
      <c r="O224" s="3" t="n">
        <v>384</v>
      </c>
      <c r="P224" s="3">
        <f>TABL12[[#This Row],[ (S/S) SAR]]-TABL12[[#This Row],[(S/S) AJD]]</f>
        <v/>
      </c>
      <c r="Q224" s="3" t="n">
        <v>420</v>
      </c>
      <c r="R224" s="3">
        <f>TABL12[[#This Row],[ (T/B) SAR]]-TABL12[[#This Row],[(T/B) AJD]]</f>
        <v/>
      </c>
      <c r="S224" s="3">
        <f>TABL12[[#This Row],[S/S_CON.]]+TABL12[[#This Row],[T/B-CON.]]</f>
        <v/>
      </c>
      <c r="T224" s="3">
        <f>O224+Q224</f>
        <v/>
      </c>
      <c r="U224" s="3" t="n">
        <v>510</v>
      </c>
      <c r="V224" s="3" t="n">
        <v>233</v>
      </c>
      <c r="W224" s="3">
        <f>U224+V224</f>
        <v/>
      </c>
      <c r="X224" s="3">
        <f>T224-W224</f>
        <v/>
      </c>
      <c r="Y224" s="4" t="n">
        <v>92.55500000000001</v>
      </c>
      <c r="Z224" s="3" t="n">
        <v>529591</v>
      </c>
      <c r="AA224" s="3">
        <f>TABL12[[#This Row],[(RESV. STORGE) AJD]]/10</f>
        <v/>
      </c>
      <c r="AB224" s="3">
        <f>(Z224-Z223)/1000</f>
        <v/>
      </c>
      <c r="AC224" s="6" t="n">
        <v>3480</v>
      </c>
      <c r="AD224" s="5">
        <f>TABL12[[#This Row],[( S/S+T/B) AJD]]-(TABL12[[#This Row],[(A/B + A/S) AJD]]+TABL12[[#This Row],[(STORGE DIFF.) AJD]]+(TABL12[[#This Row],[AJD_Evaporation]]))</f>
        <v/>
      </c>
      <c r="AE224" s="6" t="n">
        <v>20</v>
      </c>
      <c r="AF224" s="33" t="n">
        <v>58.73</v>
      </c>
      <c r="AG224" s="6" t="n">
        <v>1445709</v>
      </c>
      <c r="AH224" s="6">
        <f>TABL12[[#This Row],[ (RESV. STORGE) BER]]/10</f>
        <v/>
      </c>
      <c r="AI224" s="6" t="n">
        <v>4507</v>
      </c>
      <c r="AJ224" s="6">
        <f>TABL12[[#This Row],[(A/B) AJD]]-TABL12[[#This Row],[BER_IN]]</f>
        <v/>
      </c>
      <c r="AK224" s="6" t="n">
        <v>0</v>
      </c>
      <c r="AL224" s="33" t="n">
        <v>43.4262</v>
      </c>
      <c r="AM224" s="6" t="n">
        <v>3339480</v>
      </c>
      <c r="AN224" s="6">
        <f>TABL12[[#This Row],[ (RESV. STORGE) SER]]/10</f>
        <v/>
      </c>
      <c r="AO224" s="6" t="n">
        <v>2140</v>
      </c>
      <c r="AP224" s="32">
        <f>TABL12[[#This Row],[(A/S) AJD]]-TABL12[[#This Row],[SER_IN]]</f>
        <v/>
      </c>
    </row>
    <row r="225">
      <c r="A225" s="2" t="n">
        <v>45881</v>
      </c>
      <c r="B225" s="28" t="n">
        <v>36</v>
      </c>
      <c r="C225" s="28" t="n">
        <v>266</v>
      </c>
      <c r="D225" s="28" t="n">
        <v>36</v>
      </c>
      <c r="E225" s="28" t="n">
        <v>0</v>
      </c>
      <c r="F225" s="28" t="n">
        <v>86</v>
      </c>
      <c r="G225" s="28" t="n">
        <v>568</v>
      </c>
      <c r="H225" s="28" t="n">
        <v>17</v>
      </c>
      <c r="I225" s="28" t="n">
        <v>410</v>
      </c>
      <c r="J225" s="28" t="n">
        <v>396</v>
      </c>
      <c r="K225" s="28">
        <f>TABL12[[#This Row],[ (T/B) SAR]]+TABL12[[#This Row],[ (S/S) SAR]]</f>
        <v/>
      </c>
      <c r="L225" s="28" t="n">
        <v>238</v>
      </c>
      <c r="M225" s="29" t="n">
        <v>18.5</v>
      </c>
      <c r="N225" s="30" t="n">
        <v>7.87</v>
      </c>
      <c r="O225" s="3" t="n">
        <v>395</v>
      </c>
      <c r="P225" s="3">
        <f>TABL12[[#This Row],[ (S/S) SAR]]-TABL12[[#This Row],[(S/S) AJD]]</f>
        <v/>
      </c>
      <c r="Q225" s="3" t="n">
        <v>433</v>
      </c>
      <c r="R225" s="3">
        <f>TABL12[[#This Row],[ (T/B) SAR]]-TABL12[[#This Row],[(T/B) AJD]]</f>
        <v/>
      </c>
      <c r="S225" s="3">
        <f>TABL12[[#This Row],[S/S_CON.]]+TABL12[[#This Row],[T/B-CON.]]</f>
        <v/>
      </c>
      <c r="T225" s="3">
        <f>O225+Q225</f>
        <v/>
      </c>
      <c r="U225" s="3" t="n">
        <v>521</v>
      </c>
      <c r="V225" s="3" t="n">
        <v>258</v>
      </c>
      <c r="W225" s="3">
        <f>U225+V225</f>
        <v/>
      </c>
      <c r="X225" s="3">
        <f>T225-W225</f>
        <v/>
      </c>
      <c r="Y225" s="4" t="n">
        <v>92.592</v>
      </c>
      <c r="Z225" s="3" t="n">
        <v>552655</v>
      </c>
      <c r="AA225" s="3">
        <f>TABL12[[#This Row],[(RESV. STORGE) AJD]]/10</f>
        <v/>
      </c>
      <c r="AB225" s="3">
        <f>(Z225-Z224)/1000</f>
        <v/>
      </c>
      <c r="AC225" s="6" t="n">
        <v>0</v>
      </c>
      <c r="AD225" s="5">
        <f>TABL12[[#This Row],[( S/S+T/B) AJD]]-(TABL12[[#This Row],[(A/B + A/S) AJD]]+TABL12[[#This Row],[(STORGE DIFF.) AJD]]+(TABL12[[#This Row],[AJD_Evaporation]]))</f>
        <v/>
      </c>
      <c r="AE225" s="6" t="n">
        <v>20</v>
      </c>
      <c r="AF225" s="33" t="n">
        <v>58.694</v>
      </c>
      <c r="AG225" s="6" t="n">
        <v>1422032</v>
      </c>
      <c r="AH225" s="6">
        <f>TABL12[[#This Row],[ (RESV. STORGE) BER]]/10</f>
        <v/>
      </c>
      <c r="AI225" s="6" t="n">
        <v>3837</v>
      </c>
      <c r="AJ225" s="6">
        <f>TABL12[[#This Row],[(A/B) AJD]]-TABL12[[#This Row],[BER_IN]]</f>
        <v/>
      </c>
      <c r="AK225" s="6" t="n">
        <v>0</v>
      </c>
      <c r="AL225" s="33" t="n">
        <v>43.372</v>
      </c>
      <c r="AM225" s="6" t="n">
        <v>3310116</v>
      </c>
      <c r="AN225" s="6">
        <f>TABL12[[#This Row],[ (RESV. STORGE) SER]]/10</f>
        <v/>
      </c>
      <c r="AO225" s="6" t="n">
        <v>2030</v>
      </c>
      <c r="AP225" s="32">
        <f>TABL12[[#This Row],[(A/S) AJD]]-TABL12[[#This Row],[SER_IN]]</f>
        <v/>
      </c>
    </row>
    <row r="226">
      <c r="A226" s="2" t="n">
        <v>45882</v>
      </c>
      <c r="B226" s="28" t="n">
        <v>37</v>
      </c>
      <c r="C226" s="28" t="n">
        <v>291</v>
      </c>
      <c r="D226" s="28" t="n">
        <v>37</v>
      </c>
      <c r="E226" s="28" t="n">
        <v>0</v>
      </c>
      <c r="F226" s="28" t="n">
        <v>103</v>
      </c>
      <c r="G226" s="28" t="n">
        <v>682</v>
      </c>
      <c r="H226" s="28" t="n">
        <v>0</v>
      </c>
      <c r="I226" s="28" t="n">
        <v>480</v>
      </c>
      <c r="J226" s="28" t="n">
        <v>466</v>
      </c>
      <c r="K226" s="28">
        <f>TABL12[[#This Row],[ (T/B) SAR]]+TABL12[[#This Row],[ (S/S) SAR]]</f>
        <v/>
      </c>
      <c r="L226" s="28" t="n">
        <v>264</v>
      </c>
      <c r="M226" s="29" t="n">
        <v>19.5</v>
      </c>
      <c r="N226" s="30" t="n">
        <v>8.06</v>
      </c>
      <c r="O226" s="3" t="n">
        <v>370</v>
      </c>
      <c r="P226" s="3">
        <f>TABL12[[#This Row],[ (S/S) SAR]]-TABL12[[#This Row],[(S/S) AJD]]</f>
        <v/>
      </c>
      <c r="Q226" s="3" t="n">
        <v>407</v>
      </c>
      <c r="R226" s="3">
        <f>TABL12[[#This Row],[ (T/B) SAR]]-TABL12[[#This Row],[(T/B) AJD]]</f>
        <v/>
      </c>
      <c r="S226" s="3">
        <f>TABL12[[#This Row],[S/S_CON.]]+TABL12[[#This Row],[T/B-CON.]]</f>
        <v/>
      </c>
      <c r="T226" s="3">
        <f>O226+Q226</f>
        <v/>
      </c>
      <c r="U226" s="3" t="n">
        <v>518</v>
      </c>
      <c r="V226" s="3" t="n">
        <v>270</v>
      </c>
      <c r="W226" s="3">
        <f>U226+V226</f>
        <v/>
      </c>
      <c r="X226" s="3">
        <f>T226-W226</f>
        <v/>
      </c>
      <c r="Y226" s="4" t="n">
        <v>92.529</v>
      </c>
      <c r="Z226" s="3" t="n">
        <v>512711</v>
      </c>
      <c r="AA226" s="3">
        <f>TABL12[[#This Row],[(RESV. STORGE) AJD]]/10</f>
        <v/>
      </c>
      <c r="AB226" s="3">
        <f>(Z226-Z225)/1000</f>
        <v/>
      </c>
      <c r="AC226" s="6" t="n">
        <v>3204</v>
      </c>
      <c r="AD226" s="5">
        <f>TABL12[[#This Row],[( S/S+T/B) AJD]]-(TABL12[[#This Row],[(A/B + A/S) AJD]]+TABL12[[#This Row],[(STORGE DIFF.) AJD]]+(TABL12[[#This Row],[AJD_Evaporation]]))</f>
        <v/>
      </c>
      <c r="AE226" s="6" t="n">
        <v>20</v>
      </c>
      <c r="AF226" s="33" t="n">
        <v>58.658</v>
      </c>
      <c r="AG226" s="6" t="n">
        <v>1398365</v>
      </c>
      <c r="AH226" s="6">
        <f>TABL12[[#This Row],[ (RESV. STORGE) BER]]/10</f>
        <v/>
      </c>
      <c r="AI226" s="6" t="n">
        <v>3826</v>
      </c>
      <c r="AJ226" s="6">
        <f>TABL12[[#This Row],[(A/B) AJD]]-TABL12[[#This Row],[BER_IN]]</f>
        <v/>
      </c>
      <c r="AK226" s="6" t="n">
        <v>0</v>
      </c>
      <c r="AL226" s="33" t="n">
        <v>43.3334</v>
      </c>
      <c r="AM226" s="6" t="n">
        <v>3288902</v>
      </c>
      <c r="AN226" s="6">
        <f>TABL12[[#This Row],[ (RESV. STORGE) SER]]/10</f>
        <v/>
      </c>
      <c r="AO226" s="6" t="n">
        <v>2100</v>
      </c>
      <c r="AP226" s="32">
        <f>TABL12[[#This Row],[(A/S) AJD]]-TABL12[[#This Row],[SER_IN]]</f>
        <v/>
      </c>
    </row>
    <row r="227">
      <c r="A227" s="2" t="n">
        <v>45883</v>
      </c>
      <c r="B227" s="28" t="n">
        <v>37</v>
      </c>
      <c r="C227" s="28" t="n">
        <v>297</v>
      </c>
      <c r="D227" s="28" t="n">
        <v>37</v>
      </c>
      <c r="E227" s="28" t="n">
        <v>0</v>
      </c>
      <c r="F227" s="28" t="n">
        <v>103</v>
      </c>
      <c r="G227" s="28" t="n">
        <v>685</v>
      </c>
      <c r="H227" s="28" t="n">
        <v>0</v>
      </c>
      <c r="I227" s="28" t="n">
        <v>485</v>
      </c>
      <c r="J227" s="28" t="n">
        <v>471</v>
      </c>
      <c r="K227" s="28">
        <f>TABL12[[#This Row],[ (T/B) SAR]]+TABL12[[#This Row],[ (S/S) SAR]]</f>
        <v/>
      </c>
      <c r="L227" s="28" t="n">
        <v>271</v>
      </c>
      <c r="M227" s="29" t="n">
        <v>20.4</v>
      </c>
      <c r="N227" s="30" t="n">
        <v>8.220000000000001</v>
      </c>
      <c r="O227" s="3" t="n">
        <v>413</v>
      </c>
      <c r="P227" s="3">
        <f>TABL12[[#This Row],[ (S/S) SAR]]-TABL12[[#This Row],[(S/S) AJD]]</f>
        <v/>
      </c>
      <c r="Q227" s="3" t="n">
        <v>447</v>
      </c>
      <c r="R227" s="3">
        <f>TABL12[[#This Row],[ (T/B) SAR]]-TABL12[[#This Row],[(T/B) AJD]]</f>
        <v/>
      </c>
      <c r="S227" s="3">
        <f>TABL12[[#This Row],[S/S_CON.]]+TABL12[[#This Row],[T/B-CON.]]</f>
        <v/>
      </c>
      <c r="T227" s="3">
        <f>O227+Q227</f>
        <v/>
      </c>
      <c r="U227" s="3" t="n">
        <v>521</v>
      </c>
      <c r="V227" s="3" t="n">
        <v>280</v>
      </c>
      <c r="W227" s="3">
        <f>U227+V227</f>
        <v/>
      </c>
      <c r="X227" s="3">
        <f>T227-W227</f>
        <v/>
      </c>
      <c r="Y227" s="4" t="n">
        <v>92.57899999999999</v>
      </c>
      <c r="Z227" s="3" t="n">
        <v>543710</v>
      </c>
      <c r="AA227" s="3">
        <f>TABL12[[#This Row],[(RESV. STORGE) AJD]]/10</f>
        <v/>
      </c>
      <c r="AB227" s="3">
        <f>(Z227-Z226)/1000</f>
        <v/>
      </c>
      <c r="AC227" s="6" t="n">
        <v>0</v>
      </c>
      <c r="AD227" s="5">
        <f>TABL12[[#This Row],[( S/S+T/B) AJD]]-(TABL12[[#This Row],[(A/B + A/S) AJD]]+TABL12[[#This Row],[(STORGE DIFF.) AJD]]+(TABL12[[#This Row],[AJD_Evaporation]]))</f>
        <v/>
      </c>
      <c r="AE227" s="6" t="n">
        <v>20</v>
      </c>
      <c r="AF227" s="33" t="n">
        <v>58.623</v>
      </c>
      <c r="AG227" s="6" t="n">
        <v>1375366</v>
      </c>
      <c r="AH227" s="6">
        <f>TABL12[[#This Row],[ (RESV. STORGE) BER]]/10</f>
        <v/>
      </c>
      <c r="AI227" s="6" t="n">
        <v>3158</v>
      </c>
      <c r="AJ227" s="6">
        <f>TABL12[[#This Row],[(A/B) AJD]]-TABL12[[#This Row],[BER_IN]]</f>
        <v/>
      </c>
      <c r="AK227" s="6" t="n">
        <v>0</v>
      </c>
      <c r="AL227" s="33" t="n">
        <v>43.2987</v>
      </c>
      <c r="AM227" s="6" t="n">
        <v>3271376</v>
      </c>
      <c r="AN227" s="6">
        <f>TABL12[[#This Row],[ (RESV. STORGE) SER]]/10</f>
        <v/>
      </c>
      <c r="AO227" s="6" t="n">
        <v>2200</v>
      </c>
      <c r="AP227" s="32">
        <f>TABL12[[#This Row],[(A/S) AJD]]-TABL12[[#This Row],[SER_IN]]</f>
        <v/>
      </c>
    </row>
    <row r="228">
      <c r="A228" s="2" t="n">
        <v>45884</v>
      </c>
      <c r="B228" s="28" t="n">
        <v>38</v>
      </c>
      <c r="C228" s="28" t="n">
        <v>309</v>
      </c>
      <c r="D228" s="28" t="n">
        <v>38</v>
      </c>
      <c r="E228" s="28" t="n">
        <v>0</v>
      </c>
      <c r="F228" s="28" t="n">
        <v>103</v>
      </c>
      <c r="G228" s="28" t="n">
        <v>671</v>
      </c>
      <c r="H228" s="28" t="n">
        <v>0</v>
      </c>
      <c r="I228" s="28" t="n">
        <v>501</v>
      </c>
      <c r="J228" s="28" t="n">
        <v>489</v>
      </c>
      <c r="K228" s="28">
        <f>TABL12[[#This Row],[ (T/B) SAR]]+TABL12[[#This Row],[ (S/S) SAR]]</f>
        <v/>
      </c>
      <c r="L228" s="28" t="n">
        <v>319</v>
      </c>
      <c r="M228" s="29" t="n">
        <v>23.7</v>
      </c>
      <c r="N228" s="30" t="n">
        <v>8.210000000000001</v>
      </c>
      <c r="O228" s="3" t="n">
        <v>423</v>
      </c>
      <c r="P228" s="3">
        <f>TABL12[[#This Row],[ (S/S) SAR]]-TABL12[[#This Row],[(S/S) AJD]]</f>
        <v/>
      </c>
      <c r="Q228" s="3" t="n">
        <v>461</v>
      </c>
      <c r="R228" s="3">
        <f>TABL12[[#This Row],[ (T/B) SAR]]-TABL12[[#This Row],[(T/B) AJD]]</f>
        <v/>
      </c>
      <c r="S228" s="3">
        <f>TABL12[[#This Row],[S/S_CON.]]+TABL12[[#This Row],[T/B-CON.]]</f>
        <v/>
      </c>
      <c r="T228" s="3">
        <f>O228+Q228</f>
        <v/>
      </c>
      <c r="U228" s="3" t="n">
        <v>571</v>
      </c>
      <c r="V228" s="3" t="n">
        <v>284</v>
      </c>
      <c r="W228" s="3">
        <f>U228+V228</f>
        <v/>
      </c>
      <c r="X228" s="3">
        <f>T228-W228</f>
        <v/>
      </c>
      <c r="Y228" s="4" t="n">
        <v>92.577</v>
      </c>
      <c r="Z228" s="3" t="n">
        <v>543725</v>
      </c>
      <c r="AA228" s="3">
        <f>TABL12[[#This Row],[(RESV. STORGE) AJD]]/10</f>
        <v/>
      </c>
      <c r="AB228" s="3">
        <f>(Z228-Z227)/1000</f>
        <v/>
      </c>
      <c r="AC228" s="6" t="n">
        <v>0</v>
      </c>
      <c r="AD228" s="5">
        <f>TABL12[[#This Row],[( S/S+T/B) AJD]]-(TABL12[[#This Row],[(A/B + A/S) AJD]]+TABL12[[#This Row],[(STORGE DIFF.) AJD]]+(TABL12[[#This Row],[AJD_Evaporation]]))</f>
        <v/>
      </c>
      <c r="AE228" s="6" t="n">
        <v>37</v>
      </c>
      <c r="AF228" s="33" t="n">
        <v>58.614</v>
      </c>
      <c r="AG228" s="6" t="n">
        <v>1369454</v>
      </c>
      <c r="AH228" s="6">
        <f>TABL12[[#This Row],[ (RESV. STORGE) BER]]/10</f>
        <v/>
      </c>
      <c r="AI228" s="6" t="n">
        <v>3072</v>
      </c>
      <c r="AJ228" s="6">
        <f>TABL12[[#This Row],[(A/B) AJD]]-TABL12[[#This Row],[BER_IN]]</f>
        <v/>
      </c>
      <c r="AK228" s="6" t="n">
        <v>32</v>
      </c>
      <c r="AL228" s="33" t="n">
        <v>43.3018</v>
      </c>
      <c r="AM228" s="6" t="n">
        <v>3272002</v>
      </c>
      <c r="AN228" s="6">
        <f>TABL12[[#This Row],[ (RESV. STORGE) SER]]/10</f>
        <v/>
      </c>
      <c r="AO228" s="6" t="n">
        <v>2030</v>
      </c>
      <c r="AP228" s="32">
        <f>TABL12[[#This Row],[(A/S) AJD]]-TABL12[[#This Row],[SER_IN]]</f>
        <v/>
      </c>
    </row>
    <row r="229">
      <c r="A229" s="2" t="n">
        <v>45885</v>
      </c>
      <c r="B229" s="28" t="n">
        <v>38</v>
      </c>
      <c r="C229" s="28" t="n">
        <v>323</v>
      </c>
      <c r="D229" s="28" t="n">
        <v>38</v>
      </c>
      <c r="E229" s="28" t="n">
        <v>0</v>
      </c>
      <c r="F229" s="28" t="n">
        <v>103</v>
      </c>
      <c r="G229" s="28" t="n">
        <v>669</v>
      </c>
      <c r="H229" s="28" t="n">
        <v>0</v>
      </c>
      <c r="I229" s="28" t="n">
        <v>502</v>
      </c>
      <c r="J229" s="28" t="n">
        <v>490</v>
      </c>
      <c r="K229" s="28">
        <f>TABL12[[#This Row],[ (T/B) SAR]]+TABL12[[#This Row],[ (S/S) SAR]]</f>
        <v/>
      </c>
      <c r="L229" s="28" t="n">
        <v>323</v>
      </c>
      <c r="M229" s="29" t="n">
        <v>23.7</v>
      </c>
      <c r="N229" s="30" t="n">
        <v>8.25</v>
      </c>
      <c r="O229" s="3" t="n">
        <v>438</v>
      </c>
      <c r="P229" s="3">
        <f>TABL12[[#This Row],[ (S/S) SAR]]-TABL12[[#This Row],[(S/S) AJD]]</f>
        <v/>
      </c>
      <c r="Q229" s="3" t="n">
        <v>475</v>
      </c>
      <c r="R229" s="3">
        <f>TABL12[[#This Row],[ (T/B) SAR]]-TABL12[[#This Row],[(T/B) AJD]]</f>
        <v/>
      </c>
      <c r="S229" s="3">
        <f>TABL12[[#This Row],[S/S_CON.]]+TABL12[[#This Row],[T/B-CON.]]</f>
        <v/>
      </c>
      <c r="T229" s="3">
        <f>O229+Q229</f>
        <v/>
      </c>
      <c r="U229" s="3" t="n">
        <v>587</v>
      </c>
      <c r="V229" s="3" t="n">
        <v>264</v>
      </c>
      <c r="W229" s="3">
        <f>U229+V229</f>
        <v/>
      </c>
      <c r="X229" s="3">
        <f>T229-W229</f>
        <v/>
      </c>
      <c r="Y229" s="4" t="n">
        <v>92.637</v>
      </c>
      <c r="Z229" s="3" t="n">
        <v>578503</v>
      </c>
      <c r="AA229" s="3">
        <f>TABL12[[#This Row],[(RESV. STORGE) AJD]]/10</f>
        <v/>
      </c>
      <c r="AB229" s="3">
        <f>(Z229-Z228)/1000</f>
        <v/>
      </c>
      <c r="AC229" s="6" t="n">
        <v>2674</v>
      </c>
      <c r="AD229" s="5">
        <f>TABL12[[#This Row],[( S/S+T/B) AJD]]-(TABL12[[#This Row],[(A/B + A/S) AJD]]+TABL12[[#This Row],[(STORGE DIFF.) AJD]]+(TABL12[[#This Row],[AJD_Evaporation]]))</f>
        <v/>
      </c>
      <c r="AE229" s="6" t="n">
        <v>40</v>
      </c>
      <c r="AF229" s="33" t="n">
        <v>58.609</v>
      </c>
      <c r="AG229" s="6" t="n">
        <v>1366170</v>
      </c>
      <c r="AH229" s="6">
        <f>TABL12[[#This Row],[ (RESV. STORGE) BER]]/10</f>
        <v/>
      </c>
      <c r="AI229" s="6" t="n">
        <v>3444</v>
      </c>
      <c r="AJ229" s="6">
        <f>TABL12[[#This Row],[(A/B) AJD]]-TABL12[[#This Row],[BER_IN]]</f>
        <v/>
      </c>
      <c r="AK229" s="6" t="n">
        <v>32</v>
      </c>
      <c r="AL229" s="33" t="n">
        <v>43.3282</v>
      </c>
      <c r="AM229" s="6" t="n">
        <v>3286140</v>
      </c>
      <c r="AN229" s="6">
        <f>TABL12[[#This Row],[ (RESV. STORGE) SER]]/10</f>
        <v/>
      </c>
      <c r="AO229" s="6" t="n">
        <v>1862</v>
      </c>
      <c r="AP229" s="32">
        <f>TABL12[[#This Row],[(A/S) AJD]]-TABL12[[#This Row],[SER_IN]]</f>
        <v/>
      </c>
    </row>
    <row r="230">
      <c r="A230" s="2" t="n">
        <v>45886</v>
      </c>
      <c r="B230" s="28" t="n">
        <v>38</v>
      </c>
      <c r="C230" s="28" t="n">
        <v>319</v>
      </c>
      <c r="D230" s="28" t="n">
        <v>38</v>
      </c>
      <c r="E230" s="28" t="n">
        <v>0</v>
      </c>
      <c r="F230" s="28" t="n">
        <v>103</v>
      </c>
      <c r="G230" s="28" t="n">
        <v>667</v>
      </c>
      <c r="H230" s="28" t="n">
        <v>0</v>
      </c>
      <c r="I230" s="28" t="n">
        <v>500</v>
      </c>
      <c r="J230" s="28" t="n">
        <v>490</v>
      </c>
      <c r="K230" s="28">
        <f>TABL12[[#This Row],[ (T/B) SAR]]+TABL12[[#This Row],[ (S/S) SAR]]</f>
        <v/>
      </c>
      <c r="L230" s="28" t="n">
        <v>323</v>
      </c>
      <c r="M230" s="29" t="n">
        <v>23.7</v>
      </c>
      <c r="N230" s="30" t="n">
        <v>8.27</v>
      </c>
      <c r="O230" s="3" t="n">
        <v>437</v>
      </c>
      <c r="P230" s="3">
        <f>TABL12[[#This Row],[ (S/S) SAR]]-TABL12[[#This Row],[(S/S) AJD]]</f>
        <v/>
      </c>
      <c r="Q230" s="3" t="n">
        <v>477</v>
      </c>
      <c r="R230" s="3">
        <f>TABL12[[#This Row],[ (T/B) SAR]]-TABL12[[#This Row],[(T/B) AJD]]</f>
        <v/>
      </c>
      <c r="S230" s="3">
        <f>TABL12[[#This Row],[S/S_CON.]]+TABL12[[#This Row],[T/B-CON.]]</f>
        <v/>
      </c>
      <c r="T230" s="3">
        <f>O230+Q230</f>
        <v/>
      </c>
      <c r="U230" s="3" t="n">
        <v>580</v>
      </c>
      <c r="V230" s="3" t="n">
        <v>292</v>
      </c>
      <c r="W230" s="3">
        <f>U230+V230</f>
        <v/>
      </c>
      <c r="X230" s="3">
        <f>T230-W230</f>
        <v/>
      </c>
      <c r="Y230" s="4" t="n">
        <v>92.679</v>
      </c>
      <c r="Z230" s="3" t="n">
        <v>605173</v>
      </c>
      <c r="AA230" s="3">
        <f>TABL12[[#This Row],[(RESV. STORGE) AJD]]/10</f>
        <v/>
      </c>
      <c r="AB230" s="3">
        <f>(Z230-Z229)/1000</f>
        <v/>
      </c>
      <c r="AC230" s="6" t="n">
        <v>2516</v>
      </c>
      <c r="AD230" s="5">
        <f>TABL12[[#This Row],[( S/S+T/B) AJD]]-(TABL12[[#This Row],[(A/B + A/S) AJD]]+TABL12[[#This Row],[(STORGE DIFF.) AJD]]+(TABL12[[#This Row],[AJD_Evaporation]]))</f>
        <v/>
      </c>
      <c r="AE230" s="6" t="n">
        <v>47</v>
      </c>
      <c r="AF230" s="33" t="n">
        <v>58.622</v>
      </c>
      <c r="AG230" s="6" t="n">
        <v>1374710</v>
      </c>
      <c r="AH230" s="6">
        <f>TABL12[[#This Row],[ (RESV. STORGE) BER]]/10</f>
        <v/>
      </c>
      <c r="AI230" s="6" t="n">
        <v>3600</v>
      </c>
      <c r="AJ230" s="6">
        <f>TABL12[[#This Row],[(A/B) AJD]]-TABL12[[#This Row],[BER_IN]]</f>
        <v/>
      </c>
      <c r="AK230" s="6" t="n">
        <v>40</v>
      </c>
      <c r="AL230" s="33" t="n">
        <v>43.3484</v>
      </c>
      <c r="AM230" s="6" t="n">
        <v>3297010</v>
      </c>
      <c r="AN230" s="6">
        <f>TABL12[[#This Row],[ (RESV. STORGE) SER]]/10</f>
        <v/>
      </c>
      <c r="AO230" s="6" t="n">
        <v>1830</v>
      </c>
      <c r="AP230" s="32">
        <f>TABL12[[#This Row],[(A/S) AJD]]-TABL12[[#This Row],[SER_IN]]</f>
        <v/>
      </c>
    </row>
    <row r="231">
      <c r="A231" s="2" t="n">
        <v>45887</v>
      </c>
      <c r="B231" s="28" t="n">
        <v>39</v>
      </c>
      <c r="C231" s="28" t="n">
        <v>324</v>
      </c>
      <c r="D231" s="28" t="n">
        <v>39</v>
      </c>
      <c r="E231" s="28" t="n">
        <v>0</v>
      </c>
      <c r="F231" s="28" t="n">
        <v>103</v>
      </c>
      <c r="G231" s="28" t="n">
        <v>657</v>
      </c>
      <c r="H231" s="28" t="n">
        <v>0</v>
      </c>
      <c r="I231" s="28" t="n">
        <v>512</v>
      </c>
      <c r="J231" s="28" t="n">
        <v>490</v>
      </c>
      <c r="K231" s="28">
        <f>TABL12[[#This Row],[ (T/B) SAR]]+TABL12[[#This Row],[ (S/S) SAR]]</f>
        <v/>
      </c>
      <c r="L231" s="28" t="n">
        <v>345</v>
      </c>
      <c r="M231" s="29" t="n">
        <v>24.9</v>
      </c>
      <c r="N231" s="30" t="n">
        <v>8.140000000000001</v>
      </c>
      <c r="O231" s="3" t="n">
        <v>428</v>
      </c>
      <c r="P231" s="3">
        <f>TABL12[[#This Row],[ (S/S) SAR]]-TABL12[[#This Row],[(S/S) AJD]]</f>
        <v/>
      </c>
      <c r="Q231" s="3" t="n">
        <v>465</v>
      </c>
      <c r="R231" s="3">
        <f>TABL12[[#This Row],[ (T/B) SAR]]-TABL12[[#This Row],[(T/B) AJD]]</f>
        <v/>
      </c>
      <c r="S231" s="3">
        <f>TABL12[[#This Row],[S/S_CON.]]+TABL12[[#This Row],[T/B-CON.]]</f>
        <v/>
      </c>
      <c r="T231" s="3">
        <f>O231+Q231</f>
        <v/>
      </c>
      <c r="U231" s="3" t="n">
        <v>561</v>
      </c>
      <c r="V231" s="3" t="n">
        <v>307</v>
      </c>
      <c r="W231" s="3">
        <f>U231+V231</f>
        <v/>
      </c>
      <c r="X231" s="3">
        <f>T231-W231</f>
        <v/>
      </c>
      <c r="Y231" s="4" t="n">
        <v>92.679</v>
      </c>
      <c r="Z231" s="3" t="n">
        <v>604700</v>
      </c>
      <c r="AA231" s="3">
        <f>TABL12[[#This Row],[(RESV. STORGE) AJD]]/10</f>
        <v/>
      </c>
      <c r="AB231" s="3">
        <f>(Z231-Z230)/1000</f>
        <v/>
      </c>
      <c r="AC231" s="6" t="n">
        <v>2600</v>
      </c>
      <c r="AD231" s="5">
        <f>TABL12[[#This Row],[( S/S+T/B) AJD]]-(TABL12[[#This Row],[(A/B + A/S) AJD]]+TABL12[[#This Row],[(STORGE DIFF.) AJD]]+(TABL12[[#This Row],[AJD_Evaporation]]))</f>
        <v/>
      </c>
      <c r="AE231" s="6" t="n">
        <v>50</v>
      </c>
      <c r="AF231" s="33" t="n">
        <v>58.639</v>
      </c>
      <c r="AG231" s="6" t="n">
        <v>1385579</v>
      </c>
      <c r="AH231" s="6">
        <f>TABL12[[#This Row],[ (RESV. STORGE) BER]]/10</f>
        <v/>
      </c>
      <c r="AI231" s="6" t="n">
        <v>3140</v>
      </c>
      <c r="AJ231" s="6">
        <f>TABL12[[#This Row],[(A/B) AJD]]-TABL12[[#This Row],[BER_IN]]</f>
        <v/>
      </c>
      <c r="AK231" s="6" t="n">
        <v>48</v>
      </c>
      <c r="AL231" s="33" t="n">
        <v>43.3723</v>
      </c>
      <c r="AM231" s="6" t="n">
        <v>3310390</v>
      </c>
      <c r="AN231" s="6">
        <f>TABL12[[#This Row],[ (RESV. STORGE) SER]]/10</f>
        <v/>
      </c>
      <c r="AO231" s="6" t="n">
        <v>1920</v>
      </c>
      <c r="AP231" s="32">
        <f>TABL12[[#This Row],[(A/S) AJD]]-TABL12[[#This Row],[SER_IN]]</f>
        <v/>
      </c>
    </row>
    <row r="232">
      <c r="A232" s="2" t="n">
        <v>45888</v>
      </c>
      <c r="B232" s="28" t="n">
        <v>40</v>
      </c>
      <c r="C232" s="28" t="n">
        <v>327</v>
      </c>
      <c r="D232" s="28" t="n">
        <v>40</v>
      </c>
      <c r="E232" s="28" t="n">
        <v>0</v>
      </c>
      <c r="F232" s="28" t="n">
        <v>103</v>
      </c>
      <c r="G232" s="28" t="n">
        <v>679</v>
      </c>
      <c r="H232" s="28" t="n">
        <v>0</v>
      </c>
      <c r="I232" s="28" t="n">
        <v>520</v>
      </c>
      <c r="J232" s="28" t="n">
        <v>501</v>
      </c>
      <c r="K232" s="28">
        <f>TABL12[[#This Row],[ (T/B) SAR]]+TABL12[[#This Row],[ (S/S) SAR]]</f>
        <v/>
      </c>
      <c r="L232" s="28" t="n">
        <v>342</v>
      </c>
      <c r="M232" s="29" t="n">
        <v>24.9</v>
      </c>
      <c r="N232" s="30" t="n">
        <v>8.029999999999999</v>
      </c>
      <c r="O232" s="3" t="n">
        <v>460</v>
      </c>
      <c r="P232" s="3">
        <f>TABL12[[#This Row],[ (S/S) SAR]]-TABL12[[#This Row],[(S/S) AJD]]</f>
        <v/>
      </c>
      <c r="Q232" s="3" t="n">
        <v>502</v>
      </c>
      <c r="R232" s="3">
        <f>TABL12[[#This Row],[ (T/B) SAR]]-TABL12[[#This Row],[(T/B) AJD]]</f>
        <v/>
      </c>
      <c r="S232" s="3">
        <f>TABL12[[#This Row],[S/S_CON.]]+TABL12[[#This Row],[T/B-CON.]]</f>
        <v/>
      </c>
      <c r="T232" s="3">
        <f>O232+Q232</f>
        <v/>
      </c>
      <c r="U232" s="3" t="n">
        <v>561</v>
      </c>
      <c r="V232" s="3" t="n">
        <v>321</v>
      </c>
      <c r="W232" s="3">
        <f>U232+V232</f>
        <v/>
      </c>
      <c r="X232" s="3">
        <f>T232-W232</f>
        <v/>
      </c>
      <c r="Y232" s="4" t="n">
        <v>92.73399999999999</v>
      </c>
      <c r="Z232" s="3" t="n">
        <v>638239</v>
      </c>
      <c r="AA232" s="3">
        <f>TABL12[[#This Row],[(RESV. STORGE) AJD]]/10</f>
        <v/>
      </c>
      <c r="AB232" s="3">
        <f>(Z232-Z231)/1000</f>
        <v/>
      </c>
      <c r="AC232" s="6" t="n">
        <v>0</v>
      </c>
      <c r="AD232" s="5">
        <f>TABL12[[#This Row],[( S/S+T/B) AJD]]-(TABL12[[#This Row],[(A/B + A/S) AJD]]+TABL12[[#This Row],[(STORGE DIFF.) AJD]]+(TABL12[[#This Row],[AJD_Evaporation]]))</f>
        <v/>
      </c>
      <c r="AE232" s="6" t="n">
        <v>50</v>
      </c>
      <c r="AF232" s="33" t="n">
        <v>58.658</v>
      </c>
      <c r="AG232" s="6" t="n">
        <v>1398365</v>
      </c>
      <c r="AH232" s="6">
        <f>TABL12[[#This Row],[ (RESV. STORGE) BER]]/10</f>
        <v/>
      </c>
      <c r="AI232" s="6" t="n">
        <v>3473</v>
      </c>
      <c r="AJ232" s="6">
        <f>TABL12[[#This Row],[(A/B) AJD]]-TABL12[[#This Row],[BER_IN]]</f>
        <v/>
      </c>
      <c r="AK232" s="6" t="n">
        <v>48</v>
      </c>
      <c r="AL232" s="33" t="n">
        <v>43.3167</v>
      </c>
      <c r="AM232" s="6" t="n">
        <v>3280150</v>
      </c>
      <c r="AN232" s="6">
        <f>TABL12[[#This Row],[ (RESV. STORGE) SER]]/10</f>
        <v/>
      </c>
      <c r="AO232" s="6" t="n">
        <v>1940</v>
      </c>
      <c r="AP232" s="32">
        <f>TABL12[[#This Row],[(A/S) AJD]]-TABL12[[#This Row],[SER_IN]]</f>
        <v/>
      </c>
    </row>
    <row r="233">
      <c r="A233" s="2" t="n">
        <v>45889</v>
      </c>
      <c r="B233" s="28" t="n">
        <v>39</v>
      </c>
      <c r="C233" s="28" t="n">
        <v>327</v>
      </c>
      <c r="D233" s="28" t="n">
        <v>39</v>
      </c>
      <c r="E233" s="28" t="n">
        <v>0</v>
      </c>
      <c r="F233" s="28" t="n">
        <v>103</v>
      </c>
      <c r="G233" s="28" t="n">
        <v>668</v>
      </c>
      <c r="H233" s="28" t="n">
        <v>0</v>
      </c>
      <c r="I233" s="28" t="n">
        <v>508</v>
      </c>
      <c r="J233" s="28" t="n">
        <v>500</v>
      </c>
      <c r="K233" s="28">
        <f>TABL12[[#This Row],[ (T/B) SAR]]+TABL12[[#This Row],[ (S/S) SAR]]</f>
        <v/>
      </c>
      <c r="L233" s="28" t="n">
        <v>340</v>
      </c>
      <c r="M233" s="29" t="n">
        <v>24.9</v>
      </c>
      <c r="N233" s="30" t="n">
        <v>7.96</v>
      </c>
      <c r="O233" s="3" t="n">
        <v>449</v>
      </c>
      <c r="P233" s="3">
        <f>TABL12[[#This Row],[ (S/S) SAR]]-TABL12[[#This Row],[(S/S) AJD]]</f>
        <v/>
      </c>
      <c r="Q233" s="3" t="n">
        <v>490</v>
      </c>
      <c r="R233" s="3">
        <f>TABL12[[#This Row],[ (T/B) SAR]]-TABL12[[#This Row],[(T/B) AJD]]</f>
        <v/>
      </c>
      <c r="S233" s="3">
        <f>TABL12[[#This Row],[S/S_CON.]]+TABL12[[#This Row],[T/B-CON.]]</f>
        <v/>
      </c>
      <c r="T233" s="3">
        <f>O233+Q233</f>
        <v/>
      </c>
      <c r="U233" s="3" t="n">
        <v>570</v>
      </c>
      <c r="V233" s="3" t="n">
        <v>329</v>
      </c>
      <c r="W233" s="3">
        <f>U233+V233</f>
        <v/>
      </c>
      <c r="X233" s="3">
        <f>T233-W233</f>
        <v/>
      </c>
      <c r="Y233" s="4" t="n">
        <v>92.742</v>
      </c>
      <c r="Z233" s="3" t="n">
        <v>638031</v>
      </c>
      <c r="AA233" s="3">
        <f>TABL12[[#This Row],[(RESV. STORGE) AJD]]/10</f>
        <v/>
      </c>
      <c r="AB233" s="3">
        <f>(Z233-Z232)/1000</f>
        <v/>
      </c>
      <c r="AC233" s="6" t="n">
        <v>2433</v>
      </c>
      <c r="AD233" s="5">
        <f>TABL12[[#This Row],[( S/S+T/B) AJD]]-(TABL12[[#This Row],[(A/B + A/S) AJD]]+TABL12[[#This Row],[(STORGE DIFF.) AJD]]+(TABL12[[#This Row],[AJD_Evaporation]]))</f>
        <v/>
      </c>
      <c r="AE233" s="6" t="n">
        <v>57</v>
      </c>
      <c r="AF233" s="33" t="n">
        <v>58.679</v>
      </c>
      <c r="AG233" s="6" t="n">
        <v>1412169</v>
      </c>
      <c r="AH233" s="6">
        <f>TABL12[[#This Row],[ (RESV. STORGE) BER]]/10</f>
        <v/>
      </c>
      <c r="AI233" s="6" t="n">
        <v>3355</v>
      </c>
      <c r="AJ233" s="6">
        <f>TABL12[[#This Row],[(A/B) AJD]]-TABL12[[#This Row],[BER_IN]]</f>
        <v/>
      </c>
      <c r="AK233" s="6" t="n">
        <v>48</v>
      </c>
      <c r="AL233" s="33" t="n">
        <v>43.2026</v>
      </c>
      <c r="AM233" s="6" t="n">
        <v>3218220</v>
      </c>
      <c r="AN233" s="6">
        <f>TABL12[[#This Row],[ (RESV. STORGE) SER]]/10</f>
        <v/>
      </c>
      <c r="AO233" s="6" t="n">
        <v>1930</v>
      </c>
      <c r="AP233" s="32">
        <f>TABL12[[#This Row],[(A/S) AJD]]-TABL12[[#This Row],[SER_IN]]</f>
        <v/>
      </c>
    </row>
    <row r="234">
      <c r="A234" s="2" t="n">
        <v>45890</v>
      </c>
      <c r="B234" s="28" t="n">
        <v>41</v>
      </c>
      <c r="C234" s="28" t="n">
        <v>326</v>
      </c>
      <c r="D234" s="28" t="n">
        <v>41</v>
      </c>
      <c r="E234" s="28" t="n">
        <v>0</v>
      </c>
      <c r="F234" s="28" t="n">
        <v>103</v>
      </c>
      <c r="G234" s="28" t="n">
        <v>675</v>
      </c>
      <c r="H234" s="28" t="n">
        <v>0</v>
      </c>
      <c r="I234" s="28" t="n">
        <v>513</v>
      </c>
      <c r="J234" s="28" t="n">
        <v>502</v>
      </c>
      <c r="K234" s="28">
        <f>TABL12[[#This Row],[ (T/B) SAR]]+TABL12[[#This Row],[ (S/S) SAR]]</f>
        <v/>
      </c>
      <c r="L234" s="28" t="n">
        <v>340</v>
      </c>
      <c r="M234" s="29" t="n">
        <v>24.9</v>
      </c>
      <c r="N234" s="30" t="n">
        <v>7.89</v>
      </c>
      <c r="O234" s="3" t="n">
        <v>451</v>
      </c>
      <c r="P234" s="3">
        <f>TABL12[[#This Row],[ (S/S) SAR]]-TABL12[[#This Row],[(S/S) AJD]]</f>
        <v/>
      </c>
      <c r="Q234" s="3" t="n">
        <v>491</v>
      </c>
      <c r="R234" s="3">
        <f>TABL12[[#This Row],[ (T/B) SAR]]-TABL12[[#This Row],[(T/B) AJD]]</f>
        <v/>
      </c>
      <c r="S234" s="3">
        <f>TABL12[[#This Row],[S/S_CON.]]+TABL12[[#This Row],[T/B-CON.]]</f>
        <v/>
      </c>
      <c r="T234" s="3">
        <f>O234+Q234</f>
        <v/>
      </c>
      <c r="U234" s="3" t="n">
        <v>562</v>
      </c>
      <c r="V234" s="3" t="n">
        <v>331</v>
      </c>
      <c r="W234" s="3">
        <f>U234+V234</f>
        <v/>
      </c>
      <c r="X234" s="3">
        <f>T234-W234</f>
        <v/>
      </c>
      <c r="Y234" s="4" t="n">
        <v>92.76900000000001</v>
      </c>
      <c r="Z234" s="3" t="n">
        <v>657157</v>
      </c>
      <c r="AA234" s="3">
        <f>TABL12[[#This Row],[(RESV. STORGE) AJD]]/10</f>
        <v/>
      </c>
      <c r="AB234" s="3">
        <f>(Z234-Z233)/1000</f>
        <v/>
      </c>
      <c r="AC234" s="6" t="n">
        <v>0</v>
      </c>
      <c r="AD234" s="5">
        <f>TABL12[[#This Row],[( S/S+T/B) AJD]]-(TABL12[[#This Row],[(A/B + A/S) AJD]]+TABL12[[#This Row],[(STORGE DIFF.) AJD]]+(TABL12[[#This Row],[AJD_Evaporation]]))</f>
        <v/>
      </c>
      <c r="AE234" s="6" t="n">
        <v>61</v>
      </c>
      <c r="AF234" s="33" t="n">
        <v>58.708</v>
      </c>
      <c r="AG234" s="6" t="n">
        <v>1431238</v>
      </c>
      <c r="AH234" s="6">
        <f>TABL12[[#This Row],[ (RESV. STORGE) BER]]/10</f>
        <v/>
      </c>
      <c r="AI234" s="6" t="n">
        <v>2920</v>
      </c>
      <c r="AJ234" s="6">
        <f>TABL12[[#This Row],[(A/B) AJD]]-TABL12[[#This Row],[BER_IN]]</f>
        <v/>
      </c>
      <c r="AK234" s="6" t="n">
        <v>48</v>
      </c>
      <c r="AL234" s="33" t="n">
        <v>43.1263</v>
      </c>
      <c r="AM234" s="6" t="n">
        <v>3176460</v>
      </c>
      <c r="AN234" s="6">
        <f>TABL12[[#This Row],[ (RESV. STORGE) SER]]/10</f>
        <v/>
      </c>
      <c r="AO234" s="6" t="n">
        <v>1960</v>
      </c>
      <c r="AP234" s="32">
        <f>TABL12[[#This Row],[(A/S) AJD]]-TABL12[[#This Row],[SER_IN]]</f>
        <v/>
      </c>
    </row>
    <row r="235">
      <c r="A235" s="2" t="n">
        <v>45891</v>
      </c>
      <c r="B235" s="28" t="n">
        <v>41</v>
      </c>
      <c r="C235" s="28" t="n">
        <v>335</v>
      </c>
      <c r="D235" s="28" t="n">
        <v>41</v>
      </c>
      <c r="E235" s="28" t="n">
        <v>0</v>
      </c>
      <c r="F235" s="28" t="n">
        <v>103</v>
      </c>
      <c r="G235" s="28" t="n">
        <v>674</v>
      </c>
      <c r="H235" s="28" t="n">
        <v>0</v>
      </c>
      <c r="I235" s="28" t="n">
        <v>512</v>
      </c>
      <c r="J235" s="28" t="n">
        <v>501</v>
      </c>
      <c r="K235" s="28">
        <f>TABL12[[#This Row],[ (T/B) SAR]]+TABL12[[#This Row],[ (S/S) SAR]]</f>
        <v/>
      </c>
      <c r="L235" s="28" t="n">
        <v>339</v>
      </c>
      <c r="M235" s="29" t="n">
        <v>24.9</v>
      </c>
      <c r="N235" s="30" t="n">
        <v>7.87</v>
      </c>
      <c r="O235" s="3" t="n">
        <v>449</v>
      </c>
      <c r="P235" s="3">
        <f>TABL12[[#This Row],[ (S/S) SAR]]-TABL12[[#This Row],[(S/S) AJD]]</f>
        <v/>
      </c>
      <c r="Q235" s="3" t="n">
        <v>489</v>
      </c>
      <c r="R235" s="3">
        <f>TABL12[[#This Row],[ (T/B) SAR]]-TABL12[[#This Row],[(T/B) AJD]]</f>
        <v/>
      </c>
      <c r="S235" s="3">
        <f>TABL12[[#This Row],[S/S_CON.]]+TABL12[[#This Row],[T/B-CON.]]</f>
        <v/>
      </c>
      <c r="T235" s="3">
        <f>O235+Q235</f>
        <v/>
      </c>
      <c r="U235" s="3" t="n">
        <v>570</v>
      </c>
      <c r="V235" s="3" t="n">
        <v>264</v>
      </c>
      <c r="W235" s="3">
        <f>U235+V235</f>
        <v/>
      </c>
      <c r="X235" s="3">
        <f>T235-W235</f>
        <v/>
      </c>
      <c r="Y235" s="4" t="n">
        <v>92.779</v>
      </c>
      <c r="Z235" s="3" t="n">
        <v>663138</v>
      </c>
      <c r="AA235" s="3">
        <f>TABL12[[#This Row],[(RESV. STORGE) AJD]]/10</f>
        <v/>
      </c>
      <c r="AB235" s="3">
        <f>(Z235-Z234)/1000</f>
        <v/>
      </c>
      <c r="AC235" s="6" t="n">
        <v>2147</v>
      </c>
      <c r="AD235" s="5">
        <f>TABL12[[#This Row],[( S/S+T/B) AJD]]-(TABL12[[#This Row],[(A/B + A/S) AJD]]+TABL12[[#This Row],[(STORGE DIFF.) AJD]]+(TABL12[[#This Row],[AJD_Evaporation]]))</f>
        <v/>
      </c>
      <c r="AE235" s="6" t="n">
        <v>60</v>
      </c>
      <c r="AF235" s="33" t="n">
        <v>58.734</v>
      </c>
      <c r="AG235" s="6" t="n">
        <v>1448341</v>
      </c>
      <c r="AH235" s="6">
        <f>TABL12[[#This Row],[ (RESV. STORGE) BER]]/10</f>
        <v/>
      </c>
      <c r="AI235" s="6" t="n">
        <v>3057</v>
      </c>
      <c r="AJ235" s="6">
        <f>TABL12[[#This Row],[(A/B) AJD]]-TABL12[[#This Row],[BER_IN]]</f>
        <v/>
      </c>
      <c r="AK235" s="6" t="n">
        <v>57</v>
      </c>
      <c r="AL235" s="33" t="n">
        <v>43.0342</v>
      </c>
      <c r="AM235" s="6" t="n">
        <v>3126610</v>
      </c>
      <c r="AN235" s="6">
        <f>TABL12[[#This Row],[ (RESV. STORGE) SER]]/10</f>
        <v/>
      </c>
      <c r="AO235" s="6" t="n">
        <v>1850</v>
      </c>
      <c r="AP235" s="32">
        <f>TABL12[[#This Row],[(A/S) AJD]]-TABL12[[#This Row],[SER_IN]]</f>
        <v/>
      </c>
    </row>
    <row r="236">
      <c r="A236" s="2" t="n">
        <v>45892</v>
      </c>
      <c r="B236" s="28" t="n">
        <v>41</v>
      </c>
      <c r="C236" s="28" t="n">
        <v>340</v>
      </c>
      <c r="D236" s="28" t="n">
        <v>41</v>
      </c>
      <c r="E236" s="28" t="n">
        <v>0</v>
      </c>
      <c r="F236" s="28" t="n">
        <v>103</v>
      </c>
      <c r="G236" s="28" t="n">
        <v>682</v>
      </c>
      <c r="H236" s="28" t="n">
        <v>0</v>
      </c>
      <c r="I236" s="28" t="n">
        <v>522</v>
      </c>
      <c r="J236" s="28" t="n">
        <v>500</v>
      </c>
      <c r="K236" s="28">
        <f>TABL12[[#This Row],[ (T/B) SAR]]+TABL12[[#This Row],[ (S/S) SAR]]</f>
        <v/>
      </c>
      <c r="L236" s="28" t="n">
        <v>340</v>
      </c>
      <c r="M236" s="29" t="n">
        <v>24.9</v>
      </c>
      <c r="N236" s="30" t="n">
        <v>7.92</v>
      </c>
      <c r="O236" s="3" t="n">
        <v>429</v>
      </c>
      <c r="P236" s="3">
        <f>TABL12[[#This Row],[ (S/S) SAR]]-TABL12[[#This Row],[(S/S) AJD]]</f>
        <v/>
      </c>
      <c r="Q236" s="3" t="n">
        <v>468</v>
      </c>
      <c r="R236" s="3">
        <f>TABL12[[#This Row],[ (T/B) SAR]]-TABL12[[#This Row],[(T/B) AJD]]</f>
        <v/>
      </c>
      <c r="S236" s="3">
        <f>TABL12[[#This Row],[S/S_CON.]]+TABL12[[#This Row],[T/B-CON.]]</f>
        <v/>
      </c>
      <c r="T236" s="3">
        <f>O236+Q236</f>
        <v/>
      </c>
      <c r="U236" s="3" t="n">
        <v>539</v>
      </c>
      <c r="V236" s="3" t="n">
        <v>331</v>
      </c>
      <c r="W236" s="3">
        <f>U236+V236</f>
        <v/>
      </c>
      <c r="X236" s="3">
        <f>T236-W236</f>
        <v/>
      </c>
      <c r="Y236" s="4" t="n">
        <v>92.729</v>
      </c>
      <c r="Z236" s="3" t="n">
        <v>633248</v>
      </c>
      <c r="AA236" s="3">
        <f>TABL12[[#This Row],[(RESV. STORGE) AJD]]/10</f>
        <v/>
      </c>
      <c r="AB236" s="3">
        <f>(Z236-Z235)/1000</f>
        <v/>
      </c>
      <c r="AC236" s="6" t="n">
        <v>0</v>
      </c>
      <c r="AD236" s="5">
        <f>TABL12[[#This Row],[( S/S+T/B) AJD]]-(TABL12[[#This Row],[(A/B + A/S) AJD]]+TABL12[[#This Row],[(STORGE DIFF.) AJD]]+(TABL12[[#This Row],[AJD_Evaporation]]))</f>
        <v/>
      </c>
      <c r="AE236" s="6" t="n">
        <v>60</v>
      </c>
      <c r="AF236" s="33" t="n">
        <v>58.76</v>
      </c>
      <c r="AG236" s="6" t="n">
        <v>1465449</v>
      </c>
      <c r="AH236" s="6">
        <f>TABL12[[#This Row],[ (RESV. STORGE) BER]]/10</f>
        <v/>
      </c>
      <c r="AI236" s="6" t="n">
        <v>3051</v>
      </c>
      <c r="AJ236" s="6">
        <f>TABL12[[#This Row],[(A/B) AJD]]-TABL12[[#This Row],[BER_IN]]</f>
        <v/>
      </c>
      <c r="AK236" s="6" t="n">
        <v>61</v>
      </c>
      <c r="AL236" s="33" t="n">
        <v>43.0032</v>
      </c>
      <c r="AM236" s="6" t="n">
        <v>3109920</v>
      </c>
      <c r="AN236" s="6">
        <f>TABL12[[#This Row],[ (RESV. STORGE) SER]]/10</f>
        <v/>
      </c>
      <c r="AO236" s="6" t="n">
        <v>1781</v>
      </c>
      <c r="AP236" s="32">
        <f>TABL12[[#This Row],[(A/S) AJD]]-TABL12[[#This Row],[SER_IN]]</f>
        <v/>
      </c>
    </row>
    <row r="237">
      <c r="A237" s="2" t="n">
        <v>45893</v>
      </c>
      <c r="B237" s="28" t="n">
        <v>42</v>
      </c>
      <c r="C237" s="28" t="n">
        <v>326</v>
      </c>
      <c r="D237" s="28" t="n">
        <v>42</v>
      </c>
      <c r="E237" s="28" t="n">
        <v>0</v>
      </c>
      <c r="F237" s="28" t="n">
        <v>102</v>
      </c>
      <c r="G237" s="28" t="n">
        <v>665</v>
      </c>
      <c r="H237" s="28" t="n">
        <v>1</v>
      </c>
      <c r="I237" s="28" t="n">
        <v>510</v>
      </c>
      <c r="J237" s="28" t="n">
        <v>495</v>
      </c>
      <c r="K237" s="28">
        <f>TABL12[[#This Row],[ (T/B) SAR]]+TABL12[[#This Row],[ (S/S) SAR]]</f>
        <v/>
      </c>
      <c r="L237" s="28" t="n">
        <v>340</v>
      </c>
      <c r="M237" s="29" t="n">
        <v>24.9</v>
      </c>
      <c r="N237" s="30" t="n">
        <v>7.89</v>
      </c>
      <c r="O237" s="3" t="n">
        <v>445</v>
      </c>
      <c r="P237" s="3">
        <f>TABL12[[#This Row],[ (S/S) SAR]]-TABL12[[#This Row],[(S/S) AJD]]</f>
        <v/>
      </c>
      <c r="Q237" s="3" t="n">
        <v>486</v>
      </c>
      <c r="R237" s="3">
        <f>TABL12[[#This Row],[ (T/B) SAR]]-TABL12[[#This Row],[(T/B) AJD]]</f>
        <v/>
      </c>
      <c r="S237" s="3">
        <f>TABL12[[#This Row],[S/S_CON.]]+TABL12[[#This Row],[T/B-CON.]]</f>
        <v/>
      </c>
      <c r="T237" s="3">
        <f>O237+Q237</f>
        <v/>
      </c>
      <c r="U237" s="3" t="n">
        <v>553</v>
      </c>
      <c r="V237" s="3" t="n">
        <v>362</v>
      </c>
      <c r="W237" s="3">
        <f>U237+V237</f>
        <v/>
      </c>
      <c r="X237" s="3">
        <f>T237-W237</f>
        <v/>
      </c>
      <c r="Y237" s="4" t="n">
        <v>92.669</v>
      </c>
      <c r="Z237" s="3" t="n">
        <v>597410</v>
      </c>
      <c r="AA237" s="3">
        <f>TABL12[[#This Row],[(RESV. STORGE) AJD]]/10</f>
        <v/>
      </c>
      <c r="AB237" s="3">
        <f>(Z237-Z236)/1000</f>
        <v/>
      </c>
      <c r="AC237" s="6" t="n">
        <v>2746</v>
      </c>
      <c r="AD237" s="5">
        <f>TABL12[[#This Row],[( S/S+T/B) AJD]]-(TABL12[[#This Row],[(A/B + A/S) AJD]]+TABL12[[#This Row],[(STORGE DIFF.) AJD]]+(TABL12[[#This Row],[AJD_Evaporation]]))</f>
        <v/>
      </c>
      <c r="AE237" s="6" t="n">
        <v>60</v>
      </c>
      <c r="AF237" s="33" t="n">
        <v>58.8</v>
      </c>
      <c r="AG237" s="6" t="n">
        <v>1491781</v>
      </c>
      <c r="AH237" s="6">
        <f>TABL12[[#This Row],[ (RESV. STORGE) BER]]/10</f>
        <v/>
      </c>
      <c r="AI237" s="6" t="n">
        <v>3289</v>
      </c>
      <c r="AJ237" s="6">
        <f>TABL12[[#This Row],[(A/B) AJD]]-TABL12[[#This Row],[BER_IN]]</f>
        <v/>
      </c>
      <c r="AK237" s="6" t="n">
        <v>62</v>
      </c>
      <c r="AL237" s="33" t="n">
        <v>42.9508</v>
      </c>
      <c r="AM237" s="6" t="n">
        <v>3081700</v>
      </c>
      <c r="AN237" s="6">
        <f>TABL12[[#This Row],[ (RESV. STORGE) SER]]/10</f>
        <v/>
      </c>
      <c r="AO237" s="6" t="n">
        <v>1820</v>
      </c>
      <c r="AP237" s="32">
        <f>TABL12[[#This Row],[(A/S) AJD]]-TABL12[[#This Row],[SER_IN]]</f>
        <v/>
      </c>
    </row>
    <row r="238">
      <c r="A238" s="2" t="n">
        <v>45894</v>
      </c>
      <c r="B238" s="28" t="n">
        <v>42</v>
      </c>
      <c r="C238" s="28" t="n">
        <v>344</v>
      </c>
      <c r="D238" s="28" t="n">
        <v>42</v>
      </c>
      <c r="E238" s="28" t="n">
        <v>0</v>
      </c>
      <c r="F238" s="28" t="n">
        <v>103</v>
      </c>
      <c r="G238" s="28" t="n">
        <v>673</v>
      </c>
      <c r="H238" s="28" t="n">
        <v>0</v>
      </c>
      <c r="I238" s="28" t="n">
        <v>512</v>
      </c>
      <c r="J238" s="28" t="n">
        <v>500</v>
      </c>
      <c r="K238" s="28">
        <f>TABL12[[#This Row],[ (T/B) SAR]]+TABL12[[#This Row],[ (S/S) SAR]]</f>
        <v/>
      </c>
      <c r="L238" s="28" t="n">
        <v>339</v>
      </c>
      <c r="M238" s="29" t="n">
        <v>24.9</v>
      </c>
      <c r="N238" s="30" t="n">
        <v>7.89</v>
      </c>
      <c r="O238" s="3" t="n">
        <v>443</v>
      </c>
      <c r="P238" s="3">
        <f>TABL12[[#This Row],[ (S/S) SAR]]-TABL12[[#This Row],[(S/S) AJD]]</f>
        <v/>
      </c>
      <c r="Q238" s="3" t="n">
        <v>484</v>
      </c>
      <c r="R238" s="3">
        <f>TABL12[[#This Row],[ (T/B) SAR]]-TABL12[[#This Row],[(T/B) AJD]]</f>
        <v/>
      </c>
      <c r="S238" s="3">
        <f>TABL12[[#This Row],[S/S_CON.]]+TABL12[[#This Row],[T/B-CON.]]</f>
        <v/>
      </c>
      <c r="T238" s="3">
        <f>O238+Q238</f>
        <v/>
      </c>
      <c r="U238" s="3" t="n">
        <v>565</v>
      </c>
      <c r="V238" s="3" t="n">
        <v>401</v>
      </c>
      <c r="W238" s="3">
        <f>U238+V238</f>
        <v/>
      </c>
      <c r="X238" s="3">
        <f>T238-W238</f>
        <v/>
      </c>
      <c r="Y238" s="4" t="n">
        <v>92.614</v>
      </c>
      <c r="Z238" s="3" t="n">
        <v>566373</v>
      </c>
      <c r="AA238" s="3">
        <f>TABL12[[#This Row],[(RESV. STORGE) AJD]]/10</f>
        <v/>
      </c>
      <c r="AB238" s="3">
        <f>(Z238-Z237)/1000</f>
        <v/>
      </c>
      <c r="AC238" s="6" t="n">
        <v>0</v>
      </c>
      <c r="AD238" s="5">
        <f>TABL12[[#This Row],[( S/S+T/B) AJD]]-(TABL12[[#This Row],[(A/B + A/S) AJD]]+TABL12[[#This Row],[(STORGE DIFF.) AJD]]+(TABL12[[#This Row],[AJD_Evaporation]]))</f>
        <v/>
      </c>
      <c r="AE238" s="6" t="n">
        <v>60</v>
      </c>
      <c r="AF238" s="33" t="n">
        <v>58.826</v>
      </c>
      <c r="AG238" s="6" t="n">
        <v>1508905</v>
      </c>
      <c r="AH238" s="6">
        <f>TABL12[[#This Row],[ (RESV. STORGE) BER]]/10</f>
        <v/>
      </c>
      <c r="AI238" s="6" t="n">
        <v>3036</v>
      </c>
      <c r="AJ238" s="6">
        <f>TABL12[[#This Row],[(A/B) AJD]]-TABL12[[#This Row],[BER_IN]]</f>
        <v/>
      </c>
      <c r="AK238" s="6" t="n">
        <v>62</v>
      </c>
      <c r="AL238" s="33" t="n">
        <v>42.9799</v>
      </c>
      <c r="AM238" s="6" t="n">
        <v>3097340</v>
      </c>
      <c r="AN238" s="6">
        <f>TABL12[[#This Row],[ (RESV. STORGE) SER]]/10</f>
        <v/>
      </c>
      <c r="AO238" s="6" t="n">
        <v>1960</v>
      </c>
      <c r="AP238" s="32">
        <f>TABL12[[#This Row],[(A/S) AJD]]-TABL12[[#This Row],[SER_IN]]</f>
        <v/>
      </c>
    </row>
    <row r="239">
      <c r="A239" s="2" t="n">
        <v>45895</v>
      </c>
      <c r="B239" s="28" t="n">
        <v>42</v>
      </c>
      <c r="C239" s="28" t="n">
        <v>359</v>
      </c>
      <c r="D239" s="28" t="n">
        <v>42</v>
      </c>
      <c r="E239" s="28" t="n">
        <v>0</v>
      </c>
      <c r="F239" s="28" t="n">
        <v>103</v>
      </c>
      <c r="G239" s="28" t="n">
        <v>684</v>
      </c>
      <c r="H239" s="28" t="n">
        <v>0</v>
      </c>
      <c r="I239" s="28" t="n">
        <v>512</v>
      </c>
      <c r="J239" s="28" t="n">
        <v>505</v>
      </c>
      <c r="K239" s="28">
        <f>TABL12[[#This Row],[ (T/B) SAR]]+TABL12[[#This Row],[ (S/S) SAR]]</f>
        <v/>
      </c>
      <c r="L239" s="28" t="n">
        <v>338</v>
      </c>
      <c r="M239" s="29" t="n">
        <v>24.9</v>
      </c>
      <c r="N239" s="30" t="n">
        <v>8</v>
      </c>
      <c r="O239" s="3" t="n">
        <v>446</v>
      </c>
      <c r="P239" s="3">
        <f>TABL12[[#This Row],[ (S/S) SAR]]-TABL12[[#This Row],[(S/S) AJD]]</f>
        <v/>
      </c>
      <c r="Q239" s="3" t="n">
        <v>486</v>
      </c>
      <c r="R239" s="3">
        <f>TABL12[[#This Row],[ (T/B) SAR]]-TABL12[[#This Row],[(T/B) AJD]]</f>
        <v/>
      </c>
      <c r="S239" s="3">
        <f>TABL12[[#This Row],[S/S_CON.]]+TABL12[[#This Row],[T/B-CON.]]</f>
        <v/>
      </c>
      <c r="T239" s="3">
        <f>O239+Q239</f>
        <v/>
      </c>
      <c r="U239" s="3" t="n">
        <v>565</v>
      </c>
      <c r="V239" s="3" t="n">
        <v>350</v>
      </c>
      <c r="W239" s="3">
        <f>U239+V239</f>
        <v/>
      </c>
      <c r="X239" s="3">
        <f>T239-W239</f>
        <v/>
      </c>
      <c r="Y239" s="4" t="n">
        <v>92.562</v>
      </c>
      <c r="Z239" s="3" t="n">
        <v>533570</v>
      </c>
      <c r="AA239" s="3">
        <f>TABL12[[#This Row],[(RESV. STORGE) AJD]]/10</f>
        <v/>
      </c>
      <c r="AB239" s="3">
        <f>(Z239-Z238)/1000</f>
        <v/>
      </c>
      <c r="AC239" s="6" t="n">
        <v>0</v>
      </c>
      <c r="AD239" s="5">
        <f>TABL12[[#This Row],[( S/S+T/B) AJD]]-(TABL12[[#This Row],[(A/B + A/S) AJD]]+TABL12[[#This Row],[(STORGE DIFF.) AJD]]+(TABL12[[#This Row],[AJD_Evaporation]]))</f>
        <v/>
      </c>
      <c r="AE239" s="6" t="n">
        <v>60</v>
      </c>
      <c r="AF239" s="33" t="n">
        <v>58.852</v>
      </c>
      <c r="AG239" s="6" t="n">
        <v>1526034</v>
      </c>
      <c r="AH239" s="6">
        <f>TABL12[[#This Row],[ (RESV. STORGE) BER]]/10</f>
        <v/>
      </c>
      <c r="AI239" s="6" t="n">
        <v>3030</v>
      </c>
      <c r="AJ239" s="6">
        <f>TABL12[[#This Row],[(A/B) AJD]]-TABL12[[#This Row],[BER_IN]]</f>
        <v/>
      </c>
      <c r="AK239" s="6" t="n">
        <v>62</v>
      </c>
      <c r="AL239" s="33" t="n">
        <v>43.0419</v>
      </c>
      <c r="AM239" s="6" t="n">
        <v>3130930</v>
      </c>
      <c r="AN239" s="6">
        <f>TABL12[[#This Row],[ (RESV. STORGE) SER]]/10</f>
        <v/>
      </c>
      <c r="AO239" s="6" t="n">
        <v>1910</v>
      </c>
      <c r="AP239" s="32">
        <f>TABL12[[#This Row],[(A/S) AJD]]-TABL12[[#This Row],[SER_IN]]</f>
        <v/>
      </c>
    </row>
    <row r="240">
      <c r="A240" s="2" t="n">
        <v>45896</v>
      </c>
      <c r="B240" s="28" t="n">
        <v>43</v>
      </c>
      <c r="C240" s="28" t="n">
        <v>357</v>
      </c>
      <c r="D240" s="28" t="n">
        <v>43</v>
      </c>
      <c r="E240" s="28" t="n">
        <v>0</v>
      </c>
      <c r="F240" s="28" t="n">
        <v>103</v>
      </c>
      <c r="G240" s="28" t="n">
        <v>680</v>
      </c>
      <c r="H240" s="28" t="n">
        <v>0</v>
      </c>
      <c r="I240" s="28" t="n">
        <v>510</v>
      </c>
      <c r="J240" s="28" t="n">
        <v>497</v>
      </c>
      <c r="K240" s="28">
        <f>TABL12[[#This Row],[ (T/B) SAR]]+TABL12[[#This Row],[ (S/S) SAR]]</f>
        <v/>
      </c>
      <c r="L240" s="28" t="n">
        <v>345</v>
      </c>
      <c r="M240" s="29" t="n">
        <v>24.9</v>
      </c>
      <c r="N240" s="30" t="n">
        <v>8.16</v>
      </c>
      <c r="O240" s="3" t="n">
        <v>445</v>
      </c>
      <c r="P240" s="3">
        <f>TABL12[[#This Row],[ (S/S) SAR]]-TABL12[[#This Row],[(S/S) AJD]]</f>
        <v/>
      </c>
      <c r="Q240" s="3" t="n">
        <v>486</v>
      </c>
      <c r="R240" s="3">
        <f>TABL12[[#This Row],[ (T/B) SAR]]-TABL12[[#This Row],[(T/B) AJD]]</f>
        <v/>
      </c>
      <c r="S240" s="3">
        <f>TABL12[[#This Row],[S/S_CON.]]+TABL12[[#This Row],[T/B-CON.]]</f>
        <v/>
      </c>
      <c r="T240" s="3">
        <f>O240+Q240</f>
        <v/>
      </c>
      <c r="U240" s="3" t="n">
        <v>566</v>
      </c>
      <c r="V240" s="3" t="n">
        <v>361</v>
      </c>
      <c r="W240" s="3">
        <f>U240+V240</f>
        <v/>
      </c>
      <c r="X240" s="3">
        <f>T240-W240</f>
        <v/>
      </c>
      <c r="Y240" s="4" t="n">
        <v>92.515</v>
      </c>
      <c r="Z240" s="3" t="n">
        <v>505560</v>
      </c>
      <c r="AA240" s="3">
        <f>TABL12[[#This Row],[(RESV. STORGE) AJD]]/10</f>
        <v/>
      </c>
      <c r="AB240" s="3">
        <f>(Z240-Z239)/1000</f>
        <v/>
      </c>
      <c r="AC240" s="6" t="n">
        <v>0</v>
      </c>
      <c r="AD240" s="5">
        <f>TABL12[[#This Row],[( S/S+T/B) AJD]]-(TABL12[[#This Row],[(A/B + A/S) AJD]]+TABL12[[#This Row],[(STORGE DIFF.) AJD]]+(TABL12[[#This Row],[AJD_Evaporation]]))</f>
        <v/>
      </c>
      <c r="AE240" s="6" t="n">
        <v>60</v>
      </c>
      <c r="AF240" s="33" t="n">
        <v>58.878</v>
      </c>
      <c r="AG240" s="6" t="n">
        <v>1543169</v>
      </c>
      <c r="AH240" s="6">
        <f>TABL12[[#This Row],[ (RESV. STORGE) BER]]/10</f>
        <v/>
      </c>
      <c r="AI240" s="6" t="n">
        <v>3025</v>
      </c>
      <c r="AJ240" s="6">
        <f>TABL12[[#This Row],[(A/B) AJD]]-TABL12[[#This Row],[BER_IN]]</f>
        <v/>
      </c>
      <c r="AK240" s="6" t="n">
        <v>62</v>
      </c>
      <c r="AL240" s="33" t="n">
        <v>43.1287</v>
      </c>
      <c r="AM240" s="6" t="n">
        <v>3177280</v>
      </c>
      <c r="AN240" s="6">
        <f>TABL12[[#This Row],[ (RESV. STORGE) SER]]/10</f>
        <v/>
      </c>
      <c r="AO240" s="6" t="n">
        <v>1850</v>
      </c>
      <c r="AP240" s="32">
        <f>TABL12[[#This Row],[(A/S) AJD]]-TABL12[[#This Row],[SER_IN]]</f>
        <v/>
      </c>
    </row>
    <row r="241">
      <c r="A241" s="2" t="n">
        <v>45897</v>
      </c>
      <c r="B241" s="28" t="n">
        <v>42</v>
      </c>
      <c r="C241" s="28" t="n">
        <v>353</v>
      </c>
      <c r="D241" s="28" t="n">
        <v>42</v>
      </c>
      <c r="E241" s="28" t="n">
        <v>0</v>
      </c>
      <c r="F241" s="28" t="n">
        <v>103</v>
      </c>
      <c r="G241" s="28" t="n">
        <v>661</v>
      </c>
      <c r="H241" s="28" t="n">
        <v>0</v>
      </c>
      <c r="I241" s="28" t="n">
        <v>522</v>
      </c>
      <c r="J241" s="28" t="n">
        <v>508</v>
      </c>
      <c r="K241" s="28">
        <f>TABL12[[#This Row],[ (T/B) SAR]]+TABL12[[#This Row],[ (S/S) SAR]]</f>
        <v/>
      </c>
      <c r="L241" s="28" t="n">
        <v>369</v>
      </c>
      <c r="M241" s="29" t="n">
        <v>26.2</v>
      </c>
      <c r="N241" s="30" t="n">
        <v>8.09</v>
      </c>
      <c r="O241" s="3" t="n">
        <v>448</v>
      </c>
      <c r="P241" s="3">
        <f>TABL12[[#This Row],[ (S/S) SAR]]-TABL12[[#This Row],[(S/S) AJD]]</f>
        <v/>
      </c>
      <c r="Q241" s="3" t="n">
        <v>488</v>
      </c>
      <c r="R241" s="3">
        <f>TABL12[[#This Row],[ (T/B) SAR]]-TABL12[[#This Row],[(T/B) AJD]]</f>
        <v/>
      </c>
      <c r="S241" s="3">
        <f>TABL12[[#This Row],[S/S_CON.]]+TABL12[[#This Row],[T/B-CON.]]</f>
        <v/>
      </c>
      <c r="T241" s="3">
        <f>O241+Q241</f>
        <v/>
      </c>
      <c r="U241" s="3" t="n">
        <v>561</v>
      </c>
      <c r="V241" s="3" t="n">
        <v>360</v>
      </c>
      <c r="W241" s="3">
        <f>U241+V241</f>
        <v/>
      </c>
      <c r="X241" s="3">
        <f>T241-W241</f>
        <v/>
      </c>
      <c r="Y241" s="4" t="n">
        <v>92.48999999999999</v>
      </c>
      <c r="Z241" s="3" t="n">
        <v>490672</v>
      </c>
      <c r="AA241" s="3">
        <f>TABL12[[#This Row],[(RESV. STORGE) AJD]]/10</f>
        <v/>
      </c>
      <c r="AB241" s="3">
        <f>(Z241-Z240)/1000</f>
        <v/>
      </c>
      <c r="AC241" s="6" t="n">
        <v>0</v>
      </c>
      <c r="AD241" s="5">
        <f>TABL12[[#This Row],[( S/S+T/B) AJD]]-(TABL12[[#This Row],[(A/B + A/S) AJD]]+TABL12[[#This Row],[(STORGE DIFF.) AJD]]+(TABL12[[#This Row],[AJD_Evaporation]]))</f>
        <v/>
      </c>
      <c r="AE241" s="6" t="n">
        <v>60</v>
      </c>
      <c r="AF241" s="33" t="n">
        <v>58.904</v>
      </c>
      <c r="AG241" s="6" t="n">
        <v>1560310</v>
      </c>
      <c r="AH241" s="6">
        <f>TABL12[[#This Row],[ (RESV. STORGE) BER]]/10</f>
        <v/>
      </c>
      <c r="AI241" s="6" t="n">
        <v>3019</v>
      </c>
      <c r="AJ241" s="6">
        <f>TABL12[[#This Row],[(A/B) AJD]]-TABL12[[#This Row],[BER_IN]]</f>
        <v/>
      </c>
      <c r="AK241" s="6" t="n">
        <v>62</v>
      </c>
      <c r="AL241" s="33" t="n">
        <v>43.2132</v>
      </c>
      <c r="AM241" s="6" t="n">
        <v>3223860</v>
      </c>
      <c r="AN241" s="6">
        <f>TABL12[[#This Row],[ (RESV. STORGE) SER]]/10</f>
        <v/>
      </c>
      <c r="AO241" s="6" t="n">
        <v>1820</v>
      </c>
      <c r="AP241" s="32">
        <f>TABL12[[#This Row],[(A/S) AJD]]-TABL12[[#This Row],[SER_IN]]</f>
        <v/>
      </c>
    </row>
    <row r="242">
      <c r="A242" s="2" t="n">
        <v>45898</v>
      </c>
      <c r="B242" s="28" t="n">
        <v>43</v>
      </c>
      <c r="C242" s="28" t="n">
        <v>357</v>
      </c>
      <c r="D242" s="28" t="n">
        <v>43</v>
      </c>
      <c r="E242" s="28" t="n">
        <v>0</v>
      </c>
      <c r="F242" s="28" t="n">
        <v>103</v>
      </c>
      <c r="G242" s="28" t="n">
        <v>655</v>
      </c>
      <c r="H242" s="28" t="n">
        <v>0</v>
      </c>
      <c r="I242" s="28" t="n">
        <v>518</v>
      </c>
      <c r="J242" s="28" t="n">
        <v>504</v>
      </c>
      <c r="K242" s="28">
        <f>TABL12[[#This Row],[ (T/B) SAR]]+TABL12[[#This Row],[ (S/S) SAR]]</f>
        <v/>
      </c>
      <c r="L242" s="28" t="n">
        <v>367</v>
      </c>
      <c r="M242" s="29" t="n">
        <v>26.2</v>
      </c>
      <c r="N242" s="30" t="n">
        <v>8.01</v>
      </c>
      <c r="O242" s="3" t="n">
        <v>453</v>
      </c>
      <c r="P242" s="3">
        <f>TABL12[[#This Row],[ (S/S) SAR]]-TABL12[[#This Row],[(S/S) AJD]]</f>
        <v/>
      </c>
      <c r="Q242" s="3" t="n">
        <v>495</v>
      </c>
      <c r="R242" s="3">
        <f>TABL12[[#This Row],[ (T/B) SAR]]-TABL12[[#This Row],[(T/B) AJD]]</f>
        <v/>
      </c>
      <c r="S242" s="3">
        <f>TABL12[[#This Row],[S/S_CON.]]+TABL12[[#This Row],[T/B-CON.]]</f>
        <v/>
      </c>
      <c r="T242" s="3">
        <f>O242+Q242</f>
        <v/>
      </c>
      <c r="U242" s="3" t="n">
        <v>561</v>
      </c>
      <c r="V242" s="3" t="n">
        <v>370</v>
      </c>
      <c r="W242" s="3">
        <f>U242+V242</f>
        <v/>
      </c>
      <c r="X242" s="3">
        <f>T242-W242</f>
        <v/>
      </c>
      <c r="Y242" s="4" t="n">
        <v>92.47499999999999</v>
      </c>
      <c r="Z242" s="3" t="n">
        <v>481734</v>
      </c>
      <c r="AA242" s="3">
        <f>TABL12[[#This Row],[(RESV. STORGE) AJD]]/10</f>
        <v/>
      </c>
      <c r="AB242" s="3">
        <f>(Z242-Z241)/1000</f>
        <v/>
      </c>
      <c r="AC242" s="6" t="n">
        <v>0</v>
      </c>
      <c r="AD242" s="5">
        <f>TABL12[[#This Row],[( S/S+T/B) AJD]]-(TABL12[[#This Row],[(A/B + A/S) AJD]]+TABL12[[#This Row],[(STORGE DIFF.) AJD]]+(TABL12[[#This Row],[AJD_Evaporation]]))</f>
        <v/>
      </c>
      <c r="AE242" s="6" t="n">
        <v>60</v>
      </c>
      <c r="AF242" s="33" t="n">
        <v>58.93</v>
      </c>
      <c r="AG242" s="6" t="n">
        <v>1577456</v>
      </c>
      <c r="AH242" s="6">
        <f>TABL12[[#This Row],[ (RESV. STORGE) BER]]/10</f>
        <v/>
      </c>
      <c r="AI242" s="6" t="n">
        <v>3013</v>
      </c>
      <c r="AJ242" s="6">
        <f>TABL12[[#This Row],[(A/B) AJD]]-TABL12[[#This Row],[BER_IN]]</f>
        <v/>
      </c>
      <c r="AK242" s="6" t="n">
        <v>62</v>
      </c>
      <c r="AL242" s="33" t="n">
        <v>43.2804</v>
      </c>
      <c r="AM242" s="6" t="n">
        <v>3260050</v>
      </c>
      <c r="AN242" s="6">
        <f>TABL12[[#This Row],[ (RESV. STORGE) SER]]/10</f>
        <v/>
      </c>
      <c r="AO242" s="6" t="n">
        <v>1910</v>
      </c>
      <c r="AP242" s="32">
        <f>TABL12[[#This Row],[(A/S) AJD]]-TABL12[[#This Row],[SER_IN]]</f>
        <v/>
      </c>
    </row>
    <row r="243">
      <c r="A243" s="2" t="n">
        <v>45899</v>
      </c>
      <c r="B243" s="28" t="n">
        <v>43</v>
      </c>
      <c r="C243" s="28" t="n">
        <v>355</v>
      </c>
      <c r="D243" s="28" t="n">
        <v>43</v>
      </c>
      <c r="E243" s="28" t="n">
        <v>0</v>
      </c>
      <c r="F243" s="28" t="n">
        <v>103</v>
      </c>
      <c r="G243" s="28" t="n">
        <v>659</v>
      </c>
      <c r="H243" s="28" t="n">
        <v>0</v>
      </c>
      <c r="I243" s="28" t="n">
        <v>519</v>
      </c>
      <c r="J243" s="28" t="n">
        <v>505</v>
      </c>
      <c r="K243" s="28">
        <f>TABL12[[#This Row],[ (T/B) SAR]]+TABL12[[#This Row],[ (S/S) SAR]]</f>
        <v/>
      </c>
      <c r="L243" s="28" t="n">
        <v>365</v>
      </c>
      <c r="M243" s="29" t="n">
        <v>26.2</v>
      </c>
      <c r="N243" s="30" t="n">
        <v>7.97</v>
      </c>
      <c r="O243" s="3" t="n">
        <v>453</v>
      </c>
      <c r="P243" s="3">
        <f>TABL12[[#This Row],[ (S/S) SAR]]-TABL12[[#This Row],[(S/S) AJD]]</f>
        <v/>
      </c>
      <c r="Q243" s="3" t="n">
        <v>495</v>
      </c>
      <c r="R243" s="3">
        <f>TABL12[[#This Row],[ (T/B) SAR]]-TABL12[[#This Row],[(T/B) AJD]]</f>
        <v/>
      </c>
      <c r="S243" s="3">
        <f>TABL12[[#This Row],[S/S_CON.]]+TABL12[[#This Row],[T/B-CON.]]</f>
        <v/>
      </c>
      <c r="T243" s="3">
        <f>O243+Q243</f>
        <v/>
      </c>
      <c r="U243" s="3" t="n">
        <v>562</v>
      </c>
      <c r="V243" s="3" t="n">
        <v>349</v>
      </c>
      <c r="W243" s="3">
        <f>U243+V243</f>
        <v/>
      </c>
      <c r="X243" s="3">
        <f>T243-W243</f>
        <v/>
      </c>
      <c r="Y243" s="4" t="n">
        <v>92.485</v>
      </c>
      <c r="Z243" s="3" t="n">
        <v>487691</v>
      </c>
      <c r="AA243" s="3">
        <f>TABL12[[#This Row],[(RESV. STORGE) AJD]]/10</f>
        <v/>
      </c>
      <c r="AB243" s="3">
        <f>(Z243-Z242)/1000</f>
        <v/>
      </c>
      <c r="AC243" s="6" t="n">
        <v>0</v>
      </c>
      <c r="AD243" s="5">
        <f>TABL12[[#This Row],[( S/S+T/B) AJD]]-(TABL12[[#This Row],[(A/B + A/S) AJD]]+TABL12[[#This Row],[(STORGE DIFF.) AJD]]+(TABL12[[#This Row],[AJD_Evaporation]]))</f>
        <v/>
      </c>
      <c r="AE243" s="6" t="n">
        <v>60</v>
      </c>
      <c r="AF243" s="33" t="n">
        <v>58.96</v>
      </c>
      <c r="AG243" s="6" t="n">
        <v>1597616</v>
      </c>
      <c r="AH243" s="6">
        <f>TABL12[[#This Row],[ (RESV. STORGE) BER]]/10</f>
        <v/>
      </c>
      <c r="AI243" s="6" t="n">
        <v>3007</v>
      </c>
      <c r="AJ243" s="6">
        <f>TABL12[[#This Row],[(A/B) AJD]]-TABL12[[#This Row],[BER_IN]]</f>
        <v/>
      </c>
      <c r="AK243" s="6" t="n">
        <v>62</v>
      </c>
      <c r="AL243" s="33" t="n">
        <v>43.3632</v>
      </c>
      <c r="AM243" s="6" t="n">
        <v>3305170</v>
      </c>
      <c r="AN243" s="6">
        <f>TABL12[[#This Row],[ (RESV. STORGE) SER]]/10</f>
        <v/>
      </c>
      <c r="AO243" s="6" t="n">
        <v>1880</v>
      </c>
      <c r="AP243" s="32">
        <f>TABL12[[#This Row],[(A/S) AJD]]-TABL12[[#This Row],[SER_IN]]</f>
        <v/>
      </c>
    </row>
    <row r="244" ht="15.75" customHeight="1" thickBot="1">
      <c r="A244" s="2" t="n">
        <v>45900</v>
      </c>
      <c r="B244" s="28" t="n">
        <v>43</v>
      </c>
      <c r="C244" s="28" t="n">
        <v>355</v>
      </c>
      <c r="D244" s="28" t="n">
        <v>43</v>
      </c>
      <c r="E244" s="28" t="n">
        <v>0</v>
      </c>
      <c r="F244" s="28" t="n">
        <v>103</v>
      </c>
      <c r="G244" s="28" t="n">
        <v>659</v>
      </c>
      <c r="H244" s="28" t="n">
        <v>0</v>
      </c>
      <c r="I244" s="28" t="n">
        <v>528</v>
      </c>
      <c r="J244" s="28" t="n">
        <v>511</v>
      </c>
      <c r="K244" s="28">
        <f>TABL12[[#This Row],[ (T/B) SAR]]+TABL12[[#This Row],[ (S/S) SAR]]</f>
        <v/>
      </c>
      <c r="L244" s="28" t="n">
        <v>366</v>
      </c>
      <c r="M244" s="29" t="n">
        <v>26.2</v>
      </c>
      <c r="N244" s="30" t="n">
        <v>7.93</v>
      </c>
      <c r="O244" s="3" t="n">
        <v>456</v>
      </c>
      <c r="P244" s="3">
        <f>TABL12[[#This Row],[ (S/S) SAR]]-TABL12[[#This Row],[(S/S) AJD]]</f>
        <v/>
      </c>
      <c r="Q244" s="3" t="n">
        <v>496</v>
      </c>
      <c r="R244" s="3">
        <f>TABL12[[#This Row],[ (T/B) SAR]]-TABL12[[#This Row],[(T/B) AJD]]</f>
        <v/>
      </c>
      <c r="S244" s="3">
        <f>TABL12[[#This Row],[S/S_CON.]]+TABL12[[#This Row],[T/B-CON.]]</f>
        <v/>
      </c>
      <c r="T244" s="3">
        <f>O244+Q244</f>
        <v/>
      </c>
      <c r="U244" s="3" t="n">
        <v>565</v>
      </c>
      <c r="V244" s="3" t="n">
        <v>343</v>
      </c>
      <c r="W244" s="3">
        <f>U244+V244</f>
        <v/>
      </c>
      <c r="X244" s="3">
        <f>T244-W244</f>
        <v/>
      </c>
      <c r="Y244" s="4" t="n">
        <v>92.524</v>
      </c>
      <c r="Z244" s="3" t="n">
        <v>510919</v>
      </c>
      <c r="AA244" s="3">
        <f>TABL12[[#This Row],[(RESV. STORGE) AJD]]/10</f>
        <v/>
      </c>
      <c r="AB244" s="3">
        <f>(Z244-Z243)/1000</f>
        <v/>
      </c>
      <c r="AC244" s="6" t="n">
        <v>0</v>
      </c>
      <c r="AD244" s="5">
        <f>TABL12[[#This Row],[( S/S+T/B) AJD]]-(TABL12[[#This Row],[(A/B + A/S) AJD]]+TABL12[[#This Row],[(STORGE DIFF.) AJD]]+(TABL12[[#This Row],[AJD_Evaporation]]))</f>
        <v/>
      </c>
      <c r="AE244" s="6" t="n">
        <v>60</v>
      </c>
      <c r="AF244" s="33" t="n">
        <v>58.981</v>
      </c>
      <c r="AG244" s="6" t="n">
        <v>1611107</v>
      </c>
      <c r="AH244" s="6">
        <f>TABL12[[#This Row],[ (RESV. STORGE) BER]]/10</f>
        <v/>
      </c>
      <c r="AI244" s="6" t="n">
        <v>3661</v>
      </c>
      <c r="AJ244" s="6">
        <f>TABL12[[#This Row],[(A/B) AJD]]-TABL12[[#This Row],[BER_IN]]</f>
        <v/>
      </c>
      <c r="AK244" s="6" t="n">
        <v>62</v>
      </c>
      <c r="AL244" s="33" t="n">
        <v>43.4451</v>
      </c>
      <c r="AM244" s="6" t="n">
        <v>3348157</v>
      </c>
      <c r="AN244" s="6">
        <f>TABL12[[#This Row],[ (RESV. STORGE) SER]]/10</f>
        <v/>
      </c>
      <c r="AO244" s="6" t="n">
        <v>1913</v>
      </c>
      <c r="AP244" s="32">
        <f>TABL12[[#This Row],[(A/S) AJD]]-TABL12[[#This Row],[SER_IN]]</f>
        <v/>
      </c>
    </row>
    <row r="245" ht="15.75" customHeight="1" thickBot="1">
      <c r="A245" s="2" t="n">
        <v>45901</v>
      </c>
      <c r="B245" s="34" t="n">
        <v>42</v>
      </c>
      <c r="C245" s="34" t="n">
        <v>350</v>
      </c>
      <c r="D245" s="34" t="n">
        <v>42</v>
      </c>
      <c r="E245" s="35" t="n"/>
      <c r="F245" s="34" t="n">
        <v>103</v>
      </c>
      <c r="G245" s="34" t="n">
        <v>667</v>
      </c>
      <c r="H245" s="34" t="n"/>
      <c r="I245" s="34" t="n">
        <v>523</v>
      </c>
      <c r="J245" s="34" t="n">
        <v>508</v>
      </c>
      <c r="K245" s="34">
        <f>TABL12[[#This Row],[ (T/B) SAR]]+TABL12[[#This Row],[ (S/S) SAR]]</f>
        <v/>
      </c>
      <c r="L245" s="34" t="n">
        <v>364</v>
      </c>
      <c r="M245" s="36" t="n">
        <v>26.2</v>
      </c>
      <c r="N245" s="37" t="n">
        <v>7.88</v>
      </c>
      <c r="O245" s="14" t="n">
        <v>458</v>
      </c>
      <c r="P245" s="14">
        <f>TABL12[[#This Row],[ (S/S) SAR]]-TABL12[[#This Row],[(S/S) AJD]]</f>
        <v/>
      </c>
      <c r="Q245" s="14" t="n">
        <v>499</v>
      </c>
      <c r="R245" s="14">
        <f>TABL12[[#This Row],[ (T/B) SAR]]-TABL12[[#This Row],[(T/B) AJD]]</f>
        <v/>
      </c>
      <c r="S245" s="14">
        <f>TABL12[[#This Row],[S/S_CON.]]+TABL12[[#This Row],[T/B-CON.]]</f>
        <v/>
      </c>
      <c r="T245" s="9">
        <f>O245+Q245</f>
        <v/>
      </c>
      <c r="U245" s="14" t="n">
        <v>565</v>
      </c>
      <c r="V245" s="14" t="n">
        <v>371</v>
      </c>
      <c r="W245" s="9">
        <f>U245+V245</f>
        <v/>
      </c>
      <c r="X245" s="9">
        <f>T245-W245</f>
        <v/>
      </c>
      <c r="Y245" s="15" t="n">
        <v>92.517</v>
      </c>
      <c r="Z245" s="16" t="n">
        <v>506751</v>
      </c>
      <c r="AA245" s="38">
        <f>TABL12[[#This Row],[(RESV. STORGE) AJD]]/10</f>
        <v/>
      </c>
      <c r="AB245" s="3">
        <f>(Z245-Z244)/1000</f>
        <v/>
      </c>
      <c r="AC245" s="6" t="n">
        <v>0</v>
      </c>
      <c r="AD245" s="5">
        <f>TABL12[[#This Row],[( S/S+T/B) AJD]]-(TABL12[[#This Row],[(A/B + A/S) AJD]]+TABL12[[#This Row],[(STORGE DIFF.) AJD]]+(TABL12[[#This Row],[AJD_Evaporation]]))</f>
        <v/>
      </c>
      <c r="AE245" s="6" t="n">
        <v>60</v>
      </c>
      <c r="AF245" s="33" t="n">
        <v>59.047</v>
      </c>
      <c r="AG245" s="6" t="n">
        <v>1654688</v>
      </c>
      <c r="AH245" s="6">
        <f>TABL12[[#This Row],[ (RESV. STORGE) BER]]/10</f>
        <v/>
      </c>
      <c r="AI245" s="6" t="n">
        <v>3415</v>
      </c>
      <c r="AJ245" s="6">
        <f>TABL12[[#This Row],[(A/B) AJD]]-TABL12[[#This Row],[BER_IN]]</f>
        <v/>
      </c>
      <c r="AK245" s="6" t="n">
        <v>62</v>
      </c>
      <c r="AL245" s="33" t="n">
        <v>43.5087</v>
      </c>
      <c r="AM245" s="6" t="n">
        <v>3384676</v>
      </c>
      <c r="AN245" s="6">
        <f>TABL12[[#This Row],[ (RESV. STORGE) SER]]/10</f>
        <v/>
      </c>
      <c r="AO245" s="6" t="n">
        <v>1810</v>
      </c>
      <c r="AP245" s="32">
        <f>TABL12[[#This Row],[(A/S) AJD]]-TABL12[[#This Row],[SER_IN]]</f>
        <v/>
      </c>
    </row>
    <row r="246" ht="15.75" customHeight="1" thickBot="1">
      <c r="A246" s="2" t="n">
        <v>45902</v>
      </c>
      <c r="B246" s="34" t="n">
        <v>40</v>
      </c>
      <c r="C246" s="34" t="n">
        <v>321</v>
      </c>
      <c r="D246" s="34" t="n">
        <v>40</v>
      </c>
      <c r="E246" s="35" t="n"/>
      <c r="F246" s="34" t="n">
        <v>103</v>
      </c>
      <c r="G246" s="34" t="n">
        <v>658</v>
      </c>
      <c r="H246" s="34" t="n"/>
      <c r="I246" s="34" t="n">
        <v>522</v>
      </c>
      <c r="J246" s="34" t="n">
        <v>501</v>
      </c>
      <c r="K246" s="34">
        <f>TABL12[[#This Row],[ (T/B) SAR]]+TABL12[[#This Row],[ (S/S) SAR]]</f>
        <v/>
      </c>
      <c r="L246" s="34" t="n">
        <v>365</v>
      </c>
      <c r="M246" s="36" t="n">
        <v>26.2</v>
      </c>
      <c r="N246" s="37" t="n">
        <v>7.78</v>
      </c>
      <c r="O246" s="14" t="n">
        <v>457</v>
      </c>
      <c r="P246" s="14">
        <f>TABL12[[#This Row],[ (S/S) SAR]]-TABL12[[#This Row],[(S/S) AJD]]</f>
        <v/>
      </c>
      <c r="Q246" s="14" t="n">
        <v>499</v>
      </c>
      <c r="R246" s="14">
        <f>TABL12[[#This Row],[ (T/B) SAR]]-TABL12[[#This Row],[(T/B) AJD]]</f>
        <v/>
      </c>
      <c r="S246" s="14">
        <f>TABL12[[#This Row],[S/S_CON.]]+TABL12[[#This Row],[T/B-CON.]]</f>
        <v/>
      </c>
      <c r="T246" s="9">
        <f>O246+Q246</f>
        <v/>
      </c>
      <c r="U246" s="14" t="n">
        <v>567</v>
      </c>
      <c r="V246" s="14" t="n">
        <v>383</v>
      </c>
      <c r="W246" s="9">
        <f>U246+V246</f>
        <v/>
      </c>
      <c r="X246" s="9">
        <f>T246-W246</f>
        <v/>
      </c>
      <c r="Y246" s="15" t="n">
        <v>92.48</v>
      </c>
      <c r="Z246" s="16" t="n">
        <v>484715</v>
      </c>
      <c r="AA246" s="38">
        <f>TABL12[[#This Row],[(RESV. STORGE) AJD]]/10</f>
        <v/>
      </c>
      <c r="AB246" s="3">
        <f>(Z246-Z245)/1000</f>
        <v/>
      </c>
      <c r="AC246" s="6" t="n">
        <v>0</v>
      </c>
      <c r="AD246" s="5">
        <f>TABL12[[#This Row],[( S/S+T/B) AJD]]-(TABL12[[#This Row],[(A/B + A/S) AJD]]+TABL12[[#This Row],[(STORGE DIFF.) AJD]]+(TABL12[[#This Row],[AJD_Evaporation]]))</f>
        <v/>
      </c>
      <c r="AE246" s="6" t="n">
        <v>60</v>
      </c>
      <c r="AF246" s="33" t="n">
        <v>59.09</v>
      </c>
      <c r="AG246" s="6" t="n">
        <v>1683102</v>
      </c>
      <c r="AH246" s="6">
        <f>TABL12[[#This Row],[ (RESV. STORGE) BER]]/10</f>
        <v/>
      </c>
      <c r="AI246" s="6" t="n">
        <v>3780</v>
      </c>
      <c r="AJ246" s="6">
        <f>TABL12[[#This Row],[(A/B) AJD]]-TABL12[[#This Row],[BER_IN]]</f>
        <v/>
      </c>
      <c r="AK246" s="6" t="n">
        <v>62</v>
      </c>
      <c r="AL246" s="33" t="n">
        <v>43.6013</v>
      </c>
      <c r="AM246" s="6" t="n">
        <v>3435130</v>
      </c>
      <c r="AN246" s="6">
        <f>TABL12[[#This Row],[ (RESV. STORGE) SER]]/10</f>
        <v/>
      </c>
      <c r="AO246" s="6" t="n">
        <v>1856</v>
      </c>
      <c r="AP246" s="32">
        <f>TABL12[[#This Row],[(A/S) AJD]]-TABL12[[#This Row],[SER_IN]]</f>
        <v/>
      </c>
    </row>
    <row r="247" ht="15.75" customHeight="1" thickBot="1">
      <c r="A247" s="2" t="n">
        <v>45903</v>
      </c>
      <c r="B247" s="34" t="n">
        <v>40</v>
      </c>
      <c r="C247" s="34" t="n">
        <v>319</v>
      </c>
      <c r="D247" s="34" t="n">
        <v>40</v>
      </c>
      <c r="E247" s="35" t="n"/>
      <c r="F247" s="34" t="n">
        <v>103</v>
      </c>
      <c r="G247" s="34" t="n">
        <v>655</v>
      </c>
      <c r="H247" s="34" t="n"/>
      <c r="I247" s="34" t="n">
        <v>512</v>
      </c>
      <c r="J247" s="34" t="n">
        <v>499</v>
      </c>
      <c r="K247" s="34">
        <f>TABL12[[#This Row],[ (T/B) SAR]]+TABL12[[#This Row],[ (S/S) SAR]]</f>
        <v/>
      </c>
      <c r="L247" s="34" t="n">
        <v>356</v>
      </c>
      <c r="M247" s="36" t="n">
        <v>26.2</v>
      </c>
      <c r="N247" s="37" t="n">
        <v>7.51</v>
      </c>
      <c r="O247" s="14" t="n">
        <v>452</v>
      </c>
      <c r="P247" s="14">
        <f>TABL12[[#This Row],[ (S/S) SAR]]-TABL12[[#This Row],[(S/S) AJD]]</f>
        <v/>
      </c>
      <c r="Q247" s="14" t="n">
        <v>491</v>
      </c>
      <c r="R247" s="14">
        <f>TABL12[[#This Row],[ (T/B) SAR]]-TABL12[[#This Row],[(T/B) AJD]]</f>
        <v/>
      </c>
      <c r="S247" s="14">
        <f>TABL12[[#This Row],[S/S_CON.]]+TABL12[[#This Row],[T/B-CON.]]</f>
        <v/>
      </c>
      <c r="T247" s="9">
        <f>O247+Q247</f>
        <v/>
      </c>
      <c r="U247" s="14" t="n">
        <v>545</v>
      </c>
      <c r="V247" s="14" t="n">
        <v>370</v>
      </c>
      <c r="W247" s="9">
        <f>U247+V247</f>
        <v/>
      </c>
      <c r="X247" s="9">
        <f>T247-W247</f>
        <v/>
      </c>
      <c r="Y247" s="17" t="n">
        <v>92.455</v>
      </c>
      <c r="Z247" s="16" t="n">
        <v>469028</v>
      </c>
      <c r="AA247" s="38">
        <f>TABL12[[#This Row],[(RESV. STORGE) AJD]]/10</f>
        <v/>
      </c>
      <c r="AB247" s="3">
        <f>(Z247-Z246)/1000</f>
        <v/>
      </c>
      <c r="AC247" s="6" t="n">
        <v>0</v>
      </c>
      <c r="AD247" s="5">
        <f>TABL12[[#This Row],[( S/S+T/B) AJD]]-(TABL12[[#This Row],[(A/B + A/S) AJD]]+TABL12[[#This Row],[(STORGE DIFF.) AJD]]+(TABL12[[#This Row],[AJD_Evaporation]]))</f>
        <v/>
      </c>
      <c r="AE247" s="6" t="n">
        <v>60</v>
      </c>
      <c r="AF247" s="33" t="n">
        <v>59.074</v>
      </c>
      <c r="AG247" s="6" t="n">
        <v>1672528</v>
      </c>
      <c r="AH247" s="6">
        <f>TABL12[[#This Row],[ (RESV. STORGE) BER]]/10</f>
        <v/>
      </c>
      <c r="AI247" s="6" t="n">
        <v>3483</v>
      </c>
      <c r="AJ247" s="6">
        <f>TABL12[[#This Row],[(A/B) AJD]]-TABL12[[#This Row],[BER_IN]]</f>
        <v/>
      </c>
      <c r="AK247" s="6" t="n">
        <v>62</v>
      </c>
      <c r="AL247" s="33" t="n">
        <v>43.7001</v>
      </c>
      <c r="AM247" s="6" t="n">
        <v>3488940</v>
      </c>
      <c r="AN247" s="6">
        <f>TABL12[[#This Row],[ (RESV. STORGE) SER]]/10</f>
        <v/>
      </c>
      <c r="AO247" s="6" t="n">
        <v>1843</v>
      </c>
      <c r="AP247" s="32">
        <f>TABL12[[#This Row],[(A/S) AJD]]-TABL12[[#This Row],[SER_IN]]</f>
        <v/>
      </c>
    </row>
    <row r="248" ht="15.75" customHeight="1" thickBot="1">
      <c r="A248" s="2" t="n">
        <v>45904</v>
      </c>
      <c r="B248" s="34" t="n">
        <v>43</v>
      </c>
      <c r="C248" s="34" t="n">
        <v>351</v>
      </c>
      <c r="D248" s="34" t="n">
        <v>43</v>
      </c>
      <c r="E248" s="35" t="n"/>
      <c r="F248" s="34" t="n">
        <v>103</v>
      </c>
      <c r="G248" s="34" t="n">
        <v>659</v>
      </c>
      <c r="H248" s="34" t="n"/>
      <c r="I248" s="34" t="n">
        <v>514</v>
      </c>
      <c r="J248" s="34" t="n">
        <v>501</v>
      </c>
      <c r="K248" s="34">
        <f>TABL12[[#This Row],[ (T/B) SAR]]+TABL12[[#This Row],[ (S/S) SAR]]</f>
        <v/>
      </c>
      <c r="L248" s="34" t="n">
        <v>356</v>
      </c>
      <c r="M248" s="36" t="n">
        <v>26.2</v>
      </c>
      <c r="N248" s="37" t="n">
        <v>7.47</v>
      </c>
      <c r="O248" s="14" t="n">
        <v>449</v>
      </c>
      <c r="P248" s="14">
        <f>TABL12[[#This Row],[ (S/S) SAR]]-TABL12[[#This Row],[(S/S) AJD]]</f>
        <v/>
      </c>
      <c r="Q248" s="14" t="n">
        <v>491</v>
      </c>
      <c r="R248" s="14">
        <f>TABL12[[#This Row],[ (T/B) SAR]]-TABL12[[#This Row],[(T/B) AJD]]</f>
        <v/>
      </c>
      <c r="S248" s="14">
        <f>TABL12[[#This Row],[S/S_CON.]]+TABL12[[#This Row],[T/B-CON.]]</f>
        <v/>
      </c>
      <c r="T248" s="9">
        <f>O248+Q248</f>
        <v/>
      </c>
      <c r="U248" s="14" t="n">
        <v>566</v>
      </c>
      <c r="V248" s="14" t="n">
        <v>381</v>
      </c>
      <c r="W248" s="9">
        <f>U248+V248</f>
        <v/>
      </c>
      <c r="X248" s="9">
        <f>T248-W248</f>
        <v/>
      </c>
      <c r="Y248" s="15" t="n">
        <v>92.41500000000001</v>
      </c>
      <c r="Z248" s="16" t="n">
        <v>444238</v>
      </c>
      <c r="AA248" s="38">
        <f>TABL12[[#This Row],[(RESV. STORGE) AJD]]/10</f>
        <v/>
      </c>
      <c r="AB248" s="3">
        <f>(Z248-Z247)/1000</f>
        <v/>
      </c>
      <c r="AC248" s="6" t="n">
        <v>0</v>
      </c>
      <c r="AD248" s="5">
        <f>TABL12[[#This Row],[( S/S+T/B) AJD]]-(TABL12[[#This Row],[(A/B + A/S) AJD]]+TABL12[[#This Row],[(STORGE DIFF.) AJD]]+(TABL12[[#This Row],[AJD_Evaporation]]))</f>
        <v/>
      </c>
      <c r="AE248" s="6" t="n">
        <v>60</v>
      </c>
      <c r="AF248" s="33" t="n">
        <v>59.039</v>
      </c>
      <c r="AG248" s="6" t="n">
        <v>1649404</v>
      </c>
      <c r="AH248" s="6">
        <f>TABL12[[#This Row],[ (RESV. STORGE) BER]]/10</f>
        <v/>
      </c>
      <c r="AI248" s="6" t="n">
        <v>3444</v>
      </c>
      <c r="AJ248" s="6">
        <f>TABL12[[#This Row],[(A/B) AJD]]-TABL12[[#This Row],[BER_IN]]</f>
        <v/>
      </c>
      <c r="AK248" s="6" t="n">
        <v>60</v>
      </c>
      <c r="AL248" s="33" t="n">
        <v>43.8071</v>
      </c>
      <c r="AM248" s="6" t="n">
        <v>3647480</v>
      </c>
      <c r="AN248" s="6">
        <f>TABL12[[#This Row],[ (RESV. STORGE) SER]]/10</f>
        <v/>
      </c>
      <c r="AO248" s="6" t="n">
        <v>1460</v>
      </c>
      <c r="AP248" s="32">
        <f>TABL12[[#This Row],[(A/S) AJD]]-TABL12[[#This Row],[SER_IN]]</f>
        <v/>
      </c>
    </row>
    <row r="249" ht="15.75" customHeight="1" thickBot="1">
      <c r="A249" s="2" t="n">
        <v>45905</v>
      </c>
      <c r="B249" s="34" t="n">
        <v>43</v>
      </c>
      <c r="C249" s="34" t="n">
        <v>363</v>
      </c>
      <c r="D249" s="34" t="n">
        <v>43</v>
      </c>
      <c r="E249" s="35" t="n"/>
      <c r="F249" s="34" t="n">
        <v>103</v>
      </c>
      <c r="G249" s="34" t="n">
        <v>666</v>
      </c>
      <c r="H249" s="34" t="n"/>
      <c r="I249" s="34" t="n">
        <v>518</v>
      </c>
      <c r="J249" s="34" t="n">
        <v>505</v>
      </c>
      <c r="K249" s="34">
        <f>TABL12[[#This Row],[ (T/B) SAR]]+TABL12[[#This Row],[ (S/S) SAR]]</f>
        <v/>
      </c>
      <c r="L249" s="34" t="n">
        <v>357</v>
      </c>
      <c r="M249" s="36" t="n">
        <v>26.2</v>
      </c>
      <c r="N249" s="37" t="n">
        <v>7.52</v>
      </c>
      <c r="O249" s="14" t="n">
        <v>450</v>
      </c>
      <c r="P249" s="14">
        <f>TABL12[[#This Row],[ (S/S) SAR]]-TABL12[[#This Row],[(S/S) AJD]]</f>
        <v/>
      </c>
      <c r="Q249" s="14" t="n">
        <v>492</v>
      </c>
      <c r="R249" s="14">
        <f>TABL12[[#This Row],[ (T/B) SAR]]-TABL12[[#This Row],[(T/B) AJD]]</f>
        <v/>
      </c>
      <c r="S249" s="14">
        <f>TABL12[[#This Row],[S/S_CON.]]+TABL12[[#This Row],[T/B-CON.]]</f>
        <v/>
      </c>
      <c r="T249" s="9">
        <f>O249+Q249</f>
        <v/>
      </c>
      <c r="U249" s="14" t="n">
        <v>544</v>
      </c>
      <c r="V249" s="14" t="n">
        <v>356</v>
      </c>
      <c r="W249" s="9">
        <f>U249+V249</f>
        <v/>
      </c>
      <c r="X249" s="9">
        <f>T249-W249</f>
        <v/>
      </c>
      <c r="Y249" s="15" t="n">
        <v>92.422</v>
      </c>
      <c r="Z249" s="16" t="n">
        <v>450185</v>
      </c>
      <c r="AA249" s="38">
        <f>TABL12[[#This Row],[(RESV. STORGE) AJD]]/10</f>
        <v/>
      </c>
      <c r="AB249" s="3">
        <f>(Z249-Z248)/1000</f>
        <v/>
      </c>
      <c r="AC249" s="6" t="n">
        <v>0</v>
      </c>
      <c r="AD249" s="5">
        <f>TABL12[[#This Row],[( S/S+T/B) AJD]]-(TABL12[[#This Row],[(A/B + A/S) AJD]]+TABL12[[#This Row],[(STORGE DIFF.) AJD]]+(TABL12[[#This Row],[AJD_Evaporation]]))</f>
        <v/>
      </c>
      <c r="AE249" s="6" t="n">
        <v>60</v>
      </c>
      <c r="AF249" s="33" t="n">
        <v>59.066</v>
      </c>
      <c r="AG249" s="6" t="n">
        <v>1667241</v>
      </c>
      <c r="AH249" s="6">
        <f>TABL12[[#This Row],[ (RESV. STORGE) BER]]/10</f>
        <v/>
      </c>
      <c r="AI249" s="6" t="n">
        <v>3152</v>
      </c>
      <c r="AJ249" s="6">
        <f>TABL12[[#This Row],[(A/B) AJD]]-TABL12[[#This Row],[BER_IN]]</f>
        <v/>
      </c>
      <c r="AK249" s="6" t="n">
        <v>62</v>
      </c>
      <c r="AL249" s="33" t="n">
        <v>43.9141</v>
      </c>
      <c r="AM249" s="6" t="n">
        <v>3606113</v>
      </c>
      <c r="AN249" s="6">
        <f>TABL12[[#This Row],[ (RESV. STORGE) SER]]/10</f>
        <v/>
      </c>
      <c r="AO249" s="6" t="n">
        <v>1600</v>
      </c>
      <c r="AP249" s="32">
        <f>TABL12[[#This Row],[(A/S) AJD]]-TABL12[[#This Row],[SER_IN]]</f>
        <v/>
      </c>
    </row>
    <row r="250">
      <c r="A250" s="2" t="n">
        <v>45906</v>
      </c>
      <c r="B250" s="28" t="n">
        <v>42</v>
      </c>
      <c r="C250" s="28" t="n">
        <v>342</v>
      </c>
      <c r="D250" s="28" t="n">
        <v>42</v>
      </c>
      <c r="E250" s="35" t="n"/>
      <c r="F250" s="28" t="n">
        <v>103</v>
      </c>
      <c r="G250" s="28" t="n">
        <v>666</v>
      </c>
      <c r="H250" s="28" t="n"/>
      <c r="I250" s="28" t="n">
        <v>518</v>
      </c>
      <c r="J250" s="28" t="n">
        <v>505</v>
      </c>
      <c r="K250" s="28">
        <f>TABL12[[#This Row],[ (T/B) SAR]]+TABL12[[#This Row],[ (S/S) SAR]]</f>
        <v/>
      </c>
      <c r="L250" s="28" t="n">
        <v>357</v>
      </c>
      <c r="M250" s="29" t="n">
        <v>26.2</v>
      </c>
      <c r="N250" s="30" t="n">
        <v>7.51</v>
      </c>
      <c r="O250" s="9" t="n">
        <v>449</v>
      </c>
      <c r="P250" s="9">
        <f>TABL12[[#This Row],[ (S/S) SAR]]-TABL12[[#This Row],[(S/S) AJD]]</f>
        <v/>
      </c>
      <c r="Q250" s="9" t="n">
        <v>490</v>
      </c>
      <c r="R250" s="9">
        <f>TABL12[[#This Row],[ (T/B) SAR]]-TABL12[[#This Row],[(T/B) AJD]]</f>
        <v/>
      </c>
      <c r="S250" s="9">
        <f>TABL12[[#This Row],[S/S_CON.]]+TABL12[[#This Row],[T/B-CON.]]</f>
        <v/>
      </c>
      <c r="T250" s="9">
        <f>O250+Q250</f>
        <v/>
      </c>
      <c r="U250" s="9" t="n">
        <v>555</v>
      </c>
      <c r="V250" s="9" t="n">
        <v>368</v>
      </c>
      <c r="W250" s="9">
        <f>U250+V250</f>
        <v/>
      </c>
      <c r="X250" s="9">
        <f>T250-W250</f>
        <v/>
      </c>
      <c r="Y250" s="18" t="n">
        <v>92.402</v>
      </c>
      <c r="Z250" s="9" t="n">
        <v>438288</v>
      </c>
      <c r="AA250" s="9">
        <f>TABL12[[#This Row],[(RESV. STORGE) AJD]]/10</f>
        <v/>
      </c>
      <c r="AB250" s="3">
        <f>(Z250-Z249)/1000</f>
        <v/>
      </c>
      <c r="AC250" s="6" t="n">
        <v>0</v>
      </c>
      <c r="AD250" s="5">
        <f>TABL12[[#This Row],[( S/S+T/B) AJD]]-(TABL12[[#This Row],[(A/B + A/S) AJD]]+TABL12[[#This Row],[(STORGE DIFF.) AJD]]+(TABL12[[#This Row],[AJD_Evaporation]]))</f>
        <v/>
      </c>
      <c r="AE250" s="6" t="n">
        <v>60</v>
      </c>
      <c r="AF250" s="33" t="n">
        <v>59.09</v>
      </c>
      <c r="AG250" s="6" t="n">
        <v>1683102</v>
      </c>
      <c r="AH250" s="6">
        <f>TABL12[[#This Row],[ (RESV. STORGE) BER]]/10</f>
        <v/>
      </c>
      <c r="AI250" s="6" t="n">
        <v>2915</v>
      </c>
      <c r="AJ250" s="6">
        <f>TABL12[[#This Row],[(A/B) AJD]]-TABL12[[#This Row],[BER_IN]]</f>
        <v/>
      </c>
      <c r="AK250" s="6" t="n">
        <v>62</v>
      </c>
      <c r="AL250" s="33" t="n">
        <v>44.0314</v>
      </c>
      <c r="AM250" s="6" t="n">
        <v>3664820</v>
      </c>
      <c r="AN250" s="6">
        <f>TABL12[[#This Row],[ (RESV. STORGE) SER]]/10</f>
        <v/>
      </c>
      <c r="AO250" s="6" t="n">
        <v>1670</v>
      </c>
      <c r="AP250" s="32">
        <f>TABL12[[#This Row],[(A/S) AJD]]-TABL12[[#This Row],[SER_IN]]</f>
        <v/>
      </c>
    </row>
    <row r="251">
      <c r="A251" s="2" t="n">
        <v>45907</v>
      </c>
      <c r="B251" s="28" t="n">
        <v>41</v>
      </c>
      <c r="C251" s="28" t="n">
        <v>340</v>
      </c>
      <c r="D251" s="28" t="n">
        <v>41</v>
      </c>
      <c r="E251" s="35" t="n"/>
      <c r="F251" s="28" t="n">
        <v>103</v>
      </c>
      <c r="G251" s="28" t="n">
        <v>648</v>
      </c>
      <c r="H251" s="28" t="n"/>
      <c r="I251" s="28" t="n">
        <v>510</v>
      </c>
      <c r="J251" s="28" t="n">
        <v>495</v>
      </c>
      <c r="K251" s="28">
        <f>TABL12[[#This Row],[ (T/B) SAR]]+TABL12[[#This Row],[ (S/S) SAR]]</f>
        <v/>
      </c>
      <c r="L251" s="28" t="n">
        <v>357</v>
      </c>
      <c r="M251" s="29" t="n">
        <v>26.2</v>
      </c>
      <c r="N251" s="30" t="n">
        <v>7.44</v>
      </c>
      <c r="O251" s="9" t="n">
        <v>450</v>
      </c>
      <c r="P251" s="9">
        <f>TABL12[[#This Row],[ (S/S) SAR]]-TABL12[[#This Row],[(S/S) AJD]]</f>
        <v/>
      </c>
      <c r="Q251" s="9" t="n">
        <v>491</v>
      </c>
      <c r="R251" s="9">
        <f>TABL12[[#This Row],[ (T/B) SAR]]-TABL12[[#This Row],[(T/B) AJD]]</f>
        <v/>
      </c>
      <c r="S251" s="9">
        <f>TABL12[[#This Row],[S/S_CON.]]+TABL12[[#This Row],[T/B-CON.]]</f>
        <v/>
      </c>
      <c r="T251" s="9">
        <f>O251+Q251</f>
        <v/>
      </c>
      <c r="U251" s="9" t="n">
        <v>561</v>
      </c>
      <c r="V251" s="9" t="n">
        <v>374</v>
      </c>
      <c r="W251" s="9">
        <f>U251+V251</f>
        <v/>
      </c>
      <c r="X251" s="9">
        <f>T251-W251</f>
        <v/>
      </c>
      <c r="Y251" s="18" t="n">
        <v>92.375</v>
      </c>
      <c r="Z251" s="9" t="n">
        <v>422229</v>
      </c>
      <c r="AA251" s="9">
        <f>TABL12[[#This Row],[(RESV. STORGE) AJD]]/10</f>
        <v/>
      </c>
      <c r="AB251" s="3">
        <f>(Z251-Z250)/1000</f>
        <v/>
      </c>
      <c r="AC251" s="6" t="n">
        <v>0</v>
      </c>
      <c r="AD251" s="5">
        <f>TABL12[[#This Row],[( S/S+T/B) AJD]]-(TABL12[[#This Row],[(A/B + A/S) AJD]]+TABL12[[#This Row],[(STORGE DIFF.) AJD]]+(TABL12[[#This Row],[AJD_Evaporation]]))</f>
        <v/>
      </c>
      <c r="AE251" s="6" t="n">
        <v>60</v>
      </c>
      <c r="AF251" s="33" t="n">
        <v>59.115</v>
      </c>
      <c r="AG251" s="6" t="n">
        <v>1699630</v>
      </c>
      <c r="AH251" s="6">
        <f>TABL12[[#This Row],[ (RESV. STORGE) BER]]/10</f>
        <v/>
      </c>
      <c r="AI251" s="6" t="n">
        <v>3632</v>
      </c>
      <c r="AJ251" s="6">
        <f>TABL12[[#This Row],[(A/B) AJD]]-TABL12[[#This Row],[BER_IN]]</f>
        <v/>
      </c>
      <c r="AK251" s="6" t="n">
        <v>62</v>
      </c>
      <c r="AL251" s="33" t="n">
        <v>44.128</v>
      </c>
      <c r="AM251" s="6" t="n">
        <v>3723170</v>
      </c>
      <c r="AN251" s="6">
        <f>TABL12[[#This Row],[ (RESV. STORGE) SER]]/10</f>
        <v/>
      </c>
      <c r="AO251" s="6" t="n">
        <v>1750</v>
      </c>
      <c r="AP251" s="32">
        <f>TABL12[[#This Row],[(A/S) AJD]]-TABL12[[#This Row],[SER_IN]]</f>
        <v/>
      </c>
    </row>
    <row r="252">
      <c r="A252" s="2" t="n">
        <v>45908</v>
      </c>
      <c r="B252" s="28" t="n">
        <v>42</v>
      </c>
      <c r="C252" s="28" t="n">
        <v>354</v>
      </c>
      <c r="D252" s="28" t="n">
        <v>42</v>
      </c>
      <c r="E252" s="35" t="n"/>
      <c r="F252" s="28" t="n">
        <v>103</v>
      </c>
      <c r="G252" s="28" t="n">
        <v>648</v>
      </c>
      <c r="H252" s="28" t="n"/>
      <c r="I252" s="28" t="n">
        <v>510</v>
      </c>
      <c r="J252" s="28" t="n">
        <v>495</v>
      </c>
      <c r="K252" s="28">
        <f>TABL12[[#This Row],[ (T/B) SAR]]+TABL12[[#This Row],[ (S/S) SAR]]</f>
        <v/>
      </c>
      <c r="L252" s="28" t="n">
        <v>357</v>
      </c>
      <c r="M252" s="29" t="n">
        <v>26.2</v>
      </c>
      <c r="N252" s="30" t="n">
        <v>7.42</v>
      </c>
      <c r="O252" s="9" t="n">
        <v>446</v>
      </c>
      <c r="P252" s="9">
        <f>TABL12[[#This Row],[ (S/S) SAR]]-TABL12[[#This Row],[(S/S) AJD]]</f>
        <v/>
      </c>
      <c r="Q252" s="9" t="n">
        <v>485</v>
      </c>
      <c r="R252" s="9">
        <f>TABL12[[#This Row],[ (T/B) SAR]]-TABL12[[#This Row],[(T/B) AJD]]</f>
        <v/>
      </c>
      <c r="S252" s="9">
        <f>TABL12[[#This Row],[S/S_CON.]]+TABL12[[#This Row],[T/B-CON.]]</f>
        <v/>
      </c>
      <c r="T252" s="9">
        <f>O252+Q252</f>
        <v/>
      </c>
      <c r="U252" s="9" t="n">
        <v>564</v>
      </c>
      <c r="V252" s="9" t="n">
        <v>374</v>
      </c>
      <c r="W252" s="9">
        <f>U252+V252</f>
        <v/>
      </c>
      <c r="X252" s="9">
        <f>T252-W252</f>
        <v/>
      </c>
      <c r="Y252" s="18" t="n">
        <v>92.31999999999999</v>
      </c>
      <c r="Z252" s="9" t="n">
        <v>389536</v>
      </c>
      <c r="AA252" s="9">
        <f>TABL12[[#This Row],[(RESV. STORGE) AJD]]/10</f>
        <v/>
      </c>
      <c r="AB252" s="3">
        <f>(Z252-Z251)/1000</f>
        <v/>
      </c>
      <c r="AC252" s="6" t="n">
        <v>0</v>
      </c>
      <c r="AD252" s="5">
        <f>TABL12[[#This Row],[( S/S+T/B) AJD]]-(TABL12[[#This Row],[(A/B + A/S) AJD]]+TABL12[[#This Row],[(STORGE DIFF.) AJD]]+(TABL12[[#This Row],[AJD_Evaporation]]))</f>
        <v/>
      </c>
      <c r="AE252" s="6" t="n">
        <v>60</v>
      </c>
      <c r="AF252" s="33" t="n">
        <v>59.14</v>
      </c>
      <c r="AG252" s="6" t="n">
        <v>1716824</v>
      </c>
      <c r="AH252" s="6">
        <f>TABL12[[#This Row],[ (RESV. STORGE) BER]]/10</f>
        <v/>
      </c>
      <c r="AI252" s="6" t="n">
        <v>2965</v>
      </c>
      <c r="AJ252" s="6">
        <f>TABL12[[#This Row],[(A/B) AJD]]-TABL12[[#This Row],[BER_IN]]</f>
        <v/>
      </c>
      <c r="AK252" s="6" t="n">
        <v>63</v>
      </c>
      <c r="AL252" s="33" t="n">
        <v>44.2282</v>
      </c>
      <c r="AM252" s="6" t="n">
        <v>3778670</v>
      </c>
      <c r="AN252" s="6">
        <f>TABL12[[#This Row],[ (RESV. STORGE) SER]]/10</f>
        <v/>
      </c>
      <c r="AO252" s="6" t="n">
        <v>1735</v>
      </c>
      <c r="AP252" s="32">
        <f>TABL12[[#This Row],[(A/S) AJD]]-TABL12[[#This Row],[SER_IN]]</f>
        <v/>
      </c>
    </row>
    <row r="253">
      <c r="A253" s="2" t="n">
        <v>45909</v>
      </c>
      <c r="B253" s="28" t="n">
        <v>42</v>
      </c>
      <c r="C253" s="28" t="n">
        <v>336</v>
      </c>
      <c r="D253" s="28" t="n">
        <v>24</v>
      </c>
      <c r="E253" s="35" t="n"/>
      <c r="F253" s="28" t="n">
        <v>102</v>
      </c>
      <c r="G253" s="28" t="n">
        <v>648</v>
      </c>
      <c r="H253" s="28" t="n"/>
      <c r="I253" s="28" t="n">
        <v>508</v>
      </c>
      <c r="J253" s="28" t="n">
        <v>494</v>
      </c>
      <c r="K253" s="28">
        <f>TABL12[[#This Row],[ (T/B) SAR]]+TABL12[[#This Row],[ (S/S) SAR]]</f>
        <v/>
      </c>
      <c r="L253" s="28" t="n">
        <v>354</v>
      </c>
      <c r="M253" s="29" t="n">
        <v>26.2</v>
      </c>
      <c r="N253" s="30" t="n">
        <v>7.39</v>
      </c>
      <c r="O253" s="9" t="n">
        <v>446</v>
      </c>
      <c r="P253" s="9">
        <f>TABL12[[#This Row],[ (S/S) SAR]]-TABL12[[#This Row],[(S/S) AJD]]</f>
        <v/>
      </c>
      <c r="Q253" s="9" t="n">
        <v>485</v>
      </c>
      <c r="R253" s="9">
        <f>TABL12[[#This Row],[ (T/B) SAR]]-TABL12[[#This Row],[(T/B) AJD]]</f>
        <v/>
      </c>
      <c r="S253" s="9">
        <f>TABL12[[#This Row],[S/S_CON.]]+TABL12[[#This Row],[T/B-CON.]]</f>
        <v/>
      </c>
      <c r="T253" s="9">
        <f>O253+Q253</f>
        <v/>
      </c>
      <c r="U253" s="9" t="n">
        <v>550</v>
      </c>
      <c r="V253" s="9" t="n">
        <v>369</v>
      </c>
      <c r="W253" s="9">
        <f>U253+V253</f>
        <v/>
      </c>
      <c r="X253" s="9">
        <f>T253-W253</f>
        <v/>
      </c>
      <c r="Y253" s="18" t="n">
        <v>92.29300000000001</v>
      </c>
      <c r="Z253" s="9" t="n">
        <v>376464</v>
      </c>
      <c r="AA253" s="9">
        <f>TABL12[[#This Row],[(RESV. STORGE) AJD]]/10</f>
        <v/>
      </c>
      <c r="AB253" s="3">
        <f>(Z253-Z252)/1000</f>
        <v/>
      </c>
      <c r="AC253" s="6" t="n">
        <v>0</v>
      </c>
      <c r="AD253" s="5">
        <f>TABL12[[#This Row],[( S/S+T/B) AJD]]-(TABL12[[#This Row],[(A/B + A/S) AJD]]+TABL12[[#This Row],[(STORGE DIFF.) AJD]]+(TABL12[[#This Row],[AJD_Evaporation]]))</f>
        <v/>
      </c>
      <c r="AE253" s="6" t="n">
        <v>60</v>
      </c>
      <c r="AF253" s="33" t="n">
        <v>59.172</v>
      </c>
      <c r="AG253" s="6" t="n">
        <v>1737332</v>
      </c>
      <c r="AH253" s="6">
        <f>TABL12[[#This Row],[ (RESV. STORGE) BER]]/10</f>
        <v/>
      </c>
      <c r="AI253" s="6" t="n">
        <v>2659</v>
      </c>
      <c r="AJ253" s="6">
        <f>TABL12[[#This Row],[(A/B) AJD]]-TABL12[[#This Row],[BER_IN]]</f>
        <v/>
      </c>
      <c r="AK253" s="6" t="n">
        <v>62</v>
      </c>
      <c r="AL253" s="33" t="n">
        <v>44.3271</v>
      </c>
      <c r="AM253" s="6" t="n">
        <v>3833450</v>
      </c>
      <c r="AN253" s="6">
        <f>TABL12[[#This Row],[ (RESV. STORGE) SER]]/10</f>
        <v/>
      </c>
      <c r="AO253" s="6" t="n">
        <v>1745</v>
      </c>
      <c r="AP253" s="32">
        <f>TABL12[[#This Row],[(A/S) AJD]]-TABL12[[#This Row],[SER_IN]]</f>
        <v/>
      </c>
    </row>
    <row r="254">
      <c r="A254" s="2" t="n">
        <v>45910</v>
      </c>
      <c r="B254" s="28" t="n">
        <v>42</v>
      </c>
      <c r="C254" s="28" t="n">
        <v>327</v>
      </c>
      <c r="D254" s="28" t="n">
        <v>42</v>
      </c>
      <c r="E254" s="35" t="n"/>
      <c r="F254" s="28" t="n">
        <v>103</v>
      </c>
      <c r="G254" s="28" t="n">
        <v>652</v>
      </c>
      <c r="H254" s="28" t="n"/>
      <c r="I254" s="28" t="n">
        <v>504</v>
      </c>
      <c r="J254" s="28" t="n">
        <v>492</v>
      </c>
      <c r="K254" s="28">
        <f>TABL12[[#This Row],[ (T/B) SAR]]+TABL12[[#This Row],[ (S/S) SAR]]</f>
        <v/>
      </c>
      <c r="L254" s="28" t="n">
        <v>344</v>
      </c>
      <c r="M254" s="29" t="n">
        <v>25.9</v>
      </c>
      <c r="N254" s="30" t="n">
        <v>7.35</v>
      </c>
      <c r="O254" s="9" t="n">
        <v>439</v>
      </c>
      <c r="P254" s="9">
        <f>TABL12[[#This Row],[ (S/S) SAR]]-TABL12[[#This Row],[(S/S) AJD]]</f>
        <v/>
      </c>
      <c r="Q254" s="9" t="n">
        <v>480</v>
      </c>
      <c r="R254" s="9">
        <f>TABL12[[#This Row],[ (T/B) SAR]]-TABL12[[#This Row],[(T/B) AJD]]</f>
        <v/>
      </c>
      <c r="S254" s="9">
        <f>TABL12[[#This Row],[S/S_CON.]]+TABL12[[#This Row],[T/B-CON.]]</f>
        <v/>
      </c>
      <c r="T254" s="9">
        <f>O254+Q254</f>
        <v/>
      </c>
      <c r="U254" s="9" t="n">
        <v>562</v>
      </c>
      <c r="V254" s="9" t="n">
        <v>351</v>
      </c>
      <c r="W254" s="9">
        <f>U254+V254</f>
        <v/>
      </c>
      <c r="X254" s="9">
        <f>T254-W254</f>
        <v/>
      </c>
      <c r="Y254" s="18" t="n">
        <v>92.268</v>
      </c>
      <c r="Z254" s="9" t="n">
        <v>358647</v>
      </c>
      <c r="AA254" s="9">
        <f>TABL12[[#This Row],[(RESV. STORGE) AJD]]/10</f>
        <v/>
      </c>
      <c r="AB254" s="3">
        <f>(Z254-Z253)/1000</f>
        <v/>
      </c>
      <c r="AC254" s="6" t="n">
        <v>0</v>
      </c>
      <c r="AD254" s="5">
        <f>TABL12[[#This Row],[( S/S+T/B) AJD]]-(TABL12[[#This Row],[(A/B + A/S) AJD]]+TABL12[[#This Row],[(STORGE DIFF.) AJD]]+(TABL12[[#This Row],[AJD_Evaporation]]))</f>
        <v/>
      </c>
      <c r="AE254" s="6" t="n">
        <v>60</v>
      </c>
      <c r="AF254" s="33" t="n">
        <v>59.198</v>
      </c>
      <c r="AG254" s="6" t="n">
        <v>1754539</v>
      </c>
      <c r="AH254" s="6">
        <f>TABL12[[#This Row],[ (RESV. STORGE) BER]]/10</f>
        <v/>
      </c>
      <c r="AI254" s="6" t="n">
        <v>2953</v>
      </c>
      <c r="AJ254" s="6">
        <f>TABL12[[#This Row],[(A/B) AJD]]-TABL12[[#This Row],[BER_IN]]</f>
        <v/>
      </c>
      <c r="AK254" s="6" t="n">
        <v>62</v>
      </c>
      <c r="AL254" s="33" t="n">
        <v>44.3889</v>
      </c>
      <c r="AM254" s="6" t="n">
        <v>3967460</v>
      </c>
      <c r="AN254" s="6">
        <f>TABL12[[#This Row],[ (RESV. STORGE) SER]]/10</f>
        <v/>
      </c>
      <c r="AO254" s="6" t="n">
        <v>1787</v>
      </c>
      <c r="AP254" s="32">
        <f>TABL12[[#This Row],[(A/S) AJD]]-TABL12[[#This Row],[SER_IN]]</f>
        <v/>
      </c>
    </row>
    <row r="255">
      <c r="A255" s="2" t="n">
        <v>45911</v>
      </c>
      <c r="B255" s="28" t="n">
        <v>41</v>
      </c>
      <c r="C255" s="28" t="n">
        <v>336</v>
      </c>
      <c r="D255" s="28" t="n">
        <v>41</v>
      </c>
      <c r="E255" s="35" t="n"/>
      <c r="F255" s="28" t="n">
        <v>103</v>
      </c>
      <c r="G255" s="28" t="n">
        <v>656</v>
      </c>
      <c r="H255" s="28" t="n"/>
      <c r="I255" s="28" t="n">
        <v>506</v>
      </c>
      <c r="J255" s="28" t="n">
        <v>490</v>
      </c>
      <c r="K255" s="28">
        <f>TABL12[[#This Row],[ (T/B) SAR]]+TABL12[[#This Row],[ (S/S) SAR]]</f>
        <v/>
      </c>
      <c r="L255" s="28" t="n">
        <v>340</v>
      </c>
      <c r="M255" s="29" t="n">
        <v>25.9</v>
      </c>
      <c r="N255" s="30" t="n">
        <v>7.27</v>
      </c>
      <c r="O255" s="9" t="n">
        <v>438</v>
      </c>
      <c r="P255" s="9">
        <f>TABL12[[#This Row],[ (S/S) SAR]]-TABL12[[#This Row],[(S/S) AJD]]</f>
        <v/>
      </c>
      <c r="Q255" s="9" t="n">
        <v>478</v>
      </c>
      <c r="R255" s="9">
        <f>TABL12[[#This Row],[ (T/B) SAR]]-TABL12[[#This Row],[(T/B) AJD]]</f>
        <v/>
      </c>
      <c r="S255" s="9">
        <f>TABL12[[#This Row],[S/S_CON.]]+TABL12[[#This Row],[T/B-CON.]]</f>
        <v/>
      </c>
      <c r="T255" s="9">
        <f>O255+Q255</f>
        <v/>
      </c>
      <c r="U255" s="9" t="n">
        <v>564</v>
      </c>
      <c r="V255" s="9" t="n">
        <v>354</v>
      </c>
      <c r="W255" s="9">
        <f>U255+V255</f>
        <v/>
      </c>
      <c r="X255" s="9">
        <f>T255-W255</f>
        <v/>
      </c>
      <c r="Y255" s="18" t="n">
        <v>92.214</v>
      </c>
      <c r="Z255" s="9" t="n">
        <v>327181</v>
      </c>
      <c r="AA255" s="9">
        <f>TABL12[[#This Row],[(RESV. STORGE) AJD]]/10</f>
        <v/>
      </c>
      <c r="AB255" s="3">
        <f>(Z255-Z254)/1000</f>
        <v/>
      </c>
      <c r="AC255" s="6" t="n">
        <v>0</v>
      </c>
      <c r="AD255" s="5">
        <f>TABL12[[#This Row],[( S/S+T/B) AJD]]-(TABL12[[#This Row],[(A/B + A/S) AJD]]+TABL12[[#This Row],[(STORGE DIFF.) AJD]]+(TABL12[[#This Row],[AJD_Evaporation]]))</f>
        <v/>
      </c>
      <c r="AE255" s="6" t="n">
        <v>60</v>
      </c>
      <c r="AF255" s="33" t="n">
        <v>59.237</v>
      </c>
      <c r="AG255" s="6" t="n">
        <v>1780360</v>
      </c>
      <c r="AH255" s="6">
        <f>TABL12[[#This Row],[ (RESV. STORGE) BER]]/10</f>
        <v/>
      </c>
      <c r="AI255" s="6" t="n">
        <v>2638</v>
      </c>
      <c r="AJ255" s="6">
        <f>TABL12[[#This Row],[(A/B) AJD]]-TABL12[[#This Row],[BER_IN]]</f>
        <v/>
      </c>
      <c r="AK255" s="6" t="n">
        <v>63</v>
      </c>
      <c r="AL255" s="33" t="n">
        <v>44.4541</v>
      </c>
      <c r="AM255" s="6" t="n">
        <v>3903460</v>
      </c>
      <c r="AN255" s="6">
        <f>TABL12[[#This Row],[ (RESV. STORGE) SER]]/10</f>
        <v/>
      </c>
      <c r="AO255" s="6" t="n">
        <v>1670</v>
      </c>
      <c r="AP255" s="32">
        <f>TABL12[[#This Row],[(A/S) AJD]]-TABL12[[#This Row],[SER_IN]]</f>
        <v/>
      </c>
    </row>
    <row r="256">
      <c r="A256" s="2" t="n">
        <v>45912</v>
      </c>
      <c r="B256" s="28" t="n">
        <v>41</v>
      </c>
      <c r="C256" s="28" t="n">
        <v>347</v>
      </c>
      <c r="D256" s="28" t="n">
        <v>41</v>
      </c>
      <c r="E256" s="35" t="n"/>
      <c r="F256" s="28" t="n">
        <v>103</v>
      </c>
      <c r="G256" s="28" t="n">
        <v>658</v>
      </c>
      <c r="H256" s="28" t="n"/>
      <c r="I256" s="28" t="n">
        <v>508</v>
      </c>
      <c r="J256" s="28" t="n">
        <v>495</v>
      </c>
      <c r="K256" s="28">
        <f>TABL12[[#This Row],[ (T/B) SAR]]+TABL12[[#This Row],[ (S/S) SAR]]</f>
        <v/>
      </c>
      <c r="L256" s="28" t="n">
        <v>345</v>
      </c>
      <c r="M256" s="29" t="n">
        <v>25.9</v>
      </c>
      <c r="N256" s="30" t="n">
        <v>7.31</v>
      </c>
      <c r="O256" s="9" t="n">
        <v>441</v>
      </c>
      <c r="P256" s="9">
        <f>TABL12[[#This Row],[ (S/S) SAR]]-TABL12[[#This Row],[(S/S) AJD]]</f>
        <v/>
      </c>
      <c r="Q256" s="9" t="n">
        <v>481</v>
      </c>
      <c r="R256" s="9">
        <f>TABL12[[#This Row],[ (T/B) SAR]]-TABL12[[#This Row],[(T/B) AJD]]</f>
        <v/>
      </c>
      <c r="S256" s="9">
        <f>TABL12[[#This Row],[S/S_CON.]]+TABL12[[#This Row],[T/B-CON.]]</f>
        <v/>
      </c>
      <c r="T256" s="9">
        <f>O256+Q256</f>
        <v/>
      </c>
      <c r="U256" s="9" t="n">
        <v>551</v>
      </c>
      <c r="V256" s="9" t="n">
        <v>351</v>
      </c>
      <c r="W256" s="9">
        <f>U256+V256</f>
        <v/>
      </c>
      <c r="X256" s="9">
        <f>T256-W256</f>
        <v/>
      </c>
      <c r="Y256" s="18" t="n">
        <v>92.20999999999999</v>
      </c>
      <c r="Z256" s="9" t="n">
        <v>324223</v>
      </c>
      <c r="AA256" s="9">
        <f>TABL12[[#This Row],[(RESV. STORGE) AJD]]/10</f>
        <v/>
      </c>
      <c r="AB256" s="3">
        <f>(Z256-Z255)/1000</f>
        <v/>
      </c>
      <c r="AC256" s="6" t="n">
        <v>0</v>
      </c>
      <c r="AD256" s="5">
        <f>TABL12[[#This Row],[( S/S+T/B) AJD]]-(TABL12[[#This Row],[(A/B + A/S) AJD]]+TABL12[[#This Row],[(STORGE DIFF.) AJD]]+(TABL12[[#This Row],[AJD_Evaporation]]))</f>
        <v/>
      </c>
      <c r="AE256" s="6" t="n">
        <v>35</v>
      </c>
      <c r="AF256" s="33" t="n">
        <v>59.226</v>
      </c>
      <c r="AG256" s="6" t="n">
        <v>1773076</v>
      </c>
      <c r="AH256" s="6">
        <f>TABL12[[#This Row],[ (RESV. STORGE) BER]]/10</f>
        <v/>
      </c>
      <c r="AI256" s="6" t="n">
        <v>2444</v>
      </c>
      <c r="AJ256" s="6">
        <f>TABL12[[#This Row],[(A/B) AJD]]-TABL12[[#This Row],[BER_IN]]</f>
        <v/>
      </c>
      <c r="AK256" s="6" t="n">
        <v>38</v>
      </c>
      <c r="AL256" s="33" t="n">
        <v>44.4919</v>
      </c>
      <c r="AM256" s="6" t="n">
        <v>3923830</v>
      </c>
      <c r="AN256" s="6">
        <f>TABL12[[#This Row],[ (RESV. STORGE) SER]]/10</f>
        <v/>
      </c>
      <c r="AO256" s="6" t="n">
        <v>1740</v>
      </c>
      <c r="AP256" s="32">
        <f>TABL12[[#This Row],[(A/S) AJD]]-TABL12[[#This Row],[SER_IN]]</f>
        <v/>
      </c>
    </row>
    <row r="257">
      <c r="A257" s="2" t="n">
        <v>45913</v>
      </c>
      <c r="B257" s="28" t="n">
        <v>40</v>
      </c>
      <c r="C257" s="28" t="n">
        <v>344</v>
      </c>
      <c r="D257" s="28" t="n">
        <v>40</v>
      </c>
      <c r="E257" s="35" t="n"/>
      <c r="F257" s="28" t="n">
        <v>103</v>
      </c>
      <c r="G257" s="28" t="n">
        <v>658</v>
      </c>
      <c r="H257" s="28" t="n"/>
      <c r="I257" s="28" t="n">
        <v>508</v>
      </c>
      <c r="J257" s="28" t="n">
        <v>495</v>
      </c>
      <c r="K257" s="28">
        <f>TABL12[[#This Row],[ (T/B) SAR]]+TABL12[[#This Row],[ (S/S) SAR]]</f>
        <v/>
      </c>
      <c r="L257" s="28" t="n">
        <v>345</v>
      </c>
      <c r="M257" s="29" t="n">
        <v>25.9</v>
      </c>
      <c r="N257" s="30" t="n">
        <v>7.33</v>
      </c>
      <c r="O257" s="9" t="n">
        <v>441</v>
      </c>
      <c r="P257" s="9">
        <f>TABL12[[#This Row],[ (S/S) SAR]]-TABL12[[#This Row],[(S/S) AJD]]</f>
        <v/>
      </c>
      <c r="Q257" s="9" t="n">
        <v>482</v>
      </c>
      <c r="R257" s="9">
        <f>TABL12[[#This Row],[ (T/B) SAR]]-TABL12[[#This Row],[(T/B) AJD]]</f>
        <v/>
      </c>
      <c r="S257" s="9">
        <f>TABL12[[#This Row],[S/S_CON.]]+TABL12[[#This Row],[T/B-CON.]]</f>
        <v/>
      </c>
      <c r="T257" s="9">
        <f>O257+Q257</f>
        <v/>
      </c>
      <c r="U257" s="9" t="n">
        <v>534</v>
      </c>
      <c r="V257" s="9" t="n">
        <v>330</v>
      </c>
      <c r="W257" s="9">
        <f>U257+V257</f>
        <v/>
      </c>
      <c r="X257" s="9">
        <f>T257-W257</f>
        <v/>
      </c>
      <c r="Y257" s="18" t="n">
        <v>92.27</v>
      </c>
      <c r="Z257" s="9" t="n">
        <v>359834</v>
      </c>
      <c r="AA257" s="9">
        <f>TABL12[[#This Row],[(RESV. STORGE) AJD]]/10</f>
        <v/>
      </c>
      <c r="AB257" s="3">
        <f>(Z257-Z256)/1000</f>
        <v/>
      </c>
      <c r="AC257" s="6" t="n">
        <v>0</v>
      </c>
      <c r="AD257" s="5">
        <f>TABL12[[#This Row],[( S/S+T/B) AJD]]-(TABL12[[#This Row],[(A/B + A/S) AJD]]+TABL12[[#This Row],[(STORGE DIFF.) AJD]]+(TABL12[[#This Row],[AJD_Evaporation]]))</f>
        <v/>
      </c>
      <c r="AE257" s="6" t="n">
        <v>20</v>
      </c>
      <c r="AF257" s="33" t="n">
        <v>59.192</v>
      </c>
      <c r="AG257" s="6" t="n">
        <v>1750567</v>
      </c>
      <c r="AH257" s="6">
        <f>TABL12[[#This Row],[ (RESV. STORGE) BER]]/10</f>
        <v/>
      </c>
      <c r="AI257" s="6" t="n">
        <v>2668</v>
      </c>
      <c r="AJ257" s="6">
        <f>TABL12[[#This Row],[(A/B) AJD]]-TABL12[[#This Row],[BER_IN]]</f>
        <v/>
      </c>
      <c r="AK257" s="6" t="n">
        <v>29</v>
      </c>
      <c r="AL257" s="33" t="n">
        <v>44.526</v>
      </c>
      <c r="AM257" s="6" t="n">
        <v>3943170</v>
      </c>
      <c r="AN257" s="6">
        <f>TABL12[[#This Row],[ (RESV. STORGE) SER]]/10</f>
        <v/>
      </c>
      <c r="AO257" s="6" t="n">
        <v>1550</v>
      </c>
      <c r="AP257" s="32">
        <f>TABL12[[#This Row],[(A/S) AJD]]-TABL12[[#This Row],[SER_IN]]</f>
        <v/>
      </c>
    </row>
    <row r="258">
      <c r="A258" s="2" t="n">
        <v>45914</v>
      </c>
      <c r="B258" s="28" t="n">
        <v>41</v>
      </c>
      <c r="C258" s="28" t="n">
        <v>343</v>
      </c>
      <c r="D258" s="28" t="n">
        <v>41</v>
      </c>
      <c r="E258" s="35" t="n"/>
      <c r="F258" s="28" t="n">
        <v>103</v>
      </c>
      <c r="G258" s="28" t="n">
        <v>658</v>
      </c>
      <c r="H258" s="28" t="n"/>
      <c r="I258" s="28" t="n">
        <v>508</v>
      </c>
      <c r="J258" s="28" t="n">
        <v>495</v>
      </c>
      <c r="K258" s="28">
        <f>TABL12[[#This Row],[ (T/B) SAR]]+TABL12[[#This Row],[ (S/S) SAR]]</f>
        <v/>
      </c>
      <c r="L258" s="28" t="n">
        <v>345</v>
      </c>
      <c r="M258" s="29" t="n">
        <v>25.9</v>
      </c>
      <c r="N258" s="30" t="n">
        <v>7.33</v>
      </c>
      <c r="O258" s="9" t="n">
        <v>440</v>
      </c>
      <c r="P258" s="9">
        <f>TABL12[[#This Row],[ (S/S) SAR]]-TABL12[[#This Row],[(S/S) AJD]]</f>
        <v/>
      </c>
      <c r="Q258" s="9" t="n">
        <v>482</v>
      </c>
      <c r="R258" s="9">
        <f>TABL12[[#This Row],[ (T/B) SAR]]-TABL12[[#This Row],[(T/B) AJD]]</f>
        <v/>
      </c>
      <c r="S258" s="9">
        <f>TABL12[[#This Row],[S/S_CON.]]+TABL12[[#This Row],[T/B-CON.]]</f>
        <v/>
      </c>
      <c r="T258" s="9">
        <f>O258+Q258</f>
        <v/>
      </c>
      <c r="U258" s="9" t="n">
        <v>535</v>
      </c>
      <c r="V258" s="9" t="n">
        <v>328</v>
      </c>
      <c r="W258" s="9">
        <f>U258+V258</f>
        <v/>
      </c>
      <c r="X258" s="9">
        <f>T258-W258</f>
        <v/>
      </c>
      <c r="Y258" s="18" t="n">
        <v>92.33499999999999</v>
      </c>
      <c r="Z258" s="9" t="n">
        <v>396667</v>
      </c>
      <c r="AA258" s="9">
        <f>TABL12[[#This Row],[(RESV. STORGE) AJD]]/10</f>
        <v/>
      </c>
      <c r="AB258" s="3">
        <f>(Z258-Z257)/1000</f>
        <v/>
      </c>
      <c r="AC258" s="6" t="n">
        <v>0</v>
      </c>
      <c r="AD258" s="5">
        <f>TABL12[[#This Row],[( S/S+T/B) AJD]]-(TABL12[[#This Row],[(A/B + A/S) AJD]]+TABL12[[#This Row],[(STORGE DIFF.) AJD]]+(TABL12[[#This Row],[AJD_Evaporation]]))</f>
        <v/>
      </c>
      <c r="AE258" s="6" t="n">
        <v>20</v>
      </c>
      <c r="AF258" s="33" t="n">
        <v>59.158</v>
      </c>
      <c r="AG258" s="6" t="n">
        <v>1728069</v>
      </c>
      <c r="AH258" s="6">
        <f>TABL12[[#This Row],[ (RESV. STORGE) BER]]/10</f>
        <v/>
      </c>
      <c r="AI258" s="6" t="n">
        <v>2658</v>
      </c>
      <c r="AJ258" s="6">
        <f>TABL12[[#This Row],[(A/B) AJD]]-TABL12[[#This Row],[BER_IN]]</f>
        <v/>
      </c>
      <c r="AK258" s="6" t="n">
        <v>28</v>
      </c>
      <c r="AL258" s="33" t="n">
        <v>44.4872</v>
      </c>
      <c r="AM258" s="6" t="n">
        <v>3921600</v>
      </c>
      <c r="AN258" s="6">
        <f>TABL12[[#This Row],[ (RESV. STORGE) SER]]/10</f>
        <v/>
      </c>
      <c r="AO258" s="6" t="n">
        <v>1568</v>
      </c>
      <c r="AP258" s="32">
        <f>TABL12[[#This Row],[(A/S) AJD]]-TABL12[[#This Row],[SER_IN]]</f>
        <v/>
      </c>
    </row>
    <row r="259">
      <c r="A259" s="2" t="n">
        <v>45915</v>
      </c>
      <c r="B259" s="28" t="n">
        <v>40</v>
      </c>
      <c r="C259" s="28" t="n">
        <v>336</v>
      </c>
      <c r="D259" s="28" t="n">
        <v>40</v>
      </c>
      <c r="E259" s="35" t="n"/>
      <c r="F259" s="28" t="n">
        <v>103</v>
      </c>
      <c r="G259" s="28" t="n">
        <v>658</v>
      </c>
      <c r="H259" s="28" t="n"/>
      <c r="I259" s="28" t="n">
        <v>508</v>
      </c>
      <c r="J259" s="28" t="n">
        <v>495</v>
      </c>
      <c r="K259" s="28">
        <f>TABL12[[#This Row],[ (T/B) SAR]]+TABL12[[#This Row],[ (S/S) SAR]]</f>
        <v/>
      </c>
      <c r="L259" s="28" t="n">
        <v>345</v>
      </c>
      <c r="M259" s="29" t="n">
        <v>25.9</v>
      </c>
      <c r="N259" s="30" t="n">
        <v>7.33</v>
      </c>
      <c r="O259" s="9" t="n">
        <v>439</v>
      </c>
      <c r="P259" s="9">
        <f>TABL12[[#This Row],[ (S/S) SAR]]-TABL12[[#This Row],[(S/S) AJD]]</f>
        <v/>
      </c>
      <c r="Q259" s="9" t="n">
        <v>480</v>
      </c>
      <c r="R259" s="9">
        <f>TABL12[[#This Row],[ (T/B) SAR]]-TABL12[[#This Row],[(T/B) AJD]]</f>
        <v/>
      </c>
      <c r="S259" s="9">
        <f>TABL12[[#This Row],[S/S_CON.]]+TABL12[[#This Row],[T/B-CON.]]</f>
        <v/>
      </c>
      <c r="T259" s="9">
        <f>O259+Q259</f>
        <v/>
      </c>
      <c r="U259" s="9" t="n">
        <v>532</v>
      </c>
      <c r="V259" s="9" t="n">
        <v>331</v>
      </c>
      <c r="W259" s="9">
        <f>U259+V259</f>
        <v/>
      </c>
      <c r="X259" s="9">
        <f>T259-W259</f>
        <v/>
      </c>
      <c r="Y259" s="18" t="n">
        <v>92.38200000000001</v>
      </c>
      <c r="Z259" s="9" t="n">
        <v>426394</v>
      </c>
      <c r="AA259" s="9">
        <f>TABL12[[#This Row],[(RESV. STORGE) AJD]]/10</f>
        <v/>
      </c>
      <c r="AB259" s="3">
        <f>(Z259-Z258)/1000</f>
        <v/>
      </c>
      <c r="AC259" s="6" t="n">
        <v>0</v>
      </c>
      <c r="AD259" s="5">
        <f>TABL12[[#This Row],[( S/S+T/B) AJD]]-(TABL12[[#This Row],[(A/B + A/S) AJD]]+TABL12[[#This Row],[(STORGE DIFF.) AJD]]+(TABL12[[#This Row],[AJD_Evaporation]]))</f>
        <v/>
      </c>
      <c r="AE259" s="6" t="n">
        <v>20</v>
      </c>
      <c r="AF259" s="33" t="n">
        <v>59.125</v>
      </c>
      <c r="AG259" s="6" t="n">
        <v>1706242</v>
      </c>
      <c r="AH259" s="6">
        <f>TABL12[[#This Row],[ (RESV. STORGE) BER]]/10</f>
        <v/>
      </c>
      <c r="AI259" s="6" t="n">
        <v>2347</v>
      </c>
      <c r="AJ259" s="6">
        <f>TABL12[[#This Row],[(A/B) AJD]]-TABL12[[#This Row],[BER_IN]]</f>
        <v/>
      </c>
      <c r="AK259" s="6" t="n">
        <v>22</v>
      </c>
      <c r="AL259" s="33" t="n">
        <v>44.4496</v>
      </c>
      <c r="AM259" s="6" t="n">
        <v>3901140</v>
      </c>
      <c r="AN259" s="6">
        <f>TABL12[[#This Row],[ (RESV. STORGE) SER]]/10</f>
        <v/>
      </c>
      <c r="AO259" s="6" t="n">
        <v>1545</v>
      </c>
      <c r="AP259" s="32">
        <f>TABL12[[#This Row],[(A/S) AJD]]-TABL12[[#This Row],[SER_IN]]</f>
        <v/>
      </c>
    </row>
    <row r="260">
      <c r="A260" s="2" t="n">
        <v>45916</v>
      </c>
      <c r="B260" s="28" t="n">
        <v>40</v>
      </c>
      <c r="C260" s="28" t="n">
        <v>326</v>
      </c>
      <c r="D260" s="28" t="n">
        <v>40</v>
      </c>
      <c r="E260" s="35" t="n"/>
      <c r="F260" s="28" t="n">
        <v>103</v>
      </c>
      <c r="G260" s="28" t="n">
        <v>655</v>
      </c>
      <c r="H260" s="28" t="n"/>
      <c r="I260" s="28" t="n">
        <v>505</v>
      </c>
      <c r="J260" s="28" t="n">
        <v>495</v>
      </c>
      <c r="K260" s="28">
        <f>TABL12[[#This Row],[ (T/B) SAR]]+TABL12[[#This Row],[ (S/S) SAR]]</f>
        <v/>
      </c>
      <c r="L260" s="28" t="n">
        <v>345</v>
      </c>
      <c r="M260" s="29" t="n">
        <v>25.9</v>
      </c>
      <c r="N260" s="30" t="n">
        <v>7.26</v>
      </c>
      <c r="O260" s="9" t="n">
        <v>438</v>
      </c>
      <c r="P260" s="9">
        <f>TABL12[[#This Row],[ (S/S) SAR]]-TABL12[[#This Row],[(S/S) AJD]]</f>
        <v/>
      </c>
      <c r="Q260" s="9" t="n">
        <v>478</v>
      </c>
      <c r="R260" s="9">
        <f>TABL12[[#This Row],[ (T/B) SAR]]-TABL12[[#This Row],[(T/B) AJD]]</f>
        <v/>
      </c>
      <c r="S260" s="9">
        <f>TABL12[[#This Row],[S/S_CON.]]+TABL12[[#This Row],[T/B-CON.]]</f>
        <v/>
      </c>
      <c r="T260" s="9">
        <f>O260+Q260</f>
        <v/>
      </c>
      <c r="U260" s="9" t="n">
        <v>532</v>
      </c>
      <c r="V260" s="9" t="n">
        <v>310</v>
      </c>
      <c r="W260" s="9">
        <f>U260+V260</f>
        <v/>
      </c>
      <c r="X260" s="9">
        <f>T260-W260</f>
        <v/>
      </c>
      <c r="Y260" s="18" t="n">
        <v>92.465</v>
      </c>
      <c r="Z260" s="9" t="n">
        <v>475779</v>
      </c>
      <c r="AA260" s="9">
        <f>TABL12[[#This Row],[(RESV. STORGE) AJD]]/10</f>
        <v/>
      </c>
      <c r="AB260" s="3">
        <f>(Z260-Z259)/1000</f>
        <v/>
      </c>
      <c r="AC260" s="6" t="n">
        <v>0</v>
      </c>
      <c r="AD260" s="5">
        <f>TABL12[[#This Row],[( S/S+T/B) AJD]]-(TABL12[[#This Row],[(A/B + A/S) AJD]]+TABL12[[#This Row],[(STORGE DIFF.) AJD]]+(TABL12[[#This Row],[AJD_Evaporation]]))</f>
        <v/>
      </c>
      <c r="AE260" s="6" t="n">
        <v>20</v>
      </c>
      <c r="AF260" s="33" t="n">
        <v>59.091</v>
      </c>
      <c r="AG260" s="6" t="n">
        <v>1683763</v>
      </c>
      <c r="AH260" s="6">
        <f>TABL12[[#This Row],[ (RESV. STORGE) BER]]/10</f>
        <v/>
      </c>
      <c r="AI260" s="6" t="n">
        <v>2998</v>
      </c>
      <c r="AJ260" s="6">
        <f>TABL12[[#This Row],[(A/B) AJD]]-TABL12[[#This Row],[BER_IN]]</f>
        <v/>
      </c>
      <c r="AK260" s="6" t="n">
        <v>22</v>
      </c>
      <c r="AL260" s="33" t="n">
        <v>44.4353</v>
      </c>
      <c r="AM260" s="6" t="n">
        <v>3892950</v>
      </c>
      <c r="AN260" s="6">
        <f>TABL12[[#This Row],[ (RESV. STORGE) SER]]/10</f>
        <v/>
      </c>
      <c r="AO260" s="6" t="n">
        <v>1890</v>
      </c>
      <c r="AP260" s="32">
        <f>TABL12[[#This Row],[(A/S) AJD]]-TABL12[[#This Row],[SER_IN]]</f>
        <v/>
      </c>
    </row>
    <row r="261">
      <c r="A261" s="2" t="n">
        <v>45917</v>
      </c>
      <c r="B261" s="28" t="n">
        <v>41</v>
      </c>
      <c r="C261" s="28" t="n">
        <v>338</v>
      </c>
      <c r="D261" s="28" t="n">
        <v>41</v>
      </c>
      <c r="E261" s="35" t="n"/>
      <c r="F261" s="28" t="n">
        <v>103</v>
      </c>
      <c r="G261" s="28" t="n">
        <v>654</v>
      </c>
      <c r="H261" s="28" t="n"/>
      <c r="I261" s="28" t="n">
        <v>502</v>
      </c>
      <c r="J261" s="28" t="n">
        <v>492</v>
      </c>
      <c r="K261" s="28">
        <f>TABL12[[#This Row],[ (T/B) SAR]]+TABL12[[#This Row],[ (S/S) SAR]]</f>
        <v/>
      </c>
      <c r="L261" s="28" t="n">
        <v>340</v>
      </c>
      <c r="M261" s="29" t="n">
        <v>25.9</v>
      </c>
      <c r="N261" s="30" t="n">
        <v>7.25</v>
      </c>
      <c r="O261" s="9" t="n">
        <v>439</v>
      </c>
      <c r="P261" s="9">
        <f>TABL12[[#This Row],[ (S/S) SAR]]-TABL12[[#This Row],[(S/S) AJD]]</f>
        <v/>
      </c>
      <c r="Q261" s="9" t="n">
        <v>479</v>
      </c>
      <c r="R261" s="9">
        <f>TABL12[[#This Row],[ (T/B) SAR]]-TABL12[[#This Row],[(T/B) AJD]]</f>
        <v/>
      </c>
      <c r="S261" s="9">
        <f>TABL12[[#This Row],[S/S_CON.]]+TABL12[[#This Row],[T/B-CON.]]</f>
        <v/>
      </c>
      <c r="T261" s="9">
        <f>O261+Q261</f>
        <v/>
      </c>
      <c r="U261" s="9" t="n">
        <v>536</v>
      </c>
      <c r="V261" s="9" t="n">
        <v>296</v>
      </c>
      <c r="W261" s="9">
        <f>U261+V261</f>
        <v/>
      </c>
      <c r="X261" s="9">
        <f>T261-W261</f>
        <v/>
      </c>
      <c r="Y261" s="18" t="n">
        <v>92.56399999999999</v>
      </c>
      <c r="Z261" s="9" t="n">
        <v>534761</v>
      </c>
      <c r="AA261" s="9">
        <f>TABL12[[#This Row],[(RESV. STORGE) AJD]]/10</f>
        <v/>
      </c>
      <c r="AB261" s="3">
        <f>(Z261-Z260)/1000</f>
        <v/>
      </c>
      <c r="AC261" s="6" t="n">
        <v>0</v>
      </c>
      <c r="AD261" s="5">
        <f>TABL12[[#This Row],[( S/S+T/B) AJD]]-(TABL12[[#This Row],[(A/B + A/S) AJD]]+TABL12[[#This Row],[(STORGE DIFF.) AJD]]+(TABL12[[#This Row],[AJD_Evaporation]]))</f>
        <v/>
      </c>
      <c r="AE261" s="6" t="n">
        <v>20</v>
      </c>
      <c r="AF261" s="33" t="n">
        <v>59.056</v>
      </c>
      <c r="AG261" s="6" t="n">
        <v>1660634</v>
      </c>
      <c r="AH261" s="6">
        <f>TABL12[[#This Row],[ (RESV. STORGE) BER]]/10</f>
        <v/>
      </c>
      <c r="AI261" s="6" t="n">
        <v>3289</v>
      </c>
      <c r="AJ261" s="6">
        <f>TABL12[[#This Row],[(A/B) AJD]]-TABL12[[#This Row],[BER_IN]]</f>
        <v/>
      </c>
      <c r="AK261" s="6" t="n">
        <v>22</v>
      </c>
      <c r="AL261" s="33" t="n">
        <v>44.4186</v>
      </c>
      <c r="AM261" s="6" t="n">
        <v>3884020</v>
      </c>
      <c r="AN261" s="6">
        <f>TABL12[[#This Row],[ (RESV. STORGE) SER]]/10</f>
        <v/>
      </c>
      <c r="AO261" s="6" t="n">
        <v>1830</v>
      </c>
      <c r="AP261" s="32">
        <f>TABL12[[#This Row],[(A/S) AJD]]-TABL12[[#This Row],[SER_IN]]</f>
        <v/>
      </c>
    </row>
    <row r="262">
      <c r="A262" s="2" t="n">
        <v>45918</v>
      </c>
      <c r="B262" s="28" t="n">
        <v>41</v>
      </c>
      <c r="C262" s="28" t="n">
        <v>345</v>
      </c>
      <c r="D262" s="28" t="n">
        <v>41</v>
      </c>
      <c r="E262" s="35" t="n"/>
      <c r="F262" s="28" t="n">
        <v>103</v>
      </c>
      <c r="G262" s="28" t="n">
        <v>668</v>
      </c>
      <c r="H262" s="28" t="n"/>
      <c r="I262" s="28" t="n">
        <v>512</v>
      </c>
      <c r="J262" s="28" t="n">
        <v>499</v>
      </c>
      <c r="K262" s="28">
        <f>TABL12[[#This Row],[ (T/B) SAR]]+TABL12[[#This Row],[ (S/S) SAR]]</f>
        <v/>
      </c>
      <c r="L262" s="28" t="n">
        <v>343</v>
      </c>
      <c r="M262" s="29" t="n">
        <v>25.9</v>
      </c>
      <c r="N262" s="30" t="n">
        <v>7.29</v>
      </c>
      <c r="O262" s="9" t="n">
        <v>441</v>
      </c>
      <c r="P262" s="9">
        <f>TABL12[[#This Row],[ (S/S) SAR]]-TABL12[[#This Row],[(S/S) AJD]]</f>
        <v/>
      </c>
      <c r="Q262" s="9" t="n">
        <v>480</v>
      </c>
      <c r="R262" s="9">
        <f>TABL12[[#This Row],[ (T/B) SAR]]-TABL12[[#This Row],[(T/B) AJD]]</f>
        <v/>
      </c>
      <c r="S262" s="9">
        <f>TABL12[[#This Row],[S/S_CON.]]+TABL12[[#This Row],[T/B-CON.]]</f>
        <v/>
      </c>
      <c r="T262" s="9">
        <f>O262+Q262</f>
        <v/>
      </c>
      <c r="U262" s="9" t="n">
        <v>529</v>
      </c>
      <c r="V262" s="9" t="n">
        <v>334</v>
      </c>
      <c r="W262" s="9">
        <f>U262+V262</f>
        <v/>
      </c>
      <c r="X262" s="9">
        <f>T262-W262</f>
        <v/>
      </c>
      <c r="Y262" s="18" t="n">
        <v>92.614</v>
      </c>
      <c r="Z262" s="9" t="n">
        <v>564584</v>
      </c>
      <c r="AA262" s="9">
        <f>TABL12[[#This Row],[(RESV. STORGE) AJD]]/10</f>
        <v/>
      </c>
      <c r="AB262" s="3">
        <f>(Z262-Z261)/1000</f>
        <v/>
      </c>
      <c r="AC262" s="6" t="n">
        <v>0</v>
      </c>
      <c r="AD262" s="5">
        <f>TABL12[[#This Row],[( S/S+T/B) AJD]]-(TABL12[[#This Row],[(A/B + A/S) AJD]]+TABL12[[#This Row],[(STORGE DIFF.) AJD]]+(TABL12[[#This Row],[AJD_Evaporation]]))</f>
        <v/>
      </c>
      <c r="AE262" s="6" t="n">
        <v>20</v>
      </c>
      <c r="AF262" s="33" t="n">
        <v>59.021</v>
      </c>
      <c r="AG262" s="6" t="n">
        <v>1637515</v>
      </c>
      <c r="AH262" s="6">
        <f>TABL12[[#This Row],[ (RESV. STORGE) BER]]/10</f>
        <v/>
      </c>
      <c r="AI262" s="6" t="n">
        <v>3278</v>
      </c>
      <c r="AJ262" s="6">
        <f>TABL12[[#This Row],[(A/B) AJD]]-TABL12[[#This Row],[BER_IN]]</f>
        <v/>
      </c>
      <c r="AK262" s="6" t="n">
        <v>22</v>
      </c>
      <c r="AL262" s="33" t="n">
        <v>44.3966</v>
      </c>
      <c r="AM262" s="6" t="n">
        <v>3871870</v>
      </c>
      <c r="AN262" s="6">
        <f>TABL12[[#This Row],[ (RESV. STORGE) SER]]/10</f>
        <v/>
      </c>
      <c r="AO262" s="6" t="n">
        <v>1850</v>
      </c>
      <c r="AP262" s="32">
        <f>TABL12[[#This Row],[(A/S) AJD]]-TABL12[[#This Row],[SER_IN]]</f>
        <v/>
      </c>
    </row>
    <row r="263">
      <c r="A263" s="2" t="n">
        <v>45919</v>
      </c>
      <c r="B263" s="28" t="n">
        <v>41</v>
      </c>
      <c r="C263" s="28" t="n">
        <v>344</v>
      </c>
      <c r="D263" s="28" t="n">
        <v>41</v>
      </c>
      <c r="E263" s="35" t="n"/>
      <c r="F263" s="28" t="n">
        <v>103</v>
      </c>
      <c r="G263" s="28" t="n">
        <v>661</v>
      </c>
      <c r="H263" s="28" t="n"/>
      <c r="I263" s="28" t="n">
        <v>508</v>
      </c>
      <c r="J263" s="28" t="n">
        <v>496</v>
      </c>
      <c r="K263" s="28">
        <f>TABL12[[#This Row],[ (T/B) SAR]]+TABL12[[#This Row],[ (S/S) SAR]]</f>
        <v/>
      </c>
      <c r="L263" s="28" t="n">
        <v>343</v>
      </c>
      <c r="M263" s="29" t="n">
        <v>25.9</v>
      </c>
      <c r="N263" s="30" t="n">
        <v>7.33</v>
      </c>
      <c r="O263" s="9" t="n">
        <v>446</v>
      </c>
      <c r="P263" s="9">
        <f>TABL12[[#This Row],[ (S/S) SAR]]-TABL12[[#This Row],[(S/S) AJD]]</f>
        <v/>
      </c>
      <c r="Q263" s="9" t="n">
        <v>486</v>
      </c>
      <c r="R263" s="9">
        <f>TABL12[[#This Row],[ (T/B) SAR]]-TABL12[[#This Row],[(T/B) AJD]]</f>
        <v/>
      </c>
      <c r="S263" s="9">
        <f>TABL12[[#This Row],[S/S_CON.]]+TABL12[[#This Row],[T/B-CON.]]</f>
        <v/>
      </c>
      <c r="T263" s="9">
        <f>O263+Q263</f>
        <v/>
      </c>
      <c r="U263" s="9" t="n">
        <v>536</v>
      </c>
      <c r="V263" s="9" t="n">
        <v>297</v>
      </c>
      <c r="W263" s="9">
        <f>U263+V263</f>
        <v/>
      </c>
      <c r="X263" s="9">
        <f>T263-W263</f>
        <v/>
      </c>
      <c r="Y263" s="18" t="n">
        <v>92.717</v>
      </c>
      <c r="Z263" s="9" t="n">
        <v>626082</v>
      </c>
      <c r="AA263" s="9">
        <f>TABL12[[#This Row],[(RESV. STORGE) AJD]]/10</f>
        <v/>
      </c>
      <c r="AB263" s="3">
        <f>(Z263-Z262)/1000</f>
        <v/>
      </c>
      <c r="AC263" s="6" t="n">
        <v>0</v>
      </c>
      <c r="AD263" s="5">
        <f>TABL12[[#This Row],[( S/S+T/B) AJD]]-(TABL12[[#This Row],[(A/B + A/S) AJD]]+TABL12[[#This Row],[(STORGE DIFF.) AJD]]+(TABL12[[#This Row],[AJD_Evaporation]]))</f>
        <v/>
      </c>
      <c r="AE263" s="6" t="n">
        <v>20</v>
      </c>
      <c r="AF263" s="33" t="n">
        <v>58.994</v>
      </c>
      <c r="AG263" s="6" t="n">
        <v>1619688</v>
      </c>
      <c r="AH263" s="6">
        <f>TABL12[[#This Row],[ (RESV. STORGE) BER]]/10</f>
        <v/>
      </c>
      <c r="AI263" s="6" t="n">
        <v>2967</v>
      </c>
      <c r="AJ263" s="6">
        <f>TABL12[[#This Row],[(A/B) AJD]]-TABL12[[#This Row],[BER_IN]]</f>
        <v/>
      </c>
      <c r="AK263" s="6" t="n">
        <v>22</v>
      </c>
      <c r="AL263" s="33" t="n">
        <v>44.351</v>
      </c>
      <c r="AM263" s="6" t="n">
        <v>3845930</v>
      </c>
      <c r="AN263" s="6">
        <f>TABL12[[#This Row],[ (RESV. STORGE) SER]]/10</f>
        <v/>
      </c>
      <c r="AO263" s="6" t="n">
        <v>1940</v>
      </c>
      <c r="AP263" s="32">
        <f>TABL12[[#This Row],[(A/S) AJD]]-TABL12[[#This Row],[SER_IN]]</f>
        <v/>
      </c>
    </row>
    <row r="264">
      <c r="A264" s="2" t="n">
        <v>45920</v>
      </c>
      <c r="B264" s="28" t="n">
        <v>41</v>
      </c>
      <c r="C264" s="28" t="n">
        <v>336</v>
      </c>
      <c r="D264" s="28" t="n">
        <v>41</v>
      </c>
      <c r="E264" s="35" t="n"/>
      <c r="F264" s="28" t="n">
        <v>103</v>
      </c>
      <c r="G264" s="28" t="n">
        <v>663</v>
      </c>
      <c r="H264" s="28" t="n"/>
      <c r="I264" s="28" t="n">
        <v>510</v>
      </c>
      <c r="J264" s="28" t="n">
        <v>496</v>
      </c>
      <c r="K264" s="28">
        <f>TABL12[[#This Row],[ (T/B) SAR]]+TABL12[[#This Row],[ (S/S) SAR]]</f>
        <v/>
      </c>
      <c r="L264" s="28" t="n">
        <v>343</v>
      </c>
      <c r="M264" s="29" t="n">
        <v>25.9</v>
      </c>
      <c r="N264" s="30" t="n">
        <v>7.33</v>
      </c>
      <c r="O264" s="9" t="n">
        <v>444</v>
      </c>
      <c r="P264" s="9">
        <f>TABL12[[#This Row],[ (S/S) SAR]]-TABL12[[#This Row],[(S/S) AJD]]</f>
        <v/>
      </c>
      <c r="Q264" s="9" t="n">
        <v>484</v>
      </c>
      <c r="R264" s="9">
        <f>TABL12[[#This Row],[ (T/B) SAR]]-TABL12[[#This Row],[(T/B) AJD]]</f>
        <v/>
      </c>
      <c r="S264" s="9">
        <f>TABL12[[#This Row],[S/S_CON.]]+TABL12[[#This Row],[T/B-CON.]]</f>
        <v/>
      </c>
      <c r="T264" s="9">
        <f>O264+Q264</f>
        <v/>
      </c>
      <c r="U264" s="9" t="n">
        <v>532</v>
      </c>
      <c r="V264" s="9" t="n">
        <v>298</v>
      </c>
      <c r="W264" s="9">
        <f>U264+V264</f>
        <v/>
      </c>
      <c r="X264" s="9">
        <f>T264-W264</f>
        <v/>
      </c>
      <c r="Y264" s="18" t="n">
        <v>92.82899999999999</v>
      </c>
      <c r="Z264" s="9" t="n">
        <v>693049</v>
      </c>
      <c r="AA264" s="9">
        <f>TABL12[[#This Row],[(RESV. STORGE) AJD]]/10</f>
        <v/>
      </c>
      <c r="AB264" s="3">
        <f>(Z264-Z263)/1000</f>
        <v/>
      </c>
      <c r="AC264" s="6" t="n">
        <v>0</v>
      </c>
      <c r="AD264" s="5">
        <f>TABL12[[#This Row],[( S/S+T/B) AJD]]-(TABL12[[#This Row],[(A/B + A/S) AJD]]+TABL12[[#This Row],[(STORGE DIFF.) AJD]]+(TABL12[[#This Row],[AJD_Evaporation]]))</f>
        <v/>
      </c>
      <c r="AE264" s="6" t="n">
        <v>20</v>
      </c>
      <c r="AF264" s="33" t="n">
        <v>58.959</v>
      </c>
      <c r="AG264" s="6" t="n">
        <v>1596588</v>
      </c>
      <c r="AH264" s="6">
        <f>TABL12[[#This Row],[ (RESV. STORGE) BER]]/10</f>
        <v/>
      </c>
      <c r="AI264" s="6" t="n">
        <v>3259</v>
      </c>
      <c r="AJ264" s="6">
        <f>TABL12[[#This Row],[(A/B) AJD]]-TABL12[[#This Row],[BER_IN]]</f>
        <v/>
      </c>
      <c r="AK264" s="6" t="n">
        <v>22</v>
      </c>
      <c r="AL264" s="33" t="n">
        <v>44.2512</v>
      </c>
      <c r="AM264" s="6" t="n">
        <v>3791340</v>
      </c>
      <c r="AN264" s="6">
        <f>TABL12[[#This Row],[ (RESV. STORGE) SER]]/10</f>
        <v/>
      </c>
      <c r="AO264" s="6" t="n">
        <v>1890</v>
      </c>
      <c r="AP264" s="32">
        <f>TABL12[[#This Row],[(A/S) AJD]]-TABL12[[#This Row],[SER_IN]]</f>
        <v/>
      </c>
    </row>
    <row r="265">
      <c r="A265" s="2" t="n">
        <v>45921</v>
      </c>
      <c r="B265" s="28" t="n">
        <v>41</v>
      </c>
      <c r="C265" s="28" t="n">
        <v>332</v>
      </c>
      <c r="D265" s="28" t="n">
        <v>41</v>
      </c>
      <c r="E265" s="35" t="n"/>
      <c r="F265" s="28" t="n">
        <v>103</v>
      </c>
      <c r="G265" s="28" t="n">
        <v>663</v>
      </c>
      <c r="H265" s="28" t="n"/>
      <c r="I265" s="28" t="n">
        <v>510</v>
      </c>
      <c r="J265" s="28" t="n">
        <v>496</v>
      </c>
      <c r="K265" s="28">
        <f>TABL12[[#This Row],[ (T/B) SAR]]+TABL12[[#This Row],[ (S/S) SAR]]</f>
        <v/>
      </c>
      <c r="L265" s="28" t="n">
        <v>343</v>
      </c>
      <c r="M265" s="29" t="n">
        <v>25.9</v>
      </c>
      <c r="N265" s="30" t="n">
        <v>7.32</v>
      </c>
      <c r="O265" s="9" t="n">
        <v>444</v>
      </c>
      <c r="P265" s="9">
        <f>TABL12[[#This Row],[ (S/S) SAR]]-TABL12[[#This Row],[(S/S) AJD]]</f>
        <v/>
      </c>
      <c r="Q265" s="9" t="n">
        <v>485</v>
      </c>
      <c r="R265" s="9">
        <f>TABL12[[#This Row],[ (T/B) SAR]]-TABL12[[#This Row],[(T/B) AJD]]</f>
        <v/>
      </c>
      <c r="S265" s="9">
        <f>TABL12[[#This Row],[S/S_CON.]]+TABL12[[#This Row],[T/B-CON.]]</f>
        <v/>
      </c>
      <c r="T265" s="9">
        <f>O265+Q265</f>
        <v/>
      </c>
      <c r="U265" s="9" t="n">
        <v>530</v>
      </c>
      <c r="V265" s="9" t="n">
        <v>304</v>
      </c>
      <c r="W265" s="9">
        <f>U265+V265</f>
        <v/>
      </c>
      <c r="X265" s="9">
        <f>T265-W265</f>
        <v/>
      </c>
      <c r="Y265" s="18" t="n">
        <v>92.926</v>
      </c>
      <c r="Z265" s="9" t="n">
        <v>751131</v>
      </c>
      <c r="AA265" s="9">
        <f>TABL12[[#This Row],[(RESV. STORGE) AJD]]/10</f>
        <v/>
      </c>
      <c r="AB265" s="3">
        <f>(Z265-Z264)/1000</f>
        <v/>
      </c>
      <c r="AC265" s="6" t="n">
        <v>0</v>
      </c>
      <c r="AD265" s="5">
        <f>TABL12[[#This Row],[( S/S+T/B) AJD]]-(TABL12[[#This Row],[(A/B + A/S) AJD]]+TABL12[[#This Row],[(STORGE DIFF.) AJD]]+(TABL12[[#This Row],[AJD_Evaporation]]))</f>
        <v/>
      </c>
      <c r="AE265" s="6" t="n">
        <v>20</v>
      </c>
      <c r="AF265" s="33" t="n">
        <v>58.926</v>
      </c>
      <c r="AG265" s="6" t="n">
        <v>1574818</v>
      </c>
      <c r="AH265" s="6">
        <f>TABL12[[#This Row],[ (RESV. STORGE) BER]]/10</f>
        <v/>
      </c>
      <c r="AI265" s="6" t="n">
        <v>2926</v>
      </c>
      <c r="AJ265" s="6">
        <f>TABL12[[#This Row],[(A/B) AJD]]-TABL12[[#This Row],[BER_IN]]</f>
        <v/>
      </c>
      <c r="AK265" s="6" t="n">
        <v>22</v>
      </c>
      <c r="AL265" s="33" t="n">
        <v>44.0977</v>
      </c>
      <c r="AM265" s="6" t="n">
        <v>3707130</v>
      </c>
      <c r="AN265" s="6">
        <f>TABL12[[#This Row],[ (RESV. STORGE) SER]]/10</f>
        <v/>
      </c>
      <c r="AO265" s="6" t="n">
        <v>1810</v>
      </c>
      <c r="AP265" s="32">
        <f>TABL12[[#This Row],[(A/S) AJD]]-TABL12[[#This Row],[SER_IN]]</f>
        <v/>
      </c>
    </row>
    <row r="266">
      <c r="A266" s="2" t="n">
        <v>45922</v>
      </c>
      <c r="B266" s="28" t="n">
        <v>40</v>
      </c>
      <c r="C266" s="28" t="n">
        <v>320</v>
      </c>
      <c r="D266" s="28" t="n">
        <v>40</v>
      </c>
      <c r="E266" s="35" t="n"/>
      <c r="F266" s="28" t="n">
        <v>103</v>
      </c>
      <c r="G266" s="28" t="n">
        <v>656</v>
      </c>
      <c r="H266" s="28" t="n"/>
      <c r="I266" s="28" t="n">
        <v>502</v>
      </c>
      <c r="J266" s="28" t="n">
        <v>496</v>
      </c>
      <c r="K266" s="28">
        <f>TABL12[[#This Row],[ (T/B) SAR]]+TABL12[[#This Row],[ (S/S) SAR]]</f>
        <v/>
      </c>
      <c r="L266" s="28" t="n">
        <v>342</v>
      </c>
      <c r="M266" s="29" t="n">
        <v>25.9</v>
      </c>
      <c r="N266" s="30" t="n">
        <v>7.29</v>
      </c>
      <c r="O266" s="9" t="n">
        <v>445</v>
      </c>
      <c r="P266" s="9">
        <f>TABL12[[#This Row],[ (S/S) SAR]]-TABL12[[#This Row],[(S/S) AJD]]</f>
        <v/>
      </c>
      <c r="Q266" s="9" t="n">
        <v>485</v>
      </c>
      <c r="R266" s="9">
        <f>TABL12[[#This Row],[ (T/B) SAR]]-TABL12[[#This Row],[(T/B) AJD]]</f>
        <v/>
      </c>
      <c r="S266" s="9">
        <f>TABL12[[#This Row],[S/S_CON.]]+TABL12[[#This Row],[T/B-CON.]]</f>
        <v/>
      </c>
      <c r="T266" s="9">
        <f>O266+Q266</f>
        <v/>
      </c>
      <c r="U266" s="9" t="n">
        <v>536</v>
      </c>
      <c r="V266" s="9" t="n">
        <v>291</v>
      </c>
      <c r="W266" s="9">
        <f>U266+V266</f>
        <v/>
      </c>
      <c r="X266" s="9">
        <f>T266-W266</f>
        <v/>
      </c>
      <c r="Y266" s="18" t="n">
        <v>93.039</v>
      </c>
      <c r="Z266" s="9" t="n">
        <v>818878</v>
      </c>
      <c r="AA266" s="9">
        <f>TABL12[[#This Row],[(RESV. STORGE) AJD]]/10</f>
        <v/>
      </c>
      <c r="AB266" s="3">
        <f>(Z266-Z265)/1000</f>
        <v/>
      </c>
      <c r="AC266" s="6" t="n">
        <v>0</v>
      </c>
      <c r="AD266" s="5">
        <f>TABL12[[#This Row],[( S/S+T/B) AJD]]-(TABL12[[#This Row],[(A/B + A/S) AJD]]+TABL12[[#This Row],[(STORGE DIFF.) AJD]]+(TABL12[[#This Row],[AJD_Evaporation]]))</f>
        <v/>
      </c>
      <c r="AE266" s="6" t="n">
        <v>20</v>
      </c>
      <c r="AF266" s="33" t="n">
        <v>58.891</v>
      </c>
      <c r="AG266" s="6" t="n">
        <v>1551738</v>
      </c>
      <c r="AH266" s="6">
        <f>TABL12[[#This Row],[ (RESV. STORGE) BER]]/10</f>
        <v/>
      </c>
      <c r="AI266" s="6" t="n">
        <v>3239</v>
      </c>
      <c r="AJ266" s="6">
        <f>TABL12[[#This Row],[(A/B) AJD]]-TABL12[[#This Row],[BER_IN]]</f>
        <v/>
      </c>
      <c r="AK266" s="6" t="n">
        <v>36</v>
      </c>
      <c r="AL266" s="33" t="n">
        <v>43.9606</v>
      </c>
      <c r="AM266" s="6" t="n">
        <v>3631890</v>
      </c>
      <c r="AN266" s="6">
        <f>TABL12[[#This Row],[ (RESV. STORGE) SER]]/10</f>
        <v/>
      </c>
      <c r="AO266" s="6" t="n">
        <v>1840</v>
      </c>
      <c r="AP266" s="32">
        <f>TABL12[[#This Row],[(A/S) AJD]]-TABL12[[#This Row],[SER_IN]]</f>
        <v/>
      </c>
    </row>
    <row r="267">
      <c r="A267" s="2" t="n">
        <v>45923</v>
      </c>
      <c r="B267" s="28" t="n">
        <v>40</v>
      </c>
      <c r="C267" s="28" t="n">
        <v>322</v>
      </c>
      <c r="D267" s="28" t="n">
        <v>40</v>
      </c>
      <c r="E267" s="35" t="n"/>
      <c r="F267" s="28" t="n">
        <v>103</v>
      </c>
      <c r="G267" s="28" t="n">
        <v>663</v>
      </c>
      <c r="H267" s="28" t="n"/>
      <c r="I267" s="28" t="n">
        <v>508</v>
      </c>
      <c r="J267" s="28" t="n">
        <v>495</v>
      </c>
      <c r="K267" s="28">
        <f>TABL12[[#This Row],[ (T/B) SAR]]+TABL12[[#This Row],[ (S/S) SAR]]</f>
        <v/>
      </c>
      <c r="L267" s="28" t="n">
        <v>340</v>
      </c>
      <c r="M267" s="29" t="n">
        <v>25.9</v>
      </c>
      <c r="N267" s="30" t="n">
        <v>7.2</v>
      </c>
      <c r="O267" s="9" t="n">
        <v>445</v>
      </c>
      <c r="P267" s="9">
        <f>TABL12[[#This Row],[ (S/S) SAR]]-TABL12[[#This Row],[(S/S) AJD]]</f>
        <v/>
      </c>
      <c r="Q267" s="9" t="n">
        <v>484</v>
      </c>
      <c r="R267" s="9">
        <f>TABL12[[#This Row],[ (T/B) SAR]]-TABL12[[#This Row],[(T/B) AJD]]</f>
        <v/>
      </c>
      <c r="S267" s="9">
        <f>TABL12[[#This Row],[S/S_CON.]]+TABL12[[#This Row],[T/B-CON.]]</f>
        <v/>
      </c>
      <c r="T267" s="9">
        <f>O267+Q267</f>
        <v/>
      </c>
      <c r="U267" s="9" t="n">
        <v>527</v>
      </c>
      <c r="V267" s="9" t="n">
        <v>319</v>
      </c>
      <c r="W267" s="9">
        <f>U267+V267</f>
        <v/>
      </c>
      <c r="X267" s="9">
        <f>T267-W267</f>
        <v/>
      </c>
      <c r="Y267" s="18" t="n">
        <v>93.111</v>
      </c>
      <c r="Z267" s="9" t="n">
        <v>862121</v>
      </c>
      <c r="AA267" s="9">
        <f>TABL12[[#This Row],[(RESV. STORGE) AJD]]/10</f>
        <v/>
      </c>
      <c r="AB267" s="3">
        <f>(Z267-Z266)/1000</f>
        <v/>
      </c>
      <c r="AC267" s="6" t="n">
        <v>2321</v>
      </c>
      <c r="AD267" s="5">
        <f>TABL12[[#This Row],[( S/S+T/B) AJD]]-(TABL12[[#This Row],[(A/B + A/S) AJD]]+TABL12[[#This Row],[(STORGE DIFF.) AJD]]+(TABL12[[#This Row],[AJD_Evaporation]]))</f>
        <v/>
      </c>
      <c r="AE267" s="6" t="n">
        <v>34</v>
      </c>
      <c r="AF267" s="33" t="n">
        <v>58.878</v>
      </c>
      <c r="AG267" s="6" t="n">
        <v>1543369</v>
      </c>
      <c r="AH267" s="6">
        <f>TABL12[[#This Row],[ (RESV. STORGE) BER]]/10</f>
        <v/>
      </c>
      <c r="AI267" s="6" t="n">
        <v>2729</v>
      </c>
      <c r="AJ267" s="6">
        <f>TABL12[[#This Row],[(A/B) AJD]]-TABL12[[#This Row],[BER_IN]]</f>
        <v/>
      </c>
      <c r="AK267" s="6" t="n">
        <v>61</v>
      </c>
      <c r="AL267" s="33" t="n">
        <v>44.0142</v>
      </c>
      <c r="AM267" s="6" t="n">
        <v>3660980</v>
      </c>
      <c r="AN267" s="6">
        <f>TABL12[[#This Row],[ (RESV. STORGE) SER]]/10</f>
        <v/>
      </c>
      <c r="AO267" s="6" t="n">
        <v>1910</v>
      </c>
      <c r="AP267" s="32">
        <f>TABL12[[#This Row],[(A/S) AJD]]-TABL12[[#This Row],[SER_IN]]</f>
        <v/>
      </c>
    </row>
    <row r="268">
      <c r="A268" s="2" t="n">
        <v>45924</v>
      </c>
      <c r="B268" s="28" t="n">
        <v>39</v>
      </c>
      <c r="C268" s="28" t="n">
        <v>313</v>
      </c>
      <c r="D268" s="28" t="n">
        <v>39</v>
      </c>
      <c r="E268" s="35" t="n"/>
      <c r="F268" s="28" t="n">
        <v>103</v>
      </c>
      <c r="G268" s="28" t="n">
        <v>660</v>
      </c>
      <c r="H268" s="28" t="n"/>
      <c r="I268" s="28" t="n">
        <v>505</v>
      </c>
      <c r="J268" s="28" t="n">
        <v>493</v>
      </c>
      <c r="K268" s="28">
        <f>TABL12[[#This Row],[ (T/B) SAR]]+TABL12[[#This Row],[ (S/S) SAR]]</f>
        <v/>
      </c>
      <c r="L268" s="28" t="n">
        <v>338</v>
      </c>
      <c r="M268" s="29" t="n">
        <v>25.9</v>
      </c>
      <c r="N268" s="30" t="n">
        <v>7.06</v>
      </c>
      <c r="O268" s="9" t="n">
        <v>484</v>
      </c>
      <c r="P268" s="9">
        <f>TABL12[[#This Row],[ (S/S) SAR]]-TABL12[[#This Row],[(S/S) AJD]]</f>
        <v/>
      </c>
      <c r="Q268" s="9" t="n">
        <v>445</v>
      </c>
      <c r="R268" s="9">
        <f>TABL12[[#This Row],[ (T/B) SAR]]-TABL12[[#This Row],[(T/B) AJD]]</f>
        <v/>
      </c>
      <c r="S268" s="9">
        <f>TABL12[[#This Row],[S/S_CON.]]+TABL12[[#This Row],[T/B-CON.]]</f>
        <v/>
      </c>
      <c r="T268" s="9">
        <f>O268+Q268</f>
        <v/>
      </c>
      <c r="U268" s="9" t="n">
        <v>537</v>
      </c>
      <c r="V268" s="9" t="n">
        <v>362</v>
      </c>
      <c r="W268" s="9">
        <f>U268+V268</f>
        <v/>
      </c>
      <c r="X268" s="9">
        <f>T268-W268</f>
        <v/>
      </c>
      <c r="Y268" s="18" t="n">
        <v>93.093</v>
      </c>
      <c r="Z268" s="9" t="n">
        <v>851311</v>
      </c>
      <c r="AA268" s="9">
        <f>TABL12[[#This Row],[(RESV. STORGE) AJD]]/10</f>
        <v/>
      </c>
      <c r="AB268" s="3">
        <f>(Z268-Z267)/1000</f>
        <v/>
      </c>
      <c r="AC268" s="6" t="n">
        <v>3212</v>
      </c>
      <c r="AD268" s="5">
        <f>TABL12[[#This Row],[( S/S+T/B) AJD]]-(TABL12[[#This Row],[(A/B + A/S) AJD]]+TABL12[[#This Row],[(STORGE DIFF.) AJD]]+(TABL12[[#This Row],[AJD_Evaporation]]))</f>
        <v/>
      </c>
      <c r="AE268" s="6" t="n">
        <v>40</v>
      </c>
      <c r="AF268" s="33" t="n">
        <v>58.874</v>
      </c>
      <c r="AG268" s="6" t="n">
        <v>1540532</v>
      </c>
      <c r="AH268" s="6">
        <f>TABL12[[#This Row],[ (RESV. STORGE) BER]]/10</f>
        <v/>
      </c>
      <c r="AI268" s="6" t="n">
        <v>2796</v>
      </c>
      <c r="AJ268" s="6">
        <f>TABL12[[#This Row],[(A/B) AJD]]-TABL12[[#This Row],[BER_IN]]</f>
        <v/>
      </c>
      <c r="AK268" s="6" t="n">
        <v>68</v>
      </c>
      <c r="AL268" s="33" t="n">
        <v>44.1125</v>
      </c>
      <c r="AM268" s="6" t="n">
        <v>3715380</v>
      </c>
      <c r="AN268" s="6">
        <f>TABL12[[#This Row],[ (RESV. STORGE) SER]]/10</f>
        <v/>
      </c>
      <c r="AO268" s="6" t="n">
        <v>1800</v>
      </c>
      <c r="AP268" s="32">
        <f>TABL12[[#This Row],[(A/S) AJD]]-TABL12[[#This Row],[SER_IN]]</f>
        <v/>
      </c>
    </row>
    <row r="269">
      <c r="A269" s="2" t="n">
        <v>45925</v>
      </c>
      <c r="B269" s="28" t="n">
        <v>39</v>
      </c>
      <c r="C269" s="28" t="n">
        <v>318</v>
      </c>
      <c r="D269" s="28" t="n">
        <v>39</v>
      </c>
      <c r="E269" s="35" t="n"/>
      <c r="F269" s="28" t="n">
        <v>103</v>
      </c>
      <c r="G269" s="28" t="n">
        <v>664</v>
      </c>
      <c r="H269" s="28" t="n"/>
      <c r="I269" s="28" t="n">
        <v>491</v>
      </c>
      <c r="J269" s="28" t="n">
        <v>483</v>
      </c>
      <c r="K269" s="28">
        <f>TABL12[[#This Row],[ (T/B) SAR]]+TABL12[[#This Row],[ (S/S) SAR]]</f>
        <v/>
      </c>
      <c r="L269" s="28" t="n">
        <v>310</v>
      </c>
      <c r="M269" s="29" t="n">
        <v>24.6</v>
      </c>
      <c r="N269" s="30" t="n">
        <v>7.17</v>
      </c>
      <c r="O269" s="9" t="n">
        <v>440</v>
      </c>
      <c r="P269" s="9">
        <f>TABL12[[#This Row],[ (S/S) SAR]]-TABL12[[#This Row],[(S/S) AJD]]</f>
        <v/>
      </c>
      <c r="Q269" s="9" t="n">
        <v>482</v>
      </c>
      <c r="R269" s="9">
        <f>TABL12[[#This Row],[ (T/B) SAR]]-TABL12[[#This Row],[(T/B) AJD]]</f>
        <v/>
      </c>
      <c r="S269" s="9">
        <f>TABL12[[#This Row],[S/S_CON.]]+TABL12[[#This Row],[T/B-CON.]]</f>
        <v/>
      </c>
      <c r="T269" s="9">
        <f>O269+Q269</f>
        <v/>
      </c>
      <c r="U269" s="9" t="n">
        <v>530</v>
      </c>
      <c r="V269" s="9" t="n">
        <v>372</v>
      </c>
      <c r="W269" s="9">
        <f>U269+V269</f>
        <v/>
      </c>
      <c r="X269" s="9">
        <f>T269-W269</f>
        <v/>
      </c>
      <c r="Y269" s="18" t="n">
        <v>93.056</v>
      </c>
      <c r="Z269" s="9" t="n">
        <v>827894</v>
      </c>
      <c r="AA269" s="9">
        <f>TABL12[[#This Row],[(RESV. STORGE) AJD]]/10</f>
        <v/>
      </c>
      <c r="AB269" s="3">
        <f>(Z269-Z268)/1000</f>
        <v/>
      </c>
      <c r="AC269" s="6" t="n">
        <v>2286</v>
      </c>
      <c r="AD269" s="5">
        <f>TABL12[[#This Row],[( S/S+T/B) AJD]]-(TABL12[[#This Row],[(A/B + A/S) AJD]]+TABL12[[#This Row],[(STORGE DIFF.) AJD]]+(TABL12[[#This Row],[AJD_Evaporation]]))</f>
        <v/>
      </c>
      <c r="AE269" s="6" t="n">
        <v>44</v>
      </c>
      <c r="AF269" s="33" t="n">
        <v>58.877</v>
      </c>
      <c r="AG269" s="6" t="n">
        <v>1542510</v>
      </c>
      <c r="AH269" s="6">
        <f>TABL12[[#This Row],[ (RESV. STORGE) BER]]/10</f>
        <v/>
      </c>
      <c r="AI269" s="6" t="n">
        <v>3012</v>
      </c>
      <c r="AJ269" s="6">
        <f>TABL12[[#This Row],[(A/B) AJD]]-TABL12[[#This Row],[BER_IN]]</f>
        <v/>
      </c>
      <c r="AK269" s="6" t="n">
        <v>77</v>
      </c>
      <c r="AL269" s="33" t="n">
        <v>44.2315</v>
      </c>
      <c r="AM269" s="6" t="n">
        <v>3780860</v>
      </c>
      <c r="AN269" s="6">
        <f>TABL12[[#This Row],[ (RESV. STORGE) SER]]/10</f>
        <v/>
      </c>
      <c r="AO269" s="6" t="n">
        <v>1920</v>
      </c>
      <c r="AP269" s="32">
        <f>TABL12[[#This Row],[(A/S) AJD]]-TABL12[[#This Row],[SER_IN]]</f>
        <v/>
      </c>
    </row>
    <row r="270">
      <c r="A270" s="2" t="n">
        <v>45926</v>
      </c>
      <c r="B270" s="28" t="n">
        <v>39</v>
      </c>
      <c r="C270" s="28" t="n">
        <v>320</v>
      </c>
      <c r="D270" s="28" t="n">
        <v>39</v>
      </c>
      <c r="E270" s="35" t="n"/>
      <c r="F270" s="28" t="n">
        <v>103</v>
      </c>
      <c r="G270" s="28" t="n">
        <v>714</v>
      </c>
      <c r="H270" s="28" t="n"/>
      <c r="I270" s="28" t="n">
        <v>494</v>
      </c>
      <c r="J270" s="28" t="n">
        <v>481</v>
      </c>
      <c r="K270" s="28">
        <f>TABL12[[#This Row],[ (T/B) SAR]]+TABL12[[#This Row],[ (S/S) SAR]]</f>
        <v/>
      </c>
      <c r="L270" s="28" t="n">
        <v>311</v>
      </c>
      <c r="M270" s="29" t="n">
        <v>24.6</v>
      </c>
      <c r="N270" s="30" t="n">
        <v>7.25</v>
      </c>
      <c r="O270" s="9" t="n">
        <v>428</v>
      </c>
      <c r="P270" s="9">
        <f>TABL12[[#This Row],[ (S/S) SAR]]-TABL12[[#This Row],[(S/S) AJD]]</f>
        <v/>
      </c>
      <c r="Q270" s="9" t="n">
        <v>469</v>
      </c>
      <c r="R270" s="9">
        <f>TABL12[[#This Row],[ (T/B) SAR]]-TABL12[[#This Row],[(T/B) AJD]]</f>
        <v/>
      </c>
      <c r="S270" s="9">
        <f>TABL12[[#This Row],[S/S_CON.]]+TABL12[[#This Row],[T/B-CON.]]</f>
        <v/>
      </c>
      <c r="T270" s="9">
        <f>O270+Q270</f>
        <v/>
      </c>
      <c r="U270" s="9" t="n">
        <v>533</v>
      </c>
      <c r="V270" s="9" t="n">
        <v>357</v>
      </c>
      <c r="W270" s="9">
        <f>U270+V270</f>
        <v/>
      </c>
      <c r="X270" s="9">
        <f>T270-W270</f>
        <v/>
      </c>
      <c r="Y270" s="18" t="n">
        <v>92.998</v>
      </c>
      <c r="Z270" s="9" t="n">
        <v>794293</v>
      </c>
      <c r="AA270" s="9">
        <f>TABL12[[#This Row],[(RESV. STORGE) AJD]]/10</f>
        <v/>
      </c>
      <c r="AB270" s="3">
        <f>(Z270-Z269)/1000</f>
        <v/>
      </c>
      <c r="AC270" s="6" t="n">
        <v>2317</v>
      </c>
      <c r="AD270" s="5">
        <f>TABL12[[#This Row],[( S/S+T/B) AJD]]-(TABL12[[#This Row],[(A/B + A/S) AJD]]+TABL12[[#This Row],[(STORGE DIFF.) AJD]]+(TABL12[[#This Row],[AJD_Evaporation]]))</f>
        <v/>
      </c>
      <c r="AE270" s="6" t="n">
        <v>50</v>
      </c>
      <c r="AF270" s="33" t="n">
        <v>58.887</v>
      </c>
      <c r="AG270" s="6" t="n">
        <v>1549101</v>
      </c>
      <c r="AH270" s="6">
        <f>TABL12[[#This Row],[ (RESV. STORGE) BER]]/10</f>
        <v/>
      </c>
      <c r="AI270" s="6" t="n">
        <v>3568</v>
      </c>
      <c r="AJ270" s="6">
        <f>TABL12[[#This Row],[(A/B) AJD]]-TABL12[[#This Row],[BER_IN]]</f>
        <v/>
      </c>
      <c r="AK270" s="6" t="n">
        <v>82</v>
      </c>
      <c r="AL270" s="33" t="n">
        <v>44.3501</v>
      </c>
      <c r="AM270" s="6" t="n">
        <v>3845930</v>
      </c>
      <c r="AN270" s="6">
        <f>TABL12[[#This Row],[ (RESV. STORGE) SER]]/10</f>
        <v/>
      </c>
      <c r="AO270" s="6" t="n">
        <v>1930</v>
      </c>
      <c r="AP270" s="32">
        <f>TABL12[[#This Row],[(A/S) AJD]]-TABL12[[#This Row],[SER_IN]]</f>
        <v/>
      </c>
    </row>
    <row r="271">
      <c r="A271" s="2" t="n">
        <v>45927</v>
      </c>
      <c r="B271" s="28" t="n">
        <v>39</v>
      </c>
      <c r="C271" s="28" t="n">
        <v>329</v>
      </c>
      <c r="D271" s="28" t="n">
        <v>39</v>
      </c>
      <c r="E271" s="35" t="n"/>
      <c r="F271" s="28" t="n">
        <v>103</v>
      </c>
      <c r="G271" s="28" t="n">
        <v>654</v>
      </c>
      <c r="H271" s="28" t="n"/>
      <c r="I271" s="28" t="n">
        <v>490</v>
      </c>
      <c r="J271" s="28" t="n">
        <v>477</v>
      </c>
      <c r="K271" s="28">
        <f>TABL12[[#This Row],[ (T/B) SAR]]+TABL12[[#This Row],[ (S/S) SAR]]</f>
        <v/>
      </c>
      <c r="L271" s="28" t="n">
        <v>313</v>
      </c>
      <c r="M271" s="29" t="n">
        <v>24.6</v>
      </c>
      <c r="N271" s="30" t="n">
        <v>7.37</v>
      </c>
      <c r="O271" s="9" t="n">
        <v>434</v>
      </c>
      <c r="P271" s="9">
        <f>TABL12[[#This Row],[ (S/S) SAR]]-TABL12[[#This Row],[(S/S) AJD]]</f>
        <v/>
      </c>
      <c r="Q271" s="9" t="n">
        <v>471</v>
      </c>
      <c r="R271" s="9">
        <f>TABL12[[#This Row],[ (T/B) SAR]]-TABL12[[#This Row],[(T/B) AJD]]</f>
        <v/>
      </c>
      <c r="S271" s="9">
        <f>TABL12[[#This Row],[S/S_CON.]]+TABL12[[#This Row],[T/B-CON.]]</f>
        <v/>
      </c>
      <c r="T271" s="9">
        <f>O271+Q271</f>
        <v/>
      </c>
      <c r="U271" s="9" t="n">
        <v>537</v>
      </c>
      <c r="V271" s="9" t="n">
        <v>365</v>
      </c>
      <c r="W271" s="9">
        <f>U271+V271</f>
        <v/>
      </c>
      <c r="X271" s="9">
        <f>T271-W271</f>
        <v/>
      </c>
      <c r="Y271" s="18" t="n">
        <v>92.946</v>
      </c>
      <c r="Z271" s="9" t="n">
        <v>763115</v>
      </c>
      <c r="AA271" s="9">
        <f>TABL12[[#This Row],[(RESV. STORGE) AJD]]/10</f>
        <v/>
      </c>
      <c r="AB271" s="3">
        <f>(Z271-Z270)/1000</f>
        <v/>
      </c>
      <c r="AC271" s="6" t="n">
        <v>2740</v>
      </c>
      <c r="AD271" s="5">
        <f>TABL12[[#This Row],[( S/S+T/B) AJD]]-(TABL12[[#This Row],[(A/B + A/S) AJD]]+TABL12[[#This Row],[(STORGE DIFF.) AJD]]+(TABL12[[#This Row],[AJD_Evaporation]]))</f>
        <v/>
      </c>
      <c r="AE271" s="6" t="n">
        <v>50</v>
      </c>
      <c r="AF271" s="33" t="n">
        <v>58.898</v>
      </c>
      <c r="AG271" s="6" t="n">
        <v>1556353</v>
      </c>
      <c r="AH271" s="6">
        <f>TABL12[[#This Row],[ (RESV. STORGE) BER]]/10</f>
        <v/>
      </c>
      <c r="AI271" s="6" t="n">
        <v>2907</v>
      </c>
      <c r="AJ271" s="6">
        <f>TABL12[[#This Row],[(A/B) AJD]]-TABL12[[#This Row],[BER_IN]]</f>
        <v/>
      </c>
      <c r="AK271" s="6" t="n">
        <v>82</v>
      </c>
      <c r="AL271" s="33" t="n">
        <v>44.4959</v>
      </c>
      <c r="AM271" s="6" t="n">
        <v>3926130</v>
      </c>
      <c r="AN271" s="6">
        <f>TABL12[[#This Row],[ (RESV. STORGE) SER]]/10</f>
        <v/>
      </c>
      <c r="AO271" s="6" t="n">
        <v>1800</v>
      </c>
      <c r="AP271" s="32">
        <f>TABL12[[#This Row],[(A/S) AJD]]-TABL12[[#This Row],[SER_IN]]</f>
        <v/>
      </c>
    </row>
    <row r="272">
      <c r="A272" s="2" t="n">
        <v>45928</v>
      </c>
      <c r="B272" s="28" t="n">
        <v>39</v>
      </c>
      <c r="C272" s="28" t="n">
        <v>349</v>
      </c>
      <c r="D272" s="28" t="n">
        <v>39</v>
      </c>
      <c r="E272" s="35" t="n"/>
      <c r="F272" s="28" t="n">
        <v>103</v>
      </c>
      <c r="G272" s="28" t="n">
        <v>653</v>
      </c>
      <c r="H272" s="28" t="n"/>
      <c r="I272" s="28" t="n">
        <v>490</v>
      </c>
      <c r="J272" s="28" t="n">
        <v>478</v>
      </c>
      <c r="K272" s="28">
        <f>TABL12[[#This Row],[ (T/B) SAR]]+TABL12[[#This Row],[ (S/S) SAR]]</f>
        <v/>
      </c>
      <c r="L272" s="28" t="n">
        <v>315</v>
      </c>
      <c r="M272" s="29" t="n">
        <v>24.6</v>
      </c>
      <c r="N272" s="30" t="n">
        <v>7.46</v>
      </c>
      <c r="O272" s="9" t="n">
        <v>430</v>
      </c>
      <c r="P272" s="9">
        <f>TABL12[[#This Row],[ (S/S) SAR]]-TABL12[[#This Row],[(S/S) AJD]]</f>
        <v/>
      </c>
      <c r="Q272" s="9" t="n">
        <v>469</v>
      </c>
      <c r="R272" s="9">
        <f>TABL12[[#This Row],[ (T/B) SAR]]-TABL12[[#This Row],[(T/B) AJD]]</f>
        <v/>
      </c>
      <c r="S272" s="9">
        <f>TABL12[[#This Row],[S/S_CON.]]+TABL12[[#This Row],[T/B-CON.]]</f>
        <v/>
      </c>
      <c r="T272" s="9">
        <f>O272+Q272</f>
        <v/>
      </c>
      <c r="U272" s="9" t="n">
        <v>534</v>
      </c>
      <c r="V272" s="9" t="n">
        <v>357</v>
      </c>
      <c r="W272" s="9">
        <f>U272+V272</f>
        <v/>
      </c>
      <c r="X272" s="9">
        <f>T272-W272</f>
        <v/>
      </c>
      <c r="Y272" s="18" t="n">
        <v>92.89100000000001</v>
      </c>
      <c r="Z272" s="9" t="n">
        <v>730163</v>
      </c>
      <c r="AA272" s="9">
        <f>TABL12[[#This Row],[(RESV. STORGE) AJD]]/10</f>
        <v/>
      </c>
      <c r="AB272" s="3">
        <f>(Z272-Z271)/1000</f>
        <v/>
      </c>
      <c r="AC272" s="6" t="n">
        <v>0</v>
      </c>
      <c r="AD272" s="5">
        <f>TABL12[[#This Row],[( S/S+T/B) AJD]]-(TABL12[[#This Row],[(A/B + A/S) AJD]]+TABL12[[#This Row],[(STORGE DIFF.) AJD]]+(TABL12[[#This Row],[AJD_Evaporation]]))</f>
        <v/>
      </c>
      <c r="AE272" s="6" t="n">
        <v>50</v>
      </c>
      <c r="AF272" s="33" t="n">
        <v>58.909</v>
      </c>
      <c r="AG272" s="6" t="n">
        <v>1563607</v>
      </c>
      <c r="AH272" s="6">
        <f>TABL12[[#This Row],[ (RESV. STORGE) BER]]/10</f>
        <v/>
      </c>
      <c r="AI272" s="6" t="n">
        <v>2906</v>
      </c>
      <c r="AJ272" s="6">
        <f>TABL12[[#This Row],[(A/B) AJD]]-TABL12[[#This Row],[BER_IN]]</f>
        <v/>
      </c>
      <c r="AK272" s="6" t="n">
        <v>82</v>
      </c>
      <c r="AL272" s="33" t="n">
        <v>44.6428</v>
      </c>
      <c r="AM272" s="6" t="n">
        <v>4007900</v>
      </c>
      <c r="AN272" s="6">
        <f>TABL12[[#This Row],[ (RESV. STORGE) SER]]/10</f>
        <v/>
      </c>
      <c r="AO272" s="6" t="n">
        <v>230</v>
      </c>
      <c r="AP272" s="32">
        <f>TABL12[[#This Row],[(A/S) AJD]]-TABL12[[#This Row],[SER_IN]]</f>
        <v/>
      </c>
    </row>
    <row r="273">
      <c r="A273" s="2" t="n">
        <v>45929</v>
      </c>
      <c r="B273" s="28" t="n">
        <v>39</v>
      </c>
      <c r="C273" s="28" t="n">
        <v>317</v>
      </c>
      <c r="D273" s="28" t="n">
        <v>39</v>
      </c>
      <c r="E273" s="35" t="n"/>
      <c r="F273" s="28" t="n">
        <v>103</v>
      </c>
      <c r="G273" s="28" t="n">
        <v>654</v>
      </c>
      <c r="H273" s="28" t="n"/>
      <c r="I273" s="28" t="n">
        <v>491</v>
      </c>
      <c r="J273" s="28" t="n">
        <v>478</v>
      </c>
      <c r="K273" s="28">
        <f>TABL12[[#This Row],[ (T/B) SAR]]+TABL12[[#This Row],[ (S/S) SAR]]</f>
        <v/>
      </c>
      <c r="L273" s="28" t="n">
        <v>315</v>
      </c>
      <c r="M273" s="29" t="n">
        <v>24.6</v>
      </c>
      <c r="N273" s="30" t="n">
        <v>7.46</v>
      </c>
      <c r="O273" s="9" t="n">
        <v>432</v>
      </c>
      <c r="P273" s="9">
        <f>TABL12[[#This Row],[ (S/S) SAR]]-TABL12[[#This Row],[(S/S) AJD]]</f>
        <v/>
      </c>
      <c r="Q273" s="9" t="n">
        <v>468</v>
      </c>
      <c r="R273" s="9">
        <f>TABL12[[#This Row],[ (T/B) SAR]]-TABL12[[#This Row],[(T/B) AJD]]</f>
        <v/>
      </c>
      <c r="S273" s="9">
        <f>TABL12[[#This Row],[S/S_CON.]]+TABL12[[#This Row],[T/B-CON.]]</f>
        <v/>
      </c>
      <c r="T273" s="9">
        <f>O273+Q273</f>
        <v/>
      </c>
      <c r="U273" s="9" t="n">
        <v>534</v>
      </c>
      <c r="V273" s="9" t="n">
        <v>339</v>
      </c>
      <c r="W273" s="9">
        <f>U273+V273</f>
        <v/>
      </c>
      <c r="X273" s="9">
        <f>T273-W273</f>
        <v/>
      </c>
      <c r="Y273" s="18" t="n">
        <v>92.881</v>
      </c>
      <c r="Z273" s="9" t="n">
        <v>724173</v>
      </c>
      <c r="AA273" s="9">
        <f>TABL12[[#This Row],[(RESV. STORGE) AJD]]/10</f>
        <v/>
      </c>
      <c r="AB273" s="3">
        <f>(Z273-Z272)/1000</f>
        <v/>
      </c>
      <c r="AC273" s="6" t="n">
        <v>2486</v>
      </c>
      <c r="AD273" s="5">
        <f>TABL12[[#This Row],[( S/S+T/B) AJD]]-(TABL12[[#This Row],[(A/B + A/S) AJD]]+TABL12[[#This Row],[(STORGE DIFF.) AJD]]+(TABL12[[#This Row],[AJD_Evaporation]]))</f>
        <v/>
      </c>
      <c r="AE273" s="6" t="n">
        <v>50</v>
      </c>
      <c r="AF273" s="33" t="n">
        <v>58.92</v>
      </c>
      <c r="AG273" s="6" t="n">
        <v>1570861</v>
      </c>
      <c r="AH273" s="6">
        <f>TABL12[[#This Row],[ (RESV. STORGE) BER]]/10</f>
        <v/>
      </c>
      <c r="AI273" s="6" t="n">
        <v>2905</v>
      </c>
      <c r="AJ273" s="6">
        <f>TABL12[[#This Row],[(A/B) AJD]]-TABL12[[#This Row],[BER_IN]]</f>
        <v/>
      </c>
      <c r="AK273" s="6" t="n">
        <v>82</v>
      </c>
      <c r="AL273" s="33" t="n">
        <v>44.7865</v>
      </c>
      <c r="AM273" s="6" t="n">
        <v>4087800</v>
      </c>
      <c r="AN273" s="6">
        <f>TABL12[[#This Row],[ (RESV. STORGE) SER]]/10</f>
        <v/>
      </c>
      <c r="AO273" s="6" t="n">
        <v>1600</v>
      </c>
      <c r="AP273" s="32">
        <f>TABL12[[#This Row],[(A/S) AJD]]-TABL12[[#This Row],[SER_IN]]</f>
        <v/>
      </c>
    </row>
    <row r="274">
      <c r="A274" s="2" t="n">
        <v>45930</v>
      </c>
      <c r="B274" s="28" t="n">
        <v>39</v>
      </c>
      <c r="C274" s="28" t="n">
        <v>322</v>
      </c>
      <c r="D274" s="28" t="n">
        <v>39</v>
      </c>
      <c r="E274" s="35" t="n"/>
      <c r="F274" s="28" t="n">
        <v>103</v>
      </c>
      <c r="G274" s="28" t="n">
        <v>652</v>
      </c>
      <c r="H274" s="28" t="n"/>
      <c r="I274" s="28" t="n">
        <v>491</v>
      </c>
      <c r="J274" s="28" t="n">
        <v>477</v>
      </c>
      <c r="K274" s="28">
        <f>TABL12[[#This Row],[ (T/B) SAR]]+TABL12[[#This Row],[ (S/S) SAR]]</f>
        <v/>
      </c>
      <c r="L274" s="28" t="n">
        <v>316</v>
      </c>
      <c r="M274" s="29" t="n">
        <v>24.6</v>
      </c>
      <c r="N274" s="30" t="n">
        <v>7.58</v>
      </c>
      <c r="O274" s="9" t="n">
        <v>429</v>
      </c>
      <c r="P274" s="9">
        <f>TABL12[[#This Row],[ (S/S) SAR]]-TABL12[[#This Row],[(S/S) AJD]]</f>
        <v/>
      </c>
      <c r="Q274" s="9" t="n">
        <v>468</v>
      </c>
      <c r="R274" s="9">
        <f>TABL12[[#This Row],[ (T/B) SAR]]-TABL12[[#This Row],[(T/B) AJD]]</f>
        <v/>
      </c>
      <c r="S274" s="9">
        <f>TABL12[[#This Row],[S/S_CON.]]+TABL12[[#This Row],[T/B-CON.]]</f>
        <v/>
      </c>
      <c r="T274" s="9">
        <f>O274+Q274</f>
        <v/>
      </c>
      <c r="U274" s="9" t="n">
        <v>536</v>
      </c>
      <c r="V274" s="9" t="n">
        <v>349</v>
      </c>
      <c r="W274" s="9">
        <f>U274+V274</f>
        <v/>
      </c>
      <c r="X274" s="9">
        <f>T274-W274</f>
        <v/>
      </c>
      <c r="Y274" s="18" t="n">
        <v>92.834</v>
      </c>
      <c r="Z274" s="9" t="n">
        <v>697030</v>
      </c>
      <c r="AA274" s="9">
        <f>TABL12[[#This Row],[(RESV. STORGE) AJD]]/10</f>
        <v/>
      </c>
      <c r="AB274" s="3">
        <f>(Z274-Z273)/1000</f>
        <v/>
      </c>
      <c r="AC274" s="6" t="n">
        <v>2438</v>
      </c>
      <c r="AD274" s="5">
        <f>TABL12[[#This Row],[( S/S+T/B) AJD]]-(TABL12[[#This Row],[(A/B + A/S) AJD]]+TABL12[[#This Row],[(STORGE DIFF.) AJD]]+(TABL12[[#This Row],[AJD_Evaporation]]))</f>
        <v/>
      </c>
      <c r="AE274" s="6" t="n">
        <v>50</v>
      </c>
      <c r="AF274" s="33" t="n">
        <v>58.933</v>
      </c>
      <c r="AG274" s="6" t="n">
        <v>1579433</v>
      </c>
      <c r="AH274" s="6">
        <f>TABL12[[#This Row],[ (RESV. STORGE) BER]]/10</f>
        <v/>
      </c>
      <c r="AI274" s="6" t="n">
        <v>2415</v>
      </c>
      <c r="AJ274" s="6">
        <f>TABL12[[#This Row],[(A/B) AJD]]-TABL12[[#This Row],[BER_IN]]</f>
        <v/>
      </c>
      <c r="AK274" s="6" t="n">
        <v>83</v>
      </c>
      <c r="AL274" s="33" t="n">
        <v>44.9346</v>
      </c>
      <c r="AM274" s="6" t="n">
        <v>4169170</v>
      </c>
      <c r="AN274" s="6">
        <f>TABL12[[#This Row],[ (RESV. STORGE) SER]]/10</f>
        <v/>
      </c>
      <c r="AO274" s="6" t="n">
        <v>1630</v>
      </c>
      <c r="AP274" s="32">
        <f>TABL12[[#This Row],[(A/S) AJD]]-TABL12[[#This Row],[SER_IN]]</f>
        <v/>
      </c>
    </row>
    <row r="275">
      <c r="A275" s="2" t="n">
        <v>45931</v>
      </c>
      <c r="B275" s="28" t="n">
        <v>39</v>
      </c>
      <c r="C275" s="28" t="n">
        <v>316</v>
      </c>
      <c r="D275" s="28" t="n">
        <v>39</v>
      </c>
      <c r="E275" s="28" t="n">
        <v>0</v>
      </c>
      <c r="F275" s="28" t="n">
        <v>103</v>
      </c>
      <c r="G275" s="28" t="n">
        <v>654</v>
      </c>
      <c r="H275" s="28" t="n">
        <v>0</v>
      </c>
      <c r="I275" s="28" t="n">
        <v>491</v>
      </c>
      <c r="J275" s="28" t="n">
        <v>479</v>
      </c>
      <c r="K275" s="28">
        <f>TABL12[[#This Row],[ (T/B) SAR]]+TABL12[[#This Row],[ (S/S) SAR]]</f>
        <v/>
      </c>
      <c r="L275" s="28" t="n">
        <v>316</v>
      </c>
      <c r="M275" s="29" t="n">
        <v>24.6</v>
      </c>
      <c r="N275" s="30" t="n">
        <v>7.62</v>
      </c>
      <c r="O275" s="14" t="n">
        <v>430</v>
      </c>
      <c r="P275" s="9">
        <f>TABL12[[#This Row],[ (S/S) SAR]]-TABL12[[#This Row],[(S/S) AJD]]</f>
        <v/>
      </c>
      <c r="Q275" s="14" t="n">
        <v>469</v>
      </c>
      <c r="R275" s="9">
        <f>TABL12[[#This Row],[ (T/B) SAR]]-TABL12[[#This Row],[(T/B) AJD]]</f>
        <v/>
      </c>
      <c r="S275" s="9">
        <f>TABL12[[#This Row],[S/S_CON.]]+TABL12[[#This Row],[T/B-CON.]]</f>
        <v/>
      </c>
      <c r="T275" s="9">
        <f>O275+Q275</f>
        <v/>
      </c>
      <c r="U275" s="14" t="n">
        <v>538</v>
      </c>
      <c r="V275" s="14" t="n">
        <v>355</v>
      </c>
      <c r="W275" s="9">
        <f>U275+V275</f>
        <v/>
      </c>
      <c r="X275" s="9">
        <f>T275-W275</f>
        <v/>
      </c>
      <c r="Y275" s="18" t="n">
        <v>92.779</v>
      </c>
      <c r="Z275" s="9" t="n">
        <v>664126</v>
      </c>
      <c r="AA275" s="9">
        <f>TABL12[[#This Row],[(RESV. STORGE) AJD]]/10</f>
        <v/>
      </c>
      <c r="AB275" s="3">
        <f>(Z275-Z274)/1000</f>
        <v/>
      </c>
      <c r="AC275" s="6" t="n">
        <v>3550</v>
      </c>
      <c r="AD275" s="5">
        <f>TABL12[[#This Row],[( S/S+T/B) AJD]]-(TABL12[[#This Row],[(A/B + A/S) AJD]]+TABL12[[#This Row],[(STORGE DIFF.) AJD]]+(TABL12[[#This Row],[AJD_Evaporation]]))</f>
        <v/>
      </c>
      <c r="AE275" s="6" t="n">
        <v>31</v>
      </c>
      <c r="AF275" s="33" t="n">
        <v>59.916</v>
      </c>
      <c r="AG275" s="6" t="n">
        <v>1568223</v>
      </c>
      <c r="AH275" s="6">
        <f>TABL12[[#This Row],[ (RESV. STORGE) BER]]/10</f>
        <v/>
      </c>
      <c r="AI275" s="6" t="n">
        <v>2372</v>
      </c>
      <c r="AJ275" s="6">
        <f>TABL12[[#This Row],[(A/B) AJD]]-TABL12[[#This Row],[BER_IN]]</f>
        <v/>
      </c>
      <c r="AK275" s="6" t="n">
        <v>84</v>
      </c>
      <c r="AL275" s="33" t="n">
        <v>45.069</v>
      </c>
      <c r="AM275" s="6" t="n">
        <v>4244710</v>
      </c>
      <c r="AN275" s="6">
        <f>TABL12[[#This Row],[ (RESV. STORGE) SER]]/10</f>
        <v/>
      </c>
      <c r="AO275" s="6" t="n">
        <v>1570</v>
      </c>
      <c r="AP275" s="32">
        <f>TABL12[[#This Row],[(A/S) AJD]]-TABL12[[#This Row],[SER_IN]]</f>
        <v/>
      </c>
    </row>
    <row r="276">
      <c r="A276" s="2" t="n">
        <v>45932</v>
      </c>
      <c r="B276" s="28" t="n">
        <v>37</v>
      </c>
      <c r="C276" s="28" t="n">
        <v>308</v>
      </c>
      <c r="D276" s="28" t="n">
        <v>37</v>
      </c>
      <c r="E276" s="28" t="n">
        <v>0</v>
      </c>
      <c r="F276" s="28" t="n">
        <v>38</v>
      </c>
      <c r="G276" s="28" t="n">
        <v>654</v>
      </c>
      <c r="H276" s="28" t="n">
        <v>65</v>
      </c>
      <c r="I276" s="28" t="n">
        <v>565</v>
      </c>
      <c r="J276" s="28" t="n">
        <v>0</v>
      </c>
      <c r="K276" s="28">
        <f>TABL12[[#This Row],[ (T/B) SAR]]+TABL12[[#This Row],[ (S/S) SAR]]</f>
        <v/>
      </c>
      <c r="L276" s="28" t="n">
        <v>317</v>
      </c>
      <c r="M276" s="29" t="n">
        <v>24.6</v>
      </c>
      <c r="N276" s="30" t="n">
        <v>7.59</v>
      </c>
      <c r="O276" s="14" t="n">
        <v>390</v>
      </c>
      <c r="P276" s="9">
        <f>TABL12[[#This Row],[ (S/S) SAR]]-TABL12[[#This Row],[(S/S) AJD]]</f>
        <v/>
      </c>
      <c r="Q276" s="14" t="n">
        <v>441</v>
      </c>
      <c r="R276" s="9">
        <f>TABL12[[#This Row],[ (T/B) SAR]]-TABL12[[#This Row],[(T/B) AJD]]</f>
        <v/>
      </c>
      <c r="S276" s="9">
        <f>TABL12[[#This Row],[S/S_CON.]]+TABL12[[#This Row],[T/B-CON.]]</f>
        <v/>
      </c>
      <c r="T276" s="9">
        <f>O276+Q276</f>
        <v/>
      </c>
      <c r="U276" s="14" t="n">
        <v>520</v>
      </c>
      <c r="V276" s="14" t="n">
        <v>246</v>
      </c>
      <c r="W276" s="9">
        <f>U276+V276</f>
        <v/>
      </c>
      <c r="X276" s="9">
        <f>T276-W276</f>
        <v/>
      </c>
      <c r="Y276" s="18" t="n">
        <v>92.824</v>
      </c>
      <c r="Z276" s="9" t="n">
        <v>690054</v>
      </c>
      <c r="AA276" s="9">
        <f>TABL12[[#This Row],[(RESV. STORGE) AJD]]/10</f>
        <v/>
      </c>
      <c r="AB276" s="3">
        <f>(Z276-Z275)/1000</f>
        <v/>
      </c>
      <c r="AC276" s="6" t="n">
        <v>2195</v>
      </c>
      <c r="AD276" s="5">
        <f>TABL12[[#This Row],[( S/S+T/B) AJD]]-(TABL12[[#This Row],[(A/B + A/S) AJD]]+TABL12[[#This Row],[(STORGE DIFF.) AJD]]+(TABL12[[#This Row],[AJD_Evaporation]]))</f>
        <v/>
      </c>
      <c r="AE276" s="6" t="n">
        <v>20</v>
      </c>
      <c r="AF276" s="33" t="n">
        <v>58.898</v>
      </c>
      <c r="AG276" s="6" t="n">
        <v>1556353</v>
      </c>
      <c r="AH276" s="6">
        <f>TABL12[[#This Row],[ (RESV. STORGE) BER]]/10</f>
        <v/>
      </c>
      <c r="AI276" s="6" t="n">
        <v>2819</v>
      </c>
      <c r="AJ276" s="6">
        <f>TABL12[[#This Row],[(A/B) AJD]]-TABL12[[#This Row],[BER_IN]]</f>
        <v/>
      </c>
      <c r="AK276" s="6" t="n">
        <v>42</v>
      </c>
      <c r="AL276" s="33" t="n">
        <v>45.115</v>
      </c>
      <c r="AM276" s="6" t="n">
        <v>4270360</v>
      </c>
      <c r="AN276" s="6">
        <f>TABL12[[#This Row],[ (RESV. STORGE) SER]]/10</f>
        <v/>
      </c>
      <c r="AO276" s="6" t="n">
        <v>1620</v>
      </c>
      <c r="AP276" s="32">
        <f>TABL12[[#This Row],[(A/S) AJD]]-TABL12[[#This Row],[SER_IN]]</f>
        <v/>
      </c>
    </row>
    <row r="277">
      <c r="A277" s="2" t="n">
        <v>45933</v>
      </c>
      <c r="B277" s="28" t="n">
        <v>39</v>
      </c>
      <c r="C277" s="28" t="n">
        <v>330</v>
      </c>
      <c r="D277" s="35" t="n">
        <v>39</v>
      </c>
      <c r="E277" s="28" t="n">
        <v>0</v>
      </c>
      <c r="F277" s="28" t="n">
        <v>38</v>
      </c>
      <c r="G277" s="28" t="n">
        <v>249</v>
      </c>
      <c r="H277" s="28" t="n">
        <v>65</v>
      </c>
      <c r="I277" s="28" t="n">
        <v>567</v>
      </c>
      <c r="J277" s="28" t="n">
        <v>0</v>
      </c>
      <c r="K277" s="28">
        <f>TABL12[[#This Row],[ (T/B) SAR]]+TABL12[[#This Row],[ (S/S) SAR]]</f>
        <v/>
      </c>
      <c r="L277" s="28" t="n">
        <v>318</v>
      </c>
      <c r="M277" s="29" t="n">
        <v>24.6</v>
      </c>
      <c r="N277" s="30" t="n">
        <v>7.64</v>
      </c>
      <c r="O277" s="14" t="n">
        <v>82</v>
      </c>
      <c r="P277" s="9">
        <f>TABL12[[#This Row],[ (S/S) SAR]]-TABL12[[#This Row],[(S/S) AJD]]</f>
        <v/>
      </c>
      <c r="Q277" s="14" t="n">
        <v>496</v>
      </c>
      <c r="R277" s="9">
        <f>TABL12[[#This Row],[ (T/B) SAR]]-TABL12[[#This Row],[(T/B) AJD]]</f>
        <v/>
      </c>
      <c r="S277" s="9">
        <f>TABL12[[#This Row],[S/S_CON.]]+TABL12[[#This Row],[T/B-CON.]]</f>
        <v/>
      </c>
      <c r="T277" s="9">
        <f>O277+Q277</f>
        <v/>
      </c>
      <c r="U277" s="14" t="n">
        <v>515</v>
      </c>
      <c r="V277" s="14" t="n">
        <v>164</v>
      </c>
      <c r="W277" s="9">
        <f>U277+V277</f>
        <v/>
      </c>
      <c r="X277" s="9">
        <f>T277-W277</f>
        <v/>
      </c>
      <c r="Y277" s="18" t="n">
        <v>92.634</v>
      </c>
      <c r="Z277" s="9" t="n">
        <v>576521</v>
      </c>
      <c r="AA277" s="9">
        <f>TABL12[[#This Row],[(RESV. STORGE) AJD]]/10</f>
        <v/>
      </c>
      <c r="AB277" s="3">
        <f>(Z277-Z276)/1000</f>
        <v/>
      </c>
      <c r="AC277" s="6" t="n">
        <v>2156</v>
      </c>
      <c r="AD277" s="5">
        <f>TABL12[[#This Row],[( S/S+T/B) AJD]]-(TABL12[[#This Row],[(A/B + A/S) AJD]]+TABL12[[#This Row],[(STORGE DIFF.) AJD]]+(TABL12[[#This Row],[AJD_Evaporation]]))</f>
        <v/>
      </c>
      <c r="AE277" s="6" t="n">
        <v>20</v>
      </c>
      <c r="AF277" s="33" t="n">
        <v>58.899</v>
      </c>
      <c r="AG277" s="6" t="n">
        <v>1557013</v>
      </c>
      <c r="AH277" s="6">
        <f>TABL12[[#This Row],[ (RESV. STORGE) BER]]/10</f>
        <v/>
      </c>
      <c r="AI277" s="6" t="n">
        <v>2099</v>
      </c>
      <c r="AJ277" s="6">
        <f>TABL12[[#This Row],[(A/B) AJD]]-TABL12[[#This Row],[BER_IN]]</f>
        <v/>
      </c>
      <c r="AK277" s="6" t="n">
        <v>26</v>
      </c>
      <c r="AL277" s="33" t="n">
        <v>45.063</v>
      </c>
      <c r="AM277" s="6" t="n">
        <v>4241220</v>
      </c>
      <c r="AN277" s="6">
        <f>TABL12[[#This Row],[ (RESV. STORGE) SER]]/10</f>
        <v/>
      </c>
      <c r="AO277" s="6" t="n">
        <v>1580</v>
      </c>
      <c r="AP277" s="32">
        <f>TABL12[[#This Row],[(A/S) AJD]]-TABL12[[#This Row],[SER_IN]]</f>
        <v/>
      </c>
    </row>
    <row r="278">
      <c r="A278" s="2" t="n">
        <v>45934</v>
      </c>
      <c r="B278" s="28" t="n">
        <v>39</v>
      </c>
      <c r="C278" s="28" t="n">
        <v>319</v>
      </c>
      <c r="D278" s="35" t="n">
        <v>39</v>
      </c>
      <c r="E278" s="28" t="n">
        <v>0</v>
      </c>
      <c r="F278" s="28" t="n">
        <v>51</v>
      </c>
      <c r="G278" s="28" t="n">
        <v>326</v>
      </c>
      <c r="H278" s="28" t="n">
        <v>52</v>
      </c>
      <c r="I278" s="28" t="n">
        <v>645</v>
      </c>
      <c r="J278" s="28" t="n">
        <v>0</v>
      </c>
      <c r="K278" s="28">
        <f>TABL12[[#This Row],[ (T/B) SAR]]+TABL12[[#This Row],[ (S/S) SAR]]</f>
        <v/>
      </c>
      <c r="L278" s="28" t="n">
        <v>319</v>
      </c>
      <c r="M278" s="29" t="n">
        <v>24.6</v>
      </c>
      <c r="N278" s="30" t="n">
        <v>7.72</v>
      </c>
      <c r="O278" s="14" t="n">
        <v>0</v>
      </c>
      <c r="P278" s="9">
        <f>TABL12[[#This Row],[ (S/S) SAR]]-TABL12[[#This Row],[(S/S) AJD]]</f>
        <v/>
      </c>
      <c r="Q278" s="14" t="n">
        <v>559</v>
      </c>
      <c r="R278" s="9">
        <f>TABL12[[#This Row],[ (T/B) SAR]]-TABL12[[#This Row],[(T/B) AJD]]</f>
        <v/>
      </c>
      <c r="S278" s="9">
        <f>TABL12[[#This Row],[S/S_CON.]]+TABL12[[#This Row],[T/B-CON.]]</f>
        <v/>
      </c>
      <c r="T278" s="9">
        <f>O278+Q278</f>
        <v/>
      </c>
      <c r="U278" s="14" t="n">
        <v>525</v>
      </c>
      <c r="V278" s="14" t="n">
        <v>94</v>
      </c>
      <c r="W278" s="9">
        <f>U278+V278</f>
        <v/>
      </c>
      <c r="X278" s="9">
        <f>T278-W278</f>
        <v/>
      </c>
      <c r="Y278" s="18" t="n">
        <v>92.462</v>
      </c>
      <c r="Z278" s="9" t="n">
        <v>473934</v>
      </c>
      <c r="AA278" s="9">
        <f>TABL12[[#This Row],[(RESV. STORGE) AJD]]/10</f>
        <v/>
      </c>
      <c r="AB278" s="3">
        <f>(Z278-Z277)/1000</f>
        <v/>
      </c>
      <c r="AC278" s="6" t="n">
        <v>1850</v>
      </c>
      <c r="AD278" s="5">
        <f>TABL12[[#This Row],[( S/S+T/B) AJD]]-(TABL12[[#This Row],[(A/B + A/S) AJD]]+TABL12[[#This Row],[(STORGE DIFF.) AJD]]+(TABL12[[#This Row],[AJD_Evaporation]]))</f>
        <v/>
      </c>
      <c r="AE278" s="6" t="n">
        <v>20</v>
      </c>
      <c r="AF278" s="33" t="n">
        <v>58.888</v>
      </c>
      <c r="AG278" s="6" t="n">
        <v>1549761</v>
      </c>
      <c r="AH278" s="6">
        <f>TABL12[[#This Row],[ (RESV. STORGE) BER]]/10</f>
        <v/>
      </c>
      <c r="AI278" s="6" t="n">
        <v>2352</v>
      </c>
      <c r="AJ278" s="6">
        <f>TABL12[[#This Row],[(A/B) AJD]]-TABL12[[#This Row],[BER_IN]]</f>
        <v/>
      </c>
      <c r="AK278" s="6" t="n">
        <v>14</v>
      </c>
      <c r="AL278" s="33" t="n">
        <v>44.96</v>
      </c>
      <c r="AM278" s="6" t="n">
        <v>4184530</v>
      </c>
      <c r="AN278" s="6">
        <f>TABL12[[#This Row],[ (RESV. STORGE) SER]]/10</f>
        <v/>
      </c>
      <c r="AO278" s="6" t="n">
        <v>1570</v>
      </c>
      <c r="AP278" s="32">
        <f>TABL12[[#This Row],[(A/S) AJD]]-TABL12[[#This Row],[SER_IN]]</f>
        <v/>
      </c>
    </row>
    <row r="279">
      <c r="A279" s="2" t="n">
        <v>45935</v>
      </c>
      <c r="B279" s="28" t="n">
        <v>38</v>
      </c>
      <c r="C279" s="28" t="n">
        <v>322</v>
      </c>
      <c r="D279" s="35" t="n">
        <v>39</v>
      </c>
      <c r="E279" s="28" t="n">
        <v>0</v>
      </c>
      <c r="F279" s="28" t="n">
        <v>51</v>
      </c>
      <c r="G279" s="28" t="n">
        <v>330</v>
      </c>
      <c r="H279" s="28" t="n">
        <v>52</v>
      </c>
      <c r="I279" s="28" t="n">
        <v>648</v>
      </c>
      <c r="J279" s="28" t="n">
        <v>0</v>
      </c>
      <c r="K279" s="28">
        <f>TABL12[[#This Row],[ (T/B) SAR]]+TABL12[[#This Row],[ (S/S) SAR]]</f>
        <v/>
      </c>
      <c r="L279" s="28" t="n">
        <v>318</v>
      </c>
      <c r="M279" s="29" t="n">
        <v>24.6</v>
      </c>
      <c r="N279" s="30" t="n">
        <v>7.73</v>
      </c>
      <c r="O279" s="14" t="n">
        <v>0</v>
      </c>
      <c r="P279" s="9">
        <f>TABL12[[#This Row],[ (S/S) SAR]]-TABL12[[#This Row],[(S/S) AJD]]</f>
        <v/>
      </c>
      <c r="Q279" s="14" t="n">
        <v>602</v>
      </c>
      <c r="R279" s="9">
        <f>TABL12[[#This Row],[ (T/B) SAR]]-TABL12[[#This Row],[(T/B) AJD]]</f>
        <v/>
      </c>
      <c r="S279" s="9">
        <f>TABL12[[#This Row],[S/S_CON.]]+TABL12[[#This Row],[T/B-CON.]]</f>
        <v/>
      </c>
      <c r="T279" s="9">
        <f>O279+Q279</f>
        <v/>
      </c>
      <c r="U279" s="14" t="n">
        <v>513</v>
      </c>
      <c r="V279" s="14" t="n">
        <v>92</v>
      </c>
      <c r="W279" s="9">
        <f>U279+V279</f>
        <v/>
      </c>
      <c r="X279" s="9">
        <f>T279-W279</f>
        <v/>
      </c>
      <c r="Y279" s="18" t="n">
        <v>92.41500000000001</v>
      </c>
      <c r="Z279" s="9" t="n">
        <v>446022</v>
      </c>
      <c r="AA279" s="9">
        <f>TABL12[[#This Row],[(RESV. STORGE) AJD]]/10</f>
        <v/>
      </c>
      <c r="AB279" s="3">
        <f>(Z279-Z278)/1000</f>
        <v/>
      </c>
      <c r="AC279" s="6" t="n">
        <v>2507</v>
      </c>
      <c r="AD279" s="5">
        <f>TABL12[[#This Row],[( S/S+T/B) AJD]]-(TABL12[[#This Row],[(A/B + A/S) AJD]]+TABL12[[#This Row],[(STORGE DIFF.) AJD]]+(TABL12[[#This Row],[AJD_Evaporation]]))</f>
        <v/>
      </c>
      <c r="AE279" s="6" t="n">
        <v>20</v>
      </c>
      <c r="AF279" s="33" t="n">
        <v>58.851</v>
      </c>
      <c r="AG279" s="6" t="n">
        <v>1525375</v>
      </c>
      <c r="AH279" s="6">
        <f>TABL12[[#This Row],[ (RESV. STORGE) BER]]/10</f>
        <v/>
      </c>
      <c r="AI279" s="6" t="n">
        <v>2885</v>
      </c>
      <c r="AJ279" s="6">
        <f>TABL12[[#This Row],[(A/B) AJD]]-TABL12[[#This Row],[BER_IN]]</f>
        <v/>
      </c>
      <c r="AK279" s="6" t="n">
        <v>0</v>
      </c>
      <c r="AL279" s="33" t="n">
        <v>44.839</v>
      </c>
      <c r="AM279" s="6" t="n">
        <v>4117250</v>
      </c>
      <c r="AN279" s="6">
        <f>TABL12[[#This Row],[ (RESV. STORGE) SER]]/10</f>
        <v/>
      </c>
      <c r="AO279" s="6" t="n">
        <v>1580</v>
      </c>
      <c r="AP279" s="32">
        <f>TABL12[[#This Row],[(A/S) AJD]]-TABL12[[#This Row],[SER_IN]]</f>
        <v/>
      </c>
    </row>
    <row r="280">
      <c r="A280" s="2" t="n">
        <v>45936</v>
      </c>
      <c r="B280" s="28" t="n">
        <v>39</v>
      </c>
      <c r="C280" s="28" t="n">
        <v>314</v>
      </c>
      <c r="D280" s="35" t="n">
        <v>39</v>
      </c>
      <c r="E280" s="28" t="n">
        <v>0</v>
      </c>
      <c r="F280" s="28" t="n">
        <v>51</v>
      </c>
      <c r="G280" s="28" t="n">
        <v>330</v>
      </c>
      <c r="H280" s="28" t="n">
        <v>52</v>
      </c>
      <c r="I280" s="28" t="n">
        <v>650</v>
      </c>
      <c r="J280" s="28" t="n">
        <v>0</v>
      </c>
      <c r="K280" s="28">
        <f>TABL12[[#This Row],[ (T/B) SAR]]+TABL12[[#This Row],[ (S/S) SAR]]</f>
        <v/>
      </c>
      <c r="L280" s="28" t="n">
        <v>320</v>
      </c>
      <c r="M280" s="29" t="n">
        <v>24.6</v>
      </c>
      <c r="N280" s="30" t="n">
        <v>7.8</v>
      </c>
      <c r="O280" s="14" t="n">
        <v>0</v>
      </c>
      <c r="P280" s="9">
        <f>TABL12[[#This Row],[ (S/S) SAR]]-TABL12[[#This Row],[(S/S) AJD]]</f>
        <v/>
      </c>
      <c r="Q280" s="14" t="n">
        <v>604</v>
      </c>
      <c r="R280" s="9">
        <f>TABL12[[#This Row],[ (T/B) SAR]]-TABL12[[#This Row],[(T/B) AJD]]</f>
        <v/>
      </c>
      <c r="S280" s="9">
        <f>TABL12[[#This Row],[S/S_CON.]]+TABL12[[#This Row],[T/B-CON.]]</f>
        <v/>
      </c>
      <c r="T280" s="9">
        <f>O280+Q280</f>
        <v/>
      </c>
      <c r="U280" s="14" t="n">
        <v>464</v>
      </c>
      <c r="V280" s="14" t="n">
        <v>93</v>
      </c>
      <c r="W280" s="9">
        <f>U280+V280</f>
        <v/>
      </c>
      <c r="X280" s="9">
        <f>T280-W280</f>
        <v/>
      </c>
      <c r="Y280" s="18" t="n">
        <v>92.435</v>
      </c>
      <c r="Z280" s="9" t="n">
        <v>457921</v>
      </c>
      <c r="AA280" s="9">
        <f>TABL12[[#This Row],[(RESV. STORGE) AJD]]/10</f>
        <v/>
      </c>
      <c r="AB280" s="3">
        <f>(Z280-Z279)/1000</f>
        <v/>
      </c>
      <c r="AC280" s="6" t="n">
        <v>2283</v>
      </c>
      <c r="AD280" s="5">
        <f>TABL12[[#This Row],[( S/S+T/B) AJD]]-(TABL12[[#This Row],[(A/B + A/S) AJD]]+TABL12[[#This Row],[(STORGE DIFF.) AJD]]+(TABL12[[#This Row],[AJD_Evaporation]]))</f>
        <v/>
      </c>
      <c r="AE280" s="6" t="n">
        <v>20</v>
      </c>
      <c r="AF280" s="33" t="n">
        <v>58.817</v>
      </c>
      <c r="AG280" s="6" t="n">
        <v>1502977</v>
      </c>
      <c r="AH280" s="6">
        <f>TABL12[[#This Row],[ (RESV. STORGE) BER]]/10</f>
        <v/>
      </c>
      <c r="AI280" s="6" t="n">
        <v>2558</v>
      </c>
      <c r="AJ280" s="6">
        <f>TABL12[[#This Row],[(A/B) AJD]]-TABL12[[#This Row],[BER_IN]]</f>
        <v/>
      </c>
      <c r="AK280" s="6" t="n">
        <v>0</v>
      </c>
      <c r="AL280" s="33" t="n">
        <v>44.739</v>
      </c>
      <c r="AM280" s="6" t="n">
        <v>4061160</v>
      </c>
      <c r="AN280" s="6">
        <f>TABL12[[#This Row],[ (RESV. STORGE) SER]]/10</f>
        <v/>
      </c>
      <c r="AO280" s="6" t="n">
        <v>1600</v>
      </c>
      <c r="AP280" s="32">
        <f>TABL12[[#This Row],[(A/S) AJD]]-TABL12[[#This Row],[SER_IN]]</f>
        <v/>
      </c>
    </row>
    <row r="281">
      <c r="A281" s="2" t="n">
        <v>45937</v>
      </c>
      <c r="B281" s="28" t="n">
        <v>39</v>
      </c>
      <c r="C281" s="28" t="n">
        <v>315</v>
      </c>
      <c r="D281" s="35" t="n">
        <v>39</v>
      </c>
      <c r="E281" s="28" t="n">
        <v>0</v>
      </c>
      <c r="F281" s="28" t="n">
        <v>51</v>
      </c>
      <c r="G281" s="28" t="n">
        <v>330</v>
      </c>
      <c r="H281" s="28" t="n">
        <v>52</v>
      </c>
      <c r="I281" s="28" t="n">
        <v>645</v>
      </c>
      <c r="J281" s="28" t="n">
        <v>0</v>
      </c>
      <c r="K281" s="28">
        <f>TABL12[[#This Row],[ (T/B) SAR]]+TABL12[[#This Row],[ (S/S) SAR]]</f>
        <v/>
      </c>
      <c r="L281" s="28" t="n">
        <v>315</v>
      </c>
      <c r="M281" s="29" t="n">
        <v>24.6</v>
      </c>
      <c r="N281" s="30" t="n">
        <v>7.77</v>
      </c>
      <c r="O281" s="14" t="n">
        <v>0</v>
      </c>
      <c r="P281" s="9">
        <f>TABL12[[#This Row],[ (S/S) SAR]]-TABL12[[#This Row],[(S/S) AJD]]</f>
        <v/>
      </c>
      <c r="Q281" s="14" t="n">
        <v>601</v>
      </c>
      <c r="R281" s="9">
        <f>TABL12[[#This Row],[ (T/B) SAR]]-TABL12[[#This Row],[(T/B) AJD]]</f>
        <v/>
      </c>
      <c r="S281" s="9">
        <f>TABL12[[#This Row],[S/S_CON.]]+TABL12[[#This Row],[T/B-CON.]]</f>
        <v/>
      </c>
      <c r="T281" s="9">
        <f>O281+Q281</f>
        <v/>
      </c>
      <c r="U281" s="14" t="n">
        <v>508</v>
      </c>
      <c r="V281" s="14" t="n">
        <v>92</v>
      </c>
      <c r="W281" s="9">
        <f>U281+V281</f>
        <v/>
      </c>
      <c r="X281" s="9">
        <f>T281-W281</f>
        <v/>
      </c>
      <c r="Y281" s="18" t="n">
        <v>92.39700000000001</v>
      </c>
      <c r="Z281" s="9" t="n">
        <v>435315</v>
      </c>
      <c r="AA281" s="9">
        <f>TABL12[[#This Row],[(RESV. STORGE) AJD]]/10</f>
        <v/>
      </c>
      <c r="AB281" s="3">
        <f>(Z281-Z280)/1000</f>
        <v/>
      </c>
      <c r="AC281" s="6" t="n">
        <v>2923</v>
      </c>
      <c r="AD281" s="5">
        <f>TABL12[[#This Row],[( S/S+T/B) AJD]]-(TABL12[[#This Row],[(A/B + A/S) AJD]]+TABL12[[#This Row],[(STORGE DIFF.) AJD]]+(TABL12[[#This Row],[AJD_Evaporation]]))</f>
        <v/>
      </c>
      <c r="AE281" s="6" t="n">
        <v>20</v>
      </c>
      <c r="AF281" s="33" t="n">
        <v>58.783</v>
      </c>
      <c r="AG281" s="6" t="n">
        <v>1480589</v>
      </c>
      <c r="AH281" s="6">
        <f>TABL12[[#This Row],[ (RESV. STORGE) BER]]/10</f>
        <v/>
      </c>
      <c r="AI281" s="6" t="n">
        <v>2548</v>
      </c>
      <c r="AJ281" s="6">
        <f>TABL12[[#This Row],[(A/B) AJD]]-TABL12[[#This Row],[BER_IN]]</f>
        <v/>
      </c>
      <c r="AK281" s="6" t="n">
        <v>0</v>
      </c>
      <c r="AL281" s="33" t="n">
        <v>44.627</v>
      </c>
      <c r="AM281" s="6" t="n">
        <v>3999210</v>
      </c>
      <c r="AN281" s="6">
        <f>TABL12[[#This Row],[ (RESV. STORGE) SER]]/10</f>
        <v/>
      </c>
      <c r="AO281" s="6" t="n">
        <v>1650</v>
      </c>
      <c r="AP281" s="32">
        <f>TABL12[[#This Row],[(A/S) AJD]]-TABL12[[#This Row],[SER_IN]]</f>
        <v/>
      </c>
    </row>
    <row r="282">
      <c r="A282" s="2" t="n">
        <v>45938</v>
      </c>
      <c r="B282" s="28" t="n">
        <v>39</v>
      </c>
      <c r="C282" s="28" t="n">
        <v>320</v>
      </c>
      <c r="D282" s="35" t="n">
        <v>39</v>
      </c>
      <c r="E282" s="28" t="n">
        <v>0</v>
      </c>
      <c r="F282" s="28" t="n">
        <v>51</v>
      </c>
      <c r="G282" s="28" t="n">
        <v>330</v>
      </c>
      <c r="H282" s="28" t="n">
        <v>52</v>
      </c>
      <c r="I282" s="28" t="n">
        <v>652</v>
      </c>
      <c r="J282" s="28" t="n">
        <v>0</v>
      </c>
      <c r="K282" s="28">
        <f>TABL12[[#This Row],[ (T/B) SAR]]+TABL12[[#This Row],[ (S/S) SAR]]</f>
        <v/>
      </c>
      <c r="L282" s="28" t="n">
        <v>322</v>
      </c>
      <c r="M282" s="29" t="n">
        <v>24.6</v>
      </c>
      <c r="N282" s="30" t="n">
        <v>7.83</v>
      </c>
      <c r="O282" s="14" t="n">
        <v>0</v>
      </c>
      <c r="P282" s="9">
        <f>TABL12[[#This Row],[ (S/S) SAR]]-TABL12[[#This Row],[(S/S) AJD]]</f>
        <v/>
      </c>
      <c r="Q282" s="14" t="n">
        <v>600</v>
      </c>
      <c r="R282" s="9">
        <f>TABL12[[#This Row],[ (T/B) SAR]]-TABL12[[#This Row],[(T/B) AJD]]</f>
        <v/>
      </c>
      <c r="S282" s="9">
        <f>TABL12[[#This Row],[S/S_CON.]]+TABL12[[#This Row],[T/B-CON.]]</f>
        <v/>
      </c>
      <c r="T282" s="9">
        <f>O282+Q282</f>
        <v/>
      </c>
      <c r="U282" s="14" t="n">
        <v>513</v>
      </c>
      <c r="V282" s="14" t="n">
        <v>92</v>
      </c>
      <c r="W282" s="9">
        <f>U282+V282</f>
        <v/>
      </c>
      <c r="X282" s="9">
        <f>T282-W282</f>
        <v/>
      </c>
      <c r="Y282" s="18" t="n">
        <v>92.342</v>
      </c>
      <c r="Z282" s="9" t="n">
        <v>402612</v>
      </c>
      <c r="AA282" s="9">
        <f>TABL12[[#This Row],[(RESV. STORGE) AJD]]/10</f>
        <v/>
      </c>
      <c r="AB282" s="3">
        <f>(Z282-Z281)/1000</f>
        <v/>
      </c>
      <c r="AC282" s="6" t="n">
        <v>2130</v>
      </c>
      <c r="AD282" s="5">
        <f>TABL12[[#This Row],[( S/S+T/B) AJD]]-(TABL12[[#This Row],[(A/B + A/S) AJD]]+TABL12[[#This Row],[(STORGE DIFF.) AJD]]+(TABL12[[#This Row],[AJD_Evaporation]]))</f>
        <v/>
      </c>
      <c r="AE282" s="6" t="n">
        <v>20</v>
      </c>
      <c r="AF282" s="33" t="n">
        <v>58.749</v>
      </c>
      <c r="AG282" s="6" t="n">
        <v>1458210</v>
      </c>
      <c r="AH282" s="6">
        <f>TABL12[[#This Row],[ (RESV. STORGE) BER]]/10</f>
        <v/>
      </c>
      <c r="AI282" s="6" t="n">
        <v>2538</v>
      </c>
      <c r="AJ282" s="6">
        <f>TABL12[[#This Row],[(A/B) AJD]]-TABL12[[#This Row],[BER_IN]]</f>
        <v/>
      </c>
      <c r="AK282" s="6" t="n">
        <v>0</v>
      </c>
      <c r="AL282" s="33" t="n">
        <v>44.518</v>
      </c>
      <c r="AM282" s="6" t="n">
        <v>3939300</v>
      </c>
      <c r="AN282" s="6">
        <f>TABL12[[#This Row],[ (RESV. STORGE) SER]]/10</f>
        <v/>
      </c>
      <c r="AO282" s="6" t="n">
        <v>1573</v>
      </c>
      <c r="AP282" s="32">
        <f>TABL12[[#This Row],[(A/S) AJD]]-TABL12[[#This Row],[SER_IN]]</f>
        <v/>
      </c>
    </row>
    <row r="283">
      <c r="A283" s="2" t="n">
        <v>45939</v>
      </c>
      <c r="B283" s="28" t="n">
        <v>39</v>
      </c>
      <c r="C283" s="28" t="n">
        <v>296</v>
      </c>
      <c r="D283" s="35" t="n">
        <v>39</v>
      </c>
      <c r="E283" s="28" t="n">
        <v>0</v>
      </c>
      <c r="F283" s="28" t="n">
        <v>51</v>
      </c>
      <c r="G283" s="28" t="n">
        <v>330</v>
      </c>
      <c r="H283" s="28" t="n">
        <v>52</v>
      </c>
      <c r="I283" s="28" t="n">
        <v>652</v>
      </c>
      <c r="J283" s="28" t="n">
        <v>0</v>
      </c>
      <c r="K283" s="28">
        <f>TABL12[[#This Row],[ (T/B) SAR]]+TABL12[[#This Row],[ (S/S) SAR]]</f>
        <v/>
      </c>
      <c r="L283" s="28" t="n">
        <v>322</v>
      </c>
      <c r="M283" s="29" t="n">
        <v>24.6</v>
      </c>
      <c r="N283" s="30" t="n">
        <v>7.78</v>
      </c>
      <c r="O283" s="14" t="n">
        <v>0</v>
      </c>
      <c r="P283" s="9">
        <f>TABL12[[#This Row],[ (S/S) SAR]]-TABL12[[#This Row],[(S/S) AJD]]</f>
        <v/>
      </c>
      <c r="Q283" s="14" t="n">
        <v>606</v>
      </c>
      <c r="R283" s="9">
        <f>TABL12[[#This Row],[ (T/B) SAR]]-TABL12[[#This Row],[(T/B) AJD]]</f>
        <v/>
      </c>
      <c r="S283" s="9">
        <f>TABL12[[#This Row],[S/S_CON.]]+TABL12[[#This Row],[T/B-CON.]]</f>
        <v/>
      </c>
      <c r="T283" s="9">
        <f>O283+Q283</f>
        <v/>
      </c>
      <c r="U283" s="14" t="n">
        <v>450</v>
      </c>
      <c r="V283" s="14" t="n">
        <v>91</v>
      </c>
      <c r="W283" s="9">
        <f>U283+V283</f>
        <v/>
      </c>
      <c r="X283" s="9">
        <f>T283-W283</f>
        <v/>
      </c>
      <c r="Y283" s="18" t="n">
        <v>92.41500000000001</v>
      </c>
      <c r="Z283" s="9" t="n">
        <v>446022</v>
      </c>
      <c r="AA283" s="9">
        <f>TABL12[[#This Row],[(RESV. STORGE) AJD]]/10</f>
        <v/>
      </c>
      <c r="AB283" s="3">
        <f>(Z283-Z282)/1000</f>
        <v/>
      </c>
      <c r="AC283" s="6" t="n">
        <v>1932</v>
      </c>
      <c r="AD283" s="5">
        <f>TABL12[[#This Row],[( S/S+T/B) AJD]]-(TABL12[[#This Row],[(A/B + A/S) AJD]]+TABL12[[#This Row],[(STORGE DIFF.) AJD]]+(TABL12[[#This Row],[AJD_Evaporation]]))</f>
        <v/>
      </c>
      <c r="AE283" s="6" t="n">
        <v>20</v>
      </c>
      <c r="AF283" s="33" t="n">
        <v>58.715</v>
      </c>
      <c r="AG283" s="6" t="n">
        <v>1435842</v>
      </c>
      <c r="AH283" s="6">
        <f>TABL12[[#This Row],[ (RESV. STORGE) BER]]/10</f>
        <v/>
      </c>
      <c r="AI283" s="6" t="n">
        <v>2528</v>
      </c>
      <c r="AJ283" s="6">
        <f>TABL12[[#This Row],[(A/B) AJD]]-TABL12[[#This Row],[BER_IN]]</f>
        <v/>
      </c>
      <c r="AK283" s="6" t="n">
        <v>0</v>
      </c>
      <c r="AL283" s="33" t="n">
        <v>44.424</v>
      </c>
      <c r="AM283" s="6" t="n">
        <v>3887340</v>
      </c>
      <c r="AN283" s="6">
        <f>TABL12[[#This Row],[ (RESV. STORGE) SER]]/10</f>
        <v/>
      </c>
      <c r="AO283" s="6" t="n">
        <v>1530</v>
      </c>
      <c r="AP283" s="32">
        <f>TABL12[[#This Row],[(A/S) AJD]]-TABL12[[#This Row],[SER_IN]]</f>
        <v/>
      </c>
    </row>
    <row r="284">
      <c r="A284" s="2" t="n">
        <v>45940</v>
      </c>
      <c r="B284" s="28" t="n">
        <v>39</v>
      </c>
      <c r="C284" s="28" t="n">
        <v>306</v>
      </c>
      <c r="D284" s="35" t="n">
        <v>39</v>
      </c>
      <c r="E284" s="28" t="n">
        <v>0</v>
      </c>
      <c r="F284" s="28" t="n">
        <v>52</v>
      </c>
      <c r="G284" s="28" t="n">
        <v>330</v>
      </c>
      <c r="H284" s="28" t="n">
        <v>52</v>
      </c>
      <c r="I284" s="28" t="n">
        <v>645</v>
      </c>
      <c r="J284" s="28" t="n">
        <v>0</v>
      </c>
      <c r="K284" s="28">
        <f>TABL12[[#This Row],[ (T/B) SAR]]+TABL12[[#This Row],[ (S/S) SAR]]</f>
        <v/>
      </c>
      <c r="L284" s="28" t="n">
        <v>315</v>
      </c>
      <c r="M284" s="29" t="n">
        <v>24.6</v>
      </c>
      <c r="N284" s="30" t="n">
        <v>7.71</v>
      </c>
      <c r="O284" s="14" t="n">
        <v>0</v>
      </c>
      <c r="P284" s="9">
        <f>TABL12[[#This Row],[ (S/S) SAR]]-TABL12[[#This Row],[(S/S) AJD]]</f>
        <v/>
      </c>
      <c r="Q284" s="14" t="n">
        <v>603</v>
      </c>
      <c r="R284" s="9">
        <f>TABL12[[#This Row],[ (T/B) SAR]]-TABL12[[#This Row],[(T/B) AJD]]</f>
        <v/>
      </c>
      <c r="S284" s="9">
        <f>TABL12[[#This Row],[S/S_CON.]]+TABL12[[#This Row],[T/B-CON.]]</f>
        <v/>
      </c>
      <c r="T284" s="9">
        <f>O284+Q284</f>
        <v/>
      </c>
      <c r="U284" s="14" t="n">
        <v>509</v>
      </c>
      <c r="V284" s="14" t="n">
        <v>92</v>
      </c>
      <c r="W284" s="9">
        <f>U284+V284</f>
        <v/>
      </c>
      <c r="X284" s="9">
        <f>T284-W284</f>
        <v/>
      </c>
      <c r="Y284" s="18" t="n">
        <v>92.36</v>
      </c>
      <c r="Z284" s="9" t="n">
        <v>413311</v>
      </c>
      <c r="AA284" s="9">
        <f>TABL12[[#This Row],[(RESV. STORGE) AJD]]/10</f>
        <v/>
      </c>
      <c r="AB284" s="3">
        <f>(Z284-Z283)/1000</f>
        <v/>
      </c>
      <c r="AC284" s="6" t="n">
        <v>2039</v>
      </c>
      <c r="AD284" s="5">
        <f>TABL12[[#This Row],[( S/S+T/B) AJD]]-(TABL12[[#This Row],[(A/B + A/S) AJD]]+TABL12[[#This Row],[(STORGE DIFF.) AJD]]+(TABL12[[#This Row],[AJD_Evaporation]]))</f>
        <v/>
      </c>
      <c r="AE284" s="6" t="n">
        <v>20</v>
      </c>
      <c r="AF284" s="33" t="n">
        <v>58.681</v>
      </c>
      <c r="AG284" s="6" t="n">
        <v>1413484</v>
      </c>
      <c r="AH284" s="6">
        <f>TABL12[[#This Row],[ (RESV. STORGE) BER]]/10</f>
        <v/>
      </c>
      <c r="AI284" s="6" t="n">
        <v>2518</v>
      </c>
      <c r="AJ284" s="6">
        <f>TABL12[[#This Row],[(A/B) AJD]]-TABL12[[#This Row],[BER_IN]]</f>
        <v/>
      </c>
      <c r="AK284" s="6" t="n">
        <v>0</v>
      </c>
      <c r="AL284" s="33" t="n">
        <v>44.341</v>
      </c>
      <c r="AM284" s="6" t="n">
        <v>3840960</v>
      </c>
      <c r="AN284" s="6">
        <f>TABL12[[#This Row],[ (RESV. STORGE) SER]]/10</f>
        <v/>
      </c>
      <c r="AO284" s="6" t="n">
        <v>1560</v>
      </c>
      <c r="AP284" s="32">
        <f>TABL12[[#This Row],[(A/S) AJD]]-TABL12[[#This Row],[SER_IN]]</f>
        <v/>
      </c>
    </row>
    <row r="285">
      <c r="A285" s="2" t="n">
        <v>45941</v>
      </c>
      <c r="B285" s="28" t="n">
        <v>37</v>
      </c>
      <c r="C285" s="28" t="n">
        <v>278</v>
      </c>
      <c r="D285" s="35" t="n">
        <v>37</v>
      </c>
      <c r="E285" s="28" t="n">
        <v>0</v>
      </c>
      <c r="F285" s="28" t="n">
        <v>57</v>
      </c>
      <c r="G285" s="28" t="n">
        <v>370</v>
      </c>
      <c r="H285" s="28" t="n">
        <v>46</v>
      </c>
      <c r="I285" s="28" t="n">
        <v>685</v>
      </c>
      <c r="J285" s="28" t="n">
        <v>0</v>
      </c>
      <c r="K285" s="28">
        <f>TABL12[[#This Row],[ (T/B) SAR]]+TABL12[[#This Row],[ (S/S) SAR]]</f>
        <v/>
      </c>
      <c r="L285" s="28" t="n">
        <v>315</v>
      </c>
      <c r="M285" s="29" t="n">
        <v>24.6</v>
      </c>
      <c r="N285" s="30" t="n">
        <v>7.55</v>
      </c>
      <c r="O285" s="14" t="n">
        <v>0</v>
      </c>
      <c r="P285" s="9">
        <f>TABL12[[#This Row],[ (S/S) SAR]]-TABL12[[#This Row],[(S/S) AJD]]</f>
        <v/>
      </c>
      <c r="Q285" s="14" t="n">
        <v>573</v>
      </c>
      <c r="R285" s="9">
        <f>TABL12[[#This Row],[ (T/B) SAR]]-TABL12[[#This Row],[(T/B) AJD]]</f>
        <v/>
      </c>
      <c r="S285" s="9">
        <f>TABL12[[#This Row],[S/S_CON.]]+TABL12[[#This Row],[T/B-CON.]]</f>
        <v/>
      </c>
      <c r="T285" s="9">
        <f>O285+Q285</f>
        <v/>
      </c>
      <c r="U285" s="14" t="n">
        <v>509</v>
      </c>
      <c r="V285" s="14" t="n">
        <v>92</v>
      </c>
      <c r="W285" s="9">
        <f>U285+V285</f>
        <v/>
      </c>
      <c r="X285" s="9">
        <f>T285-W285</f>
        <v/>
      </c>
      <c r="Y285" s="18" t="n">
        <v>92.273</v>
      </c>
      <c r="Z285" s="9" t="n">
        <v>361619</v>
      </c>
      <c r="AA285" s="9">
        <f>TABL12[[#This Row],[(RESV. STORGE) AJD]]/10</f>
        <v/>
      </c>
      <c r="AB285" s="3">
        <f>(Z285-Z284)/1000</f>
        <v/>
      </c>
      <c r="AC285" s="6" t="n">
        <v>1804</v>
      </c>
      <c r="AD285" s="5">
        <f>TABL12[[#This Row],[( S/S+T/B) AJD]]-(TABL12[[#This Row],[(A/B + A/S) AJD]]+TABL12[[#This Row],[(STORGE DIFF.) AJD]]+(TABL12[[#This Row],[AJD_Evaporation]]))</f>
        <v/>
      </c>
      <c r="AE285" s="6" t="n">
        <v>20</v>
      </c>
      <c r="AF285" s="33" t="n">
        <v>58.647</v>
      </c>
      <c r="AG285" s="6" t="n">
        <v>1391136</v>
      </c>
      <c r="AH285" s="6">
        <f>TABL12[[#This Row],[ (RESV. STORGE) BER]]/10</f>
        <v/>
      </c>
      <c r="AI285" s="6" t="n">
        <v>2508</v>
      </c>
      <c r="AJ285" s="6">
        <f>TABL12[[#This Row],[(A/B) AJD]]-TABL12[[#This Row],[BER_IN]]</f>
        <v/>
      </c>
      <c r="AK285" s="6" t="n">
        <v>0</v>
      </c>
      <c r="AL285" s="33" t="n">
        <v>44.251</v>
      </c>
      <c r="AM285" s="6" t="n">
        <v>3791340</v>
      </c>
      <c r="AN285" s="6">
        <f>TABL12[[#This Row],[ (RESV. STORGE) SER]]/10</f>
        <v/>
      </c>
      <c r="AO285" s="6" t="n">
        <v>1580</v>
      </c>
      <c r="AP285" s="32">
        <f>TABL12[[#This Row],[(A/S) AJD]]-TABL12[[#This Row],[SER_IN]]</f>
        <v/>
      </c>
    </row>
    <row r="286">
      <c r="A286" s="2" t="n">
        <v>45942</v>
      </c>
      <c r="B286" s="28" t="n">
        <v>37</v>
      </c>
      <c r="C286" s="28" t="n">
        <v>303</v>
      </c>
      <c r="D286" s="35" t="n">
        <v>38</v>
      </c>
      <c r="E286" s="28" t="n">
        <v>0</v>
      </c>
      <c r="F286" s="28" t="n">
        <v>53</v>
      </c>
      <c r="G286" s="28" t="n">
        <v>350</v>
      </c>
      <c r="H286" s="28" t="n">
        <v>50</v>
      </c>
      <c r="I286" s="28" t="n">
        <v>665</v>
      </c>
      <c r="J286" s="28" t="n">
        <v>0</v>
      </c>
      <c r="K286" s="28">
        <f>TABL12[[#This Row],[ (T/B) SAR]]+TABL12[[#This Row],[ (S/S) SAR]]</f>
        <v/>
      </c>
      <c r="L286" s="28" t="n">
        <v>315</v>
      </c>
      <c r="M286" s="29" t="n">
        <v>24.9</v>
      </c>
      <c r="N286" s="30" t="n">
        <v>7.54</v>
      </c>
      <c r="O286" s="14" t="n">
        <v>0</v>
      </c>
      <c r="P286" s="9">
        <f>TABL12[[#This Row],[ (S/S) SAR]]-TABL12[[#This Row],[(S/S) AJD]]</f>
        <v/>
      </c>
      <c r="Q286" s="14" t="n">
        <v>597</v>
      </c>
      <c r="R286" s="9">
        <f>TABL12[[#This Row],[ (T/B) SAR]]-TABL12[[#This Row],[(T/B) AJD]]</f>
        <v/>
      </c>
      <c r="S286" s="9">
        <f>TABL12[[#This Row],[S/S_CON.]]+TABL12[[#This Row],[T/B-CON.]]</f>
        <v/>
      </c>
      <c r="T286" s="9">
        <f>O286+Q286</f>
        <v/>
      </c>
      <c r="U286" s="14" t="n">
        <v>509</v>
      </c>
      <c r="V286" s="14" t="n">
        <v>90</v>
      </c>
      <c r="W286" s="9">
        <f>U286+V286</f>
        <v/>
      </c>
      <c r="X286" s="9">
        <f>T286-W286</f>
        <v/>
      </c>
      <c r="Y286" s="18" t="n">
        <v>92.255</v>
      </c>
      <c r="Z286" s="9" t="n">
        <v>350929</v>
      </c>
      <c r="AA286" s="9">
        <f>TABL12[[#This Row],[(RESV. STORGE) AJD]]/10</f>
        <v/>
      </c>
      <c r="AB286" s="3">
        <f>(Z286-Z285)/1000</f>
        <v/>
      </c>
      <c r="AC286" s="6" t="n">
        <v>1863</v>
      </c>
      <c r="AD286" s="5">
        <f>TABL12[[#This Row],[( S/S+T/B) AJD]]-(TABL12[[#This Row],[(A/B + A/S) AJD]]+TABL12[[#This Row],[(STORGE DIFF.) AJD]]+(TABL12[[#This Row],[AJD_Evaporation]]))</f>
        <v/>
      </c>
      <c r="AE286" s="6" t="n">
        <v>20</v>
      </c>
      <c r="AF286" s="33" t="n">
        <v>58.613</v>
      </c>
      <c r="AG286" s="6" t="n">
        <v>1368797</v>
      </c>
      <c r="AH286" s="6">
        <f>TABL12[[#This Row],[ (RESV. STORGE) BER]]/10</f>
        <v/>
      </c>
      <c r="AI286" s="6" t="n">
        <v>2498</v>
      </c>
      <c r="AJ286" s="6">
        <f>TABL12[[#This Row],[(A/B) AJD]]-TABL12[[#This Row],[BER_IN]]</f>
        <v/>
      </c>
      <c r="AK286" s="6" t="n">
        <v>0</v>
      </c>
      <c r="AL286" s="33" t="n">
        <v>44.151</v>
      </c>
      <c r="AM286" s="6" t="n">
        <v>3736290</v>
      </c>
      <c r="AN286" s="6">
        <f>TABL12[[#This Row],[ (RESV. STORGE) SER]]/10</f>
        <v/>
      </c>
      <c r="AO286" s="6" t="n">
        <v>1530</v>
      </c>
      <c r="AP286" s="32">
        <f>TABL12[[#This Row],[(A/S) AJD]]-TABL12[[#This Row],[SER_IN]]</f>
        <v/>
      </c>
    </row>
    <row r="287">
      <c r="A287" s="2" t="n">
        <v>45943</v>
      </c>
      <c r="B287" s="28" t="n">
        <v>38</v>
      </c>
      <c r="C287" s="28" t="n">
        <v>312</v>
      </c>
      <c r="D287" s="35" t="n">
        <v>38</v>
      </c>
      <c r="E287" s="28" t="n">
        <v>0</v>
      </c>
      <c r="F287" s="28" t="n">
        <v>53</v>
      </c>
      <c r="G287" s="28" t="n">
        <v>345</v>
      </c>
      <c r="H287" s="28" t="n">
        <v>50</v>
      </c>
      <c r="I287" s="28" t="n">
        <v>660</v>
      </c>
      <c r="J287" s="28" t="n">
        <v>0</v>
      </c>
      <c r="K287" s="28">
        <f>TABL12[[#This Row],[ (T/B) SAR]]+TABL12[[#This Row],[ (S/S) SAR]]</f>
        <v/>
      </c>
      <c r="L287" s="28" t="n">
        <v>315</v>
      </c>
      <c r="M287" s="29" t="n">
        <v>24.6</v>
      </c>
      <c r="N287" s="30" t="n">
        <v>7.54</v>
      </c>
      <c r="O287" s="14" t="n">
        <v>0</v>
      </c>
      <c r="P287" s="9">
        <f>TABL12[[#This Row],[ (S/S) SAR]]-TABL12[[#This Row],[(S/S) AJD]]</f>
        <v/>
      </c>
      <c r="Q287" s="14" t="n">
        <v>637</v>
      </c>
      <c r="R287" s="9">
        <f>TABL12[[#This Row],[ (T/B) SAR]]-TABL12[[#This Row],[(T/B) AJD]]</f>
        <v/>
      </c>
      <c r="S287" s="9">
        <f>TABL12[[#This Row],[S/S_CON.]]+TABL12[[#This Row],[T/B-CON.]]</f>
        <v/>
      </c>
      <c r="T287" s="9">
        <f>O287+Q287</f>
        <v/>
      </c>
      <c r="U287" s="14" t="n">
        <v>459</v>
      </c>
      <c r="V287" s="14" t="n">
        <v>92</v>
      </c>
      <c r="W287" s="9">
        <f>U287+V287</f>
        <v/>
      </c>
      <c r="X287" s="9">
        <f>T287-W287</f>
        <v/>
      </c>
      <c r="Y287" s="18" t="n">
        <v>92.325</v>
      </c>
      <c r="Z287" s="9" t="n">
        <v>392505</v>
      </c>
      <c r="AA287" s="9">
        <f>TABL12[[#This Row],[(RESV. STORGE) AJD]]/10</f>
        <v/>
      </c>
      <c r="AB287" s="3">
        <f>(Z287-Z286)/1000</f>
        <v/>
      </c>
      <c r="AC287" s="6" t="n">
        <v>1997</v>
      </c>
      <c r="AD287" s="5">
        <f>TABL12[[#This Row],[( S/S+T/B) AJD]]-(TABL12[[#This Row],[(A/B + A/S) AJD]]+TABL12[[#This Row],[(STORGE DIFF.) AJD]]+(TABL12[[#This Row],[AJD_Evaporation]]))</f>
        <v/>
      </c>
      <c r="AE287" s="6" t="n">
        <v>20</v>
      </c>
      <c r="AF287" s="33" t="n">
        <v>58.579</v>
      </c>
      <c r="AG287" s="6" t="n">
        <v>1346469</v>
      </c>
      <c r="AH287" s="6">
        <f>TABL12[[#This Row],[ (RESV. STORGE) BER]]/10</f>
        <v/>
      </c>
      <c r="AI287" s="6" t="n">
        <v>2488</v>
      </c>
      <c r="AJ287" s="6">
        <f>TABL12[[#This Row],[(A/B) AJD]]-TABL12[[#This Row],[BER_IN]]</f>
        <v/>
      </c>
      <c r="AK287" s="6" t="n">
        <v>0</v>
      </c>
      <c r="AL287" s="33" t="n">
        <v>44.057</v>
      </c>
      <c r="AM287" s="6" t="n">
        <v>3684810</v>
      </c>
      <c r="AN287" s="6">
        <f>TABL12[[#This Row],[ (RESV. STORGE) SER]]/10</f>
        <v/>
      </c>
      <c r="AO287" s="6" t="n">
        <v>1630</v>
      </c>
      <c r="AP287" s="32">
        <f>TABL12[[#This Row],[(A/S) AJD]]-TABL12[[#This Row],[SER_IN]]</f>
        <v/>
      </c>
    </row>
    <row r="288">
      <c r="A288" s="2" t="n">
        <v>45944</v>
      </c>
      <c r="B288" s="28" t="n">
        <v>38</v>
      </c>
      <c r="C288" s="28" t="n">
        <v>301</v>
      </c>
      <c r="D288" s="35" t="n">
        <v>38</v>
      </c>
      <c r="E288" s="28" t="n">
        <v>0</v>
      </c>
      <c r="F288" s="28" t="n">
        <v>53</v>
      </c>
      <c r="G288" s="28" t="n">
        <v>340</v>
      </c>
      <c r="H288" s="28" t="n">
        <v>50</v>
      </c>
      <c r="I288" s="28" t="n">
        <v>655</v>
      </c>
      <c r="J288" s="28" t="n">
        <v>0</v>
      </c>
      <c r="K288" s="28">
        <f>TABL12[[#This Row],[ (T/B) SAR]]+TABL12[[#This Row],[ (S/S) SAR]]</f>
        <v/>
      </c>
      <c r="L288" s="28" t="n">
        <v>315</v>
      </c>
      <c r="M288" s="29" t="n">
        <v>24.6</v>
      </c>
      <c r="N288" s="30" t="n">
        <v>7.55</v>
      </c>
      <c r="O288" s="14" t="n">
        <v>0</v>
      </c>
      <c r="P288" s="9">
        <f>TABL12[[#This Row],[ (S/S) SAR]]-TABL12[[#This Row],[(S/S) AJD]]</f>
        <v/>
      </c>
      <c r="Q288" s="14" t="n">
        <v>605</v>
      </c>
      <c r="R288" s="9">
        <f>TABL12[[#This Row],[ (T/B) SAR]]-TABL12[[#This Row],[(T/B) AJD]]</f>
        <v/>
      </c>
      <c r="S288" s="9">
        <f>TABL12[[#This Row],[S/S_CON.]]+TABL12[[#This Row],[T/B-CON.]]</f>
        <v/>
      </c>
      <c r="T288" s="9">
        <f>O288+Q288</f>
        <v/>
      </c>
      <c r="U288" s="14" t="n">
        <v>498</v>
      </c>
      <c r="V288" s="14" t="n">
        <v>91</v>
      </c>
      <c r="W288" s="9">
        <f>U288+V288</f>
        <v/>
      </c>
      <c r="X288" s="9">
        <f>T288-W288</f>
        <v/>
      </c>
      <c r="Y288" s="18" t="n">
        <v>92.31</v>
      </c>
      <c r="Z288" s="9" t="n">
        <v>383593</v>
      </c>
      <c r="AA288" s="9">
        <f>TABL12[[#This Row],[(RESV. STORGE) AJD]]/10</f>
        <v/>
      </c>
      <c r="AB288" s="3">
        <f>(Z288-Z287)/1000</f>
        <v/>
      </c>
      <c r="AC288" s="6" t="n">
        <v>2029</v>
      </c>
      <c r="AD288" s="5">
        <f>TABL12[[#This Row],[( S/S+T/B) AJD]]-(TABL12[[#This Row],[(A/B + A/S) AJD]]+TABL12[[#This Row],[(STORGE DIFF.) AJD]]+(TABL12[[#This Row],[AJD_Evaporation]]))</f>
        <v/>
      </c>
      <c r="AE288" s="6" t="n">
        <v>20</v>
      </c>
      <c r="AF288" s="33" t="n">
        <v>58.584</v>
      </c>
      <c r="AG288" s="6" t="n">
        <v>1349752</v>
      </c>
      <c r="AH288" s="6">
        <f>TABL12[[#This Row],[ (RESV. STORGE) BER]]/10</f>
        <v/>
      </c>
      <c r="AI288" s="6" t="n">
        <v>2516</v>
      </c>
      <c r="AJ288" s="6">
        <f>TABL12[[#This Row],[(A/B) AJD]]-TABL12[[#This Row],[BER_IN]]</f>
        <v/>
      </c>
      <c r="AK288" s="6" t="n">
        <v>0</v>
      </c>
      <c r="AL288" s="33" t="n">
        <v>43.947</v>
      </c>
      <c r="AM288" s="6" t="n">
        <v>3624220</v>
      </c>
      <c r="AN288" s="6">
        <f>TABL12[[#This Row],[ (RESV. STORGE) SER]]/10</f>
        <v/>
      </c>
      <c r="AO288" s="6" t="n">
        <v>1600</v>
      </c>
      <c r="AP288" s="32">
        <f>TABL12[[#This Row],[(A/S) AJD]]-TABL12[[#This Row],[SER_IN]]</f>
        <v/>
      </c>
    </row>
    <row r="289">
      <c r="A289" s="2" t="n">
        <v>45945</v>
      </c>
      <c r="B289" s="28" t="n">
        <v>37</v>
      </c>
      <c r="C289" s="28" t="n">
        <v>298</v>
      </c>
      <c r="D289" s="35" t="n">
        <v>38</v>
      </c>
      <c r="E289" s="28" t="n">
        <v>0</v>
      </c>
      <c r="F289" s="28" t="n">
        <v>58</v>
      </c>
      <c r="G289" s="28" t="n">
        <v>362</v>
      </c>
      <c r="H289" s="28" t="n">
        <v>45</v>
      </c>
      <c r="I289" s="28" t="n">
        <v>635</v>
      </c>
      <c r="J289" s="28" t="n">
        <v>42</v>
      </c>
      <c r="K289" s="28">
        <f>TABL12[[#This Row],[ (T/B) SAR]]+TABL12[[#This Row],[ (S/S) SAR]]</f>
        <v/>
      </c>
      <c r="L289" s="28" t="n">
        <v>315</v>
      </c>
      <c r="M289" s="29" t="n">
        <v>24.6</v>
      </c>
      <c r="N289" s="30" t="n">
        <v>7.5</v>
      </c>
      <c r="O289" s="14" t="n">
        <v>0</v>
      </c>
      <c r="P289" s="9">
        <f>TABL12[[#This Row],[ (S/S) SAR]]-TABL12[[#This Row],[(S/S) AJD]]</f>
        <v/>
      </c>
      <c r="Q289" s="14" t="n">
        <v>596</v>
      </c>
      <c r="R289" s="9">
        <f>TABL12[[#This Row],[ (T/B) SAR]]-TABL12[[#This Row],[(T/B) AJD]]</f>
        <v/>
      </c>
      <c r="S289" s="9">
        <f>TABL12[[#This Row],[S/S_CON.]]+TABL12[[#This Row],[T/B-CON.]]</f>
        <v/>
      </c>
      <c r="T289" s="9">
        <f>O289+Q289</f>
        <v/>
      </c>
      <c r="U289" s="14" t="n">
        <v>492</v>
      </c>
      <c r="V289" s="14" t="n">
        <v>91</v>
      </c>
      <c r="W289" s="9">
        <f>U289+V289</f>
        <v/>
      </c>
      <c r="X289" s="9">
        <f>T289-W289</f>
        <v/>
      </c>
      <c r="Y289" s="18" t="n">
        <v>92.273</v>
      </c>
      <c r="Z289" s="9" t="n">
        <v>362803</v>
      </c>
      <c r="AA289" s="9">
        <f>TABL12[[#This Row],[(RESV. STORGE) AJD]]/10</f>
        <v/>
      </c>
      <c r="AB289" s="3">
        <f>(Z289-Z288)/1000</f>
        <v/>
      </c>
      <c r="AC289" s="6" t="n">
        <v>1879</v>
      </c>
      <c r="AD289" s="5">
        <f>TABL12[[#This Row],[( S/S+T/B) AJD]]-(TABL12[[#This Row],[(A/B + A/S) AJD]]+TABL12[[#This Row],[(STORGE DIFF.) AJD]]+(TABL12[[#This Row],[AJD_Evaporation]]))</f>
        <v/>
      </c>
      <c r="AE289" s="6" t="n">
        <v>20</v>
      </c>
      <c r="AF289" s="33" t="n">
        <v>58.565</v>
      </c>
      <c r="AG289" s="6" t="n">
        <v>1337278</v>
      </c>
      <c r="AH289" s="6">
        <f>TABL12[[#This Row],[ (RESV. STORGE) BER]]/10</f>
        <v/>
      </c>
      <c r="AI289" s="6" t="n">
        <v>3099</v>
      </c>
      <c r="AJ289" s="6">
        <f>TABL12[[#This Row],[(A/B) AJD]]-TABL12[[#This Row],[BER_IN]]</f>
        <v/>
      </c>
      <c r="AK289" s="6" t="n">
        <v>0</v>
      </c>
      <c r="AL289" s="33" t="n">
        <v>43.853</v>
      </c>
      <c r="AM289" s="6" t="n">
        <v>3573220</v>
      </c>
      <c r="AN289" s="6">
        <f>TABL12[[#This Row],[ (RESV. STORGE) SER]]/10</f>
        <v/>
      </c>
      <c r="AO289" s="6" t="n">
        <v>1650</v>
      </c>
      <c r="AP289" s="32">
        <f>TABL12[[#This Row],[(A/S) AJD]]-TABL12[[#This Row],[SER_IN]]</f>
        <v/>
      </c>
    </row>
    <row r="290">
      <c r="A290" s="2" t="n">
        <v>45946</v>
      </c>
      <c r="B290" s="28" t="n">
        <v>38</v>
      </c>
      <c r="C290" s="28" t="n">
        <v>307</v>
      </c>
      <c r="D290" s="35" t="n">
        <v>38</v>
      </c>
      <c r="E290" s="28" t="n">
        <v>0</v>
      </c>
      <c r="F290" s="28" t="n">
        <v>61</v>
      </c>
      <c r="G290" s="28" t="n">
        <v>378</v>
      </c>
      <c r="H290" s="28" t="n">
        <v>50</v>
      </c>
      <c r="I290" s="28" t="n">
        <v>655</v>
      </c>
      <c r="J290" s="28" t="n">
        <v>38</v>
      </c>
      <c r="K290" s="28">
        <f>TABL12[[#This Row],[ (T/B) SAR]]+TABL12[[#This Row],[ (S/S) SAR]]</f>
        <v/>
      </c>
      <c r="L290" s="28" t="n">
        <v>315</v>
      </c>
      <c r="M290" s="29" t="n">
        <v>24.6</v>
      </c>
      <c r="N290" s="30" t="n">
        <v>7.5</v>
      </c>
      <c r="O290" s="14" t="n">
        <v>0</v>
      </c>
      <c r="P290" s="9">
        <f>TABL12[[#This Row],[ (S/S) SAR]]-TABL12[[#This Row],[(S/S) AJD]]</f>
        <v/>
      </c>
      <c r="Q290" s="14" t="n">
        <v>585</v>
      </c>
      <c r="R290" s="9">
        <f>TABL12[[#This Row],[ (T/B) SAR]]-TABL12[[#This Row],[(T/B) AJD]]</f>
        <v/>
      </c>
      <c r="S290" s="9">
        <f>TABL12[[#This Row],[S/S_CON.]]+TABL12[[#This Row],[T/B-CON.]]</f>
        <v/>
      </c>
      <c r="T290" s="9">
        <f>O290+Q290</f>
        <v/>
      </c>
      <c r="U290" s="14" t="n">
        <v>455</v>
      </c>
      <c r="V290" s="14" t="n">
        <v>91</v>
      </c>
      <c r="W290" s="9">
        <f>U290+V290</f>
        <v/>
      </c>
      <c r="X290" s="9">
        <f>T290-W290</f>
        <v/>
      </c>
      <c r="Y290" s="18" t="n">
        <v>92.298</v>
      </c>
      <c r="Z290" s="9" t="n">
        <v>376464</v>
      </c>
      <c r="AA290" s="9">
        <f>TABL12[[#This Row],[(RESV. STORGE) AJD]]/10</f>
        <v/>
      </c>
      <c r="AB290" s="3">
        <f>(Z290-Z289)/1000</f>
        <v/>
      </c>
      <c r="AC290" s="6" t="n">
        <v>1613</v>
      </c>
      <c r="AD290" s="5">
        <f>TABL12[[#This Row],[( S/S+T/B) AJD]]-(TABL12[[#This Row],[(A/B + A/S) AJD]]+TABL12[[#This Row],[(STORGE DIFF.) AJD]]+(TABL12[[#This Row],[AJD_Evaporation]]))</f>
        <v/>
      </c>
      <c r="AE290" s="6" t="n">
        <v>20</v>
      </c>
      <c r="AF290" s="33" t="n">
        <v>58.531</v>
      </c>
      <c r="AG290" s="6" t="n">
        <v>1314964</v>
      </c>
      <c r="AH290" s="6">
        <f>TABL12[[#This Row],[ (RESV. STORGE) BER]]/10</f>
        <v/>
      </c>
      <c r="AI290" s="6" t="n">
        <v>2474</v>
      </c>
      <c r="AJ290" s="6">
        <f>TABL12[[#This Row],[(A/B) AJD]]-TABL12[[#This Row],[BER_IN]]</f>
        <v/>
      </c>
      <c r="AK290" s="6" t="n">
        <v>0</v>
      </c>
      <c r="AL290" s="33" t="n">
        <v>43.747</v>
      </c>
      <c r="AM290" s="6" t="n">
        <v>3515310</v>
      </c>
      <c r="AN290" s="6">
        <f>TABL12[[#This Row],[ (RESV. STORGE) SER]]/10</f>
        <v/>
      </c>
      <c r="AO290" s="6" t="n">
        <v>1910</v>
      </c>
      <c r="AP290" s="32">
        <f>TABL12[[#This Row],[(A/S) AJD]]-TABL12[[#This Row],[SER_IN]]</f>
        <v/>
      </c>
    </row>
    <row r="291">
      <c r="A291" s="2" t="n">
        <v>45947</v>
      </c>
      <c r="B291" s="28" t="n">
        <v>38</v>
      </c>
      <c r="C291" s="28" t="n">
        <v>306</v>
      </c>
      <c r="D291" s="28" t="n">
        <v>38</v>
      </c>
      <c r="E291" s="28" t="n">
        <v>0</v>
      </c>
      <c r="F291" s="28" t="n">
        <v>61</v>
      </c>
      <c r="G291" s="28" t="n">
        <v>375</v>
      </c>
      <c r="H291" s="28" t="n">
        <v>42</v>
      </c>
      <c r="I291" s="28" t="n">
        <v>650</v>
      </c>
      <c r="J291" s="28" t="n">
        <v>40</v>
      </c>
      <c r="K291" s="28">
        <f>TABL12[[#This Row],[ (T/B) SAR]]+TABL12[[#This Row],[ (S/S) SAR]]</f>
        <v/>
      </c>
      <c r="L291" s="28" t="n">
        <v>315</v>
      </c>
      <c r="M291" s="29" t="n">
        <v>24.6</v>
      </c>
      <c r="N291" s="30" t="n">
        <v>7.5</v>
      </c>
      <c r="O291" s="14" t="n">
        <v>0</v>
      </c>
      <c r="P291" s="9">
        <f>TABL12[[#This Row],[ (S/S) SAR]]-TABL12[[#This Row],[(S/S) AJD]]</f>
        <v/>
      </c>
      <c r="Q291" s="14" t="n">
        <v>597</v>
      </c>
      <c r="R291" s="9">
        <f>TABL12[[#This Row],[ (T/B) SAR]]-TABL12[[#This Row],[(T/B) AJD]]</f>
        <v/>
      </c>
      <c r="S291" s="9">
        <f>TABL12[[#This Row],[S/S_CON.]]+TABL12[[#This Row],[T/B-CON.]]</f>
        <v/>
      </c>
      <c r="T291" s="9">
        <f>O291+Q291</f>
        <v/>
      </c>
      <c r="U291" s="14" t="n">
        <v>503</v>
      </c>
      <c r="V291" s="14" t="n">
        <v>91</v>
      </c>
      <c r="W291" s="9">
        <f>U291+V291</f>
        <v/>
      </c>
      <c r="X291" s="9">
        <f>T291-W291</f>
        <v/>
      </c>
      <c r="Y291" s="18" t="n">
        <v>92.265</v>
      </c>
      <c r="Z291" s="9" t="n">
        <v>358647</v>
      </c>
      <c r="AA291" s="9">
        <f>TABL12[[#This Row],[(RESV. STORGE) AJD]]/10</f>
        <v/>
      </c>
      <c r="AB291" s="3">
        <f>(Z291-Z290)/1000</f>
        <v/>
      </c>
      <c r="AC291" s="6" t="n">
        <v>1795</v>
      </c>
      <c r="AD291" s="5">
        <f>TABL12[[#This Row],[( S/S+T/B) AJD]]-(TABL12[[#This Row],[(A/B + A/S) AJD]]+TABL12[[#This Row],[(STORGE DIFF.) AJD]]+(TABL12[[#This Row],[AJD_Evaporation]]))</f>
        <v/>
      </c>
      <c r="AE291" s="6" t="n">
        <v>20</v>
      </c>
      <c r="AF291" s="33" t="n">
        <v>58.497</v>
      </c>
      <c r="AG291" s="6" t="n">
        <v>1292659</v>
      </c>
      <c r="AH291" s="6">
        <f>TABL12[[#This Row],[ (RESV. STORGE) BER]]/10</f>
        <v/>
      </c>
      <c r="AI291" s="6" t="n">
        <v>2464</v>
      </c>
      <c r="AJ291" s="6">
        <f>TABL12[[#This Row],[(A/B) AJD]]-TABL12[[#This Row],[BER_IN]]</f>
        <v/>
      </c>
      <c r="AK291" s="6" t="n">
        <v>0</v>
      </c>
      <c r="AL291" s="33" t="n">
        <v>43.616</v>
      </c>
      <c r="AM291" s="6" t="n">
        <v>3443050</v>
      </c>
      <c r="AN291" s="6">
        <f>TABL12[[#This Row],[ (RESV. STORGE) SER]]/10</f>
        <v/>
      </c>
      <c r="AO291" s="6" t="n">
        <v>1860</v>
      </c>
      <c r="AP291" s="32">
        <f>TABL12[[#This Row],[(A/S) AJD]]-TABL12[[#This Row],[SER_IN]]</f>
        <v/>
      </c>
    </row>
    <row r="292">
      <c r="A292" s="2" t="n">
        <v>45948</v>
      </c>
      <c r="B292" s="28" t="n">
        <v>38</v>
      </c>
      <c r="C292" s="28" t="n">
        <v>311</v>
      </c>
      <c r="D292" s="28" t="n">
        <v>38</v>
      </c>
      <c r="E292" s="28" t="n">
        <v>0</v>
      </c>
      <c r="F292" s="28" t="n">
        <v>61</v>
      </c>
      <c r="G292" s="28" t="n">
        <v>371</v>
      </c>
      <c r="H292" s="28" t="n">
        <v>42</v>
      </c>
      <c r="I292" s="28" t="n">
        <v>648</v>
      </c>
      <c r="J292" s="28" t="n">
        <v>38</v>
      </c>
      <c r="K292" s="28">
        <f>TABL12[[#This Row],[ (T/B) SAR]]+TABL12[[#This Row],[ (S/S) SAR]]</f>
        <v/>
      </c>
      <c r="L292" s="28" t="n">
        <v>315</v>
      </c>
      <c r="M292" s="29" t="n">
        <v>24.6</v>
      </c>
      <c r="N292" s="30" t="n">
        <v>7.5</v>
      </c>
      <c r="O292" s="9" t="n">
        <v>0</v>
      </c>
      <c r="P292" s="9">
        <f>TABL12[[#This Row],[ (S/S) SAR]]-TABL12[[#This Row],[(S/S) AJD]]</f>
        <v/>
      </c>
      <c r="Q292" s="9" t="n">
        <v>595</v>
      </c>
      <c r="R292" s="9">
        <f>TABL12[[#This Row],[ (T/B) SAR]]-TABL12[[#This Row],[(T/B) AJD]]</f>
        <v/>
      </c>
      <c r="S292" s="9">
        <f>TABL12[[#This Row],[S/S_CON.]]+TABL12[[#This Row],[T/B-CON.]]</f>
        <v/>
      </c>
      <c r="T292" s="9">
        <f>O292+Q292</f>
        <v/>
      </c>
      <c r="U292" s="9" t="n">
        <v>503</v>
      </c>
      <c r="V292" s="9" t="n">
        <v>91</v>
      </c>
      <c r="W292" s="9">
        <f>U292+V292</f>
        <v/>
      </c>
      <c r="X292" s="9">
        <f>T292-W292</f>
        <v/>
      </c>
      <c r="Y292" s="18" t="n">
        <v>92.215</v>
      </c>
      <c r="Z292" s="9" t="n">
        <v>327188</v>
      </c>
      <c r="AA292" s="9">
        <f>TABL12[[#This Row],[(RESV. STORGE) AJD]]/10</f>
        <v/>
      </c>
      <c r="AB292" s="3">
        <f>(Z292-Z291)/1000</f>
        <v/>
      </c>
      <c r="AC292" s="6" t="n">
        <v>1761</v>
      </c>
      <c r="AD292" s="5">
        <f>TABL12[[#This Row],[( S/S+T/B) AJD]]-(TABL12[[#This Row],[(A/B + A/S) AJD]]+TABL12[[#This Row],[(STORGE DIFF.) AJD]]+(TABL12[[#This Row],[AJD_Evaporation]]))</f>
        <v/>
      </c>
      <c r="AE292" s="6" t="n">
        <v>20</v>
      </c>
      <c r="AF292" s="33" t="n">
        <v>58.463</v>
      </c>
      <c r="AG292" s="6" t="n">
        <v>1270365</v>
      </c>
      <c r="AH292" s="6">
        <f>TABL12[[#This Row],[ (RESV. STORGE) BER]]/10</f>
        <v/>
      </c>
      <c r="AI292" s="6" t="n">
        <v>2454</v>
      </c>
      <c r="AJ292" s="6">
        <f>TABL12[[#This Row],[(A/B) AJD]]-TABL12[[#This Row],[BER_IN]]</f>
        <v/>
      </c>
      <c r="AK292" s="6" t="n">
        <v>0</v>
      </c>
      <c r="AL292" s="33" t="n">
        <v>43.508</v>
      </c>
      <c r="AM292" s="6" t="n">
        <v>3384680</v>
      </c>
      <c r="AN292" s="6">
        <f>TABL12[[#This Row],[ (RESV. STORGE) SER]]/10</f>
        <v/>
      </c>
      <c r="AO292" s="6" t="n">
        <v>1870</v>
      </c>
      <c r="AP292" s="32">
        <f>TABL12[[#This Row],[(A/S) AJD]]-TABL12[[#This Row],[SER_IN]]</f>
        <v/>
      </c>
    </row>
    <row r="293">
      <c r="A293" s="2" t="n">
        <v>45949</v>
      </c>
      <c r="B293" s="28" t="n">
        <v>37</v>
      </c>
      <c r="C293" s="28" t="n">
        <v>312</v>
      </c>
      <c r="D293" s="28" t="n">
        <v>38</v>
      </c>
      <c r="E293" s="28" t="n">
        <v>0</v>
      </c>
      <c r="F293" s="28" t="n">
        <v>61</v>
      </c>
      <c r="G293" s="28" t="n">
        <v>379</v>
      </c>
      <c r="H293" s="28" t="n">
        <v>42</v>
      </c>
      <c r="I293" s="28" t="n">
        <v>655</v>
      </c>
      <c r="J293" s="28" t="n">
        <v>39</v>
      </c>
      <c r="K293" s="28">
        <f>TABL12[[#This Row],[ (T/B) SAR]]+TABL12[[#This Row],[ (S/S) SAR]]</f>
        <v/>
      </c>
      <c r="L293" s="28" t="n">
        <v>315</v>
      </c>
      <c r="M293" s="29" t="n">
        <v>24.6</v>
      </c>
      <c r="N293" s="30" t="n">
        <v>7.5</v>
      </c>
      <c r="O293" s="9" t="n">
        <v>0</v>
      </c>
      <c r="P293" s="9">
        <f>TABL12[[#This Row],[ (S/S) SAR]]-TABL12[[#This Row],[(S/S) AJD]]</f>
        <v/>
      </c>
      <c r="Q293" s="9" t="n">
        <v>600</v>
      </c>
      <c r="R293" s="9">
        <f>TABL12[[#This Row],[ (T/B) SAR]]-TABL12[[#This Row],[(T/B) AJD]]</f>
        <v/>
      </c>
      <c r="S293" s="9">
        <f>TABL12[[#This Row],[S/S_CON.]]+TABL12[[#This Row],[T/B-CON.]]</f>
        <v/>
      </c>
      <c r="T293" s="9">
        <f>O293+Q293</f>
        <v/>
      </c>
      <c r="U293" s="9" t="n">
        <v>489</v>
      </c>
      <c r="V293" s="9" t="n">
        <v>91</v>
      </c>
      <c r="W293" s="9">
        <f>U293+V293</f>
        <v/>
      </c>
      <c r="X293" s="9">
        <f>T293-W293</f>
        <v/>
      </c>
      <c r="Y293" s="18" t="n">
        <v>92.203</v>
      </c>
      <c r="Z293" s="9" t="n">
        <v>320073</v>
      </c>
      <c r="AA293" s="9">
        <f>TABL12[[#This Row],[(RESV. STORGE) AJD]]/10</f>
        <v/>
      </c>
      <c r="AB293" s="3">
        <f>(Z293-Z292)/1000</f>
        <v/>
      </c>
      <c r="AC293" s="6" t="n">
        <v>1794</v>
      </c>
      <c r="AD293" s="5">
        <f>TABL12[[#This Row],[( S/S+T/B) AJD]]-(TABL12[[#This Row],[(A/B + A/S) AJD]]+TABL12[[#This Row],[(STORGE DIFF.) AJD]]+(TABL12[[#This Row],[AJD_Evaporation]]))</f>
        <v/>
      </c>
      <c r="AE293" s="6" t="n">
        <v>20</v>
      </c>
      <c r="AF293" s="33" t="n">
        <v>58.429</v>
      </c>
      <c r="AG293" s="6" t="n">
        <v>1248081</v>
      </c>
      <c r="AH293" s="6">
        <f>TABL12[[#This Row],[ (RESV. STORGE) BER]]/10</f>
        <v/>
      </c>
      <c r="AI293" s="6" t="n">
        <v>2444</v>
      </c>
      <c r="AJ293" s="6">
        <f>TABL12[[#This Row],[(A/B) AJD]]-TABL12[[#This Row],[BER_IN]]</f>
        <v/>
      </c>
      <c r="AK293" s="6" t="n">
        <v>0</v>
      </c>
      <c r="AL293" s="33" t="n">
        <v>43.446</v>
      </c>
      <c r="AM293" s="6" t="n">
        <v>3397095</v>
      </c>
      <c r="AN293" s="6">
        <f>TABL12[[#This Row],[ (RESV. STORGE) SER]]/10</f>
        <v/>
      </c>
      <c r="AO293" s="6" t="n">
        <v>1900</v>
      </c>
      <c r="AP293" s="32">
        <f>TABL12[[#This Row],[(A/S) AJD]]-TABL12[[#This Row],[SER_IN]]</f>
        <v/>
      </c>
    </row>
    <row r="294">
      <c r="A294" s="2" t="n">
        <v>45950</v>
      </c>
      <c r="B294" s="28" t="n">
        <v>38</v>
      </c>
      <c r="C294" s="28" t="n">
        <v>305</v>
      </c>
      <c r="D294" s="28" t="n">
        <v>38</v>
      </c>
      <c r="E294" s="28" t="n">
        <v>0</v>
      </c>
      <c r="F294" s="28" t="n">
        <v>61</v>
      </c>
      <c r="G294" s="28" t="n">
        <v>383</v>
      </c>
      <c r="H294" s="28" t="n">
        <v>42</v>
      </c>
      <c r="I294" s="28" t="n">
        <v>658</v>
      </c>
      <c r="J294" s="28" t="n">
        <v>40</v>
      </c>
      <c r="K294" s="28">
        <f>TABL12[[#This Row],[ (T/B) SAR]]+TABL12[[#This Row],[ (S/S) SAR]]</f>
        <v/>
      </c>
      <c r="L294" s="28" t="n">
        <v>315</v>
      </c>
      <c r="M294" s="29" t="n">
        <v>24.6</v>
      </c>
      <c r="N294" s="30" t="n">
        <v>7.5</v>
      </c>
      <c r="O294" s="9" t="n">
        <v>0</v>
      </c>
      <c r="P294" s="9">
        <f>TABL12[[#This Row],[ (S/S) SAR]]-TABL12[[#This Row],[(S/S) AJD]]</f>
        <v/>
      </c>
      <c r="Q294" s="9" t="n">
        <v>603</v>
      </c>
      <c r="R294" s="9">
        <f>TABL12[[#This Row],[ (T/B) SAR]]-TABL12[[#This Row],[(T/B) AJD]]</f>
        <v/>
      </c>
      <c r="S294" s="9">
        <f>TABL12[[#This Row],[S/S_CON.]]+TABL12[[#This Row],[T/B-CON.]]</f>
        <v/>
      </c>
      <c r="T294" s="9">
        <f>O294+Q294</f>
        <v/>
      </c>
      <c r="U294" s="9" t="n">
        <v>459</v>
      </c>
      <c r="V294" s="9" t="n">
        <v>91</v>
      </c>
      <c r="W294" s="9">
        <f>U294+V294</f>
        <v/>
      </c>
      <c r="X294" s="9">
        <f>T294-W294</f>
        <v/>
      </c>
      <c r="Y294" s="18" t="n">
        <v>92.25</v>
      </c>
      <c r="Z294" s="9" t="n">
        <v>347962</v>
      </c>
      <c r="AA294" s="9">
        <f>TABL12[[#This Row],[(RESV. STORGE) AJD]]/10</f>
        <v/>
      </c>
      <c r="AB294" s="3">
        <f>(Z294-Z293)/1000</f>
        <v/>
      </c>
      <c r="AC294" s="6" t="n">
        <v>2809</v>
      </c>
      <c r="AD294" s="5">
        <f>TABL12[[#This Row],[( S/S+T/B) AJD]]-(TABL12[[#This Row],[(A/B + A/S) AJD]]+TABL12[[#This Row],[(STORGE DIFF.) AJD]]+(TABL12[[#This Row],[AJD_Evaporation]]))</f>
        <v/>
      </c>
      <c r="AE294" s="6" t="n">
        <v>20</v>
      </c>
      <c r="AF294" s="33" t="n">
        <v>58.3494</v>
      </c>
      <c r="AG294" s="6" t="n">
        <v>1225151</v>
      </c>
      <c r="AH294" s="6">
        <f>TABL12[[#This Row],[ (RESV. STORGE) BER]]/10</f>
        <v/>
      </c>
      <c r="AI294" s="6" t="n">
        <v>3089</v>
      </c>
      <c r="AJ294" s="6">
        <f>TABL12[[#This Row],[(A/B) AJD]]-TABL12[[#This Row],[BER_IN]]</f>
        <v/>
      </c>
      <c r="AK294" s="6" t="n">
        <v>0</v>
      </c>
      <c r="AL294" s="33" t="n">
        <v>43.326</v>
      </c>
      <c r="AM294" s="6" t="n">
        <v>3285040</v>
      </c>
      <c r="AN294" s="6">
        <f>TABL12[[#This Row],[ (RESV. STORGE) SER]]/10</f>
        <v/>
      </c>
      <c r="AO294" s="6" t="n">
        <v>1840</v>
      </c>
      <c r="AP294" s="32">
        <f>TABL12[[#This Row],[(A/S) AJD]]-TABL12[[#This Row],[SER_IN]]</f>
        <v/>
      </c>
    </row>
    <row r="295">
      <c r="A295" s="2" t="n">
        <v>45951</v>
      </c>
      <c r="B295" s="28" t="n">
        <v>37</v>
      </c>
      <c r="C295" s="28" t="n">
        <v>307</v>
      </c>
      <c r="D295" s="28" t="n">
        <v>37</v>
      </c>
      <c r="E295" s="28" t="n">
        <v>0</v>
      </c>
      <c r="F295" s="28" t="n">
        <v>61</v>
      </c>
      <c r="G295" s="28" t="n">
        <v>383</v>
      </c>
      <c r="H295" s="28" t="n">
        <v>42</v>
      </c>
      <c r="I295" s="28" t="n">
        <v>658</v>
      </c>
      <c r="J295" s="28" t="n">
        <v>40</v>
      </c>
      <c r="K295" s="28">
        <f>TABL12[[#This Row],[ (T/B) SAR]]+TABL12[[#This Row],[ (S/S) SAR]]</f>
        <v/>
      </c>
      <c r="L295" s="28" t="n">
        <v>315</v>
      </c>
      <c r="M295" s="29" t="n">
        <v>24.6</v>
      </c>
      <c r="N295" s="30" t="n">
        <v>7.48</v>
      </c>
      <c r="O295" s="9" t="n">
        <v>0</v>
      </c>
      <c r="P295" s="9">
        <f>TABL12[[#This Row],[ (S/S) SAR]]-TABL12[[#This Row],[(S/S) AJD]]</f>
        <v/>
      </c>
      <c r="Q295" s="9" t="n">
        <v>605</v>
      </c>
      <c r="R295" s="9">
        <f>TABL12[[#This Row],[ (T/B) SAR]]-TABL12[[#This Row],[(T/B) AJD]]</f>
        <v/>
      </c>
      <c r="S295" s="9">
        <f>TABL12[[#This Row],[S/S_CON.]]+TABL12[[#This Row],[T/B-CON.]]</f>
        <v/>
      </c>
      <c r="T295" s="9">
        <f>O295+Q295</f>
        <v/>
      </c>
      <c r="U295" s="9" t="n">
        <v>496</v>
      </c>
      <c r="V295" s="9" t="n">
        <v>91</v>
      </c>
      <c r="W295" s="9">
        <f>U295+V295</f>
        <v/>
      </c>
      <c r="X295" s="9">
        <f>T295-W295</f>
        <v/>
      </c>
      <c r="Y295" s="18" t="n">
        <v>92.242</v>
      </c>
      <c r="Z295" s="9" t="n">
        <v>342024</v>
      </c>
      <c r="AA295" s="9">
        <f>TABL12[[#This Row],[(RESV. STORGE) AJD]]/10</f>
        <v/>
      </c>
      <c r="AB295" s="3">
        <f>(Z295-Z294)/1000</f>
        <v/>
      </c>
      <c r="AC295" s="6" t="n">
        <v>2942</v>
      </c>
      <c r="AD295" s="5">
        <f>TABL12[[#This Row],[( S/S+T/B) AJD]]-(TABL12[[#This Row],[(A/B + A/S) AJD]]+TABL12[[#This Row],[(STORGE DIFF.) AJD]]+(TABL12[[#This Row],[AJD_Evaporation]]))</f>
        <v/>
      </c>
      <c r="AE295" s="6" t="n">
        <v>20</v>
      </c>
      <c r="AF295" s="33" t="n">
        <v>58.38</v>
      </c>
      <c r="AG295" s="6" t="n">
        <v>1215982</v>
      </c>
      <c r="AH295" s="6">
        <f>TABL12[[#This Row],[ (RESV. STORGE) BER]]/10</f>
        <v/>
      </c>
      <c r="AI295" s="6" t="n">
        <v>2525</v>
      </c>
      <c r="AJ295" s="6">
        <f>TABL12[[#This Row],[(A/B) AJD]]-TABL12[[#This Row],[BER_IN]]</f>
        <v/>
      </c>
      <c r="AK295" s="6" t="n">
        <v>0</v>
      </c>
      <c r="AL295" s="33" t="n">
        <v>43.207</v>
      </c>
      <c r="AM295" s="6" t="n">
        <v>3220660</v>
      </c>
      <c r="AN295" s="6">
        <f>TABL12[[#This Row],[ (RESV. STORGE) SER]]/10</f>
        <v/>
      </c>
      <c r="AO295" s="6" t="n">
        <v>1880</v>
      </c>
      <c r="AP295" s="32">
        <f>TABL12[[#This Row],[(A/S) AJD]]-TABL12[[#This Row],[SER_IN]]</f>
        <v/>
      </c>
    </row>
    <row r="296">
      <c r="A296" s="2" t="n">
        <v>45952</v>
      </c>
      <c r="B296" s="28" t="n">
        <v>37</v>
      </c>
      <c r="C296" s="28" t="n">
        <v>307</v>
      </c>
      <c r="D296" s="28" t="n">
        <v>37</v>
      </c>
      <c r="E296" s="28" t="n">
        <v>0</v>
      </c>
      <c r="F296" s="28" t="n">
        <v>61</v>
      </c>
      <c r="G296" s="28" t="n">
        <v>344</v>
      </c>
      <c r="H296" s="28" t="n">
        <v>42</v>
      </c>
      <c r="I296" s="28" t="n">
        <v>622</v>
      </c>
      <c r="J296" s="28" t="n">
        <v>37</v>
      </c>
      <c r="K296" s="28">
        <f>TABL12[[#This Row],[ (T/B) SAR]]+TABL12[[#This Row],[ (S/S) SAR]]</f>
        <v/>
      </c>
      <c r="L296" s="28" t="n">
        <v>315</v>
      </c>
      <c r="M296" s="29" t="n">
        <v>24.6</v>
      </c>
      <c r="N296" s="30" t="n">
        <v>7.48</v>
      </c>
      <c r="O296" s="9" t="n">
        <v>0</v>
      </c>
      <c r="P296" s="9">
        <f>TABL12[[#This Row],[ (S/S) SAR]]-TABL12[[#This Row],[(S/S) AJD]]</f>
        <v/>
      </c>
      <c r="Q296" s="9" t="n">
        <v>604</v>
      </c>
      <c r="R296" s="9">
        <f>TABL12[[#This Row],[ (T/B) SAR]]-TABL12[[#This Row],[(T/B) AJD]]</f>
        <v/>
      </c>
      <c r="S296" s="9">
        <f>TABL12[[#This Row],[S/S_CON.]]+TABL12[[#This Row],[T/B-CON.]]</f>
        <v/>
      </c>
      <c r="T296" s="9">
        <f>O296+Q296</f>
        <v/>
      </c>
      <c r="U296" s="9" t="n">
        <v>496</v>
      </c>
      <c r="V296" s="9" t="n">
        <v>92</v>
      </c>
      <c r="W296" s="9">
        <f>U296+V296</f>
        <v/>
      </c>
      <c r="X296" s="9">
        <f>T296-W296</f>
        <v/>
      </c>
      <c r="Y296" s="18" t="n">
        <v>92.21299999999999</v>
      </c>
      <c r="Z296" s="9" t="n">
        <v>324227</v>
      </c>
      <c r="AA296" s="9">
        <f>TABL12[[#This Row],[(RESV. STORGE) AJD]]/10</f>
        <v/>
      </c>
      <c r="AB296" s="3">
        <f>(Z296-Z295)/1000</f>
        <v/>
      </c>
      <c r="AC296" s="6" t="n">
        <v>2942</v>
      </c>
      <c r="AD296" s="5">
        <f>TABL12[[#This Row],[( S/S+T/B) AJD]]-(TABL12[[#This Row],[(A/B + A/S) AJD]]+TABL12[[#This Row],[(STORGE DIFF.) AJD]]+(TABL12[[#This Row],[AJD_Evaporation]]))</f>
        <v/>
      </c>
      <c r="AE296" s="6" t="n">
        <v>20</v>
      </c>
      <c r="AF296" s="33" t="n">
        <v>58.345</v>
      </c>
      <c r="AG296" s="6" t="n">
        <v>1193068</v>
      </c>
      <c r="AH296" s="6">
        <f>TABL12[[#This Row],[ (RESV. STORGE) BER]]/10</f>
        <v/>
      </c>
      <c r="AI296" s="6" t="n">
        <v>2659</v>
      </c>
      <c r="AJ296" s="6">
        <f>TABL12[[#This Row],[(A/B) AJD]]-TABL12[[#This Row],[BER_IN]]</f>
        <v/>
      </c>
      <c r="AK296" s="6" t="n">
        <v>0</v>
      </c>
      <c r="AL296" s="33" t="n">
        <v>43.081</v>
      </c>
      <c r="AM296" s="6" t="n">
        <v>3152070</v>
      </c>
      <c r="AN296" s="6">
        <f>TABL12[[#This Row],[ (RESV. STORGE) SER]]/10</f>
        <v/>
      </c>
      <c r="AO296" s="6" t="n">
        <v>1890</v>
      </c>
      <c r="AP296" s="32">
        <f>TABL12[[#This Row],[(A/S) AJD]]-TABL12[[#This Row],[SER_IN]]</f>
        <v/>
      </c>
    </row>
    <row r="297">
      <c r="A297" s="2" t="n">
        <v>45953</v>
      </c>
      <c r="B297" s="28" t="n">
        <v>37</v>
      </c>
      <c r="C297" s="28" t="n">
        <v>305</v>
      </c>
      <c r="D297" s="28" t="n">
        <v>37</v>
      </c>
      <c r="E297" s="28" t="n">
        <v>0</v>
      </c>
      <c r="F297" s="28" t="n">
        <v>61</v>
      </c>
      <c r="G297" s="28" t="n">
        <v>376</v>
      </c>
      <c r="H297" s="28" t="n">
        <v>42</v>
      </c>
      <c r="I297" s="28" t="n">
        <v>652</v>
      </c>
      <c r="J297" s="28" t="n">
        <v>39</v>
      </c>
      <c r="K297" s="28">
        <f>TABL12[[#This Row],[ (T/B) SAR]]+TABL12[[#This Row],[ (S/S) SAR]]</f>
        <v/>
      </c>
      <c r="L297" s="28" t="n">
        <v>315</v>
      </c>
      <c r="M297" s="29" t="n">
        <v>24.6</v>
      </c>
      <c r="N297" s="30" t="n">
        <v>7.47</v>
      </c>
      <c r="O297" s="9" t="n">
        <v>0</v>
      </c>
      <c r="P297" s="9">
        <f>TABL12[[#This Row],[ (S/S) SAR]]-TABL12[[#This Row],[(S/S) AJD]]</f>
        <v/>
      </c>
      <c r="Q297" s="9" t="n">
        <v>567</v>
      </c>
      <c r="R297" s="9">
        <f>TABL12[[#This Row],[ (T/B) SAR]]-TABL12[[#This Row],[(T/B) AJD]]</f>
        <v/>
      </c>
      <c r="S297" s="9">
        <f>TABL12[[#This Row],[S/S_CON.]]+TABL12[[#This Row],[T/B-CON.]]</f>
        <v/>
      </c>
      <c r="T297" s="9">
        <f>O297+Q297</f>
        <v/>
      </c>
      <c r="U297" s="9" t="n">
        <v>452</v>
      </c>
      <c r="V297" s="9" t="n">
        <v>89</v>
      </c>
      <c r="W297" s="9">
        <f>U297+V297</f>
        <v/>
      </c>
      <c r="X297" s="9">
        <f>T297-W297</f>
        <v/>
      </c>
      <c r="Y297" s="18" t="n">
        <v>92.223</v>
      </c>
      <c r="Z297" s="9" t="n">
        <v>331937</v>
      </c>
      <c r="AA297" s="9">
        <f>TABL12[[#This Row],[(RESV. STORGE) AJD]]/10</f>
        <v/>
      </c>
      <c r="AB297" s="3">
        <f>(Z297-Z296)/1000</f>
        <v/>
      </c>
      <c r="AC297" s="6" t="n">
        <v>2106</v>
      </c>
      <c r="AD297" s="5">
        <f>TABL12[[#This Row],[( S/S+T/B) AJD]]-(TABL12[[#This Row],[(A/B + A/S) AJD]]+TABL12[[#This Row],[(STORGE DIFF.) AJD]]+(TABL12[[#This Row],[AJD_Evaporation]]))</f>
        <v/>
      </c>
      <c r="AE297" s="6" t="n">
        <v>20</v>
      </c>
      <c r="AF297" s="33" t="n">
        <v>58.311</v>
      </c>
      <c r="AG297" s="6" t="n">
        <v>1170818</v>
      </c>
      <c r="AH297" s="6">
        <f>TABL12[[#This Row],[ (RESV. STORGE) BER]]/10</f>
        <v/>
      </c>
      <c r="AI297" s="6" t="n">
        <v>2409</v>
      </c>
      <c r="AJ297" s="6">
        <f>TABL12[[#This Row],[(A/B) AJD]]-TABL12[[#This Row],[BER_IN]]</f>
        <v/>
      </c>
      <c r="AK297" s="6" t="n">
        <v>0</v>
      </c>
      <c r="AL297" s="33" t="n">
        <v>42.965</v>
      </c>
      <c r="AM297" s="6" t="n">
        <v>3089810</v>
      </c>
      <c r="AN297" s="6">
        <f>TABL12[[#This Row],[ (RESV. STORGE) SER]]/10</f>
        <v/>
      </c>
      <c r="AO297" s="6" t="n">
        <v>1860</v>
      </c>
      <c r="AP297" s="32">
        <f>TABL12[[#This Row],[(A/S) AJD]]-TABL12[[#This Row],[SER_IN]]</f>
        <v/>
      </c>
    </row>
    <row r="298">
      <c r="A298" s="2" t="n">
        <v>45954</v>
      </c>
      <c r="B298" s="28" t="n">
        <v>36</v>
      </c>
      <c r="C298" s="28" t="n">
        <v>302</v>
      </c>
      <c r="D298" s="28" t="n">
        <v>36</v>
      </c>
      <c r="E298" s="28" t="n">
        <v>0</v>
      </c>
      <c r="F298" s="28" t="n">
        <v>61</v>
      </c>
      <c r="G298" s="28" t="n">
        <v>389</v>
      </c>
      <c r="H298" s="28" t="n">
        <v>42</v>
      </c>
      <c r="I298" s="28" t="n">
        <v>665</v>
      </c>
      <c r="J298" s="28" t="n">
        <v>39</v>
      </c>
      <c r="K298" s="28">
        <f>TABL12[[#This Row],[ (T/B) SAR]]+TABL12[[#This Row],[ (S/S) SAR]]</f>
        <v/>
      </c>
      <c r="L298" s="28" t="n">
        <v>315</v>
      </c>
      <c r="M298" s="29" t="n">
        <v>24.6</v>
      </c>
      <c r="N298" s="30" t="n">
        <v>7.46</v>
      </c>
      <c r="O298" s="9" t="n">
        <v>0</v>
      </c>
      <c r="P298" s="9">
        <f>TABL12[[#This Row],[ (S/S) SAR]]-TABL12[[#This Row],[(S/S) AJD]]</f>
        <v/>
      </c>
      <c r="Q298" s="9" t="n">
        <v>602</v>
      </c>
      <c r="R298" s="9">
        <f>TABL12[[#This Row],[ (T/B) SAR]]-TABL12[[#This Row],[(T/B) AJD]]</f>
        <v/>
      </c>
      <c r="S298" s="9">
        <f>TABL12[[#This Row],[S/S_CON.]]+TABL12[[#This Row],[T/B-CON.]]</f>
        <v/>
      </c>
      <c r="T298" s="9">
        <f>O298+Q298</f>
        <v/>
      </c>
      <c r="U298" s="9" t="n">
        <v>510</v>
      </c>
      <c r="V298" s="9" t="n">
        <v>90</v>
      </c>
      <c r="W298" s="9">
        <f>U298+V298</f>
        <v/>
      </c>
      <c r="X298" s="9">
        <f>T298-W298</f>
        <v/>
      </c>
      <c r="Y298" s="18" t="n">
        <v>92.185</v>
      </c>
      <c r="Z298" s="9" t="n">
        <v>309393</v>
      </c>
      <c r="AA298" s="9">
        <f>TABL12[[#This Row],[(RESV. STORGE) AJD]]/10</f>
        <v/>
      </c>
      <c r="AB298" s="3">
        <f>(Z298-Z297)/1000</f>
        <v/>
      </c>
      <c r="AC298" s="6" t="n">
        <v>1910</v>
      </c>
      <c r="AD298" s="5">
        <f>TABL12[[#This Row],[( S/S+T/B) AJD]]-(TABL12[[#This Row],[(A/B + A/S) AJD]]+TABL12[[#This Row],[(STORGE DIFF.) AJD]]+(TABL12[[#This Row],[AJD_Evaporation]]))</f>
        <v/>
      </c>
      <c r="AE298" s="6" t="n">
        <v>20</v>
      </c>
      <c r="AF298" s="33" t="n">
        <v>58.28</v>
      </c>
      <c r="AG298" s="6" t="n">
        <v>1150540</v>
      </c>
      <c r="AH298" s="6">
        <f>TABL12[[#This Row],[ (RESV. STORGE) BER]]/10</f>
        <v/>
      </c>
      <c r="AI298" s="6" t="n">
        <v>2662</v>
      </c>
      <c r="AJ298" s="6">
        <f>TABL12[[#This Row],[(A/B) AJD]]-TABL12[[#This Row],[BER_IN]]</f>
        <v/>
      </c>
      <c r="AK298" s="6" t="n">
        <v>0</v>
      </c>
      <c r="AL298" s="33" t="n">
        <v>42.87</v>
      </c>
      <c r="AM298" s="6" t="n">
        <v>3037920</v>
      </c>
      <c r="AN298" s="6">
        <f>TABL12[[#This Row],[ (RESV. STORGE) SER]]/10</f>
        <v/>
      </c>
      <c r="AO298" s="6" t="n">
        <v>1890</v>
      </c>
      <c r="AP298" s="32">
        <f>TABL12[[#This Row],[(A/S) AJD]]-TABL12[[#This Row],[SER_IN]]</f>
        <v/>
      </c>
    </row>
    <row r="299">
      <c r="A299" s="2" t="n">
        <v>45955</v>
      </c>
      <c r="B299" s="28" t="n">
        <v>36</v>
      </c>
      <c r="C299" s="28" t="n">
        <v>299</v>
      </c>
      <c r="D299" s="28" t="n">
        <v>36</v>
      </c>
      <c r="E299" s="28" t="n">
        <v>0</v>
      </c>
      <c r="F299" s="28" t="n">
        <v>61</v>
      </c>
      <c r="G299" s="28" t="n">
        <v>389</v>
      </c>
      <c r="H299" s="28" t="n">
        <v>42</v>
      </c>
      <c r="I299" s="28" t="n">
        <v>665</v>
      </c>
      <c r="J299" s="28" t="n">
        <v>39</v>
      </c>
      <c r="K299" s="28">
        <f>TABL12[[#This Row],[ (T/B) SAR]]+TABL12[[#This Row],[ (S/S) SAR]]</f>
        <v/>
      </c>
      <c r="L299" s="28" t="n">
        <v>315</v>
      </c>
      <c r="M299" s="29" t="n">
        <v>24.6</v>
      </c>
      <c r="N299" s="30" t="n">
        <v>7.42</v>
      </c>
      <c r="O299" s="9" t="n">
        <v>0</v>
      </c>
      <c r="P299" s="9">
        <f>TABL12[[#This Row],[ (S/S) SAR]]-TABL12[[#This Row],[(S/S) AJD]]</f>
        <v/>
      </c>
      <c r="Q299" s="9" t="n">
        <v>610</v>
      </c>
      <c r="R299" s="9">
        <f>TABL12[[#This Row],[ (T/B) SAR]]-TABL12[[#This Row],[(T/B) AJD]]</f>
        <v/>
      </c>
      <c r="S299" s="9">
        <f>TABL12[[#This Row],[S/S_CON.]]+TABL12[[#This Row],[T/B-CON.]]</f>
        <v/>
      </c>
      <c r="T299" s="9">
        <f>O299+Q299</f>
        <v/>
      </c>
      <c r="U299" s="9" t="n">
        <v>453</v>
      </c>
      <c r="V299" s="9" t="n">
        <v>91</v>
      </c>
      <c r="W299" s="9">
        <f>U299+V299</f>
        <v/>
      </c>
      <c r="X299" s="9">
        <f>T299-W299</f>
        <v/>
      </c>
      <c r="Y299" s="18" t="n">
        <v>92.252</v>
      </c>
      <c r="Z299" s="9" t="n">
        <v>349925</v>
      </c>
      <c r="AA299" s="9">
        <f>TABL12[[#This Row],[(RESV. STORGE) AJD]]/10</f>
        <v/>
      </c>
      <c r="AB299" s="3">
        <f>(Z299-Z298)/1000</f>
        <v/>
      </c>
      <c r="AC299" s="6" t="n">
        <v>1857</v>
      </c>
      <c r="AD299" s="5">
        <f>TABL12[[#This Row],[( S/S+T/B) AJD]]-(TABL12[[#This Row],[(A/B + A/S) AJD]]+TABL12[[#This Row],[(STORGE DIFF.) AJD]]+(TABL12[[#This Row],[AJD_Evaporation]]))</f>
        <v/>
      </c>
      <c r="AE299" s="6" t="n">
        <v>20</v>
      </c>
      <c r="AF299" s="33" t="n"/>
      <c r="AG299" s="6" t="n"/>
      <c r="AH299" s="6">
        <f>TABL12[[#This Row],[ (RESV. STORGE) BER]]/10</f>
        <v/>
      </c>
      <c r="AI299" s="6" t="n">
        <v>3237</v>
      </c>
      <c r="AJ299" s="6">
        <f>TABL12[[#This Row],[(A/B) AJD]]-TABL12[[#This Row],[BER_IN]]</f>
        <v/>
      </c>
      <c r="AK299" s="6" t="n">
        <v>0</v>
      </c>
      <c r="AL299" s="33" t="n">
        <v>42.774</v>
      </c>
      <c r="AM299" s="6" t="n">
        <v>2986640</v>
      </c>
      <c r="AN299" s="6">
        <f>TABL12[[#This Row],[ (RESV. STORGE) SER]]/10</f>
        <v/>
      </c>
      <c r="AO299" s="6" t="n">
        <v>1800</v>
      </c>
      <c r="AP299" s="32">
        <f>TABL12[[#This Row],[(A/S) AJD]]-TABL12[[#This Row],[SER_IN]]</f>
        <v/>
      </c>
    </row>
    <row r="300">
      <c r="A300" s="2" t="n">
        <v>45956</v>
      </c>
      <c r="B300" s="28" t="n">
        <v>37</v>
      </c>
      <c r="C300" s="28" t="n">
        <v>282</v>
      </c>
      <c r="D300" s="28" t="n">
        <v>37</v>
      </c>
      <c r="E300" s="28" t="n">
        <v>0</v>
      </c>
      <c r="F300" s="28" t="n">
        <v>61</v>
      </c>
      <c r="G300" s="28" t="n">
        <v>389</v>
      </c>
      <c r="H300" s="28" t="n">
        <v>42</v>
      </c>
      <c r="I300" s="28" t="n">
        <v>665</v>
      </c>
      <c r="J300" s="28" t="n">
        <v>39</v>
      </c>
      <c r="K300" s="28">
        <f>TABL12[[#This Row],[ (T/B) SAR]]+TABL12[[#This Row],[ (S/S) SAR]]</f>
        <v/>
      </c>
      <c r="L300" s="28" t="n">
        <v>315</v>
      </c>
      <c r="M300" s="29" t="n">
        <v>24.6</v>
      </c>
      <c r="N300" s="30" t="n">
        <v>7.34</v>
      </c>
      <c r="O300" s="9" t="n">
        <v>0</v>
      </c>
      <c r="P300" s="9">
        <f>TABL12[[#This Row],[ (S/S) SAR]]-TABL12[[#This Row],[(S/S) AJD]]</f>
        <v/>
      </c>
      <c r="Q300" s="9" t="n">
        <v>607</v>
      </c>
      <c r="R300" s="9">
        <f>TABL12[[#This Row],[ (T/B) SAR]]-TABL12[[#This Row],[(T/B) AJD]]</f>
        <v/>
      </c>
      <c r="S300" s="9">
        <f>TABL12[[#This Row],[S/S_CON.]]+TABL12[[#This Row],[T/B-CON.]]</f>
        <v/>
      </c>
      <c r="T300" s="9">
        <f>O300+Q300</f>
        <v/>
      </c>
      <c r="U300" s="9" t="n">
        <v>461</v>
      </c>
      <c r="V300" s="9" t="n">
        <v>91</v>
      </c>
      <c r="W300" s="9">
        <f>U300+V300</f>
        <v/>
      </c>
      <c r="X300" s="9">
        <f>T300-W300</f>
        <v/>
      </c>
      <c r="Y300" s="18" t="n">
        <v>92.298</v>
      </c>
      <c r="Z300" s="9" t="n">
        <v>376678</v>
      </c>
      <c r="AA300" s="9">
        <f>TABL12[[#This Row],[(RESV. STORGE) AJD]]/10</f>
        <v/>
      </c>
      <c r="AB300" s="3">
        <f>(Z300-Z299)/1000</f>
        <v/>
      </c>
      <c r="AC300" s="6" t="n">
        <v>2374</v>
      </c>
      <c r="AD300" s="5">
        <f>TABL12[[#This Row],[( S/S+T/B) AJD]]-(TABL12[[#This Row],[(A/B + A/S) AJD]]+TABL12[[#This Row],[(STORGE DIFF.) AJD]]+(TABL12[[#This Row],[AJD_Evaporation]]))</f>
        <v/>
      </c>
      <c r="AE300" s="6" t="n">
        <v>50</v>
      </c>
      <c r="AF300" s="33" t="n">
        <v>58.318</v>
      </c>
      <c r="AG300" s="6" t="n">
        <v>1175398</v>
      </c>
      <c r="AH300" s="6">
        <f>TABL12[[#This Row],[ (RESV. STORGE) BER]]/10</f>
        <v/>
      </c>
      <c r="AI300" s="6" t="n">
        <v>3263</v>
      </c>
      <c r="AJ300" s="6">
        <f>TABL12[[#This Row],[(A/B) AJD]]-TABL12[[#This Row],[BER_IN]]</f>
        <v/>
      </c>
      <c r="AK300" s="6" t="n">
        <v>0</v>
      </c>
      <c r="AL300" s="33" t="n">
        <v>42.667</v>
      </c>
      <c r="AM300" s="6" t="n">
        <v>2928430</v>
      </c>
      <c r="AN300" s="6">
        <f>TABL12[[#This Row],[ (RESV. STORGE) SER]]/10</f>
        <v/>
      </c>
      <c r="AO300" s="6" t="n">
        <v>1800</v>
      </c>
      <c r="AP300" s="32">
        <f>TABL12[[#This Row],[(A/S) AJD]]-TABL12[[#This Row],[SER_IN]]</f>
        <v/>
      </c>
    </row>
    <row r="301">
      <c r="A301" s="2" t="n">
        <v>45957</v>
      </c>
      <c r="B301" s="28" t="n">
        <v>38</v>
      </c>
      <c r="C301" s="28" t="n">
        <v>298</v>
      </c>
      <c r="D301" s="28" t="n">
        <v>38</v>
      </c>
      <c r="E301" s="28" t="n">
        <v>0</v>
      </c>
      <c r="F301" s="28" t="n">
        <v>61</v>
      </c>
      <c r="G301" s="28" t="n">
        <v>389</v>
      </c>
      <c r="H301" s="28" t="n">
        <v>42</v>
      </c>
      <c r="I301" s="28" t="n">
        <v>665</v>
      </c>
      <c r="J301" s="28" t="n">
        <v>39</v>
      </c>
      <c r="K301" s="28">
        <f>TABL12[[#This Row],[ (T/B) SAR]]+TABL12[[#This Row],[ (S/S) SAR]]</f>
        <v/>
      </c>
      <c r="L301" s="28" t="n">
        <v>315</v>
      </c>
      <c r="M301" s="29" t="n">
        <v>24.6</v>
      </c>
      <c r="N301" s="30" t="n">
        <v>7.29</v>
      </c>
      <c r="O301" s="9" t="n">
        <v>0</v>
      </c>
      <c r="P301" s="9">
        <f>TABL12[[#This Row],[ (S/S) SAR]]-TABL12[[#This Row],[(S/S) AJD]]</f>
        <v/>
      </c>
      <c r="Q301" s="9" t="n">
        <v>606</v>
      </c>
      <c r="R301" s="9">
        <f>TABL12[[#This Row],[ (T/B) SAR]]-TABL12[[#This Row],[(T/B) AJD]]</f>
        <v/>
      </c>
      <c r="S301" s="9">
        <f>TABL12[[#This Row],[S/S_CON.]]+TABL12[[#This Row],[T/B-CON.]]</f>
        <v/>
      </c>
      <c r="T301" s="9">
        <f>O301+Q301</f>
        <v/>
      </c>
      <c r="U301" s="9" t="n">
        <v>502</v>
      </c>
      <c r="V301" s="9" t="n">
        <v>83</v>
      </c>
      <c r="W301" s="9">
        <f>U301+V301</f>
        <v/>
      </c>
      <c r="X301" s="9">
        <f>T301-W301</f>
        <v/>
      </c>
      <c r="Y301" s="18" t="n">
        <v>92.28</v>
      </c>
      <c r="Z301" s="9" t="n">
        <v>365774</v>
      </c>
      <c r="AA301" s="9">
        <f>TABL12[[#This Row],[(RESV. STORGE) AJD]]/10</f>
        <v/>
      </c>
      <c r="AB301" s="3">
        <f>(Z301-Z300)/1000</f>
        <v/>
      </c>
      <c r="AC301" s="6" t="n">
        <v>2253</v>
      </c>
      <c r="AD301" s="5">
        <f>TABL12[[#This Row],[( S/S+T/B) AJD]]-(TABL12[[#This Row],[(A/B + A/S) AJD]]+TABL12[[#This Row],[(STORGE DIFF.) AJD]]+(TABL12[[#This Row],[AJD_Evaporation]]))</f>
        <v/>
      </c>
      <c r="AE301" s="6" t="n">
        <v>92</v>
      </c>
      <c r="AF301" s="33" t="n">
        <v>58.391</v>
      </c>
      <c r="AG301" s="6" t="n">
        <v>1228187</v>
      </c>
      <c r="AH301" s="6">
        <f>TABL12[[#This Row],[ (RESV. STORGE) BER]]/10</f>
        <v/>
      </c>
      <c r="AI301" s="6" t="n">
        <v>3371</v>
      </c>
      <c r="AJ301" s="6">
        <f>TABL12[[#This Row],[(A/B) AJD]]-TABL12[[#This Row],[BER_IN]]</f>
        <v/>
      </c>
      <c r="AK301" s="6" t="n">
        <v>0</v>
      </c>
      <c r="AL301" s="33" t="n">
        <v>42.553</v>
      </c>
      <c r="AM301" s="6" t="n">
        <v>2867090</v>
      </c>
      <c r="AN301" s="6">
        <f>TABL12[[#This Row],[ (RESV. STORGE) SER]]/10</f>
        <v/>
      </c>
      <c r="AO301" s="6" t="n">
        <v>1840</v>
      </c>
      <c r="AP301" s="32">
        <f>TABL12[[#This Row],[(A/S) AJD]]-TABL12[[#This Row],[SER_IN]]</f>
        <v/>
      </c>
    </row>
    <row r="302">
      <c r="A302" s="2" t="n">
        <v>45958</v>
      </c>
      <c r="B302" s="28" t="n">
        <v>38</v>
      </c>
      <c r="C302" s="28" t="n">
        <v>310</v>
      </c>
      <c r="D302" s="28" t="n">
        <v>38</v>
      </c>
      <c r="E302" s="28" t="n">
        <v>0</v>
      </c>
      <c r="F302" s="28" t="n">
        <v>61</v>
      </c>
      <c r="G302" s="28" t="n">
        <v>384</v>
      </c>
      <c r="H302" s="28" t="n">
        <v>42</v>
      </c>
      <c r="I302" s="28" t="n">
        <v>660</v>
      </c>
      <c r="J302" s="28" t="n">
        <v>39</v>
      </c>
      <c r="K302" s="28">
        <f>TABL12[[#This Row],[ (T/B) SAR]]+TABL12[[#This Row],[ (S/S) SAR]]</f>
        <v/>
      </c>
      <c r="L302" s="28" t="n">
        <v>315</v>
      </c>
      <c r="M302" s="29" t="n">
        <v>24.6</v>
      </c>
      <c r="N302" s="30" t="n">
        <v>7.3</v>
      </c>
      <c r="O302" s="9" t="n">
        <v>0</v>
      </c>
      <c r="P302" s="9">
        <f>TABL12[[#This Row],[ (S/S) SAR]]-TABL12[[#This Row],[(S/S) AJD]]</f>
        <v/>
      </c>
      <c r="Q302" s="9" t="n">
        <v>604</v>
      </c>
      <c r="R302" s="9">
        <f>TABL12[[#This Row],[ (T/B) SAR]]-TABL12[[#This Row],[(T/B) AJD]]</f>
        <v/>
      </c>
      <c r="S302" s="9">
        <f>TABL12[[#This Row],[S/S_CON.]]+TABL12[[#This Row],[T/B-CON.]]</f>
        <v/>
      </c>
      <c r="T302" s="9">
        <f>O302+Q302</f>
        <v/>
      </c>
      <c r="U302" s="9" t="n">
        <v>562</v>
      </c>
      <c r="V302" s="9" t="n">
        <v>90</v>
      </c>
      <c r="W302" s="9">
        <f>U302+V302</f>
        <v/>
      </c>
      <c r="X302" s="9">
        <f>T302-W302</f>
        <v/>
      </c>
      <c r="Y302" s="18" t="n">
        <v>92.148</v>
      </c>
      <c r="Z302" s="9" t="n">
        <v>287457</v>
      </c>
      <c r="AA302" s="9">
        <f>TABL12[[#This Row],[(RESV. STORGE) AJD]]/10</f>
        <v/>
      </c>
      <c r="AB302" s="3">
        <f>(Z302-Z301)/1000</f>
        <v/>
      </c>
      <c r="AC302" s="6" t="n">
        <v>3071</v>
      </c>
      <c r="AD302" s="5">
        <f>TABL12[[#This Row],[( S/S+T/B) AJD]]-(TABL12[[#This Row],[(A/B + A/S) AJD]]+TABL12[[#This Row],[(STORGE DIFF.) AJD]]+(TABL12[[#This Row],[AJD_Evaporation]]))</f>
        <v/>
      </c>
      <c r="AE302" s="6" t="n">
        <v>110</v>
      </c>
      <c r="AF302" s="33" t="n">
        <v>58.391</v>
      </c>
      <c r="AG302" s="6" t="n">
        <v>1290036</v>
      </c>
      <c r="AH302" s="6">
        <f>TABL12[[#This Row],[ (RESV. STORGE) BER]]/10</f>
        <v/>
      </c>
      <c r="AI302" s="6" t="n">
        <v>3310</v>
      </c>
      <c r="AJ302" s="6">
        <f>TABL12[[#This Row],[(A/B) AJD]]-TABL12[[#This Row],[BER_IN]]</f>
        <v/>
      </c>
      <c r="AK302" s="6" t="n">
        <v>0</v>
      </c>
      <c r="AL302" s="33" t="n">
        <v>42.445</v>
      </c>
      <c r="AM302" s="6" t="n">
        <v>2809150</v>
      </c>
      <c r="AN302" s="6">
        <f>TABL12[[#This Row],[ (RESV. STORGE) SER]]/10</f>
        <v/>
      </c>
      <c r="AO302" s="6" t="n">
        <v>1840</v>
      </c>
      <c r="AP302" s="32">
        <f>TABL12[[#This Row],[(A/S) AJD]]-TABL12[[#This Row],[SER_IN]]</f>
        <v/>
      </c>
    </row>
    <row r="303">
      <c r="A303" s="2" t="n">
        <v>45959</v>
      </c>
      <c r="B303" s="28" t="n">
        <v>39</v>
      </c>
      <c r="C303" s="28" t="n">
        <v>317</v>
      </c>
      <c r="D303" s="28" t="n">
        <v>39</v>
      </c>
      <c r="E303" s="28" t="n">
        <v>0</v>
      </c>
      <c r="F303" s="28" t="n">
        <v>61</v>
      </c>
      <c r="G303" s="28" t="n">
        <v>389</v>
      </c>
      <c r="H303" s="28" t="n">
        <v>42</v>
      </c>
      <c r="I303" s="28" t="n">
        <v>665</v>
      </c>
      <c r="J303" s="28" t="n">
        <v>34</v>
      </c>
      <c r="K303" s="28">
        <f>TABL12[[#This Row],[ (T/B) SAR]]+TABL12[[#This Row],[ (S/S) SAR]]</f>
        <v/>
      </c>
      <c r="L303" s="28" t="n">
        <v>315</v>
      </c>
      <c r="M303" s="29" t="n">
        <v>24.6</v>
      </c>
      <c r="N303" s="30" t="n">
        <v>7.35</v>
      </c>
      <c r="O303" s="9" t="n">
        <v>9</v>
      </c>
      <c r="P303" s="9">
        <f>TABL12[[#This Row],[ (S/S) SAR]]-TABL12[[#This Row],[(S/S) AJD]]</f>
        <v/>
      </c>
      <c r="Q303" s="9" t="n">
        <v>600</v>
      </c>
      <c r="R303" s="9">
        <f>TABL12[[#This Row],[ (T/B) SAR]]-TABL12[[#This Row],[(T/B) AJD]]</f>
        <v/>
      </c>
      <c r="S303" s="9">
        <f>TABL12[[#This Row],[S/S_CON.]]+TABL12[[#This Row],[T/B-CON.]]</f>
        <v/>
      </c>
      <c r="T303" s="9">
        <f>O303+Q303</f>
        <v/>
      </c>
      <c r="U303" s="9" t="n">
        <v>572</v>
      </c>
      <c r="V303" s="9" t="n">
        <v>90</v>
      </c>
      <c r="W303" s="9">
        <f>U303+V303</f>
        <v/>
      </c>
      <c r="X303" s="9">
        <f>T303-W303</f>
        <v/>
      </c>
      <c r="Y303" s="18" t="n">
        <v>92.023</v>
      </c>
      <c r="Z303" s="9" t="n">
        <v>213424</v>
      </c>
      <c r="AA303" s="9">
        <f>TABL12[[#This Row],[(RESV. STORGE) AJD]]/10</f>
        <v/>
      </c>
      <c r="AB303" s="3">
        <f>(Z303-Z302)/1000</f>
        <v/>
      </c>
      <c r="AC303" s="6" t="n">
        <v>1828</v>
      </c>
      <c r="AD303" s="5">
        <f>TABL12[[#This Row],[( S/S+T/B) AJD]]-(TABL12[[#This Row],[(A/B + A/S) AJD]]+TABL12[[#This Row],[(STORGE DIFF.) AJD]]+(TABL12[[#This Row],[AJD_Evaporation]]))</f>
        <v/>
      </c>
      <c r="AE303" s="6" t="n">
        <v>120</v>
      </c>
      <c r="AF303" s="33" t="n">
        <v>58.608</v>
      </c>
      <c r="AG303" s="6" t="n">
        <v>1365513</v>
      </c>
      <c r="AH303" s="6">
        <f>TABL12[[#This Row],[ (RESV. STORGE) BER]]/10</f>
        <v/>
      </c>
      <c r="AI303" s="6" t="n">
        <v>3299</v>
      </c>
      <c r="AJ303" s="6">
        <f>TABL12[[#This Row],[(A/B) AJD]]-TABL12[[#This Row],[BER_IN]]</f>
        <v/>
      </c>
      <c r="AK303" s="6" t="n">
        <v>0</v>
      </c>
      <c r="AL303" s="33" t="n">
        <v>42.345</v>
      </c>
      <c r="AM303" s="6" t="n">
        <v>2755500</v>
      </c>
      <c r="AN303" s="6">
        <f>TABL12[[#This Row],[ (RESV. STORGE) SER]]/10</f>
        <v/>
      </c>
      <c r="AO303" s="6" t="n">
        <v>1850</v>
      </c>
      <c r="AP303" s="32">
        <f>TABL12[[#This Row],[(A/S) AJD]]-TABL12[[#This Row],[SER_IN]]</f>
        <v/>
      </c>
    </row>
    <row r="304">
      <c r="A304" s="2" t="n">
        <v>45960</v>
      </c>
      <c r="B304" s="28" t="n">
        <v>39</v>
      </c>
      <c r="C304" s="28" t="n">
        <v>318</v>
      </c>
      <c r="D304" s="28" t="n">
        <v>39</v>
      </c>
      <c r="E304" s="28" t="n">
        <v>0</v>
      </c>
      <c r="F304" s="28" t="n">
        <v>55</v>
      </c>
      <c r="G304" s="28" t="n">
        <v>344</v>
      </c>
      <c r="H304" s="28" t="n">
        <v>48</v>
      </c>
      <c r="I304" s="28" t="n">
        <v>336</v>
      </c>
      <c r="J304" s="28" t="n">
        <v>323</v>
      </c>
      <c r="K304" s="28">
        <f>TABL12[[#This Row],[ (T/B) SAR]]+TABL12[[#This Row],[ (S/S) SAR]]</f>
        <v/>
      </c>
      <c r="L304" s="28" t="n">
        <v>315</v>
      </c>
      <c r="M304" s="29" t="n">
        <v>24.6</v>
      </c>
      <c r="N304" s="30" t="n">
        <v>7.44</v>
      </c>
      <c r="O304" s="9" t="n">
        <v>41</v>
      </c>
      <c r="P304" s="9">
        <f>TABL12[[#This Row],[ (S/S) SAR]]-TABL12[[#This Row],[(S/S) AJD]]</f>
        <v/>
      </c>
      <c r="Q304" s="9" t="n">
        <v>528</v>
      </c>
      <c r="R304" s="9">
        <f>TABL12[[#This Row],[ (T/B) SAR]]-TABL12[[#This Row],[(T/B) AJD]]</f>
        <v/>
      </c>
      <c r="S304" s="9">
        <f>TABL12[[#This Row],[S/S_CON.]]+TABL12[[#This Row],[T/B-CON.]]</f>
        <v/>
      </c>
      <c r="T304" s="9">
        <f>O304+Q304</f>
        <v/>
      </c>
      <c r="U304" s="9" t="n">
        <v>501</v>
      </c>
      <c r="V304" s="9" t="n">
        <v>90</v>
      </c>
      <c r="W304" s="9">
        <f>U304+V304</f>
        <v/>
      </c>
      <c r="X304" s="9">
        <f>T304-W304</f>
        <v/>
      </c>
      <c r="Y304" s="18" t="n">
        <v>91.93600000000001</v>
      </c>
      <c r="Z304" s="9" t="n">
        <v>166967</v>
      </c>
      <c r="AA304" s="9">
        <f>TABL12[[#This Row],[(RESV. STORGE) AJD]]/10</f>
        <v/>
      </c>
      <c r="AB304" s="3">
        <f>(Z304-Z303)/1000</f>
        <v/>
      </c>
      <c r="AC304" s="6" t="n">
        <v>1862</v>
      </c>
      <c r="AD304" s="5">
        <f>TABL12[[#This Row],[( S/S+T/B) AJD]]-(TABL12[[#This Row],[(A/B + A/S) AJD]]+TABL12[[#This Row],[(STORGE DIFF.) AJD]]+(TABL12[[#This Row],[AJD_Evaporation]]))</f>
        <v/>
      </c>
      <c r="AE304" s="6" t="n">
        <v>143</v>
      </c>
      <c r="AF304" s="33" t="n">
        <v>58.7</v>
      </c>
      <c r="AG304" s="6" t="n">
        <v>1425977</v>
      </c>
      <c r="AH304" s="6">
        <f>TABL12[[#This Row],[ (RESV. STORGE) BER]]/10</f>
        <v/>
      </c>
      <c r="AI304" s="6" t="n">
        <v>2856</v>
      </c>
      <c r="AJ304" s="6">
        <f>TABL12[[#This Row],[(A/B) AJD]]-TABL12[[#This Row],[BER_IN]]</f>
        <v/>
      </c>
      <c r="AK304" s="6" t="n">
        <v>0</v>
      </c>
      <c r="AL304" s="33" t="n">
        <v>42.246</v>
      </c>
      <c r="AM304" s="6" t="n">
        <v>2702390</v>
      </c>
      <c r="AN304" s="6">
        <f>TABL12[[#This Row],[ (RESV. STORGE) SER]]/10</f>
        <v/>
      </c>
      <c r="AO304" s="6" t="n">
        <v>1910</v>
      </c>
      <c r="AP304" s="32">
        <f>TABL12[[#This Row],[(A/S) AJD]]-TABL12[[#This Row],[SER_IN]]</f>
        <v/>
      </c>
    </row>
    <row r="305">
      <c r="A305" s="2" t="n">
        <v>45961</v>
      </c>
      <c r="B305" s="28" t="n">
        <v>38</v>
      </c>
      <c r="C305" s="28" t="n">
        <v>317</v>
      </c>
      <c r="D305" s="28" t="n">
        <v>39</v>
      </c>
      <c r="E305" s="28" t="n">
        <v>0</v>
      </c>
      <c r="F305" s="28" t="n">
        <v>100</v>
      </c>
      <c r="G305" s="28" t="n">
        <v>631</v>
      </c>
      <c r="H305" s="28" t="n">
        <v>3</v>
      </c>
      <c r="I305" s="28" t="n">
        <v>480</v>
      </c>
      <c r="J305" s="28" t="n">
        <v>466</v>
      </c>
      <c r="K305" s="28">
        <f>TABL12[[#This Row],[ (T/B) SAR]]+TABL12[[#This Row],[ (S/S) SAR]]</f>
        <v/>
      </c>
      <c r="L305" s="28" t="n">
        <v>315</v>
      </c>
      <c r="M305" s="29" t="n">
        <v>24.6</v>
      </c>
      <c r="N305" s="30" t="n">
        <v>7.49</v>
      </c>
      <c r="O305" s="9" t="n">
        <v>280</v>
      </c>
      <c r="P305" s="9">
        <f>TABL12[[#This Row],[ (S/S) SAR]]-TABL12[[#This Row],[(S/S) AJD]]</f>
        <v/>
      </c>
      <c r="Q305" s="9" t="n">
        <v>317</v>
      </c>
      <c r="R305" s="9">
        <f>TABL12[[#This Row],[ (T/B) SAR]]-TABL12[[#This Row],[(T/B) AJD]]</f>
        <v/>
      </c>
      <c r="S305" s="9">
        <f>TABL12[[#This Row],[S/S_CON.]]+TABL12[[#This Row],[T/B-CON.]]</f>
        <v/>
      </c>
      <c r="T305" s="9">
        <f>O305+Q305</f>
        <v/>
      </c>
      <c r="U305" s="9" t="n">
        <v>541</v>
      </c>
      <c r="V305" s="9" t="n">
        <v>91</v>
      </c>
      <c r="W305" s="9">
        <f>U305+V305</f>
        <v/>
      </c>
      <c r="X305" s="9">
        <f>T305-W305</f>
        <v/>
      </c>
      <c r="Y305" s="18" t="n">
        <v>91.92</v>
      </c>
      <c r="Z305" s="9" t="n">
        <v>152512</v>
      </c>
      <c r="AA305" s="9">
        <f>TABL12[[#This Row],[(RESV. STORGE) AJD]]/10</f>
        <v/>
      </c>
      <c r="AB305" s="3">
        <f>(Z305-Z304)/1000</f>
        <v/>
      </c>
      <c r="AC305" s="6" t="n"/>
      <c r="AD305" s="5">
        <f>TABL12[[#This Row],[( S/S+T/B) AJD]]-(TABL12[[#This Row],[(A/B + A/S) AJD]]+TABL12[[#This Row],[(STORGE DIFF.) AJD]]+(TABL12[[#This Row],[AJD_Evaporation]]))</f>
        <v/>
      </c>
      <c r="AE305" s="6" t="n">
        <v>125</v>
      </c>
      <c r="AF305" s="33" t="n">
        <v>58.589</v>
      </c>
      <c r="AG305" s="6" t="n">
        <v>1353035</v>
      </c>
      <c r="AH305" s="6">
        <f>TABL12[[#This Row],[ (RESV. STORGE) BER]]/10</f>
        <v/>
      </c>
      <c r="AI305" s="6" t="n">
        <v>2853</v>
      </c>
      <c r="AJ305" s="6">
        <f>TABL12[[#This Row],[(A/B) AJD]]-TABL12[[#This Row],[BER_IN]]</f>
        <v/>
      </c>
      <c r="AK305" s="6" t="n">
        <v>0</v>
      </c>
      <c r="AL305" s="33" t="n">
        <v>42.146</v>
      </c>
      <c r="AM305" s="6" t="n">
        <v>2647663</v>
      </c>
      <c r="AN305" s="6">
        <f>TABL12[[#This Row],[ (RESV. STORGE) SER]]/10</f>
        <v/>
      </c>
      <c r="AO305" s="6" t="n">
        <v>1827</v>
      </c>
      <c r="AP305" s="32">
        <f>TABL12[[#This Row],[(A/S) AJD]]-TABL12[[#This Row],[SER_IN]]</f>
        <v/>
      </c>
    </row>
    <row r="306" ht="18.75" customHeight="1">
      <c r="A306" s="2" t="n">
        <v>45962</v>
      </c>
      <c r="B306" s="28" t="n">
        <v>39</v>
      </c>
      <c r="C306" s="28" t="n">
        <v>320</v>
      </c>
      <c r="D306" s="28" t="n">
        <v>39</v>
      </c>
      <c r="E306" s="28" t="n">
        <v>0</v>
      </c>
      <c r="F306" s="28" t="n">
        <v>100</v>
      </c>
      <c r="G306" s="28" t="n">
        <v>637</v>
      </c>
      <c r="H306" s="28" t="n">
        <v>3</v>
      </c>
      <c r="I306" s="28" t="n">
        <v>482</v>
      </c>
      <c r="J306" s="28" t="n">
        <v>470</v>
      </c>
      <c r="K306" s="28">
        <f>TABL12[[#This Row],[ (T/B) SAR]]+TABL12[[#This Row],[ (S/S) SAR]]</f>
        <v/>
      </c>
      <c r="L306" s="28" t="n">
        <v>315</v>
      </c>
      <c r="M306" s="29" t="n">
        <v>24.6</v>
      </c>
      <c r="N306" s="30" t="n">
        <v>7.53</v>
      </c>
      <c r="O306" s="39" t="n">
        <v>432</v>
      </c>
      <c r="P306" s="9">
        <f>TABL12[[#This Row],[ (S/S) SAR]]-TABL12[[#This Row],[(S/S) AJD]]</f>
        <v/>
      </c>
      <c r="Q306" s="9" t="n">
        <v>423</v>
      </c>
      <c r="R306" s="9">
        <f>TABL12[[#This Row],[ (T/B) SAR]]-TABL12[[#This Row],[(T/B) AJD]]</f>
        <v/>
      </c>
      <c r="S306" s="9">
        <f>TABL12[[#This Row],[S/S_CON.]]+TABL12[[#This Row],[T/B-CON.]]</f>
        <v/>
      </c>
      <c r="T306" s="9">
        <f>O306+Q306</f>
        <v/>
      </c>
      <c r="U306" s="9" t="n">
        <v>525</v>
      </c>
      <c r="V306" s="9" t="n">
        <v>89</v>
      </c>
      <c r="W306" s="9">
        <f>U306+V306</f>
        <v/>
      </c>
      <c r="X306" s="9">
        <f>T306-W306</f>
        <v/>
      </c>
      <c r="Y306" s="18" t="n">
        <v>92.247</v>
      </c>
      <c r="Z306" s="9" t="n">
        <v>346182</v>
      </c>
      <c r="AA306" s="9">
        <f>TABL12[[#This Row],[(RESV. STORGE) AJD]]/10</f>
        <v/>
      </c>
      <c r="AB306" s="3">
        <f>(Z306-Z305)/1000</f>
        <v/>
      </c>
      <c r="AC306" s="6" t="n">
        <v>1226</v>
      </c>
      <c r="AD306" s="5">
        <f>TABL12[[#This Row],[( S/S+T/B) AJD]]-(TABL12[[#This Row],[(A/B + A/S) AJD]]+TABL12[[#This Row],[(STORGE DIFF.) AJD]]+(TABL12[[#This Row],[AJD_Evaporation]]))</f>
        <v/>
      </c>
      <c r="AE306" s="6" t="n">
        <v>137</v>
      </c>
      <c r="AF306" s="33" t="n">
        <v>58.883</v>
      </c>
      <c r="AG306" s="6" t="n">
        <v>1546465</v>
      </c>
      <c r="AH306" s="6">
        <f>TABL12[[#This Row],[ (RESV. STORGE) BER]]/10</f>
        <v/>
      </c>
      <c r="AI306" s="6" t="n">
        <v>2262</v>
      </c>
      <c r="AJ306" s="6">
        <f>TABL12[[#This Row],[(A/B) AJD]]-TABL12[[#This Row],[BER_IN]]</f>
        <v/>
      </c>
      <c r="AK306" s="6" t="n">
        <v>0</v>
      </c>
      <c r="AL306" s="33" t="n">
        <v>42.0396</v>
      </c>
      <c r="AM306" s="6" t="n">
        <v>2592290</v>
      </c>
      <c r="AN306" s="6">
        <f>TABL12[[#This Row],[ (RESV. STORGE) SER]]/10</f>
        <v/>
      </c>
      <c r="AO306" s="6" t="n">
        <v>1750</v>
      </c>
      <c r="AP306" s="32">
        <f>TABL12[[#This Row],[(A/S) AJD]]-TABL12[[#This Row],[SER_IN]]</f>
        <v/>
      </c>
    </row>
    <row r="307" ht="18.75" customHeight="1">
      <c r="A307" s="2" t="n">
        <v>45963</v>
      </c>
      <c r="B307" s="28" t="n">
        <v>38</v>
      </c>
      <c r="C307" s="28" t="n">
        <v>316</v>
      </c>
      <c r="D307" s="28" t="n">
        <v>38</v>
      </c>
      <c r="E307" s="28" t="n">
        <v>0</v>
      </c>
      <c r="F307" s="28" t="n">
        <v>100</v>
      </c>
      <c r="G307" s="28" t="n">
        <v>645</v>
      </c>
      <c r="H307" s="28" t="n">
        <v>3</v>
      </c>
      <c r="I307" s="28" t="n">
        <v>485</v>
      </c>
      <c r="J307" s="28" t="n">
        <v>475</v>
      </c>
      <c r="K307" s="28">
        <f>TABL12[[#This Row],[ (T/B) SAR]]+TABL12[[#This Row],[ (S/S) SAR]]</f>
        <v/>
      </c>
      <c r="L307" s="28" t="n">
        <v>315</v>
      </c>
      <c r="M307" s="29" t="n">
        <v>24.6</v>
      </c>
      <c r="N307" s="30" t="n">
        <v>7.56</v>
      </c>
      <c r="O307" s="40" t="n">
        <v>446</v>
      </c>
      <c r="P307" s="9">
        <f>TABL12[[#This Row],[ (S/S) SAR]]-TABL12[[#This Row],[(S/S) AJD]]</f>
        <v/>
      </c>
      <c r="Q307" s="9" t="n">
        <v>435</v>
      </c>
      <c r="R307" s="9">
        <f>TABL12[[#This Row],[ (T/B) SAR]]-TABL12[[#This Row],[(T/B) AJD]]</f>
        <v/>
      </c>
      <c r="S307" s="9">
        <f>TABL12[[#This Row],[S/S_CON.]]+TABL12[[#This Row],[T/B-CON.]]</f>
        <v/>
      </c>
      <c r="T307" s="9">
        <f>O307+Q307</f>
        <v/>
      </c>
      <c r="U307" s="9" t="n">
        <v>588</v>
      </c>
      <c r="V307" s="9" t="n">
        <v>90</v>
      </c>
      <c r="W307" s="9">
        <f>U307+V307</f>
        <v/>
      </c>
      <c r="X307" s="9">
        <f>T307-W307</f>
        <v/>
      </c>
      <c r="Y307" s="18" t="n">
        <v>92.547</v>
      </c>
      <c r="Z307" s="9" t="n">
        <v>524636</v>
      </c>
      <c r="AA307" s="9">
        <f>TABL12[[#This Row],[(RESV. STORGE) AJD]]/10</f>
        <v/>
      </c>
      <c r="AB307" s="3">
        <f>(Z307-Z306)/1000</f>
        <v/>
      </c>
      <c r="AC307" s="6" t="n">
        <v>1356</v>
      </c>
      <c r="AD307" s="5">
        <f>TABL12[[#This Row],[( S/S+T/B) AJD]]-(TABL12[[#This Row],[(A/B + A/S) AJD]]+TABL12[[#This Row],[(STORGE DIFF.) AJD]]+(TABL12[[#This Row],[AJD_Evaporation]]))</f>
        <v/>
      </c>
      <c r="AE307" s="6" t="n">
        <v>150</v>
      </c>
      <c r="AF307" s="33" t="n">
        <v>58.989</v>
      </c>
      <c r="AG307" s="6" t="n">
        <v>1616387</v>
      </c>
      <c r="AH307" s="6">
        <f>TABL12[[#This Row],[ (RESV. STORGE) BER]]/10</f>
        <v/>
      </c>
      <c r="AI307" s="6" t="n">
        <v>2057</v>
      </c>
      <c r="AJ307" s="6">
        <f>TABL12[[#This Row],[(A/B) AJD]]-TABL12[[#This Row],[BER_IN]]</f>
        <v/>
      </c>
      <c r="AK307" s="6" t="n">
        <v>0</v>
      </c>
      <c r="AL307" s="33" t="n">
        <v>41.9323</v>
      </c>
      <c r="AM307" s="6" t="n">
        <v>2534690</v>
      </c>
      <c r="AN307" s="6">
        <f>TABL12[[#This Row],[ (RESV. STORGE) SER]]/10</f>
        <v/>
      </c>
      <c r="AO307" s="6" t="n">
        <v>1780</v>
      </c>
      <c r="AP307" s="32">
        <f>TABL12[[#This Row],[(A/S) AJD]]-TABL12[[#This Row],[SER_IN]]</f>
        <v/>
      </c>
    </row>
    <row r="308" ht="18.75" customHeight="1">
      <c r="A308" s="2" t="n">
        <v>45964</v>
      </c>
      <c r="B308" s="28" t="n">
        <v>39</v>
      </c>
      <c r="C308" s="28" t="n">
        <v>320</v>
      </c>
      <c r="D308" s="28" t="n">
        <v>39</v>
      </c>
      <c r="E308" s="28" t="n">
        <v>0</v>
      </c>
      <c r="F308" s="28" t="n">
        <v>100</v>
      </c>
      <c r="G308" s="28" t="n">
        <v>648</v>
      </c>
      <c r="H308" s="28" t="n">
        <v>3</v>
      </c>
      <c r="I308" s="28" t="n">
        <v>487</v>
      </c>
      <c r="J308" s="28" t="n">
        <v>476</v>
      </c>
      <c r="K308" s="28">
        <f>TABL12[[#This Row],[ (T/B) SAR]]+TABL12[[#This Row],[ (S/S) SAR]]</f>
        <v/>
      </c>
      <c r="L308" s="28" t="n">
        <v>315</v>
      </c>
      <c r="M308" s="29" t="n">
        <v>24.6</v>
      </c>
      <c r="N308" s="30" t="n">
        <v>7.61</v>
      </c>
      <c r="O308" s="39" t="n">
        <v>453</v>
      </c>
      <c r="P308" s="9">
        <f>TABL12[[#This Row],[ (S/S) SAR]]-TABL12[[#This Row],[(S/S) AJD]]</f>
        <v/>
      </c>
      <c r="Q308" s="9" t="n">
        <v>445</v>
      </c>
      <c r="R308" s="9">
        <f>TABL12[[#This Row],[ (T/B) SAR]]-TABL12[[#This Row],[(T/B) AJD]]</f>
        <v/>
      </c>
      <c r="S308" s="9">
        <f>TABL12[[#This Row],[S/S_CON.]]+TABL12[[#This Row],[T/B-CON.]]</f>
        <v/>
      </c>
      <c r="T308" s="9">
        <f>O308+Q308</f>
        <v/>
      </c>
      <c r="U308" s="9" t="n">
        <v>596</v>
      </c>
      <c r="V308" s="9" t="n">
        <v>92</v>
      </c>
      <c r="W308" s="9">
        <f>U308+V308</f>
        <v/>
      </c>
      <c r="X308" s="9">
        <f>T308-W308</f>
        <v/>
      </c>
      <c r="Y308" s="18" t="n">
        <v>92.855</v>
      </c>
      <c r="Z308" s="9" t="n">
        <v>702222</v>
      </c>
      <c r="AA308" s="9">
        <f>TABL12[[#This Row],[(RESV. STORGE) AJD]]/10</f>
        <v/>
      </c>
      <c r="AB308" s="3">
        <f>(Z308-Z307)/1000</f>
        <v/>
      </c>
      <c r="AC308" s="6" t="n">
        <v>1881</v>
      </c>
      <c r="AD308" s="5">
        <f>TABL12[[#This Row],[( S/S+T/B) AJD]]-(TABL12[[#This Row],[(A/B + A/S) AJD]]+TABL12[[#This Row],[(STORGE DIFF.) AJD]]+(TABL12[[#This Row],[AJD_Evaporation]]))</f>
        <v/>
      </c>
      <c r="AE308" s="6" t="n">
        <v>150</v>
      </c>
      <c r="AF308" s="33" t="n">
        <v>59.092</v>
      </c>
      <c r="AG308" s="6" t="n">
        <v>1684424</v>
      </c>
      <c r="AH308" s="6">
        <f>TABL12[[#This Row],[ (RESV. STORGE) BER]]/10</f>
        <v/>
      </c>
      <c r="AI308" s="6" t="n">
        <v>2283</v>
      </c>
      <c r="AJ308" s="6">
        <f>TABL12[[#This Row],[(A/B) AJD]]-TABL12[[#This Row],[BER_IN]]</f>
        <v/>
      </c>
      <c r="AK308" s="6" t="n">
        <v>0</v>
      </c>
      <c r="AL308" s="33" t="n">
        <v>41.8369</v>
      </c>
      <c r="AM308" s="6" t="n">
        <v>2483630</v>
      </c>
      <c r="AN308" s="6">
        <f>TABL12[[#This Row],[ (RESV. STORGE) SER]]/10</f>
        <v/>
      </c>
      <c r="AO308" s="6" t="n">
        <v>1670</v>
      </c>
      <c r="AP308" s="32">
        <f>TABL12[[#This Row],[(A/S) AJD]]-TABL12[[#This Row],[SER_IN]]</f>
        <v/>
      </c>
    </row>
    <row r="309" ht="18.75" customHeight="1">
      <c r="A309" s="2" t="n">
        <v>45965</v>
      </c>
      <c r="B309" s="28" t="n">
        <v>39</v>
      </c>
      <c r="C309" s="28" t="n">
        <v>317</v>
      </c>
      <c r="D309" s="28" t="n">
        <v>39</v>
      </c>
      <c r="E309" s="28" t="n">
        <v>0</v>
      </c>
      <c r="F309" s="28" t="n">
        <v>99</v>
      </c>
      <c r="G309" s="28" t="n">
        <v>639</v>
      </c>
      <c r="H309" s="28" t="n">
        <v>4</v>
      </c>
      <c r="I309" s="28" t="n">
        <v>487</v>
      </c>
      <c r="J309" s="28" t="n">
        <v>472</v>
      </c>
      <c r="K309" s="28">
        <f>TABL12[[#This Row],[ (T/B) SAR]]+TABL12[[#This Row],[ (S/S) SAR]]</f>
        <v/>
      </c>
      <c r="L309" s="28" t="n">
        <v>320</v>
      </c>
      <c r="M309" s="29" t="n">
        <v>24.6</v>
      </c>
      <c r="N309" s="30" t="n">
        <v>7.68</v>
      </c>
      <c r="O309" s="40" t="n">
        <v>455</v>
      </c>
      <c r="P309" s="9">
        <f>TABL12[[#This Row],[ (S/S) SAR]]-TABL12[[#This Row],[(S/S) AJD]]</f>
        <v/>
      </c>
      <c r="Q309" s="9" t="n">
        <v>446</v>
      </c>
      <c r="R309" s="9">
        <f>TABL12[[#This Row],[ (T/B) SAR]]-TABL12[[#This Row],[(T/B) AJD]]</f>
        <v/>
      </c>
      <c r="S309" s="9">
        <f>TABL12[[#This Row],[S/S_CON.]]+TABL12[[#This Row],[T/B-CON.]]</f>
        <v/>
      </c>
      <c r="T309" s="9">
        <f>O309+Q309</f>
        <v/>
      </c>
      <c r="U309" s="9" t="n">
        <v>583</v>
      </c>
      <c r="V309" s="9" t="n">
        <v>107</v>
      </c>
      <c r="W309" s="9">
        <f>U309+V309</f>
        <v/>
      </c>
      <c r="X309" s="9">
        <f>T309-W309</f>
        <v/>
      </c>
      <c r="Y309" s="18" t="n">
        <v>93.14100000000001</v>
      </c>
      <c r="Z309" s="9" t="n">
        <v>880343</v>
      </c>
      <c r="AA309" s="9">
        <f>TABL12[[#This Row],[(RESV. STORGE) AJD]]/10</f>
        <v/>
      </c>
      <c r="AB309" s="3">
        <f>(Z309-Z308)/1000</f>
        <v/>
      </c>
      <c r="AC309" s="6" t="n">
        <v>1620</v>
      </c>
      <c r="AD309" s="5">
        <f>TABL12[[#This Row],[( S/S+T/B) AJD]]-(TABL12[[#This Row],[(A/B + A/S) AJD]]+TABL12[[#This Row],[(STORGE DIFF.) AJD]]+(TABL12[[#This Row],[AJD_Evaporation]]))</f>
        <v/>
      </c>
      <c r="AE309" s="6" t="n">
        <v>150</v>
      </c>
      <c r="AF309" s="33" t="n">
        <v>59.095</v>
      </c>
      <c r="AG309" s="6" t="n">
        <v>1686407</v>
      </c>
      <c r="AH309" s="6">
        <f>TABL12[[#This Row],[ (RESV. STORGE) BER]]/10</f>
        <v/>
      </c>
      <c r="AI309" s="6" t="n">
        <v>1716</v>
      </c>
      <c r="AJ309" s="6">
        <f>TABL12[[#This Row],[(A/B) AJD]]-TABL12[[#This Row],[BER_IN]]</f>
        <v/>
      </c>
      <c r="AK309" s="6" t="n">
        <v>0</v>
      </c>
      <c r="AL309" s="33" t="n">
        <v>41.7343</v>
      </c>
      <c r="AM309" s="6" t="n">
        <v>2429350</v>
      </c>
      <c r="AN309" s="6">
        <f>TABL12[[#This Row],[ (RESV. STORGE) SER]]/10</f>
        <v/>
      </c>
      <c r="AO309" s="6" t="n">
        <v>1610</v>
      </c>
      <c r="AP309" s="32">
        <f>TABL12[[#This Row],[(A/S) AJD]]-TABL12[[#This Row],[SER_IN]]</f>
        <v/>
      </c>
    </row>
    <row r="310" ht="18.75" customHeight="1">
      <c r="A310" s="2" t="n">
        <v>45966</v>
      </c>
      <c r="B310" s="28" t="n">
        <v>39</v>
      </c>
      <c r="C310" s="28" t="n">
        <v>309</v>
      </c>
      <c r="D310" s="28" t="n">
        <v>39</v>
      </c>
      <c r="E310" s="28" t="n">
        <v>0</v>
      </c>
      <c r="F310" s="28" t="n">
        <v>100</v>
      </c>
      <c r="G310" s="28" t="n">
        <v>645</v>
      </c>
      <c r="H310" s="28" t="n">
        <v>3</v>
      </c>
      <c r="I310" s="28" t="n">
        <v>489</v>
      </c>
      <c r="J310" s="28" t="n">
        <v>476</v>
      </c>
      <c r="K310" s="28">
        <f>TABL12[[#This Row],[ (T/B) SAR]]+TABL12[[#This Row],[ (S/S) SAR]]</f>
        <v/>
      </c>
      <c r="L310" s="28" t="n">
        <v>320</v>
      </c>
      <c r="M310" s="29" t="n">
        <v>24.6</v>
      </c>
      <c r="N310" s="30" t="n">
        <v>7.67</v>
      </c>
      <c r="O310" s="39" t="n">
        <v>447</v>
      </c>
      <c r="P310" s="9">
        <f>TABL12[[#This Row],[ (S/S) SAR]]-TABL12[[#This Row],[(S/S) AJD]]</f>
        <v/>
      </c>
      <c r="Q310" s="9" t="n">
        <v>445</v>
      </c>
      <c r="R310" s="9">
        <f>TABL12[[#This Row],[ (T/B) SAR]]-TABL12[[#This Row],[(T/B) AJD]]</f>
        <v/>
      </c>
      <c r="S310" s="9">
        <f>TABL12[[#This Row],[S/S_CON.]]+TABL12[[#This Row],[T/B-CON.]]</f>
        <v/>
      </c>
      <c r="T310" s="9">
        <f>O310+Q310</f>
        <v/>
      </c>
      <c r="U310" s="9" t="n">
        <v>573</v>
      </c>
      <c r="V310" s="9" t="n">
        <v>173</v>
      </c>
      <c r="W310" s="9">
        <f>U310+V310</f>
        <v/>
      </c>
      <c r="X310" s="9">
        <f>T310-W310</f>
        <v/>
      </c>
      <c r="Y310" s="18" t="n">
        <v>93.313</v>
      </c>
      <c r="Z310" s="9" t="n">
        <v>983826</v>
      </c>
      <c r="AA310" s="9">
        <f>TABL12[[#This Row],[(RESV. STORGE) AJD]]/10</f>
        <v/>
      </c>
      <c r="AB310" s="3">
        <f>(Z310-Z309)/1000</f>
        <v/>
      </c>
      <c r="AC310" s="6" t="n">
        <v>1518</v>
      </c>
      <c r="AD310" s="5">
        <f>TABL12[[#This Row],[( S/S+T/B) AJD]]-(TABL12[[#This Row],[(A/B + A/S) AJD]]+TABL12[[#This Row],[(STORGE DIFF.) AJD]]+(TABL12[[#This Row],[AJD_Evaporation]]))</f>
        <v/>
      </c>
      <c r="AE310" s="6" t="n">
        <v>150</v>
      </c>
      <c r="AF310" s="33" t="n">
        <v>59.086</v>
      </c>
      <c r="AG310" s="6" t="n">
        <v>1680459</v>
      </c>
      <c r="AH310" s="6">
        <f>TABL12[[#This Row],[ (RESV. STORGE) BER]]/10</f>
        <v/>
      </c>
      <c r="AI310" s="6" t="n">
        <v>1892</v>
      </c>
      <c r="AJ310" s="6">
        <f>TABL12[[#This Row],[(A/B) AJD]]-TABL12[[#This Row],[BER_IN]]</f>
        <v/>
      </c>
      <c r="AK310" s="6" t="n">
        <v>0</v>
      </c>
      <c r="AL310" s="33" t="n">
        <v>41.6937</v>
      </c>
      <c r="AM310" s="6" t="n">
        <v>2409140</v>
      </c>
      <c r="AN310" s="6">
        <f>TABL12[[#This Row],[ (RESV. STORGE) SER]]/10</f>
        <v/>
      </c>
      <c r="AO310" s="6" t="n">
        <v>1580</v>
      </c>
      <c r="AP310" s="32">
        <f>TABL12[[#This Row],[(A/S) AJD]]-TABL12[[#This Row],[SER_IN]]</f>
        <v/>
      </c>
    </row>
    <row r="311" ht="18.75" customHeight="1">
      <c r="A311" s="2" t="n">
        <v>45967</v>
      </c>
      <c r="B311" s="28" t="n">
        <v>38</v>
      </c>
      <c r="C311" s="28" t="n">
        <v>302</v>
      </c>
      <c r="D311" s="28" t="n">
        <v>38</v>
      </c>
      <c r="E311" s="28" t="n">
        <v>0</v>
      </c>
      <c r="F311" s="28" t="n">
        <v>100</v>
      </c>
      <c r="G311" s="28" t="n">
        <v>639</v>
      </c>
      <c r="H311" s="28" t="n">
        <v>3</v>
      </c>
      <c r="I311" s="28" t="n">
        <v>489</v>
      </c>
      <c r="J311" s="28" t="n">
        <v>470</v>
      </c>
      <c r="K311" s="28">
        <f>TABL12[[#This Row],[ (T/B) SAR]]+TABL12[[#This Row],[ (S/S) SAR]]</f>
        <v/>
      </c>
      <c r="L311" s="28" t="n">
        <v>320</v>
      </c>
      <c r="M311" s="29" t="n">
        <v>24.6</v>
      </c>
      <c r="N311" s="30" t="n">
        <v>7.64</v>
      </c>
      <c r="O311" s="40" t="n">
        <v>447</v>
      </c>
      <c r="P311" s="9">
        <f>TABL12[[#This Row],[ (S/S) SAR]]-TABL12[[#This Row],[(S/S) AJD]]</f>
        <v/>
      </c>
      <c r="Q311" s="9" t="n">
        <v>448</v>
      </c>
      <c r="R311" s="9">
        <f>TABL12[[#This Row],[ (T/B) SAR]]-TABL12[[#This Row],[(T/B) AJD]]</f>
        <v/>
      </c>
      <c r="S311" s="9">
        <f>TABL12[[#This Row],[S/S_CON.]]+TABL12[[#This Row],[T/B-CON.]]</f>
        <v/>
      </c>
      <c r="T311" s="9">
        <f>O311+Q311</f>
        <v/>
      </c>
      <c r="U311" s="9" t="n">
        <v>576</v>
      </c>
      <c r="V311" s="9" t="n">
        <v>256</v>
      </c>
      <c r="W311" s="9">
        <f>U311+V311</f>
        <v/>
      </c>
      <c r="X311" s="9">
        <f>T311-W311</f>
        <v/>
      </c>
      <c r="Y311" s="18" t="n">
        <v>93.351</v>
      </c>
      <c r="Z311" s="9" t="n">
        <v>1004723</v>
      </c>
      <c r="AA311" s="9">
        <f>TABL12[[#This Row],[(RESV. STORGE) AJD]]/10</f>
        <v/>
      </c>
      <c r="AB311" s="3">
        <f>(Z311-Z310)/1000</f>
        <v/>
      </c>
      <c r="AC311" s="6" t="n">
        <v>0</v>
      </c>
      <c r="AD311" s="5">
        <f>TABL12[[#This Row],[( S/S+T/B) AJD]]-(TABL12[[#This Row],[(A/B + A/S) AJD]]+TABL12[[#This Row],[(STORGE DIFF.) AJD]]+(TABL12[[#This Row],[AJD_Evaporation]]))</f>
        <v/>
      </c>
      <c r="AE311" s="6" t="n">
        <v>150</v>
      </c>
      <c r="AF311" s="33" t="n">
        <v>59.081</v>
      </c>
      <c r="AG311" s="6" t="n">
        <v>1677154</v>
      </c>
      <c r="AH311" s="6">
        <f>TABL12[[#This Row],[ (RESV. STORGE) BER]]/10</f>
        <v/>
      </c>
      <c r="AI311" s="6" t="n">
        <v>2458</v>
      </c>
      <c r="AJ311" s="6">
        <f>TABL12[[#This Row],[(A/B) AJD]]-TABL12[[#This Row],[BER_IN]]</f>
        <v/>
      </c>
      <c r="AK311" s="6" t="n">
        <v>53</v>
      </c>
      <c r="AL311" s="33" t="n">
        <v>41.7341</v>
      </c>
      <c r="AM311" s="6" t="n">
        <v>2429410</v>
      </c>
      <c r="AN311" s="6">
        <f>TABL12[[#This Row],[ (RESV. STORGE) SER]]/10</f>
        <v/>
      </c>
      <c r="AO311" s="6" t="n">
        <v>1565</v>
      </c>
      <c r="AP311" s="32">
        <f>TABL12[[#This Row],[(A/S) AJD]]-TABL12[[#This Row],[SER_IN]]</f>
        <v/>
      </c>
    </row>
    <row r="312" ht="18.75" customHeight="1">
      <c r="A312" s="2" t="n">
        <v>45968</v>
      </c>
      <c r="B312" s="28" t="n">
        <v>38</v>
      </c>
      <c r="C312" s="28" t="n">
        <v>307</v>
      </c>
      <c r="D312" s="28" t="n">
        <v>38</v>
      </c>
      <c r="E312" s="28" t="n">
        <v>0</v>
      </c>
      <c r="F312" s="28" t="n">
        <v>100</v>
      </c>
      <c r="G312" s="28" t="n">
        <v>644</v>
      </c>
      <c r="H312" s="28" t="n">
        <v>3</v>
      </c>
      <c r="I312" s="28" t="n">
        <v>489</v>
      </c>
      <c r="J312" s="28" t="n">
        <v>475</v>
      </c>
      <c r="K312" s="28">
        <f>TABL12[[#This Row],[ (T/B) SAR]]+TABL12[[#This Row],[ (S/S) SAR]]</f>
        <v/>
      </c>
      <c r="L312" s="28" t="n">
        <v>320</v>
      </c>
      <c r="M312" s="29" t="n">
        <v>24.6</v>
      </c>
      <c r="N312" s="30" t="n">
        <v>7.63</v>
      </c>
      <c r="O312" s="39" t="n">
        <v>447</v>
      </c>
      <c r="P312" s="9">
        <f>TABL12[[#This Row],[ (S/S) SAR]]-TABL12[[#This Row],[(S/S) AJD]]</f>
        <v/>
      </c>
      <c r="Q312" s="9" t="n">
        <v>447</v>
      </c>
      <c r="R312" s="9">
        <f>TABL12[[#This Row],[ (T/B) SAR]]-TABL12[[#This Row],[(T/B) AJD]]</f>
        <v/>
      </c>
      <c r="S312" s="9">
        <f>TABL12[[#This Row],[S/S_CON.]]+TABL12[[#This Row],[T/B-CON.]]</f>
        <v/>
      </c>
      <c r="T312" s="9">
        <f>O312+Q312</f>
        <v/>
      </c>
      <c r="U312" s="9" t="n">
        <v>593</v>
      </c>
      <c r="V312" s="9" t="n">
        <v>324</v>
      </c>
      <c r="W312" s="9">
        <f>U312+V312</f>
        <v/>
      </c>
      <c r="X312" s="9">
        <f>T312-W312</f>
        <v/>
      </c>
      <c r="Y312" s="18" t="n">
        <v>93.241</v>
      </c>
      <c r="Z312" s="9" t="n">
        <v>940282</v>
      </c>
      <c r="AA312" s="9">
        <f>TABL12[[#This Row],[(RESV. STORGE) AJD]]/10</f>
        <v/>
      </c>
      <c r="AB312" s="3">
        <f>(Z312-Z311)/1000</f>
        <v/>
      </c>
      <c r="AC312" s="6" t="n">
        <v>0</v>
      </c>
      <c r="AD312" s="5">
        <f>TABL12[[#This Row],[( S/S+T/B) AJD]]-(TABL12[[#This Row],[(A/B + A/S) AJD]]+TABL12[[#This Row],[(STORGE DIFF.) AJD]]+(TABL12[[#This Row],[AJD_Evaporation]]))</f>
        <v/>
      </c>
      <c r="AE312" s="6" t="n">
        <v>150</v>
      </c>
      <c r="AF312" s="33" t="n">
        <v>59.071</v>
      </c>
      <c r="AG312" s="6" t="n">
        <v>1670545</v>
      </c>
      <c r="AH312" s="6">
        <f>TABL12[[#This Row],[ (RESV. STORGE) BER]]/10</f>
        <v/>
      </c>
      <c r="AI312" s="6" t="n">
        <v>2522</v>
      </c>
      <c r="AJ312" s="6">
        <f>TABL12[[#This Row],[(A/B) AJD]]-TABL12[[#This Row],[BER_IN]]</f>
        <v/>
      </c>
      <c r="AK312" s="6" t="n">
        <v>87</v>
      </c>
      <c r="AL312" s="33" t="n">
        <v>41.8423</v>
      </c>
      <c r="AM312" s="6" t="n">
        <v>2487040</v>
      </c>
      <c r="AN312" s="6">
        <f>TABL12[[#This Row],[ (RESV. STORGE) SER]]/10</f>
        <v/>
      </c>
      <c r="AO312" s="6" t="n">
        <v>1320</v>
      </c>
      <c r="AP312" s="32">
        <f>TABL12[[#This Row],[(A/S) AJD]]-TABL12[[#This Row],[SER_IN]]</f>
        <v/>
      </c>
    </row>
    <row r="313" ht="18.75" customHeight="1">
      <c r="A313" s="2" t="n">
        <v>45969</v>
      </c>
      <c r="B313" s="28" t="n">
        <v>37</v>
      </c>
      <c r="C313" s="28" t="n">
        <v>292</v>
      </c>
      <c r="D313" s="28" t="n">
        <v>37</v>
      </c>
      <c r="E313" s="28" t="n">
        <v>0</v>
      </c>
      <c r="F313" s="28" t="n">
        <v>100</v>
      </c>
      <c r="G313" s="28" t="n">
        <v>646</v>
      </c>
      <c r="H313" s="28" t="n">
        <v>3</v>
      </c>
      <c r="I313" s="28" t="n">
        <v>490</v>
      </c>
      <c r="J313" s="28" t="n">
        <v>475</v>
      </c>
      <c r="K313" s="28">
        <f>TABL12[[#This Row],[ (T/B) SAR]]+TABL12[[#This Row],[ (S/S) SAR]]</f>
        <v/>
      </c>
      <c r="L313" s="28" t="n">
        <v>320</v>
      </c>
      <c r="M313" s="29" t="n">
        <v>24.6</v>
      </c>
      <c r="N313" s="30" t="n">
        <v>7.56</v>
      </c>
      <c r="O313" s="40" t="n">
        <v>447</v>
      </c>
      <c r="P313" s="9">
        <f>TABL12[[#This Row],[ (S/S) SAR]]-TABL12[[#This Row],[(S/S) AJD]]</f>
        <v/>
      </c>
      <c r="Q313" s="9" t="n">
        <v>447</v>
      </c>
      <c r="R313" s="9">
        <f>TABL12[[#This Row],[ (T/B) SAR]]-TABL12[[#This Row],[(T/B) AJD]]</f>
        <v/>
      </c>
      <c r="S313" s="9">
        <f>TABL12[[#This Row],[S/S_CON.]]+TABL12[[#This Row],[T/B-CON.]]</f>
        <v/>
      </c>
      <c r="T313" s="9">
        <f>O313+Q313</f>
        <v/>
      </c>
      <c r="U313" s="9" t="n">
        <v>592</v>
      </c>
      <c r="V313" s="9" t="n">
        <v>358</v>
      </c>
      <c r="W313" s="9">
        <f>U313+V313</f>
        <v/>
      </c>
      <c r="X313" s="9">
        <f>T313-W313</f>
        <v/>
      </c>
      <c r="Y313" s="18" t="n">
        <v>93.063</v>
      </c>
      <c r="Z313" s="9" t="n">
        <v>883298</v>
      </c>
      <c r="AA313" s="9">
        <f>TABL12[[#This Row],[(RESV. STORGE) AJD]]/10</f>
        <v/>
      </c>
      <c r="AB313" s="3">
        <f>(Z313-Z312)/1000</f>
        <v/>
      </c>
      <c r="AC313" s="6" t="n">
        <v>429</v>
      </c>
      <c r="AD313" s="5">
        <f>TABL12[[#This Row],[( S/S+T/B) AJD]]-(TABL12[[#This Row],[(A/B + A/S) AJD]]+TABL12[[#This Row],[(STORGE DIFF.) AJD]]+(TABL12[[#This Row],[AJD_Evaporation]]))</f>
        <v/>
      </c>
      <c r="AE313" s="6" t="n">
        <v>150</v>
      </c>
      <c r="AF313" s="33" t="n">
        <v>59.061</v>
      </c>
      <c r="AG313" s="6" t="n">
        <v>1663938</v>
      </c>
      <c r="AH313" s="6">
        <f>TABL12[[#This Row],[ (RESV. STORGE) BER]]/10</f>
        <v/>
      </c>
      <c r="AI313" s="6" t="n">
        <v>2551</v>
      </c>
      <c r="AJ313" s="6">
        <f>TABL12[[#This Row],[(A/B) AJD]]-TABL12[[#This Row],[BER_IN]]</f>
        <v/>
      </c>
      <c r="AK313" s="6" t="n">
        <v>90</v>
      </c>
      <c r="AL313" s="33" t="n">
        <v>41.9954</v>
      </c>
      <c r="AM313" s="6" t="n">
        <v>2568440</v>
      </c>
      <c r="AN313" s="6">
        <f>TABL12[[#This Row],[ (RESV. STORGE) SER]]/10</f>
        <v/>
      </c>
      <c r="AO313" s="6" t="n">
        <v>1530</v>
      </c>
      <c r="AP313" s="32">
        <f>TABL12[[#This Row],[(A/S) AJD]]-TABL12[[#This Row],[SER_IN]]</f>
        <v/>
      </c>
    </row>
    <row r="314" ht="18.75" customHeight="1">
      <c r="A314" s="2" t="n">
        <v>45970</v>
      </c>
      <c r="B314" s="28" t="n">
        <v>37</v>
      </c>
      <c r="C314" s="28" t="n">
        <v>284</v>
      </c>
      <c r="D314" s="28" t="n">
        <v>37</v>
      </c>
      <c r="E314" s="28" t="n">
        <v>0</v>
      </c>
      <c r="F314" s="28" t="n">
        <v>100</v>
      </c>
      <c r="G314" s="28" t="n">
        <v>642</v>
      </c>
      <c r="H314" s="28" t="n">
        <v>3</v>
      </c>
      <c r="I314" s="28" t="n">
        <v>485</v>
      </c>
      <c r="J314" s="28" t="n">
        <v>472</v>
      </c>
      <c r="K314" s="28">
        <f>TABL12[[#This Row],[ (T/B) SAR]]+TABL12[[#This Row],[ (S/S) SAR]]</f>
        <v/>
      </c>
      <c r="L314" s="28" t="n">
        <v>315</v>
      </c>
      <c r="M314" s="29" t="n">
        <v>24.6</v>
      </c>
      <c r="N314" s="30" t="n">
        <v>7.49</v>
      </c>
      <c r="O314" s="39" t="n">
        <v>448</v>
      </c>
      <c r="P314" s="9">
        <f>TABL12[[#This Row],[ (S/S) SAR]]-TABL12[[#This Row],[(S/S) AJD]]</f>
        <v/>
      </c>
      <c r="Q314" s="9" t="n">
        <v>447</v>
      </c>
      <c r="R314" s="9">
        <f>TABL12[[#This Row],[ (T/B) SAR]]-TABL12[[#This Row],[(T/B) AJD]]</f>
        <v/>
      </c>
      <c r="S314" s="9">
        <f>TABL12[[#This Row],[S/S_CON.]]+TABL12[[#This Row],[T/B-CON.]]</f>
        <v/>
      </c>
      <c r="T314" s="9">
        <f>O314+Q314</f>
        <v/>
      </c>
      <c r="U314" s="9" t="n">
        <v>557</v>
      </c>
      <c r="V314" s="9" t="n">
        <v>371</v>
      </c>
      <c r="W314" s="9">
        <f>U314+V314</f>
        <v/>
      </c>
      <c r="X314" s="9">
        <f>T314-W314</f>
        <v/>
      </c>
      <c r="Y314" s="18" t="n">
        <v>92.95399999999999</v>
      </c>
      <c r="Z314" s="9" t="n">
        <v>766110</v>
      </c>
      <c r="AA314" s="9">
        <f>TABL12[[#This Row],[(RESV. STORGE) AJD]]/10</f>
        <v/>
      </c>
      <c r="AB314" s="3">
        <f>(Z314-Z313)/1000</f>
        <v/>
      </c>
      <c r="AC314" s="6" t="n">
        <v>1027</v>
      </c>
      <c r="AD314" s="5">
        <f>TABL12[[#This Row],[( S/S+T/B) AJD]]-(TABL12[[#This Row],[(A/B + A/S) AJD]]+TABL12[[#This Row],[(STORGE DIFF.) AJD]]+(TABL12[[#This Row],[AJD_Evaporation]]))</f>
        <v/>
      </c>
      <c r="AE314" s="6" t="n">
        <v>150</v>
      </c>
      <c r="AF314" s="33" t="n">
        <v>59.051</v>
      </c>
      <c r="AG314" s="6" t="n">
        <v>1657331</v>
      </c>
      <c r="AH314" s="6">
        <f>TABL12[[#This Row],[ (RESV. STORGE) BER]]/10</f>
        <v/>
      </c>
      <c r="AI314" s="6" t="n">
        <v>2550</v>
      </c>
      <c r="AJ314" s="6">
        <f>TABL12[[#This Row],[(A/B) AJD]]-TABL12[[#This Row],[BER_IN]]</f>
        <v/>
      </c>
      <c r="AK314" s="6" t="n">
        <v>142</v>
      </c>
      <c r="AL314" s="33" t="n">
        <v>42.2557</v>
      </c>
      <c r="AM314" s="6" t="n">
        <v>2707740</v>
      </c>
      <c r="AN314" s="6">
        <f>TABL12[[#This Row],[ (RESV. STORGE) SER]]/10</f>
        <v/>
      </c>
      <c r="AO314" s="6" t="n">
        <v>1610</v>
      </c>
      <c r="AP314" s="32">
        <f>TABL12[[#This Row],[(A/S) AJD]]-TABL12[[#This Row],[SER_IN]]</f>
        <v/>
      </c>
    </row>
    <row r="315" ht="18.75" customHeight="1">
      <c r="A315" s="2" t="n">
        <v>45971</v>
      </c>
      <c r="B315" s="28" t="n">
        <v>37</v>
      </c>
      <c r="C315" s="28" t="n">
        <v>292</v>
      </c>
      <c r="D315" s="28" t="n">
        <v>37</v>
      </c>
      <c r="E315" s="28" t="n">
        <v>0</v>
      </c>
      <c r="F315" s="28" t="n">
        <v>100</v>
      </c>
      <c r="G315" s="28" t="n">
        <v>643</v>
      </c>
      <c r="H315" s="28" t="n">
        <v>3</v>
      </c>
      <c r="I315" s="28" t="n">
        <v>486</v>
      </c>
      <c r="J315" s="28" t="n">
        <v>472</v>
      </c>
      <c r="K315" s="28">
        <f>TABL12[[#This Row],[ (T/B) SAR]]+TABL12[[#This Row],[ (S/S) SAR]]</f>
        <v/>
      </c>
      <c r="L315" s="28" t="n">
        <v>315</v>
      </c>
      <c r="M315" s="29" t="n">
        <v>24.6</v>
      </c>
      <c r="N315" s="30" t="n">
        <v>7.4</v>
      </c>
      <c r="O315" s="40" t="n">
        <v>445</v>
      </c>
      <c r="P315" s="9">
        <f>TABL12[[#This Row],[ (S/S) SAR]]-TABL12[[#This Row],[(S/S) AJD]]</f>
        <v/>
      </c>
      <c r="Q315" s="9" t="n">
        <v>444</v>
      </c>
      <c r="R315" s="9">
        <f>TABL12[[#This Row],[ (T/B) SAR]]-TABL12[[#This Row],[(T/B) AJD]]</f>
        <v/>
      </c>
      <c r="S315" s="9">
        <f>TABL12[[#This Row],[S/S_CON.]]+TABL12[[#This Row],[T/B-CON.]]</f>
        <v/>
      </c>
      <c r="T315" s="9">
        <f>O315+Q315</f>
        <v/>
      </c>
      <c r="U315" s="9" t="n">
        <v>583</v>
      </c>
      <c r="V315" s="9" t="n">
        <v>390</v>
      </c>
      <c r="W315" s="9">
        <f>U315+V315</f>
        <v/>
      </c>
      <c r="X315" s="9">
        <f>T315-W315</f>
        <v/>
      </c>
      <c r="Y315" s="18" t="n">
        <v>92.742</v>
      </c>
      <c r="Z315" s="9" t="n">
        <v>641017</v>
      </c>
      <c r="AA315" s="9">
        <f>TABL12[[#This Row],[(RESV. STORGE) AJD]]/10</f>
        <v/>
      </c>
      <c r="AB315" s="3">
        <f>(Z315-Z314)/1000</f>
        <v/>
      </c>
      <c r="AC315" s="6" t="n">
        <v>1448</v>
      </c>
      <c r="AD315" s="5">
        <f>TABL12[[#This Row],[( S/S+T/B) AJD]]-(TABL12[[#This Row],[(A/B + A/S) AJD]]+TABL12[[#This Row],[(STORGE DIFF.) AJD]]+(TABL12[[#This Row],[AJD_Evaporation]]))</f>
        <v/>
      </c>
      <c r="AE315" s="6" t="n">
        <v>150</v>
      </c>
      <c r="AF315" s="33" t="n">
        <v>59.041</v>
      </c>
      <c r="AG315" s="6" t="n">
        <v>1549998</v>
      </c>
      <c r="AH315" s="6">
        <f>TABL12[[#This Row],[ (RESV. STORGE) BER]]/10</f>
        <v/>
      </c>
      <c r="AI315" s="6" t="n">
        <v>2549</v>
      </c>
      <c r="AJ315" s="6">
        <f>TABL12[[#This Row],[(A/B) AJD]]-TABL12[[#This Row],[BER_IN]]</f>
        <v/>
      </c>
      <c r="AK315" s="6" t="n">
        <v>147</v>
      </c>
      <c r="AL315" s="33" t="n">
        <v>42.4604</v>
      </c>
      <c r="AM315" s="6" t="n">
        <v>2817120</v>
      </c>
      <c r="AN315" s="6">
        <f>TABL12[[#This Row],[ (RESV. STORGE) SER]]/10</f>
        <v/>
      </c>
      <c r="AO315" s="6" t="n">
        <v>1852</v>
      </c>
      <c r="AP315" s="32">
        <f>TABL12[[#This Row],[(A/S) AJD]]-TABL12[[#This Row],[SER_IN]]</f>
        <v/>
      </c>
    </row>
    <row r="316" ht="18.75" customHeight="1">
      <c r="A316" s="2" t="n">
        <v>45972</v>
      </c>
      <c r="B316" s="28" t="n">
        <v>37</v>
      </c>
      <c r="C316" s="28" t="n">
        <v>298</v>
      </c>
      <c r="D316" s="28" t="n">
        <v>37</v>
      </c>
      <c r="E316" s="28" t="n">
        <v>0</v>
      </c>
      <c r="F316" s="28" t="n">
        <v>100</v>
      </c>
      <c r="G316" s="28" t="n">
        <v>640</v>
      </c>
      <c r="H316" s="28" t="n">
        <v>3</v>
      </c>
      <c r="I316" s="28" t="n">
        <v>485</v>
      </c>
      <c r="J316" s="28" t="n">
        <v>470</v>
      </c>
      <c r="K316" s="28">
        <f>TABL12[[#This Row],[ (T/B) SAR]]+TABL12[[#This Row],[ (S/S) SAR]]</f>
        <v/>
      </c>
      <c r="L316" s="28" t="n">
        <v>315</v>
      </c>
      <c r="M316" s="29" t="n">
        <v>24.6</v>
      </c>
      <c r="N316" s="30" t="n">
        <v>7.38</v>
      </c>
      <c r="O316" s="39" t="n">
        <v>445</v>
      </c>
      <c r="P316" s="9">
        <f>TABL12[[#This Row],[ (S/S) SAR]]-TABL12[[#This Row],[(S/S) AJD]]</f>
        <v/>
      </c>
      <c r="Q316" s="9" t="n">
        <v>443</v>
      </c>
      <c r="R316" s="9">
        <f>TABL12[[#This Row],[ (T/B) SAR]]-TABL12[[#This Row],[(T/B) AJD]]</f>
        <v/>
      </c>
      <c r="S316" s="9">
        <f>TABL12[[#This Row],[S/S_CON.]]+TABL12[[#This Row],[T/B-CON.]]</f>
        <v/>
      </c>
      <c r="T316" s="9">
        <f>O316+Q316</f>
        <v/>
      </c>
      <c r="U316" s="9" t="n">
        <v>595</v>
      </c>
      <c r="V316" s="9" t="n">
        <v>403</v>
      </c>
      <c r="W316" s="9">
        <f>U316+V316</f>
        <v/>
      </c>
      <c r="X316" s="9">
        <f>T316-W316</f>
        <v/>
      </c>
      <c r="Y316" s="18" t="n">
        <v>92.51000000000001</v>
      </c>
      <c r="Z316" s="9" t="n">
        <v>502583</v>
      </c>
      <c r="AA316" s="9">
        <f>TABL12[[#This Row],[(RESV. STORGE) AJD]]/10</f>
        <v/>
      </c>
      <c r="AB316" s="3">
        <f>(Z316-Z315)/1000</f>
        <v/>
      </c>
      <c r="AC316" s="6" t="n">
        <v>0</v>
      </c>
      <c r="AD316" s="5">
        <f>TABL12[[#This Row],[( S/S+T/B) AJD]]-(TABL12[[#This Row],[(A/B + A/S) AJD]]+TABL12[[#This Row],[(STORGE DIFF.) AJD]]+(TABL12[[#This Row],[AJD_Evaporation]]))</f>
        <v/>
      </c>
      <c r="AE316" s="6" t="n">
        <v>150</v>
      </c>
      <c r="AF316" s="33" t="n">
        <v>59.031</v>
      </c>
      <c r="AG316" s="6" t="n">
        <v>1644120</v>
      </c>
      <c r="AH316" s="6">
        <f>TABL12[[#This Row],[ (RESV. STORGE) BER]]/10</f>
        <v/>
      </c>
      <c r="AI316" s="6" t="n">
        <v>2549</v>
      </c>
      <c r="AJ316" s="6">
        <f>TABL12[[#This Row],[(A/B) AJD]]-TABL12[[#This Row],[BER_IN]]</f>
        <v/>
      </c>
      <c r="AK316" s="6" t="n">
        <v>146</v>
      </c>
      <c r="AL316" s="33" t="n">
        <v>42.6723</v>
      </c>
      <c r="AM316" s="6" t="n">
        <v>2931300</v>
      </c>
      <c r="AN316" s="6">
        <f>TABL12[[#This Row],[ (RESV. STORGE) SER]]/10</f>
        <v/>
      </c>
      <c r="AO316" s="6" t="n">
        <v>1888</v>
      </c>
      <c r="AP316" s="32">
        <f>TABL12[[#This Row],[(A/S) AJD]]-TABL12[[#This Row],[SER_IN]]</f>
        <v/>
      </c>
    </row>
    <row r="317" ht="18.75" customHeight="1">
      <c r="A317" s="2" t="n">
        <v>45973</v>
      </c>
      <c r="B317" s="28" t="n">
        <v>37</v>
      </c>
      <c r="C317" s="28" t="n">
        <v>300</v>
      </c>
      <c r="D317" s="28" t="n">
        <v>37</v>
      </c>
      <c r="E317" s="28" t="n">
        <v>0</v>
      </c>
      <c r="F317" s="28" t="n">
        <v>100</v>
      </c>
      <c r="G317" s="28" t="n">
        <v>638</v>
      </c>
      <c r="H317" s="28" t="n">
        <v>3</v>
      </c>
      <c r="I317" s="28" t="n">
        <v>485</v>
      </c>
      <c r="J317" s="28" t="n">
        <v>468</v>
      </c>
      <c r="K317" s="28">
        <f>TABL12[[#This Row],[ (T/B) SAR]]+TABL12[[#This Row],[ (S/S) SAR]]</f>
        <v/>
      </c>
      <c r="L317" s="28" t="n">
        <v>315</v>
      </c>
      <c r="M317" s="29" t="n">
        <v>24.6</v>
      </c>
      <c r="N317" s="30" t="n">
        <v>7.36</v>
      </c>
      <c r="O317" s="40" t="n">
        <v>442</v>
      </c>
      <c r="P317" s="9">
        <f>TABL12[[#This Row],[ (S/S) SAR]]-TABL12[[#This Row],[(S/S) AJD]]</f>
        <v/>
      </c>
      <c r="Q317" s="9" t="n">
        <v>442</v>
      </c>
      <c r="R317" s="9">
        <f>TABL12[[#This Row],[ (T/B) SAR]]-TABL12[[#This Row],[(T/B) AJD]]</f>
        <v/>
      </c>
      <c r="S317" s="9">
        <f>TABL12[[#This Row],[S/S_CON.]]+TABL12[[#This Row],[T/B-CON.]]</f>
        <v/>
      </c>
      <c r="T317" s="9">
        <f>O317+Q317</f>
        <v/>
      </c>
      <c r="U317" s="9" t="n">
        <v>592</v>
      </c>
      <c r="V317" s="9" t="n">
        <v>319</v>
      </c>
      <c r="W317" s="9">
        <f>U317+V317</f>
        <v/>
      </c>
      <c r="X317" s="9">
        <f>T317-W317</f>
        <v/>
      </c>
      <c r="Y317" s="18" t="n">
        <v>92.42</v>
      </c>
      <c r="Z317" s="9" t="n">
        <v>448996</v>
      </c>
      <c r="AA317" s="9">
        <f>TABL12[[#This Row],[(RESV. STORGE) AJD]]/10</f>
        <v/>
      </c>
      <c r="AB317" s="3">
        <f>(Z317-Z316)/1000</f>
        <v/>
      </c>
      <c r="AC317" s="6" t="n">
        <v>1233</v>
      </c>
      <c r="AD317" s="5">
        <f>TABL12[[#This Row],[( S/S+T/B) AJD]]-(TABL12[[#This Row],[(A/B + A/S) AJD]]+TABL12[[#This Row],[(STORGE DIFF.) AJD]]+(TABL12[[#This Row],[AJD_Evaporation]]))</f>
        <v/>
      </c>
      <c r="AE317" s="6" t="n">
        <v>150</v>
      </c>
      <c r="AF317" s="33" t="n">
        <v>59.021</v>
      </c>
      <c r="AG317" s="6" t="n">
        <v>1637515</v>
      </c>
      <c r="AH317" s="6">
        <f>TABL12[[#This Row],[ (RESV. STORGE) BER]]/10</f>
        <v/>
      </c>
      <c r="AI317" s="6" t="n">
        <v>2548</v>
      </c>
      <c r="AJ317" s="6">
        <f>TABL12[[#This Row],[(A/B) AJD]]-TABL12[[#This Row],[BER_IN]]</f>
        <v/>
      </c>
      <c r="AK317" s="6" t="n">
        <v>85</v>
      </c>
      <c r="AL317" s="33" t="n">
        <v>42.7901</v>
      </c>
      <c r="AM317" s="6" t="n">
        <v>2994740</v>
      </c>
      <c r="AN317" s="6">
        <f>TABL12[[#This Row],[ (RESV. STORGE) SER]]/10</f>
        <v/>
      </c>
      <c r="AO317" s="6" t="n">
        <v>1853</v>
      </c>
      <c r="AP317" s="32">
        <f>TABL12[[#This Row],[(A/S) AJD]]-TABL12[[#This Row],[SER_IN]]</f>
        <v/>
      </c>
    </row>
    <row r="318" ht="18.75" customHeight="1">
      <c r="A318" s="2" t="n">
        <v>45974</v>
      </c>
      <c r="B318" s="28" t="n">
        <v>37</v>
      </c>
      <c r="C318" s="28" t="n">
        <v>300</v>
      </c>
      <c r="D318" s="28" t="n">
        <v>37</v>
      </c>
      <c r="E318" s="28" t="n">
        <v>0</v>
      </c>
      <c r="F318" s="28" t="n">
        <v>100</v>
      </c>
      <c r="G318" s="28" t="n">
        <v>638</v>
      </c>
      <c r="H318" s="28" t="n">
        <v>3</v>
      </c>
      <c r="I318" s="28" t="n">
        <v>485</v>
      </c>
      <c r="J318" s="28" t="n">
        <v>468</v>
      </c>
      <c r="K318" s="28">
        <f>TABL12[[#This Row],[ (T/B) SAR]]+TABL12[[#This Row],[ (S/S) SAR]]</f>
        <v/>
      </c>
      <c r="L318" s="28" t="n">
        <v>315</v>
      </c>
      <c r="M318" s="29" t="n">
        <v>24.6</v>
      </c>
      <c r="N318" s="30" t="n">
        <v>7.31</v>
      </c>
      <c r="O318" s="39" t="n">
        <v>441</v>
      </c>
      <c r="P318" s="9">
        <f>TABL12[[#This Row],[ (S/S) SAR]]-TABL12[[#This Row],[(S/S) AJD]]</f>
        <v/>
      </c>
      <c r="Q318" s="9" t="n">
        <v>440</v>
      </c>
      <c r="R318" s="9">
        <f>TABL12[[#This Row],[ (T/B) SAR]]-TABL12[[#This Row],[(T/B) AJD]]</f>
        <v/>
      </c>
      <c r="S318" s="9">
        <f>TABL12[[#This Row],[S/S_CON.]]+TABL12[[#This Row],[T/B-CON.]]</f>
        <v/>
      </c>
      <c r="T318" s="9">
        <f>O318+Q318</f>
        <v/>
      </c>
      <c r="U318" s="9" t="n">
        <v>598</v>
      </c>
      <c r="V318" s="9" t="n">
        <v>324</v>
      </c>
      <c r="W318" s="9">
        <f>U318+V318</f>
        <v/>
      </c>
      <c r="X318" s="9">
        <f>T318-W318</f>
        <v/>
      </c>
      <c r="Y318" s="18" t="n">
        <v>92.3</v>
      </c>
      <c r="Z318" s="9" t="n">
        <v>377659</v>
      </c>
      <c r="AA318" s="9">
        <f>TABL12[[#This Row],[(RESV. STORGE) AJD]]/10</f>
        <v/>
      </c>
      <c r="AB318" s="3">
        <f>(Z318-Z317)/1000</f>
        <v/>
      </c>
      <c r="AC318" s="6" t="n">
        <v>956</v>
      </c>
      <c r="AD318" s="5">
        <f>TABL12[[#This Row],[( S/S+T/B) AJD]]-(TABL12[[#This Row],[(A/B + A/S) AJD]]+TABL12[[#This Row],[(STORGE DIFF.) AJD]]+(TABL12[[#This Row],[AJD_Evaporation]]))</f>
        <v/>
      </c>
      <c r="AE318" s="6" t="n">
        <v>150</v>
      </c>
      <c r="AF318" s="33" t="n">
        <v>59.011</v>
      </c>
      <c r="AG318" s="6" t="n">
        <v>1630912</v>
      </c>
      <c r="AH318" s="6">
        <f>TABL12[[#This Row],[ (RESV. STORGE) BER]]/10</f>
        <v/>
      </c>
      <c r="AI318" s="6" t="n">
        <v>2547</v>
      </c>
      <c r="AJ318" s="6">
        <f>TABL12[[#This Row],[(A/B) AJD]]-TABL12[[#This Row],[BER_IN]]</f>
        <v/>
      </c>
      <c r="AK318" s="6" t="n">
        <v>54</v>
      </c>
      <c r="AL318" s="33" t="n">
        <v>42.8286</v>
      </c>
      <c r="AM318" s="6" t="n">
        <v>3012400</v>
      </c>
      <c r="AN318" s="6">
        <f>TABL12[[#This Row],[ (RESV. STORGE) SER]]/10</f>
        <v/>
      </c>
      <c r="AO318" s="6" t="n">
        <v>1820</v>
      </c>
      <c r="AP318" s="32">
        <f>TABL12[[#This Row],[(A/S) AJD]]-TABL12[[#This Row],[SER_IN]]</f>
        <v/>
      </c>
    </row>
    <row r="319" ht="18.75" customHeight="1">
      <c r="A319" s="2" t="n">
        <v>45975</v>
      </c>
      <c r="B319" s="28" t="n">
        <v>38</v>
      </c>
      <c r="C319" s="28" t="n">
        <v>303</v>
      </c>
      <c r="D319" s="28" t="n">
        <v>38</v>
      </c>
      <c r="E319" s="28" t="n">
        <v>0</v>
      </c>
      <c r="F319" s="28" t="n">
        <v>100</v>
      </c>
      <c r="G319" s="28" t="n">
        <v>636</v>
      </c>
      <c r="H319" s="28" t="n">
        <v>3</v>
      </c>
      <c r="I319" s="28" t="n">
        <v>483</v>
      </c>
      <c r="J319" s="28" t="n">
        <v>468</v>
      </c>
      <c r="K319" s="28">
        <f>TABL12[[#This Row],[ (T/B) SAR]]+TABL12[[#This Row],[ (S/S) SAR]]</f>
        <v/>
      </c>
      <c r="L319" s="28" t="n">
        <v>315</v>
      </c>
      <c r="M319" s="29" t="n">
        <v>24.6</v>
      </c>
      <c r="N319" s="30" t="n">
        <v>7.3</v>
      </c>
      <c r="O319" s="40" t="n">
        <v>441</v>
      </c>
      <c r="P319" s="9">
        <f>TABL12[[#This Row],[ (S/S) SAR]]-TABL12[[#This Row],[(S/S) AJD]]</f>
        <v/>
      </c>
      <c r="Q319" s="9" t="n">
        <v>439</v>
      </c>
      <c r="R319" s="9">
        <f>TABL12[[#This Row],[ (T/B) SAR]]-TABL12[[#This Row],[(T/B) AJD]]</f>
        <v/>
      </c>
      <c r="S319" s="9">
        <f>TABL12[[#This Row],[S/S_CON.]]+TABL12[[#This Row],[T/B-CON.]]</f>
        <v/>
      </c>
      <c r="T319" s="9">
        <f>O319+Q319</f>
        <v/>
      </c>
      <c r="U319" s="9" t="n">
        <v>599</v>
      </c>
      <c r="V319" s="9" t="n">
        <v>270</v>
      </c>
      <c r="W319" s="9">
        <f>U319+V319</f>
        <v/>
      </c>
      <c r="X319" s="9">
        <f>T319-W319</f>
        <v/>
      </c>
      <c r="Y319" s="18" t="n">
        <v>92.273</v>
      </c>
      <c r="Z319" s="9" t="n">
        <v>361619</v>
      </c>
      <c r="AA319" s="9">
        <f>TABL12[[#This Row],[(RESV. STORGE) AJD]]/10</f>
        <v/>
      </c>
      <c r="AB319" s="3">
        <f>(Z319-Z318)/1000</f>
        <v/>
      </c>
      <c r="AC319" s="6" t="n">
        <v>0</v>
      </c>
      <c r="AD319" s="5">
        <f>TABL12[[#This Row],[( S/S+T/B) AJD]]-(TABL12[[#This Row],[(A/B + A/S) AJD]]+TABL12[[#This Row],[(STORGE DIFF.) AJD]]+(TABL12[[#This Row],[AJD_Evaporation]]))</f>
        <v/>
      </c>
      <c r="AE319" s="6" t="n">
        <v>150</v>
      </c>
      <c r="AF319" s="33" t="n">
        <v>59.001</v>
      </c>
      <c r="AG319" s="6" t="n">
        <v>1624309</v>
      </c>
      <c r="AH319" s="6">
        <f>TABL12[[#This Row],[ (RESV. STORGE) BER]]/10</f>
        <v/>
      </c>
      <c r="AI319" s="6" t="n">
        <v>2546</v>
      </c>
      <c r="AJ319" s="6">
        <f>TABL12[[#This Row],[(A/B) AJD]]-TABL12[[#This Row],[BER_IN]]</f>
        <v/>
      </c>
      <c r="AK319" s="6" t="n">
        <v>37</v>
      </c>
      <c r="AL319" s="33" t="n">
        <v>42.8515</v>
      </c>
      <c r="AM319" s="6" t="n">
        <v>3028624</v>
      </c>
      <c r="AN319" s="6">
        <f>TABL12[[#This Row],[ (RESV. STORGE) SER]]/10</f>
        <v/>
      </c>
      <c r="AO319" s="6" t="n">
        <v>1830</v>
      </c>
      <c r="AP319" s="32">
        <f>TABL12[[#This Row],[(A/S) AJD]]-TABL12[[#This Row],[SER_IN]]</f>
        <v/>
      </c>
    </row>
    <row r="320" ht="18.75" customHeight="1">
      <c r="A320" s="2" t="n">
        <v>45976</v>
      </c>
      <c r="B320" s="28" t="n">
        <v>38</v>
      </c>
      <c r="C320" s="28" t="n">
        <v>305</v>
      </c>
      <c r="D320" s="28" t="n">
        <v>37</v>
      </c>
      <c r="E320" s="28" t="n">
        <v>0</v>
      </c>
      <c r="F320" s="28" t="n">
        <v>100</v>
      </c>
      <c r="G320" s="28" t="n">
        <v>637</v>
      </c>
      <c r="H320" s="28" t="n">
        <v>3</v>
      </c>
      <c r="I320" s="28" t="n">
        <v>483</v>
      </c>
      <c r="J320" s="28" t="n">
        <v>469</v>
      </c>
      <c r="K320" s="28">
        <f>TABL12[[#This Row],[ (T/B) SAR]]+TABL12[[#This Row],[ (S/S) SAR]]</f>
        <v/>
      </c>
      <c r="L320" s="28" t="n">
        <v>315</v>
      </c>
      <c r="M320" s="29" t="n">
        <v>24.6</v>
      </c>
      <c r="N320" s="30" t="n">
        <v>7.29</v>
      </c>
      <c r="O320" s="39" t="n">
        <v>440</v>
      </c>
      <c r="P320" s="9">
        <f>TABL12[[#This Row],[ (S/S) SAR]]-TABL12[[#This Row],[(S/S) AJD]]</f>
        <v/>
      </c>
      <c r="Q320" s="9" t="n">
        <v>440</v>
      </c>
      <c r="R320" s="9">
        <f>TABL12[[#This Row],[ (T/B) SAR]]-TABL12[[#This Row],[(T/B) AJD]]</f>
        <v/>
      </c>
      <c r="S320" s="9">
        <f>TABL12[[#This Row],[S/S_CON.]]+TABL12[[#This Row],[T/B-CON.]]</f>
        <v/>
      </c>
      <c r="T320" s="9">
        <f>O320+Q320</f>
        <v/>
      </c>
      <c r="U320" s="9" t="n">
        <v>602</v>
      </c>
      <c r="V320" s="9" t="n">
        <v>262</v>
      </c>
      <c r="W320" s="9">
        <f>U320+V320</f>
        <v/>
      </c>
      <c r="X320" s="9">
        <f>T320-W320</f>
        <v/>
      </c>
      <c r="Y320" s="18" t="n">
        <v>92.247</v>
      </c>
      <c r="Z320" s="9" t="n">
        <v>346182</v>
      </c>
      <c r="AA320" s="9">
        <f>TABL12[[#This Row],[(RESV. STORGE) AJD]]/10</f>
        <v/>
      </c>
      <c r="AB320" s="3">
        <f>(Z320-Z319)/1000</f>
        <v/>
      </c>
      <c r="AC320" s="6" t="n">
        <v>0</v>
      </c>
      <c r="AD320" s="5">
        <f>TABL12[[#This Row],[( S/S+T/B) AJD]]-(TABL12[[#This Row],[(A/B + A/S) AJD]]+TABL12[[#This Row],[(STORGE DIFF.) AJD]]+(TABL12[[#This Row],[AJD_Evaporation]]))</f>
        <v/>
      </c>
      <c r="AE320" s="6" t="n">
        <v>150</v>
      </c>
      <c r="AF320" s="33" t="n">
        <v>58.99</v>
      </c>
      <c r="AG320" s="6" t="n">
        <v>1617048</v>
      </c>
      <c r="AH320" s="6">
        <f>TABL12[[#This Row],[ (RESV. STORGE) BER]]/10</f>
        <v/>
      </c>
      <c r="AI320" s="6" t="n">
        <v>3205</v>
      </c>
      <c r="AJ320" s="6">
        <f>TABL12[[#This Row],[(A/B) AJD]]-TABL12[[#This Row],[BER_IN]]</f>
        <v/>
      </c>
      <c r="AK320" s="6" t="n">
        <v>35</v>
      </c>
      <c r="AL320" s="33" t="n">
        <v>42.8971</v>
      </c>
      <c r="AM320" s="6" t="n">
        <v>3052510</v>
      </c>
      <c r="AN320" s="6">
        <f>TABL12[[#This Row],[ (RESV. STORGE) SER]]/10</f>
        <v/>
      </c>
      <c r="AO320" s="6" t="n">
        <v>1740</v>
      </c>
      <c r="AP320" s="32">
        <f>TABL12[[#This Row],[(A/S) AJD]]-TABL12[[#This Row],[SER_IN]]</f>
        <v/>
      </c>
    </row>
    <row r="321" ht="18.75" customHeight="1">
      <c r="A321" s="2" t="n">
        <v>45977</v>
      </c>
      <c r="B321" s="28" t="n">
        <v>38</v>
      </c>
      <c r="C321" s="28" t="n">
        <v>316</v>
      </c>
      <c r="D321" s="28" t="n">
        <v>38</v>
      </c>
      <c r="E321" s="28" t="n">
        <v>0</v>
      </c>
      <c r="F321" s="28" t="n">
        <v>100</v>
      </c>
      <c r="G321" s="28" t="n">
        <v>634</v>
      </c>
      <c r="H321" s="28" t="n">
        <v>3</v>
      </c>
      <c r="I321" s="28" t="n">
        <v>482</v>
      </c>
      <c r="J321" s="28" t="n">
        <v>467</v>
      </c>
      <c r="K321" s="28">
        <f>TABL12[[#This Row],[ (T/B) SAR]]+TABL12[[#This Row],[ (S/S) SAR]]</f>
        <v/>
      </c>
      <c r="L321" s="28" t="n">
        <v>315</v>
      </c>
      <c r="M321" s="29" t="n">
        <v>24.6</v>
      </c>
      <c r="N321" s="30" t="n">
        <v>7.32</v>
      </c>
      <c r="O321" s="40" t="n">
        <v>439</v>
      </c>
      <c r="P321" s="9">
        <f>TABL12[[#This Row],[ (S/S) SAR]]-TABL12[[#This Row],[(S/S) AJD]]</f>
        <v/>
      </c>
      <c r="Q321" s="9" t="n">
        <v>440</v>
      </c>
      <c r="R321" s="9">
        <f>TABL12[[#This Row],[ (T/B) SAR]]-TABL12[[#This Row],[(T/B) AJD]]</f>
        <v/>
      </c>
      <c r="S321" s="9">
        <f>TABL12[[#This Row],[S/S_CON.]]+TABL12[[#This Row],[T/B-CON.]]</f>
        <v/>
      </c>
      <c r="T321" s="9">
        <f>O321+Q321</f>
        <v/>
      </c>
      <c r="U321" s="9" t="n">
        <v>604</v>
      </c>
      <c r="V321" s="9" t="n">
        <v>258</v>
      </c>
      <c r="W321" s="9">
        <f>U321+V321</f>
        <v/>
      </c>
      <c r="X321" s="9">
        <f>T321-W321</f>
        <v/>
      </c>
      <c r="Y321" s="18" t="n">
        <v>92.23999999999999</v>
      </c>
      <c r="Z321" s="9" t="n">
        <v>342029</v>
      </c>
      <c r="AA321" s="9">
        <f>TABL12[[#This Row],[(RESV. STORGE) AJD]]/10</f>
        <v/>
      </c>
      <c r="AB321" s="3">
        <f>(Z321-Z320)/1000</f>
        <v/>
      </c>
      <c r="AC321" s="6" t="n">
        <v>918</v>
      </c>
      <c r="AD321" s="5">
        <f>TABL12[[#This Row],[( S/S+T/B) AJD]]-(TABL12[[#This Row],[(A/B + A/S) AJD]]+TABL12[[#This Row],[(STORGE DIFF.) AJD]]+(TABL12[[#This Row],[AJD_Evaporation]]))</f>
        <v/>
      </c>
      <c r="AE321" s="6" t="n">
        <v>150</v>
      </c>
      <c r="AF321" s="33" t="n">
        <v>58.979</v>
      </c>
      <c r="AG321" s="6" t="n">
        <v>1609787</v>
      </c>
      <c r="AH321" s="6">
        <f>TABL12[[#This Row],[ (RESV. STORGE) BER]]/10</f>
        <v/>
      </c>
      <c r="AI321" s="6" t="n">
        <v>3204</v>
      </c>
      <c r="AJ321" s="6">
        <f>TABL12[[#This Row],[(A/B) AJD]]-TABL12[[#This Row],[BER_IN]]</f>
        <v/>
      </c>
      <c r="AK321" s="6" t="n">
        <v>35</v>
      </c>
      <c r="AL321" s="33" t="n">
        <v>42.9169</v>
      </c>
      <c r="AM321" s="6" t="n">
        <v>3063320</v>
      </c>
      <c r="AN321" s="6">
        <f>TABL12[[#This Row],[ (RESV. STORGE) SER]]/10</f>
        <v/>
      </c>
      <c r="AO321" s="6" t="n">
        <v>1890</v>
      </c>
      <c r="AP321" s="32">
        <f>TABL12[[#This Row],[(A/S) AJD]]-TABL12[[#This Row],[SER_IN]]</f>
        <v/>
      </c>
    </row>
    <row r="322" ht="18.75" customHeight="1">
      <c r="A322" s="2" t="n">
        <v>45978</v>
      </c>
      <c r="B322" s="28" t="n">
        <v>38</v>
      </c>
      <c r="C322" s="28" t="n">
        <v>319</v>
      </c>
      <c r="D322" s="28" t="n">
        <v>38</v>
      </c>
      <c r="E322" s="28" t="n">
        <v>0</v>
      </c>
      <c r="F322" s="28" t="n">
        <v>100</v>
      </c>
      <c r="G322" s="28" t="n">
        <v>637</v>
      </c>
      <c r="H322" s="28" t="n">
        <v>3</v>
      </c>
      <c r="I322" s="28" t="n">
        <v>482</v>
      </c>
      <c r="J322" s="28" t="n">
        <v>470</v>
      </c>
      <c r="K322" s="28">
        <f>TABL12[[#This Row],[ (T/B) SAR]]+TABL12[[#This Row],[ (S/S) SAR]]</f>
        <v/>
      </c>
      <c r="L322" s="28" t="n">
        <v>315</v>
      </c>
      <c r="M322" s="29" t="n">
        <v>24.6</v>
      </c>
      <c r="N322" s="30" t="n">
        <v>7.39</v>
      </c>
      <c r="O322" s="39" t="n">
        <v>440</v>
      </c>
      <c r="P322" s="9">
        <f>TABL12[[#This Row],[ (S/S) SAR]]-TABL12[[#This Row],[(S/S) AJD]]</f>
        <v/>
      </c>
      <c r="Q322" s="9" t="n">
        <v>439</v>
      </c>
      <c r="R322" s="9">
        <f>TABL12[[#This Row],[ (T/B) SAR]]-TABL12[[#This Row],[(T/B) AJD]]</f>
        <v/>
      </c>
      <c r="S322" s="9">
        <f>TABL12[[#This Row],[S/S_CON.]]+TABL12[[#This Row],[T/B-CON.]]</f>
        <v/>
      </c>
      <c r="T322" s="9">
        <f>O322+Q322</f>
        <v/>
      </c>
      <c r="U322" s="9" t="n">
        <v>613</v>
      </c>
      <c r="V322" s="9" t="n">
        <v>264</v>
      </c>
      <c r="W322" s="9">
        <f>U322+V322</f>
        <v/>
      </c>
      <c r="X322" s="9">
        <f>T322-W322</f>
        <v/>
      </c>
      <c r="Y322" s="18" t="n">
        <v>92.2</v>
      </c>
      <c r="Z322" s="9" t="n">
        <v>318290</v>
      </c>
      <c r="AA322" s="9">
        <f>TABL12[[#This Row],[(RESV. STORGE) AJD]]/10</f>
        <v/>
      </c>
      <c r="AB322" s="3">
        <f>(Z322-Z321)/1000</f>
        <v/>
      </c>
      <c r="AC322" s="6" t="n">
        <v>1055</v>
      </c>
      <c r="AD322" s="5">
        <f>TABL12[[#This Row],[( S/S+T/B) AJD]]-(TABL12[[#This Row],[(A/B + A/S) AJD]]+TABL12[[#This Row],[(STORGE DIFF.) AJD]]+(TABL12[[#This Row],[AJD_Evaporation]]))</f>
        <v/>
      </c>
      <c r="AE322" s="6" t="n">
        <v>150</v>
      </c>
      <c r="AF322" s="33" t="n">
        <v>58.969</v>
      </c>
      <c r="AG322" s="6" t="n">
        <v>1603187</v>
      </c>
      <c r="AH322" s="6">
        <f>TABL12[[#This Row],[ (RESV. STORGE) BER]]/10</f>
        <v/>
      </c>
      <c r="AI322" s="6" t="n">
        <v>2546</v>
      </c>
      <c r="AJ322" s="6">
        <f>TABL12[[#This Row],[(A/B) AJD]]-TABL12[[#This Row],[BER_IN]]</f>
        <v/>
      </c>
      <c r="AK322" s="6" t="n">
        <v>36</v>
      </c>
      <c r="AL322" s="33" t="n">
        <v>42.9108</v>
      </c>
      <c r="AM322" s="6" t="n">
        <v>3060600</v>
      </c>
      <c r="AN322" s="6">
        <f>TABL12[[#This Row],[ (RESV. STORGE) SER]]/10</f>
        <v/>
      </c>
      <c r="AO322" s="6" t="n">
        <v>1720</v>
      </c>
      <c r="AP322" s="32">
        <f>TABL12[[#This Row],[(A/S) AJD]]-TABL12[[#This Row],[SER_IN]]</f>
        <v/>
      </c>
    </row>
    <row r="323" ht="18.75" customHeight="1">
      <c r="A323" s="2" t="n">
        <v>45979</v>
      </c>
      <c r="B323" s="28" t="n">
        <v>38</v>
      </c>
      <c r="C323" s="28" t="n">
        <v>312</v>
      </c>
      <c r="D323" s="28" t="n">
        <v>38</v>
      </c>
      <c r="E323" s="28" t="n">
        <v>0</v>
      </c>
      <c r="F323" s="28" t="n">
        <v>100</v>
      </c>
      <c r="G323" s="28" t="n">
        <v>623</v>
      </c>
      <c r="H323" s="28" t="n">
        <v>3</v>
      </c>
      <c r="I323" s="28" t="n">
        <v>475</v>
      </c>
      <c r="J323" s="28" t="n">
        <v>463</v>
      </c>
      <c r="K323" s="28">
        <f>TABL12[[#This Row],[ (T/B) SAR]]+TABL12[[#This Row],[ (S/S) SAR]]</f>
        <v/>
      </c>
      <c r="L323" s="28" t="n">
        <v>315</v>
      </c>
      <c r="M323" s="29" t="n">
        <v>24.6</v>
      </c>
      <c r="N323" s="30" t="n">
        <v>7.43</v>
      </c>
      <c r="O323" s="40" t="n">
        <v>436</v>
      </c>
      <c r="P323" s="9">
        <f>TABL12[[#This Row],[ (S/S) SAR]]-TABL12[[#This Row],[(S/S) AJD]]</f>
        <v/>
      </c>
      <c r="Q323" s="9" t="n">
        <v>436</v>
      </c>
      <c r="R323" s="9">
        <f>TABL12[[#This Row],[ (T/B) SAR]]-TABL12[[#This Row],[(T/B) AJD]]</f>
        <v/>
      </c>
      <c r="S323" s="9">
        <f>TABL12[[#This Row],[S/S_CON.]]+TABL12[[#This Row],[T/B-CON.]]</f>
        <v/>
      </c>
      <c r="T323" s="9">
        <f>O323+Q323</f>
        <v/>
      </c>
      <c r="U323" s="9" t="n">
        <v>614</v>
      </c>
      <c r="V323" s="9" t="n">
        <v>299</v>
      </c>
      <c r="W323" s="9">
        <f>U323+V323</f>
        <v/>
      </c>
      <c r="X323" s="9">
        <f>T323-W323</f>
        <v/>
      </c>
      <c r="Y323" s="18" t="n">
        <v>92.081</v>
      </c>
      <c r="Z323" s="9" t="n">
        <v>247758</v>
      </c>
      <c r="AA323" s="9">
        <f>TABL12[[#This Row],[(RESV. STORGE) AJD]]/10</f>
        <v/>
      </c>
      <c r="AB323" s="3">
        <f>(Z323-Z322)/1000</f>
        <v/>
      </c>
      <c r="AC323" s="6" t="n">
        <v>1061</v>
      </c>
      <c r="AD323" s="5">
        <f>TABL12[[#This Row],[( S/S+T/B) AJD]]-(TABL12[[#This Row],[(A/B + A/S) AJD]]+TABL12[[#This Row],[(STORGE DIFF.) AJD]]+(TABL12[[#This Row],[AJD_Evaporation]]))</f>
        <v/>
      </c>
      <c r="AE323" s="6" t="n">
        <v>150</v>
      </c>
      <c r="AF323" s="33" t="n">
        <v>58.959</v>
      </c>
      <c r="AG323" s="6" t="n">
        <v>1596588</v>
      </c>
      <c r="AH323" s="6">
        <f>TABL12[[#This Row],[ (RESV. STORGE) BER]]/10</f>
        <v/>
      </c>
      <c r="AI323" s="6" t="n">
        <v>2542</v>
      </c>
      <c r="AJ323" s="6">
        <f>TABL12[[#This Row],[(A/B) AJD]]-TABL12[[#This Row],[BER_IN]]</f>
        <v/>
      </c>
      <c r="AK323" s="6" t="n">
        <v>21</v>
      </c>
      <c r="AL323" s="33" t="n">
        <v>42.8735</v>
      </c>
      <c r="AM323" s="6" t="n">
        <v>3040080</v>
      </c>
      <c r="AN323" s="6">
        <f>TABL12[[#This Row],[ (RESV. STORGE) SER]]/10</f>
        <v/>
      </c>
      <c r="AO323" s="6" t="n">
        <v>1820</v>
      </c>
      <c r="AP323" s="32">
        <f>TABL12[[#This Row],[(A/S) AJD]]-TABL12[[#This Row],[SER_IN]]</f>
        <v/>
      </c>
    </row>
    <row r="324" ht="18.75" customHeight="1">
      <c r="A324" s="2" t="n">
        <v>45980</v>
      </c>
      <c r="B324" s="28" t="n">
        <v>37</v>
      </c>
      <c r="C324" s="28" t="n">
        <v>309</v>
      </c>
      <c r="D324" s="28" t="n">
        <v>37</v>
      </c>
      <c r="E324" s="28" t="n">
        <v>0</v>
      </c>
      <c r="F324" s="28" t="n">
        <v>98</v>
      </c>
      <c r="G324" s="28" t="n">
        <v>619</v>
      </c>
      <c r="H324" s="28" t="n">
        <v>5</v>
      </c>
      <c r="I324" s="28" t="n">
        <v>474</v>
      </c>
      <c r="J324" s="28" t="n">
        <v>459</v>
      </c>
      <c r="K324" s="28">
        <f>TABL12[[#This Row],[ (T/B) SAR]]+TABL12[[#This Row],[ (S/S) SAR]]</f>
        <v/>
      </c>
      <c r="L324" s="28" t="n">
        <v>314</v>
      </c>
      <c r="M324" s="29" t="n">
        <v>24.6</v>
      </c>
      <c r="N324" s="30" t="n">
        <v>7.44</v>
      </c>
      <c r="O324" s="39" t="n">
        <v>436</v>
      </c>
      <c r="P324" s="9">
        <f>TABL12[[#This Row],[ (S/S) SAR]]-TABL12[[#This Row],[(S/S) AJD]]</f>
        <v/>
      </c>
      <c r="Q324" s="9" t="n">
        <v>435</v>
      </c>
      <c r="R324" s="9">
        <f>TABL12[[#This Row],[ (T/B) SAR]]-TABL12[[#This Row],[(T/B) AJD]]</f>
        <v/>
      </c>
      <c r="S324" s="9">
        <f>TABL12[[#This Row],[S/S_CON.]]+TABL12[[#This Row],[T/B-CON.]]</f>
        <v/>
      </c>
      <c r="T324" s="9">
        <f>O324+Q324</f>
        <v/>
      </c>
      <c r="U324" s="9" t="n">
        <v>615</v>
      </c>
      <c r="V324" s="9" t="n">
        <v>276</v>
      </c>
      <c r="W324" s="9">
        <f>U324+V324</f>
        <v/>
      </c>
      <c r="X324" s="9">
        <f>T324-W324</f>
        <v/>
      </c>
      <c r="Y324" s="18" t="n">
        <v>92.011</v>
      </c>
      <c r="Z324" s="9" t="n">
        <v>206322</v>
      </c>
      <c r="AA324" s="9">
        <f>TABL12[[#This Row],[(RESV. STORGE) AJD]]/10</f>
        <v/>
      </c>
      <c r="AB324" s="3">
        <f>(Z324-Z323)/1000</f>
        <v/>
      </c>
      <c r="AC324" s="6" t="n">
        <v>969</v>
      </c>
      <c r="AD324" s="5">
        <f>TABL12[[#This Row],[( S/S+T/B) AJD]]-(TABL12[[#This Row],[(A/B + A/S) AJD]]+TABL12[[#This Row],[(STORGE DIFF.) AJD]]+(TABL12[[#This Row],[AJD_Evaporation]]))</f>
        <v/>
      </c>
      <c r="AE324" s="6" t="n">
        <v>150</v>
      </c>
      <c r="AF324" s="33" t="n">
        <v>58.949</v>
      </c>
      <c r="AG324" s="6" t="n">
        <v>1589990</v>
      </c>
      <c r="AH324" s="6">
        <f>TABL12[[#This Row],[ (RESV. STORGE) BER]]/10</f>
        <v/>
      </c>
      <c r="AI324" s="6" t="n">
        <v>2542</v>
      </c>
      <c r="AJ324" s="6">
        <f>TABL12[[#This Row],[(A/B) AJD]]-TABL12[[#This Row],[BER_IN]]</f>
        <v/>
      </c>
      <c r="AK324" s="6" t="n">
        <v>4</v>
      </c>
      <c r="AL324" s="33" t="n">
        <v>42.8131</v>
      </c>
      <c r="AM324" s="6" t="n">
        <v>3007150</v>
      </c>
      <c r="AN324" s="6">
        <f>TABL12[[#This Row],[ (RESV. STORGE) SER]]/10</f>
        <v/>
      </c>
      <c r="AO324" s="6" t="n">
        <v>1930</v>
      </c>
      <c r="AP324" s="32">
        <f>TABL12[[#This Row],[(A/S) AJD]]-TABL12[[#This Row],[SER_IN]]</f>
        <v/>
      </c>
    </row>
    <row r="325" ht="18.75" customHeight="1">
      <c r="A325" s="2" t="n">
        <v>45981</v>
      </c>
      <c r="B325" s="28" t="n">
        <v>38</v>
      </c>
      <c r="C325" s="28" t="n">
        <v>306</v>
      </c>
      <c r="D325" s="28" t="n">
        <v>38</v>
      </c>
      <c r="E325" s="28" t="n">
        <v>0</v>
      </c>
      <c r="F325" s="28" t="n">
        <v>98</v>
      </c>
      <c r="G325" s="28" t="n">
        <v>615</v>
      </c>
      <c r="H325" s="28" t="n">
        <v>5</v>
      </c>
      <c r="I325" s="28" t="n">
        <v>472</v>
      </c>
      <c r="J325" s="28" t="n">
        <v>458</v>
      </c>
      <c r="K325" s="28">
        <f>TABL12[[#This Row],[ (T/B) SAR]]+TABL12[[#This Row],[ (S/S) SAR]]</f>
        <v/>
      </c>
      <c r="L325" s="28" t="n">
        <v>315</v>
      </c>
      <c r="M325" s="29" t="n">
        <v>24.6</v>
      </c>
      <c r="N325" s="30" t="n">
        <v>7.45</v>
      </c>
      <c r="O325" s="40" t="n">
        <v>432</v>
      </c>
      <c r="P325" s="9">
        <f>TABL12[[#This Row],[ (S/S) SAR]]-TABL12[[#This Row],[(S/S) AJD]]</f>
        <v/>
      </c>
      <c r="Q325" s="9" t="n">
        <v>431</v>
      </c>
      <c r="R325" s="9">
        <f>TABL12[[#This Row],[ (T/B) SAR]]-TABL12[[#This Row],[(T/B) AJD]]</f>
        <v/>
      </c>
      <c r="S325" s="9">
        <f>TABL12[[#This Row],[S/S_CON.]]+TABL12[[#This Row],[T/B-CON.]]</f>
        <v/>
      </c>
      <c r="T325" s="9">
        <f>O325+Q325</f>
        <v/>
      </c>
      <c r="U325" s="9" t="n">
        <v>577</v>
      </c>
      <c r="V325" s="9" t="n">
        <v>237</v>
      </c>
      <c r="W325" s="9">
        <f>U325+V325</f>
        <v/>
      </c>
      <c r="X325" s="9">
        <f>T325-W325</f>
        <v/>
      </c>
      <c r="Y325" s="18" t="n">
        <v>92.065</v>
      </c>
      <c r="Z325" s="9" t="n">
        <v>238284</v>
      </c>
      <c r="AA325" s="9">
        <f>TABL12[[#This Row],[(RESV. STORGE) AJD]]/10</f>
        <v/>
      </c>
      <c r="AB325" s="3">
        <f>(Z325-Z324)/1000</f>
        <v/>
      </c>
      <c r="AC325" s="6" t="n">
        <v>995</v>
      </c>
      <c r="AD325" s="5">
        <f>TABL12[[#This Row],[( S/S+T/B) AJD]]-(TABL12[[#This Row],[(A/B + A/S) AJD]]+TABL12[[#This Row],[(STORGE DIFF.) AJD]]+(TABL12[[#This Row],[AJD_Evaporation]]))</f>
        <v/>
      </c>
      <c r="AE325" s="6" t="n">
        <v>150</v>
      </c>
      <c r="AF325" s="33" t="n">
        <v>58.939</v>
      </c>
      <c r="AG325" s="6" t="n">
        <v>1583393</v>
      </c>
      <c r="AH325" s="6">
        <f>TABL12[[#This Row],[ (RESV. STORGE) BER]]/10</f>
        <v/>
      </c>
      <c r="AI325" s="6" t="n">
        <v>2541</v>
      </c>
      <c r="AJ325" s="6">
        <f>TABL12[[#This Row],[(A/B) AJD]]-TABL12[[#This Row],[BER_IN]]</f>
        <v/>
      </c>
      <c r="AK325" s="6" t="n">
        <v>0</v>
      </c>
      <c r="AL325" s="33" t="n">
        <v>42.698</v>
      </c>
      <c r="AM325" s="6" t="n">
        <v>2945130</v>
      </c>
      <c r="AN325" s="6">
        <f>TABL12[[#This Row],[ (RESV. STORGE) SER]]/10</f>
        <v/>
      </c>
      <c r="AO325" s="6" t="n">
        <v>1890</v>
      </c>
      <c r="AP325" s="32">
        <f>TABL12[[#This Row],[(A/S) AJD]]-TABL12[[#This Row],[SER_IN]]</f>
        <v/>
      </c>
    </row>
    <row r="326" ht="18.75" customHeight="1">
      <c r="A326" s="2" t="n">
        <v>45982</v>
      </c>
      <c r="B326" s="28" t="n">
        <v>37</v>
      </c>
      <c r="C326" s="28" t="n">
        <v>298</v>
      </c>
      <c r="D326" s="28" t="n">
        <v>37</v>
      </c>
      <c r="E326" s="28" t="n">
        <v>0</v>
      </c>
      <c r="F326" s="28" t="n">
        <v>98</v>
      </c>
      <c r="G326" s="28" t="n">
        <v>615</v>
      </c>
      <c r="H326" s="28" t="n">
        <v>5</v>
      </c>
      <c r="I326" s="28" t="n">
        <v>472</v>
      </c>
      <c r="J326" s="28" t="n">
        <v>458</v>
      </c>
      <c r="K326" s="28">
        <f>TABL12[[#This Row],[ (T/B) SAR]]+TABL12[[#This Row],[ (S/S) SAR]]</f>
        <v/>
      </c>
      <c r="L326" s="28" t="n">
        <v>315</v>
      </c>
      <c r="M326" s="29" t="n">
        <v>24.6</v>
      </c>
      <c r="N326" s="30" t="n">
        <v>7.42</v>
      </c>
      <c r="O326" s="39" t="n">
        <v>432</v>
      </c>
      <c r="P326" s="9">
        <f>TABL12[[#This Row],[ (S/S) SAR]]-TABL12[[#This Row],[(S/S) AJD]]</f>
        <v/>
      </c>
      <c r="Q326" s="9" t="n">
        <v>430</v>
      </c>
      <c r="R326" s="9">
        <f>TABL12[[#This Row],[ (T/B) SAR]]-TABL12[[#This Row],[(T/B) AJD]]</f>
        <v/>
      </c>
      <c r="S326" s="9">
        <f>TABL12[[#This Row],[S/S_CON.]]+TABL12[[#This Row],[T/B-CON.]]</f>
        <v/>
      </c>
      <c r="T326" s="9">
        <f>O326+Q326</f>
        <v/>
      </c>
      <c r="U326" s="9" t="n">
        <v>583</v>
      </c>
      <c r="V326" s="9" t="n">
        <v>199</v>
      </c>
      <c r="W326" s="9">
        <f>U326+V326</f>
        <v/>
      </c>
      <c r="X326" s="9">
        <f>T326-W326</f>
        <v/>
      </c>
      <c r="Y326" s="18" t="n">
        <v>92.15600000000001</v>
      </c>
      <c r="Z326" s="9" t="n">
        <v>297535</v>
      </c>
      <c r="AA326" s="9">
        <f>TABL12[[#This Row],[(RESV. STORGE) AJD]]/10</f>
        <v/>
      </c>
      <c r="AB326" s="3">
        <f>(Z326-Z325)/1000</f>
        <v/>
      </c>
      <c r="AC326" s="6" t="n">
        <v>1038</v>
      </c>
      <c r="AD326" s="5">
        <f>TABL12[[#This Row],[( S/S+T/B) AJD]]-(TABL12[[#This Row],[(A/B + A/S) AJD]]+TABL12[[#This Row],[(STORGE DIFF.) AJD]]+(TABL12[[#This Row],[AJD_Evaporation]]))</f>
        <v/>
      </c>
      <c r="AE326" s="6" t="n">
        <v>150</v>
      </c>
      <c r="AF326" s="33" t="n">
        <v>57.549</v>
      </c>
      <c r="AG326" s="6" t="n">
        <v>674763</v>
      </c>
      <c r="AH326" s="6">
        <f>TABL12[[#This Row],[ (RESV. STORGE) BER]]/10</f>
        <v/>
      </c>
      <c r="AI326" s="6" t="n">
        <v>3069</v>
      </c>
      <c r="AJ326" s="6">
        <f>TABL12[[#This Row],[(A/B) AJD]]-TABL12[[#This Row],[BER_IN]]</f>
        <v/>
      </c>
      <c r="AK326" s="6" t="n">
        <v>0</v>
      </c>
      <c r="AL326" s="33" t="n">
        <v>42.5448</v>
      </c>
      <c r="AM326" s="6" t="n">
        <v>2862780</v>
      </c>
      <c r="AN326" s="6">
        <f>TABL12[[#This Row],[ (RESV. STORGE) SER]]/10</f>
        <v/>
      </c>
      <c r="AO326" s="6" t="n">
        <v>1850</v>
      </c>
      <c r="AP326" s="32">
        <f>TABL12[[#This Row],[(A/S) AJD]]-TABL12[[#This Row],[SER_IN]]</f>
        <v/>
      </c>
    </row>
    <row r="327" ht="18.75" customHeight="1">
      <c r="A327" s="2" t="n">
        <v>45983</v>
      </c>
      <c r="B327" s="28" t="n">
        <v>38</v>
      </c>
      <c r="C327" s="28" t="n">
        <v>304</v>
      </c>
      <c r="D327" s="28" t="n">
        <v>38</v>
      </c>
      <c r="E327" s="28" t="n">
        <v>0</v>
      </c>
      <c r="F327" s="28" t="n">
        <v>98</v>
      </c>
      <c r="G327" s="28" t="n">
        <v>617</v>
      </c>
      <c r="H327" s="28" t="n">
        <v>5</v>
      </c>
      <c r="I327" s="28" t="n">
        <v>472</v>
      </c>
      <c r="J327" s="28" t="n">
        <v>457</v>
      </c>
      <c r="K327" s="28">
        <f>TABL12[[#This Row],[ (T/B) SAR]]+TABL12[[#This Row],[ (S/S) SAR]]</f>
        <v/>
      </c>
      <c r="L327" s="28" t="n">
        <v>312</v>
      </c>
      <c r="M327" s="29" t="n">
        <v>24.6</v>
      </c>
      <c r="N327" s="30" t="n">
        <v>7.39</v>
      </c>
      <c r="O327" s="40" t="n">
        <v>431</v>
      </c>
      <c r="P327" s="9">
        <f>TABL12[[#This Row],[ (S/S) SAR]]-TABL12[[#This Row],[(S/S) AJD]]</f>
        <v/>
      </c>
      <c r="Q327" s="9" t="n">
        <v>432</v>
      </c>
      <c r="R327" s="9">
        <f>TABL12[[#This Row],[ (T/B) SAR]]-TABL12[[#This Row],[(T/B) AJD]]</f>
        <v/>
      </c>
      <c r="S327" s="9">
        <f>TABL12[[#This Row],[S/S_CON.]]+TABL12[[#This Row],[T/B-CON.]]</f>
        <v/>
      </c>
      <c r="T327" s="9">
        <f>O327+Q327</f>
        <v/>
      </c>
      <c r="U327" s="9" t="n">
        <v>613</v>
      </c>
      <c r="V327" s="9" t="n">
        <v>209</v>
      </c>
      <c r="W327" s="9">
        <f>U327+V327</f>
        <v/>
      </c>
      <c r="X327" s="9">
        <f>T327-W327</f>
        <v/>
      </c>
      <c r="Y327" s="18" t="n">
        <v>92.18000000000001</v>
      </c>
      <c r="Z327" s="9" t="n">
        <v>306429</v>
      </c>
      <c r="AA327" s="9">
        <f>TABL12[[#This Row],[(RESV. STORGE) AJD]]/10</f>
        <v/>
      </c>
      <c r="AB327" s="3">
        <f>(Z327-Z326)/1000</f>
        <v/>
      </c>
      <c r="AC327" s="6" t="n">
        <v>1070</v>
      </c>
      <c r="AD327" s="5">
        <f>TABL12[[#This Row],[( S/S+T/B) AJD]]-(TABL12[[#This Row],[(A/B + A/S) AJD]]+TABL12[[#This Row],[(STORGE DIFF.) AJD]]+(TABL12[[#This Row],[AJD_Evaporation]]))</f>
        <v/>
      </c>
      <c r="AE327" s="6" t="n">
        <v>150</v>
      </c>
      <c r="AF327" s="33" t="n">
        <v>57.539</v>
      </c>
      <c r="AG327" s="6" t="n">
        <v>668287</v>
      </c>
      <c r="AH327" s="6">
        <f>TABL12[[#This Row],[ (RESV. STORGE) BER]]/10</f>
        <v/>
      </c>
      <c r="AI327" s="6" t="n">
        <v>2420</v>
      </c>
      <c r="AJ327" s="6">
        <f>TABL12[[#This Row],[(A/B) AJD]]-TABL12[[#This Row],[BER_IN]]</f>
        <v/>
      </c>
      <c r="AK327" s="6" t="n">
        <v>0</v>
      </c>
      <c r="AL327" s="33" t="n">
        <v>42.407</v>
      </c>
      <c r="AM327" s="6" t="n">
        <v>2788320</v>
      </c>
      <c r="AN327" s="6">
        <f>TABL12[[#This Row],[ (RESV. STORGE) SER]]/10</f>
        <v/>
      </c>
      <c r="AO327" s="6" t="n">
        <v>1860</v>
      </c>
      <c r="AP327" s="32">
        <f>TABL12[[#This Row],[(A/S) AJD]]-TABL12[[#This Row],[SER_IN]]</f>
        <v/>
      </c>
    </row>
    <row r="328" ht="18.75" customHeight="1">
      <c r="A328" s="2" t="n">
        <v>45984</v>
      </c>
      <c r="B328" s="28" t="n">
        <v>38</v>
      </c>
      <c r="C328" s="28" t="n">
        <v>297</v>
      </c>
      <c r="D328" s="28" t="n">
        <v>38</v>
      </c>
      <c r="E328" s="28" t="n">
        <v>0</v>
      </c>
      <c r="F328" s="28" t="n">
        <v>98</v>
      </c>
      <c r="G328" s="28" t="n">
        <v>619</v>
      </c>
      <c r="H328" s="28" t="n">
        <v>5</v>
      </c>
      <c r="I328" s="28" t="n">
        <v>472</v>
      </c>
      <c r="J328" s="28" t="n">
        <v>458</v>
      </c>
      <c r="K328" s="28">
        <f>TABL12[[#This Row],[ (T/B) SAR]]+TABL12[[#This Row],[ (S/S) SAR]]</f>
        <v/>
      </c>
      <c r="L328" s="28" t="n">
        <v>311</v>
      </c>
      <c r="M328" s="29" t="n">
        <v>24.6</v>
      </c>
      <c r="N328" s="30" t="n">
        <v>7.33</v>
      </c>
      <c r="O328" s="39" t="n">
        <v>431</v>
      </c>
      <c r="P328" s="9">
        <f>TABL12[[#This Row],[ (S/S) SAR]]-TABL12[[#This Row],[(S/S) AJD]]</f>
        <v/>
      </c>
      <c r="Q328" s="9" t="n">
        <v>430</v>
      </c>
      <c r="R328" s="9">
        <f>TABL12[[#This Row],[ (T/B) SAR]]-TABL12[[#This Row],[(T/B) AJD]]</f>
        <v/>
      </c>
      <c r="S328" s="9">
        <f>TABL12[[#This Row],[S/S_CON.]]+TABL12[[#This Row],[T/B-CON.]]</f>
        <v/>
      </c>
      <c r="T328" s="9">
        <f>O328+Q328</f>
        <v/>
      </c>
      <c r="U328" s="9" t="n">
        <v>595</v>
      </c>
      <c r="V328" s="9" t="n">
        <v>195</v>
      </c>
      <c r="W328" s="9">
        <f>U328+V328</f>
        <v/>
      </c>
      <c r="X328" s="9">
        <f>T328-W328</f>
        <v/>
      </c>
      <c r="Y328" s="18" t="n">
        <v>92.282</v>
      </c>
      <c r="Z328" s="9" t="n">
        <v>366961</v>
      </c>
      <c r="AA328" s="9">
        <f>TABL12[[#This Row],[(RESV. STORGE) AJD]]/10</f>
        <v/>
      </c>
      <c r="AB328" s="3">
        <f>(Z328-Z327)/1000</f>
        <v/>
      </c>
      <c r="AC328" s="6" t="n">
        <v>1122</v>
      </c>
      <c r="AD328" s="5">
        <f>TABL12[[#This Row],[( S/S+T/B) AJD]]-(TABL12[[#This Row],[(A/B + A/S) AJD]]+TABL12[[#This Row],[(STORGE DIFF.) AJD]]+(TABL12[[#This Row],[AJD_Evaporation]]))</f>
        <v/>
      </c>
      <c r="AE328" s="6" t="n">
        <v>150</v>
      </c>
      <c r="AF328" s="33" t="n">
        <v>57.492</v>
      </c>
      <c r="AG328" s="6" t="n">
        <v>637857</v>
      </c>
      <c r="AH328" s="6">
        <f>TABL12[[#This Row],[ (RESV. STORGE) BER]]/10</f>
        <v/>
      </c>
      <c r="AI328" s="6" t="n">
        <v>2002</v>
      </c>
      <c r="AJ328" s="6">
        <f>TABL12[[#This Row],[(A/B) AJD]]-TABL12[[#This Row],[BER_IN]]</f>
        <v/>
      </c>
      <c r="AK328" s="6" t="n">
        <v>0</v>
      </c>
      <c r="AL328" s="33" t="n">
        <v>42.2694</v>
      </c>
      <c r="AM328" s="6" t="n">
        <v>2714720</v>
      </c>
      <c r="AN328" s="6">
        <f>TABL12[[#This Row],[ (RESV. STORGE) SER]]/10</f>
        <v/>
      </c>
      <c r="AO328" s="6" t="n">
        <v>1800</v>
      </c>
      <c r="AP328" s="32">
        <f>TABL12[[#This Row],[(A/S) AJD]]-TABL12[[#This Row],[SER_IN]]</f>
        <v/>
      </c>
    </row>
    <row r="329" ht="18.75" customHeight="1">
      <c r="A329" s="2" t="n">
        <v>45985</v>
      </c>
      <c r="B329" s="28" t="n">
        <v>39</v>
      </c>
      <c r="C329" s="28" t="n">
        <v>299</v>
      </c>
      <c r="D329" s="28" t="n">
        <v>39</v>
      </c>
      <c r="E329" s="28" t="n">
        <v>0</v>
      </c>
      <c r="F329" s="28" t="n">
        <v>98</v>
      </c>
      <c r="G329" s="28" t="n">
        <v>611</v>
      </c>
      <c r="H329" s="28" t="n">
        <v>5</v>
      </c>
      <c r="I329" s="28" t="n">
        <v>469</v>
      </c>
      <c r="J329" s="28" t="n">
        <v>456</v>
      </c>
      <c r="K329" s="28">
        <f>TABL12[[#This Row],[ (T/B) SAR]]+TABL12[[#This Row],[ (S/S) SAR]]</f>
        <v/>
      </c>
      <c r="L329" s="28" t="n">
        <v>314</v>
      </c>
      <c r="M329" s="29" t="n">
        <v>24.6</v>
      </c>
      <c r="N329" s="30" t="n">
        <v>7.28</v>
      </c>
      <c r="O329" s="40" t="n">
        <v>429</v>
      </c>
      <c r="P329" s="9">
        <f>TABL12[[#This Row],[ (S/S) SAR]]-TABL12[[#This Row],[(S/S) AJD]]</f>
        <v/>
      </c>
      <c r="Q329" s="9" t="n">
        <v>430</v>
      </c>
      <c r="R329" s="9">
        <f>TABL12[[#This Row],[ (T/B) SAR]]-TABL12[[#This Row],[(T/B) AJD]]</f>
        <v/>
      </c>
      <c r="S329" s="9">
        <f>TABL12[[#This Row],[S/S_CON.]]+TABL12[[#This Row],[T/B-CON.]]</f>
        <v/>
      </c>
      <c r="T329" s="9">
        <f>O329+Q329</f>
        <v/>
      </c>
      <c r="U329" s="9" t="n">
        <v>610</v>
      </c>
      <c r="V329" s="9" t="n">
        <v>204</v>
      </c>
      <c r="W329" s="9">
        <f>U329+V329</f>
        <v/>
      </c>
      <c r="X329" s="9">
        <f>T329-W329</f>
        <v/>
      </c>
      <c r="Y329" s="18" t="n">
        <v>92.33499999999999</v>
      </c>
      <c r="Z329" s="9" t="n">
        <v>396449</v>
      </c>
      <c r="AA329" s="9">
        <f>TABL12[[#This Row],[(RESV. STORGE) AJD]]/10</f>
        <v/>
      </c>
      <c r="AB329" s="3">
        <f>(Z329-Z328)/1000</f>
        <v/>
      </c>
      <c r="AC329" s="6" t="n">
        <v>1190</v>
      </c>
      <c r="AD329" s="5">
        <f>TABL12[[#This Row],[( S/S+T/B) AJD]]-(TABL12[[#This Row],[(A/B + A/S) AJD]]+TABL12[[#This Row],[(STORGE DIFF.) AJD]]+(TABL12[[#This Row],[AJD_Evaporation]]))</f>
        <v/>
      </c>
      <c r="AE329" s="6" t="n">
        <v>150</v>
      </c>
      <c r="AF329" s="33" t="n">
        <v>57.41</v>
      </c>
      <c r="AG329" s="6" t="n">
        <v>584814</v>
      </c>
      <c r="AH329" s="6">
        <f>TABL12[[#This Row],[ (RESV. STORGE) BER]]/10</f>
        <v/>
      </c>
      <c r="AI329" s="6" t="n">
        <v>2344</v>
      </c>
      <c r="AJ329" s="6">
        <f>TABL12[[#This Row],[(A/B) AJD]]-TABL12[[#This Row],[BER_IN]]</f>
        <v/>
      </c>
      <c r="AK329" s="6" t="n">
        <v>15</v>
      </c>
      <c r="AL329" s="33" t="n">
        <v>42.2315</v>
      </c>
      <c r="AM329" s="6" t="n">
        <v>2694890</v>
      </c>
      <c r="AN329" s="6">
        <f>TABL12[[#This Row],[ (RESV. STORGE) SER]]/10</f>
        <v/>
      </c>
      <c r="AO329" s="6" t="n">
        <v>1830</v>
      </c>
      <c r="AP329" s="32">
        <f>TABL12[[#This Row],[(A/S) AJD]]-TABL12[[#This Row],[SER_IN]]</f>
        <v/>
      </c>
    </row>
    <row r="330" ht="18.75" customHeight="1">
      <c r="A330" s="2" t="n">
        <v>45986</v>
      </c>
      <c r="B330" s="28" t="n">
        <v>39</v>
      </c>
      <c r="C330" s="28" t="n">
        <v>319</v>
      </c>
      <c r="D330" s="28" t="n">
        <v>39</v>
      </c>
      <c r="E330" s="28" t="n">
        <v>0</v>
      </c>
      <c r="F330" s="28" t="n">
        <v>98</v>
      </c>
      <c r="G330" s="28" t="n">
        <v>622</v>
      </c>
      <c r="H330" s="28" t="n">
        <v>5</v>
      </c>
      <c r="I330" s="28" t="n">
        <v>474</v>
      </c>
      <c r="J330" s="28" t="n">
        <v>460</v>
      </c>
      <c r="K330" s="28">
        <f>TABL12[[#This Row],[ (T/B) SAR]]+TABL12[[#This Row],[ (S/S) SAR]]</f>
        <v/>
      </c>
      <c r="L330" s="28" t="n">
        <v>312</v>
      </c>
      <c r="M330" s="29" t="n">
        <v>24.6</v>
      </c>
      <c r="N330" s="30" t="n">
        <v>7.3</v>
      </c>
      <c r="O330" s="39" t="n">
        <v>430</v>
      </c>
      <c r="P330" s="9">
        <f>TABL12[[#This Row],[ (S/S) SAR]]-TABL12[[#This Row],[(S/S) AJD]]</f>
        <v/>
      </c>
      <c r="Q330" s="9" t="n">
        <v>429</v>
      </c>
      <c r="R330" s="9">
        <f>TABL12[[#This Row],[ (T/B) SAR]]-TABL12[[#This Row],[(T/B) AJD]]</f>
        <v/>
      </c>
      <c r="S330" s="9">
        <f>TABL12[[#This Row],[S/S_CON.]]+TABL12[[#This Row],[T/B-CON.]]</f>
        <v/>
      </c>
      <c r="T330" s="9">
        <f>O330+Q330</f>
        <v/>
      </c>
      <c r="U330" s="9" t="n">
        <v>611</v>
      </c>
      <c r="V330" s="9" t="n">
        <v>202</v>
      </c>
      <c r="W330" s="9">
        <f>U330+V330</f>
        <v/>
      </c>
      <c r="X330" s="9">
        <f>T330-W330</f>
        <v/>
      </c>
      <c r="Y330" s="18" t="n">
        <v>92.34</v>
      </c>
      <c r="Z330" s="9" t="n">
        <v>402612</v>
      </c>
      <c r="AA330" s="9">
        <f>TABL12[[#This Row],[(RESV. STORGE) AJD]]/10</f>
        <v/>
      </c>
      <c r="AB330" s="3">
        <f>(Z330-Z329)/1000</f>
        <v/>
      </c>
      <c r="AC330" s="6" t="n">
        <v>1107</v>
      </c>
      <c r="AD330" s="5">
        <f>TABL12[[#This Row],[( S/S+T/B) AJD]]-(TABL12[[#This Row],[(A/B + A/S) AJD]]+TABL12[[#This Row],[(STORGE DIFF.) AJD]]+(TABL12[[#This Row],[AJD_Evaporation]]))</f>
        <v/>
      </c>
      <c r="AE330" s="6" t="n">
        <v>150</v>
      </c>
      <c r="AF330" s="33" t="n">
        <v>57.35</v>
      </c>
      <c r="AG330" s="6" t="n">
        <v>546306</v>
      </c>
      <c r="AH330" s="6">
        <f>TABL12[[#This Row],[ (RESV. STORGE) BER]]/10</f>
        <v/>
      </c>
      <c r="AI330" s="6" t="n">
        <v>2396</v>
      </c>
      <c r="AJ330" s="6">
        <f>TABL12[[#This Row],[(A/B) AJD]]-TABL12[[#This Row],[BER_IN]]</f>
        <v/>
      </c>
      <c r="AK330" s="6" t="n">
        <v>20</v>
      </c>
      <c r="AL330" s="33" t="n">
        <v>42.2387</v>
      </c>
      <c r="AM330" s="6" t="n">
        <v>2698620</v>
      </c>
      <c r="AN330" s="6">
        <f>TABL12[[#This Row],[ (RESV. STORGE) SER]]/10</f>
        <v/>
      </c>
      <c r="AO330" s="6" t="n">
        <v>1870</v>
      </c>
      <c r="AP330" s="32">
        <f>TABL12[[#This Row],[(A/S) AJD]]-TABL12[[#This Row],[SER_IN]]</f>
        <v/>
      </c>
    </row>
    <row r="331" ht="18.75" customHeight="1">
      <c r="A331" s="2" t="n">
        <v>45987</v>
      </c>
      <c r="B331" s="28" t="n">
        <v>39</v>
      </c>
      <c r="C331" s="28" t="n">
        <v>330</v>
      </c>
      <c r="D331" s="28" t="n">
        <v>39</v>
      </c>
      <c r="E331" s="28" t="n">
        <v>0</v>
      </c>
      <c r="F331" s="28" t="n">
        <v>99</v>
      </c>
      <c r="G331" s="28" t="n">
        <v>640</v>
      </c>
      <c r="H331" s="28" t="n">
        <v>4</v>
      </c>
      <c r="I331" s="28" t="n">
        <v>484</v>
      </c>
      <c r="J331" s="28" t="n">
        <v>469</v>
      </c>
      <c r="K331" s="28">
        <f>TABL12[[#This Row],[ (T/B) SAR]]+TABL12[[#This Row],[ (S/S) SAR]]</f>
        <v/>
      </c>
      <c r="L331" s="28" t="n">
        <v>313</v>
      </c>
      <c r="M331" s="29" t="n">
        <v>24.6</v>
      </c>
      <c r="N331" s="30" t="n">
        <v>7.34</v>
      </c>
      <c r="O331" s="40" t="n">
        <v>433</v>
      </c>
      <c r="P331" s="9">
        <f>TABL12[[#This Row],[ (S/S) SAR]]-TABL12[[#This Row],[(S/S) AJD]]</f>
        <v/>
      </c>
      <c r="Q331" s="9" t="n">
        <v>434</v>
      </c>
      <c r="R331" s="9">
        <f>TABL12[[#This Row],[ (T/B) SAR]]-TABL12[[#This Row],[(T/B) AJD]]</f>
        <v/>
      </c>
      <c r="S331" s="9">
        <f>TABL12[[#This Row],[S/S_CON.]]+TABL12[[#This Row],[T/B-CON.]]</f>
        <v/>
      </c>
      <c r="T331" s="9">
        <f>O331+Q331</f>
        <v/>
      </c>
      <c r="U331" s="9" t="n">
        <v>614</v>
      </c>
      <c r="V331" s="9" t="n">
        <v>205</v>
      </c>
      <c r="W331" s="9">
        <f>U331+V331</f>
        <v/>
      </c>
      <c r="X331" s="9">
        <f>T331-W331</f>
        <v/>
      </c>
      <c r="Y331" s="18" t="n">
        <v>92.393</v>
      </c>
      <c r="Z331" s="9" t="n">
        <v>432933</v>
      </c>
      <c r="AA331" s="9">
        <f>TABL12[[#This Row],[(RESV. STORGE) AJD]]/10</f>
        <v/>
      </c>
      <c r="AB331" s="3">
        <f>(Z331-Z330)/1000</f>
        <v/>
      </c>
      <c r="AC331" s="6" t="n">
        <v>1116</v>
      </c>
      <c r="AD331" s="5">
        <f>TABL12[[#This Row],[( S/S+T/B) AJD]]-(TABL12[[#This Row],[(A/B + A/S) AJD]]+TABL12[[#This Row],[(STORGE DIFF.) AJD]]+(TABL12[[#This Row],[AJD_Evaporation]]))</f>
        <v/>
      </c>
      <c r="AE331" s="6" t="n">
        <v>150</v>
      </c>
      <c r="AF331" s="33" t="n">
        <v>57.35</v>
      </c>
      <c r="AG331" s="6" t="n">
        <v>546036</v>
      </c>
      <c r="AH331" s="6">
        <f>TABL12[[#This Row],[ (RESV. STORGE) BER]]/10</f>
        <v/>
      </c>
      <c r="AI331" s="6" t="n">
        <v>1376</v>
      </c>
      <c r="AJ331" s="6">
        <f>TABL12[[#This Row],[(A/B) AJD]]-TABL12[[#This Row],[BER_IN]]</f>
        <v/>
      </c>
      <c r="AK331" s="6" t="n">
        <v>20</v>
      </c>
      <c r="AL331" s="33" t="n">
        <v>42.2348</v>
      </c>
      <c r="AM331" s="6" t="n">
        <v>2696500</v>
      </c>
      <c r="AN331" s="6">
        <f>TABL12[[#This Row],[ (RESV. STORGE) SER]]/10</f>
        <v/>
      </c>
      <c r="AO331" s="6" t="n">
        <v>1820</v>
      </c>
      <c r="AP331" s="32">
        <f>TABL12[[#This Row],[(A/S) AJD]]-TABL12[[#This Row],[SER_IN]]</f>
        <v/>
      </c>
    </row>
    <row r="332" ht="18.75" customHeight="1">
      <c r="A332" s="2" t="n">
        <v>45988</v>
      </c>
      <c r="B332" s="28" t="n">
        <v>39</v>
      </c>
      <c r="C332" s="28" t="n">
        <v>310</v>
      </c>
      <c r="D332" s="28" t="n">
        <v>39</v>
      </c>
      <c r="E332" s="28" t="n">
        <v>0</v>
      </c>
      <c r="F332" s="28" t="n">
        <v>99</v>
      </c>
      <c r="G332" s="28" t="n">
        <v>622</v>
      </c>
      <c r="H332" s="28" t="n">
        <v>4</v>
      </c>
      <c r="I332" s="28" t="n">
        <v>474</v>
      </c>
      <c r="J332" s="28" t="n">
        <v>460</v>
      </c>
      <c r="K332" s="28">
        <f>TABL12[[#This Row],[ (T/B) SAR]]+TABL12[[#This Row],[ (S/S) SAR]]</f>
        <v/>
      </c>
      <c r="L332" s="28" t="n">
        <v>312</v>
      </c>
      <c r="M332" s="29" t="n">
        <v>24.6</v>
      </c>
      <c r="N332" s="30" t="n">
        <v>7.35</v>
      </c>
      <c r="O332" s="39" t="n">
        <v>436</v>
      </c>
      <c r="P332" s="9">
        <f>TABL12[[#This Row],[ (S/S) SAR]]-TABL12[[#This Row],[(S/S) AJD]]</f>
        <v/>
      </c>
      <c r="Q332" s="9" t="n">
        <v>438</v>
      </c>
      <c r="R332" s="9">
        <f>TABL12[[#This Row],[ (T/B) SAR]]-TABL12[[#This Row],[(T/B) AJD]]</f>
        <v/>
      </c>
      <c r="S332" s="9">
        <f>TABL12[[#This Row],[S/S_CON.]]+TABL12[[#This Row],[T/B-CON.]]</f>
        <v/>
      </c>
      <c r="T332" s="9">
        <f>O332+Q332</f>
        <v/>
      </c>
      <c r="U332" s="9" t="n">
        <v>610</v>
      </c>
      <c r="V332" s="9" t="n">
        <v>239</v>
      </c>
      <c r="W332" s="9">
        <f>U332+V332</f>
        <v/>
      </c>
      <c r="X332" s="9">
        <f>T332-W332</f>
        <v/>
      </c>
      <c r="Y332" s="18" t="n">
        <v>92.417</v>
      </c>
      <c r="Z332" s="9" t="n">
        <v>447212</v>
      </c>
      <c r="AA332" s="9">
        <f>TABL12[[#This Row],[(RESV. STORGE) AJD]]/10</f>
        <v/>
      </c>
      <c r="AB332" s="3">
        <f>(Z332-Z331)/1000</f>
        <v/>
      </c>
      <c r="AC332" s="6" t="n">
        <v>1041</v>
      </c>
      <c r="AD332" s="5">
        <f>TABL12[[#This Row],[( S/S+T/B) AJD]]-(TABL12[[#This Row],[(A/B + A/S) AJD]]+TABL12[[#This Row],[(STORGE DIFF.) AJD]]+(TABL12[[#This Row],[AJD_Evaporation]]))</f>
        <v/>
      </c>
      <c r="AE332" s="6" t="n">
        <v>150</v>
      </c>
      <c r="AF332" s="33" t="n">
        <v>57.288</v>
      </c>
      <c r="AG332" s="6" t="n">
        <v>505999</v>
      </c>
      <c r="AH332" s="6">
        <f>TABL12[[#This Row],[ (RESV. STORGE) BER]]/10</f>
        <v/>
      </c>
      <c r="AI332" s="6" t="n">
        <v>1291</v>
      </c>
      <c r="AJ332" s="6">
        <f>TABL12[[#This Row],[(A/B) AJD]]-TABL12[[#This Row],[BER_IN]]</f>
        <v/>
      </c>
      <c r="AK332" s="6" t="n">
        <v>20</v>
      </c>
      <c r="AL332" s="33" t="n">
        <v>42.2321</v>
      </c>
      <c r="AM332" s="6" t="n">
        <v>2694890</v>
      </c>
      <c r="AN332" s="6">
        <f>TABL12[[#This Row],[ (RESV. STORGE) SER]]/10</f>
        <v/>
      </c>
      <c r="AO332" s="6" t="n">
        <v>1810</v>
      </c>
      <c r="AP332" s="32">
        <f>TABL12[[#This Row],[(A/S) AJD]]-TABL12[[#This Row],[SER_IN]]</f>
        <v/>
      </c>
    </row>
    <row r="333" ht="18.75" customHeight="1">
      <c r="A333" s="2" t="n">
        <v>45989</v>
      </c>
      <c r="B333" s="28" t="n">
        <v>39</v>
      </c>
      <c r="C333" s="28" t="n">
        <v>307</v>
      </c>
      <c r="D333" s="28" t="n">
        <v>39</v>
      </c>
      <c r="E333" s="28" t="n">
        <v>0</v>
      </c>
      <c r="F333" s="28" t="n">
        <v>99</v>
      </c>
      <c r="G333" s="28" t="n">
        <v>618</v>
      </c>
      <c r="H333" s="28" t="n">
        <v>4</v>
      </c>
      <c r="I333" s="28" t="n">
        <v>472</v>
      </c>
      <c r="J333" s="28" t="n">
        <v>458</v>
      </c>
      <c r="K333" s="28">
        <f>TABL12[[#This Row],[ (T/B) SAR]]+TABL12[[#This Row],[ (S/S) SAR]]</f>
        <v/>
      </c>
      <c r="L333" s="28" t="n">
        <v>312</v>
      </c>
      <c r="M333" s="29" t="n">
        <v>24.6</v>
      </c>
      <c r="N333" s="30" t="n">
        <v>7.38</v>
      </c>
      <c r="O333" s="40" t="n">
        <v>435</v>
      </c>
      <c r="P333" s="9">
        <f>TABL12[[#This Row],[ (S/S) SAR]]-TABL12[[#This Row],[(S/S) AJD]]</f>
        <v/>
      </c>
      <c r="Q333" s="9" t="n">
        <v>419</v>
      </c>
      <c r="R333" s="9">
        <f>TABL12[[#This Row],[ (T/B) SAR]]-TABL12[[#This Row],[(T/B) AJD]]</f>
        <v/>
      </c>
      <c r="S333" s="9">
        <f>TABL12[[#This Row],[S/S_CON.]]+TABL12[[#This Row],[T/B-CON.]]</f>
        <v/>
      </c>
      <c r="T333" s="9">
        <f>O333+Q333</f>
        <v/>
      </c>
      <c r="U333" s="9" t="n">
        <v>615</v>
      </c>
      <c r="V333" s="9" t="n">
        <v>268</v>
      </c>
      <c r="W333" s="9">
        <f>U333+V333</f>
        <v/>
      </c>
      <c r="X333" s="9">
        <f>T333-W333</f>
        <v/>
      </c>
      <c r="Y333" s="18" t="n">
        <v>92.32299999999999</v>
      </c>
      <c r="Z333" s="9" t="n">
        <v>392505</v>
      </c>
      <c r="AA333" s="9">
        <f>TABL12[[#This Row],[(RESV. STORGE) AJD]]/10</f>
        <v/>
      </c>
      <c r="AB333" s="3">
        <f>(Z333-Z332)/1000</f>
        <v/>
      </c>
      <c r="AC333" s="6" t="n">
        <v>1081</v>
      </c>
      <c r="AD333" s="5">
        <f>TABL12[[#This Row],[( S/S+T/B) AJD]]-(TABL12[[#This Row],[(A/B + A/S) AJD]]+TABL12[[#This Row],[(STORGE DIFF.) AJD]]+(TABL12[[#This Row],[AJD_Evaporation]]))</f>
        <v/>
      </c>
      <c r="AE333" s="6" t="n">
        <v>150</v>
      </c>
      <c r="AF333" s="33" t="n">
        <v>57.27</v>
      </c>
      <c r="AG333" s="6" t="n">
        <v>494381</v>
      </c>
      <c r="AH333" s="6">
        <f>TABL12[[#This Row],[ (RESV. STORGE) BER]]/10</f>
        <v/>
      </c>
      <c r="AI333" s="6" t="n">
        <v>1517</v>
      </c>
      <c r="AJ333" s="6">
        <f>TABL12[[#This Row],[(A/B) AJD]]-TABL12[[#This Row],[BER_IN]]</f>
        <v/>
      </c>
      <c r="AK333" s="6" t="n">
        <v>20</v>
      </c>
      <c r="AL333" s="33" t="n">
        <v>42.2308</v>
      </c>
      <c r="AM333" s="6" t="n">
        <v>2694380</v>
      </c>
      <c r="AN333" s="6">
        <f>TABL12[[#This Row],[ (RESV. STORGE) SER]]/10</f>
        <v/>
      </c>
      <c r="AO333" s="6" t="n">
        <v>1810</v>
      </c>
      <c r="AP333" s="32">
        <f>TABL12[[#This Row],[(A/S) AJD]]-TABL12[[#This Row],[SER_IN]]</f>
        <v/>
      </c>
    </row>
    <row r="334" ht="18.75" customHeight="1">
      <c r="A334" s="2" t="n">
        <v>45990</v>
      </c>
      <c r="B334" s="28" t="n">
        <v>38</v>
      </c>
      <c r="C334" s="28" t="n">
        <v>316</v>
      </c>
      <c r="D334" s="28" t="n">
        <v>38</v>
      </c>
      <c r="E334" s="28" t="n">
        <v>0</v>
      </c>
      <c r="F334" s="28" t="n">
        <v>99</v>
      </c>
      <c r="G334" s="28" t="n">
        <v>616</v>
      </c>
      <c r="H334" s="28" t="n">
        <v>4</v>
      </c>
      <c r="I334" s="28" t="n">
        <v>472</v>
      </c>
      <c r="J334" s="28" t="n">
        <v>458</v>
      </c>
      <c r="K334" s="28">
        <f>TABL12[[#This Row],[ (T/B) SAR]]+TABL12[[#This Row],[ (S/S) SAR]]</f>
        <v/>
      </c>
      <c r="L334" s="28" t="n">
        <v>314</v>
      </c>
      <c r="M334" s="29" t="n">
        <v>24.6</v>
      </c>
      <c r="N334" s="30" t="n">
        <v>7.37</v>
      </c>
      <c r="O334" s="39" t="n">
        <v>431</v>
      </c>
      <c r="P334" s="9">
        <f>TABL12[[#This Row],[ (S/S) SAR]]-TABL12[[#This Row],[(S/S) AJD]]</f>
        <v/>
      </c>
      <c r="Q334" s="9" t="n">
        <v>430</v>
      </c>
      <c r="R334" s="9">
        <f>TABL12[[#This Row],[ (T/B) SAR]]-TABL12[[#This Row],[(T/B) AJD]]</f>
        <v/>
      </c>
      <c r="S334" s="9">
        <f>TABL12[[#This Row],[S/S_CON.]]+TABL12[[#This Row],[T/B-CON.]]</f>
        <v/>
      </c>
      <c r="T334" s="9">
        <f>O334+Q334</f>
        <v/>
      </c>
      <c r="U334" s="9" t="n">
        <v>605</v>
      </c>
      <c r="V334" s="9" t="n">
        <v>287</v>
      </c>
      <c r="W334" s="9">
        <f>U334+V334</f>
        <v/>
      </c>
      <c r="X334" s="9">
        <f>T334-W334</f>
        <v/>
      </c>
      <c r="Y334" s="18" t="n">
        <v>92.25</v>
      </c>
      <c r="Z334" s="9" t="n">
        <v>346186</v>
      </c>
      <c r="AA334" s="9">
        <f>TABL12[[#This Row],[(RESV. STORGE) AJD]]/10</f>
        <v/>
      </c>
      <c r="AB334" s="3">
        <f>(Z334-Z333)/1000</f>
        <v/>
      </c>
      <c r="AC334" s="6" t="n">
        <v>939</v>
      </c>
      <c r="AD334" s="5">
        <f>TABL12[[#This Row],[( S/S+T/B) AJD]]-(TABL12[[#This Row],[(A/B + A/S) AJD]]+TABL12[[#This Row],[(STORGE DIFF.) AJD]]+(TABL12[[#This Row],[AJD_Evaporation]]))</f>
        <v/>
      </c>
      <c r="AE334" s="6" t="n">
        <v>150</v>
      </c>
      <c r="AF334" s="33" t="n">
        <v>57.224</v>
      </c>
      <c r="AG334" s="6" t="n">
        <v>464705</v>
      </c>
      <c r="AH334" s="6">
        <f>TABL12[[#This Row],[ (RESV. STORGE) BER]]/10</f>
        <v/>
      </c>
      <c r="AI334" s="6" t="n">
        <v>1200</v>
      </c>
      <c r="AJ334" s="6">
        <f>TABL12[[#This Row],[(A/B) AJD]]-TABL12[[#This Row],[BER_IN]]</f>
        <v/>
      </c>
      <c r="AK334" s="6" t="n">
        <v>20</v>
      </c>
      <c r="AL334" s="33" t="n">
        <v>42.2315</v>
      </c>
      <c r="AM334" s="6" t="n">
        <v>2694890</v>
      </c>
      <c r="AN334" s="6">
        <f>TABL12[[#This Row],[ (RESV. STORGE) SER]]/10</f>
        <v/>
      </c>
      <c r="AO334" s="6" t="n">
        <v>1890</v>
      </c>
      <c r="AP334" s="32">
        <f>TABL12[[#This Row],[(A/S) AJD]]-TABL12[[#This Row],[SER_IN]]</f>
        <v/>
      </c>
    </row>
    <row r="335" ht="18.75" customHeight="1">
      <c r="A335" s="2" t="n">
        <v>45991</v>
      </c>
      <c r="B335" s="28" t="n">
        <v>39</v>
      </c>
      <c r="C335" s="28" t="n">
        <v>311</v>
      </c>
      <c r="D335" s="28" t="n">
        <v>39</v>
      </c>
      <c r="E335" s="28" t="n">
        <v>0</v>
      </c>
      <c r="F335" s="28" t="n">
        <v>99</v>
      </c>
      <c r="G335" s="28" t="n">
        <v>613</v>
      </c>
      <c r="H335" s="28" t="n">
        <v>4</v>
      </c>
      <c r="I335" s="28" t="n">
        <v>471</v>
      </c>
      <c r="J335" s="28" t="n">
        <v>457</v>
      </c>
      <c r="K335" s="28">
        <f>TABL12[[#This Row],[ (T/B) SAR]]+TABL12[[#This Row],[ (S/S) SAR]]</f>
        <v/>
      </c>
      <c r="L335" s="28" t="n">
        <v>315</v>
      </c>
      <c r="M335" s="29" t="n">
        <v>24.7</v>
      </c>
      <c r="N335" s="30" t="n">
        <v>7.42</v>
      </c>
      <c r="O335" s="40" t="n">
        <v>430</v>
      </c>
      <c r="P335" s="9">
        <f>TABL12[[#This Row],[ (S/S) SAR]]-TABL12[[#This Row],[(S/S) AJD]]</f>
        <v/>
      </c>
      <c r="Q335" s="9" t="n">
        <v>430</v>
      </c>
      <c r="R335" s="9">
        <f>TABL12[[#This Row],[ (T/B) SAR]]-TABL12[[#This Row],[(T/B) AJD]]</f>
        <v/>
      </c>
      <c r="S335" s="9">
        <f>TABL12[[#This Row],[S/S_CON.]]+TABL12[[#This Row],[T/B-CON.]]</f>
        <v/>
      </c>
      <c r="T335" s="9">
        <f>O335+Q335</f>
        <v/>
      </c>
      <c r="U335" s="9" t="n">
        <v>603</v>
      </c>
      <c r="V335" s="9" t="n">
        <v>247</v>
      </c>
      <c r="W335" s="9">
        <f>U335+V335</f>
        <v/>
      </c>
      <c r="X335" s="9">
        <f>T335-W335</f>
        <v/>
      </c>
      <c r="Y335" s="18" t="n">
        <v>92.255</v>
      </c>
      <c r="Z335" s="9" t="n">
        <v>350929</v>
      </c>
      <c r="AA335" s="9">
        <f>TABL12[[#This Row],[(RESV. STORGE) AJD]]/10</f>
        <v/>
      </c>
      <c r="AB335" s="3">
        <f>(Z335-Z334)/1000</f>
        <v/>
      </c>
      <c r="AC335" s="6" t="n">
        <v>1043</v>
      </c>
      <c r="AD335" s="5">
        <f>TABL12[[#This Row],[( S/S+T/B) AJD]]-(TABL12[[#This Row],[(A/B + A/S) AJD]]+TABL12[[#This Row],[(STORGE DIFF.) AJD]]+(TABL12[[#This Row],[AJD_Evaporation]]))</f>
        <v/>
      </c>
      <c r="AE335" s="6" t="n">
        <v>150</v>
      </c>
      <c r="AF335" s="33" t="n">
        <v>57.211</v>
      </c>
      <c r="AG335" s="6" t="n">
        <v>456321</v>
      </c>
      <c r="AH335" s="6">
        <f>TABL12[[#This Row],[ (RESV. STORGE) BER]]/10</f>
        <v/>
      </c>
      <c r="AI335" s="6" t="n">
        <v>1430</v>
      </c>
      <c r="AJ335" s="6">
        <f>TABL12[[#This Row],[(A/B) AJD]]-TABL12[[#This Row],[BER_IN]]</f>
        <v/>
      </c>
      <c r="AK335" s="6" t="n">
        <v>20</v>
      </c>
      <c r="AL335" s="33" t="n">
        <v>42.2315</v>
      </c>
      <c r="AM335" s="6" t="n">
        <v>2694890</v>
      </c>
      <c r="AN335" s="6">
        <f>TABL12[[#This Row],[ (RESV. STORGE) SER]]/10</f>
        <v/>
      </c>
      <c r="AO335" s="6" t="n">
        <v>1850</v>
      </c>
      <c r="AP335" s="32">
        <f>TABL12[[#This Row],[(A/S) AJD]]-TABL12[[#This Row],[SER_IN]]</f>
        <v/>
      </c>
    </row>
    <row r="336" ht="18.75" customHeight="1">
      <c r="A336" s="2" t="n">
        <v>45992</v>
      </c>
      <c r="B336" s="41" t="n">
        <v>39</v>
      </c>
      <c r="C336" s="41" t="n">
        <v>300</v>
      </c>
      <c r="D336" s="41" t="n">
        <v>39</v>
      </c>
      <c r="E336" s="41" t="n">
        <v>0</v>
      </c>
      <c r="F336" s="41" t="n">
        <v>99</v>
      </c>
      <c r="G336" s="39" t="n">
        <v>610</v>
      </c>
      <c r="H336" s="41">
        <f>103-F336</f>
        <v/>
      </c>
      <c r="I336" s="39" t="n">
        <v>470</v>
      </c>
      <c r="J336" s="39" t="n">
        <v>453</v>
      </c>
      <c r="K336" s="28">
        <f>TABL12[[#This Row],[ (T/B) SAR]]+TABL12[[#This Row],[ (S/S) SAR]]</f>
        <v/>
      </c>
      <c r="L336" s="41" t="n">
        <v>313</v>
      </c>
      <c r="M336" s="42" t="n">
        <v>24.7</v>
      </c>
      <c r="N336" s="42" t="n">
        <v>7.37</v>
      </c>
      <c r="O336" s="39" t="n">
        <v>432</v>
      </c>
      <c r="P336" s="9">
        <f>TABL12[[#This Row],[ (S/S) SAR]]-TABL12[[#This Row],[(S/S) AJD]]</f>
        <v/>
      </c>
      <c r="Q336" s="39" t="n">
        <v>423</v>
      </c>
      <c r="R336" s="9">
        <f>TABL12[[#This Row],[ (T/B) SAR]]-TABL12[[#This Row],[(T/B) AJD]]</f>
        <v/>
      </c>
      <c r="S336" s="9">
        <f>TABL12[[#This Row],[S/S_CON.]]+TABL12[[#This Row],[T/B-CON.]]</f>
        <v/>
      </c>
      <c r="T336" s="9">
        <f>O336+Q336</f>
        <v/>
      </c>
      <c r="U336" s="41" t="n">
        <v>525</v>
      </c>
      <c r="V336" s="41" t="n">
        <v>89</v>
      </c>
      <c r="W336" s="9">
        <f>U336+V336</f>
        <v/>
      </c>
      <c r="X336" s="9">
        <f>T336-W336</f>
        <v/>
      </c>
      <c r="Y336" s="41" t="n">
        <v>92.22499999999999</v>
      </c>
      <c r="Z336" s="43" t="n">
        <v>333123</v>
      </c>
      <c r="AA336" s="9">
        <f>TABL12[[#This Row],[(RESV. STORGE) AJD]]/10</f>
        <v/>
      </c>
      <c r="AB336" s="3">
        <f>(Z336-Z335)/1000</f>
        <v/>
      </c>
      <c r="AC336" s="43" t="n">
        <v>0</v>
      </c>
      <c r="AD336" s="5">
        <f>TABL12[[#This Row],[( S/S+T/B) AJD]]-(TABL12[[#This Row],[(A/B + A/S) AJD]]+TABL12[[#This Row],[(STORGE DIFF.) AJD]]+(TABL12[[#This Row],[AJD_Evaporation]]))</f>
        <v/>
      </c>
      <c r="AE336" s="39" t="n">
        <v>150</v>
      </c>
      <c r="AF336" s="41" t="n">
        <v>57.06</v>
      </c>
      <c r="AG336" s="43" t="n">
        <v>359049</v>
      </c>
      <c r="AH336" s="43">
        <f>TABL12[[#This Row],[ (RESV. STORGE) BER]]/10</f>
        <v/>
      </c>
      <c r="AI336" s="43" t="n">
        <v>1802</v>
      </c>
      <c r="AJ336" s="6">
        <f>TABL12[[#This Row],[(A/B) AJD]]-TABL12[[#This Row],[BER_IN]]</f>
        <v/>
      </c>
      <c r="AK336" s="41" t="n">
        <v>20</v>
      </c>
      <c r="AL336" s="41" t="n">
        <v>42.2315</v>
      </c>
      <c r="AM336" s="43" t="n">
        <v>2694890</v>
      </c>
      <c r="AN336" s="43">
        <f>TABL12[[#This Row],[ (RESV. STORGE) SER]]/10</f>
        <v/>
      </c>
      <c r="AO336" s="43" t="n">
        <v>1860</v>
      </c>
      <c r="AP336" s="32">
        <f>TABL12[[#This Row],[(A/S) AJD]]-TABL12[[#This Row],[SER_IN]]</f>
        <v/>
      </c>
    </row>
    <row r="337" ht="18.75" customHeight="1">
      <c r="A337" s="2" t="n">
        <v>45993</v>
      </c>
      <c r="B337" s="44" t="n">
        <v>41</v>
      </c>
      <c r="C337" s="44" t="n">
        <v>320</v>
      </c>
      <c r="D337" s="44" t="n">
        <v>41</v>
      </c>
      <c r="E337" s="44" t="n">
        <v>0</v>
      </c>
      <c r="F337" s="44" t="n">
        <v>99</v>
      </c>
      <c r="G337" s="40" t="n">
        <v>608</v>
      </c>
      <c r="H337" s="44">
        <f>103-F337</f>
        <v/>
      </c>
      <c r="I337" s="40" t="n">
        <v>469</v>
      </c>
      <c r="J337" s="44" t="n">
        <v>453</v>
      </c>
      <c r="K337" s="28">
        <f>TABL12[[#This Row],[ (T/B) SAR]]+TABL12[[#This Row],[ (S/S) SAR]]</f>
        <v/>
      </c>
      <c r="L337" s="45" t="n">
        <v>314</v>
      </c>
      <c r="M337" s="46" t="n">
        <v>24.7</v>
      </c>
      <c r="N337" s="46" t="n">
        <v>7.39</v>
      </c>
      <c r="O337" s="40" t="n">
        <v>426</v>
      </c>
      <c r="P337" s="9">
        <f>TABL12[[#This Row],[ (S/S) SAR]]-TABL12[[#This Row],[(S/S) AJD]]</f>
        <v/>
      </c>
      <c r="Q337" s="40" t="n">
        <v>424</v>
      </c>
      <c r="R337" s="9">
        <f>TABL12[[#This Row],[ (T/B) SAR]]-TABL12[[#This Row],[(T/B) AJD]]</f>
        <v/>
      </c>
      <c r="S337" s="9">
        <f>TABL12[[#This Row],[S/S_CON.]]+TABL12[[#This Row],[T/B-CON.]]</f>
        <v/>
      </c>
      <c r="T337" s="9">
        <f>O337+Q337</f>
        <v/>
      </c>
      <c r="U337" s="44" t="n">
        <v>601</v>
      </c>
      <c r="V337" s="44" t="n">
        <v>234</v>
      </c>
      <c r="W337" s="9">
        <f>U337+V337</f>
        <v/>
      </c>
      <c r="X337" s="9">
        <f>T337-W337</f>
        <v/>
      </c>
      <c r="Y337" s="44" t="n">
        <v>92.205</v>
      </c>
      <c r="Z337" s="45" t="n">
        <v>321262</v>
      </c>
      <c r="AA337" s="9">
        <f>TABL12[[#This Row],[(RESV. STORGE) AJD]]/10</f>
        <v/>
      </c>
      <c r="AB337" s="3">
        <f>(Z337-Z336)/1000</f>
        <v/>
      </c>
      <c r="AC337" s="45" t="n">
        <v>0</v>
      </c>
      <c r="AD337" s="5">
        <f>TABL12[[#This Row],[( S/S+T/B) AJD]]-(TABL12[[#This Row],[(A/B + A/S) AJD]]+TABL12[[#This Row],[(STORGE DIFF.) AJD]]+(TABL12[[#This Row],[AJD_Evaporation]]))</f>
        <v/>
      </c>
      <c r="AE337" s="40" t="n">
        <v>150</v>
      </c>
      <c r="AF337" s="44" t="n">
        <v>57.262</v>
      </c>
      <c r="AG337" s="45" t="n">
        <v>489219</v>
      </c>
      <c r="AH337" s="45">
        <f>TABL12[[#This Row],[ (RESV. STORGE) BER]]/10</f>
        <v/>
      </c>
      <c r="AI337" s="45" t="n">
        <v>1762</v>
      </c>
      <c r="AJ337" s="6">
        <f>TABL12[[#This Row],[(A/B) AJD]]-TABL12[[#This Row],[BER_IN]]</f>
        <v/>
      </c>
      <c r="AK337" s="44" t="n">
        <v>20</v>
      </c>
      <c r="AL337" s="44" t="n">
        <v>42.2552</v>
      </c>
      <c r="AM337" s="45" t="n">
        <v>2707740</v>
      </c>
      <c r="AN337" s="45">
        <f>TABL12[[#This Row],[ (RESV. STORGE) SER]]/10</f>
        <v/>
      </c>
      <c r="AO337" s="45" t="n">
        <v>1665</v>
      </c>
      <c r="AP337" s="32">
        <f>TABL12[[#This Row],[(A/S) AJD]]-TABL12[[#This Row],[SER_IN]]</f>
        <v/>
      </c>
    </row>
    <row r="338" ht="18.75" customHeight="1">
      <c r="A338" s="2" t="n">
        <v>45994</v>
      </c>
      <c r="B338" s="41" t="n">
        <v>41</v>
      </c>
      <c r="C338" s="41" t="n">
        <v>325</v>
      </c>
      <c r="D338" s="41" t="n">
        <v>41</v>
      </c>
      <c r="E338" s="41" t="n">
        <v>0</v>
      </c>
      <c r="F338" s="41" t="n">
        <v>99</v>
      </c>
      <c r="G338" s="39" t="n">
        <v>625</v>
      </c>
      <c r="H338" s="41">
        <f>103-F338</f>
        <v/>
      </c>
      <c r="I338" s="39" t="n">
        <v>482</v>
      </c>
      <c r="J338" s="39" t="n">
        <v>459</v>
      </c>
      <c r="K338" s="28">
        <f>TABL12[[#This Row],[ (T/B) SAR]]+TABL12[[#This Row],[ (S/S) SAR]]</f>
        <v/>
      </c>
      <c r="L338" s="41" t="n">
        <v>316</v>
      </c>
      <c r="M338" s="42" t="n">
        <v>24.7</v>
      </c>
      <c r="N338" s="42" t="n">
        <v>7.49</v>
      </c>
      <c r="O338" s="39" t="n">
        <v>433</v>
      </c>
      <c r="P338" s="9">
        <f>TABL12[[#This Row],[ (S/S) SAR]]-TABL12[[#This Row],[(S/S) AJD]]</f>
        <v/>
      </c>
      <c r="Q338" s="39" t="n">
        <v>428</v>
      </c>
      <c r="R338" s="9">
        <f>TABL12[[#This Row],[ (T/B) SAR]]-TABL12[[#This Row],[(T/B) AJD]]</f>
        <v/>
      </c>
      <c r="S338" s="9">
        <f>TABL12[[#This Row],[S/S_CON.]]+TABL12[[#This Row],[T/B-CON.]]</f>
        <v/>
      </c>
      <c r="T338" s="9">
        <f>O338+Q338</f>
        <v/>
      </c>
      <c r="U338" s="41" t="n">
        <v>603</v>
      </c>
      <c r="V338" s="41" t="n">
        <v>243</v>
      </c>
      <c r="W338" s="9">
        <f>U338+V338</f>
        <v/>
      </c>
      <c r="X338" s="9">
        <f>T338-W338</f>
        <v/>
      </c>
      <c r="Y338" s="41" t="n">
        <v>92.193</v>
      </c>
      <c r="Z338" s="43" t="n">
        <v>314140</v>
      </c>
      <c r="AA338" s="9">
        <f>TABL12[[#This Row],[(RESV. STORGE) AJD]]/10</f>
        <v/>
      </c>
      <c r="AB338" s="3">
        <f>(Z338-Z337)/1000</f>
        <v/>
      </c>
      <c r="AC338" s="43" t="n">
        <v>0</v>
      </c>
      <c r="AD338" s="5">
        <f>TABL12[[#This Row],[( S/S+T/B) AJD]]-(TABL12[[#This Row],[(A/B + A/S) AJD]]+TABL12[[#This Row],[(STORGE DIFF.) AJD]]+(TABL12[[#This Row],[AJD_Evaporation]]))</f>
        <v/>
      </c>
      <c r="AE338" s="39" t="n">
        <v>147</v>
      </c>
      <c r="AF338" s="41" t="n">
        <v>57.414</v>
      </c>
      <c r="AG338" s="43" t="n">
        <v>587399</v>
      </c>
      <c r="AH338" s="43">
        <f>TABL12[[#This Row],[ (RESV. STORGE) BER]]/10</f>
        <v/>
      </c>
      <c r="AI338" s="43" t="n">
        <v>1510</v>
      </c>
      <c r="AJ338" s="6">
        <f>TABL12[[#This Row],[(A/B) AJD]]-TABL12[[#This Row],[BER_IN]]</f>
        <v/>
      </c>
      <c r="AK338" s="41" t="n">
        <v>21</v>
      </c>
      <c r="AL338" s="41" t="n">
        <v>42.2926</v>
      </c>
      <c r="AM338" s="43" t="n">
        <v>2727610</v>
      </c>
      <c r="AN338" s="43">
        <f>TABL12[[#This Row],[ (RESV. STORGE) SER]]/10</f>
        <v/>
      </c>
      <c r="AO338" s="43" t="n">
        <v>1130</v>
      </c>
      <c r="AP338" s="32">
        <f>TABL12[[#This Row],[(A/S) AJD]]-TABL12[[#This Row],[SER_IN]]</f>
        <v/>
      </c>
    </row>
    <row r="339" ht="18.75" customHeight="1">
      <c r="A339" s="2" t="n">
        <v>45995</v>
      </c>
      <c r="B339" s="44" t="n">
        <v>42</v>
      </c>
      <c r="C339" s="44" t="n">
        <v>325</v>
      </c>
      <c r="D339" s="44" t="n">
        <v>42</v>
      </c>
      <c r="E339" s="44" t="n">
        <v>0</v>
      </c>
      <c r="F339" s="44" t="n">
        <v>99</v>
      </c>
      <c r="G339" s="40" t="n">
        <v>619</v>
      </c>
      <c r="H339" s="44">
        <f>103-F339</f>
        <v/>
      </c>
      <c r="I339" s="40" t="n">
        <v>474</v>
      </c>
      <c r="J339" s="44" t="n">
        <v>459</v>
      </c>
      <c r="K339" s="28">
        <f>TABL12[[#This Row],[ (T/B) SAR]]+TABL12[[#This Row],[ (S/S) SAR]]</f>
        <v/>
      </c>
      <c r="L339" s="45" t="n">
        <v>314</v>
      </c>
      <c r="M339" s="46" t="n">
        <v>24.7</v>
      </c>
      <c r="N339" s="46" t="n">
        <v>7.56</v>
      </c>
      <c r="O339" s="40" t="n">
        <v>455</v>
      </c>
      <c r="P339" s="9">
        <f>TABL12[[#This Row],[ (S/S) SAR]]-TABL12[[#This Row],[(S/S) AJD]]</f>
        <v/>
      </c>
      <c r="Q339" s="40" t="n">
        <v>446</v>
      </c>
      <c r="R339" s="9">
        <f>TABL12[[#This Row],[ (T/B) SAR]]-TABL12[[#This Row],[(T/B) AJD]]</f>
        <v/>
      </c>
      <c r="S339" s="9">
        <f>TABL12[[#This Row],[S/S_CON.]]+TABL12[[#This Row],[T/B-CON.]]</f>
        <v/>
      </c>
      <c r="T339" s="9">
        <f>O339+Q339</f>
        <v/>
      </c>
      <c r="U339" s="44" t="n">
        <v>583</v>
      </c>
      <c r="V339" s="47" t="n">
        <v>107</v>
      </c>
      <c r="W339" s="9">
        <f>U339+V339</f>
        <v/>
      </c>
      <c r="X339" s="9">
        <f>T339-W339</f>
        <v/>
      </c>
      <c r="Y339" s="44" t="n">
        <v>92.155</v>
      </c>
      <c r="Z339" s="45" t="n">
        <v>291604</v>
      </c>
      <c r="AA339" s="9">
        <f>TABL12[[#This Row],[(RESV. STORGE) AJD]]/10</f>
        <v/>
      </c>
      <c r="AB339" s="3">
        <f>(Z339-Z338)/1000</f>
        <v/>
      </c>
      <c r="AC339" s="45" t="n">
        <v>0</v>
      </c>
      <c r="AD339" s="5">
        <f>TABL12[[#This Row],[( S/S+T/B) AJD]]-(TABL12[[#This Row],[(A/B + A/S) AJD]]+TABL12[[#This Row],[(STORGE DIFF.) AJD]]+(TABL12[[#This Row],[AJD_Evaporation]]))</f>
        <v/>
      </c>
      <c r="AE339" s="40" t="n">
        <v>150</v>
      </c>
      <c r="AF339" s="44" t="n">
        <v>57.24</v>
      </c>
      <c r="AG339" s="45" t="n">
        <v>475025</v>
      </c>
      <c r="AH339" s="45">
        <f>TABL12[[#This Row],[ (RESV. STORGE) BER]]/10</f>
        <v/>
      </c>
      <c r="AI339" s="45" t="n">
        <v>1794</v>
      </c>
      <c r="AJ339" s="6">
        <f>TABL12[[#This Row],[(A/B) AJD]]-TABL12[[#This Row],[BER_IN]]</f>
        <v/>
      </c>
      <c r="AK339" s="44" t="n">
        <v>21</v>
      </c>
      <c r="AL339" s="44" t="n">
        <v>42.3233</v>
      </c>
      <c r="AM339" s="45" t="n">
        <v>2743630</v>
      </c>
      <c r="AN339" s="45">
        <f>TABL12[[#This Row],[ (RESV. STORGE) SER]]/10</f>
        <v/>
      </c>
      <c r="AO339" s="45" t="n">
        <v>1100</v>
      </c>
      <c r="AP339" s="32">
        <f>TABL12[[#This Row],[(A/S) AJD]]-TABL12[[#This Row],[SER_IN]]</f>
        <v/>
      </c>
    </row>
    <row r="340" ht="18.75" customHeight="1">
      <c r="A340" s="2" t="n">
        <v>45996</v>
      </c>
      <c r="B340" s="41" t="n">
        <v>41</v>
      </c>
      <c r="C340" s="41" t="n">
        <v>328</v>
      </c>
      <c r="D340" s="41" t="n">
        <v>41</v>
      </c>
      <c r="E340" s="41" t="n">
        <v>0</v>
      </c>
      <c r="F340" s="41" t="n">
        <v>99</v>
      </c>
      <c r="G340" s="39" t="n">
        <v>622</v>
      </c>
      <c r="H340" s="41">
        <f>103-F340</f>
        <v/>
      </c>
      <c r="I340" s="39" t="n">
        <v>476</v>
      </c>
      <c r="J340" s="39" t="n">
        <v>459</v>
      </c>
      <c r="K340" s="28">
        <f>TABL12[[#This Row],[ (T/B) SAR]]+TABL12[[#This Row],[ (S/S) SAR]]</f>
        <v/>
      </c>
      <c r="L340" s="41" t="n">
        <v>313</v>
      </c>
      <c r="M340" s="42" t="n">
        <v>24.7</v>
      </c>
      <c r="N340" s="42" t="n">
        <v>7.67</v>
      </c>
      <c r="O340" s="39" t="n">
        <v>430</v>
      </c>
      <c r="P340" s="9">
        <f>TABL12[[#This Row],[ (S/S) SAR]]-TABL12[[#This Row],[(S/S) AJD]]</f>
        <v/>
      </c>
      <c r="Q340" s="39" t="n">
        <v>430</v>
      </c>
      <c r="R340" s="9">
        <f>TABL12[[#This Row],[ (T/B) SAR]]-TABL12[[#This Row],[(T/B) AJD]]</f>
        <v/>
      </c>
      <c r="S340" s="9">
        <f>TABL12[[#This Row],[S/S_CON.]]+TABL12[[#This Row],[T/B-CON.]]</f>
        <v/>
      </c>
      <c r="T340" s="9">
        <f>O340+Q340</f>
        <v/>
      </c>
      <c r="U340" s="41" t="n">
        <v>594</v>
      </c>
      <c r="V340" s="41" t="n">
        <v>253</v>
      </c>
      <c r="W340" s="9">
        <f>U340+V340</f>
        <v/>
      </c>
      <c r="X340" s="9">
        <f>T340-W340</f>
        <v/>
      </c>
      <c r="Y340" s="41" t="n">
        <v>92.163</v>
      </c>
      <c r="Z340" s="43" t="n">
        <v>294349</v>
      </c>
      <c r="AA340" s="9">
        <f>TABL12[[#This Row],[(RESV. STORGE) AJD]]/10</f>
        <v/>
      </c>
      <c r="AB340" s="3">
        <f>(Z340-Z339)/1000</f>
        <v/>
      </c>
      <c r="AC340" s="43" t="n">
        <v>0</v>
      </c>
      <c r="AD340" s="5">
        <f>TABL12[[#This Row],[( S/S+T/B) AJD]]-(TABL12[[#This Row],[(A/B + A/S) AJD]]+TABL12[[#This Row],[(STORGE DIFF.) AJD]]+(TABL12[[#This Row],[AJD_Evaporation]]))</f>
        <v/>
      </c>
      <c r="AE340" s="39" t="n">
        <v>150</v>
      </c>
      <c r="AF340" s="41" t="n">
        <v>57.39</v>
      </c>
      <c r="AG340" s="43" t="n">
        <v>571883</v>
      </c>
      <c r="AH340" s="43">
        <f>TABL12[[#This Row],[ (RESV. STORGE) BER]]/10</f>
        <v/>
      </c>
      <c r="AI340" s="43" t="n">
        <v>1303</v>
      </c>
      <c r="AJ340" s="6">
        <f>TABL12[[#This Row],[(A/B) AJD]]-TABL12[[#This Row],[BER_IN]]</f>
        <v/>
      </c>
      <c r="AK340" s="41" t="n">
        <v>21</v>
      </c>
      <c r="AL340" s="41" t="n">
        <v>42.3587</v>
      </c>
      <c r="AM340" s="43" t="n">
        <v>2762920</v>
      </c>
      <c r="AN340" s="43">
        <f>TABL12[[#This Row],[ (RESV. STORGE) SER]]/10</f>
        <v/>
      </c>
      <c r="AO340" s="43" t="n">
        <v>1710</v>
      </c>
      <c r="AP340" s="32">
        <f>TABL12[[#This Row],[(A/S) AJD]]-TABL12[[#This Row],[SER_IN]]</f>
        <v/>
      </c>
    </row>
    <row r="341" ht="18.75" customHeight="1">
      <c r="A341" s="2" t="n">
        <v>45997</v>
      </c>
      <c r="B341" s="44" t="n">
        <v>41</v>
      </c>
      <c r="C341" s="44" t="n">
        <v>316</v>
      </c>
      <c r="D341" s="44" t="n">
        <v>41</v>
      </c>
      <c r="E341" s="44" t="n">
        <v>0</v>
      </c>
      <c r="F341" s="44" t="n">
        <v>99</v>
      </c>
      <c r="G341" s="40" t="n">
        <v>621</v>
      </c>
      <c r="H341" s="44">
        <f>103-F341</f>
        <v/>
      </c>
      <c r="I341" s="40" t="n">
        <v>476</v>
      </c>
      <c r="J341" s="44" t="n">
        <v>461</v>
      </c>
      <c r="K341" s="28">
        <f>TABL12[[#This Row],[ (T/B) SAR]]+TABL12[[#This Row],[ (S/S) SAR]]</f>
        <v/>
      </c>
      <c r="L341" s="45" t="n">
        <v>316</v>
      </c>
      <c r="M341" s="46" t="n">
        <v>24.7</v>
      </c>
      <c r="N341" s="46" t="n">
        <v>7.7</v>
      </c>
      <c r="O341" s="40" t="n">
        <v>433</v>
      </c>
      <c r="P341" s="9">
        <f>TABL12[[#This Row],[ (S/S) SAR]]-TABL12[[#This Row],[(S/S) AJD]]</f>
        <v/>
      </c>
      <c r="Q341" s="40" t="n">
        <v>434</v>
      </c>
      <c r="R341" s="9">
        <f>TABL12[[#This Row],[ (T/B) SAR]]-TABL12[[#This Row],[(T/B) AJD]]</f>
        <v/>
      </c>
      <c r="S341" s="9">
        <f>TABL12[[#This Row],[S/S_CON.]]+TABL12[[#This Row],[T/B-CON.]]</f>
        <v/>
      </c>
      <c r="T341" s="9">
        <f>O341+Q341</f>
        <v/>
      </c>
      <c r="U341" s="44" t="n">
        <v>597</v>
      </c>
      <c r="V341" s="44" t="n">
        <v>238</v>
      </c>
      <c r="W341" s="9">
        <f>U341+V341</f>
        <v/>
      </c>
      <c r="X341" s="9">
        <f>T341-W341</f>
        <v/>
      </c>
      <c r="Y341" s="44" t="n">
        <v>92.208</v>
      </c>
      <c r="Z341" s="45" t="n">
        <v>321259</v>
      </c>
      <c r="AA341" s="9">
        <f>TABL12[[#This Row],[(RESV. STORGE) AJD]]/10</f>
        <v/>
      </c>
      <c r="AB341" s="3">
        <f>(Z341-Z340)/1000</f>
        <v/>
      </c>
      <c r="AC341" s="45" t="n">
        <v>0</v>
      </c>
      <c r="AD341" s="5">
        <f>TABL12[[#This Row],[( S/S+T/B) AJD]]-(TABL12[[#This Row],[(A/B + A/S) AJD]]+TABL12[[#This Row],[(STORGE DIFF.) AJD]]+(TABL12[[#This Row],[AJD_Evaporation]]))</f>
        <v/>
      </c>
      <c r="AE341" s="40" t="n">
        <v>150</v>
      </c>
      <c r="AF341" s="44" t="n">
        <v>57.48</v>
      </c>
      <c r="AG341" s="45" t="n">
        <v>630091</v>
      </c>
      <c r="AH341" s="45">
        <f>TABL12[[#This Row],[ (RESV. STORGE) BER]]/10</f>
        <v/>
      </c>
      <c r="AI341" s="45" t="n">
        <v>0</v>
      </c>
      <c r="AJ341" s="6">
        <f>TABL12[[#This Row],[(A/B) AJD]]-TABL12[[#This Row],[BER_IN]]</f>
        <v/>
      </c>
      <c r="AK341" s="44" t="n">
        <v>22</v>
      </c>
      <c r="AL341" s="44" t="n">
        <v>42.3916</v>
      </c>
      <c r="AM341" s="45" t="n">
        <v>2780600</v>
      </c>
      <c r="AN341" s="45">
        <f>TABL12[[#This Row],[ (RESV. STORGE) SER]]/10</f>
        <v/>
      </c>
      <c r="AO341" s="45" t="n">
        <v>1450</v>
      </c>
      <c r="AP341" s="32">
        <f>TABL12[[#This Row],[(A/S) AJD]]-TABL12[[#This Row],[SER_IN]]</f>
        <v/>
      </c>
    </row>
    <row r="342" ht="18.75" customHeight="1">
      <c r="A342" s="2" t="n">
        <v>45998</v>
      </c>
      <c r="B342" s="41" t="n">
        <v>41</v>
      </c>
      <c r="C342" s="41" t="n">
        <v>306</v>
      </c>
      <c r="D342" s="41" t="n">
        <v>41</v>
      </c>
      <c r="E342" s="41" t="n">
        <v>0</v>
      </c>
      <c r="F342" s="41" t="n">
        <v>99</v>
      </c>
      <c r="G342" s="39" t="n">
        <v>620</v>
      </c>
      <c r="H342" s="41">
        <f>103-F342</f>
        <v/>
      </c>
      <c r="I342" s="39" t="n">
        <v>475</v>
      </c>
      <c r="J342" s="39" t="n">
        <v>459</v>
      </c>
      <c r="K342" s="28">
        <f>TABL12[[#This Row],[ (T/B) SAR]]+TABL12[[#This Row],[ (S/S) SAR]]</f>
        <v/>
      </c>
      <c r="L342" s="41" t="n">
        <v>314</v>
      </c>
      <c r="M342" s="42" t="n">
        <v>24.7</v>
      </c>
      <c r="N342" s="42" t="n">
        <v>7.66</v>
      </c>
      <c r="O342" s="39" t="n">
        <v>432</v>
      </c>
      <c r="P342" s="9">
        <f>TABL12[[#This Row],[ (S/S) SAR]]-TABL12[[#This Row],[(S/S) AJD]]</f>
        <v/>
      </c>
      <c r="Q342" s="39" t="n">
        <v>432</v>
      </c>
      <c r="R342" s="9">
        <f>TABL12[[#This Row],[ (T/B) SAR]]-TABL12[[#This Row],[(T/B) AJD]]</f>
        <v/>
      </c>
      <c r="S342" s="9">
        <f>TABL12[[#This Row],[S/S_CON.]]+TABL12[[#This Row],[T/B-CON.]]</f>
        <v/>
      </c>
      <c r="T342" s="9">
        <f>O342+Q342</f>
        <v/>
      </c>
      <c r="U342" s="41" t="n">
        <v>599</v>
      </c>
      <c r="V342" s="41" t="n">
        <v>252</v>
      </c>
      <c r="W342" s="9">
        <f>U342+V342</f>
        <v/>
      </c>
      <c r="X342" s="9">
        <f>T342-W342</f>
        <v/>
      </c>
      <c r="Y342" s="41" t="n">
        <v>92.17</v>
      </c>
      <c r="Z342" s="43" t="n">
        <v>300498</v>
      </c>
      <c r="AA342" s="9">
        <f>TABL12[[#This Row],[(RESV. STORGE) AJD]]/10</f>
        <v/>
      </c>
      <c r="AB342" s="3">
        <f>(Z342-Z341)/1000</f>
        <v/>
      </c>
      <c r="AC342" s="43" t="n">
        <v>0</v>
      </c>
      <c r="AD342" s="5">
        <f>TABL12[[#This Row],[( S/S+T/B) AJD]]-(TABL12[[#This Row],[(A/B + A/S) AJD]]+TABL12[[#This Row],[(STORGE DIFF.) AJD]]+(TABL12[[#This Row],[AJD_Evaporation]]))</f>
        <v/>
      </c>
      <c r="AE342" s="39" t="n">
        <v>150</v>
      </c>
      <c r="AF342" s="41" t="n">
        <v>57.639</v>
      </c>
      <c r="AG342" s="43" t="n">
        <v>733093</v>
      </c>
      <c r="AH342" s="43">
        <f>TABL12[[#This Row],[ (RESV. STORGE) BER]]/10</f>
        <v/>
      </c>
      <c r="AI342" s="43" t="n">
        <v>649</v>
      </c>
      <c r="AJ342" s="6">
        <f>TABL12[[#This Row],[(A/B) AJD]]-TABL12[[#This Row],[BER_IN]]</f>
        <v/>
      </c>
      <c r="AK342" s="41" t="n">
        <v>26</v>
      </c>
      <c r="AL342" s="41" t="n">
        <v>42.439</v>
      </c>
      <c r="AM342" s="43" t="n">
        <v>2806440</v>
      </c>
      <c r="AN342" s="43">
        <f>TABL12[[#This Row],[ (RESV. STORGE) SER]]/10</f>
        <v/>
      </c>
      <c r="AO342" s="43" t="n">
        <v>160</v>
      </c>
      <c r="AP342" s="32">
        <f>TABL12[[#This Row],[(A/S) AJD]]-TABL12[[#This Row],[SER_IN]]</f>
        <v/>
      </c>
    </row>
    <row r="343" ht="18.75" customHeight="1">
      <c r="A343" s="2" t="n">
        <v>45999</v>
      </c>
      <c r="B343" s="44" t="n">
        <v>42</v>
      </c>
      <c r="C343" s="44" t="n">
        <v>308</v>
      </c>
      <c r="D343" s="44" t="n">
        <v>42</v>
      </c>
      <c r="E343" s="44" t="n">
        <v>0</v>
      </c>
      <c r="F343" s="44" t="n">
        <v>99</v>
      </c>
      <c r="G343" s="40" t="n">
        <v>623</v>
      </c>
      <c r="H343" s="44">
        <f>103-F343</f>
        <v/>
      </c>
      <c r="I343" s="40" t="n">
        <v>478</v>
      </c>
      <c r="J343" s="44" t="n">
        <v>463</v>
      </c>
      <c r="K343" s="28">
        <f>TABL12[[#This Row],[ (T/B) SAR]]+TABL12[[#This Row],[ (S/S) SAR]]</f>
        <v/>
      </c>
      <c r="L343" s="45" t="n">
        <v>318</v>
      </c>
      <c r="M343" s="46" t="n">
        <v>24.7</v>
      </c>
      <c r="N343" s="46" t="n">
        <v>7.63</v>
      </c>
      <c r="O343" s="40" t="n">
        <v>432</v>
      </c>
      <c r="P343" s="9">
        <f>TABL12[[#This Row],[ (S/S) SAR]]-TABL12[[#This Row],[(S/S) AJD]]</f>
        <v/>
      </c>
      <c r="Q343" s="40" t="n">
        <v>432</v>
      </c>
      <c r="R343" s="9">
        <f>TABL12[[#This Row],[ (T/B) SAR]]-TABL12[[#This Row],[(T/B) AJD]]</f>
        <v/>
      </c>
      <c r="S343" s="9">
        <f>TABL12[[#This Row],[S/S_CON.]]+TABL12[[#This Row],[T/B-CON.]]</f>
        <v/>
      </c>
      <c r="T343" s="9">
        <f>O343+Q343</f>
        <v/>
      </c>
      <c r="U343" s="44" t="n">
        <v>605</v>
      </c>
      <c r="V343" s="44" t="n">
        <v>214</v>
      </c>
      <c r="W343" s="9">
        <f>U343+V343</f>
        <v/>
      </c>
      <c r="X343" s="9">
        <f>T343-W343</f>
        <v/>
      </c>
      <c r="Y343" s="44" t="n">
        <v>92.23</v>
      </c>
      <c r="Z343" s="45" t="n">
        <v>336094</v>
      </c>
      <c r="AA343" s="9">
        <f>TABL12[[#This Row],[(RESV. STORGE) AJD]]/10</f>
        <v/>
      </c>
      <c r="AB343" s="3">
        <f>(Z343-Z342)/1000</f>
        <v/>
      </c>
      <c r="AC343" s="45" t="n">
        <v>0</v>
      </c>
      <c r="AD343" s="5">
        <f>TABL12[[#This Row],[( S/S+T/B) AJD]]-(TABL12[[#This Row],[(A/B + A/S) AJD]]+TABL12[[#This Row],[(STORGE DIFF.) AJD]]+(TABL12[[#This Row],[AJD_Evaporation]]))</f>
        <v/>
      </c>
      <c r="AE343" s="40" t="n">
        <v>150</v>
      </c>
      <c r="AF343" s="44" t="n">
        <v>57.71</v>
      </c>
      <c r="AG343" s="45" t="n">
        <v>779158</v>
      </c>
      <c r="AH343" s="45">
        <f>TABL12[[#This Row],[ (RESV. STORGE) BER]]/10</f>
        <v/>
      </c>
      <c r="AI343" s="45" t="n">
        <v>2447</v>
      </c>
      <c r="AJ343" s="6">
        <f>TABL12[[#This Row],[(A/B) AJD]]-TABL12[[#This Row],[BER_IN]]</f>
        <v/>
      </c>
      <c r="AK343" s="44" t="n">
        <v>26</v>
      </c>
      <c r="AL343" s="44" t="n">
        <v>42.4762</v>
      </c>
      <c r="AM343" s="45" t="n">
        <v>2825710</v>
      </c>
      <c r="AN343" s="45">
        <f>TABL12[[#This Row],[ (RESV. STORGE) SER]]/10</f>
        <v/>
      </c>
      <c r="AO343" s="45" t="n">
        <v>485</v>
      </c>
      <c r="AP343" s="32">
        <f>TABL12[[#This Row],[(A/S) AJD]]-TABL12[[#This Row],[SER_IN]]</f>
        <v/>
      </c>
    </row>
    <row r="344" ht="18.75" customHeight="1">
      <c r="A344" s="2" t="n">
        <v>46000</v>
      </c>
      <c r="B344" s="41" t="n">
        <v>42</v>
      </c>
      <c r="C344" s="41" t="n">
        <v>305</v>
      </c>
      <c r="D344" s="41" t="n">
        <v>42</v>
      </c>
      <c r="E344" s="41" t="n">
        <v>0</v>
      </c>
      <c r="F344" s="41" t="n">
        <v>99</v>
      </c>
      <c r="G344" s="39" t="n">
        <v>600</v>
      </c>
      <c r="H344" s="41">
        <f>103-F344</f>
        <v/>
      </c>
      <c r="I344" s="39" t="n">
        <v>479</v>
      </c>
      <c r="J344" s="39" t="n">
        <v>463</v>
      </c>
      <c r="K344" s="28">
        <f>TABL12[[#This Row],[ (T/B) SAR]]+TABL12[[#This Row],[ (S/S) SAR]]</f>
        <v/>
      </c>
      <c r="L344" s="41" t="n">
        <v>342</v>
      </c>
      <c r="M344" s="42" t="n">
        <v>24.7</v>
      </c>
      <c r="N344" s="42" t="n">
        <v>7.58</v>
      </c>
      <c r="O344" s="39" t="n">
        <v>434</v>
      </c>
      <c r="P344" s="9">
        <f>TABL12[[#This Row],[ (S/S) SAR]]-TABL12[[#This Row],[(S/S) AJD]]</f>
        <v/>
      </c>
      <c r="Q344" s="39" t="n">
        <v>433</v>
      </c>
      <c r="R344" s="9">
        <f>TABL12[[#This Row],[ (T/B) SAR]]-TABL12[[#This Row],[(T/B) AJD]]</f>
        <v/>
      </c>
      <c r="S344" s="9">
        <f>TABL12[[#This Row],[S/S_CON.]]+TABL12[[#This Row],[T/B-CON.]]</f>
        <v/>
      </c>
      <c r="T344" s="9">
        <f>O344+Q344</f>
        <v/>
      </c>
      <c r="U344" s="41" t="n">
        <v>596</v>
      </c>
      <c r="V344" s="41" t="n">
        <v>238</v>
      </c>
      <c r="W344" s="9">
        <f>U344+V344</f>
        <v/>
      </c>
      <c r="X344" s="9">
        <f>T344-W344</f>
        <v/>
      </c>
      <c r="Y344" s="41" t="n">
        <v>92.28</v>
      </c>
      <c r="Z344" s="43" t="n">
        <v>365775</v>
      </c>
      <c r="AA344" s="9">
        <f>TABL12[[#This Row],[(RESV. STORGE) AJD]]/10</f>
        <v/>
      </c>
      <c r="AB344" s="3">
        <f>(Z344-Z343)/1000</f>
        <v/>
      </c>
      <c r="AC344" s="43" t="n">
        <v>0</v>
      </c>
      <c r="AD344" s="5">
        <f>TABL12[[#This Row],[( S/S+T/B) AJD]]-(TABL12[[#This Row],[(A/B + A/S) AJD]]+TABL12[[#This Row],[(STORGE DIFF.) AJD]]+(TABL12[[#This Row],[AJD_Evaporation]]))</f>
        <v/>
      </c>
      <c r="AE344" s="39" t="n">
        <v>150</v>
      </c>
      <c r="AF344" s="41" t="n">
        <v>57.88</v>
      </c>
      <c r="AG344" s="43" t="n">
        <v>889629</v>
      </c>
      <c r="AH344" s="43">
        <f>TABL12[[#This Row],[ (RESV. STORGE) BER]]/10</f>
        <v/>
      </c>
      <c r="AI344" s="43" t="n">
        <v>1535</v>
      </c>
      <c r="AJ344" s="6">
        <f>TABL12[[#This Row],[(A/B) AJD]]-TABL12[[#This Row],[BER_IN]]</f>
        <v/>
      </c>
      <c r="AK344" s="41" t="n">
        <v>26</v>
      </c>
      <c r="AL344" s="41" t="n">
        <v>42.5141</v>
      </c>
      <c r="AM344" s="43" t="n">
        <v>2846120</v>
      </c>
      <c r="AN344" s="43">
        <f>TABL12[[#This Row],[ (RESV. STORGE) SER]]/10</f>
        <v/>
      </c>
      <c r="AO344" s="43" t="n">
        <v>623</v>
      </c>
      <c r="AP344" s="32">
        <f>TABL12[[#This Row],[(A/S) AJD]]-TABL12[[#This Row],[SER_IN]]</f>
        <v/>
      </c>
    </row>
    <row r="345" ht="18.75" customHeight="1">
      <c r="A345" s="2" t="n">
        <v>46001</v>
      </c>
      <c r="B345" s="44" t="n">
        <v>39</v>
      </c>
      <c r="C345" s="44" t="n">
        <v>303</v>
      </c>
      <c r="D345" s="44" t="n">
        <v>39</v>
      </c>
      <c r="E345" s="44" t="n">
        <v>0</v>
      </c>
      <c r="F345" s="44" t="n">
        <v>99</v>
      </c>
      <c r="G345" s="40" t="n">
        <v>588</v>
      </c>
      <c r="H345" s="44">
        <f>103-F345</f>
        <v/>
      </c>
      <c r="I345" s="40" t="n">
        <v>470</v>
      </c>
      <c r="J345" s="44" t="n">
        <v>462</v>
      </c>
      <c r="K345" s="28">
        <f>TABL12[[#This Row],[ (T/B) SAR]]+TABL12[[#This Row],[ (S/S) SAR]]</f>
        <v/>
      </c>
      <c r="L345" s="45" t="n">
        <v>344</v>
      </c>
      <c r="M345" s="46" t="n">
        <v>24.7</v>
      </c>
      <c r="N345" s="46" t="n">
        <v>7.53</v>
      </c>
      <c r="O345" s="40" t="n">
        <v>434</v>
      </c>
      <c r="P345" s="9">
        <f>TABL12[[#This Row],[ (S/S) SAR]]-TABL12[[#This Row],[(S/S) AJD]]</f>
        <v/>
      </c>
      <c r="Q345" s="40" t="n">
        <v>435</v>
      </c>
      <c r="R345" s="9">
        <f>TABL12[[#This Row],[ (T/B) SAR]]-TABL12[[#This Row],[(T/B) AJD]]</f>
        <v/>
      </c>
      <c r="S345" s="9">
        <f>TABL12[[#This Row],[S/S_CON.]]+TABL12[[#This Row],[T/B-CON.]]</f>
        <v/>
      </c>
      <c r="T345" s="9">
        <f>O345+Q345</f>
        <v/>
      </c>
      <c r="U345" s="44" t="n">
        <v>603</v>
      </c>
      <c r="V345" s="44" t="n">
        <v>183</v>
      </c>
      <c r="W345" s="9">
        <f>U345+V345</f>
        <v/>
      </c>
      <c r="X345" s="9">
        <f>T345-W345</f>
        <v/>
      </c>
      <c r="Y345" s="44" t="n">
        <v>92.34</v>
      </c>
      <c r="Z345" s="45" t="n">
        <v>401419</v>
      </c>
      <c r="AA345" s="9">
        <f>TABL12[[#This Row],[(RESV. STORGE) AJD]]/10</f>
        <v/>
      </c>
      <c r="AB345" s="3">
        <f>(Z345-Z344)/1000</f>
        <v/>
      </c>
      <c r="AC345" s="45" t="n">
        <v>0</v>
      </c>
      <c r="AD345" s="5">
        <f>TABL12[[#This Row],[( S/S+T/B) AJD]]-(TABL12[[#This Row],[(A/B + A/S) AJD]]+TABL12[[#This Row],[(STORGE DIFF.) AJD]]+(TABL12[[#This Row],[AJD_Evaporation]]))</f>
        <v/>
      </c>
      <c r="AE345" s="40" t="n">
        <v>150</v>
      </c>
      <c r="AF345" s="44" t="n">
        <v>58.037</v>
      </c>
      <c r="AG345" s="45" t="n">
        <v>991873</v>
      </c>
      <c r="AH345" s="45">
        <f>TABL12[[#This Row],[ (RESV. STORGE) BER]]/10</f>
        <v/>
      </c>
      <c r="AI345" s="45" t="n">
        <v>1956</v>
      </c>
      <c r="AJ345" s="6">
        <f>TABL12[[#This Row],[(A/B) AJD]]-TABL12[[#This Row],[BER_IN]]</f>
        <v/>
      </c>
      <c r="AK345" s="44" t="n">
        <v>26</v>
      </c>
      <c r="AL345" s="44" t="n">
        <v>42.4982</v>
      </c>
      <c r="AM345" s="45" t="n">
        <v>2837530</v>
      </c>
      <c r="AN345" s="45">
        <f>TABL12[[#This Row],[ (RESV. STORGE) SER]]/10</f>
        <v/>
      </c>
      <c r="AO345" s="45" t="n">
        <v>775</v>
      </c>
      <c r="AP345" s="32">
        <f>TABL12[[#This Row],[(A/S) AJD]]-TABL12[[#This Row],[SER_IN]]</f>
        <v/>
      </c>
    </row>
    <row r="346" ht="18.75" customHeight="1">
      <c r="A346" s="2" t="n">
        <v>46002</v>
      </c>
      <c r="B346" s="41" t="n">
        <v>41</v>
      </c>
      <c r="C346" s="41" t="n">
        <v>314</v>
      </c>
      <c r="D346" s="41" t="n">
        <v>38</v>
      </c>
      <c r="E346" s="41" t="n">
        <v>0</v>
      </c>
      <c r="F346" s="41" t="n">
        <v>98</v>
      </c>
      <c r="G346" s="39" t="n">
        <v>598</v>
      </c>
      <c r="H346" s="41">
        <f>103-F346</f>
        <v/>
      </c>
      <c r="I346" s="39" t="n">
        <v>477</v>
      </c>
      <c r="J346" s="39" t="n">
        <v>462</v>
      </c>
      <c r="K346" s="28">
        <f>TABL12[[#This Row],[ (T/B) SAR]]+TABL12[[#This Row],[ (S/S) SAR]]</f>
        <v/>
      </c>
      <c r="L346" s="41" t="n">
        <v>341</v>
      </c>
      <c r="M346" s="42" t="n">
        <v>24.7</v>
      </c>
      <c r="N346" s="42" t="n">
        <v>7.51</v>
      </c>
      <c r="O346" s="39" t="n">
        <v>435</v>
      </c>
      <c r="P346" s="9">
        <f>TABL12[[#This Row],[ (S/S) SAR]]-TABL12[[#This Row],[(S/S) AJD]]</f>
        <v/>
      </c>
      <c r="Q346" s="39" t="n">
        <v>435</v>
      </c>
      <c r="R346" s="9">
        <f>TABL12[[#This Row],[ (T/B) SAR]]-TABL12[[#This Row],[(T/B) AJD]]</f>
        <v/>
      </c>
      <c r="S346" s="9">
        <f>TABL12[[#This Row],[S/S_CON.]]+TABL12[[#This Row],[T/B-CON.]]</f>
        <v/>
      </c>
      <c r="T346" s="9">
        <f>O346+Q346</f>
        <v/>
      </c>
      <c r="U346" s="41" t="n">
        <v>602</v>
      </c>
      <c r="V346" s="41" t="n">
        <v>228</v>
      </c>
      <c r="W346" s="9">
        <f>U346+V346</f>
        <v/>
      </c>
      <c r="X346" s="9">
        <f>T346-W346</f>
        <v/>
      </c>
      <c r="Y346" s="41" t="n">
        <v>92.358</v>
      </c>
      <c r="Z346" s="43" t="n">
        <v>412122</v>
      </c>
      <c r="AA346" s="9">
        <f>TABL12[[#This Row],[(RESV. STORGE) AJD]]/10</f>
        <v/>
      </c>
      <c r="AB346" s="3">
        <f>(Z346-Z345)/1000</f>
        <v/>
      </c>
      <c r="AC346" s="43" t="n">
        <v>0</v>
      </c>
      <c r="AD346" s="5">
        <f>TABL12[[#This Row],[( S/S+T/B) AJD]]-(TABL12[[#This Row],[(A/B + A/S) AJD]]+TABL12[[#This Row],[(STORGE DIFF.) AJD]]+(TABL12[[#This Row],[AJD_Evaporation]]))</f>
        <v/>
      </c>
      <c r="AE346" s="39" t="n">
        <v>150</v>
      </c>
      <c r="AF346" s="41" t="n">
        <v>58.19</v>
      </c>
      <c r="AG346" s="43" t="n">
        <v>1091715</v>
      </c>
      <c r="AH346" s="43">
        <f>TABL12[[#This Row],[ (RESV. STORGE) BER]]/10</f>
        <v/>
      </c>
      <c r="AI346" s="48" t="n">
        <v>0</v>
      </c>
      <c r="AJ346" s="6">
        <f>TABL12[[#This Row],[(A/B) AJD]]-TABL12[[#This Row],[BER_IN]]</f>
        <v/>
      </c>
      <c r="AK346" s="41" t="n">
        <v>26</v>
      </c>
      <c r="AL346" s="49" t="n">
        <v>42.788</v>
      </c>
      <c r="AM346" s="43" t="n">
        <v>2826450</v>
      </c>
      <c r="AN346" s="43">
        <f>TABL12[[#This Row],[ (RESV. STORGE) SER]]/10</f>
        <v/>
      </c>
      <c r="AO346" s="43" t="n">
        <v>893</v>
      </c>
      <c r="AP346" s="32">
        <f>TABL12[[#This Row],[(A/S) AJD]]-TABL12[[#This Row],[SER_IN]]</f>
        <v/>
      </c>
    </row>
    <row r="347" ht="18.75" customHeight="1">
      <c r="A347" s="2" t="n">
        <v>46003</v>
      </c>
      <c r="B347" s="44" t="n">
        <v>39</v>
      </c>
      <c r="C347" s="44" t="n">
        <v>318</v>
      </c>
      <c r="D347" s="44" t="n">
        <v>39</v>
      </c>
      <c r="E347" s="44" t="n">
        <v>0</v>
      </c>
      <c r="F347" s="44" t="n">
        <v>98</v>
      </c>
      <c r="G347" s="40" t="n">
        <v>605</v>
      </c>
      <c r="H347" s="44">
        <f>103-F347</f>
        <v/>
      </c>
      <c r="I347" s="40" t="n">
        <v>481</v>
      </c>
      <c r="J347" s="44" t="n">
        <v>465</v>
      </c>
      <c r="K347" s="28">
        <f>TABL12[[#This Row],[ (T/B) SAR]]+TABL12[[#This Row],[ (S/S) SAR]]</f>
        <v/>
      </c>
      <c r="L347" s="45" t="n">
        <v>341</v>
      </c>
      <c r="M347" s="46" t="n">
        <v>24.7</v>
      </c>
      <c r="N347" s="46" t="n">
        <v>7.53</v>
      </c>
      <c r="O347" s="40" t="n">
        <v>438</v>
      </c>
      <c r="P347" s="9">
        <f>TABL12[[#This Row],[ (S/S) SAR]]-TABL12[[#This Row],[(S/S) AJD]]</f>
        <v/>
      </c>
      <c r="Q347" s="40" t="n">
        <v>436</v>
      </c>
      <c r="R347" s="9">
        <f>TABL12[[#This Row],[ (T/B) SAR]]-TABL12[[#This Row],[(T/B) AJD]]</f>
        <v/>
      </c>
      <c r="S347" s="9">
        <f>TABL12[[#This Row],[S/S_CON.]]+TABL12[[#This Row],[T/B-CON.]]</f>
        <v/>
      </c>
      <c r="T347" s="9">
        <f>O347+Q347</f>
        <v/>
      </c>
      <c r="U347" s="44" t="n">
        <v>601</v>
      </c>
      <c r="V347" s="44" t="n">
        <v>258</v>
      </c>
      <c r="W347" s="9">
        <f>U347+V347</f>
        <v/>
      </c>
      <c r="X347" s="9">
        <f>T347-W347</f>
        <v/>
      </c>
      <c r="Y347" s="44" t="n">
        <v>92.34699999999999</v>
      </c>
      <c r="Z347" s="45" t="n">
        <v>405582</v>
      </c>
      <c r="AA347" s="9">
        <f>TABL12[[#This Row],[(RESV. STORGE) AJD]]/10</f>
        <v/>
      </c>
      <c r="AB347" s="3">
        <f>(Z347-Z346)/1000</f>
        <v/>
      </c>
      <c r="AC347" s="45" t="n">
        <v>0</v>
      </c>
      <c r="AD347" s="5">
        <f>TABL12[[#This Row],[( S/S+T/B) AJD]]-(TABL12[[#This Row],[(A/B + A/S) AJD]]+TABL12[[#This Row],[(STORGE DIFF.) AJD]]+(TABL12[[#This Row],[AJD_Evaporation]]))</f>
        <v/>
      </c>
      <c r="AE347" s="40" t="n">
        <v>150</v>
      </c>
      <c r="AF347" s="44" t="n">
        <v>58.128</v>
      </c>
      <c r="AG347" s="45" t="n">
        <v>1251232</v>
      </c>
      <c r="AH347" s="45">
        <f>TABL12[[#This Row],[ (RESV. STORGE) BER]]/10</f>
        <v/>
      </c>
      <c r="AI347" s="45" t="n">
        <v>1306</v>
      </c>
      <c r="AJ347" s="6">
        <f>TABL12[[#This Row],[(A/B) AJD]]-TABL12[[#This Row],[BER_IN]]</f>
        <v/>
      </c>
      <c r="AK347" s="44" t="n">
        <v>26</v>
      </c>
      <c r="AL347" s="44" t="n">
        <v>42.4604</v>
      </c>
      <c r="AM347" s="45" t="n">
        <v>2817152</v>
      </c>
      <c r="AN347" s="45">
        <f>TABL12[[#This Row],[ (RESV. STORGE) SER]]/10</f>
        <v/>
      </c>
      <c r="AO347" s="45" t="n">
        <v>943</v>
      </c>
      <c r="AP347" s="32">
        <f>TABL12[[#This Row],[(A/S) AJD]]-TABL12[[#This Row],[SER_IN]]</f>
        <v/>
      </c>
    </row>
    <row r="348" ht="18.75" customHeight="1">
      <c r="A348" s="2" t="n">
        <v>46004</v>
      </c>
      <c r="B348" s="41" t="n">
        <v>39</v>
      </c>
      <c r="C348" s="41" t="n">
        <v>318</v>
      </c>
      <c r="D348" s="41" t="n">
        <v>39</v>
      </c>
      <c r="E348" s="41" t="n">
        <v>0</v>
      </c>
      <c r="F348" s="41" t="n">
        <v>98</v>
      </c>
      <c r="G348" s="39" t="n">
        <v>605</v>
      </c>
      <c r="H348" s="41">
        <f>103-F348</f>
        <v/>
      </c>
      <c r="I348" s="39" t="n">
        <v>482</v>
      </c>
      <c r="J348" s="39" t="n">
        <v>465</v>
      </c>
      <c r="K348" s="28">
        <f>TABL12[[#This Row],[ (T/B) SAR]]+TABL12[[#This Row],[ (S/S) SAR]]</f>
        <v/>
      </c>
      <c r="L348" s="41" t="n">
        <v>342</v>
      </c>
      <c r="M348" s="42" t="n">
        <v>24.7</v>
      </c>
      <c r="N348" s="42" t="n">
        <v>7.53</v>
      </c>
      <c r="O348" s="39" t="n">
        <v>438</v>
      </c>
      <c r="P348" s="9">
        <f>TABL12[[#This Row],[ (S/S) SAR]]-TABL12[[#This Row],[(S/S) AJD]]</f>
        <v/>
      </c>
      <c r="Q348" s="39" t="n">
        <v>440</v>
      </c>
      <c r="R348" s="9">
        <f>TABL12[[#This Row],[ (T/B) SAR]]-TABL12[[#This Row],[(T/B) AJD]]</f>
        <v/>
      </c>
      <c r="S348" s="9">
        <f>TABL12[[#This Row],[S/S_CON.]]+TABL12[[#This Row],[T/B-CON.]]</f>
        <v/>
      </c>
      <c r="T348" s="9">
        <f>O348+Q348</f>
        <v/>
      </c>
      <c r="U348" s="41" t="n">
        <v>603</v>
      </c>
      <c r="V348" s="41" t="n">
        <v>274</v>
      </c>
      <c r="W348" s="9">
        <f>U348+V348</f>
        <v/>
      </c>
      <c r="X348" s="9">
        <f>T348-W348</f>
        <v/>
      </c>
      <c r="Y348" s="41" t="n">
        <v>92.30200000000001</v>
      </c>
      <c r="Z348" s="43" t="n">
        <v>378843</v>
      </c>
      <c r="AA348" s="9">
        <f>TABL12[[#This Row],[(RESV. STORGE) AJD]]/10</f>
        <v/>
      </c>
      <c r="AB348" s="3">
        <f>(Z348-Z347)/1000</f>
        <v/>
      </c>
      <c r="AC348" s="43" t="n">
        <v>0</v>
      </c>
      <c r="AD348" s="5">
        <f>TABL12[[#This Row],[( S/S+T/B) AJD]]-(TABL12[[#This Row],[(A/B + A/S) AJD]]+TABL12[[#This Row],[(STORGE DIFF.) AJD]]+(TABL12[[#This Row],[AJD_Evaporation]]))</f>
        <v/>
      </c>
      <c r="AE348" s="39" t="n">
        <v>150</v>
      </c>
      <c r="AF348" s="41" t="n">
        <v>58.051</v>
      </c>
      <c r="AG348" s="43" t="n">
        <v>1001000</v>
      </c>
      <c r="AH348" s="43">
        <f>TABL12[[#This Row],[ (RESV. STORGE) BER]]/10</f>
        <v/>
      </c>
      <c r="AI348" s="43" t="n">
        <v>1375</v>
      </c>
      <c r="AJ348" s="6">
        <f>TABL12[[#This Row],[(A/B) AJD]]-TABL12[[#This Row],[BER_IN]]</f>
        <v/>
      </c>
      <c r="AK348" s="41" t="n">
        <v>26</v>
      </c>
      <c r="AL348" s="41" t="n">
        <v>42.424</v>
      </c>
      <c r="AM348" s="43" t="n">
        <v>2787790</v>
      </c>
      <c r="AN348" s="43">
        <f>TABL12[[#This Row],[ (RESV. STORGE) SER]]/10</f>
        <v/>
      </c>
      <c r="AO348" s="43" t="n">
        <v>1050</v>
      </c>
      <c r="AP348" s="32">
        <f>TABL12[[#This Row],[(A/S) AJD]]-TABL12[[#This Row],[SER_IN]]</f>
        <v/>
      </c>
    </row>
    <row r="349" ht="18.75" customHeight="1">
      <c r="A349" s="2" t="n">
        <v>46005</v>
      </c>
      <c r="B349" s="44" t="n">
        <v>39</v>
      </c>
      <c r="C349" s="44" t="n">
        <v>333</v>
      </c>
      <c r="D349" s="44" t="n">
        <v>39</v>
      </c>
      <c r="E349" s="44" t="n">
        <v>0</v>
      </c>
      <c r="F349" s="44" t="n">
        <v>98</v>
      </c>
      <c r="G349" s="40" t="n">
        <v>601</v>
      </c>
      <c r="H349" s="44">
        <f>103-F349</f>
        <v/>
      </c>
      <c r="I349" s="40" t="n">
        <v>480</v>
      </c>
      <c r="J349" s="44" t="n">
        <v>463</v>
      </c>
      <c r="K349" s="28">
        <f>TABL12[[#This Row],[ (T/B) SAR]]+TABL12[[#This Row],[ (S/S) SAR]]</f>
        <v/>
      </c>
      <c r="L349" s="45" t="n">
        <v>342</v>
      </c>
      <c r="M349" s="46" t="n">
        <v>24.7</v>
      </c>
      <c r="N349" s="46" t="n">
        <v>7.62</v>
      </c>
      <c r="O349" s="40" t="n">
        <v>437</v>
      </c>
      <c r="P349" s="9">
        <f>TABL12[[#This Row],[ (S/S) SAR]]-TABL12[[#This Row],[(S/S) AJD]]</f>
        <v/>
      </c>
      <c r="Q349" s="40" t="n">
        <v>438</v>
      </c>
      <c r="R349" s="9">
        <f>TABL12[[#This Row],[ (T/B) SAR]]-TABL12[[#This Row],[(T/B) AJD]]</f>
        <v/>
      </c>
      <c r="S349" s="9">
        <f>TABL12[[#This Row],[S/S_CON.]]+TABL12[[#This Row],[T/B-CON.]]</f>
        <v/>
      </c>
      <c r="T349" s="9">
        <f>O349+Q349</f>
        <v/>
      </c>
      <c r="U349" s="44" t="n">
        <v>605</v>
      </c>
      <c r="V349" s="44" t="n">
        <v>241</v>
      </c>
      <c r="W349" s="9">
        <f>U349+V349</f>
        <v/>
      </c>
      <c r="X349" s="9">
        <f>T349-W349</f>
        <v/>
      </c>
      <c r="Y349" s="44" t="n">
        <v>92.312</v>
      </c>
      <c r="Z349" s="45" t="n">
        <v>386567</v>
      </c>
      <c r="AA349" s="9">
        <f>TABL12[[#This Row],[(RESV. STORGE) AJD]]/10</f>
        <v/>
      </c>
      <c r="AB349" s="3">
        <f>(Z349-Z348)/1000</f>
        <v/>
      </c>
      <c r="AC349" s="45" t="n">
        <v>0</v>
      </c>
      <c r="AD349" s="5">
        <f>TABL12[[#This Row],[( S/S+T/B) AJD]]-(TABL12[[#This Row],[(A/B + A/S) AJD]]+TABL12[[#This Row],[(STORGE DIFF.) AJD]]+(TABL12[[#This Row],[AJD_Evaporation]]))</f>
        <v/>
      </c>
      <c r="AE349" s="40" t="n">
        <v>150</v>
      </c>
      <c r="AF349" s="44" t="n">
        <v>58.024</v>
      </c>
      <c r="AG349" s="45" t="n">
        <v>983399</v>
      </c>
      <c r="AH349" s="45">
        <f>TABL12[[#This Row],[ (RESV. STORGE) BER]]/10</f>
        <v/>
      </c>
      <c r="AI349" s="45" t="n">
        <v>1994</v>
      </c>
      <c r="AJ349" s="6">
        <f>TABL12[[#This Row],[(A/B) AJD]]-TABL12[[#This Row],[BER_IN]]</f>
        <v/>
      </c>
      <c r="AK349" s="44" t="n">
        <v>26</v>
      </c>
      <c r="AL349" s="44" t="n">
        <v>42.4185</v>
      </c>
      <c r="AM349" s="45" t="n">
        <v>2795040</v>
      </c>
      <c r="AN349" s="45">
        <f>TABL12[[#This Row],[ (RESV. STORGE) SER]]/10</f>
        <v/>
      </c>
      <c r="AO349" s="45" t="n">
        <v>1120</v>
      </c>
      <c r="AP349" s="32">
        <f>TABL12[[#This Row],[(A/S) AJD]]-TABL12[[#This Row],[SER_IN]]</f>
        <v/>
      </c>
    </row>
    <row r="350" ht="18.75" customHeight="1">
      <c r="A350" s="2" t="n">
        <v>46006</v>
      </c>
      <c r="B350" s="41" t="n">
        <v>39</v>
      </c>
      <c r="C350" s="41" t="n">
        <v>328</v>
      </c>
      <c r="D350" s="41" t="n">
        <v>39</v>
      </c>
      <c r="E350" s="41" t="n">
        <v>0</v>
      </c>
      <c r="F350" s="41" t="n">
        <v>98</v>
      </c>
      <c r="G350" s="39" t="n">
        <v>598</v>
      </c>
      <c r="H350" s="41">
        <f>103-F350</f>
        <v/>
      </c>
      <c r="I350" s="39" t="n">
        <v>480</v>
      </c>
      <c r="J350" s="39" t="n">
        <v>463</v>
      </c>
      <c r="K350" s="28">
        <f>TABL12[[#This Row],[ (T/B) SAR]]+TABL12[[#This Row],[ (S/S) SAR]]</f>
        <v/>
      </c>
      <c r="L350" s="41" t="n">
        <v>345</v>
      </c>
      <c r="M350" s="42" t="n">
        <v>24.7</v>
      </c>
      <c r="N350" s="42" t="n">
        <v>7.71</v>
      </c>
      <c r="O350" s="39" t="n">
        <v>437</v>
      </c>
      <c r="P350" s="9">
        <f>TABL12[[#This Row],[ (S/S) SAR]]-TABL12[[#This Row],[(S/S) AJD]]</f>
        <v/>
      </c>
      <c r="Q350" s="39" t="n">
        <v>436</v>
      </c>
      <c r="R350" s="9">
        <f>TABL12[[#This Row],[ (T/B) SAR]]-TABL12[[#This Row],[(T/B) AJD]]</f>
        <v/>
      </c>
      <c r="S350" s="9">
        <f>TABL12[[#This Row],[S/S_CON.]]+TABL12[[#This Row],[T/B-CON.]]</f>
        <v/>
      </c>
      <c r="T350" s="9">
        <f>O350+Q350</f>
        <v/>
      </c>
      <c r="U350" s="41" t="n">
        <v>600</v>
      </c>
      <c r="V350" s="41" t="n">
        <v>234</v>
      </c>
      <c r="W350" s="9">
        <f>U350+V350</f>
        <v/>
      </c>
      <c r="X350" s="9">
        <f>T350-W350</f>
        <v/>
      </c>
      <c r="Y350" s="41" t="n">
        <v>92.34</v>
      </c>
      <c r="Z350" s="43" t="n">
        <v>401419</v>
      </c>
      <c r="AA350" s="9">
        <f>TABL12[[#This Row],[(RESV. STORGE) AJD]]/10</f>
        <v/>
      </c>
      <c r="AB350" s="3">
        <f>(Z350-Z349)/1000</f>
        <v/>
      </c>
      <c r="AC350" s="43" t="n">
        <v>624</v>
      </c>
      <c r="AD350" s="5">
        <f>TABL12[[#This Row],[( S/S+T/B) AJD]]-(TABL12[[#This Row],[(A/B + A/S) AJD]]+TABL12[[#This Row],[(STORGE DIFF.) AJD]]+(TABL12[[#This Row],[AJD_Evaporation]]))</f>
        <v/>
      </c>
      <c r="AE350" s="39" t="n">
        <v>150</v>
      </c>
      <c r="AF350" s="41" t="n">
        <v>57.971</v>
      </c>
      <c r="AG350" s="43" t="n">
        <v>948866</v>
      </c>
      <c r="AH350" s="43">
        <f>TABL12[[#This Row],[ (RESV. STORGE) BER]]/10</f>
        <v/>
      </c>
      <c r="AI350" s="43" t="n">
        <v>1310</v>
      </c>
      <c r="AJ350" s="6">
        <f>TABL12[[#This Row],[(A/B) AJD]]-TABL12[[#This Row],[BER_IN]]</f>
        <v/>
      </c>
      <c r="AK350" s="41" t="n">
        <v>26</v>
      </c>
      <c r="AL350" s="41" t="n">
        <v>42.4075</v>
      </c>
      <c r="AM350" s="43" t="n">
        <v>2788690</v>
      </c>
      <c r="AN350" s="43">
        <f>TABL12[[#This Row],[ (RESV. STORGE) SER]]/10</f>
        <v/>
      </c>
      <c r="AO350" s="43" t="n">
        <v>1150</v>
      </c>
      <c r="AP350" s="32">
        <f>TABL12[[#This Row],[(A/S) AJD]]-TABL12[[#This Row],[SER_IN]]</f>
        <v/>
      </c>
    </row>
    <row r="351" ht="18.75" customHeight="1">
      <c r="A351" s="2" t="n">
        <v>46007</v>
      </c>
      <c r="B351" s="44" t="n">
        <v>39</v>
      </c>
      <c r="C351" s="44" t="n">
        <v>330</v>
      </c>
      <c r="D351" s="44" t="n">
        <v>39</v>
      </c>
      <c r="E351" s="44" t="n">
        <v>0</v>
      </c>
      <c r="F351" s="44" t="n">
        <v>98</v>
      </c>
      <c r="G351" s="40" t="n">
        <v>600</v>
      </c>
      <c r="H351" s="44">
        <f>103-F351</f>
        <v/>
      </c>
      <c r="I351" s="40" t="n">
        <v>481</v>
      </c>
      <c r="J351" s="44" t="n">
        <v>464</v>
      </c>
      <c r="K351" s="28">
        <f>TABL12[[#This Row],[ (T/B) SAR]]+TABL12[[#This Row],[ (S/S) SAR]]</f>
        <v/>
      </c>
      <c r="L351" s="45" t="n">
        <v>346</v>
      </c>
      <c r="M351" s="46" t="n">
        <v>24.7</v>
      </c>
      <c r="N351" s="46" t="n">
        <v>7.77</v>
      </c>
      <c r="O351" s="40" t="n">
        <v>438</v>
      </c>
      <c r="P351" s="9">
        <f>TABL12[[#This Row],[ (S/S) SAR]]-TABL12[[#This Row],[(S/S) AJD]]</f>
        <v/>
      </c>
      <c r="Q351" s="40" t="n">
        <v>437</v>
      </c>
      <c r="R351" s="9">
        <f>TABL12[[#This Row],[ (T/B) SAR]]-TABL12[[#This Row],[(T/B) AJD]]</f>
        <v/>
      </c>
      <c r="S351" s="9">
        <f>TABL12[[#This Row],[S/S_CON.]]+TABL12[[#This Row],[T/B-CON.]]</f>
        <v/>
      </c>
      <c r="T351" s="9">
        <f>O351+Q351</f>
        <v/>
      </c>
      <c r="U351" s="44" t="n">
        <v>606</v>
      </c>
      <c r="V351" s="44" t="n">
        <v>242</v>
      </c>
      <c r="W351" s="9">
        <f>U351+V351</f>
        <v/>
      </c>
      <c r="X351" s="9">
        <f>T351-W351</f>
        <v/>
      </c>
      <c r="Y351" s="44" t="n">
        <v>92.34699999999999</v>
      </c>
      <c r="Z351" s="45" t="n">
        <v>407365</v>
      </c>
      <c r="AA351" s="9">
        <f>TABL12[[#This Row],[(RESV. STORGE) AJD]]/10</f>
        <v/>
      </c>
      <c r="AB351" s="3">
        <f>(Z351-Z350)/1000</f>
        <v/>
      </c>
      <c r="AC351" s="45" t="n">
        <v>791</v>
      </c>
      <c r="AD351" s="5">
        <f>TABL12[[#This Row],[( S/S+T/B) AJD]]-(TABL12[[#This Row],[(A/B + A/S) AJD]]+TABL12[[#This Row],[(STORGE DIFF.) AJD]]+(TABL12[[#This Row],[AJD_Evaporation]]))</f>
        <v/>
      </c>
      <c r="AE351" s="40" t="n">
        <v>150</v>
      </c>
      <c r="AF351" s="44" t="n">
        <v>57.91</v>
      </c>
      <c r="AG351" s="45" t="n">
        <v>909150</v>
      </c>
      <c r="AH351" s="45">
        <f>TABL12[[#This Row],[ (RESV. STORGE) BER]]/10</f>
        <v/>
      </c>
      <c r="AI351" s="45" t="n">
        <v>1050</v>
      </c>
      <c r="AJ351" s="6">
        <f>TABL12[[#This Row],[(A/B) AJD]]-TABL12[[#This Row],[BER_IN]]</f>
        <v/>
      </c>
      <c r="AK351" s="44" t="n">
        <v>23</v>
      </c>
      <c r="AL351" s="44" t="n">
        <v>42.435</v>
      </c>
      <c r="AM351" s="45" t="n">
        <v>2804460</v>
      </c>
      <c r="AN351" s="45">
        <f>TABL12[[#This Row],[ (RESV. STORGE) SER]]/10</f>
        <v/>
      </c>
      <c r="AO351" s="45" t="n">
        <v>1830</v>
      </c>
      <c r="AP351" s="32">
        <f>TABL12[[#This Row],[(A/S) AJD]]-TABL12[[#This Row],[SER_IN]]</f>
        <v/>
      </c>
    </row>
    <row r="352" ht="18.75" customHeight="1">
      <c r="A352" s="2" t="n">
        <v>46008</v>
      </c>
      <c r="B352" s="41" t="n">
        <v>39</v>
      </c>
      <c r="C352" s="41" t="n">
        <v>327</v>
      </c>
      <c r="D352" s="41" t="n">
        <v>39</v>
      </c>
      <c r="E352" s="41" t="n">
        <v>0</v>
      </c>
      <c r="F352" s="41" t="n">
        <v>98</v>
      </c>
      <c r="G352" s="39" t="n">
        <v>600</v>
      </c>
      <c r="H352" s="41">
        <f>103-F352</f>
        <v/>
      </c>
      <c r="I352" s="39" t="n">
        <v>482</v>
      </c>
      <c r="J352" s="39" t="n">
        <v>465</v>
      </c>
      <c r="K352" s="28">
        <f>TABL12[[#This Row],[ (T/B) SAR]]+TABL12[[#This Row],[ (S/S) SAR]]</f>
        <v/>
      </c>
      <c r="L352" s="41" t="n">
        <v>347</v>
      </c>
      <c r="M352" s="42" t="n">
        <v>24.7</v>
      </c>
      <c r="N352" s="42" t="n">
        <v>7.84</v>
      </c>
      <c r="O352" s="39" t="n">
        <v>437</v>
      </c>
      <c r="P352" s="9">
        <f>TABL12[[#This Row],[ (S/S) SAR]]-TABL12[[#This Row],[(S/S) AJD]]</f>
        <v/>
      </c>
      <c r="Q352" s="39" t="n">
        <v>437</v>
      </c>
      <c r="R352" s="9">
        <f>TABL12[[#This Row],[ (T/B) SAR]]-TABL12[[#This Row],[(T/B) AJD]]</f>
        <v/>
      </c>
      <c r="S352" s="9">
        <f>TABL12[[#This Row],[S/S_CON.]]+TABL12[[#This Row],[T/B-CON.]]</f>
        <v/>
      </c>
      <c r="T352" s="9">
        <f>O352+Q352</f>
        <v/>
      </c>
      <c r="U352" s="41" t="n">
        <v>598</v>
      </c>
      <c r="V352" s="41" t="n">
        <v>240</v>
      </c>
      <c r="W352" s="9">
        <f>U352+V352</f>
        <v/>
      </c>
      <c r="X352" s="9">
        <f>T352-W352</f>
        <v/>
      </c>
      <c r="Y352" s="41" t="n">
        <v>92.363</v>
      </c>
      <c r="Z352" s="43" t="n">
        <v>414499</v>
      </c>
      <c r="AA352" s="9">
        <f>TABL12[[#This Row],[(RESV. STORGE) AJD]]/10</f>
        <v/>
      </c>
      <c r="AB352" s="3">
        <f>(Z352-Z351)/1000</f>
        <v/>
      </c>
      <c r="AC352" s="43" t="n">
        <v>476</v>
      </c>
      <c r="AD352" s="5">
        <f>TABL12[[#This Row],[( S/S+T/B) AJD]]-(TABL12[[#This Row],[(A/B + A/S) AJD]]+TABL12[[#This Row],[(STORGE DIFF.) AJD]]+(TABL12[[#This Row],[AJD_Evaporation]]))</f>
        <v/>
      </c>
      <c r="AE352" s="39" t="n">
        <v>150</v>
      </c>
      <c r="AF352" s="41" t="n">
        <v>57.861</v>
      </c>
      <c r="AG352" s="43" t="n">
        <v>877720</v>
      </c>
      <c r="AH352" s="43">
        <f>TABL12[[#This Row],[ (RESV. STORGE) BER]]/10</f>
        <v/>
      </c>
      <c r="AI352" s="43" t="n">
        <v>1910</v>
      </c>
      <c r="AJ352" s="6">
        <f>TABL12[[#This Row],[(A/B) AJD]]-TABL12[[#This Row],[BER_IN]]</f>
        <v/>
      </c>
      <c r="AK352" s="41" t="n">
        <v>24</v>
      </c>
      <c r="AL352" s="41" t="n">
        <v>42.4527</v>
      </c>
      <c r="AM352" s="43" t="n">
        <v>2813360</v>
      </c>
      <c r="AN352" s="43">
        <f>TABL12[[#This Row],[ (RESV. STORGE) SER]]/10</f>
        <v/>
      </c>
      <c r="AO352" s="43" t="n">
        <v>1800</v>
      </c>
      <c r="AP352" s="32">
        <f>TABL12[[#This Row],[(A/S) AJD]]-TABL12[[#This Row],[SER_IN]]</f>
        <v/>
      </c>
    </row>
    <row r="353" ht="18.75" customHeight="1">
      <c r="A353" s="2" t="n">
        <v>46009</v>
      </c>
      <c r="B353" s="44" t="n">
        <v>38</v>
      </c>
      <c r="C353" s="44" t="n">
        <v>325</v>
      </c>
      <c r="D353" s="44" t="n">
        <v>38</v>
      </c>
      <c r="E353" s="44" t="n">
        <v>0</v>
      </c>
      <c r="F353" s="44" t="n">
        <v>98</v>
      </c>
      <c r="G353" s="40" t="n">
        <v>598</v>
      </c>
      <c r="H353" s="44">
        <f>103-F353</f>
        <v/>
      </c>
      <c r="I353" s="40" t="n">
        <v>481</v>
      </c>
      <c r="J353" s="44" t="n">
        <v>465</v>
      </c>
      <c r="K353" s="28">
        <f>TABL12[[#This Row],[ (T/B) SAR]]+TABL12[[#This Row],[ (S/S) SAR]]</f>
        <v/>
      </c>
      <c r="L353" s="45" t="n">
        <v>348</v>
      </c>
      <c r="M353" s="46" t="n">
        <v>24.7</v>
      </c>
      <c r="N353" s="46" t="n">
        <v>7.87</v>
      </c>
      <c r="O353" s="40" t="n">
        <v>439</v>
      </c>
      <c r="P353" s="9">
        <f>TABL12[[#This Row],[ (S/S) SAR]]-TABL12[[#This Row],[(S/S) AJD]]</f>
        <v/>
      </c>
      <c r="Q353" s="40" t="n">
        <v>438</v>
      </c>
      <c r="R353" s="9">
        <f>TABL12[[#This Row],[ (T/B) SAR]]-TABL12[[#This Row],[(T/B) AJD]]</f>
        <v/>
      </c>
      <c r="S353" s="9">
        <f>TABL12[[#This Row],[S/S_CON.]]+TABL12[[#This Row],[T/B-CON.]]</f>
        <v/>
      </c>
      <c r="T353" s="9">
        <f>O353+Q353</f>
        <v/>
      </c>
      <c r="U353" s="44" t="n">
        <v>600</v>
      </c>
      <c r="V353" s="44" t="n">
        <v>242</v>
      </c>
      <c r="W353" s="9">
        <f>U353+V353</f>
        <v/>
      </c>
      <c r="X353" s="9">
        <f>T353-W353</f>
        <v/>
      </c>
      <c r="Y353" s="44" t="n">
        <v>92.377</v>
      </c>
      <c r="Z353" s="45" t="n">
        <v>423418</v>
      </c>
      <c r="AA353" s="9">
        <f>TABL12[[#This Row],[(RESV. STORGE) AJD]]/10</f>
        <v/>
      </c>
      <c r="AB353" s="3">
        <f>(Z353-Z352)/1000</f>
        <v/>
      </c>
      <c r="AC353" s="45" t="n">
        <v>921</v>
      </c>
      <c r="AD353" s="5">
        <f>TABL12[[#This Row],[( S/S+T/B) AJD]]-(TABL12[[#This Row],[(A/B + A/S) AJD]]+TABL12[[#This Row],[(STORGE DIFF.) AJD]]+(TABL12[[#This Row],[AJD_Evaporation]]))</f>
        <v/>
      </c>
      <c r="AE353" s="40" t="n">
        <v>150</v>
      </c>
      <c r="AF353" s="44" t="n">
        <v>57.815</v>
      </c>
      <c r="AG353" s="45" t="n">
        <v>847361</v>
      </c>
      <c r="AH353" s="45">
        <f>TABL12[[#This Row],[ (RESV. STORGE) BER]]/10</f>
        <v/>
      </c>
      <c r="AI353" s="45" t="n">
        <v>1816</v>
      </c>
      <c r="AJ353" s="6">
        <f>TABL12[[#This Row],[(A/B) AJD]]-TABL12[[#This Row],[BER_IN]]</f>
        <v/>
      </c>
      <c r="AK353" s="44" t="n">
        <v>24</v>
      </c>
      <c r="AL353" s="44" t="n">
        <v>42.484</v>
      </c>
      <c r="AM353" s="45" t="n">
        <v>2830010</v>
      </c>
      <c r="AN353" s="45">
        <f>TABL12[[#This Row],[ (RESV. STORGE) SER]]/10</f>
        <v/>
      </c>
      <c r="AO353" s="45" t="n">
        <v>1700</v>
      </c>
      <c r="AP353" s="32">
        <f>TABL12[[#This Row],[(A/S) AJD]]-TABL12[[#This Row],[SER_IN]]</f>
        <v/>
      </c>
    </row>
    <row r="354" ht="18.75" customHeight="1">
      <c r="A354" s="2" t="n">
        <v>46010</v>
      </c>
      <c r="B354" s="41" t="n">
        <v>38</v>
      </c>
      <c r="C354" s="41" t="n">
        <v>316</v>
      </c>
      <c r="D354" s="41" t="n">
        <v>38</v>
      </c>
      <c r="E354" s="41" t="n">
        <v>0</v>
      </c>
      <c r="F354" s="41" t="n">
        <v>98</v>
      </c>
      <c r="G354" s="39" t="n">
        <v>599</v>
      </c>
      <c r="H354" s="41">
        <f>103-F354</f>
        <v/>
      </c>
      <c r="I354" s="39" t="n">
        <v>481</v>
      </c>
      <c r="J354" s="39" t="n">
        <v>465</v>
      </c>
      <c r="K354" s="28">
        <f>TABL12[[#This Row],[ (T/B) SAR]]+TABL12[[#This Row],[ (S/S) SAR]]</f>
        <v/>
      </c>
      <c r="L354" s="41" t="n">
        <v>347</v>
      </c>
      <c r="M354" s="42" t="n">
        <v>24.7</v>
      </c>
      <c r="N354" s="42" t="n">
        <v>7.87</v>
      </c>
      <c r="O354" s="39" t="n">
        <v>439</v>
      </c>
      <c r="P354" s="9">
        <f>TABL12[[#This Row],[ (S/S) SAR]]-TABL12[[#This Row],[(S/S) AJD]]</f>
        <v/>
      </c>
      <c r="Q354" s="39" t="n">
        <v>438</v>
      </c>
      <c r="R354" s="9">
        <f>TABL12[[#This Row],[ (T/B) SAR]]-TABL12[[#This Row],[(T/B) AJD]]</f>
        <v/>
      </c>
      <c r="S354" s="9">
        <f>TABL12[[#This Row],[S/S_CON.]]+TABL12[[#This Row],[T/B-CON.]]</f>
        <v/>
      </c>
      <c r="T354" s="9">
        <f>O354+Q354</f>
        <v/>
      </c>
      <c r="U354" s="41" t="n">
        <v>599</v>
      </c>
      <c r="V354" s="41" t="n">
        <v>250</v>
      </c>
      <c r="W354" s="9">
        <f>U354+V354</f>
        <v/>
      </c>
      <c r="X354" s="9">
        <f>T354-W354</f>
        <v/>
      </c>
      <c r="Y354" s="41" t="n">
        <v>92.38500000000001</v>
      </c>
      <c r="Z354" s="43" t="n">
        <v>428177</v>
      </c>
      <c r="AA354" s="9">
        <f>TABL12[[#This Row],[(RESV. STORGE) AJD]]/10</f>
        <v/>
      </c>
      <c r="AB354" s="3">
        <f>(Z354-Z353)/1000</f>
        <v/>
      </c>
      <c r="AC354" s="43" t="n">
        <v>1041</v>
      </c>
      <c r="AD354" s="5">
        <f>TABL12[[#This Row],[( S/S+T/B) AJD]]-(TABL12[[#This Row],[(A/B + A/S) AJD]]+TABL12[[#This Row],[(STORGE DIFF.) AJD]]+(TABL12[[#This Row],[AJD_Evaporation]]))</f>
        <v/>
      </c>
      <c r="AE354" s="39" t="n">
        <v>150</v>
      </c>
      <c r="AF354" s="41" t="n">
        <v>57.762</v>
      </c>
      <c r="AG354" s="43" t="n">
        <v>812923</v>
      </c>
      <c r="AH354" s="43">
        <f>TABL12[[#This Row],[ (RESV. STORGE) BER]]/10</f>
        <v/>
      </c>
      <c r="AI354" s="43" t="n">
        <v>740</v>
      </c>
      <c r="AJ354" s="6">
        <f>TABL12[[#This Row],[(A/B) AJD]]-TABL12[[#This Row],[BER_IN]]</f>
        <v/>
      </c>
      <c r="AK354" s="41" t="n">
        <v>27</v>
      </c>
      <c r="AL354" s="41" t="n">
        <v>42.4983</v>
      </c>
      <c r="AM354" s="43" t="n">
        <v>2837570</v>
      </c>
      <c r="AN354" s="43">
        <f>TABL12[[#This Row],[ (RESV. STORGE) SER]]/10</f>
        <v/>
      </c>
      <c r="AO354" s="43" t="n">
        <v>1840</v>
      </c>
      <c r="AP354" s="32">
        <f>TABL12[[#This Row],[(A/S) AJD]]-TABL12[[#This Row],[SER_IN]]</f>
        <v/>
      </c>
    </row>
    <row r="355" ht="18.75" customHeight="1">
      <c r="A355" s="2" t="n">
        <v>46011</v>
      </c>
      <c r="B355" s="44" t="n">
        <v>37</v>
      </c>
      <c r="C355" s="44" t="n">
        <v>295</v>
      </c>
      <c r="D355" s="44" t="n">
        <v>37</v>
      </c>
      <c r="E355" s="44" t="n">
        <v>0</v>
      </c>
      <c r="F355" s="44" t="n">
        <v>98</v>
      </c>
      <c r="G355" s="40" t="n">
        <v>597</v>
      </c>
      <c r="H355" s="44">
        <f>103-F355</f>
        <v/>
      </c>
      <c r="I355" s="40" t="n">
        <v>480</v>
      </c>
      <c r="J355" s="44" t="n">
        <v>462</v>
      </c>
      <c r="K355" s="28">
        <f>TABL12[[#This Row],[ (T/B) SAR]]+TABL12[[#This Row],[ (S/S) SAR]]</f>
        <v/>
      </c>
      <c r="L355" s="45" t="n">
        <v>345</v>
      </c>
      <c r="M355" s="46" t="n">
        <v>24.7</v>
      </c>
      <c r="N355" s="46" t="n">
        <v>7.73</v>
      </c>
      <c r="O355" s="40" t="n">
        <v>438</v>
      </c>
      <c r="P355" s="9">
        <f>TABL12[[#This Row],[ (S/S) SAR]]-TABL12[[#This Row],[(S/S) AJD]]</f>
        <v/>
      </c>
      <c r="Q355" s="40" t="n">
        <v>439</v>
      </c>
      <c r="R355" s="9">
        <f>TABL12[[#This Row],[ (T/B) SAR]]-TABL12[[#This Row],[(T/B) AJD]]</f>
        <v/>
      </c>
      <c r="S355" s="9">
        <f>TABL12[[#This Row],[S/S_CON.]]+TABL12[[#This Row],[T/B-CON.]]</f>
        <v/>
      </c>
      <c r="T355" s="9">
        <f>O355+Q355</f>
        <v/>
      </c>
      <c r="U355" s="44" t="n">
        <v>591</v>
      </c>
      <c r="V355" s="44" t="n">
        <v>246</v>
      </c>
      <c r="W355" s="9">
        <f>U355+V355</f>
        <v/>
      </c>
      <c r="X355" s="9">
        <f>T355-W355</f>
        <v/>
      </c>
      <c r="Y355" s="44" t="n">
        <v>92.42700000000001</v>
      </c>
      <c r="Z355" s="45" t="n">
        <v>453163</v>
      </c>
      <c r="AA355" s="9">
        <f>TABL12[[#This Row],[(RESV. STORGE) AJD]]/10</f>
        <v/>
      </c>
      <c r="AB355" s="3">
        <f>(Z355-Z354)/1000</f>
        <v/>
      </c>
      <c r="AC355" s="45" t="n">
        <v>762</v>
      </c>
      <c r="AD355" s="5">
        <f>TABL12[[#This Row],[( S/S+T/B) AJD]]-(TABL12[[#This Row],[(A/B + A/S) AJD]]+TABL12[[#This Row],[(STORGE DIFF.) AJD]]+(TABL12[[#This Row],[AJD_Evaporation]]))</f>
        <v/>
      </c>
      <c r="AE355" s="40" t="n">
        <v>148</v>
      </c>
      <c r="AF355" s="44" t="n">
        <v>57.7</v>
      </c>
      <c r="AG355" s="45" t="n">
        <v>772667</v>
      </c>
      <c r="AH355" s="45">
        <f>TABL12[[#This Row],[ (RESV. STORGE) BER]]/10</f>
        <v/>
      </c>
      <c r="AI355" s="45" t="n">
        <v>1666</v>
      </c>
      <c r="AJ355" s="6">
        <f>TABL12[[#This Row],[(A/B) AJD]]-TABL12[[#This Row],[BER_IN]]</f>
        <v/>
      </c>
      <c r="AK355" s="44" t="n">
        <v>25</v>
      </c>
      <c r="AL355" s="44" t="n">
        <v>42.4996</v>
      </c>
      <c r="AM355" s="45" t="n">
        <v>2838340</v>
      </c>
      <c r="AN355" s="45">
        <f>TABL12[[#This Row],[ (RESV. STORGE) SER]]/10</f>
        <v/>
      </c>
      <c r="AO355" s="45" t="n">
        <v>1830</v>
      </c>
      <c r="AP355" s="32">
        <f>TABL12[[#This Row],[(A/S) AJD]]-TABL12[[#This Row],[SER_IN]]</f>
        <v/>
      </c>
    </row>
    <row r="356" ht="18.75" customHeight="1">
      <c r="A356" s="2" t="n">
        <v>46012</v>
      </c>
      <c r="B356" s="41" t="n">
        <v>38</v>
      </c>
      <c r="C356" s="41" t="n">
        <v>315</v>
      </c>
      <c r="D356" s="41" t="n">
        <v>38</v>
      </c>
      <c r="E356" s="41" t="n">
        <v>0</v>
      </c>
      <c r="F356" s="41" t="n">
        <v>98</v>
      </c>
      <c r="G356" s="39" t="n">
        <v>594</v>
      </c>
      <c r="H356" s="41">
        <f>103-F356</f>
        <v/>
      </c>
      <c r="I356" s="39" t="n">
        <v>478</v>
      </c>
      <c r="J356" s="39" t="n">
        <v>461</v>
      </c>
      <c r="K356" s="28">
        <f>TABL12[[#This Row],[ (T/B) SAR]]+TABL12[[#This Row],[ (S/S) SAR]]</f>
        <v/>
      </c>
      <c r="L356" s="41" t="n">
        <v>345</v>
      </c>
      <c r="M356" s="42" t="n">
        <v>24.7</v>
      </c>
      <c r="N356" s="42" t="n">
        <v>7.69</v>
      </c>
      <c r="O356" s="39" t="n">
        <v>437</v>
      </c>
      <c r="P356" s="9">
        <f>TABL12[[#This Row],[ (S/S) SAR]]-TABL12[[#This Row],[(S/S) AJD]]</f>
        <v/>
      </c>
      <c r="Q356" s="39" t="n">
        <v>437</v>
      </c>
      <c r="R356" s="9">
        <f>TABL12[[#This Row],[ (T/B) SAR]]-TABL12[[#This Row],[(T/B) AJD]]</f>
        <v/>
      </c>
      <c r="S356" s="9">
        <f>TABL12[[#This Row],[S/S_CON.]]+TABL12[[#This Row],[T/B-CON.]]</f>
        <v/>
      </c>
      <c r="T356" s="9">
        <f>O356+Q356</f>
        <v/>
      </c>
      <c r="U356" s="41" t="n">
        <v>594</v>
      </c>
      <c r="V356" s="41" t="n">
        <v>239</v>
      </c>
      <c r="W356" s="9">
        <f>U356+V356</f>
        <v/>
      </c>
      <c r="X356" s="9">
        <f>T356-W356</f>
        <v/>
      </c>
      <c r="Y356" s="41" t="n">
        <v>92.47199999999999</v>
      </c>
      <c r="Z356" s="43" t="n">
        <v>479956</v>
      </c>
      <c r="AA356" s="9">
        <f>TABL12[[#This Row],[(RESV. STORGE) AJD]]/10</f>
        <v/>
      </c>
      <c r="AB356" s="3">
        <f>(Z356-Z355)/1000</f>
        <v/>
      </c>
      <c r="AC356" s="43" t="n">
        <v>567</v>
      </c>
      <c r="AD356" s="5">
        <f>TABL12[[#This Row],[( S/S+T/B) AJD]]-(TABL12[[#This Row],[(A/B + A/S) AJD]]+TABL12[[#This Row],[(STORGE DIFF.) AJD]]+(TABL12[[#This Row],[AJD_Evaporation]]))</f>
        <v/>
      </c>
      <c r="AE356" s="39" t="n">
        <v>145</v>
      </c>
      <c r="AF356" s="41" t="n">
        <v>57.64</v>
      </c>
      <c r="AG356" s="43" t="n">
        <v>733742</v>
      </c>
      <c r="AH356" s="43">
        <f>TABL12[[#This Row],[ (RESV. STORGE) BER]]/10</f>
        <v/>
      </c>
      <c r="AI356" s="43" t="n">
        <v>1884</v>
      </c>
      <c r="AJ356" s="6">
        <f>TABL12[[#This Row],[(A/B) AJD]]-TABL12[[#This Row],[BER_IN]]</f>
        <v/>
      </c>
      <c r="AK356" s="41" t="n">
        <v>24</v>
      </c>
      <c r="AL356" s="41" t="n">
        <v>42.4911</v>
      </c>
      <c r="AM356" s="43" t="n">
        <v>2833770</v>
      </c>
      <c r="AN356" s="43">
        <f>TABL12[[#This Row],[ (RESV. STORGE) SER]]/10</f>
        <v/>
      </c>
      <c r="AO356" s="43" t="n">
        <v>1870</v>
      </c>
      <c r="AP356" s="32">
        <f>TABL12[[#This Row],[(A/S) AJD]]-TABL12[[#This Row],[SER_IN]]</f>
        <v/>
      </c>
    </row>
    <row r="357" ht="18.75" customHeight="1">
      <c r="A357" s="2" t="n">
        <v>46013</v>
      </c>
      <c r="B357" s="44" t="n">
        <v>38</v>
      </c>
      <c r="C357" s="44" t="n">
        <v>304</v>
      </c>
      <c r="D357" s="44" t="n">
        <v>38</v>
      </c>
      <c r="E357" s="44" t="n">
        <v>0</v>
      </c>
      <c r="F357" s="44" t="n">
        <v>97</v>
      </c>
      <c r="G357" s="40" t="n">
        <v>602</v>
      </c>
      <c r="H357" s="44">
        <f>103-F357</f>
        <v/>
      </c>
      <c r="I357" s="40" t="n">
        <v>482</v>
      </c>
      <c r="J357" s="44" t="n">
        <v>465</v>
      </c>
      <c r="K357" s="28">
        <f>TABL12[[#This Row],[ (T/B) SAR]]+TABL12[[#This Row],[ (S/S) SAR]]</f>
        <v/>
      </c>
      <c r="L357" s="45" t="n">
        <v>345</v>
      </c>
      <c r="M357" s="46" t="n">
        <v>24.7</v>
      </c>
      <c r="N357" s="46" t="n">
        <v>7.64</v>
      </c>
      <c r="O357" s="40" t="n">
        <v>439</v>
      </c>
      <c r="P357" s="9">
        <f>TABL12[[#This Row],[ (S/S) SAR]]-TABL12[[#This Row],[(S/S) AJD]]</f>
        <v/>
      </c>
      <c r="Q357" s="40" t="n">
        <v>438</v>
      </c>
      <c r="R357" s="9">
        <f>TABL12[[#This Row],[ (T/B) SAR]]-TABL12[[#This Row],[(T/B) AJD]]</f>
        <v/>
      </c>
      <c r="S357" s="9">
        <f>TABL12[[#This Row],[S/S_CON.]]+TABL12[[#This Row],[T/B-CON.]]</f>
        <v/>
      </c>
      <c r="T357" s="9">
        <f>O357+Q357</f>
        <v/>
      </c>
      <c r="U357" s="44" t="n">
        <v>593</v>
      </c>
      <c r="V357" s="44" t="n">
        <v>245</v>
      </c>
      <c r="W357" s="9">
        <f>U357+V357</f>
        <v/>
      </c>
      <c r="X357" s="9">
        <f>T357-W357</f>
        <v/>
      </c>
      <c r="Y357" s="44" t="n">
        <v>92.485</v>
      </c>
      <c r="Z357" s="45" t="n">
        <v>487691</v>
      </c>
      <c r="AA357" s="9">
        <f>TABL12[[#This Row],[(RESV. STORGE) AJD]]/10</f>
        <v/>
      </c>
      <c r="AB357" s="3">
        <f>(Z357-Z356)/1000</f>
        <v/>
      </c>
      <c r="AC357" s="45" t="n">
        <v>1046</v>
      </c>
      <c r="AD357" s="5">
        <f>TABL12[[#This Row],[( S/S+T/B) AJD]]-(TABL12[[#This Row],[(A/B + A/S) AJD]]+TABL12[[#This Row],[(STORGE DIFF.) AJD]]+(TABL12[[#This Row],[AJD_Evaporation]]))</f>
        <v/>
      </c>
      <c r="AE357" s="40" t="n">
        <v>150</v>
      </c>
      <c r="AF357" s="44" t="n">
        <v>57.78</v>
      </c>
      <c r="AG357" s="45" t="n">
        <v>824616</v>
      </c>
      <c r="AH357" s="45">
        <f>TABL12[[#This Row],[ (RESV. STORGE) BER]]/10</f>
        <v/>
      </c>
      <c r="AI357" s="45" t="n">
        <v>2058</v>
      </c>
      <c r="AJ357" s="6">
        <f>TABL12[[#This Row],[(A/B) AJD]]-TABL12[[#This Row],[BER_IN]]</f>
        <v/>
      </c>
      <c r="AK357" s="44" t="n">
        <v>23</v>
      </c>
      <c r="AL357" s="44" t="n">
        <v>42.4759</v>
      </c>
      <c r="AM357" s="45" t="n">
        <v>2825670</v>
      </c>
      <c r="AN357" s="45">
        <f>TABL12[[#This Row],[ (RESV. STORGE) SER]]/10</f>
        <v/>
      </c>
      <c r="AO357" s="45" t="n">
        <v>1800</v>
      </c>
      <c r="AP357" s="32">
        <f>TABL12[[#This Row],[(A/S) AJD]]-TABL12[[#This Row],[SER_IN]]</f>
        <v/>
      </c>
    </row>
    <row r="358" ht="18.75" customHeight="1">
      <c r="A358" s="2" t="n">
        <v>46014</v>
      </c>
      <c r="B358" s="41" t="n">
        <v>36</v>
      </c>
      <c r="C358" s="41" t="n">
        <v>300</v>
      </c>
      <c r="D358" s="41" t="n">
        <v>36</v>
      </c>
      <c r="E358" s="41" t="n">
        <v>0</v>
      </c>
      <c r="F358" s="41" t="n">
        <v>96</v>
      </c>
      <c r="G358" s="39" t="n">
        <v>602</v>
      </c>
      <c r="H358" s="41">
        <f>103-F358</f>
        <v/>
      </c>
      <c r="I358" s="39" t="n">
        <v>480</v>
      </c>
      <c r="J358" s="39" t="n">
        <v>462</v>
      </c>
      <c r="K358" s="28">
        <f>TABL12[[#This Row],[ (T/B) SAR]]+TABL12[[#This Row],[ (S/S) SAR]]</f>
        <v/>
      </c>
      <c r="L358" s="41" t="n">
        <v>340</v>
      </c>
      <c r="M358" s="42" t="n">
        <v>24.7</v>
      </c>
      <c r="N358" s="42" t="n">
        <v>7.57</v>
      </c>
      <c r="O358" s="39" t="n">
        <v>440</v>
      </c>
      <c r="P358" s="9">
        <f>TABL12[[#This Row],[ (S/S) SAR]]-TABL12[[#This Row],[(S/S) AJD]]</f>
        <v/>
      </c>
      <c r="Q358" s="39" t="n">
        <v>440</v>
      </c>
      <c r="R358" s="9">
        <f>TABL12[[#This Row],[ (T/B) SAR]]-TABL12[[#This Row],[(T/B) AJD]]</f>
        <v/>
      </c>
      <c r="S358" s="9">
        <f>TABL12[[#This Row],[S/S_CON.]]+TABL12[[#This Row],[T/B-CON.]]</f>
        <v/>
      </c>
      <c r="T358" s="9">
        <f>O358+Q358</f>
        <v/>
      </c>
      <c r="U358" s="41" t="n">
        <v>593</v>
      </c>
      <c r="V358" s="41" t="n">
        <v>237</v>
      </c>
      <c r="W358" s="9">
        <f>U358+V358</f>
        <v/>
      </c>
      <c r="X358" s="9">
        <f>T358-W358</f>
        <v/>
      </c>
      <c r="Y358" s="41" t="n">
        <v>92.52</v>
      </c>
      <c r="Z358" s="43" t="n">
        <v>508538</v>
      </c>
      <c r="AA358" s="9">
        <f>TABL12[[#This Row],[(RESV. STORGE) AJD]]/10</f>
        <v/>
      </c>
      <c r="AB358" s="3">
        <f>(Z358-Z357)/1000</f>
        <v/>
      </c>
      <c r="AC358" s="43" t="n">
        <v>905</v>
      </c>
      <c r="AD358" s="5">
        <f>TABL12[[#This Row],[( S/S+T/B) AJD]]-(TABL12[[#This Row],[(A/B + A/S) AJD]]+TABL12[[#This Row],[(STORGE DIFF.) AJD]]+(TABL12[[#This Row],[AJD_Evaporation]]))</f>
        <v/>
      </c>
      <c r="AE358" s="39" t="n">
        <v>145</v>
      </c>
      <c r="AF358" s="41" t="n">
        <v>57.92</v>
      </c>
      <c r="AG358" s="43" t="n">
        <v>915658</v>
      </c>
      <c r="AH358" s="43">
        <f>TABL12[[#This Row],[ (RESV. STORGE) BER]]/10</f>
        <v/>
      </c>
      <c r="AI358" s="43" t="n">
        <v>889</v>
      </c>
      <c r="AJ358" s="6">
        <f>TABL12[[#This Row],[(A/B) AJD]]-TABL12[[#This Row],[BER_IN]]</f>
        <v/>
      </c>
      <c r="AK358" s="41" t="n">
        <v>24</v>
      </c>
      <c r="AL358" s="41" t="n">
        <v>42.4769</v>
      </c>
      <c r="AM358" s="43" t="n">
        <v>2825910</v>
      </c>
      <c r="AN358" s="43">
        <f>TABL12[[#This Row],[ (RESV. STORGE) SER]]/10</f>
        <v/>
      </c>
      <c r="AO358" s="43" t="n">
        <v>1860</v>
      </c>
      <c r="AP358" s="32">
        <f>TABL12[[#This Row],[(A/S) AJD]]-TABL12[[#This Row],[SER_IN]]</f>
        <v/>
      </c>
    </row>
    <row r="359" ht="18.75" customHeight="1">
      <c r="A359" s="2" t="n">
        <v>46015</v>
      </c>
      <c r="B359" s="44" t="n">
        <v>38</v>
      </c>
      <c r="C359" s="44" t="n">
        <v>301</v>
      </c>
      <c r="D359" s="44" t="n">
        <v>38</v>
      </c>
      <c r="E359" s="44" t="n">
        <v>0</v>
      </c>
      <c r="F359" s="44" t="n">
        <v>97</v>
      </c>
      <c r="G359" s="40" t="n">
        <v>605</v>
      </c>
      <c r="H359" s="44">
        <f>103-F359</f>
        <v/>
      </c>
      <c r="I359" s="40" t="n">
        <v>478</v>
      </c>
      <c r="J359" s="44" t="n">
        <v>465</v>
      </c>
      <c r="K359" s="28">
        <f>TABL12[[#This Row],[ (T/B) SAR]]+TABL12[[#This Row],[ (S/S) SAR]]</f>
        <v/>
      </c>
      <c r="L359" s="45" t="n">
        <v>338</v>
      </c>
      <c r="M359" s="46" t="n">
        <v>24.7</v>
      </c>
      <c r="N359" s="46" t="n">
        <v>7.5</v>
      </c>
      <c r="O359" s="40" t="n">
        <v>439</v>
      </c>
      <c r="P359" s="9">
        <f>TABL12[[#This Row],[ (S/S) SAR]]-TABL12[[#This Row],[(S/S) AJD]]</f>
        <v/>
      </c>
      <c r="Q359" s="40" t="n">
        <v>437</v>
      </c>
      <c r="R359" s="9">
        <f>TABL12[[#This Row],[ (T/B) SAR]]-TABL12[[#This Row],[(T/B) AJD]]</f>
        <v/>
      </c>
      <c r="S359" s="9">
        <f>TABL12[[#This Row],[S/S_CON.]]+TABL12[[#This Row],[T/B-CON.]]</f>
        <v/>
      </c>
      <c r="T359" s="9">
        <f>O359+Q359</f>
        <v/>
      </c>
      <c r="U359" s="44" t="n">
        <v>578</v>
      </c>
      <c r="V359" s="44" t="n">
        <v>231</v>
      </c>
      <c r="W359" s="9">
        <f>U359+V359</f>
        <v/>
      </c>
      <c r="X359" s="9">
        <f>T359-W359</f>
        <v/>
      </c>
      <c r="Y359" s="44" t="n">
        <v>92.57899999999999</v>
      </c>
      <c r="Z359" s="45" t="n">
        <v>543705</v>
      </c>
      <c r="AA359" s="9">
        <f>TABL12[[#This Row],[(RESV. STORGE) AJD]]/10</f>
        <v/>
      </c>
      <c r="AB359" s="3">
        <f>(Z359-Z358)/1000</f>
        <v/>
      </c>
      <c r="AC359" s="45" t="n">
        <v>1085</v>
      </c>
      <c r="AD359" s="5">
        <f>TABL12[[#This Row],[( S/S+T/B) AJD]]-(TABL12[[#This Row],[(A/B + A/S) AJD]]+TABL12[[#This Row],[(STORGE DIFF.) AJD]]+(TABL12[[#This Row],[AJD_Evaporation]]))</f>
        <v/>
      </c>
      <c r="AE359" s="40" t="n">
        <v>145</v>
      </c>
      <c r="AF359" s="44" t="n">
        <v>58.083</v>
      </c>
      <c r="AG359" s="45" t="n">
        <v>1021870</v>
      </c>
      <c r="AH359" s="45">
        <f>TABL12[[#This Row],[ (RESV. STORGE) BER]]/10</f>
        <v/>
      </c>
      <c r="AI359" s="45" t="n">
        <v>1772</v>
      </c>
      <c r="AJ359" s="6">
        <f>TABL12[[#This Row],[(A/B) AJD]]-TABL12[[#This Row],[BER_IN]]</f>
        <v/>
      </c>
      <c r="AK359" s="44" t="n">
        <v>24</v>
      </c>
      <c r="AL359" s="44" t="n">
        <v>42.4989</v>
      </c>
      <c r="AM359" s="45" t="n">
        <v>2838060</v>
      </c>
      <c r="AN359" s="45">
        <f>TABL12[[#This Row],[ (RESV. STORGE) SER]]/10</f>
        <v/>
      </c>
      <c r="AO359" s="45" t="n">
        <v>1850</v>
      </c>
      <c r="AP359" s="32">
        <f>TABL12[[#This Row],[(A/S) AJD]]-TABL12[[#This Row],[SER_IN]]</f>
        <v/>
      </c>
    </row>
    <row r="360" ht="18.75" customHeight="1">
      <c r="A360" s="2" t="n">
        <v>46016</v>
      </c>
      <c r="B360" s="41" t="n">
        <v>37</v>
      </c>
      <c r="C360" s="41" t="n">
        <v>303</v>
      </c>
      <c r="D360" s="41" t="n">
        <v>37</v>
      </c>
      <c r="E360" s="41" t="n">
        <v>0</v>
      </c>
      <c r="F360" s="41" t="n">
        <v>97</v>
      </c>
      <c r="G360" s="39" t="n">
        <v>607</v>
      </c>
      <c r="H360" s="41">
        <f>103-F360</f>
        <v/>
      </c>
      <c r="I360" s="39" t="n">
        <v>485</v>
      </c>
      <c r="J360" s="39" t="n">
        <v>462</v>
      </c>
      <c r="K360" s="28">
        <f>TABL12[[#This Row],[ (T/B) SAR]]+TABL12[[#This Row],[ (S/S) SAR]]</f>
        <v/>
      </c>
      <c r="L360" s="41" t="n">
        <v>340</v>
      </c>
      <c r="M360" s="42" t="n">
        <v>24.7</v>
      </c>
      <c r="N360" s="42" t="n">
        <v>7.46</v>
      </c>
      <c r="O360" s="39" t="n">
        <v>438</v>
      </c>
      <c r="P360" s="9">
        <f>TABL12[[#This Row],[ (S/S) SAR]]-TABL12[[#This Row],[(S/S) AJD]]</f>
        <v/>
      </c>
      <c r="Q360" s="39" t="n">
        <v>437</v>
      </c>
      <c r="R360" s="9">
        <f>TABL12[[#This Row],[ (T/B) SAR]]-TABL12[[#This Row],[(T/B) AJD]]</f>
        <v/>
      </c>
      <c r="S360" s="9">
        <f>TABL12[[#This Row],[S/S_CON.]]+TABL12[[#This Row],[T/B-CON.]]</f>
        <v/>
      </c>
      <c r="T360" s="9">
        <f>O360+Q360</f>
        <v/>
      </c>
      <c r="U360" s="41" t="n">
        <v>592</v>
      </c>
      <c r="V360" s="41" t="n">
        <v>250</v>
      </c>
      <c r="W360" s="9">
        <f>U360+V360</f>
        <v/>
      </c>
      <c r="X360" s="9">
        <f>T360-W360</f>
        <v/>
      </c>
      <c r="Y360" s="41" t="n">
        <v>92.587</v>
      </c>
      <c r="Z360" s="43" t="n">
        <v>548478</v>
      </c>
      <c r="AA360" s="9">
        <f>TABL12[[#This Row],[(RESV. STORGE) AJD]]/10</f>
        <v/>
      </c>
      <c r="AB360" s="3">
        <f>(Z360-Z359)/1000</f>
        <v/>
      </c>
      <c r="AC360" s="43" t="n">
        <v>1060</v>
      </c>
      <c r="AD360" s="5">
        <f>TABL12[[#This Row],[( S/S+T/B) AJD]]-(TABL12[[#This Row],[(A/B + A/S) AJD]]+TABL12[[#This Row],[(STORGE DIFF.) AJD]]+(TABL12[[#This Row],[AJD_Evaporation]]))</f>
        <v/>
      </c>
      <c r="AE360" s="39" t="n">
        <v>145</v>
      </c>
      <c r="AF360" s="41" t="n">
        <v>58.106</v>
      </c>
      <c r="AG360" s="43" t="n">
        <v>1036875</v>
      </c>
      <c r="AH360" s="43">
        <f>TABL12[[#This Row],[ (RESV. STORGE) BER]]/10</f>
        <v/>
      </c>
      <c r="AI360" s="43" t="n">
        <v>2539</v>
      </c>
      <c r="AJ360" s="6">
        <f>TABL12[[#This Row],[(A/B) AJD]]-TABL12[[#This Row],[BER_IN]]</f>
        <v/>
      </c>
      <c r="AK360" s="41" t="n">
        <v>39</v>
      </c>
      <c r="AL360" s="41" t="n">
        <v>42.5129</v>
      </c>
      <c r="AM360" s="43" t="n">
        <v>2845590</v>
      </c>
      <c r="AN360" s="43">
        <f>TABL12[[#This Row],[ (RESV. STORGE) SER]]/10</f>
        <v/>
      </c>
      <c r="AO360" s="43" t="n">
        <v>1870</v>
      </c>
      <c r="AP360" s="32">
        <f>TABL12[[#This Row],[(A/S) AJD]]-TABL12[[#This Row],[SER_IN]]</f>
        <v/>
      </c>
    </row>
    <row r="361" ht="18.75" customHeight="1">
      <c r="A361" s="2" t="n">
        <v>46017</v>
      </c>
      <c r="B361" s="44" t="n">
        <v>38</v>
      </c>
      <c r="C361" s="44" t="n">
        <v>312</v>
      </c>
      <c r="D361" s="44" t="n">
        <v>38</v>
      </c>
      <c r="E361" s="44" t="n">
        <v>0</v>
      </c>
      <c r="F361" s="44" t="n">
        <v>97</v>
      </c>
      <c r="G361" s="40" t="n">
        <v>604</v>
      </c>
      <c r="H361" s="44">
        <f>103-F361</f>
        <v/>
      </c>
      <c r="I361" s="40" t="n">
        <v>480</v>
      </c>
      <c r="J361" s="44" t="n">
        <v>462</v>
      </c>
      <c r="K361" s="28">
        <f>TABL12[[#This Row],[ (T/B) SAR]]+TABL12[[#This Row],[ (S/S) SAR]]</f>
        <v/>
      </c>
      <c r="L361" s="45" t="n">
        <v>338</v>
      </c>
      <c r="M361" s="46" t="n">
        <v>24.7</v>
      </c>
      <c r="N361" s="46" t="n">
        <v>7.43</v>
      </c>
      <c r="O361" s="40" t="n">
        <v>437</v>
      </c>
      <c r="P361" s="9">
        <f>TABL12[[#This Row],[ (S/S) SAR]]-TABL12[[#This Row],[(S/S) AJD]]</f>
        <v/>
      </c>
      <c r="Q361" s="40" t="n">
        <v>436</v>
      </c>
      <c r="R361" s="9">
        <f>TABL12[[#This Row],[ (T/B) SAR]]-TABL12[[#This Row],[(T/B) AJD]]</f>
        <v/>
      </c>
      <c r="S361" s="9">
        <f>TABL12[[#This Row],[S/S_CON.]]+TABL12[[#This Row],[T/B-CON.]]</f>
        <v/>
      </c>
      <c r="T361" s="9">
        <f>O361+Q361</f>
        <v/>
      </c>
      <c r="U361" s="44" t="n">
        <v>590</v>
      </c>
      <c r="V361" s="44" t="n">
        <v>299</v>
      </c>
      <c r="W361" s="9">
        <f>U361+V361</f>
        <v/>
      </c>
      <c r="X361" s="9">
        <f>T361-W361</f>
        <v/>
      </c>
      <c r="Y361" s="44" t="n">
        <v>92.50700000000001</v>
      </c>
      <c r="Z361" s="45" t="n">
        <v>500797</v>
      </c>
      <c r="AA361" s="9">
        <f>TABL12[[#This Row],[(RESV. STORGE) AJD]]/10</f>
        <v/>
      </c>
      <c r="AB361" s="3">
        <f>(Z361-Z360)/1000</f>
        <v/>
      </c>
      <c r="AC361" s="45" t="n">
        <v>0</v>
      </c>
      <c r="AD361" s="5">
        <f>TABL12[[#This Row],[( S/S+T/B) AJD]]-(TABL12[[#This Row],[(A/B + A/S) AJD]]+TABL12[[#This Row],[(STORGE DIFF.) AJD]]+(TABL12[[#This Row],[AJD_Evaporation]]))</f>
        <v/>
      </c>
      <c r="AE361" s="40" t="n">
        <v>140</v>
      </c>
      <c r="AF361" s="44" t="n">
        <v>58.106</v>
      </c>
      <c r="AG361" s="45" t="n">
        <v>1032960</v>
      </c>
      <c r="AH361" s="45">
        <f>TABL12[[#This Row],[ (RESV. STORGE) BER]]/10</f>
        <v/>
      </c>
      <c r="AI361" s="45" t="n">
        <v>1481</v>
      </c>
      <c r="AJ361" s="6">
        <f>TABL12[[#This Row],[(A/B) AJD]]-TABL12[[#This Row],[BER_IN]]</f>
        <v/>
      </c>
      <c r="AK361" s="44" t="n">
        <v>42</v>
      </c>
      <c r="AL361" s="44" t="n">
        <v>42.5525</v>
      </c>
      <c r="AM361" s="45" t="n">
        <v>2867090</v>
      </c>
      <c r="AN361" s="45">
        <f>TABL12[[#This Row],[ (RESV. STORGE) SER]]/10</f>
        <v/>
      </c>
      <c r="AO361" s="45" t="n">
        <v>1800</v>
      </c>
      <c r="AP361" s="32">
        <f>TABL12[[#This Row],[(A/S) AJD]]-TABL12[[#This Row],[SER_IN]]</f>
        <v/>
      </c>
    </row>
    <row r="362" ht="18.75" customHeight="1">
      <c r="A362" s="2" t="n">
        <v>46018</v>
      </c>
      <c r="B362" s="41" t="n">
        <v>38</v>
      </c>
      <c r="C362" s="41" t="n">
        <v>315</v>
      </c>
      <c r="D362" s="41" t="n">
        <v>38</v>
      </c>
      <c r="E362" s="41" t="n">
        <v>0</v>
      </c>
      <c r="F362" s="41" t="n">
        <v>97</v>
      </c>
      <c r="G362" s="39" t="n">
        <v>606</v>
      </c>
      <c r="H362" s="41">
        <f>103-F362</f>
        <v/>
      </c>
      <c r="I362" s="39" t="n">
        <v>480</v>
      </c>
      <c r="J362" s="39" t="n">
        <v>463</v>
      </c>
      <c r="K362" s="28">
        <f>TABL12[[#This Row],[ (T/B) SAR]]+TABL12[[#This Row],[ (S/S) SAR]]</f>
        <v/>
      </c>
      <c r="L362" s="41" t="n">
        <v>337</v>
      </c>
      <c r="M362" s="42" t="n">
        <v>24.7</v>
      </c>
      <c r="N362" s="42" t="n">
        <v>7.46</v>
      </c>
      <c r="O362" s="39" t="n">
        <v>436</v>
      </c>
      <c r="P362" s="9">
        <f>TABL12[[#This Row],[ (S/S) SAR]]-TABL12[[#This Row],[(S/S) AJD]]</f>
        <v/>
      </c>
      <c r="Q362" s="39" t="n">
        <v>437</v>
      </c>
      <c r="R362" s="9">
        <f>TABL12[[#This Row],[ (T/B) SAR]]-TABL12[[#This Row],[(T/B) AJD]]</f>
        <v/>
      </c>
      <c r="S362" s="9">
        <f>TABL12[[#This Row],[S/S_CON.]]+TABL12[[#This Row],[T/B-CON.]]</f>
        <v/>
      </c>
      <c r="T362" s="9">
        <f>O362+Q362</f>
        <v/>
      </c>
      <c r="U362" s="41" t="n">
        <v>593</v>
      </c>
      <c r="V362" s="41" t="n">
        <v>300</v>
      </c>
      <c r="W362" s="9">
        <f>U362+V362</f>
        <v/>
      </c>
      <c r="X362" s="9">
        <f>T362-W362</f>
        <v/>
      </c>
      <c r="Y362" s="41" t="n">
        <v>92.435</v>
      </c>
      <c r="Z362" s="43" t="n">
        <v>457921</v>
      </c>
      <c r="AA362" s="9">
        <f>TABL12[[#This Row],[(RESV. STORGE) AJD]]/10</f>
        <v/>
      </c>
      <c r="AB362" s="3">
        <f>(Z362-Z361)/1000</f>
        <v/>
      </c>
      <c r="AC362" s="43" t="n">
        <v>833</v>
      </c>
      <c r="AD362" s="5">
        <f>TABL12[[#This Row],[( S/S+T/B) AJD]]-(TABL12[[#This Row],[(A/B + A/S) AJD]]+TABL12[[#This Row],[(STORGE DIFF.) AJD]]+(TABL12[[#This Row],[AJD_Evaporation]]))</f>
        <v/>
      </c>
      <c r="AE362" s="39" t="n">
        <v>140</v>
      </c>
      <c r="AF362" s="41" t="n">
        <v>57.987</v>
      </c>
      <c r="AG362" s="43" t="n">
        <v>959288</v>
      </c>
      <c r="AH362" s="43">
        <f>TABL12[[#This Row],[ (RESV. STORGE) BER]]/10</f>
        <v/>
      </c>
      <c r="AI362" s="43" t="n">
        <v>1948</v>
      </c>
      <c r="AJ362" s="6">
        <f>TABL12[[#This Row],[(A/B) AJD]]-TABL12[[#This Row],[BER_IN]]</f>
        <v/>
      </c>
      <c r="AK362" s="41" t="n">
        <v>42</v>
      </c>
      <c r="AL362" s="41" t="n">
        <v>42.6211</v>
      </c>
      <c r="AM362" s="43" t="n">
        <v>2903670</v>
      </c>
      <c r="AN362" s="43">
        <f>TABL12[[#This Row],[ (RESV. STORGE) SER]]/10</f>
        <v/>
      </c>
      <c r="AO362" s="43" t="n">
        <v>1820</v>
      </c>
      <c r="AP362" s="32">
        <f>TABL12[[#This Row],[(A/S) AJD]]-TABL12[[#This Row],[SER_IN]]</f>
        <v/>
      </c>
    </row>
    <row r="363" ht="18.75" customHeight="1">
      <c r="A363" s="2" t="n">
        <v>46019</v>
      </c>
      <c r="B363" s="44" t="n">
        <v>38</v>
      </c>
      <c r="C363" s="44" t="n">
        <v>306</v>
      </c>
      <c r="D363" s="44" t="n">
        <v>38</v>
      </c>
      <c r="E363" s="44" t="n">
        <v>0</v>
      </c>
      <c r="F363" s="44" t="n">
        <v>97</v>
      </c>
      <c r="G363" s="40" t="n">
        <v>605</v>
      </c>
      <c r="H363" s="44">
        <f>103-F363</f>
        <v/>
      </c>
      <c r="I363" s="40" t="n">
        <v>480</v>
      </c>
      <c r="J363" s="44" t="n">
        <v>463</v>
      </c>
      <c r="K363" s="28">
        <f>TABL12[[#This Row],[ (T/B) SAR]]+TABL12[[#This Row],[ (S/S) SAR]]</f>
        <v/>
      </c>
      <c r="L363" s="45" t="n">
        <v>338</v>
      </c>
      <c r="M363" s="46" t="n">
        <v>24.7</v>
      </c>
      <c r="N363" s="46" t="n">
        <v>7.48</v>
      </c>
      <c r="O363" s="40" t="n">
        <v>437</v>
      </c>
      <c r="P363" s="9">
        <f>TABL12[[#This Row],[ (S/S) SAR]]-TABL12[[#This Row],[(S/S) AJD]]</f>
        <v/>
      </c>
      <c r="Q363" s="40" t="n">
        <v>437</v>
      </c>
      <c r="R363" s="9">
        <f>TABL12[[#This Row],[ (T/B) SAR]]-TABL12[[#This Row],[(T/B) AJD]]</f>
        <v/>
      </c>
      <c r="S363" s="9">
        <f>TABL12[[#This Row],[S/S_CON.]]+TABL12[[#This Row],[T/B-CON.]]</f>
        <v/>
      </c>
      <c r="T363" s="9">
        <f>O363+Q363</f>
        <v/>
      </c>
      <c r="U363" s="44" t="n">
        <v>600</v>
      </c>
      <c r="V363" s="44" t="n">
        <v>296</v>
      </c>
      <c r="W363" s="9">
        <f>U363+V363</f>
        <v/>
      </c>
      <c r="X363" s="9">
        <f>T363-W363</f>
        <v/>
      </c>
      <c r="Y363" s="44" t="n">
        <v>92.34999999999999</v>
      </c>
      <c r="Z363" s="45" t="n">
        <v>407365</v>
      </c>
      <c r="AA363" s="9">
        <f>TABL12[[#This Row],[(RESV. STORGE) AJD]]/10</f>
        <v/>
      </c>
      <c r="AB363" s="3">
        <f>(Z363-Z362)/1000</f>
        <v/>
      </c>
      <c r="AC363" s="45" t="n">
        <v>978</v>
      </c>
      <c r="AD363" s="5">
        <f>TABL12[[#This Row],[( S/S+T/B) AJD]]-(TABL12[[#This Row],[(A/B + A/S) AJD]]+TABL12[[#This Row],[(STORGE DIFF.) AJD]]+(TABL12[[#This Row],[AJD_Evaporation]]))</f>
        <v/>
      </c>
      <c r="AE363" s="40" t="n">
        <v>145</v>
      </c>
      <c r="AF363" s="44" t="n">
        <v>57.919</v>
      </c>
      <c r="AG363" s="45" t="n">
        <v>915007</v>
      </c>
      <c r="AH363" s="45">
        <f>TABL12[[#This Row],[ (RESV. STORGE) BER]]/10</f>
        <v/>
      </c>
      <c r="AI363" s="45" t="n">
        <v>1600</v>
      </c>
      <c r="AJ363" s="6">
        <f>TABL12[[#This Row],[(A/B) AJD]]-TABL12[[#This Row],[BER_IN]]</f>
        <v/>
      </c>
      <c r="AK363" s="44" t="n">
        <v>42</v>
      </c>
      <c r="AL363" s="44" t="n">
        <v>42.6889</v>
      </c>
      <c r="AM363" s="45" t="n">
        <v>2940270</v>
      </c>
      <c r="AN363" s="45">
        <f>TABL12[[#This Row],[ (RESV. STORGE) SER]]/10</f>
        <v/>
      </c>
      <c r="AO363" s="45" t="n">
        <v>1700</v>
      </c>
      <c r="AP363" s="32">
        <f>TABL12[[#This Row],[(A/S) AJD]]-TABL12[[#This Row],[SER_IN]]</f>
        <v/>
      </c>
    </row>
    <row r="364" ht="18.75" customHeight="1">
      <c r="A364" s="2" t="n">
        <v>46020</v>
      </c>
      <c r="B364" s="41" t="n">
        <v>38</v>
      </c>
      <c r="C364" s="41" t="n">
        <v>317</v>
      </c>
      <c r="D364" s="41" t="n">
        <v>38</v>
      </c>
      <c r="E364" s="41" t="n">
        <v>0</v>
      </c>
      <c r="F364" s="41" t="n">
        <v>97</v>
      </c>
      <c r="G364" s="39" t="n">
        <v>606</v>
      </c>
      <c r="H364" s="41">
        <f>103-F364</f>
        <v/>
      </c>
      <c r="I364" s="39" t="n">
        <v>480</v>
      </c>
      <c r="J364" s="39" t="n">
        <v>461</v>
      </c>
      <c r="K364" s="28">
        <f>TABL12[[#This Row],[ (T/B) SAR]]+TABL12[[#This Row],[ (S/S) SAR]]</f>
        <v/>
      </c>
      <c r="L364" s="41" t="n">
        <v>335</v>
      </c>
      <c r="M364" s="42" t="n">
        <v>24.7</v>
      </c>
      <c r="N364" s="42" t="n">
        <v>7.44</v>
      </c>
      <c r="O364" s="39" t="n">
        <v>437</v>
      </c>
      <c r="P364" s="9">
        <f>TABL12[[#This Row],[ (S/S) SAR]]-TABL12[[#This Row],[(S/S) AJD]]</f>
        <v/>
      </c>
      <c r="Q364" s="39" t="n">
        <v>436</v>
      </c>
      <c r="R364" s="9">
        <f>TABL12[[#This Row],[ (T/B) SAR]]-TABL12[[#This Row],[(T/B) AJD]]</f>
        <v/>
      </c>
      <c r="S364" s="9">
        <f>TABL12[[#This Row],[S/S_CON.]]+TABL12[[#This Row],[T/B-CON.]]</f>
        <v/>
      </c>
      <c r="T364" s="9">
        <f>O364+Q364</f>
        <v/>
      </c>
      <c r="U364" s="41" t="n">
        <v>550</v>
      </c>
      <c r="V364" s="41" t="n">
        <v>242</v>
      </c>
      <c r="W364" s="9">
        <f>U364+V364</f>
        <v/>
      </c>
      <c r="X364" s="9">
        <f>T364-W364</f>
        <v/>
      </c>
      <c r="Y364" s="41" t="n">
        <v>92.40000000000001</v>
      </c>
      <c r="Z364" s="43" t="n">
        <v>437093</v>
      </c>
      <c r="AA364" s="9">
        <f>TABL12[[#This Row],[(RESV. STORGE) AJD]]/10</f>
        <v/>
      </c>
      <c r="AB364" s="3">
        <f>(Z364-Z363)/1000</f>
        <v/>
      </c>
      <c r="AC364" s="43" t="n">
        <v>616</v>
      </c>
      <c r="AD364" s="5">
        <f>TABL12[[#This Row],[( S/S+T/B) AJD]]-(TABL12[[#This Row],[(A/B + A/S) AJD]]+TABL12[[#This Row],[(STORGE DIFF.) AJD]]+(TABL12[[#This Row],[AJD_Evaporation]]))</f>
        <v/>
      </c>
      <c r="AE364" s="39" t="n">
        <v>150</v>
      </c>
      <c r="AF364" s="41" t="n">
        <v>57.866</v>
      </c>
      <c r="AG364" s="43" t="n">
        <v>880522</v>
      </c>
      <c r="AH364" s="43">
        <f>TABL12[[#This Row],[ (RESV. STORGE) BER]]/10</f>
        <v/>
      </c>
      <c r="AI364" s="43" t="n">
        <v>1885</v>
      </c>
      <c r="AJ364" s="6">
        <f>TABL12[[#This Row],[(A/B) AJD]]-TABL12[[#This Row],[BER_IN]]</f>
        <v/>
      </c>
      <c r="AK364" s="41" t="n">
        <v>26</v>
      </c>
      <c r="AL364" s="41" t="n">
        <v>42.7124</v>
      </c>
      <c r="AM364" s="43" t="n">
        <v>2952810</v>
      </c>
      <c r="AN364" s="43">
        <f>TABL12[[#This Row],[ (RESV. STORGE) SER]]/10</f>
        <v/>
      </c>
      <c r="AO364" s="43" t="n">
        <v>1650</v>
      </c>
      <c r="AP364" s="32">
        <f>TABL12[[#This Row],[(A/S) AJD]]-TABL12[[#This Row],[SER_IN]]</f>
        <v/>
      </c>
    </row>
    <row r="365" ht="18.75" customHeight="1">
      <c r="A365" s="2" t="n">
        <v>46021</v>
      </c>
      <c r="B365" s="44" t="n">
        <v>38</v>
      </c>
      <c r="C365" s="44" t="n">
        <v>319</v>
      </c>
      <c r="D365" s="44" t="n">
        <v>38</v>
      </c>
      <c r="E365" s="44" t="n">
        <v>0</v>
      </c>
      <c r="F365" s="44" t="n">
        <v>98</v>
      </c>
      <c r="G365" s="40" t="n">
        <v>609</v>
      </c>
      <c r="H365" s="44">
        <f>103-F365</f>
        <v/>
      </c>
      <c r="I365" s="40" t="n">
        <v>485</v>
      </c>
      <c r="J365" s="44" t="n">
        <v>462</v>
      </c>
      <c r="K365" s="28">
        <f>TABL12[[#This Row],[ (T/B) SAR]]+TABL12[[#This Row],[ (S/S) SAR]]</f>
        <v/>
      </c>
      <c r="L365" s="45" t="n">
        <v>338</v>
      </c>
      <c r="M365" s="46" t="n">
        <v>24.7</v>
      </c>
      <c r="N365" s="46" t="n">
        <v>7.48</v>
      </c>
      <c r="O365" s="40" t="n">
        <v>437</v>
      </c>
      <c r="P365" s="9">
        <f>TABL12[[#This Row],[ (S/S) SAR]]-TABL12[[#This Row],[(S/S) AJD]]</f>
        <v/>
      </c>
      <c r="Q365" s="40" t="n">
        <v>435</v>
      </c>
      <c r="R365" s="9">
        <f>TABL12[[#This Row],[ (T/B) SAR]]-TABL12[[#This Row],[(T/B) AJD]]</f>
        <v/>
      </c>
      <c r="S365" s="9">
        <f>TABL12[[#This Row],[S/S_CON.]]+TABL12[[#This Row],[T/B-CON.]]</f>
        <v/>
      </c>
      <c r="T365" s="9">
        <f>O365+Q365</f>
        <v/>
      </c>
      <c r="U365" s="44" t="n">
        <v>588</v>
      </c>
      <c r="V365" s="44" t="n">
        <v>219</v>
      </c>
      <c r="W365" s="9">
        <f>U365+V365</f>
        <v/>
      </c>
      <c r="X365" s="9">
        <f>T365-W365</f>
        <v/>
      </c>
      <c r="Y365" s="44" t="n">
        <v>92.45</v>
      </c>
      <c r="Z365" s="45" t="n">
        <v>465064</v>
      </c>
      <c r="AA365" s="9">
        <f>TABL12[[#This Row],[(RESV. STORGE) AJD]]/10</f>
        <v/>
      </c>
      <c r="AB365" s="3">
        <f>(Z365-Z364)/1000</f>
        <v/>
      </c>
      <c r="AC365" s="45" t="n">
        <v>717</v>
      </c>
      <c r="AD365" s="5">
        <f>TABL12[[#This Row],[( S/S+T/B) AJD]]-(TABL12[[#This Row],[(A/B + A/S) AJD]]+TABL12[[#This Row],[(STORGE DIFF.) AJD]]+(TABL12[[#This Row],[AJD_Evaporation]]))</f>
        <v/>
      </c>
      <c r="AE365" s="50" t="n">
        <v>0</v>
      </c>
      <c r="AF365" s="44" t="n">
        <v>57.829</v>
      </c>
      <c r="AG365" s="45" t="n">
        <v>856462</v>
      </c>
      <c r="AH365" s="45">
        <f>TABL12[[#This Row],[ (RESV. STORGE) BER]]/10</f>
        <v/>
      </c>
      <c r="AI365" s="45" t="n">
        <v>1960</v>
      </c>
      <c r="AJ365" s="6">
        <f>TABL12[[#This Row],[(A/B) AJD]]-TABL12[[#This Row],[BER_IN]]</f>
        <v/>
      </c>
      <c r="AK365" s="44" t="n">
        <v>20</v>
      </c>
      <c r="AL365" s="47" t="n">
        <v>42.203</v>
      </c>
      <c r="AM365" s="45" t="n">
        <v>2956990</v>
      </c>
      <c r="AN365" s="45">
        <f>TABL12[[#This Row],[ (RESV. STORGE) SER]]/10</f>
        <v/>
      </c>
      <c r="AO365" s="45" t="n">
        <v>1620</v>
      </c>
      <c r="AP365" s="32">
        <f>TABL12[[#This Row],[(A/S) AJD]]-TABL12[[#This Row],[SER_IN]]</f>
        <v/>
      </c>
    </row>
    <row r="366" ht="18.75" customHeight="1">
      <c r="A366" s="8" t="n">
        <v>46022</v>
      </c>
      <c r="B366" s="41" t="n">
        <v>38</v>
      </c>
      <c r="C366" s="41" t="n">
        <v>309</v>
      </c>
      <c r="D366" s="41" t="n">
        <v>38</v>
      </c>
      <c r="E366" s="41" t="n">
        <v>0</v>
      </c>
      <c r="F366" s="41" t="n">
        <v>97</v>
      </c>
      <c r="G366" s="39" t="n">
        <v>604</v>
      </c>
      <c r="H366" s="41">
        <f>103-F366</f>
        <v/>
      </c>
      <c r="I366" s="39" t="n">
        <v>482</v>
      </c>
      <c r="J366" s="39" t="n">
        <v>462</v>
      </c>
      <c r="K366" s="51">
        <f>TABL12[[#This Row],[ (T/B) SAR]]+TABL12[[#This Row],[ (S/S) SAR]]</f>
        <v/>
      </c>
      <c r="L366" s="41" t="n">
        <v>340</v>
      </c>
      <c r="M366" s="42" t="n">
        <v>24.7</v>
      </c>
      <c r="N366" s="42" t="n">
        <v>7.49</v>
      </c>
      <c r="O366" s="39" t="n">
        <v>445</v>
      </c>
      <c r="P366" s="19">
        <f>TABL12[[#This Row],[ (S/S) SAR]]-TABL12[[#This Row],[(S/S) AJD]]</f>
        <v/>
      </c>
      <c r="Q366" s="39" t="n">
        <v>444</v>
      </c>
      <c r="R366" s="19">
        <f>TABL12[[#This Row],[ (T/B) SAR]]-TABL12[[#This Row],[(T/B) AJD]]</f>
        <v/>
      </c>
      <c r="S366" s="19">
        <f>TABL12[[#This Row],[S/S_CON.]]+TABL12[[#This Row],[T/B-CON.]]</f>
        <v/>
      </c>
      <c r="T366" s="19">
        <f>O366+Q366</f>
        <v/>
      </c>
      <c r="U366" s="41" t="n">
        <v>594</v>
      </c>
      <c r="V366" s="41" t="n">
        <v>241</v>
      </c>
      <c r="W366" s="19">
        <f>U366+V366</f>
        <v/>
      </c>
      <c r="X366" s="19">
        <f>T366-W366</f>
        <v/>
      </c>
      <c r="Y366" s="41" t="n">
        <v>92.50700000000001</v>
      </c>
      <c r="Z366" s="43" t="n">
        <v>500797</v>
      </c>
      <c r="AA366" s="19">
        <f>TABL12[[#This Row],[(RESV. STORGE) AJD]]/10</f>
        <v/>
      </c>
      <c r="AB366" s="3">
        <f>(Z366-Z365)/1000</f>
        <v/>
      </c>
      <c r="AC366" s="43" t="n">
        <v>954</v>
      </c>
      <c r="AD366" s="5">
        <f>TABL12[[#This Row],[( S/S+T/B) AJD]]-(TABL12[[#This Row],[(A/B + A/S) AJD]]+TABL12[[#This Row],[(STORGE DIFF.) AJD]]+(TABL12[[#This Row],[AJD_Evaporation]]))</f>
        <v/>
      </c>
      <c r="AE366" s="50" t="n">
        <v>0</v>
      </c>
      <c r="AF366" s="41" t="n">
        <v>57.87</v>
      </c>
      <c r="AG366" s="43" t="n">
        <v>883124</v>
      </c>
      <c r="AH366" s="43">
        <f>TABL12[[#This Row],[ (RESV. STORGE) BER]]/10</f>
        <v/>
      </c>
      <c r="AI366" s="43" t="n">
        <v>1457</v>
      </c>
      <c r="AJ366" s="21">
        <f>TABL12[[#This Row],[(A/B) AJD]]-TABL12[[#This Row],[BER_IN]]</f>
        <v/>
      </c>
      <c r="AK366" s="41" t="n">
        <v>23</v>
      </c>
      <c r="AL366" s="41" t="n">
        <v>42.7439</v>
      </c>
      <c r="AM366" s="43" t="n">
        <v>2970430</v>
      </c>
      <c r="AN366" s="43">
        <f>TABL12[[#This Row],[ (RESV. STORGE) SER]]/10</f>
        <v/>
      </c>
      <c r="AO366" s="43" t="n">
        <v>1860</v>
      </c>
      <c r="AP366" s="32">
        <f>TABL12[[#This Row],[(A/S) AJD]]-TABL12[[#This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19">
        <f>SUBTOTAL(109,TABL12[] TABL12[A/B_CON.] )</f>
        <v/>
      </c>
      <c r="AK367" s="21" t="n"/>
      <c r="AL367" s="55" t="n"/>
      <c r="AM367" s="19" t="n"/>
      <c r="AN367" s="19" t="n"/>
      <c r="AO367" s="54" t="n"/>
      <c r="AP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abSelected="1" topLeftCell="A283" zoomScaleNormal="100" workbookViewId="0">
      <selection activeCell="A301" sqref="A301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3.5" customWidth="1" style="7" min="29" max="29"/>
    <col width="12.125" customWidth="1" style="7" min="30" max="30"/>
    <col width="9.625" customWidth="1" style="7" min="31" max="31"/>
    <col width="11.5" customWidth="1" style="7" min="32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6"/>
    <col width="13.25" customWidth="1" style="7" min="37" max="37"/>
    <col width="14.5" customWidth="1" style="7" min="38" max="38"/>
    <col width="12.37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46023</v>
      </c>
      <c r="B2" s="41" t="n">
        <v>38</v>
      </c>
      <c r="C2" s="41" t="n">
        <v>317</v>
      </c>
      <c r="D2" s="41" t="n">
        <v>38</v>
      </c>
      <c r="E2" s="41" t="n">
        <v>0</v>
      </c>
      <c r="F2" s="41" t="n">
        <v>98</v>
      </c>
      <c r="G2" s="39" t="n">
        <v>607</v>
      </c>
      <c r="H2" s="41">
        <f>103-F2</f>
        <v/>
      </c>
      <c r="I2" s="39" t="n">
        <v>483</v>
      </c>
      <c r="J2" s="39" t="n">
        <v>464</v>
      </c>
      <c r="K2" s="28">
        <f>TABL123[[#This Row],[ (T/B) SAR]]+TABL123[[#This Row],[ (S/S) SAR]]</f>
        <v/>
      </c>
      <c r="L2" s="41" t="n">
        <v>340</v>
      </c>
      <c r="M2" s="42" t="n">
        <v>24.7</v>
      </c>
      <c r="N2" s="42" t="n">
        <v>7.48</v>
      </c>
      <c r="O2" s="39" t="n">
        <v>434</v>
      </c>
      <c r="P2" s="3">
        <f>TABL123[[#This Row],[ (S/S) SAR]]-TABL123[[#This Row],[(S/S) AJD]]</f>
        <v/>
      </c>
      <c r="Q2" s="39" t="n">
        <v>432</v>
      </c>
      <c r="R2" s="3">
        <f>TABL123[[#This Row],[ (T/B) SAR]]-TABL123[[#This Row],[(T/B) AJD]]</f>
        <v/>
      </c>
      <c r="S2" s="3">
        <f>TABL123[[#This Row],[T/B-CON.]]+TABL123[[#This Row],[S/S_CON.]]</f>
        <v/>
      </c>
      <c r="T2" s="3">
        <f>TABL123[[#This Row],[(S/S) AJD]]+TABL123[[#This Row],[(T/B) AJD]]</f>
        <v/>
      </c>
      <c r="U2" s="41" t="n">
        <v>586</v>
      </c>
      <c r="V2" s="41" t="n">
        <v>240</v>
      </c>
      <c r="W2" s="3">
        <f>TABL123[[#This Row],[(A/B) AJD]]+TABL123[[#This Row],[(A/S) AJD]]</f>
        <v/>
      </c>
      <c r="X2" s="3">
        <f>TABL123[[#This Row],[( S/S+T/B) AJD]]-TABL123[[#This Row],[(A/B + A/S) AJD]]</f>
        <v/>
      </c>
      <c r="Y2" s="41" t="n">
        <v>92.502</v>
      </c>
      <c r="Z2" s="43" t="n">
        <v>496624</v>
      </c>
      <c r="AA2" s="3">
        <f>TABL123[[#This Row],[(RESV. STORGE) AJD]]/10</f>
        <v/>
      </c>
      <c r="AB2" s="43">
        <f>(Z2-'my_job - 2025'!Z366)/1000</f>
        <v/>
      </c>
      <c r="AC2" s="43" t="n">
        <v>0</v>
      </c>
      <c r="AD2" s="84">
        <f>TABL123[[#This Row],[( S/S+T/B) AJD]]-(TABL123[[#This Row],[(A/B + A/S) AJD]]+TABL123[[#This Row],[(STORGE DIFF.) AJD]]+(TABL123[[#This Row],[AJD_Evaporation]])/1000)</f>
        <v/>
      </c>
      <c r="AE2" s="81" t="n">
        <v>143</v>
      </c>
      <c r="AF2" s="81" t="n">
        <v>57.937</v>
      </c>
      <c r="AG2" s="81" t="n">
        <v>926425</v>
      </c>
      <c r="AH2" s="43" t="n">
        <v>755</v>
      </c>
      <c r="AI2" s="43" t="n">
        <v>755</v>
      </c>
      <c r="AJ2" s="79">
        <f>TABL123[[#This Row],[(A/B) AJD]]-TABL123[[#This Row],[BER_IN]]</f>
        <v/>
      </c>
      <c r="AK2" s="81" t="n">
        <v>22</v>
      </c>
      <c r="AL2" s="88" t="n">
        <v>42.7439</v>
      </c>
      <c r="AM2" s="88" t="n">
        <v>2969930</v>
      </c>
      <c r="AN2" s="88">
        <f>TABL123[[#This Row],[ (RESV. STORGE) SER]]/10</f>
        <v/>
      </c>
      <c r="AO2" s="43" t="n">
        <v>1720</v>
      </c>
      <c r="AP2" s="32">
        <f>TABL123[[#This Row],[(A/S) AJD]]-TABL123[[#This Row],[SER_IN]]</f>
        <v/>
      </c>
    </row>
    <row r="3" ht="18.75" customHeight="1">
      <c r="A3" s="2" t="n">
        <v>46024</v>
      </c>
      <c r="B3" s="44" t="n">
        <v>38</v>
      </c>
      <c r="C3" s="44" t="n">
        <v>313</v>
      </c>
      <c r="D3" s="44" t="n">
        <v>38</v>
      </c>
      <c r="E3" s="44" t="n">
        <v>0</v>
      </c>
      <c r="F3" s="44" t="n">
        <v>98</v>
      </c>
      <c r="G3" s="40" t="n">
        <v>603</v>
      </c>
      <c r="H3" s="44">
        <f>103-F3</f>
        <v/>
      </c>
      <c r="I3" s="40" t="n">
        <v>480</v>
      </c>
      <c r="J3" s="44" t="n">
        <v>463</v>
      </c>
      <c r="K3" s="28">
        <f>TABL123[[#This Row],[ (T/B) SAR]]+TABL123[[#This Row],[ (S/S) SAR]]</f>
        <v/>
      </c>
      <c r="L3" s="45" t="n">
        <v>340</v>
      </c>
      <c r="M3" s="46" t="n">
        <v>24.7</v>
      </c>
      <c r="N3" s="46" t="n">
        <v>7.5</v>
      </c>
      <c r="O3" s="40" t="n">
        <v>438</v>
      </c>
      <c r="P3" s="3">
        <f>TABL123[[#This Row],[ (S/S) SAR]]-TABL123[[#This Row],[(S/S) AJD]]</f>
        <v/>
      </c>
      <c r="Q3" s="40" t="n">
        <v>437</v>
      </c>
      <c r="R3" s="3">
        <f>TABL123[[#This Row],[ (T/B) SAR]]-TABL123[[#This Row],[(T/B) AJD]]</f>
        <v/>
      </c>
      <c r="S3" s="3">
        <f>TABL123[[#This Row],[T/B-CON.]]+TABL123[[#This Row],[S/S_CON.]]</f>
        <v/>
      </c>
      <c r="T3" s="3">
        <f>TABL123[[#This Row],[(S/S) AJD]]+TABL123[[#This Row],[(T/B) AJD]]</f>
        <v/>
      </c>
      <c r="U3" s="44" t="n">
        <v>587</v>
      </c>
      <c r="V3" s="44" t="n">
        <v>262</v>
      </c>
      <c r="W3" s="3">
        <f>TABL123[[#This Row],[(A/B) AJD]]+TABL123[[#This Row],[(A/S) AJD]]</f>
        <v/>
      </c>
      <c r="X3" s="3">
        <f>TABL123[[#This Row],[( S/S+T/B) AJD]]-TABL123[[#This Row],[(A/B + A/S) AJD]]</f>
        <v/>
      </c>
      <c r="Y3" s="44" t="n">
        <v>92.52</v>
      </c>
      <c r="Z3" s="45" t="n">
        <v>508538</v>
      </c>
      <c r="AA3" s="3">
        <f>TABL123[[#This Row],[(RESV. STORGE) AJD]]/10</f>
        <v/>
      </c>
      <c r="AB3" s="45">
        <f>IF(TRIM(Z3)="",,(Z3-Z2)/1000)</f>
        <v/>
      </c>
      <c r="AC3" s="45" t="n">
        <v>0</v>
      </c>
      <c r="AD3" s="83">
        <f>TABL123[[#This Row],[( S/S+T/B) AJD]]-(TABL123[[#This Row],[(A/B + A/S) AJD]]+TABL123[[#This Row],[(STORGE DIFF.) AJD]]+(TABL123[[#This Row],[AJD_Evaporation]])/1000)</f>
        <v/>
      </c>
      <c r="AE3" s="68" t="n">
        <v>150</v>
      </c>
      <c r="AF3" s="68" t="n">
        <v>57.997</v>
      </c>
      <c r="AG3" s="68" t="n">
        <v>965803</v>
      </c>
      <c r="AH3" s="45" t="n">
        <v>1581</v>
      </c>
      <c r="AI3" s="45" t="n">
        <v>1581</v>
      </c>
      <c r="AJ3" s="78">
        <f>TABL123[[#This Row],[(A/B) AJD]]-TABL123[[#This Row],[BER_IN]]</f>
        <v/>
      </c>
      <c r="AK3" s="68" t="n">
        <v>23</v>
      </c>
      <c r="AL3" s="87" t="n">
        <v>42.7549</v>
      </c>
      <c r="AM3" s="87" t="n">
        <v>2975860</v>
      </c>
      <c r="AN3" s="87">
        <f>TABL123[[#This Row],[ (RESV. STORGE) SER]]/10</f>
        <v/>
      </c>
      <c r="AO3" s="45" t="n">
        <v>1680</v>
      </c>
      <c r="AP3" s="32">
        <f>TABL123[[#This Row],[(A/S) AJD]]-TABL123[[#This Row],[SER_IN]]</f>
        <v/>
      </c>
    </row>
    <row r="4" ht="18.75" customHeight="1">
      <c r="A4" s="2" t="n">
        <v>46025</v>
      </c>
      <c r="B4" s="41" t="n">
        <v>38</v>
      </c>
      <c r="C4" s="41" t="n">
        <v>318</v>
      </c>
      <c r="D4" s="41" t="n">
        <v>38</v>
      </c>
      <c r="E4" s="41" t="n">
        <v>0</v>
      </c>
      <c r="F4" s="41" t="n">
        <v>98</v>
      </c>
      <c r="G4" s="39" t="n">
        <v>604</v>
      </c>
      <c r="H4" s="41">
        <f>103-F4</f>
        <v/>
      </c>
      <c r="I4" s="39" t="n">
        <v>482</v>
      </c>
      <c r="J4" s="39" t="n">
        <v>462</v>
      </c>
      <c r="K4" s="28">
        <f>TABL123[[#This Row],[ (T/B) SAR]]+TABL123[[#This Row],[ (S/S) SAR]]</f>
        <v/>
      </c>
      <c r="L4" s="41" t="n">
        <v>340</v>
      </c>
      <c r="M4" s="42" t="n">
        <v>24.7</v>
      </c>
      <c r="N4" s="42" t="n">
        <v>7.49</v>
      </c>
      <c r="O4" s="39" t="n">
        <v>438</v>
      </c>
      <c r="P4" s="3">
        <f>TABL123[[#This Row],[ (S/S) SAR]]-TABL123[[#This Row],[(S/S) AJD]]</f>
        <v/>
      </c>
      <c r="Q4" s="39" t="n">
        <v>438</v>
      </c>
      <c r="R4" s="3">
        <f>TABL123[[#This Row],[ (T/B) SAR]]-TABL123[[#This Row],[(T/B) AJD]]</f>
        <v/>
      </c>
      <c r="S4" s="3">
        <f>TABL123[[#This Row],[T/B-CON.]]+TABL123[[#This Row],[S/S_CON.]]</f>
        <v/>
      </c>
      <c r="T4" s="3">
        <f>TABL123[[#This Row],[(S/S) AJD]]+TABL123[[#This Row],[(T/B) AJD]]</f>
        <v/>
      </c>
      <c r="U4" s="41" t="n">
        <v>589</v>
      </c>
      <c r="V4" s="41" t="n">
        <v>279</v>
      </c>
      <c r="W4" s="3">
        <f>TABL123[[#This Row],[(A/B) AJD]]+TABL123[[#This Row],[(A/S) AJD]]</f>
        <v/>
      </c>
      <c r="X4" s="3">
        <f>TABL123[[#This Row],[( S/S+T/B) AJD]]-TABL123[[#This Row],[(A/B + A/S) AJD]]</f>
        <v/>
      </c>
      <c r="Y4" s="41" t="n">
        <v>92.495</v>
      </c>
      <c r="Z4" s="43" t="n">
        <v>491857</v>
      </c>
      <c r="AA4" s="3">
        <f>TABL123[[#This Row],[(RESV. STORGE) AJD]]/10</f>
        <v/>
      </c>
      <c r="AB4" s="45">
        <f>IF(TRIM(Z4)="",,(Z4-Z3)/1000)</f>
        <v/>
      </c>
      <c r="AC4" s="43" t="n">
        <v>859</v>
      </c>
      <c r="AD4" s="83">
        <f>TABL123[[#This Row],[( S/S+T/B) AJD]]-(TABL123[[#This Row],[(A/B + A/S) AJD]]+TABL123[[#This Row],[(STORGE DIFF.) AJD]]+(TABL123[[#This Row],[AJD_Evaporation]])/1000)</f>
        <v/>
      </c>
      <c r="AE4" s="68" t="n">
        <v>166</v>
      </c>
      <c r="AF4" s="68" t="n">
        <v>58.06</v>
      </c>
      <c r="AG4" s="68" t="n">
        <v>1006870</v>
      </c>
      <c r="AH4" s="43" t="n">
        <v>1731</v>
      </c>
      <c r="AI4" s="43" t="n">
        <v>1731</v>
      </c>
      <c r="AJ4" s="78">
        <f>TABL123[[#This Row],[(A/B) AJD]]-TABL123[[#This Row],[BER_IN]]</f>
        <v/>
      </c>
      <c r="AK4" s="68" t="n">
        <v>22</v>
      </c>
      <c r="AL4" s="87" t="n">
        <v>42.7665</v>
      </c>
      <c r="AM4" s="87" t="n">
        <v>2982330</v>
      </c>
      <c r="AN4" s="87">
        <f>TABL123[[#This Row],[ (RESV. STORGE) SER]]/10</f>
        <v/>
      </c>
      <c r="AO4" s="43" t="n">
        <v>1520</v>
      </c>
      <c r="AP4" s="32">
        <f>TABL123[[#This Row],[(A/S) AJD]]-TABL123[[#This Row],[SER_IN]]</f>
        <v/>
      </c>
    </row>
    <row r="5" ht="18.75" customHeight="1">
      <c r="A5" s="2" t="n">
        <v>46026</v>
      </c>
      <c r="B5" s="44" t="n">
        <v>38</v>
      </c>
      <c r="C5" s="44" t="n">
        <v>316</v>
      </c>
      <c r="D5" s="44" t="n">
        <v>38</v>
      </c>
      <c r="E5" s="44" t="n">
        <v>0</v>
      </c>
      <c r="F5" s="44" t="n">
        <v>98</v>
      </c>
      <c r="G5" s="40" t="n">
        <v>604</v>
      </c>
      <c r="H5" s="44">
        <f>103-F5</f>
        <v/>
      </c>
      <c r="I5" s="40" t="n">
        <v>482</v>
      </c>
      <c r="J5" s="44" t="n">
        <v>462</v>
      </c>
      <c r="K5" s="28">
        <f>TABL123[[#This Row],[ (T/B) SAR]]+TABL123[[#This Row],[ (S/S) SAR]]</f>
        <v/>
      </c>
      <c r="L5" s="45" t="n">
        <v>340</v>
      </c>
      <c r="M5" s="46" t="n">
        <v>24.7</v>
      </c>
      <c r="N5" s="46" t="n">
        <v>7.51</v>
      </c>
      <c r="O5" s="40" t="n">
        <v>437</v>
      </c>
      <c r="P5" s="3">
        <f>TABL123[[#This Row],[ (S/S) SAR]]-TABL123[[#This Row],[(S/S) AJD]]</f>
        <v/>
      </c>
      <c r="Q5" s="40" t="n">
        <v>437</v>
      </c>
      <c r="R5" s="3">
        <f>TABL123[[#This Row],[ (T/B) SAR]]-TABL123[[#This Row],[(T/B) AJD]]</f>
        <v/>
      </c>
      <c r="S5" s="3">
        <f>TABL123[[#This Row],[T/B-CON.]]+TABL123[[#This Row],[S/S_CON.]]</f>
        <v/>
      </c>
      <c r="T5" s="3">
        <f>TABL123[[#This Row],[(S/S) AJD]]+TABL123[[#This Row],[(T/B) AJD]]</f>
        <v/>
      </c>
      <c r="U5" s="44" t="n">
        <v>592</v>
      </c>
      <c r="V5" s="44" t="n">
        <v>239</v>
      </c>
      <c r="W5" s="3">
        <f>TABL123[[#This Row],[(A/B) AJD]]+TABL123[[#This Row],[(A/S) AJD]]</f>
        <v/>
      </c>
      <c r="X5" s="3">
        <f>TABL123[[#This Row],[( S/S+T/B) AJD]]-TABL123[[#This Row],[(A/B + A/S) AJD]]</f>
        <v/>
      </c>
      <c r="Y5" s="44" t="n">
        <v>92.52</v>
      </c>
      <c r="Z5" s="45" t="n">
        <v>508538</v>
      </c>
      <c r="AA5" s="3">
        <f>TABL123[[#This Row],[(RESV. STORGE) AJD]]/10</f>
        <v/>
      </c>
      <c r="AB5" s="45">
        <f>IF(TRIM(Z5)="",,(Z5-Z4)/1000)</f>
        <v/>
      </c>
      <c r="AC5" s="45" t="n">
        <v>726</v>
      </c>
      <c r="AD5" s="83">
        <f>TABL123[[#This Row],[( S/S+T/B) AJD]]-(TABL123[[#This Row],[(A/B + A/S) AJD]]+TABL123[[#This Row],[(STORGE DIFF.) AJD]]+(TABL123[[#This Row],[AJD_Evaporation]])/1000)</f>
        <v/>
      </c>
      <c r="AE5" s="68" t="n">
        <v>167</v>
      </c>
      <c r="AF5" s="68" t="n">
        <v>58.117</v>
      </c>
      <c r="AG5" s="68" t="n">
        <v>1044053</v>
      </c>
      <c r="AH5" s="45" t="n">
        <v>1450</v>
      </c>
      <c r="AI5" s="45" t="n">
        <v>1450</v>
      </c>
      <c r="AJ5" s="78">
        <f>TABL123[[#This Row],[(A/B) AJD]]-TABL123[[#This Row],[BER_IN]]</f>
        <v/>
      </c>
      <c r="AK5" s="68" t="n">
        <v>23</v>
      </c>
      <c r="AL5" s="87" t="n">
        <v>42.7582</v>
      </c>
      <c r="AM5" s="87" t="n">
        <v>2977470</v>
      </c>
      <c r="AN5" s="87">
        <f>TABL123[[#This Row],[ (RESV. STORGE) SER]]/10</f>
        <v/>
      </c>
      <c r="AO5" s="45" t="n">
        <v>1600</v>
      </c>
      <c r="AP5" s="32">
        <f>TABL123[[#This Row],[(A/S) AJD]]-TABL123[[#This Row],[SER_IN]]</f>
        <v/>
      </c>
    </row>
    <row r="6" ht="18.75" customHeight="1">
      <c r="A6" s="2" t="n">
        <v>46027</v>
      </c>
      <c r="B6" s="41" t="n">
        <v>36</v>
      </c>
      <c r="C6" s="41" t="n">
        <v>304</v>
      </c>
      <c r="D6" s="41" t="n">
        <v>36</v>
      </c>
      <c r="E6" s="41" t="n">
        <v>0</v>
      </c>
      <c r="F6" s="41" t="n">
        <v>98</v>
      </c>
      <c r="G6" s="39" t="n">
        <v>604</v>
      </c>
      <c r="H6" s="41">
        <f>103-F6</f>
        <v/>
      </c>
      <c r="I6" s="39" t="n">
        <v>482</v>
      </c>
      <c r="J6" s="39" t="n">
        <v>462</v>
      </c>
      <c r="K6" s="28">
        <f>TABL123[[#This Row],[ (T/B) SAR]]+TABL123[[#This Row],[ (S/S) SAR]]</f>
        <v/>
      </c>
      <c r="L6" s="41" t="n">
        <v>340</v>
      </c>
      <c r="M6" s="42" t="n">
        <v>24.7</v>
      </c>
      <c r="N6" s="42" t="n">
        <v>7.47</v>
      </c>
      <c r="O6" s="39" t="n">
        <v>438</v>
      </c>
      <c r="P6" s="3">
        <f>TABL123[[#This Row],[ (S/S) SAR]]-TABL123[[#This Row],[(S/S) AJD]]</f>
        <v/>
      </c>
      <c r="Q6" s="39" t="n">
        <v>437</v>
      </c>
      <c r="R6" s="3">
        <f>TABL123[[#This Row],[ (T/B) SAR]]-TABL123[[#This Row],[(T/B) AJD]]</f>
        <v/>
      </c>
      <c r="S6" s="3">
        <f>TABL123[[#This Row],[T/B-CON.]]+TABL123[[#This Row],[S/S_CON.]]</f>
        <v/>
      </c>
      <c r="T6" s="3">
        <f>TABL123[[#This Row],[(S/S) AJD]]+TABL123[[#This Row],[(T/B) AJD]]</f>
        <v/>
      </c>
      <c r="U6" s="41" t="n">
        <v>592</v>
      </c>
      <c r="V6" s="41" t="n">
        <v>239</v>
      </c>
      <c r="W6" s="3">
        <f>TABL123[[#This Row],[(A/B) AJD]]+TABL123[[#This Row],[(A/S) AJD]]</f>
        <v/>
      </c>
      <c r="X6" s="3">
        <f>TABL123[[#This Row],[( S/S+T/B) AJD]]-TABL123[[#This Row],[(A/B + A/S) AJD]]</f>
        <v/>
      </c>
      <c r="Y6" s="41" t="n">
        <v>92.55</v>
      </c>
      <c r="Z6" s="43" t="n">
        <v>526426</v>
      </c>
      <c r="AA6" s="3">
        <f>TABL123[[#This Row],[(RESV. STORGE) AJD]]/10</f>
        <v/>
      </c>
      <c r="AB6" s="45">
        <f>IF(TRIM(Z6)="",,(Z6-Z5)/1000)</f>
        <v/>
      </c>
      <c r="AC6" s="43" t="n">
        <v>334</v>
      </c>
      <c r="AD6" s="83">
        <f>TABL123[[#This Row],[( S/S+T/B) AJD]]-(TABL123[[#This Row],[(A/B + A/S) AJD]]+TABL123[[#This Row],[(STORGE DIFF.) AJD]]+(TABL123[[#This Row],[AJD_Evaporation]])/1000)</f>
        <v/>
      </c>
      <c r="AE6" s="68" t="n">
        <v>166</v>
      </c>
      <c r="AF6" s="68" t="n">
        <v>58.208</v>
      </c>
      <c r="AG6" s="68" t="n">
        <v>1103474</v>
      </c>
      <c r="AH6" s="43" t="n">
        <v>1548</v>
      </c>
      <c r="AI6" s="43" t="n">
        <v>1548</v>
      </c>
      <c r="AJ6" s="78">
        <f>TABL123[[#This Row],[(A/B) AJD]]-TABL123[[#This Row],[BER_IN]]</f>
        <v/>
      </c>
      <c r="AK6" s="68" t="n">
        <v>23</v>
      </c>
      <c r="AL6" s="87" t="n">
        <v>42.7746</v>
      </c>
      <c r="AM6" s="87" t="n">
        <v>2989940</v>
      </c>
      <c r="AN6" s="87">
        <f>TABL123[[#This Row],[ (RESV. STORGE) SER]]/10</f>
        <v/>
      </c>
      <c r="AO6" s="43" t="n">
        <v>1580</v>
      </c>
      <c r="AP6" s="32">
        <f>TABL123[[#This Row],[(A/S) AJD]]-TABL123[[#This Row],[SER_IN]]</f>
        <v/>
      </c>
    </row>
    <row r="7" ht="18.75" customHeight="1">
      <c r="A7" s="2" t="n">
        <v>46028</v>
      </c>
      <c r="B7" s="44" t="n">
        <v>35</v>
      </c>
      <c r="C7" s="44" t="n">
        <v>292</v>
      </c>
      <c r="D7" s="44" t="n">
        <v>35</v>
      </c>
      <c r="E7" s="44" t="n">
        <v>0</v>
      </c>
      <c r="F7" s="44" t="n">
        <v>53</v>
      </c>
      <c r="G7" s="40" t="n">
        <v>335</v>
      </c>
      <c r="H7" s="44">
        <f>103-F7</f>
        <v/>
      </c>
      <c r="I7" s="40" t="n">
        <v>343</v>
      </c>
      <c r="J7" s="44" t="n">
        <v>330</v>
      </c>
      <c r="K7" s="28">
        <f>TABL123[[#This Row],[ (T/B) SAR]]+TABL123[[#This Row],[ (S/S) SAR]]</f>
        <v/>
      </c>
      <c r="L7" s="45" t="n">
        <v>338</v>
      </c>
      <c r="M7" s="46" t="n">
        <v>24.7</v>
      </c>
      <c r="N7" s="46" t="n">
        <v>7.39</v>
      </c>
      <c r="O7" s="40" t="n">
        <v>429</v>
      </c>
      <c r="P7" s="3">
        <f>TABL123[[#This Row],[ (S/S) SAR]]-TABL123[[#This Row],[(S/S) AJD]]</f>
        <v/>
      </c>
      <c r="Q7" s="40" t="n">
        <v>428</v>
      </c>
      <c r="R7" s="3">
        <f>TABL123[[#This Row],[ (T/B) SAR]]-TABL123[[#This Row],[(T/B) AJD]]</f>
        <v/>
      </c>
      <c r="S7" s="3">
        <f>TABL123[[#This Row],[T/B-CON.]]+TABL123[[#This Row],[S/S_CON.]]</f>
        <v/>
      </c>
      <c r="T7" s="3">
        <f>TABL123[[#This Row],[(S/S) AJD]]+TABL123[[#This Row],[(T/B) AJD]]</f>
        <v/>
      </c>
      <c r="U7" s="44" t="n">
        <v>225</v>
      </c>
      <c r="V7" s="44" t="n">
        <v>317</v>
      </c>
      <c r="W7" s="3">
        <f>TABL123[[#This Row],[(A/B) AJD]]+TABL123[[#This Row],[(A/S) AJD]]</f>
        <v/>
      </c>
      <c r="X7" s="3">
        <f>TABL123[[#This Row],[( S/S+T/B) AJD]]-TABL123[[#This Row],[(A/B + A/S) AJD]]</f>
        <v/>
      </c>
      <c r="Y7" s="67" t="n">
        <v>93.026</v>
      </c>
      <c r="Z7" s="45" t="n">
        <v>809891</v>
      </c>
      <c r="AA7" s="3">
        <f>TABL123[[#This Row],[(RESV. STORGE) AJD]]/10</f>
        <v/>
      </c>
      <c r="AB7" s="45">
        <f>IF(TRIM(Z7)="",,(Z7-Z6)/1000)</f>
        <v/>
      </c>
      <c r="AC7" s="45" t="n">
        <v>417</v>
      </c>
      <c r="AD7" s="83">
        <f>TABL123[[#This Row],[( S/S+T/B) AJD]]-(TABL123[[#This Row],[(A/B + A/S) AJD]]+TABL123[[#This Row],[(STORGE DIFF.) AJD]]+(TABL123[[#This Row],[AJD_Evaporation]])/1000)</f>
        <v/>
      </c>
      <c r="AE7" s="68" t="n">
        <v>20</v>
      </c>
      <c r="AF7" s="68" t="n">
        <v>58.235</v>
      </c>
      <c r="AG7" s="68" t="n">
        <v>1121119</v>
      </c>
      <c r="AH7" s="45" t="n">
        <v>2355</v>
      </c>
      <c r="AI7" s="45" t="n">
        <v>2355</v>
      </c>
      <c r="AJ7" s="78">
        <f>TABL123[[#This Row],[(A/B) AJD]]-TABL123[[#This Row],[BER_IN]]</f>
        <v/>
      </c>
      <c r="AK7" s="68" t="n">
        <v>78</v>
      </c>
      <c r="AL7" s="87" t="n">
        <v>42.8816</v>
      </c>
      <c r="AM7" s="87" t="n">
        <v>3044400</v>
      </c>
      <c r="AN7" s="87">
        <f>TABL123[[#This Row],[ (RESV. STORGE) SER]]/10</f>
        <v/>
      </c>
      <c r="AO7" s="45" t="n">
        <v>1630</v>
      </c>
      <c r="AP7" s="32">
        <f>TABL123[[#This Row],[(A/S) AJD]]-TABL123[[#This Row],[SER_IN]]</f>
        <v/>
      </c>
    </row>
    <row r="8" ht="18.75" customHeight="1">
      <c r="A8" s="2" t="n">
        <v>46029</v>
      </c>
      <c r="B8" s="41" t="n">
        <v>34</v>
      </c>
      <c r="C8" s="41" t="n">
        <v>288</v>
      </c>
      <c r="D8" s="41" t="n">
        <v>34</v>
      </c>
      <c r="E8" s="41" t="n">
        <v>0</v>
      </c>
      <c r="F8" s="41" t="n">
        <v>53</v>
      </c>
      <c r="G8" s="39" t="n">
        <v>341</v>
      </c>
      <c r="H8" s="41">
        <f>103-F8</f>
        <v/>
      </c>
      <c r="I8" s="39" t="n">
        <v>343</v>
      </c>
      <c r="J8" s="39" t="n">
        <v>330</v>
      </c>
      <c r="K8" s="28">
        <f>TABL123[[#This Row],[ (T/B) SAR]]+TABL123[[#This Row],[ (S/S) SAR]]</f>
        <v/>
      </c>
      <c r="L8" s="41" t="n">
        <v>332</v>
      </c>
      <c r="M8" s="42" t="n">
        <v>24.7</v>
      </c>
      <c r="N8" s="42" t="n">
        <v>7.3</v>
      </c>
      <c r="O8" s="39" t="n">
        <v>328</v>
      </c>
      <c r="P8" s="3">
        <f>TABL123[[#This Row],[ (S/S) SAR]]-TABL123[[#This Row],[(S/S) AJD]]</f>
        <v/>
      </c>
      <c r="Q8" s="39" t="n">
        <v>331</v>
      </c>
      <c r="R8" s="3">
        <f>TABL123[[#This Row],[ (T/B) SAR]]-TABL123[[#This Row],[(T/B) AJD]]</f>
        <v/>
      </c>
      <c r="S8" s="3">
        <f>TABL123[[#This Row],[T/B-CON.]]+TABL123[[#This Row],[S/S_CON.]]</f>
        <v/>
      </c>
      <c r="T8" s="3">
        <f>TABL123[[#This Row],[(S/S) AJD]]+TABL123[[#This Row],[(T/B) AJD]]</f>
        <v/>
      </c>
      <c r="U8" s="41" t="n">
        <v>150</v>
      </c>
      <c r="V8" s="41" t="n">
        <v>386</v>
      </c>
      <c r="W8" s="3">
        <f>TABL123[[#This Row],[(A/B) AJD]]+TABL123[[#This Row],[(A/S) AJD]]</f>
        <v/>
      </c>
      <c r="X8" s="3">
        <f>TABL123[[#This Row],[( S/S+T/B) AJD]]-TABL123[[#This Row],[(A/B + A/S) AJD]]</f>
        <v/>
      </c>
      <c r="Y8" s="41" t="n">
        <v>93.10599999999999</v>
      </c>
      <c r="Z8" s="43" t="n">
        <v>859119</v>
      </c>
      <c r="AA8" s="3">
        <f>TABL123[[#This Row],[(RESV. STORGE) AJD]]/10</f>
        <v/>
      </c>
      <c r="AB8" s="45">
        <f>IF(TRIM(Z8)="",,(Z8-Z7)/1000)</f>
        <v/>
      </c>
      <c r="AC8" s="43" t="n">
        <v>673</v>
      </c>
      <c r="AD8" s="83">
        <f>TABL123[[#This Row],[( S/S+T/B) AJD]]-(TABL123[[#This Row],[(A/B + A/S) AJD]]+TABL123[[#This Row],[(STORGE DIFF.) AJD]]+(TABL123[[#This Row],[AJD_Evaporation]])/1000)</f>
        <v/>
      </c>
      <c r="AE8" s="68" t="n">
        <v>0</v>
      </c>
      <c r="AF8" s="68" t="n">
        <v>58.232</v>
      </c>
      <c r="AG8" s="68" t="n">
        <v>1119158</v>
      </c>
      <c r="AH8" s="43" t="n">
        <v>1960</v>
      </c>
      <c r="AI8" s="43" t="n">
        <v>1960</v>
      </c>
      <c r="AJ8" s="78">
        <f>TABL123[[#This Row],[(A/B) AJD]]-TABL123[[#This Row],[BER_IN]]</f>
        <v/>
      </c>
      <c r="AK8" s="68" t="n">
        <v>111</v>
      </c>
      <c r="AL8" s="87" t="n">
        <v>43.0095</v>
      </c>
      <c r="AM8" s="87" t="n">
        <v>3113090</v>
      </c>
      <c r="AN8" s="87">
        <f>TABL123[[#This Row],[ (RESV. STORGE) SER]]/10</f>
        <v/>
      </c>
      <c r="AO8" s="43" t="n">
        <v>1645</v>
      </c>
      <c r="AP8" s="32">
        <f>TABL123[[#This Row],[(A/S) AJD]]-TABL123[[#This Row],[SER_IN]]</f>
        <v/>
      </c>
    </row>
    <row r="9" ht="18.75" customHeight="1">
      <c r="A9" s="2" t="n">
        <v>46030</v>
      </c>
      <c r="B9" s="44" t="n">
        <v>35</v>
      </c>
      <c r="C9" s="44" t="n">
        <v>277</v>
      </c>
      <c r="D9" s="44" t="n">
        <v>35</v>
      </c>
      <c r="E9" s="44" t="n">
        <v>0</v>
      </c>
      <c r="F9" s="44" t="n">
        <v>53</v>
      </c>
      <c r="G9" s="40" t="n">
        <v>340</v>
      </c>
      <c r="H9" s="44">
        <f>103-F9</f>
        <v/>
      </c>
      <c r="I9" s="40" t="n">
        <v>341</v>
      </c>
      <c r="J9" s="44" t="n">
        <v>329</v>
      </c>
      <c r="K9" s="28">
        <f>TABL123[[#This Row],[ (T/B) SAR]]+TABL123[[#This Row],[ (S/S) SAR]]</f>
        <v/>
      </c>
      <c r="L9" s="45" t="n">
        <v>330</v>
      </c>
      <c r="M9" s="46" t="n">
        <v>24.7</v>
      </c>
      <c r="N9" s="46" t="n">
        <v>7.15</v>
      </c>
      <c r="O9" s="40" t="n">
        <v>309</v>
      </c>
      <c r="P9" s="3">
        <f>TABL123[[#This Row],[ (S/S) SAR]]-TABL123[[#This Row],[(S/S) AJD]]</f>
        <v/>
      </c>
      <c r="Q9" s="40" t="n">
        <v>307</v>
      </c>
      <c r="R9" s="3">
        <f>TABL123[[#This Row],[ (T/B) SAR]]-TABL123[[#This Row],[(T/B) AJD]]</f>
        <v/>
      </c>
      <c r="S9" s="3">
        <f>TABL123[[#This Row],[T/B-CON.]]+TABL123[[#This Row],[S/S_CON.]]</f>
        <v/>
      </c>
      <c r="T9" s="3">
        <f>TABL123[[#This Row],[(S/S) AJD]]+TABL123[[#This Row],[(T/B) AJD]]</f>
        <v/>
      </c>
      <c r="U9" s="44" t="n">
        <v>149</v>
      </c>
      <c r="V9" s="44" t="n">
        <v>397</v>
      </c>
      <c r="W9" s="3">
        <f>TABL123[[#This Row],[(A/B) AJD]]+TABL123[[#This Row],[(A/S) AJD]]</f>
        <v/>
      </c>
      <c r="X9" s="3">
        <f>TABL123[[#This Row],[( S/S+T/B) AJD]]-TABL123[[#This Row],[(A/B + A/S) AJD]]</f>
        <v/>
      </c>
      <c r="Y9" s="44" t="n">
        <v>93.173</v>
      </c>
      <c r="Z9" s="45" t="n">
        <v>902393</v>
      </c>
      <c r="AA9" s="3">
        <f>TABL123[[#This Row],[(RESV. STORGE) AJD]]/10</f>
        <v/>
      </c>
      <c r="AB9" s="45">
        <f>IF(TRIM(Z9)="",,(Z9-Z8)/1000)</f>
        <v/>
      </c>
      <c r="AC9" s="45" t="n">
        <v>842</v>
      </c>
      <c r="AD9" s="83">
        <f>TABL123[[#This Row],[( S/S+T/B) AJD]]-(TABL123[[#This Row],[(A/B + A/S) AJD]]+TABL123[[#This Row],[(STORGE DIFF.) AJD]]+(TABL123[[#This Row],[AJD_Evaporation]])/1000)</f>
        <v/>
      </c>
      <c r="AE9" s="68" t="n">
        <v>0</v>
      </c>
      <c r="AF9" s="68" t="n">
        <v>58.23</v>
      </c>
      <c r="AG9" s="68" t="n">
        <v>1117851</v>
      </c>
      <c r="AH9" s="45" t="n">
        <v>1307</v>
      </c>
      <c r="AI9" s="45" t="n">
        <v>1307</v>
      </c>
      <c r="AJ9" s="78">
        <f>TABL123[[#This Row],[(A/B) AJD]]-TABL123[[#This Row],[BER_IN]]</f>
        <v/>
      </c>
      <c r="AK9" s="68" t="n">
        <v>111</v>
      </c>
      <c r="AL9" s="87" t="n">
        <v>43.0881</v>
      </c>
      <c r="AM9" s="87" t="n">
        <v>3155860</v>
      </c>
      <c r="AN9" s="87">
        <f>TABL123[[#This Row],[ (RESV. STORGE) SER]]/10</f>
        <v/>
      </c>
      <c r="AO9" s="45" t="n">
        <v>1665</v>
      </c>
      <c r="AP9" s="32">
        <f>TABL123[[#This Row],[(A/S) AJD]]-TABL123[[#This Row],[SER_IN]]</f>
        <v/>
      </c>
    </row>
    <row r="10" ht="18.75" customHeight="1">
      <c r="A10" s="2" t="n">
        <v>46031</v>
      </c>
      <c r="B10" s="41" t="n">
        <v>35</v>
      </c>
      <c r="C10" s="41" t="n">
        <v>281</v>
      </c>
      <c r="D10" s="41" t="n">
        <v>35</v>
      </c>
      <c r="E10" s="41" t="n">
        <v>0</v>
      </c>
      <c r="F10" s="41" t="n">
        <v>47</v>
      </c>
      <c r="G10" s="39" t="n">
        <v>294</v>
      </c>
      <c r="H10" s="41">
        <f>103-F10</f>
        <v/>
      </c>
      <c r="I10" s="39" t="n">
        <v>317</v>
      </c>
      <c r="J10" s="39" t="n">
        <v>307</v>
      </c>
      <c r="K10" s="28">
        <f>TABL123[[#This Row],[ (T/B) SAR]]+TABL123[[#This Row],[ (S/S) SAR]]</f>
        <v/>
      </c>
      <c r="L10" s="41" t="n">
        <v>330</v>
      </c>
      <c r="M10" s="42" t="n">
        <v>24.7</v>
      </c>
      <c r="N10" s="42" t="n">
        <v>7</v>
      </c>
      <c r="O10" s="39" t="n">
        <v>306</v>
      </c>
      <c r="P10" s="3">
        <f>TABL123[[#This Row],[ (S/S) SAR]]-TABL123[[#This Row],[(S/S) AJD]]</f>
        <v/>
      </c>
      <c r="Q10" s="39" t="n">
        <v>304</v>
      </c>
      <c r="R10" s="3">
        <f>TABL123[[#This Row],[ (T/B) SAR]]-TABL123[[#This Row],[(T/B) AJD]]</f>
        <v/>
      </c>
      <c r="S10" s="3">
        <f>TABL123[[#This Row],[T/B-CON.]]+TABL123[[#This Row],[S/S_CON.]]</f>
        <v/>
      </c>
      <c r="T10" s="3">
        <f>TABL123[[#This Row],[(S/S) AJD]]+TABL123[[#This Row],[(T/B) AJD]]</f>
        <v/>
      </c>
      <c r="U10" s="41" t="n">
        <v>149</v>
      </c>
      <c r="V10" s="41" t="n">
        <v>422</v>
      </c>
      <c r="W10" s="3">
        <f>TABL123[[#This Row],[(A/B) AJD]]+TABL123[[#This Row],[(A/S) AJD]]</f>
        <v/>
      </c>
      <c r="X10" s="3">
        <f>TABL123[[#This Row],[( S/S+T/B) AJD]]-TABL123[[#This Row],[(A/B + A/S) AJD]]</f>
        <v/>
      </c>
      <c r="Y10" s="41" t="n">
        <v>93.17100000000001</v>
      </c>
      <c r="Z10" s="43" t="n">
        <v>898177</v>
      </c>
      <c r="AA10" s="3">
        <f>TABL123[[#This Row],[(RESV. STORGE) AJD]]/10</f>
        <v/>
      </c>
      <c r="AB10" s="45">
        <f>IF(TRIM(Z10)="",,(Z10-Z9)/1000)</f>
        <v/>
      </c>
      <c r="AC10" s="43" t="n">
        <v>842</v>
      </c>
      <c r="AD10" s="83">
        <f>TABL123[[#This Row],[( S/S+T/B) AJD]]-(TABL123[[#This Row],[(A/B + A/S) AJD]]+TABL123[[#This Row],[(STORGE DIFF.) AJD]]+(TABL123[[#This Row],[AJD_Evaporation]])/1000)</f>
        <v/>
      </c>
      <c r="AE10" s="68" t="n">
        <v>0</v>
      </c>
      <c r="AF10" s="68" t="n">
        <v>58.228</v>
      </c>
      <c r="AG10" s="68" t="n">
        <v>1116544</v>
      </c>
      <c r="AH10" s="43" t="n">
        <v>1307</v>
      </c>
      <c r="AI10" s="43" t="n">
        <v>1307</v>
      </c>
      <c r="AJ10" s="78">
        <f>TABL123[[#This Row],[(A/B) AJD]]-TABL123[[#This Row],[BER_IN]]</f>
        <v/>
      </c>
      <c r="AK10" s="68" t="n">
        <v>109</v>
      </c>
      <c r="AL10" s="87" t="n">
        <v>43.0878</v>
      </c>
      <c r="AM10" s="87" t="n">
        <v>3156470</v>
      </c>
      <c r="AN10" s="87">
        <f>TABL123[[#This Row],[ (RESV. STORGE) SER]]/10</f>
        <v/>
      </c>
      <c r="AO10" s="43" t="n">
        <v>1630</v>
      </c>
      <c r="AP10" s="32">
        <f>TABL123[[#This Row],[(A/S) AJD]]-TABL123[[#This Row],[SER_IN]]</f>
        <v/>
      </c>
    </row>
    <row r="11" ht="18.75" customHeight="1">
      <c r="A11" s="2" t="n">
        <v>46032</v>
      </c>
      <c r="B11" s="44" t="n">
        <v>34</v>
      </c>
      <c r="C11" s="44" t="n">
        <v>276</v>
      </c>
      <c r="D11" s="44" t="n">
        <v>34</v>
      </c>
      <c r="E11" s="44" t="n">
        <v>0</v>
      </c>
      <c r="F11" s="44" t="n">
        <v>47</v>
      </c>
      <c r="G11" s="40" t="n">
        <v>295</v>
      </c>
      <c r="H11" s="44">
        <f>103-F11</f>
        <v/>
      </c>
      <c r="I11" s="40" t="n">
        <v>315</v>
      </c>
      <c r="J11" s="44" t="n">
        <v>306</v>
      </c>
      <c r="K11" s="28">
        <f>TABL123[[#This Row],[ (T/B) SAR]]+TABL123[[#This Row],[ (S/S) SAR]]</f>
        <v/>
      </c>
      <c r="L11" s="45" t="n">
        <v>326</v>
      </c>
      <c r="M11" s="46" t="n">
        <v>24.7</v>
      </c>
      <c r="N11" s="46" t="n">
        <v>6.78</v>
      </c>
      <c r="O11" s="40" t="n">
        <v>292</v>
      </c>
      <c r="P11" s="3">
        <f>TABL123[[#This Row],[ (S/S) SAR]]-TABL123[[#This Row],[(S/S) AJD]]</f>
        <v/>
      </c>
      <c r="Q11" s="40" t="n">
        <v>289</v>
      </c>
      <c r="R11" s="3">
        <f>TABL123[[#This Row],[ (T/B) SAR]]-TABL123[[#This Row],[(T/B) AJD]]</f>
        <v/>
      </c>
      <c r="S11" s="3">
        <f>TABL123[[#This Row],[T/B-CON.]]+TABL123[[#This Row],[S/S_CON.]]</f>
        <v/>
      </c>
      <c r="T11" s="3">
        <f>TABL123[[#This Row],[(S/S) AJD]]+TABL123[[#This Row],[(T/B) AJD]]</f>
        <v/>
      </c>
      <c r="U11" s="44" t="n">
        <v>148</v>
      </c>
      <c r="V11" s="44" t="n">
        <v>409</v>
      </c>
      <c r="W11" s="3">
        <f>TABL123[[#This Row],[(A/B) AJD]]+TABL123[[#This Row],[(A/S) AJD]]</f>
        <v/>
      </c>
      <c r="X11" s="3">
        <f>TABL123[[#This Row],[( S/S+T/B) AJD]]-TABL123[[#This Row],[(A/B + A/S) AJD]]</f>
        <v/>
      </c>
      <c r="Y11" s="44" t="n">
        <v>93.158</v>
      </c>
      <c r="Z11" s="45" t="n">
        <v>892169</v>
      </c>
      <c r="AA11" s="3">
        <f>TABL123[[#This Row],[(RESV. STORGE) AJD]]/10</f>
        <v/>
      </c>
      <c r="AB11" s="45">
        <f>IF(TRIM(Z11)="",,(Z11-Z10)/1000)</f>
        <v/>
      </c>
      <c r="AC11" s="45" t="n">
        <v>842</v>
      </c>
      <c r="AD11" s="83">
        <f>TABL123[[#This Row],[( S/S+T/B) AJD]]-(TABL123[[#This Row],[(A/B + A/S) AJD]]+TABL123[[#This Row],[(STORGE DIFF.) AJD]]+(TABL123[[#This Row],[AJD_Evaporation]])/1000)</f>
        <v/>
      </c>
      <c r="AE11" s="68" t="n">
        <v>0</v>
      </c>
      <c r="AF11" s="68" t="n">
        <v>58.225</v>
      </c>
      <c r="AG11" s="68" t="n">
        <v>1114583</v>
      </c>
      <c r="AH11" s="45" t="n">
        <v>1960</v>
      </c>
      <c r="AI11" s="45" t="n">
        <v>1960</v>
      </c>
      <c r="AJ11" s="78">
        <f>TABL123[[#This Row],[(A/B) AJD]]-TABL123[[#This Row],[BER_IN]]</f>
        <v/>
      </c>
      <c r="AK11" s="68" t="n">
        <v>110</v>
      </c>
      <c r="AL11" s="87" t="n">
        <v>43.1191</v>
      </c>
      <c r="AM11" s="87" t="n">
        <v>3172270</v>
      </c>
      <c r="AN11" s="87">
        <f>TABL123[[#This Row],[ (RESV. STORGE) SER]]/10</f>
        <v/>
      </c>
      <c r="AO11" s="45" t="n">
        <v>1420</v>
      </c>
      <c r="AP11" s="32">
        <f>TABL123[[#This Row],[(A/S) AJD]]-TABL123[[#This Row],[SER_IN]]</f>
        <v/>
      </c>
    </row>
    <row r="12" ht="18.75" customHeight="1">
      <c r="A12" s="2" t="n">
        <v>46033</v>
      </c>
      <c r="B12" s="41" t="n">
        <v>35</v>
      </c>
      <c r="C12" s="41" t="n">
        <v>292</v>
      </c>
      <c r="D12" s="41" t="n">
        <v>35</v>
      </c>
      <c r="E12" s="41" t="n">
        <v>0</v>
      </c>
      <c r="F12" s="41" t="n">
        <v>47</v>
      </c>
      <c r="G12" s="39" t="n">
        <v>289</v>
      </c>
      <c r="H12" s="41">
        <f>103-F12</f>
        <v/>
      </c>
      <c r="I12" s="39" t="n">
        <v>306</v>
      </c>
      <c r="J12" s="39" t="n">
        <v>290</v>
      </c>
      <c r="K12" s="28">
        <f>TABL123[[#This Row],[ (T/B) SAR]]+TABL123[[#This Row],[ (S/S) SAR]]</f>
        <v/>
      </c>
      <c r="L12" s="41" t="n">
        <v>307</v>
      </c>
      <c r="M12" s="42" t="n">
        <v>24.7</v>
      </c>
      <c r="N12" s="42" t="n">
        <v>6.83</v>
      </c>
      <c r="O12" s="39" t="n">
        <v>283</v>
      </c>
      <c r="P12" s="3">
        <f>TABL123[[#This Row],[ (S/S) SAR]]-TABL123[[#This Row],[(S/S) AJD]]</f>
        <v/>
      </c>
      <c r="Q12" s="39" t="n">
        <v>280</v>
      </c>
      <c r="R12" s="3">
        <f>TABL123[[#This Row],[ (T/B) SAR]]-TABL123[[#This Row],[(T/B) AJD]]</f>
        <v/>
      </c>
      <c r="S12" s="3">
        <f>TABL123[[#This Row],[T/B-CON.]]+TABL123[[#This Row],[S/S_CON.]]</f>
        <v/>
      </c>
      <c r="T12" s="3">
        <f>TABL123[[#This Row],[(S/S) AJD]]+TABL123[[#This Row],[(T/B) AJD]]</f>
        <v/>
      </c>
      <c r="U12" s="41" t="n">
        <v>148</v>
      </c>
      <c r="V12" s="41" t="n">
        <v>371</v>
      </c>
      <c r="W12" s="3">
        <f>TABL123[[#This Row],[(A/B) AJD]]+TABL123[[#This Row],[(A/S) AJD]]</f>
        <v/>
      </c>
      <c r="X12" s="3">
        <f>TABL123[[#This Row],[( S/S+T/B) AJD]]-TABL123[[#This Row],[(A/B + A/S) AJD]]</f>
        <v/>
      </c>
      <c r="Y12" s="41" t="n">
        <v>93.166</v>
      </c>
      <c r="Z12" s="43" t="n">
        <v>895173</v>
      </c>
      <c r="AA12" s="3">
        <f>TABL123[[#This Row],[(RESV. STORGE) AJD]]/10</f>
        <v/>
      </c>
      <c r="AB12" s="45">
        <f>IF(TRIM(Z12)="",,(Z12-Z11)/1000)</f>
        <v/>
      </c>
      <c r="AC12" s="43" t="n">
        <v>0</v>
      </c>
      <c r="AD12" s="83">
        <f>TABL123[[#This Row],[( S/S+T/B) AJD]]-(TABL123[[#This Row],[(A/B + A/S) AJD]]+TABL123[[#This Row],[(STORGE DIFF.) AJD]]+(TABL123[[#This Row],[AJD_Evaporation]])/1000)</f>
        <v/>
      </c>
      <c r="AE12" s="68" t="n">
        <v>0</v>
      </c>
      <c r="AF12" s="68" t="n">
        <v>58.223</v>
      </c>
      <c r="AG12" s="68" t="n">
        <v>1113276</v>
      </c>
      <c r="AH12" s="68" t="n">
        <v>1307</v>
      </c>
      <c r="AI12" s="68" t="n">
        <v>1307</v>
      </c>
      <c r="AJ12" s="78">
        <f>TABL123[[#This Row],[(A/B) AJD]]-TABL123[[#This Row],[BER_IN]]</f>
        <v/>
      </c>
      <c r="AK12" s="68" t="n">
        <v>112</v>
      </c>
      <c r="AL12" s="87" t="n">
        <v>43.1296</v>
      </c>
      <c r="AM12" s="87" t="n">
        <v>3178100</v>
      </c>
      <c r="AN12" s="87">
        <f>TABL123[[#This Row],[ (RESV. STORGE) SER]]/10</f>
        <v/>
      </c>
      <c r="AO12" s="43" t="n">
        <v>1453</v>
      </c>
      <c r="AP12" s="32">
        <f>TABL123[[#This Row],[(A/S) AJD]]-TABL123[[#This Row],[SER_IN]]</f>
        <v/>
      </c>
    </row>
    <row r="13" ht="18.75" customHeight="1">
      <c r="A13" s="2" t="n">
        <v>46034</v>
      </c>
      <c r="B13" s="44" t="n">
        <v>35</v>
      </c>
      <c r="C13" s="44" t="n">
        <v>300</v>
      </c>
      <c r="D13" s="44" t="n">
        <v>35</v>
      </c>
      <c r="E13" s="44" t="n">
        <v>0</v>
      </c>
      <c r="F13" s="44" t="n">
        <v>47</v>
      </c>
      <c r="G13" s="40" t="n">
        <v>296</v>
      </c>
      <c r="H13" s="44">
        <f>103-F13</f>
        <v/>
      </c>
      <c r="I13" s="40" t="n">
        <v>300</v>
      </c>
      <c r="J13" s="44" t="n">
        <v>283</v>
      </c>
      <c r="K13" s="28">
        <f>TABL123[[#This Row],[ (T/B) SAR]]+TABL123[[#This Row],[ (S/S) SAR]]</f>
        <v/>
      </c>
      <c r="L13" s="45" t="n">
        <v>287</v>
      </c>
      <c r="M13" s="46" t="n">
        <v>21.7</v>
      </c>
      <c r="N13" s="46" t="n">
        <v>7.11</v>
      </c>
      <c r="O13" s="40" t="n">
        <v>274</v>
      </c>
      <c r="P13" s="3">
        <f>TABL123[[#This Row],[ (S/S) SAR]]-TABL123[[#This Row],[(S/S) AJD]]</f>
        <v/>
      </c>
      <c r="Q13" s="40" t="n">
        <v>269</v>
      </c>
      <c r="R13" s="3">
        <f>TABL123[[#This Row],[ (T/B) SAR]]-TABL123[[#This Row],[(T/B) AJD]]</f>
        <v/>
      </c>
      <c r="S13" s="3">
        <f>TABL123[[#This Row],[T/B-CON.]]+TABL123[[#This Row],[S/S_CON.]]</f>
        <v/>
      </c>
      <c r="T13" s="3">
        <f>TABL123[[#This Row],[(S/S) AJD]]+TABL123[[#This Row],[(T/B) AJD]]</f>
        <v/>
      </c>
      <c r="U13" s="44" t="n">
        <v>147</v>
      </c>
      <c r="V13" s="44" t="n">
        <v>370</v>
      </c>
      <c r="W13" s="3">
        <f>TABL123[[#This Row],[(A/B) AJD]]+TABL123[[#This Row],[(A/S) AJD]]</f>
        <v/>
      </c>
      <c r="X13" s="3">
        <f>TABL123[[#This Row],[( S/S+T/B) AJD]]-TABL123[[#This Row],[(A/B + A/S) AJD]]</f>
        <v/>
      </c>
      <c r="Y13" s="44" t="n">
        <v>93.151</v>
      </c>
      <c r="Z13" s="45" t="n">
        <v>884153</v>
      </c>
      <c r="AA13" s="3">
        <f>TABL123[[#This Row],[(RESV. STORGE) AJD]]/10</f>
        <v/>
      </c>
      <c r="AB13" s="45">
        <f>IF(TRIM(Z13)="",,(Z13-Z12)/1000)</f>
        <v/>
      </c>
      <c r="AC13" s="45" t="n">
        <v>0</v>
      </c>
      <c r="AD13" s="83">
        <f>TABL123[[#This Row],[( S/S+T/B) AJD]]-(TABL123[[#This Row],[(A/B + A/S) AJD]]+TABL123[[#This Row],[(STORGE DIFF.) AJD]]+(TABL123[[#This Row],[AJD_Evaporation]])/1000)</f>
        <v/>
      </c>
      <c r="AE13" s="68" t="n">
        <v>0</v>
      </c>
      <c r="AF13" s="68" t="n">
        <v>58.201</v>
      </c>
      <c r="AG13" s="68" t="n">
        <v>1098901</v>
      </c>
      <c r="AH13" s="45" t="n">
        <v>1306</v>
      </c>
      <c r="AI13" s="45" t="n">
        <v>1306</v>
      </c>
      <c r="AJ13" s="78">
        <f>TABL123[[#This Row],[(A/B) AJD]]-TABL123[[#This Row],[BER_IN]]</f>
        <v/>
      </c>
      <c r="AK13" s="68" t="n">
        <v>119</v>
      </c>
      <c r="AL13" s="87" t="n">
        <v>43.1838</v>
      </c>
      <c r="AM13" s="87" t="n">
        <v>3207490</v>
      </c>
      <c r="AN13" s="87">
        <f>TABL123[[#This Row],[ (RESV. STORGE) SER]]/10</f>
        <v/>
      </c>
      <c r="AO13" s="45" t="n">
        <v>1447</v>
      </c>
      <c r="AP13" s="32">
        <f>TABL123[[#This Row],[(A/S) AJD]]-TABL123[[#This Row],[SER_IN]]</f>
        <v/>
      </c>
    </row>
    <row r="14" ht="18.75" customHeight="1">
      <c r="A14" s="2" t="n">
        <v>46035</v>
      </c>
      <c r="B14" s="41" t="n">
        <v>35</v>
      </c>
      <c r="C14" s="41" t="n">
        <v>288</v>
      </c>
      <c r="D14" s="41" t="n">
        <v>35</v>
      </c>
      <c r="E14" s="41" t="n">
        <v>0</v>
      </c>
      <c r="F14" s="41" t="n">
        <v>47</v>
      </c>
      <c r="G14" s="39" t="n">
        <v>303</v>
      </c>
      <c r="H14" s="41">
        <f>103-F14</f>
        <v/>
      </c>
      <c r="I14" s="39" t="n">
        <v>277</v>
      </c>
      <c r="J14" s="39" t="n">
        <v>314</v>
      </c>
      <c r="K14" s="28">
        <f>TABL123[[#This Row],[ (T/B) SAR]]+TABL123[[#This Row],[ (S/S) SAR]]</f>
        <v/>
      </c>
      <c r="L14" s="41" t="n">
        <v>288</v>
      </c>
      <c r="M14" s="42" t="n">
        <v>21.7</v>
      </c>
      <c r="N14" s="42" t="n">
        <v>7.26</v>
      </c>
      <c r="O14" s="39" t="n">
        <v>286</v>
      </c>
      <c r="P14" s="3">
        <f>TABL123[[#This Row],[ (S/S) SAR]]-TABL123[[#This Row],[(S/S) AJD]]</f>
        <v/>
      </c>
      <c r="Q14" s="39" t="n">
        <v>261</v>
      </c>
      <c r="R14" s="3">
        <f>TABL123[[#This Row],[ (T/B) SAR]]-TABL123[[#This Row],[(T/B) AJD]]</f>
        <v/>
      </c>
      <c r="S14" s="3">
        <f>TABL123[[#This Row],[T/B-CON.]]+TABL123[[#This Row],[S/S_CON.]]</f>
        <v/>
      </c>
      <c r="T14" s="3">
        <f>TABL123[[#This Row],[(S/S) AJD]]+TABL123[[#This Row],[(T/B) AJD]]</f>
        <v/>
      </c>
      <c r="U14" s="41" t="n">
        <v>147</v>
      </c>
      <c r="V14" s="41" t="n">
        <v>380</v>
      </c>
      <c r="W14" s="3">
        <f>TABL123[[#This Row],[(A/B) AJD]]+TABL123[[#This Row],[(A/S) AJD]]</f>
        <v/>
      </c>
      <c r="X14" s="3">
        <f>TABL123[[#This Row],[( S/S+T/B) AJD]]-TABL123[[#This Row],[(A/B + A/S) AJD]]</f>
        <v/>
      </c>
      <c r="Y14" s="41" t="n">
        <v>93.068</v>
      </c>
      <c r="Z14" s="43" t="n">
        <v>836298</v>
      </c>
      <c r="AA14" s="3">
        <f>TABL123[[#This Row],[(RESV. STORGE) AJD]]/10</f>
        <v/>
      </c>
      <c r="AB14" s="45">
        <f>IF(TRIM(Z14)="",,(Z14-Z13)/1000)</f>
        <v/>
      </c>
      <c r="AC14" s="43" t="n">
        <v>0</v>
      </c>
      <c r="AD14" s="83">
        <f>TABL123[[#This Row],[( S/S+T/B) AJD]]-(TABL123[[#This Row],[(A/B + A/S) AJD]]+TABL123[[#This Row],[(STORGE DIFF.) AJD]]+(TABL123[[#This Row],[AJD_Evaporation]])/1000)</f>
        <v/>
      </c>
      <c r="AE14" s="68" t="n">
        <v>0</v>
      </c>
      <c r="AF14" s="68" t="n">
        <v>58.199</v>
      </c>
      <c r="AG14" s="68" t="n">
        <v>1097594</v>
      </c>
      <c r="AH14" s="43" t="n">
        <v>1306</v>
      </c>
      <c r="AI14" s="43" t="n">
        <v>1306</v>
      </c>
      <c r="AJ14" s="78">
        <f>TABL123[[#This Row],[(A/B) AJD]]-TABL123[[#This Row],[BER_IN]]</f>
        <v/>
      </c>
      <c r="AK14" s="68" t="n">
        <v>121</v>
      </c>
      <c r="AL14" s="87" t="n">
        <v>43.3332</v>
      </c>
      <c r="AM14" s="87" t="n">
        <v>3288850</v>
      </c>
      <c r="AN14" s="87">
        <f>TABL123[[#This Row],[ (RESV. STORGE) SER]]/10</f>
        <v/>
      </c>
      <c r="AO14" s="43" t="n">
        <v>1460</v>
      </c>
      <c r="AP14" s="32">
        <f>TABL123[[#This Row],[(A/S) AJD]]-TABL123[[#This Row],[SER_IN]]</f>
        <v/>
      </c>
    </row>
    <row r="15" ht="18.75" customHeight="1">
      <c r="A15" s="2" t="n">
        <v>46036</v>
      </c>
      <c r="B15" s="44" t="n">
        <v>35</v>
      </c>
      <c r="C15" s="44" t="n">
        <v>293</v>
      </c>
      <c r="D15" s="44" t="n">
        <v>35</v>
      </c>
      <c r="E15" s="44" t="n">
        <v>0</v>
      </c>
      <c r="F15" s="44" t="n">
        <v>47</v>
      </c>
      <c r="G15" s="40" t="n">
        <v>313</v>
      </c>
      <c r="H15" s="44">
        <f>103-F15</f>
        <v/>
      </c>
      <c r="I15" s="40" t="n">
        <v>275</v>
      </c>
      <c r="J15" s="44" t="n">
        <v>313</v>
      </c>
      <c r="K15" s="28">
        <f>TABL123[[#This Row],[ (T/B) SAR]]+TABL123[[#This Row],[ (S/S) SAR]]</f>
        <v/>
      </c>
      <c r="L15" s="45" t="n">
        <v>290</v>
      </c>
      <c r="M15" s="46" t="n">
        <v>21.7</v>
      </c>
      <c r="N15" s="46" t="n">
        <v>7.38</v>
      </c>
      <c r="O15" s="40" t="n">
        <v>288</v>
      </c>
      <c r="P15" s="3">
        <f>TABL123[[#This Row],[ (S/S) SAR]]-TABL123[[#This Row],[(S/S) AJD]]</f>
        <v/>
      </c>
      <c r="Q15" s="40" t="n">
        <v>246</v>
      </c>
      <c r="R15" s="3">
        <f>TABL123[[#This Row],[ (T/B) SAR]]-TABL123[[#This Row],[(T/B) AJD]]</f>
        <v/>
      </c>
      <c r="S15" s="3">
        <f>TABL123[[#This Row],[T/B-CON.]]+TABL123[[#This Row],[S/S_CON.]]</f>
        <v/>
      </c>
      <c r="T15" s="3">
        <f>TABL123[[#This Row],[(S/S) AJD]]+TABL123[[#This Row],[(T/B) AJD]]</f>
        <v/>
      </c>
      <c r="U15" s="44" t="n">
        <v>148</v>
      </c>
      <c r="V15" s="44" t="n">
        <v>378</v>
      </c>
      <c r="W15" s="3">
        <f>TABL123[[#This Row],[(A/B) AJD]]+TABL123[[#This Row],[(A/S) AJD]]</f>
        <v/>
      </c>
      <c r="X15" s="3">
        <f>TABL123[[#This Row],[( S/S+T/B) AJD]]-TABL123[[#This Row],[(A/B + A/S) AJD]]</f>
        <v/>
      </c>
      <c r="Y15" s="44" t="n">
        <v>92.996</v>
      </c>
      <c r="Z15" s="45" t="n">
        <v>793094</v>
      </c>
      <c r="AA15" s="3">
        <f>TABL123[[#This Row],[(RESV. STORGE) AJD]]/10</f>
        <v/>
      </c>
      <c r="AB15" s="45">
        <f>IF(TRIM(Z15)="",,(Z15-Z14)/1000)</f>
        <v/>
      </c>
      <c r="AC15" s="45" t="n">
        <v>624</v>
      </c>
      <c r="AD15" s="83">
        <f>TABL123[[#This Row],[( S/S+T/B) AJD]]-(TABL123[[#This Row],[(A/B + A/S) AJD]]+TABL123[[#This Row],[(STORGE DIFF.) AJD]]+(TABL123[[#This Row],[AJD_Evaporation]])/1000)</f>
        <v/>
      </c>
      <c r="AE15" s="68" t="n">
        <v>0</v>
      </c>
      <c r="AF15" s="68" t="n">
        <v>58.198</v>
      </c>
      <c r="AG15" s="68" t="n">
        <v>1096941</v>
      </c>
      <c r="AH15" s="45" t="n">
        <v>653</v>
      </c>
      <c r="AI15" s="45" t="n">
        <v>653</v>
      </c>
      <c r="AJ15" s="78">
        <f>TABL123[[#This Row],[(A/B) AJD]]-TABL123[[#This Row],[BER_IN]]</f>
        <v/>
      </c>
      <c r="AK15" s="68" t="n">
        <v>119</v>
      </c>
      <c r="AL15" s="87" t="n">
        <v>43.494</v>
      </c>
      <c r="AM15" s="87" t="n">
        <v>3376500</v>
      </c>
      <c r="AN15" s="87">
        <f>TABL123[[#This Row],[ (RESV. STORGE) SER]]/10</f>
        <v/>
      </c>
      <c r="AO15" s="45" t="n">
        <v>1470</v>
      </c>
      <c r="AP15" s="32">
        <f>TABL123[[#This Row],[(A/S) AJD]]-TABL123[[#This Row],[SER_IN]]</f>
        <v/>
      </c>
    </row>
    <row r="16" ht="18.75" customHeight="1">
      <c r="A16" s="2" t="n">
        <v>46037</v>
      </c>
      <c r="B16" s="41" t="n">
        <v>35</v>
      </c>
      <c r="C16" s="41" t="n">
        <v>299</v>
      </c>
      <c r="D16" s="41" t="n">
        <v>35</v>
      </c>
      <c r="E16" s="41" t="n">
        <v>0</v>
      </c>
      <c r="F16" s="41" t="n">
        <v>47</v>
      </c>
      <c r="G16" s="39" t="n">
        <v>313</v>
      </c>
      <c r="H16" s="41">
        <f>103-F16</f>
        <v/>
      </c>
      <c r="I16" s="39" t="n">
        <v>277</v>
      </c>
      <c r="J16" s="39" t="n">
        <v>313</v>
      </c>
      <c r="K16" s="28">
        <f>TABL123[[#This Row],[ (T/B) SAR]]+TABL123[[#This Row],[ (S/S) SAR]]</f>
        <v/>
      </c>
      <c r="L16" s="41" t="n">
        <v>290</v>
      </c>
      <c r="M16" s="42" t="n">
        <v>21.7</v>
      </c>
      <c r="N16" s="42" t="n">
        <v>7.54</v>
      </c>
      <c r="O16" s="39" t="n">
        <v>288</v>
      </c>
      <c r="P16" s="3">
        <f>TABL123[[#This Row],[ (S/S) SAR]]-TABL123[[#This Row],[(S/S) AJD]]</f>
        <v/>
      </c>
      <c r="Q16" s="39" t="n">
        <v>237</v>
      </c>
      <c r="R16" s="3">
        <f>TABL123[[#This Row],[ (T/B) SAR]]-TABL123[[#This Row],[(T/B) AJD]]</f>
        <v/>
      </c>
      <c r="S16" s="3">
        <f>TABL123[[#This Row],[T/B-CON.]]+TABL123[[#This Row],[S/S_CON.]]</f>
        <v/>
      </c>
      <c r="T16" s="3">
        <f>TABL123[[#This Row],[(S/S) AJD]]+TABL123[[#This Row],[(T/B) AJD]]</f>
        <v/>
      </c>
      <c r="U16" s="41" t="n">
        <v>149</v>
      </c>
      <c r="V16" s="41" t="n">
        <v>378</v>
      </c>
      <c r="W16" s="3">
        <f>TABL123[[#This Row],[(A/B) AJD]]+TABL123[[#This Row],[(A/S) AJD]]</f>
        <v/>
      </c>
      <c r="X16" s="3">
        <f>TABL123[[#This Row],[( S/S+T/B) AJD]]-TABL123[[#This Row],[(A/B + A/S) AJD]]</f>
        <v/>
      </c>
      <c r="Y16" s="41" t="n">
        <v>92.934</v>
      </c>
      <c r="Z16" s="43" t="n">
        <v>755922</v>
      </c>
      <c r="AA16" s="3">
        <f>TABL123[[#This Row],[(RESV. STORGE) AJD]]/10</f>
        <v/>
      </c>
      <c r="AB16" s="45">
        <f>IF(TRIM(Z16)="",,(Z16-Z15)/1000)</f>
        <v/>
      </c>
      <c r="AC16" s="43" t="n">
        <v>624</v>
      </c>
      <c r="AD16" s="83">
        <f>TABL123[[#This Row],[( S/S+T/B) AJD]]-(TABL123[[#This Row],[(A/B + A/S) AJD]]+TABL123[[#This Row],[(STORGE DIFF.) AJD]]+(TABL123[[#This Row],[AJD_Evaporation]])/1000)</f>
        <v/>
      </c>
      <c r="AE16" s="68" t="n">
        <v>0</v>
      </c>
      <c r="AF16" s="68" t="n">
        <v>58.197</v>
      </c>
      <c r="AG16" s="68" t="n">
        <v>1096288</v>
      </c>
      <c r="AH16" s="43" t="n">
        <v>653</v>
      </c>
      <c r="AI16" s="43" t="n">
        <v>653</v>
      </c>
      <c r="AJ16" s="78">
        <f>TABL123[[#This Row],[(A/B) AJD]]-TABL123[[#This Row],[BER_IN]]</f>
        <v/>
      </c>
      <c r="AK16" s="68" t="n">
        <v>119</v>
      </c>
      <c r="AL16" s="87" t="n">
        <v>43.6774</v>
      </c>
      <c r="AM16" s="87" t="n">
        <v>3476370</v>
      </c>
      <c r="AN16" s="87">
        <f>TABL123[[#This Row],[ (RESV. STORGE) SER]]/10</f>
        <v/>
      </c>
      <c r="AO16" s="43" t="n">
        <v>1483</v>
      </c>
      <c r="AP16" s="32">
        <f>TABL123[[#This Row],[(A/S) AJD]]-TABL123[[#This Row],[SER_IN]]</f>
        <v/>
      </c>
    </row>
    <row r="17" ht="18.75" customHeight="1">
      <c r="A17" s="2" t="n">
        <v>46038</v>
      </c>
      <c r="B17" s="44" t="n">
        <v>35</v>
      </c>
      <c r="C17" s="44" t="n">
        <v>304</v>
      </c>
      <c r="D17" s="44" t="n">
        <v>35</v>
      </c>
      <c r="E17" s="44" t="n">
        <v>0</v>
      </c>
      <c r="F17" s="44" t="n">
        <v>47</v>
      </c>
      <c r="G17" s="40" t="n">
        <v>294</v>
      </c>
      <c r="H17" s="44">
        <f>103-F17</f>
        <v/>
      </c>
      <c r="I17" s="40" t="n">
        <v>302</v>
      </c>
      <c r="J17" s="44" t="n">
        <v>289</v>
      </c>
      <c r="K17" s="28">
        <f>TABL123[[#This Row],[ (T/B) SAR]]+TABL123[[#This Row],[ (S/S) SAR]]</f>
        <v/>
      </c>
      <c r="L17" s="45" t="n">
        <v>297</v>
      </c>
      <c r="M17" s="46" t="n">
        <v>21.7</v>
      </c>
      <c r="N17" s="46" t="n">
        <v>7.68</v>
      </c>
      <c r="O17" s="40" t="n">
        <v>287</v>
      </c>
      <c r="P17" s="3">
        <f>TABL123[[#This Row],[ (S/S) SAR]]-TABL123[[#This Row],[(S/S) AJD]]</f>
        <v/>
      </c>
      <c r="Q17" s="40" t="n">
        <v>240</v>
      </c>
      <c r="R17" s="3">
        <f>TABL123[[#This Row],[ (T/B) SAR]]-TABL123[[#This Row],[(T/B) AJD]]</f>
        <v/>
      </c>
      <c r="S17" s="3">
        <f>TABL123[[#This Row],[T/B-CON.]]+TABL123[[#This Row],[S/S_CON.]]</f>
        <v/>
      </c>
      <c r="T17" s="3">
        <f>TABL123[[#This Row],[(S/S) AJD]]+TABL123[[#This Row],[(T/B) AJD]]</f>
        <v/>
      </c>
      <c r="U17" s="44" t="n">
        <v>151</v>
      </c>
      <c r="V17" s="44" t="n">
        <v>395</v>
      </c>
      <c r="W17" s="3">
        <f>TABL123[[#This Row],[(A/B) AJD]]+TABL123[[#This Row],[(A/S) AJD]]</f>
        <v/>
      </c>
      <c r="X17" s="3">
        <f>TABL123[[#This Row],[( S/S+T/B) AJD]]-TABL123[[#This Row],[(A/B + A/S) AJD]]</f>
        <v/>
      </c>
      <c r="Y17" s="44" t="n">
        <v>92.849</v>
      </c>
      <c r="Z17" s="45" t="n">
        <v>705016</v>
      </c>
      <c r="AA17" s="3">
        <f>TABL123[[#This Row],[(RESV. STORGE) AJD]]/10</f>
        <v/>
      </c>
      <c r="AB17" s="45">
        <f>IF(TRIM(Z17)="",,(Z17-Z16)/1000)</f>
        <v/>
      </c>
      <c r="AC17" s="45" t="n">
        <v>0</v>
      </c>
      <c r="AD17" s="83">
        <f>TABL123[[#This Row],[( S/S+T/B) AJD]]-(TABL123[[#This Row],[(A/B + A/S) AJD]]+TABL123[[#This Row],[(STORGE DIFF.) AJD]]+(TABL123[[#This Row],[AJD_Evaporation]])/1000)</f>
        <v/>
      </c>
      <c r="AE17" s="68" t="n">
        <v>0</v>
      </c>
      <c r="AF17" s="68" t="n">
        <v>58.195</v>
      </c>
      <c r="AG17" s="68" t="n">
        <v>1094981</v>
      </c>
      <c r="AH17" s="45" t="n">
        <v>1306</v>
      </c>
      <c r="AI17" s="45" t="n">
        <v>1306</v>
      </c>
      <c r="AJ17" s="78">
        <f>TABL123[[#This Row],[(A/B) AJD]]-TABL123[[#This Row],[BER_IN]]</f>
        <v/>
      </c>
      <c r="AK17" s="68" t="n">
        <v>118</v>
      </c>
      <c r="AL17" s="87" t="n">
        <v>43.8536</v>
      </c>
      <c r="AM17" s="87" t="n">
        <v>3573210</v>
      </c>
      <c r="AN17" s="87">
        <f>TABL123[[#This Row],[ (RESV. STORGE) SER]]/10</f>
        <v/>
      </c>
      <c r="AO17" s="45" t="n">
        <v>1860</v>
      </c>
      <c r="AP17" s="32">
        <f>TABL123[[#This Row],[(A/S) AJD]]-TABL123[[#This Row],[SER_IN]]</f>
        <v/>
      </c>
    </row>
    <row r="18" ht="18.75" customHeight="1">
      <c r="A18" s="2" t="n">
        <v>46039</v>
      </c>
      <c r="B18" s="41" t="n">
        <v>35</v>
      </c>
      <c r="C18" s="41" t="n">
        <v>309</v>
      </c>
      <c r="D18" s="41" t="n">
        <v>35</v>
      </c>
      <c r="E18" s="41" t="n">
        <v>0</v>
      </c>
      <c r="F18" s="41" t="n">
        <v>77</v>
      </c>
      <c r="G18" s="39" t="n">
        <v>486</v>
      </c>
      <c r="H18" s="41">
        <f>103-F18</f>
        <v/>
      </c>
      <c r="I18" s="39" t="n">
        <v>394</v>
      </c>
      <c r="J18" s="39" t="n">
        <v>389</v>
      </c>
      <c r="K18" s="28">
        <f>TABL123[[#This Row],[ (T/B) SAR]]+TABL123[[#This Row],[ (S/S) SAR]]</f>
        <v/>
      </c>
      <c r="L18" s="41" t="n">
        <v>297</v>
      </c>
      <c r="M18" s="42" t="n">
        <v>21.7</v>
      </c>
      <c r="N18" s="42" t="n">
        <v>7.87</v>
      </c>
      <c r="O18" s="39" t="n">
        <v>264</v>
      </c>
      <c r="P18" s="3">
        <f>TABL123[[#This Row],[ (S/S) SAR]]-TABL123[[#This Row],[(S/S) AJD]]</f>
        <v/>
      </c>
      <c r="Q18" s="39" t="n">
        <v>281</v>
      </c>
      <c r="R18" s="3">
        <f>TABL123[[#This Row],[ (T/B) SAR]]-TABL123[[#This Row],[(T/B) AJD]]</f>
        <v/>
      </c>
      <c r="S18" s="3">
        <f>TABL123[[#This Row],[T/B-CON.]]+TABL123[[#This Row],[S/S_CON.]]</f>
        <v/>
      </c>
      <c r="T18" s="3">
        <f>TABL123[[#This Row],[(S/S) AJD]]+TABL123[[#This Row],[(T/B) AJD]]</f>
        <v/>
      </c>
      <c r="U18" s="41" t="n">
        <v>248</v>
      </c>
      <c r="V18" s="41" t="n">
        <v>393</v>
      </c>
      <c r="W18" s="3">
        <f>TABL123[[#This Row],[(A/B) AJD]]+TABL123[[#This Row],[(A/S) AJD]]</f>
        <v/>
      </c>
      <c r="X18" s="3">
        <f>TABL123[[#This Row],[( S/S+T/B) AJD]]-TABL123[[#This Row],[(A/B + A/S) AJD]]</f>
        <v/>
      </c>
      <c r="Y18" s="41" t="n">
        <v>92.69199999999999</v>
      </c>
      <c r="Z18" s="43" t="n">
        <v>611147</v>
      </c>
      <c r="AA18" s="3">
        <f>TABL123[[#This Row],[(RESV. STORGE) AJD]]/10</f>
        <v/>
      </c>
      <c r="AB18" s="45">
        <f>IF(TRIM(Z18)="",,(Z18-Z17)/1000)</f>
        <v/>
      </c>
      <c r="AC18" s="43" t="n">
        <v>1020</v>
      </c>
      <c r="AD18" s="83">
        <f>TABL123[[#This Row],[( S/S+T/B) AJD]]-(TABL123[[#This Row],[(A/B + A/S) AJD]]+TABL123[[#This Row],[(STORGE DIFF.) AJD]]+(TABL123[[#This Row],[AJD_Evaporation]])/1000)</f>
        <v/>
      </c>
      <c r="AE18" s="68" t="n">
        <v>0</v>
      </c>
      <c r="AF18" s="68" t="n">
        <v>58.194</v>
      </c>
      <c r="AG18" s="68" t="n">
        <v>1094328</v>
      </c>
      <c r="AH18" s="43" t="n">
        <v>653</v>
      </c>
      <c r="AI18" s="43" t="n">
        <v>653</v>
      </c>
      <c r="AJ18" s="78">
        <f>TABL123[[#This Row],[(A/B) AJD]]-TABL123[[#This Row],[BER_IN]]</f>
        <v/>
      </c>
      <c r="AK18" s="68" t="n">
        <v>117</v>
      </c>
      <c r="AL18" s="87" t="n">
        <v>44.0055</v>
      </c>
      <c r="AM18" s="87" t="n">
        <v>3656590</v>
      </c>
      <c r="AN18" s="87">
        <f>TABL123[[#This Row],[ (RESV. STORGE) SER]]/10</f>
        <v/>
      </c>
      <c r="AO18" s="43" t="n">
        <v>1820</v>
      </c>
      <c r="AP18" s="32">
        <f>TABL123[[#This Row],[(A/S) AJD]]-TABL123[[#This Row],[SER_IN]]</f>
        <v/>
      </c>
    </row>
    <row r="19" ht="18.75" customHeight="1">
      <c r="A19" s="2" t="n">
        <v>46040</v>
      </c>
      <c r="B19" s="44" t="n">
        <v>35</v>
      </c>
      <c r="C19" s="44" t="n">
        <v>292</v>
      </c>
      <c r="D19" s="44" t="n">
        <v>35</v>
      </c>
      <c r="E19" s="44" t="n">
        <v>0</v>
      </c>
      <c r="F19" s="44" t="n">
        <v>92</v>
      </c>
      <c r="G19" s="40" t="n">
        <v>576</v>
      </c>
      <c r="H19" s="44">
        <f>103-F19</f>
        <v/>
      </c>
      <c r="I19" s="40" t="n">
        <v>446</v>
      </c>
      <c r="J19" s="44" t="n">
        <v>432</v>
      </c>
      <c r="K19" s="28">
        <f>TABL123[[#This Row],[ (T/B) SAR]]+TABL123[[#This Row],[ (S/S) SAR]]</f>
        <v/>
      </c>
      <c r="L19" s="45" t="n">
        <v>302</v>
      </c>
      <c r="M19" s="46" t="n">
        <v>21.7</v>
      </c>
      <c r="N19" s="46" t="n">
        <v>8</v>
      </c>
      <c r="O19" s="40" t="n">
        <v>370</v>
      </c>
      <c r="P19" s="3">
        <f>TABL123[[#This Row],[ (S/S) SAR]]-TABL123[[#This Row],[(S/S) AJD]]</f>
        <v/>
      </c>
      <c r="Q19" s="40" t="n">
        <v>255</v>
      </c>
      <c r="R19" s="3">
        <f>TABL123[[#This Row],[ (T/B) SAR]]-TABL123[[#This Row],[(T/B) AJD]]</f>
        <v/>
      </c>
      <c r="S19" s="3">
        <f>TABL123[[#This Row],[T/B-CON.]]+TABL123[[#This Row],[S/S_CON.]]</f>
        <v/>
      </c>
      <c r="T19" s="3">
        <f>TABL123[[#This Row],[(S/S) AJD]]+TABL123[[#This Row],[(T/B) AJD]]</f>
        <v/>
      </c>
      <c r="U19" s="44" t="n">
        <v>246</v>
      </c>
      <c r="V19" s="44" t="n">
        <v>375</v>
      </c>
      <c r="W19" s="3">
        <f>TABL123[[#This Row],[(A/B) AJD]]+TABL123[[#This Row],[(A/S) AJD]]</f>
        <v/>
      </c>
      <c r="X19" s="3">
        <f>TABL123[[#This Row],[( S/S+T/B) AJD]]-TABL123[[#This Row],[(A/B + A/S) AJD]]</f>
        <v/>
      </c>
      <c r="Y19" s="44" t="n">
        <v>92.754</v>
      </c>
      <c r="Z19" s="45" t="n">
        <v>646310</v>
      </c>
      <c r="AA19" s="3">
        <f>TABL123[[#This Row],[(RESV. STORGE) AJD]]/10</f>
        <v/>
      </c>
      <c r="AB19" s="45">
        <f>IF(TRIM(Z19)="",,(Z19-Z18)/1000)</f>
        <v/>
      </c>
      <c r="AC19" s="45" t="n">
        <v>1109</v>
      </c>
      <c r="AD19" s="83">
        <f>TABL123[[#This Row],[( S/S+T/B) AJD]]-(TABL123[[#This Row],[(A/B + A/S) AJD]]+TABL123[[#This Row],[(STORGE DIFF.) AJD]]+(TABL123[[#This Row],[AJD_Evaporation]])/1000)</f>
        <v/>
      </c>
      <c r="AE19" s="68" t="n">
        <v>15</v>
      </c>
      <c r="AF19" s="68" t="n">
        <v>58.215</v>
      </c>
      <c r="AG19" s="68" t="n">
        <v>1108048</v>
      </c>
      <c r="AH19" s="45" t="n">
        <v>1279</v>
      </c>
      <c r="AI19" s="45" t="n">
        <v>1279</v>
      </c>
      <c r="AJ19" s="78">
        <f>TABL123[[#This Row],[(A/B) AJD]]-TABL123[[#This Row],[BER_IN]]</f>
        <v/>
      </c>
      <c r="AK19" s="68" t="n">
        <v>119</v>
      </c>
      <c r="AL19" s="87" t="n">
        <v>44.1672</v>
      </c>
      <c r="AM19" s="87" t="n">
        <v>3745080</v>
      </c>
      <c r="AN19" s="87">
        <f>TABL123[[#This Row],[ (RESV. STORGE) SER]]/10</f>
        <v/>
      </c>
      <c r="AO19" s="45" t="n">
        <v>1810</v>
      </c>
      <c r="AP19" s="32">
        <f>TABL123[[#This Row],[(A/S) AJD]]-TABL123[[#This Row],[SER_IN]]</f>
        <v/>
      </c>
    </row>
    <row r="20" ht="18.75" customHeight="1">
      <c r="A20" s="2" t="n">
        <v>46041</v>
      </c>
      <c r="B20" s="41" t="n">
        <v>35</v>
      </c>
      <c r="C20" s="41" t="n">
        <v>293</v>
      </c>
      <c r="D20" s="41" t="n">
        <v>35</v>
      </c>
      <c r="E20" s="41" t="n">
        <v>0</v>
      </c>
      <c r="F20" s="41" t="n">
        <v>92</v>
      </c>
      <c r="G20" s="39" t="n">
        <v>578</v>
      </c>
      <c r="H20" s="41">
        <f>103-F20</f>
        <v/>
      </c>
      <c r="I20" s="39" t="n">
        <v>448</v>
      </c>
      <c r="J20" s="39" t="n">
        <v>432</v>
      </c>
      <c r="K20" s="28">
        <f>TABL123[[#This Row],[ (T/B) SAR]]+TABL123[[#This Row],[ (S/S) SAR]]</f>
        <v/>
      </c>
      <c r="L20" s="41" t="n">
        <v>302</v>
      </c>
      <c r="M20" s="42" t="n">
        <v>21.7</v>
      </c>
      <c r="N20" s="42" t="n">
        <v>8.1</v>
      </c>
      <c r="O20" s="39" t="n">
        <v>385</v>
      </c>
      <c r="P20" s="3">
        <f>TABL123[[#This Row],[ (S/S) SAR]]-TABL123[[#This Row],[(S/S) AJD]]</f>
        <v/>
      </c>
      <c r="Q20" s="39" t="n">
        <v>416</v>
      </c>
      <c r="R20" s="3">
        <f>TABL123[[#This Row],[ (T/B) SAR]]-TABL123[[#This Row],[(T/B) AJD]]</f>
        <v/>
      </c>
      <c r="S20" s="3">
        <f>TABL123[[#This Row],[T/B-CON.]]+TABL123[[#This Row],[S/S_CON.]]</f>
        <v/>
      </c>
      <c r="T20" s="3">
        <f>TABL123[[#This Row],[(S/S) AJD]]+TABL123[[#This Row],[(T/B) AJD]]</f>
        <v/>
      </c>
      <c r="U20" s="41" t="n">
        <v>461</v>
      </c>
      <c r="V20" s="41" t="n">
        <v>395</v>
      </c>
      <c r="W20" s="3">
        <f>TABL123[[#This Row],[(A/B) AJD]]+TABL123[[#This Row],[(A/S) AJD]]</f>
        <v/>
      </c>
      <c r="X20" s="3">
        <f>TABL123[[#This Row],[( S/S+T/B) AJD]]-TABL123[[#This Row],[(A/B + A/S) AJD]]</f>
        <v/>
      </c>
      <c r="Y20" s="41" t="n">
        <v>92.61199999999999</v>
      </c>
      <c r="Z20" s="43" t="n">
        <v>563391</v>
      </c>
      <c r="AA20" s="3">
        <f>TABL123[[#This Row],[(RESV. STORGE) AJD]]/10</f>
        <v/>
      </c>
      <c r="AB20" s="45">
        <f>IF(TRIM(Z20)="",,(Z20-Z19)/1000)</f>
        <v/>
      </c>
      <c r="AC20" s="43" t="n">
        <v>1086</v>
      </c>
      <c r="AD20" s="83">
        <f>TABL123[[#This Row],[( S/S+T/B) AJD]]-(TABL123[[#This Row],[(A/B + A/S) AJD]]+TABL123[[#This Row],[(STORGE DIFF.) AJD]]+(TABL123[[#This Row],[AJD_Evaporation]])/1000)</f>
        <v/>
      </c>
      <c r="AE20" s="68" t="n">
        <v>100</v>
      </c>
      <c r="AF20" s="68" t="n">
        <v>58.265</v>
      </c>
      <c r="AG20" s="68" t="n">
        <v>1140731</v>
      </c>
      <c r="AH20" s="43" t="n">
        <v>1317</v>
      </c>
      <c r="AI20" s="43" t="n">
        <v>1317</v>
      </c>
      <c r="AJ20" s="78">
        <f>TABL123[[#This Row],[(A/B) AJD]]-TABL123[[#This Row],[BER_IN]]</f>
        <v/>
      </c>
      <c r="AK20" s="68" t="n">
        <v>119</v>
      </c>
      <c r="AL20" s="87" t="n">
        <v>44.3176</v>
      </c>
      <c r="AM20" s="87" t="n">
        <v>3827490</v>
      </c>
      <c r="AN20" s="87">
        <f>TABL123[[#This Row],[ (RESV. STORGE) SER]]/10</f>
        <v/>
      </c>
      <c r="AO20" s="43" t="n">
        <v>1890</v>
      </c>
      <c r="AP20" s="32">
        <f>TABL123[[#This Row],[(A/S) AJD]]-TABL123[[#This Row],[SER_IN]]</f>
        <v/>
      </c>
    </row>
    <row r="21" ht="18.75" customHeight="1">
      <c r="A21" s="2" t="n">
        <v>46042</v>
      </c>
      <c r="B21" s="44" t="n">
        <v>35</v>
      </c>
      <c r="C21" s="44" t="n">
        <v>296</v>
      </c>
      <c r="D21" s="44" t="n">
        <v>35</v>
      </c>
      <c r="E21" s="44" t="n">
        <v>0</v>
      </c>
      <c r="F21" s="44" t="n">
        <v>97</v>
      </c>
      <c r="G21" s="40" t="n">
        <v>611</v>
      </c>
      <c r="H21" s="44">
        <f>103-F21</f>
        <v/>
      </c>
      <c r="I21" s="40" t="n">
        <v>479</v>
      </c>
      <c r="J21" s="44" t="n">
        <v>461</v>
      </c>
      <c r="K21" s="28">
        <f>TABL123[[#This Row],[ (T/B) SAR]]+TABL123[[#This Row],[ (S/S) SAR]]</f>
        <v/>
      </c>
      <c r="L21" s="45" t="n">
        <v>329</v>
      </c>
      <c r="M21" s="46" t="n">
        <v>22.9</v>
      </c>
      <c r="N21" s="46" t="n">
        <v>8.06</v>
      </c>
      <c r="O21" s="40" t="n">
        <v>392</v>
      </c>
      <c r="P21" s="3">
        <f>TABL123[[#This Row],[ (S/S) SAR]]-TABL123[[#This Row],[(S/S) AJD]]</f>
        <v/>
      </c>
      <c r="Q21" s="40" t="n">
        <v>426</v>
      </c>
      <c r="R21" s="3">
        <f>TABL123[[#This Row],[ (T/B) SAR]]-TABL123[[#This Row],[(T/B) AJD]]</f>
        <v/>
      </c>
      <c r="S21" s="3">
        <f>TABL123[[#This Row],[T/B-CON.]]+TABL123[[#This Row],[S/S_CON.]]</f>
        <v/>
      </c>
      <c r="T21" s="3">
        <f>TABL123[[#This Row],[(S/S) AJD]]+TABL123[[#This Row],[(T/B) AJD]]</f>
        <v/>
      </c>
      <c r="U21" s="44" t="n">
        <v>533</v>
      </c>
      <c r="V21" s="44" t="n">
        <v>384</v>
      </c>
      <c r="W21" s="3">
        <f>TABL123[[#This Row],[(A/B) AJD]]+TABL123[[#This Row],[(A/S) AJD]]</f>
        <v/>
      </c>
      <c r="X21" s="3">
        <f>TABL123[[#This Row],[( S/S+T/B) AJD]]-TABL123[[#This Row],[(A/B + A/S) AJD]]</f>
        <v/>
      </c>
      <c r="Y21" s="44" t="n">
        <v>92.405</v>
      </c>
      <c r="Z21" s="45" t="n">
        <v>440072</v>
      </c>
      <c r="AA21" s="3">
        <f>TABL123[[#This Row],[(RESV. STORGE) AJD]]/10</f>
        <v/>
      </c>
      <c r="AB21" s="45">
        <f>IF(TRIM(Z21)="",,(Z21-Z20)/1000)</f>
        <v/>
      </c>
      <c r="AC21" s="45" t="n">
        <v>2007</v>
      </c>
      <c r="AD21" s="83">
        <f>TABL123[[#This Row],[( S/S+T/B) AJD]]-(TABL123[[#This Row],[(A/B + A/S) AJD]]+TABL123[[#This Row],[(STORGE DIFF.) AJD]]+(TABL123[[#This Row],[AJD_Evaporation]])/1000)</f>
        <v/>
      </c>
      <c r="AE21" s="68" t="n">
        <v>85</v>
      </c>
      <c r="AF21" s="68" t="n">
        <v>58.325</v>
      </c>
      <c r="AG21" s="68" t="n">
        <v>1179978</v>
      </c>
      <c r="AH21" s="45" t="n">
        <v>2000</v>
      </c>
      <c r="AI21" s="45" t="n">
        <v>2000</v>
      </c>
      <c r="AJ21" s="78">
        <f>TABL123[[#This Row],[(A/B) AJD]]-TABL123[[#This Row],[BER_IN]]</f>
        <v/>
      </c>
      <c r="AK21" s="68" t="n">
        <v>119</v>
      </c>
      <c r="AL21" s="87" t="n">
        <v>44.5108</v>
      </c>
      <c r="AM21" s="87" t="n">
        <v>3934870</v>
      </c>
      <c r="AN21" s="87">
        <f>TABL123[[#This Row],[ (RESV. STORGE) SER]]/10</f>
        <v/>
      </c>
      <c r="AO21" s="45" t="n">
        <v>1820</v>
      </c>
      <c r="AP21" s="32">
        <f>TABL123[[#This Row],[(A/S) AJD]]-TABL123[[#This Row],[SER_IN]]</f>
        <v/>
      </c>
    </row>
    <row r="22" ht="18.75" customHeight="1">
      <c r="A22" s="2" t="n">
        <v>46043</v>
      </c>
      <c r="B22" s="41" t="n">
        <v>35</v>
      </c>
      <c r="C22" s="41" t="n">
        <v>280</v>
      </c>
      <c r="D22" s="41" t="n">
        <v>35</v>
      </c>
      <c r="E22" s="41" t="n">
        <v>0</v>
      </c>
      <c r="F22" s="41" t="n">
        <v>97</v>
      </c>
      <c r="G22" s="39" t="n">
        <v>610</v>
      </c>
      <c r="H22" s="41">
        <f>103-F22</f>
        <v/>
      </c>
      <c r="I22" s="39" t="n">
        <v>477</v>
      </c>
      <c r="J22" s="39" t="n">
        <v>459</v>
      </c>
      <c r="K22" s="28">
        <f>TABL123[[#This Row],[ (T/B) SAR]]+TABL123[[#This Row],[ (S/S) SAR]]</f>
        <v/>
      </c>
      <c r="L22" s="41" t="n">
        <v>326</v>
      </c>
      <c r="M22" s="42" t="n">
        <v>22.9</v>
      </c>
      <c r="N22" s="42" t="n">
        <v>8</v>
      </c>
      <c r="O22" s="39" t="n">
        <v>416</v>
      </c>
      <c r="P22" s="3">
        <f>TABL123[[#This Row],[ (S/S) SAR]]-TABL123[[#This Row],[(S/S) AJD]]</f>
        <v/>
      </c>
      <c r="Q22" s="39" t="n">
        <v>447</v>
      </c>
      <c r="R22" s="3">
        <f>TABL123[[#This Row],[ (T/B) SAR]]-TABL123[[#This Row],[(T/B) AJD]]</f>
        <v/>
      </c>
      <c r="S22" s="3">
        <f>TABL123[[#This Row],[T/B-CON.]]+TABL123[[#This Row],[S/S_CON.]]</f>
        <v/>
      </c>
      <c r="T22" s="3">
        <f>TABL123[[#This Row],[(S/S) AJD]]+TABL123[[#This Row],[(T/B) AJD]]</f>
        <v/>
      </c>
      <c r="U22" s="41" t="n">
        <v>526</v>
      </c>
      <c r="V22" s="41" t="n">
        <v>338</v>
      </c>
      <c r="W22" s="3">
        <f>TABL123[[#This Row],[(A/B) AJD]]+TABL123[[#This Row],[(A/S) AJD]]</f>
        <v/>
      </c>
      <c r="X22" s="3">
        <f>TABL123[[#This Row],[( S/S+T/B) AJD]]-TABL123[[#This Row],[(A/B + A/S) AJD]]</f>
        <v/>
      </c>
      <c r="Y22" s="41" t="n">
        <v>92.33</v>
      </c>
      <c r="Z22" s="43" t="n">
        <v>396667</v>
      </c>
      <c r="AA22" s="3">
        <f>TABL123[[#This Row],[(RESV. STORGE) AJD]]/10</f>
        <v/>
      </c>
      <c r="AB22" s="45">
        <f>IF(TRIM(Z22)="",,(Z22-Z21)/1000)</f>
        <v/>
      </c>
      <c r="AC22" s="43" t="n">
        <v>2115</v>
      </c>
      <c r="AD22" s="83">
        <f>TABL123[[#This Row],[( S/S+T/B) AJD]]-(TABL123[[#This Row],[(A/B + A/S) AJD]]+TABL123[[#This Row],[(STORGE DIFF.) AJD]]+(TABL123[[#This Row],[AJD_Evaporation]])/1000)</f>
        <v/>
      </c>
      <c r="AE22" s="68" t="n">
        <v>87</v>
      </c>
      <c r="AF22" s="68" t="n">
        <v>58.375</v>
      </c>
      <c r="AG22" s="68" t="n">
        <v>1212708</v>
      </c>
      <c r="AH22" s="43" t="n">
        <v>1858</v>
      </c>
      <c r="AI22" s="43" t="n">
        <v>1858</v>
      </c>
      <c r="AJ22" s="78">
        <f>TABL123[[#This Row],[(A/B) AJD]]-TABL123[[#This Row],[BER_IN]]</f>
        <v/>
      </c>
      <c r="AK22" s="68" t="n">
        <v>87</v>
      </c>
      <c r="AL22" s="87" t="n">
        <v>44.6266</v>
      </c>
      <c r="AM22" s="87" t="n">
        <v>3998520</v>
      </c>
      <c r="AN22" s="87">
        <f>TABL123[[#This Row],[ (RESV. STORGE) SER]]/10</f>
        <v/>
      </c>
      <c r="AO22" s="43" t="n">
        <v>1850</v>
      </c>
      <c r="AP22" s="32">
        <f>TABL123[[#This Row],[(A/S) AJD]]-TABL123[[#This Row],[SER_IN]]</f>
        <v/>
      </c>
    </row>
    <row r="23" ht="18.75" customHeight="1">
      <c r="A23" s="2" t="n">
        <v>46044</v>
      </c>
      <c r="B23" s="44" t="n">
        <v>34</v>
      </c>
      <c r="C23" s="44" t="n">
        <v>285</v>
      </c>
      <c r="D23" s="44" t="n">
        <v>34</v>
      </c>
      <c r="E23" s="44" t="n">
        <v>0</v>
      </c>
      <c r="F23" s="44" t="n">
        <v>97</v>
      </c>
      <c r="G23" s="40" t="n">
        <v>610</v>
      </c>
      <c r="H23" s="44">
        <f>103-F23</f>
        <v/>
      </c>
      <c r="I23" s="40" t="n">
        <v>477</v>
      </c>
      <c r="J23" s="44" t="n">
        <v>458</v>
      </c>
      <c r="K23" s="28">
        <f>TABL123[[#This Row],[ (T/B) SAR]]+TABL123[[#This Row],[ (S/S) SAR]]</f>
        <v/>
      </c>
      <c r="L23" s="45" t="n">
        <v>325</v>
      </c>
      <c r="M23" s="46" t="n">
        <v>22.9</v>
      </c>
      <c r="N23" s="46" t="n">
        <v>7.9</v>
      </c>
      <c r="O23" s="40" t="n">
        <v>415</v>
      </c>
      <c r="P23" s="3">
        <f>TABL123[[#This Row],[ (S/S) SAR]]-TABL123[[#This Row],[(S/S) AJD]]</f>
        <v/>
      </c>
      <c r="Q23" s="40" t="n">
        <v>449</v>
      </c>
      <c r="R23" s="3">
        <f>TABL123[[#This Row],[ (T/B) SAR]]-TABL123[[#This Row],[(T/B) AJD]]</f>
        <v/>
      </c>
      <c r="S23" s="3">
        <f>TABL123[[#This Row],[T/B-CON.]]+TABL123[[#This Row],[S/S_CON.]]</f>
        <v/>
      </c>
      <c r="T23" s="3">
        <f>TABL123[[#This Row],[(S/S) AJD]]+TABL123[[#This Row],[(T/B) AJD]]</f>
        <v/>
      </c>
      <c r="U23" s="44" t="n">
        <v>527</v>
      </c>
      <c r="V23" s="44" t="n">
        <v>288</v>
      </c>
      <c r="W23" s="3">
        <f>TABL123[[#This Row],[(A/B) AJD]]+TABL123[[#This Row],[(A/S) AJD]]</f>
        <v/>
      </c>
      <c r="X23" s="3">
        <f>TABL123[[#This Row],[( S/S+T/B) AJD]]-TABL123[[#This Row],[(A/B + A/S) AJD]]</f>
        <v/>
      </c>
      <c r="Y23" s="44" t="n">
        <v>92.40000000000001</v>
      </c>
      <c r="Z23" s="45" t="n">
        <v>438288</v>
      </c>
      <c r="AA23" s="3">
        <f>TABL123[[#This Row],[(RESV. STORGE) AJD]]/10</f>
        <v/>
      </c>
      <c r="AB23" s="45">
        <f>IF(TRIM(Z23)="",,(Z23-Z22)/1000)</f>
        <v/>
      </c>
      <c r="AC23" s="45" t="n">
        <v>1124</v>
      </c>
      <c r="AD23" s="83">
        <f>TABL123[[#This Row],[( S/S+T/B) AJD]]-(TABL123[[#This Row],[(A/B + A/S) AJD]]+TABL123[[#This Row],[(STORGE DIFF.) AJD]]+(TABL123[[#This Row],[AJD_Evaporation]])/1000)</f>
        <v/>
      </c>
      <c r="AE23" s="68" t="n">
        <v>85</v>
      </c>
      <c r="AF23" s="68" t="n">
        <v>58.433</v>
      </c>
      <c r="AG23" s="68" t="n">
        <v>1250702</v>
      </c>
      <c r="AH23" s="45" t="n">
        <v>1769</v>
      </c>
      <c r="AI23" s="45" t="n">
        <v>1769</v>
      </c>
      <c r="AJ23" s="78">
        <f>TABL123[[#This Row],[(A/B) AJD]]-TABL123[[#This Row],[BER_IN]]</f>
        <v/>
      </c>
      <c r="AK23" s="68" t="n">
        <v>75</v>
      </c>
      <c r="AL23" s="87" t="n">
        <v>44.7303</v>
      </c>
      <c r="AM23" s="87" t="n">
        <v>4055970</v>
      </c>
      <c r="AN23" s="87">
        <f>TABL123[[#This Row],[ (RESV. STORGE) SER]]/10</f>
        <v/>
      </c>
      <c r="AO23" s="45" t="n">
        <v>1850</v>
      </c>
      <c r="AP23" s="32">
        <f>TABL123[[#This Row],[(A/S) AJD]]-TABL123[[#This Row],[SER_IN]]</f>
        <v/>
      </c>
    </row>
    <row r="24" ht="18.75" customHeight="1">
      <c r="A24" s="2" t="n">
        <v>46045</v>
      </c>
      <c r="B24" s="41" t="n">
        <v>34</v>
      </c>
      <c r="C24" s="41" t="n">
        <v>288</v>
      </c>
      <c r="D24" s="41" t="n">
        <v>34</v>
      </c>
      <c r="E24" s="41" t="n">
        <v>0</v>
      </c>
      <c r="F24" s="41" t="n">
        <v>97</v>
      </c>
      <c r="G24" s="39" t="n">
        <v>611</v>
      </c>
      <c r="H24" s="41">
        <f>103-F24</f>
        <v/>
      </c>
      <c r="I24" s="39" t="n">
        <v>477</v>
      </c>
      <c r="J24" s="39" t="n">
        <v>459</v>
      </c>
      <c r="K24" s="28">
        <f>TABL123[[#This Row],[ (T/B) SAR]]+TABL123[[#This Row],[ (S/S) SAR]]</f>
        <v/>
      </c>
      <c r="L24" s="41" t="n">
        <v>325</v>
      </c>
      <c r="M24" s="42" t="n">
        <v>22.9</v>
      </c>
      <c r="N24" s="42" t="n">
        <v>7.86</v>
      </c>
      <c r="O24" s="39" t="n">
        <v>417</v>
      </c>
      <c r="P24" s="3">
        <f>TABL123[[#This Row],[ (S/S) SAR]]-TABL123[[#This Row],[(S/S) AJD]]</f>
        <v/>
      </c>
      <c r="Q24" s="39" t="n">
        <v>449</v>
      </c>
      <c r="R24" s="3">
        <f>TABL123[[#This Row],[ (T/B) SAR]]-TABL123[[#This Row],[(T/B) AJD]]</f>
        <v/>
      </c>
      <c r="S24" s="3">
        <f>TABL123[[#This Row],[T/B-CON.]]+TABL123[[#This Row],[S/S_CON.]]</f>
        <v/>
      </c>
      <c r="T24" s="3">
        <f>TABL123[[#This Row],[(S/S) AJD]]+TABL123[[#This Row],[(T/B) AJD]]</f>
        <v/>
      </c>
      <c r="U24" s="41" t="n">
        <v>550</v>
      </c>
      <c r="V24" s="41" t="n">
        <v>308</v>
      </c>
      <c r="W24" s="3">
        <f>TABL123[[#This Row],[(A/B) AJD]]+TABL123[[#This Row],[(A/S) AJD]]</f>
        <v/>
      </c>
      <c r="X24" s="3">
        <f>TABL123[[#This Row],[( S/S+T/B) AJD]]-TABL123[[#This Row],[(A/B + A/S) AJD]]</f>
        <v/>
      </c>
      <c r="Y24" s="41" t="n">
        <v>92.405</v>
      </c>
      <c r="Z24" s="43" t="n">
        <v>440076</v>
      </c>
      <c r="AA24" s="3">
        <f>TABL123[[#This Row],[(RESV. STORGE) AJD]]/10</f>
        <v/>
      </c>
      <c r="AB24" s="45">
        <f>IF(TRIM(Z24)="",,(Z24-Z23)/1000)</f>
        <v/>
      </c>
      <c r="AC24" s="43" t="n">
        <v>2000</v>
      </c>
      <c r="AD24" s="83">
        <f>TABL123[[#This Row],[( S/S+T/B) AJD]]-(TABL123[[#This Row],[(A/B + A/S) AJD]]+TABL123[[#This Row],[(STORGE DIFF.) AJD]]+(TABL123[[#This Row],[AJD_Evaporation]])/1000)</f>
        <v/>
      </c>
      <c r="AE24" s="68" t="n">
        <v>98</v>
      </c>
      <c r="AF24" s="68" t="n">
        <v>58.487</v>
      </c>
      <c r="AG24" s="68" t="n">
        <v>1286101</v>
      </c>
      <c r="AH24" s="43" t="n">
        <v>1660</v>
      </c>
      <c r="AI24" s="43" t="n">
        <v>1660</v>
      </c>
      <c r="AJ24" s="78">
        <f>TABL123[[#This Row],[(A/B) AJD]]-TABL123[[#This Row],[BER_IN]]</f>
        <v/>
      </c>
      <c r="AK24" s="68" t="n">
        <v>76</v>
      </c>
      <c r="AL24" s="87" t="n">
        <v>44.8392</v>
      </c>
      <c r="AM24" s="87" t="n">
        <v>4116700</v>
      </c>
      <c r="AN24" s="87">
        <f>TABL123[[#This Row],[ (RESV. STORGE) SER]]/10</f>
        <v/>
      </c>
      <c r="AO24" s="43" t="n">
        <v>1870</v>
      </c>
      <c r="AP24" s="32">
        <f>TABL123[[#This Row],[(A/S) AJD]]-TABL123[[#This Row],[SER_IN]]</f>
        <v/>
      </c>
    </row>
    <row r="25" ht="18.75" customHeight="1">
      <c r="A25" s="2" t="n">
        <v>46046</v>
      </c>
      <c r="B25" s="44" t="n">
        <v>34</v>
      </c>
      <c r="C25" s="44" t="n">
        <v>290</v>
      </c>
      <c r="D25" s="44" t="n">
        <v>34</v>
      </c>
      <c r="E25" s="44" t="n">
        <v>0</v>
      </c>
      <c r="F25" s="44" t="n">
        <v>97</v>
      </c>
      <c r="G25" s="40" t="n">
        <v>612</v>
      </c>
      <c r="H25" s="44">
        <f>103-F25</f>
        <v/>
      </c>
      <c r="I25" s="40" t="n">
        <v>459</v>
      </c>
      <c r="J25" s="44" t="n">
        <v>477</v>
      </c>
      <c r="K25" s="28">
        <f>TABL123[[#This Row],[ (T/B) SAR]]+TABL123[[#This Row],[ (S/S) SAR]]</f>
        <v/>
      </c>
      <c r="L25" s="45" t="n">
        <v>324</v>
      </c>
      <c r="M25" s="46" t="n">
        <v>22.9</v>
      </c>
      <c r="N25" s="46" t="n">
        <v>7.81</v>
      </c>
      <c r="O25" s="40" t="n">
        <v>416</v>
      </c>
      <c r="P25" s="3">
        <f>TABL123[[#This Row],[ (S/S) SAR]]-TABL123[[#This Row],[(S/S) AJD]]</f>
        <v/>
      </c>
      <c r="Q25" s="40" t="n">
        <v>449</v>
      </c>
      <c r="R25" s="3">
        <f>TABL123[[#This Row],[ (T/B) SAR]]-TABL123[[#This Row],[(T/B) AJD]]</f>
        <v/>
      </c>
      <c r="S25" s="3">
        <f>TABL123[[#This Row],[T/B-CON.]]+TABL123[[#This Row],[S/S_CON.]]</f>
        <v/>
      </c>
      <c r="T25" s="3">
        <f>TABL123[[#This Row],[(S/S) AJD]]+TABL123[[#This Row],[(T/B) AJD]]</f>
        <v/>
      </c>
      <c r="U25" s="44" t="n">
        <v>538</v>
      </c>
      <c r="V25" s="44" t="n">
        <v>314</v>
      </c>
      <c r="W25" s="3">
        <f>TABL123[[#This Row],[(A/B) AJD]]+TABL123[[#This Row],[(A/S) AJD]]</f>
        <v/>
      </c>
      <c r="X25" s="3">
        <f>TABL123[[#This Row],[( S/S+T/B) AJD]]-TABL123[[#This Row],[(A/B + A/S) AJD]]</f>
        <v/>
      </c>
      <c r="Y25" s="44" t="n">
        <v>92.337</v>
      </c>
      <c r="Z25" s="45" t="n">
        <v>423423</v>
      </c>
      <c r="AA25" s="3">
        <f>TABL123[[#This Row],[(RESV. STORGE) AJD]]/10</f>
        <v/>
      </c>
      <c r="AB25" s="45">
        <f>IF(TRIM(Z25)="",,(Z25-Z24)/1000)</f>
        <v/>
      </c>
      <c r="AC25" s="45" t="n">
        <v>1548</v>
      </c>
      <c r="AD25" s="83">
        <f>TABL123[[#This Row],[( S/S+T/B) AJD]]-(TABL123[[#This Row],[(A/B + A/S) AJD]]+TABL123[[#This Row],[(STORGE DIFF.) AJD]]+(TABL123[[#This Row],[AJD_Evaporation]])/1000)</f>
        <v/>
      </c>
      <c r="AE25" s="68" t="n">
        <v>85</v>
      </c>
      <c r="AF25" s="68" t="n">
        <v>58.534</v>
      </c>
      <c r="AG25" s="68" t="n">
        <v>1316932</v>
      </c>
      <c r="AH25" s="45" t="n">
        <v>1780</v>
      </c>
      <c r="AI25" s="45" t="n">
        <v>1780</v>
      </c>
      <c r="AJ25" s="78">
        <f>TABL123[[#This Row],[(A/B) AJD]]-TABL123[[#This Row],[BER_IN]]</f>
        <v/>
      </c>
      <c r="AK25" s="68" t="n">
        <v>76</v>
      </c>
      <c r="AL25" s="87" t="n">
        <v>44.9462</v>
      </c>
      <c r="AM25" s="87" t="n">
        <v>4176200</v>
      </c>
      <c r="AN25" s="87">
        <f>TABL123[[#This Row],[ (RESV. STORGE) SER]]/10</f>
        <v/>
      </c>
      <c r="AO25" s="45" t="n">
        <v>1870</v>
      </c>
      <c r="AP25" s="32">
        <f>TABL123[[#This Row],[(A/S) AJD]]-TABL123[[#This Row],[SER_IN]]</f>
        <v/>
      </c>
    </row>
    <row r="26" ht="18.75" customHeight="1">
      <c r="A26" s="2" t="n">
        <v>46047</v>
      </c>
      <c r="B26" s="41" t="n">
        <v>34</v>
      </c>
      <c r="C26" s="41" t="n">
        <v>282</v>
      </c>
      <c r="D26" s="41" t="n">
        <v>34</v>
      </c>
      <c r="E26" s="41" t="n">
        <v>0</v>
      </c>
      <c r="F26" s="41" t="n">
        <v>97</v>
      </c>
      <c r="G26" s="39" t="n">
        <v>600</v>
      </c>
      <c r="H26" s="41">
        <f>103-F26</f>
        <v/>
      </c>
      <c r="I26" s="39" t="n">
        <v>471</v>
      </c>
      <c r="J26" s="39" t="n">
        <v>453</v>
      </c>
      <c r="K26" s="28">
        <f>TABL123[[#This Row],[ (T/B) SAR]]+TABL123[[#This Row],[ (S/S) SAR]]</f>
        <v/>
      </c>
      <c r="L26" s="41" t="n">
        <v>324</v>
      </c>
      <c r="M26" s="42" t="n">
        <v>22.9</v>
      </c>
      <c r="N26" s="42" t="n">
        <v>7.74</v>
      </c>
      <c r="O26" s="39" t="n">
        <v>415</v>
      </c>
      <c r="P26" s="3">
        <f>TABL123[[#This Row],[ (S/S) SAR]]-TABL123[[#This Row],[(S/S) AJD]]</f>
        <v/>
      </c>
      <c r="Q26" s="39" t="n">
        <v>448</v>
      </c>
      <c r="R26" s="3">
        <f>TABL123[[#This Row],[ (T/B) SAR]]-TABL123[[#This Row],[(T/B) AJD]]</f>
        <v/>
      </c>
      <c r="S26" s="3">
        <f>TABL123[[#This Row],[T/B-CON.]]+TABL123[[#This Row],[S/S_CON.]]</f>
        <v/>
      </c>
      <c r="T26" s="3">
        <f>TABL123[[#This Row],[(S/S) AJD]]+TABL123[[#This Row],[(T/B) AJD]]</f>
        <v/>
      </c>
      <c r="U26" s="41" t="n">
        <v>534</v>
      </c>
      <c r="V26" s="41" t="n">
        <v>283</v>
      </c>
      <c r="W26" s="3">
        <f>TABL123[[#This Row],[(A/B) AJD]]+TABL123[[#This Row],[(A/S) AJD]]</f>
        <v/>
      </c>
      <c r="X26" s="3">
        <f>TABL123[[#This Row],[( S/S+T/B) AJD]]-TABL123[[#This Row],[(A/B + A/S) AJD]]</f>
        <v/>
      </c>
      <c r="Y26" s="41" t="n">
        <v>92.417</v>
      </c>
      <c r="Z26" s="43" t="n">
        <v>447212</v>
      </c>
      <c r="AA26" s="3">
        <f>TABL123[[#This Row],[(RESV. STORGE) AJD]]/10</f>
        <v/>
      </c>
      <c r="AB26" s="45">
        <f>IF(TRIM(Z26)="",,(Z26-Z25)/1000)</f>
        <v/>
      </c>
      <c r="AC26" s="43" t="n">
        <v>1168</v>
      </c>
      <c r="AD26" s="83">
        <f>TABL123[[#This Row],[( S/S+T/B) AJD]]-(TABL123[[#This Row],[(A/B + A/S) AJD]]+TABL123[[#This Row],[(STORGE DIFF.) AJD]]+(TABL123[[#This Row],[AJD_Evaporation]])/1000)</f>
        <v/>
      </c>
      <c r="AE26" s="68" t="n">
        <v>71</v>
      </c>
      <c r="AF26" s="68" t="n">
        <v>58.531</v>
      </c>
      <c r="AG26" s="68" t="n">
        <v>1314964</v>
      </c>
      <c r="AH26" s="43" t="n">
        <v>1666</v>
      </c>
      <c r="AI26" s="43" t="n">
        <v>1666</v>
      </c>
      <c r="AJ26" s="78">
        <f>TABL123[[#This Row],[(A/B) AJD]]-TABL123[[#This Row],[BER_IN]]</f>
        <v/>
      </c>
      <c r="AK26" s="68" t="n">
        <v>59</v>
      </c>
      <c r="AL26" s="87" t="n">
        <v>45.0098</v>
      </c>
      <c r="AM26" s="87" t="n">
        <v>4211830</v>
      </c>
      <c r="AN26" s="87">
        <f>TABL123[[#This Row],[ (RESV. STORGE) SER]]/10</f>
        <v/>
      </c>
      <c r="AO26" s="43" t="n">
        <v>1870</v>
      </c>
      <c r="AP26" s="32">
        <f>TABL123[[#This Row],[(A/S) AJD]]-TABL123[[#This Row],[SER_IN]]</f>
        <v/>
      </c>
    </row>
    <row r="27" ht="18.75" customHeight="1">
      <c r="A27" s="2" t="n">
        <v>46048</v>
      </c>
      <c r="B27" s="44" t="n">
        <v>34</v>
      </c>
      <c r="C27" s="44" t="n">
        <v>284</v>
      </c>
      <c r="D27" s="44" t="n">
        <v>34</v>
      </c>
      <c r="E27" s="44" t="n">
        <v>0</v>
      </c>
      <c r="F27" s="44" t="n">
        <v>97</v>
      </c>
      <c r="G27" s="40" t="n">
        <v>603</v>
      </c>
      <c r="H27" s="44">
        <f>103-F27</f>
        <v/>
      </c>
      <c r="I27" s="40" t="n">
        <v>471</v>
      </c>
      <c r="J27" s="44" t="n">
        <v>452</v>
      </c>
      <c r="K27" s="28">
        <f>TABL123[[#This Row],[ (T/B) SAR]]+TABL123[[#This Row],[ (S/S) SAR]]</f>
        <v/>
      </c>
      <c r="L27" s="45" t="n">
        <v>320</v>
      </c>
      <c r="M27" s="46" t="n">
        <v>22.9</v>
      </c>
      <c r="N27" s="46" t="n">
        <v>7.67</v>
      </c>
      <c r="O27" s="40" t="n">
        <v>412</v>
      </c>
      <c r="P27" s="3">
        <f>TABL123[[#This Row],[ (S/S) SAR]]-TABL123[[#This Row],[(S/S) AJD]]</f>
        <v/>
      </c>
      <c r="Q27" s="40" t="n">
        <v>444</v>
      </c>
      <c r="R27" s="3">
        <f>TABL123[[#This Row],[ (T/B) SAR]]-TABL123[[#This Row],[(T/B) AJD]]</f>
        <v/>
      </c>
      <c r="S27" s="3">
        <f>TABL123[[#This Row],[T/B-CON.]]+TABL123[[#This Row],[S/S_CON.]]</f>
        <v/>
      </c>
      <c r="T27" s="3">
        <f>TABL123[[#This Row],[(S/S) AJD]]+TABL123[[#This Row],[(T/B) AJD]]</f>
        <v/>
      </c>
      <c r="U27" s="44" t="n">
        <v>527</v>
      </c>
      <c r="V27" s="44" t="n">
        <v>316</v>
      </c>
      <c r="W27" s="3">
        <f>TABL123[[#This Row],[(A/B) AJD]]+TABL123[[#This Row],[(A/S) AJD]]</f>
        <v/>
      </c>
      <c r="X27" s="3">
        <f>TABL123[[#This Row],[( S/S+T/B) AJD]]-TABL123[[#This Row],[(A/B + A/S) AJD]]</f>
        <v/>
      </c>
      <c r="Y27" s="44" t="n">
        <v>92.36</v>
      </c>
      <c r="Z27" s="45" t="n">
        <v>419340</v>
      </c>
      <c r="AA27" s="3">
        <f>TABL123[[#This Row],[(RESV. STORGE) AJD]]/10</f>
        <v/>
      </c>
      <c r="AB27" s="45">
        <f>IF(TRIM(Z27)="",,(Z27-Z26)/1000)</f>
        <v/>
      </c>
      <c r="AC27" s="45" t="n">
        <v>1319</v>
      </c>
      <c r="AD27" s="83">
        <f>TABL123[[#This Row],[( S/S+T/B) AJD]]-(TABL123[[#This Row],[(A/B + A/S) AJD]]+TABL123[[#This Row],[(STORGE DIFF.) AJD]]+(TABL123[[#This Row],[AJD_Evaporation]])/1000)</f>
        <v/>
      </c>
      <c r="AE27" s="68" t="n">
        <v>82</v>
      </c>
      <c r="AF27" s="68" t="n">
        <v>58.57</v>
      </c>
      <c r="AG27" s="68" t="n">
        <v>1340560</v>
      </c>
      <c r="AH27" s="45" t="n">
        <v>0</v>
      </c>
      <c r="AI27" s="45" t="n">
        <v>0</v>
      </c>
      <c r="AJ27" s="78">
        <f>TABL123[[#This Row],[(A/B) AJD]]-TABL123[[#This Row],[BER_IN]]</f>
        <v/>
      </c>
      <c r="AK27" s="68" t="n">
        <v>53</v>
      </c>
      <c r="AL27" s="87" t="n">
        <v>45.0339</v>
      </c>
      <c r="AM27" s="87" t="n">
        <v>4225760</v>
      </c>
      <c r="AN27" s="87">
        <f>TABL123[[#This Row],[ (RESV. STORGE) SER]]/10</f>
        <v/>
      </c>
      <c r="AO27" s="45" t="n">
        <v>1870</v>
      </c>
      <c r="AP27" s="32">
        <f>TABL123[[#This Row],[(A/S) AJD]]-TABL123[[#This Row],[SER_IN]]</f>
        <v/>
      </c>
    </row>
    <row r="28" ht="18.75" customHeight="1">
      <c r="A28" s="2" t="n">
        <v>46049</v>
      </c>
      <c r="B28" s="41" t="n">
        <v>34</v>
      </c>
      <c r="C28" s="41" t="n">
        <v>283</v>
      </c>
      <c r="D28" s="41" t="n">
        <v>34</v>
      </c>
      <c r="E28" s="41" t="n">
        <v>0</v>
      </c>
      <c r="F28" s="41" t="n">
        <v>97</v>
      </c>
      <c r="G28" s="39" t="n">
        <v>603</v>
      </c>
      <c r="H28" s="41">
        <f>103-F28</f>
        <v/>
      </c>
      <c r="I28" s="39" t="n">
        <v>470</v>
      </c>
      <c r="J28" s="39" t="n">
        <v>453</v>
      </c>
      <c r="K28" s="28">
        <f>TABL123[[#This Row],[ (T/B) SAR]]+TABL123[[#This Row],[ (S/S) SAR]]</f>
        <v/>
      </c>
      <c r="L28" s="41" t="n">
        <v>320</v>
      </c>
      <c r="M28" s="42" t="n">
        <v>22.9</v>
      </c>
      <c r="N28" s="42" t="n">
        <v>7.63</v>
      </c>
      <c r="O28" s="39" t="n">
        <v>416</v>
      </c>
      <c r="P28" s="3">
        <f>TABL123[[#This Row],[ (S/S) SAR]]-TABL123[[#This Row],[(S/S) AJD]]</f>
        <v/>
      </c>
      <c r="Q28" s="39" t="n">
        <v>442</v>
      </c>
      <c r="R28" s="3">
        <f>TABL123[[#This Row],[ (T/B) SAR]]-TABL123[[#This Row],[(T/B) AJD]]</f>
        <v/>
      </c>
      <c r="S28" s="3">
        <f>TABL123[[#This Row],[T/B-CON.]]+TABL123[[#This Row],[S/S_CON.]]</f>
        <v/>
      </c>
      <c r="T28" s="3">
        <f>TABL123[[#This Row],[(S/S) AJD]]+TABL123[[#This Row],[(T/B) AJD]]</f>
        <v/>
      </c>
      <c r="U28" s="41" t="n">
        <v>534</v>
      </c>
      <c r="V28" s="41" t="n">
        <v>323</v>
      </c>
      <c r="W28" s="3">
        <f>TABL123[[#This Row],[(A/B) AJD]]+TABL123[[#This Row],[(A/S) AJD]]</f>
        <v/>
      </c>
      <c r="X28" s="3">
        <f>TABL123[[#This Row],[( S/S+T/B) AJD]]-TABL123[[#This Row],[(A/B + A/S) AJD]]</f>
        <v/>
      </c>
      <c r="Y28" s="41" t="n">
        <v>92.31999999999999</v>
      </c>
      <c r="Z28" s="43" t="n">
        <v>389536</v>
      </c>
      <c r="AA28" s="3">
        <f>TABL123[[#This Row],[(RESV. STORGE) AJD]]/10</f>
        <v/>
      </c>
      <c r="AB28" s="45">
        <f>IF(TRIM(Z28)="",,(Z28-Z27)/1000)</f>
        <v/>
      </c>
      <c r="AC28" s="43" t="n">
        <v>458</v>
      </c>
      <c r="AD28" s="83">
        <f>TABL123[[#This Row],[( S/S+T/B) AJD]]-(TABL123[[#This Row],[(A/B + A/S) AJD]]+TABL123[[#This Row],[(STORGE DIFF.) AJD]]+(TABL123[[#This Row],[AJD_Evaporation]])/1000)</f>
        <v/>
      </c>
      <c r="AE28" s="68" t="n">
        <v>85</v>
      </c>
      <c r="AF28" s="68" t="n">
        <v>58.61</v>
      </c>
      <c r="AG28" s="68" t="n">
        <v>1366827</v>
      </c>
      <c r="AH28" s="43" t="n">
        <v>0</v>
      </c>
      <c r="AI28" s="43" t="n">
        <v>0</v>
      </c>
      <c r="AJ28" s="78">
        <f>TABL123[[#This Row],[(A/B) AJD]]-TABL123[[#This Row],[BER_IN]]</f>
        <v/>
      </c>
      <c r="AK28" s="68" t="n">
        <v>53</v>
      </c>
      <c r="AL28" s="87" t="n">
        <v>45.0724</v>
      </c>
      <c r="AM28" s="87" t="n">
        <v>4246560</v>
      </c>
      <c r="AN28" s="87">
        <f>TABL123[[#This Row],[ (RESV. STORGE) SER]]/10</f>
        <v/>
      </c>
      <c r="AO28" s="43" t="n">
        <v>1800</v>
      </c>
      <c r="AP28" s="32">
        <f>TABL123[[#This Row],[(A/S) AJD]]-TABL123[[#This Row],[SER_IN]]</f>
        <v/>
      </c>
    </row>
    <row r="29" ht="18.75" customHeight="1">
      <c r="A29" s="2" t="n">
        <v>46050</v>
      </c>
      <c r="B29" s="44" t="n">
        <v>34</v>
      </c>
      <c r="C29" s="44" t="n">
        <v>279</v>
      </c>
      <c r="D29" s="44" t="n">
        <v>34</v>
      </c>
      <c r="E29" s="44" t="n">
        <v>0</v>
      </c>
      <c r="F29" s="44" t="n">
        <v>97</v>
      </c>
      <c r="G29" s="40" t="n">
        <v>603</v>
      </c>
      <c r="H29" s="44">
        <f>103-F29</f>
        <v/>
      </c>
      <c r="I29" s="40" t="n">
        <v>470</v>
      </c>
      <c r="J29" s="44" t="n">
        <v>452</v>
      </c>
      <c r="K29" s="28">
        <f>TABL123[[#This Row],[ (T/B) SAR]]+TABL123[[#This Row],[ (S/S) SAR]]</f>
        <v/>
      </c>
      <c r="L29" s="45" t="n">
        <v>319</v>
      </c>
      <c r="M29" s="46" t="n">
        <v>22.9</v>
      </c>
      <c r="N29" s="46" t="n">
        <v>7.56</v>
      </c>
      <c r="O29" s="40" t="n">
        <v>409</v>
      </c>
      <c r="P29" s="3">
        <f>TABL123[[#This Row],[ (S/S) SAR]]-TABL123[[#This Row],[(S/S) AJD]]</f>
        <v/>
      </c>
      <c r="Q29" s="40" t="n">
        <v>441</v>
      </c>
      <c r="R29" s="3">
        <f>TABL123[[#This Row],[ (T/B) SAR]]-TABL123[[#This Row],[(T/B) AJD]]</f>
        <v/>
      </c>
      <c r="S29" s="3">
        <f>TABL123[[#This Row],[T/B-CON.]]+TABL123[[#This Row],[S/S_CON.]]</f>
        <v/>
      </c>
      <c r="T29" s="3">
        <f>TABL123[[#This Row],[(S/S) AJD]]+TABL123[[#This Row],[(T/B) AJD]]</f>
        <v/>
      </c>
      <c r="U29" s="44" t="n">
        <v>526</v>
      </c>
      <c r="V29" s="44" t="n">
        <v>315</v>
      </c>
      <c r="W29" s="3">
        <f>TABL123[[#This Row],[(A/B) AJD]]+TABL123[[#This Row],[(A/S) AJD]]</f>
        <v/>
      </c>
      <c r="X29" s="3">
        <f>TABL123[[#This Row],[( S/S+T/B) AJD]]-TABL123[[#This Row],[(A/B + A/S) AJD]]</f>
        <v/>
      </c>
      <c r="Y29" s="44" t="n">
        <v>92.33199999999999</v>
      </c>
      <c r="Z29" s="45" t="n">
        <v>396667</v>
      </c>
      <c r="AA29" s="3">
        <f>TABL123[[#This Row],[(RESV. STORGE) AJD]]/10</f>
        <v/>
      </c>
      <c r="AB29" s="45">
        <f>IF(TRIM(Z29)="",,(Z29-Z28)/1000)</f>
        <v/>
      </c>
      <c r="AC29" s="45" t="n">
        <v>0</v>
      </c>
      <c r="AD29" s="83">
        <f>TABL123[[#This Row],[( S/S+T/B) AJD]]-(TABL123[[#This Row],[(A/B + A/S) AJD]]+TABL123[[#This Row],[(STORGE DIFF.) AJD]]+(TABL123[[#This Row],[AJD_Evaporation]])/1000)</f>
        <v/>
      </c>
      <c r="AE29" s="68" t="n">
        <v>80</v>
      </c>
      <c r="AF29" s="68" t="n">
        <v>58.63</v>
      </c>
      <c r="AG29" s="68" t="n">
        <v>1379965</v>
      </c>
      <c r="AH29" s="45" t="n">
        <v>657</v>
      </c>
      <c r="AI29" s="45" t="n">
        <v>657</v>
      </c>
      <c r="AJ29" s="78">
        <f>TABL123[[#This Row],[(A/B) AJD]]-TABL123[[#This Row],[BER_IN]]</f>
        <v/>
      </c>
      <c r="AK29" s="68" t="n">
        <v>53</v>
      </c>
      <c r="AL29" s="87" t="n">
        <v>45.1213</v>
      </c>
      <c r="AM29" s="87" t="n">
        <v>4273770</v>
      </c>
      <c r="AN29" s="87">
        <f>TABL123[[#This Row],[ (RESV. STORGE) SER]]/10</f>
        <v/>
      </c>
      <c r="AO29" s="45" t="n">
        <v>1790</v>
      </c>
      <c r="AP29" s="32">
        <f>TABL123[[#This Row],[(A/S) AJD]]-TABL123[[#This Row],[SER_IN]]</f>
        <v/>
      </c>
    </row>
    <row r="30" ht="18.75" customHeight="1">
      <c r="A30" s="2" t="n">
        <v>46051</v>
      </c>
      <c r="B30" s="41" t="n">
        <v>33</v>
      </c>
      <c r="C30" s="41" t="n">
        <v>276</v>
      </c>
      <c r="D30" s="41" t="n">
        <v>33</v>
      </c>
      <c r="E30" s="41" t="n">
        <v>0</v>
      </c>
      <c r="F30" s="41" t="n">
        <v>97</v>
      </c>
      <c r="G30" s="39" t="n">
        <v>608</v>
      </c>
      <c r="H30" s="41">
        <f>103-F30</f>
        <v/>
      </c>
      <c r="I30" s="39" t="n">
        <v>472</v>
      </c>
      <c r="J30" s="39" t="n">
        <v>455</v>
      </c>
      <c r="K30" s="28">
        <f>TABL123[[#This Row],[ (T/B) SAR]]+TABL123[[#This Row],[ (S/S) SAR]]</f>
        <v/>
      </c>
      <c r="L30" s="41" t="n">
        <v>319</v>
      </c>
      <c r="M30" s="42" t="n">
        <v>22.9</v>
      </c>
      <c r="N30" s="42" t="n">
        <v>7.48</v>
      </c>
      <c r="O30" s="39" t="n">
        <v>413</v>
      </c>
      <c r="P30" s="3">
        <f>TABL123[[#This Row],[ (S/S) SAR]]-TABL123[[#This Row],[(S/S) AJD]]</f>
        <v/>
      </c>
      <c r="Q30" s="39" t="n">
        <v>444</v>
      </c>
      <c r="R30" s="3">
        <f>TABL123[[#This Row],[ (T/B) SAR]]-TABL123[[#This Row],[(T/B) AJD]]</f>
        <v/>
      </c>
      <c r="S30" s="3">
        <f>TABL123[[#This Row],[T/B-CON.]]+TABL123[[#This Row],[S/S_CON.]]</f>
        <v/>
      </c>
      <c r="T30" s="3">
        <f>TABL123[[#This Row],[(S/S) AJD]]+TABL123[[#This Row],[(T/B) AJD]]</f>
        <v/>
      </c>
      <c r="U30" s="41" t="n">
        <v>527</v>
      </c>
      <c r="V30" s="41" t="n">
        <v>323</v>
      </c>
      <c r="W30" s="3">
        <f>TABL123[[#This Row],[(A/B) AJD]]+TABL123[[#This Row],[(A/S) AJD]]</f>
        <v/>
      </c>
      <c r="X30" s="3">
        <f>TABL123[[#This Row],[( S/S+T/B) AJD]]-TABL123[[#This Row],[(A/B + A/S) AJD]]</f>
        <v/>
      </c>
      <c r="Y30" s="41" t="n">
        <v>92.27</v>
      </c>
      <c r="Z30" s="43" t="n">
        <v>359834</v>
      </c>
      <c r="AA30" s="3">
        <f>TABL123[[#This Row],[(RESV. STORGE) AJD]]/10</f>
        <v/>
      </c>
      <c r="AB30" s="45">
        <f>IF(TRIM(Z30)="",,(Z30-Z29)/1000)</f>
        <v/>
      </c>
      <c r="AC30" s="43" t="n">
        <v>387</v>
      </c>
      <c r="AD30" s="83">
        <f>TABL123[[#This Row],[( S/S+T/B) AJD]]-(TABL123[[#This Row],[(A/B + A/S) AJD]]+TABL123[[#This Row],[(STORGE DIFF.) AJD]]+(TABL123[[#This Row],[AJD_Evaporation]])/1000)</f>
        <v/>
      </c>
      <c r="AE30" s="68" t="n">
        <v>80</v>
      </c>
      <c r="AF30" s="68" t="n">
        <v>58.64</v>
      </c>
      <c r="AG30" s="68" t="n">
        <v>1386536</v>
      </c>
      <c r="AH30" s="43" t="n">
        <v>724</v>
      </c>
      <c r="AI30" s="43" t="n">
        <v>724</v>
      </c>
      <c r="AJ30" s="78">
        <f>TABL123[[#This Row],[(A/B) AJD]]-TABL123[[#This Row],[BER_IN]]</f>
        <v/>
      </c>
      <c r="AK30" s="68" t="n">
        <v>53</v>
      </c>
      <c r="AL30" s="87" t="n">
        <v>45.1723</v>
      </c>
      <c r="AM30" s="87" t="n">
        <v>4302170</v>
      </c>
      <c r="AN30" s="87">
        <f>TABL123[[#This Row],[ (RESV. STORGE) SER]]/10</f>
        <v/>
      </c>
      <c r="AO30" s="43" t="n">
        <v>1800</v>
      </c>
      <c r="AP30" s="32">
        <f>TABL123[[#This Row],[(A/S) AJD]]-TABL123[[#This Row],[SER_IN]]</f>
        <v/>
      </c>
    </row>
    <row r="31" ht="18.75" customHeight="1">
      <c r="A31" s="2" t="n">
        <v>46052</v>
      </c>
      <c r="B31" s="44" t="n">
        <v>33</v>
      </c>
      <c r="C31" s="44" t="n">
        <v>266</v>
      </c>
      <c r="D31" s="44" t="n">
        <v>33</v>
      </c>
      <c r="E31" s="44" t="n">
        <v>0</v>
      </c>
      <c r="F31" s="44" t="n">
        <v>97</v>
      </c>
      <c r="G31" s="40" t="n">
        <v>610</v>
      </c>
      <c r="H31" s="44">
        <f>103-F31</f>
        <v/>
      </c>
      <c r="I31" s="40" t="n">
        <v>472</v>
      </c>
      <c r="J31" s="44" t="n">
        <v>454</v>
      </c>
      <c r="K31" s="28">
        <f>TABL123[[#This Row],[ (T/B) SAR]]+TABL123[[#This Row],[ (S/S) SAR]]</f>
        <v/>
      </c>
      <c r="L31" s="45" t="n">
        <v>316</v>
      </c>
      <c r="M31" s="46" t="n">
        <v>22.9</v>
      </c>
      <c r="N31" s="46" t="n">
        <v>7.39</v>
      </c>
      <c r="O31" s="40" t="n">
        <v>412</v>
      </c>
      <c r="P31" s="3">
        <f>TABL123[[#This Row],[ (S/S) SAR]]-TABL123[[#This Row],[(S/S) AJD]]</f>
        <v/>
      </c>
      <c r="Q31" s="40" t="n">
        <v>445</v>
      </c>
      <c r="R31" s="3">
        <f>TABL123[[#This Row],[ (T/B) SAR]]-TABL123[[#This Row],[(T/B) AJD]]</f>
        <v/>
      </c>
      <c r="S31" s="3">
        <f>TABL123[[#This Row],[T/B-CON.]]+TABL123[[#This Row],[S/S_CON.]]</f>
        <v/>
      </c>
      <c r="T31" s="3">
        <f>TABL123[[#This Row],[(S/S) AJD]]+TABL123[[#This Row],[(T/B) AJD]]</f>
        <v/>
      </c>
      <c r="U31" s="44" t="n">
        <v>531</v>
      </c>
      <c r="V31" s="44" t="n">
        <v>279</v>
      </c>
      <c r="W31" s="3">
        <f>TABL123[[#This Row],[(A/B) AJD]]+TABL123[[#This Row],[(A/S) AJD]]</f>
        <v/>
      </c>
      <c r="X31" s="3">
        <f>TABL123[[#This Row],[( S/S+T/B) AJD]]-TABL123[[#This Row],[(A/B + A/S) AJD]]</f>
        <v/>
      </c>
      <c r="Y31" s="44" t="n">
        <v>92.31</v>
      </c>
      <c r="Z31" s="45" t="n">
        <v>383593</v>
      </c>
      <c r="AA31" s="3">
        <f>TABL123[[#This Row],[(RESV. STORGE) AJD]]/10</f>
        <v/>
      </c>
      <c r="AB31" s="45">
        <f>IF(TRIM(Z31)="",,(Z31-Z30)/1000)</f>
        <v/>
      </c>
      <c r="AC31" s="45" t="n">
        <v>624</v>
      </c>
      <c r="AD31" s="83">
        <f>TABL123[[#This Row],[( S/S+T/B) AJD]]-(TABL123[[#This Row],[(A/B + A/S) AJD]]+TABL123[[#This Row],[(STORGE DIFF.) AJD]]+(TABL123[[#This Row],[AJD_Evaporation]])/1000)</f>
        <v/>
      </c>
      <c r="AE31" s="68" t="n">
        <v>80</v>
      </c>
      <c r="AF31" s="68" t="n">
        <v>58.66</v>
      </c>
      <c r="AG31" s="68" t="n">
        <v>1399679</v>
      </c>
      <c r="AH31" s="45" t="n">
        <v>1376</v>
      </c>
      <c r="AI31" s="45" t="n">
        <v>1376</v>
      </c>
      <c r="AJ31" s="78">
        <f>TABL123[[#This Row],[(A/B) AJD]]-TABL123[[#This Row],[BER_IN]]</f>
        <v/>
      </c>
      <c r="AK31" s="68" t="n">
        <v>32</v>
      </c>
      <c r="AL31" s="87" t="n">
        <v>45.1916</v>
      </c>
      <c r="AM31" s="87" t="n">
        <v>4313340</v>
      </c>
      <c r="AN31" s="87">
        <f>TABL123[[#This Row],[ (RESV. STORGE) SER]]/10</f>
        <v/>
      </c>
      <c r="AO31" s="45" t="n">
        <v>1830</v>
      </c>
      <c r="AP31" s="32">
        <f>TABL123[[#This Row],[(A/S) AJD]]-TABL123[[#This Row],[SER_IN]]</f>
        <v/>
      </c>
    </row>
    <row r="32" ht="18.75" customHeight="1">
      <c r="A32" s="2" t="n">
        <v>46053</v>
      </c>
      <c r="B32" s="41" t="n">
        <v>30</v>
      </c>
      <c r="C32" s="41" t="n">
        <v>254</v>
      </c>
      <c r="D32" s="41" t="n">
        <v>30</v>
      </c>
      <c r="E32" s="41" t="n">
        <v>0</v>
      </c>
      <c r="F32" s="41" t="n">
        <v>97</v>
      </c>
      <c r="G32" s="39" t="n">
        <v>613</v>
      </c>
      <c r="H32" s="41">
        <f>103-F32</f>
        <v/>
      </c>
      <c r="I32" s="39" t="n">
        <v>471</v>
      </c>
      <c r="J32" s="39" t="n">
        <v>453</v>
      </c>
      <c r="K32" s="28">
        <f>TABL123[[#This Row],[ (T/B) SAR]]+TABL123[[#This Row],[ (S/S) SAR]]</f>
        <v/>
      </c>
      <c r="L32" s="41" t="n">
        <v>311</v>
      </c>
      <c r="M32" s="42" t="n">
        <v>22.9</v>
      </c>
      <c r="N32" s="42" t="n">
        <v>7.2</v>
      </c>
      <c r="O32" s="39" t="n">
        <v>412</v>
      </c>
      <c r="P32" s="3">
        <f>TABL123[[#This Row],[ (S/S) SAR]]-TABL123[[#This Row],[(S/S) AJD]]</f>
        <v/>
      </c>
      <c r="Q32" s="39" t="n">
        <v>444</v>
      </c>
      <c r="R32" s="3">
        <f>TABL123[[#This Row],[ (T/B) SAR]]-TABL123[[#This Row],[(T/B) AJD]]</f>
        <v/>
      </c>
      <c r="S32" s="3">
        <f>TABL123[[#This Row],[T/B-CON.]]+TABL123[[#This Row],[S/S_CON.]]</f>
        <v/>
      </c>
      <c r="T32" s="3">
        <f>TABL123[[#This Row],[(S/S) AJD]]+TABL123[[#This Row],[(T/B) AJD]]</f>
        <v/>
      </c>
      <c r="U32" s="41" t="n">
        <v>536</v>
      </c>
      <c r="V32" s="41" t="n">
        <v>286</v>
      </c>
      <c r="W32" s="3">
        <f>TABL123[[#This Row],[(A/B) AJD]]+TABL123[[#This Row],[(A/S) AJD]]</f>
        <v/>
      </c>
      <c r="X32" s="3">
        <f>TABL123[[#This Row],[( S/S+T/B) AJD]]-TABL123[[#This Row],[(A/B + A/S) AJD]]</f>
        <v/>
      </c>
      <c r="Y32" s="41" t="n">
        <v>92.31999999999999</v>
      </c>
      <c r="Z32" s="43" t="n">
        <v>391313</v>
      </c>
      <c r="AA32" s="3">
        <f>TABL123[[#This Row],[(RESV. STORGE) AJD]]/10</f>
        <v/>
      </c>
      <c r="AB32" s="45">
        <f>IF(TRIM(Z32)="",,(Z32-Z31)/1000)</f>
        <v/>
      </c>
      <c r="AC32" s="45" t="n">
        <v>977</v>
      </c>
      <c r="AD32" s="83">
        <f>TABL123[[#This Row],[( S/S+T/B) AJD]]-(TABL123[[#This Row],[(A/B + A/S) AJD]]+TABL123[[#This Row],[(STORGE DIFF.) AJD]]+(TABL123[[#This Row],[AJD_Evaporation]])/1000)</f>
        <v/>
      </c>
      <c r="AE32" s="68" t="n">
        <v>85</v>
      </c>
      <c r="AF32" s="68" t="n">
        <v>58.68</v>
      </c>
      <c r="AG32" s="68" t="n">
        <v>1412827</v>
      </c>
      <c r="AH32" s="43" t="n">
        <v>1103</v>
      </c>
      <c r="AI32" s="43" t="n">
        <v>1103</v>
      </c>
      <c r="AJ32" s="78">
        <f>TABL123[[#This Row],[(A/B) AJD]]-TABL123[[#This Row],[BER_IN]]</f>
        <v/>
      </c>
      <c r="AK32" s="68" t="n">
        <v>21</v>
      </c>
      <c r="AL32" s="87" t="n">
        <v>45.1998</v>
      </c>
      <c r="AM32" s="87" t="n">
        <v>4317820</v>
      </c>
      <c r="AN32" s="87">
        <f>TABL123[[#This Row],[ (RESV. STORGE) SER]]/10</f>
        <v/>
      </c>
      <c r="AO32" s="43" t="n">
        <v>1820</v>
      </c>
      <c r="AP32" s="32">
        <f>TABL123[[#This Row],[(A/S) AJD]]-TABL123[[#This Row],[SER_IN]]</f>
        <v/>
      </c>
    </row>
    <row r="33" ht="18.75" customHeight="1">
      <c r="A33" s="2" t="n">
        <v>46054</v>
      </c>
      <c r="B33" s="41" t="n">
        <v>30</v>
      </c>
      <c r="C33" s="41" t="n">
        <v>250</v>
      </c>
      <c r="D33" s="41" t="n">
        <v>30</v>
      </c>
      <c r="E33" s="44">
        <f>B33-D33</f>
        <v/>
      </c>
      <c r="F33" s="41" t="n">
        <v>97</v>
      </c>
      <c r="G33" s="39" t="n">
        <v>611</v>
      </c>
      <c r="H33" s="28">
        <f>103-F33</f>
        <v/>
      </c>
      <c r="I33" s="39" t="n">
        <v>468</v>
      </c>
      <c r="J33" s="39" t="n">
        <v>451</v>
      </c>
      <c r="K33" s="28">
        <f>TABL123[[#This Row],[ (T/B) SAR]]+TABL123[[#This Row],[ (S/S) SAR]]</f>
        <v/>
      </c>
      <c r="L33" s="41" t="n">
        <v>308</v>
      </c>
      <c r="M33" s="42" t="n">
        <v>22.9</v>
      </c>
      <c r="N33" s="42" t="n">
        <v>7.05</v>
      </c>
      <c r="O33" s="39" t="n">
        <v>410</v>
      </c>
      <c r="P33" s="3">
        <f>TABL123[[#This Row],[ (S/S) SAR]]-TABL123[[#This Row],[(S/S) AJD]]</f>
        <v/>
      </c>
      <c r="Q33" s="39" t="n">
        <v>443</v>
      </c>
      <c r="R33" s="3">
        <f>TABL123[[#This Row],[ (T/B) SAR]]-TABL123[[#This Row],[(T/B) AJD]]</f>
        <v/>
      </c>
      <c r="S33" s="3">
        <f>TABL123[[#This Row],[T/B-CON.]]+TABL123[[#This Row],[S/S_CON.]]</f>
        <v/>
      </c>
      <c r="T33" s="3">
        <f>TABL123[[#This Row],[(S/S) AJD]]+TABL123[[#This Row],[(T/B) AJD]]</f>
        <v/>
      </c>
      <c r="U33" s="41" t="n">
        <v>528</v>
      </c>
      <c r="V33" s="41" t="n">
        <v>294</v>
      </c>
      <c r="W33" s="3">
        <f>TABL123[[#This Row],[(A/B) AJD]]+TABL123[[#This Row],[(A/S) AJD]]</f>
        <v/>
      </c>
      <c r="X33" s="3">
        <f>TABL123[[#This Row],[( S/S+T/B) AJD]]-TABL123[[#This Row],[(A/B + A/S) AJD]]</f>
        <v/>
      </c>
      <c r="Y33" s="41" t="n">
        <v>92.33</v>
      </c>
      <c r="Z33" s="43" t="n">
        <v>394292</v>
      </c>
      <c r="AA33" s="3">
        <f>TABL123[[#This Row],[(RESV. STORGE) AJD]]/10</f>
        <v/>
      </c>
      <c r="AB33" s="45">
        <f>IF(TRIM(Z33)="",,(Z33-Z32)/1000)</f>
        <v/>
      </c>
      <c r="AC33" s="43" t="n">
        <v>1227</v>
      </c>
      <c r="AD33" s="83">
        <f>TABL123[[#This Row],[( S/S+T/B) AJD]]-(TABL123[[#This Row],[(A/B + A/S) AJD]]+TABL123[[#This Row],[(STORGE DIFF.) AJD]]+(TABL123[[#This Row],[AJD_Evaporation]])/1000)</f>
        <v/>
      </c>
      <c r="AE33" s="68" t="n">
        <v>79</v>
      </c>
      <c r="AF33" s="68" t="n">
        <v>58.64</v>
      </c>
      <c r="AG33" s="68" t="n">
        <v>1386536</v>
      </c>
      <c r="AH33" s="43" t="n">
        <v>1832</v>
      </c>
      <c r="AI33" s="43" t="n">
        <v>1832</v>
      </c>
      <c r="AJ33" s="78">
        <f>TABL123[[#This Row],[(A/B) AJD]]-TABL123[[#This Row],[BER_IN]]</f>
        <v/>
      </c>
      <c r="AK33" s="68" t="n">
        <v>22</v>
      </c>
      <c r="AL33" s="87" t="n">
        <v>45.1987</v>
      </c>
      <c r="AM33" s="87" t="n">
        <v>4317230</v>
      </c>
      <c r="AN33" s="87">
        <f>TABL123[[#This Row],[ (RESV. STORGE) SER]]/10</f>
        <v/>
      </c>
      <c r="AO33" s="43" t="n">
        <v>1800</v>
      </c>
      <c r="AP33" s="32">
        <f>TABL123[[#This Row],[(A/S) AJD]]-TABL123[[#This Row],[SER_IN]]</f>
        <v/>
      </c>
    </row>
    <row r="34" ht="18.75" customHeight="1">
      <c r="A34" s="2" t="n">
        <v>46055</v>
      </c>
      <c r="B34" s="44" t="n">
        <v>30</v>
      </c>
      <c r="C34" s="44" t="n">
        <v>257</v>
      </c>
      <c r="D34" s="44" t="n">
        <v>30</v>
      </c>
      <c r="E34" s="41">
        <f>B34-D34</f>
        <v/>
      </c>
      <c r="F34" s="44" t="n">
        <v>97</v>
      </c>
      <c r="G34" s="40" t="n">
        <v>602</v>
      </c>
      <c r="H34" s="28">
        <f>103-F34</f>
        <v/>
      </c>
      <c r="I34" s="40" t="n">
        <v>455</v>
      </c>
      <c r="J34" s="44" t="n">
        <v>440</v>
      </c>
      <c r="K34" s="28">
        <f>TABL123[[#This Row],[ (T/B) SAR]]+TABL123[[#This Row],[ (S/S) SAR]]</f>
        <v/>
      </c>
      <c r="L34" s="45" t="n">
        <v>293</v>
      </c>
      <c r="M34" s="46" t="n">
        <v>22.2</v>
      </c>
      <c r="N34" s="46" t="n">
        <v>6.9</v>
      </c>
      <c r="O34" s="40" t="n">
        <v>408</v>
      </c>
      <c r="P34" s="3">
        <f>TABL123[[#This Row],[ (S/S) SAR]]-TABL123[[#This Row],[(S/S) AJD]]</f>
        <v/>
      </c>
      <c r="Q34" s="40" t="n">
        <v>440</v>
      </c>
      <c r="R34" s="3">
        <f>TABL123[[#This Row],[ (T/B) SAR]]-TABL123[[#This Row],[(T/B) AJD]]</f>
        <v/>
      </c>
      <c r="S34" s="3">
        <f>TABL123[[#This Row],[T/B-CON.]]+TABL123[[#This Row],[S/S_CON.]]</f>
        <v/>
      </c>
      <c r="T34" s="3">
        <f>TABL123[[#This Row],[(S/S) AJD]]+TABL123[[#This Row],[(T/B) AJD]]</f>
        <v/>
      </c>
      <c r="U34" s="44" t="n">
        <v>529</v>
      </c>
      <c r="V34" s="44" t="n">
        <v>263</v>
      </c>
      <c r="W34" s="3">
        <f>TABL123[[#This Row],[(A/B) AJD]]+TABL123[[#This Row],[(A/S) AJD]]</f>
        <v/>
      </c>
      <c r="X34" s="3">
        <f>TABL123[[#This Row],[( S/S+T/B) AJD]]-TABL123[[#This Row],[(A/B + A/S) AJD]]</f>
        <v/>
      </c>
      <c r="Y34" s="44" t="n">
        <v>92.393</v>
      </c>
      <c r="Z34" s="45" t="n">
        <v>432933</v>
      </c>
      <c r="AA34" s="3">
        <f>TABL123[[#This Row],[(RESV. STORGE) AJD]]/10</f>
        <v/>
      </c>
      <c r="AB34" s="45">
        <f>IF(TRIM(Z34)="",,(Z34-Z33)/1000)</f>
        <v/>
      </c>
      <c r="AC34" s="45" t="n">
        <v>0</v>
      </c>
      <c r="AD34" s="83">
        <f>TABL123[[#This Row],[( S/S+T/B) AJD]]-(TABL123[[#This Row],[(A/B + A/S) AJD]]+TABL123[[#This Row],[(STORGE DIFF.) AJD]]+(TABL123[[#This Row],[AJD_Evaporation]])/1000)</f>
        <v/>
      </c>
      <c r="AE34" s="68" t="n">
        <v>90</v>
      </c>
      <c r="AF34" s="68" t="n">
        <v>58.55</v>
      </c>
      <c r="AG34" s="68" t="n">
        <v>1327432</v>
      </c>
      <c r="AH34" s="45" t="n">
        <v>0</v>
      </c>
      <c r="AI34" s="45" t="n">
        <v>0</v>
      </c>
      <c r="AJ34" s="78">
        <f>TABL123[[#This Row],[(A/B) AJD]]-TABL123[[#This Row],[BER_IN]]</f>
        <v/>
      </c>
      <c r="AK34" s="68" t="n">
        <v>22</v>
      </c>
      <c r="AL34" s="87" t="n">
        <v>45.2294</v>
      </c>
      <c r="AM34" s="87" t="n">
        <v>4334000</v>
      </c>
      <c r="AN34" s="87">
        <f>TABL123[[#This Row],[ (RESV. STORGE) SER]]/10</f>
        <v/>
      </c>
      <c r="AO34" s="45" t="n">
        <v>1630</v>
      </c>
      <c r="AP34" s="32">
        <f>TABL123[[#This Row],[(A/S) AJD]]-TABL123[[#This Row],[SER_IN]]</f>
        <v/>
      </c>
    </row>
    <row r="35" ht="18.75" customHeight="1">
      <c r="A35" s="2" t="n">
        <v>46056</v>
      </c>
      <c r="B35" s="41" t="n">
        <v>30</v>
      </c>
      <c r="C35" s="41" t="n">
        <v>252</v>
      </c>
      <c r="D35" s="41" t="n">
        <v>30</v>
      </c>
      <c r="E35" s="44">
        <f>B35-D35</f>
        <v/>
      </c>
      <c r="F35" s="41" t="n">
        <v>97</v>
      </c>
      <c r="G35" s="39" t="n">
        <v>604</v>
      </c>
      <c r="H35" s="28">
        <f>103-F35</f>
        <v/>
      </c>
      <c r="I35" s="39" t="n">
        <v>445</v>
      </c>
      <c r="J35" s="39" t="n">
        <v>430</v>
      </c>
      <c r="K35" s="28">
        <f>TABL123[[#This Row],[ (T/B) SAR]]+TABL123[[#This Row],[ (S/S) SAR]]</f>
        <v/>
      </c>
      <c r="L35" s="41" t="n">
        <v>271</v>
      </c>
      <c r="M35" s="42" t="n">
        <v>20.3</v>
      </c>
      <c r="N35" s="42" t="n">
        <v>6.94</v>
      </c>
      <c r="O35" s="39" t="n">
        <v>402</v>
      </c>
      <c r="P35" s="3">
        <f>TABL123[[#This Row],[ (S/S) SAR]]-TABL123[[#This Row],[(S/S) AJD]]</f>
        <v/>
      </c>
      <c r="Q35" s="39" t="n">
        <v>432</v>
      </c>
      <c r="R35" s="3">
        <f>TABL123[[#This Row],[ (T/B) SAR]]-TABL123[[#This Row],[(T/B) AJD]]</f>
        <v/>
      </c>
      <c r="S35" s="3">
        <f>TABL123[[#This Row],[T/B-CON.]]+TABL123[[#This Row],[S/S_CON.]]</f>
        <v/>
      </c>
      <c r="T35" s="3">
        <f>TABL123[[#This Row],[(S/S) AJD]]+TABL123[[#This Row],[(T/B) AJD]]</f>
        <v/>
      </c>
      <c r="U35" s="41" t="n">
        <v>553</v>
      </c>
      <c r="V35" s="41" t="n">
        <v>270</v>
      </c>
      <c r="W35" s="3">
        <f>TABL123[[#This Row],[(A/B) AJD]]+TABL123[[#This Row],[(A/S) AJD]]</f>
        <v/>
      </c>
      <c r="X35" s="3">
        <f>TABL123[[#This Row],[( S/S+T/B) AJD]]-TABL123[[#This Row],[(A/B + A/S) AJD]]</f>
        <v/>
      </c>
      <c r="Y35" s="41" t="n">
        <v>92.38200000000001</v>
      </c>
      <c r="Z35" s="43" t="n">
        <v>426394</v>
      </c>
      <c r="AA35" s="3">
        <f>TABL123[[#This Row],[(RESV. STORGE) AJD]]/10</f>
        <v/>
      </c>
      <c r="AB35" s="45">
        <f>IF(TRIM(Z35)="",,(Z35-Z34)/1000)</f>
        <v/>
      </c>
      <c r="AC35" s="43" t="n">
        <v>1049</v>
      </c>
      <c r="AD35" s="83">
        <f>TABL123[[#This Row],[( S/S+T/B) AJD]]-(TABL123[[#This Row],[(A/B + A/S) AJD]]+TABL123[[#This Row],[(STORGE DIFF.) AJD]]+(TABL123[[#This Row],[AJD_Evaporation]])/1000)</f>
        <v/>
      </c>
      <c r="AE35" s="68" t="n">
        <v>90</v>
      </c>
      <c r="AF35" s="68" t="n">
        <v>58.5</v>
      </c>
      <c r="AG35" s="68" t="n">
        <v>1294627</v>
      </c>
      <c r="AH35" s="43" t="n">
        <v>1361</v>
      </c>
      <c r="AI35" s="43" t="n">
        <v>1361</v>
      </c>
      <c r="AJ35" s="78">
        <f>TABL123[[#This Row],[(A/B) AJD]]-TABL123[[#This Row],[BER_IN]]</f>
        <v/>
      </c>
      <c r="AK35" s="68" t="n">
        <v>22</v>
      </c>
      <c r="AL35" s="87" t="n">
        <v>45.2483</v>
      </c>
      <c r="AM35" s="87" t="n">
        <v>4345090</v>
      </c>
      <c r="AN35" s="87">
        <f>TABL123[[#This Row],[ (RESV. STORGE) SER]]/10</f>
        <v/>
      </c>
      <c r="AO35" s="43" t="n">
        <v>1620</v>
      </c>
      <c r="AP35" s="32">
        <f>TABL123[[#This Row],[(A/S) AJD]]-TABL123[[#This Row],[SER_IN]]</f>
        <v/>
      </c>
    </row>
    <row r="36" ht="18.75" customHeight="1">
      <c r="A36" s="2" t="n">
        <v>46057</v>
      </c>
      <c r="B36" s="44" t="n">
        <v>30</v>
      </c>
      <c r="C36" s="44" t="n">
        <v>257</v>
      </c>
      <c r="D36" s="44" t="n">
        <v>30</v>
      </c>
      <c r="E36" s="44">
        <f>B36-D36</f>
        <v/>
      </c>
      <c r="F36" s="44" t="n">
        <v>97</v>
      </c>
      <c r="G36" s="40" t="n">
        <v>605</v>
      </c>
      <c r="H36" s="28">
        <f>103-F36</f>
        <v/>
      </c>
      <c r="I36" s="40" t="n">
        <v>440</v>
      </c>
      <c r="J36" s="44" t="n">
        <v>424</v>
      </c>
      <c r="K36" s="28">
        <f>TABL123[[#This Row],[ (T/B) SAR]]+TABL123[[#This Row],[ (S/S) SAR]]</f>
        <v/>
      </c>
      <c r="L36" s="45" t="n">
        <v>259</v>
      </c>
      <c r="M36" s="46" t="n">
        <v>19.7</v>
      </c>
      <c r="N36" s="46" t="n">
        <v>7.03</v>
      </c>
      <c r="O36" s="40" t="n">
        <v>390</v>
      </c>
      <c r="P36" s="3">
        <f>TABL123[[#This Row],[ (S/S) SAR]]-TABL123[[#This Row],[(S/S) AJD]]</f>
        <v/>
      </c>
      <c r="Q36" s="40" t="n">
        <v>420</v>
      </c>
      <c r="R36" s="3">
        <f>TABL123[[#This Row],[ (T/B) SAR]]-TABL123[[#This Row],[(T/B) AJD]]</f>
        <v/>
      </c>
      <c r="S36" s="3">
        <f>TABL123[[#This Row],[T/B-CON.]]+TABL123[[#This Row],[S/S_CON.]]</f>
        <v/>
      </c>
      <c r="T36" s="3">
        <f>TABL123[[#This Row],[(S/S) AJD]]+TABL123[[#This Row],[(T/B) AJD]]</f>
        <v/>
      </c>
      <c r="U36" s="44" t="n">
        <v>549</v>
      </c>
      <c r="V36" s="44" t="n">
        <v>266</v>
      </c>
      <c r="W36" s="3">
        <f>TABL123[[#This Row],[(A/B) AJD]]+TABL123[[#This Row],[(A/S) AJD]]</f>
        <v/>
      </c>
      <c r="X36" s="3">
        <f>TABL123[[#This Row],[( S/S+T/B) AJD]]-TABL123[[#This Row],[(A/B + A/S) AJD]]</f>
        <v/>
      </c>
      <c r="Y36" s="44" t="n">
        <v>92.328</v>
      </c>
      <c r="Z36" s="45" t="n">
        <v>394292</v>
      </c>
      <c r="AA36" s="3">
        <f>TABL123[[#This Row],[(RESV. STORGE) AJD]]/10</f>
        <v/>
      </c>
      <c r="AB36" s="45">
        <f>IF(TRIM(Z36)="",,(Z36-Z35)/1000)</f>
        <v/>
      </c>
      <c r="AC36" s="45" t="n">
        <v>1177</v>
      </c>
      <c r="AD36" s="83">
        <f>TABL123[[#This Row],[( S/S+T/B) AJD]]-(TABL123[[#This Row],[(A/B + A/S) AJD]]+TABL123[[#This Row],[(STORGE DIFF.) AJD]]+(TABL123[[#This Row],[AJD_Evaporation]])/1000)</f>
        <v/>
      </c>
      <c r="AE36" s="68" t="n">
        <v>87</v>
      </c>
      <c r="AF36" s="68" t="n">
        <v>58.52</v>
      </c>
      <c r="AG36" s="68" t="n">
        <v>1307747</v>
      </c>
      <c r="AH36" s="45" t="n">
        <v>1137</v>
      </c>
      <c r="AI36" s="45" t="n">
        <v>1137</v>
      </c>
      <c r="AJ36" s="78">
        <f>TABL123[[#This Row],[(A/B) AJD]]-TABL123[[#This Row],[BER_IN]]</f>
        <v/>
      </c>
      <c r="AK36" s="68" t="n">
        <v>21</v>
      </c>
      <c r="AL36" s="87" t="n">
        <v>45.2387</v>
      </c>
      <c r="AM36" s="87" t="n">
        <v>4339740</v>
      </c>
      <c r="AN36" s="87">
        <f>TABL123[[#This Row],[ (RESV. STORGE) SER]]/10</f>
        <v/>
      </c>
      <c r="AO36" s="45" t="n">
        <v>1595</v>
      </c>
      <c r="AP36" s="32">
        <f>TABL123[[#This Row],[(A/S) AJD]]-TABL123[[#This Row],[SER_IN]]</f>
        <v/>
      </c>
    </row>
    <row r="37" ht="18.75" customHeight="1">
      <c r="A37" s="2" t="n">
        <v>46058</v>
      </c>
      <c r="B37" s="41" t="n">
        <v>30</v>
      </c>
      <c r="C37" s="41" t="n">
        <v>258</v>
      </c>
      <c r="D37" s="41" t="n">
        <v>30</v>
      </c>
      <c r="E37" s="41">
        <f>B37-D37</f>
        <v/>
      </c>
      <c r="F37" s="41" t="n">
        <v>97</v>
      </c>
      <c r="G37" s="39" t="n">
        <v>608</v>
      </c>
      <c r="H37" s="28">
        <f>103-F37</f>
        <v/>
      </c>
      <c r="I37" s="39" t="n">
        <v>425</v>
      </c>
      <c r="J37" s="39" t="n">
        <v>428</v>
      </c>
      <c r="K37" s="28">
        <f>TABL123[[#This Row],[ (T/B) SAR]]+TABL123[[#This Row],[ (S/S) SAR]]</f>
        <v/>
      </c>
      <c r="L37" s="41" t="n">
        <v>245</v>
      </c>
      <c r="M37" s="42" t="n">
        <v>19.7</v>
      </c>
      <c r="N37" s="42" t="n">
        <v>7.15</v>
      </c>
      <c r="O37" s="39" t="n">
        <v>383</v>
      </c>
      <c r="P37" s="3">
        <f>TABL123[[#This Row],[ (S/S) SAR]]-TABL123[[#This Row],[(S/S) AJD]]</f>
        <v/>
      </c>
      <c r="Q37" s="39" t="n">
        <v>414</v>
      </c>
      <c r="R37" s="3">
        <f>TABL123[[#This Row],[ (T/B) SAR]]-TABL123[[#This Row],[(T/B) AJD]]</f>
        <v/>
      </c>
      <c r="S37" s="3">
        <f>TABL123[[#This Row],[T/B-CON.]]+TABL123[[#This Row],[S/S_CON.]]</f>
        <v/>
      </c>
      <c r="T37" s="3">
        <f>TABL123[[#This Row],[(S/S) AJD]]+TABL123[[#This Row],[(T/B) AJD]]</f>
        <v/>
      </c>
      <c r="U37" s="41" t="n">
        <v>545</v>
      </c>
      <c r="V37" s="41" t="n">
        <v>271</v>
      </c>
      <c r="W37" s="3">
        <f>TABL123[[#This Row],[(A/B) AJD]]+TABL123[[#This Row],[(A/S) AJD]]</f>
        <v/>
      </c>
      <c r="X37" s="3">
        <f>TABL123[[#This Row],[( S/S+T/B) AJD]]-TABL123[[#This Row],[(A/B + A/S) AJD]]</f>
        <v/>
      </c>
      <c r="Y37" s="41" t="n">
        <v>92.238</v>
      </c>
      <c r="Z37" s="43" t="n">
        <v>340835</v>
      </c>
      <c r="AA37" s="3">
        <f>TABL123[[#This Row],[(RESV. STORGE) AJD]]/10</f>
        <v/>
      </c>
      <c r="AB37" s="45">
        <f>IF(TRIM(Z37)="",,(Z37-Z36)/1000)</f>
        <v/>
      </c>
      <c r="AC37" s="43" t="n">
        <v>1288</v>
      </c>
      <c r="AD37" s="83">
        <f>TABL123[[#This Row],[( S/S+T/B) AJD]]-(TABL123[[#This Row],[(A/B + A/S) AJD]]+TABL123[[#This Row],[(STORGE DIFF.) AJD]]+(TABL123[[#This Row],[AJD_Evaporation]])/1000)</f>
        <v/>
      </c>
      <c r="AE37" s="68" t="n">
        <v>86</v>
      </c>
      <c r="AF37" s="68" t="n">
        <v>58.55</v>
      </c>
      <c r="AG37" s="68" t="n">
        <v>1327432</v>
      </c>
      <c r="AH37" s="43" t="n">
        <v>871</v>
      </c>
      <c r="AI37" s="43" t="n">
        <v>871</v>
      </c>
      <c r="AJ37" s="78">
        <f>TABL123[[#This Row],[(A/B) AJD]]-TABL123[[#This Row],[BER_IN]]</f>
        <v/>
      </c>
      <c r="AK37" s="68" t="n">
        <v>21</v>
      </c>
      <c r="AL37" s="87" t="n">
        <v>45.2452</v>
      </c>
      <c r="AM37" s="87" t="n">
        <v>4342940</v>
      </c>
      <c r="AN37" s="87">
        <f>TABL123[[#This Row],[ (RESV. STORGE) SER]]/10</f>
        <v/>
      </c>
      <c r="AO37" s="43" t="n">
        <v>1580</v>
      </c>
      <c r="AP37" s="32">
        <f>TABL123[[#This Row],[(A/S) AJD]]-TABL123[[#This Row],[SER_IN]]</f>
        <v/>
      </c>
    </row>
    <row r="38" ht="18.75" customHeight="1">
      <c r="A38" s="2" t="n">
        <v>46059</v>
      </c>
      <c r="B38" s="44" t="n">
        <v>31</v>
      </c>
      <c r="C38" s="44" t="n">
        <v>257</v>
      </c>
      <c r="D38" s="44" t="n">
        <v>31</v>
      </c>
      <c r="E38" s="44">
        <f>B38-D38</f>
        <v/>
      </c>
      <c r="F38" s="44" t="n">
        <v>97</v>
      </c>
      <c r="G38" s="40" t="n">
        <v>605</v>
      </c>
      <c r="H38" s="28">
        <f>103-F38</f>
        <v/>
      </c>
      <c r="I38" s="40" t="n">
        <v>440</v>
      </c>
      <c r="J38" s="44" t="n">
        <v>428</v>
      </c>
      <c r="K38" s="28">
        <f>TABL123[[#This Row],[ (T/B) SAR]]+TABL123[[#This Row],[ (S/S) SAR]]</f>
        <v/>
      </c>
      <c r="L38" s="45" t="n">
        <v>263</v>
      </c>
      <c r="M38" s="46" t="n">
        <v>19.7</v>
      </c>
      <c r="N38" s="46" t="n">
        <v>7.25</v>
      </c>
      <c r="O38" s="40" t="n">
        <v>388</v>
      </c>
      <c r="P38" s="3">
        <f>TABL123[[#This Row],[ (S/S) SAR]]-TABL123[[#This Row],[(S/S) AJD]]</f>
        <v/>
      </c>
      <c r="Q38" s="40" t="n">
        <v>419</v>
      </c>
      <c r="R38" s="3">
        <f>TABL123[[#This Row],[ (T/B) SAR]]-TABL123[[#This Row],[(T/B) AJD]]</f>
        <v/>
      </c>
      <c r="S38" s="3">
        <f>TABL123[[#This Row],[T/B-CON.]]+TABL123[[#This Row],[S/S_CON.]]</f>
        <v/>
      </c>
      <c r="T38" s="3">
        <f>TABL123[[#This Row],[(S/S) AJD]]+TABL123[[#This Row],[(T/B) AJD]]</f>
        <v/>
      </c>
      <c r="U38" s="44" t="n">
        <v>557</v>
      </c>
      <c r="V38" s="44" t="n">
        <v>267</v>
      </c>
      <c r="W38" s="3">
        <f>TABL123[[#This Row],[(A/B) AJD]]+TABL123[[#This Row],[(A/S) AJD]]</f>
        <v/>
      </c>
      <c r="X38" s="3">
        <f>TABL123[[#This Row],[( S/S+T/B) AJD]]-TABL123[[#This Row],[(A/B + A/S) AJD]]</f>
        <v/>
      </c>
      <c r="Y38" s="44" t="n">
        <v>92.17</v>
      </c>
      <c r="Z38" s="45" t="n">
        <v>300498</v>
      </c>
      <c r="AA38" s="3">
        <f>TABL123[[#This Row],[(RESV. STORGE) AJD]]/10</f>
        <v/>
      </c>
      <c r="AB38" s="45">
        <f>IF(TRIM(Z38)="",,(Z38-Z37)/1000)</f>
        <v/>
      </c>
      <c r="AC38" s="45" t="n">
        <v>1137</v>
      </c>
      <c r="AD38" s="83">
        <f>TABL123[[#This Row],[( S/S+T/B) AJD]]-(TABL123[[#This Row],[(A/B + A/S) AJD]]+TABL123[[#This Row],[(STORGE DIFF.) AJD]]+(TABL123[[#This Row],[AJD_Evaporation]])/1000)</f>
        <v/>
      </c>
      <c r="AE38" s="68" t="n">
        <v>86</v>
      </c>
      <c r="AF38" s="68" t="n">
        <v>58.58</v>
      </c>
      <c r="AG38" s="68" t="n">
        <v>1347126</v>
      </c>
      <c r="AH38" s="45" t="n">
        <v>1510</v>
      </c>
      <c r="AI38" s="45" t="n">
        <v>1510</v>
      </c>
      <c r="AJ38" s="78">
        <f>TABL123[[#This Row],[(A/B) AJD]]-TABL123[[#This Row],[BER_IN]]</f>
        <v/>
      </c>
      <c r="AK38" s="68" t="n">
        <v>7</v>
      </c>
      <c r="AL38" s="87" t="n">
        <v>45.238</v>
      </c>
      <c r="AM38" s="87" t="n">
        <v>4339036</v>
      </c>
      <c r="AN38" s="87">
        <f>TABL123[[#This Row],[ (RESV. STORGE) SER]]/10</f>
        <v/>
      </c>
      <c r="AO38" s="45" t="n">
        <v>1600</v>
      </c>
      <c r="AP38" s="32">
        <f>TABL123[[#This Row],[(A/S) AJD]]-TABL123[[#This Row],[SER_IN]]</f>
        <v/>
      </c>
    </row>
    <row r="39" ht="18.75" customHeight="1">
      <c r="A39" s="2" t="n">
        <v>46060</v>
      </c>
      <c r="B39" s="41" t="n">
        <v>30</v>
      </c>
      <c r="C39" s="41" t="n">
        <v>245</v>
      </c>
      <c r="D39" s="41" t="n">
        <v>30</v>
      </c>
      <c r="E39" s="41">
        <f>B39-D39</f>
        <v/>
      </c>
      <c r="F39" s="41" t="n">
        <v>97</v>
      </c>
      <c r="G39" s="39" t="n">
        <v>612</v>
      </c>
      <c r="H39" s="28">
        <f>103-F39</f>
        <v/>
      </c>
      <c r="I39" s="39" t="n">
        <v>442</v>
      </c>
      <c r="J39" s="39" t="n">
        <v>430</v>
      </c>
      <c r="K39" s="28">
        <f>TABL123[[#This Row],[ (T/B) SAR]]+TABL123[[#This Row],[ (S/S) SAR]]</f>
        <v/>
      </c>
      <c r="L39" s="41" t="n">
        <v>260</v>
      </c>
      <c r="M39" s="42" t="n">
        <v>19.7</v>
      </c>
      <c r="N39" s="42" t="n">
        <v>7.3</v>
      </c>
      <c r="O39" s="39" t="n">
        <v>383</v>
      </c>
      <c r="P39" s="3">
        <f>TABL123[[#This Row],[ (S/S) SAR]]-TABL123[[#This Row],[(S/S) AJD]]</f>
        <v/>
      </c>
      <c r="Q39" s="39" t="n">
        <v>414</v>
      </c>
      <c r="R39" s="3">
        <f>TABL123[[#This Row],[ (T/B) SAR]]-TABL123[[#This Row],[(T/B) AJD]]</f>
        <v/>
      </c>
      <c r="S39" s="3">
        <f>TABL123[[#This Row],[T/B-CON.]]+TABL123[[#This Row],[S/S_CON.]]</f>
        <v/>
      </c>
      <c r="T39" s="3">
        <f>TABL123[[#This Row],[(S/S) AJD]]+TABL123[[#This Row],[(T/B) AJD]]</f>
        <v/>
      </c>
      <c r="U39" s="41" t="n">
        <v>476</v>
      </c>
      <c r="V39" s="41" t="n">
        <v>258</v>
      </c>
      <c r="W39" s="3">
        <f>TABL123[[#This Row],[(A/B) AJD]]+TABL123[[#This Row],[(A/S) AJD]]</f>
        <v/>
      </c>
      <c r="X39" s="3">
        <f>TABL123[[#This Row],[( S/S+T/B) AJD]]-TABL123[[#This Row],[(A/B + A/S) AJD]]</f>
        <v/>
      </c>
      <c r="Y39" s="41" t="n">
        <v>92.223</v>
      </c>
      <c r="Z39" s="43" t="n">
        <v>331937</v>
      </c>
      <c r="AA39" s="3">
        <f>TABL123[[#This Row],[(RESV. STORGE) AJD]]/10</f>
        <v/>
      </c>
      <c r="AB39" s="45">
        <f>IF(TRIM(Z39)="",,(Z39-Z38)/1000)</f>
        <v/>
      </c>
      <c r="AC39" s="43" t="n">
        <v>1308</v>
      </c>
      <c r="AD39" s="83">
        <f>TABL123[[#This Row],[( S/S+T/B) AJD]]-(TABL123[[#This Row],[(A/B + A/S) AJD]]+TABL123[[#This Row],[(STORGE DIFF.) AJD]]+(TABL123[[#This Row],[AJD_Evaporation]])/1000)</f>
        <v/>
      </c>
      <c r="AE39" s="68" t="n">
        <v>88</v>
      </c>
      <c r="AF39" s="68" t="n">
        <v>58.62</v>
      </c>
      <c r="AG39" s="68" t="n">
        <v>1373396</v>
      </c>
      <c r="AH39" s="43" t="n">
        <v>1679</v>
      </c>
      <c r="AI39" s="43" t="n">
        <v>1679</v>
      </c>
      <c r="AJ39" s="78">
        <f>TABL123[[#This Row],[(A/B) AJD]]-TABL123[[#This Row],[BER_IN]]</f>
        <v/>
      </c>
      <c r="AK39" s="68" t="n">
        <v>0</v>
      </c>
      <c r="AL39" s="87" t="n">
        <v>45.2321</v>
      </c>
      <c r="AM39" s="87" t="n">
        <v>4335680</v>
      </c>
      <c r="AN39" s="87">
        <f>TABL123[[#This Row],[ (RESV. STORGE) SER]]/10</f>
        <v/>
      </c>
      <c r="AO39" s="43" t="n">
        <v>1620</v>
      </c>
      <c r="AP39" s="32">
        <f>TABL123[[#This Row],[(A/S) AJD]]-TABL123[[#This Row],[SER_IN]]</f>
        <v/>
      </c>
    </row>
    <row r="40" ht="18.75" customHeight="1">
      <c r="A40" s="2" t="n">
        <v>46061</v>
      </c>
      <c r="B40" s="44" t="n">
        <v>32</v>
      </c>
      <c r="C40" s="44" t="n">
        <v>253</v>
      </c>
      <c r="D40" s="44" t="n">
        <v>32</v>
      </c>
      <c r="E40" s="44">
        <f>B40-D40</f>
        <v/>
      </c>
      <c r="F40" s="44" t="n">
        <v>97</v>
      </c>
      <c r="G40" s="40" t="n">
        <v>612</v>
      </c>
      <c r="H40" s="28">
        <f>103-F40</f>
        <v/>
      </c>
      <c r="I40" s="40" t="n">
        <v>442</v>
      </c>
      <c r="J40" s="44" t="n">
        <v>430</v>
      </c>
      <c r="K40" s="28">
        <f>TABL123[[#This Row],[ (T/B) SAR]]+TABL123[[#This Row],[ (S/S) SAR]]</f>
        <v/>
      </c>
      <c r="L40" s="45" t="n">
        <v>260</v>
      </c>
      <c r="M40" s="46" t="n">
        <v>19.7</v>
      </c>
      <c r="N40" s="46" t="n">
        <v>7.34</v>
      </c>
      <c r="O40" s="40" t="n">
        <v>388</v>
      </c>
      <c r="P40" s="3">
        <f>TABL123[[#This Row],[ (S/S) SAR]]-TABL123[[#This Row],[(S/S) AJD]]</f>
        <v/>
      </c>
      <c r="Q40" s="40" t="n">
        <v>419</v>
      </c>
      <c r="R40" s="3">
        <f>TABL123[[#This Row],[ (T/B) SAR]]-TABL123[[#This Row],[(T/B) AJD]]</f>
        <v/>
      </c>
      <c r="S40" s="3">
        <f>TABL123[[#This Row],[T/B-CON.]]+TABL123[[#This Row],[S/S_CON.]]</f>
        <v/>
      </c>
      <c r="T40" s="3">
        <f>TABL123[[#This Row],[(S/S) AJD]]+TABL123[[#This Row],[(T/B) AJD]]</f>
        <v/>
      </c>
      <c r="U40" s="44" t="n">
        <v>553</v>
      </c>
      <c r="V40" s="44" t="n">
        <v>257</v>
      </c>
      <c r="W40" s="3">
        <f>TABL123[[#This Row],[(A/B) AJD]]+TABL123[[#This Row],[(A/S) AJD]]</f>
        <v/>
      </c>
      <c r="X40" s="3">
        <f>TABL123[[#This Row],[( S/S+T/B) AJD]]-TABL123[[#This Row],[(A/B + A/S) AJD]]</f>
        <v/>
      </c>
      <c r="Y40" s="44" t="n">
        <v>92.17</v>
      </c>
      <c r="Z40" s="45" t="n">
        <v>300498</v>
      </c>
      <c r="AA40" s="3">
        <f>TABL123[[#This Row],[(RESV. STORGE) AJD]]/10</f>
        <v/>
      </c>
      <c r="AB40" s="45">
        <f>IF(TRIM(Z40)="",,(Z40-Z39)/1000)</f>
        <v/>
      </c>
      <c r="AC40" s="45" t="n">
        <v>1237</v>
      </c>
      <c r="AD40" s="83">
        <f>TABL123[[#This Row],[( S/S+T/B) AJD]]-(TABL123[[#This Row],[(A/B + A/S) AJD]]+TABL123[[#This Row],[(STORGE DIFF.) AJD]]+(TABL123[[#This Row],[AJD_Evaporation]])/1000)</f>
        <v/>
      </c>
      <c r="AE40" s="68" t="n">
        <v>90</v>
      </c>
      <c r="AF40" s="68" t="n">
        <v>58.58</v>
      </c>
      <c r="AG40" s="68" t="n">
        <v>1347126</v>
      </c>
      <c r="AH40" s="45" t="n">
        <v>1447</v>
      </c>
      <c r="AI40" s="45" t="n">
        <v>1447</v>
      </c>
      <c r="AJ40" s="78">
        <f>TABL123[[#This Row],[(A/B) AJD]]-TABL123[[#This Row],[BER_IN]]</f>
        <v/>
      </c>
      <c r="AK40" s="68" t="n">
        <v>0</v>
      </c>
      <c r="AL40" s="87" t="n">
        <v>45.1856</v>
      </c>
      <c r="AM40" s="87" t="n">
        <v>4309440</v>
      </c>
      <c r="AN40" s="87">
        <f>TABL123[[#This Row],[ (RESV. STORGE) SER]]/10</f>
        <v/>
      </c>
      <c r="AO40" s="45" t="n">
        <v>1630</v>
      </c>
      <c r="AP40" s="32">
        <f>TABL123[[#This Row],[(A/S) AJD]]-TABL123[[#This Row],[SER_IN]]</f>
        <v/>
      </c>
    </row>
    <row r="41" ht="18.75" customHeight="1">
      <c r="A41" s="2" t="n">
        <v>46062</v>
      </c>
      <c r="B41" s="41" t="n">
        <v>32</v>
      </c>
      <c r="C41" s="41" t="n">
        <v>258</v>
      </c>
      <c r="D41" s="41" t="n">
        <v>32</v>
      </c>
      <c r="E41" s="41">
        <f>B41-D41</f>
        <v/>
      </c>
      <c r="F41" s="41" t="n">
        <v>97</v>
      </c>
      <c r="G41" s="39" t="n">
        <v>612</v>
      </c>
      <c r="H41" s="28">
        <f>103-F41</f>
        <v/>
      </c>
      <c r="I41" s="39" t="n">
        <v>442</v>
      </c>
      <c r="J41" s="39" t="n">
        <v>430</v>
      </c>
      <c r="K41" s="28">
        <f>TABL123[[#This Row],[ (T/B) SAR]]+TABL123[[#This Row],[ (S/S) SAR]]</f>
        <v/>
      </c>
      <c r="L41" s="41" t="n">
        <v>260</v>
      </c>
      <c r="M41" s="42" t="n">
        <v>19.7</v>
      </c>
      <c r="N41" s="42" t="n">
        <v>7.44</v>
      </c>
      <c r="O41" s="39" t="n">
        <v>379</v>
      </c>
      <c r="P41" s="3">
        <f>TABL123[[#This Row],[ (S/S) SAR]]-TABL123[[#This Row],[(S/S) AJD]]</f>
        <v/>
      </c>
      <c r="Q41" s="39" t="n">
        <v>421</v>
      </c>
      <c r="R41" s="3">
        <f>TABL123[[#This Row],[ (T/B) SAR]]-TABL123[[#This Row],[(T/B) AJD]]</f>
        <v/>
      </c>
      <c r="S41" s="3">
        <f>TABL123[[#This Row],[T/B-CON.]]+TABL123[[#This Row],[S/S_CON.]]</f>
        <v/>
      </c>
      <c r="T41" s="3">
        <f>TABL123[[#This Row],[(S/S) AJD]]+TABL123[[#This Row],[(T/B) AJD]]</f>
        <v/>
      </c>
      <c r="U41" s="41" t="n">
        <v>554</v>
      </c>
      <c r="V41" s="41" t="n">
        <v>250</v>
      </c>
      <c r="W41" s="3">
        <f>TABL123[[#This Row],[(A/B) AJD]]+TABL123[[#This Row],[(A/S) AJD]]</f>
        <v/>
      </c>
      <c r="X41" s="3">
        <f>TABL123[[#This Row],[( S/S+T/B) AJD]]-TABL123[[#This Row],[(A/B + A/S) AJD]]</f>
        <v/>
      </c>
      <c r="Y41" s="41" t="n">
        <v>92.14</v>
      </c>
      <c r="Z41" s="43" t="n">
        <v>282713</v>
      </c>
      <c r="AA41" s="3">
        <f>TABL123[[#This Row],[(RESV. STORGE) AJD]]/10</f>
        <v/>
      </c>
      <c r="AB41" s="45">
        <f>IF(TRIM(Z41)="",,(Z41-Z40)/1000)</f>
        <v/>
      </c>
      <c r="AC41" s="43" t="n">
        <v>1237</v>
      </c>
      <c r="AD41" s="83">
        <f>TABL123[[#This Row],[( S/S+T/B) AJD]]-(TABL123[[#This Row],[(A/B + A/S) AJD]]+TABL123[[#This Row],[(STORGE DIFF.) AJD]]+(TABL123[[#This Row],[AJD_Evaporation]])/1000)</f>
        <v/>
      </c>
      <c r="AE41" s="68" t="n">
        <v>90</v>
      </c>
      <c r="AF41" s="68" t="n">
        <v>58.5</v>
      </c>
      <c r="AG41" s="68" t="n">
        <v>1294627</v>
      </c>
      <c r="AH41" s="43" t="n">
        <v>1498</v>
      </c>
      <c r="AI41" s="43" t="n">
        <v>1498</v>
      </c>
      <c r="AJ41" s="78">
        <f>TABL123[[#This Row],[(A/B) AJD]]-TABL123[[#This Row],[BER_IN]]</f>
        <v/>
      </c>
      <c r="AK41" s="68" t="n">
        <v>0</v>
      </c>
      <c r="AL41" s="87" t="n">
        <v>45.1689</v>
      </c>
      <c r="AM41" s="87" t="n">
        <v>4300490</v>
      </c>
      <c r="AN41" s="87">
        <f>TABL123[[#This Row],[ (RESV. STORGE) SER]]/10</f>
        <v/>
      </c>
      <c r="AO41" s="43" t="n">
        <v>1498</v>
      </c>
      <c r="AP41" s="32">
        <f>TABL123[[#This Row],[(A/S) AJD]]-TABL123[[#This Row],[SER_IN]]</f>
        <v/>
      </c>
    </row>
    <row r="42" ht="18.75" customHeight="1">
      <c r="A42" s="2" t="n">
        <v>46063</v>
      </c>
      <c r="B42" s="44" t="n">
        <v>32</v>
      </c>
      <c r="C42" s="44" t="n">
        <v>257</v>
      </c>
      <c r="D42" s="44" t="n">
        <v>32</v>
      </c>
      <c r="E42" s="44">
        <f>B42-D42</f>
        <v/>
      </c>
      <c r="F42" s="44" t="n">
        <v>97</v>
      </c>
      <c r="G42" s="40" t="n">
        <v>612</v>
      </c>
      <c r="H42" s="28">
        <f>103-F42</f>
        <v/>
      </c>
      <c r="I42" s="40" t="n">
        <v>444</v>
      </c>
      <c r="J42" s="44" t="n">
        <v>430</v>
      </c>
      <c r="K42" s="28">
        <f>TABL123[[#This Row],[ (T/B) SAR]]+TABL123[[#This Row],[ (S/S) SAR]]</f>
        <v/>
      </c>
      <c r="L42" s="45" t="n">
        <v>262</v>
      </c>
      <c r="M42" s="46" t="n">
        <v>19.7</v>
      </c>
      <c r="N42" s="46" t="n">
        <v>7.54</v>
      </c>
      <c r="O42" s="40" t="n">
        <v>389</v>
      </c>
      <c r="P42" s="3">
        <f>TABL123[[#This Row],[ (S/S) SAR]]-TABL123[[#This Row],[(S/S) AJD]]</f>
        <v/>
      </c>
      <c r="Q42" s="40" t="n">
        <v>418</v>
      </c>
      <c r="R42" s="3">
        <f>TABL123[[#This Row],[ (T/B) SAR]]-TABL123[[#This Row],[(T/B) AJD]]</f>
        <v/>
      </c>
      <c r="S42" s="3">
        <f>TABL123[[#This Row],[T/B-CON.]]+TABL123[[#This Row],[S/S_CON.]]</f>
        <v/>
      </c>
      <c r="T42" s="3">
        <f>TABL123[[#This Row],[(S/S) AJD]]+TABL123[[#This Row],[(T/B) AJD]]</f>
        <v/>
      </c>
      <c r="U42" s="44" t="n">
        <v>562</v>
      </c>
      <c r="V42" s="44" t="n">
        <v>246</v>
      </c>
      <c r="W42" s="3">
        <f>TABL123[[#This Row],[(A/B) AJD]]+TABL123[[#This Row],[(A/S) AJD]]</f>
        <v/>
      </c>
      <c r="X42" s="3">
        <f>TABL123[[#This Row],[( S/S+T/B) AJD]]-TABL123[[#This Row],[(A/B + A/S) AJD]]</f>
        <v/>
      </c>
      <c r="Y42" s="44" t="n">
        <v>92.128</v>
      </c>
      <c r="Z42" s="45" t="n">
        <v>275600</v>
      </c>
      <c r="AA42" s="3">
        <f>TABL123[[#This Row],[(RESV. STORGE) AJD]]/10</f>
        <v/>
      </c>
      <c r="AB42" s="45">
        <f>IF(TRIM(Z42)="",,(Z42-Z41)/1000)</f>
        <v/>
      </c>
      <c r="AC42" s="45" t="n">
        <v>0</v>
      </c>
      <c r="AD42" s="83">
        <f>TABL123[[#This Row],[( S/S+T/B) AJD]]-(TABL123[[#This Row],[(A/B + A/S) AJD]]+TABL123[[#This Row],[(STORGE DIFF.) AJD]]+(TABL123[[#This Row],[AJD_Evaporation]])/1000)</f>
        <v/>
      </c>
      <c r="AE42" s="68" t="n">
        <v>89</v>
      </c>
      <c r="AF42" s="68" t="n">
        <v>58.43</v>
      </c>
      <c r="AG42" s="68" t="n">
        <v>1248736</v>
      </c>
      <c r="AH42" s="45" t="n">
        <v>1891</v>
      </c>
      <c r="AI42" s="45" t="n">
        <v>1891</v>
      </c>
      <c r="AJ42" s="78">
        <f>TABL123[[#This Row],[(A/B) AJD]]-TABL123[[#This Row],[BER_IN]]</f>
        <v/>
      </c>
      <c r="AK42" s="68" t="n">
        <v>0</v>
      </c>
      <c r="AL42" s="87" t="n">
        <v>45.1152</v>
      </c>
      <c r="AM42" s="87" t="n">
        <v>4270360</v>
      </c>
      <c r="AN42" s="87">
        <f>TABL123[[#This Row],[ (RESV. STORGE) SER]]/10</f>
        <v/>
      </c>
      <c r="AO42" s="45" t="n">
        <v>1545</v>
      </c>
      <c r="AP42" s="32">
        <f>TABL123[[#This Row],[(A/S) AJD]]-TABL123[[#This Row],[SER_IN]]</f>
        <v/>
      </c>
    </row>
    <row r="43" ht="18.75" customHeight="1">
      <c r="A43" s="2" t="n">
        <v>46064</v>
      </c>
      <c r="B43" s="41" t="n">
        <v>31</v>
      </c>
      <c r="C43" s="41" t="n">
        <v>256</v>
      </c>
      <c r="D43" s="41" t="n">
        <v>31</v>
      </c>
      <c r="E43" s="41">
        <f>B43-D43</f>
        <v/>
      </c>
      <c r="F43" s="41" t="n">
        <v>97</v>
      </c>
      <c r="G43" s="39" t="n">
        <v>613</v>
      </c>
      <c r="H43" s="28">
        <f>103-F43</f>
        <v/>
      </c>
      <c r="I43" s="39" t="n">
        <v>449</v>
      </c>
      <c r="J43" s="39" t="n">
        <v>431</v>
      </c>
      <c r="K43" s="28">
        <f>TABL123[[#This Row],[ (T/B) SAR]]+TABL123[[#This Row],[ (S/S) SAR]]</f>
        <v/>
      </c>
      <c r="L43" s="41" t="n">
        <v>267</v>
      </c>
      <c r="M43" s="42" t="n">
        <v>19.7</v>
      </c>
      <c r="N43" s="42" t="n">
        <v>7.3</v>
      </c>
      <c r="O43" s="39" t="n">
        <v>390</v>
      </c>
      <c r="P43" s="3">
        <f>TABL123[[#This Row],[ (S/S) SAR]]-TABL123[[#This Row],[(S/S) AJD]]</f>
        <v/>
      </c>
      <c r="Q43" s="39" t="n">
        <v>421</v>
      </c>
      <c r="R43" s="3">
        <f>TABL123[[#This Row],[ (T/B) SAR]]-TABL123[[#This Row],[(T/B) AJD]]</f>
        <v/>
      </c>
      <c r="S43" s="3">
        <f>TABL123[[#This Row],[T/B-CON.]]+TABL123[[#This Row],[S/S_CON.]]</f>
        <v/>
      </c>
      <c r="T43" s="3">
        <f>TABL123[[#This Row],[(S/S) AJD]]+TABL123[[#This Row],[(T/B) AJD]]</f>
        <v/>
      </c>
      <c r="U43" s="41" t="n">
        <v>556</v>
      </c>
      <c r="V43" s="41" t="n">
        <v>275</v>
      </c>
      <c r="W43" s="3">
        <f>TABL123[[#This Row],[(A/B) AJD]]+TABL123[[#This Row],[(A/S) AJD]]</f>
        <v/>
      </c>
      <c r="X43" s="3">
        <f>TABL123[[#This Row],[( S/S+T/B) AJD]]-TABL123[[#This Row],[(A/B + A/S) AJD]]</f>
        <v/>
      </c>
      <c r="Y43" s="41" t="n">
        <v>92.07299999999999</v>
      </c>
      <c r="Z43" s="43" t="n">
        <v>244202</v>
      </c>
      <c r="AA43" s="3">
        <f>TABL123[[#This Row],[(RESV. STORGE) AJD]]/10</f>
        <v/>
      </c>
      <c r="AB43" s="45">
        <f>IF(TRIM(Z43)="",,(Z43-Z42)/1000)</f>
        <v/>
      </c>
      <c r="AC43" s="43" t="n">
        <v>0</v>
      </c>
      <c r="AD43" s="83">
        <f>TABL123[[#This Row],[( S/S+T/B) AJD]]-(TABL123[[#This Row],[(A/B + A/S) AJD]]+TABL123[[#This Row],[(STORGE DIFF.) AJD]]+(TABL123[[#This Row],[AJD_Evaporation]])/1000)</f>
        <v/>
      </c>
      <c r="AE43" s="68" t="n">
        <v>89</v>
      </c>
      <c r="AF43" s="68" t="n">
        <v>58.42</v>
      </c>
      <c r="AG43" s="68" t="n">
        <v>1242183</v>
      </c>
      <c r="AH43" s="43" t="n">
        <v>1552</v>
      </c>
      <c r="AI43" s="43" t="n">
        <v>1552</v>
      </c>
      <c r="AJ43" s="78">
        <f>TABL123[[#This Row],[(A/B) AJD]]-TABL123[[#This Row],[BER_IN]]</f>
        <v/>
      </c>
      <c r="AK43" s="68" t="n">
        <v>0</v>
      </c>
      <c r="AL43" s="87" t="n">
        <v>45.0248</v>
      </c>
      <c r="AM43" s="87" t="n">
        <v>4219780</v>
      </c>
      <c r="AN43" s="87">
        <f>TABL123[[#This Row],[ (RESV. STORGE) SER]]/10</f>
        <v/>
      </c>
      <c r="AO43" s="43" t="n">
        <v>1533</v>
      </c>
      <c r="AP43" s="32">
        <f>TABL123[[#This Row],[(A/S) AJD]]-TABL123[[#This Row],[SER_IN]]</f>
        <v/>
      </c>
    </row>
    <row r="44" ht="18.75" customHeight="1">
      <c r="A44" s="2" t="n">
        <v>46065</v>
      </c>
      <c r="B44" s="44" t="n">
        <v>32</v>
      </c>
      <c r="C44" s="44" t="n">
        <v>259</v>
      </c>
      <c r="D44" s="44" t="n">
        <v>32</v>
      </c>
      <c r="E44" s="44">
        <f>B44-D44</f>
        <v/>
      </c>
      <c r="F44" s="44" t="n">
        <v>97</v>
      </c>
      <c r="G44" s="40" t="n">
        <v>610</v>
      </c>
      <c r="H44" s="28">
        <f>103-F44</f>
        <v/>
      </c>
      <c r="I44" s="40" t="n">
        <v>447</v>
      </c>
      <c r="J44" s="44" t="n">
        <v>433</v>
      </c>
      <c r="K44" s="28">
        <f>TABL123[[#This Row],[ (T/B) SAR]]+TABL123[[#This Row],[ (S/S) SAR]]</f>
        <v/>
      </c>
      <c r="L44" s="45" t="n">
        <v>270</v>
      </c>
      <c r="M44" s="46" t="n">
        <v>19.7</v>
      </c>
      <c r="N44" s="46" t="n">
        <v>7.69</v>
      </c>
      <c r="O44" s="40" t="n">
        <v>388</v>
      </c>
      <c r="P44" s="3">
        <f>TABL123[[#This Row],[ (S/S) SAR]]-TABL123[[#This Row],[(S/S) AJD]]</f>
        <v/>
      </c>
      <c r="Q44" s="40" t="n">
        <v>418</v>
      </c>
      <c r="R44" s="3">
        <f>TABL123[[#This Row],[ (T/B) SAR]]-TABL123[[#This Row],[(T/B) AJD]]</f>
        <v/>
      </c>
      <c r="S44" s="3">
        <f>TABL123[[#This Row],[T/B-CON.]]+TABL123[[#This Row],[S/S_CON.]]</f>
        <v/>
      </c>
      <c r="T44" s="3">
        <f>TABL123[[#This Row],[(S/S) AJD]]+TABL123[[#This Row],[(T/B) AJD]]</f>
        <v/>
      </c>
      <c r="U44" s="44" t="n">
        <v>538</v>
      </c>
      <c r="V44" s="44" t="n">
        <v>264</v>
      </c>
      <c r="W44" s="3">
        <f>TABL123[[#This Row],[(A/B) AJD]]+TABL123[[#This Row],[(A/S) AJD]]</f>
        <v/>
      </c>
      <c r="X44" s="3">
        <f>TABL123[[#This Row],[( S/S+T/B) AJD]]-TABL123[[#This Row],[(A/B + A/S) AJD]]</f>
        <v/>
      </c>
      <c r="Y44" s="44" t="n">
        <v>92.018</v>
      </c>
      <c r="Z44" s="45" t="n">
        <v>210460</v>
      </c>
      <c r="AA44" s="3">
        <f>TABL123[[#This Row],[(RESV. STORGE) AJD]]/10</f>
        <v/>
      </c>
      <c r="AB44" s="45">
        <f>IF(TRIM(Z44)="",,(Z44-Z43)/1000)</f>
        <v/>
      </c>
      <c r="AC44" s="45" t="n">
        <v>0</v>
      </c>
      <c r="AD44" s="83">
        <f>TABL123[[#This Row],[( S/S+T/B) AJD]]-(TABL123[[#This Row],[(A/B + A/S) AJD]]+TABL123[[#This Row],[(STORGE DIFF.) AJD]]+(TABL123[[#This Row],[AJD_Evaporation]])/1000)</f>
        <v/>
      </c>
      <c r="AE44" s="68" t="n">
        <v>69</v>
      </c>
      <c r="AF44" s="68" t="n">
        <v>58.43</v>
      </c>
      <c r="AG44" s="68" t="n">
        <v>1248736</v>
      </c>
      <c r="AH44" s="45" t="n">
        <v>1927</v>
      </c>
      <c r="AI44" s="45" t="n">
        <v>1927</v>
      </c>
      <c r="AJ44" s="78">
        <f>TABL123[[#This Row],[(A/B) AJD]]-TABL123[[#This Row],[BER_IN]]</f>
        <v/>
      </c>
      <c r="AK44" s="68" t="n">
        <v>0</v>
      </c>
      <c r="AL44" s="87" t="n">
        <v>44.9546</v>
      </c>
      <c r="AM44" s="87" t="n">
        <v>4181210</v>
      </c>
      <c r="AN44" s="87">
        <f>TABL123[[#This Row],[ (RESV. STORGE) SER]]/10</f>
        <v/>
      </c>
      <c r="AO44" s="45" t="n">
        <v>1565</v>
      </c>
      <c r="AP44" s="32">
        <f>TABL123[[#This Row],[(A/S) AJD]]-TABL123[[#This Row],[SER_IN]]</f>
        <v/>
      </c>
    </row>
    <row r="45" ht="18.75" customHeight="1">
      <c r="A45" s="2" t="n">
        <v>46066</v>
      </c>
      <c r="B45" s="41" t="n">
        <v>33</v>
      </c>
      <c r="C45" s="41" t="n">
        <v>253</v>
      </c>
      <c r="D45" s="41" t="n">
        <v>33</v>
      </c>
      <c r="E45" s="41">
        <f>B45-D45</f>
        <v/>
      </c>
      <c r="F45" s="41" t="n">
        <v>97</v>
      </c>
      <c r="G45" s="39" t="n">
        <v>583</v>
      </c>
      <c r="H45" s="28">
        <f>103-F45</f>
        <v/>
      </c>
      <c r="I45" s="39" t="n">
        <v>427</v>
      </c>
      <c r="J45" s="39" t="n">
        <v>412</v>
      </c>
      <c r="K45" s="28">
        <f>TABL123[[#This Row],[ (T/B) SAR]]+TABL123[[#This Row],[ (S/S) SAR]]</f>
        <v/>
      </c>
      <c r="L45" s="41" t="n">
        <v>256</v>
      </c>
      <c r="M45" s="42" t="n">
        <v>19.7</v>
      </c>
      <c r="N45" s="42" t="n">
        <v>7.3</v>
      </c>
      <c r="O45" s="39" t="n">
        <v>389</v>
      </c>
      <c r="P45" s="3">
        <f>TABL123[[#This Row],[ (S/S) SAR]]-TABL123[[#This Row],[(S/S) AJD]]</f>
        <v/>
      </c>
      <c r="Q45" s="39" t="n">
        <v>420</v>
      </c>
      <c r="R45" s="3">
        <f>TABL123[[#This Row],[ (T/B) SAR]]-TABL123[[#This Row],[(T/B) AJD]]</f>
        <v/>
      </c>
      <c r="S45" s="3">
        <f>TABL123[[#This Row],[T/B-CON.]]+TABL123[[#This Row],[S/S_CON.]]</f>
        <v/>
      </c>
      <c r="T45" s="3">
        <f>TABL123[[#This Row],[(S/S) AJD]]+TABL123[[#This Row],[(T/B) AJD]]</f>
        <v/>
      </c>
      <c r="U45" s="41" t="n">
        <v>519</v>
      </c>
      <c r="V45" s="41" t="n">
        <v>267</v>
      </c>
      <c r="W45" s="3">
        <f>TABL123[[#This Row],[(A/B) AJD]]+TABL123[[#This Row],[(A/S) AJD]]</f>
        <v/>
      </c>
      <c r="X45" s="3">
        <f>TABL123[[#This Row],[( S/S+T/B) AJD]]-TABL123[[#This Row],[(A/B + A/S) AJD]]</f>
        <v/>
      </c>
      <c r="Y45" s="41" t="n">
        <v>92.02500000000001</v>
      </c>
      <c r="Z45" s="43" t="n">
        <v>214606</v>
      </c>
      <c r="AA45" s="3">
        <f>TABL123[[#This Row],[(RESV. STORGE) AJD]]/10</f>
        <v/>
      </c>
      <c r="AB45" s="45">
        <f>IF(TRIM(Z45)="",,(Z45-Z44)/1000)</f>
        <v/>
      </c>
      <c r="AC45" s="43" t="n">
        <v>0</v>
      </c>
      <c r="AD45" s="83">
        <f>TABL123[[#This Row],[( S/S+T/B) AJD]]-(TABL123[[#This Row],[(A/B + A/S) AJD]]+TABL123[[#This Row],[(STORGE DIFF.) AJD]]+(TABL123[[#This Row],[AJD_Evaporation]])/1000)</f>
        <v/>
      </c>
      <c r="AE45" s="68" t="n">
        <v>61</v>
      </c>
      <c r="AF45" s="68" t="n">
        <v>58.44</v>
      </c>
      <c r="AG45" s="68" t="n">
        <v>1255289</v>
      </c>
      <c r="AH45" s="43" t="n">
        <v>1266</v>
      </c>
      <c r="AI45" s="43" t="n">
        <v>1266</v>
      </c>
      <c r="AJ45" s="78">
        <f>TABL123[[#This Row],[(A/B) AJD]]-TABL123[[#This Row],[BER_IN]]</f>
        <v/>
      </c>
      <c r="AK45" s="68" t="n">
        <v>0</v>
      </c>
      <c r="AL45" s="87" t="n">
        <v>44.9242</v>
      </c>
      <c r="AM45" s="87" t="n">
        <v>4163967</v>
      </c>
      <c r="AN45" s="87">
        <f>TABL123[[#This Row],[ (RESV. STORGE) SER]]/10</f>
        <v/>
      </c>
      <c r="AO45" s="43" t="n">
        <v>1544</v>
      </c>
      <c r="AP45" s="32">
        <f>TABL123[[#This Row],[(A/S) AJD]]-TABL123[[#This Row],[SER_IN]]</f>
        <v/>
      </c>
    </row>
    <row r="46" ht="18.75" customHeight="1">
      <c r="A46" s="2" t="n">
        <v>46067</v>
      </c>
      <c r="B46" s="44" t="n">
        <v>33</v>
      </c>
      <c r="C46" s="44" t="n">
        <v>255</v>
      </c>
      <c r="D46" s="44" t="n">
        <v>33</v>
      </c>
      <c r="E46" s="44">
        <f>B46-D46</f>
        <v/>
      </c>
      <c r="F46" s="44" t="n">
        <v>97</v>
      </c>
      <c r="G46" s="40" t="n">
        <v>583</v>
      </c>
      <c r="H46" s="28">
        <f>103-F46</f>
        <v/>
      </c>
      <c r="I46" s="40" t="n">
        <v>427</v>
      </c>
      <c r="J46" s="44" t="n">
        <v>412</v>
      </c>
      <c r="K46" s="28">
        <f>TABL123[[#This Row],[ (T/B) SAR]]+TABL123[[#This Row],[ (S/S) SAR]]</f>
        <v/>
      </c>
      <c r="L46" s="45" t="n">
        <v>256</v>
      </c>
      <c r="M46" s="46" t="n">
        <v>19.7</v>
      </c>
      <c r="N46" s="46" t="n">
        <v>7.3</v>
      </c>
      <c r="O46" s="40" t="n">
        <v>390</v>
      </c>
      <c r="P46" s="3">
        <f>TABL123[[#This Row],[ (S/S) SAR]]-TABL123[[#This Row],[(S/S) AJD]]</f>
        <v/>
      </c>
      <c r="Q46" s="40" t="n">
        <v>422</v>
      </c>
      <c r="R46" s="3">
        <f>TABL123[[#This Row],[ (T/B) SAR]]-TABL123[[#This Row],[(T/B) AJD]]</f>
        <v/>
      </c>
      <c r="S46" s="3">
        <f>TABL123[[#This Row],[T/B-CON.]]+TABL123[[#This Row],[S/S_CON.]]</f>
        <v/>
      </c>
      <c r="T46" s="3">
        <f>TABL123[[#This Row],[(S/S) AJD]]+TABL123[[#This Row],[(T/B) AJD]]</f>
        <v/>
      </c>
      <c r="U46" s="44" t="n">
        <v>521</v>
      </c>
      <c r="V46" s="44" t="n">
        <v>244</v>
      </c>
      <c r="W46" s="3">
        <f>TABL123[[#This Row],[(A/B) AJD]]+TABL123[[#This Row],[(A/S) AJD]]</f>
        <v/>
      </c>
      <c r="X46" s="3">
        <f>TABL123[[#This Row],[( S/S+T/B) AJD]]-TABL123[[#This Row],[(A/B + A/S) AJD]]</f>
        <v/>
      </c>
      <c r="Y46" s="44" t="n">
        <v>92.09999999999999</v>
      </c>
      <c r="Z46" s="45" t="n">
        <v>259010</v>
      </c>
      <c r="AA46" s="3">
        <f>TABL123[[#This Row],[(RESV. STORGE) AJD]]/10</f>
        <v/>
      </c>
      <c r="AB46" s="45">
        <f>IF(TRIM(Z46)="",,(Z46-Z45)/1000)</f>
        <v/>
      </c>
      <c r="AC46" s="45" t="n">
        <v>0</v>
      </c>
      <c r="AD46" s="83">
        <f>TABL123[[#This Row],[( S/S+T/B) AJD]]-(TABL123[[#This Row],[(A/B + A/S) AJD]]+TABL123[[#This Row],[(STORGE DIFF.) AJD]]+(TABL123[[#This Row],[AJD_Evaporation]])/1000)</f>
        <v/>
      </c>
      <c r="AE46" s="68" t="n">
        <v>60</v>
      </c>
      <c r="AF46" s="68" t="n">
        <v>58.45</v>
      </c>
      <c r="AG46" s="68" t="n">
        <v>1261843</v>
      </c>
      <c r="AH46" s="45" t="n">
        <v>1150</v>
      </c>
      <c r="AI46" s="45" t="n">
        <v>1150</v>
      </c>
      <c r="AJ46" s="78">
        <f>TABL123[[#This Row],[(A/B) AJD]]-TABL123[[#This Row],[BER_IN]]</f>
        <v/>
      </c>
      <c r="AK46" s="68" t="n">
        <v>0</v>
      </c>
      <c r="AL46" s="87" t="n">
        <v>44.8777</v>
      </c>
      <c r="AM46" s="87" t="n">
        <v>4137560</v>
      </c>
      <c r="AN46" s="87">
        <f>TABL123[[#This Row],[ (RESV. STORGE) SER]]/10</f>
        <v/>
      </c>
      <c r="AO46" s="45" t="n">
        <v>1565</v>
      </c>
      <c r="AP46" s="32">
        <f>TABL123[[#This Row],[(A/S) AJD]]-TABL123[[#This Row],[SER_IN]]</f>
        <v/>
      </c>
    </row>
    <row r="47" ht="18.75" customHeight="1">
      <c r="A47" s="2" t="n">
        <v>46068</v>
      </c>
      <c r="B47" s="41" t="n">
        <v>33</v>
      </c>
      <c r="C47" s="41" t="n">
        <v>268</v>
      </c>
      <c r="D47" s="41" t="n">
        <v>33</v>
      </c>
      <c r="E47" s="41">
        <f>B47-D47</f>
        <v/>
      </c>
      <c r="F47" s="41" t="n">
        <v>97</v>
      </c>
      <c r="G47" s="39" t="n">
        <v>600</v>
      </c>
      <c r="H47" s="28">
        <f>103-F47</f>
        <v/>
      </c>
      <c r="I47" s="39" t="n">
        <v>439</v>
      </c>
      <c r="J47" s="39" t="n">
        <v>431</v>
      </c>
      <c r="K47" s="28">
        <f>TABL123[[#This Row],[ (T/B) SAR]]+TABL123[[#This Row],[ (S/S) SAR]]</f>
        <v/>
      </c>
      <c r="L47" s="41" t="n">
        <v>270</v>
      </c>
      <c r="M47" s="42" t="n">
        <v>19.7</v>
      </c>
      <c r="N47" s="42" t="n">
        <v>7.93</v>
      </c>
      <c r="O47" s="39" t="n">
        <v>390</v>
      </c>
      <c r="P47" s="3">
        <f>TABL123[[#This Row],[ (S/S) SAR]]-TABL123[[#This Row],[(S/S) AJD]]</f>
        <v/>
      </c>
      <c r="Q47" s="39" t="n">
        <v>422</v>
      </c>
      <c r="R47" s="3">
        <f>TABL123[[#This Row],[ (T/B) SAR]]-TABL123[[#This Row],[(T/B) AJD]]</f>
        <v/>
      </c>
      <c r="S47" s="3">
        <f>TABL123[[#This Row],[T/B-CON.]]+TABL123[[#This Row],[S/S_CON.]]</f>
        <v/>
      </c>
      <c r="T47" s="3">
        <f>TABL123[[#This Row],[(S/S) AJD]]+TABL123[[#This Row],[(T/B) AJD]]</f>
        <v/>
      </c>
      <c r="U47" s="41" t="n">
        <v>446</v>
      </c>
      <c r="V47" s="41" t="n">
        <v>250</v>
      </c>
      <c r="W47" s="3">
        <f>TABL123[[#This Row],[(A/B) AJD]]+TABL123[[#This Row],[(A/S) AJD]]</f>
        <v/>
      </c>
      <c r="X47" s="3">
        <f>TABL123[[#This Row],[( S/S+T/B) AJD]]-TABL123[[#This Row],[(A/B + A/S) AJD]]</f>
        <v/>
      </c>
      <c r="Y47" s="41" t="n">
        <v>92.21299999999999</v>
      </c>
      <c r="Z47" s="43" t="n">
        <v>326002</v>
      </c>
      <c r="AA47" s="3">
        <f>TABL123[[#This Row],[(RESV. STORGE) AJD]]/10</f>
        <v/>
      </c>
      <c r="AB47" s="45">
        <f>IF(TRIM(Z47)="",,(Z47-Z46)/1000)</f>
        <v/>
      </c>
      <c r="AC47" s="43" t="n">
        <v>0</v>
      </c>
      <c r="AD47" s="83">
        <f>TABL123[[#This Row],[( S/S+T/B) AJD]]-(TABL123[[#This Row],[(A/B + A/S) AJD]]+TABL123[[#This Row],[(STORGE DIFF.) AJD]]+(TABL123[[#This Row],[AJD_Evaporation]])/1000)</f>
        <v/>
      </c>
      <c r="AE47" s="68" t="n">
        <v>60</v>
      </c>
      <c r="AF47" s="68" t="n">
        <v>58.4</v>
      </c>
      <c r="AG47" s="68" t="n">
        <v>1229081</v>
      </c>
      <c r="AH47" s="43" t="n">
        <v>1557</v>
      </c>
      <c r="AI47" s="43" t="n">
        <v>1557</v>
      </c>
      <c r="AJ47" s="78">
        <f>TABL123[[#This Row],[(A/B) AJD]]-TABL123[[#This Row],[BER_IN]]</f>
        <v/>
      </c>
      <c r="AK47" s="68" t="n">
        <v>0</v>
      </c>
      <c r="AL47" s="87" t="n">
        <v>44.8198</v>
      </c>
      <c r="AM47" s="87" t="n">
        <v>4106090</v>
      </c>
      <c r="AN47" s="87">
        <f>TABL123[[#This Row],[ (RESV. STORGE) SER]]/10</f>
        <v/>
      </c>
      <c r="AO47" s="43" t="n">
        <v>1573</v>
      </c>
      <c r="AP47" s="32">
        <f>TABL123[[#This Row],[(A/S) AJD]]-TABL123[[#This Row],[SER_IN]]</f>
        <v/>
      </c>
    </row>
    <row r="48" ht="18.75" customHeight="1">
      <c r="A48" s="2" t="n">
        <v>46069</v>
      </c>
      <c r="B48" s="44" t="n">
        <v>33</v>
      </c>
      <c r="C48" s="44" t="n">
        <v>268</v>
      </c>
      <c r="D48" s="44" t="n">
        <v>33</v>
      </c>
      <c r="E48" s="44">
        <f>B48-D48</f>
        <v/>
      </c>
      <c r="F48" s="44" t="n">
        <v>97</v>
      </c>
      <c r="G48" s="40" t="n">
        <v>602</v>
      </c>
      <c r="H48" s="28">
        <f>103-F48</f>
        <v/>
      </c>
      <c r="I48" s="40" t="n">
        <v>445</v>
      </c>
      <c r="J48" s="44" t="n">
        <v>432</v>
      </c>
      <c r="K48" s="28">
        <f>TABL123[[#This Row],[ (T/B) SAR]]+TABL123[[#This Row],[ (S/S) SAR]]</f>
        <v/>
      </c>
      <c r="L48" s="45" t="n">
        <v>275</v>
      </c>
      <c r="M48" s="46" t="n">
        <v>19.7</v>
      </c>
      <c r="N48" s="46" t="n">
        <v>8.08</v>
      </c>
      <c r="O48" s="40" t="n">
        <v>391</v>
      </c>
      <c r="P48" s="3">
        <f>TABL123[[#This Row],[ (S/S) SAR]]-TABL123[[#This Row],[(S/S) AJD]]</f>
        <v/>
      </c>
      <c r="Q48" s="40" t="n">
        <v>422</v>
      </c>
      <c r="R48" s="3">
        <f>TABL123[[#This Row],[ (T/B) SAR]]-TABL123[[#This Row],[(T/B) AJD]]</f>
        <v/>
      </c>
      <c r="S48" s="3">
        <f>TABL123[[#This Row],[T/B-CON.]]+TABL123[[#This Row],[S/S_CON.]]</f>
        <v/>
      </c>
      <c r="T48" s="3">
        <f>TABL123[[#This Row],[(S/S) AJD]]+TABL123[[#This Row],[(T/B) AJD]]</f>
        <v/>
      </c>
      <c r="U48" s="44" t="n">
        <v>516</v>
      </c>
      <c r="V48" s="44" t="n">
        <v>248</v>
      </c>
      <c r="W48" s="3">
        <f>TABL123[[#This Row],[(A/B) AJD]]+TABL123[[#This Row],[(A/S) AJD]]</f>
        <v/>
      </c>
      <c r="X48" s="3">
        <f>TABL123[[#This Row],[( S/S+T/B) AJD]]-TABL123[[#This Row],[(A/B + A/S) AJD]]</f>
        <v/>
      </c>
      <c r="Y48" s="44" t="n">
        <v>92.268</v>
      </c>
      <c r="Z48" s="45" t="n">
        <v>358650</v>
      </c>
      <c r="AA48" s="3">
        <f>TABL123[[#This Row],[(RESV. STORGE) AJD]]/10</f>
        <v/>
      </c>
      <c r="AB48" s="45">
        <f>IF(TRIM(Z48)="",,(Z48-Z47)/1000)</f>
        <v/>
      </c>
      <c r="AC48" s="45" t="n">
        <v>0</v>
      </c>
      <c r="AD48" s="83">
        <f>TABL123[[#This Row],[( S/S+T/B) AJD]]-(TABL123[[#This Row],[(A/B + A/S) AJD]]+TABL123[[#This Row],[(STORGE DIFF.) AJD]]+(TABL123[[#This Row],[AJD_Evaporation]])/1000)</f>
        <v/>
      </c>
      <c r="AE48" s="68" t="n">
        <v>60</v>
      </c>
      <c r="AF48" s="68" t="n">
        <v>58.47</v>
      </c>
      <c r="AG48" s="68" t="n">
        <v>1274954</v>
      </c>
      <c r="AH48" s="45" t="n">
        <v>1815</v>
      </c>
      <c r="AI48" s="45" t="n">
        <v>1815</v>
      </c>
      <c r="AJ48" s="78">
        <f>TABL123[[#This Row],[(A/B) AJD]]-TABL123[[#This Row],[BER_IN]]</f>
        <v/>
      </c>
      <c r="AK48" s="68" t="n">
        <v>0</v>
      </c>
      <c r="AL48" s="87" t="n">
        <v>44.7862</v>
      </c>
      <c r="AM48" s="87" t="n">
        <v>4067260</v>
      </c>
      <c r="AN48" s="87">
        <f>TABL123[[#This Row],[ (RESV. STORGE) SER]]/10</f>
        <v/>
      </c>
      <c r="AO48" s="45" t="n">
        <v>1830</v>
      </c>
      <c r="AP48" s="32">
        <f>TABL123[[#This Row],[(A/S) AJD]]-TABL123[[#This Row],[SER_IN]]</f>
        <v/>
      </c>
    </row>
    <row r="49" ht="18.75" customHeight="1">
      <c r="A49" s="2" t="n">
        <v>46070</v>
      </c>
      <c r="B49" s="41" t="n">
        <v>33</v>
      </c>
      <c r="C49" s="41" t="n">
        <v>262</v>
      </c>
      <c r="D49" s="41" t="n">
        <v>33</v>
      </c>
      <c r="E49" s="41">
        <f>B49-D49</f>
        <v/>
      </c>
      <c r="F49" s="41" t="n">
        <v>97</v>
      </c>
      <c r="G49" s="39" t="n">
        <v>607</v>
      </c>
      <c r="H49" s="28">
        <f>103-F49</f>
        <v/>
      </c>
      <c r="I49" s="39" t="n">
        <v>450</v>
      </c>
      <c r="J49" s="39" t="n">
        <v>433</v>
      </c>
      <c r="K49" s="28">
        <f>TABL123[[#This Row],[ (T/B) SAR]]+TABL123[[#This Row],[ (S/S) SAR]]</f>
        <v/>
      </c>
      <c r="L49" s="41" t="n">
        <v>276</v>
      </c>
      <c r="M49" s="42" t="n">
        <v>19.7</v>
      </c>
      <c r="N49" s="42" t="n">
        <v>8.19</v>
      </c>
      <c r="O49" s="39" t="n">
        <v>391</v>
      </c>
      <c r="P49" s="3">
        <f>TABL123[[#This Row],[ (S/S) SAR]]-TABL123[[#This Row],[(S/S) AJD]]</f>
        <v/>
      </c>
      <c r="Q49" s="39" t="n">
        <v>422</v>
      </c>
      <c r="R49" s="3">
        <f>TABL123[[#This Row],[ (T/B) SAR]]-TABL123[[#This Row],[(T/B) AJD]]</f>
        <v/>
      </c>
      <c r="S49" s="3">
        <f>TABL123[[#This Row],[T/B-CON.]]+TABL123[[#This Row],[S/S_CON.]]</f>
        <v/>
      </c>
      <c r="T49" s="3">
        <f>TABL123[[#This Row],[(S/S) AJD]]+TABL123[[#This Row],[(T/B) AJD]]</f>
        <v/>
      </c>
      <c r="U49" s="41" t="n">
        <v>521</v>
      </c>
      <c r="V49" s="41" t="n">
        <v>249</v>
      </c>
      <c r="W49" s="3">
        <f>TABL123[[#This Row],[(A/B) AJD]]+TABL123[[#This Row],[(A/S) AJD]]</f>
        <v/>
      </c>
      <c r="X49" s="3">
        <f>TABL123[[#This Row],[( S/S+T/B) AJD]]-TABL123[[#This Row],[(A/B + A/S) AJD]]</f>
        <v/>
      </c>
      <c r="Y49" s="41" t="n">
        <v>92.268</v>
      </c>
      <c r="Z49" s="43" t="n">
        <v>356867</v>
      </c>
      <c r="AA49" s="3">
        <f>TABL123[[#This Row],[(RESV. STORGE) AJD]]/10</f>
        <v/>
      </c>
      <c r="AB49" s="45">
        <f>IF(TRIM(Z49)="",,(Z49-Z48)/1000)</f>
        <v/>
      </c>
      <c r="AC49" s="43" t="n">
        <v>0</v>
      </c>
      <c r="AD49" s="83">
        <f>TABL123[[#This Row],[( S/S+T/B) AJD]]-(TABL123[[#This Row],[(A/B + A/S) AJD]]+TABL123[[#This Row],[(STORGE DIFF.) AJD]]+(TABL123[[#This Row],[AJD_Evaporation]])/1000)</f>
        <v/>
      </c>
      <c r="AE49" s="68" t="n">
        <v>60</v>
      </c>
      <c r="AF49" s="68" t="n">
        <v>58.48</v>
      </c>
      <c r="AG49" s="68" t="n">
        <v>1281511</v>
      </c>
      <c r="AH49" s="43" t="n">
        <v>1481</v>
      </c>
      <c r="AI49" s="43" t="n">
        <v>1481</v>
      </c>
      <c r="AJ49" s="78">
        <f>TABL123[[#This Row],[(A/B) AJD]]-TABL123[[#This Row],[BER_IN]]</f>
        <v/>
      </c>
      <c r="AK49" s="68" t="n">
        <v>0</v>
      </c>
      <c r="AL49" s="87" t="n">
        <v>44.7429</v>
      </c>
      <c r="AM49" s="87" t="n">
        <v>4063390</v>
      </c>
      <c r="AN49" s="87">
        <f>TABL123[[#This Row],[ (RESV. STORGE) SER]]/10</f>
        <v/>
      </c>
      <c r="AO49" s="43" t="n">
        <v>1870</v>
      </c>
      <c r="AP49" s="32">
        <f>TABL123[[#This Row],[(A/S) AJD]]-TABL123[[#This Row],[SER_IN]]</f>
        <v/>
      </c>
    </row>
    <row r="50" ht="18.75" customHeight="1">
      <c r="A50" s="2" t="n">
        <v>46071</v>
      </c>
      <c r="B50" s="44" t="n">
        <v>33</v>
      </c>
      <c r="C50" s="44" t="n">
        <v>268</v>
      </c>
      <c r="D50" s="44" t="n">
        <v>33</v>
      </c>
      <c r="E50" s="44">
        <f>B50-D50</f>
        <v/>
      </c>
      <c r="F50" s="44" t="n">
        <v>97</v>
      </c>
      <c r="G50" s="40" t="n">
        <v>605</v>
      </c>
      <c r="H50" s="28">
        <f>103-F50</f>
        <v/>
      </c>
      <c r="I50" s="40" t="n">
        <v>460</v>
      </c>
      <c r="J50" s="44" t="n">
        <v>440</v>
      </c>
      <c r="K50" s="28">
        <f>TABL123[[#This Row],[ (T/B) SAR]]+TABL123[[#This Row],[ (S/S) SAR]]</f>
        <v/>
      </c>
      <c r="L50" s="45" t="n">
        <v>295</v>
      </c>
      <c r="M50" s="46" t="n">
        <v>20</v>
      </c>
      <c r="N50" s="46" t="n">
        <v>8.23</v>
      </c>
      <c r="O50" s="40" t="n">
        <v>391</v>
      </c>
      <c r="P50" s="3">
        <f>TABL123[[#This Row],[ (S/S) SAR]]-TABL123[[#This Row],[(S/S) AJD]]</f>
        <v/>
      </c>
      <c r="Q50" s="40" t="n">
        <v>422</v>
      </c>
      <c r="R50" s="3">
        <f>TABL123[[#This Row],[ (T/B) SAR]]-TABL123[[#This Row],[(T/B) AJD]]</f>
        <v/>
      </c>
      <c r="S50" s="3">
        <f>TABL123[[#This Row],[T/B-CON.]]+TABL123[[#This Row],[S/S_CON.]]</f>
        <v/>
      </c>
      <c r="T50" s="3">
        <f>TABL123[[#This Row],[(S/S) AJD]]+TABL123[[#This Row],[(T/B) AJD]]</f>
        <v/>
      </c>
      <c r="U50" s="44" t="n">
        <v>516</v>
      </c>
      <c r="V50" s="44" t="n">
        <v>248</v>
      </c>
      <c r="W50" s="3">
        <f>TABL123[[#This Row],[(A/B) AJD]]+TABL123[[#This Row],[(A/S) AJD]]</f>
        <v/>
      </c>
      <c r="X50" s="3">
        <f>TABL123[[#This Row],[( S/S+T/B) AJD]]-TABL123[[#This Row],[(A/B + A/S) AJD]]</f>
        <v/>
      </c>
      <c r="Y50" s="44" t="n">
        <v>92.68000000000001</v>
      </c>
      <c r="Z50" s="45" t="n">
        <v>358650</v>
      </c>
      <c r="AA50" s="3">
        <f>TABL123[[#This Row],[(RESV. STORGE) AJD]]/10</f>
        <v/>
      </c>
      <c r="AB50" s="45">
        <f>IF(TRIM(Z50)="",,(Z50-Z49)/1000)</f>
        <v/>
      </c>
      <c r="AC50" s="45" t="n">
        <v>0</v>
      </c>
      <c r="AD50" s="83">
        <f>TABL123[[#This Row],[( S/S+T/B) AJD]]-(TABL123[[#This Row],[(A/B + A/S) AJD]]+TABL123[[#This Row],[(STORGE DIFF.) AJD]]+(TABL123[[#This Row],[AJD_Evaporation]])/1000)</f>
        <v/>
      </c>
      <c r="AE50" s="68" t="n">
        <v>60</v>
      </c>
      <c r="AF50" s="68" t="n">
        <v>58.49</v>
      </c>
      <c r="AG50" s="68" t="n">
        <v>1288069</v>
      </c>
      <c r="AH50" s="45" t="n">
        <v>1801</v>
      </c>
      <c r="AI50" s="45" t="n">
        <v>1801</v>
      </c>
      <c r="AJ50" s="78">
        <f>TABL123[[#This Row],[(A/B) AJD]]-TABL123[[#This Row],[BER_IN]]</f>
        <v/>
      </c>
      <c r="AK50" s="68" t="n">
        <v>0</v>
      </c>
      <c r="AL50" s="87" t="n">
        <v>44.7251</v>
      </c>
      <c r="AM50" s="87" t="n">
        <v>4053400</v>
      </c>
      <c r="AN50" s="87">
        <f>TABL123[[#This Row],[ (RESV. STORGE) SER]]/10</f>
        <v/>
      </c>
      <c r="AO50" s="45" t="n">
        <v>1790</v>
      </c>
      <c r="AP50" s="32">
        <f>TABL123[[#This Row],[(A/S) AJD]]-TABL123[[#This Row],[SER_IN]]</f>
        <v/>
      </c>
    </row>
    <row r="51" ht="18.75" customHeight="1">
      <c r="A51" s="2" t="n">
        <v>46072</v>
      </c>
      <c r="B51" s="41" t="n">
        <v>33</v>
      </c>
      <c r="C51" s="41" t="n">
        <v>267</v>
      </c>
      <c r="D51" s="41" t="n">
        <v>33</v>
      </c>
      <c r="E51" s="41">
        <f>B51-D51</f>
        <v/>
      </c>
      <c r="F51" s="41" t="n">
        <v>97</v>
      </c>
      <c r="G51" s="39" t="n">
        <v>605</v>
      </c>
      <c r="H51" s="28">
        <f>103-F51</f>
        <v/>
      </c>
      <c r="I51" s="39" t="n">
        <v>462</v>
      </c>
      <c r="J51" s="39" t="n">
        <v>448</v>
      </c>
      <c r="K51" s="28">
        <f>TABL123[[#This Row],[ (T/B) SAR]]+TABL123[[#This Row],[ (S/S) SAR]]</f>
        <v/>
      </c>
      <c r="L51" s="41" t="n">
        <v>305</v>
      </c>
      <c r="M51" s="42" t="n">
        <v>21.4</v>
      </c>
      <c r="N51" s="42" t="n">
        <v>8.19</v>
      </c>
      <c r="O51" s="39" t="n">
        <v>397</v>
      </c>
      <c r="P51" s="3">
        <f>TABL123[[#This Row],[ (S/S) SAR]]-TABL123[[#This Row],[(S/S) AJD]]</f>
        <v/>
      </c>
      <c r="Q51" s="39" t="n">
        <v>429</v>
      </c>
      <c r="R51" s="3">
        <f>TABL123[[#This Row],[ (T/B) SAR]]-TABL123[[#This Row],[(T/B) AJD]]</f>
        <v/>
      </c>
      <c r="S51" s="3">
        <f>TABL123[[#This Row],[T/B-CON.]]+TABL123[[#This Row],[S/S_CON.]]</f>
        <v/>
      </c>
      <c r="T51" s="3">
        <f>TABL123[[#This Row],[(S/S) AJD]]+TABL123[[#This Row],[(T/B) AJD]]</f>
        <v/>
      </c>
      <c r="U51" s="41" t="n">
        <v>515</v>
      </c>
      <c r="V51" s="41" t="n">
        <v>250</v>
      </c>
      <c r="W51" s="3">
        <f>TABL123[[#This Row],[(A/B) AJD]]+TABL123[[#This Row],[(A/S) AJD]]</f>
        <v/>
      </c>
      <c r="X51" s="3">
        <f>TABL123[[#This Row],[( S/S+T/B) AJD]]-TABL123[[#This Row],[(A/B + A/S) AJD]]</f>
        <v/>
      </c>
      <c r="Y51" s="41" t="n">
        <v>92.31699999999999</v>
      </c>
      <c r="Z51" s="43" t="n">
        <v>389536</v>
      </c>
      <c r="AA51" s="3">
        <f>TABL123[[#This Row],[(RESV. STORGE) AJD]]/10</f>
        <v/>
      </c>
      <c r="AB51" s="45">
        <f>IF(TRIM(Z51)="",,(Z51-Z50)/1000)</f>
        <v/>
      </c>
      <c r="AC51" s="43" t="n">
        <v>0</v>
      </c>
      <c r="AD51" s="83">
        <f>TABL123[[#This Row],[( S/S+T/B) AJD]]-(TABL123[[#This Row],[(A/B + A/S) AJD]]+TABL123[[#This Row],[(STORGE DIFF.) AJD]]+(TABL123[[#This Row],[AJD_Evaporation]])/1000)</f>
        <v/>
      </c>
      <c r="AE51" s="68" t="n">
        <v>60</v>
      </c>
      <c r="AF51" s="68" t="n">
        <v>58.49</v>
      </c>
      <c r="AG51" s="68" t="n">
        <v>1288069</v>
      </c>
      <c r="AH51" s="43" t="n">
        <v>1794</v>
      </c>
      <c r="AI51" s="43" t="n">
        <v>1794</v>
      </c>
      <c r="AJ51" s="78">
        <f>TABL123[[#This Row],[(A/B) AJD]]-TABL123[[#This Row],[BER_IN]]</f>
        <v/>
      </c>
      <c r="AK51" s="68" t="n">
        <v>0</v>
      </c>
      <c r="AL51" s="87" t="n">
        <v>44.6484</v>
      </c>
      <c r="AM51" s="87" t="n">
        <v>4011220</v>
      </c>
      <c r="AN51" s="87">
        <f>TABL123[[#This Row],[ (RESV. STORGE) SER]]/10</f>
        <v/>
      </c>
      <c r="AO51" s="43" t="n">
        <v>1780</v>
      </c>
      <c r="AP51" s="32">
        <f>TABL123[[#This Row],[(A/S) AJD]]-TABL123[[#This Row],[SER_IN]]</f>
        <v/>
      </c>
    </row>
    <row r="52" ht="18.75" customHeight="1">
      <c r="A52" s="2" t="n">
        <v>46073</v>
      </c>
      <c r="B52" s="44" t="n">
        <v>33</v>
      </c>
      <c r="C52" s="44" t="n">
        <v>270</v>
      </c>
      <c r="D52" s="44" t="n">
        <v>33</v>
      </c>
      <c r="E52" s="44">
        <f>B52-D52</f>
        <v/>
      </c>
      <c r="F52" s="44" t="n">
        <v>96</v>
      </c>
      <c r="G52" s="40" t="n">
        <v>601</v>
      </c>
      <c r="H52" s="28">
        <f>103-F52</f>
        <v/>
      </c>
      <c r="I52" s="40" t="n">
        <v>459</v>
      </c>
      <c r="J52" s="44" t="n">
        <v>442</v>
      </c>
      <c r="K52" s="28">
        <f>TABL123[[#This Row],[ (T/B) SAR]]+TABL123[[#This Row],[ (S/S) SAR]]</f>
        <v/>
      </c>
      <c r="L52" s="45" t="n">
        <v>300</v>
      </c>
      <c r="M52" s="46" t="n">
        <v>21.4</v>
      </c>
      <c r="N52" s="46" t="n">
        <v>8.15</v>
      </c>
      <c r="O52" s="40" t="n">
        <v>401</v>
      </c>
      <c r="P52" s="3">
        <f>TABL123[[#This Row],[ (S/S) SAR]]-TABL123[[#This Row],[(S/S) AJD]]</f>
        <v/>
      </c>
      <c r="Q52" s="40" t="n">
        <v>435</v>
      </c>
      <c r="R52" s="3">
        <f>TABL123[[#This Row],[ (T/B) SAR]]-TABL123[[#This Row],[(T/B) AJD]]</f>
        <v/>
      </c>
      <c r="S52" s="3">
        <f>TABL123[[#This Row],[T/B-CON.]]+TABL123[[#This Row],[S/S_CON.]]</f>
        <v/>
      </c>
      <c r="T52" s="3">
        <f>TABL123[[#This Row],[(S/S) AJD]]+TABL123[[#This Row],[(T/B) AJD]]</f>
        <v/>
      </c>
      <c r="U52" s="44" t="n">
        <v>531</v>
      </c>
      <c r="V52" s="44" t="n">
        <v>246</v>
      </c>
      <c r="W52" s="3">
        <f>TABL123[[#This Row],[(A/B) AJD]]+TABL123[[#This Row],[(A/S) AJD]]</f>
        <v/>
      </c>
      <c r="X52" s="3">
        <f>TABL123[[#This Row],[( S/S+T/B) AJD]]-TABL123[[#This Row],[(A/B + A/S) AJD]]</f>
        <v/>
      </c>
      <c r="Y52" s="44" t="n">
        <v>92.405</v>
      </c>
      <c r="Z52" s="45" t="n">
        <v>440072</v>
      </c>
      <c r="AA52" s="3">
        <f>TABL123[[#This Row],[(RESV. STORGE) AJD]]/10</f>
        <v/>
      </c>
      <c r="AB52" s="45">
        <f>IF(TRIM(Z52)="",,(Z52-Z51)/1000)</f>
        <v/>
      </c>
      <c r="AC52" s="45" t="n">
        <v>0</v>
      </c>
      <c r="AD52" s="83">
        <f>TABL123[[#This Row],[( S/S+T/B) AJD]]-(TABL123[[#This Row],[(A/B + A/S) AJD]]+TABL123[[#This Row],[(STORGE DIFF.) AJD]]+(TABL123[[#This Row],[AJD_Evaporation]])/1000)</f>
        <v/>
      </c>
      <c r="AE52" s="68" t="n">
        <v>74</v>
      </c>
      <c r="AF52" s="68" t="n">
        <v>58.51</v>
      </c>
      <c r="AG52" s="68" t="n">
        <v>1301186</v>
      </c>
      <c r="AH52" s="45" t="n">
        <v>1359</v>
      </c>
      <c r="AI52" s="45" t="n">
        <v>1359</v>
      </c>
      <c r="AJ52" s="78">
        <f>TABL123[[#This Row],[(A/B) AJD]]-TABL123[[#This Row],[BER_IN]]</f>
        <v/>
      </c>
      <c r="AK52" s="68" t="n">
        <v>0</v>
      </c>
      <c r="AL52" s="87" t="n">
        <v>44.4723</v>
      </c>
      <c r="AM52" s="87" t="n">
        <v>3913310</v>
      </c>
      <c r="AN52" s="87">
        <f>TABL123[[#This Row],[ (RESV. STORGE) SER]]/10</f>
        <v/>
      </c>
      <c r="AO52" s="45" t="n">
        <v>1810</v>
      </c>
      <c r="AP52" s="32">
        <f>TABL123[[#This Row],[(A/S) AJD]]-TABL123[[#This Row],[SER_IN]]</f>
        <v/>
      </c>
    </row>
    <row r="53" ht="18.75" customHeight="1">
      <c r="A53" s="2" t="n">
        <v>46074</v>
      </c>
      <c r="B53" s="41" t="n">
        <v>33</v>
      </c>
      <c r="C53" s="41" t="n">
        <v>269</v>
      </c>
      <c r="D53" s="41" t="n">
        <v>33</v>
      </c>
      <c r="E53" s="41">
        <f>B53-D53</f>
        <v/>
      </c>
      <c r="F53" s="41" t="n">
        <v>96</v>
      </c>
      <c r="G53" s="39" t="n">
        <v>600</v>
      </c>
      <c r="H53" s="28">
        <f>103-F53</f>
        <v/>
      </c>
      <c r="I53" s="39" t="n">
        <v>458</v>
      </c>
      <c r="J53" s="39" t="n">
        <v>442</v>
      </c>
      <c r="K53" s="28">
        <f>TABL123[[#This Row],[ (T/B) SAR]]+TABL123[[#This Row],[ (S/S) SAR]]</f>
        <v/>
      </c>
      <c r="L53" s="41" t="n">
        <v>300</v>
      </c>
      <c r="M53" s="42" t="n">
        <v>21.4</v>
      </c>
      <c r="N53" s="42" t="n">
        <v>8.15</v>
      </c>
      <c r="O53" s="39" t="n">
        <v>397</v>
      </c>
      <c r="P53" s="3">
        <f>TABL123[[#This Row],[ (S/S) SAR]]-TABL123[[#This Row],[(S/S) AJD]]</f>
        <v/>
      </c>
      <c r="Q53" s="39" t="n">
        <v>431</v>
      </c>
      <c r="R53" s="3">
        <f>TABL123[[#This Row],[ (T/B) SAR]]-TABL123[[#This Row],[(T/B) AJD]]</f>
        <v/>
      </c>
      <c r="S53" s="3">
        <f>TABL123[[#This Row],[T/B-CON.]]+TABL123[[#This Row],[S/S_CON.]]</f>
        <v/>
      </c>
      <c r="T53" s="3">
        <f>TABL123[[#This Row],[(S/S) AJD]]+TABL123[[#This Row],[(T/B) AJD]]</f>
        <v/>
      </c>
      <c r="U53" s="41" t="n">
        <v>520</v>
      </c>
      <c r="V53" s="41" t="n">
        <v>247</v>
      </c>
      <c r="W53" s="3">
        <f>TABL123[[#This Row],[(A/B) AJD]]+TABL123[[#This Row],[(A/S) AJD]]</f>
        <v/>
      </c>
      <c r="X53" s="3">
        <f>TABL123[[#This Row],[( S/S+T/B) AJD]]-TABL123[[#This Row],[(A/B + A/S) AJD]]</f>
        <v/>
      </c>
      <c r="Y53" s="41" t="n">
        <v>92.44499999999999</v>
      </c>
      <c r="Z53" s="43" t="n">
        <v>463896</v>
      </c>
      <c r="AA53" s="3">
        <f>TABL123[[#This Row],[(RESV. STORGE) AJD]]/10</f>
        <v/>
      </c>
      <c r="AB53" s="45">
        <f>IF(TRIM(Z53)="",,(Z53-Z52)/1000)</f>
        <v/>
      </c>
      <c r="AC53" s="43" t="n">
        <v>0</v>
      </c>
      <c r="AD53" s="83">
        <f>TABL123[[#This Row],[( S/S+T/B) AJD]]-(TABL123[[#This Row],[(A/B + A/S) AJD]]+TABL123[[#This Row],[(STORGE DIFF.) AJD]]+(TABL123[[#This Row],[AJD_Evaporation]])/1000)</f>
        <v/>
      </c>
      <c r="AE53" s="68" t="n">
        <v>80</v>
      </c>
      <c r="AF53" s="68" t="n">
        <v>58.52</v>
      </c>
      <c r="AG53" s="68" t="n">
        <v>1370747</v>
      </c>
      <c r="AH53" s="43" t="n">
        <v>1442</v>
      </c>
      <c r="AI53" s="43" t="n">
        <v>1442</v>
      </c>
      <c r="AJ53" s="78">
        <f>TABL123[[#This Row],[(A/B) AJD]]-TABL123[[#This Row],[BER_IN]]</f>
        <v/>
      </c>
      <c r="AK53" s="68" t="n">
        <v>0</v>
      </c>
      <c r="AL53" s="87" t="n">
        <v>44.3051</v>
      </c>
      <c r="AM53" s="87" t="n">
        <v>3821120</v>
      </c>
      <c r="AN53" s="87">
        <f>TABL123[[#This Row],[ (RESV. STORGE) SER]]/10</f>
        <v/>
      </c>
      <c r="AO53" s="43" t="n">
        <v>1890</v>
      </c>
      <c r="AP53" s="32">
        <f>TABL123[[#This Row],[(A/S) AJD]]-TABL123[[#This Row],[SER_IN]]</f>
        <v/>
      </c>
    </row>
    <row r="54" ht="18.75" customHeight="1">
      <c r="A54" s="2" t="n">
        <v>46075</v>
      </c>
      <c r="B54" s="44" t="n">
        <v>33</v>
      </c>
      <c r="C54" s="44" t="n">
        <v>263</v>
      </c>
      <c r="D54" s="44" t="n">
        <v>33</v>
      </c>
      <c r="E54" s="44">
        <f>B54-D54</f>
        <v/>
      </c>
      <c r="F54" s="44" t="n">
        <v>96</v>
      </c>
      <c r="G54" s="40" t="n">
        <v>602</v>
      </c>
      <c r="H54" s="28">
        <f>103-F54</f>
        <v/>
      </c>
      <c r="I54" s="40" t="n">
        <v>458</v>
      </c>
      <c r="J54" s="44" t="n">
        <v>442</v>
      </c>
      <c r="K54" s="28">
        <f>TABL123[[#This Row],[ (T/B) SAR]]+TABL123[[#This Row],[ (S/S) SAR]]</f>
        <v/>
      </c>
      <c r="L54" s="45" t="n">
        <v>298</v>
      </c>
      <c r="M54" s="46" t="n">
        <v>21.4</v>
      </c>
      <c r="N54" s="46" t="n">
        <v>8.08</v>
      </c>
      <c r="O54" s="40" t="n">
        <v>402</v>
      </c>
      <c r="P54" s="3">
        <f>TABL123[[#This Row],[ (S/S) SAR]]-TABL123[[#This Row],[(S/S) AJD]]</f>
        <v/>
      </c>
      <c r="Q54" s="40" t="n">
        <v>433</v>
      </c>
      <c r="R54" s="3">
        <f>TABL123[[#This Row],[ (T/B) SAR]]-TABL123[[#This Row],[(T/B) AJD]]</f>
        <v/>
      </c>
      <c r="S54" s="3">
        <f>TABL123[[#This Row],[T/B-CON.]]+TABL123[[#This Row],[S/S_CON.]]</f>
        <v/>
      </c>
      <c r="T54" s="3">
        <f>TABL123[[#This Row],[(S/S) AJD]]+TABL123[[#This Row],[(T/B) AJD]]</f>
        <v/>
      </c>
      <c r="U54" s="44" t="n">
        <v>540</v>
      </c>
      <c r="V54" s="44" t="n">
        <v>279</v>
      </c>
      <c r="W54" s="3">
        <f>TABL123[[#This Row],[(A/B) AJD]]+TABL123[[#This Row],[(A/S) AJD]]</f>
        <v/>
      </c>
      <c r="X54" s="3">
        <f>TABL123[[#This Row],[( S/S+T/B) AJD]]-TABL123[[#This Row],[(A/B + A/S) AJD]]</f>
        <v/>
      </c>
      <c r="Y54" s="44" t="n">
        <v>92.435</v>
      </c>
      <c r="Z54" s="45" t="n">
        <v>457921</v>
      </c>
      <c r="AA54" s="3">
        <f>TABL123[[#This Row],[(RESV. STORGE) AJD]]/10</f>
        <v/>
      </c>
      <c r="AB54" s="45">
        <f>IF(TRIM(Z54)="",,(Z54-Z53)/1000)</f>
        <v/>
      </c>
      <c r="AC54" s="45" t="n">
        <v>0</v>
      </c>
      <c r="AD54" s="83">
        <f>TABL123[[#This Row],[( S/S+T/B) AJD]]-(TABL123[[#This Row],[(A/B + A/S) AJD]]+TABL123[[#This Row],[(STORGE DIFF.) AJD]]+(TABL123[[#This Row],[AJD_Evaporation]])/1000)</f>
        <v/>
      </c>
      <c r="AE54" s="68" t="n">
        <v>80</v>
      </c>
      <c r="AF54" s="68" t="n">
        <v>58.772</v>
      </c>
      <c r="AG54" s="68" t="n">
        <v>1327432</v>
      </c>
      <c r="AH54" s="45" t="n">
        <v>1542</v>
      </c>
      <c r="AI54" s="45" t="n">
        <v>1542</v>
      </c>
      <c r="AJ54" s="78">
        <f>TABL123[[#This Row],[(A/B) AJD]]-TABL123[[#This Row],[BER_IN]]</f>
        <v/>
      </c>
      <c r="AK54" s="68" t="n">
        <v>0</v>
      </c>
      <c r="AL54" s="87" t="n">
        <v>44.2382</v>
      </c>
      <c r="AM54" s="87" t="n">
        <v>3784200</v>
      </c>
      <c r="AN54" s="87">
        <f>TABL123[[#This Row],[ (RESV. STORGE) SER]]/10</f>
        <v/>
      </c>
      <c r="AO54" s="45" t="n">
        <v>1820</v>
      </c>
      <c r="AP54" s="32">
        <f>TABL123[[#This Row],[(A/S) AJD]]-TABL123[[#This Row],[SER_IN]]</f>
        <v/>
      </c>
    </row>
    <row r="55" ht="18.75" customHeight="1">
      <c r="A55" s="2" t="n">
        <v>46076</v>
      </c>
      <c r="B55" s="41" t="n">
        <v>31</v>
      </c>
      <c r="C55" s="41" t="n">
        <v>264</v>
      </c>
      <c r="D55" s="41" t="n">
        <v>31</v>
      </c>
      <c r="E55" s="41">
        <f>B55-D55</f>
        <v/>
      </c>
      <c r="F55" s="41" t="n">
        <v>96</v>
      </c>
      <c r="G55" s="39" t="n">
        <v>608</v>
      </c>
      <c r="H55" s="28">
        <f>103-F55</f>
        <v/>
      </c>
      <c r="I55" s="39" t="n">
        <v>460</v>
      </c>
      <c r="J55" s="39" t="n">
        <v>448</v>
      </c>
      <c r="K55" s="28">
        <f>TABL123[[#This Row],[ (T/B) SAR]]+TABL123[[#This Row],[ (S/S) SAR]]</f>
        <v/>
      </c>
      <c r="L55" s="41" t="n">
        <v>300</v>
      </c>
      <c r="M55" s="42" t="n">
        <v>21.4</v>
      </c>
      <c r="N55" s="42" t="n">
        <v>8</v>
      </c>
      <c r="O55" s="39" t="n">
        <v>404</v>
      </c>
      <c r="P55" s="3">
        <f>TABL123[[#This Row],[ (S/S) SAR]]-TABL123[[#This Row],[(S/S) AJD]]</f>
        <v/>
      </c>
      <c r="Q55" s="39" t="n">
        <v>433</v>
      </c>
      <c r="R55" s="3">
        <f>TABL123[[#This Row],[ (T/B) SAR]]-TABL123[[#This Row],[(T/B) AJD]]</f>
        <v/>
      </c>
      <c r="S55" s="3">
        <f>TABL123[[#This Row],[T/B-CON.]]+TABL123[[#This Row],[S/S_CON.]]</f>
        <v/>
      </c>
      <c r="T55" s="3">
        <f>TABL123[[#This Row],[(S/S) AJD]]+TABL123[[#This Row],[(T/B) AJD]]</f>
        <v/>
      </c>
      <c r="U55" s="41" t="n">
        <v>506</v>
      </c>
      <c r="V55" s="41" t="n">
        <v>246</v>
      </c>
      <c r="W55" s="3">
        <f>TABL123[[#This Row],[(A/B) AJD]]+TABL123[[#This Row],[(A/S) AJD]]</f>
        <v/>
      </c>
      <c r="X55" s="3">
        <f>TABL123[[#This Row],[( S/S+T/B) AJD]]-TABL123[[#This Row],[(A/B + A/S) AJD]]</f>
        <v/>
      </c>
      <c r="Y55" s="41" t="n">
        <v>92.56399999999999</v>
      </c>
      <c r="Z55" s="43" t="n">
        <v>534766</v>
      </c>
      <c r="AA55" s="3">
        <f>TABL123[[#This Row],[(RESV. STORGE) AJD]]/10</f>
        <v/>
      </c>
      <c r="AB55" s="45">
        <f>IF(TRIM(Z55)="",,(Z55-Z54)/1000)</f>
        <v/>
      </c>
      <c r="AC55" s="43" t="n">
        <v>0</v>
      </c>
      <c r="AD55" s="83">
        <f>TABL123[[#This Row],[( S/S+T/B) AJD]]-(TABL123[[#This Row],[(A/B + A/S) AJD]]+TABL123[[#This Row],[(STORGE DIFF.) AJD]]+(TABL123[[#This Row],[AJD_Evaporation]])/1000)</f>
        <v/>
      </c>
      <c r="AE55" s="68" t="n">
        <v>78</v>
      </c>
      <c r="AF55" s="68" t="n">
        <v>58.58</v>
      </c>
      <c r="AG55" s="68" t="n">
        <v>1347126</v>
      </c>
      <c r="AH55" s="43" t="n">
        <v>1085</v>
      </c>
      <c r="AI55" s="43" t="n">
        <v>1085</v>
      </c>
      <c r="AJ55" s="78">
        <f>TABL123[[#This Row],[(A/B) AJD]]-TABL123[[#This Row],[BER_IN]]</f>
        <v/>
      </c>
      <c r="AK55" s="68" t="n">
        <v>0</v>
      </c>
      <c r="AL55" s="87" t="n">
        <v>44.2068</v>
      </c>
      <c r="AM55" s="87" t="n">
        <v>3767110</v>
      </c>
      <c r="AN55" s="87">
        <f>TABL123[[#This Row],[ (RESV. STORGE) SER]]/10</f>
        <v/>
      </c>
      <c r="AO55" s="43" t="n">
        <v>1890</v>
      </c>
      <c r="AP55" s="32">
        <f>TABL123[[#This Row],[(A/S) AJD]]-TABL123[[#This Row],[SER_IN]]</f>
        <v/>
      </c>
    </row>
    <row r="56" ht="18.75" customHeight="1">
      <c r="A56" s="2" t="n">
        <v>46077</v>
      </c>
      <c r="B56" s="44" t="n">
        <v>31</v>
      </c>
      <c r="C56" s="44" t="n">
        <v>265</v>
      </c>
      <c r="D56" s="44" t="n">
        <v>31</v>
      </c>
      <c r="E56" s="44">
        <f>B56-D56</f>
        <v/>
      </c>
      <c r="F56" s="44" t="n">
        <v>96</v>
      </c>
      <c r="G56" s="40" t="n">
        <v>608</v>
      </c>
      <c r="H56" s="28">
        <f>103-F56</f>
        <v/>
      </c>
      <c r="I56" s="40" t="n">
        <v>460</v>
      </c>
      <c r="J56" s="44" t="n">
        <v>448</v>
      </c>
      <c r="K56" s="28">
        <f>TABL123[[#This Row],[ (T/B) SAR]]+TABL123[[#This Row],[ (S/S) SAR]]</f>
        <v/>
      </c>
      <c r="L56" s="45" t="n">
        <v>300</v>
      </c>
      <c r="M56" s="46" t="n">
        <v>21.4</v>
      </c>
      <c r="N56" s="46" t="n">
        <v>7.96</v>
      </c>
      <c r="O56" s="40" t="n">
        <v>409</v>
      </c>
      <c r="P56" s="3">
        <f>TABL123[[#This Row],[ (S/S) SAR]]-TABL123[[#This Row],[(S/S) AJD]]</f>
        <v/>
      </c>
      <c r="Q56" s="40" t="n">
        <v>436</v>
      </c>
      <c r="R56" s="3">
        <f>TABL123[[#This Row],[ (T/B) SAR]]-TABL123[[#This Row],[(T/B) AJD]]</f>
        <v/>
      </c>
      <c r="S56" s="3">
        <f>TABL123[[#This Row],[T/B-CON.]]+TABL123[[#This Row],[S/S_CON.]]</f>
        <v/>
      </c>
      <c r="T56" s="3">
        <f>TABL123[[#This Row],[(S/S) AJD]]+TABL123[[#This Row],[(T/B) AJD]]</f>
        <v/>
      </c>
      <c r="U56" s="44" t="n">
        <v>543</v>
      </c>
      <c r="V56" s="44" t="n">
        <v>236</v>
      </c>
      <c r="W56" s="3">
        <f>TABL123[[#This Row],[(A/B) AJD]]+TABL123[[#This Row],[(A/S) AJD]]</f>
        <v/>
      </c>
      <c r="X56" s="3">
        <f>TABL123[[#This Row],[( S/S+T/B) AJD]]-TABL123[[#This Row],[(A/B + A/S) AJD]]</f>
        <v/>
      </c>
      <c r="Y56" s="44" t="n">
        <v>92.629</v>
      </c>
      <c r="Z56" s="45" t="n">
        <v>573543</v>
      </c>
      <c r="AA56" s="3">
        <f>TABL123[[#This Row],[(RESV. STORGE) AJD]]/10</f>
        <v/>
      </c>
      <c r="AB56" s="45">
        <f>IF(TRIM(Z56)="",,(Z56-Z55)/1000)</f>
        <v/>
      </c>
      <c r="AC56" s="45" t="n">
        <v>0</v>
      </c>
      <c r="AD56" s="83">
        <f>TABL123[[#This Row],[( S/S+T/B) AJD]]-(TABL123[[#This Row],[(A/B + A/S) AJD]]+TABL123[[#This Row],[(STORGE DIFF.) AJD]]+(TABL123[[#This Row],[AJD_Evaporation]])/1000)</f>
        <v/>
      </c>
      <c r="AE56" s="68" t="n">
        <v>77</v>
      </c>
      <c r="AF56" s="68" t="n">
        <v>58.61</v>
      </c>
      <c r="AG56" s="68" t="n">
        <v>1366827</v>
      </c>
      <c r="AH56" s="45" t="n">
        <v>1692</v>
      </c>
      <c r="AI56" s="45" t="n">
        <v>1692</v>
      </c>
      <c r="AJ56" s="78">
        <f>TABL123[[#This Row],[(A/B) AJD]]-TABL123[[#This Row],[BER_IN]]</f>
        <v/>
      </c>
      <c r="AK56" s="68" t="n">
        <v>0</v>
      </c>
      <c r="AL56" s="87" t="n">
        <v>44.1758</v>
      </c>
      <c r="AM56" s="87" t="n">
        <v>3750270</v>
      </c>
      <c r="AN56" s="87">
        <f>TABL123[[#This Row],[ (RESV. STORGE) SER]]/10</f>
        <v/>
      </c>
      <c r="AO56" s="45" t="n">
        <v>1840</v>
      </c>
      <c r="AP56" s="32">
        <f>TABL123[[#This Row],[(A/S) AJD]]-TABL123[[#This Row],[SER_IN]]</f>
        <v/>
      </c>
    </row>
    <row r="57" ht="18.75" customHeight="1">
      <c r="A57" s="2" t="n">
        <v>46078</v>
      </c>
      <c r="B57" s="41" t="n">
        <v>31</v>
      </c>
      <c r="C57" s="41" t="n">
        <v>253</v>
      </c>
      <c r="D57" s="41" t="n">
        <v>31</v>
      </c>
      <c r="E57" s="41">
        <f>B57-D57</f>
        <v/>
      </c>
      <c r="F57" s="41" t="n">
        <v>96</v>
      </c>
      <c r="G57" s="39" t="n">
        <v>605</v>
      </c>
      <c r="H57" s="28">
        <f>103-F57</f>
        <v/>
      </c>
      <c r="I57" s="39" t="n">
        <v>462</v>
      </c>
      <c r="J57" s="39" t="n">
        <v>442</v>
      </c>
      <c r="K57" s="28">
        <f>TABL123[[#This Row],[ (T/B) SAR]]+TABL123[[#This Row],[ (S/S) SAR]]</f>
        <v/>
      </c>
      <c r="L57" s="41" t="n">
        <v>299</v>
      </c>
      <c r="M57" s="42" t="n">
        <v>21.4</v>
      </c>
      <c r="N57" s="42" t="n">
        <v>7.85</v>
      </c>
      <c r="O57" s="39" t="n">
        <v>436</v>
      </c>
      <c r="P57" s="3">
        <f>TABL123[[#This Row],[ (S/S) SAR]]-TABL123[[#This Row],[(S/S) AJD]]</f>
        <v/>
      </c>
      <c r="Q57" s="39" t="n">
        <v>407</v>
      </c>
      <c r="R57" s="3">
        <f>TABL123[[#This Row],[ (T/B) SAR]]-TABL123[[#This Row],[(T/B) AJD]]</f>
        <v/>
      </c>
      <c r="S57" s="3">
        <f>TABL123[[#This Row],[T/B-CON.]]+TABL123[[#This Row],[S/S_CON.]]</f>
        <v/>
      </c>
      <c r="T57" s="3">
        <f>TABL123[[#This Row],[(S/S) AJD]]+TABL123[[#This Row],[(T/B) AJD]]</f>
        <v/>
      </c>
      <c r="U57" s="41" t="n">
        <v>565</v>
      </c>
      <c r="V57" s="41" t="n">
        <v>223</v>
      </c>
      <c r="W57" s="3">
        <f>TABL123[[#This Row],[(A/B) AJD]]+TABL123[[#This Row],[(A/S) AJD]]</f>
        <v/>
      </c>
      <c r="X57" s="3">
        <f>TABL123[[#This Row],[( S/S+T/B) AJD]]-TABL123[[#This Row],[(A/B + A/S) AJD]]</f>
        <v/>
      </c>
      <c r="Y57" s="41" t="n">
        <v>92.669</v>
      </c>
      <c r="Z57" s="43" t="n">
        <v>597410</v>
      </c>
      <c r="AA57" s="3">
        <f>TABL123[[#This Row],[(RESV. STORGE) AJD]]/10</f>
        <v/>
      </c>
      <c r="AB57" s="45">
        <f>IF(TRIM(Z57)="",,(Z57-Z56)/1000)</f>
        <v/>
      </c>
      <c r="AC57" s="43" t="n">
        <v>0</v>
      </c>
      <c r="AD57" s="83">
        <f>TABL123[[#This Row],[( S/S+T/B) AJD]]-(TABL123[[#This Row],[(A/B + A/S) AJD]]+TABL123[[#This Row],[(STORGE DIFF.) AJD]]+(TABL123[[#This Row],[AJD_Evaporation]])/1000)</f>
        <v/>
      </c>
      <c r="AE57" s="68" t="n">
        <v>94</v>
      </c>
      <c r="AF57" s="68" t="n">
        <v>58.54</v>
      </c>
      <c r="AG57" s="68" t="n">
        <v>1320869</v>
      </c>
      <c r="AH57" s="43" t="n">
        <v>1785</v>
      </c>
      <c r="AI57" s="43" t="n">
        <v>1785</v>
      </c>
      <c r="AJ57" s="78">
        <f>TABL123[[#This Row],[(A/B) AJD]]-TABL123[[#This Row],[BER_IN]]</f>
        <v/>
      </c>
      <c r="AK57" s="68" t="n">
        <v>0</v>
      </c>
      <c r="AL57" s="87" t="n">
        <v>44.1463</v>
      </c>
      <c r="AM57" s="87" t="n">
        <v>3733560</v>
      </c>
      <c r="AN57" s="87">
        <f>TABL123[[#This Row],[ (RESV. STORGE) SER]]/10</f>
        <v/>
      </c>
      <c r="AO57" s="43" t="n">
        <v>1810</v>
      </c>
      <c r="AP57" s="32">
        <f>TABL123[[#This Row],[(A/S) AJD]]-TABL123[[#This Row],[SER_IN]]</f>
        <v/>
      </c>
    </row>
    <row r="58" ht="18.75" customHeight="1">
      <c r="A58" s="2" t="n">
        <v>46079</v>
      </c>
      <c r="B58" s="44" t="n">
        <v>31</v>
      </c>
      <c r="C58" s="44" t="n">
        <v>254</v>
      </c>
      <c r="D58" s="44" t="n">
        <v>31</v>
      </c>
      <c r="E58" s="44">
        <f>B58-D58</f>
        <v/>
      </c>
      <c r="F58" s="44" t="n">
        <v>96</v>
      </c>
      <c r="G58" s="40" t="n">
        <v>606</v>
      </c>
      <c r="H58" s="28">
        <f>103-F58</f>
        <v/>
      </c>
      <c r="I58" s="40" t="n">
        <v>462</v>
      </c>
      <c r="J58" s="44" t="n">
        <v>442</v>
      </c>
      <c r="K58" s="28">
        <f>TABL123[[#This Row],[ (T/B) SAR]]+TABL123[[#This Row],[ (S/S) SAR]]</f>
        <v/>
      </c>
      <c r="L58" s="45" t="n">
        <v>298</v>
      </c>
      <c r="M58" s="46" t="n">
        <v>21.4</v>
      </c>
      <c r="N58" s="46" t="n">
        <v>7.74</v>
      </c>
      <c r="O58" s="40" t="n">
        <v>434</v>
      </c>
      <c r="P58" s="3">
        <f>TABL123[[#This Row],[ (S/S) SAR]]-TABL123[[#This Row],[(S/S) AJD]]</f>
        <v/>
      </c>
      <c r="Q58" s="40" t="n">
        <v>403</v>
      </c>
      <c r="R58" s="3">
        <f>TABL123[[#This Row],[ (T/B) SAR]]-TABL123[[#This Row],[(T/B) AJD]]</f>
        <v/>
      </c>
      <c r="S58" s="3">
        <f>TABL123[[#This Row],[T/B-CON.]]+TABL123[[#This Row],[S/S_CON.]]</f>
        <v/>
      </c>
      <c r="T58" s="3">
        <f>TABL123[[#This Row],[(S/S) AJD]]+TABL123[[#This Row],[(T/B) AJD]]</f>
        <v/>
      </c>
      <c r="U58" s="44" t="n">
        <v>570</v>
      </c>
      <c r="V58" s="44" t="n">
        <v>238</v>
      </c>
      <c r="W58" s="3">
        <f>TABL123[[#This Row],[(A/B) AJD]]+TABL123[[#This Row],[(A/S) AJD]]</f>
        <v/>
      </c>
      <c r="X58" s="3">
        <f>TABL123[[#This Row],[( S/S+T/B) AJD]]-TABL123[[#This Row],[(A/B + A/S) AJD]]</f>
        <v/>
      </c>
      <c r="Y58" s="44" t="n">
        <v>92.669</v>
      </c>
      <c r="Z58" s="45" t="n">
        <v>597410</v>
      </c>
      <c r="AA58" s="3">
        <f>TABL123[[#This Row],[(RESV. STORGE) AJD]]/10</f>
        <v/>
      </c>
      <c r="AB58" s="45">
        <f>IF(TRIM(Z58)="",,(Z58-Z57)/1000)</f>
        <v/>
      </c>
      <c r="AC58" s="45" t="n">
        <v>0</v>
      </c>
      <c r="AD58" s="83">
        <f>TABL123[[#This Row],[( S/S+T/B) AJD]]-(TABL123[[#This Row],[(A/B + A/S) AJD]]+TABL123[[#This Row],[(STORGE DIFF.) AJD]]+(TABL123[[#This Row],[AJD_Evaporation]])/1000)</f>
        <v/>
      </c>
      <c r="AE58" s="68" t="n">
        <v>102</v>
      </c>
      <c r="AF58" s="68" t="n">
        <v>58.48</v>
      </c>
      <c r="AG58" s="68" t="n">
        <v>1281511</v>
      </c>
      <c r="AH58" s="45" t="n">
        <v>1758</v>
      </c>
      <c r="AI58" s="45" t="n">
        <v>1758</v>
      </c>
      <c r="AJ58" s="78">
        <f>TABL123[[#This Row],[(A/B) AJD]]-TABL123[[#This Row],[BER_IN]]</f>
        <v/>
      </c>
      <c r="AK58" s="68" t="n">
        <v>0</v>
      </c>
      <c r="AL58" s="87" t="n">
        <v>44.1114</v>
      </c>
      <c r="AM58" s="87" t="n">
        <v>3714450</v>
      </c>
      <c r="AN58" s="87">
        <f>TABL123[[#This Row],[ (RESV. STORGE) SER]]/10</f>
        <v/>
      </c>
      <c r="AO58" s="45" t="n">
        <v>1810</v>
      </c>
      <c r="AP58" s="32">
        <f>TABL123[[#This Row],[(A/S) AJD]]-TABL123[[#This Row],[SER_IN]]</f>
        <v/>
      </c>
    </row>
    <row r="59" ht="18.75" customHeight="1">
      <c r="A59" s="2" t="n">
        <v>46080</v>
      </c>
      <c r="B59" s="41" t="n">
        <v>31</v>
      </c>
      <c r="C59" s="41" t="n">
        <v>252</v>
      </c>
      <c r="D59" s="41" t="n">
        <v>31</v>
      </c>
      <c r="E59" s="41">
        <f>B59-D59</f>
        <v/>
      </c>
      <c r="F59" s="41" t="n">
        <v>96</v>
      </c>
      <c r="G59" s="39" t="n">
        <v>609</v>
      </c>
      <c r="H59" s="28">
        <f>103-F59</f>
        <v/>
      </c>
      <c r="I59" s="39" t="n">
        <v>462</v>
      </c>
      <c r="J59" s="39" t="n">
        <v>442</v>
      </c>
      <c r="K59" s="28">
        <f>TABL123[[#This Row],[ (T/B) SAR]]+TABL123[[#This Row],[ (S/S) SAR]]</f>
        <v/>
      </c>
      <c r="L59" s="41" t="n">
        <v>295</v>
      </c>
      <c r="M59" s="42" t="n">
        <v>21.4</v>
      </c>
      <c r="N59" s="42" t="n">
        <v>7.67</v>
      </c>
      <c r="O59" s="39" t="n">
        <v>424</v>
      </c>
      <c r="P59" s="3">
        <f>TABL123[[#This Row],[ (S/S) SAR]]-TABL123[[#This Row],[(S/S) AJD]]</f>
        <v/>
      </c>
      <c r="Q59" s="39" t="n">
        <v>392</v>
      </c>
      <c r="R59" s="3">
        <f>TABL123[[#This Row],[ (T/B) SAR]]-TABL123[[#This Row],[(T/B) AJD]]</f>
        <v/>
      </c>
      <c r="S59" s="3">
        <f>TABL123[[#This Row],[T/B-CON.]]+TABL123[[#This Row],[S/S_CON.]]</f>
        <v/>
      </c>
      <c r="T59" s="3">
        <f>TABL123[[#This Row],[(S/S) AJD]]+TABL123[[#This Row],[(T/B) AJD]]</f>
        <v/>
      </c>
      <c r="U59" s="41" t="n">
        <v>556</v>
      </c>
      <c r="V59" s="41" t="n">
        <v>251</v>
      </c>
      <c r="W59" s="3">
        <f>TABL123[[#This Row],[(A/B) AJD]]+TABL123[[#This Row],[(A/S) AJD]]</f>
        <v/>
      </c>
      <c r="X59" s="3">
        <f>TABL123[[#This Row],[( S/S+T/B) AJD]]-TABL123[[#This Row],[(A/B + A/S) AJD]]</f>
        <v/>
      </c>
      <c r="Y59" s="41" t="n">
        <v>92.629</v>
      </c>
      <c r="Z59" s="43" t="n">
        <v>572344</v>
      </c>
      <c r="AA59" s="3">
        <f>TABL123[[#This Row],[(RESV. STORGE) AJD]]/10</f>
        <v/>
      </c>
      <c r="AB59" s="45">
        <f>IF(TRIM(Z59)="",,(Z59-Z58)/1000)</f>
        <v/>
      </c>
      <c r="AC59" s="43" t="n">
        <v>0</v>
      </c>
      <c r="AD59" s="83">
        <f>TABL123[[#This Row],[( S/S+T/B) AJD]]-(TABL123[[#This Row],[(A/B + A/S) AJD]]+TABL123[[#This Row],[(STORGE DIFF.) AJD]]+(TABL123[[#This Row],[AJD_Evaporation]])/1000)</f>
        <v/>
      </c>
      <c r="AE59" s="68" t="n">
        <v>104</v>
      </c>
      <c r="AF59" s="68" t="n">
        <v>58.41</v>
      </c>
      <c r="AG59" s="68" t="n">
        <v>1235632</v>
      </c>
      <c r="AH59" s="43" t="n">
        <v>2583</v>
      </c>
      <c r="AI59" s="43" t="n">
        <v>2583</v>
      </c>
      <c r="AJ59" s="78">
        <f>TABL123[[#This Row],[(A/B) AJD]]-TABL123[[#This Row],[BER_IN]]</f>
        <v/>
      </c>
      <c r="AK59" s="68" t="n">
        <v>0</v>
      </c>
      <c r="AL59" s="87" t="n">
        <v>44.1774</v>
      </c>
      <c r="AM59" s="87" t="n">
        <v>3696260</v>
      </c>
      <c r="AN59" s="87">
        <f>TABL123[[#This Row],[ (RESV. STORGE) SER]]/10</f>
        <v/>
      </c>
      <c r="AO59" s="43" t="n">
        <v>1890</v>
      </c>
      <c r="AP59" s="32">
        <f>TABL123[[#This Row],[(A/S) AJD]]-TABL123[[#This Row],[SER_IN]]</f>
        <v/>
      </c>
    </row>
    <row r="60" ht="18.75" customHeight="1">
      <c r="A60" s="2" t="n">
        <v>46081</v>
      </c>
      <c r="B60" s="44" t="n">
        <v>31</v>
      </c>
      <c r="C60" s="44" t="n">
        <v>255</v>
      </c>
      <c r="D60" s="44" t="n">
        <v>31</v>
      </c>
      <c r="E60" s="44">
        <f>B60-D60</f>
        <v/>
      </c>
      <c r="F60" s="44" t="n">
        <v>96</v>
      </c>
      <c r="G60" s="40" t="n">
        <v>607</v>
      </c>
      <c r="H60" s="28">
        <f>103-F60</f>
        <v/>
      </c>
      <c r="I60" s="40" t="n">
        <v>460</v>
      </c>
      <c r="J60" s="44" t="n">
        <v>440</v>
      </c>
      <c r="K60" s="28">
        <f>TABL123[[#This Row],[ (T/B) SAR]]+TABL123[[#This Row],[ (S/S) SAR]]</f>
        <v/>
      </c>
      <c r="L60" s="45" t="n">
        <v>293</v>
      </c>
      <c r="M60" s="46" t="n">
        <v>21.4</v>
      </c>
      <c r="N60" s="46" t="n">
        <v>7.56</v>
      </c>
      <c r="O60" s="40" t="n">
        <v>442</v>
      </c>
      <c r="P60" s="3">
        <f>TABL123[[#This Row],[ (S/S) SAR]]-TABL123[[#This Row],[(S/S) AJD]]</f>
        <v/>
      </c>
      <c r="Q60" s="40" t="n">
        <v>412</v>
      </c>
      <c r="R60" s="3">
        <f>TABL123[[#This Row],[ (T/B) SAR]]-TABL123[[#This Row],[(T/B) AJD]]</f>
        <v/>
      </c>
      <c r="S60" s="3">
        <f>TABL123[[#This Row],[T/B-CON.]]+TABL123[[#This Row],[S/S_CON.]]</f>
        <v/>
      </c>
      <c r="T60" s="3">
        <f>TABL123[[#This Row],[(S/S) AJD]]+TABL123[[#This Row],[(T/B) AJD]]</f>
        <v/>
      </c>
      <c r="U60" s="44" t="n">
        <v>572</v>
      </c>
      <c r="V60" s="44" t="n">
        <v>260</v>
      </c>
      <c r="W60" s="3">
        <f>TABL123[[#This Row],[(A/B) AJD]]+TABL123[[#This Row],[(A/S) AJD]]</f>
        <v/>
      </c>
      <c r="X60" s="3">
        <f>TABL123[[#This Row],[( S/S+T/B) AJD]]-TABL123[[#This Row],[(A/B + A/S) AJD]]</f>
        <v/>
      </c>
      <c r="Y60" s="44" t="n">
        <v>92.602</v>
      </c>
      <c r="Z60" s="45" t="n">
        <v>557425</v>
      </c>
      <c r="AA60" s="3">
        <f>TABL123[[#This Row],[(RESV. STORGE) AJD]]/10</f>
        <v/>
      </c>
      <c r="AB60" s="45">
        <f>IF(TRIM(Z60)="",,(Z60-Z59)/1000)</f>
        <v/>
      </c>
      <c r="AC60" s="45" t="n">
        <v>0</v>
      </c>
      <c r="AD60" s="83">
        <f>TABL123[[#This Row],[( S/S+T/B) AJD]]-(TABL123[[#This Row],[(A/B + A/S) AJD]]+TABL123[[#This Row],[(STORGE DIFF.) AJD]]+(TABL123[[#This Row],[AJD_Evaporation]])/1000)</f>
        <v/>
      </c>
      <c r="AE60" s="68" t="n">
        <v>104</v>
      </c>
      <c r="AF60" s="68" t="n">
        <v>58.468</v>
      </c>
      <c r="AG60" s="68" t="n">
        <v>1273643</v>
      </c>
      <c r="AH60" s="45" t="n">
        <v>2001</v>
      </c>
      <c r="AI60" s="45" t="n">
        <v>2001</v>
      </c>
      <c r="AJ60" s="78">
        <f>TABL123[[#This Row],[(A/B) AJD]]-TABL123[[#This Row],[BER_IN]]</f>
        <v/>
      </c>
      <c r="AK60" s="68" t="n">
        <v>0</v>
      </c>
      <c r="AL60" s="87" t="n">
        <v>44.0747</v>
      </c>
      <c r="AM60" s="87" t="n">
        <v>3694490</v>
      </c>
      <c r="AN60" s="87">
        <f>TABL123[[#This Row],[ (RESV. STORGE) SER]]/10</f>
        <v/>
      </c>
      <c r="AO60" s="45" t="n">
        <v>1770</v>
      </c>
      <c r="AP60" s="32">
        <f>TABL123[[#This Row],[(A/S) AJD]]-TABL123[[#This Row],[SER_IN]]</f>
        <v/>
      </c>
    </row>
    <row r="61" ht="18.75" customHeight="1">
      <c r="A61" s="2" t="n">
        <v>46082</v>
      </c>
      <c r="B61" s="41" t="n">
        <v>31</v>
      </c>
      <c r="C61" s="41" t="n">
        <v>254</v>
      </c>
      <c r="D61" s="41" t="n">
        <v>31</v>
      </c>
      <c r="E61" s="44">
        <f>B61-D61</f>
        <v/>
      </c>
      <c r="F61" s="41" t="n">
        <v>96</v>
      </c>
      <c r="G61" s="39" t="n">
        <v>608</v>
      </c>
      <c r="H61" s="28">
        <f>103-F61</f>
        <v/>
      </c>
      <c r="I61" s="39" t="n">
        <v>459</v>
      </c>
      <c r="J61" s="39" t="n">
        <v>441</v>
      </c>
      <c r="K61" s="28">
        <f>TABL123[[#This Row],[ (T/B) SAR]]+TABL123[[#This Row],[ (S/S) SAR]]</f>
        <v/>
      </c>
      <c r="L61" s="41" t="n">
        <v>292</v>
      </c>
      <c r="M61" s="42" t="n">
        <v>21.4</v>
      </c>
      <c r="N61" s="42" t="n">
        <v>7.51</v>
      </c>
      <c r="O61" s="39" t="n">
        <v>401</v>
      </c>
      <c r="P61" s="3">
        <f>TABL123[[#This Row],[ (S/S) SAR]]-TABL123[[#This Row],[(S/S) AJD]]</f>
        <v/>
      </c>
      <c r="Q61" s="39" t="n">
        <v>430</v>
      </c>
      <c r="R61" s="3">
        <f>TABL123[[#This Row],[ (T/B) SAR]]-TABL123[[#This Row],[(T/B) AJD]]</f>
        <v/>
      </c>
      <c r="S61" s="3">
        <f>TABL123[[#This Row],[T/B-CON.]]+TABL123[[#This Row],[S/S_CON.]]</f>
        <v/>
      </c>
      <c r="T61" s="3">
        <f>TABL123[[#This Row],[(S/S) AJD]]+TABL123[[#This Row],[(T/B) AJD]]</f>
        <v/>
      </c>
      <c r="U61" s="41" t="n">
        <v>559</v>
      </c>
      <c r="V61" s="41" t="n">
        <v>268</v>
      </c>
      <c r="W61" s="3">
        <f>TABL123[[#This Row],[(A/B) AJD]]+TABL123[[#This Row],[(A/S) AJD]]</f>
        <v/>
      </c>
      <c r="X61" s="3">
        <f>TABL123[[#This Row],[( S/S+T/B) AJD]]-TABL123[[#This Row],[(A/B + A/S) AJD]]</f>
        <v/>
      </c>
      <c r="Y61" s="41" t="n">
        <v>92.53700000000001</v>
      </c>
      <c r="Z61" s="43" t="n">
        <v>518672</v>
      </c>
      <c r="AA61" s="3">
        <f>TABL123[[#This Row],[(RESV. STORGE) AJD]]/10</f>
        <v/>
      </c>
      <c r="AB61" s="45">
        <f>IF(TRIM(Z61)="",,(Z61-Z60)/1000)</f>
        <v/>
      </c>
      <c r="AC61" s="43" t="n">
        <v>968</v>
      </c>
      <c r="AD61" s="83">
        <f>TABL123[[#This Row],[( S/S+T/B) AJD]]-(TABL123[[#This Row],[(A/B + A/S) AJD]]+TABL123[[#This Row],[(STORGE DIFF.) AJD]]+(TABL123[[#This Row],[AJD_Evaporation]])/1000)</f>
        <v/>
      </c>
      <c r="AE61" s="68" t="n">
        <v>102</v>
      </c>
      <c r="AF61" s="68" t="n">
        <v>58.51</v>
      </c>
      <c r="AG61" s="68" t="n">
        <v>1301186</v>
      </c>
      <c r="AH61" s="43" t="n">
        <v>1596</v>
      </c>
      <c r="AI61" s="43" t="n">
        <v>1596</v>
      </c>
      <c r="AJ61" s="78">
        <f>TABL123[[#This Row],[(A/B) AJD]]-TABL123[[#This Row],[BER_IN]]</f>
        <v/>
      </c>
      <c r="AK61" s="68" t="n">
        <v>0</v>
      </c>
      <c r="AL61" s="87" t="n">
        <v>44.0629</v>
      </c>
      <c r="AM61" s="87" t="n">
        <v>3686870</v>
      </c>
      <c r="AN61" s="87">
        <f>TABL123[[#This Row],[ (RESV. STORGE) SER]]/10</f>
        <v/>
      </c>
      <c r="AO61" s="43" t="n">
        <v>1730</v>
      </c>
      <c r="AP61" s="32">
        <f>TABL123[[#This Row],[(A/S) AJD]]-TABL123[[#This Row],[SER_IN]]</f>
        <v/>
      </c>
    </row>
    <row r="62" ht="18.75" customHeight="1">
      <c r="A62" s="2" t="n">
        <v>46083</v>
      </c>
      <c r="B62" s="44" t="n">
        <v>30</v>
      </c>
      <c r="C62" s="44" t="n">
        <v>252</v>
      </c>
      <c r="D62" s="44" t="n">
        <v>30</v>
      </c>
      <c r="E62" s="44">
        <f>B62-D62</f>
        <v/>
      </c>
      <c r="F62" s="44" t="n">
        <v>96</v>
      </c>
      <c r="G62" s="40" t="n">
        <v>609</v>
      </c>
      <c r="H62" s="28">
        <f>103-F62</f>
        <v/>
      </c>
      <c r="I62" s="40" t="n">
        <v>460</v>
      </c>
      <c r="J62" s="44" t="n">
        <v>441</v>
      </c>
      <c r="K62" s="28">
        <f>TABL123[[#This Row],[ (T/B) SAR]]+TABL123[[#This Row],[ (S/S) SAR]]</f>
        <v/>
      </c>
      <c r="L62" s="45" t="n">
        <v>292</v>
      </c>
      <c r="M62" s="46" t="n">
        <v>21.4</v>
      </c>
      <c r="N62" s="46" t="n">
        <v>7.44</v>
      </c>
      <c r="O62" s="40" t="n">
        <v>401</v>
      </c>
      <c r="P62" s="3">
        <f>TABL123[[#This Row],[ (S/S) SAR]]-TABL123[[#This Row],[(S/S) AJD]]</f>
        <v/>
      </c>
      <c r="Q62" s="40" t="n">
        <v>430</v>
      </c>
      <c r="R62" s="3">
        <f>TABL123[[#This Row],[ (T/B) SAR]]-TABL123[[#This Row],[(T/B) AJD]]</f>
        <v/>
      </c>
      <c r="S62" s="3">
        <f>TABL123[[#This Row],[T/B-CON.]]+TABL123[[#This Row],[S/S_CON.]]</f>
        <v/>
      </c>
      <c r="T62" s="3">
        <f>TABL123[[#This Row],[(S/S) AJD]]+TABL123[[#This Row],[(T/B) AJD]]</f>
        <v/>
      </c>
      <c r="U62" s="44" t="n">
        <v>559</v>
      </c>
      <c r="V62" s="44" t="n">
        <v>265</v>
      </c>
      <c r="W62" s="3">
        <f>TABL123[[#This Row],[(A/B) AJD]]+TABL123[[#This Row],[(A/S) AJD]]</f>
        <v/>
      </c>
      <c r="X62" s="3">
        <f>TABL123[[#This Row],[( S/S+T/B) AJD]]-TABL123[[#This Row],[(A/B + A/S) AJD]]</f>
        <v/>
      </c>
      <c r="Y62" s="44" t="n">
        <v>92.517</v>
      </c>
      <c r="Z62" s="45" t="n">
        <v>506715</v>
      </c>
      <c r="AA62" s="3">
        <f>TABL123[[#This Row],[(RESV. STORGE) AJD]]/10</f>
        <v/>
      </c>
      <c r="AB62" s="45">
        <f>IF(TRIM(Z62)="",,(Z62-Z61)/1000)</f>
        <v/>
      </c>
      <c r="AC62" s="45" t="n">
        <v>0</v>
      </c>
      <c r="AD62" s="83">
        <f>TABL123[[#This Row],[( S/S+T/B) AJD]]-(TABL123[[#This Row],[(A/B + A/S) AJD]]+TABL123[[#This Row],[(STORGE DIFF.) AJD]]+(TABL123[[#This Row],[AJD_Evaporation]])/1000)</f>
        <v/>
      </c>
      <c r="AE62" s="68" t="n">
        <v>101</v>
      </c>
      <c r="AF62" s="68" t="n">
        <v>58.55</v>
      </c>
      <c r="AG62" s="68" t="n">
        <v>1327423</v>
      </c>
      <c r="AH62" s="45" t="n">
        <v>1914</v>
      </c>
      <c r="AI62" s="45" t="n">
        <v>1914</v>
      </c>
      <c r="AJ62" s="78">
        <f>TABL123[[#This Row],[(A/B) AJD]]-TABL123[[#This Row],[BER_IN]]</f>
        <v/>
      </c>
      <c r="AK62" s="68" t="n">
        <v>0</v>
      </c>
      <c r="AL62" s="87" t="n">
        <v>44.0288</v>
      </c>
      <c r="AM62" s="87" t="n">
        <v>3669100</v>
      </c>
      <c r="AN62" s="87">
        <f>TABL123[[#This Row],[ (RESV. STORGE) SER]]/10</f>
        <v/>
      </c>
      <c r="AO62" s="45" t="n">
        <v>1745</v>
      </c>
      <c r="AP62" s="32">
        <f>TABL123[[#This Row],[(A/S) AJD]]-TABL123[[#This Row],[SER_IN]]</f>
        <v/>
      </c>
    </row>
    <row r="63" ht="18.75" customHeight="1">
      <c r="A63" s="2" t="n">
        <v>46084</v>
      </c>
      <c r="B63" s="41" t="n">
        <v>30</v>
      </c>
      <c r="C63" s="41" t="n">
        <v>254</v>
      </c>
      <c r="D63" s="41" t="n">
        <v>30</v>
      </c>
      <c r="E63" s="44">
        <f>B63-D63</f>
        <v/>
      </c>
      <c r="F63" s="41" t="n">
        <v>96</v>
      </c>
      <c r="G63" s="39" t="n">
        <v>608</v>
      </c>
      <c r="H63" s="28">
        <f>103-F63</f>
        <v/>
      </c>
      <c r="I63" s="39" t="n">
        <v>460</v>
      </c>
      <c r="J63" s="39" t="n">
        <v>440</v>
      </c>
      <c r="K63" s="28">
        <f>TABL123[[#This Row],[ (T/B) SAR]]+TABL123[[#This Row],[ (S/S) SAR]]</f>
        <v/>
      </c>
      <c r="L63" s="41" t="n">
        <v>292</v>
      </c>
      <c r="M63" s="42" t="n">
        <v>21.4</v>
      </c>
      <c r="N63" s="42" t="n">
        <v>7.36</v>
      </c>
      <c r="O63" s="39" t="n">
        <v>400</v>
      </c>
      <c r="P63" s="3">
        <f>TABL123[[#This Row],[ (S/S) SAR]]-TABL123[[#This Row],[(S/S) AJD]]</f>
        <v/>
      </c>
      <c r="Q63" s="39" t="n">
        <v>428</v>
      </c>
      <c r="R63" s="3">
        <f>TABL123[[#This Row],[ (T/B) SAR]]-TABL123[[#This Row],[(T/B) AJD]]</f>
        <v/>
      </c>
      <c r="S63" s="3">
        <f>TABL123[[#This Row],[T/B-CON.]]+TABL123[[#This Row],[S/S_CON.]]</f>
        <v/>
      </c>
      <c r="T63" s="3">
        <f>TABL123[[#This Row],[(S/S) AJD]]+TABL123[[#This Row],[(T/B) AJD]]</f>
        <v/>
      </c>
      <c r="U63" s="41" t="n">
        <v>574</v>
      </c>
      <c r="V63" s="41" t="n">
        <v>249</v>
      </c>
      <c r="W63" s="3">
        <f>TABL123[[#This Row],[(A/B) AJD]]+TABL123[[#This Row],[(A/S) AJD]]</f>
        <v/>
      </c>
      <c r="X63" s="3">
        <f>TABL123[[#This Row],[( S/S+T/B) AJD]]-TABL123[[#This Row],[(A/B + A/S) AJD]]</f>
        <v/>
      </c>
      <c r="Y63" s="41" t="n">
        <v>92.48</v>
      </c>
      <c r="Z63" s="43" t="n">
        <v>484715</v>
      </c>
      <c r="AA63" s="3">
        <f>TABL123[[#This Row],[(RESV. STORGE) AJD]]/10</f>
        <v/>
      </c>
      <c r="AB63" s="45">
        <f>IF(TRIM(Z63)="",,(Z63-Z62)/1000)</f>
        <v/>
      </c>
      <c r="AC63" s="43" t="n">
        <v>0</v>
      </c>
      <c r="AD63" s="83">
        <f>TABL123[[#This Row],[( S/S+T/B) AJD]]-(TABL123[[#This Row],[(A/B + A/S) AJD]]+TABL123[[#This Row],[(STORGE DIFF.) AJD]]+(TABL123[[#This Row],[AJD_Evaporation]])/1000)</f>
        <v/>
      </c>
      <c r="AE63" s="68" t="n">
        <v>101</v>
      </c>
      <c r="AF63" s="68" t="n">
        <v>58.58</v>
      </c>
      <c r="AG63" s="68" t="n">
        <v>1347126</v>
      </c>
      <c r="AH63" s="43" t="n">
        <v>1457</v>
      </c>
      <c r="AI63" s="43" t="n">
        <v>1457</v>
      </c>
      <c r="AJ63" s="78">
        <f>TABL123[[#This Row],[(A/B) AJD]]-TABL123[[#This Row],[BER_IN]]</f>
        <v/>
      </c>
      <c r="AK63" s="68" t="n">
        <v>0</v>
      </c>
      <c r="AL63" s="87" t="n">
        <v>43.9757</v>
      </c>
      <c r="AM63" s="87" t="n">
        <v>3639840</v>
      </c>
      <c r="AN63" s="87">
        <f>TABL123[[#This Row],[ (RESV. STORGE) SER]]/10</f>
        <v/>
      </c>
      <c r="AO63" s="43" t="n">
        <v>1726</v>
      </c>
      <c r="AP63" s="32">
        <f>TABL123[[#This Row],[(A/S) AJD]]-TABL123[[#This Row],[SER_IN]]</f>
        <v/>
      </c>
    </row>
    <row r="64" ht="18.75" customHeight="1">
      <c r="A64" s="2" t="n">
        <v>46085</v>
      </c>
      <c r="B64" s="44" t="n">
        <v>30</v>
      </c>
      <c r="C64" s="44" t="n">
        <v>252</v>
      </c>
      <c r="D64" s="44" t="n">
        <v>30</v>
      </c>
      <c r="E64" s="28" t="n"/>
      <c r="F64" s="44" t="n">
        <v>96</v>
      </c>
      <c r="G64" s="40" t="n">
        <v>608</v>
      </c>
      <c r="H64" s="28">
        <f>103-F64</f>
        <v/>
      </c>
      <c r="I64" s="40" t="n">
        <v>460</v>
      </c>
      <c r="J64" s="44" t="n">
        <v>440</v>
      </c>
      <c r="K64" s="28">
        <f>TABL123[[#This Row],[ (T/B) SAR]]+TABL123[[#This Row],[ (S/S) SAR]]</f>
        <v/>
      </c>
      <c r="L64" s="45" t="n">
        <v>292</v>
      </c>
      <c r="M64" s="46" t="n">
        <v>21.4</v>
      </c>
      <c r="N64" s="46" t="n">
        <v>7.3</v>
      </c>
      <c r="O64" s="40" t="n">
        <v>401</v>
      </c>
      <c r="P64" s="3">
        <f>TABL123[[#This Row],[ (S/S) SAR]]-TABL123[[#This Row],[(S/S) AJD]]</f>
        <v/>
      </c>
      <c r="Q64" s="40" t="n">
        <v>429</v>
      </c>
      <c r="R64" s="3">
        <f>TABL123[[#This Row],[ (T/B) SAR]]-TABL123[[#This Row],[(T/B) AJD]]</f>
        <v/>
      </c>
      <c r="S64" s="3">
        <f>TABL123[[#This Row],[T/B-CON.]]+TABL123[[#This Row],[S/S_CON.]]</f>
        <v/>
      </c>
      <c r="T64" s="3">
        <f>TABL123[[#This Row],[(S/S) AJD]]+TABL123[[#This Row],[(T/B) AJD]]</f>
        <v/>
      </c>
      <c r="U64" s="44" t="n">
        <v>579</v>
      </c>
      <c r="V64" s="44" t="n">
        <v>200</v>
      </c>
      <c r="W64" s="3">
        <f>TABL123[[#This Row],[(A/B) AJD]]+TABL123[[#This Row],[(A/S) AJD]]</f>
        <v/>
      </c>
      <c r="X64" s="3">
        <f>TABL123[[#This Row],[( S/S+T/B) AJD]]-TABL123[[#This Row],[(A/B + A/S) AJD]]</f>
        <v/>
      </c>
      <c r="Y64" s="44" t="n">
        <v>92.517</v>
      </c>
      <c r="Z64" s="45" t="n">
        <v>506751</v>
      </c>
      <c r="AA64" s="3">
        <f>TABL123[[#This Row],[(RESV. STORGE) AJD]]/10</f>
        <v/>
      </c>
      <c r="AB64" s="45">
        <f>IF(TRIM(Z64)="",,(Z64-Z63)/1000)</f>
        <v/>
      </c>
      <c r="AC64" s="45" t="n">
        <v>0</v>
      </c>
      <c r="AD64" s="83">
        <f>TABL123[[#This Row],[( S/S+T/B) AJD]]-(TABL123[[#This Row],[(A/B + A/S) AJD]]+TABL123[[#This Row],[(STORGE DIFF.) AJD]]+(TABL123[[#This Row],[AJD_Evaporation]])/1000)</f>
        <v/>
      </c>
      <c r="AE64" s="68" t="n">
        <v>100</v>
      </c>
      <c r="AF64" s="68" t="n">
        <v>58.62</v>
      </c>
      <c r="AG64" s="68" t="n">
        <v>1373396</v>
      </c>
      <c r="AH64" s="45" t="n">
        <v>1889</v>
      </c>
      <c r="AI64" s="45" t="n">
        <v>1889</v>
      </c>
      <c r="AJ64" s="78">
        <f>TABL123[[#This Row],[(A/B) AJD]]-TABL123[[#This Row],[BER_IN]]</f>
        <v/>
      </c>
      <c r="AK64" s="68" t="n">
        <v>0</v>
      </c>
      <c r="AL64" s="87" t="n">
        <v>43.9221</v>
      </c>
      <c r="AM64" s="87" t="n">
        <v>3610490</v>
      </c>
      <c r="AN64" s="87">
        <f>TABL123[[#This Row],[ (RESV. STORGE) SER]]/10</f>
        <v/>
      </c>
      <c r="AO64" s="45" t="n">
        <v>1723</v>
      </c>
      <c r="AP64" s="32">
        <f>TABL123[[#This Row],[(A/S) AJD]]-TABL123[[#This Row],[SER_IN]]</f>
        <v/>
      </c>
    </row>
    <row r="65" ht="18.75" customHeight="1">
      <c r="A65" s="2" t="n">
        <v>46086</v>
      </c>
      <c r="B65" s="41" t="n">
        <v>30</v>
      </c>
      <c r="C65" s="41" t="n">
        <v>245</v>
      </c>
      <c r="D65" s="41" t="n">
        <v>30</v>
      </c>
      <c r="E65" s="28" t="n"/>
      <c r="F65" s="41" t="n">
        <v>96</v>
      </c>
      <c r="G65" s="39" t="n">
        <v>608</v>
      </c>
      <c r="H65" s="28">
        <f>103-F65</f>
        <v/>
      </c>
      <c r="I65" s="39" t="n">
        <v>460</v>
      </c>
      <c r="J65" s="39" t="n">
        <v>440</v>
      </c>
      <c r="K65" s="28">
        <f>TABL123[[#This Row],[ (T/B) SAR]]+TABL123[[#This Row],[ (S/S) SAR]]</f>
        <v/>
      </c>
      <c r="L65" s="41" t="n">
        <v>292</v>
      </c>
      <c r="M65" s="42" t="n">
        <v>21.4</v>
      </c>
      <c r="N65" s="42" t="n">
        <v>7.23</v>
      </c>
      <c r="O65" s="39" t="n">
        <v>400</v>
      </c>
      <c r="P65" s="3">
        <f>TABL123[[#This Row],[ (S/S) SAR]]-TABL123[[#This Row],[(S/S) AJD]]</f>
        <v/>
      </c>
      <c r="Q65" s="39" t="n">
        <v>428</v>
      </c>
      <c r="R65" s="3">
        <f>TABL123[[#This Row],[ (T/B) SAR]]-TABL123[[#This Row],[(T/B) AJD]]</f>
        <v/>
      </c>
      <c r="S65" s="3">
        <f>TABL123[[#This Row],[T/B-CON.]]+TABL123[[#This Row],[S/S_CON.]]</f>
        <v/>
      </c>
      <c r="T65" s="3">
        <f>TABL123[[#This Row],[(S/S) AJD]]+TABL123[[#This Row],[(T/B) AJD]]</f>
        <v/>
      </c>
      <c r="U65" s="41" t="n">
        <v>577</v>
      </c>
      <c r="V65" s="41" t="n">
        <v>211</v>
      </c>
      <c r="W65" s="3">
        <f>TABL123[[#This Row],[(A/B) AJD]]+TABL123[[#This Row],[(A/S) AJD]]</f>
        <v/>
      </c>
      <c r="X65" s="3">
        <f>TABL123[[#This Row],[( S/S+T/B) AJD]]-TABL123[[#This Row],[(A/B + A/S) AJD]]</f>
        <v/>
      </c>
      <c r="Y65" s="41" t="n">
        <v>92.50700000000001</v>
      </c>
      <c r="Z65" s="43" t="n">
        <v>500797</v>
      </c>
      <c r="AA65" s="3">
        <f>TABL123[[#This Row],[(RESV. STORGE) AJD]]/10</f>
        <v/>
      </c>
      <c r="AB65" s="45">
        <f>IF(TRIM(Z65)="",,(Z65-Z64)/1000)</f>
        <v/>
      </c>
      <c r="AC65" s="43" t="n">
        <v>0</v>
      </c>
      <c r="AD65" s="83">
        <f>TABL123[[#This Row],[( S/S+T/B) AJD]]-(TABL123[[#This Row],[(A/B + A/S) AJD]]+TABL123[[#This Row],[(STORGE DIFF.) AJD]]+(TABL123[[#This Row],[AJD_Evaporation]])/1000)</f>
        <v/>
      </c>
      <c r="AE65" s="68" t="n">
        <v>98</v>
      </c>
      <c r="AF65" s="68" t="n">
        <v>58.66</v>
      </c>
      <c r="AG65" s="68" t="n">
        <v>1399679</v>
      </c>
      <c r="AH65" s="43" t="n">
        <v>2876</v>
      </c>
      <c r="AI65" s="43" t="n">
        <v>2876</v>
      </c>
      <c r="AJ65" s="78">
        <f>TABL123[[#This Row],[(A/B) AJD]]-TABL123[[#This Row],[BER_IN]]</f>
        <v/>
      </c>
      <c r="AK65" s="68" t="n">
        <v>0</v>
      </c>
      <c r="AL65" s="87" t="n">
        <v>43.8613</v>
      </c>
      <c r="AM65" s="87" t="n">
        <v>3577400</v>
      </c>
      <c r="AN65" s="87">
        <f>TABL123[[#This Row],[ (RESV. STORGE) SER]]/10</f>
        <v/>
      </c>
      <c r="AO65" s="43" t="n">
        <v>1738</v>
      </c>
      <c r="AP65" s="32">
        <f>TABL123[[#This Row],[(A/S) AJD]]-TABL123[[#This Row],[SER_IN]]</f>
        <v/>
      </c>
    </row>
    <row r="66" ht="18.75" customHeight="1">
      <c r="A66" s="2" t="n">
        <v>46087</v>
      </c>
      <c r="B66" s="44" t="n">
        <v>30</v>
      </c>
      <c r="C66" s="44" t="n">
        <v>245</v>
      </c>
      <c r="D66" s="44" t="n">
        <v>30</v>
      </c>
      <c r="E66" s="28" t="n"/>
      <c r="F66" s="44" t="n">
        <v>96</v>
      </c>
      <c r="G66" s="40" t="n">
        <v>608</v>
      </c>
      <c r="H66" s="28">
        <f>103-F66</f>
        <v/>
      </c>
      <c r="I66" s="40" t="n">
        <v>458</v>
      </c>
      <c r="J66" s="44" t="n">
        <v>438</v>
      </c>
      <c r="K66" s="28">
        <f>TABL123[[#This Row],[ (T/B) SAR]]+TABL123[[#This Row],[ (S/S) SAR]]</f>
        <v/>
      </c>
      <c r="L66" s="45" t="n">
        <v>288</v>
      </c>
      <c r="M66" s="46" t="n">
        <v>21.4</v>
      </c>
      <c r="N66" s="46" t="n">
        <v>7.14</v>
      </c>
      <c r="O66" s="40" t="n">
        <v>399</v>
      </c>
      <c r="P66" s="3">
        <f>TABL123[[#This Row],[ (S/S) SAR]]-TABL123[[#This Row],[(S/S) AJD]]</f>
        <v/>
      </c>
      <c r="Q66" s="40" t="n">
        <v>427</v>
      </c>
      <c r="R66" s="3">
        <f>TABL123[[#This Row],[ (T/B) SAR]]-TABL123[[#This Row],[(T/B) AJD]]</f>
        <v/>
      </c>
      <c r="S66" s="3">
        <f>TABL123[[#This Row],[T/B-CON.]]+TABL123[[#This Row],[S/S_CON.]]</f>
        <v/>
      </c>
      <c r="T66" s="3">
        <f>TABL123[[#This Row],[(S/S) AJD]]+TABL123[[#This Row],[(T/B) AJD]]</f>
        <v/>
      </c>
      <c r="U66" s="44" t="n">
        <v>569</v>
      </c>
      <c r="V66" s="44" t="n">
        <v>254</v>
      </c>
      <c r="W66" s="3">
        <f>TABL123[[#This Row],[(A/B) AJD]]+TABL123[[#This Row],[(A/S) AJD]]</f>
        <v/>
      </c>
      <c r="X66" s="3">
        <f>TABL123[[#This Row],[( S/S+T/B) AJD]]-TABL123[[#This Row],[(A/B + A/S) AJD]]</f>
        <v/>
      </c>
      <c r="Y66" s="44" t="n">
        <v>92.462</v>
      </c>
      <c r="Z66" s="45" t="n">
        <v>473994</v>
      </c>
      <c r="AA66" s="3">
        <f>TABL123[[#This Row],[(RESV. STORGE) AJD]]/10</f>
        <v/>
      </c>
      <c r="AB66" s="45">
        <f>IF(TRIM(Z66)="",,(Z66-Z65)/1000)</f>
        <v/>
      </c>
      <c r="AC66" s="45" t="n">
        <v>0</v>
      </c>
      <c r="AD66" s="83">
        <f>TABL123[[#This Row],[( S/S+T/B) AJD]]-(TABL123[[#This Row],[(A/B + A/S) AJD]]+TABL123[[#This Row],[(STORGE DIFF.) AJD]]+(TABL123[[#This Row],[AJD_Evaporation]])/1000)</f>
        <v/>
      </c>
      <c r="AE66" s="68" t="n">
        <v>101</v>
      </c>
      <c r="AF66" s="68" t="n">
        <v>58.65</v>
      </c>
      <c r="AG66" s="68" t="n">
        <v>1393107</v>
      </c>
      <c r="AH66" s="45" t="n">
        <v>1339</v>
      </c>
      <c r="AI66" s="45" t="n">
        <v>1339</v>
      </c>
      <c r="AJ66" s="78">
        <f>TABL123[[#This Row],[(A/B) AJD]]-TABL123[[#This Row],[BER_IN]]</f>
        <v/>
      </c>
      <c r="AK66" s="68" t="n">
        <v>0</v>
      </c>
      <c r="AL66" s="87" t="n">
        <v>43.8063</v>
      </c>
      <c r="AM66" s="87" t="n">
        <v>3546991</v>
      </c>
      <c r="AN66" s="87">
        <f>TABL123[[#This Row],[ (RESV. STORGE) SER]]/10</f>
        <v/>
      </c>
      <c r="AO66" s="45" t="n">
        <v>1680</v>
      </c>
      <c r="AP66" s="32">
        <f>TABL123[[#This Row],[(A/S) AJD]]-TABL123[[#This Row],[SER_IN]]</f>
        <v/>
      </c>
    </row>
    <row r="67" ht="18.75" customHeight="1">
      <c r="A67" s="2" t="n">
        <v>46088</v>
      </c>
      <c r="B67" s="41" t="n">
        <v>30</v>
      </c>
      <c r="C67" s="41" t="n">
        <v>255</v>
      </c>
      <c r="D67" s="41" t="n">
        <v>30</v>
      </c>
      <c r="E67" s="28" t="n"/>
      <c r="F67" s="41" t="n">
        <v>96</v>
      </c>
      <c r="G67" s="39" t="n">
        <v>608</v>
      </c>
      <c r="H67" s="28">
        <f>103-F67</f>
        <v/>
      </c>
      <c r="I67" s="39" t="n">
        <v>458</v>
      </c>
      <c r="J67" s="39" t="n">
        <v>438</v>
      </c>
      <c r="K67" s="28">
        <f>TABL123[[#This Row],[ (T/B) SAR]]+TABL123[[#This Row],[ (S/S) SAR]]</f>
        <v/>
      </c>
      <c r="L67" s="41" t="n">
        <v>288</v>
      </c>
      <c r="M67" s="42" t="n">
        <v>21.4</v>
      </c>
      <c r="N67" s="42" t="n">
        <v>7.1</v>
      </c>
      <c r="O67" s="39" t="n">
        <v>398</v>
      </c>
      <c r="P67" s="3">
        <f>TABL123[[#This Row],[ (S/S) SAR]]-TABL123[[#This Row],[(S/S) AJD]]</f>
        <v/>
      </c>
      <c r="Q67" s="39" t="n">
        <v>428</v>
      </c>
      <c r="R67" s="3">
        <f>TABL123[[#This Row],[ (T/B) SAR]]-TABL123[[#This Row],[(T/B) AJD]]</f>
        <v/>
      </c>
      <c r="S67" s="3">
        <f>TABL123[[#This Row],[T/B-CON.]]+TABL123[[#This Row],[S/S_CON.]]</f>
        <v/>
      </c>
      <c r="T67" s="3">
        <f>TABL123[[#This Row],[(S/S) AJD]]+TABL123[[#This Row],[(T/B) AJD]]</f>
        <v/>
      </c>
      <c r="U67" s="41" t="n">
        <v>574</v>
      </c>
      <c r="V67" s="41" t="n">
        <v>255</v>
      </c>
      <c r="W67" s="3">
        <f>TABL123[[#This Row],[(A/B) AJD]]+TABL123[[#This Row],[(A/S) AJD]]</f>
        <v/>
      </c>
      <c r="X67" s="3">
        <f>TABL123[[#This Row],[( S/S+T/B) AJD]]-TABL123[[#This Row],[(A/B + A/S) AJD]]</f>
        <v/>
      </c>
      <c r="Y67" s="41" t="n">
        <v>92.417</v>
      </c>
      <c r="Z67" s="43" t="n">
        <v>447212</v>
      </c>
      <c r="AA67" s="3">
        <f>TABL123[[#This Row],[(RESV. STORGE) AJD]]/10</f>
        <v/>
      </c>
      <c r="AB67" s="45">
        <f>IF(TRIM(Z67)="",,(Z67-Z66)/1000)</f>
        <v/>
      </c>
      <c r="AC67" s="43" t="n">
        <v>1320</v>
      </c>
      <c r="AD67" s="83">
        <f>TABL123[[#This Row],[( S/S+T/B) AJD]]-(TABL123[[#This Row],[(A/B + A/S) AJD]]+TABL123[[#This Row],[(STORGE DIFF.) AJD]]+(TABL123[[#This Row],[AJD_Evaporation]])/1000)</f>
        <v/>
      </c>
      <c r="AE67" s="68" t="n">
        <v>98</v>
      </c>
      <c r="AF67" s="68" t="n">
        <v>58.58</v>
      </c>
      <c r="AG67" s="68" t="n">
        <v>1347126</v>
      </c>
      <c r="AH67" s="43" t="n">
        <v>1920</v>
      </c>
      <c r="AI67" s="43" t="n">
        <v>1920</v>
      </c>
      <c r="AJ67" s="78">
        <f>TABL123[[#This Row],[(A/B) AJD]]-TABL123[[#This Row],[BER_IN]]</f>
        <v/>
      </c>
      <c r="AK67" s="68" t="n">
        <v>0</v>
      </c>
      <c r="AL67" s="87" t="n">
        <v>43.7752</v>
      </c>
      <c r="AM67" s="87" t="n">
        <v>3530507</v>
      </c>
      <c r="AN67" s="87">
        <f>TABL123[[#This Row],[ (RESV. STORGE) SER]]/10</f>
        <v/>
      </c>
      <c r="AO67" s="43" t="n">
        <v>1710</v>
      </c>
      <c r="AP67" s="32">
        <f>TABL123[[#This Row],[(A/S) AJD]]-TABL123[[#This Row],[SER_IN]]</f>
        <v/>
      </c>
    </row>
    <row r="68" ht="18.75" customHeight="1">
      <c r="A68" s="2" t="n">
        <v>46089</v>
      </c>
      <c r="B68" s="44" t="n">
        <v>30</v>
      </c>
      <c r="C68" s="44" t="n">
        <v>253</v>
      </c>
      <c r="D68" s="44" t="n">
        <v>30</v>
      </c>
      <c r="E68" s="28" t="n"/>
      <c r="F68" s="44" t="n">
        <v>96</v>
      </c>
      <c r="G68" s="40" t="n">
        <v>608</v>
      </c>
      <c r="H68" s="28">
        <f>103-F68</f>
        <v/>
      </c>
      <c r="I68" s="40" t="n">
        <v>458</v>
      </c>
      <c r="J68" s="44" t="n">
        <v>438</v>
      </c>
      <c r="K68" s="28">
        <f>TABL123[[#This Row],[ (T/B) SAR]]+TABL123[[#This Row],[ (S/S) SAR]]</f>
        <v/>
      </c>
      <c r="L68" s="45" t="n">
        <v>288</v>
      </c>
      <c r="M68" s="46" t="n">
        <v>21.4</v>
      </c>
      <c r="N68" s="46" t="n">
        <v>7.06</v>
      </c>
      <c r="O68" s="40" t="n">
        <v>396</v>
      </c>
      <c r="P68" s="3">
        <f>TABL123[[#This Row],[ (S/S) SAR]]-TABL123[[#This Row],[(S/S) AJD]]</f>
        <v/>
      </c>
      <c r="Q68" s="40" t="n">
        <v>424</v>
      </c>
      <c r="R68" s="3">
        <f>TABL123[[#This Row],[ (T/B) SAR]]-TABL123[[#This Row],[(T/B) AJD]]</f>
        <v/>
      </c>
      <c r="S68" s="3">
        <f>TABL123[[#This Row],[T/B-CON.]]+TABL123[[#This Row],[S/S_CON.]]</f>
        <v/>
      </c>
      <c r="T68" s="3">
        <f>TABL123[[#This Row],[(S/S) AJD]]+TABL123[[#This Row],[(T/B) AJD]]</f>
        <v/>
      </c>
      <c r="U68" s="44" t="n">
        <v>583</v>
      </c>
      <c r="V68" s="44" t="n">
        <v>256</v>
      </c>
      <c r="W68" s="3">
        <f>TABL123[[#This Row],[(A/B) AJD]]+TABL123[[#This Row],[(A/S) AJD]]</f>
        <v/>
      </c>
      <c r="X68" s="3">
        <f>TABL123[[#This Row],[( S/S+T/B) AJD]]-TABL123[[#This Row],[(A/B + A/S) AJD]]</f>
        <v/>
      </c>
      <c r="Y68" s="44" t="n">
        <v>92.325</v>
      </c>
      <c r="Z68" s="45" t="n">
        <v>392505</v>
      </c>
      <c r="AA68" s="3">
        <f>TABL123[[#This Row],[(RESV. STORGE) AJD]]/10</f>
        <v/>
      </c>
      <c r="AB68" s="45">
        <f>IF(TRIM(Z68)="",,(Z68-Z67)/1000)</f>
        <v/>
      </c>
      <c r="AC68" s="45" t="n">
        <v>2816</v>
      </c>
      <c r="AD68" s="83">
        <f>TABL123[[#This Row],[( S/S+T/B) AJD]]-(TABL123[[#This Row],[(A/B + A/S) AJD]]+TABL123[[#This Row],[(STORGE DIFF.) AJD]]+(TABL123[[#This Row],[AJD_Evaporation]])/1000)</f>
        <v/>
      </c>
      <c r="AE68" s="68" t="n">
        <v>99</v>
      </c>
      <c r="AF68" s="68" t="n">
        <v>58.5</v>
      </c>
      <c r="AG68" s="68" t="n">
        <v>1294628</v>
      </c>
      <c r="AH68" s="45" t="n">
        <v>998</v>
      </c>
      <c r="AI68" s="45" t="n">
        <v>998</v>
      </c>
      <c r="AJ68" s="78">
        <f>TABL123[[#This Row],[(A/B) AJD]]-TABL123[[#This Row],[BER_IN]]</f>
        <v/>
      </c>
      <c r="AK68" s="68" t="n">
        <v>0</v>
      </c>
      <c r="AL68" s="87" t="n">
        <v>43.7537</v>
      </c>
      <c r="AM68" s="87" t="n">
        <v>3518470</v>
      </c>
      <c r="AN68" s="87">
        <f>TABL123[[#This Row],[ (RESV. STORGE) SER]]/10</f>
        <v/>
      </c>
      <c r="AO68" s="45" t="n">
        <v>1727</v>
      </c>
      <c r="AP68" s="32">
        <f>TABL123[[#This Row],[(A/S) AJD]]-TABL123[[#This Row],[SER_IN]]</f>
        <v/>
      </c>
    </row>
    <row r="69" ht="18.75" customHeight="1">
      <c r="A69" s="2" t="n">
        <v>46090</v>
      </c>
      <c r="B69" s="41" t="n">
        <v>30</v>
      </c>
      <c r="C69" s="41" t="n">
        <v>240</v>
      </c>
      <c r="D69" s="41" t="n">
        <v>30</v>
      </c>
      <c r="E69" s="28" t="n"/>
      <c r="F69" s="41" t="n">
        <v>96</v>
      </c>
      <c r="G69" s="39" t="n">
        <v>596</v>
      </c>
      <c r="H69" s="28">
        <f>103-F69</f>
        <v/>
      </c>
      <c r="I69" s="39" t="n">
        <v>428</v>
      </c>
      <c r="J69" s="39" t="n">
        <v>418</v>
      </c>
      <c r="K69" s="28">
        <f>TABL123[[#This Row],[ (T/B) SAR]]+TABL123[[#This Row],[ (S/S) SAR]]</f>
        <v/>
      </c>
      <c r="L69" s="41" t="n">
        <v>250</v>
      </c>
      <c r="M69" s="42" t="n">
        <v>19.4</v>
      </c>
      <c r="N69" s="42" t="n">
        <v>7.13</v>
      </c>
      <c r="O69" s="39" t="n">
        <v>393</v>
      </c>
      <c r="P69" s="3">
        <f>TABL123[[#This Row],[ (S/S) SAR]]-TABL123[[#This Row],[(S/S) AJD]]</f>
        <v/>
      </c>
      <c r="Q69" s="39" t="n">
        <v>422</v>
      </c>
      <c r="R69" s="3">
        <f>TABL123[[#This Row],[ (T/B) SAR]]-TABL123[[#This Row],[(T/B) AJD]]</f>
        <v/>
      </c>
      <c r="S69" s="3">
        <f>TABL123[[#This Row],[T/B-CON.]]+TABL123[[#This Row],[S/S_CON.]]</f>
        <v/>
      </c>
      <c r="T69" s="3">
        <f>TABL123[[#This Row],[(S/S) AJD]]+TABL123[[#This Row],[(T/B) AJD]]</f>
        <v/>
      </c>
      <c r="U69" s="41" t="n">
        <v>557</v>
      </c>
      <c r="V69" s="41" t="n">
        <v>255</v>
      </c>
      <c r="W69" s="3">
        <f>TABL123[[#This Row],[(A/B) AJD]]+TABL123[[#This Row],[(A/S) AJD]]</f>
        <v/>
      </c>
      <c r="X69" s="3">
        <f>TABL123[[#This Row],[( S/S+T/B) AJD]]-TABL123[[#This Row],[(A/B + A/S) AJD]]</f>
        <v/>
      </c>
      <c r="Y69" s="41" t="n">
        <v>92.285</v>
      </c>
      <c r="Z69" s="43" t="n">
        <v>368746</v>
      </c>
      <c r="AA69" s="3">
        <f>TABL123[[#This Row],[(RESV. STORGE) AJD]]/10</f>
        <v/>
      </c>
      <c r="AB69" s="45">
        <f>IF(TRIM(Z69)="",,(Z69-Z68)/1000)</f>
        <v/>
      </c>
      <c r="AC69" s="43" t="n">
        <v>1513</v>
      </c>
      <c r="AD69" s="83">
        <f>TABL123[[#This Row],[( S/S+T/B) AJD]]-(TABL123[[#This Row],[(A/B + A/S) AJD]]+TABL123[[#This Row],[(STORGE DIFF.) AJD]]+(TABL123[[#This Row],[AJD_Evaporation]])/1000)</f>
        <v/>
      </c>
      <c r="AE69" s="68" t="n">
        <v>89</v>
      </c>
      <c r="AF69" s="68" t="n">
        <v>58.4</v>
      </c>
      <c r="AG69" s="68" t="n">
        <v>1229081</v>
      </c>
      <c r="AH69" s="43" t="n">
        <v>1599</v>
      </c>
      <c r="AI69" s="43" t="n">
        <v>1599</v>
      </c>
      <c r="AJ69" s="78">
        <f>TABL123[[#This Row],[(A/B) AJD]]-TABL123[[#This Row],[BER_IN]]</f>
        <v/>
      </c>
      <c r="AK69" s="68" t="n">
        <v>0</v>
      </c>
      <c r="AL69" s="87" t="n">
        <v>43.7292</v>
      </c>
      <c r="AM69" s="87" t="n">
        <v>3504800</v>
      </c>
      <c r="AN69" s="87">
        <f>TABL123[[#This Row],[ (RESV. STORGE) SER]]/10</f>
        <v/>
      </c>
      <c r="AO69" s="43" t="n">
        <v>1690</v>
      </c>
      <c r="AP69" s="32">
        <f>TABL123[[#This Row],[(A/S) AJD]]-TABL123[[#This Row],[SER_IN]]</f>
        <v/>
      </c>
    </row>
    <row r="70" ht="18.75" customHeight="1">
      <c r="A70" s="2" t="n">
        <v>46091</v>
      </c>
      <c r="B70" s="44" t="n">
        <v>30</v>
      </c>
      <c r="C70" s="44" t="n">
        <v>251</v>
      </c>
      <c r="D70" s="44" t="n">
        <v>30</v>
      </c>
      <c r="E70" s="28" t="n"/>
      <c r="F70" s="44" t="n">
        <v>96</v>
      </c>
      <c r="G70" s="40" t="n">
        <v>602</v>
      </c>
      <c r="H70" s="28">
        <f>103-F70</f>
        <v/>
      </c>
      <c r="I70" s="40" t="n">
        <v>432</v>
      </c>
      <c r="J70" s="44" t="n">
        <v>420</v>
      </c>
      <c r="K70" s="28">
        <f>TABL123[[#This Row],[ (T/B) SAR]]+TABL123[[#This Row],[ (S/S) SAR]]</f>
        <v/>
      </c>
      <c r="L70" s="45" t="n">
        <v>250</v>
      </c>
      <c r="M70" s="46" t="n">
        <v>19.4</v>
      </c>
      <c r="N70" s="46" t="n">
        <v>7.21</v>
      </c>
      <c r="O70" s="40" t="n">
        <v>382</v>
      </c>
      <c r="P70" s="3">
        <f>TABL123[[#This Row],[ (S/S) SAR]]-TABL123[[#This Row],[(S/S) AJD]]</f>
        <v/>
      </c>
      <c r="Q70" s="40" t="n">
        <v>411</v>
      </c>
      <c r="R70" s="3">
        <f>TABL123[[#This Row],[ (T/B) SAR]]-TABL123[[#This Row],[(T/B) AJD]]</f>
        <v/>
      </c>
      <c r="S70" s="3">
        <f>TABL123[[#This Row],[T/B-CON.]]+TABL123[[#This Row],[S/S_CON.]]</f>
        <v/>
      </c>
      <c r="T70" s="3">
        <f>TABL123[[#This Row],[(S/S) AJD]]+TABL123[[#This Row],[(T/B) AJD]]</f>
        <v/>
      </c>
      <c r="U70" s="44" t="n">
        <v>532</v>
      </c>
      <c r="V70" s="44" t="n">
        <v>245</v>
      </c>
      <c r="W70" s="3">
        <f>TABL123[[#This Row],[(A/B) AJD]]+TABL123[[#This Row],[(A/S) AJD]]</f>
        <v/>
      </c>
      <c r="X70" s="3">
        <f>TABL123[[#This Row],[( S/S+T/B) AJD]]-TABL123[[#This Row],[(A/B + A/S) AJD]]</f>
        <v/>
      </c>
      <c r="Y70" s="44" t="n">
        <v>92.27</v>
      </c>
      <c r="Z70" s="45" t="n">
        <v>359834</v>
      </c>
      <c r="AA70" s="3">
        <f>TABL123[[#This Row],[(RESV. STORGE) AJD]]/10</f>
        <v/>
      </c>
      <c r="AB70" s="45">
        <f>IF(TRIM(Z70)="",,(Z70-Z69)/1000)</f>
        <v/>
      </c>
      <c r="AC70" s="45" t="n">
        <v>1654</v>
      </c>
      <c r="AD70" s="83">
        <f>TABL123[[#This Row],[( S/S+T/B) AJD]]-(TABL123[[#This Row],[(A/B + A/S) AJD]]+TABL123[[#This Row],[(STORGE DIFF.) AJD]]+(TABL123[[#This Row],[AJD_Evaporation]])/1000)</f>
        <v/>
      </c>
      <c r="AE70" s="68" t="n">
        <v>80</v>
      </c>
      <c r="AF70" s="68" t="n">
        <v>58.38</v>
      </c>
      <c r="AG70" s="68" t="n">
        <v>1215982</v>
      </c>
      <c r="AH70" s="45" t="n">
        <v>1589</v>
      </c>
      <c r="AI70" s="45" t="n">
        <v>1589</v>
      </c>
      <c r="AJ70" s="78">
        <f>TABL123[[#This Row],[(A/B) AJD]]-TABL123[[#This Row],[BER_IN]]</f>
        <v/>
      </c>
      <c r="AK70" s="68" t="n">
        <v>0</v>
      </c>
      <c r="AL70" s="87" t="n">
        <v>43.6816</v>
      </c>
      <c r="AM70" s="87" t="n">
        <v>3475830</v>
      </c>
      <c r="AN70" s="87">
        <f>TABL123[[#This Row],[ (RESV. STORGE) SER]]/10</f>
        <v/>
      </c>
      <c r="AO70" s="45" t="n">
        <v>1685</v>
      </c>
      <c r="AP70" s="32">
        <f>TABL123[[#This Row],[(A/S) AJD]]-TABL123[[#This Row],[SER_IN]]</f>
        <v/>
      </c>
    </row>
    <row r="71" ht="18.75" customHeight="1">
      <c r="A71" s="2" t="n">
        <v>46092</v>
      </c>
      <c r="B71" s="41" t="n">
        <v>30</v>
      </c>
      <c r="C71" s="41" t="n">
        <v>253</v>
      </c>
      <c r="D71" s="41" t="n">
        <v>30</v>
      </c>
      <c r="E71" s="28" t="n"/>
      <c r="F71" s="41" t="n">
        <v>96</v>
      </c>
      <c r="G71" s="39" t="n">
        <v>602</v>
      </c>
      <c r="H71" s="28">
        <f>103-F71</f>
        <v/>
      </c>
      <c r="I71" s="39" t="n">
        <v>432</v>
      </c>
      <c r="J71" s="39" t="n">
        <v>420</v>
      </c>
      <c r="K71" s="28">
        <f>TABL123[[#This Row],[ (T/B) SAR]]+TABL123[[#This Row],[ (S/S) SAR]]</f>
        <v/>
      </c>
      <c r="L71" s="41" t="n">
        <v>250</v>
      </c>
      <c r="M71" s="42" t="n">
        <v>19.4</v>
      </c>
      <c r="N71" s="42" t="n">
        <v>7.34</v>
      </c>
      <c r="O71" s="39" t="n">
        <v>379</v>
      </c>
      <c r="P71" s="3">
        <f>TABL123[[#This Row],[ (S/S) SAR]]-TABL123[[#This Row],[(S/S) AJD]]</f>
        <v/>
      </c>
      <c r="Q71" s="39" t="n">
        <v>408</v>
      </c>
      <c r="R71" s="3">
        <f>TABL123[[#This Row],[ (T/B) SAR]]-TABL123[[#This Row],[(T/B) AJD]]</f>
        <v/>
      </c>
      <c r="S71" s="3">
        <f>TABL123[[#This Row],[T/B-CON.]]+TABL123[[#This Row],[S/S_CON.]]</f>
        <v/>
      </c>
      <c r="T71" s="3">
        <f>TABL123[[#This Row],[(S/S) AJD]]+TABL123[[#This Row],[(T/B) AJD]]</f>
        <v/>
      </c>
      <c r="U71" s="41" t="n">
        <v>513</v>
      </c>
      <c r="V71" s="41" t="n">
        <v>245</v>
      </c>
      <c r="W71" s="3">
        <f>TABL123[[#This Row],[(A/B) AJD]]+TABL123[[#This Row],[(A/S) AJD]]</f>
        <v/>
      </c>
      <c r="X71" s="3">
        <f>TABL123[[#This Row],[( S/S+T/B) AJD]]-TABL123[[#This Row],[(A/B + A/S) AJD]]</f>
        <v/>
      </c>
      <c r="Y71" s="41" t="n">
        <v>92.28</v>
      </c>
      <c r="Z71" s="43" t="n">
        <v>365774</v>
      </c>
      <c r="AA71" s="3">
        <f>TABL123[[#This Row],[(RESV. STORGE) AJD]]/10</f>
        <v/>
      </c>
      <c r="AB71" s="45">
        <f>IF(TRIM(Z71)="",,(Z71-Z70)/1000)</f>
        <v/>
      </c>
      <c r="AC71" s="43" t="n">
        <v>1804</v>
      </c>
      <c r="AD71" s="83">
        <f>TABL123[[#This Row],[( S/S+T/B) AJD]]-(TABL123[[#This Row],[(A/B + A/S) AJD]]+TABL123[[#This Row],[(STORGE DIFF.) AJD]]+(TABL123[[#This Row],[AJD_Evaporation]])/1000)</f>
        <v/>
      </c>
      <c r="AE71" s="68" t="n">
        <v>80</v>
      </c>
      <c r="AF71" s="68" t="n">
        <v>58.4</v>
      </c>
      <c r="AG71" s="68" t="n">
        <v>1229081</v>
      </c>
      <c r="AH71" s="68" t="n">
        <v>1399</v>
      </c>
      <c r="AI71" s="68" t="n">
        <v>1399</v>
      </c>
      <c r="AJ71" s="78">
        <f>TABL123[[#This Row],[(A/B) AJD]]-TABL123[[#This Row],[BER_IN]]</f>
        <v/>
      </c>
      <c r="AK71" s="68" t="n">
        <v>0</v>
      </c>
      <c r="AL71" s="87" t="n">
        <v>43.6454</v>
      </c>
      <c r="AM71" s="87" t="n">
        <v>3459380</v>
      </c>
      <c r="AN71" s="87">
        <f>TABL123[[#This Row],[ (RESV. STORGE) SER]]/10</f>
        <v/>
      </c>
      <c r="AO71" s="43" t="n">
        <v>1675</v>
      </c>
      <c r="AP71" s="32">
        <f>TABL123[[#This Row],[(A/S) AJD]]-TABL123[[#This Row],[SER_IN]]</f>
        <v/>
      </c>
    </row>
    <row r="72" ht="18.75" customHeight="1">
      <c r="A72" s="2" t="n">
        <v>46093</v>
      </c>
      <c r="B72" s="44" t="n">
        <v>30</v>
      </c>
      <c r="C72" s="44" t="n">
        <v>242</v>
      </c>
      <c r="D72" s="44" t="n">
        <v>30</v>
      </c>
      <c r="E72" s="28" t="n"/>
      <c r="F72" s="44" t="n">
        <v>96</v>
      </c>
      <c r="G72" s="40" t="n">
        <v>603</v>
      </c>
      <c r="H72" s="28">
        <f>103-F72</f>
        <v/>
      </c>
      <c r="I72" s="40" t="n">
        <v>438</v>
      </c>
      <c r="J72" s="44" t="n">
        <v>420</v>
      </c>
      <c r="K72" s="28">
        <f>TABL123[[#This Row],[ (T/B) SAR]]+TABL123[[#This Row],[ (S/S) SAR]]</f>
        <v/>
      </c>
      <c r="L72" s="45" t="n">
        <v>255</v>
      </c>
      <c r="M72" s="46" t="n">
        <v>19.4</v>
      </c>
      <c r="N72" s="46" t="n">
        <v>7.39</v>
      </c>
      <c r="O72" s="40" t="n">
        <v>380</v>
      </c>
      <c r="P72" s="3">
        <f>TABL123[[#This Row],[ (S/S) SAR]]-TABL123[[#This Row],[(S/S) AJD]]</f>
        <v/>
      </c>
      <c r="Q72" s="40" t="n">
        <v>407</v>
      </c>
      <c r="R72" s="3">
        <f>TABL123[[#This Row],[ (T/B) SAR]]-TABL123[[#This Row],[(T/B) AJD]]</f>
        <v/>
      </c>
      <c r="S72" s="3">
        <f>TABL123[[#This Row],[T/B-CON.]]+TABL123[[#This Row],[S/S_CON.]]</f>
        <v/>
      </c>
      <c r="T72" s="3">
        <f>TABL123[[#This Row],[(S/S) AJD]]+TABL123[[#This Row],[(T/B) AJD]]</f>
        <v/>
      </c>
      <c r="U72" s="44" t="n">
        <v>546</v>
      </c>
      <c r="V72" s="44" t="n">
        <v>281</v>
      </c>
      <c r="W72" s="3">
        <f>TABL123[[#This Row],[(A/B) AJD]]+TABL123[[#This Row],[(A/S) AJD]]</f>
        <v/>
      </c>
      <c r="X72" s="3">
        <f>TABL123[[#This Row],[( S/S+T/B) AJD]]-TABL123[[#This Row],[(A/B + A/S) AJD]]</f>
        <v/>
      </c>
      <c r="Y72" s="44" t="n">
        <v>92.16500000000001</v>
      </c>
      <c r="Z72" s="45" t="n">
        <v>297535</v>
      </c>
      <c r="AA72" s="3">
        <f>TABL123[[#This Row],[(RESV. STORGE) AJD]]/10</f>
        <v/>
      </c>
      <c r="AB72" s="45">
        <f>IF(TRIM(Z72)="",,(Z72-Z71)/1000)</f>
        <v/>
      </c>
      <c r="AC72" s="45" t="n">
        <v>1859</v>
      </c>
      <c r="AD72" s="83">
        <f>TABL123[[#This Row],[( S/S+T/B) AJD]]-(TABL123[[#This Row],[(A/B + A/S) AJD]]+TABL123[[#This Row],[(STORGE DIFF.) AJD]]+(TABL123[[#This Row],[AJD_Evaporation]])/1000)</f>
        <v/>
      </c>
      <c r="AE72" s="68" t="n">
        <v>80</v>
      </c>
      <c r="AF72" s="68" t="n">
        <v>58.4</v>
      </c>
      <c r="AG72" s="68" t="n">
        <v>1229081</v>
      </c>
      <c r="AH72" s="45" t="n">
        <v>1498</v>
      </c>
      <c r="AI72" s="45" t="n">
        <v>1498</v>
      </c>
      <c r="AJ72" s="78">
        <f>TABL123[[#This Row],[(A/B) AJD]]-TABL123[[#This Row],[BER_IN]]</f>
        <v/>
      </c>
      <c r="AK72" s="68" t="n">
        <v>0</v>
      </c>
      <c r="AL72" s="87" t="n">
        <v>43.6085</v>
      </c>
      <c r="AM72" s="87" t="n">
        <v>3438700</v>
      </c>
      <c r="AN72" s="87">
        <f>TABL123[[#This Row],[ (RESV. STORGE) SER]]/10</f>
        <v/>
      </c>
      <c r="AO72" s="45" t="n">
        <v>1670</v>
      </c>
      <c r="AP72" s="32">
        <f>TABL123[[#This Row],[(A/S) AJD]]-TABL123[[#This Row],[SER_IN]]</f>
        <v/>
      </c>
    </row>
    <row r="73" ht="18.75" customHeight="1">
      <c r="A73" s="2" t="n">
        <v>46094</v>
      </c>
      <c r="B73" s="41" t="n">
        <v>30</v>
      </c>
      <c r="C73" s="41" t="n">
        <v>246</v>
      </c>
      <c r="D73" s="41" t="n">
        <v>30</v>
      </c>
      <c r="E73" s="28" t="n"/>
      <c r="F73" s="41" t="n">
        <v>96</v>
      </c>
      <c r="G73" s="39" t="n">
        <v>603</v>
      </c>
      <c r="H73" s="28">
        <f>103-F73</f>
        <v/>
      </c>
      <c r="I73" s="39" t="n">
        <v>438</v>
      </c>
      <c r="J73" s="39" t="n">
        <v>420</v>
      </c>
      <c r="K73" s="28">
        <f>TABL123[[#This Row],[ (T/B) SAR]]+TABL123[[#This Row],[ (S/S) SAR]]</f>
        <v/>
      </c>
      <c r="L73" s="41" t="n">
        <v>255</v>
      </c>
      <c r="M73" s="42" t="n">
        <v>19.4</v>
      </c>
      <c r="N73" s="42" t="n">
        <v>7.46</v>
      </c>
      <c r="O73" s="39" t="n">
        <v>382</v>
      </c>
      <c r="P73" s="3">
        <f>TABL123[[#This Row],[ (S/S) SAR]]-TABL123[[#This Row],[(S/S) AJD]]</f>
        <v/>
      </c>
      <c r="Q73" s="39" t="n">
        <v>409</v>
      </c>
      <c r="R73" s="3">
        <f>TABL123[[#This Row],[ (T/B) SAR]]-TABL123[[#This Row],[(T/B) AJD]]</f>
        <v/>
      </c>
      <c r="S73" s="3">
        <f>TABL123[[#This Row],[T/B-CON.]]+TABL123[[#This Row],[S/S_CON.]]</f>
        <v/>
      </c>
      <c r="T73" s="3">
        <f>TABL123[[#This Row],[(S/S) AJD]]+TABL123[[#This Row],[(T/B) AJD]]</f>
        <v/>
      </c>
      <c r="U73" s="41" t="n">
        <v>557</v>
      </c>
      <c r="V73" s="41" t="n">
        <v>254</v>
      </c>
      <c r="W73" s="3">
        <f>TABL123[[#This Row],[(A/B) AJD]]+TABL123[[#This Row],[(A/S) AJD]]</f>
        <v/>
      </c>
      <c r="X73" s="3">
        <f>TABL123[[#This Row],[( S/S+T/B) AJD]]-TABL123[[#This Row],[(A/B + A/S) AJD]]</f>
        <v/>
      </c>
      <c r="Y73" s="41" t="n">
        <v>92.08799999999999</v>
      </c>
      <c r="Z73" s="43" t="n">
        <v>251902</v>
      </c>
      <c r="AA73" s="3">
        <f>TABL123[[#This Row],[(RESV. STORGE) AJD]]/10</f>
        <v/>
      </c>
      <c r="AB73" s="45">
        <f>IF(TRIM(Z73)="",,(Z73-Z72)/1000)</f>
        <v/>
      </c>
      <c r="AC73" s="43" t="n">
        <v>2071</v>
      </c>
      <c r="AD73" s="83">
        <f>TABL123[[#This Row],[( S/S+T/B) AJD]]-(TABL123[[#This Row],[(A/B + A/S) AJD]]+TABL123[[#This Row],[(STORGE DIFF.) AJD]]+(TABL123[[#This Row],[AJD_Evaporation]])/1000)</f>
        <v/>
      </c>
      <c r="AE73" s="68" t="n">
        <v>80</v>
      </c>
      <c r="AF73" s="68" t="n">
        <v>58.41</v>
      </c>
      <c r="AG73" s="68" t="n">
        <v>1235632</v>
      </c>
      <c r="AH73" s="43" t="n">
        <v>1498</v>
      </c>
      <c r="AI73" s="43" t="n">
        <v>1498</v>
      </c>
      <c r="AJ73" s="78">
        <f>TABL123[[#This Row],[(A/B) AJD]]-TABL123[[#This Row],[BER_IN]]</f>
        <v/>
      </c>
      <c r="AK73" s="68" t="n">
        <v>0</v>
      </c>
      <c r="AL73" s="87" t="n">
        <v>43.5679</v>
      </c>
      <c r="AM73" s="87" t="n">
        <v>3416735</v>
      </c>
      <c r="AN73" s="87">
        <f>TABL123[[#This Row],[ (RESV. STORGE) SER]]/10</f>
        <v/>
      </c>
      <c r="AO73" s="43" t="n">
        <v>1730</v>
      </c>
      <c r="AP73" s="32">
        <f>TABL123[[#This Row],[(A/S) AJD]]-TABL123[[#This Row],[SER_IN]]</f>
        <v/>
      </c>
    </row>
    <row r="74" ht="18.75" customHeight="1">
      <c r="A74" s="2" t="n">
        <v>46095</v>
      </c>
      <c r="B74" s="44" t="n">
        <v>30</v>
      </c>
      <c r="C74" s="44" t="n">
        <v>245</v>
      </c>
      <c r="D74" s="44" t="n">
        <v>30</v>
      </c>
      <c r="E74" s="28" t="n"/>
      <c r="F74" s="44" t="n">
        <v>96</v>
      </c>
      <c r="G74" s="40" t="n">
        <v>603</v>
      </c>
      <c r="H74" s="28">
        <f>103-F74</f>
        <v/>
      </c>
      <c r="I74" s="40" t="n">
        <v>438</v>
      </c>
      <c r="J74" s="44" t="n">
        <v>420</v>
      </c>
      <c r="K74" s="28">
        <f>TABL123[[#This Row],[ (T/B) SAR]]+TABL123[[#This Row],[ (S/S) SAR]]</f>
        <v/>
      </c>
      <c r="L74" s="45" t="n">
        <v>255</v>
      </c>
      <c r="M74" s="46" t="n">
        <v>19.4</v>
      </c>
      <c r="N74" s="46" t="n">
        <v>7.53</v>
      </c>
      <c r="O74" s="40" t="n">
        <v>383</v>
      </c>
      <c r="P74" s="3">
        <f>TABL123[[#This Row],[ (S/S) SAR]]-TABL123[[#This Row],[(S/S) AJD]]</f>
        <v/>
      </c>
      <c r="Q74" s="40" t="n">
        <v>411</v>
      </c>
      <c r="R74" s="3">
        <f>TABL123[[#This Row],[ (T/B) SAR]]-TABL123[[#This Row],[(T/B) AJD]]</f>
        <v/>
      </c>
      <c r="S74" s="3">
        <f>TABL123[[#This Row],[T/B-CON.]]+TABL123[[#This Row],[S/S_CON.]]</f>
        <v/>
      </c>
      <c r="T74" s="3">
        <f>TABL123[[#This Row],[(S/S) AJD]]+TABL123[[#This Row],[(T/B) AJD]]</f>
        <v/>
      </c>
      <c r="U74" s="44" t="n">
        <v>542</v>
      </c>
      <c r="V74" s="44" t="n">
        <v>206</v>
      </c>
      <c r="W74" s="3">
        <f>TABL123[[#This Row],[(A/B) AJD]]+TABL123[[#This Row],[(A/S) AJD]]</f>
        <v/>
      </c>
      <c r="X74" s="3">
        <f>TABL123[[#This Row],[( S/S+T/B) AJD]]-TABL123[[#This Row],[(A/B + A/S) AJD]]</f>
        <v/>
      </c>
      <c r="Y74" s="44" t="n">
        <v>92.15000000000001</v>
      </c>
      <c r="Z74" s="45" t="n">
        <v>288642</v>
      </c>
      <c r="AA74" s="3">
        <f>TABL123[[#This Row],[(RESV. STORGE) AJD]]/10</f>
        <v/>
      </c>
      <c r="AB74" s="45">
        <f>IF(TRIM(Z74)="",,(Z74-Z73)/1000)</f>
        <v/>
      </c>
      <c r="AC74" s="45" t="n">
        <v>2071</v>
      </c>
      <c r="AD74" s="83">
        <f>TABL123[[#This Row],[( S/S+T/B) AJD]]-(TABL123[[#This Row],[(A/B + A/S) AJD]]+TABL123[[#This Row],[(STORGE DIFF.) AJD]]+(TABL123[[#This Row],[AJD_Evaporation]])/1000)</f>
        <v/>
      </c>
      <c r="AE74" s="68" t="n">
        <v>80</v>
      </c>
      <c r="AF74" s="68" t="n">
        <v>58.4</v>
      </c>
      <c r="AG74" s="68" t="n">
        <v>1229081</v>
      </c>
      <c r="AH74" s="45" t="n">
        <v>1250</v>
      </c>
      <c r="AI74" s="45" t="n">
        <v>1250</v>
      </c>
      <c r="AJ74" s="78">
        <f>TABL123[[#This Row],[(A/B) AJD]]-TABL123[[#This Row],[BER_IN]]</f>
        <v/>
      </c>
      <c r="AK74" s="68" t="n">
        <v>0</v>
      </c>
      <c r="AL74" s="87" t="n">
        <v>43.5553</v>
      </c>
      <c r="AM74" s="87" t="n">
        <v>3409770</v>
      </c>
      <c r="AN74" s="87">
        <f>TABL123[[#This Row],[ (RESV. STORGE) SER]]/10</f>
        <v/>
      </c>
      <c r="AO74" s="45" t="n">
        <v>1745</v>
      </c>
      <c r="AP74" s="32">
        <f>TABL123[[#This Row],[(A/S) AJD]]-TABL123[[#This Row],[SER_IN]]</f>
        <v/>
      </c>
    </row>
    <row r="75" ht="18.75" customHeight="1">
      <c r="A75" s="2" t="n">
        <v>46096</v>
      </c>
      <c r="B75" s="41" t="n">
        <v>30</v>
      </c>
      <c r="C75" s="41" t="n">
        <v>249</v>
      </c>
      <c r="D75" s="41" t="n">
        <v>30</v>
      </c>
      <c r="E75" s="28" t="n"/>
      <c r="F75" s="41" t="n">
        <v>96</v>
      </c>
      <c r="G75" s="39" t="n">
        <v>603</v>
      </c>
      <c r="H75" s="28">
        <f>103-F75</f>
        <v/>
      </c>
      <c r="I75" s="39" t="n">
        <v>438</v>
      </c>
      <c r="J75" s="39" t="n">
        <v>420</v>
      </c>
      <c r="K75" s="28">
        <f>TABL123[[#This Row],[ (T/B) SAR]]+TABL123[[#This Row],[ (S/S) SAR]]</f>
        <v/>
      </c>
      <c r="L75" s="41" t="n">
        <v>255</v>
      </c>
      <c r="M75" s="42" t="n">
        <v>19.4</v>
      </c>
      <c r="N75" s="42" t="n">
        <v>7.59</v>
      </c>
      <c r="O75" s="39" t="n">
        <v>383</v>
      </c>
      <c r="P75" s="3">
        <f>TABL123[[#This Row],[ (S/S) SAR]]-TABL123[[#This Row],[(S/S) AJD]]</f>
        <v/>
      </c>
      <c r="Q75" s="39" t="n">
        <v>411</v>
      </c>
      <c r="R75" s="3">
        <f>TABL123[[#This Row],[ (T/B) SAR]]-TABL123[[#This Row],[(T/B) AJD]]</f>
        <v/>
      </c>
      <c r="S75" s="3">
        <f>TABL123[[#This Row],[T/B-CON.]]+TABL123[[#This Row],[S/S_CON.]]</f>
        <v/>
      </c>
      <c r="T75" s="3">
        <f>TABL123[[#This Row],[(S/S) AJD]]+TABL123[[#This Row],[(T/B) AJD]]</f>
        <v/>
      </c>
      <c r="U75" s="41" t="n">
        <v>559</v>
      </c>
      <c r="V75" s="41" t="n">
        <v>190</v>
      </c>
      <c r="W75" s="3">
        <f>TABL123[[#This Row],[(A/B) AJD]]+TABL123[[#This Row],[(A/S) AJD]]</f>
        <v/>
      </c>
      <c r="X75" s="3">
        <f>TABL123[[#This Row],[( S/S+T/B) AJD]]-TABL123[[#This Row],[(A/B + A/S) AJD]]</f>
        <v/>
      </c>
      <c r="Y75" s="41" t="n">
        <v>92.19499999999999</v>
      </c>
      <c r="Z75" s="43" t="n">
        <v>315325</v>
      </c>
      <c r="AA75" s="3">
        <f>TABL123[[#This Row],[(RESV. STORGE) AJD]]/10</f>
        <v/>
      </c>
      <c r="AB75" s="45">
        <f>IF(TRIM(Z75)="",,(Z75-Z74)/1000)</f>
        <v/>
      </c>
      <c r="AC75" s="43" t="n">
        <v>0</v>
      </c>
      <c r="AD75" s="83">
        <f>TABL123[[#This Row],[( S/S+T/B) AJD]]-(TABL123[[#This Row],[(A/B + A/S) AJD]]+TABL123[[#This Row],[(STORGE DIFF.) AJD]]+(TABL123[[#This Row],[AJD_Evaporation]])/1000)</f>
        <v/>
      </c>
      <c r="AE75" s="68" t="n">
        <v>80</v>
      </c>
      <c r="AF75" s="68" t="n">
        <v>58.43</v>
      </c>
      <c r="AG75" s="68" t="n">
        <v>1248736</v>
      </c>
      <c r="AH75" s="43" t="n">
        <v>1367</v>
      </c>
      <c r="AI75" s="43" t="n">
        <v>1367</v>
      </c>
      <c r="AJ75" s="78">
        <f>TABL123[[#This Row],[(A/B) AJD]]-TABL123[[#This Row],[BER_IN]]</f>
        <v/>
      </c>
      <c r="AK75" s="68" t="n">
        <v>0</v>
      </c>
      <c r="AL75" s="87" t="n">
        <v>43.538</v>
      </c>
      <c r="AM75" s="87" t="n">
        <v>3400140</v>
      </c>
      <c r="AN75" s="87">
        <f>TABL123[[#This Row],[ (RESV. STORGE) SER]]/10</f>
        <v/>
      </c>
      <c r="AO75" s="43" t="n">
        <v>1770</v>
      </c>
      <c r="AP75" s="32">
        <f>TABL123[[#This Row],[(A/S) AJD]]-TABL123[[#This Row],[SER_IN]]</f>
        <v/>
      </c>
    </row>
    <row r="76" ht="18.75" customHeight="1">
      <c r="A76" s="2" t="n">
        <v>46097</v>
      </c>
      <c r="B76" s="44" t="n">
        <v>30</v>
      </c>
      <c r="C76" s="44" t="n">
        <v>249</v>
      </c>
      <c r="D76" s="44" t="n">
        <v>30</v>
      </c>
      <c r="E76" s="28" t="n"/>
      <c r="F76" s="44" t="n">
        <v>96</v>
      </c>
      <c r="G76" s="40" t="n">
        <v>600</v>
      </c>
      <c r="H76" s="28">
        <f>103-F76</f>
        <v/>
      </c>
      <c r="I76" s="40" t="n">
        <v>440</v>
      </c>
      <c r="J76" s="44" t="n">
        <v>422</v>
      </c>
      <c r="K76" s="28">
        <f>TABL123[[#This Row],[ (T/B) SAR]]+TABL123[[#This Row],[ (S/S) SAR]]</f>
        <v/>
      </c>
      <c r="L76" s="45" t="n">
        <v>262</v>
      </c>
      <c r="M76" s="46" t="n">
        <v>19.4</v>
      </c>
      <c r="N76" s="46" t="n">
        <v>7.66</v>
      </c>
      <c r="O76" s="40" t="n">
        <v>383</v>
      </c>
      <c r="P76" s="3">
        <f>TABL123[[#This Row],[ (S/S) SAR]]-TABL123[[#This Row],[(S/S) AJD]]</f>
        <v/>
      </c>
      <c r="Q76" s="40" t="n">
        <v>411</v>
      </c>
      <c r="R76" s="3">
        <f>TABL123[[#This Row],[ (T/B) SAR]]-TABL123[[#This Row],[(T/B) AJD]]</f>
        <v/>
      </c>
      <c r="S76" s="3">
        <f>TABL123[[#This Row],[T/B-CON.]]+TABL123[[#This Row],[S/S_CON.]]</f>
        <v/>
      </c>
      <c r="T76" s="3">
        <f>TABL123[[#This Row],[(S/S) AJD]]+TABL123[[#This Row],[(T/B) AJD]]</f>
        <v/>
      </c>
      <c r="U76" s="44" t="n">
        <v>551</v>
      </c>
      <c r="V76" s="44" t="n">
        <v>166</v>
      </c>
      <c r="W76" s="3">
        <f>TABL123[[#This Row],[(A/B) AJD]]+TABL123[[#This Row],[(A/S) AJD]]</f>
        <v/>
      </c>
      <c r="X76" s="3">
        <f>TABL123[[#This Row],[( S/S+T/B) AJD]]-TABL123[[#This Row],[(A/B + A/S) AJD]]</f>
        <v/>
      </c>
      <c r="Y76" s="44" t="n">
        <v>92.268</v>
      </c>
      <c r="Z76" s="45" t="n">
        <v>359839</v>
      </c>
      <c r="AA76" s="3">
        <f>TABL123[[#This Row],[(RESV. STORGE) AJD]]/10</f>
        <v/>
      </c>
      <c r="AB76" s="45">
        <f>IF(TRIM(Z76)="",,(Z76-Z75)/1000)</f>
        <v/>
      </c>
      <c r="AC76" s="45" t="n">
        <v>1077</v>
      </c>
      <c r="AD76" s="83">
        <f>TABL123[[#This Row],[( S/S+T/B) AJD]]-(TABL123[[#This Row],[(A/B + A/S) AJD]]+TABL123[[#This Row],[(STORGE DIFF.) AJD]]+(TABL123[[#This Row],[AJD_Evaporation]])/1000)</f>
        <v/>
      </c>
      <c r="AE76" s="68" t="n">
        <v>79</v>
      </c>
      <c r="AF76" s="68" t="n">
        <v>58.43</v>
      </c>
      <c r="AG76" s="68" t="n">
        <v>1248736</v>
      </c>
      <c r="AH76" s="45" t="n">
        <v>1830</v>
      </c>
      <c r="AI76" s="45" t="n">
        <v>1830</v>
      </c>
      <c r="AJ76" s="78">
        <f>TABL123[[#This Row],[(A/B) AJD]]-TABL123[[#This Row],[BER_IN]]</f>
        <v/>
      </c>
      <c r="AK76" s="68" t="n">
        <v>0</v>
      </c>
      <c r="AL76" s="87" t="n">
        <v>43.463</v>
      </c>
      <c r="AM76" s="87" t="n">
        <v>3359610</v>
      </c>
      <c r="AN76" s="87">
        <f>TABL123[[#This Row],[ (RESV. STORGE) SER]]/10</f>
        <v/>
      </c>
      <c r="AO76" s="45" t="n">
        <v>1830</v>
      </c>
      <c r="AP76" s="32">
        <f>TABL123[[#This Row],[(A/S) AJD]]-TABL123[[#This Row],[SER_IN]]</f>
        <v/>
      </c>
    </row>
    <row r="77" ht="18.75" customHeight="1">
      <c r="A77" s="2" t="n">
        <v>46098</v>
      </c>
      <c r="B77" s="41" t="n">
        <v>30</v>
      </c>
      <c r="C77" s="41" t="n">
        <v>248</v>
      </c>
      <c r="D77" s="41" t="n">
        <v>30</v>
      </c>
      <c r="E77" s="28" t="n"/>
      <c r="F77" s="41" t="n">
        <v>96</v>
      </c>
      <c r="G77" s="39" t="n">
        <v>600</v>
      </c>
      <c r="H77" s="28">
        <f>103-F77</f>
        <v/>
      </c>
      <c r="I77" s="39" t="n">
        <v>440</v>
      </c>
      <c r="J77" s="39" t="n">
        <v>422</v>
      </c>
      <c r="K77" s="28">
        <f>TABL123[[#This Row],[ (T/B) SAR]]+TABL123[[#This Row],[ (S/S) SAR]]</f>
        <v/>
      </c>
      <c r="L77" s="41" t="n">
        <v>262</v>
      </c>
      <c r="M77" s="42" t="n">
        <v>19.4</v>
      </c>
      <c r="N77" s="42" t="n">
        <v>7.73</v>
      </c>
      <c r="O77" s="39" t="n">
        <v>383</v>
      </c>
      <c r="P77" s="3">
        <f>TABL123[[#This Row],[ (S/S) SAR]]-TABL123[[#This Row],[(S/S) AJD]]</f>
        <v/>
      </c>
      <c r="Q77" s="39" t="n">
        <v>411</v>
      </c>
      <c r="R77" s="3">
        <f>TABL123[[#This Row],[ (T/B) SAR]]-TABL123[[#This Row],[(T/B) AJD]]</f>
        <v/>
      </c>
      <c r="S77" s="3">
        <f>TABL123[[#This Row],[T/B-CON.]]+TABL123[[#This Row],[S/S_CON.]]</f>
        <v/>
      </c>
      <c r="T77" s="3">
        <f>TABL123[[#This Row],[(S/S) AJD]]+TABL123[[#This Row],[(T/B) AJD]]</f>
        <v/>
      </c>
      <c r="U77" s="41" t="n">
        <v>548</v>
      </c>
      <c r="V77" s="41" t="n">
        <v>191</v>
      </c>
      <c r="W77" s="3">
        <f>TABL123[[#This Row],[(A/B) AJD]]+TABL123[[#This Row],[(A/S) AJD]]</f>
        <v/>
      </c>
      <c r="X77" s="3">
        <f>TABL123[[#This Row],[( S/S+T/B) AJD]]-TABL123[[#This Row],[(A/B + A/S) AJD]]</f>
        <v/>
      </c>
      <c r="Y77" s="41" t="n">
        <v>92.312</v>
      </c>
      <c r="Z77" s="43" t="n">
        <v>384781</v>
      </c>
      <c r="AA77" s="3">
        <f>TABL123[[#This Row],[(RESV. STORGE) AJD]]/10</f>
        <v/>
      </c>
      <c r="AB77" s="45">
        <f>IF(TRIM(Z77)="",,(Z77-Z76)/1000)</f>
        <v/>
      </c>
      <c r="AC77" s="43" t="n">
        <v>0</v>
      </c>
      <c r="AD77" s="83">
        <f>TABL123[[#This Row],[( S/S+T/B) AJD]]-(TABL123[[#This Row],[(A/B + A/S) AJD]]+TABL123[[#This Row],[(STORGE DIFF.) AJD]]+(TABL123[[#This Row],[AJD_Evaporation]])/1000)</f>
        <v/>
      </c>
      <c r="AE77" s="68" t="n">
        <v>80</v>
      </c>
      <c r="AF77" s="68" t="n">
        <v>58.34</v>
      </c>
      <c r="AG77" s="68" t="n">
        <v>1189795</v>
      </c>
      <c r="AH77" s="43" t="n">
        <v>1621</v>
      </c>
      <c r="AI77" s="43" t="n">
        <v>1621</v>
      </c>
      <c r="AJ77" s="78">
        <f>TABL123[[#This Row],[(A/B) AJD]]-TABL123[[#This Row],[BER_IN]]</f>
        <v/>
      </c>
      <c r="AK77" s="68" t="n">
        <v>0</v>
      </c>
      <c r="AL77" s="87" t="n">
        <v>43.394</v>
      </c>
      <c r="AM77" s="87" t="n">
        <v>3322050</v>
      </c>
      <c r="AN77" s="87">
        <f>TABL123[[#This Row],[ (RESV. STORGE) SER]]/10</f>
        <v/>
      </c>
      <c r="AO77" s="43" t="n">
        <v>1860</v>
      </c>
      <c r="AP77" s="32">
        <f>TABL123[[#This Row],[(A/S) AJD]]-TABL123[[#This Row],[SER_IN]]</f>
        <v/>
      </c>
    </row>
    <row r="78" ht="18.75" customHeight="1">
      <c r="A78" s="2" t="n">
        <v>46099</v>
      </c>
      <c r="B78" s="44" t="n">
        <v>30</v>
      </c>
      <c r="C78" s="44" t="n">
        <v>243</v>
      </c>
      <c r="D78" s="44" t="n">
        <v>30</v>
      </c>
      <c r="E78" s="28" t="n"/>
      <c r="F78" s="44" t="n">
        <v>96</v>
      </c>
      <c r="G78" s="40" t="n">
        <v>603</v>
      </c>
      <c r="H78" s="28">
        <f>103-F78</f>
        <v/>
      </c>
      <c r="I78" s="40" t="n">
        <v>445</v>
      </c>
      <c r="J78" s="44" t="n">
        <v>430</v>
      </c>
      <c r="K78" s="28">
        <f>TABL123[[#This Row],[ (T/B) SAR]]+TABL123[[#This Row],[ (S/S) SAR]]</f>
        <v/>
      </c>
      <c r="L78" s="45" t="n">
        <v>272</v>
      </c>
      <c r="M78" s="46" t="n">
        <v>19.7</v>
      </c>
      <c r="N78" s="46" t="n">
        <v>7.66</v>
      </c>
      <c r="O78" s="40" t="n">
        <v>386</v>
      </c>
      <c r="P78" s="3">
        <f>TABL123[[#This Row],[ (S/S) SAR]]-TABL123[[#This Row],[(S/S) AJD]]</f>
        <v/>
      </c>
      <c r="Q78" s="40" t="n">
        <v>413</v>
      </c>
      <c r="R78" s="3">
        <f>TABL123[[#This Row],[ (T/B) SAR]]-TABL123[[#This Row],[(T/B) AJD]]</f>
        <v/>
      </c>
      <c r="S78" s="3">
        <f>TABL123[[#This Row],[T/B-CON.]]+TABL123[[#This Row],[S/S_CON.]]</f>
        <v/>
      </c>
      <c r="T78" s="3">
        <f>TABL123[[#This Row],[(S/S) AJD]]+TABL123[[#This Row],[(T/B) AJD]]</f>
        <v/>
      </c>
      <c r="U78" s="44" t="n">
        <v>546</v>
      </c>
      <c r="V78" s="44" t="n">
        <v>215</v>
      </c>
      <c r="W78" s="3">
        <f>TABL123[[#This Row],[(A/B) AJD]]+TABL123[[#This Row],[(A/S) AJD]]</f>
        <v/>
      </c>
      <c r="X78" s="3">
        <f>TABL123[[#This Row],[( S/S+T/B) AJD]]-TABL123[[#This Row],[(A/B + A/S) AJD]]</f>
        <v/>
      </c>
      <c r="Y78" s="44" t="n">
        <v>92.342</v>
      </c>
      <c r="Z78" s="45" t="n">
        <v>402617</v>
      </c>
      <c r="AA78" s="3">
        <f>TABL123[[#This Row],[(RESV. STORGE) AJD]]/10</f>
        <v/>
      </c>
      <c r="AB78" s="45">
        <f>IF(TRIM(Z78)="",,(Z78-Z77)/1000)</f>
        <v/>
      </c>
      <c r="AC78" s="45" t="n">
        <v>0</v>
      </c>
      <c r="AD78" s="83">
        <f>TABL123[[#This Row],[( S/S+T/B) AJD]]-(TABL123[[#This Row],[(A/B + A/S) AJD]]+TABL123[[#This Row],[(STORGE DIFF.) AJD]]+(TABL123[[#This Row],[AJD_Evaporation]])/1000)</f>
        <v/>
      </c>
      <c r="AE78" s="68" t="n">
        <v>80</v>
      </c>
      <c r="AF78" s="68" t="n">
        <v>58.34</v>
      </c>
      <c r="AG78" s="68" t="n">
        <v>1189795</v>
      </c>
      <c r="AH78" s="45" t="n">
        <v>1308</v>
      </c>
      <c r="AI78" s="45" t="n">
        <v>1308</v>
      </c>
      <c r="AJ78" s="78">
        <f>TABL123[[#This Row],[(A/B) AJD]]-TABL123[[#This Row],[BER_IN]]</f>
        <v/>
      </c>
      <c r="AK78" s="68" t="n">
        <v>0</v>
      </c>
      <c r="AL78" s="87" t="n">
        <v>43.3332</v>
      </c>
      <c r="AM78" s="87" t="n">
        <v>3288850</v>
      </c>
      <c r="AN78" s="87">
        <f>TABL123[[#This Row],[ (RESV. STORGE) SER]]/10</f>
        <v/>
      </c>
      <c r="AO78" s="45" t="n">
        <v>1800</v>
      </c>
      <c r="AP78" s="32">
        <f>TABL123[[#This Row],[(A/S) AJD]]-TABL123[[#This Row],[SER_IN]]</f>
        <v/>
      </c>
    </row>
    <row r="79" ht="18.75" customHeight="1">
      <c r="A79" s="2" t="n">
        <v>46100</v>
      </c>
      <c r="B79" s="41" t="n">
        <v>30</v>
      </c>
      <c r="C79" s="41" t="n">
        <v>248</v>
      </c>
      <c r="D79" s="41" t="n">
        <v>30</v>
      </c>
      <c r="E79" s="28" t="n"/>
      <c r="F79" s="41" t="n">
        <v>96</v>
      </c>
      <c r="G79" s="39" t="n">
        <v>603</v>
      </c>
      <c r="H79" s="28">
        <f>103-F79</f>
        <v/>
      </c>
      <c r="I79" s="39" t="n">
        <v>445</v>
      </c>
      <c r="J79" s="39" t="n">
        <v>430</v>
      </c>
      <c r="K79" s="28">
        <f>TABL123[[#This Row],[ (T/B) SAR]]+TABL123[[#This Row],[ (S/S) SAR]]</f>
        <v/>
      </c>
      <c r="L79" s="41" t="n">
        <v>272</v>
      </c>
      <c r="M79" s="42" t="n">
        <v>19.7</v>
      </c>
      <c r="N79" s="42" t="n">
        <v>7.64</v>
      </c>
      <c r="O79" s="39" t="n">
        <v>389</v>
      </c>
      <c r="P79" s="3">
        <f>TABL123[[#This Row],[ (S/S) SAR]]-TABL123[[#This Row],[(S/S) AJD]]</f>
        <v/>
      </c>
      <c r="Q79" s="39" t="n">
        <v>418</v>
      </c>
      <c r="R79" s="3">
        <f>TABL123[[#This Row],[ (T/B) SAR]]-TABL123[[#This Row],[(T/B) AJD]]</f>
        <v/>
      </c>
      <c r="S79" s="3">
        <f>TABL123[[#This Row],[T/B-CON.]]+TABL123[[#This Row],[S/S_CON.]]</f>
        <v/>
      </c>
      <c r="T79" s="3">
        <f>TABL123[[#This Row],[(S/S) AJD]]+TABL123[[#This Row],[(T/B) AJD]]</f>
        <v/>
      </c>
      <c r="U79" s="41" t="n">
        <v>571</v>
      </c>
      <c r="V79" s="41" t="n">
        <v>202</v>
      </c>
      <c r="W79" s="3">
        <f>TABL123[[#This Row],[(A/B) AJD]]+TABL123[[#This Row],[(A/S) AJD]]</f>
        <v/>
      </c>
      <c r="X79" s="3">
        <f>TABL123[[#This Row],[( S/S+T/B) AJD]]-TABL123[[#This Row],[(A/B + A/S) AJD]]</f>
        <v/>
      </c>
      <c r="Y79" s="41" t="n">
        <v>92.432</v>
      </c>
      <c r="Z79" s="43" t="n">
        <v>456137</v>
      </c>
      <c r="AA79" s="3">
        <f>TABL123[[#This Row],[(RESV. STORGE) AJD]]/10</f>
        <v/>
      </c>
      <c r="AB79" s="45">
        <f>IF(TRIM(Z79)="",,(Z79-Z78)/1000)</f>
        <v/>
      </c>
      <c r="AC79" s="43" t="n">
        <v>0</v>
      </c>
      <c r="AD79" s="83">
        <f>TABL123[[#This Row],[( S/S+T/B) AJD]]-(TABL123[[#This Row],[(A/B + A/S) AJD]]+TABL123[[#This Row],[(STORGE DIFF.) AJD]]+(TABL123[[#This Row],[AJD_Evaporation]])/1000)</f>
        <v/>
      </c>
      <c r="AE79" s="68" t="n">
        <v>79</v>
      </c>
      <c r="AF79" s="68" t="n">
        <v>58.36</v>
      </c>
      <c r="AG79" s="68" t="n">
        <v>1202887</v>
      </c>
      <c r="AH79" s="43" t="n">
        <v>1838</v>
      </c>
      <c r="AI79" s="43" t="n">
        <v>1838</v>
      </c>
      <c r="AJ79" s="78">
        <f>TABL123[[#This Row],[(A/B) AJD]]-TABL123[[#This Row],[BER_IN]]</f>
        <v/>
      </c>
      <c r="AK79" s="68" t="n">
        <v>0</v>
      </c>
      <c r="AL79" s="87" t="n">
        <v>43.305</v>
      </c>
      <c r="AM79" s="87" t="n">
        <v>3273470</v>
      </c>
      <c r="AN79" s="87">
        <f>TABL123[[#This Row],[ (RESV. STORGE) SER]]/10</f>
        <v/>
      </c>
      <c r="AO79" s="43" t="n">
        <v>1880</v>
      </c>
      <c r="AP79" s="32">
        <f>TABL123[[#This Row],[(A/S) AJD]]-TABL123[[#This Row],[SER_IN]]</f>
        <v/>
      </c>
    </row>
    <row r="80" ht="18.75" customHeight="1">
      <c r="A80" s="2" t="n">
        <v>46101</v>
      </c>
      <c r="B80" s="44" t="n">
        <v>30</v>
      </c>
      <c r="C80" s="44" t="n">
        <v>245</v>
      </c>
      <c r="D80" s="44" t="n">
        <v>30</v>
      </c>
      <c r="E80" s="28" t="n"/>
      <c r="F80" s="44" t="n">
        <v>96</v>
      </c>
      <c r="G80" s="40" t="n">
        <v>603</v>
      </c>
      <c r="H80" s="28">
        <f>103-F80</f>
        <v/>
      </c>
      <c r="I80" s="40" t="n">
        <v>445</v>
      </c>
      <c r="J80" s="44" t="n">
        <v>430</v>
      </c>
      <c r="K80" s="28">
        <f>TABL123[[#This Row],[ (T/B) SAR]]+TABL123[[#This Row],[ (S/S) SAR]]</f>
        <v/>
      </c>
      <c r="L80" s="45" t="n">
        <v>272</v>
      </c>
      <c r="M80" s="46" t="n">
        <v>19.7</v>
      </c>
      <c r="N80" s="46" t="n">
        <v>7.62</v>
      </c>
      <c r="O80" s="40" t="n">
        <v>391</v>
      </c>
      <c r="P80" s="3">
        <f>TABL123[[#This Row],[ (S/S) SAR]]-TABL123[[#This Row],[(S/S) AJD]]</f>
        <v/>
      </c>
      <c r="Q80" s="40" t="n">
        <v>419</v>
      </c>
      <c r="R80" s="3">
        <f>TABL123[[#This Row],[ (T/B) SAR]]-TABL123[[#This Row],[(T/B) AJD]]</f>
        <v/>
      </c>
      <c r="S80" s="3">
        <f>TABL123[[#This Row],[T/B-CON.]]+TABL123[[#This Row],[S/S_CON.]]</f>
        <v/>
      </c>
      <c r="T80" s="3">
        <f>TABL123[[#This Row],[(S/S) AJD]]+TABL123[[#This Row],[(T/B) AJD]]</f>
        <v/>
      </c>
      <c r="U80" s="44" t="n">
        <v>552</v>
      </c>
      <c r="V80" s="44" t="n">
        <v>228</v>
      </c>
      <c r="W80" s="3">
        <f>TABL123[[#This Row],[(A/B) AJD]]+TABL123[[#This Row],[(A/S) AJD]]</f>
        <v/>
      </c>
      <c r="X80" s="3">
        <f>TABL123[[#This Row],[( S/S+T/B) AJD]]-TABL123[[#This Row],[(A/B + A/S) AJD]]</f>
        <v/>
      </c>
      <c r="Y80" s="44" t="n">
        <v>92.40000000000001</v>
      </c>
      <c r="Z80" s="45" t="n">
        <v>437099</v>
      </c>
      <c r="AA80" s="3">
        <f>TABL123[[#This Row],[(RESV. STORGE) AJD]]/10</f>
        <v/>
      </c>
      <c r="AB80" s="45">
        <f>IF(TRIM(Z80)="",,(Z80-Z79)/1000)</f>
        <v/>
      </c>
      <c r="AC80" s="45" t="n">
        <v>0</v>
      </c>
      <c r="AD80" s="83">
        <f>TABL123[[#This Row],[( S/S+T/B) AJD]]-(TABL123[[#This Row],[(A/B + A/S) AJD]]+TABL123[[#This Row],[(STORGE DIFF.) AJD]]+(TABL123[[#This Row],[AJD_Evaporation]])/1000)</f>
        <v/>
      </c>
      <c r="AE80" s="68" t="n">
        <v>78</v>
      </c>
      <c r="AF80" s="68" t="n">
        <v>58.4</v>
      </c>
      <c r="AG80" s="68" t="n">
        <v>1229081</v>
      </c>
      <c r="AH80" s="45" t="n">
        <v>2000</v>
      </c>
      <c r="AI80" s="45" t="n">
        <v>2000</v>
      </c>
      <c r="AJ80" s="78">
        <f>TABL123[[#This Row],[(A/B) AJD]]-TABL123[[#This Row],[BER_IN]]</f>
        <v/>
      </c>
      <c r="AK80" s="68" t="n">
        <v>14</v>
      </c>
      <c r="AL80" s="87" t="n">
        <v>43.2271</v>
      </c>
      <c r="AM80" s="87" t="n">
        <v>3231260</v>
      </c>
      <c r="AN80" s="87">
        <f>TABL123[[#This Row],[ (RESV. STORGE) SER]]/10</f>
        <v/>
      </c>
      <c r="AO80" s="45" t="n">
        <v>1810</v>
      </c>
      <c r="AP80" s="32">
        <f>TABL123[[#This Row],[(A/S) AJD]]-TABL123[[#This Row],[SER_IN]]</f>
        <v/>
      </c>
    </row>
    <row r="81" ht="18.75" customHeight="1">
      <c r="A81" s="2" t="n">
        <v>46102</v>
      </c>
      <c r="B81" s="41" t="n">
        <v>30</v>
      </c>
      <c r="C81" s="41" t="n">
        <v>239</v>
      </c>
      <c r="D81" s="41" t="n">
        <v>30</v>
      </c>
      <c r="E81" s="28" t="n"/>
      <c r="F81" s="41" t="n">
        <v>96</v>
      </c>
      <c r="G81" s="39" t="n">
        <v>603</v>
      </c>
      <c r="H81" s="28">
        <f>103-F81</f>
        <v/>
      </c>
      <c r="I81" s="39" t="n">
        <v>445</v>
      </c>
      <c r="J81" s="39" t="n">
        <v>430</v>
      </c>
      <c r="K81" s="28">
        <f>TABL123[[#This Row],[ (T/B) SAR]]+TABL123[[#This Row],[ (S/S) SAR]]</f>
        <v/>
      </c>
      <c r="L81" s="41" t="n">
        <v>272</v>
      </c>
      <c r="M81" s="42" t="n">
        <v>19.7</v>
      </c>
      <c r="N81" s="42" t="n">
        <v>7.58</v>
      </c>
      <c r="O81" s="39" t="n">
        <v>390</v>
      </c>
      <c r="P81" s="3">
        <f>TABL123[[#This Row],[ (S/S) SAR]]-TABL123[[#This Row],[(S/S) AJD]]</f>
        <v/>
      </c>
      <c r="Q81" s="39" t="n">
        <v>420</v>
      </c>
      <c r="R81" s="3">
        <f>TABL123[[#This Row],[ (T/B) SAR]]-TABL123[[#This Row],[(T/B) AJD]]</f>
        <v/>
      </c>
      <c r="S81" s="3">
        <f>TABL123[[#This Row],[T/B-CON.]]+TABL123[[#This Row],[S/S_CON.]]</f>
        <v/>
      </c>
      <c r="T81" s="3">
        <f>TABL123[[#This Row],[(S/S) AJD]]+TABL123[[#This Row],[(T/B) AJD]]</f>
        <v/>
      </c>
      <c r="U81" s="41" t="n">
        <v>550</v>
      </c>
      <c r="V81" s="41" t="n">
        <v>220</v>
      </c>
      <c r="W81" s="3">
        <f>TABL123[[#This Row],[(A/B) AJD]]+TABL123[[#This Row],[(A/S) AJD]]</f>
        <v/>
      </c>
      <c r="X81" s="3">
        <f>TABL123[[#This Row],[( S/S+T/B) AJD]]-TABL123[[#This Row],[(A/B + A/S) AJD]]</f>
        <v/>
      </c>
      <c r="Y81" s="41" t="n">
        <v>92.47499999999999</v>
      </c>
      <c r="Z81" s="43" t="n">
        <v>481734</v>
      </c>
      <c r="AA81" s="3">
        <f>TABL123[[#This Row],[(RESV. STORGE) AJD]]/10</f>
        <v/>
      </c>
      <c r="AB81" s="45">
        <f>IF(TRIM(Z81)="",,(Z81-Z80)/1000)</f>
        <v/>
      </c>
      <c r="AC81" s="43" t="n">
        <v>250</v>
      </c>
      <c r="AD81" s="83">
        <f>TABL123[[#This Row],[( S/S+T/B) AJD]]-(TABL123[[#This Row],[(A/B + A/S) AJD]]+TABL123[[#This Row],[(STORGE DIFF.) AJD]]+(TABL123[[#This Row],[AJD_Evaporation]])/1000)</f>
        <v/>
      </c>
      <c r="AE81" s="68" t="n">
        <v>78</v>
      </c>
      <c r="AF81" s="68" t="n">
        <v>58.512</v>
      </c>
      <c r="AG81" s="68" t="n">
        <v>1308403</v>
      </c>
      <c r="AH81" s="43" t="n">
        <v>656</v>
      </c>
      <c r="AI81" s="43" t="n">
        <v>656</v>
      </c>
      <c r="AJ81" s="78">
        <f>TABL123[[#This Row],[(A/B) AJD]]-TABL123[[#This Row],[BER_IN]]</f>
        <v/>
      </c>
      <c r="AK81" s="68" t="n">
        <v>20</v>
      </c>
      <c r="AL81" s="87" t="n">
        <v>43.2026</v>
      </c>
      <c r="AM81" s="87" t="n">
        <v>3218220</v>
      </c>
      <c r="AN81" s="87">
        <f>TABL123[[#This Row],[ (RESV. STORGE) SER]]/10</f>
        <v/>
      </c>
      <c r="AO81" s="43" t="n">
        <v>1040</v>
      </c>
      <c r="AP81" s="32">
        <f>TABL123[[#This Row],[(A/S) AJD]]-TABL123[[#This Row],[SER_IN]]</f>
        <v/>
      </c>
    </row>
    <row r="82" ht="18.75" customHeight="1">
      <c r="A82" s="2" t="n">
        <v>46103</v>
      </c>
      <c r="B82" s="44" t="n">
        <v>30</v>
      </c>
      <c r="C82" s="44" t="n">
        <v>237</v>
      </c>
      <c r="D82" s="44" t="n">
        <v>30</v>
      </c>
      <c r="E82" s="28" t="n"/>
      <c r="F82" s="44" t="n">
        <v>96</v>
      </c>
      <c r="G82" s="40" t="n">
        <v>603</v>
      </c>
      <c r="H82" s="28">
        <f>103-F82</f>
        <v/>
      </c>
      <c r="I82" s="40" t="n">
        <v>445</v>
      </c>
      <c r="J82" s="44" t="n">
        <v>430</v>
      </c>
      <c r="K82" s="28">
        <f>TABL123[[#This Row],[ (T/B) SAR]]+TABL123[[#This Row],[ (S/S) SAR]]</f>
        <v/>
      </c>
      <c r="L82" s="45" t="n">
        <v>272</v>
      </c>
      <c r="M82" s="46" t="n">
        <v>19.7</v>
      </c>
      <c r="N82" s="46" t="n">
        <v>7.5</v>
      </c>
      <c r="O82" s="40" t="n">
        <v>405</v>
      </c>
      <c r="P82" s="3">
        <f>TABL123[[#This Row],[ (S/S) SAR]]-TABL123[[#This Row],[(S/S) AJD]]</f>
        <v/>
      </c>
      <c r="Q82" s="40" t="n">
        <v>434</v>
      </c>
      <c r="R82" s="3">
        <f>TABL123[[#This Row],[ (T/B) SAR]]-TABL123[[#This Row],[(T/B) AJD]]</f>
        <v/>
      </c>
      <c r="S82" s="3">
        <f>TABL123[[#This Row],[T/B-CON.]]+TABL123[[#This Row],[S/S_CON.]]</f>
        <v/>
      </c>
      <c r="T82" s="3">
        <f>TABL123[[#This Row],[(S/S) AJD]]+TABL123[[#This Row],[(T/B) AJD]]</f>
        <v/>
      </c>
      <c r="U82" s="44" t="n">
        <v>570</v>
      </c>
      <c r="V82" s="44" t="n">
        <v>226</v>
      </c>
      <c r="W82" s="3">
        <f>TABL123[[#This Row],[(A/B) AJD]]+TABL123[[#This Row],[(A/S) AJD]]</f>
        <v/>
      </c>
      <c r="X82" s="3">
        <f>TABL123[[#This Row],[( S/S+T/B) AJD]]-TABL123[[#This Row],[(A/B + A/S) AJD]]</f>
        <v/>
      </c>
      <c r="Y82" s="44" t="n">
        <v>92.485</v>
      </c>
      <c r="Z82" s="45" t="n">
        <v>488881</v>
      </c>
      <c r="AA82" s="3">
        <f>TABL123[[#This Row],[(RESV. STORGE) AJD]]/10</f>
        <v/>
      </c>
      <c r="AB82" s="45">
        <f>IF(TRIM(Z82)="",,(Z82-Z81)/1000)</f>
        <v/>
      </c>
      <c r="AC82" s="45" t="n">
        <v>917</v>
      </c>
      <c r="AD82" s="83">
        <f>TABL123[[#This Row],[( S/S+T/B) AJD]]-(TABL123[[#This Row],[(A/B + A/S) AJD]]+TABL123[[#This Row],[(STORGE DIFF.) AJD]]+(TABL123[[#This Row],[AJD_Evaporation]])/1000)</f>
        <v/>
      </c>
      <c r="AE82" s="68" t="n">
        <v>81</v>
      </c>
      <c r="AF82" s="68" t="n">
        <v>58.51</v>
      </c>
      <c r="AG82" s="68" t="n">
        <v>1301186</v>
      </c>
      <c r="AH82" s="45" t="n">
        <v>2216</v>
      </c>
      <c r="AI82" s="45" t="n">
        <v>2216</v>
      </c>
      <c r="AJ82" s="78">
        <f>TABL123[[#This Row],[(A/B) AJD]]-TABL123[[#This Row],[BER_IN]]</f>
        <v/>
      </c>
      <c r="AK82" s="68" t="n">
        <v>19</v>
      </c>
      <c r="AL82" s="87" t="n">
        <v>43.2174</v>
      </c>
      <c r="AM82" s="87" t="n">
        <v>3226370</v>
      </c>
      <c r="AN82" s="87">
        <f>TABL123[[#This Row],[ (RESV. STORGE) SER]]/10</f>
        <v/>
      </c>
      <c r="AO82" s="45" t="n">
        <v>1850</v>
      </c>
      <c r="AP82" s="32">
        <f>TABL123[[#This Row],[(A/S) AJD]]-TABL123[[#This Row],[SER_IN]]</f>
        <v/>
      </c>
    </row>
    <row r="83" ht="18.75" customHeight="1">
      <c r="A83" s="2" t="n">
        <v>46104</v>
      </c>
      <c r="B83" s="41" t="n">
        <v>30</v>
      </c>
      <c r="C83" s="41" t="n">
        <v>244</v>
      </c>
      <c r="D83" s="41" t="n">
        <v>30</v>
      </c>
      <c r="E83" s="28" t="n"/>
      <c r="F83" s="41" t="n">
        <v>96</v>
      </c>
      <c r="G83" s="39" t="n">
        <v>603</v>
      </c>
      <c r="H83" s="28">
        <f>103-F83</f>
        <v/>
      </c>
      <c r="I83" s="39" t="n">
        <v>445</v>
      </c>
      <c r="J83" s="39" t="n">
        <v>430</v>
      </c>
      <c r="K83" s="28">
        <f>TABL123[[#This Row],[ (T/B) SAR]]+TABL123[[#This Row],[ (S/S) SAR]]</f>
        <v/>
      </c>
      <c r="L83" s="41" t="n">
        <v>272</v>
      </c>
      <c r="M83" s="42" t="n">
        <v>19.7</v>
      </c>
      <c r="N83" s="42" t="n">
        <v>7.46</v>
      </c>
      <c r="O83" s="39" t="n">
        <v>374</v>
      </c>
      <c r="P83" s="3">
        <f>TABL123[[#This Row],[ (S/S) SAR]]-TABL123[[#This Row],[(S/S) AJD]]</f>
        <v/>
      </c>
      <c r="Q83" s="39" t="n">
        <v>403</v>
      </c>
      <c r="R83" s="3">
        <f>TABL123[[#This Row],[ (T/B) SAR]]-TABL123[[#This Row],[(T/B) AJD]]</f>
        <v/>
      </c>
      <c r="S83" s="3">
        <f>TABL123[[#This Row],[T/B-CON.]]+TABL123[[#This Row],[S/S_CON.]]</f>
        <v/>
      </c>
      <c r="T83" s="3">
        <f>TABL123[[#This Row],[(S/S) AJD]]+TABL123[[#This Row],[(T/B) AJD]]</f>
        <v/>
      </c>
      <c r="U83" s="41" t="n">
        <v>527</v>
      </c>
      <c r="V83" s="41" t="n">
        <v>208</v>
      </c>
      <c r="W83" s="3">
        <f>TABL123[[#This Row],[(A/B) AJD]]+TABL123[[#This Row],[(A/S) AJD]]</f>
        <v/>
      </c>
      <c r="X83" s="3">
        <f>TABL123[[#This Row],[( S/S+T/B) AJD]]-TABL123[[#This Row],[(A/B + A/S) AJD]]</f>
        <v/>
      </c>
      <c r="Y83" s="41" t="n">
        <v>92.482</v>
      </c>
      <c r="Z83" s="43" t="n">
        <v>485905</v>
      </c>
      <c r="AA83" s="3">
        <f>TABL123[[#This Row],[(RESV. STORGE) AJD]]/10</f>
        <v/>
      </c>
      <c r="AB83" s="45">
        <f>IF(TRIM(Z83)="",,(Z83-Z82)/1000)</f>
        <v/>
      </c>
      <c r="AC83" s="43" t="n">
        <v>1059</v>
      </c>
      <c r="AD83" s="83">
        <f>TABL123[[#This Row],[( S/S+T/B) AJD]]-(TABL123[[#This Row],[(A/B + A/S) AJD]]+TABL123[[#This Row],[(STORGE DIFF.) AJD]]+(TABL123[[#This Row],[AJD_Evaporation]])/1000)</f>
        <v/>
      </c>
      <c r="AE83" s="68" t="n">
        <v>82</v>
      </c>
      <c r="AF83" s="68" t="n">
        <v>58.53</v>
      </c>
      <c r="AG83" s="68" t="n">
        <v>1314308</v>
      </c>
      <c r="AH83" s="43" t="n">
        <v>1695</v>
      </c>
      <c r="AI83" s="43" t="n">
        <v>1695</v>
      </c>
      <c r="AJ83" s="78">
        <f>TABL123[[#This Row],[(A/B) AJD]]-TABL123[[#This Row],[BER_IN]]</f>
        <v/>
      </c>
      <c r="AK83" s="68" t="n">
        <v>20</v>
      </c>
      <c r="AL83" s="87" t="n">
        <v>43.2186</v>
      </c>
      <c r="AM83" s="87" t="n">
        <v>3226790</v>
      </c>
      <c r="AN83" s="87">
        <f>TABL123[[#This Row],[ (RESV. STORGE) SER]]/10</f>
        <v/>
      </c>
      <c r="AO83" s="43" t="n">
        <v>1880</v>
      </c>
      <c r="AP83" s="32">
        <f>TABL123[[#This Row],[(A/S) AJD]]-TABL123[[#This Row],[SER_IN]]</f>
        <v/>
      </c>
    </row>
    <row r="84" ht="18.75" customHeight="1">
      <c r="A84" s="2" t="n">
        <v>46105</v>
      </c>
      <c r="B84" s="44" t="n">
        <v>30</v>
      </c>
      <c r="C84" s="44" t="n">
        <v>241</v>
      </c>
      <c r="D84" s="44" t="n">
        <v>30</v>
      </c>
      <c r="E84" s="28" t="n"/>
      <c r="F84" s="44" t="n">
        <v>96</v>
      </c>
      <c r="G84" s="40" t="n">
        <v>603</v>
      </c>
      <c r="H84" s="28">
        <f>103-F84</f>
        <v/>
      </c>
      <c r="I84" s="40" t="n">
        <v>445</v>
      </c>
      <c r="J84" s="44" t="n">
        <v>430</v>
      </c>
      <c r="K84" s="28">
        <f>TABL123[[#This Row],[ (T/B) SAR]]+TABL123[[#This Row],[ (S/S) SAR]]</f>
        <v/>
      </c>
      <c r="L84" s="45" t="n">
        <v>272</v>
      </c>
      <c r="M84" s="46" t="n">
        <v>19.7</v>
      </c>
      <c r="N84" s="46" t="n">
        <v>7.43</v>
      </c>
      <c r="O84" s="40" t="n">
        <v>386</v>
      </c>
      <c r="P84" s="3">
        <f>TABL123[[#This Row],[ (S/S) SAR]]-TABL123[[#This Row],[(S/S) AJD]]</f>
        <v/>
      </c>
      <c r="Q84" s="40" t="n">
        <v>416</v>
      </c>
      <c r="R84" s="3">
        <f>TABL123[[#This Row],[ (T/B) SAR]]-TABL123[[#This Row],[(T/B) AJD]]</f>
        <v/>
      </c>
      <c r="S84" s="3">
        <f>TABL123[[#This Row],[T/B-CON.]]+TABL123[[#This Row],[S/S_CON.]]</f>
        <v/>
      </c>
      <c r="T84" s="3">
        <f>TABL123[[#This Row],[(S/S) AJD]]+TABL123[[#This Row],[(T/B) AJD]]</f>
        <v/>
      </c>
      <c r="U84" s="44" t="n">
        <v>550</v>
      </c>
      <c r="V84" s="44" t="n">
        <v>222</v>
      </c>
      <c r="W84" s="3">
        <f>TABL123[[#This Row],[(A/B) AJD]]+TABL123[[#This Row],[(A/S) AJD]]</f>
        <v/>
      </c>
      <c r="X84" s="3">
        <f>TABL123[[#This Row],[( S/S+T/B) AJD]]-TABL123[[#This Row],[(A/B + A/S) AJD]]</f>
        <v/>
      </c>
      <c r="Y84" s="44" t="n">
        <v>92.48699999999999</v>
      </c>
      <c r="Z84" s="45" t="n">
        <v>488881</v>
      </c>
      <c r="AA84" s="3">
        <f>TABL123[[#This Row],[(RESV. STORGE) AJD]]/10</f>
        <v/>
      </c>
      <c r="AB84" s="45">
        <f>IF(TRIM(Z84)="",,(Z84-Z83)/1000)</f>
        <v/>
      </c>
      <c r="AC84" s="45" t="n">
        <v>1109</v>
      </c>
      <c r="AD84" s="83">
        <f>TABL123[[#This Row],[( S/S+T/B) AJD]]-(TABL123[[#This Row],[(A/B + A/S) AJD]]+TABL123[[#This Row],[(STORGE DIFF.) AJD]]+(TABL123[[#This Row],[AJD_Evaporation]])/1000)</f>
        <v/>
      </c>
      <c r="AE84" s="68" t="n">
        <v>81</v>
      </c>
      <c r="AF84" s="68" t="n">
        <v>58.55</v>
      </c>
      <c r="AG84" s="68" t="n">
        <v>1327432</v>
      </c>
      <c r="AH84" s="45" t="n">
        <v>2035</v>
      </c>
      <c r="AI84" s="45" t="n">
        <v>2035</v>
      </c>
      <c r="AJ84" s="78">
        <f>TABL123[[#This Row],[(A/B) AJD]]-TABL123[[#This Row],[BER_IN]]</f>
        <v/>
      </c>
      <c r="AK84" s="68" t="n">
        <v>21</v>
      </c>
      <c r="AL84" s="87" t="n">
        <v>43.224</v>
      </c>
      <c r="AM84" s="87" t="n">
        <v>3230690</v>
      </c>
      <c r="AN84" s="87">
        <f>TABL123[[#This Row],[ (RESV. STORGE) SER]]/10</f>
        <v/>
      </c>
      <c r="AO84" s="45" t="n">
        <v>1800</v>
      </c>
      <c r="AP84" s="32">
        <f>TABL123[[#This Row],[(A/S) AJD]]-TABL123[[#This Row],[SER_IN]]</f>
        <v/>
      </c>
    </row>
    <row r="85" ht="18.75" customHeight="1">
      <c r="A85" s="2" t="n">
        <v>46106</v>
      </c>
      <c r="B85" s="41" t="n">
        <v>31</v>
      </c>
      <c r="C85" s="41" t="n">
        <v>241</v>
      </c>
      <c r="D85" s="41" t="n">
        <v>31</v>
      </c>
      <c r="E85" s="28" t="n"/>
      <c r="F85" s="41" t="n">
        <v>96</v>
      </c>
      <c r="G85" s="39" t="n">
        <v>603</v>
      </c>
      <c r="H85" s="28">
        <f>103-F85</f>
        <v/>
      </c>
      <c r="I85" s="39" t="n">
        <v>445</v>
      </c>
      <c r="J85" s="39" t="n">
        <v>430</v>
      </c>
      <c r="K85" s="28">
        <f>TABL123[[#This Row],[ (T/B) SAR]]+TABL123[[#This Row],[ (S/S) SAR]]</f>
        <v/>
      </c>
      <c r="L85" s="41" t="n">
        <v>272</v>
      </c>
      <c r="M85" s="42" t="n">
        <v>19.7</v>
      </c>
      <c r="N85" s="42" t="n">
        <v>7.39</v>
      </c>
      <c r="O85" s="39" t="n">
        <v>389</v>
      </c>
      <c r="P85" s="3">
        <f>TABL123[[#This Row],[ (S/S) SAR]]-TABL123[[#This Row],[(S/S) AJD]]</f>
        <v/>
      </c>
      <c r="Q85" s="39" t="n">
        <v>418</v>
      </c>
      <c r="R85" s="3">
        <f>TABL123[[#This Row],[ (T/B) SAR]]-TABL123[[#This Row],[(T/B) AJD]]</f>
        <v/>
      </c>
      <c r="S85" s="3">
        <f>TABL123[[#This Row],[T/B-CON.]]+TABL123[[#This Row],[S/S_CON.]]</f>
        <v/>
      </c>
      <c r="T85" s="3">
        <f>TABL123[[#This Row],[(S/S) AJD]]+TABL123[[#This Row],[(T/B) AJD]]</f>
        <v/>
      </c>
      <c r="U85" s="41" t="n">
        <v>546</v>
      </c>
      <c r="V85" s="41" t="n">
        <v>211</v>
      </c>
      <c r="W85" s="3">
        <f>TABL123[[#This Row],[(A/B) AJD]]+TABL123[[#This Row],[(A/S) AJD]]</f>
        <v/>
      </c>
      <c r="X85" s="3">
        <f>TABL123[[#This Row],[( S/S+T/B) AJD]]-TABL123[[#This Row],[(A/B + A/S) AJD]]</f>
        <v/>
      </c>
      <c r="Y85" s="41" t="n">
        <v>92.557</v>
      </c>
      <c r="Z85" s="43" t="n">
        <v>530591</v>
      </c>
      <c r="AA85" s="3">
        <f>TABL123[[#This Row],[(RESV. STORGE) AJD]]/10</f>
        <v/>
      </c>
      <c r="AB85" s="45">
        <f>IF(TRIM(Z85)="",,(Z85-Z84)/1000)</f>
        <v/>
      </c>
      <c r="AC85" s="43" t="n">
        <v>0</v>
      </c>
      <c r="AD85" s="83">
        <f>TABL123[[#This Row],[( S/S+T/B) AJD]]-(TABL123[[#This Row],[(A/B + A/S) AJD]]+TABL123[[#This Row],[(STORGE DIFF.) AJD]]+(TABL123[[#This Row],[AJD_Evaporation]])/1000)</f>
        <v/>
      </c>
      <c r="AE85" s="68" t="n">
        <v>78</v>
      </c>
      <c r="AF85" s="68" t="n">
        <v>58.57</v>
      </c>
      <c r="AG85" s="68" t="n">
        <v>1340560</v>
      </c>
      <c r="AH85" s="43" t="n">
        <v>923</v>
      </c>
      <c r="AI85" s="43" t="n">
        <v>923</v>
      </c>
      <c r="AJ85" s="78">
        <f>TABL123[[#This Row],[(A/B) AJD]]-TABL123[[#This Row],[BER_IN]]</f>
        <v/>
      </c>
      <c r="AK85" s="68" t="n">
        <v>21</v>
      </c>
      <c r="AL85" s="87" t="n">
        <v>43.2277</v>
      </c>
      <c r="AM85" s="87" t="n">
        <v>3231810</v>
      </c>
      <c r="AN85" s="87">
        <f>TABL123[[#This Row],[ (RESV. STORGE) SER]]/10</f>
        <v/>
      </c>
      <c r="AO85" s="43" t="n">
        <v>0</v>
      </c>
      <c r="AP85" s="32">
        <f>TABL123[[#This Row],[(A/S) AJD]]-TABL123[[#This Row],[SER_IN]]</f>
        <v/>
      </c>
    </row>
    <row r="86" ht="18.75" customHeight="1">
      <c r="A86" s="2" t="n">
        <v>46107</v>
      </c>
      <c r="B86" s="44" t="n">
        <v>31</v>
      </c>
      <c r="C86" s="44" t="n">
        <v>243</v>
      </c>
      <c r="D86" s="44" t="n">
        <v>31</v>
      </c>
      <c r="E86" s="28" t="n"/>
      <c r="F86" s="44" t="n">
        <v>96</v>
      </c>
      <c r="G86" s="40" t="n">
        <v>603</v>
      </c>
      <c r="H86" s="28">
        <f>103-F86</f>
        <v/>
      </c>
      <c r="I86" s="40" t="n">
        <v>445</v>
      </c>
      <c r="J86" s="44" t="n">
        <v>430</v>
      </c>
      <c r="K86" s="28">
        <f>TABL123[[#This Row],[ (T/B) SAR]]+TABL123[[#This Row],[ (S/S) SAR]]</f>
        <v/>
      </c>
      <c r="L86" s="45" t="n">
        <v>272</v>
      </c>
      <c r="M86" s="46" t="n">
        <v>19.7</v>
      </c>
      <c r="N86" s="46" t="n">
        <v>7.34</v>
      </c>
      <c r="O86" s="40" t="n">
        <v>389</v>
      </c>
      <c r="P86" s="3">
        <f>TABL123[[#This Row],[ (S/S) SAR]]-TABL123[[#This Row],[(S/S) AJD]]</f>
        <v/>
      </c>
      <c r="Q86" s="40" t="n">
        <v>416</v>
      </c>
      <c r="R86" s="3">
        <f>TABL123[[#This Row],[ (T/B) SAR]]-TABL123[[#This Row],[(T/B) AJD]]</f>
        <v/>
      </c>
      <c r="S86" s="3">
        <f>TABL123[[#This Row],[T/B-CON.]]+TABL123[[#This Row],[S/S_CON.]]</f>
        <v/>
      </c>
      <c r="T86" s="3">
        <f>TABL123[[#This Row],[(S/S) AJD]]+TABL123[[#This Row],[(T/B) AJD]]</f>
        <v/>
      </c>
      <c r="U86" s="44" t="n">
        <v>541</v>
      </c>
      <c r="V86" s="44" t="n">
        <v>206</v>
      </c>
      <c r="W86" s="3">
        <f>TABL123[[#This Row],[(A/B) AJD]]+TABL123[[#This Row],[(A/S) AJD]]</f>
        <v/>
      </c>
      <c r="X86" s="3">
        <f>TABL123[[#This Row],[( S/S+T/B) AJD]]-TABL123[[#This Row],[(A/B + A/S) AJD]]</f>
        <v/>
      </c>
      <c r="Y86" s="44" t="n">
        <v>92.572</v>
      </c>
      <c r="Z86" s="45" t="n">
        <v>539534</v>
      </c>
      <c r="AA86" s="3">
        <f>TABL123[[#This Row],[(RESV. STORGE) AJD]]/10</f>
        <v/>
      </c>
      <c r="AB86" s="45">
        <f>IF(TRIM(Z86)="",,(Z86-Z85)/1000)</f>
        <v/>
      </c>
      <c r="AC86" s="45" t="n">
        <v>0</v>
      </c>
      <c r="AD86" s="83">
        <f>TABL123[[#This Row],[( S/S+T/B) AJD]]-(TABL123[[#This Row],[(A/B + A/S) AJD]]+TABL123[[#This Row],[(STORGE DIFF.) AJD]]+(TABL123[[#This Row],[AJD_Evaporation]])/1000)</f>
        <v/>
      </c>
      <c r="AE86" s="68" t="n">
        <v>80</v>
      </c>
      <c r="AF86" s="68" t="n">
        <v>58.59</v>
      </c>
      <c r="AG86" s="68" t="n">
        <v>1353692</v>
      </c>
      <c r="AH86" s="45" t="n">
        <v>844</v>
      </c>
      <c r="AI86" s="45" t="n">
        <v>844</v>
      </c>
      <c r="AJ86" s="78">
        <f>TABL123[[#This Row],[(A/B) AJD]]-TABL123[[#This Row],[BER_IN]]</f>
        <v/>
      </c>
      <c r="AK86" s="68" t="n">
        <v>22</v>
      </c>
      <c r="AL86" s="87" t="n">
        <v>43.2607</v>
      </c>
      <c r="AM86" s="87" t="n">
        <v>3249200</v>
      </c>
      <c r="AN86" s="87">
        <f>TABL123[[#This Row],[ (RESV. STORGE) SER]]/10</f>
        <v/>
      </c>
      <c r="AO86" s="45" t="n">
        <v>1800</v>
      </c>
      <c r="AP86" s="32">
        <f>TABL123[[#This Row],[(A/S) AJD]]-TABL123[[#This Row],[SER_IN]]</f>
        <v/>
      </c>
    </row>
    <row r="87" ht="18.75" customHeight="1">
      <c r="A87" s="2" t="n">
        <v>46108</v>
      </c>
      <c r="B87" s="41" t="n">
        <v>32</v>
      </c>
      <c r="C87" s="41" t="n">
        <v>258</v>
      </c>
      <c r="D87" s="41" t="n">
        <v>32</v>
      </c>
      <c r="E87" s="28" t="n"/>
      <c r="F87" s="41" t="n">
        <v>96</v>
      </c>
      <c r="G87" s="39" t="n">
        <v>603</v>
      </c>
      <c r="H87" s="28">
        <f>103-F87</f>
        <v/>
      </c>
      <c r="I87" s="39" t="n">
        <v>445</v>
      </c>
      <c r="J87" s="39" t="n">
        <v>430</v>
      </c>
      <c r="K87" s="28">
        <f>TABL123[[#This Row],[ (T/B) SAR]]+TABL123[[#This Row],[ (S/S) SAR]]</f>
        <v/>
      </c>
      <c r="L87" s="41" t="n">
        <v>272</v>
      </c>
      <c r="M87" s="42" t="n">
        <v>19.7</v>
      </c>
      <c r="N87" s="42" t="n">
        <v>7.35</v>
      </c>
      <c r="O87" s="39" t="n">
        <v>388</v>
      </c>
      <c r="P87" s="3">
        <f>TABL123[[#This Row],[ (S/S) SAR]]-TABL123[[#This Row],[(S/S) AJD]]</f>
        <v/>
      </c>
      <c r="Q87" s="39" t="n">
        <v>416</v>
      </c>
      <c r="R87" s="3">
        <f>TABL123[[#This Row],[ (T/B) SAR]]-TABL123[[#This Row],[(T/B) AJD]]</f>
        <v/>
      </c>
      <c r="S87" s="3">
        <f>TABL123[[#This Row],[T/B-CON.]]+TABL123[[#This Row],[S/S_CON.]]</f>
        <v/>
      </c>
      <c r="T87" s="3">
        <f>TABL123[[#This Row],[(S/S) AJD]]+TABL123[[#This Row],[(T/B) AJD]]</f>
        <v/>
      </c>
      <c r="U87" s="41" t="n">
        <v>549</v>
      </c>
      <c r="V87" s="41" t="n">
        <v>227</v>
      </c>
      <c r="W87" s="3">
        <f>TABL123[[#This Row],[(A/B) AJD]]+TABL123[[#This Row],[(A/S) AJD]]</f>
        <v/>
      </c>
      <c r="X87" s="3">
        <f>TABL123[[#This Row],[( S/S+T/B) AJD]]-TABL123[[#This Row],[(A/B + A/S) AJD]]</f>
        <v/>
      </c>
      <c r="Y87" s="41" t="n">
        <v>92.587</v>
      </c>
      <c r="Z87" s="43" t="n">
        <v>548478</v>
      </c>
      <c r="AA87" s="3">
        <f>TABL123[[#This Row],[(RESV. STORGE) AJD]]/10</f>
        <v/>
      </c>
      <c r="AB87" s="45">
        <f>IF(TRIM(Z87)="",,(Z87-Z86)/1000)</f>
        <v/>
      </c>
      <c r="AC87" s="43" t="n">
        <v>309</v>
      </c>
      <c r="AD87" s="83">
        <f>TABL123[[#This Row],[( S/S+T/B) AJD]]-(TABL123[[#This Row],[(A/B + A/S) AJD]]+TABL123[[#This Row],[(STORGE DIFF.) AJD]]+(TABL123[[#This Row],[AJD_Evaporation]])/1000)</f>
        <v/>
      </c>
      <c r="AE87" s="68" t="n">
        <v>81</v>
      </c>
      <c r="AF87" s="68" t="n">
        <v>58.61</v>
      </c>
      <c r="AG87" s="68" t="n">
        <v>1366827</v>
      </c>
      <c r="AH87" s="43" t="n">
        <v>1744</v>
      </c>
      <c r="AI87" s="43" t="n">
        <v>1744</v>
      </c>
      <c r="AJ87" s="78">
        <f>TABL123[[#This Row],[(A/B) AJD]]-TABL123[[#This Row],[BER_IN]]</f>
        <v/>
      </c>
      <c r="AK87" s="68" t="n">
        <v>22</v>
      </c>
      <c r="AL87" s="87" t="n">
        <v>43.2628</v>
      </c>
      <c r="AM87" s="87" t="n">
        <v>3250800</v>
      </c>
      <c r="AN87" s="87">
        <f>TABL123[[#This Row],[ (RESV. STORGE) SER]]/10</f>
        <v/>
      </c>
      <c r="AO87" s="43" t="n">
        <v>1800</v>
      </c>
      <c r="AP87" s="32">
        <f>TABL123[[#This Row],[(A/S) AJD]]-TABL123[[#This Row],[SER_IN]]</f>
        <v/>
      </c>
    </row>
    <row r="88" ht="18.75" customHeight="1">
      <c r="A88" s="2" t="n">
        <v>46109</v>
      </c>
      <c r="B88" s="44" t="n">
        <v>32</v>
      </c>
      <c r="C88" s="44" t="n">
        <v>262</v>
      </c>
      <c r="D88" s="44" t="n">
        <v>32</v>
      </c>
      <c r="E88" s="28" t="n"/>
      <c r="F88" s="44" t="n">
        <v>96</v>
      </c>
      <c r="G88" s="40" t="n">
        <v>603</v>
      </c>
      <c r="H88" s="28">
        <f>103-F88</f>
        <v/>
      </c>
      <c r="I88" s="40" t="n">
        <v>445</v>
      </c>
      <c r="J88" s="44" t="n">
        <v>430</v>
      </c>
      <c r="K88" s="28">
        <f>TABL123[[#This Row],[ (T/B) SAR]]+TABL123[[#This Row],[ (S/S) SAR]]</f>
        <v/>
      </c>
      <c r="L88" s="45" t="n">
        <v>272</v>
      </c>
      <c r="M88" s="46" t="n">
        <v>19.7</v>
      </c>
      <c r="N88" s="46" t="n">
        <v>7.43</v>
      </c>
      <c r="O88" s="40" t="n">
        <v>388</v>
      </c>
      <c r="P88" s="3">
        <f>TABL123[[#This Row],[ (S/S) SAR]]-TABL123[[#This Row],[(S/S) AJD]]</f>
        <v/>
      </c>
      <c r="Q88" s="40" t="n">
        <v>417</v>
      </c>
      <c r="R88" s="3">
        <f>TABL123[[#This Row],[ (T/B) SAR]]-TABL123[[#This Row],[(T/B) AJD]]</f>
        <v/>
      </c>
      <c r="S88" s="3">
        <f>TABL123[[#This Row],[T/B-CON.]]+TABL123[[#This Row],[S/S_CON.]]</f>
        <v/>
      </c>
      <c r="T88" s="3">
        <f>TABL123[[#This Row],[(S/S) AJD]]+TABL123[[#This Row],[(T/B) AJD]]</f>
        <v/>
      </c>
      <c r="U88" s="44" t="n">
        <v>553</v>
      </c>
      <c r="V88" s="44" t="n">
        <v>214</v>
      </c>
      <c r="W88" s="3">
        <f>TABL123[[#This Row],[(A/B) AJD]]+TABL123[[#This Row],[(A/S) AJD]]</f>
        <v/>
      </c>
      <c r="X88" s="3">
        <f>TABL123[[#This Row],[( S/S+T/B) AJD]]-TABL123[[#This Row],[(A/B + A/S) AJD]]</f>
        <v/>
      </c>
      <c r="Y88" s="44" t="n">
        <v>92.58499999999999</v>
      </c>
      <c r="Z88" s="45" t="n">
        <v>547286</v>
      </c>
      <c r="AA88" s="3">
        <f>TABL123[[#This Row],[(RESV. STORGE) AJD]]/10</f>
        <v/>
      </c>
      <c r="AB88" s="45">
        <f>IF(TRIM(Z88)="",,(Z88-Z87)/1000)</f>
        <v/>
      </c>
      <c r="AC88" s="45" t="n">
        <v>0</v>
      </c>
      <c r="AD88" s="83">
        <f>TABL123[[#This Row],[( S/S+T/B) AJD]]-(TABL123[[#This Row],[(A/B + A/S) AJD]]+TABL123[[#This Row],[(STORGE DIFF.) AJD]]+(TABL123[[#This Row],[AJD_Evaporation]])/1000)</f>
        <v/>
      </c>
      <c r="AE88" s="68" t="n">
        <v>81</v>
      </c>
      <c r="AF88" s="68" t="n">
        <v>58.63</v>
      </c>
      <c r="AG88" s="68" t="n">
        <v>1379965</v>
      </c>
      <c r="AH88" s="45" t="n">
        <v>0</v>
      </c>
      <c r="AI88" s="45" t="n">
        <v>0</v>
      </c>
      <c r="AJ88" s="78">
        <f>TABL123[[#This Row],[(A/B) AJD]]-TABL123[[#This Row],[BER_IN]]</f>
        <v/>
      </c>
      <c r="AK88" s="68" t="n">
        <v>22</v>
      </c>
      <c r="AL88" s="87" t="n">
        <v>43.2863</v>
      </c>
      <c r="AM88" s="87" t="n">
        <v>3263300</v>
      </c>
      <c r="AN88" s="87">
        <f>TABL123[[#This Row],[ (RESV. STORGE) SER]]/10</f>
        <v/>
      </c>
      <c r="AO88" s="45" t="n">
        <v>0</v>
      </c>
      <c r="AP88" s="32">
        <f>TABL123[[#This Row],[(A/S) AJD]]-TABL123[[#This Row],[SER_IN]]</f>
        <v/>
      </c>
    </row>
    <row r="89" ht="18.75" customHeight="1">
      <c r="A89" s="2" t="n">
        <v>46110</v>
      </c>
      <c r="B89" s="41" t="n">
        <v>32</v>
      </c>
      <c r="C89" s="41" t="n">
        <v>264</v>
      </c>
      <c r="D89" s="41" t="n">
        <v>32</v>
      </c>
      <c r="E89" s="28" t="n"/>
      <c r="F89" s="41" t="n">
        <v>96</v>
      </c>
      <c r="G89" s="39" t="n">
        <v>603</v>
      </c>
      <c r="H89" s="28">
        <f>103-F89</f>
        <v/>
      </c>
      <c r="I89" s="39" t="n">
        <v>445</v>
      </c>
      <c r="J89" s="39" t="n">
        <v>430</v>
      </c>
      <c r="K89" s="28">
        <f>TABL123[[#This Row],[ (T/B) SAR]]+TABL123[[#This Row],[ (S/S) SAR]]</f>
        <v/>
      </c>
      <c r="L89" s="41" t="n">
        <v>272</v>
      </c>
      <c r="M89" s="42" t="n">
        <v>19.7</v>
      </c>
      <c r="N89" s="42" t="n">
        <v>7.53</v>
      </c>
      <c r="O89" s="39" t="n">
        <v>389</v>
      </c>
      <c r="P89" s="3">
        <f>TABL123[[#This Row],[ (S/S) SAR]]-TABL123[[#This Row],[(S/S) AJD]]</f>
        <v/>
      </c>
      <c r="Q89" s="39" t="n">
        <v>418</v>
      </c>
      <c r="R89" s="3">
        <f>TABL123[[#This Row],[ (T/B) SAR]]-TABL123[[#This Row],[(T/B) AJD]]</f>
        <v/>
      </c>
      <c r="S89" s="3">
        <f>TABL123[[#This Row],[T/B-CON.]]+TABL123[[#This Row],[S/S_CON.]]</f>
        <v/>
      </c>
      <c r="T89" s="3">
        <f>TABL123[[#This Row],[(S/S) AJD]]+TABL123[[#This Row],[(T/B) AJD]]</f>
        <v/>
      </c>
      <c r="U89" s="41" t="n">
        <v>543</v>
      </c>
      <c r="V89" s="41" t="n">
        <v>212</v>
      </c>
      <c r="W89" s="3">
        <f>TABL123[[#This Row],[(A/B) AJD]]+TABL123[[#This Row],[(A/S) AJD]]</f>
        <v/>
      </c>
      <c r="X89" s="3">
        <f>TABL123[[#This Row],[( S/S+T/B) AJD]]-TABL123[[#This Row],[(A/B + A/S) AJD]]</f>
        <v/>
      </c>
      <c r="Y89" s="41" t="n">
        <v>92.64700000000001</v>
      </c>
      <c r="Z89" s="43" t="n">
        <v>584280</v>
      </c>
      <c r="AA89" s="3">
        <f>TABL123[[#This Row],[(RESV. STORGE) AJD]]/10</f>
        <v/>
      </c>
      <c r="AB89" s="45">
        <f>IF(TRIM(Z89)="",,(Z89-Z88)/1000)</f>
        <v/>
      </c>
      <c r="AC89" s="43" t="n">
        <v>134</v>
      </c>
      <c r="AD89" s="83">
        <f>TABL123[[#This Row],[( S/S+T/B) AJD]]-(TABL123[[#This Row],[(A/B + A/S) AJD]]+TABL123[[#This Row],[(STORGE DIFF.) AJD]]+(TABL123[[#This Row],[AJD_Evaporation]])/1000)</f>
        <v/>
      </c>
      <c r="AE89" s="68" t="n">
        <v>80</v>
      </c>
      <c r="AF89" s="68" t="n">
        <v>58.65</v>
      </c>
      <c r="AG89" s="68" t="n">
        <v>1393107</v>
      </c>
      <c r="AH89" s="43" t="n">
        <v>723</v>
      </c>
      <c r="AI89" s="43" t="n">
        <v>723</v>
      </c>
      <c r="AJ89" s="78">
        <f>TABL123[[#This Row],[(A/B) AJD]]-TABL123[[#This Row],[BER_IN]]</f>
        <v/>
      </c>
      <c r="AK89" s="68" t="n">
        <v>21</v>
      </c>
      <c r="AL89" s="87" t="n">
        <v>43.2945</v>
      </c>
      <c r="AM89" s="87" t="n">
        <v>3267770</v>
      </c>
      <c r="AN89" s="87">
        <f>TABL123[[#This Row],[ (RESV. STORGE) SER]]/10</f>
        <v/>
      </c>
      <c r="AO89" s="43" t="n">
        <v>1830</v>
      </c>
      <c r="AP89" s="32">
        <f>TABL123[[#This Row],[(A/S) AJD]]-TABL123[[#This Row],[SER_IN]]</f>
        <v/>
      </c>
    </row>
    <row r="90" ht="18.75" customHeight="1">
      <c r="A90" s="2" t="n">
        <v>46111</v>
      </c>
      <c r="B90" s="44" t="n">
        <v>32</v>
      </c>
      <c r="C90" s="44" t="n">
        <v>267</v>
      </c>
      <c r="D90" s="44" t="n">
        <v>32</v>
      </c>
      <c r="E90" s="28" t="n"/>
      <c r="F90" s="44" t="n">
        <v>96</v>
      </c>
      <c r="G90" s="40" t="n">
        <v>603</v>
      </c>
      <c r="H90" s="28">
        <f>103-F90</f>
        <v/>
      </c>
      <c r="I90" s="40" t="n">
        <v>445</v>
      </c>
      <c r="J90" s="44" t="n">
        <v>430</v>
      </c>
      <c r="K90" s="28">
        <f>TABL123[[#This Row],[ (T/B) SAR]]+TABL123[[#This Row],[ (S/S) SAR]]</f>
        <v/>
      </c>
      <c r="L90" s="45" t="n">
        <v>272</v>
      </c>
      <c r="M90" s="46" t="n">
        <v>19.7</v>
      </c>
      <c r="N90" s="46" t="n">
        <v>7.56</v>
      </c>
      <c r="O90" s="40" t="n">
        <v>388</v>
      </c>
      <c r="P90" s="3">
        <f>TABL123[[#This Row],[ (S/S) SAR]]-TABL123[[#This Row],[(S/S) AJD]]</f>
        <v/>
      </c>
      <c r="Q90" s="40" t="n">
        <v>416</v>
      </c>
      <c r="R90" s="3">
        <f>TABL123[[#This Row],[ (T/B) SAR]]-TABL123[[#This Row],[(T/B) AJD]]</f>
        <v/>
      </c>
      <c r="S90" s="3">
        <f>TABL123[[#This Row],[T/B-CON.]]+TABL123[[#This Row],[S/S_CON.]]</f>
        <v/>
      </c>
      <c r="T90" s="3">
        <f>TABL123[[#This Row],[(S/S) AJD]]+TABL123[[#This Row],[(T/B) AJD]]</f>
        <v/>
      </c>
      <c r="U90" s="44" t="n">
        <v>567</v>
      </c>
      <c r="V90" s="44" t="n">
        <v>265</v>
      </c>
      <c r="W90" s="3">
        <f>TABL123[[#This Row],[(A/B) AJD]]+TABL123[[#This Row],[(A/S) AJD]]</f>
        <v/>
      </c>
      <c r="X90" s="3">
        <f>TABL123[[#This Row],[( S/S+T/B) AJD]]-TABL123[[#This Row],[(A/B + A/S) AJD]]</f>
        <v/>
      </c>
      <c r="Y90" s="44" t="n">
        <v>92.545</v>
      </c>
      <c r="Z90" s="45" t="n">
        <v>522841</v>
      </c>
      <c r="AA90" s="3">
        <f>TABL123[[#This Row],[(RESV. STORGE) AJD]]/10</f>
        <v/>
      </c>
      <c r="AB90" s="45">
        <f>IF(TRIM(Z90)="",,(Z90-Z89)/1000)</f>
        <v/>
      </c>
      <c r="AC90" s="45" t="n">
        <v>0</v>
      </c>
      <c r="AD90" s="83">
        <f>TABL123[[#This Row],[( S/S+T/B) AJD]]-(TABL123[[#This Row],[(A/B + A/S) AJD]]+TABL123[[#This Row],[(STORGE DIFF.) AJD]]+(TABL123[[#This Row],[AJD_Evaporation]])/1000)</f>
        <v/>
      </c>
      <c r="AE90" s="68" t="n">
        <v>86</v>
      </c>
      <c r="AF90" s="68" t="n">
        <v>58.68</v>
      </c>
      <c r="AG90" s="68" t="n">
        <v>1412827</v>
      </c>
      <c r="AH90" s="45" t="n">
        <v>1451</v>
      </c>
      <c r="AI90" s="45" t="n">
        <v>1451</v>
      </c>
      <c r="AJ90" s="78">
        <f>TABL123[[#This Row],[(A/B) AJD]]-TABL123[[#This Row],[BER_IN]]</f>
        <v/>
      </c>
      <c r="AK90" s="68" t="n">
        <v>27</v>
      </c>
      <c r="AL90" s="87" t="n">
        <v>43.2718</v>
      </c>
      <c r="AM90" s="87" t="n">
        <v>3255690</v>
      </c>
      <c r="AN90" s="87">
        <f>TABL123[[#This Row],[ (RESV. STORGE) SER]]/10</f>
        <v/>
      </c>
      <c r="AO90" s="45" t="n">
        <v>1880</v>
      </c>
      <c r="AP90" s="32">
        <f>TABL123[[#This Row],[(A/S) AJD]]-TABL123[[#This Row],[SER_IN]]</f>
        <v/>
      </c>
    </row>
    <row r="91" ht="18.75" customHeight="1">
      <c r="A91" s="2" t="n">
        <v>46112</v>
      </c>
      <c r="B91" s="41" t="n">
        <v>32</v>
      </c>
      <c r="C91" s="41" t="n">
        <v>267</v>
      </c>
      <c r="D91" s="41" t="n">
        <v>32</v>
      </c>
      <c r="E91" s="28" t="n"/>
      <c r="F91" s="41" t="n">
        <v>96</v>
      </c>
      <c r="G91" s="39" t="n">
        <v>603</v>
      </c>
      <c r="H91" s="28">
        <f>103-F91</f>
        <v/>
      </c>
      <c r="I91" s="39" t="n">
        <v>445</v>
      </c>
      <c r="J91" s="39" t="n">
        <v>430</v>
      </c>
      <c r="K91" s="28">
        <f>TABL123[[#This Row],[ (T/B) SAR]]+TABL123[[#This Row],[ (S/S) SAR]]</f>
        <v/>
      </c>
      <c r="L91" s="41" t="n">
        <v>272</v>
      </c>
      <c r="M91" s="42" t="n">
        <v>19.7</v>
      </c>
      <c r="N91" s="42" t="n">
        <v>7.64</v>
      </c>
      <c r="O91" s="39" t="n">
        <v>387</v>
      </c>
      <c r="P91" s="3">
        <f>TABL123[[#This Row],[ (S/S) SAR]]-TABL123[[#This Row],[(S/S) AJD]]</f>
        <v/>
      </c>
      <c r="Q91" s="39" t="n">
        <v>417</v>
      </c>
      <c r="R91" s="3">
        <f>TABL123[[#This Row],[ (T/B) SAR]]-TABL123[[#This Row],[(T/B) AJD]]</f>
        <v/>
      </c>
      <c r="S91" s="3">
        <f>TABL123[[#This Row],[T/B-CON.]]+TABL123[[#This Row],[S/S_CON.]]</f>
        <v/>
      </c>
      <c r="T91" s="3">
        <f>TABL123[[#This Row],[(S/S) AJD]]+TABL123[[#This Row],[(T/B) AJD]]</f>
        <v/>
      </c>
      <c r="U91" s="41" t="n">
        <v>576</v>
      </c>
      <c r="V91" s="41" t="n">
        <v>220</v>
      </c>
      <c r="W91" s="3">
        <f>TABL123[[#This Row],[(A/B) AJD]]+TABL123[[#This Row],[(A/S) AJD]]</f>
        <v/>
      </c>
      <c r="X91" s="3">
        <f>TABL123[[#This Row],[( S/S+T/B) AJD]]-TABL123[[#This Row],[(A/B + A/S) AJD]]</f>
        <v/>
      </c>
      <c r="Y91" s="41" t="n">
        <v>92.485</v>
      </c>
      <c r="Z91" s="43" t="n">
        <v>487691</v>
      </c>
      <c r="AA91" s="3">
        <f>TABL123[[#This Row],[(RESV. STORGE) AJD]]/10</f>
        <v/>
      </c>
      <c r="AB91" s="45">
        <f>IF(TRIM(Z91)="",,(Z91-Z90)/1000)</f>
        <v/>
      </c>
      <c r="AC91" s="43" t="n">
        <v>1280</v>
      </c>
      <c r="AD91" s="83">
        <f>TABL123[[#This Row],[( S/S+T/B) AJD]]-(TABL123[[#This Row],[(A/B + A/S) AJD]]+TABL123[[#This Row],[(STORGE DIFF.) AJD]]+(TABL123[[#This Row],[AJD_Evaporation]])/1000)</f>
        <v/>
      </c>
      <c r="AE91" s="68" t="n">
        <v>90</v>
      </c>
      <c r="AF91" s="68" t="n">
        <v>58.71</v>
      </c>
      <c r="AG91" s="68" t="n">
        <v>1432554</v>
      </c>
      <c r="AH91" s="43" t="n">
        <v>2143</v>
      </c>
      <c r="AI91" s="43" t="n">
        <v>2143</v>
      </c>
      <c r="AJ91" s="78">
        <f>TABL123[[#This Row],[(A/B) AJD]]-TABL123[[#This Row],[BER_IN]]</f>
        <v/>
      </c>
      <c r="AK91" s="68" t="n">
        <v>32</v>
      </c>
      <c r="AL91" s="87" t="n">
        <v>43.2259</v>
      </c>
      <c r="AM91" s="87" t="n">
        <v>3230710</v>
      </c>
      <c r="AN91" s="87">
        <f>TABL123[[#This Row],[ (RESV. STORGE) SER]]/10</f>
        <v/>
      </c>
      <c r="AO91" s="43" t="n">
        <v>1880</v>
      </c>
      <c r="AP91" s="32">
        <f>TABL123[[#This Row],[(A/S) AJD]]-TABL123[[#This Row],[SER_IN]]</f>
        <v/>
      </c>
    </row>
    <row r="92" ht="18.75" customHeight="1">
      <c r="A92" s="2" t="n">
        <v>46113</v>
      </c>
      <c r="B92" s="41" t="n">
        <v>32</v>
      </c>
      <c r="C92" s="41" t="n">
        <v>268</v>
      </c>
      <c r="D92" s="41" t="n">
        <v>32</v>
      </c>
      <c r="E92" s="41" t="n">
        <v>0</v>
      </c>
      <c r="F92" s="41" t="n">
        <v>96</v>
      </c>
      <c r="G92" s="39" t="n">
        <v>603</v>
      </c>
      <c r="H92" s="28">
        <f>103-F92</f>
        <v/>
      </c>
      <c r="I92" s="39" t="n">
        <v>445</v>
      </c>
      <c r="J92" s="39" t="n">
        <v>430</v>
      </c>
      <c r="K92" s="28">
        <f>TABL123[[#This Row],[ (T/B) SAR]]+TABL123[[#This Row],[ (S/S) SAR]]</f>
        <v/>
      </c>
      <c r="L92" s="41" t="n">
        <v>272</v>
      </c>
      <c r="M92" s="42" t="n">
        <v>19.7</v>
      </c>
      <c r="N92" s="42" t="n">
        <v>7.73</v>
      </c>
      <c r="O92" s="39" t="n">
        <v>385</v>
      </c>
      <c r="P92" s="3">
        <f>TABL123[[#This Row],[ (S/S) SAR]]-TABL123[[#This Row],[(S/S) AJD]]</f>
        <v/>
      </c>
      <c r="Q92" s="39" t="n">
        <v>416</v>
      </c>
      <c r="R92" s="3">
        <f>TABL123[[#This Row],[ (T/B) SAR]]-TABL123[[#This Row],[(T/B) AJD]]</f>
        <v/>
      </c>
      <c r="S92" s="3">
        <f>TABL123[[#This Row],[T/B-CON.]]+TABL123[[#This Row],[S/S_CON.]]</f>
        <v/>
      </c>
      <c r="T92" s="3">
        <f>TABL123[[#This Row],[(S/S) AJD]]+TABL123[[#This Row],[(T/B) AJD]]</f>
        <v/>
      </c>
      <c r="U92" s="41" t="n">
        <v>565</v>
      </c>
      <c r="V92" s="41" t="n">
        <v>220</v>
      </c>
      <c r="W92" s="3">
        <f>TABL123[[#This Row],[(A/B) AJD]]+TABL123[[#This Row],[(A/S) AJD]]</f>
        <v/>
      </c>
      <c r="X92" s="3">
        <f>TABL123[[#This Row],[( S/S+T/B) AJD]]-TABL123[[#This Row],[(A/B + A/S) AJD]]</f>
        <v/>
      </c>
      <c r="Y92" s="41" t="n">
        <v>92.462</v>
      </c>
      <c r="Z92" s="43" t="n">
        <v>475779</v>
      </c>
      <c r="AA92" s="3">
        <f>TABL123[[#This Row],[(RESV. STORGE) AJD]]/10</f>
        <v/>
      </c>
      <c r="AB92" s="45">
        <f>IF(TRIM(Z92)="",,(Z92-Z91)/1000)</f>
        <v/>
      </c>
      <c r="AC92" s="43" t="n">
        <v>0</v>
      </c>
      <c r="AD92" s="83">
        <f>TABL123[[#This Row],[( S/S+T/B) AJD]]-(TABL123[[#This Row],[(A/B + A/S) AJD]]+TABL123[[#This Row],[(STORGE DIFF.) AJD]]+(TABL123[[#This Row],[AJD_Evaporation]])/1000)</f>
        <v/>
      </c>
      <c r="AE92" s="68" t="n">
        <v>90</v>
      </c>
      <c r="AF92" s="68" t="n">
        <v>58.75</v>
      </c>
      <c r="AG92" s="68" t="n">
        <v>1428868</v>
      </c>
      <c r="AH92" s="43" t="n">
        <v>1522</v>
      </c>
      <c r="AI92" s="43" t="n">
        <v>1522</v>
      </c>
      <c r="AJ92" s="78">
        <f>TABL123[[#This Row],[(A/B) AJD]]-TABL123[[#This Row],[BER_IN]]</f>
        <v/>
      </c>
      <c r="AK92" s="68" t="n">
        <v>28</v>
      </c>
      <c r="AL92" s="87" t="n">
        <v>43.1235</v>
      </c>
      <c r="AM92" s="87" t="n">
        <v>3175240</v>
      </c>
      <c r="AN92" s="87">
        <f>TABL123[[#This Row],[ (RESV. STORGE) SER]]/10</f>
        <v/>
      </c>
      <c r="AO92" s="43" t="n">
        <v>1670</v>
      </c>
      <c r="AP92" s="32">
        <f>TABL123[[#This Row],[(A/S) AJD]]-TABL123[[#This Row],[SER_IN]]</f>
        <v/>
      </c>
    </row>
    <row r="93" ht="18.75" customHeight="1">
      <c r="A93" s="2" t="n">
        <v>46114</v>
      </c>
      <c r="B93" s="44" t="n">
        <v>32</v>
      </c>
      <c r="C93" s="44" t="n">
        <v>264</v>
      </c>
      <c r="D93" s="44" t="n">
        <v>32</v>
      </c>
      <c r="E93" s="44" t="n">
        <v>0</v>
      </c>
      <c r="F93" s="44" t="n">
        <v>95</v>
      </c>
      <c r="G93" s="40" t="n">
        <v>447</v>
      </c>
      <c r="H93" s="28">
        <f>103-F93</f>
        <v/>
      </c>
      <c r="I93" s="40" t="n">
        <v>379</v>
      </c>
      <c r="J93" s="44" t="n">
        <v>343</v>
      </c>
      <c r="K93" s="28">
        <f>TABL123[[#This Row],[ (T/B) SAR]]+TABL123[[#This Row],[ (S/S) SAR]]</f>
        <v/>
      </c>
      <c r="L93" s="45" t="n">
        <v>275</v>
      </c>
      <c r="M93" s="46" t="n">
        <v>20.3</v>
      </c>
      <c r="N93" s="46" t="n">
        <v>7.73</v>
      </c>
      <c r="O93" s="40" t="n">
        <v>358</v>
      </c>
      <c r="P93" s="3">
        <f>TABL123[[#This Row],[ (S/S) SAR]]-TABL123[[#This Row],[(S/S) AJD]]</f>
        <v/>
      </c>
      <c r="Q93" s="40" t="n">
        <v>392</v>
      </c>
      <c r="R93" s="3">
        <f>TABL123[[#This Row],[ (T/B) SAR]]-TABL123[[#This Row],[(T/B) AJD]]</f>
        <v/>
      </c>
      <c r="S93" s="3">
        <f>TABL123[[#This Row],[T/B-CON.]]+TABL123[[#This Row],[S/S_CON.]]</f>
        <v/>
      </c>
      <c r="T93" s="3">
        <f>TABL123[[#This Row],[(S/S) AJD]]+TABL123[[#This Row],[(T/B) AJD]]</f>
        <v/>
      </c>
      <c r="U93" s="44" t="n">
        <v>564</v>
      </c>
      <c r="V93" s="44" t="n">
        <v>217</v>
      </c>
      <c r="W93" s="3">
        <f>TABL123[[#This Row],[(A/B) AJD]]+TABL123[[#This Row],[(A/S) AJD]]</f>
        <v/>
      </c>
      <c r="X93" s="3">
        <f>TABL123[[#This Row],[( S/S+T/B) AJD]]-TABL123[[#This Row],[(A/B + A/S) AJD]]</f>
        <v/>
      </c>
      <c r="Y93" s="44" t="n">
        <v>92.40000000000001</v>
      </c>
      <c r="Z93" s="45" t="n">
        <v>437099</v>
      </c>
      <c r="AA93" s="3">
        <f>TABL123[[#This Row],[(RESV. STORGE) AJD]]/10</f>
        <v/>
      </c>
      <c r="AB93" s="45">
        <f>IF(TRIM(Z93)="",,(Z93-Z92)/1000)</f>
        <v/>
      </c>
      <c r="AC93" s="45" t="n">
        <v>0</v>
      </c>
      <c r="AD93" s="83">
        <f>TABL123[[#This Row],[( S/S+T/B) AJD]]-(TABL123[[#This Row],[(A/B + A/S) AJD]]+TABL123[[#This Row],[(STORGE DIFF.) AJD]]+(TABL123[[#This Row],[AJD_Evaporation]])/1000)</f>
        <v/>
      </c>
      <c r="AE93" s="68" t="n">
        <v>90</v>
      </c>
      <c r="AF93" s="68" t="n">
        <v>58.79</v>
      </c>
      <c r="AG93" s="68" t="n">
        <v>1485197</v>
      </c>
      <c r="AH93" s="45" t="n">
        <v>1053</v>
      </c>
      <c r="AI93" s="45" t="n">
        <v>1053</v>
      </c>
      <c r="AJ93" s="78">
        <f>TABL123[[#This Row],[(A/B) AJD]]-TABL123[[#This Row],[BER_IN]]</f>
        <v/>
      </c>
      <c r="AK93" s="68" t="n">
        <v>29</v>
      </c>
      <c r="AL93" s="87" t="n">
        <v>42.9989</v>
      </c>
      <c r="AM93" s="87" t="n">
        <v>3107000</v>
      </c>
      <c r="AN93" s="87">
        <f>TABL123[[#This Row],[ (RESV. STORGE) SER]]/10</f>
        <v/>
      </c>
      <c r="AO93" s="45" t="n">
        <v>1655</v>
      </c>
      <c r="AP93" s="32">
        <f>TABL123[[#This Row],[(A/S) AJD]]-TABL123[[#This Row],[SER_IN]]</f>
        <v/>
      </c>
    </row>
    <row r="94" ht="18.75" customHeight="1">
      <c r="A94" s="2" t="n">
        <v>46115</v>
      </c>
      <c r="B94" s="41" t="n">
        <v>32</v>
      </c>
      <c r="C94" s="41" t="n">
        <v>265</v>
      </c>
      <c r="D94" s="41" t="n">
        <v>32</v>
      </c>
      <c r="E94" s="41" t="n">
        <v>0</v>
      </c>
      <c r="F94" s="41" t="n">
        <v>95</v>
      </c>
      <c r="G94" s="39" t="n">
        <v>593</v>
      </c>
      <c r="H94" s="28">
        <f>103-F94</f>
        <v/>
      </c>
      <c r="I94" s="39" t="n">
        <v>445</v>
      </c>
      <c r="J94" s="39" t="n">
        <v>425</v>
      </c>
      <c r="K94" s="28">
        <f>TABL123[[#This Row],[ (T/B) SAR]]+TABL123[[#This Row],[ (S/S) SAR]]</f>
        <v/>
      </c>
      <c r="L94" s="41" t="n">
        <v>277</v>
      </c>
      <c r="M94" s="42" t="n">
        <v>20.3</v>
      </c>
      <c r="N94" s="42" t="n">
        <v>7.74</v>
      </c>
      <c r="O94" s="39" t="n">
        <v>344</v>
      </c>
      <c r="P94" s="3">
        <f>TABL123[[#This Row],[ (S/S) SAR]]-TABL123[[#This Row],[(S/S) AJD]]</f>
        <v/>
      </c>
      <c r="Q94" s="39" t="n">
        <v>371</v>
      </c>
      <c r="R94" s="3">
        <f>TABL123[[#This Row],[ (T/B) SAR]]-TABL123[[#This Row],[(T/B) AJD]]</f>
        <v/>
      </c>
      <c r="S94" s="3">
        <f>TABL123[[#This Row],[T/B-CON.]]+TABL123[[#This Row],[S/S_CON.]]</f>
        <v/>
      </c>
      <c r="T94" s="3">
        <f>TABL123[[#This Row],[(S/S) AJD]]+TABL123[[#This Row],[(T/B) AJD]]</f>
        <v/>
      </c>
      <c r="U94" s="41" t="n">
        <v>561</v>
      </c>
      <c r="V94" s="41" t="n">
        <v>220</v>
      </c>
      <c r="W94" s="3">
        <f>TABL123[[#This Row],[(A/B) AJD]]+TABL123[[#This Row],[(A/S) AJD]]</f>
        <v/>
      </c>
      <c r="X94" s="3">
        <f>TABL123[[#This Row],[( S/S+T/B) AJD]]-TABL123[[#This Row],[(A/B + A/S) AJD]]</f>
        <v/>
      </c>
      <c r="Y94" s="41" t="n">
        <v>92.23</v>
      </c>
      <c r="Z94" s="43" t="n">
        <v>336094</v>
      </c>
      <c r="AA94" s="3">
        <f>TABL123[[#This Row],[(RESV. STORGE) AJD]]/10</f>
        <v/>
      </c>
      <c r="AB94" s="45">
        <f>IF(TRIM(Z94)="",,(Z94-Z93)/1000)</f>
        <v/>
      </c>
      <c r="AC94" s="43" t="n">
        <v>0</v>
      </c>
      <c r="AD94" s="83">
        <f>TABL123[[#This Row],[( S/S+T/B) AJD]]-(TABL123[[#This Row],[(A/B + A/S) AJD]]+TABL123[[#This Row],[(STORGE DIFF.) AJD]]+(TABL123[[#This Row],[AJD_Evaporation]])/1000)</f>
        <v/>
      </c>
      <c r="AE94" s="68" t="n">
        <v>90</v>
      </c>
      <c r="AF94" s="68" t="n">
        <v>58.812</v>
      </c>
      <c r="AG94" s="68" t="n">
        <v>1499684</v>
      </c>
      <c r="AH94" s="43" t="n">
        <v>1732</v>
      </c>
      <c r="AI94" s="43" t="n">
        <v>1732</v>
      </c>
      <c r="AJ94" s="78">
        <f>TABL123[[#This Row],[(A/B) AJD]]-TABL123[[#This Row],[BER_IN]]</f>
        <v/>
      </c>
      <c r="AK94" s="68" t="n">
        <v>27</v>
      </c>
      <c r="AL94" s="87" t="n">
        <v>42.8607</v>
      </c>
      <c r="AM94" s="87" t="n">
        <v>3033000</v>
      </c>
      <c r="AN94" s="87">
        <f>TABL123[[#This Row],[ (RESV. STORGE) SER]]/10</f>
        <v/>
      </c>
      <c r="AO94" s="43" t="n">
        <v>1780</v>
      </c>
      <c r="AP94" s="32">
        <f>TABL123[[#This Row],[(A/S) AJD]]-TABL123[[#This Row],[SER_IN]]</f>
        <v/>
      </c>
    </row>
    <row r="95" ht="18.75" customHeight="1">
      <c r="A95" s="2" t="n">
        <v>46116</v>
      </c>
      <c r="B95" s="44" t="n">
        <v>32</v>
      </c>
      <c r="C95" s="44" t="n">
        <v>266</v>
      </c>
      <c r="D95" s="44" t="n">
        <v>32</v>
      </c>
      <c r="E95" s="44" t="n">
        <v>0</v>
      </c>
      <c r="F95" s="44" t="n">
        <v>96</v>
      </c>
      <c r="G95" s="40" t="n">
        <v>605</v>
      </c>
      <c r="H95" s="28">
        <f>103-F95</f>
        <v/>
      </c>
      <c r="I95" s="40" t="n">
        <v>450</v>
      </c>
      <c r="J95" s="44" t="n">
        <v>432</v>
      </c>
      <c r="K95" s="28">
        <f>TABL123[[#This Row],[ (T/B) SAR]]+TABL123[[#This Row],[ (S/S) SAR]]</f>
        <v/>
      </c>
      <c r="L95" s="45" t="n">
        <v>277</v>
      </c>
      <c r="M95" s="46" t="n">
        <v>20.3</v>
      </c>
      <c r="N95" s="46" t="n">
        <v>7.76</v>
      </c>
      <c r="O95" s="40" t="n">
        <v>384</v>
      </c>
      <c r="P95" s="3">
        <f>TABL123[[#This Row],[ (S/S) SAR]]-TABL123[[#This Row],[(S/S) AJD]]</f>
        <v/>
      </c>
      <c r="Q95" s="40" t="n">
        <v>413</v>
      </c>
      <c r="R95" s="3">
        <f>TABL123[[#This Row],[ (T/B) SAR]]-TABL123[[#This Row],[(T/B) AJD]]</f>
        <v/>
      </c>
      <c r="S95" s="3">
        <f>TABL123[[#This Row],[T/B-CON.]]+TABL123[[#This Row],[S/S_CON.]]</f>
        <v/>
      </c>
      <c r="T95" s="3">
        <f>TABL123[[#This Row],[(S/S) AJD]]+TABL123[[#This Row],[(T/B) AJD]]</f>
        <v/>
      </c>
      <c r="U95" s="44" t="n">
        <v>571</v>
      </c>
      <c r="V95" s="44" t="n">
        <v>215</v>
      </c>
      <c r="W95" s="3">
        <f>TABL123[[#This Row],[(A/B) AJD]]+TABL123[[#This Row],[(A/S) AJD]]</f>
        <v/>
      </c>
      <c r="X95" s="3">
        <f>TABL123[[#This Row],[( S/S+T/B) AJD]]-TABL123[[#This Row],[(A/B + A/S) AJD]]</f>
        <v/>
      </c>
      <c r="Y95" s="44" t="n">
        <v>92.16</v>
      </c>
      <c r="Z95" s="45" t="n">
        <v>294572</v>
      </c>
      <c r="AA95" s="3">
        <f>TABL123[[#This Row],[(RESV. STORGE) AJD]]/10</f>
        <v/>
      </c>
      <c r="AB95" s="45">
        <f>IF(TRIM(Z95)="",,(Z95-Z94)/1000)</f>
        <v/>
      </c>
      <c r="AC95" s="45" t="n">
        <v>1328</v>
      </c>
      <c r="AD95" s="83">
        <f>TABL123[[#This Row],[( S/S+T/B) AJD]]-(TABL123[[#This Row],[(A/B + A/S) AJD]]+TABL123[[#This Row],[(STORGE DIFF.) AJD]]+(TABL123[[#This Row],[AJD_Evaporation]])/1000)</f>
        <v/>
      </c>
      <c r="AE95" s="68" t="n">
        <v>90</v>
      </c>
      <c r="AF95" s="68" t="n">
        <v>58.86</v>
      </c>
      <c r="AG95" s="68" t="n">
        <v>1531306</v>
      </c>
      <c r="AH95" s="45" t="n">
        <v>1401</v>
      </c>
      <c r="AI95" s="45" t="n">
        <v>1401</v>
      </c>
      <c r="AJ95" s="78">
        <f>TABL123[[#This Row],[(A/B) AJD]]-TABL123[[#This Row],[BER_IN]]</f>
        <v/>
      </c>
      <c r="AK95" s="68" t="n">
        <v>26</v>
      </c>
      <c r="AL95" s="87" t="n">
        <v>42.8059</v>
      </c>
      <c r="AM95" s="87" t="n">
        <v>3003083</v>
      </c>
      <c r="AN95" s="87">
        <f>TABL123[[#This Row],[ (RESV. STORGE) SER]]/10</f>
        <v/>
      </c>
      <c r="AO95" s="45" t="n">
        <v>1800</v>
      </c>
      <c r="AP95" s="32">
        <f>TABL123[[#This Row],[(A/S) AJD]]-TABL123[[#This Row],[SER_IN]]</f>
        <v/>
      </c>
    </row>
    <row r="96" ht="18.75" customHeight="1">
      <c r="A96" s="2" t="n">
        <v>46117</v>
      </c>
      <c r="B96" s="41" t="n">
        <v>32</v>
      </c>
      <c r="C96" s="41" t="n">
        <v>249</v>
      </c>
      <c r="D96" s="41" t="n">
        <v>32</v>
      </c>
      <c r="E96" s="41" t="n">
        <v>0</v>
      </c>
      <c r="F96" s="41" t="n">
        <v>96</v>
      </c>
      <c r="G96" s="39" t="n">
        <v>594</v>
      </c>
      <c r="H96" s="28">
        <f>103-F96</f>
        <v/>
      </c>
      <c r="I96" s="39" t="n">
        <v>445</v>
      </c>
      <c r="J96" s="39" t="n">
        <v>430</v>
      </c>
      <c r="K96" s="28">
        <f>TABL123[[#This Row],[ (T/B) SAR]]+TABL123[[#This Row],[ (S/S) SAR]]</f>
        <v/>
      </c>
      <c r="L96" s="41" t="n">
        <v>281</v>
      </c>
      <c r="M96" s="42" t="n">
        <v>20.3</v>
      </c>
      <c r="N96" s="42" t="n">
        <v>7.72</v>
      </c>
      <c r="O96" s="39" t="n">
        <v>388</v>
      </c>
      <c r="P96" s="3">
        <f>TABL123[[#This Row],[ (S/S) SAR]]-TABL123[[#This Row],[(S/S) AJD]]</f>
        <v/>
      </c>
      <c r="Q96" s="39" t="n">
        <v>417</v>
      </c>
      <c r="R96" s="3">
        <f>TABL123[[#This Row],[ (T/B) SAR]]-TABL123[[#This Row],[(T/B) AJD]]</f>
        <v/>
      </c>
      <c r="S96" s="3">
        <f>TABL123[[#This Row],[T/B-CON.]]+TABL123[[#This Row],[S/S_CON.]]</f>
        <v/>
      </c>
      <c r="T96" s="3">
        <f>TABL123[[#This Row],[(S/S) AJD]]+TABL123[[#This Row],[(T/B) AJD]]</f>
        <v/>
      </c>
      <c r="U96" s="41" t="n">
        <v>575</v>
      </c>
      <c r="V96" s="41" t="n">
        <v>221</v>
      </c>
      <c r="W96" s="3">
        <f>TABL123[[#This Row],[(A/B) AJD]]+TABL123[[#This Row],[(A/S) AJD]]</f>
        <v/>
      </c>
      <c r="X96" s="3">
        <f>TABL123[[#This Row],[( S/S+T/B) AJD]]-TABL123[[#This Row],[(A/B + A/S) AJD]]</f>
        <v/>
      </c>
      <c r="Y96" s="41" t="n">
        <v>92.185</v>
      </c>
      <c r="Z96" s="43" t="n">
        <v>309393</v>
      </c>
      <c r="AA96" s="3">
        <f>TABL123[[#This Row],[(RESV. STORGE) AJD]]/10</f>
        <v/>
      </c>
      <c r="AB96" s="45">
        <f>IF(TRIM(Z96)="",,(Z96-Z95)/1000)</f>
        <v/>
      </c>
      <c r="AC96" s="43" t="n">
        <v>1079</v>
      </c>
      <c r="AD96" s="83">
        <f>TABL123[[#This Row],[( S/S+T/B) AJD]]-(TABL123[[#This Row],[(A/B + A/S) AJD]]+TABL123[[#This Row],[(STORGE DIFF.) AJD]]+(TABL123[[#This Row],[AJD_Evaporation]])/1000)</f>
        <v/>
      </c>
      <c r="AE96" s="68" t="n">
        <v>89</v>
      </c>
      <c r="AF96" s="68" t="n">
        <v>58.9</v>
      </c>
      <c r="AG96" s="68" t="n">
        <v>1557672</v>
      </c>
      <c r="AH96" s="43" t="n">
        <v>2793</v>
      </c>
      <c r="AI96" s="43" t="n">
        <v>2793</v>
      </c>
      <c r="AJ96" s="78">
        <f>TABL123[[#This Row],[(A/B) AJD]]-TABL123[[#This Row],[BER_IN]]</f>
        <v/>
      </c>
      <c r="AK96" s="68" t="n">
        <v>25</v>
      </c>
      <c r="AL96" s="87" t="n">
        <v>42.8278</v>
      </c>
      <c r="AM96" s="87" t="n">
        <v>3014710</v>
      </c>
      <c r="AN96" s="87">
        <f>TABL123[[#This Row],[ (RESV. STORGE) SER]]/10</f>
        <v/>
      </c>
      <c r="AO96" s="43" t="n">
        <v>1820</v>
      </c>
      <c r="AP96" s="32">
        <f>TABL123[[#This Row],[(A/S) AJD]]-TABL123[[#This Row],[SER_IN]]</f>
        <v/>
      </c>
    </row>
    <row r="97" ht="18.75" customHeight="1">
      <c r="A97" s="2" t="n">
        <v>46118</v>
      </c>
      <c r="B97" s="44" t="n">
        <v>32</v>
      </c>
      <c r="C97" s="44" t="n">
        <v>255</v>
      </c>
      <c r="D97" s="44" t="n">
        <v>32</v>
      </c>
      <c r="E97" s="44" t="n">
        <v>0</v>
      </c>
      <c r="F97" s="44" t="n">
        <v>96</v>
      </c>
      <c r="G97" s="40" t="n">
        <v>594</v>
      </c>
      <c r="H97" s="28">
        <f>103-F97</f>
        <v/>
      </c>
      <c r="I97" s="40" t="n">
        <v>437</v>
      </c>
      <c r="J97" s="44" t="n">
        <v>455</v>
      </c>
      <c r="K97" s="28">
        <f>TABL123[[#This Row],[ (T/B) SAR]]+TABL123[[#This Row],[ (S/S) SAR]]</f>
        <v/>
      </c>
      <c r="L97" s="45" t="n">
        <v>286</v>
      </c>
      <c r="M97" s="46" t="n">
        <v>20.3</v>
      </c>
      <c r="N97" s="46" t="n">
        <v>7.6</v>
      </c>
      <c r="O97" s="40" t="n">
        <v>391</v>
      </c>
      <c r="P97" s="3">
        <f>TABL123[[#This Row],[ (S/S) SAR]]-TABL123[[#This Row],[(S/S) AJD]]</f>
        <v/>
      </c>
      <c r="Q97" s="40" t="n">
        <v>420</v>
      </c>
      <c r="R97" s="3">
        <f>TABL123[[#This Row],[ (T/B) SAR]]-TABL123[[#This Row],[(T/B) AJD]]</f>
        <v/>
      </c>
      <c r="S97" s="3">
        <f>TABL123[[#This Row],[T/B-CON.]]+TABL123[[#This Row],[S/S_CON.]]</f>
        <v/>
      </c>
      <c r="T97" s="3">
        <f>TABL123[[#This Row],[(S/S) AJD]]+TABL123[[#This Row],[(T/B) AJD]]</f>
        <v/>
      </c>
      <c r="U97" s="44" t="n">
        <v>581</v>
      </c>
      <c r="V97" s="44" t="n">
        <v>203</v>
      </c>
      <c r="W97" s="3">
        <f>TABL123[[#This Row],[(A/B) AJD]]+TABL123[[#This Row],[(A/S) AJD]]</f>
        <v/>
      </c>
      <c r="X97" s="3">
        <f>TABL123[[#This Row],[( S/S+T/B) AJD]]-TABL123[[#This Row],[(A/B + A/S) AJD]]</f>
        <v/>
      </c>
      <c r="Y97" s="44" t="n">
        <v>92.155</v>
      </c>
      <c r="Z97" s="45" t="n">
        <v>291604</v>
      </c>
      <c r="AA97" s="3">
        <f>TABL123[[#This Row],[(RESV. STORGE) AJD]]/10</f>
        <v/>
      </c>
      <c r="AB97" s="45">
        <f>IF(TRIM(Z97)="",,(Z97-Z96)/1000)</f>
        <v/>
      </c>
      <c r="AC97" s="45" t="n">
        <v>0</v>
      </c>
      <c r="AD97" s="83">
        <f>TABL123[[#This Row],[( S/S+T/B) AJD]]-(TABL123[[#This Row],[(A/B + A/S) AJD]]+TABL123[[#This Row],[(STORGE DIFF.) AJD]]+(TABL123[[#This Row],[AJD_Evaporation]])/1000)</f>
        <v/>
      </c>
      <c r="AE97" s="68" t="n">
        <v>90</v>
      </c>
      <c r="AF97" s="68" t="n">
        <v>58.85</v>
      </c>
      <c r="AG97" s="68" t="n">
        <v>1524716</v>
      </c>
      <c r="AH97" s="45" t="n">
        <v>2286</v>
      </c>
      <c r="AI97" s="45" t="n">
        <v>2286</v>
      </c>
      <c r="AJ97" s="78">
        <f>TABL123[[#This Row],[(A/B) AJD]]-TABL123[[#This Row],[BER_IN]]</f>
        <v/>
      </c>
      <c r="AK97" s="68" t="n">
        <v>25</v>
      </c>
      <c r="AL97" s="87" t="n">
        <v>42.8351</v>
      </c>
      <c r="AM97" s="87" t="n">
        <v>3019020</v>
      </c>
      <c r="AN97" s="87">
        <f>TABL123[[#This Row],[ (RESV. STORGE) SER]]/10</f>
        <v/>
      </c>
      <c r="AO97" s="45" t="n">
        <v>1720</v>
      </c>
      <c r="AP97" s="32">
        <f>TABL123[[#This Row],[(A/S) AJD]]-TABL123[[#This Row],[SER_IN]]</f>
        <v/>
      </c>
    </row>
    <row r="98" ht="18.75" customHeight="1">
      <c r="A98" s="2" t="n">
        <v>46119</v>
      </c>
      <c r="B98" s="41" t="n">
        <v>32</v>
      </c>
      <c r="C98" s="41" t="n">
        <v>260</v>
      </c>
      <c r="D98" s="41" t="n">
        <v>32</v>
      </c>
      <c r="E98" s="41" t="n">
        <v>0</v>
      </c>
      <c r="F98" s="41" t="n">
        <v>96</v>
      </c>
      <c r="G98" s="39" t="n">
        <v>597</v>
      </c>
      <c r="H98" s="28">
        <f>103-F98</f>
        <v/>
      </c>
      <c r="I98" s="39" t="n">
        <v>449</v>
      </c>
      <c r="J98" s="39" t="n">
        <v>433</v>
      </c>
      <c r="K98" s="28">
        <f>TABL123[[#This Row],[ (T/B) SAR]]+TABL123[[#This Row],[ (S/S) SAR]]</f>
        <v/>
      </c>
      <c r="L98" s="41" t="n">
        <v>285</v>
      </c>
      <c r="M98" s="42" t="n">
        <v>20.3</v>
      </c>
      <c r="N98" s="42" t="n">
        <v>7.6</v>
      </c>
      <c r="O98" s="39" t="n">
        <v>389</v>
      </c>
      <c r="P98" s="3">
        <f>TABL123[[#This Row],[ (S/S) SAR]]-TABL123[[#This Row],[(S/S) AJD]]</f>
        <v/>
      </c>
      <c r="Q98" s="39" t="n">
        <v>410</v>
      </c>
      <c r="R98" s="3">
        <f>TABL123[[#This Row],[ (T/B) SAR]]-TABL123[[#This Row],[(T/B) AJD]]</f>
        <v/>
      </c>
      <c r="S98" s="3">
        <f>TABL123[[#This Row],[T/B-CON.]]+TABL123[[#This Row],[S/S_CON.]]</f>
        <v/>
      </c>
      <c r="T98" s="3">
        <f>TABL123[[#This Row],[(S/S) AJD]]+TABL123[[#This Row],[(T/B) AJD]]</f>
        <v/>
      </c>
      <c r="U98" s="41" t="n">
        <v>579</v>
      </c>
      <c r="V98" s="41" t="n">
        <v>198</v>
      </c>
      <c r="W98" s="3">
        <f>TABL123[[#This Row],[(A/B) AJD]]+TABL123[[#This Row],[(A/S) AJD]]</f>
        <v/>
      </c>
      <c r="X98" s="3">
        <f>TABL123[[#This Row],[( S/S+T/B) AJD]]-TABL123[[#This Row],[(A/B + A/S) AJD]]</f>
        <v/>
      </c>
      <c r="Y98" s="41" t="n">
        <v>92.175</v>
      </c>
      <c r="Z98" s="43" t="n">
        <v>303466</v>
      </c>
      <c r="AA98" s="3">
        <f>TABL123[[#This Row],[(RESV. STORGE) AJD]]/10</f>
        <v/>
      </c>
      <c r="AB98" s="45">
        <f>IF(TRIM(Z98)="",,(Z98-Z97)/1000)</f>
        <v/>
      </c>
      <c r="AC98" s="43" t="n">
        <v>1196</v>
      </c>
      <c r="AD98" s="83">
        <f>TABL123[[#This Row],[( S/S+T/B) AJD]]-(TABL123[[#This Row],[(A/B + A/S) AJD]]+TABL123[[#This Row],[(STORGE DIFF.) AJD]]+(TABL123[[#This Row],[AJD_Evaporation]])/1000)</f>
        <v/>
      </c>
      <c r="AE98" s="68" t="n">
        <v>90</v>
      </c>
      <c r="AF98" s="68" t="n">
        <v>58.78</v>
      </c>
      <c r="AG98" s="68" t="n">
        <v>1478610</v>
      </c>
      <c r="AH98" s="43" t="n">
        <v>2223</v>
      </c>
      <c r="AI98" s="43" t="n">
        <v>657660</v>
      </c>
      <c r="AJ98" s="78">
        <f>TABL123[[#This Row],[(A/B) AJD]]-TABL123[[#This Row],[BER_IN]]</f>
        <v/>
      </c>
      <c r="AK98" s="68" t="n">
        <v>24</v>
      </c>
      <c r="AL98" s="87" t="n">
        <v>42.8547</v>
      </c>
      <c r="AM98" s="87" t="n">
        <v>3029840</v>
      </c>
      <c r="AN98" s="87">
        <f>TABL123[[#This Row],[ (RESV. STORGE) SER]]/10</f>
        <v/>
      </c>
      <c r="AO98" s="43" t="n">
        <v>1735</v>
      </c>
      <c r="AP98" s="32">
        <f>TABL123[[#This Row],[(A/S) AJD]]-TABL123[[#This Row],[SER_IN]]</f>
        <v/>
      </c>
    </row>
    <row r="99" ht="18.75" customHeight="1">
      <c r="A99" s="2" t="n">
        <v>46120</v>
      </c>
      <c r="B99" s="44" t="n">
        <v>32</v>
      </c>
      <c r="C99" s="44" t="n">
        <v>250</v>
      </c>
      <c r="D99" s="44" t="n">
        <v>32</v>
      </c>
      <c r="E99" s="44" t="n">
        <v>0</v>
      </c>
      <c r="F99" s="44" t="n">
        <v>96</v>
      </c>
      <c r="G99" s="40" t="n">
        <v>594</v>
      </c>
      <c r="H99" s="28">
        <f>103-F99</f>
        <v/>
      </c>
      <c r="I99" s="40" t="n">
        <v>449</v>
      </c>
      <c r="J99" s="44" t="n">
        <v>432</v>
      </c>
      <c r="K99" s="28">
        <f>TABL123[[#This Row],[ (T/B) SAR]]+TABL123[[#This Row],[ (S/S) SAR]]</f>
        <v/>
      </c>
      <c r="L99" s="45" t="n">
        <v>287</v>
      </c>
      <c r="M99" s="46" t="n">
        <v>20.3</v>
      </c>
      <c r="N99" s="46" t="n">
        <v>7.6</v>
      </c>
      <c r="O99" s="40" t="n">
        <v>391</v>
      </c>
      <c r="P99" s="3">
        <f>TABL123[[#This Row],[ (S/S) SAR]]-TABL123[[#This Row],[(S/S) AJD]]</f>
        <v/>
      </c>
      <c r="Q99" s="40" t="n">
        <v>432</v>
      </c>
      <c r="R99" s="3">
        <f>TABL123[[#This Row],[ (T/B) SAR]]-TABL123[[#This Row],[(T/B) AJD]]</f>
        <v/>
      </c>
      <c r="S99" s="3">
        <f>TABL123[[#This Row],[T/B-CON.]]+TABL123[[#This Row],[S/S_CON.]]</f>
        <v/>
      </c>
      <c r="T99" s="3">
        <f>TABL123[[#This Row],[(S/S) AJD]]+TABL123[[#This Row],[(T/B) AJD]]</f>
        <v/>
      </c>
      <c r="U99" s="44" t="n">
        <v>574</v>
      </c>
      <c r="V99" s="44" t="n">
        <v>199</v>
      </c>
      <c r="W99" s="3">
        <f>TABL123[[#This Row],[(A/B) AJD]]+TABL123[[#This Row],[(A/S) AJD]]</f>
        <v/>
      </c>
      <c r="X99" s="3">
        <f>TABL123[[#This Row],[( S/S+T/B) AJD]]-TABL123[[#This Row],[(A/B + A/S) AJD]]</f>
        <v/>
      </c>
      <c r="Y99" s="44" t="n">
        <v>92.205</v>
      </c>
      <c r="Z99" s="45" t="n">
        <v>321759</v>
      </c>
      <c r="AA99" s="3">
        <f>TABL123[[#This Row],[(RESV. STORGE) AJD]]/10</f>
        <v/>
      </c>
      <c r="AB99" s="45">
        <f>IF(TRIM(Z99)="",,(Z99-Z98)/1000)</f>
        <v/>
      </c>
      <c r="AC99" s="45" t="n">
        <v>1005</v>
      </c>
      <c r="AD99" s="83">
        <f>TABL123[[#This Row],[( S/S+T/B) AJD]]-(TABL123[[#This Row],[(A/B + A/S) AJD]]+TABL123[[#This Row],[(STORGE DIFF.) AJD]]+(TABL123[[#This Row],[AJD_Evaporation]])/1000)</f>
        <v/>
      </c>
      <c r="AE99" s="68" t="n">
        <v>92</v>
      </c>
      <c r="AF99" s="68" t="n">
        <v>58.71</v>
      </c>
      <c r="AG99" s="68" t="n">
        <v>1432554</v>
      </c>
      <c r="AH99" s="45" t="n">
        <v>2060</v>
      </c>
      <c r="AI99" s="45" t="n">
        <v>2060</v>
      </c>
      <c r="AJ99" s="78">
        <f>TABL123[[#This Row],[(A/B) AJD]]-TABL123[[#This Row],[BER_IN]]</f>
        <v/>
      </c>
      <c r="AK99" s="68" t="n">
        <v>25</v>
      </c>
      <c r="AL99" s="87" t="n">
        <v>42.8633</v>
      </c>
      <c r="AM99" s="87" t="n">
        <v>3033860</v>
      </c>
      <c r="AN99" s="87">
        <f>TABL123[[#This Row],[ (RESV. STORGE) SER]]/10</f>
        <v/>
      </c>
      <c r="AO99" s="45" t="n">
        <v>1765</v>
      </c>
      <c r="AP99" s="32">
        <f>TABL123[[#This Row],[(A/S) AJD]]-TABL123[[#This Row],[SER_IN]]</f>
        <v/>
      </c>
    </row>
    <row r="100" ht="18.75" customHeight="1">
      <c r="A100" s="2" t="n">
        <v>46121</v>
      </c>
      <c r="B100" s="41" t="n">
        <v>32</v>
      </c>
      <c r="C100" s="41" t="n">
        <v>241</v>
      </c>
      <c r="D100" s="41" t="n">
        <v>32</v>
      </c>
      <c r="E100" s="41" t="n">
        <v>0</v>
      </c>
      <c r="F100" s="41" t="n">
        <v>96</v>
      </c>
      <c r="G100" s="39" t="n">
        <v>602</v>
      </c>
      <c r="H100" s="28">
        <f>103-F100</f>
        <v/>
      </c>
      <c r="I100" s="39" t="n">
        <v>451</v>
      </c>
      <c r="J100" s="39" t="n">
        <v>436</v>
      </c>
      <c r="K100" s="28">
        <f>TABL123[[#This Row],[ (T/B) SAR]]+TABL123[[#This Row],[ (S/S) SAR]]</f>
        <v/>
      </c>
      <c r="L100" s="41" t="n">
        <v>285</v>
      </c>
      <c r="M100" s="42" t="n">
        <v>20.3</v>
      </c>
      <c r="N100" s="42" t="n">
        <v>7.54</v>
      </c>
      <c r="O100" s="39" t="n">
        <v>392</v>
      </c>
      <c r="P100" s="3">
        <f>TABL123[[#This Row],[ (S/S) SAR]]-TABL123[[#This Row],[(S/S) AJD]]</f>
        <v/>
      </c>
      <c r="Q100" s="39" t="n">
        <v>421</v>
      </c>
      <c r="R100" s="3">
        <f>TABL123[[#This Row],[ (T/B) SAR]]-TABL123[[#This Row],[(T/B) AJD]]</f>
        <v/>
      </c>
      <c r="S100" s="3">
        <f>TABL123[[#This Row],[T/B-CON.]]+TABL123[[#This Row],[S/S_CON.]]</f>
        <v/>
      </c>
      <c r="T100" s="3">
        <f>TABL123[[#This Row],[(S/S) AJD]]+TABL123[[#This Row],[(T/B) AJD]]</f>
        <v/>
      </c>
      <c r="U100" s="41" t="n">
        <v>575</v>
      </c>
      <c r="V100" s="41" t="n">
        <v>216</v>
      </c>
      <c r="W100" s="3">
        <f>TABL123[[#This Row],[(A/B) AJD]]+TABL123[[#This Row],[(A/S) AJD]]</f>
        <v/>
      </c>
      <c r="X100" s="3">
        <f>TABL123[[#This Row],[( S/S+T/B) AJD]]-TABL123[[#This Row],[(A/B + A/S) AJD]]</f>
        <v/>
      </c>
      <c r="Y100" s="41" t="n">
        <v>92.2</v>
      </c>
      <c r="Z100" s="43" t="n">
        <v>318290</v>
      </c>
      <c r="AA100" s="3">
        <f>TABL123[[#This Row],[(RESV. STORGE) AJD]]/10</f>
        <v/>
      </c>
      <c r="AB100" s="45">
        <f>IF(TRIM(Z100)="",,(Z100-Z99)/1000)</f>
        <v/>
      </c>
      <c r="AC100" s="43" t="n">
        <v>0</v>
      </c>
      <c r="AD100" s="83">
        <f>TABL123[[#This Row],[( S/S+T/B) AJD]]-(TABL123[[#This Row],[(A/B + A/S) AJD]]+TABL123[[#This Row],[(STORGE DIFF.) AJD]]+(TABL123[[#This Row],[AJD_Evaporation]])/1000)</f>
        <v/>
      </c>
      <c r="AE100" s="68" t="n">
        <v>90</v>
      </c>
      <c r="AF100" s="68" t="n">
        <v>58.64</v>
      </c>
      <c r="AG100" s="68" t="n">
        <v>1386536</v>
      </c>
      <c r="AH100" s="43" t="n">
        <v>1674</v>
      </c>
      <c r="AI100" s="43" t="n">
        <v>1674</v>
      </c>
      <c r="AJ100" s="78">
        <f>TABL123[[#This Row],[(A/B) AJD]]-TABL123[[#This Row],[BER_IN]]</f>
        <v/>
      </c>
      <c r="AK100" s="68" t="n">
        <v>21</v>
      </c>
      <c r="AL100" s="87" t="n">
        <v>42.8509</v>
      </c>
      <c r="AM100" s="87" t="n">
        <v>3027660</v>
      </c>
      <c r="AN100" s="87">
        <f>TABL123[[#This Row],[ (RESV. STORGE) SER]]/10</f>
        <v/>
      </c>
      <c r="AO100" s="43" t="n">
        <v>1775</v>
      </c>
      <c r="AP100" s="32">
        <f>TABL123[[#This Row],[(A/S) AJD]]-TABL123[[#This Row],[SER_IN]]</f>
        <v/>
      </c>
    </row>
    <row r="101" ht="18.75" customHeight="1">
      <c r="A101" s="2" t="n">
        <v>46122</v>
      </c>
      <c r="B101" s="44" t="n">
        <v>32</v>
      </c>
      <c r="C101" s="44" t="n">
        <v>263</v>
      </c>
      <c r="D101" s="44" t="n">
        <v>32</v>
      </c>
      <c r="E101" s="44" t="n">
        <v>0</v>
      </c>
      <c r="F101" s="44" t="n">
        <v>96</v>
      </c>
      <c r="G101" s="40" t="n">
        <v>607</v>
      </c>
      <c r="H101" s="28">
        <f>103-F101</f>
        <v/>
      </c>
      <c r="I101" s="40" t="n">
        <v>455</v>
      </c>
      <c r="J101" s="44" t="n">
        <v>437</v>
      </c>
      <c r="K101" s="28">
        <f>TABL123[[#This Row],[ (T/B) SAR]]+TABL123[[#This Row],[ (S/S) SAR]]</f>
        <v/>
      </c>
      <c r="L101" s="45" t="n">
        <v>285</v>
      </c>
      <c r="M101" s="46" t="n">
        <v>20.3</v>
      </c>
      <c r="N101" s="46" t="n">
        <v>7.54</v>
      </c>
      <c r="O101" s="40" t="n">
        <v>395</v>
      </c>
      <c r="P101" s="3">
        <f>TABL123[[#This Row],[ (S/S) SAR]]-TABL123[[#This Row],[(S/S) AJD]]</f>
        <v/>
      </c>
      <c r="Q101" s="40" t="n">
        <v>424</v>
      </c>
      <c r="R101" s="3">
        <f>TABL123[[#This Row],[ (T/B) SAR]]-TABL123[[#This Row],[(T/B) AJD]]</f>
        <v/>
      </c>
      <c r="S101" s="3">
        <f>TABL123[[#This Row],[T/B-CON.]]+TABL123[[#This Row],[S/S_CON.]]</f>
        <v/>
      </c>
      <c r="T101" s="3">
        <f>TABL123[[#This Row],[(S/S) AJD]]+TABL123[[#This Row],[(T/B) AJD]]</f>
        <v/>
      </c>
      <c r="U101" s="44" t="n">
        <v>575</v>
      </c>
      <c r="V101" s="44" t="n">
        <v>236</v>
      </c>
      <c r="W101" s="3">
        <f>TABL123[[#This Row],[(A/B) AJD]]+TABL123[[#This Row],[(A/S) AJD]]</f>
        <v/>
      </c>
      <c r="X101" s="3">
        <f>TABL123[[#This Row],[( S/S+T/B) AJD]]-TABL123[[#This Row],[(A/B + A/S) AJD]]</f>
        <v/>
      </c>
      <c r="Y101" s="44" t="n">
        <v>92.16800000000001</v>
      </c>
      <c r="Z101" s="45" t="n">
        <v>299312</v>
      </c>
      <c r="AA101" s="3">
        <f>TABL123[[#This Row],[(RESV. STORGE) AJD]]/10</f>
        <v/>
      </c>
      <c r="AB101" s="45">
        <f>IF(TRIM(Z101)="",,(Z101-Z100)/1000)</f>
        <v/>
      </c>
      <c r="AC101" s="45" t="n">
        <v>0</v>
      </c>
      <c r="AD101" s="83">
        <f>TABL123[[#This Row],[( S/S+T/B) AJD]]-(TABL123[[#This Row],[(A/B + A/S) AJD]]+TABL123[[#This Row],[(STORGE DIFF.) AJD]]+(TABL123[[#This Row],[AJD_Evaporation]])/1000)</f>
        <v/>
      </c>
      <c r="AE101" s="68" t="n">
        <v>90</v>
      </c>
      <c r="AF101" s="68" t="n">
        <v>58.56</v>
      </c>
      <c r="AG101" s="68" t="n">
        <v>1333996</v>
      </c>
      <c r="AH101" s="45" t="n">
        <v>1612</v>
      </c>
      <c r="AI101" s="45" t="n">
        <v>1612</v>
      </c>
      <c r="AJ101" s="78">
        <f>TABL123[[#This Row],[(A/B) AJD]]-TABL123[[#This Row],[BER_IN]]</f>
        <v/>
      </c>
      <c r="AK101" s="68" t="n">
        <v>21</v>
      </c>
      <c r="AL101" s="87" t="n">
        <v>42.8351</v>
      </c>
      <c r="AM101" s="87" t="n">
        <v>3019020</v>
      </c>
      <c r="AN101" s="87">
        <f>TABL123[[#This Row],[ (RESV. STORGE) SER]]/10</f>
        <v/>
      </c>
      <c r="AO101" s="45" t="n">
        <v>1785</v>
      </c>
      <c r="AP101" s="32">
        <f>TABL123[[#This Row],[(A/S) AJD]]-TABL123[[#This Row],[SER_IN]]</f>
        <v/>
      </c>
    </row>
    <row r="102" ht="18.75" customHeight="1">
      <c r="A102" s="2" t="n">
        <v>46123</v>
      </c>
      <c r="B102" s="41" t="n">
        <v>32</v>
      </c>
      <c r="C102" s="41" t="n">
        <v>256</v>
      </c>
      <c r="D102" s="41" t="n">
        <v>32</v>
      </c>
      <c r="E102" s="41" t="n">
        <v>0</v>
      </c>
      <c r="F102" s="41" t="n">
        <v>96</v>
      </c>
      <c r="G102" s="39" t="n">
        <v>600</v>
      </c>
      <c r="H102" s="28">
        <f>103-F102</f>
        <v/>
      </c>
      <c r="I102" s="39" t="n">
        <v>451</v>
      </c>
      <c r="J102" s="39" t="n">
        <v>434</v>
      </c>
      <c r="K102" s="28">
        <f>TABL123[[#This Row],[ (T/B) SAR]]+TABL123[[#This Row],[ (S/S) SAR]]</f>
        <v/>
      </c>
      <c r="L102" s="41" t="n">
        <v>285</v>
      </c>
      <c r="M102" s="42" t="n">
        <v>20.3</v>
      </c>
      <c r="N102" s="42" t="n">
        <v>7.55</v>
      </c>
      <c r="O102" s="39" t="n">
        <v>397</v>
      </c>
      <c r="P102" s="3">
        <f>TABL123[[#This Row],[ (S/S) SAR]]-TABL123[[#This Row],[(S/S) AJD]]</f>
        <v/>
      </c>
      <c r="Q102" s="39" t="n">
        <v>428</v>
      </c>
      <c r="R102" s="3">
        <f>TABL123[[#This Row],[ (T/B) SAR]]-TABL123[[#This Row],[(T/B) AJD]]</f>
        <v/>
      </c>
      <c r="S102" s="3">
        <f>TABL123[[#This Row],[T/B-CON.]]+TABL123[[#This Row],[S/S_CON.]]</f>
        <v/>
      </c>
      <c r="T102" s="3">
        <f>TABL123[[#This Row],[(S/S) AJD]]+TABL123[[#This Row],[(T/B) AJD]]</f>
        <v/>
      </c>
      <c r="U102" s="41" t="n">
        <v>579</v>
      </c>
      <c r="V102" s="41" t="n">
        <v>254</v>
      </c>
      <c r="W102" s="3">
        <f>TABL123[[#This Row],[(A/B) AJD]]+TABL123[[#This Row],[(A/S) AJD]]</f>
        <v/>
      </c>
      <c r="X102" s="3">
        <f>TABL123[[#This Row],[( S/S+T/B) AJD]]-TABL123[[#This Row],[(A/B + A/S) AJD]]</f>
        <v/>
      </c>
      <c r="Y102" s="41" t="n">
        <v>92.108</v>
      </c>
      <c r="Z102" s="43" t="n">
        <v>263752</v>
      </c>
      <c r="AA102" s="3">
        <f>TABL123[[#This Row],[(RESV. STORGE) AJD]]/10</f>
        <v/>
      </c>
      <c r="AB102" s="45">
        <f>IF(TRIM(Z102)="",,(Z102-Z101)/1000)</f>
        <v/>
      </c>
      <c r="AC102" s="43" t="n">
        <v>0</v>
      </c>
      <c r="AD102" s="83">
        <f>TABL123[[#This Row],[( S/S+T/B) AJD]]-(TABL123[[#This Row],[(A/B + A/S) AJD]]+TABL123[[#This Row],[(STORGE DIFF.) AJD]]+(TABL123[[#This Row],[AJD_Evaporation]])/1000)</f>
        <v/>
      </c>
      <c r="AE102" s="68" t="n">
        <v>90</v>
      </c>
      <c r="AF102" s="68" t="n">
        <v>58.49</v>
      </c>
      <c r="AG102" s="68" t="n">
        <v>1288069</v>
      </c>
      <c r="AH102" s="43" t="n">
        <v>2327</v>
      </c>
      <c r="AI102" s="43" t="n">
        <v>2327</v>
      </c>
      <c r="AJ102" s="78">
        <f>TABL123[[#This Row],[(A/B) AJD]]-TABL123[[#This Row],[BER_IN]]</f>
        <v/>
      </c>
      <c r="AK102" s="68" t="n">
        <v>22</v>
      </c>
      <c r="AL102" s="87" t="n">
        <v>42.8351</v>
      </c>
      <c r="AM102" s="87" t="n">
        <v>3019020</v>
      </c>
      <c r="AN102" s="87">
        <f>TABL123[[#This Row],[ (RESV. STORGE) SER]]/10</f>
        <v/>
      </c>
      <c r="AO102" s="43" t="n">
        <v>1820</v>
      </c>
      <c r="AP102" s="32">
        <f>TABL123[[#This Row],[(A/S) AJD]]-TABL123[[#This Row],[SER_IN]]</f>
        <v/>
      </c>
    </row>
    <row r="103" ht="18.75" customHeight="1">
      <c r="A103" s="2" t="n">
        <v>46124</v>
      </c>
      <c r="B103" s="44" t="n">
        <v>33</v>
      </c>
      <c r="C103" s="44" t="n">
        <v>258</v>
      </c>
      <c r="D103" s="44" t="n">
        <v>33</v>
      </c>
      <c r="E103" s="44" t="n">
        <v>0</v>
      </c>
      <c r="F103" s="44" t="n">
        <v>96</v>
      </c>
      <c r="G103" s="40" t="n">
        <v>587</v>
      </c>
      <c r="H103" s="28">
        <f>103-F103</f>
        <v/>
      </c>
      <c r="I103" s="40" t="n">
        <v>444</v>
      </c>
      <c r="J103" s="44" t="n">
        <v>429</v>
      </c>
      <c r="K103" s="28">
        <f>TABL123[[#This Row],[ (T/B) SAR]]+TABL123[[#This Row],[ (S/S) SAR]]</f>
        <v/>
      </c>
      <c r="L103" s="45" t="n">
        <v>286</v>
      </c>
      <c r="M103" s="46" t="n">
        <v>20.3</v>
      </c>
      <c r="N103" s="46" t="n">
        <v>7.54</v>
      </c>
      <c r="O103" s="40" t="n">
        <v>395</v>
      </c>
      <c r="P103" s="3">
        <f>TABL123[[#This Row],[ (S/S) SAR]]-TABL123[[#This Row],[(S/S) AJD]]</f>
        <v/>
      </c>
      <c r="Q103" s="40" t="n">
        <v>424</v>
      </c>
      <c r="R103" s="3">
        <f>TABL123[[#This Row],[ (T/B) SAR]]-TABL123[[#This Row],[(T/B) AJD]]</f>
        <v/>
      </c>
      <c r="S103" s="3">
        <f>TABL123[[#This Row],[T/B-CON.]]+TABL123[[#This Row],[S/S_CON.]]</f>
        <v/>
      </c>
      <c r="T103" s="3">
        <f>TABL123[[#This Row],[(S/S) AJD]]+TABL123[[#This Row],[(T/B) AJD]]</f>
        <v/>
      </c>
      <c r="U103" s="44" t="n">
        <v>581</v>
      </c>
      <c r="V103" s="44" t="n">
        <v>251</v>
      </c>
      <c r="W103" s="3">
        <f>TABL123[[#This Row],[(A/B) AJD]]+TABL123[[#This Row],[(A/S) AJD]]</f>
        <v/>
      </c>
      <c r="X103" s="3">
        <f>TABL123[[#This Row],[( S/S+T/B) AJD]]-TABL123[[#This Row],[(A/B + A/S) AJD]]</f>
        <v/>
      </c>
      <c r="Y103" s="44" t="n">
        <v>92.04600000000001</v>
      </c>
      <c r="Z103" s="45" t="n">
        <v>227032</v>
      </c>
      <c r="AA103" s="3">
        <f>TABL123[[#This Row],[(RESV. STORGE) AJD]]/10</f>
        <v/>
      </c>
      <c r="AB103" s="45">
        <f>IF(TRIM(Z103)="",,(Z103-Z102)/1000)</f>
        <v/>
      </c>
      <c r="AC103" s="45" t="n">
        <v>1160</v>
      </c>
      <c r="AD103" s="83">
        <f>TABL123[[#This Row],[( S/S+T/B) AJD]]-(TABL123[[#This Row],[(A/B + A/S) AJD]]+TABL123[[#This Row],[(STORGE DIFF.) AJD]]+(TABL123[[#This Row],[AJD_Evaporation]])/1000)</f>
        <v/>
      </c>
      <c r="AE103" s="68" t="n">
        <v>92</v>
      </c>
      <c r="AF103" s="68" t="n">
        <v>58.51</v>
      </c>
      <c r="AG103" s="68" t="n">
        <v>1301186</v>
      </c>
      <c r="AH103" s="45" t="n">
        <v>2234</v>
      </c>
      <c r="AI103" s="45" t="n">
        <v>2234</v>
      </c>
      <c r="AJ103" s="78">
        <f>TABL123[[#This Row],[(A/B) AJD]]-TABL123[[#This Row],[BER_IN]]</f>
        <v/>
      </c>
      <c r="AK103" s="68" t="n">
        <v>22</v>
      </c>
      <c r="AL103" s="87" t="n">
        <v>42.8308</v>
      </c>
      <c r="AM103" s="87" t="n">
        <v>3016870</v>
      </c>
      <c r="AN103" s="87">
        <f>TABL123[[#This Row],[ (RESV. STORGE) SER]]/10</f>
        <v/>
      </c>
      <c r="AO103" s="45" t="n">
        <v>1850</v>
      </c>
      <c r="AP103" s="32">
        <f>TABL123[[#This Row],[(A/S) AJD]]-TABL123[[#This Row],[SER_IN]]</f>
        <v/>
      </c>
    </row>
    <row r="104" ht="18.75" customHeight="1">
      <c r="A104" s="2" t="n">
        <v>46125</v>
      </c>
      <c r="B104" s="41" t="n">
        <v>33</v>
      </c>
      <c r="C104" s="41" t="n">
        <v>271</v>
      </c>
      <c r="D104" s="41" t="n">
        <v>33</v>
      </c>
      <c r="E104" s="41" t="n">
        <v>0</v>
      </c>
      <c r="F104" s="41" t="n">
        <v>96</v>
      </c>
      <c r="G104" s="39" t="n">
        <v>592</v>
      </c>
      <c r="H104" s="28">
        <f>103-F104</f>
        <v/>
      </c>
      <c r="I104" s="39" t="n">
        <v>447</v>
      </c>
      <c r="J104" s="39" t="n">
        <v>431</v>
      </c>
      <c r="K104" s="28">
        <f>TABL123[[#This Row],[ (T/B) SAR]]+TABL123[[#This Row],[ (S/S) SAR]]</f>
        <v/>
      </c>
      <c r="L104" s="41" t="n">
        <v>286</v>
      </c>
      <c r="M104" s="42" t="n">
        <v>20.3</v>
      </c>
      <c r="N104" s="42" t="n">
        <v>7.61</v>
      </c>
      <c r="O104" s="39" t="n">
        <v>390</v>
      </c>
      <c r="P104" s="3">
        <f>TABL123[[#This Row],[ (S/S) SAR]]-TABL123[[#This Row],[(S/S) AJD]]</f>
        <v/>
      </c>
      <c r="Q104" s="39" t="n">
        <v>420</v>
      </c>
      <c r="R104" s="3">
        <f>TABL123[[#This Row],[ (T/B) SAR]]-TABL123[[#This Row],[(T/B) AJD]]</f>
        <v/>
      </c>
      <c r="S104" s="3">
        <f>TABL123[[#This Row],[T/B-CON.]]+TABL123[[#This Row],[S/S_CON.]]</f>
        <v/>
      </c>
      <c r="T104" s="3">
        <f>TABL123[[#This Row],[(S/S) AJD]]+TABL123[[#This Row],[(T/B) AJD]]</f>
        <v/>
      </c>
      <c r="U104" s="41" t="n">
        <v>562</v>
      </c>
      <c r="V104" s="41" t="n">
        <v>222</v>
      </c>
      <c r="W104" s="3">
        <f>TABL123[[#This Row],[(A/B) AJD]]+TABL123[[#This Row],[(A/S) AJD]]</f>
        <v/>
      </c>
      <c r="X104" s="3">
        <f>TABL123[[#This Row],[( S/S+T/B) AJD]]-TABL123[[#This Row],[(A/B + A/S) AJD]]</f>
        <v/>
      </c>
      <c r="Y104" s="41" t="n">
        <v>92.036</v>
      </c>
      <c r="Z104" s="43" t="n">
        <v>221338</v>
      </c>
      <c r="AA104" s="3">
        <f>TABL123[[#This Row],[(RESV. STORGE) AJD]]/10</f>
        <v/>
      </c>
      <c r="AB104" s="45">
        <f>IF(TRIM(Z104)="",,(Z104-Z103)/1000)</f>
        <v/>
      </c>
      <c r="AC104" s="43" t="n">
        <v>1384</v>
      </c>
      <c r="AD104" s="83">
        <f>TABL123[[#This Row],[( S/S+T/B) AJD]]-(TABL123[[#This Row],[(A/B + A/S) AJD]]+TABL123[[#This Row],[(STORGE DIFF.) AJD]]+(TABL123[[#This Row],[AJD_Evaporation]])/1000)</f>
        <v/>
      </c>
      <c r="AE104" s="68" t="n">
        <v>72</v>
      </c>
      <c r="AF104" s="68" t="n">
        <v>58.53</v>
      </c>
      <c r="AG104" s="68" t="n">
        <v>1314308</v>
      </c>
      <c r="AH104" s="43" t="n">
        <v>1762</v>
      </c>
      <c r="AI104" s="43" t="n">
        <v>1762</v>
      </c>
      <c r="AJ104" s="78">
        <f>TABL123[[#This Row],[(A/B) AJD]]-TABL123[[#This Row],[BER_IN]]</f>
        <v/>
      </c>
      <c r="AK104" s="68" t="n">
        <v>23</v>
      </c>
      <c r="AL104" s="87" t="n">
        <v>42.8131</v>
      </c>
      <c r="AM104" s="87" t="n">
        <v>3007150</v>
      </c>
      <c r="AN104" s="87">
        <f>TABL123[[#This Row],[ (RESV. STORGE) SER]]/10</f>
        <v/>
      </c>
      <c r="AO104" s="43" t="n">
        <v>2125</v>
      </c>
      <c r="AP104" s="32">
        <f>TABL123[[#This Row],[(A/S) AJD]]-TABL123[[#This Row],[SER_IN]]</f>
        <v/>
      </c>
    </row>
    <row r="105" ht="18.75" customHeight="1">
      <c r="A105" s="2" t="n">
        <v>46126</v>
      </c>
      <c r="B105" s="44" t="n">
        <v>33</v>
      </c>
      <c r="C105" s="44" t="n">
        <v>249</v>
      </c>
      <c r="D105" s="44" t="n">
        <v>33</v>
      </c>
      <c r="E105" s="44" t="n">
        <v>0</v>
      </c>
      <c r="F105" s="44" t="n">
        <v>96</v>
      </c>
      <c r="G105" s="40" t="n">
        <v>580</v>
      </c>
      <c r="H105" s="28">
        <f>103-F105</f>
        <v/>
      </c>
      <c r="I105" s="40" t="n">
        <v>441</v>
      </c>
      <c r="J105" s="44" t="n">
        <v>425</v>
      </c>
      <c r="K105" s="28">
        <f>TABL123[[#This Row],[ (T/B) SAR]]+TABL123[[#This Row],[ (S/S) SAR]]</f>
        <v/>
      </c>
      <c r="L105" s="45" t="n">
        <v>286</v>
      </c>
      <c r="M105" s="46" t="n">
        <v>20.3</v>
      </c>
      <c r="N105" s="46" t="n">
        <v>7.59</v>
      </c>
      <c r="O105" s="40" t="n">
        <v>389</v>
      </c>
      <c r="P105" s="3">
        <f>TABL123[[#This Row],[ (S/S) SAR]]-TABL123[[#This Row],[(S/S) AJD]]</f>
        <v/>
      </c>
      <c r="Q105" s="40" t="n">
        <v>420</v>
      </c>
      <c r="R105" s="3">
        <f>TABL123[[#This Row],[ (T/B) SAR]]-TABL123[[#This Row],[(T/B) AJD]]</f>
        <v/>
      </c>
      <c r="S105" s="3">
        <f>TABL123[[#This Row],[T/B-CON.]]+TABL123[[#This Row],[S/S_CON.]]</f>
        <v/>
      </c>
      <c r="T105" s="3">
        <f>TABL123[[#This Row],[(S/S) AJD]]+TABL123[[#This Row],[(T/B) AJD]]</f>
        <v/>
      </c>
      <c r="U105" s="44" t="n">
        <v>564</v>
      </c>
      <c r="V105" s="44" t="n">
        <v>232</v>
      </c>
      <c r="W105" s="3">
        <f>TABL123[[#This Row],[(A/B) AJD]]+TABL123[[#This Row],[(A/S) AJD]]</f>
        <v/>
      </c>
      <c r="X105" s="3">
        <f>TABL123[[#This Row],[( S/S+T/B) AJD]]-TABL123[[#This Row],[(A/B + A/S) AJD]]</f>
        <v/>
      </c>
      <c r="Y105" s="44" t="n">
        <v>92.018</v>
      </c>
      <c r="Z105" s="45" t="n">
        <v>210461</v>
      </c>
      <c r="AA105" s="3">
        <f>TABL123[[#This Row],[(RESV. STORGE) AJD]]/10</f>
        <v/>
      </c>
      <c r="AB105" s="45">
        <f>IF(TRIM(Z105)="",,(Z105-Z104)/1000)</f>
        <v/>
      </c>
      <c r="AC105" s="45" t="n">
        <v>1736</v>
      </c>
      <c r="AD105" s="83">
        <f>TABL123[[#This Row],[( S/S+T/B) AJD]]-(TABL123[[#This Row],[(A/B + A/S) AJD]]+TABL123[[#This Row],[(STORGE DIFF.) AJD]]+(TABL123[[#This Row],[AJD_Evaporation]])/1000)</f>
        <v/>
      </c>
      <c r="AE105" s="68" t="n">
        <v>61</v>
      </c>
      <c r="AF105" s="68" t="n">
        <v>58.55</v>
      </c>
      <c r="AG105" s="68" t="n">
        <v>1327432</v>
      </c>
      <c r="AH105" s="45" t="n">
        <v>2035</v>
      </c>
      <c r="AI105" s="45" t="n">
        <v>2035</v>
      </c>
      <c r="AJ105" s="78">
        <f>TABL123[[#This Row],[(A/B) AJD]]-TABL123[[#This Row],[BER_IN]]</f>
        <v/>
      </c>
      <c r="AK105" s="68" t="n">
        <v>24</v>
      </c>
      <c r="AL105" s="87" t="n">
        <v>42.7901</v>
      </c>
      <c r="AM105" s="87" t="n">
        <v>2995030</v>
      </c>
      <c r="AN105" s="87">
        <f>TABL123[[#This Row],[ (RESV. STORGE) SER]]/10</f>
        <v/>
      </c>
      <c r="AO105" s="45" t="n">
        <v>2135</v>
      </c>
      <c r="AP105" s="32">
        <f>TABL123[[#This Row],[(A/S) AJD]]-TABL123[[#This Row],[SER_IN]]</f>
        <v/>
      </c>
    </row>
    <row r="106" ht="18.75" customHeight="1">
      <c r="A106" s="2" t="n">
        <v>46127</v>
      </c>
      <c r="B106" s="41" t="n">
        <v>34</v>
      </c>
      <c r="C106" s="41" t="n">
        <v>271</v>
      </c>
      <c r="D106" s="41" t="n">
        <v>34</v>
      </c>
      <c r="E106" s="41" t="n">
        <v>0</v>
      </c>
      <c r="F106" s="41" t="n">
        <v>96</v>
      </c>
      <c r="G106" s="39" t="n">
        <v>589</v>
      </c>
      <c r="H106" s="28">
        <f>103-F106</f>
        <v/>
      </c>
      <c r="I106" s="39" t="n">
        <v>445</v>
      </c>
      <c r="J106" s="39" t="n">
        <v>429</v>
      </c>
      <c r="K106" s="28">
        <f>TABL123[[#This Row],[ (T/B) SAR]]+TABL123[[#This Row],[ (S/S) SAR]]</f>
        <v/>
      </c>
      <c r="L106" s="41" t="n">
        <v>285</v>
      </c>
      <c r="M106" s="42" t="n">
        <v>20.3</v>
      </c>
      <c r="N106" s="42" t="n">
        <v>7.62</v>
      </c>
      <c r="O106" s="39" t="n">
        <v>387</v>
      </c>
      <c r="P106" s="3">
        <f>TABL123[[#This Row],[ (S/S) SAR]]-TABL123[[#This Row],[(S/S) AJD]]</f>
        <v/>
      </c>
      <c r="Q106" s="39" t="n">
        <v>419</v>
      </c>
      <c r="R106" s="3">
        <f>TABL123[[#This Row],[ (T/B) SAR]]-TABL123[[#This Row],[(T/B) AJD]]</f>
        <v/>
      </c>
      <c r="S106" s="3">
        <f>TABL123[[#This Row],[T/B-CON.]]+TABL123[[#This Row],[S/S_CON.]]</f>
        <v/>
      </c>
      <c r="T106" s="3">
        <f>TABL123[[#This Row],[(S/S) AJD]]+TABL123[[#This Row],[(T/B) AJD]]</f>
        <v/>
      </c>
      <c r="U106" s="41" t="n">
        <v>554</v>
      </c>
      <c r="V106" s="41" t="n">
        <v>234</v>
      </c>
      <c r="W106" s="3">
        <f>TABL123[[#This Row],[(A/B) AJD]]+TABL123[[#This Row],[(A/S) AJD]]</f>
        <v/>
      </c>
      <c r="X106" s="3">
        <f>TABL123[[#This Row],[( S/S+T/B) AJD]]-TABL123[[#This Row],[(A/B + A/S) AJD]]</f>
        <v/>
      </c>
      <c r="Y106" s="41" t="n">
        <v>92.006</v>
      </c>
      <c r="Z106" s="43" t="n">
        <v>203360</v>
      </c>
      <c r="AA106" s="3">
        <f>TABL123[[#This Row],[(RESV. STORGE) AJD]]/10</f>
        <v/>
      </c>
      <c r="AB106" s="45">
        <f>IF(TRIM(Z106)="",,(Z106-Z105)/1000)</f>
        <v/>
      </c>
      <c r="AC106" s="43" t="n">
        <v>1416</v>
      </c>
      <c r="AD106" s="83">
        <f>TABL123[[#This Row],[( S/S+T/B) AJD]]-(TABL123[[#This Row],[(A/B + A/S) AJD]]+TABL123[[#This Row],[(STORGE DIFF.) AJD]]+(TABL123[[#This Row],[AJD_Evaporation]])/1000)</f>
        <v/>
      </c>
      <c r="AE106" s="68" t="n">
        <v>61</v>
      </c>
      <c r="AF106" s="68" t="n">
        <v>58.54</v>
      </c>
      <c r="AG106" s="68" t="n">
        <v>1320869</v>
      </c>
      <c r="AH106" s="43" t="n">
        <v>2840</v>
      </c>
      <c r="AI106" s="43" t="n">
        <v>2840</v>
      </c>
      <c r="AJ106" s="78">
        <f>TABL123[[#This Row],[(A/B) AJD]]-TABL123[[#This Row],[BER_IN]]</f>
        <v/>
      </c>
      <c r="AK106" s="68" t="n">
        <v>23</v>
      </c>
      <c r="AL106" s="87" t="n">
        <v>42.783</v>
      </c>
      <c r="AM106" s="87" t="n">
        <v>2990960</v>
      </c>
      <c r="AN106" s="87">
        <f>TABL123[[#This Row],[ (RESV. STORGE) SER]]/10</f>
        <v/>
      </c>
      <c r="AO106" s="43" t="n">
        <v>1995</v>
      </c>
      <c r="AP106" s="32">
        <f>TABL123[[#This Row],[(A/S) AJD]]-TABL123[[#This Row],[SER_IN]]</f>
        <v/>
      </c>
    </row>
    <row r="107" ht="18.75" customHeight="1">
      <c r="A107" s="2" t="n">
        <v>46128</v>
      </c>
      <c r="B107" s="44" t="n">
        <v>34</v>
      </c>
      <c r="C107" s="44" t="n">
        <v>276</v>
      </c>
      <c r="D107" s="44" t="n">
        <v>34</v>
      </c>
      <c r="E107" s="44" t="n">
        <v>0</v>
      </c>
      <c r="F107" s="44" t="n">
        <v>96</v>
      </c>
      <c r="G107" s="40" t="n">
        <v>590</v>
      </c>
      <c r="H107" s="28">
        <f>103-F107</f>
        <v/>
      </c>
      <c r="I107" s="40" t="n">
        <v>446</v>
      </c>
      <c r="J107" s="44" t="n">
        <v>430</v>
      </c>
      <c r="K107" s="28">
        <f>TABL123[[#This Row],[ (T/B) SAR]]+TABL123[[#This Row],[ (S/S) SAR]]</f>
        <v/>
      </c>
      <c r="L107" s="45" t="n">
        <v>286</v>
      </c>
      <c r="M107" s="46" t="n">
        <v>20.2</v>
      </c>
      <c r="N107" s="46" t="n">
        <v>7.68</v>
      </c>
      <c r="O107" s="40" t="n">
        <v>389</v>
      </c>
      <c r="P107" s="3">
        <f>TABL123[[#This Row],[ (S/S) SAR]]-TABL123[[#This Row],[(S/S) AJD]]</f>
        <v/>
      </c>
      <c r="Q107" s="40" t="n">
        <v>418</v>
      </c>
      <c r="R107" s="3">
        <f>TABL123[[#This Row],[ (T/B) SAR]]-TABL123[[#This Row],[(T/B) AJD]]</f>
        <v/>
      </c>
      <c r="S107" s="3">
        <f>TABL123[[#This Row],[T/B-CON.]]+TABL123[[#This Row],[S/S_CON.]]</f>
        <v/>
      </c>
      <c r="T107" s="3">
        <f>TABL123[[#This Row],[(S/S) AJD]]+TABL123[[#This Row],[(T/B) AJD]]</f>
        <v/>
      </c>
      <c r="U107" s="44" t="n">
        <v>553</v>
      </c>
      <c r="V107" s="44" t="n">
        <v>231</v>
      </c>
      <c r="W107" s="3">
        <f>TABL123[[#This Row],[(A/B) AJD]]+TABL123[[#This Row],[(A/S) AJD]]</f>
        <v/>
      </c>
      <c r="X107" s="3">
        <f>TABL123[[#This Row],[( S/S+T/B) AJD]]-TABL123[[#This Row],[(A/B + A/S) AJD]]</f>
        <v/>
      </c>
      <c r="Y107" s="44" t="n">
        <v>92.01600000000001</v>
      </c>
      <c r="Z107" s="45" t="n">
        <v>209278</v>
      </c>
      <c r="AA107" s="3">
        <f>TABL123[[#This Row],[(RESV. STORGE) AJD]]/10</f>
        <v/>
      </c>
      <c r="AB107" s="45">
        <f>IF(TRIM(Z107)="",,(Z107-Z106)/1000)</f>
        <v/>
      </c>
      <c r="AC107" s="45" t="n">
        <v>1450</v>
      </c>
      <c r="AD107" s="83">
        <f>TABL123[[#This Row],[( S/S+T/B) AJD]]-(TABL123[[#This Row],[(A/B + A/S) AJD]]+TABL123[[#This Row],[(STORGE DIFF.) AJD]]+(TABL123[[#This Row],[AJD_Evaporation]])/1000)</f>
        <v/>
      </c>
      <c r="AE107" s="68" t="n">
        <v>62</v>
      </c>
      <c r="AF107" s="68" t="n">
        <v>58.56</v>
      </c>
      <c r="AG107" s="68" t="n">
        <v>1333996</v>
      </c>
      <c r="AH107" s="45" t="n">
        <v>1745</v>
      </c>
      <c r="AI107" s="45" t="n">
        <v>1745</v>
      </c>
      <c r="AJ107" s="78">
        <f>TABL123[[#This Row],[(A/B) AJD]]-TABL123[[#This Row],[BER_IN]]</f>
        <v/>
      </c>
      <c r="AK107" s="68" t="n">
        <v>6</v>
      </c>
      <c r="AL107" s="87" t="n">
        <v>42.7456</v>
      </c>
      <c r="AM107" s="87" t="n">
        <v>2971220</v>
      </c>
      <c r="AN107" s="87">
        <f>TABL123[[#This Row],[ (RESV. STORGE) SER]]/10</f>
        <v/>
      </c>
      <c r="AO107" s="45" t="n">
        <v>1740</v>
      </c>
      <c r="AP107" s="32">
        <f>TABL123[[#This Row],[(A/S) AJD]]-TABL123[[#This Row],[SER_IN]]</f>
        <v/>
      </c>
    </row>
    <row r="108" ht="18.75" customHeight="1">
      <c r="A108" s="2" t="n">
        <v>46129</v>
      </c>
      <c r="B108" s="41" t="n">
        <v>34</v>
      </c>
      <c r="C108" s="41" t="n">
        <v>275</v>
      </c>
      <c r="D108" s="41" t="n">
        <v>34</v>
      </c>
      <c r="E108" s="41" t="n">
        <v>0</v>
      </c>
      <c r="F108" s="41" t="n">
        <v>96</v>
      </c>
      <c r="G108" s="39" t="n">
        <v>585</v>
      </c>
      <c r="H108" s="28">
        <f>103-F108</f>
        <v/>
      </c>
      <c r="I108" s="39" t="n">
        <v>448</v>
      </c>
      <c r="J108" s="39" t="n">
        <v>431</v>
      </c>
      <c r="K108" s="28">
        <f>TABL123[[#This Row],[ (T/B) SAR]]+TABL123[[#This Row],[ (S/S) SAR]]</f>
        <v/>
      </c>
      <c r="L108" s="41" t="n">
        <v>294</v>
      </c>
      <c r="M108" s="42" t="n">
        <v>21.3</v>
      </c>
      <c r="N108" s="42" t="n">
        <v>7.74</v>
      </c>
      <c r="O108" s="39" t="n">
        <v>388</v>
      </c>
      <c r="P108" s="3">
        <f>TABL123[[#This Row],[ (S/S) SAR]]-TABL123[[#This Row],[(S/S) AJD]]</f>
        <v/>
      </c>
      <c r="Q108" s="39" t="n">
        <v>419</v>
      </c>
      <c r="R108" s="3">
        <f>TABL123[[#This Row],[ (T/B) SAR]]-TABL123[[#This Row],[(T/B) AJD]]</f>
        <v/>
      </c>
      <c r="S108" s="3">
        <f>TABL123[[#This Row],[T/B-CON.]]+TABL123[[#This Row],[S/S_CON.]]</f>
        <v/>
      </c>
      <c r="T108" s="3">
        <f>TABL123[[#This Row],[(S/S) AJD]]+TABL123[[#This Row],[(T/B) AJD]]</f>
        <v/>
      </c>
      <c r="U108" s="41" t="n">
        <v>553</v>
      </c>
      <c r="V108" s="41" t="n">
        <v>227</v>
      </c>
      <c r="W108" s="3">
        <f>TABL123[[#This Row],[(A/B) AJD]]+TABL123[[#This Row],[(A/S) AJD]]</f>
        <v/>
      </c>
      <c r="X108" s="3">
        <f>TABL123[[#This Row],[( S/S+T/B) AJD]]-TABL123[[#This Row],[(A/B + A/S) AJD]]</f>
        <v/>
      </c>
      <c r="Y108" s="41" t="n">
        <v>92.04000000000001</v>
      </c>
      <c r="Z108" s="43" t="n">
        <v>223482</v>
      </c>
      <c r="AA108" s="3">
        <f>TABL123[[#This Row],[(RESV. STORGE) AJD]]/10</f>
        <v/>
      </c>
      <c r="AB108" s="45">
        <f>IF(TRIM(Z108)="",,(Z108-Z107)/1000)</f>
        <v/>
      </c>
      <c r="AC108" s="43" t="n">
        <v>800</v>
      </c>
      <c r="AD108" s="83">
        <f>TABL123[[#This Row],[( S/S+T/B) AJD]]-(TABL123[[#This Row],[(A/B + A/S) AJD]]+TABL123[[#This Row],[(STORGE DIFF.) AJD]]+(TABL123[[#This Row],[AJD_Evaporation]])/1000)</f>
        <v/>
      </c>
      <c r="AE108" s="68" t="n">
        <v>60</v>
      </c>
      <c r="AF108" s="68" t="n">
        <v>58.58</v>
      </c>
      <c r="AG108" s="68" t="n">
        <v>1347126</v>
      </c>
      <c r="AH108" s="43" t="n">
        <v>2275</v>
      </c>
      <c r="AI108" s="43" t="n">
        <v>2275</v>
      </c>
      <c r="AJ108" s="78">
        <f>TABL123[[#This Row],[(A/B) AJD]]-TABL123[[#This Row],[BER_IN]]</f>
        <v/>
      </c>
      <c r="AK108" s="68" t="n">
        <v>0</v>
      </c>
      <c r="AL108" s="87" t="n">
        <v>42.7006</v>
      </c>
      <c r="AM108" s="87" t="n">
        <v>2946760</v>
      </c>
      <c r="AN108" s="87">
        <f>TABL123[[#This Row],[ (RESV. STORGE) SER]]/10</f>
        <v/>
      </c>
      <c r="AO108" s="43" t="n">
        <v>1860</v>
      </c>
      <c r="AP108" s="32">
        <f>TABL123[[#This Row],[(A/S) AJD]]-TABL123[[#This Row],[SER_IN]]</f>
        <v/>
      </c>
    </row>
    <row r="109" ht="18.75" customHeight="1">
      <c r="A109" s="2" t="n">
        <v>46130</v>
      </c>
      <c r="B109" s="44" t="n">
        <v>34</v>
      </c>
      <c r="C109" s="44" t="n">
        <v>274</v>
      </c>
      <c r="D109" s="44" t="n">
        <v>34</v>
      </c>
      <c r="E109" s="44" t="n">
        <v>0</v>
      </c>
      <c r="F109" s="44" t="n">
        <v>96</v>
      </c>
      <c r="G109" s="40" t="n">
        <v>580</v>
      </c>
      <c r="H109" s="28">
        <f>103-F109</f>
        <v/>
      </c>
      <c r="I109" s="40" t="n">
        <v>455</v>
      </c>
      <c r="J109" s="44" t="n">
        <v>439</v>
      </c>
      <c r="K109" s="28">
        <f>TABL123[[#This Row],[ (T/B) SAR]]+TABL123[[#This Row],[ (S/S) SAR]]</f>
        <v/>
      </c>
      <c r="L109" s="45" t="n">
        <v>314</v>
      </c>
      <c r="M109" s="46" t="n">
        <v>22.3</v>
      </c>
      <c r="N109" s="46" t="n">
        <v>7.72</v>
      </c>
      <c r="O109" s="40" t="n">
        <v>390</v>
      </c>
      <c r="P109" s="3">
        <f>TABL123[[#This Row],[ (S/S) SAR]]-TABL123[[#This Row],[(S/S) AJD]]</f>
        <v/>
      </c>
      <c r="Q109" s="40" t="n">
        <v>422</v>
      </c>
      <c r="R109" s="3">
        <f>TABL123[[#This Row],[ (T/B) SAR]]-TABL123[[#This Row],[(T/B) AJD]]</f>
        <v/>
      </c>
      <c r="S109" s="3">
        <f>TABL123[[#This Row],[T/B-CON.]]+TABL123[[#This Row],[S/S_CON.]]</f>
        <v/>
      </c>
      <c r="T109" s="3">
        <f>TABL123[[#This Row],[(S/S) AJD]]+TABL123[[#This Row],[(T/B) AJD]]</f>
        <v/>
      </c>
      <c r="U109" s="44" t="n">
        <v>553</v>
      </c>
      <c r="V109" s="44" t="n">
        <v>243</v>
      </c>
      <c r="W109" s="3">
        <f>TABL123[[#This Row],[(A/B) AJD]]+TABL123[[#This Row],[(A/S) AJD]]</f>
        <v/>
      </c>
      <c r="X109" s="3">
        <f>TABL123[[#This Row],[( S/S+T/B) AJD]]-TABL123[[#This Row],[(A/B + A/S) AJD]]</f>
        <v/>
      </c>
      <c r="Y109" s="44" t="n">
        <v>92.02500000000001</v>
      </c>
      <c r="Z109" s="45" t="n">
        <v>214606</v>
      </c>
      <c r="AA109" s="3">
        <f>TABL123[[#This Row],[(RESV. STORGE) AJD]]/10</f>
        <v/>
      </c>
      <c r="AB109" s="45">
        <f>IF(TRIM(Z109)="",,(Z109-Z108)/1000)</f>
        <v/>
      </c>
      <c r="AC109" s="45" t="n">
        <v>800</v>
      </c>
      <c r="AD109" s="83">
        <f>TABL123[[#This Row],[( S/S+T/B) AJD]]-(TABL123[[#This Row],[(A/B + A/S) AJD]]+TABL123[[#This Row],[(STORGE DIFF.) AJD]]+(TABL123[[#This Row],[AJD_Evaporation]])/1000)</f>
        <v/>
      </c>
      <c r="AE109" s="68" t="n">
        <v>60</v>
      </c>
      <c r="AF109" s="68" t="n">
        <v>58.6</v>
      </c>
      <c r="AG109" s="68" t="n">
        <v>1360259</v>
      </c>
      <c r="AH109" s="45" t="n">
        <v>2309</v>
      </c>
      <c r="AI109" s="45" t="n">
        <v>2309</v>
      </c>
      <c r="AJ109" s="78">
        <f>TABL123[[#This Row],[(A/B) AJD]]-TABL123[[#This Row],[BER_IN]]</f>
        <v/>
      </c>
      <c r="AK109" s="68" t="n">
        <v>0</v>
      </c>
      <c r="AL109" s="87" t="n">
        <v>42.6744</v>
      </c>
      <c r="AM109" s="87" t="n">
        <v>2932700</v>
      </c>
      <c r="AN109" s="87">
        <f>TABL123[[#This Row],[ (RESV. STORGE) SER]]/10</f>
        <v/>
      </c>
      <c r="AO109" s="45" t="n">
        <v>1860</v>
      </c>
      <c r="AP109" s="32">
        <f>TABL123[[#This Row],[(A/S) AJD]]-TABL123[[#This Row],[SER_IN]]</f>
        <v/>
      </c>
    </row>
    <row r="110" ht="18.75" customHeight="1">
      <c r="A110" s="2" t="n">
        <v>46131</v>
      </c>
      <c r="B110" s="41" t="n">
        <v>35</v>
      </c>
      <c r="C110" s="41" t="n">
        <v>277</v>
      </c>
      <c r="D110" s="41" t="n">
        <v>35</v>
      </c>
      <c r="E110" s="41" t="n">
        <v>0</v>
      </c>
      <c r="F110" s="41" t="n">
        <v>95</v>
      </c>
      <c r="G110" s="39" t="n">
        <v>596</v>
      </c>
      <c r="H110" s="28">
        <f>103-F110</f>
        <v/>
      </c>
      <c r="I110" s="39" t="n">
        <v>463</v>
      </c>
      <c r="J110" s="39" t="n">
        <v>446</v>
      </c>
      <c r="K110" s="28">
        <f>TABL123[[#This Row],[ (T/B) SAR]]+TABL123[[#This Row],[ (S/S) SAR]]</f>
        <v/>
      </c>
      <c r="L110" s="41" t="n">
        <v>313</v>
      </c>
      <c r="M110" s="42" t="n">
        <v>22.3</v>
      </c>
      <c r="N110" s="42" t="n">
        <v>7.7</v>
      </c>
      <c r="O110" s="39" t="n">
        <v>396</v>
      </c>
      <c r="P110" s="3">
        <f>TABL123[[#This Row],[ (S/S) SAR]]-TABL123[[#This Row],[(S/S) AJD]]</f>
        <v/>
      </c>
      <c r="Q110" s="39" t="n">
        <v>428</v>
      </c>
      <c r="R110" s="3">
        <f>TABL123[[#This Row],[ (T/B) SAR]]-TABL123[[#This Row],[(T/B) AJD]]</f>
        <v/>
      </c>
      <c r="S110" s="3">
        <f>TABL123[[#This Row],[T/B-CON.]]+TABL123[[#This Row],[S/S_CON.]]</f>
        <v/>
      </c>
      <c r="T110" s="3">
        <f>TABL123[[#This Row],[(S/S) AJD]]+TABL123[[#This Row],[(T/B) AJD]]</f>
        <v/>
      </c>
      <c r="U110" s="41" t="n">
        <v>552</v>
      </c>
      <c r="V110" s="41" t="n">
        <v>198</v>
      </c>
      <c r="W110" s="3">
        <f>TABL123[[#This Row],[(A/B) AJD]]+TABL123[[#This Row],[(A/S) AJD]]</f>
        <v/>
      </c>
      <c r="X110" s="3">
        <f>TABL123[[#This Row],[( S/S+T/B) AJD]]-TABL123[[#This Row],[(A/B + A/S) AJD]]</f>
        <v/>
      </c>
      <c r="Y110" s="41" t="n">
        <v>92.108</v>
      </c>
      <c r="Z110" s="43" t="n">
        <v>263752</v>
      </c>
      <c r="AA110" s="3">
        <f>TABL123[[#This Row],[(RESV. STORGE) AJD]]/10</f>
        <v/>
      </c>
      <c r="AB110" s="45">
        <f>IF(TRIM(Z110)="",,(Z110-Z109)/1000)</f>
        <v/>
      </c>
      <c r="AC110" s="43" t="n">
        <v>0</v>
      </c>
      <c r="AD110" s="83">
        <f>TABL123[[#This Row],[( S/S+T/B) AJD]]-(TABL123[[#This Row],[(A/B + A/S) AJD]]+TABL123[[#This Row],[(STORGE DIFF.) AJD]]+(TABL123[[#This Row],[AJD_Evaporation]])/1000)</f>
        <v/>
      </c>
      <c r="AE110" s="68" t="n">
        <v>60</v>
      </c>
      <c r="AF110" s="68" t="n">
        <v>58.62</v>
      </c>
      <c r="AG110" s="68" t="n">
        <v>1373396</v>
      </c>
      <c r="AH110" s="43" t="n">
        <v>2424</v>
      </c>
      <c r="AI110" s="43" t="n">
        <v>2424</v>
      </c>
      <c r="AJ110" s="78">
        <f>TABL123[[#This Row],[(A/B) AJD]]-TABL123[[#This Row],[BER_IN]]</f>
        <v/>
      </c>
      <c r="AK110" s="68" t="n">
        <v>0</v>
      </c>
      <c r="AL110" s="87" t="n">
        <v>42.6447</v>
      </c>
      <c r="AM110" s="87" t="n">
        <v>2916590</v>
      </c>
      <c r="AN110" s="87">
        <f>TABL123[[#This Row],[ (RESV. STORGE) SER]]/10</f>
        <v/>
      </c>
      <c r="AO110" s="43" t="n">
        <v>1810</v>
      </c>
      <c r="AP110" s="32">
        <f>TABL123[[#This Row],[(A/S) AJD]]-TABL123[[#This Row],[SER_IN]]</f>
        <v/>
      </c>
    </row>
    <row r="111" ht="18.75" customHeight="1">
      <c r="A111" s="2" t="n">
        <v>46132</v>
      </c>
      <c r="B111" s="44" t="n">
        <v>35</v>
      </c>
      <c r="C111" s="44" t="n">
        <v>267</v>
      </c>
      <c r="D111" s="44" t="n">
        <v>35</v>
      </c>
      <c r="E111" s="44" t="n">
        <v>0</v>
      </c>
      <c r="F111" s="44" t="n">
        <v>95</v>
      </c>
      <c r="G111" s="40" t="n">
        <v>596</v>
      </c>
      <c r="H111" s="28">
        <f>103-F111</f>
        <v/>
      </c>
      <c r="I111" s="40" t="n">
        <v>463</v>
      </c>
      <c r="J111" s="44" t="n">
        <v>446</v>
      </c>
      <c r="K111" s="28">
        <f>TABL123[[#This Row],[ (T/B) SAR]]+TABL123[[#This Row],[ (S/S) SAR]]</f>
        <v/>
      </c>
      <c r="L111" s="45" t="n">
        <v>313</v>
      </c>
      <c r="M111" s="46" t="n">
        <v>22.3</v>
      </c>
      <c r="N111" s="46" t="n">
        <v>7.63</v>
      </c>
      <c r="O111" s="40" t="n">
        <v>403</v>
      </c>
      <c r="P111" s="3">
        <f>TABL123[[#This Row],[ (S/S) SAR]]-TABL123[[#This Row],[(S/S) AJD]]</f>
        <v/>
      </c>
      <c r="Q111" s="40" t="n">
        <v>435</v>
      </c>
      <c r="R111" s="3">
        <f>TABL123[[#This Row],[ (T/B) SAR]]-TABL123[[#This Row],[(T/B) AJD]]</f>
        <v/>
      </c>
      <c r="S111" s="3">
        <f>TABL123[[#This Row],[T/B-CON.]]+TABL123[[#This Row],[S/S_CON.]]</f>
        <v/>
      </c>
      <c r="T111" s="3">
        <f>TABL123[[#This Row],[(S/S) AJD]]+TABL123[[#This Row],[(T/B) AJD]]</f>
        <v/>
      </c>
      <c r="U111" s="44" t="n">
        <v>559</v>
      </c>
      <c r="V111" s="44" t="n">
        <v>207</v>
      </c>
      <c r="W111" s="3">
        <f>TABL123[[#This Row],[(A/B) AJD]]+TABL123[[#This Row],[(A/S) AJD]]</f>
        <v/>
      </c>
      <c r="X111" s="3">
        <f>TABL123[[#This Row],[( S/S+T/B) AJD]]-TABL123[[#This Row],[(A/B + A/S) AJD]]</f>
        <v/>
      </c>
      <c r="Y111" s="44" t="n">
        <v>92.185</v>
      </c>
      <c r="Z111" s="45" t="n">
        <v>309396</v>
      </c>
      <c r="AA111" s="3">
        <f>TABL123[[#This Row],[(RESV. STORGE) AJD]]/10</f>
        <v/>
      </c>
      <c r="AB111" s="45">
        <f>IF(TRIM(Z111)="",,(Z111-Z110)/1000)</f>
        <v/>
      </c>
      <c r="AC111" s="45" t="n">
        <v>1079</v>
      </c>
      <c r="AD111" s="83">
        <f>TABL123[[#This Row],[( S/S+T/B) AJD]]-(TABL123[[#This Row],[(A/B + A/S) AJD]]+TABL123[[#This Row],[(STORGE DIFF.) AJD]]+(TABL123[[#This Row],[AJD_Evaporation]])/1000)</f>
        <v/>
      </c>
      <c r="AE111" s="68" t="n">
        <v>69</v>
      </c>
      <c r="AF111" s="68" t="n">
        <v>58.55</v>
      </c>
      <c r="AG111" s="68" t="n">
        <v>1327432</v>
      </c>
      <c r="AH111" s="45" t="n">
        <v>2063</v>
      </c>
      <c r="AI111" s="45" t="n">
        <v>2063</v>
      </c>
      <c r="AJ111" s="78">
        <f>TABL123[[#This Row],[(A/B) AJD]]-TABL123[[#This Row],[BER_IN]]</f>
        <v/>
      </c>
      <c r="AK111" s="68" t="n">
        <v>0</v>
      </c>
      <c r="AL111" s="87" t="n">
        <v>42.5981</v>
      </c>
      <c r="AM111" s="87" t="n">
        <v>2891290</v>
      </c>
      <c r="AN111" s="87">
        <f>TABL123[[#This Row],[ (RESV. STORGE) SER]]/10</f>
        <v/>
      </c>
      <c r="AO111" s="45" t="n">
        <v>1800</v>
      </c>
      <c r="AP111" s="32">
        <f>TABL123[[#This Row],[(A/S) AJD]]-TABL123[[#This Row],[SER_IN]]</f>
        <v/>
      </c>
    </row>
    <row r="112" ht="18.75" customHeight="1">
      <c r="A112" s="2" t="n">
        <v>46133</v>
      </c>
      <c r="B112" s="41" t="n">
        <v>37</v>
      </c>
      <c r="C112" s="41" t="n">
        <v>279</v>
      </c>
      <c r="D112" s="41" t="n">
        <v>37</v>
      </c>
      <c r="E112" s="41" t="n">
        <v>0</v>
      </c>
      <c r="F112" s="41" t="n">
        <v>95</v>
      </c>
      <c r="G112" s="39" t="n">
        <v>593</v>
      </c>
      <c r="H112" s="28">
        <f>103-F112</f>
        <v/>
      </c>
      <c r="I112" s="39" t="n">
        <v>460</v>
      </c>
      <c r="J112" s="39" t="n">
        <v>444</v>
      </c>
      <c r="K112" s="28">
        <f>TABL123[[#This Row],[ (T/B) SAR]]+TABL123[[#This Row],[ (S/S) SAR]]</f>
        <v/>
      </c>
      <c r="L112" s="41" t="n">
        <v>311</v>
      </c>
      <c r="M112" s="42" t="n">
        <v>22.3</v>
      </c>
      <c r="N112" s="42" t="n">
        <v>7.6</v>
      </c>
      <c r="O112" s="39" t="n">
        <v>404</v>
      </c>
      <c r="P112" s="3">
        <f>TABL123[[#This Row],[ (S/S) SAR]]-TABL123[[#This Row],[(S/S) AJD]]</f>
        <v/>
      </c>
      <c r="Q112" s="39" t="n">
        <v>435</v>
      </c>
      <c r="R112" s="3">
        <f>TABL123[[#This Row],[ (T/B) SAR]]-TABL123[[#This Row],[(T/B) AJD]]</f>
        <v/>
      </c>
      <c r="S112" s="3">
        <f>TABL123[[#This Row],[T/B-CON.]]+TABL123[[#This Row],[S/S_CON.]]</f>
        <v/>
      </c>
      <c r="T112" s="3">
        <f>TABL123[[#This Row],[(S/S) AJD]]+TABL123[[#This Row],[(T/B) AJD]]</f>
        <v/>
      </c>
      <c r="U112" s="41" t="n">
        <v>564</v>
      </c>
      <c r="V112" s="41" t="n">
        <v>240</v>
      </c>
      <c r="W112" s="3">
        <f>TABL123[[#This Row],[(A/B) AJD]]+TABL123[[#This Row],[(A/S) AJD]]</f>
        <v/>
      </c>
      <c r="X112" s="3">
        <f>TABL123[[#This Row],[( S/S+T/B) AJD]]-TABL123[[#This Row],[(A/B + A/S) AJD]]</f>
        <v/>
      </c>
      <c r="Y112" s="41" t="n">
        <v>92.215</v>
      </c>
      <c r="Z112" s="43" t="n">
        <v>327188</v>
      </c>
      <c r="AA112" s="3">
        <f>TABL123[[#This Row],[(RESV. STORGE) AJD]]/10</f>
        <v/>
      </c>
      <c r="AB112" s="45">
        <f>IF(TRIM(Z112)="",,(Z112-Z111)/1000)</f>
        <v/>
      </c>
      <c r="AC112" s="43" t="n">
        <v>1146</v>
      </c>
      <c r="AD112" s="83">
        <f>TABL123[[#This Row],[( S/S+T/B) AJD]]-(TABL123[[#This Row],[(A/B + A/S) AJD]]+TABL123[[#This Row],[(STORGE DIFF.) AJD]]+(TABL123[[#This Row],[AJD_Evaporation]])/1000)</f>
        <v/>
      </c>
      <c r="AE112" s="68" t="n">
        <v>70</v>
      </c>
      <c r="AF112" s="68" t="n">
        <v>58.47</v>
      </c>
      <c r="AG112" s="68" t="n">
        <v>1274954</v>
      </c>
      <c r="AH112" s="43" t="n">
        <v>2278</v>
      </c>
      <c r="AI112" s="43" t="n">
        <v>2278</v>
      </c>
      <c r="AJ112" s="78">
        <f>TABL123[[#This Row],[(A/B) AJD]]-TABL123[[#This Row],[BER_IN]]</f>
        <v/>
      </c>
      <c r="AK112" s="68" t="n">
        <v>0</v>
      </c>
      <c r="AL112" s="87" t="n">
        <v>42.5523</v>
      </c>
      <c r="AM112" s="87" t="n">
        <v>2866550</v>
      </c>
      <c r="AN112" s="87">
        <f>TABL123[[#This Row],[ (RESV. STORGE) SER]]/10</f>
        <v/>
      </c>
      <c r="AO112" s="43" t="n">
        <v>1840</v>
      </c>
      <c r="AP112" s="32">
        <f>TABL123[[#This Row],[(A/S) AJD]]-TABL123[[#This Row],[SER_IN]]</f>
        <v/>
      </c>
    </row>
    <row r="113" ht="18.75" customHeight="1">
      <c r="A113" s="2" t="n">
        <v>46134</v>
      </c>
      <c r="B113" s="44" t="n">
        <v>37</v>
      </c>
      <c r="C113" s="44" t="n">
        <v>294</v>
      </c>
      <c r="D113" s="44" t="n">
        <v>37</v>
      </c>
      <c r="E113" s="44" t="n">
        <v>0</v>
      </c>
      <c r="F113" s="44" t="n">
        <v>95</v>
      </c>
      <c r="G113" s="40" t="n">
        <v>586</v>
      </c>
      <c r="H113" s="28">
        <f>103-F113</f>
        <v/>
      </c>
      <c r="I113" s="40" t="n">
        <v>457</v>
      </c>
      <c r="J113" s="44" t="n">
        <v>440</v>
      </c>
      <c r="K113" s="28">
        <f>TABL123[[#This Row],[ (T/B) SAR]]+TABL123[[#This Row],[ (S/S) SAR]]</f>
        <v/>
      </c>
      <c r="L113" s="45" t="n">
        <v>311</v>
      </c>
      <c r="M113" s="46" t="n">
        <v>22.3</v>
      </c>
      <c r="N113" s="46" t="n">
        <v>7.65</v>
      </c>
      <c r="O113" s="40" t="n">
        <v>400</v>
      </c>
      <c r="P113" s="3">
        <f>TABL123[[#This Row],[ (S/S) SAR]]-TABL123[[#This Row],[(S/S) AJD]]</f>
        <v/>
      </c>
      <c r="Q113" s="40" t="n">
        <v>432</v>
      </c>
      <c r="R113" s="3">
        <f>TABL123[[#This Row],[ (T/B) SAR]]-TABL123[[#This Row],[(T/B) AJD]]</f>
        <v/>
      </c>
      <c r="S113" s="3">
        <f>TABL123[[#This Row],[T/B-CON.]]+TABL123[[#This Row],[S/S_CON.]]</f>
        <v/>
      </c>
      <c r="T113" s="3">
        <f>TABL123[[#This Row],[(S/S) AJD]]+TABL123[[#This Row],[(T/B) AJD]]</f>
        <v/>
      </c>
      <c r="U113" s="44" t="n">
        <v>584</v>
      </c>
      <c r="V113" s="44" t="n">
        <v>254</v>
      </c>
      <c r="W113" s="3">
        <f>TABL123[[#This Row],[(A/B) AJD]]+TABL123[[#This Row],[(A/S) AJD]]</f>
        <v/>
      </c>
      <c r="X113" s="3">
        <f>TABL123[[#This Row],[( S/S+T/B) AJD]]-TABL123[[#This Row],[(A/B + A/S) AJD]]</f>
        <v/>
      </c>
      <c r="Y113" s="44" t="n">
        <v>92.145</v>
      </c>
      <c r="Z113" s="45" t="n">
        <v>285675</v>
      </c>
      <c r="AA113" s="3">
        <f>TABL123[[#This Row],[(RESV. STORGE) AJD]]/10</f>
        <v/>
      </c>
      <c r="AB113" s="45">
        <f>IF(TRIM(Z113)="",,(Z113-Z112)/1000)</f>
        <v/>
      </c>
      <c r="AC113" s="45" t="n">
        <v>1095</v>
      </c>
      <c r="AD113" s="83">
        <f>TABL123[[#This Row],[( S/S+T/B) AJD]]-(TABL123[[#This Row],[(A/B + A/S) AJD]]+TABL123[[#This Row],[(STORGE DIFF.) AJD]]+(TABL123[[#This Row],[AJD_Evaporation]])/1000)</f>
        <v/>
      </c>
      <c r="AE113" s="68" t="n">
        <v>78</v>
      </c>
      <c r="AF113" s="68" t="n">
        <v>58.41</v>
      </c>
      <c r="AG113" s="68" t="n">
        <v>1235632</v>
      </c>
      <c r="AH113" s="45" t="n">
        <v>2396</v>
      </c>
      <c r="AI113" s="45" t="n">
        <v>2396</v>
      </c>
      <c r="AJ113" s="78">
        <f>TABL123[[#This Row],[(A/B) AJD]]-TABL123[[#This Row],[BER_IN]]</f>
        <v/>
      </c>
      <c r="AK113" s="68" t="n">
        <v>0</v>
      </c>
      <c r="AL113" s="87" t="n">
        <v>42.5132</v>
      </c>
      <c r="AM113" s="87" t="n">
        <v>2845590</v>
      </c>
      <c r="AN113" s="87">
        <f>TABL123[[#This Row],[ (RESV. STORGE) SER]]/10</f>
        <v/>
      </c>
      <c r="AO113" s="45" t="n">
        <v>1860</v>
      </c>
      <c r="AP113" s="32">
        <f>TABL123[[#This Row],[(A/S) AJD]]-TABL123[[#This Row],[SER_IN]]</f>
        <v/>
      </c>
    </row>
    <row r="114" ht="18.75" customHeight="1">
      <c r="A114" s="2" t="n">
        <v>46135</v>
      </c>
      <c r="B114" s="41" t="n">
        <v>38</v>
      </c>
      <c r="C114" s="41" t="n">
        <v>299</v>
      </c>
      <c r="D114" s="41" t="n">
        <v>38</v>
      </c>
      <c r="E114" s="41" t="n">
        <v>0</v>
      </c>
      <c r="F114" s="41" t="n">
        <v>95</v>
      </c>
      <c r="G114" s="39" t="n">
        <v>589</v>
      </c>
      <c r="H114" s="28">
        <f>103-F114</f>
        <v/>
      </c>
      <c r="I114" s="39" t="n">
        <v>459</v>
      </c>
      <c r="J114" s="39" t="n">
        <v>444</v>
      </c>
      <c r="K114" s="28">
        <f>TABL123[[#This Row],[ (T/B) SAR]]+TABL123[[#This Row],[ (S/S) SAR]]</f>
        <v/>
      </c>
      <c r="L114" s="41" t="n">
        <v>314</v>
      </c>
      <c r="M114" s="42" t="n">
        <v>22.3</v>
      </c>
      <c r="N114" s="42" t="n">
        <v>7.77</v>
      </c>
      <c r="O114" s="39" t="n">
        <v>398</v>
      </c>
      <c r="P114" s="3">
        <f>TABL123[[#This Row],[ (S/S) SAR]]-TABL123[[#This Row],[(S/S) AJD]]</f>
        <v/>
      </c>
      <c r="Q114" s="39" t="n">
        <v>430</v>
      </c>
      <c r="R114" s="3">
        <f>TABL123[[#This Row],[ (T/B) SAR]]-TABL123[[#This Row],[(T/B) AJD]]</f>
        <v/>
      </c>
      <c r="S114" s="3">
        <f>TABL123[[#This Row],[T/B-CON.]]+TABL123[[#This Row],[S/S_CON.]]</f>
        <v/>
      </c>
      <c r="T114" s="3">
        <f>TABL123[[#This Row],[(S/S) AJD]]+TABL123[[#This Row],[(T/B) AJD]]</f>
        <v/>
      </c>
      <c r="U114" s="41" t="n">
        <v>597</v>
      </c>
      <c r="V114" s="41" t="n">
        <v>261</v>
      </c>
      <c r="W114" s="3">
        <f>TABL123[[#This Row],[(A/B) AJD]]+TABL123[[#This Row],[(A/S) AJD]]</f>
        <v/>
      </c>
      <c r="X114" s="3">
        <f>TABL123[[#This Row],[( S/S+T/B) AJD]]-TABL123[[#This Row],[(A/B + A/S) AJD]]</f>
        <v/>
      </c>
      <c r="Y114" s="41" t="n">
        <v>92.038</v>
      </c>
      <c r="Z114" s="43" t="n">
        <v>222300</v>
      </c>
      <c r="AA114" s="3">
        <f>TABL123[[#This Row],[(RESV. STORGE) AJD]]/10</f>
        <v/>
      </c>
      <c r="AB114" s="45">
        <f>IF(TRIM(Z114)="",,(Z114-Z113)/1000)</f>
        <v/>
      </c>
      <c r="AC114" s="43" t="n">
        <v>1162</v>
      </c>
      <c r="AD114" s="83">
        <f>TABL123[[#This Row],[( S/S+T/B) AJD]]-(TABL123[[#This Row],[(A/B + A/S) AJD]]+TABL123[[#This Row],[(STORGE DIFF.) AJD]]+(TABL123[[#This Row],[AJD_Evaporation]])/1000)</f>
        <v/>
      </c>
      <c r="AE114" s="68" t="n">
        <v>80</v>
      </c>
      <c r="AF114" s="68" t="n">
        <v>58.35</v>
      </c>
      <c r="AG114" s="68" t="n">
        <v>1196341</v>
      </c>
      <c r="AH114" s="43" t="n">
        <v>2308</v>
      </c>
      <c r="AI114" s="43" t="n">
        <v>2308</v>
      </c>
      <c r="AJ114" s="78">
        <f>TABL123[[#This Row],[(A/B) AJD]]-TABL123[[#This Row],[BER_IN]]</f>
        <v/>
      </c>
      <c r="AK114" s="68" t="n">
        <v>0</v>
      </c>
      <c r="AL114" s="87" t="n">
        <v>42.4604</v>
      </c>
      <c r="AM114" s="87" t="n">
        <v>2817120</v>
      </c>
      <c r="AN114" s="87">
        <f>TABL123[[#This Row],[ (RESV. STORGE) SER]]/10</f>
        <v/>
      </c>
      <c r="AO114" s="43" t="n">
        <v>1870</v>
      </c>
      <c r="AP114" s="32">
        <f>TABL123[[#This Row],[(A/S) AJD]]-TABL123[[#This Row],[SER_IN]]</f>
        <v/>
      </c>
    </row>
    <row r="115" ht="18.75" customHeight="1">
      <c r="A115" s="2" t="n">
        <v>46136</v>
      </c>
      <c r="B115" s="44" t="n">
        <v>37</v>
      </c>
      <c r="C115" s="44" t="n">
        <v>292</v>
      </c>
      <c r="D115" s="44" t="n">
        <v>37</v>
      </c>
      <c r="E115" s="44" t="n">
        <v>0</v>
      </c>
      <c r="F115" s="44" t="n">
        <v>95</v>
      </c>
      <c r="G115" s="40" t="n">
        <v>587</v>
      </c>
      <c r="H115" s="28">
        <f>103-F115</f>
        <v/>
      </c>
      <c r="I115" s="40" t="n">
        <v>460</v>
      </c>
      <c r="J115" s="44" t="n">
        <v>443</v>
      </c>
      <c r="K115" s="28">
        <f>TABL123[[#This Row],[ (T/B) SAR]]+TABL123[[#This Row],[ (S/S) SAR]]</f>
        <v/>
      </c>
      <c r="L115" s="45" t="n">
        <v>316</v>
      </c>
      <c r="M115" s="46" t="n">
        <v>22.3</v>
      </c>
      <c r="N115" s="46" t="n">
        <v>7.87</v>
      </c>
      <c r="O115" s="40" t="n">
        <v>400</v>
      </c>
      <c r="P115" s="3">
        <f>TABL123[[#This Row],[ (S/S) SAR]]-TABL123[[#This Row],[(S/S) AJD]]</f>
        <v/>
      </c>
      <c r="Q115" s="40" t="n">
        <v>431</v>
      </c>
      <c r="R115" s="3">
        <f>TABL123[[#This Row],[ (T/B) SAR]]-TABL123[[#This Row],[(T/B) AJD]]</f>
        <v/>
      </c>
      <c r="S115" s="3">
        <f>TABL123[[#This Row],[T/B-CON.]]+TABL123[[#This Row],[S/S_CON.]]</f>
        <v/>
      </c>
      <c r="T115" s="3">
        <f>TABL123[[#This Row],[(S/S) AJD]]+TABL123[[#This Row],[(T/B) AJD]]</f>
        <v/>
      </c>
      <c r="U115" s="44" t="n">
        <v>588</v>
      </c>
      <c r="V115" s="44" t="n">
        <v>213</v>
      </c>
      <c r="W115" s="3">
        <f>TABL123[[#This Row],[(A/B) AJD]]+TABL123[[#This Row],[(A/S) AJD]]</f>
        <v/>
      </c>
      <c r="X115" s="3">
        <f>TABL123[[#This Row],[( S/S+T/B) AJD]]-TABL123[[#This Row],[(A/B + A/S) AJD]]</f>
        <v/>
      </c>
      <c r="Y115" s="44" t="n">
        <v>92.07299999999999</v>
      </c>
      <c r="Z115" s="45" t="n">
        <v>243018</v>
      </c>
      <c r="AA115" s="3">
        <f>TABL123[[#This Row],[(RESV. STORGE) AJD]]/10</f>
        <v/>
      </c>
      <c r="AB115" s="45">
        <f>IF(TRIM(Z115)="",,(Z115-Z114)/1000)</f>
        <v/>
      </c>
      <c r="AC115" s="45" t="n">
        <v>0</v>
      </c>
      <c r="AD115" s="83">
        <f>TABL123[[#This Row],[( S/S+T/B) AJD]]-(TABL123[[#This Row],[(A/B + A/S) AJD]]+TABL123[[#This Row],[(STORGE DIFF.) AJD]]+(TABL123[[#This Row],[AJD_Evaporation]])/1000)</f>
        <v/>
      </c>
      <c r="AE115" s="68" t="n">
        <v>80</v>
      </c>
      <c r="AF115" s="68" t="n">
        <v>58.36</v>
      </c>
      <c r="AG115" s="68" t="n">
        <v>1202887</v>
      </c>
      <c r="AH115" s="45" t="n">
        <v>2472</v>
      </c>
      <c r="AI115" s="45" t="n">
        <v>2472</v>
      </c>
      <c r="AJ115" s="78">
        <f>TABL123[[#This Row],[(A/B) AJD]]-TABL123[[#This Row],[BER_IN]]</f>
        <v/>
      </c>
      <c r="AK115" s="68" t="n">
        <v>0</v>
      </c>
      <c r="AL115" s="87" t="n">
        <v>42.4161</v>
      </c>
      <c r="AM115" s="87" t="n">
        <v>2793590</v>
      </c>
      <c r="AN115" s="87">
        <f>TABL123[[#This Row],[ (RESV. STORGE) SER]]/10</f>
        <v/>
      </c>
      <c r="AO115" s="45" t="n">
        <v>1830</v>
      </c>
      <c r="AP115" s="32">
        <f>TABL123[[#This Row],[(A/S) AJD]]-TABL123[[#This Row],[SER_IN]]</f>
        <v/>
      </c>
    </row>
    <row r="116" ht="18.75" customHeight="1">
      <c r="A116" s="2" t="n">
        <v>46137</v>
      </c>
      <c r="B116" s="41" t="n">
        <v>36</v>
      </c>
      <c r="C116" s="41" t="n">
        <v>280</v>
      </c>
      <c r="D116" s="41" t="n">
        <v>36</v>
      </c>
      <c r="E116" s="41" t="n">
        <v>0</v>
      </c>
      <c r="F116" s="41" t="n">
        <v>95</v>
      </c>
      <c r="G116" s="39" t="n">
        <v>587</v>
      </c>
      <c r="H116" s="28">
        <f>103-F116</f>
        <v/>
      </c>
      <c r="I116" s="39" t="n">
        <v>466</v>
      </c>
      <c r="J116" s="39" t="n">
        <v>448</v>
      </c>
      <c r="K116" s="28">
        <f>TABL123[[#This Row],[ (T/B) SAR]]+TABL123[[#This Row],[ (S/S) SAR]]</f>
        <v/>
      </c>
      <c r="L116" s="41" t="n">
        <v>327</v>
      </c>
      <c r="M116" s="42" t="n">
        <v>24</v>
      </c>
      <c r="N116" s="42" t="n">
        <v>7.73</v>
      </c>
      <c r="O116" s="39" t="n">
        <v>402</v>
      </c>
      <c r="P116" s="3">
        <f>TABL123[[#This Row],[ (S/S) SAR]]-TABL123[[#This Row],[(S/S) AJD]]</f>
        <v/>
      </c>
      <c r="Q116" s="39" t="n">
        <v>434</v>
      </c>
      <c r="R116" s="3">
        <f>TABL123[[#This Row],[ (T/B) SAR]]-TABL123[[#This Row],[(T/B) AJD]]</f>
        <v/>
      </c>
      <c r="S116" s="3">
        <f>TABL123[[#This Row],[T/B-CON.]]+TABL123[[#This Row],[S/S_CON.]]</f>
        <v/>
      </c>
      <c r="T116" s="3">
        <f>TABL123[[#This Row],[(S/S) AJD]]+TABL123[[#This Row],[(T/B) AJD]]</f>
        <v/>
      </c>
      <c r="U116" s="41" t="n">
        <v>587</v>
      </c>
      <c r="V116" s="41" t="n">
        <v>207</v>
      </c>
      <c r="W116" s="3">
        <f>TABL123[[#This Row],[(A/B) AJD]]+TABL123[[#This Row],[(A/S) AJD]]</f>
        <v/>
      </c>
      <c r="X116" s="3">
        <f>TABL123[[#This Row],[( S/S+T/B) AJD]]-TABL123[[#This Row],[(A/B + A/S) AJD]]</f>
        <v/>
      </c>
      <c r="Y116" s="41" t="n">
        <v>92.09999999999999</v>
      </c>
      <c r="Z116" s="43" t="n">
        <v>259010</v>
      </c>
      <c r="AA116" s="3">
        <f>TABL123[[#This Row],[(RESV. STORGE) AJD]]/10</f>
        <v/>
      </c>
      <c r="AB116" s="45">
        <f>IF(TRIM(Z116)="",,(Z116-Z115)/1000)</f>
        <v/>
      </c>
      <c r="AC116" s="43" t="n">
        <v>1344</v>
      </c>
      <c r="AD116" s="83">
        <f>TABL123[[#This Row],[( S/S+T/B) AJD]]-(TABL123[[#This Row],[(A/B + A/S) AJD]]+TABL123[[#This Row],[(STORGE DIFF.) AJD]]+(TABL123[[#This Row],[AJD_Evaporation]])/1000)</f>
        <v/>
      </c>
      <c r="AE116" s="68" t="n">
        <v>80</v>
      </c>
      <c r="AF116" s="68" t="n">
        <v>58.39</v>
      </c>
      <c r="AG116" s="68" t="n">
        <v>1222531</v>
      </c>
      <c r="AH116" s="43" t="n">
        <v>2012</v>
      </c>
      <c r="AI116" s="43" t="n">
        <v>2012</v>
      </c>
      <c r="AJ116" s="78">
        <f>TABL123[[#This Row],[(A/B) AJD]]-TABL123[[#This Row],[BER_IN]]</f>
        <v/>
      </c>
      <c r="AK116" s="68" t="n">
        <v>0</v>
      </c>
      <c r="AL116" s="87" t="n">
        <v>42.399</v>
      </c>
      <c r="AM116" s="87" t="n">
        <v>2784380</v>
      </c>
      <c r="AN116" s="87">
        <f>TABL123[[#This Row],[ (RESV. STORGE) SER]]/10</f>
        <v/>
      </c>
      <c r="AO116" s="43" t="n">
        <v>1810</v>
      </c>
      <c r="AP116" s="32">
        <f>TABL123[[#This Row],[(A/S) AJD]]-TABL123[[#This Row],[SER_IN]]</f>
        <v/>
      </c>
    </row>
    <row r="117" ht="18.75" customHeight="1">
      <c r="A117" s="2" t="n">
        <v>46138</v>
      </c>
      <c r="B117" s="44" t="n">
        <v>36</v>
      </c>
      <c r="C117" s="67" t="n">
        <v>323</v>
      </c>
      <c r="D117" s="44" t="n">
        <v>36</v>
      </c>
      <c r="E117" s="44" t="n">
        <v>0</v>
      </c>
      <c r="F117" s="44" t="n">
        <v>95</v>
      </c>
      <c r="G117" s="40" t="n">
        <v>584</v>
      </c>
      <c r="H117" s="28">
        <f>103-F117</f>
        <v/>
      </c>
      <c r="I117" s="40" t="n">
        <v>469</v>
      </c>
      <c r="J117" s="44" t="n">
        <v>451</v>
      </c>
      <c r="K117" s="28">
        <f>TABL123[[#This Row],[ (T/B) SAR]]+TABL123[[#This Row],[ (S/S) SAR]]</f>
        <v/>
      </c>
      <c r="L117" s="45" t="n">
        <v>336</v>
      </c>
      <c r="M117" s="46" t="n">
        <v>24</v>
      </c>
      <c r="N117" s="46" t="n">
        <v>7.62</v>
      </c>
      <c r="O117" s="40" t="n">
        <v>408</v>
      </c>
      <c r="P117" s="3">
        <f>TABL123[[#This Row],[ (S/S) SAR]]-TABL123[[#This Row],[(S/S) AJD]]</f>
        <v/>
      </c>
      <c r="Q117" s="40" t="n">
        <v>440</v>
      </c>
      <c r="R117" s="3">
        <f>TABL123[[#This Row],[ (T/B) SAR]]-TABL123[[#This Row],[(T/B) AJD]]</f>
        <v/>
      </c>
      <c r="S117" s="3">
        <f>TABL123[[#This Row],[T/B-CON.]]+TABL123[[#This Row],[S/S_CON.]]</f>
        <v/>
      </c>
      <c r="T117" s="3">
        <f>TABL123[[#This Row],[(S/S) AJD]]+TABL123[[#This Row],[(T/B) AJD]]</f>
        <v/>
      </c>
      <c r="U117" s="44" t="n">
        <v>590</v>
      </c>
      <c r="V117" s="44" t="n">
        <v>230</v>
      </c>
      <c r="W117" s="3">
        <f>TABL123[[#This Row],[(A/B) AJD]]+TABL123[[#This Row],[(A/S) AJD]]</f>
        <v/>
      </c>
      <c r="X117" s="3">
        <f>TABL123[[#This Row],[( S/S+T/B) AJD]]-TABL123[[#This Row],[(A/B + A/S) AJD]]</f>
        <v/>
      </c>
      <c r="Y117" s="44" t="n">
        <v>92.125</v>
      </c>
      <c r="Z117" s="45" t="n">
        <v>273824</v>
      </c>
      <c r="AA117" s="3">
        <f>TABL123[[#This Row],[(RESV. STORGE) AJD]]/10</f>
        <v/>
      </c>
      <c r="AB117" s="45">
        <f>IF(TRIM(Z117)="",,(Z117-Z116)/1000)</f>
        <v/>
      </c>
      <c r="AC117" s="45" t="n">
        <v>1020</v>
      </c>
      <c r="AD117" s="83">
        <f>TABL123[[#This Row],[( S/S+T/B) AJD]]-(TABL123[[#This Row],[(A/B + A/S) AJD]]+TABL123[[#This Row],[(STORGE DIFF.) AJD]]+(TABL123[[#This Row],[AJD_Evaporation]])/1000)</f>
        <v/>
      </c>
      <c r="AE117" s="68" t="n">
        <v>80</v>
      </c>
      <c r="AF117" s="68" t="n">
        <v>58.41</v>
      </c>
      <c r="AG117" s="68" t="n">
        <v>1235632</v>
      </c>
      <c r="AH117" s="45" t="n">
        <v>2203</v>
      </c>
      <c r="AI117" s="45" t="n">
        <v>2203</v>
      </c>
      <c r="AJ117" s="78">
        <f>TABL123[[#This Row],[(A/B) AJD]]-TABL123[[#This Row],[BER_IN]]</f>
        <v/>
      </c>
      <c r="AK117" s="68" t="n">
        <v>0</v>
      </c>
      <c r="AL117" s="87" t="n">
        <v>42.3621</v>
      </c>
      <c r="AM117" s="87" t="n">
        <v>2764530</v>
      </c>
      <c r="AN117" s="87">
        <f>TABL123[[#This Row],[ (RESV. STORGE) SER]]/10</f>
        <v/>
      </c>
      <c r="AO117" s="45" t="n">
        <v>1850</v>
      </c>
      <c r="AP117" s="32">
        <f>TABL123[[#This Row],[(A/S) AJD]]-TABL123[[#This Row],[SER_IN]]</f>
        <v/>
      </c>
    </row>
    <row r="118" ht="18.75" customHeight="1">
      <c r="A118" s="2" t="n">
        <v>46139</v>
      </c>
      <c r="B118" s="41" t="n">
        <v>35</v>
      </c>
      <c r="C118" s="41" t="n">
        <v>281</v>
      </c>
      <c r="D118" s="41" t="n">
        <v>35</v>
      </c>
      <c r="E118" s="41" t="n">
        <v>0</v>
      </c>
      <c r="F118" s="41" t="n">
        <v>95</v>
      </c>
      <c r="G118" s="39" t="n">
        <v>430</v>
      </c>
      <c r="H118" s="28">
        <f>103-F118</f>
        <v/>
      </c>
      <c r="I118" s="39" t="n">
        <v>389</v>
      </c>
      <c r="J118" s="39" t="n">
        <v>376</v>
      </c>
      <c r="K118" s="28">
        <f>TABL123[[#This Row],[ (T/B) SAR]]+TABL123[[#This Row],[ (S/S) SAR]]</f>
        <v/>
      </c>
      <c r="L118" s="41" t="n">
        <v>335</v>
      </c>
      <c r="M118" s="42" t="n">
        <v>24</v>
      </c>
      <c r="N118" s="42" t="n">
        <v>7.54</v>
      </c>
      <c r="O118" s="39" t="n">
        <v>406</v>
      </c>
      <c r="P118" s="3">
        <f>TABL123[[#This Row],[ (S/S) SAR]]-TABL123[[#This Row],[(S/S) AJD]]</f>
        <v/>
      </c>
      <c r="Q118" s="39" t="n">
        <v>440</v>
      </c>
      <c r="R118" s="3">
        <f>TABL123[[#This Row],[ (T/B) SAR]]-TABL123[[#This Row],[(T/B) AJD]]</f>
        <v/>
      </c>
      <c r="S118" s="3">
        <f>TABL123[[#This Row],[T/B-CON.]]+TABL123[[#This Row],[S/S_CON.]]</f>
        <v/>
      </c>
      <c r="T118" s="3">
        <f>TABL123[[#This Row],[(S/S) AJD]]+TABL123[[#This Row],[(T/B) AJD]]</f>
        <v/>
      </c>
      <c r="U118" s="41" t="n">
        <v>586</v>
      </c>
      <c r="V118" s="41" t="n">
        <v>237</v>
      </c>
      <c r="W118" s="3">
        <f>TABL123[[#This Row],[(A/B) AJD]]+TABL123[[#This Row],[(A/S) AJD]]</f>
        <v/>
      </c>
      <c r="X118" s="3">
        <f>TABL123[[#This Row],[( S/S+T/B) AJD]]-TABL123[[#This Row],[(A/B + A/S) AJD]]</f>
        <v/>
      </c>
      <c r="Y118" s="41" t="n">
        <v>92.11</v>
      </c>
      <c r="Z118" s="43" t="n">
        <v>264936</v>
      </c>
      <c r="AA118" s="3">
        <f>TABL123[[#This Row],[(RESV. STORGE) AJD]]/10</f>
        <v/>
      </c>
      <c r="AB118" s="45">
        <f>IF(TRIM(Z118)="",,(Z118-Z117)/1000)</f>
        <v/>
      </c>
      <c r="AC118" s="43" t="n">
        <v>1389</v>
      </c>
      <c r="AD118" s="83">
        <f>TABL123[[#This Row],[( S/S+T/B) AJD]]-(TABL123[[#This Row],[(A/B + A/S) AJD]]+TABL123[[#This Row],[(STORGE DIFF.) AJD]]+(TABL123[[#This Row],[AJD_Evaporation]])/1000)</f>
        <v/>
      </c>
      <c r="AE118" s="68" t="n">
        <v>80</v>
      </c>
      <c r="AF118" s="68" t="n">
        <v>58.45</v>
      </c>
      <c r="AG118" s="68" t="n">
        <v>1261843</v>
      </c>
      <c r="AH118" s="43" t="n">
        <v>2328</v>
      </c>
      <c r="AI118" s="43" t="n">
        <v>2328</v>
      </c>
      <c r="AJ118" s="78">
        <f>TABL123[[#This Row],[(A/B) AJD]]-TABL123[[#This Row],[BER_IN]]</f>
        <v/>
      </c>
      <c r="AK118" s="68" t="n">
        <v>0</v>
      </c>
      <c r="AL118" s="87" t="n">
        <v>42.3085</v>
      </c>
      <c r="AM118" s="87" t="n">
        <v>2735590</v>
      </c>
      <c r="AN118" s="87">
        <f>TABL123[[#This Row],[ (RESV. STORGE) SER]]/10</f>
        <v/>
      </c>
      <c r="AO118" s="43" t="n">
        <v>1840</v>
      </c>
      <c r="AP118" s="32">
        <f>TABL123[[#This Row],[(A/S) AJD]]-TABL123[[#This Row],[SER_IN]]</f>
        <v/>
      </c>
    </row>
    <row r="119" ht="18.75" customHeight="1">
      <c r="A119" s="2" t="n">
        <v>46140</v>
      </c>
      <c r="B119" s="44" t="n">
        <v>37</v>
      </c>
      <c r="C119" s="44" t="n">
        <v>301</v>
      </c>
      <c r="D119" s="44" t="n">
        <v>37</v>
      </c>
      <c r="E119" s="44" t="n">
        <v>0</v>
      </c>
      <c r="F119" s="44" t="n">
        <v>95</v>
      </c>
      <c r="G119" s="40" t="n">
        <v>578</v>
      </c>
      <c r="H119" s="28">
        <f>103-F119</f>
        <v/>
      </c>
      <c r="I119" s="40" t="n">
        <v>465</v>
      </c>
      <c r="J119" s="44" t="n">
        <v>448</v>
      </c>
      <c r="K119" s="28">
        <f>TABL123[[#This Row],[ (T/B) SAR]]+TABL123[[#This Row],[ (S/S) SAR]]</f>
        <v/>
      </c>
      <c r="L119" s="45" t="n">
        <v>335</v>
      </c>
      <c r="M119" s="46" t="n">
        <v>24</v>
      </c>
      <c r="N119" s="46" t="n">
        <v>7.49</v>
      </c>
      <c r="O119" s="40" t="n">
        <v>406</v>
      </c>
      <c r="P119" s="3">
        <f>TABL123[[#This Row],[ (S/S) SAR]]-TABL123[[#This Row],[(S/S) AJD]]</f>
        <v/>
      </c>
      <c r="Q119" s="40" t="n">
        <v>440</v>
      </c>
      <c r="R119" s="3">
        <f>TABL123[[#This Row],[ (T/B) SAR]]-TABL123[[#This Row],[(T/B) AJD]]</f>
        <v/>
      </c>
      <c r="S119" s="3">
        <f>TABL123[[#This Row],[T/B-CON.]]+TABL123[[#This Row],[S/S_CON.]]</f>
        <v/>
      </c>
      <c r="T119" s="3">
        <f>TABL123[[#This Row],[(S/S) AJD]]+TABL123[[#This Row],[(T/B) AJD]]</f>
        <v/>
      </c>
      <c r="U119" s="44" t="n">
        <v>586</v>
      </c>
      <c r="V119" s="44" t="n">
        <v>237</v>
      </c>
      <c r="W119" s="3">
        <f>TABL123[[#This Row],[(A/B) AJD]]+TABL123[[#This Row],[(A/S) AJD]]</f>
        <v/>
      </c>
      <c r="X119" s="3">
        <f>TABL123[[#This Row],[( S/S+T/B) AJD]]-TABL123[[#This Row],[(A/B + A/S) AJD]]</f>
        <v/>
      </c>
      <c r="Y119" s="44" t="n">
        <v>92.11</v>
      </c>
      <c r="Z119" s="45" t="n">
        <v>264936</v>
      </c>
      <c r="AA119" s="3">
        <f>TABL123[[#This Row],[(RESV. STORGE) AJD]]/10</f>
        <v/>
      </c>
      <c r="AB119" s="45">
        <f>IF(TRIM(Z119)="",,(Z119-Z118)/1000)</f>
        <v/>
      </c>
      <c r="AC119" s="45" t="n">
        <v>1389</v>
      </c>
      <c r="AD119" s="83">
        <f>TABL123[[#This Row],[( S/S+T/B) AJD]]-(TABL123[[#This Row],[(A/B + A/S) AJD]]+TABL123[[#This Row],[(STORGE DIFF.) AJD]]+(TABL123[[#This Row],[AJD_Evaporation]])/1000)</f>
        <v/>
      </c>
      <c r="AE119" s="68" t="n">
        <v>58</v>
      </c>
      <c r="AF119" s="68" t="n">
        <v>58.43</v>
      </c>
      <c r="AG119" s="68" t="n">
        <v>1248736</v>
      </c>
      <c r="AH119" s="45" t="n">
        <v>1387</v>
      </c>
      <c r="AI119" s="45" t="n">
        <v>1387</v>
      </c>
      <c r="AJ119" s="78">
        <f>TABL123[[#This Row],[(A/B) AJD]]-TABL123[[#This Row],[BER_IN]]</f>
        <v/>
      </c>
      <c r="AK119" s="68" t="n">
        <v>0</v>
      </c>
      <c r="AL119" s="87" t="n">
        <v>42.2983</v>
      </c>
      <c r="AM119" s="87" t="n">
        <v>2730770</v>
      </c>
      <c r="AN119" s="87">
        <f>TABL123[[#This Row],[ (RESV. STORGE) SER]]/10</f>
        <v/>
      </c>
      <c r="AO119" s="45" t="n">
        <v>1387</v>
      </c>
      <c r="AP119" s="32">
        <f>TABL123[[#This Row],[(A/S) AJD]]-TABL123[[#This Row],[SER_IN]]</f>
        <v/>
      </c>
    </row>
    <row r="120" ht="18.75" customHeight="1">
      <c r="A120" s="2" t="n">
        <v>46141</v>
      </c>
      <c r="B120" s="41" t="n">
        <v>38</v>
      </c>
      <c r="C120" s="41" t="n">
        <v>300</v>
      </c>
      <c r="D120" s="41" t="n">
        <v>38</v>
      </c>
      <c r="E120" s="41" t="n">
        <v>0</v>
      </c>
      <c r="F120" s="41" t="n">
        <v>95</v>
      </c>
      <c r="G120" s="39" t="n">
        <v>576</v>
      </c>
      <c r="H120" s="28">
        <f>103-F120</f>
        <v/>
      </c>
      <c r="I120" s="39" t="n">
        <v>462</v>
      </c>
      <c r="J120" s="39" t="n">
        <v>445</v>
      </c>
      <c r="K120" s="28">
        <f>TABL123[[#This Row],[ (T/B) SAR]]+TABL123[[#This Row],[ (S/S) SAR]]</f>
        <v/>
      </c>
      <c r="L120" s="41" t="n">
        <v>331</v>
      </c>
      <c r="M120" s="42" t="n">
        <v>24</v>
      </c>
      <c r="N120" s="42" t="n">
        <v>7.48</v>
      </c>
      <c r="O120" s="39" t="n">
        <v>404</v>
      </c>
      <c r="P120" s="3">
        <f>TABL123[[#This Row],[ (S/S) SAR]]-TABL123[[#This Row],[(S/S) AJD]]</f>
        <v/>
      </c>
      <c r="Q120" s="39" t="n">
        <v>428</v>
      </c>
      <c r="R120" s="3">
        <f>TABL123[[#This Row],[ (T/B) SAR]]-TABL123[[#This Row],[(T/B) AJD]]</f>
        <v/>
      </c>
      <c r="S120" s="3">
        <f>TABL123[[#This Row],[T/B-CON.]]+TABL123[[#This Row],[S/S_CON.]]</f>
        <v/>
      </c>
      <c r="T120" s="3">
        <f>TABL123[[#This Row],[(S/S) AJD]]+TABL123[[#This Row],[(T/B) AJD]]</f>
        <v/>
      </c>
      <c r="U120" s="41" t="n">
        <v>508</v>
      </c>
      <c r="V120" s="41" t="n">
        <v>224</v>
      </c>
      <c r="W120" s="3">
        <f>TABL123[[#This Row],[(A/B) AJD]]+TABL123[[#This Row],[(A/S) AJD]]</f>
        <v/>
      </c>
      <c r="X120" s="3">
        <f>TABL123[[#This Row],[( S/S+T/B) AJD]]-TABL123[[#This Row],[(A/B + A/S) AJD]]</f>
        <v/>
      </c>
      <c r="Y120" s="41" t="n">
        <v>92.217</v>
      </c>
      <c r="Z120" s="43" t="n">
        <v>328379</v>
      </c>
      <c r="AA120" s="3">
        <f>TABL123[[#This Row],[(RESV. STORGE) AJD]]/10</f>
        <v/>
      </c>
      <c r="AB120" s="45">
        <f>IF(TRIM(Z120)="",,(Z120-Z119)/1000)</f>
        <v/>
      </c>
      <c r="AC120" s="43" t="n">
        <v>1213</v>
      </c>
      <c r="AD120" s="83">
        <f>TABL123[[#This Row],[( S/S+T/B) AJD]]-(TABL123[[#This Row],[(A/B + A/S) AJD]]+TABL123[[#This Row],[(STORGE DIFF.) AJD]]+(TABL123[[#This Row],[AJD_Evaporation]])/1000)</f>
        <v/>
      </c>
      <c r="AE120" s="68" t="n">
        <v>49</v>
      </c>
      <c r="AF120" s="68" t="n">
        <v>58.4</v>
      </c>
      <c r="AG120" s="68" t="n">
        <v>1229081</v>
      </c>
      <c r="AH120" s="43" t="n">
        <v>2254</v>
      </c>
      <c r="AI120" s="43" t="n">
        <v>2254</v>
      </c>
      <c r="AJ120" s="78">
        <f>TABL123[[#This Row],[(A/B) AJD]]-TABL123[[#This Row],[BER_IN]]</f>
        <v/>
      </c>
      <c r="AK120" s="68" t="n">
        <v>0</v>
      </c>
      <c r="AL120" s="87" t="n">
        <v>42.2916</v>
      </c>
      <c r="AM120" s="87" t="n">
        <v>2727870</v>
      </c>
      <c r="AN120" s="87">
        <f>TABL123[[#This Row],[ (RESV. STORGE) SER]]/10</f>
        <v/>
      </c>
      <c r="AO120" s="43" t="n">
        <v>1900</v>
      </c>
      <c r="AP120" s="32">
        <f>TABL123[[#This Row],[(A/S) AJD]]-TABL123[[#This Row],[SER_IN]]</f>
        <v/>
      </c>
    </row>
    <row r="121" ht="18.75" customHeight="1">
      <c r="A121" s="2" t="n">
        <v>46142</v>
      </c>
      <c r="B121" s="44" t="n">
        <v>38</v>
      </c>
      <c r="C121" s="44" t="n">
        <v>306</v>
      </c>
      <c r="D121" s="44" t="n">
        <v>38</v>
      </c>
      <c r="E121" s="44" t="n">
        <v>0</v>
      </c>
      <c r="F121" s="44" t="n">
        <v>95</v>
      </c>
      <c r="G121" s="40" t="n">
        <v>576</v>
      </c>
      <c r="H121" s="28">
        <f>103-F121</f>
        <v/>
      </c>
      <c r="I121" s="40" t="n">
        <v>463</v>
      </c>
      <c r="J121" s="44" t="n">
        <v>446</v>
      </c>
      <c r="K121" s="28">
        <f>TABL123[[#This Row],[ (T/B) SAR]]+TABL123[[#This Row],[ (S/S) SAR]]</f>
        <v/>
      </c>
      <c r="L121" s="45" t="n">
        <v>333</v>
      </c>
      <c r="M121" s="46" t="n">
        <v>24</v>
      </c>
      <c r="N121" s="46" t="n">
        <v>7.51</v>
      </c>
      <c r="O121" s="40" t="n">
        <v>401</v>
      </c>
      <c r="P121" s="3">
        <f>TABL123[[#This Row],[ (S/S) SAR]]-TABL123[[#This Row],[(S/S) AJD]]</f>
        <v/>
      </c>
      <c r="Q121" s="40" t="n">
        <v>433</v>
      </c>
      <c r="R121" s="3">
        <f>TABL123[[#This Row],[ (T/B) SAR]]-TABL123[[#This Row],[(T/B) AJD]]</f>
        <v/>
      </c>
      <c r="S121" s="3">
        <f>TABL123[[#This Row],[T/B-CON.]]+TABL123[[#This Row],[S/S_CON.]]</f>
        <v/>
      </c>
      <c r="T121" s="3">
        <f>TABL123[[#This Row],[(S/S) AJD]]+TABL123[[#This Row],[(T/B) AJD]]</f>
        <v/>
      </c>
      <c r="U121" s="44" t="n">
        <v>529</v>
      </c>
      <c r="V121" s="44" t="n">
        <v>198</v>
      </c>
      <c r="W121" s="3">
        <f>TABL123[[#This Row],[(A/B) AJD]]+TABL123[[#This Row],[(A/S) AJD]]</f>
        <v/>
      </c>
      <c r="X121" s="3">
        <f>TABL123[[#This Row],[( S/S+T/B) AJD]]-TABL123[[#This Row],[(A/B + A/S) AJD]]</f>
        <v/>
      </c>
      <c r="Y121" s="44" t="n">
        <v>92.342</v>
      </c>
      <c r="Z121" s="45" t="n">
        <v>402612</v>
      </c>
      <c r="AA121" s="3">
        <f>TABL123[[#This Row],[(RESV. STORGE) AJD]]/10</f>
        <v/>
      </c>
      <c r="AB121" s="45">
        <f>IF(TRIM(Z121)="",,(Z121-Z120)/1000)</f>
        <v/>
      </c>
      <c r="AC121" s="45" t="n">
        <v>2189</v>
      </c>
      <c r="AD121" s="83">
        <f>TABL123[[#This Row],[( S/S+T/B) AJD]]-(TABL123[[#This Row],[(A/B + A/S) AJD]]+TABL123[[#This Row],[(STORGE DIFF.) AJD]]+(TABL123[[#This Row],[AJD_Evaporation]])/1000)</f>
        <v/>
      </c>
      <c r="AE121" s="68" t="n">
        <v>49</v>
      </c>
      <c r="AF121" s="68" t="n">
        <v>58.35</v>
      </c>
      <c r="AG121" s="68" t="n">
        <v>1196341</v>
      </c>
      <c r="AH121" s="45" t="n">
        <v>2060</v>
      </c>
      <c r="AI121" s="45" t="n">
        <v>2060</v>
      </c>
      <c r="AJ121" s="78">
        <f>TABL123[[#This Row],[(A/B) AJD]]-TABL123[[#This Row],[BER_IN]]</f>
        <v/>
      </c>
      <c r="AK121" s="68" t="n">
        <v>0</v>
      </c>
      <c r="AL121" s="87" t="n">
        <v>42.2843</v>
      </c>
      <c r="AM121" s="87" t="n">
        <v>2722360</v>
      </c>
      <c r="AN121" s="87">
        <f>TABL123[[#This Row],[ (RESV. STORGE) SER]]/10</f>
        <v/>
      </c>
      <c r="AO121" s="45" t="n">
        <v>1810</v>
      </c>
      <c r="AP121" s="32">
        <f>TABL123[[#This Row],[(A/S) AJD]]-TABL123[[#This Row],[SER_IN]]</f>
        <v/>
      </c>
    </row>
    <row r="122" ht="18.75" customHeight="1">
      <c r="A122" s="2" t="n">
        <v>46143</v>
      </c>
      <c r="B122" s="41" t="n">
        <v>38</v>
      </c>
      <c r="C122" s="41" t="n">
        <v>291</v>
      </c>
      <c r="D122" s="41" t="n">
        <v>38</v>
      </c>
      <c r="E122" s="41" t="n">
        <v>0</v>
      </c>
      <c r="F122" s="41" t="n">
        <v>95</v>
      </c>
      <c r="G122" s="39" t="n">
        <v>584</v>
      </c>
      <c r="H122" s="28">
        <f>103-F122</f>
        <v/>
      </c>
      <c r="I122" s="39" t="n">
        <v>468</v>
      </c>
      <c r="J122" s="39" t="n">
        <v>447</v>
      </c>
      <c r="K122" s="28">
        <f>TABL123[[#This Row],[ (T/B) SAR]]+TABL123[[#This Row],[ (S/S) SAR]]</f>
        <v/>
      </c>
      <c r="L122" s="41" t="n">
        <v>331</v>
      </c>
      <c r="M122" s="42" t="n">
        <v>24</v>
      </c>
      <c r="N122" s="42" t="n">
        <v>7.44</v>
      </c>
      <c r="O122" s="39" t="n">
        <v>418</v>
      </c>
      <c r="P122" s="3">
        <f>TABL123[[#This Row],[ (S/S) SAR]]-TABL123[[#This Row],[(S/S) AJD]]</f>
        <v/>
      </c>
      <c r="Q122" s="39" t="n">
        <v>451</v>
      </c>
      <c r="R122" s="3">
        <f>TABL123[[#This Row],[ (T/B) SAR]]-TABL123[[#This Row],[(T/B) AJD]]</f>
        <v/>
      </c>
      <c r="S122" s="3">
        <f>TABL123[[#This Row],[T/B-CON.]]+TABL123[[#This Row],[S/S_CON.]]</f>
        <v/>
      </c>
      <c r="T122" s="3">
        <f>TABL123[[#This Row],[(S/S) AJD]]+TABL123[[#This Row],[(T/B) AJD]]</f>
        <v/>
      </c>
      <c r="U122" s="41" t="n">
        <v>580</v>
      </c>
      <c r="V122" s="41" t="n">
        <v>268</v>
      </c>
      <c r="W122" s="3">
        <f>TABL123[[#This Row],[(A/B) AJD]]+TABL123[[#This Row],[(A/S) AJD]]</f>
        <v/>
      </c>
      <c r="X122" s="3">
        <f>TABL123[[#This Row],[( S/S+T/B) AJD]]-TABL123[[#This Row],[(A/B + A/S) AJD]]</f>
        <v/>
      </c>
      <c r="Y122" s="41" t="n">
        <v>92.32599999999999</v>
      </c>
      <c r="Z122" s="43" t="n">
        <v>392505</v>
      </c>
      <c r="AA122" s="3">
        <f>TABL123[[#This Row],[(RESV. STORGE) AJD]]/10</f>
        <v/>
      </c>
      <c r="AB122" s="45">
        <f>IF(TRIM(Z122)="",,(Z122-Z121)/1000)</f>
        <v/>
      </c>
      <c r="AC122" s="43" t="n">
        <v>2304</v>
      </c>
      <c r="AD122" s="83">
        <f>TABL123[[#This Row],[( S/S+T/B) AJD]]-(TABL123[[#This Row],[(A/B + A/S) AJD]]+TABL123[[#This Row],[(STORGE DIFF.) AJD]]+(TABL123[[#This Row],[AJD_Evaporation]])/1000)</f>
        <v/>
      </c>
      <c r="AE122" s="68" t="n">
        <v>66</v>
      </c>
      <c r="AF122" s="68" t="n">
        <v>58.33</v>
      </c>
      <c r="AG122" s="68" t="n">
        <v>1183250</v>
      </c>
      <c r="AH122" s="43" t="n">
        <v>2028</v>
      </c>
      <c r="AI122" s="43" t="n">
        <v>2028</v>
      </c>
      <c r="AJ122" s="78">
        <f>TABL123[[#This Row],[(A/B) AJD]]-TABL123[[#This Row],[BER_IN]]</f>
        <v/>
      </c>
      <c r="AK122" s="68" t="n">
        <v>15</v>
      </c>
      <c r="AL122" s="87" t="n">
        <v>42.27</v>
      </c>
      <c r="AM122" s="87" t="n">
        <v>2715240</v>
      </c>
      <c r="AN122" s="87">
        <f>TABL123[[#This Row],[ (RESV. STORGE) SER]]/10</f>
        <v/>
      </c>
      <c r="AO122" s="43" t="n">
        <v>1920</v>
      </c>
      <c r="AP122" s="32">
        <f>TABL123[[#This Row],[(A/S) AJD]]-TABL123[[#This Row],[SER_IN]]</f>
        <v/>
      </c>
    </row>
    <row r="123" ht="18.75" customHeight="1">
      <c r="A123" s="2" t="n">
        <v>46144</v>
      </c>
      <c r="B123" s="44" t="n">
        <v>38</v>
      </c>
      <c r="C123" s="44" t="n">
        <v>301</v>
      </c>
      <c r="D123" s="44" t="n">
        <v>38</v>
      </c>
      <c r="E123" s="44" t="n">
        <v>0</v>
      </c>
      <c r="F123" s="44" t="n">
        <v>95</v>
      </c>
      <c r="G123" s="40" t="n">
        <v>571</v>
      </c>
      <c r="H123" s="28">
        <f>103-F123</f>
        <v/>
      </c>
      <c r="I123" s="40" t="n">
        <v>460</v>
      </c>
      <c r="J123" s="44" t="n">
        <v>445</v>
      </c>
      <c r="K123" s="28">
        <f>TABL123[[#This Row],[ (T/B) SAR]]+TABL123[[#This Row],[ (S/S) SAR]]</f>
        <v/>
      </c>
      <c r="L123" s="45" t="n">
        <v>334</v>
      </c>
      <c r="M123" s="46" t="n">
        <v>24</v>
      </c>
      <c r="N123" s="46" t="n">
        <v>7.46</v>
      </c>
      <c r="O123" s="40" t="n">
        <v>386</v>
      </c>
      <c r="P123" s="3">
        <f>TABL123[[#This Row],[ (S/S) SAR]]-TABL123[[#This Row],[(S/S) AJD]]</f>
        <v/>
      </c>
      <c r="Q123" s="40" t="n">
        <v>419</v>
      </c>
      <c r="R123" s="3">
        <f>TABL123[[#This Row],[ (T/B) SAR]]-TABL123[[#This Row],[(T/B) AJD]]</f>
        <v/>
      </c>
      <c r="S123" s="3">
        <f>TABL123[[#This Row],[T/B-CON.]]+TABL123[[#This Row],[S/S_CON.]]</f>
        <v/>
      </c>
      <c r="T123" s="3">
        <f>TABL123[[#This Row],[(S/S) AJD]]+TABL123[[#This Row],[(T/B) AJD]]</f>
        <v/>
      </c>
      <c r="U123" s="44" t="n">
        <v>541</v>
      </c>
      <c r="V123" s="44" t="n">
        <v>275</v>
      </c>
      <c r="W123" s="3">
        <f>TABL123[[#This Row],[(A/B) AJD]]+TABL123[[#This Row],[(A/S) AJD]]</f>
        <v/>
      </c>
      <c r="X123" s="3">
        <f>TABL123[[#This Row],[( S/S+T/B) AJD]]-TABL123[[#This Row],[(A/B + A/S) AJD]]</f>
        <v/>
      </c>
      <c r="Y123" s="44" t="n">
        <v>92.268</v>
      </c>
      <c r="Z123" s="45" t="n">
        <v>358647</v>
      </c>
      <c r="AA123" s="3">
        <f>TABL123[[#This Row],[(RESV. STORGE) AJD]]/10</f>
        <v/>
      </c>
      <c r="AB123" s="45">
        <f>IF(TRIM(Z123)="",,(Z123-Z122)/1000)</f>
        <v/>
      </c>
      <c r="AC123" s="45" t="n">
        <v>2772</v>
      </c>
      <c r="AD123" s="83">
        <f>TABL123[[#This Row],[( S/S+T/B) AJD]]-(TABL123[[#This Row],[(A/B + A/S) AJD]]+TABL123[[#This Row],[(STORGE DIFF.) AJD]]+(TABL123[[#This Row],[AJD_Evaporation]])/1000)</f>
        <v/>
      </c>
      <c r="AE123" s="68" t="n">
        <v>69</v>
      </c>
      <c r="AF123" s="68" t="n">
        <v>58.32</v>
      </c>
      <c r="AG123" s="68" t="n">
        <v>1176706</v>
      </c>
      <c r="AH123" s="45" t="n">
        <v>1999</v>
      </c>
      <c r="AI123" s="45" t="n">
        <v>1999</v>
      </c>
      <c r="AJ123" s="78">
        <f>TABL123[[#This Row],[(A/B) AJD]]-TABL123[[#This Row],[BER_IN]]</f>
        <v/>
      </c>
      <c r="AK123" s="68" t="n">
        <v>21</v>
      </c>
      <c r="AL123" s="87" t="n">
        <v>42.277</v>
      </c>
      <c r="AM123" s="87" t="n">
        <v>2718490</v>
      </c>
      <c r="AN123" s="87">
        <f>TABL123[[#This Row],[ (RESV. STORGE) SER]]/10</f>
        <v/>
      </c>
      <c r="AO123" s="45" t="n">
        <v>1860</v>
      </c>
      <c r="AP123" s="32">
        <f>TABL123[[#This Row],[(A/S) AJD]]-TABL123[[#This Row],[SER_IN]]</f>
        <v/>
      </c>
    </row>
    <row r="124" ht="18.75" customHeight="1">
      <c r="A124" s="2" t="n">
        <v>46145</v>
      </c>
      <c r="B124" s="41" t="n">
        <v>38</v>
      </c>
      <c r="C124" s="41" t="n">
        <v>306</v>
      </c>
      <c r="D124" s="41" t="n">
        <v>38</v>
      </c>
      <c r="E124" s="41" t="n">
        <v>0</v>
      </c>
      <c r="F124" s="41" t="n">
        <v>95</v>
      </c>
      <c r="G124" s="39" t="n">
        <v>567</v>
      </c>
      <c r="H124" s="28">
        <f>103-F124</f>
        <v/>
      </c>
      <c r="I124" s="39" t="n">
        <v>450</v>
      </c>
      <c r="J124" s="39" t="n">
        <v>455</v>
      </c>
      <c r="K124" s="28">
        <f>TABL123[[#This Row],[ (T/B) SAR]]+TABL123[[#This Row],[ (S/S) SAR]]</f>
        <v/>
      </c>
      <c r="L124" s="41" t="n">
        <v>338</v>
      </c>
      <c r="M124" s="42" t="n">
        <v>24</v>
      </c>
      <c r="N124" s="42" t="n">
        <v>7.49</v>
      </c>
      <c r="O124" s="39" t="n">
        <v>404</v>
      </c>
      <c r="P124" s="3">
        <f>TABL123[[#This Row],[ (S/S) SAR]]-TABL123[[#This Row],[(S/S) AJD]]</f>
        <v/>
      </c>
      <c r="Q124" s="39" t="n">
        <v>435</v>
      </c>
      <c r="R124" s="3">
        <f>TABL123[[#This Row],[ (T/B) SAR]]-TABL123[[#This Row],[(T/B) AJD]]</f>
        <v/>
      </c>
      <c r="S124" s="3">
        <f>TABL123[[#This Row],[T/B-CON.]]+TABL123[[#This Row],[S/S_CON.]]</f>
        <v/>
      </c>
      <c r="T124" s="3">
        <f>TABL123[[#This Row],[(S/S) AJD]]+TABL123[[#This Row],[(T/B) AJD]]</f>
        <v/>
      </c>
      <c r="U124" s="41" t="n">
        <v>563</v>
      </c>
      <c r="V124" s="41" t="n">
        <v>273</v>
      </c>
      <c r="W124" s="3">
        <f>TABL123[[#This Row],[(A/B) AJD]]+TABL123[[#This Row],[(A/S) AJD]]</f>
        <v/>
      </c>
      <c r="X124" s="3">
        <f>TABL123[[#This Row],[( S/S+T/B) AJD]]-TABL123[[#This Row],[(A/B + A/S) AJD]]</f>
        <v/>
      </c>
      <c r="Y124" s="41" t="n">
        <v>92.22799999999999</v>
      </c>
      <c r="Z124" s="43" t="n">
        <v>334903</v>
      </c>
      <c r="AA124" s="3">
        <f>TABL123[[#This Row],[(RESV. STORGE) AJD]]/10</f>
        <v/>
      </c>
      <c r="AB124" s="45">
        <f>IF(TRIM(Z124)="",,(Z124-Z123)/1000)</f>
        <v/>
      </c>
      <c r="AC124" s="43" t="n">
        <v>0</v>
      </c>
      <c r="AD124" s="83">
        <f>TABL123[[#This Row],[( S/S+T/B) AJD]]-(TABL123[[#This Row],[(A/B + A/S) AJD]]+TABL123[[#This Row],[(STORGE DIFF.) AJD]]+(TABL123[[#This Row],[AJD_Evaporation]])/1000)</f>
        <v/>
      </c>
      <c r="AE124" s="68" t="n">
        <v>70</v>
      </c>
      <c r="AF124" s="68" t="n">
        <v>58.32</v>
      </c>
      <c r="AG124" s="68" t="n">
        <v>1176706</v>
      </c>
      <c r="AH124" s="43" t="n">
        <v>2387</v>
      </c>
      <c r="AI124" s="43" t="n">
        <v>2387</v>
      </c>
      <c r="AJ124" s="78">
        <f>TABL123[[#This Row],[(A/B) AJD]]-TABL123[[#This Row],[BER_IN]]</f>
        <v/>
      </c>
      <c r="AK124" s="68" t="n">
        <v>21</v>
      </c>
      <c r="AL124" s="87" t="n">
        <v>42.2571</v>
      </c>
      <c r="AM124" s="87" t="n">
        <v>2708940</v>
      </c>
      <c r="AN124" s="87">
        <f>TABL123[[#This Row],[ (RESV. STORGE) SER]]/10</f>
        <v/>
      </c>
      <c r="AO124" s="43" t="n">
        <v>1925</v>
      </c>
      <c r="AP124" s="32">
        <f>TABL123[[#This Row],[(A/S) AJD]]-TABL123[[#This Row],[SER_IN]]</f>
        <v/>
      </c>
    </row>
    <row r="125" ht="18.75" customHeight="1">
      <c r="A125" s="2" t="n">
        <v>46146</v>
      </c>
      <c r="B125" s="44" t="n">
        <v>38</v>
      </c>
      <c r="C125" s="44" t="n">
        <v>316</v>
      </c>
      <c r="D125" s="44" t="n">
        <v>38</v>
      </c>
      <c r="E125" s="44" t="n">
        <v>0</v>
      </c>
      <c r="F125" s="44" t="n">
        <v>95</v>
      </c>
      <c r="G125" s="40" t="n">
        <v>591</v>
      </c>
      <c r="H125" s="28">
        <f>103-F125</f>
        <v/>
      </c>
      <c r="I125" s="40" t="n">
        <v>471</v>
      </c>
      <c r="J125" s="44" t="n">
        <v>456</v>
      </c>
      <c r="K125" s="28">
        <f>TABL123[[#This Row],[ (T/B) SAR]]+TABL123[[#This Row],[ (S/S) SAR]]</f>
        <v/>
      </c>
      <c r="L125" s="45" t="n">
        <v>336</v>
      </c>
      <c r="M125" s="46" t="n">
        <v>24</v>
      </c>
      <c r="N125" s="46" t="n">
        <v>7.54</v>
      </c>
      <c r="O125" s="40" t="n">
        <v>408</v>
      </c>
      <c r="P125" s="3">
        <f>TABL123[[#This Row],[ (S/S) SAR]]-TABL123[[#This Row],[(S/S) AJD]]</f>
        <v/>
      </c>
      <c r="Q125" s="40" t="n">
        <v>438</v>
      </c>
      <c r="R125" s="3">
        <f>TABL123[[#This Row],[ (T/B) SAR]]-TABL123[[#This Row],[(T/B) AJD]]</f>
        <v/>
      </c>
      <c r="S125" s="3">
        <f>TABL123[[#This Row],[T/B-CON.]]+TABL123[[#This Row],[S/S_CON.]]</f>
        <v/>
      </c>
      <c r="T125" s="3">
        <f>TABL123[[#This Row],[(S/S) AJD]]+TABL123[[#This Row],[(T/B) AJD]]</f>
        <v/>
      </c>
      <c r="U125" s="44" t="n">
        <v>566</v>
      </c>
      <c r="V125" s="44" t="n">
        <v>278</v>
      </c>
      <c r="W125" s="3">
        <f>TABL123[[#This Row],[(A/B) AJD]]+TABL123[[#This Row],[(A/S) AJD]]</f>
        <v/>
      </c>
      <c r="X125" s="3">
        <f>TABL123[[#This Row],[( S/S+T/B) AJD]]-TABL123[[#This Row],[(A/B + A/S) AJD]]</f>
        <v/>
      </c>
      <c r="Y125" s="44" t="n">
        <v>92.193</v>
      </c>
      <c r="Z125" s="45" t="n">
        <v>314136</v>
      </c>
      <c r="AA125" s="3">
        <f>TABL123[[#This Row],[(RESV. STORGE) AJD]]/10</f>
        <v/>
      </c>
      <c r="AB125" s="45">
        <f>IF(TRIM(Z125)="",,(Z125-Z124)/1000)</f>
        <v/>
      </c>
      <c r="AC125" s="45" t="n">
        <v>1084</v>
      </c>
      <c r="AD125" s="83">
        <f>TABL123[[#This Row],[( S/S+T/B) AJD]]-(TABL123[[#This Row],[(A/B + A/S) AJD]]+TABL123[[#This Row],[(STORGE DIFF.) AJD]]+(TABL123[[#This Row],[AJD_Evaporation]])/1000)</f>
        <v/>
      </c>
      <c r="AE125" s="68" t="n">
        <v>70</v>
      </c>
      <c r="AF125" s="68" t="n">
        <v>58.33</v>
      </c>
      <c r="AG125" s="68" t="n">
        <v>1183250</v>
      </c>
      <c r="AH125" s="45" t="n">
        <v>2000</v>
      </c>
      <c r="AI125" s="45" t="n">
        <v>2000</v>
      </c>
      <c r="AJ125" s="78">
        <f>TABL123[[#This Row],[(A/B) AJD]]-TABL123[[#This Row],[BER_IN]]</f>
        <v/>
      </c>
      <c r="AK125" s="68" t="n">
        <v>21</v>
      </c>
      <c r="AL125" s="87" t="n">
        <v>42.2315</v>
      </c>
      <c r="AM125" s="87" t="n">
        <v>2694890</v>
      </c>
      <c r="AN125" s="87">
        <f>TABL123[[#This Row],[ (RESV. STORGE) SER]]/10</f>
        <v/>
      </c>
      <c r="AO125" s="45" t="n">
        <v>1932</v>
      </c>
      <c r="AP125" s="32">
        <f>TABL123[[#This Row],[(A/S) AJD]]-TABL123[[#This Row],[SER_IN]]</f>
        <v/>
      </c>
    </row>
    <row r="126" ht="18.75" customHeight="1">
      <c r="A126" s="2" t="n">
        <v>46147</v>
      </c>
      <c r="B126" s="41" t="n">
        <v>37</v>
      </c>
      <c r="C126" s="41" t="n">
        <v>304</v>
      </c>
      <c r="D126" s="41" t="n">
        <v>37</v>
      </c>
      <c r="E126" s="41" t="n">
        <v>0</v>
      </c>
      <c r="F126" s="41" t="n">
        <v>95</v>
      </c>
      <c r="G126" s="39" t="n">
        <v>563</v>
      </c>
      <c r="H126" s="28">
        <f>103-F126</f>
        <v/>
      </c>
      <c r="I126" s="39" t="n">
        <v>467</v>
      </c>
      <c r="J126" s="39" t="n">
        <v>451</v>
      </c>
      <c r="K126" s="28">
        <f>TABL123[[#This Row],[ (T/B) SAR]]+TABL123[[#This Row],[ (S/S) SAR]]</f>
        <v/>
      </c>
      <c r="L126" s="41" t="n">
        <v>335</v>
      </c>
      <c r="M126" s="42" t="n">
        <v>24</v>
      </c>
      <c r="N126" s="42" t="n">
        <v>7.58</v>
      </c>
      <c r="O126" s="39" t="n">
        <v>411</v>
      </c>
      <c r="P126" s="3">
        <f>TABL123[[#This Row],[ (S/S) SAR]]-TABL123[[#This Row],[(S/S) AJD]]</f>
        <v/>
      </c>
      <c r="Q126" s="39" t="n">
        <v>442</v>
      </c>
      <c r="R126" s="3">
        <f>TABL123[[#This Row],[ (T/B) SAR]]-TABL123[[#This Row],[(T/B) AJD]]</f>
        <v/>
      </c>
      <c r="S126" s="3">
        <f>TABL123[[#This Row],[T/B-CON.]]+TABL123[[#This Row],[S/S_CON.]]</f>
        <v/>
      </c>
      <c r="T126" s="3">
        <f>TABL123[[#This Row],[(S/S) AJD]]+TABL123[[#This Row],[(T/B) AJD]]</f>
        <v/>
      </c>
      <c r="U126" s="41" t="n">
        <v>563</v>
      </c>
      <c r="V126" s="41" t="n">
        <v>238</v>
      </c>
      <c r="W126" s="3">
        <f>TABL123[[#This Row],[(A/B) AJD]]+TABL123[[#This Row],[(A/S) AJD]]</f>
        <v/>
      </c>
      <c r="X126" s="3">
        <f>TABL123[[#This Row],[( S/S+T/B) AJD]]-TABL123[[#This Row],[(A/B + A/S) AJD]]</f>
        <v/>
      </c>
      <c r="Y126" s="41" t="n">
        <v>92.22799999999999</v>
      </c>
      <c r="Z126" s="43" t="n">
        <v>334094</v>
      </c>
      <c r="AA126" s="3">
        <f>TABL123[[#This Row],[(RESV. STORGE) AJD]]/10</f>
        <v/>
      </c>
      <c r="AB126" s="45">
        <f>IF(TRIM(Z126)="",,(Z126-Z125)/1000)</f>
        <v/>
      </c>
      <c r="AC126" s="43" t="n">
        <v>1034</v>
      </c>
      <c r="AD126" s="83">
        <f>TABL123[[#This Row],[( S/S+T/B) AJD]]-(TABL123[[#This Row],[(A/B + A/S) AJD]]+TABL123[[#This Row],[(STORGE DIFF.) AJD]]+(TABL123[[#This Row],[AJD_Evaporation]])/1000)</f>
        <v/>
      </c>
      <c r="AE126" s="68" t="n">
        <v>70</v>
      </c>
      <c r="AF126" s="68" t="n">
        <v>58.35</v>
      </c>
      <c r="AG126" s="68" t="n">
        <v>1196341</v>
      </c>
      <c r="AH126" s="43" t="n">
        <v>2795</v>
      </c>
      <c r="AI126" s="43" t="n">
        <v>2795</v>
      </c>
      <c r="AJ126" s="78">
        <f>TABL123[[#This Row],[(A/B) AJD]]-TABL123[[#This Row],[BER_IN]]</f>
        <v/>
      </c>
      <c r="AK126" s="68" t="n">
        <v>22</v>
      </c>
      <c r="AL126" s="87" t="n">
        <v>42.2142</v>
      </c>
      <c r="AM126" s="87" t="n">
        <v>2685260</v>
      </c>
      <c r="AN126" s="87">
        <f>TABL123[[#This Row],[ (RESV. STORGE) SER]]/10</f>
        <v/>
      </c>
      <c r="AO126" s="43" t="n">
        <v>1945</v>
      </c>
      <c r="AP126" s="32">
        <f>TABL123[[#This Row],[(A/S) AJD]]-TABL123[[#This Row],[SER_IN]]</f>
        <v/>
      </c>
    </row>
    <row r="127" ht="18.75" customHeight="1">
      <c r="A127" s="2" t="n">
        <v>46148</v>
      </c>
      <c r="B127" s="44" t="n">
        <v>37</v>
      </c>
      <c r="C127" s="44" t="n">
        <v>306</v>
      </c>
      <c r="D127" s="44" t="n">
        <v>37</v>
      </c>
      <c r="E127" s="44" t="n">
        <v>0</v>
      </c>
      <c r="F127" s="44" t="n">
        <v>95</v>
      </c>
      <c r="G127" s="40" t="n">
        <v>589</v>
      </c>
      <c r="H127" s="28">
        <f>103-F127</f>
        <v/>
      </c>
      <c r="I127" s="40" t="n">
        <v>477</v>
      </c>
      <c r="J127" s="44" t="n">
        <v>460</v>
      </c>
      <c r="K127" s="28">
        <f>TABL123[[#This Row],[ (T/B) SAR]]+TABL123[[#This Row],[ (S/S) SAR]]</f>
        <v/>
      </c>
      <c r="L127" s="45" t="n">
        <v>348</v>
      </c>
      <c r="M127" s="46" t="n">
        <v>24.6</v>
      </c>
      <c r="N127" s="46" t="n">
        <v>7.52</v>
      </c>
      <c r="O127" s="40" t="n">
        <v>412</v>
      </c>
      <c r="P127" s="3">
        <f>TABL123[[#This Row],[ (S/S) SAR]]-TABL123[[#This Row],[(S/S) AJD]]</f>
        <v/>
      </c>
      <c r="Q127" s="40" t="n">
        <v>444</v>
      </c>
      <c r="R127" s="3">
        <f>TABL123[[#This Row],[ (T/B) SAR]]-TABL123[[#This Row],[(T/B) AJD]]</f>
        <v/>
      </c>
      <c r="S127" s="3">
        <f>TABL123[[#This Row],[T/B-CON.]]+TABL123[[#This Row],[S/S_CON.]]</f>
        <v/>
      </c>
      <c r="T127" s="3">
        <f>TABL123[[#This Row],[(S/S) AJD]]+TABL123[[#This Row],[(T/B) AJD]]</f>
        <v/>
      </c>
      <c r="U127" s="44" t="n">
        <v>566</v>
      </c>
      <c r="V127" s="44" t="n">
        <v>230</v>
      </c>
      <c r="W127" s="3">
        <f>TABL123[[#This Row],[(A/B) AJD]]+TABL123[[#This Row],[(A/S) AJD]]</f>
        <v/>
      </c>
      <c r="X127" s="3">
        <f>TABL123[[#This Row],[( S/S+T/B) AJD]]-TABL123[[#This Row],[(A/B + A/S) AJD]]</f>
        <v/>
      </c>
      <c r="Y127" s="44" t="n">
        <v>92.29000000000001</v>
      </c>
      <c r="Z127" s="45" t="n">
        <v>371714</v>
      </c>
      <c r="AA127" s="3">
        <f>TABL123[[#This Row],[(RESV. STORGE) AJD]]/10</f>
        <v/>
      </c>
      <c r="AB127" s="45">
        <f>IF(TRIM(Z127)="",,(Z127-Z126)/1000)</f>
        <v/>
      </c>
      <c r="AC127" s="45" t="n">
        <v>1127</v>
      </c>
      <c r="AD127" s="83">
        <f>TABL123[[#This Row],[( S/S+T/B) AJD]]-(TABL123[[#This Row],[(A/B + A/S) AJD]]+TABL123[[#This Row],[(STORGE DIFF.) AJD]]+(TABL123[[#This Row],[AJD_Evaporation]])/1000)</f>
        <v/>
      </c>
      <c r="AE127" s="68" t="n">
        <v>70</v>
      </c>
      <c r="AF127" s="68" t="n">
        <v>58.37</v>
      </c>
      <c r="AG127" s="68" t="n">
        <v>1209434</v>
      </c>
      <c r="AH127" s="45" t="n">
        <v>2691</v>
      </c>
      <c r="AI127" s="45" t="n">
        <v>2691</v>
      </c>
      <c r="AJ127" s="78">
        <f>TABL123[[#This Row],[(A/B) AJD]]-TABL123[[#This Row],[BER_IN]]</f>
        <v/>
      </c>
      <c r="AK127" s="68" t="n">
        <v>22</v>
      </c>
      <c r="AL127" s="87" t="n">
        <v>42.1955</v>
      </c>
      <c r="AM127" s="87" t="n">
        <v>2675570</v>
      </c>
      <c r="AN127" s="87">
        <f>TABL123[[#This Row],[ (RESV. STORGE) SER]]/10</f>
        <v/>
      </c>
      <c r="AO127" s="45" t="n">
        <v>2021</v>
      </c>
      <c r="AP127" s="32">
        <f>TABL123[[#This Row],[(A/S) AJD]]-TABL123[[#This Row],[SER_IN]]</f>
        <v/>
      </c>
    </row>
    <row r="128" ht="18.75" customHeight="1">
      <c r="A128" s="2" t="n">
        <v>46149</v>
      </c>
      <c r="B128" s="41" t="n">
        <v>37</v>
      </c>
      <c r="C128" s="41" t="n">
        <v>304</v>
      </c>
      <c r="D128" s="41" t="n">
        <v>37</v>
      </c>
      <c r="E128" s="41" t="n">
        <v>0</v>
      </c>
      <c r="F128" s="41" t="n">
        <v>95</v>
      </c>
      <c r="G128" s="39" t="n">
        <v>586</v>
      </c>
      <c r="H128" s="28">
        <f>103-F128</f>
        <v/>
      </c>
      <c r="I128" s="39" t="n">
        <v>475</v>
      </c>
      <c r="J128" s="39" t="n">
        <v>459</v>
      </c>
      <c r="K128" s="28">
        <f>TABL123[[#This Row],[ (T/B) SAR]]+TABL123[[#This Row],[ (S/S) SAR]]</f>
        <v/>
      </c>
      <c r="L128" s="41" t="n">
        <v>348</v>
      </c>
      <c r="M128" s="42" t="n">
        <v>24.6</v>
      </c>
      <c r="N128" s="42" t="n">
        <v>7.49</v>
      </c>
      <c r="O128" s="39" t="n">
        <v>416</v>
      </c>
      <c r="P128" s="3">
        <f>TABL123[[#This Row],[ (S/S) SAR]]-TABL123[[#This Row],[(S/S) AJD]]</f>
        <v/>
      </c>
      <c r="Q128" s="39" t="n">
        <v>448</v>
      </c>
      <c r="R128" s="3">
        <f>TABL123[[#This Row],[ (T/B) SAR]]-TABL123[[#This Row],[(T/B) AJD]]</f>
        <v/>
      </c>
      <c r="S128" s="3">
        <f>TABL123[[#This Row],[T/B-CON.]]+TABL123[[#This Row],[S/S_CON.]]</f>
        <v/>
      </c>
      <c r="T128" s="3">
        <f>TABL123[[#This Row],[(S/S) AJD]]+TABL123[[#This Row],[(T/B) AJD]]</f>
        <v/>
      </c>
      <c r="U128" s="41" t="n">
        <v>561</v>
      </c>
      <c r="V128" s="41" t="n">
        <v>223</v>
      </c>
      <c r="W128" s="3">
        <f>TABL123[[#This Row],[(A/B) AJD]]+TABL123[[#This Row],[(A/S) AJD]]</f>
        <v/>
      </c>
      <c r="X128" s="3">
        <f>TABL123[[#This Row],[( S/S+T/B) AJD]]-TABL123[[#This Row],[(A/B + A/S) AJD]]</f>
        <v/>
      </c>
      <c r="Y128" s="41" t="n">
        <v>92.372</v>
      </c>
      <c r="Z128" s="43" t="n">
        <v>420446</v>
      </c>
      <c r="AA128" s="3">
        <f>TABL123[[#This Row],[(RESV. STORGE) AJD]]/10</f>
        <v/>
      </c>
      <c r="AB128" s="45">
        <f>IF(TRIM(Z128)="",,(Z128-Z127)/1000)</f>
        <v/>
      </c>
      <c r="AC128" s="43" t="n">
        <v>1082</v>
      </c>
      <c r="AD128" s="83">
        <f>TABL123[[#This Row],[( S/S+T/B) AJD]]-(TABL123[[#This Row],[(A/B + A/S) AJD]]+TABL123[[#This Row],[(STORGE DIFF.) AJD]]+(TABL123[[#This Row],[AJD_Evaporation]])/1000)</f>
        <v/>
      </c>
      <c r="AE128" s="68" t="n">
        <v>67</v>
      </c>
      <c r="AF128" s="68" t="n">
        <v>58.38</v>
      </c>
      <c r="AG128" s="68" t="n">
        <v>1215983</v>
      </c>
      <c r="AH128" s="43" t="n">
        <v>2509</v>
      </c>
      <c r="AI128" s="43" t="n">
        <v>2509</v>
      </c>
      <c r="AJ128" s="78">
        <f>TABL123[[#This Row],[(A/B) AJD]]-TABL123[[#This Row],[BER_IN]]</f>
        <v/>
      </c>
      <c r="AK128" s="68" t="n">
        <v>22</v>
      </c>
      <c r="AL128" s="87" t="n">
        <v>42.1701</v>
      </c>
      <c r="AM128" s="87" t="n">
        <v>2661730</v>
      </c>
      <c r="AN128" s="87">
        <f>TABL123[[#This Row],[ (RESV. STORGE) SER]]/10</f>
        <v/>
      </c>
      <c r="AO128" s="43" t="n">
        <v>2125</v>
      </c>
      <c r="AP128" s="32">
        <f>TABL123[[#This Row],[(A/S) AJD]]-TABL123[[#This Row],[SER_IN]]</f>
        <v/>
      </c>
    </row>
    <row r="129" ht="18.75" customHeight="1">
      <c r="A129" s="2" t="n">
        <v>46150</v>
      </c>
      <c r="B129" s="44" t="n">
        <v>37</v>
      </c>
      <c r="C129" s="44" t="n">
        <v>306</v>
      </c>
      <c r="D129" s="44" t="n">
        <v>37</v>
      </c>
      <c r="E129" s="44" t="n">
        <v>0</v>
      </c>
      <c r="F129" s="44" t="n">
        <v>95</v>
      </c>
      <c r="G129" s="40" t="n">
        <v>590</v>
      </c>
      <c r="H129" s="28">
        <f>103-F129</f>
        <v/>
      </c>
      <c r="I129" s="40" t="n">
        <v>475</v>
      </c>
      <c r="J129" s="44" t="n">
        <v>460</v>
      </c>
      <c r="K129" s="28">
        <f>TABL123[[#This Row],[ (T/B) SAR]]+TABL123[[#This Row],[ (S/S) SAR]]</f>
        <v/>
      </c>
      <c r="L129" s="45" t="n">
        <v>345</v>
      </c>
      <c r="M129" s="46" t="n">
        <v>24.6</v>
      </c>
      <c r="N129" s="46" t="n">
        <v>7.44</v>
      </c>
      <c r="O129" s="40" t="n">
        <v>415</v>
      </c>
      <c r="P129" s="3">
        <f>TABL123[[#This Row],[ (S/S) SAR]]-TABL123[[#This Row],[(S/S) AJD]]</f>
        <v/>
      </c>
      <c r="Q129" s="40" t="n">
        <v>448</v>
      </c>
      <c r="R129" s="3">
        <f>TABL123[[#This Row],[ (T/B) SAR]]-TABL123[[#This Row],[(T/B) AJD]]</f>
        <v/>
      </c>
      <c r="S129" s="3">
        <f>TABL123[[#This Row],[T/B-CON.]]+TABL123[[#This Row],[S/S_CON.]]</f>
        <v/>
      </c>
      <c r="T129" s="3">
        <f>TABL123[[#This Row],[(S/S) AJD]]+TABL123[[#This Row],[(T/B) AJD]]</f>
        <v/>
      </c>
      <c r="U129" s="44" t="n">
        <v>510</v>
      </c>
      <c r="V129" s="44" t="n">
        <v>218</v>
      </c>
      <c r="W129" s="3">
        <f>TABL123[[#This Row],[(A/B) AJD]]+TABL123[[#This Row],[(A/S) AJD]]</f>
        <v/>
      </c>
      <c r="X129" s="3">
        <f>TABL123[[#This Row],[( S/S+T/B) AJD]]-TABL123[[#This Row],[(A/B + A/S) AJD]]</f>
        <v/>
      </c>
      <c r="Y129" s="44" t="n">
        <v>92.545</v>
      </c>
      <c r="Z129" s="45" t="n">
        <v>522841</v>
      </c>
      <c r="AA129" s="3">
        <f>TABL123[[#This Row],[(RESV. STORGE) AJD]]/10</f>
        <v/>
      </c>
      <c r="AB129" s="45">
        <f>IF(TRIM(Z129)="",,(Z129-Z128)/1000)</f>
        <v/>
      </c>
      <c r="AC129" s="45" t="n">
        <v>1168</v>
      </c>
      <c r="AD129" s="83">
        <f>TABL123[[#This Row],[( S/S+T/B) AJD]]-(TABL123[[#This Row],[(A/B + A/S) AJD]]+TABL123[[#This Row],[(STORGE DIFF.) AJD]]+(TABL123[[#This Row],[AJD_Evaporation]])/1000)</f>
        <v/>
      </c>
      <c r="AE129" s="68" t="n">
        <v>74</v>
      </c>
      <c r="AF129" s="68" t="n">
        <v>58.4</v>
      </c>
      <c r="AG129" s="68" t="n">
        <v>1229087</v>
      </c>
      <c r="AH129" s="45" t="n">
        <v>3585</v>
      </c>
      <c r="AI129" s="45" t="n">
        <v>3585</v>
      </c>
      <c r="AJ129" s="78">
        <f>TABL123[[#This Row],[(A/B) AJD]]-TABL123[[#This Row],[BER_IN]]</f>
        <v/>
      </c>
      <c r="AK129" s="68" t="n">
        <v>21</v>
      </c>
      <c r="AL129" s="87" t="n">
        <v>42.1336</v>
      </c>
      <c r="AM129" s="87" t="n">
        <v>2642534</v>
      </c>
      <c r="AN129" s="87">
        <f>TABL123[[#This Row],[ (RESV. STORGE) SER]]/10</f>
        <v/>
      </c>
      <c r="AO129" s="45" t="n">
        <v>1970</v>
      </c>
      <c r="AP129" s="32">
        <f>TABL123[[#This Row],[(A/S) AJD]]-TABL123[[#This Row],[SER_IN]]</f>
        <v/>
      </c>
    </row>
    <row r="130" ht="18.75" customHeight="1">
      <c r="A130" s="2" t="n">
        <v>46151</v>
      </c>
      <c r="B130" s="41" t="n">
        <v>37</v>
      </c>
      <c r="C130" s="41" t="n">
        <v>296</v>
      </c>
      <c r="D130" s="41" t="n">
        <v>37</v>
      </c>
      <c r="E130" s="41" t="n">
        <v>0</v>
      </c>
      <c r="F130" s="41" t="n">
        <v>95</v>
      </c>
      <c r="G130" s="39" t="n">
        <v>590</v>
      </c>
      <c r="H130" s="28">
        <f>103-F130</f>
        <v/>
      </c>
      <c r="I130" s="39" t="n">
        <v>475</v>
      </c>
      <c r="J130" s="39" t="n">
        <v>460</v>
      </c>
      <c r="K130" s="28">
        <f>TABL123[[#This Row],[ (T/B) SAR]]+TABL123[[#This Row],[ (S/S) SAR]]</f>
        <v/>
      </c>
      <c r="L130" s="41" t="n">
        <v>345</v>
      </c>
      <c r="M130" s="42" t="n">
        <v>24.6</v>
      </c>
      <c r="N130" s="42" t="n">
        <v>7.37</v>
      </c>
      <c r="O130" s="39" t="n">
        <v>415</v>
      </c>
      <c r="P130" s="3">
        <f>TABL123[[#This Row],[ (S/S) SAR]]-TABL123[[#This Row],[(S/S) AJD]]</f>
        <v/>
      </c>
      <c r="Q130" s="39" t="n">
        <v>449</v>
      </c>
      <c r="R130" s="3">
        <f>TABL123[[#This Row],[ (T/B) SAR]]-TABL123[[#This Row],[(T/B) AJD]]</f>
        <v/>
      </c>
      <c r="S130" s="3">
        <f>TABL123[[#This Row],[T/B-CON.]]+TABL123[[#This Row],[S/S_CON.]]</f>
        <v/>
      </c>
      <c r="T130" s="3">
        <f>TABL123[[#This Row],[(S/S) AJD]]+TABL123[[#This Row],[(T/B) AJD]]</f>
        <v/>
      </c>
      <c r="U130" s="41" t="n">
        <v>545</v>
      </c>
      <c r="V130" s="41" t="n">
        <v>235</v>
      </c>
      <c r="W130" s="3">
        <f>TABL123[[#This Row],[(A/B) AJD]]+TABL123[[#This Row],[(A/S) AJD]]</f>
        <v/>
      </c>
      <c r="X130" s="3">
        <f>TABL123[[#This Row],[( S/S+T/B) AJD]]-TABL123[[#This Row],[(A/B + A/S) AJD]]</f>
        <v/>
      </c>
      <c r="Y130" s="41" t="n">
        <v>92.624</v>
      </c>
      <c r="Z130" s="43" t="n">
        <v>570552</v>
      </c>
      <c r="AA130" s="3">
        <f>TABL123[[#This Row],[(RESV. STORGE) AJD]]/10</f>
        <v/>
      </c>
      <c r="AB130" s="45">
        <f>IF(TRIM(Z130)="",,(Z130-Z129)/1000)</f>
        <v/>
      </c>
      <c r="AC130" s="43" t="n">
        <v>2239</v>
      </c>
      <c r="AD130" s="83">
        <f>TABL123[[#This Row],[( S/S+T/B) AJD]]-(TABL123[[#This Row],[(A/B + A/S) AJD]]+TABL123[[#This Row],[(STORGE DIFF.) AJD]]+(TABL123[[#This Row],[AJD_Evaporation]])/1000)</f>
        <v/>
      </c>
      <c r="AE130" s="68" t="n">
        <v>73</v>
      </c>
      <c r="AF130" s="68" t="n">
        <v>58.4</v>
      </c>
      <c r="AG130" s="68" t="n">
        <v>1229087</v>
      </c>
      <c r="AH130" s="43" t="n">
        <v>2499</v>
      </c>
      <c r="AI130" s="43" t="n">
        <v>2499</v>
      </c>
      <c r="AJ130" s="78">
        <f>TABL123[[#This Row],[(A/B) AJD]]-TABL123[[#This Row],[BER_IN]]</f>
        <v/>
      </c>
      <c r="AK130" s="68" t="n">
        <v>20</v>
      </c>
      <c r="AL130" s="87" t="n">
        <v>42.0944</v>
      </c>
      <c r="AM130" s="87" t="n">
        <v>2620580</v>
      </c>
      <c r="AN130" s="87">
        <f>TABL123[[#This Row],[ (RESV. STORGE) SER]]/10</f>
        <v/>
      </c>
      <c r="AO130" s="43" t="n">
        <v>2070</v>
      </c>
      <c r="AP130" s="32">
        <f>TABL123[[#This Row],[(A/S) AJD]]-TABL123[[#This Row],[SER_IN]]</f>
        <v/>
      </c>
    </row>
    <row r="131" ht="18.75" customHeight="1">
      <c r="A131" s="2" t="n">
        <v>46152</v>
      </c>
      <c r="B131" s="44" t="n">
        <v>37</v>
      </c>
      <c r="C131" s="44" t="n">
        <v>301</v>
      </c>
      <c r="D131" s="44" t="n">
        <v>37</v>
      </c>
      <c r="E131" s="44" t="n">
        <v>0</v>
      </c>
      <c r="F131" s="44" t="n">
        <v>95</v>
      </c>
      <c r="G131" s="40" t="n">
        <v>590</v>
      </c>
      <c r="H131" s="28">
        <f>103-F131</f>
        <v/>
      </c>
      <c r="I131" s="40" t="n">
        <v>475</v>
      </c>
      <c r="J131" s="44" t="n">
        <v>460</v>
      </c>
      <c r="K131" s="28">
        <f>TABL123[[#This Row],[ (T/B) SAR]]+TABL123[[#This Row],[ (S/S) SAR]]</f>
        <v/>
      </c>
      <c r="L131" s="45" t="n">
        <v>345</v>
      </c>
      <c r="M131" s="46" t="n">
        <v>24.6</v>
      </c>
      <c r="N131" s="46" t="n">
        <v>7.3</v>
      </c>
      <c r="O131" s="40" t="n">
        <v>417</v>
      </c>
      <c r="P131" s="3">
        <f>TABL123[[#This Row],[ (S/S) SAR]]-TABL123[[#This Row],[(S/S) AJD]]</f>
        <v/>
      </c>
      <c r="Q131" s="40" t="n">
        <v>450</v>
      </c>
      <c r="R131" s="3">
        <f>TABL123[[#This Row],[ (T/B) SAR]]-TABL123[[#This Row],[(T/B) AJD]]</f>
        <v/>
      </c>
      <c r="S131" s="3">
        <f>TABL123[[#This Row],[T/B-CON.]]+TABL123[[#This Row],[S/S_CON.]]</f>
        <v/>
      </c>
      <c r="T131" s="3">
        <f>TABL123[[#This Row],[(S/S) AJD]]+TABL123[[#This Row],[(T/B) AJD]]</f>
        <v/>
      </c>
      <c r="U131" s="44" t="n">
        <v>581</v>
      </c>
      <c r="V131" s="44" t="n">
        <v>257</v>
      </c>
      <c r="W131" s="3">
        <f>TABL123[[#This Row],[(A/B) AJD]]+TABL123[[#This Row],[(A/S) AJD]]</f>
        <v/>
      </c>
      <c r="X131" s="3">
        <f>TABL123[[#This Row],[( S/S+T/B) AJD]]-TABL123[[#This Row],[(A/B + A/S) AJD]]</f>
        <v/>
      </c>
      <c r="Y131" s="44" t="n">
        <v>92.61199999999999</v>
      </c>
      <c r="Z131" s="45" t="n">
        <v>563391</v>
      </c>
      <c r="AA131" s="3">
        <f>TABL123[[#This Row],[(RESV. STORGE) AJD]]/10</f>
        <v/>
      </c>
      <c r="AB131" s="45">
        <f>IF(TRIM(Z131)="",,(Z131-Z130)/1000)</f>
        <v/>
      </c>
      <c r="AC131" s="45" t="n">
        <v>0</v>
      </c>
      <c r="AD131" s="83">
        <f>TABL123[[#This Row],[( S/S+T/B) AJD]]-(TABL123[[#This Row],[(A/B + A/S) AJD]]+TABL123[[#This Row],[(STORGE DIFF.) AJD]]+(TABL123[[#This Row],[AJD_Evaporation]])/1000)</f>
        <v/>
      </c>
      <c r="AE131" s="68" t="n">
        <v>77</v>
      </c>
      <c r="AF131" s="68" t="n">
        <v>58.41</v>
      </c>
      <c r="AG131" s="68" t="n">
        <v>1235632</v>
      </c>
      <c r="AH131" s="45" t="n">
        <v>2263</v>
      </c>
      <c r="AI131" s="45" t="n">
        <v>2263</v>
      </c>
      <c r="AJ131" s="78">
        <f>TABL123[[#This Row],[(A/B) AJD]]-TABL123[[#This Row],[BER_IN]]</f>
        <v/>
      </c>
      <c r="AK131" s="68" t="n">
        <v>21</v>
      </c>
      <c r="AL131" s="87" t="n">
        <v>42.0338</v>
      </c>
      <c r="AM131" s="87" t="n">
        <v>2589050</v>
      </c>
      <c r="AN131" s="87">
        <f>TABL123[[#This Row],[ (RESV. STORGE) SER]]/10</f>
        <v/>
      </c>
      <c r="AO131" s="45" t="n">
        <v>2120</v>
      </c>
      <c r="AP131" s="32">
        <f>TABL123[[#This Row],[(A/S) AJD]]-TABL123[[#This Row],[SER_IN]]</f>
        <v/>
      </c>
    </row>
    <row r="132" ht="18.75" customHeight="1">
      <c r="A132" s="2" t="n">
        <v>46153</v>
      </c>
      <c r="B132" s="41" t="n">
        <v>37</v>
      </c>
      <c r="C132" s="41" t="n">
        <v>293</v>
      </c>
      <c r="D132" s="41" t="n">
        <v>37</v>
      </c>
      <c r="E132" s="41" t="n">
        <v>0</v>
      </c>
      <c r="F132" s="41" t="n">
        <v>95</v>
      </c>
      <c r="G132" s="39" t="n">
        <v>590</v>
      </c>
      <c r="H132" s="28">
        <f>103-F132</f>
        <v/>
      </c>
      <c r="I132" s="39" t="n">
        <v>475</v>
      </c>
      <c r="J132" s="39" t="n">
        <v>460</v>
      </c>
      <c r="K132" s="28">
        <f>TABL123[[#This Row],[ (T/B) SAR]]+TABL123[[#This Row],[ (S/S) SAR]]</f>
        <v/>
      </c>
      <c r="L132" s="41" t="n">
        <v>345</v>
      </c>
      <c r="M132" s="42" t="n">
        <v>24.6</v>
      </c>
      <c r="N132" s="42" t="n">
        <v>7.21</v>
      </c>
      <c r="O132" s="39" t="n">
        <v>410</v>
      </c>
      <c r="P132" s="3">
        <f>TABL123[[#This Row],[ (S/S) SAR]]-TABL123[[#This Row],[(S/S) AJD]]</f>
        <v/>
      </c>
      <c r="Q132" s="39" t="n">
        <v>440</v>
      </c>
      <c r="R132" s="3">
        <f>TABL123[[#This Row],[ (T/B) SAR]]-TABL123[[#This Row],[(T/B) AJD]]</f>
        <v/>
      </c>
      <c r="S132" s="3">
        <f>TABL123[[#This Row],[T/B-CON.]]+TABL123[[#This Row],[S/S_CON.]]</f>
        <v/>
      </c>
      <c r="T132" s="3">
        <f>TABL123[[#This Row],[(S/S) AJD]]+TABL123[[#This Row],[(T/B) AJD]]</f>
        <v/>
      </c>
      <c r="U132" s="41" t="n">
        <v>581</v>
      </c>
      <c r="V132" s="41" t="n">
        <v>259</v>
      </c>
      <c r="W132" s="3">
        <f>TABL123[[#This Row],[(A/B) AJD]]+TABL123[[#This Row],[(A/S) AJD]]</f>
        <v/>
      </c>
      <c r="X132" s="3">
        <f>TABL123[[#This Row],[( S/S+T/B) AJD]]-TABL123[[#This Row],[(A/B + A/S) AJD]]</f>
        <v/>
      </c>
      <c r="Y132" s="41" t="n">
        <v>92.56699999999999</v>
      </c>
      <c r="Z132" s="43" t="n">
        <v>534699</v>
      </c>
      <c r="AA132" s="3">
        <f>TABL123[[#This Row],[(RESV. STORGE) AJD]]/10</f>
        <v/>
      </c>
      <c r="AB132" s="45">
        <f>IF(TRIM(Z132)="",,(Z132-Z131)/1000)</f>
        <v/>
      </c>
      <c r="AC132" s="43" t="n">
        <v>2145</v>
      </c>
      <c r="AD132" s="83">
        <f>TABL123[[#This Row],[( S/S+T/B) AJD]]-(TABL123[[#This Row],[(A/B + A/S) AJD]]+TABL123[[#This Row],[(STORGE DIFF.) AJD]]+(TABL123[[#This Row],[AJD_Evaporation]])/1000)</f>
        <v/>
      </c>
      <c r="AE132" s="68" t="n">
        <v>79</v>
      </c>
      <c r="AF132" s="68" t="n">
        <v>58.44</v>
      </c>
      <c r="AG132" s="68" t="n">
        <v>1255289</v>
      </c>
      <c r="AH132" s="68" t="n">
        <v>2195</v>
      </c>
      <c r="AI132" s="68" t="n">
        <v>2195</v>
      </c>
      <c r="AJ132" s="78">
        <f>TABL123[[#This Row],[(A/B) AJD]]-TABL123[[#This Row],[BER_IN]]</f>
        <v/>
      </c>
      <c r="AK132" s="68" t="n">
        <v>23</v>
      </c>
      <c r="AL132" s="87" t="n">
        <v>41.9946</v>
      </c>
      <c r="AM132" s="87" t="n">
        <v>2568280</v>
      </c>
      <c r="AN132" s="87">
        <f>TABL123[[#This Row],[ (RESV. STORGE) SER]]/10</f>
        <v/>
      </c>
      <c r="AO132" s="43" t="n">
        <v>2400</v>
      </c>
      <c r="AP132" s="32">
        <f>TABL123[[#This Row],[(A/S) AJD]]-TABL123[[#This Row],[SER_IN]]</f>
        <v/>
      </c>
    </row>
    <row r="133" ht="18.75" customHeight="1">
      <c r="A133" s="2" t="n">
        <v>46154</v>
      </c>
      <c r="B133" s="44" t="n">
        <v>37</v>
      </c>
      <c r="C133" s="44" t="n">
        <v>296</v>
      </c>
      <c r="D133" s="44" t="n">
        <v>37</v>
      </c>
      <c r="E133" s="44" t="n">
        <v>0</v>
      </c>
      <c r="F133" s="44" t="n">
        <v>95</v>
      </c>
      <c r="G133" s="40" t="n">
        <v>590</v>
      </c>
      <c r="H133" s="28">
        <f>103-F133</f>
        <v/>
      </c>
      <c r="I133" s="40" t="n">
        <v>472</v>
      </c>
      <c r="J133" s="44" t="n">
        <v>458</v>
      </c>
      <c r="K133" s="28">
        <f>TABL123[[#This Row],[ (T/B) SAR]]+TABL123[[#This Row],[ (S/S) SAR]]</f>
        <v/>
      </c>
      <c r="L133" s="45" t="n">
        <v>340</v>
      </c>
      <c r="M133" s="46" t="n">
        <v>24.6</v>
      </c>
      <c r="N133" s="46" t="n">
        <v>7.15</v>
      </c>
      <c r="O133" s="40" t="n">
        <v>407</v>
      </c>
      <c r="P133" s="3">
        <f>TABL123[[#This Row],[ (S/S) SAR]]-TABL123[[#This Row],[(S/S) AJD]]</f>
        <v/>
      </c>
      <c r="Q133" s="40" t="n">
        <v>442</v>
      </c>
      <c r="R133" s="3">
        <f>TABL123[[#This Row],[ (T/B) SAR]]-TABL123[[#This Row],[(T/B) AJD]]</f>
        <v/>
      </c>
      <c r="S133" s="3">
        <f>TABL123[[#This Row],[T/B-CON.]]+TABL123[[#This Row],[S/S_CON.]]</f>
        <v/>
      </c>
      <c r="T133" s="3">
        <f>TABL123[[#This Row],[(S/S) AJD]]+TABL123[[#This Row],[(T/B) AJD]]</f>
        <v/>
      </c>
      <c r="U133" s="44" t="n">
        <v>581</v>
      </c>
      <c r="V133" s="44" t="n">
        <v>274</v>
      </c>
      <c r="W133" s="3">
        <f>TABL123[[#This Row],[(A/B) AJD]]+TABL123[[#This Row],[(A/S) AJD]]</f>
        <v/>
      </c>
      <c r="X133" s="3">
        <f>TABL123[[#This Row],[( S/S+T/B) AJD]]-TABL123[[#This Row],[(A/B + A/S) AJD]]</f>
        <v/>
      </c>
      <c r="Y133" s="44" t="n">
        <v>92.51000000000001</v>
      </c>
      <c r="Z133" s="45" t="n">
        <v>502583</v>
      </c>
      <c r="AA133" s="3">
        <f>TABL123[[#This Row],[(RESV. STORGE) AJD]]/10</f>
        <v/>
      </c>
      <c r="AB133" s="45">
        <f>IF(TRIM(Z133)="",,(Z133-Z132)/1000)</f>
        <v/>
      </c>
      <c r="AC133" s="45" t="n">
        <v>1818</v>
      </c>
      <c r="AD133" s="83">
        <f>TABL123[[#This Row],[( S/S+T/B) AJD]]-(TABL123[[#This Row],[(A/B + A/S) AJD]]+TABL123[[#This Row],[(STORGE DIFF.) AJD]]+(TABL123[[#This Row],[AJD_Evaporation]])/1000)</f>
        <v/>
      </c>
      <c r="AE133" s="68" t="n">
        <v>85</v>
      </c>
      <c r="AF133" s="68" t="n">
        <v>58.47</v>
      </c>
      <c r="AG133" s="68" t="n">
        <v>1274954</v>
      </c>
      <c r="AH133" s="45" t="n">
        <v>2368</v>
      </c>
      <c r="AI133" s="45" t="n">
        <v>2368</v>
      </c>
      <c r="AJ133" s="78">
        <f>TABL123[[#This Row],[(A/B) AJD]]-TABL123[[#This Row],[BER_IN]]</f>
        <v/>
      </c>
      <c r="AK133" s="68" t="n">
        <v>23</v>
      </c>
      <c r="AL133" s="87" t="n">
        <v>41.9354</v>
      </c>
      <c r="AM133" s="87" t="n">
        <v>2536790</v>
      </c>
      <c r="AN133" s="87">
        <f>TABL123[[#This Row],[ (RESV. STORGE) SER]]/10</f>
        <v/>
      </c>
      <c r="AO133" s="45" t="n">
        <v>2380</v>
      </c>
      <c r="AP133" s="32">
        <f>TABL123[[#This Row],[(A/S) AJD]]-TABL123[[#This Row],[SER_IN]]</f>
        <v/>
      </c>
    </row>
    <row r="134" ht="18.75" customHeight="1">
      <c r="A134" s="2" t="n">
        <v>46155</v>
      </c>
      <c r="B134" s="41" t="n">
        <v>38</v>
      </c>
      <c r="C134" s="41" t="n">
        <v>308</v>
      </c>
      <c r="D134" s="41" t="n">
        <v>38</v>
      </c>
      <c r="E134" s="41" t="n">
        <v>0</v>
      </c>
      <c r="F134" s="41" t="n">
        <v>95</v>
      </c>
      <c r="G134" s="39" t="n">
        <v>590</v>
      </c>
      <c r="H134" s="28">
        <f>103-F134</f>
        <v/>
      </c>
      <c r="I134" s="39" t="n">
        <v>472</v>
      </c>
      <c r="J134" s="39" t="n">
        <v>458</v>
      </c>
      <c r="K134" s="28">
        <f>TABL123[[#This Row],[ (T/B) SAR]]+TABL123[[#This Row],[ (S/S) SAR]]</f>
        <v/>
      </c>
      <c r="L134" s="41" t="n">
        <v>340</v>
      </c>
      <c r="M134" s="42" t="n">
        <v>24.6</v>
      </c>
      <c r="N134" s="42" t="n">
        <v>7.14</v>
      </c>
      <c r="O134" s="39" t="n">
        <v>410</v>
      </c>
      <c r="P134" s="3">
        <f>TABL123[[#This Row],[ (S/S) SAR]]-TABL123[[#This Row],[(S/S) AJD]]</f>
        <v/>
      </c>
      <c r="Q134" s="39" t="n">
        <v>441</v>
      </c>
      <c r="R134" s="3">
        <f>TABL123[[#This Row],[ (T/B) SAR]]-TABL123[[#This Row],[(T/B) AJD]]</f>
        <v/>
      </c>
      <c r="S134" s="3">
        <f>TABL123[[#This Row],[T/B-CON.]]+TABL123[[#This Row],[S/S_CON.]]</f>
        <v/>
      </c>
      <c r="T134" s="3">
        <f>TABL123[[#This Row],[(S/S) AJD]]+TABL123[[#This Row],[(T/B) AJD]]</f>
        <v/>
      </c>
      <c r="U134" s="41" t="n">
        <v>542</v>
      </c>
      <c r="V134" s="41" t="n">
        <v>256</v>
      </c>
      <c r="W134" s="3">
        <f>TABL123[[#This Row],[(A/B) AJD]]+TABL123[[#This Row],[(A/S) AJD]]</f>
        <v/>
      </c>
      <c r="X134" s="3">
        <f>TABL123[[#This Row],[( S/S+T/B) AJD]]-TABL123[[#This Row],[(A/B + A/S) AJD]]</f>
        <v/>
      </c>
      <c r="Y134" s="41" t="n">
        <v>92.53700000000001</v>
      </c>
      <c r="Z134" s="43" t="n">
        <v>518677</v>
      </c>
      <c r="AA134" s="3">
        <f>TABL123[[#This Row],[(RESV. STORGE) AJD]]/10</f>
        <v/>
      </c>
      <c r="AB134" s="45">
        <f>IF(TRIM(Z134)="",,(Z134-Z133)/1000)</f>
        <v/>
      </c>
      <c r="AC134" s="43" t="n">
        <v>1128</v>
      </c>
      <c r="AD134" s="83">
        <f>TABL123[[#This Row],[( S/S+T/B) AJD]]-(TABL123[[#This Row],[(A/B + A/S) AJD]]+TABL123[[#This Row],[(STORGE DIFF.) AJD]]+(TABL123[[#This Row],[AJD_Evaporation]])/1000)</f>
        <v/>
      </c>
      <c r="AE134" s="68" t="n">
        <v>83</v>
      </c>
      <c r="AF134" s="68" t="n">
        <v>58.53</v>
      </c>
      <c r="AG134" s="68" t="n">
        <v>1314308</v>
      </c>
      <c r="AH134" s="43" t="n">
        <v>2312</v>
      </c>
      <c r="AI134" s="43" t="n">
        <v>2312</v>
      </c>
      <c r="AJ134" s="78">
        <f>TABL123[[#This Row],[(A/B) AJD]]-TABL123[[#This Row],[BER_IN]]</f>
        <v/>
      </c>
      <c r="AK134" s="68" t="n">
        <v>22</v>
      </c>
      <c r="AL134" s="87" t="n">
        <v>41.8491</v>
      </c>
      <c r="AM134" s="87" t="n">
        <v>2490490</v>
      </c>
      <c r="AN134" s="87">
        <f>TABL123[[#This Row],[ (RESV. STORGE) SER]]/10</f>
        <v/>
      </c>
      <c r="AO134" s="43" t="n">
        <v>2430</v>
      </c>
      <c r="AP134" s="32">
        <f>TABL123[[#This Row],[(A/S) AJD]]-TABL123[[#This Row],[SER_IN]]</f>
        <v/>
      </c>
    </row>
    <row r="135" ht="18.75" customHeight="1">
      <c r="A135" s="2" t="n">
        <v>46156</v>
      </c>
      <c r="B135" s="44" t="n">
        <v>39</v>
      </c>
      <c r="C135" s="44" t="n">
        <v>318</v>
      </c>
      <c r="D135" s="44" t="n">
        <v>39</v>
      </c>
      <c r="E135" s="44" t="n">
        <v>0</v>
      </c>
      <c r="F135" s="44" t="n">
        <v>95</v>
      </c>
      <c r="G135" s="40" t="n">
        <v>590</v>
      </c>
      <c r="H135" s="28">
        <f>103-F135</f>
        <v/>
      </c>
      <c r="I135" s="40" t="n">
        <v>472</v>
      </c>
      <c r="J135" s="44" t="n">
        <v>458</v>
      </c>
      <c r="K135" s="28">
        <f>TABL123[[#This Row],[ (T/B) SAR]]+TABL123[[#This Row],[ (S/S) SAR]]</f>
        <v/>
      </c>
      <c r="L135" s="45" t="n">
        <v>340</v>
      </c>
      <c r="M135" s="46" t="n">
        <v>24.6</v>
      </c>
      <c r="N135" s="46" t="n">
        <v>7.19</v>
      </c>
      <c r="O135" s="40" t="n">
        <v>411</v>
      </c>
      <c r="P135" s="3">
        <f>TABL123[[#This Row],[ (S/S) SAR]]-TABL123[[#This Row],[(S/S) AJD]]</f>
        <v/>
      </c>
      <c r="Q135" s="40" t="n">
        <v>440</v>
      </c>
      <c r="R135" s="3">
        <f>TABL123[[#This Row],[ (T/B) SAR]]-TABL123[[#This Row],[(T/B) AJD]]</f>
        <v/>
      </c>
      <c r="S135" s="3">
        <f>TABL123[[#This Row],[T/B-CON.]]+TABL123[[#This Row],[S/S_CON.]]</f>
        <v/>
      </c>
      <c r="T135" s="3">
        <f>TABL123[[#This Row],[(S/S) AJD]]+TABL123[[#This Row],[(T/B) AJD]]</f>
        <v/>
      </c>
      <c r="U135" s="44" t="n">
        <v>596</v>
      </c>
      <c r="V135" s="44" t="n">
        <v>264</v>
      </c>
      <c r="W135" s="3">
        <f>TABL123[[#This Row],[(A/B) AJD]]+TABL123[[#This Row],[(A/S) AJD]]</f>
        <v/>
      </c>
      <c r="X135" s="3">
        <f>TABL123[[#This Row],[( S/S+T/B) AJD]]-TABL123[[#This Row],[(A/B + A/S) AJD]]</f>
        <v/>
      </c>
      <c r="Y135" s="44" t="n">
        <v>92.45999999999999</v>
      </c>
      <c r="Z135" s="45" t="n">
        <v>472803</v>
      </c>
      <c r="AA135" s="3">
        <f>TABL123[[#This Row],[(RESV. STORGE) AJD]]/10</f>
        <v/>
      </c>
      <c r="AB135" s="45">
        <f>IF(TRIM(Z135)="",,(Z135-Z134)/1000)</f>
        <v/>
      </c>
      <c r="AC135" s="45" t="n">
        <v>1167</v>
      </c>
      <c r="AD135" s="83">
        <f>TABL123[[#This Row],[( S/S+T/B) AJD]]-(TABL123[[#This Row],[(A/B + A/S) AJD]]+TABL123[[#This Row],[(STORGE DIFF.) AJD]]+(TABL123[[#This Row],[AJD_Evaporation]])/1000)</f>
        <v/>
      </c>
      <c r="AE135" s="68" t="n">
        <v>84</v>
      </c>
      <c r="AF135" s="68" t="n">
        <v>58.6</v>
      </c>
      <c r="AG135" s="68" t="n">
        <v>1360259</v>
      </c>
      <c r="AH135" s="45" t="n">
        <v>2503</v>
      </c>
      <c r="AI135" s="45" t="n">
        <v>2503</v>
      </c>
      <c r="AJ135" s="78">
        <f>TABL123[[#This Row],[(A/B) AJD]]-TABL123[[#This Row],[BER_IN]]</f>
        <v/>
      </c>
      <c r="AK135" s="68" t="n">
        <v>21</v>
      </c>
      <c r="AL135" s="87" t="n">
        <v>41.8032</v>
      </c>
      <c r="AM135" s="87" t="n">
        <v>2466220</v>
      </c>
      <c r="AN135" s="87">
        <f>TABL123[[#This Row],[ (RESV. STORGE) SER]]/10</f>
        <v/>
      </c>
      <c r="AO135" s="45" t="n">
        <v>2365</v>
      </c>
      <c r="AP135" s="32">
        <f>TABL123[[#This Row],[(A/S) AJD]]-TABL123[[#This Row],[SER_IN]]</f>
        <v/>
      </c>
    </row>
    <row r="136" ht="18.75" customHeight="1">
      <c r="A136" s="2" t="n">
        <v>46157</v>
      </c>
      <c r="B136" s="41" t="n">
        <v>39</v>
      </c>
      <c r="C136" s="41" t="n">
        <v>317</v>
      </c>
      <c r="D136" s="41" t="n">
        <v>39</v>
      </c>
      <c r="E136" s="41" t="n">
        <v>0</v>
      </c>
      <c r="F136" s="41" t="n">
        <v>95</v>
      </c>
      <c r="G136" s="39" t="n">
        <v>590</v>
      </c>
      <c r="H136" s="28">
        <f>103-F136</f>
        <v/>
      </c>
      <c r="I136" s="39" t="n">
        <v>472</v>
      </c>
      <c r="J136" s="39" t="n">
        <v>458</v>
      </c>
      <c r="K136" s="28">
        <f>TABL123[[#This Row],[ (T/B) SAR]]+TABL123[[#This Row],[ (S/S) SAR]]</f>
        <v/>
      </c>
      <c r="L136" s="41" t="n">
        <v>340</v>
      </c>
      <c r="M136" s="42" t="n">
        <v>24.6</v>
      </c>
      <c r="N136" s="42" t="n">
        <v>7.26</v>
      </c>
      <c r="O136" s="39" t="n">
        <v>410</v>
      </c>
      <c r="P136" s="3">
        <f>TABL123[[#This Row],[ (S/S) SAR]]-TABL123[[#This Row],[(S/S) AJD]]</f>
        <v/>
      </c>
      <c r="Q136" s="39" t="n">
        <v>441</v>
      </c>
      <c r="R136" s="3">
        <f>TABL123[[#This Row],[ (T/B) SAR]]-TABL123[[#This Row],[(T/B) AJD]]</f>
        <v/>
      </c>
      <c r="S136" s="3">
        <f>TABL123[[#This Row],[T/B-CON.]]+TABL123[[#This Row],[S/S_CON.]]</f>
        <v/>
      </c>
      <c r="T136" s="3">
        <f>TABL123[[#This Row],[(S/S) AJD]]+TABL123[[#This Row],[(T/B) AJD]]</f>
        <v/>
      </c>
      <c r="U136" s="41" t="n">
        <v>600</v>
      </c>
      <c r="V136" s="41" t="n">
        <v>295</v>
      </c>
      <c r="W136" s="3">
        <f>TABL123[[#This Row],[(A/B) AJD]]+TABL123[[#This Row],[(A/S) AJD]]</f>
        <v/>
      </c>
      <c r="X136" s="3">
        <f>TABL123[[#This Row],[( S/S+T/B) AJD]]-TABL123[[#This Row],[(A/B + A/S) AJD]]</f>
        <v/>
      </c>
      <c r="Y136" s="41" t="n">
        <v>92.34</v>
      </c>
      <c r="Z136" s="43" t="n">
        <v>401419</v>
      </c>
      <c r="AA136" s="3">
        <f>TABL123[[#This Row],[(RESV. STORGE) AJD]]/10</f>
        <v/>
      </c>
      <c r="AB136" s="45">
        <f>IF(TRIM(Z136)="",,(Z136-Z135)/1000)</f>
        <v/>
      </c>
      <c r="AC136" s="43" t="n">
        <v>1061</v>
      </c>
      <c r="AD136" s="83">
        <f>TABL123[[#This Row],[( S/S+T/B) AJD]]-(TABL123[[#This Row],[(A/B + A/S) AJD]]+TABL123[[#This Row],[(STORGE DIFF.) AJD]]+(TABL123[[#This Row],[AJD_Evaporation]])/1000)</f>
        <v/>
      </c>
      <c r="AE136" s="68" t="n">
        <v>83</v>
      </c>
      <c r="AF136" s="68" t="n">
        <v>58.71</v>
      </c>
      <c r="AG136" s="68" t="n">
        <v>1432554</v>
      </c>
      <c r="AH136" s="43" t="n">
        <v>2154</v>
      </c>
      <c r="AI136" s="43" t="n">
        <v>2154</v>
      </c>
      <c r="AJ136" s="78">
        <f>TABL123[[#This Row],[(A/B) AJD]]-TABL123[[#This Row],[BER_IN]]</f>
        <v/>
      </c>
      <c r="AK136" s="68" t="n">
        <v>21</v>
      </c>
      <c r="AL136" s="87" t="n">
        <v>41.7496</v>
      </c>
      <c r="AM136" s="87" t="n">
        <v>2437846</v>
      </c>
      <c r="AN136" s="87">
        <f>TABL123[[#This Row],[ (RESV. STORGE) SER]]/10</f>
        <v/>
      </c>
      <c r="AO136" s="43" t="n">
        <v>2175</v>
      </c>
      <c r="AP136" s="32">
        <f>TABL123[[#This Row],[(A/S) AJD]]-TABL123[[#This Row],[SER_IN]]</f>
        <v/>
      </c>
    </row>
    <row r="137" ht="18.75" customHeight="1">
      <c r="A137" s="2" t="n">
        <v>46158</v>
      </c>
      <c r="B137" s="44" t="n">
        <v>39</v>
      </c>
      <c r="C137" s="44" t="n">
        <v>305</v>
      </c>
      <c r="D137" s="44" t="n">
        <v>39</v>
      </c>
      <c r="E137" s="44" t="n">
        <v>0</v>
      </c>
      <c r="F137" s="44" t="n">
        <v>95</v>
      </c>
      <c r="G137" s="40" t="n">
        <v>590</v>
      </c>
      <c r="H137" s="28">
        <f>103-F137</f>
        <v/>
      </c>
      <c r="I137" s="40" t="n">
        <v>472</v>
      </c>
      <c r="J137" s="44" t="n">
        <v>458</v>
      </c>
      <c r="K137" s="28">
        <f>TABL123[[#This Row],[ (T/B) SAR]]+TABL123[[#This Row],[ (S/S) SAR]]</f>
        <v/>
      </c>
      <c r="L137" s="45" t="n">
        <v>340</v>
      </c>
      <c r="M137" s="46" t="n">
        <v>24.6</v>
      </c>
      <c r="N137" s="46" t="n">
        <v>7.24</v>
      </c>
      <c r="O137" s="40" t="n">
        <v>410</v>
      </c>
      <c r="P137" s="3">
        <f>TABL123[[#This Row],[ (S/S) SAR]]-TABL123[[#This Row],[(S/S) AJD]]</f>
        <v/>
      </c>
      <c r="Q137" s="40" t="n">
        <v>443</v>
      </c>
      <c r="R137" s="3">
        <f>TABL123[[#This Row],[ (T/B) SAR]]-TABL123[[#This Row],[(T/B) AJD]]</f>
        <v/>
      </c>
      <c r="S137" s="3">
        <f>TABL123[[#This Row],[T/B-CON.]]+TABL123[[#This Row],[S/S_CON.]]</f>
        <v/>
      </c>
      <c r="T137" s="3">
        <f>TABL123[[#This Row],[(S/S) AJD]]+TABL123[[#This Row],[(T/B) AJD]]</f>
        <v/>
      </c>
      <c r="U137" s="44" t="n">
        <v>594</v>
      </c>
      <c r="V137" s="44" t="n">
        <v>291</v>
      </c>
      <c r="W137" s="3">
        <f>TABL123[[#This Row],[(A/B) AJD]]+TABL123[[#This Row],[(A/S) AJD]]</f>
        <v/>
      </c>
      <c r="X137" s="3">
        <f>TABL123[[#This Row],[( S/S+T/B) AJD]]-TABL123[[#This Row],[(A/B + A/S) AJD]]</f>
        <v/>
      </c>
      <c r="Y137" s="44" t="n">
        <v>92.22</v>
      </c>
      <c r="Z137" s="45" t="n">
        <v>330158</v>
      </c>
      <c r="AA137" s="3">
        <f>TABL123[[#This Row],[(RESV. STORGE) AJD]]/10</f>
        <v/>
      </c>
      <c r="AB137" s="45">
        <f>IF(TRIM(Z137)="",,(Z137-Z136)/1000)</f>
        <v/>
      </c>
      <c r="AC137" s="45" t="n">
        <v>3011</v>
      </c>
      <c r="AD137" s="83">
        <f>TABL123[[#This Row],[( S/S+T/B) AJD]]-(TABL123[[#This Row],[(A/B + A/S) AJD]]+TABL123[[#This Row],[(STORGE DIFF.) AJD]]+(TABL123[[#This Row],[AJD_Evaporation]])/1000)</f>
        <v/>
      </c>
      <c r="AE137" s="68" t="n">
        <v>77</v>
      </c>
      <c r="AF137" s="68" t="n">
        <v>58.806</v>
      </c>
      <c r="AG137" s="68" t="n">
        <v>1495732</v>
      </c>
      <c r="AH137" s="45" t="n">
        <v>3171</v>
      </c>
      <c r="AI137" s="45" t="n">
        <v>3171</v>
      </c>
      <c r="AJ137" s="78">
        <f>TABL123[[#This Row],[(A/B) AJD]]-TABL123[[#This Row],[BER_IN]]</f>
        <v/>
      </c>
      <c r="AK137" s="68" t="n">
        <v>22</v>
      </c>
      <c r="AL137" s="87" t="n">
        <v>41.7394</v>
      </c>
      <c r="AM137" s="87" t="n">
        <v>2432180</v>
      </c>
      <c r="AN137" s="87">
        <f>TABL123[[#This Row],[ (RESV. STORGE) SER]]/10</f>
        <v/>
      </c>
      <c r="AO137" s="45" t="n">
        <v>1866</v>
      </c>
      <c r="AP137" s="32">
        <f>TABL123[[#This Row],[(A/S) AJD]]-TABL123[[#This Row],[SER_IN]]</f>
        <v/>
      </c>
    </row>
    <row r="138" ht="18.75" customHeight="1">
      <c r="A138" s="2" t="n">
        <v>46159</v>
      </c>
      <c r="B138" s="41" t="n">
        <v>38</v>
      </c>
      <c r="C138" s="41" t="n">
        <v>310</v>
      </c>
      <c r="D138" s="41" t="n">
        <v>38</v>
      </c>
      <c r="E138" s="41" t="n">
        <v>0</v>
      </c>
      <c r="F138" s="41" t="n">
        <v>95</v>
      </c>
      <c r="G138" s="39" t="n">
        <v>590</v>
      </c>
      <c r="H138" s="28">
        <f>103-F138</f>
        <v/>
      </c>
      <c r="I138" s="39" t="n">
        <v>472</v>
      </c>
      <c r="J138" s="39" t="n">
        <v>458</v>
      </c>
      <c r="K138" s="28">
        <f>TABL123[[#This Row],[ (T/B) SAR]]+TABL123[[#This Row],[ (S/S) SAR]]</f>
        <v/>
      </c>
      <c r="L138" s="41" t="n">
        <v>340</v>
      </c>
      <c r="M138" s="42" t="n">
        <v>24.6</v>
      </c>
      <c r="N138" s="42" t="n">
        <v>7.23</v>
      </c>
      <c r="O138" s="39" t="n">
        <v>411</v>
      </c>
      <c r="P138" s="3">
        <f>TABL123[[#This Row],[ (S/S) SAR]]-TABL123[[#This Row],[(S/S) AJD]]</f>
        <v/>
      </c>
      <c r="Q138" s="39" t="n">
        <v>445</v>
      </c>
      <c r="R138" s="3">
        <f>TABL123[[#This Row],[ (T/B) SAR]]-TABL123[[#This Row],[(T/B) AJD]]</f>
        <v/>
      </c>
      <c r="S138" s="3">
        <f>TABL123[[#This Row],[T/B-CON.]]+TABL123[[#This Row],[S/S_CON.]]</f>
        <v/>
      </c>
      <c r="T138" s="3">
        <f>TABL123[[#This Row],[(S/S) AJD]]+TABL123[[#This Row],[(T/B) AJD]]</f>
        <v/>
      </c>
      <c r="U138" s="41" t="n">
        <v>600</v>
      </c>
      <c r="V138" s="41" t="n">
        <v>247</v>
      </c>
      <c r="W138" s="3">
        <f>TABL123[[#This Row],[(A/B) AJD]]+TABL123[[#This Row],[(A/S) AJD]]</f>
        <v/>
      </c>
      <c r="X138" s="3">
        <f>TABL123[[#This Row],[( S/S+T/B) AJD]]-TABL123[[#This Row],[(A/B + A/S) AJD]]</f>
        <v/>
      </c>
      <c r="Y138" s="41" t="n">
        <v>92.185</v>
      </c>
      <c r="Z138" s="43" t="n">
        <v>309393</v>
      </c>
      <c r="AA138" s="3">
        <f>TABL123[[#This Row],[(RESV. STORGE) AJD]]/10</f>
        <v/>
      </c>
      <c r="AB138" s="45">
        <f>IF(TRIM(Z138)="",,(Z138-Z137)/1000)</f>
        <v/>
      </c>
      <c r="AC138" s="43" t="n">
        <v>4828</v>
      </c>
      <c r="AD138" s="83">
        <f>TABL123[[#This Row],[( S/S+T/B) AJD]]-(TABL123[[#This Row],[(A/B + A/S) AJD]]+TABL123[[#This Row],[(STORGE DIFF.) AJD]]+(TABL123[[#This Row],[AJD_Evaporation]])/1000)</f>
        <v/>
      </c>
      <c r="AE138" s="68" t="n">
        <v>67</v>
      </c>
      <c r="AF138" s="68" t="n">
        <v>58.89</v>
      </c>
      <c r="AG138" s="68" t="n">
        <v>1551079</v>
      </c>
      <c r="AH138" s="43" t="n">
        <v>3153</v>
      </c>
      <c r="AI138" s="43" t="n">
        <v>3153</v>
      </c>
      <c r="AJ138" s="78">
        <f>TABL123[[#This Row],[(A/B) AJD]]-TABL123[[#This Row],[BER_IN]]</f>
        <v/>
      </c>
      <c r="AK138" s="68" t="n">
        <v>21</v>
      </c>
      <c r="AL138" s="87" t="n">
        <v>41.7269</v>
      </c>
      <c r="AM138" s="87" t="n">
        <v>2425620</v>
      </c>
      <c r="AN138" s="87">
        <f>TABL123[[#This Row],[ (RESV. STORGE) SER]]/10</f>
        <v/>
      </c>
      <c r="AO138" s="43" t="n">
        <v>1860</v>
      </c>
      <c r="AP138" s="32">
        <f>TABL123[[#This Row],[(A/S) AJD]]-TABL123[[#This Row],[SER_IN]]</f>
        <v/>
      </c>
    </row>
    <row r="139" ht="18.75" customHeight="1">
      <c r="A139" s="2" t="n">
        <v>46160</v>
      </c>
      <c r="B139" s="44" t="n">
        <v>38</v>
      </c>
      <c r="C139" s="44" t="n">
        <v>299</v>
      </c>
      <c r="D139" s="44" t="n">
        <v>38</v>
      </c>
      <c r="E139" s="44" t="n">
        <v>0</v>
      </c>
      <c r="F139" s="44" t="n">
        <v>95</v>
      </c>
      <c r="G139" s="40" t="n">
        <v>587</v>
      </c>
      <c r="H139" s="28">
        <f>103-F139</f>
        <v/>
      </c>
      <c r="I139" s="40" t="n">
        <v>470</v>
      </c>
      <c r="J139" s="44" t="n">
        <v>455</v>
      </c>
      <c r="K139" s="28">
        <f>TABL123[[#This Row],[ (T/B) SAR]]+TABL123[[#This Row],[ (S/S) SAR]]</f>
        <v/>
      </c>
      <c r="L139" s="45" t="n">
        <v>338</v>
      </c>
      <c r="M139" s="46" t="n">
        <v>24.6</v>
      </c>
      <c r="N139" s="46" t="n">
        <v>7.18</v>
      </c>
      <c r="O139" s="40" t="n">
        <v>404</v>
      </c>
      <c r="P139" s="3">
        <f>TABL123[[#This Row],[ (S/S) SAR]]-TABL123[[#This Row],[(S/S) AJD]]</f>
        <v/>
      </c>
      <c r="Q139" s="40" t="n">
        <v>436</v>
      </c>
      <c r="R139" s="3">
        <f>TABL123[[#This Row],[ (T/B) SAR]]-TABL123[[#This Row],[(T/B) AJD]]</f>
        <v/>
      </c>
      <c r="S139" s="3">
        <f>TABL123[[#This Row],[T/B-CON.]]+TABL123[[#This Row],[S/S_CON.]]</f>
        <v/>
      </c>
      <c r="T139" s="3">
        <f>TABL123[[#This Row],[(S/S) AJD]]+TABL123[[#This Row],[(T/B) AJD]]</f>
        <v/>
      </c>
      <c r="U139" s="44" t="n">
        <v>608</v>
      </c>
      <c r="V139" s="44" t="n">
        <v>224</v>
      </c>
      <c r="W139" s="3">
        <f>TABL123[[#This Row],[(A/B) AJD]]+TABL123[[#This Row],[(A/S) AJD]]</f>
        <v/>
      </c>
      <c r="X139" s="3">
        <f>TABL123[[#This Row],[( S/S+T/B) AJD]]-TABL123[[#This Row],[(A/B + A/S) AJD]]</f>
        <v/>
      </c>
      <c r="Y139" s="44" t="n">
        <v>92.15000000000001</v>
      </c>
      <c r="Z139" s="45" t="n">
        <v>290419</v>
      </c>
      <c r="AA139" s="3">
        <f>TABL123[[#This Row],[(RESV. STORGE) AJD]]/10</f>
        <v/>
      </c>
      <c r="AB139" s="45">
        <f>IF(TRIM(Z139)="",,(Z139-Z138)/1000)</f>
        <v/>
      </c>
      <c r="AC139" s="45" t="n">
        <v>2627</v>
      </c>
      <c r="AD139" s="83">
        <f>TABL123[[#This Row],[( S/S+T/B) AJD]]-(TABL123[[#This Row],[(A/B + A/S) AJD]]+TABL123[[#This Row],[(STORGE DIFF.) AJD]]+(TABL123[[#This Row],[AJD_Evaporation]])/1000)</f>
        <v/>
      </c>
      <c r="AE139" s="68" t="n">
        <v>55</v>
      </c>
      <c r="AF139" s="68" t="n">
        <v>58.9</v>
      </c>
      <c r="AG139" s="68" t="n">
        <v>1557672</v>
      </c>
      <c r="AH139" s="45" t="n">
        <v>3547</v>
      </c>
      <c r="AI139" s="45" t="n">
        <v>3547</v>
      </c>
      <c r="AJ139" s="78">
        <f>TABL123[[#This Row],[(A/B) AJD]]-TABL123[[#This Row],[BER_IN]]</f>
        <v/>
      </c>
      <c r="AK139" s="68" t="n">
        <v>22</v>
      </c>
      <c r="AL139" s="87" t="n">
        <v>41.713</v>
      </c>
      <c r="AM139" s="87" t="n">
        <v>2418190</v>
      </c>
      <c r="AN139" s="87">
        <f>TABL123[[#This Row],[ (RESV. STORGE) SER]]/10</f>
        <v/>
      </c>
      <c r="AO139" s="45" t="n">
        <v>1830</v>
      </c>
      <c r="AP139" s="32">
        <f>TABL123[[#This Row],[(A/S) AJD]]-TABL123[[#This Row],[SER_IN]]</f>
        <v/>
      </c>
    </row>
    <row r="140" ht="18.75" customHeight="1">
      <c r="A140" s="2" t="n">
        <v>46161</v>
      </c>
      <c r="B140" s="41" t="n">
        <v>38</v>
      </c>
      <c r="C140" s="41" t="n">
        <v>325</v>
      </c>
      <c r="D140" s="41" t="n">
        <v>38</v>
      </c>
      <c r="E140" s="41" t="n">
        <v>0</v>
      </c>
      <c r="F140" s="41" t="n">
        <v>95</v>
      </c>
      <c r="G140" s="39" t="n">
        <v>585</v>
      </c>
      <c r="H140" s="28">
        <f>103-F140</f>
        <v/>
      </c>
      <c r="I140" s="39" t="n">
        <v>468</v>
      </c>
      <c r="J140" s="39" t="n">
        <v>452</v>
      </c>
      <c r="K140" s="28">
        <f>TABL123[[#This Row],[ (T/B) SAR]]+TABL123[[#This Row],[ (S/S) SAR]]</f>
        <v/>
      </c>
      <c r="L140" s="41" t="n">
        <v>335</v>
      </c>
      <c r="M140" s="42" t="n">
        <v>24.6</v>
      </c>
      <c r="N140" s="42" t="n">
        <v>7.09</v>
      </c>
      <c r="O140" s="39" t="n">
        <v>406</v>
      </c>
      <c r="P140" s="3">
        <f>TABL123[[#This Row],[ (S/S) SAR]]-TABL123[[#This Row],[(S/S) AJD]]</f>
        <v/>
      </c>
      <c r="Q140" s="39" t="n">
        <v>438</v>
      </c>
      <c r="R140" s="3">
        <f>TABL123[[#This Row],[ (T/B) SAR]]-TABL123[[#This Row],[(T/B) AJD]]</f>
        <v/>
      </c>
      <c r="S140" s="3">
        <f>TABL123[[#This Row],[T/B-CON.]]+TABL123[[#This Row],[S/S_CON.]]</f>
        <v/>
      </c>
      <c r="T140" s="3">
        <f>TABL123[[#This Row],[(S/S) AJD]]+TABL123[[#This Row],[(T/B) AJD]]</f>
        <v/>
      </c>
      <c r="U140" s="41" t="n">
        <v>600</v>
      </c>
      <c r="V140" s="41" t="n">
        <v>231</v>
      </c>
      <c r="W140" s="3">
        <f>TABL123[[#This Row],[(A/B) AJD]]+TABL123[[#This Row],[(A/S) AJD]]</f>
        <v/>
      </c>
      <c r="X140" s="3">
        <f>TABL123[[#This Row],[( S/S+T/B) AJD]]-TABL123[[#This Row],[(A/B + A/S) AJD]]</f>
        <v/>
      </c>
      <c r="Y140" s="41" t="n">
        <v>92.148</v>
      </c>
      <c r="Z140" s="43" t="n">
        <v>287457</v>
      </c>
      <c r="AA140" s="3">
        <f>TABL123[[#This Row],[(RESV. STORGE) AJD]]/10</f>
        <v/>
      </c>
      <c r="AB140" s="45">
        <f>IF(TRIM(Z140)="",,(Z140-Z139)/1000)</f>
        <v/>
      </c>
      <c r="AC140" s="43" t="n">
        <v>2008</v>
      </c>
      <c r="AD140" s="83">
        <f>TABL123[[#This Row],[( S/S+T/B) AJD]]-(TABL123[[#This Row],[(A/B + A/S) AJD]]+TABL123[[#This Row],[(STORGE DIFF.) AJD]]+(TABL123[[#This Row],[AJD_Evaporation]])/1000)</f>
        <v/>
      </c>
      <c r="AE140" s="68" t="n">
        <v>55</v>
      </c>
      <c r="AF140" s="68" t="n">
        <v>58.91</v>
      </c>
      <c r="AG140" s="68" t="n">
        <v>1564266</v>
      </c>
      <c r="AH140" s="43" t="n">
        <v>3566</v>
      </c>
      <c r="AI140" s="43" t="n">
        <v>3566</v>
      </c>
      <c r="AJ140" s="78">
        <f>TABL123[[#This Row],[(A/B) AJD]]-TABL123[[#This Row],[BER_IN]]</f>
        <v/>
      </c>
      <c r="AK140" s="68" t="n">
        <v>21</v>
      </c>
      <c r="AL140" s="87" t="n">
        <v>41.6994</v>
      </c>
      <c r="AM140" s="87" t="n">
        <v>2410720</v>
      </c>
      <c r="AN140" s="87">
        <f>TABL123[[#This Row],[ (RESV. STORGE) SER]]/10</f>
        <v/>
      </c>
      <c r="AO140" s="43" t="n">
        <v>1870</v>
      </c>
      <c r="AP140" s="32">
        <f>TABL123[[#This Row],[(A/S) AJD]]-TABL123[[#This Row],[SER_IN]]</f>
        <v/>
      </c>
    </row>
    <row r="141" ht="18.75" customHeight="1">
      <c r="A141" s="2" t="n">
        <v>46162</v>
      </c>
      <c r="B141" s="44" t="n">
        <v>40</v>
      </c>
      <c r="C141" s="44" t="n">
        <v>327</v>
      </c>
      <c r="D141" s="44" t="n">
        <v>40</v>
      </c>
      <c r="E141" s="44" t="n">
        <v>0</v>
      </c>
      <c r="F141" s="44" t="n">
        <v>95</v>
      </c>
      <c r="G141" s="40" t="n">
        <v>586</v>
      </c>
      <c r="H141" s="28">
        <f>103-F141</f>
        <v/>
      </c>
      <c r="I141" s="40" t="n">
        <v>468</v>
      </c>
      <c r="J141" s="44" t="n">
        <v>453</v>
      </c>
      <c r="K141" s="28">
        <f>TABL123[[#This Row],[ (T/B) SAR]]+TABL123[[#This Row],[ (S/S) SAR]]</f>
        <v/>
      </c>
      <c r="L141" s="45" t="n">
        <v>335</v>
      </c>
      <c r="M141" s="46" t="n">
        <v>24.6</v>
      </c>
      <c r="N141" s="46" t="n">
        <v>7.14</v>
      </c>
      <c r="O141" s="40" t="n">
        <v>399</v>
      </c>
      <c r="P141" s="3">
        <f>TABL123[[#This Row],[ (S/S) SAR]]-TABL123[[#This Row],[(S/S) AJD]]</f>
        <v/>
      </c>
      <c r="Q141" s="40" t="n">
        <v>431</v>
      </c>
      <c r="R141" s="3">
        <f>TABL123[[#This Row],[ (T/B) SAR]]-TABL123[[#This Row],[(T/B) AJD]]</f>
        <v/>
      </c>
      <c r="S141" s="3">
        <f>TABL123[[#This Row],[T/B-CON.]]+TABL123[[#This Row],[S/S_CON.]]</f>
        <v/>
      </c>
      <c r="T141" s="3">
        <f>TABL123[[#This Row],[(S/S) AJD]]+TABL123[[#This Row],[(T/B) AJD]]</f>
        <v/>
      </c>
      <c r="U141" s="44" t="n">
        <v>600</v>
      </c>
      <c r="V141" s="44" t="n">
        <v>218</v>
      </c>
      <c r="W141" s="3">
        <f>TABL123[[#This Row],[(A/B) AJD]]+TABL123[[#This Row],[(A/S) AJD]]</f>
        <v/>
      </c>
      <c r="X141" s="3">
        <f>TABL123[[#This Row],[( S/S+T/B) AJD]]-TABL123[[#This Row],[(A/B + A/S) AJD]]</f>
        <v/>
      </c>
      <c r="Y141" s="44" t="n">
        <v>92.12</v>
      </c>
      <c r="Z141" s="45" t="n">
        <v>270862</v>
      </c>
      <c r="AA141" s="3">
        <f>TABL123[[#This Row],[(RESV. STORGE) AJD]]/10</f>
        <v/>
      </c>
      <c r="AB141" s="45">
        <f>IF(TRIM(Z141)="",,(Z141-Z140)/1000)</f>
        <v/>
      </c>
      <c r="AC141" s="45" t="n">
        <v>1493</v>
      </c>
      <c r="AD141" s="83">
        <f>TABL123[[#This Row],[( S/S+T/B) AJD]]-(TABL123[[#This Row],[(A/B + A/S) AJD]]+TABL123[[#This Row],[(STORGE DIFF.) AJD]]+(TABL123[[#This Row],[AJD_Evaporation]])/1000)</f>
        <v/>
      </c>
      <c r="AE141" s="68" t="n">
        <v>56</v>
      </c>
      <c r="AF141" s="68" t="n">
        <v>58.9</v>
      </c>
      <c r="AG141" s="68" t="n">
        <v>1557672</v>
      </c>
      <c r="AH141" s="45" t="n">
        <v>2253</v>
      </c>
      <c r="AI141" s="45" t="n">
        <v>2253</v>
      </c>
      <c r="AJ141" s="78">
        <f>TABL123[[#This Row],[(A/B) AJD]]-TABL123[[#This Row],[BER_IN]]</f>
        <v/>
      </c>
      <c r="AK141" s="68" t="n">
        <v>21</v>
      </c>
      <c r="AL141" s="87" t="n">
        <v>41.7111</v>
      </c>
      <c r="AM141" s="87" t="n">
        <v>2417120</v>
      </c>
      <c r="AN141" s="87">
        <f>TABL123[[#This Row],[ (RESV. STORGE) SER]]/10</f>
        <v/>
      </c>
      <c r="AO141" s="45" t="n">
        <v>1800</v>
      </c>
      <c r="AP141" s="32">
        <f>TABL123[[#This Row],[(A/S) AJD]]-TABL123[[#This Row],[SER_IN]]</f>
        <v/>
      </c>
    </row>
    <row r="142" ht="18.75" customHeight="1">
      <c r="A142" s="2" t="n">
        <v>46163</v>
      </c>
      <c r="B142" s="41" t="n">
        <v>40</v>
      </c>
      <c r="C142" s="41" t="n">
        <v>315</v>
      </c>
      <c r="D142" s="41" t="n">
        <v>40</v>
      </c>
      <c r="E142" s="41" t="n">
        <v>0</v>
      </c>
      <c r="F142" s="41" t="n">
        <v>95</v>
      </c>
      <c r="G142" s="39" t="n">
        <v>586</v>
      </c>
      <c r="H142" s="28">
        <f>103-F142</f>
        <v/>
      </c>
      <c r="I142" s="39" t="n">
        <v>469</v>
      </c>
      <c r="J142" s="39" t="n">
        <v>455</v>
      </c>
      <c r="K142" s="28">
        <f>TABL123[[#This Row],[ (T/B) SAR]]+TABL123[[#This Row],[ (S/S) SAR]]</f>
        <v/>
      </c>
      <c r="L142" s="41" t="n">
        <v>338</v>
      </c>
      <c r="M142" s="42" t="n">
        <v>24.6</v>
      </c>
      <c r="N142" s="42" t="n">
        <v>7.23</v>
      </c>
      <c r="O142" s="39" t="n">
        <v>403</v>
      </c>
      <c r="P142" s="3">
        <f>TABL123[[#This Row],[ (S/S) SAR]]-TABL123[[#This Row],[(S/S) AJD]]</f>
        <v/>
      </c>
      <c r="Q142" s="39" t="n">
        <v>435</v>
      </c>
      <c r="R142" s="3">
        <f>TABL123[[#This Row],[ (T/B) SAR]]-TABL123[[#This Row],[(T/B) AJD]]</f>
        <v/>
      </c>
      <c r="S142" s="3">
        <f>TABL123[[#This Row],[T/B-CON.]]+TABL123[[#This Row],[S/S_CON.]]</f>
        <v/>
      </c>
      <c r="T142" s="3">
        <f>TABL123[[#This Row],[(S/S) AJD]]+TABL123[[#This Row],[(T/B) AJD]]</f>
        <v/>
      </c>
      <c r="U142" s="41" t="n">
        <v>568</v>
      </c>
      <c r="V142" s="41" t="n">
        <v>220</v>
      </c>
      <c r="W142" s="3">
        <f>TABL123[[#This Row],[(A/B) AJD]]+TABL123[[#This Row],[(A/S) AJD]]</f>
        <v/>
      </c>
      <c r="X142" s="3">
        <f>TABL123[[#This Row],[( S/S+T/B) AJD]]-TABL123[[#This Row],[(A/B + A/S) AJD]]</f>
        <v/>
      </c>
      <c r="Y142" s="41" t="n">
        <v>92.175</v>
      </c>
      <c r="Z142" s="43" t="n">
        <v>303466</v>
      </c>
      <c r="AA142" s="3">
        <f>TABL123[[#This Row],[(RESV. STORGE) AJD]]/10</f>
        <v/>
      </c>
      <c r="AB142" s="45">
        <f>IF(TRIM(Z142)="",,(Z142-Z141)/1000)</f>
        <v/>
      </c>
      <c r="AC142" s="43" t="n">
        <v>1079</v>
      </c>
      <c r="AD142" s="83">
        <f>TABL123[[#This Row],[( S/S+T/B) AJD]]-(TABL123[[#This Row],[(A/B + A/S) AJD]]+TABL123[[#This Row],[(STORGE DIFF.) AJD]]+(TABL123[[#This Row],[AJD_Evaporation]])/1000)</f>
        <v/>
      </c>
      <c r="AE142" s="68" t="n">
        <v>60</v>
      </c>
      <c r="AF142" s="68" t="n">
        <v>58.89</v>
      </c>
      <c r="AG142" s="68" t="n">
        <v>1551079</v>
      </c>
      <c r="AH142" s="43" t="n">
        <v>2439</v>
      </c>
      <c r="AI142" s="43" t="n">
        <v>2439</v>
      </c>
      <c r="AJ142" s="78">
        <f>TABL123[[#This Row],[(A/B) AJD]]-TABL123[[#This Row],[BER_IN]]</f>
        <v/>
      </c>
      <c r="AK142" s="68" t="n">
        <v>23</v>
      </c>
      <c r="AL142" s="87" t="n">
        <v>41.7034</v>
      </c>
      <c r="AM142" s="87" t="n">
        <v>2412880</v>
      </c>
      <c r="AN142" s="87">
        <f>TABL123[[#This Row],[ (RESV. STORGE) SER]]/10</f>
        <v/>
      </c>
      <c r="AO142" s="43" t="n">
        <v>1840</v>
      </c>
      <c r="AP142" s="32">
        <f>TABL123[[#This Row],[(A/S) AJD]]-TABL123[[#This Row],[SER_IN]]</f>
        <v/>
      </c>
    </row>
    <row r="143" ht="18.75" customHeight="1">
      <c r="A143" s="2" t="n">
        <v>46164</v>
      </c>
      <c r="B143" s="44" t="n">
        <v>40</v>
      </c>
      <c r="C143" s="44" t="n">
        <v>315</v>
      </c>
      <c r="D143" s="44" t="n">
        <v>40</v>
      </c>
      <c r="E143" s="44" t="n">
        <v>0</v>
      </c>
      <c r="F143" s="44" t="n">
        <v>95</v>
      </c>
      <c r="G143" s="40" t="n">
        <v>588</v>
      </c>
      <c r="H143" s="28">
        <f>103-F143</f>
        <v/>
      </c>
      <c r="I143" s="40" t="n">
        <v>470</v>
      </c>
      <c r="J143" s="44" t="n">
        <v>456</v>
      </c>
      <c r="K143" s="28">
        <f>TABL123[[#This Row],[ (T/B) SAR]]+TABL123[[#This Row],[ (S/S) SAR]]</f>
        <v/>
      </c>
      <c r="L143" s="45" t="n">
        <v>338</v>
      </c>
      <c r="M143" s="46" t="n">
        <v>24.6</v>
      </c>
      <c r="N143" s="46" t="n">
        <v>7.22</v>
      </c>
      <c r="O143" s="40" t="n">
        <v>406</v>
      </c>
      <c r="P143" s="3">
        <f>TABL123[[#This Row],[ (S/S) SAR]]-TABL123[[#This Row],[(S/S) AJD]]</f>
        <v/>
      </c>
      <c r="Q143" s="40" t="n">
        <v>437</v>
      </c>
      <c r="R143" s="3">
        <f>TABL123[[#This Row],[ (T/B) SAR]]-TABL123[[#This Row],[(T/B) AJD]]</f>
        <v/>
      </c>
      <c r="S143" s="3">
        <f>TABL123[[#This Row],[T/B-CON.]]+TABL123[[#This Row],[S/S_CON.]]</f>
        <v/>
      </c>
      <c r="T143" s="3">
        <f>TABL123[[#This Row],[(S/S) AJD]]+TABL123[[#This Row],[(T/B) AJD]]</f>
        <v/>
      </c>
      <c r="U143" s="44" t="n">
        <v>557</v>
      </c>
      <c r="V143" s="44" t="n">
        <v>249</v>
      </c>
      <c r="W143" s="3">
        <f>TABL123[[#This Row],[(A/B) AJD]]+TABL123[[#This Row],[(A/S) AJD]]</f>
        <v/>
      </c>
      <c r="X143" s="3">
        <f>TABL123[[#This Row],[( S/S+T/B) AJD]]-TABL123[[#This Row],[(A/B + A/S) AJD]]</f>
        <v/>
      </c>
      <c r="Y143" s="44" t="n">
        <v>92.18000000000001</v>
      </c>
      <c r="Z143" s="45" t="n">
        <v>306429</v>
      </c>
      <c r="AA143" s="3">
        <f>TABL123[[#This Row],[(RESV. STORGE) AJD]]/10</f>
        <v/>
      </c>
      <c r="AB143" s="45">
        <f>IF(TRIM(Z143)="",,(Z143-Z142)/1000)</f>
        <v/>
      </c>
      <c r="AC143" s="45" t="n">
        <v>1287</v>
      </c>
      <c r="AD143" s="83">
        <f>TABL123[[#This Row],[( S/S+T/B) AJD]]-(TABL123[[#This Row],[(A/B + A/S) AJD]]+TABL123[[#This Row],[(STORGE DIFF.) AJD]]+(TABL123[[#This Row],[AJD_Evaporation]])/1000)</f>
        <v/>
      </c>
      <c r="AE143" s="68" t="n">
        <v>62</v>
      </c>
      <c r="AF143" s="68" t="n">
        <v>58.87</v>
      </c>
      <c r="AG143" s="68" t="n">
        <v>1537896</v>
      </c>
      <c r="AH143" s="45" t="n">
        <v>2427</v>
      </c>
      <c r="AI143" s="45" t="n">
        <v>2427</v>
      </c>
      <c r="AJ143" s="78">
        <f>TABL123[[#This Row],[(A/B) AJD]]-TABL123[[#This Row],[BER_IN]]</f>
        <v/>
      </c>
      <c r="AK143" s="68" t="n">
        <v>22</v>
      </c>
      <c r="AL143" s="87" t="n">
        <v>41.6914</v>
      </c>
      <c r="AM143" s="87" t="n">
        <v>2406300</v>
      </c>
      <c r="AN143" s="87">
        <f>TABL123[[#This Row],[ (RESV. STORGE) SER]]/10</f>
        <v/>
      </c>
      <c r="AO143" s="45" t="n">
        <v>1880</v>
      </c>
      <c r="AP143" s="32">
        <f>TABL123[[#This Row],[(A/S) AJD]]-TABL123[[#This Row],[SER_IN]]</f>
        <v/>
      </c>
    </row>
    <row r="144" ht="18.75" customHeight="1">
      <c r="A144" s="2" t="n">
        <v>46165</v>
      </c>
      <c r="B144" s="41" t="n">
        <v>40</v>
      </c>
      <c r="C144" s="41" t="n">
        <v>320</v>
      </c>
      <c r="D144" s="41" t="n">
        <v>40</v>
      </c>
      <c r="E144" s="41" t="n">
        <v>0</v>
      </c>
      <c r="F144" s="41" t="n">
        <v>95</v>
      </c>
      <c r="G144" s="39" t="n">
        <v>587</v>
      </c>
      <c r="H144" s="28">
        <f>103-F144</f>
        <v/>
      </c>
      <c r="I144" s="39" t="n">
        <v>471</v>
      </c>
      <c r="J144" s="39" t="n">
        <v>456</v>
      </c>
      <c r="K144" s="28">
        <f>TABL123[[#This Row],[ (T/B) SAR]]+TABL123[[#This Row],[ (S/S) SAR]]</f>
        <v/>
      </c>
      <c r="L144" s="41" t="n">
        <v>340</v>
      </c>
      <c r="M144" s="42" t="n">
        <v>24.6</v>
      </c>
      <c r="N144" s="42" t="n">
        <v>7.29</v>
      </c>
      <c r="O144" s="39" t="n">
        <v>441</v>
      </c>
      <c r="P144" s="3">
        <f>TABL123[[#This Row],[ (S/S) SAR]]-TABL123[[#This Row],[(S/S) AJD]]</f>
        <v/>
      </c>
      <c r="Q144" s="39" t="n">
        <v>445</v>
      </c>
      <c r="R144" s="3">
        <f>TABL123[[#This Row],[ (T/B) SAR]]-TABL123[[#This Row],[(T/B) AJD]]</f>
        <v/>
      </c>
      <c r="S144" s="3">
        <f>TABL123[[#This Row],[T/B-CON.]]+TABL123[[#This Row],[S/S_CON.]]</f>
        <v/>
      </c>
      <c r="T144" s="3">
        <f>TABL123[[#This Row],[(S/S) AJD]]+TABL123[[#This Row],[(T/B) AJD]]</f>
        <v/>
      </c>
      <c r="U144" s="41" t="n">
        <v>539</v>
      </c>
      <c r="V144" s="41" t="n">
        <v>258</v>
      </c>
      <c r="W144" s="3">
        <f>TABL123[[#This Row],[(A/B) AJD]]+TABL123[[#This Row],[(A/S) AJD]]</f>
        <v/>
      </c>
      <c r="X144" s="3">
        <f>TABL123[[#This Row],[( S/S+T/B) AJD]]-TABL123[[#This Row],[(A/B + A/S) AJD]]</f>
        <v/>
      </c>
      <c r="Y144" s="41" t="n">
        <v>92.23999999999999</v>
      </c>
      <c r="Z144" s="43" t="n">
        <v>342025</v>
      </c>
      <c r="AA144" s="3">
        <f>TABL123[[#This Row],[(RESV. STORGE) AJD]]/10</f>
        <v/>
      </c>
      <c r="AB144" s="45">
        <f>IF(TRIM(Z144)="",,(Z144-Z143)/1000)</f>
        <v/>
      </c>
      <c r="AC144" s="43" t="n">
        <v>1097</v>
      </c>
      <c r="AD144" s="83">
        <f>TABL123[[#This Row],[( S/S+T/B) AJD]]-(TABL123[[#This Row],[(A/B + A/S) AJD]]+TABL123[[#This Row],[(STORGE DIFF.) AJD]]+(TABL123[[#This Row],[AJD_Evaporation]])/1000)</f>
        <v/>
      </c>
      <c r="AE144" s="68" t="n">
        <v>59</v>
      </c>
      <c r="AF144" s="68" t="n">
        <v>58.9</v>
      </c>
      <c r="AG144" s="68" t="n">
        <v>1557673</v>
      </c>
      <c r="AH144" s="43" t="n">
        <v>1575</v>
      </c>
      <c r="AI144" s="43" t="n">
        <v>1575</v>
      </c>
      <c r="AJ144" s="78">
        <f>TABL123[[#This Row],[(A/B) AJD]]-TABL123[[#This Row],[BER_IN]]</f>
        <v/>
      </c>
      <c r="AK144" s="68" t="n">
        <v>22</v>
      </c>
      <c r="AL144" s="87" t="n">
        <v>41.6974</v>
      </c>
      <c r="AM144" s="87" t="n">
        <v>2409710</v>
      </c>
      <c r="AN144" s="87">
        <f>TABL123[[#This Row],[ (RESV. STORGE) SER]]/10</f>
        <v/>
      </c>
      <c r="AO144" s="43" t="n">
        <v>1890</v>
      </c>
      <c r="AP144" s="32">
        <f>TABL123[[#This Row],[(A/S) AJD]]-TABL123[[#This Row],[SER_IN]]</f>
        <v/>
      </c>
    </row>
    <row r="145" ht="18.75" customHeight="1">
      <c r="A145" s="2" t="n">
        <v>46166</v>
      </c>
      <c r="B145" s="44" t="n">
        <v>41</v>
      </c>
      <c r="C145" s="44" t="n">
        <v>315</v>
      </c>
      <c r="D145" s="44" t="n">
        <v>41</v>
      </c>
      <c r="E145" s="44" t="n">
        <v>0</v>
      </c>
      <c r="F145" s="44" t="n">
        <v>95</v>
      </c>
      <c r="G145" s="40" t="n">
        <v>587</v>
      </c>
      <c r="H145" s="28">
        <f>103-F145</f>
        <v/>
      </c>
      <c r="I145" s="40" t="n">
        <v>472</v>
      </c>
      <c r="J145" s="44" t="n">
        <v>458</v>
      </c>
      <c r="K145" s="28">
        <f>TABL123[[#This Row],[ (T/B) SAR]]+TABL123[[#This Row],[ (S/S) SAR]]</f>
        <v/>
      </c>
      <c r="L145" s="45" t="n">
        <v>343</v>
      </c>
      <c r="M145" s="46" t="n">
        <v>24.6</v>
      </c>
      <c r="N145" s="46" t="n">
        <v>7.22</v>
      </c>
      <c r="O145" s="40" t="n">
        <v>413</v>
      </c>
      <c r="P145" s="3">
        <f>TABL123[[#This Row],[ (S/S) SAR]]-TABL123[[#This Row],[(S/S) AJD]]</f>
        <v/>
      </c>
      <c r="Q145" s="40" t="n">
        <v>446</v>
      </c>
      <c r="R145" s="3">
        <f>TABL123[[#This Row],[ (T/B) SAR]]-TABL123[[#This Row],[(T/B) AJD]]</f>
        <v/>
      </c>
      <c r="S145" s="3">
        <f>TABL123[[#This Row],[T/B-CON.]]+TABL123[[#This Row],[S/S_CON.]]</f>
        <v/>
      </c>
      <c r="T145" s="3">
        <f>TABL123[[#This Row],[(S/S) AJD]]+TABL123[[#This Row],[(T/B) AJD]]</f>
        <v/>
      </c>
      <c r="U145" s="44" t="n">
        <v>537</v>
      </c>
      <c r="V145" s="44" t="n">
        <v>258</v>
      </c>
      <c r="W145" s="3">
        <f>TABL123[[#This Row],[(A/B) AJD]]+TABL123[[#This Row],[(A/S) AJD]]</f>
        <v/>
      </c>
      <c r="X145" s="3">
        <f>TABL123[[#This Row],[( S/S+T/B) AJD]]-TABL123[[#This Row],[(A/B + A/S) AJD]]</f>
        <v/>
      </c>
      <c r="Y145" s="44" t="n">
        <v>92.315</v>
      </c>
      <c r="Z145" s="45" t="n">
        <v>386567</v>
      </c>
      <c r="AA145" s="3">
        <f>TABL123[[#This Row],[(RESV. STORGE) AJD]]/10</f>
        <v/>
      </c>
      <c r="AB145" s="45">
        <f>IF(TRIM(Z145)="",,(Z145-Z144)/1000)</f>
        <v/>
      </c>
      <c r="AC145" s="45" t="n">
        <v>1202</v>
      </c>
      <c r="AD145" s="83">
        <f>TABL123[[#This Row],[( S/S+T/B) AJD]]-(TABL123[[#This Row],[(A/B + A/S) AJD]]+TABL123[[#This Row],[(STORGE DIFF.) AJD]]+(TABL123[[#This Row],[AJD_Evaporation]])/1000)</f>
        <v/>
      </c>
      <c r="AE145" s="68" t="n">
        <v>54</v>
      </c>
      <c r="AF145" s="68" t="n">
        <v>58.87</v>
      </c>
      <c r="AG145" s="68" t="n">
        <v>1537896</v>
      </c>
      <c r="AH145" s="45" t="n">
        <v>2421</v>
      </c>
      <c r="AI145" s="45" t="n">
        <v>2421</v>
      </c>
      <c r="AJ145" s="78">
        <f>TABL123[[#This Row],[(A/B) AJD]]-TABL123[[#This Row],[BER_IN]]</f>
        <v/>
      </c>
      <c r="AK145" s="68" t="n">
        <v>22</v>
      </c>
      <c r="AL145" s="87" t="n">
        <v>41.6882</v>
      </c>
      <c r="AM145" s="87" t="n">
        <v>2404910</v>
      </c>
      <c r="AN145" s="87">
        <f>TABL123[[#This Row],[ (RESV. STORGE) SER]]/10</f>
        <v/>
      </c>
      <c r="AO145" s="45" t="n">
        <v>1800</v>
      </c>
      <c r="AP145" s="32">
        <f>TABL123[[#This Row],[(A/S) AJD]]-TABL123[[#This Row],[SER_IN]]</f>
        <v/>
      </c>
    </row>
    <row r="146" ht="18.75" customHeight="1">
      <c r="A146" s="2" t="n">
        <v>46167</v>
      </c>
      <c r="B146" s="41" t="n">
        <v>41</v>
      </c>
      <c r="C146" s="41" t="n">
        <v>330</v>
      </c>
      <c r="D146" s="41" t="n">
        <v>41</v>
      </c>
      <c r="E146" s="41" t="n">
        <v>0</v>
      </c>
      <c r="F146" s="41" t="n">
        <v>95</v>
      </c>
      <c r="G146" s="39" t="n">
        <v>588</v>
      </c>
      <c r="H146" s="28">
        <f>103-F146</f>
        <v/>
      </c>
      <c r="I146" s="39" t="n">
        <v>473</v>
      </c>
      <c r="J146" s="39" t="n">
        <v>460</v>
      </c>
      <c r="K146" s="28">
        <f>TABL123[[#This Row],[ (T/B) SAR]]+TABL123[[#This Row],[ (S/S) SAR]]</f>
        <v/>
      </c>
      <c r="L146" s="41" t="n">
        <v>345</v>
      </c>
      <c r="M146" s="42" t="n">
        <v>24.6</v>
      </c>
      <c r="N146" s="42" t="n">
        <v>7.47</v>
      </c>
      <c r="O146" s="39" t="n">
        <v>412</v>
      </c>
      <c r="P146" s="3">
        <f>TABL123[[#This Row],[ (S/S) SAR]]-TABL123[[#This Row],[(S/S) AJD]]</f>
        <v/>
      </c>
      <c r="Q146" s="39" t="n">
        <v>446</v>
      </c>
      <c r="R146" s="3">
        <f>TABL123[[#This Row],[ (T/B) SAR]]-TABL123[[#This Row],[(T/B) AJD]]</f>
        <v/>
      </c>
      <c r="S146" s="3">
        <f>TABL123[[#This Row],[T/B-CON.]]+TABL123[[#This Row],[S/S_CON.]]</f>
        <v/>
      </c>
      <c r="T146" s="3">
        <f>TABL123[[#This Row],[(S/S) AJD]]+TABL123[[#This Row],[(T/B) AJD]]</f>
        <v/>
      </c>
      <c r="U146" s="41" t="n">
        <v>530</v>
      </c>
      <c r="V146" s="41" t="n">
        <v>259</v>
      </c>
      <c r="W146" s="3">
        <f>TABL123[[#This Row],[(A/B) AJD]]+TABL123[[#This Row],[(A/S) AJD]]</f>
        <v/>
      </c>
      <c r="X146" s="3">
        <f>TABL123[[#This Row],[( S/S+T/B) AJD]]-TABL123[[#This Row],[(A/B + A/S) AJD]]</f>
        <v/>
      </c>
      <c r="Y146" s="41" t="n">
        <v>92.375</v>
      </c>
      <c r="Z146" s="43" t="n">
        <v>422229</v>
      </c>
      <c r="AA146" s="3">
        <f>TABL123[[#This Row],[(RESV. STORGE) AJD]]/10</f>
        <v/>
      </c>
      <c r="AB146" s="45">
        <f>IF(TRIM(Z146)="",,(Z146-Z145)/1000)</f>
        <v/>
      </c>
      <c r="AC146" s="43" t="n">
        <v>1124</v>
      </c>
      <c r="AD146" s="83">
        <f>TABL123[[#This Row],[( S/S+T/B) AJD]]-(TABL123[[#This Row],[(A/B + A/S) AJD]]+TABL123[[#This Row],[(STORGE DIFF.) AJD]]+(TABL123[[#This Row],[AJD_Evaporation]])/1000)</f>
        <v/>
      </c>
      <c r="AE146" s="68" t="n">
        <v>62</v>
      </c>
      <c r="AF146" s="68" t="n">
        <v>58.86</v>
      </c>
      <c r="AG146" s="68" t="n">
        <v>1531306</v>
      </c>
      <c r="AH146" s="43" t="n">
        <v>2190</v>
      </c>
      <c r="AI146" s="43" t="n">
        <v>2190</v>
      </c>
      <c r="AJ146" s="78">
        <f>TABL123[[#This Row],[(A/B) AJD]]-TABL123[[#This Row],[BER_IN]]</f>
        <v/>
      </c>
      <c r="AK146" s="68" t="n">
        <v>22</v>
      </c>
      <c r="AL146" s="87" t="n">
        <v>41.6426</v>
      </c>
      <c r="AM146" s="87" t="n">
        <v>2381030</v>
      </c>
      <c r="AN146" s="87">
        <f>TABL123[[#This Row],[ (RESV. STORGE) SER]]/10</f>
        <v/>
      </c>
      <c r="AO146" s="43" t="n">
        <v>1880</v>
      </c>
      <c r="AP146" s="32">
        <f>TABL123[[#This Row],[(A/S) AJD]]-TABL123[[#This Row],[SER_IN]]</f>
        <v/>
      </c>
    </row>
    <row r="147" ht="18.75" customHeight="1">
      <c r="A147" s="2" t="n">
        <v>46168</v>
      </c>
      <c r="B147" s="44" t="n">
        <v>41</v>
      </c>
      <c r="C147" s="44" t="n">
        <v>324</v>
      </c>
      <c r="D147" s="44" t="n">
        <v>41</v>
      </c>
      <c r="E147" s="44" t="n">
        <v>0</v>
      </c>
      <c r="F147" s="44" t="n">
        <v>95</v>
      </c>
      <c r="G147" s="40" t="n">
        <v>588</v>
      </c>
      <c r="H147" s="28">
        <f>103-F147</f>
        <v/>
      </c>
      <c r="I147" s="40" t="n">
        <v>473</v>
      </c>
      <c r="J147" s="44" t="n">
        <v>460</v>
      </c>
      <c r="K147" s="28">
        <f>TABL123[[#This Row],[ (T/B) SAR]]+TABL123[[#This Row],[ (S/S) SAR]]</f>
        <v/>
      </c>
      <c r="L147" s="45" t="n">
        <v>345</v>
      </c>
      <c r="M147" s="46" t="n">
        <v>24.6</v>
      </c>
      <c r="N147" s="46" t="n">
        <v>7.55</v>
      </c>
      <c r="O147" s="40" t="n">
        <v>414</v>
      </c>
      <c r="P147" s="3">
        <f>TABL123[[#This Row],[ (S/S) SAR]]-TABL123[[#This Row],[(S/S) AJD]]</f>
        <v/>
      </c>
      <c r="Q147" s="40" t="n">
        <v>447</v>
      </c>
      <c r="R147" s="3">
        <f>TABL123[[#This Row],[ (T/B) SAR]]-TABL123[[#This Row],[(T/B) AJD]]</f>
        <v/>
      </c>
      <c r="S147" s="3">
        <f>TABL123[[#This Row],[T/B-CON.]]+TABL123[[#This Row],[S/S_CON.]]</f>
        <v/>
      </c>
      <c r="T147" s="3">
        <f>TABL123[[#This Row],[(S/S) AJD]]+TABL123[[#This Row],[(T/B) AJD]]</f>
        <v/>
      </c>
      <c r="U147" s="44" t="n">
        <v>523</v>
      </c>
      <c r="V147" s="44" t="n">
        <v>264</v>
      </c>
      <c r="W147" s="3">
        <f>TABL123[[#This Row],[(A/B) AJD]]+TABL123[[#This Row],[(A/S) AJD]]</f>
        <v/>
      </c>
      <c r="X147" s="3">
        <f>TABL123[[#This Row],[( S/S+T/B) AJD]]-TABL123[[#This Row],[(A/B + A/S) AJD]]</f>
        <v/>
      </c>
      <c r="Y147" s="44" t="n">
        <v>92.44199999999999</v>
      </c>
      <c r="Z147" s="45" t="n">
        <v>460900</v>
      </c>
      <c r="AA147" s="3">
        <f>TABL123[[#This Row],[(RESV. STORGE) AJD]]/10</f>
        <v/>
      </c>
      <c r="AB147" s="45">
        <f>IF(TRIM(Z147)="",,(Z147-Z146)/1000)</f>
        <v/>
      </c>
      <c r="AC147" s="45" t="n">
        <v>1196</v>
      </c>
      <c r="AD147" s="83">
        <f>TABL123[[#This Row],[( S/S+T/B) AJD]]-(TABL123[[#This Row],[(A/B + A/S) AJD]]+TABL123[[#This Row],[(STORGE DIFF.) AJD]]+(TABL123[[#This Row],[AJD_Evaporation]])/1000)</f>
        <v/>
      </c>
      <c r="AE147" s="68" t="n">
        <v>62</v>
      </c>
      <c r="AF147" s="68" t="n">
        <v>58.85</v>
      </c>
      <c r="AG147" s="68" t="n">
        <v>1524716</v>
      </c>
      <c r="AH147" s="45" t="n">
        <v>2189</v>
      </c>
      <c r="AI147" s="45" t="n">
        <v>2189</v>
      </c>
      <c r="AJ147" s="78">
        <f>TABL123[[#This Row],[(A/B) AJD]]-TABL123[[#This Row],[BER_IN]]</f>
        <v/>
      </c>
      <c r="AK147" s="68" t="n">
        <v>22</v>
      </c>
      <c r="AL147" s="87" t="n">
        <v>41.6041</v>
      </c>
      <c r="AM147" s="87" t="n">
        <v>2360540</v>
      </c>
      <c r="AN147" s="87">
        <f>TABL123[[#This Row],[ (RESV. STORGE) SER]]/10</f>
        <v/>
      </c>
      <c r="AO147" s="45" t="n">
        <v>1890</v>
      </c>
      <c r="AP147" s="32">
        <f>TABL123[[#This Row],[(A/S) AJD]]-TABL123[[#This Row],[SER_IN]]</f>
        <v/>
      </c>
    </row>
    <row r="148" ht="18.75" customHeight="1">
      <c r="A148" s="2" t="n">
        <v>46169</v>
      </c>
      <c r="B148" s="41" t="n">
        <v>41</v>
      </c>
      <c r="C148" s="41" t="n">
        <v>332</v>
      </c>
      <c r="D148" s="41" t="n">
        <v>41</v>
      </c>
      <c r="E148" s="41" t="n">
        <v>0</v>
      </c>
      <c r="F148" s="41" t="n">
        <v>95</v>
      </c>
      <c r="G148" s="39" t="n">
        <v>589</v>
      </c>
      <c r="H148" s="28">
        <f>103-F148</f>
        <v/>
      </c>
      <c r="I148" s="39" t="n">
        <v>475</v>
      </c>
      <c r="J148" s="39" t="n">
        <v>462</v>
      </c>
      <c r="K148" s="28">
        <f>TABL123[[#This Row],[ (T/B) SAR]]+TABL123[[#This Row],[ (S/S) SAR]]</f>
        <v/>
      </c>
      <c r="L148" s="41" t="n">
        <v>348</v>
      </c>
      <c r="M148" s="42" t="n">
        <v>24.6</v>
      </c>
      <c r="N148" s="42" t="n">
        <v>7.64</v>
      </c>
      <c r="O148" s="39" t="n">
        <v>415</v>
      </c>
      <c r="P148" s="3">
        <f>TABL123[[#This Row],[ (S/S) SAR]]-TABL123[[#This Row],[(S/S) AJD]]</f>
        <v/>
      </c>
      <c r="Q148" s="39" t="n">
        <v>448</v>
      </c>
      <c r="R148" s="3">
        <f>TABL123[[#This Row],[ (T/B) SAR]]-TABL123[[#This Row],[(T/B) AJD]]</f>
        <v/>
      </c>
      <c r="S148" s="3">
        <f>TABL123[[#This Row],[T/B-CON.]]+TABL123[[#This Row],[S/S_CON.]]</f>
        <v/>
      </c>
      <c r="T148" s="3">
        <f>TABL123[[#This Row],[(S/S) AJD]]+TABL123[[#This Row],[(T/B) AJD]]</f>
        <v/>
      </c>
      <c r="U148" s="41" t="n">
        <v>534</v>
      </c>
      <c r="V148" s="41" t="n">
        <v>274</v>
      </c>
      <c r="W148" s="3">
        <f>TABL123[[#This Row],[(A/B) AJD]]+TABL123[[#This Row],[(A/S) AJD]]</f>
        <v/>
      </c>
      <c r="X148" s="3">
        <f>TABL123[[#This Row],[( S/S+T/B) AJD]]-TABL123[[#This Row],[(A/B + A/S) AJD]]</f>
        <v/>
      </c>
      <c r="Y148" s="41" t="n">
        <v>92.482</v>
      </c>
      <c r="Z148" s="43" t="n">
        <v>485905</v>
      </c>
      <c r="AA148" s="3">
        <f>TABL123[[#This Row],[(RESV. STORGE) AJD]]/10</f>
        <v/>
      </c>
      <c r="AB148" s="45">
        <f>IF(TRIM(Z148)="",,(Z148-Z147)/1000)</f>
        <v/>
      </c>
      <c r="AC148" s="43" t="n">
        <v>1084</v>
      </c>
      <c r="AD148" s="83">
        <f>TABL123[[#This Row],[( S/S+T/B) AJD]]-(TABL123[[#This Row],[(A/B + A/S) AJD]]+TABL123[[#This Row],[(STORGE DIFF.) AJD]]+(TABL123[[#This Row],[AJD_Evaporation]])/1000)</f>
        <v/>
      </c>
      <c r="AE148" s="68" t="n">
        <v>59</v>
      </c>
      <c r="AF148" s="68" t="n">
        <v>58.936</v>
      </c>
      <c r="AG148" s="68" t="n">
        <v>1581414</v>
      </c>
      <c r="AH148" s="43" t="n">
        <v>2302</v>
      </c>
      <c r="AI148" s="43" t="n">
        <v>2302</v>
      </c>
      <c r="AJ148" s="78">
        <f>TABL123[[#This Row],[(A/B) AJD]]-TABL123[[#This Row],[BER_IN]]</f>
        <v/>
      </c>
      <c r="AK148" s="68" t="n">
        <v>22</v>
      </c>
      <c r="AL148" s="87" t="n">
        <v>41.5731</v>
      </c>
      <c r="AM148" s="87" t="n">
        <v>2343900</v>
      </c>
      <c r="AN148" s="87">
        <f>TABL123[[#This Row],[ (RESV. STORGE) SER]]/10</f>
        <v/>
      </c>
      <c r="AO148" s="43" t="n">
        <v>1840</v>
      </c>
      <c r="AP148" s="32">
        <f>TABL123[[#This Row],[(A/S) AJD]]-TABL123[[#This Row],[SER_IN]]</f>
        <v/>
      </c>
    </row>
    <row r="149" ht="18.75" customHeight="1">
      <c r="A149" s="2" t="n">
        <v>46170</v>
      </c>
      <c r="B149" s="44" t="n">
        <v>41</v>
      </c>
      <c r="C149" s="44" t="n">
        <v>326</v>
      </c>
      <c r="D149" s="44" t="n">
        <v>41</v>
      </c>
      <c r="E149" s="44" t="n">
        <v>0</v>
      </c>
      <c r="F149" s="44" t="n">
        <v>95</v>
      </c>
      <c r="G149" s="40" t="n">
        <v>589</v>
      </c>
      <c r="H149" s="28">
        <f>103-F149</f>
        <v/>
      </c>
      <c r="I149" s="40" t="n">
        <v>475</v>
      </c>
      <c r="J149" s="44" t="n">
        <v>462</v>
      </c>
      <c r="K149" s="28">
        <f>TABL123[[#This Row],[ (T/B) SAR]]+TABL123[[#This Row],[ (S/S) SAR]]</f>
        <v/>
      </c>
      <c r="L149" s="45" t="n">
        <v>348</v>
      </c>
      <c r="M149" s="46" t="n">
        <v>24.6</v>
      </c>
      <c r="N149" s="46" t="n">
        <v>7.73</v>
      </c>
      <c r="O149" s="40" t="n">
        <v>415</v>
      </c>
      <c r="P149" s="3">
        <f>TABL123[[#This Row],[ (S/S) SAR]]-TABL123[[#This Row],[(S/S) AJD]]</f>
        <v/>
      </c>
      <c r="Q149" s="40" t="n">
        <v>449</v>
      </c>
      <c r="R149" s="3">
        <f>TABL123[[#This Row],[ (T/B) SAR]]-TABL123[[#This Row],[(T/B) AJD]]</f>
        <v/>
      </c>
      <c r="S149" s="3">
        <f>TABL123[[#This Row],[T/B-CON.]]+TABL123[[#This Row],[S/S_CON.]]</f>
        <v/>
      </c>
      <c r="T149" s="3">
        <f>TABL123[[#This Row],[(S/S) AJD]]+TABL123[[#This Row],[(T/B) AJD]]</f>
        <v/>
      </c>
      <c r="U149" s="44" t="n">
        <v>531</v>
      </c>
      <c r="V149" s="44" t="n">
        <v>272</v>
      </c>
      <c r="W149" s="3">
        <f>TABL123[[#This Row],[(A/B) AJD]]+TABL123[[#This Row],[(A/S) AJD]]</f>
        <v/>
      </c>
      <c r="X149" s="3">
        <f>TABL123[[#This Row],[( S/S+T/B) AJD]]-TABL123[[#This Row],[(A/B + A/S) AJD]]</f>
        <v/>
      </c>
      <c r="Y149" s="44" t="n">
        <v>92.53400000000001</v>
      </c>
      <c r="Z149" s="45" t="n">
        <v>516880</v>
      </c>
      <c r="AA149" s="3">
        <f>TABL123[[#This Row],[(RESV. STORGE) AJD]]/10</f>
        <v/>
      </c>
      <c r="AB149" s="45">
        <f>IF(TRIM(Z149)="",,(Z149-Z148)/1000)</f>
        <v/>
      </c>
      <c r="AC149" s="45" t="n">
        <v>1076</v>
      </c>
      <c r="AD149" s="83">
        <f>TABL123[[#This Row],[( S/S+T/B) AJD]]-(TABL123[[#This Row],[(A/B + A/S) AJD]]+TABL123[[#This Row],[(STORGE DIFF.) AJD]]+(TABL123[[#This Row],[AJD_Evaporation]])/1000)</f>
        <v/>
      </c>
      <c r="AE149" s="68" t="n">
        <v>58</v>
      </c>
      <c r="AF149" s="68" t="n">
        <v>59.02</v>
      </c>
      <c r="AG149" s="68" t="n">
        <v>1636855</v>
      </c>
      <c r="AH149" s="45" t="n">
        <v>2558</v>
      </c>
      <c r="AI149" s="45" t="n">
        <v>2558</v>
      </c>
      <c r="AJ149" s="78">
        <f>TABL123[[#This Row],[(A/B) AJD]]-TABL123[[#This Row],[BER_IN]]</f>
        <v/>
      </c>
      <c r="AK149" s="68" t="n">
        <v>22</v>
      </c>
      <c r="AL149" s="87" t="n">
        <v>41.5731</v>
      </c>
      <c r="AM149" s="87" t="n">
        <v>2343900</v>
      </c>
      <c r="AN149" s="87">
        <f>TABL123[[#This Row],[ (RESV. STORGE) SER]]/10</f>
        <v/>
      </c>
      <c r="AO149" s="45" t="n">
        <v>1800</v>
      </c>
      <c r="AP149" s="32">
        <f>TABL123[[#This Row],[(A/S) AJD]]-TABL123[[#This Row],[SER_IN]]</f>
        <v/>
      </c>
    </row>
    <row r="150" ht="18.75" customHeight="1">
      <c r="A150" s="2" t="n">
        <v>46171</v>
      </c>
      <c r="B150" s="41" t="n">
        <v>41</v>
      </c>
      <c r="C150" s="41" t="n">
        <v>324</v>
      </c>
      <c r="D150" s="41" t="n">
        <v>41</v>
      </c>
      <c r="E150" s="41" t="n">
        <v>0</v>
      </c>
      <c r="F150" s="41" t="n">
        <v>95</v>
      </c>
      <c r="G150" s="39" t="n">
        <v>590</v>
      </c>
      <c r="H150" s="28">
        <f>103-F150</f>
        <v/>
      </c>
      <c r="I150" s="39" t="n">
        <v>477</v>
      </c>
      <c r="J150" s="39" t="n">
        <v>463</v>
      </c>
      <c r="K150" s="28">
        <f>TABL123[[#This Row],[ (T/B) SAR]]+TABL123[[#This Row],[ (S/S) SAR]]</f>
        <v/>
      </c>
      <c r="L150" s="41" t="n">
        <v>350</v>
      </c>
      <c r="M150" s="42" t="n">
        <v>24.6</v>
      </c>
      <c r="N150" s="42" t="n">
        <v>7.82</v>
      </c>
      <c r="O150" s="39" t="n">
        <v>417</v>
      </c>
      <c r="P150" s="3">
        <f>TABL123[[#This Row],[ (S/S) SAR]]-TABL123[[#This Row],[(S/S) AJD]]</f>
        <v/>
      </c>
      <c r="Q150" s="39" t="n">
        <v>451</v>
      </c>
      <c r="R150" s="3">
        <f>TABL123[[#This Row],[ (T/B) SAR]]-TABL123[[#This Row],[(T/B) AJD]]</f>
        <v/>
      </c>
      <c r="S150" s="3">
        <f>TABL123[[#This Row],[T/B-CON.]]+TABL123[[#This Row],[S/S_CON.]]</f>
        <v/>
      </c>
      <c r="T150" s="3">
        <f>TABL123[[#This Row],[(S/S) AJD]]+TABL123[[#This Row],[(T/B) AJD]]</f>
        <v/>
      </c>
      <c r="U150" s="41" t="n">
        <v>507</v>
      </c>
      <c r="V150" s="41" t="n">
        <v>321</v>
      </c>
      <c r="W150" s="3">
        <f>TABL123[[#This Row],[(A/B) AJD]]+TABL123[[#This Row],[(A/S) AJD]]</f>
        <v/>
      </c>
      <c r="X150" s="3">
        <f>TABL123[[#This Row],[( S/S+T/B) AJD]]-TABL123[[#This Row],[(A/B + A/S) AJD]]</f>
        <v/>
      </c>
      <c r="Y150" s="41" t="n">
        <v>92.55200000000001</v>
      </c>
      <c r="Z150" s="43" t="n">
        <v>527612</v>
      </c>
      <c r="AA150" s="3">
        <f>TABL123[[#This Row],[(RESV. STORGE) AJD]]/10</f>
        <v/>
      </c>
      <c r="AB150" s="45">
        <f>IF(TRIM(Z150)="",,(Z150-Z149)/1000)</f>
        <v/>
      </c>
      <c r="AC150" s="43" t="n">
        <v>1460</v>
      </c>
      <c r="AD150" s="83">
        <f>TABL123[[#This Row],[( S/S+T/B) AJD]]-(TABL123[[#This Row],[(A/B + A/S) AJD]]+TABL123[[#This Row],[(STORGE DIFF.) AJD]]+(TABL123[[#This Row],[AJD_Evaporation]])/1000)</f>
        <v/>
      </c>
      <c r="AE150" s="68" t="n">
        <v>52</v>
      </c>
      <c r="AF150" s="68" t="n">
        <v>58.97</v>
      </c>
      <c r="AG150" s="68" t="n">
        <v>1603847</v>
      </c>
      <c r="AH150" s="43" t="n">
        <v>2502</v>
      </c>
      <c r="AI150" s="43" t="n">
        <v>2502</v>
      </c>
      <c r="AJ150" s="78">
        <f>TABL123[[#This Row],[(A/B) AJD]]-TABL123[[#This Row],[BER_IN]]</f>
        <v/>
      </c>
      <c r="AK150" s="68" t="n">
        <v>21</v>
      </c>
      <c r="AL150" s="87" t="n">
        <v>41.5576</v>
      </c>
      <c r="AM150" s="87" t="n">
        <v>2335950</v>
      </c>
      <c r="AN150" s="87">
        <f>TABL123[[#This Row],[ (RESV. STORGE) SER]]/10</f>
        <v/>
      </c>
      <c r="AO150" s="43" t="n">
        <v>1850</v>
      </c>
      <c r="AP150" s="32">
        <f>TABL123[[#This Row],[(A/S) AJD]]-TABL123[[#This Row],[SER_IN]]</f>
        <v/>
      </c>
    </row>
    <row r="151" ht="18.75" customHeight="1">
      <c r="A151" s="2" t="n">
        <v>46172</v>
      </c>
      <c r="B151" s="44" t="n">
        <v>41</v>
      </c>
      <c r="C151" s="44" t="n">
        <v>302</v>
      </c>
      <c r="D151" s="44" t="n">
        <v>41</v>
      </c>
      <c r="E151" s="44" t="n">
        <v>0</v>
      </c>
      <c r="F151" s="44" t="n">
        <v>95</v>
      </c>
      <c r="G151" s="40" t="n">
        <v>589</v>
      </c>
      <c r="H151" s="28">
        <f>103-F151</f>
        <v/>
      </c>
      <c r="I151" s="40" t="n">
        <v>475</v>
      </c>
      <c r="J151" s="44" t="n">
        <v>462</v>
      </c>
      <c r="K151" s="28">
        <f>TABL123[[#This Row],[ (T/B) SAR]]+TABL123[[#This Row],[ (S/S) SAR]]</f>
        <v/>
      </c>
      <c r="L151" s="45" t="n">
        <v>348</v>
      </c>
      <c r="M151" s="46" t="n">
        <v>24.6</v>
      </c>
      <c r="N151" s="46" t="n">
        <v>7.74</v>
      </c>
      <c r="O151" s="40" t="n">
        <v>417</v>
      </c>
      <c r="P151" s="3">
        <f>TABL123[[#This Row],[ (S/S) SAR]]-TABL123[[#This Row],[(S/S) AJD]]</f>
        <v/>
      </c>
      <c r="Q151" s="40" t="n">
        <v>452</v>
      </c>
      <c r="R151" s="3">
        <f>TABL123[[#This Row],[ (T/B) SAR]]-TABL123[[#This Row],[(T/B) AJD]]</f>
        <v/>
      </c>
      <c r="S151" s="3">
        <f>TABL123[[#This Row],[T/B-CON.]]+TABL123[[#This Row],[S/S_CON.]]</f>
        <v/>
      </c>
      <c r="T151" s="3">
        <f>TABL123[[#This Row],[(S/S) AJD]]+TABL123[[#This Row],[(T/B) AJD]]</f>
        <v/>
      </c>
      <c r="U151" s="44" t="n">
        <v>534</v>
      </c>
      <c r="V151" s="44" t="n">
        <v>318</v>
      </c>
      <c r="W151" s="3">
        <f>TABL123[[#This Row],[(A/B) AJD]]+TABL123[[#This Row],[(A/S) AJD]]</f>
        <v/>
      </c>
      <c r="X151" s="3">
        <f>TABL123[[#This Row],[( S/S+T/B) AJD]]-TABL123[[#This Row],[(A/B + A/S) AJD]]</f>
        <v/>
      </c>
      <c r="Y151" s="44" t="n">
        <v>92.527</v>
      </c>
      <c r="Z151" s="45" t="n">
        <v>513897</v>
      </c>
      <c r="AA151" s="3">
        <f>TABL123[[#This Row],[(RESV. STORGE) AJD]]/10</f>
        <v/>
      </c>
      <c r="AB151" s="45">
        <f>IF(TRIM(Z151)="",,(Z151-Z150)/1000)</f>
        <v/>
      </c>
      <c r="AC151" s="45" t="n">
        <v>1064</v>
      </c>
      <c r="AD151" s="83">
        <f>TABL123[[#This Row],[( S/S+T/B) AJD]]-(TABL123[[#This Row],[(A/B + A/S) AJD]]+TABL123[[#This Row],[(STORGE DIFF.) AJD]]+(TABL123[[#This Row],[AJD_Evaporation]])/1000)</f>
        <v/>
      </c>
      <c r="AE151" s="68" t="n">
        <v>50</v>
      </c>
      <c r="AF151" s="68" t="n">
        <v>58.9</v>
      </c>
      <c r="AG151" s="68" t="n">
        <v>1557672</v>
      </c>
      <c r="AH151" s="45" t="n">
        <v>2502</v>
      </c>
      <c r="AI151" s="45" t="n">
        <v>2502</v>
      </c>
      <c r="AJ151" s="78">
        <f>TABL123[[#This Row],[(A/B) AJD]]-TABL123[[#This Row],[BER_IN]]</f>
        <v/>
      </c>
      <c r="AK151" s="68" t="n">
        <v>22</v>
      </c>
      <c r="AL151" s="87" t="n">
        <v>41.5663</v>
      </c>
      <c r="AM151" s="87" t="n">
        <v>2340190</v>
      </c>
      <c r="AN151" s="87">
        <f>TABL123[[#This Row],[ (RESV. STORGE) SER]]/10</f>
        <v/>
      </c>
      <c r="AO151" s="45" t="n">
        <v>1860</v>
      </c>
      <c r="AP151" s="32">
        <f>TABL123[[#This Row],[(A/S) AJD]]-TABL123[[#This Row],[SER_IN]]</f>
        <v/>
      </c>
    </row>
    <row r="152" ht="18.75" customHeight="1">
      <c r="A152" s="2" t="n">
        <v>46173</v>
      </c>
      <c r="B152" s="41" t="n">
        <v>39</v>
      </c>
      <c r="C152" s="41" t="n">
        <v>201</v>
      </c>
      <c r="D152" s="41" t="n">
        <v>39</v>
      </c>
      <c r="E152" s="28" t="n"/>
      <c r="F152" s="41" t="n">
        <v>94</v>
      </c>
      <c r="G152" s="39" t="n">
        <v>350</v>
      </c>
      <c r="H152" s="28">
        <f>103-F152</f>
        <v/>
      </c>
      <c r="I152" s="39" t="n">
        <v>350</v>
      </c>
      <c r="J152" s="39" t="n">
        <v>340</v>
      </c>
      <c r="K152" s="28">
        <f>TABL123[[#This Row],[ (T/B) SAR]]+TABL123[[#This Row],[ (S/S) SAR]]</f>
        <v/>
      </c>
      <c r="L152" s="41" t="n">
        <v>340</v>
      </c>
      <c r="M152" s="42" t="n">
        <v>24.6</v>
      </c>
      <c r="N152" s="42" t="n">
        <v>7.29</v>
      </c>
      <c r="O152" s="39" t="n">
        <v>391</v>
      </c>
      <c r="P152" s="3">
        <f>TABL123[[#This Row],[ (S/S) SAR]]-TABL123[[#This Row],[(S/S) AJD]]</f>
        <v/>
      </c>
      <c r="Q152" s="39" t="n">
        <v>429</v>
      </c>
      <c r="R152" s="3">
        <f>TABL123[[#This Row],[ (T/B) SAR]]-TABL123[[#This Row],[(T/B) AJD]]</f>
        <v/>
      </c>
      <c r="S152" s="3">
        <f>TABL123[[#This Row],[T/B-CON.]]+TABL123[[#This Row],[S/S_CON.]]</f>
        <v/>
      </c>
      <c r="T152" s="3">
        <f>TABL123[[#This Row],[(S/S) AJD]]+TABL123[[#This Row],[(T/B) AJD]]</f>
        <v/>
      </c>
      <c r="U152" s="41" t="n">
        <v>503</v>
      </c>
      <c r="V152" s="41" t="n">
        <v>269</v>
      </c>
      <c r="W152" s="3">
        <f>TABL123[[#This Row],[(A/B) AJD]]+TABL123[[#This Row],[(A/S) AJD]]</f>
        <v/>
      </c>
      <c r="X152" s="3">
        <f>TABL123[[#This Row],[( S/S+T/B) AJD]]-TABL123[[#This Row],[(A/B + A/S) AJD]]</f>
        <v/>
      </c>
      <c r="Y152" s="41" t="n">
        <v>92.55</v>
      </c>
      <c r="Z152" s="43" t="n">
        <v>524629</v>
      </c>
      <c r="AA152" s="3">
        <f>TABL123[[#This Row],[(RESV. STORGE) AJD]]/10</f>
        <v/>
      </c>
      <c r="AB152" s="45">
        <f>IF(TRIM(Z152)="",,(Z152-Z151)/1000)</f>
        <v/>
      </c>
      <c r="AC152" s="43" t="n">
        <v>1026</v>
      </c>
      <c r="AD152" s="83">
        <f>TABL123[[#This Row],[( S/S+T/B) AJD]]-(TABL123[[#This Row],[(A/B + A/S) AJD]]+TABL123[[#This Row],[(STORGE DIFF.) AJD]]+(TABL123[[#This Row],[AJD_Evaporation]])/1000)</f>
        <v/>
      </c>
      <c r="AE152" s="68" t="n">
        <v>55</v>
      </c>
      <c r="AF152" s="68" t="n">
        <v>58.85</v>
      </c>
      <c r="AG152" s="68" t="n">
        <v>1524716</v>
      </c>
      <c r="AH152" s="43" t="n">
        <v>2331</v>
      </c>
      <c r="AI152" s="43" t="n">
        <v>2331</v>
      </c>
      <c r="AJ152" s="78">
        <f>TABL123[[#This Row],[(A/B) AJD]]-TABL123[[#This Row],[BER_IN]]</f>
        <v/>
      </c>
      <c r="AK152" s="68" t="n">
        <v>21</v>
      </c>
      <c r="AL152" s="87" t="n">
        <v>41.5505</v>
      </c>
      <c r="AM152" s="87" t="n">
        <v>2331710</v>
      </c>
      <c r="AN152" s="87">
        <f>TABL123[[#This Row],[ (RESV. STORGE) SER]]/10</f>
        <v/>
      </c>
      <c r="AO152" s="43" t="n">
        <v>1880</v>
      </c>
      <c r="AP152" s="32">
        <f>TABL123[[#This Row],[(A/S) AJD]]-TABL123[[#This Row],[SER_IN]]</f>
        <v/>
      </c>
    </row>
    <row r="153" ht="18.75" customHeight="1">
      <c r="A153" s="2" t="n">
        <v>46174</v>
      </c>
      <c r="B153" s="41" t="n">
        <v>39</v>
      </c>
      <c r="C153" s="41" t="n">
        <v>301</v>
      </c>
      <c r="D153" s="41">
        <f>B153</f>
        <v/>
      </c>
      <c r="E153" s="28" t="n"/>
      <c r="F153" s="41" t="n">
        <v>95</v>
      </c>
      <c r="G153" s="39" t="n">
        <v>597</v>
      </c>
      <c r="H153" s="28">
        <f>103-F153</f>
        <v/>
      </c>
      <c r="I153" s="39" t="n">
        <v>475</v>
      </c>
      <c r="J153" s="39" t="n">
        <v>462</v>
      </c>
      <c r="K153" s="28">
        <f>TABL123[[#This Row],[ (T/B) SAR]]+TABL123[[#This Row],[ (S/S) SAR]]</f>
        <v/>
      </c>
      <c r="L153" s="41" t="n">
        <v>340</v>
      </c>
      <c r="M153" s="42" t="n">
        <v>24.6</v>
      </c>
      <c r="N153" s="42" t="n">
        <v>7.2</v>
      </c>
      <c r="O153" s="39" t="n">
        <v>335</v>
      </c>
      <c r="P153" s="10">
        <f>TABL123[[#This Row],[ (S/S) SAR]]-TABL123[[#This Row],[(S/S) AJD]]</f>
        <v/>
      </c>
      <c r="Q153" s="39" t="n">
        <v>366</v>
      </c>
      <c r="R153" s="10">
        <f>TABL123[[#This Row],[ (T/B) SAR]]-TABL123[[#This Row],[(T/B) AJD]]</f>
        <v/>
      </c>
      <c r="S153" s="10">
        <f>TABL123[[#This Row],[T/B-CON.]]+TABL123[[#This Row],[S/S_CON.]]</f>
        <v/>
      </c>
      <c r="T153" s="10">
        <f>TABL123[[#This Row],[(S/S) AJD]]+TABL123[[#This Row],[(T/B) AJD]]</f>
        <v/>
      </c>
      <c r="U153" s="41" t="n">
        <v>570</v>
      </c>
      <c r="V153" s="41" t="n">
        <v>226</v>
      </c>
      <c r="W153" s="10">
        <f>TABL123[[#This Row],[(A/B) AJD]]+TABL123[[#This Row],[(A/S) AJD]]</f>
        <v/>
      </c>
      <c r="X153" s="10">
        <f>TABL123[[#This Row],[( S/S+T/B) AJD]]-TABL123[[#This Row],[(A/B + A/S) AJD]]</f>
        <v/>
      </c>
      <c r="Y153" s="41" t="n">
        <v>92.325</v>
      </c>
      <c r="Z153" s="43" t="n">
        <v>392505</v>
      </c>
      <c r="AA153" s="3">
        <f>TABL123[[#This Row],[(RESV. STORGE) AJD]]/10</f>
        <v/>
      </c>
      <c r="AB153" s="45">
        <f>IF(TRIM(Z153)="",,(Z153-Z152)/1000)</f>
        <v/>
      </c>
      <c r="AC153" s="43" t="n">
        <v>1244</v>
      </c>
      <c r="AD153" s="83">
        <f>TABL123[[#This Row],[( S/S+T/B) AJD]]-(TABL123[[#This Row],[(A/B + A/S) AJD]]+TABL123[[#This Row],[(STORGE DIFF.) AJD]]+(TABL123[[#This Row],[AJD_Evaporation]])/1000)</f>
        <v/>
      </c>
      <c r="AE153" s="68" t="n">
        <v>55</v>
      </c>
      <c r="AF153" s="68" t="n">
        <v>58.78</v>
      </c>
      <c r="AG153" s="68" t="n">
        <v>1478614</v>
      </c>
      <c r="AH153" s="43" t="n">
        <v>2282</v>
      </c>
      <c r="AI153" s="43" t="n">
        <v>2282</v>
      </c>
      <c r="AJ153" s="78">
        <f>TABL123[[#This Row],[(A/B) AJD]]-TABL123[[#This Row],[BER_IN]]</f>
        <v/>
      </c>
      <c r="AK153" s="68" t="n">
        <v>22</v>
      </c>
      <c r="AL153" s="87" t="n">
        <v>41.5362</v>
      </c>
      <c r="AM153" s="87" t="n">
        <v>2324390</v>
      </c>
      <c r="AN153" s="87">
        <f>TABL123[[#This Row],[ (RESV. STORGE) SER]]/10</f>
        <v/>
      </c>
      <c r="AO153" s="43" t="n">
        <v>1920</v>
      </c>
      <c r="AP153" s="32">
        <f>TABL123[[#This Row],[(A/S) AJD]]-TABL123[[#This Row],[SER_IN]]</f>
        <v/>
      </c>
    </row>
    <row r="154" ht="18.75" customHeight="1">
      <c r="A154" s="2" t="n">
        <v>46175</v>
      </c>
      <c r="B154" s="44" t="n">
        <v>39</v>
      </c>
      <c r="C154" s="44" t="n">
        <v>316</v>
      </c>
      <c r="D154" s="44">
        <f>B154</f>
        <v/>
      </c>
      <c r="E154" s="28" t="n"/>
      <c r="F154" s="44" t="n">
        <v>95</v>
      </c>
      <c r="G154" s="40" t="n">
        <v>597</v>
      </c>
      <c r="H154" s="28">
        <f>103-F154</f>
        <v/>
      </c>
      <c r="I154" s="40" t="n">
        <v>475</v>
      </c>
      <c r="J154" s="44" t="n">
        <v>462</v>
      </c>
      <c r="K154" s="28">
        <f>TABL123[[#This Row],[ (T/B) SAR]]+TABL123[[#This Row],[ (S/S) SAR]]</f>
        <v/>
      </c>
      <c r="L154" s="45" t="n">
        <v>340</v>
      </c>
      <c r="M154" s="46" t="n">
        <v>24.6</v>
      </c>
      <c r="N154" s="46" t="n">
        <v>7.18</v>
      </c>
      <c r="O154" s="40" t="n">
        <v>387</v>
      </c>
      <c r="P154" s="10">
        <f>TABL123[[#This Row],[ (S/S) SAR]]-TABL123[[#This Row],[(S/S) AJD]]</f>
        <v/>
      </c>
      <c r="Q154" s="40" t="n">
        <v>418</v>
      </c>
      <c r="R154" s="10">
        <f>TABL123[[#This Row],[ (T/B) SAR]]-TABL123[[#This Row],[(T/B) AJD]]</f>
        <v/>
      </c>
      <c r="S154" s="10">
        <f>TABL123[[#This Row],[T/B-CON.]]+TABL123[[#This Row],[S/S_CON.]]</f>
        <v/>
      </c>
      <c r="T154" s="10">
        <f>TABL123[[#This Row],[(S/S) AJD]]+TABL123[[#This Row],[(T/B) AJD]]</f>
        <v/>
      </c>
      <c r="U154" s="44" t="n">
        <v>571</v>
      </c>
      <c r="V154" s="44" t="n">
        <v>227</v>
      </c>
      <c r="W154" s="10">
        <f>TABL123[[#This Row],[(A/B) AJD]]+TABL123[[#This Row],[(A/S) AJD]]</f>
        <v/>
      </c>
      <c r="X154" s="10">
        <f>TABL123[[#This Row],[( S/S+T/B) AJD]]-TABL123[[#This Row],[(A/B + A/S) AJD]]</f>
        <v/>
      </c>
      <c r="Y154" s="44" t="n">
        <v>92.29300000000001</v>
      </c>
      <c r="Z154" s="45" t="n">
        <v>371714</v>
      </c>
      <c r="AA154" s="3">
        <f>TABL123[[#This Row],[(RESV. STORGE) AJD]]/10</f>
        <v/>
      </c>
      <c r="AB154" s="45">
        <f>IF(TRIM(Z154)="",,(Z154-Z153)/1000)</f>
        <v/>
      </c>
      <c r="AC154" s="45" t="n">
        <v>0</v>
      </c>
      <c r="AD154" s="83">
        <f>TABL123[[#This Row],[( S/S+T/B) AJD]]-(TABL123[[#This Row],[(A/B + A/S) AJD]]+TABL123[[#This Row],[(STORGE DIFF.) AJD]]+(TABL123[[#This Row],[AJD_Evaporation]])/1000)</f>
        <v/>
      </c>
      <c r="AE154" s="68" t="n">
        <v>57</v>
      </c>
      <c r="AF154" s="68" t="n">
        <v>58.75</v>
      </c>
      <c r="AG154" s="68" t="n">
        <v>1458868</v>
      </c>
      <c r="AH154" s="45" t="n">
        <v>2015</v>
      </c>
      <c r="AI154" s="45" t="n">
        <v>2015</v>
      </c>
      <c r="AJ154" s="78">
        <f>TABL123[[#This Row],[(A/B) AJD]]-TABL123[[#This Row],[BER_IN]]</f>
        <v/>
      </c>
      <c r="AK154" s="68" t="n">
        <v>21</v>
      </c>
      <c r="AL154" s="87" t="n">
        <v>41.5198</v>
      </c>
      <c r="AM154" s="87" t="n">
        <v>2315820</v>
      </c>
      <c r="AN154" s="87">
        <f>TABL123[[#This Row],[ (RESV. STORGE) SER]]/10</f>
        <v/>
      </c>
      <c r="AO154" s="45" t="n">
        <v>1935</v>
      </c>
      <c r="AP154" s="32">
        <f>TABL123[[#This Row],[(A/S) AJD]]-TABL123[[#This Row],[SER_IN]]</f>
        <v/>
      </c>
    </row>
    <row r="155" ht="18.75" customHeight="1">
      <c r="A155" s="2" t="n">
        <v>46176</v>
      </c>
      <c r="B155" s="41" t="n">
        <v>38</v>
      </c>
      <c r="C155" s="41" t="n">
        <v>312</v>
      </c>
      <c r="D155" s="41">
        <f>B155</f>
        <v/>
      </c>
      <c r="E155" s="28" t="n"/>
      <c r="F155" s="41" t="n">
        <v>95</v>
      </c>
      <c r="G155" s="39" t="n">
        <v>599</v>
      </c>
      <c r="H155" s="28">
        <f>103-F155</f>
        <v/>
      </c>
      <c r="I155" s="39" t="n">
        <v>475</v>
      </c>
      <c r="J155" s="39" t="n">
        <v>462</v>
      </c>
      <c r="K155" s="28">
        <f>TABL123[[#This Row],[ (T/B) SAR]]+TABL123[[#This Row],[ (S/S) SAR]]</f>
        <v/>
      </c>
      <c r="L155" s="41" t="n">
        <v>340</v>
      </c>
      <c r="M155" s="42" t="n">
        <v>24.6</v>
      </c>
      <c r="N155" s="42" t="n">
        <v>7.21</v>
      </c>
      <c r="O155" s="39" t="n">
        <v>389</v>
      </c>
      <c r="P155" s="10">
        <f>TABL123[[#This Row],[ (S/S) SAR]]-TABL123[[#This Row],[(S/S) AJD]]</f>
        <v/>
      </c>
      <c r="Q155" s="39" t="n">
        <v>422</v>
      </c>
      <c r="R155" s="10">
        <f>TABL123[[#This Row],[ (T/B) SAR]]-TABL123[[#This Row],[(T/B) AJD]]</f>
        <v/>
      </c>
      <c r="S155" s="10">
        <f>TABL123[[#This Row],[T/B-CON.]]+TABL123[[#This Row],[S/S_CON.]]</f>
        <v/>
      </c>
      <c r="T155" s="10">
        <f>TABL123[[#This Row],[(S/S) AJD]]+TABL123[[#This Row],[(T/B) AJD]]</f>
        <v/>
      </c>
      <c r="U155" s="41" t="n">
        <v>550</v>
      </c>
      <c r="V155" s="41" t="n">
        <v>238</v>
      </c>
      <c r="W155" s="10">
        <f>TABL123[[#This Row],[(A/B) AJD]]+TABL123[[#This Row],[(A/S) AJD]]</f>
        <v/>
      </c>
      <c r="X155" s="10">
        <f>TABL123[[#This Row],[( S/S+T/B) AJD]]-TABL123[[#This Row],[(A/B + A/S) AJD]]</f>
        <v/>
      </c>
      <c r="Y155" s="41" t="n">
        <v>92.28</v>
      </c>
      <c r="Z155" s="43" t="n">
        <v>365774</v>
      </c>
      <c r="AA155" s="3">
        <f>TABL123[[#This Row],[(RESV. STORGE) AJD]]/10</f>
        <v/>
      </c>
      <c r="AB155" s="45">
        <f>IF(TRIM(Z155)="",,(Z155-Z154)/1000)</f>
        <v/>
      </c>
      <c r="AC155" s="43" t="n">
        <v>1221</v>
      </c>
      <c r="AD155" s="83">
        <f>TABL123[[#This Row],[( S/S+T/B) AJD]]-(TABL123[[#This Row],[(A/B + A/S) AJD]]+TABL123[[#This Row],[(STORGE DIFF.) AJD]]+(TABL123[[#This Row],[AJD_Evaporation]])/1000)</f>
        <v/>
      </c>
      <c r="AE155" s="68" t="n">
        <v>65</v>
      </c>
      <c r="AF155" s="68" t="n">
        <v>59.59</v>
      </c>
      <c r="AG155" s="68" t="n">
        <v>2014674</v>
      </c>
      <c r="AH155" s="43" t="n">
        <v>2490</v>
      </c>
      <c r="AI155" s="43" t="n">
        <v>2490</v>
      </c>
      <c r="AJ155" s="78">
        <f>TABL123[[#This Row],[(A/B) AJD]]-TABL123[[#This Row],[BER_IN]]</f>
        <v/>
      </c>
      <c r="AK155" s="68" t="n">
        <v>22</v>
      </c>
      <c r="AL155" s="87" t="n">
        <v>41.4965</v>
      </c>
      <c r="AM155" s="87" t="n">
        <v>2303630</v>
      </c>
      <c r="AN155" s="87">
        <f>TABL123[[#This Row],[ (RESV. STORGE) SER]]/10</f>
        <v/>
      </c>
      <c r="AO155" s="43" t="n">
        <v>1940</v>
      </c>
      <c r="AP155" s="32">
        <f>TABL123[[#This Row],[(A/S) AJD]]-TABL123[[#This Row],[SER_IN]]</f>
        <v/>
      </c>
    </row>
    <row r="156" ht="18.75" customHeight="1">
      <c r="A156" s="2" t="n">
        <v>46177</v>
      </c>
      <c r="B156" s="44" t="n">
        <v>37</v>
      </c>
      <c r="C156" s="44" t="n">
        <v>298</v>
      </c>
      <c r="D156" s="44">
        <f>B156</f>
        <v/>
      </c>
      <c r="E156" s="28" t="n"/>
      <c r="F156" s="44" t="n">
        <v>95</v>
      </c>
      <c r="G156" s="40" t="n">
        <v>599</v>
      </c>
      <c r="H156" s="28">
        <f>103-F156</f>
        <v/>
      </c>
      <c r="I156" s="40" t="n">
        <v>476</v>
      </c>
      <c r="J156" s="44" t="n">
        <v>463</v>
      </c>
      <c r="K156" s="28">
        <f>TABL123[[#This Row],[ (T/B) SAR]]+TABL123[[#This Row],[ (S/S) SAR]]</f>
        <v/>
      </c>
      <c r="L156" s="45" t="n">
        <v>340</v>
      </c>
      <c r="M156" s="46" t="n">
        <v>24.6</v>
      </c>
      <c r="N156" s="46" t="n">
        <v>7.18</v>
      </c>
      <c r="O156" s="40" t="n">
        <v>390</v>
      </c>
      <c r="P156" s="10">
        <f>TABL123[[#This Row],[ (S/S) SAR]]-TABL123[[#This Row],[(S/S) AJD]]</f>
        <v/>
      </c>
      <c r="Q156" s="40" t="n">
        <v>422</v>
      </c>
      <c r="R156" s="10">
        <f>TABL123[[#This Row],[ (T/B) SAR]]-TABL123[[#This Row],[(T/B) AJD]]</f>
        <v/>
      </c>
      <c r="S156" s="10">
        <f>TABL123[[#This Row],[T/B-CON.]]+TABL123[[#This Row],[S/S_CON.]]</f>
        <v/>
      </c>
      <c r="T156" s="10">
        <f>TABL123[[#This Row],[(S/S) AJD]]+TABL123[[#This Row],[(T/B) AJD]]</f>
        <v/>
      </c>
      <c r="U156" s="44" t="n">
        <v>543</v>
      </c>
      <c r="V156" s="44" t="n">
        <v>259</v>
      </c>
      <c r="W156" s="10">
        <f>TABL123[[#This Row],[(A/B) AJD]]+TABL123[[#This Row],[(A/S) AJD]]</f>
        <v/>
      </c>
      <c r="X156" s="10">
        <f>TABL123[[#This Row],[( S/S+T/B) AJD]]-TABL123[[#This Row],[(A/B + A/S) AJD]]</f>
        <v/>
      </c>
      <c r="Y156" s="44" t="n">
        <v>92.245</v>
      </c>
      <c r="Z156" s="45" t="n">
        <v>344996</v>
      </c>
      <c r="AA156" s="3">
        <f>TABL123[[#This Row],[(RESV. STORGE) AJD]]/10</f>
        <v/>
      </c>
      <c r="AB156" s="45">
        <f>IF(TRIM(Z156)="",,(Z156-Z155)/1000)</f>
        <v/>
      </c>
      <c r="AC156" s="45" t="n">
        <v>1620</v>
      </c>
      <c r="AD156" s="83">
        <f>TABL123[[#This Row],[( S/S+T/B) AJD]]-(TABL123[[#This Row],[(A/B + A/S) AJD]]+TABL123[[#This Row],[(STORGE DIFF.) AJD]]+(TABL123[[#This Row],[AJD_Evaporation]])/1000)</f>
        <v/>
      </c>
      <c r="AE156" s="68" t="n">
        <v>55</v>
      </c>
      <c r="AF156" s="68" t="n">
        <v>59.54</v>
      </c>
      <c r="AG156" s="68" t="n">
        <v>1981420</v>
      </c>
      <c r="AH156" s="45" t="n">
        <v>2490</v>
      </c>
      <c r="AI156" s="45" t="n">
        <v>2490</v>
      </c>
      <c r="AJ156" s="78">
        <f>TABL123[[#This Row],[(A/B) AJD]]-TABL123[[#This Row],[BER_IN]]</f>
        <v/>
      </c>
      <c r="AK156" s="68" t="n">
        <v>21</v>
      </c>
      <c r="AL156" s="87" t="n">
        <v>41.472</v>
      </c>
      <c r="AM156" s="87" t="n">
        <v>2290380</v>
      </c>
      <c r="AN156" s="87">
        <f>TABL123[[#This Row],[ (RESV. STORGE) SER]]/10</f>
        <v/>
      </c>
      <c r="AO156" s="45" t="n">
        <v>1980</v>
      </c>
      <c r="AP156" s="32">
        <f>TABL123[[#This Row],[(A/S) AJD]]-TABL123[[#This Row],[SER_IN]]</f>
        <v/>
      </c>
    </row>
    <row r="157" ht="18.75" customHeight="1">
      <c r="A157" s="2" t="n">
        <v>46178</v>
      </c>
      <c r="B157" s="41" t="n">
        <v>37</v>
      </c>
      <c r="C157" s="41" t="n">
        <v>288</v>
      </c>
      <c r="D157" s="41">
        <f>B157</f>
        <v/>
      </c>
      <c r="E157" s="28" t="n"/>
      <c r="F157" s="41" t="n">
        <v>95</v>
      </c>
      <c r="G157" s="39" t="n">
        <v>602</v>
      </c>
      <c r="H157" s="28">
        <f>103-F157</f>
        <v/>
      </c>
      <c r="I157" s="39" t="n">
        <v>473</v>
      </c>
      <c r="J157" s="39" t="n">
        <v>462</v>
      </c>
      <c r="K157" s="28">
        <f>TABL123[[#This Row],[ (T/B) SAR]]+TABL123[[#This Row],[ (S/S) SAR]]</f>
        <v/>
      </c>
      <c r="L157" s="41" t="n">
        <v>335</v>
      </c>
      <c r="M157" s="42" t="n">
        <v>24.6</v>
      </c>
      <c r="N157" s="42" t="n">
        <v>7.05</v>
      </c>
      <c r="O157" s="39" t="n">
        <v>388</v>
      </c>
      <c r="P157" s="10">
        <f>TABL123[[#This Row],[ (S/S) SAR]]-TABL123[[#This Row],[(S/S) AJD]]</f>
        <v/>
      </c>
      <c r="Q157" s="39" t="n">
        <v>420</v>
      </c>
      <c r="R157" s="10">
        <f>TABL123[[#This Row],[ (T/B) SAR]]-TABL123[[#This Row],[(T/B) AJD]]</f>
        <v/>
      </c>
      <c r="S157" s="10">
        <f>TABL123[[#This Row],[T/B-CON.]]+TABL123[[#This Row],[S/S_CON.]]</f>
        <v/>
      </c>
      <c r="T157" s="10">
        <f>TABL123[[#This Row],[(S/S) AJD]]+TABL123[[#This Row],[(T/B) AJD]]</f>
        <v/>
      </c>
      <c r="U157" s="41" t="n">
        <v>531</v>
      </c>
      <c r="V157" s="41" t="n">
        <v>270</v>
      </c>
      <c r="W157" s="10">
        <f>TABL123[[#This Row],[(A/B) AJD]]+TABL123[[#This Row],[(A/S) AJD]]</f>
        <v/>
      </c>
      <c r="X157" s="10">
        <f>TABL123[[#This Row],[( S/S+T/B) AJD]]-TABL123[[#This Row],[(A/B + A/S) AJD]]</f>
        <v/>
      </c>
      <c r="Y157" s="41" t="n">
        <v>92.203</v>
      </c>
      <c r="Z157" s="43" t="n">
        <v>320073</v>
      </c>
      <c r="AA157" s="3">
        <f>TABL123[[#This Row],[(RESV. STORGE) AJD]]/10</f>
        <v/>
      </c>
      <c r="AB157" s="45">
        <f>IF(TRIM(Z157)="",,(Z157-Z156)/1000)</f>
        <v/>
      </c>
      <c r="AC157" s="43" t="n">
        <v>0</v>
      </c>
      <c r="AD157" s="83">
        <f>TABL123[[#This Row],[( S/S+T/B) AJD]]-(TABL123[[#This Row],[(A/B + A/S) AJD]]+TABL123[[#This Row],[(STORGE DIFF.) AJD]]+(TABL123[[#This Row],[AJD_Evaporation]])/1000)</f>
        <v/>
      </c>
      <c r="AE157" s="68" t="n">
        <v>53</v>
      </c>
      <c r="AF157" s="68" t="n">
        <v>59.5</v>
      </c>
      <c r="AG157" s="68" t="n">
        <v>1954832</v>
      </c>
      <c r="AH157" s="43" t="n">
        <v>2005</v>
      </c>
      <c r="AI157" s="43" t="n">
        <v>2005</v>
      </c>
      <c r="AJ157" s="78">
        <f>TABL123[[#This Row],[(A/B) AJD]]-TABL123[[#This Row],[BER_IN]]</f>
        <v/>
      </c>
      <c r="AK157" s="68" t="n">
        <v>20</v>
      </c>
      <c r="AL157" s="87" t="n">
        <v>41.4357</v>
      </c>
      <c r="AM157" s="87" t="n">
        <v>2271293</v>
      </c>
      <c r="AN157" s="87">
        <f>TABL123[[#This Row],[ (RESV. STORGE) SER]]/10</f>
        <v/>
      </c>
      <c r="AO157" s="43" t="n">
        <v>1965</v>
      </c>
      <c r="AP157" s="32">
        <f>TABL123[[#This Row],[(A/S) AJD]]-TABL123[[#This Row],[SER_IN]]</f>
        <v/>
      </c>
    </row>
    <row r="158" ht="18.75" customHeight="1">
      <c r="A158" s="2" t="n">
        <v>46179</v>
      </c>
      <c r="B158" s="44" t="n">
        <v>38</v>
      </c>
      <c r="C158" s="44" t="n">
        <v>307</v>
      </c>
      <c r="D158" s="44">
        <f>B158</f>
        <v/>
      </c>
      <c r="E158" s="28" t="n"/>
      <c r="F158" s="44" t="n">
        <v>95</v>
      </c>
      <c r="G158" s="40" t="n">
        <v>603</v>
      </c>
      <c r="H158" s="28">
        <f>103-F158</f>
        <v/>
      </c>
      <c r="I158" s="40" t="n">
        <v>474</v>
      </c>
      <c r="J158" s="44" t="n">
        <v>461</v>
      </c>
      <c r="K158" s="28">
        <f>TABL123[[#This Row],[ (T/B) SAR]]+TABL123[[#This Row],[ (S/S) SAR]]</f>
        <v/>
      </c>
      <c r="L158" s="45" t="n">
        <v>332</v>
      </c>
      <c r="M158" s="46" t="n">
        <v>24.6</v>
      </c>
      <c r="N158" s="46" t="n">
        <v>7.03</v>
      </c>
      <c r="O158" s="40" t="n">
        <v>392</v>
      </c>
      <c r="P158" s="10">
        <f>TABL123[[#This Row],[ (S/S) SAR]]-TABL123[[#This Row],[(S/S) AJD]]</f>
        <v/>
      </c>
      <c r="Q158" s="40" t="n">
        <v>423</v>
      </c>
      <c r="R158" s="10">
        <f>TABL123[[#This Row],[ (T/B) SAR]]-TABL123[[#This Row],[(T/B) AJD]]</f>
        <v/>
      </c>
      <c r="S158" s="10">
        <f>TABL123[[#This Row],[T/B-CON.]]+TABL123[[#This Row],[S/S_CON.]]</f>
        <v/>
      </c>
      <c r="T158" s="10">
        <f>TABL123[[#This Row],[(S/S) AJD]]+TABL123[[#This Row],[(T/B) AJD]]</f>
        <v/>
      </c>
      <c r="U158" s="44" t="n">
        <v>547</v>
      </c>
      <c r="V158" s="44" t="n">
        <v>291</v>
      </c>
      <c r="W158" s="10">
        <f>TABL123[[#This Row],[(A/B) AJD]]+TABL123[[#This Row],[(A/S) AJD]]</f>
        <v/>
      </c>
      <c r="X158" s="10">
        <f>TABL123[[#This Row],[( S/S+T/B) AJD]]-TABL123[[#This Row],[(A/B + A/S) AJD]]</f>
        <v/>
      </c>
      <c r="Y158" s="44" t="n">
        <v>92.11799999999999</v>
      </c>
      <c r="Z158" s="45" t="n">
        <v>269673</v>
      </c>
      <c r="AA158" s="3">
        <f>TABL123[[#This Row],[(RESV. STORGE) AJD]]/10</f>
        <v/>
      </c>
      <c r="AB158" s="45">
        <f>IF(TRIM(Z158)="",,(Z158-Z157)/1000)</f>
        <v/>
      </c>
      <c r="AC158" s="45" t="n">
        <v>4251</v>
      </c>
      <c r="AD158" s="83">
        <f>TABL123[[#This Row],[( S/S+T/B) AJD]]-(TABL123[[#This Row],[(A/B + A/S) AJD]]+TABL123[[#This Row],[(STORGE DIFF.) AJD]]+(TABL123[[#This Row],[AJD_Evaporation]])/1000)</f>
        <v/>
      </c>
      <c r="AE158" s="68" t="n">
        <v>75</v>
      </c>
      <c r="AF158" s="68" t="n">
        <v>59.589</v>
      </c>
      <c r="AG158" s="68" t="n">
        <v>2014009</v>
      </c>
      <c r="AH158" s="45" t="n">
        <v>2587</v>
      </c>
      <c r="AI158" s="45" t="n">
        <v>2587</v>
      </c>
      <c r="AJ158" s="78">
        <f>TABL123[[#This Row],[(A/B) AJD]]-TABL123[[#This Row],[BER_IN]]</f>
        <v/>
      </c>
      <c r="AK158" s="68" t="n">
        <v>21</v>
      </c>
      <c r="AL158" s="87" t="n">
        <v>41.4112</v>
      </c>
      <c r="AM158" s="87" t="n">
        <v>2258290</v>
      </c>
      <c r="AN158" s="87">
        <f>TABL123[[#This Row],[ (RESV. STORGE) SER]]/10</f>
        <v/>
      </c>
      <c r="AO158" s="45" t="n">
        <v>2200</v>
      </c>
      <c r="AP158" s="32">
        <f>TABL123[[#This Row],[(A/S) AJD]]-TABL123[[#This Row],[SER_IN]]</f>
        <v/>
      </c>
    </row>
    <row r="159" ht="18.75" customHeight="1">
      <c r="A159" s="2" t="n">
        <v>46180</v>
      </c>
      <c r="B159" s="41" t="n">
        <v>39</v>
      </c>
      <c r="C159" s="41" t="n">
        <v>310</v>
      </c>
      <c r="D159" s="41">
        <f>B159</f>
        <v/>
      </c>
      <c r="E159" s="28" t="n"/>
      <c r="F159" s="41" t="n">
        <v>95</v>
      </c>
      <c r="G159" s="39" t="n">
        <v>603</v>
      </c>
      <c r="H159" s="28">
        <f>103-F159</f>
        <v/>
      </c>
      <c r="I159" s="39" t="n">
        <v>475</v>
      </c>
      <c r="J159" s="39" t="n">
        <v>460</v>
      </c>
      <c r="K159" s="28">
        <f>TABL123[[#This Row],[ (T/B) SAR]]+TABL123[[#This Row],[ (S/S) SAR]]</f>
        <v/>
      </c>
      <c r="L159" s="41" t="n">
        <v>330</v>
      </c>
      <c r="M159" s="42" t="n">
        <v>24.6</v>
      </c>
      <c r="N159" s="42" t="n">
        <v>6.98</v>
      </c>
      <c r="O159" s="39" t="n">
        <v>382</v>
      </c>
      <c r="P159" s="10">
        <f>TABL123[[#This Row],[ (S/S) SAR]]-TABL123[[#This Row],[(S/S) AJD]]</f>
        <v/>
      </c>
      <c r="Q159" s="39" t="n">
        <v>414</v>
      </c>
      <c r="R159" s="10">
        <f>TABL123[[#This Row],[ (T/B) SAR]]-TABL123[[#This Row],[(T/B) AJD]]</f>
        <v/>
      </c>
      <c r="S159" s="10">
        <f>TABL123[[#This Row],[T/B-CON.]]+TABL123[[#This Row],[S/S_CON.]]</f>
        <v/>
      </c>
      <c r="T159" s="10">
        <f>TABL123[[#This Row],[(S/S) AJD]]+TABL123[[#This Row],[(T/B) AJD]]</f>
        <v/>
      </c>
      <c r="U159" s="41" t="n">
        <v>533</v>
      </c>
      <c r="V159" s="41" t="n">
        <v>290</v>
      </c>
      <c r="W159" s="10">
        <f>TABL123[[#This Row],[(A/B) AJD]]+TABL123[[#This Row],[(A/S) AJD]]</f>
        <v/>
      </c>
      <c r="X159" s="10">
        <f>TABL123[[#This Row],[( S/S+T/B) AJD]]-TABL123[[#This Row],[(A/B + A/S) AJD]]</f>
        <v/>
      </c>
      <c r="Y159" s="41" t="n">
        <v>92.04600000000001</v>
      </c>
      <c r="Z159" s="43" t="n">
        <v>227032</v>
      </c>
      <c r="AA159" s="3">
        <f>TABL123[[#This Row],[(RESV. STORGE) AJD]]/10</f>
        <v/>
      </c>
      <c r="AB159" s="45">
        <f>IF(TRIM(Z159)="",,(Z159-Z158)/1000)</f>
        <v/>
      </c>
      <c r="AC159" s="43" t="n">
        <v>2569</v>
      </c>
      <c r="AD159" s="83">
        <f>TABL123[[#This Row],[( S/S+T/B) AJD]]-(TABL123[[#This Row],[(A/B + A/S) AJD]]+TABL123[[#This Row],[(STORGE DIFF.) AJD]]+(TABL123[[#This Row],[AJD_Evaporation]])/1000)</f>
        <v/>
      </c>
      <c r="AE159" s="68" t="n">
        <v>50</v>
      </c>
      <c r="AF159" s="68" t="n">
        <v>59.47</v>
      </c>
      <c r="AG159" s="68" t="n">
        <v>1934900</v>
      </c>
      <c r="AH159" s="43" t="n">
        <v>2325</v>
      </c>
      <c r="AI159" s="43" t="n">
        <v>2325</v>
      </c>
      <c r="AJ159" s="78">
        <f>TABL123[[#This Row],[(A/B) AJD]]-TABL123[[#This Row],[BER_IN]]</f>
        <v/>
      </c>
      <c r="AK159" s="68" t="n">
        <v>21</v>
      </c>
      <c r="AL159" s="87" t="n">
        <v>41.3732</v>
      </c>
      <c r="AM159" s="87" t="n">
        <v>2238560</v>
      </c>
      <c r="AN159" s="87">
        <f>TABL123[[#This Row],[ (RESV. STORGE) SER]]/10</f>
        <v/>
      </c>
      <c r="AO159" s="43" t="n">
        <v>2150</v>
      </c>
      <c r="AP159" s="32">
        <f>TABL123[[#This Row],[(A/S) AJD]]-TABL123[[#This Row],[SER_IN]]</f>
        <v/>
      </c>
    </row>
    <row r="160" ht="18.75" customHeight="1">
      <c r="A160" s="2" t="n">
        <v>46181</v>
      </c>
      <c r="B160" s="44" t="n">
        <v>39</v>
      </c>
      <c r="C160" s="44" t="n">
        <v>314</v>
      </c>
      <c r="D160" s="44">
        <f>B160</f>
        <v/>
      </c>
      <c r="E160" s="28" t="n"/>
      <c r="F160" s="44" t="n">
        <v>95</v>
      </c>
      <c r="G160" s="40" t="n">
        <v>615</v>
      </c>
      <c r="H160" s="28">
        <f>103-F160</f>
        <v/>
      </c>
      <c r="I160" s="40" t="n">
        <v>475</v>
      </c>
      <c r="J160" s="44" t="n">
        <v>465</v>
      </c>
      <c r="K160" s="28">
        <f>TABL123[[#This Row],[ (T/B) SAR]]+TABL123[[#This Row],[ (S/S) SAR]]</f>
        <v/>
      </c>
      <c r="L160" s="45" t="n">
        <v>325</v>
      </c>
      <c r="M160" s="46" t="n">
        <v>24.1</v>
      </c>
      <c r="N160" s="46" t="n">
        <v>7.1</v>
      </c>
      <c r="O160" s="40" t="n">
        <v>385</v>
      </c>
      <c r="P160" s="10">
        <f>TABL123[[#This Row],[ (S/S) SAR]]-TABL123[[#This Row],[(S/S) AJD]]</f>
        <v/>
      </c>
      <c r="Q160" s="40" t="n">
        <v>417</v>
      </c>
      <c r="R160" s="10">
        <f>TABL123[[#This Row],[ (T/B) SAR]]-TABL123[[#This Row],[(T/B) AJD]]</f>
        <v/>
      </c>
      <c r="S160" s="10">
        <f>TABL123[[#This Row],[T/B-CON.]]+TABL123[[#This Row],[S/S_CON.]]</f>
        <v/>
      </c>
      <c r="T160" s="10">
        <f>TABL123[[#This Row],[(S/S) AJD]]+TABL123[[#This Row],[(T/B) AJD]]</f>
        <v/>
      </c>
      <c r="U160" s="44" t="n">
        <v>539</v>
      </c>
      <c r="V160" s="44" t="n">
        <v>262</v>
      </c>
      <c r="W160" s="10">
        <f>TABL123[[#This Row],[(A/B) AJD]]+TABL123[[#This Row],[(A/S) AJD]]</f>
        <v/>
      </c>
      <c r="X160" s="10">
        <f>TABL123[[#This Row],[( S/S+T/B) AJD]]-TABL123[[#This Row],[(A/B + A/S) AJD]]</f>
        <v/>
      </c>
      <c r="Y160" s="44" t="n">
        <v>91.991</v>
      </c>
      <c r="Z160" s="45" t="n">
        <v>199487</v>
      </c>
      <c r="AA160" s="3">
        <f>TABL123[[#This Row],[(RESV. STORGE) AJD]]/10</f>
        <v/>
      </c>
      <c r="AB160" s="45">
        <f>IF(TRIM(Z160)="",,(Z160-Z159)/1000)</f>
        <v/>
      </c>
      <c r="AC160" s="45" t="n">
        <v>1793</v>
      </c>
      <c r="AD160" s="83">
        <f>TABL123[[#This Row],[( S/S+T/B) AJD]]-(TABL123[[#This Row],[(A/B + A/S) AJD]]+TABL123[[#This Row],[(STORGE DIFF.) AJD]]+(TABL123[[#This Row],[AJD_Evaporation]])/1000)</f>
        <v/>
      </c>
      <c r="AE160" s="68" t="n">
        <v>52</v>
      </c>
      <c r="AF160" s="68" t="n">
        <v>59.37</v>
      </c>
      <c r="AG160" s="68" t="n">
        <v>1868516</v>
      </c>
      <c r="AH160" s="45" t="n">
        <v>2485</v>
      </c>
      <c r="AI160" s="45" t="n">
        <v>2485</v>
      </c>
      <c r="AJ160" s="78">
        <f>TABL123[[#This Row],[(A/B) AJD]]-TABL123[[#This Row],[BER_IN]]</f>
        <v/>
      </c>
      <c r="AK160" s="68" t="n">
        <v>22</v>
      </c>
      <c r="AL160" s="87" t="n">
        <v>41.3482</v>
      </c>
      <c r="AM160" s="87" t="n">
        <v>2225350</v>
      </c>
      <c r="AN160" s="87">
        <f>TABL123[[#This Row],[ (RESV. STORGE) SER]]/10</f>
        <v/>
      </c>
      <c r="AO160" s="45" t="n">
        <v>2070</v>
      </c>
      <c r="AP160" s="32">
        <f>TABL123[[#This Row],[(A/S) AJD]]-TABL123[[#This Row],[SER_IN]]</f>
        <v/>
      </c>
    </row>
    <row r="161" ht="18.75" customHeight="1">
      <c r="A161" s="2" t="n">
        <v>46182</v>
      </c>
      <c r="B161" s="41" t="n">
        <v>39</v>
      </c>
      <c r="C161" s="41" t="n">
        <v>325</v>
      </c>
      <c r="D161" s="41">
        <f>B161</f>
        <v/>
      </c>
      <c r="E161" s="28" t="n"/>
      <c r="F161" s="41" t="n">
        <v>95</v>
      </c>
      <c r="G161" s="39" t="n">
        <v>615</v>
      </c>
      <c r="H161" s="28">
        <f>103-F161</f>
        <v/>
      </c>
      <c r="I161" s="39" t="n">
        <v>480</v>
      </c>
      <c r="J161" s="39" t="n">
        <v>470</v>
      </c>
      <c r="K161" s="28">
        <f>TABL123[[#This Row],[ (T/B) SAR]]+TABL123[[#This Row],[ (S/S) SAR]]</f>
        <v/>
      </c>
      <c r="L161" s="41" t="n">
        <v>355</v>
      </c>
      <c r="M161" s="42" t="n">
        <v>24.2</v>
      </c>
      <c r="N161" s="42" t="n">
        <v>7.21</v>
      </c>
      <c r="O161" s="39" t="n">
        <v>392</v>
      </c>
      <c r="P161" s="10">
        <f>TABL123[[#This Row],[ (S/S) SAR]]-TABL123[[#This Row],[(S/S) AJD]]</f>
        <v/>
      </c>
      <c r="Q161" s="39" t="n">
        <v>423</v>
      </c>
      <c r="R161" s="10">
        <f>TABL123[[#This Row],[ (T/B) SAR]]-TABL123[[#This Row],[(T/B) AJD]]</f>
        <v/>
      </c>
      <c r="S161" s="10">
        <f>TABL123[[#This Row],[T/B-CON.]]+TABL123[[#This Row],[S/S_CON.]]</f>
        <v/>
      </c>
      <c r="T161" s="10">
        <f>TABL123[[#This Row],[(S/S) AJD]]+TABL123[[#This Row],[(T/B) AJD]]</f>
        <v/>
      </c>
      <c r="U161" s="41" t="n">
        <v>521</v>
      </c>
      <c r="V161" s="41" t="n">
        <v>252</v>
      </c>
      <c r="W161" s="10">
        <f>TABL123[[#This Row],[(A/B) AJD]]+TABL123[[#This Row],[(A/S) AJD]]</f>
        <v/>
      </c>
      <c r="X161" s="10">
        <f>TABL123[[#This Row],[( S/S+T/B) AJD]]-TABL123[[#This Row],[(A/B + A/S) AJD]]</f>
        <v/>
      </c>
      <c r="Y161" s="41" t="n">
        <v>92.03100000000001</v>
      </c>
      <c r="Z161" s="43" t="n">
        <v>218155</v>
      </c>
      <c r="AA161" s="3">
        <f>TABL123[[#This Row],[(RESV. STORGE) AJD]]/10</f>
        <v/>
      </c>
      <c r="AB161" s="45">
        <f>IF(TRIM(Z161)="",,(Z161-Z160)/1000)</f>
        <v/>
      </c>
      <c r="AC161" s="43" t="n">
        <v>2076</v>
      </c>
      <c r="AD161" s="83">
        <f>TABL123[[#This Row],[( S/S+T/B) AJD]]-(TABL123[[#This Row],[(A/B + A/S) AJD]]+TABL123[[#This Row],[(STORGE DIFF.) AJD]]+(TABL123[[#This Row],[AJD_Evaporation]])/1000)</f>
        <v/>
      </c>
      <c r="AE161" s="68" t="n">
        <v>41</v>
      </c>
      <c r="AF161" s="68" t="n">
        <v>59.25</v>
      </c>
      <c r="AG161" s="68" t="n">
        <v>1788970</v>
      </c>
      <c r="AH161" s="43" t="n">
        <v>3009</v>
      </c>
      <c r="AI161" s="43" t="n">
        <v>3009</v>
      </c>
      <c r="AJ161" s="78">
        <f>TABL123[[#This Row],[(A/B) AJD]]-TABL123[[#This Row],[BER_IN]]</f>
        <v/>
      </c>
      <c r="AK161" s="68" t="n">
        <v>21</v>
      </c>
      <c r="AL161" s="87" t="n">
        <v>41.3352</v>
      </c>
      <c r="AM161" s="87" t="n">
        <v>2218180</v>
      </c>
      <c r="AN161" s="87">
        <f>TABL123[[#This Row],[ (RESV. STORGE) SER]]/10</f>
        <v/>
      </c>
      <c r="AO161" s="43" t="n">
        <v>1980</v>
      </c>
      <c r="AP161" s="32">
        <f>TABL123[[#This Row],[(A/S) AJD]]-TABL123[[#This Row],[SER_IN]]</f>
        <v/>
      </c>
    </row>
    <row r="162" ht="18.75" customHeight="1">
      <c r="A162" s="2" t="n">
        <v>46183</v>
      </c>
      <c r="B162" s="44" t="n">
        <v>39</v>
      </c>
      <c r="C162" s="44" t="n">
        <v>323</v>
      </c>
      <c r="D162" s="44">
        <f>B162</f>
        <v/>
      </c>
      <c r="E162" s="28" t="n"/>
      <c r="F162" s="44" t="n">
        <v>95</v>
      </c>
      <c r="G162" s="40" t="n">
        <v>620</v>
      </c>
      <c r="H162" s="28">
        <f>103-F162</f>
        <v/>
      </c>
      <c r="I162" s="40" t="n">
        <v>485</v>
      </c>
      <c r="J162" s="44" t="n">
        <v>475</v>
      </c>
      <c r="K162" s="28">
        <f>TABL123[[#This Row],[ (T/B) SAR]]+TABL123[[#This Row],[ (S/S) SAR]]</f>
        <v/>
      </c>
      <c r="L162" s="45" t="n">
        <v>340</v>
      </c>
      <c r="M162" s="46" t="n">
        <v>24.6</v>
      </c>
      <c r="N162" s="46" t="n">
        <v>7.26</v>
      </c>
      <c r="O162" s="40" t="n">
        <v>403</v>
      </c>
      <c r="P162" s="10">
        <f>TABL123[[#This Row],[ (S/S) SAR]]-TABL123[[#This Row],[(S/S) AJD]]</f>
        <v/>
      </c>
      <c r="Q162" s="40" t="n">
        <v>434</v>
      </c>
      <c r="R162" s="10">
        <f>TABL123[[#This Row],[ (T/B) SAR]]-TABL123[[#This Row],[(T/B) AJD]]</f>
        <v/>
      </c>
      <c r="S162" s="10">
        <f>TABL123[[#This Row],[T/B-CON.]]+TABL123[[#This Row],[S/S_CON.]]</f>
        <v/>
      </c>
      <c r="T162" s="10">
        <f>TABL123[[#This Row],[(S/S) AJD]]+TABL123[[#This Row],[(T/B) AJD]]</f>
        <v/>
      </c>
      <c r="U162" s="44" t="n">
        <v>521</v>
      </c>
      <c r="V162" s="44" t="n">
        <v>259</v>
      </c>
      <c r="W162" s="10">
        <f>TABL123[[#This Row],[(A/B) AJD]]+TABL123[[#This Row],[(A/S) AJD]]</f>
        <v/>
      </c>
      <c r="X162" s="10">
        <f>TABL123[[#This Row],[( S/S+T/B) AJD]]-TABL123[[#This Row],[(A/B + A/S) AJD]]</f>
        <v/>
      </c>
      <c r="Y162" s="44" t="n">
        <v>92.09</v>
      </c>
      <c r="Z162" s="45" t="n">
        <v>253086</v>
      </c>
      <c r="AA162" s="3">
        <f>TABL123[[#This Row],[(RESV. STORGE) AJD]]/10</f>
        <v/>
      </c>
      <c r="AB162" s="45">
        <f>IF(TRIM(Z162)="",,(Z162-Z161)/1000)</f>
        <v/>
      </c>
      <c r="AC162" s="45" t="n">
        <v>1269</v>
      </c>
      <c r="AD162" s="83">
        <f>TABL123[[#This Row],[( S/S+T/B) AJD]]-(TABL123[[#This Row],[(A/B + A/S) AJD]]+TABL123[[#This Row],[(STORGE DIFF.) AJD]]+(TABL123[[#This Row],[AJD_Evaporation]])/1000)</f>
        <v/>
      </c>
      <c r="AE162" s="68" t="n">
        <v>37</v>
      </c>
      <c r="AF162" s="68" t="n">
        <v>59.2</v>
      </c>
      <c r="AG162" s="68" t="n">
        <v>1755863</v>
      </c>
      <c r="AH162" s="45" t="n">
        <v>2160</v>
      </c>
      <c r="AI162" s="45" t="n">
        <v>2160</v>
      </c>
      <c r="AJ162" s="78">
        <f>TABL123[[#This Row],[(A/B) AJD]]-TABL123[[#This Row],[BER_IN]]</f>
        <v/>
      </c>
      <c r="AK162" s="68" t="n">
        <v>21</v>
      </c>
      <c r="AL162" s="87" t="n">
        <v>41.3287</v>
      </c>
      <c r="AM162" s="87" t="n">
        <v>2214800</v>
      </c>
      <c r="AN162" s="87">
        <f>TABL123[[#This Row],[ (RESV. STORGE) SER]]/10</f>
        <v/>
      </c>
      <c r="AO162" s="45" t="n">
        <v>1965</v>
      </c>
      <c r="AP162" s="32">
        <f>TABL123[[#This Row],[(A/S) AJD]]-TABL123[[#This Row],[SER_IN]]</f>
        <v/>
      </c>
    </row>
    <row r="163" ht="18.75" customHeight="1">
      <c r="A163" s="2" t="n">
        <v>46184</v>
      </c>
      <c r="B163" s="41" t="n">
        <v>39</v>
      </c>
      <c r="C163" s="41" t="n">
        <v>311</v>
      </c>
      <c r="D163" s="41">
        <f>B163</f>
        <v/>
      </c>
      <c r="E163" s="28" t="n"/>
      <c r="F163" s="41" t="n">
        <v>95</v>
      </c>
      <c r="G163" s="39" t="n">
        <v>620</v>
      </c>
      <c r="H163" s="28">
        <f>103-F163</f>
        <v/>
      </c>
      <c r="I163" s="39" t="n">
        <v>486</v>
      </c>
      <c r="J163" s="39" t="n">
        <v>476</v>
      </c>
      <c r="K163" s="28">
        <f>TABL123[[#This Row],[ (T/B) SAR]]+TABL123[[#This Row],[ (S/S) SAR]]</f>
        <v/>
      </c>
      <c r="L163" s="41" t="n">
        <v>342</v>
      </c>
      <c r="M163" s="42" t="n">
        <v>24.6</v>
      </c>
      <c r="N163" s="42" t="n">
        <v>7.28</v>
      </c>
      <c r="O163" s="39" t="n">
        <v>406</v>
      </c>
      <c r="P163" s="10">
        <f>TABL123[[#This Row],[ (S/S) SAR]]-TABL123[[#This Row],[(S/S) AJD]]</f>
        <v/>
      </c>
      <c r="Q163" s="39" t="n">
        <v>438</v>
      </c>
      <c r="R163" s="10">
        <f>TABL123[[#This Row],[ (T/B) SAR]]-TABL123[[#This Row],[(T/B) AJD]]</f>
        <v/>
      </c>
      <c r="S163" s="10">
        <f>TABL123[[#This Row],[T/B-CON.]]+TABL123[[#This Row],[S/S_CON.]]</f>
        <v/>
      </c>
      <c r="T163" s="10">
        <f>TABL123[[#This Row],[(S/S) AJD]]+TABL123[[#This Row],[(T/B) AJD]]</f>
        <v/>
      </c>
      <c r="U163" s="41" t="n">
        <v>516</v>
      </c>
      <c r="V163" s="41" t="n">
        <v>255</v>
      </c>
      <c r="W163" s="10">
        <f>TABL123[[#This Row],[(A/B) AJD]]+TABL123[[#This Row],[(A/S) AJD]]</f>
        <v/>
      </c>
      <c r="X163" s="10">
        <f>TABL123[[#This Row],[( S/S+T/B) AJD]]-TABL123[[#This Row],[(A/B + A/S) AJD]]</f>
        <v/>
      </c>
      <c r="Y163" s="41" t="n">
        <v>92.163</v>
      </c>
      <c r="Z163" s="43" t="n">
        <v>296349</v>
      </c>
      <c r="AA163" s="3">
        <f>TABL123[[#This Row],[(RESV. STORGE) AJD]]/10</f>
        <v/>
      </c>
      <c r="AB163" s="45">
        <f>IF(TRIM(Z163)="",,(Z163-Z162)/1000)</f>
        <v/>
      </c>
      <c r="AC163" s="43" t="n">
        <v>1269</v>
      </c>
      <c r="AD163" s="83">
        <f>TABL123[[#This Row],[( S/S+T/B) AJD]]-(TABL123[[#This Row],[(A/B + A/S) AJD]]+TABL123[[#This Row],[(STORGE DIFF.) AJD]]+(TABL123[[#This Row],[AJD_Evaporation]])/1000)</f>
        <v/>
      </c>
      <c r="AE163" s="68" t="n">
        <v>35</v>
      </c>
      <c r="AF163" s="68" t="n">
        <v>59.14</v>
      </c>
      <c r="AG163" s="68" t="n">
        <v>1716162</v>
      </c>
      <c r="AH163" s="43" t="n">
        <v>3000</v>
      </c>
      <c r="AI163" s="43" t="n">
        <v>3000</v>
      </c>
      <c r="AJ163" s="78">
        <f>TABL123[[#This Row],[(A/B) AJD]]-TABL123[[#This Row],[BER_IN]]</f>
        <v/>
      </c>
      <c r="AK163" s="68" t="n">
        <v>21</v>
      </c>
      <c r="AL163" s="87" t="n">
        <v>41.3228</v>
      </c>
      <c r="AM163" s="87" t="n">
        <v>2211110</v>
      </c>
      <c r="AN163" s="87">
        <f>TABL123[[#This Row],[ (RESV. STORGE) SER]]/10</f>
        <v/>
      </c>
      <c r="AO163" s="43" t="n">
        <v>1975</v>
      </c>
      <c r="AP163" s="32">
        <f>TABL123[[#This Row],[(A/S) AJD]]-TABL123[[#This Row],[SER_IN]]</f>
        <v/>
      </c>
    </row>
    <row r="164" ht="18.75" customHeight="1">
      <c r="A164" s="2" t="n">
        <v>46185</v>
      </c>
      <c r="B164" s="44" t="n">
        <v>39</v>
      </c>
      <c r="C164" s="44" t="n">
        <v>317</v>
      </c>
      <c r="D164" s="44">
        <f>B164</f>
        <v/>
      </c>
      <c r="E164" s="28" t="n"/>
      <c r="F164" s="44" t="n">
        <v>95</v>
      </c>
      <c r="G164" s="40" t="n">
        <v>621</v>
      </c>
      <c r="H164" s="28">
        <f>103-F164</f>
        <v/>
      </c>
      <c r="I164" s="40" t="n">
        <v>487</v>
      </c>
      <c r="J164" s="44" t="n">
        <v>476</v>
      </c>
      <c r="K164" s="28">
        <f>TABL123[[#This Row],[ (T/B) SAR]]+TABL123[[#This Row],[ (S/S) SAR]]</f>
        <v/>
      </c>
      <c r="L164" s="45" t="n">
        <v>342</v>
      </c>
      <c r="M164" s="46" t="n">
        <v>24.5</v>
      </c>
      <c r="N164" s="46" t="n">
        <v>7.23</v>
      </c>
      <c r="O164" s="40" t="n">
        <v>406</v>
      </c>
      <c r="P164" s="10">
        <f>TABL123[[#This Row],[ (S/S) SAR]]-TABL123[[#This Row],[(S/S) AJD]]</f>
        <v/>
      </c>
      <c r="Q164" s="40" t="n">
        <v>439</v>
      </c>
      <c r="R164" s="10">
        <f>TABL123[[#This Row],[ (T/B) SAR]]-TABL123[[#This Row],[(T/B) AJD]]</f>
        <v/>
      </c>
      <c r="S164" s="10">
        <f>TABL123[[#This Row],[T/B-CON.]]+TABL123[[#This Row],[S/S_CON.]]</f>
        <v/>
      </c>
      <c r="T164" s="10">
        <f>TABL123[[#This Row],[(S/S) AJD]]+TABL123[[#This Row],[(T/B) AJD]]</f>
        <v/>
      </c>
      <c r="U164" s="44" t="n">
        <v>530</v>
      </c>
      <c r="V164" s="44" t="n">
        <v>246</v>
      </c>
      <c r="W164" s="10">
        <f>TABL123[[#This Row],[(A/B) AJD]]+TABL123[[#This Row],[(A/S) AJD]]</f>
        <v/>
      </c>
      <c r="X164" s="10">
        <f>TABL123[[#This Row],[( S/S+T/B) AJD]]-TABL123[[#This Row],[(A/B + A/S) AJD]]</f>
        <v/>
      </c>
      <c r="Y164" s="44" t="n">
        <v>92.235</v>
      </c>
      <c r="Z164" s="45" t="n">
        <v>339059</v>
      </c>
      <c r="AA164" s="3">
        <f>TABL123[[#This Row],[(RESV. STORGE) AJD]]/10</f>
        <v/>
      </c>
      <c r="AB164" s="45">
        <f>IF(TRIM(Z164)="",,(Z164-Z163)/1000)</f>
        <v/>
      </c>
      <c r="AC164" s="45" t="n">
        <v>2270</v>
      </c>
      <c r="AD164" s="83">
        <f>TABL123[[#This Row],[( S/S+T/B) AJD]]-(TABL123[[#This Row],[(A/B + A/S) AJD]]+TABL123[[#This Row],[(STORGE DIFF.) AJD]]+(TABL123[[#This Row],[AJD_Evaporation]])/1000)</f>
        <v/>
      </c>
      <c r="AE164" s="68" t="n">
        <v>33</v>
      </c>
      <c r="AF164" s="68" t="n">
        <v>59.099</v>
      </c>
      <c r="AG164" s="68" t="n">
        <v>1689052</v>
      </c>
      <c r="AH164" s="45" t="n">
        <v>2911</v>
      </c>
      <c r="AI164" s="45" t="n">
        <v>2911</v>
      </c>
      <c r="AJ164" s="78">
        <f>TABL123[[#This Row],[(A/B) AJD]]-TABL123[[#This Row],[BER_IN]]</f>
        <v/>
      </c>
      <c r="AK164" s="68" t="n">
        <v>21</v>
      </c>
      <c r="AL164" s="87" t="n">
        <v>41.3135</v>
      </c>
      <c r="AM164" s="87" t="n">
        <v>2206375</v>
      </c>
      <c r="AN164" s="87">
        <f>TABL123[[#This Row],[ (RESV. STORGE) SER]]/10</f>
        <v/>
      </c>
      <c r="AO164" s="45" t="n">
        <v>2010</v>
      </c>
      <c r="AP164" s="32">
        <f>TABL123[[#This Row],[(A/S) AJD]]-TABL123[[#This Row],[SER_IN]]</f>
        <v/>
      </c>
    </row>
    <row r="165" ht="18.75" customHeight="1">
      <c r="A165" s="2" t="n">
        <v>46186</v>
      </c>
      <c r="B165" s="41" t="n">
        <v>39</v>
      </c>
      <c r="C165" s="41" t="n">
        <v>321</v>
      </c>
      <c r="D165" s="41">
        <f>B165</f>
        <v/>
      </c>
      <c r="E165" s="28" t="n"/>
      <c r="F165" s="41" t="n">
        <v>95</v>
      </c>
      <c r="G165" s="39" t="n">
        <v>622</v>
      </c>
      <c r="H165" s="28">
        <f>103-F165</f>
        <v/>
      </c>
      <c r="I165" s="39" t="n">
        <v>489</v>
      </c>
      <c r="J165" s="39" t="n">
        <v>478</v>
      </c>
      <c r="K165" s="28">
        <f>TABL123[[#This Row],[ (T/B) SAR]]+TABL123[[#This Row],[ (S/S) SAR]]</f>
        <v/>
      </c>
      <c r="L165" s="41" t="n">
        <v>345</v>
      </c>
      <c r="M165" s="42" t="n">
        <v>24.5</v>
      </c>
      <c r="N165" s="42" t="n">
        <v>7.25</v>
      </c>
      <c r="O165" s="39" t="n">
        <v>409</v>
      </c>
      <c r="P165" s="10">
        <f>TABL123[[#This Row],[ (S/S) SAR]]-TABL123[[#This Row],[(S/S) AJD]]</f>
        <v/>
      </c>
      <c r="Q165" s="39" t="n">
        <v>442</v>
      </c>
      <c r="R165" s="10">
        <f>TABL123[[#This Row],[ (T/B) SAR]]-TABL123[[#This Row],[(T/B) AJD]]</f>
        <v/>
      </c>
      <c r="S165" s="10">
        <f>TABL123[[#This Row],[T/B-CON.]]+TABL123[[#This Row],[S/S_CON.]]</f>
        <v/>
      </c>
      <c r="T165" s="10">
        <f>TABL123[[#This Row],[(S/S) AJD]]+TABL123[[#This Row],[(T/B) AJD]]</f>
        <v/>
      </c>
      <c r="U165" s="41" t="n">
        <v>532</v>
      </c>
      <c r="V165" s="41" t="n">
        <v>244</v>
      </c>
      <c r="W165" s="10">
        <f>TABL123[[#This Row],[(A/B) AJD]]+TABL123[[#This Row],[(A/S) AJD]]</f>
        <v/>
      </c>
      <c r="X165" s="10">
        <f>TABL123[[#This Row],[( S/S+T/B) AJD]]-TABL123[[#This Row],[(A/B + A/S) AJD]]</f>
        <v/>
      </c>
      <c r="Y165" s="41" t="n">
        <v>92.328</v>
      </c>
      <c r="Z165" s="43" t="n">
        <v>394292</v>
      </c>
      <c r="AA165" s="3">
        <f>TABL123[[#This Row],[(RESV. STORGE) AJD]]/10</f>
        <v/>
      </c>
      <c r="AB165" s="45">
        <f>IF(TRIM(Z165)="",,(Z165-Z164)/1000)</f>
        <v/>
      </c>
      <c r="AC165" s="43" t="n">
        <v>0</v>
      </c>
      <c r="AD165" s="83">
        <f>TABL123[[#This Row],[( S/S+T/B) AJD]]-(TABL123[[#This Row],[(A/B + A/S) AJD]]+TABL123[[#This Row],[(STORGE DIFF.) AJD]]+(TABL123[[#This Row],[AJD_Evaporation]])/1000)</f>
        <v/>
      </c>
      <c r="AE165" s="68" t="n">
        <v>37</v>
      </c>
      <c r="AF165" s="68" t="n">
        <v>59.02</v>
      </c>
      <c r="AG165" s="68" t="n">
        <v>1636855</v>
      </c>
      <c r="AH165" s="43" t="n">
        <v>2000</v>
      </c>
      <c r="AI165" s="43" t="n">
        <v>2000</v>
      </c>
      <c r="AJ165" s="78">
        <f>TABL123[[#This Row],[(A/B) AJD]]-TABL123[[#This Row],[BER_IN]]</f>
        <v/>
      </c>
      <c r="AK165" s="68" t="n">
        <v>21</v>
      </c>
      <c r="AL165" s="87" t="n">
        <v>41.3058</v>
      </c>
      <c r="AM165" s="87" t="n">
        <v>2202650</v>
      </c>
      <c r="AN165" s="87">
        <f>TABL123[[#This Row],[ (RESV. STORGE) SER]]/10</f>
        <v/>
      </c>
      <c r="AO165" s="43" t="n">
        <v>2023</v>
      </c>
      <c r="AP165" s="32">
        <f>TABL123[[#This Row],[(A/S) AJD]]-TABL123[[#This Row],[SER_IN]]</f>
        <v/>
      </c>
    </row>
    <row r="166" ht="18.75" customHeight="1">
      <c r="A166" s="2" t="n">
        <v>46187</v>
      </c>
      <c r="B166" s="44" t="n">
        <v>39</v>
      </c>
      <c r="C166" s="44" t="n">
        <v>325</v>
      </c>
      <c r="D166" s="44">
        <f>B166</f>
        <v/>
      </c>
      <c r="E166" s="28" t="n"/>
      <c r="F166" s="44" t="n">
        <v>95</v>
      </c>
      <c r="G166" s="40" t="n">
        <v>645</v>
      </c>
      <c r="H166" s="28">
        <f>103-F166</f>
        <v/>
      </c>
      <c r="I166" s="40" t="n">
        <v>508</v>
      </c>
      <c r="J166" s="44" t="n">
        <v>490</v>
      </c>
      <c r="K166" s="28">
        <f>TABL123[[#This Row],[ (T/B) SAR]]+TABL123[[#This Row],[ (S/S) SAR]]</f>
        <v/>
      </c>
      <c r="L166" s="45" t="n">
        <v>353</v>
      </c>
      <c r="M166" s="46" t="n">
        <v>24.5</v>
      </c>
      <c r="N166" s="46" t="n">
        <v>7.31</v>
      </c>
      <c r="O166" s="40" t="n">
        <v>408</v>
      </c>
      <c r="P166" s="10">
        <f>TABL123[[#This Row],[ (S/S) SAR]]-TABL123[[#This Row],[(S/S) AJD]]</f>
        <v/>
      </c>
      <c r="Q166" s="40" t="n">
        <v>441</v>
      </c>
      <c r="R166" s="10">
        <f>TABL123[[#This Row],[ (T/B) SAR]]-TABL123[[#This Row],[(T/B) AJD]]</f>
        <v/>
      </c>
      <c r="S166" s="10">
        <f>TABL123[[#This Row],[T/B-CON.]]+TABL123[[#This Row],[S/S_CON.]]</f>
        <v/>
      </c>
      <c r="T166" s="10">
        <f>TABL123[[#This Row],[(S/S) AJD]]+TABL123[[#This Row],[(T/B) AJD]]</f>
        <v/>
      </c>
      <c r="U166" s="44" t="n">
        <v>534</v>
      </c>
      <c r="V166" s="44" t="n">
        <v>236</v>
      </c>
      <c r="W166" s="10">
        <f>TABL123[[#This Row],[(A/B) AJD]]+TABL123[[#This Row],[(A/S) AJD]]</f>
        <v/>
      </c>
      <c r="X166" s="10">
        <f>TABL123[[#This Row],[( S/S+T/B) AJD]]-TABL123[[#This Row],[(A/B + A/S) AJD]]</f>
        <v/>
      </c>
      <c r="Y166" s="44" t="n">
        <v>92.402</v>
      </c>
      <c r="Z166" s="45" t="n">
        <v>438288</v>
      </c>
      <c r="AA166" s="3">
        <f>TABL123[[#This Row],[(RESV. STORGE) AJD]]/10</f>
        <v/>
      </c>
      <c r="AB166" s="45">
        <f>IF(TRIM(Z166)="",,(Z166-Z165)/1000)</f>
        <v/>
      </c>
      <c r="AC166" s="45" t="n">
        <v>0</v>
      </c>
      <c r="AD166" s="83">
        <f>TABL123[[#This Row],[( S/S+T/B) AJD]]-(TABL123[[#This Row],[(A/B + A/S) AJD]]+TABL123[[#This Row],[(STORGE DIFF.) AJD]]+(TABL123[[#This Row],[AJD_Evaporation]])/1000)</f>
        <v/>
      </c>
      <c r="AE166" s="68" t="n">
        <v>45</v>
      </c>
      <c r="AF166" s="68" t="n">
        <v>59.04</v>
      </c>
      <c r="AG166" s="68" t="n">
        <v>1650054</v>
      </c>
      <c r="AH166" s="45" t="n">
        <v>2960</v>
      </c>
      <c r="AI166" s="45" t="n">
        <v>2960</v>
      </c>
      <c r="AJ166" s="78">
        <f>TABL123[[#This Row],[(A/B) AJD]]-TABL123[[#This Row],[BER_IN]]</f>
        <v/>
      </c>
      <c r="AK166" s="68" t="n">
        <v>34</v>
      </c>
      <c r="AL166" s="87" t="n">
        <v>41.3051</v>
      </c>
      <c r="AM166" s="87" t="n">
        <v>2202190</v>
      </c>
      <c r="AN166" s="87">
        <f>TABL123[[#This Row],[ (RESV. STORGE) SER]]/10</f>
        <v/>
      </c>
      <c r="AO166" s="45" t="n">
        <v>2023</v>
      </c>
      <c r="AP166" s="32">
        <f>TABL123[[#This Row],[(A/S) AJD]]-TABL123[[#This Row],[SER_IN]]</f>
        <v/>
      </c>
    </row>
    <row r="167" ht="18.75" customHeight="1">
      <c r="A167" s="2" t="n">
        <v>46188</v>
      </c>
      <c r="B167" s="41" t="n">
        <v>39</v>
      </c>
      <c r="C167" s="41" t="n">
        <v>310</v>
      </c>
      <c r="D167" s="41">
        <f>B167</f>
        <v/>
      </c>
      <c r="E167" s="28" t="n"/>
      <c r="F167" s="41" t="n">
        <v>94</v>
      </c>
      <c r="G167" s="39" t="n">
        <v>650</v>
      </c>
      <c r="H167" s="28">
        <f>103-F167</f>
        <v/>
      </c>
      <c r="I167" s="39" t="n">
        <v>503</v>
      </c>
      <c r="J167" s="39" t="n">
        <v>491</v>
      </c>
      <c r="K167" s="28">
        <f>TABL123[[#This Row],[ (T/B) SAR]]+TABL123[[#This Row],[ (S/S) SAR]]</f>
        <v/>
      </c>
      <c r="L167" s="41" t="n">
        <v>344</v>
      </c>
      <c r="M167" s="42" t="n">
        <v>24.5</v>
      </c>
      <c r="N167" s="42" t="n">
        <v>7.29</v>
      </c>
      <c r="O167" s="39" t="n">
        <v>442</v>
      </c>
      <c r="P167" s="10">
        <f>TABL123[[#This Row],[ (S/S) SAR]]-TABL123[[#This Row],[(S/S) AJD]]</f>
        <v/>
      </c>
      <c r="Q167" s="39" t="n">
        <v>410</v>
      </c>
      <c r="R167" s="10">
        <f>TABL123[[#This Row],[ (T/B) SAR]]-TABL123[[#This Row],[(T/B) AJD]]</f>
        <v/>
      </c>
      <c r="S167" s="10">
        <f>TABL123[[#This Row],[T/B-CON.]]+TABL123[[#This Row],[S/S_CON.]]</f>
        <v/>
      </c>
      <c r="T167" s="10">
        <f>TABL123[[#This Row],[(S/S) AJD]]+TABL123[[#This Row],[(T/B) AJD]]</f>
        <v/>
      </c>
      <c r="U167" s="41" t="n">
        <v>549</v>
      </c>
      <c r="V167" s="41" t="n">
        <v>241</v>
      </c>
      <c r="W167" s="10">
        <f>TABL123[[#This Row],[(A/B) AJD]]+TABL123[[#This Row],[(A/S) AJD]]</f>
        <v/>
      </c>
      <c r="X167" s="10">
        <f>TABL123[[#This Row],[( S/S+T/B) AJD]]-TABL123[[#This Row],[(A/B + A/S) AJD]]</f>
        <v/>
      </c>
      <c r="Y167" s="41" t="n">
        <v>92.45999999999999</v>
      </c>
      <c r="Z167" s="43" t="n">
        <v>472808</v>
      </c>
      <c r="AA167" s="3">
        <f>TABL123[[#This Row],[(RESV. STORGE) AJD]]/10</f>
        <v/>
      </c>
      <c r="AB167" s="45">
        <f>IF(TRIM(Z167)="",,(Z167-Z166)/1000)</f>
        <v/>
      </c>
      <c r="AC167" s="43" t="n">
        <v>1600</v>
      </c>
      <c r="AD167" s="83">
        <f>TABL123[[#This Row],[( S/S+T/B) AJD]]-(TABL123[[#This Row],[(A/B + A/S) AJD]]+TABL123[[#This Row],[(STORGE DIFF.) AJD]]+(TABL123[[#This Row],[AJD_Evaporation]])/1000)</f>
        <v/>
      </c>
      <c r="AE167" s="68" t="n">
        <v>50</v>
      </c>
      <c r="AF167" s="68" t="n">
        <v>59.03</v>
      </c>
      <c r="AG167" s="68" t="n">
        <v>1643459</v>
      </c>
      <c r="AH167" s="43" t="n">
        <v>2965</v>
      </c>
      <c r="AI167" s="43" t="n">
        <v>2965</v>
      </c>
      <c r="AJ167" s="78">
        <f>TABL123[[#This Row],[(A/B) AJD]]-TABL123[[#This Row],[BER_IN]]</f>
        <v/>
      </c>
      <c r="AK167" s="68" t="n">
        <v>31</v>
      </c>
      <c r="AL167" s="87" t="n">
        <v>41.2988</v>
      </c>
      <c r="AM167" s="87" t="n">
        <v>2198960</v>
      </c>
      <c r="AN167" s="87">
        <f>TABL123[[#This Row],[ (RESV. STORGE) SER]]/10</f>
        <v/>
      </c>
      <c r="AO167" s="43" t="n">
        <v>2023</v>
      </c>
      <c r="AP167" s="32">
        <f>TABL123[[#This Row],[(A/S) AJD]]-TABL123[[#This Row],[SER_IN]]</f>
        <v/>
      </c>
    </row>
    <row r="168" ht="18.75" customHeight="1">
      <c r="A168" s="2" t="n">
        <v>46189</v>
      </c>
      <c r="B168" s="44" t="n">
        <v>39</v>
      </c>
      <c r="C168" s="44" t="n">
        <v>320</v>
      </c>
      <c r="D168" s="44">
        <f>B168</f>
        <v/>
      </c>
      <c r="E168" s="28" t="n"/>
      <c r="F168" s="44" t="n">
        <v>93</v>
      </c>
      <c r="G168" s="40" t="n">
        <v>646</v>
      </c>
      <c r="H168" s="28">
        <f>103-F168</f>
        <v/>
      </c>
      <c r="I168" s="40" t="n">
        <v>501</v>
      </c>
      <c r="J168" s="44" t="n">
        <v>488</v>
      </c>
      <c r="K168" s="28">
        <f>TABL123[[#This Row],[ (T/B) SAR]]+TABL123[[#This Row],[ (S/S) SAR]]</f>
        <v/>
      </c>
      <c r="L168" s="45" t="n">
        <v>343</v>
      </c>
      <c r="M168" s="46" t="n">
        <v>24.5</v>
      </c>
      <c r="N168" s="46" t="n">
        <v>7.31</v>
      </c>
      <c r="O168" s="40" t="n">
        <v>410</v>
      </c>
      <c r="P168" s="10">
        <f>TABL123[[#This Row],[ (S/S) SAR]]-TABL123[[#This Row],[(S/S) AJD]]</f>
        <v/>
      </c>
      <c r="Q168" s="40" t="n">
        <v>442</v>
      </c>
      <c r="R168" s="10">
        <f>TABL123[[#This Row],[ (T/B) SAR]]-TABL123[[#This Row],[(T/B) AJD]]</f>
        <v/>
      </c>
      <c r="S168" s="10">
        <f>TABL123[[#This Row],[T/B-CON.]]+TABL123[[#This Row],[S/S_CON.]]</f>
        <v/>
      </c>
      <c r="T168" s="10">
        <f>TABL123[[#This Row],[(S/S) AJD]]+TABL123[[#This Row],[(T/B) AJD]]</f>
        <v/>
      </c>
      <c r="U168" s="44" t="n">
        <v>550</v>
      </c>
      <c r="V168" s="44" t="n">
        <v>241</v>
      </c>
      <c r="W168" s="10">
        <f>TABL123[[#This Row],[(A/B) AJD]]+TABL123[[#This Row],[(A/S) AJD]]</f>
        <v/>
      </c>
      <c r="X168" s="10">
        <f>TABL123[[#This Row],[( S/S+T/B) AJD]]-TABL123[[#This Row],[(A/B + A/S) AJD]]</f>
        <v/>
      </c>
      <c r="Y168" s="44" t="n">
        <v>92.45999999999999</v>
      </c>
      <c r="Z168" s="45" t="n">
        <v>472808</v>
      </c>
      <c r="AA168" s="3">
        <f>TABL123[[#This Row],[(RESV. STORGE) AJD]]/10</f>
        <v/>
      </c>
      <c r="AB168" s="45">
        <f>IF(TRIM(Z168)="",,(Z168-Z167)/1000)</f>
        <v/>
      </c>
      <c r="AC168" s="45" t="n">
        <v>2084</v>
      </c>
      <c r="AD168" s="83">
        <f>TABL123[[#This Row],[( S/S+T/B) AJD]]-(TABL123[[#This Row],[(A/B + A/S) AJD]]+TABL123[[#This Row],[(STORGE DIFF.) AJD]]+(TABL123[[#This Row],[AJD_Evaporation]])/1000)</f>
        <v/>
      </c>
      <c r="AE168" s="68" t="n">
        <v>55</v>
      </c>
      <c r="AF168" s="68" t="n">
        <v>59.07</v>
      </c>
      <c r="AG168" s="68" t="n">
        <v>1669884</v>
      </c>
      <c r="AH168" s="45" t="n">
        <v>1999</v>
      </c>
      <c r="AI168" s="45" t="n">
        <v>1999</v>
      </c>
      <c r="AJ168" s="78">
        <f>TABL123[[#This Row],[(A/B) AJD]]-TABL123[[#This Row],[BER_IN]]</f>
        <v/>
      </c>
      <c r="AK168" s="68" t="n">
        <v>27</v>
      </c>
      <c r="AL168" s="87" t="n">
        <v>41.2884</v>
      </c>
      <c r="AM168" s="87" t="n">
        <v>2193170</v>
      </c>
      <c r="AN168" s="87">
        <f>TABL123[[#This Row],[ (RESV. STORGE) SER]]/10</f>
        <v/>
      </c>
      <c r="AO168" s="45" t="n">
        <v>2868</v>
      </c>
      <c r="AP168" s="32">
        <f>TABL123[[#This Row],[(A/S) AJD]]-TABL123[[#This Row],[SER_IN]]</f>
        <v/>
      </c>
    </row>
    <row r="169" ht="18.75" customHeight="1">
      <c r="A169" s="2" t="n">
        <v>46190</v>
      </c>
      <c r="B169" s="41" t="n">
        <v>39</v>
      </c>
      <c r="C169" s="41" t="n">
        <v>316</v>
      </c>
      <c r="D169" s="41">
        <f>B169</f>
        <v/>
      </c>
      <c r="E169" s="28" t="n"/>
      <c r="F169" s="41" t="n">
        <v>93</v>
      </c>
      <c r="G169" s="39" t="n">
        <v>644</v>
      </c>
      <c r="H169" s="28">
        <f>103-F169</f>
        <v/>
      </c>
      <c r="I169" s="39" t="n">
        <v>501</v>
      </c>
      <c r="J169" s="39" t="n">
        <v>488</v>
      </c>
      <c r="K169" s="28">
        <f>TABL123[[#This Row],[ (T/B) SAR]]+TABL123[[#This Row],[ (S/S) SAR]]</f>
        <v/>
      </c>
      <c r="L169" s="41" t="n">
        <v>345</v>
      </c>
      <c r="M169" s="42" t="n">
        <v>24.5</v>
      </c>
      <c r="N169" s="42" t="n">
        <v>7.35</v>
      </c>
      <c r="O169" s="39" t="n">
        <v>408</v>
      </c>
      <c r="P169" s="10">
        <f>TABL123[[#This Row],[ (S/S) SAR]]-TABL123[[#This Row],[(S/S) AJD]]</f>
        <v/>
      </c>
      <c r="Q169" s="39" t="n">
        <v>441</v>
      </c>
      <c r="R169" s="10">
        <f>TABL123[[#This Row],[ (T/B) SAR]]-TABL123[[#This Row],[(T/B) AJD]]</f>
        <v/>
      </c>
      <c r="S169" s="10">
        <f>TABL123[[#This Row],[T/B-CON.]]+TABL123[[#This Row],[S/S_CON.]]</f>
        <v/>
      </c>
      <c r="T169" s="10">
        <f>TABL123[[#This Row],[(S/S) AJD]]+TABL123[[#This Row],[(T/B) AJD]]</f>
        <v/>
      </c>
      <c r="U169" s="41" t="n">
        <v>539</v>
      </c>
      <c r="V169" s="41" t="n">
        <v>271</v>
      </c>
      <c r="W169" s="10">
        <f>TABL123[[#This Row],[(A/B) AJD]]+TABL123[[#This Row],[(A/S) AJD]]</f>
        <v/>
      </c>
      <c r="X169" s="10">
        <f>TABL123[[#This Row],[( S/S+T/B) AJD]]-TABL123[[#This Row],[(A/B + A/S) AJD]]</f>
        <v/>
      </c>
      <c r="Y169" s="41" t="n">
        <v>92.48999999999999</v>
      </c>
      <c r="Z169" s="43" t="n">
        <v>490667</v>
      </c>
      <c r="AA169" s="3">
        <f>TABL123[[#This Row],[(RESV. STORGE) AJD]]/10</f>
        <v/>
      </c>
      <c r="AB169" s="45">
        <f>IF(TRIM(Z169)="",,(Z169-Z168)/1000)</f>
        <v/>
      </c>
      <c r="AC169" s="43" t="n">
        <v>1600</v>
      </c>
      <c r="AD169" s="83">
        <f>TABL123[[#This Row],[( S/S+T/B) AJD]]-(TABL123[[#This Row],[(A/B + A/S) AJD]]+TABL123[[#This Row],[(STORGE DIFF.) AJD]]+(TABL123[[#This Row],[AJD_Evaporation]])/1000)</f>
        <v/>
      </c>
      <c r="AE169" s="68" t="n">
        <v>59</v>
      </c>
      <c r="AF169" s="68" t="n">
        <v>59.08</v>
      </c>
      <c r="AG169" s="68" t="n">
        <v>1676493</v>
      </c>
      <c r="AH169" s="43" t="n">
        <v>2999</v>
      </c>
      <c r="AI169" s="43" t="n">
        <v>2999</v>
      </c>
      <c r="AJ169" s="78">
        <f>TABL123[[#This Row],[(A/B) AJD]]-TABL123[[#This Row],[BER_IN]]</f>
        <v/>
      </c>
      <c r="AK169" s="68" t="n">
        <v>28</v>
      </c>
      <c r="AL169" s="87" t="n">
        <v>41.29</v>
      </c>
      <c r="AM169" s="87" t="n">
        <v>2194210</v>
      </c>
      <c r="AN169" s="87">
        <f>TABL123[[#This Row],[ (RESV. STORGE) SER]]/10</f>
        <v/>
      </c>
      <c r="AO169" s="43" t="n">
        <v>1890</v>
      </c>
      <c r="AP169" s="32">
        <f>TABL123[[#This Row],[(A/S) AJD]]-TABL123[[#This Row],[SER_IN]]</f>
        <v/>
      </c>
    </row>
    <row r="170" ht="18.75" customHeight="1">
      <c r="A170" s="2" t="n">
        <v>46191</v>
      </c>
      <c r="B170" s="44" t="n">
        <v>38</v>
      </c>
      <c r="C170" s="44" t="n">
        <v>300</v>
      </c>
      <c r="D170" s="44">
        <f>B170</f>
        <v/>
      </c>
      <c r="E170" s="28" t="n"/>
      <c r="F170" s="44" t="n">
        <v>93</v>
      </c>
      <c r="G170" s="40" t="n">
        <v>644</v>
      </c>
      <c r="H170" s="28">
        <f>103-F170</f>
        <v/>
      </c>
      <c r="I170" s="40" t="n">
        <v>501</v>
      </c>
      <c r="J170" s="44" t="n">
        <v>488</v>
      </c>
      <c r="K170" s="28">
        <f>TABL123[[#This Row],[ (T/B) SAR]]+TABL123[[#This Row],[ (S/S) SAR]]</f>
        <v/>
      </c>
      <c r="L170" s="45" t="n">
        <v>345</v>
      </c>
      <c r="M170" s="46" t="n">
        <v>24.5</v>
      </c>
      <c r="N170" s="46" t="n">
        <v>7.32</v>
      </c>
      <c r="O170" s="40" t="n">
        <v>408</v>
      </c>
      <c r="P170" s="3">
        <f>TABL123[[#This Row],[ (S/S) SAR]]-TABL123[[#This Row],[(S/S) AJD]]</f>
        <v/>
      </c>
      <c r="Q170" s="40" t="n">
        <v>440</v>
      </c>
      <c r="R170" s="3">
        <f>TABL123[[#This Row],[ (T/B) SAR]]-TABL123[[#This Row],[(T/B) AJD]]</f>
        <v/>
      </c>
      <c r="S170" s="3">
        <f>TABL123[[#This Row],[T/B-CON.]]+TABL123[[#This Row],[S/S_CON.]]</f>
        <v/>
      </c>
      <c r="T170" s="3">
        <f>TABL123[[#This Row],[(S/S) AJD]]+TABL123[[#This Row],[(T/B) AJD]]</f>
        <v/>
      </c>
      <c r="U170" s="44" t="n">
        <v>570</v>
      </c>
      <c r="V170" s="44" t="n">
        <v>269</v>
      </c>
      <c r="W170" s="3">
        <f>TABL123[[#This Row],[(A/B) AJD]]+TABL123[[#This Row],[(A/S) AJD]]</f>
        <v/>
      </c>
      <c r="X170" s="3">
        <f>TABL123[[#This Row],[( S/S+T/B) AJD]]-TABL123[[#This Row],[(A/B + A/S) AJD]]</f>
        <v/>
      </c>
      <c r="Y170" s="44" t="n">
        <v>92.45</v>
      </c>
      <c r="Z170" s="45" t="n">
        <v>466849</v>
      </c>
      <c r="AA170" s="3">
        <f>TABL123[[#This Row],[(RESV. STORGE) AJD]]/10</f>
        <v/>
      </c>
      <c r="AB170" s="45">
        <f>IF(TRIM(Z170)="",,(Z170-Z169)/1000)</f>
        <v/>
      </c>
      <c r="AC170" s="45" t="n">
        <v>3250</v>
      </c>
      <c r="AD170" s="83">
        <f>TABL123[[#This Row],[( S/S+T/B) AJD]]-(TABL123[[#This Row],[(A/B + A/S) AJD]]+TABL123[[#This Row],[(STORGE DIFF.) AJD]]+(TABL123[[#This Row],[AJD_Evaporation]])/1000)</f>
        <v/>
      </c>
      <c r="AE170" s="68" t="n">
        <v>59</v>
      </c>
      <c r="AF170" s="68" t="n">
        <v>59.13</v>
      </c>
      <c r="AG170" s="68" t="n">
        <v>1709548</v>
      </c>
      <c r="AH170" s="45" t="n">
        <v>2965</v>
      </c>
      <c r="AI170" s="45" t="n">
        <v>2965</v>
      </c>
      <c r="AJ170" s="78">
        <f>TABL123[[#This Row],[(A/B) AJD]]-TABL123[[#This Row],[BER_IN]]</f>
        <v/>
      </c>
      <c r="AK170" s="68" t="n">
        <v>30</v>
      </c>
      <c r="AL170" s="87" t="n">
        <v>41.297</v>
      </c>
      <c r="AM170" s="87" t="n">
        <v>2197980</v>
      </c>
      <c r="AN170" s="87">
        <f>TABL123[[#This Row],[ (RESV. STORGE) SER]]/10</f>
        <v/>
      </c>
      <c r="AO170" s="45" t="n">
        <v>1830</v>
      </c>
      <c r="AP170" s="32">
        <f>TABL123[[#This Row],[(A/S) AJD]]-TABL123[[#This Row],[SER_IN]]</f>
        <v/>
      </c>
    </row>
    <row r="171" ht="18.75" customHeight="1">
      <c r="A171" s="2" t="n">
        <v>46192</v>
      </c>
      <c r="B171" s="41" t="n">
        <v>39</v>
      </c>
      <c r="C171" s="41" t="n">
        <v>318</v>
      </c>
      <c r="D171" s="41">
        <f>B171</f>
        <v/>
      </c>
      <c r="E171" s="28" t="n"/>
      <c r="F171" s="41" t="n">
        <v>93</v>
      </c>
      <c r="G171" s="39" t="n">
        <v>654</v>
      </c>
      <c r="H171" s="28">
        <f>103-F171</f>
        <v/>
      </c>
      <c r="I171" s="39" t="n">
        <v>507</v>
      </c>
      <c r="J171" s="39" t="n">
        <v>492</v>
      </c>
      <c r="K171" s="28">
        <f>TABL123[[#This Row],[ (T/B) SAR]]+TABL123[[#This Row],[ (S/S) SAR]]</f>
        <v/>
      </c>
      <c r="L171" s="41" t="n">
        <v>345</v>
      </c>
      <c r="M171" s="42" t="n">
        <v>24.5</v>
      </c>
      <c r="N171" s="42" t="n">
        <v>7.29</v>
      </c>
      <c r="O171" s="39" t="n">
        <v>410</v>
      </c>
      <c r="P171" s="3">
        <f>TABL123[[#This Row],[ (S/S) SAR]]-TABL123[[#This Row],[(S/S) AJD]]</f>
        <v/>
      </c>
      <c r="Q171" s="39" t="n">
        <v>442</v>
      </c>
      <c r="R171" s="3">
        <f>TABL123[[#This Row],[ (T/B) SAR]]-TABL123[[#This Row],[(T/B) AJD]]</f>
        <v/>
      </c>
      <c r="S171" s="3">
        <f>TABL123[[#This Row],[T/B-CON.]]+TABL123[[#This Row],[S/S_CON.]]</f>
        <v/>
      </c>
      <c r="T171" s="3">
        <f>TABL123[[#This Row],[(S/S) AJD]]+TABL123[[#This Row],[(T/B) AJD]]</f>
        <v/>
      </c>
      <c r="U171" s="41" t="n">
        <v>566</v>
      </c>
      <c r="V171" s="41" t="n">
        <v>276</v>
      </c>
      <c r="W171" s="3">
        <f>TABL123[[#This Row],[(A/B) AJD]]+TABL123[[#This Row],[(A/S) AJD]]</f>
        <v/>
      </c>
      <c r="X171" s="3">
        <f>TABL123[[#This Row],[( S/S+T/B) AJD]]-TABL123[[#This Row],[(A/B + A/S) AJD]]</f>
        <v/>
      </c>
      <c r="Y171" s="41" t="n">
        <v>92.422</v>
      </c>
      <c r="Z171" s="43" t="n">
        <v>450191</v>
      </c>
      <c r="AA171" s="3">
        <f>TABL123[[#This Row],[(RESV. STORGE) AJD]]/10</f>
        <v/>
      </c>
      <c r="AB171" s="45">
        <f>IF(TRIM(Z171)="",,(Z171-Z170)/1000)</f>
        <v/>
      </c>
      <c r="AC171" s="43" t="n">
        <v>3699</v>
      </c>
      <c r="AD171" s="83">
        <f>TABL123[[#This Row],[( S/S+T/B) AJD]]-(TABL123[[#This Row],[(A/B + A/S) AJD]]+TABL123[[#This Row],[(STORGE DIFF.) AJD]]+(TABL123[[#This Row],[AJD_Evaporation]])/1000)</f>
        <v/>
      </c>
      <c r="AE171" s="68" t="n">
        <v>60</v>
      </c>
      <c r="AF171" s="68" t="n">
        <v>59.17</v>
      </c>
      <c r="AG171" s="68" t="n">
        <v>1736008</v>
      </c>
      <c r="AH171" s="43" t="n">
        <v>1999</v>
      </c>
      <c r="AI171" s="43" t="n">
        <v>1999</v>
      </c>
      <c r="AJ171" s="78">
        <f>TABL123[[#This Row],[(A/B) AJD]]-TABL123[[#This Row],[BER_IN]]</f>
        <v/>
      </c>
      <c r="AK171" s="68" t="n">
        <v>30</v>
      </c>
      <c r="AL171" s="87" t="n">
        <v>41.2452</v>
      </c>
      <c r="AM171" s="87" t="n">
        <v>2170510</v>
      </c>
      <c r="AN171" s="87">
        <f>TABL123[[#This Row],[ (RESV. STORGE) SER]]/10</f>
        <v/>
      </c>
      <c r="AO171" s="43" t="n">
        <v>1870</v>
      </c>
      <c r="AP171" s="32">
        <f>TABL123[[#This Row],[(A/S) AJD]]-TABL123[[#This Row],[SER_IN]]</f>
        <v/>
      </c>
    </row>
    <row r="172" ht="18.75" customHeight="1">
      <c r="A172" s="2" t="n">
        <v>46193</v>
      </c>
      <c r="B172" s="44" t="n">
        <v>39</v>
      </c>
      <c r="C172" s="44" t="n">
        <v>321</v>
      </c>
      <c r="D172" s="44">
        <f>B172</f>
        <v/>
      </c>
      <c r="E172" s="28" t="n"/>
      <c r="F172" s="44" t="n">
        <v>93</v>
      </c>
      <c r="G172" s="40" t="n">
        <v>653</v>
      </c>
      <c r="H172" s="28">
        <f>103-F172</f>
        <v/>
      </c>
      <c r="I172" s="40" t="n">
        <v>504</v>
      </c>
      <c r="J172" s="40" t="n">
        <v>491</v>
      </c>
      <c r="K172" s="28">
        <f>TABL123[[#This Row],[ (T/B) SAR]]+TABL123[[#This Row],[ (S/S) SAR]]</f>
        <v/>
      </c>
      <c r="L172" s="44" t="n">
        <v>342</v>
      </c>
      <c r="M172" s="46" t="n">
        <v>24.5</v>
      </c>
      <c r="N172" s="46" t="n">
        <v>7.3</v>
      </c>
      <c r="O172" s="40" t="n">
        <v>412</v>
      </c>
      <c r="P172" s="3">
        <f>TABL123[[#This Row],[ (S/S) SAR]]-TABL123[[#This Row],[(S/S) AJD]]</f>
        <v/>
      </c>
      <c r="Q172" s="40" t="n">
        <v>445</v>
      </c>
      <c r="R172" s="3">
        <f>TABL123[[#This Row],[ (T/B) SAR]]-TABL123[[#This Row],[(T/B) AJD]]</f>
        <v/>
      </c>
      <c r="S172" s="3">
        <f>TABL123[[#This Row],[T/B-CON.]]+TABL123[[#This Row],[S/S_CON.]]</f>
        <v/>
      </c>
      <c r="T172" s="3">
        <f>TABL123[[#This Row],[(S/S) AJD]]+TABL123[[#This Row],[(T/B) AJD]]</f>
        <v/>
      </c>
      <c r="U172" s="44" t="n">
        <v>590</v>
      </c>
      <c r="V172" s="44" t="n">
        <v>278</v>
      </c>
      <c r="W172" s="3">
        <f>TABL123[[#This Row],[(A/B) AJD]]+TABL123[[#This Row],[(A/S) AJD]]</f>
        <v/>
      </c>
      <c r="X172" s="3">
        <f>TABL123[[#This Row],[( S/S+T/B) AJD]]-TABL123[[#This Row],[(A/B + A/S) AJD]]</f>
        <v/>
      </c>
      <c r="Y172" s="44" t="n">
        <v>92.375</v>
      </c>
      <c r="Z172" s="45" t="n">
        <v>422239</v>
      </c>
      <c r="AA172" s="3">
        <f>TABL123[[#This Row],[(RESV. STORGE) AJD]]/10</f>
        <v/>
      </c>
      <c r="AB172" s="45">
        <f>IF(TRIM(Z172)="",,(Z172-Z171)/1000)</f>
        <v/>
      </c>
      <c r="AC172" s="45" t="n">
        <v>3628</v>
      </c>
      <c r="AD172" s="83">
        <f>TABL123[[#This Row],[( S/S+T/B) AJD]]-(TABL123[[#This Row],[(A/B + A/S) AJD]]+TABL123[[#This Row],[(STORGE DIFF.) AJD]]+(TABL123[[#This Row],[AJD_Evaporation]])/1000)</f>
        <v/>
      </c>
      <c r="AE172" s="68" t="n">
        <v>60</v>
      </c>
      <c r="AF172" s="68" t="n">
        <v>59.19</v>
      </c>
      <c r="AG172" s="68" t="n">
        <v>1749244</v>
      </c>
      <c r="AH172" s="45" t="n">
        <v>2498</v>
      </c>
      <c r="AI172" s="45" t="n">
        <v>2498</v>
      </c>
      <c r="AJ172" s="78">
        <f>TABL123[[#This Row],[(A/B) AJD]]-TABL123[[#This Row],[BER_IN]]</f>
        <v/>
      </c>
      <c r="AK172" s="68" t="n">
        <v>30</v>
      </c>
      <c r="AL172" s="87" t="n">
        <v>41.245</v>
      </c>
      <c r="AM172" s="87" t="n">
        <v>2170490</v>
      </c>
      <c r="AN172" s="87">
        <f>TABL123[[#This Row],[ (RESV. STORGE) SER]]/10</f>
        <v/>
      </c>
      <c r="AO172" s="45" t="n">
        <v>1820</v>
      </c>
      <c r="AP172" s="32">
        <f>TABL123[[#This Row],[(A/S) AJD]]-TABL123[[#This Row],[SER_IN]]</f>
        <v/>
      </c>
    </row>
    <row r="173" ht="18.75" customHeight="1">
      <c r="A173" s="2" t="n">
        <v>46194</v>
      </c>
      <c r="B173" s="41" t="n">
        <v>40</v>
      </c>
      <c r="C173" s="41" t="n">
        <v>325</v>
      </c>
      <c r="D173" s="41">
        <f>B173</f>
        <v/>
      </c>
      <c r="E173" s="28" t="n"/>
      <c r="F173" s="41" t="n">
        <v>93</v>
      </c>
      <c r="G173" s="39" t="n">
        <v>653</v>
      </c>
      <c r="H173" s="28">
        <f>103-F173</f>
        <v/>
      </c>
      <c r="I173" s="39" t="n">
        <v>506</v>
      </c>
      <c r="J173" s="39" t="n">
        <v>492</v>
      </c>
      <c r="K173" s="28">
        <f>TABL123[[#This Row],[ (T/B) SAR]]+TABL123[[#This Row],[ (S/S) SAR]]</f>
        <v/>
      </c>
      <c r="L173" s="41" t="n">
        <v>345</v>
      </c>
      <c r="M173" s="42" t="n">
        <v>24.5</v>
      </c>
      <c r="N173" s="42" t="n">
        <v>7.35</v>
      </c>
      <c r="O173" s="39" t="n">
        <v>413</v>
      </c>
      <c r="P173" s="3">
        <f>TABL123[[#This Row],[ (S/S) SAR]]-TABL123[[#This Row],[(S/S) AJD]]</f>
        <v/>
      </c>
      <c r="Q173" s="39" t="n">
        <v>444</v>
      </c>
      <c r="R173" s="3">
        <f>TABL123[[#This Row],[ (T/B) SAR]]-TABL123[[#This Row],[(T/B) AJD]]</f>
        <v/>
      </c>
      <c r="S173" s="3">
        <f>TABL123[[#This Row],[T/B-CON.]]+TABL123[[#This Row],[S/S_CON.]]</f>
        <v/>
      </c>
      <c r="T173" s="3">
        <f>TABL123[[#This Row],[(S/S) AJD]]+TABL123[[#This Row],[(T/B) AJD]]</f>
        <v/>
      </c>
      <c r="U173" s="41" t="n">
        <v>566</v>
      </c>
      <c r="V173" s="41" t="n">
        <v>274</v>
      </c>
      <c r="W173" s="3">
        <f>TABL123[[#This Row],[(A/B) AJD]]+TABL123[[#This Row],[(A/S) AJD]]</f>
        <v/>
      </c>
      <c r="X173" s="3">
        <f>TABL123[[#This Row],[( S/S+T/B) AJD]]-TABL123[[#This Row],[(A/B + A/S) AJD]]</f>
        <v/>
      </c>
      <c r="Y173" s="41" t="n">
        <v>92.366</v>
      </c>
      <c r="Z173" s="43" t="n">
        <v>416282</v>
      </c>
      <c r="AA173" s="3">
        <f>TABL123[[#This Row],[(RESV. STORGE) AJD]]/10</f>
        <v/>
      </c>
      <c r="AB173" s="45">
        <f>IF(TRIM(Z173)="",,(Z173-Z172)/1000)</f>
        <v/>
      </c>
      <c r="AC173" s="43" t="n">
        <v>0</v>
      </c>
      <c r="AD173" s="83">
        <f>TABL123[[#This Row],[( S/S+T/B) AJD]]-(TABL123[[#This Row],[(A/B + A/S) AJD]]+TABL123[[#This Row],[(STORGE DIFF.) AJD]]+(TABL123[[#This Row],[AJD_Evaporation]])/1000)</f>
        <v/>
      </c>
      <c r="AE173" s="68" t="n">
        <v>60</v>
      </c>
      <c r="AF173" s="68" t="n">
        <v>59.22</v>
      </c>
      <c r="AG173" s="68" t="n">
        <v>1769103</v>
      </c>
      <c r="AH173" s="43" t="n">
        <v>2287</v>
      </c>
      <c r="AI173" s="43" t="n">
        <v>2287</v>
      </c>
      <c r="AJ173" s="78">
        <f>TABL123[[#This Row],[(A/B) AJD]]-TABL123[[#This Row],[BER_IN]]</f>
        <v/>
      </c>
      <c r="AK173" s="68" t="n">
        <v>30</v>
      </c>
      <c r="AL173" s="87" t="n">
        <v>41.2286</v>
      </c>
      <c r="AM173" s="87" t="n">
        <v>2162020</v>
      </c>
      <c r="AN173" s="87">
        <f>TABL123[[#This Row],[ (RESV. STORGE) SER]]/10</f>
        <v/>
      </c>
      <c r="AO173" s="43" t="n">
        <v>1870</v>
      </c>
      <c r="AP173" s="32">
        <f>TABL123[[#This Row],[(A/S) AJD]]-TABL123[[#This Row],[SER_IN]]</f>
        <v/>
      </c>
    </row>
    <row r="174" ht="18.75" customHeight="1">
      <c r="A174" s="2" t="n">
        <v>46195</v>
      </c>
      <c r="B174" s="44" t="n">
        <v>40</v>
      </c>
      <c r="C174" s="44" t="n">
        <v>333</v>
      </c>
      <c r="D174" s="44">
        <f>B174</f>
        <v/>
      </c>
      <c r="E174" s="28" t="n"/>
      <c r="F174" s="44" t="n">
        <v>93</v>
      </c>
      <c r="G174" s="40" t="n">
        <v>658</v>
      </c>
      <c r="H174" s="28">
        <f>103-F174</f>
        <v/>
      </c>
      <c r="I174" s="40" t="n">
        <v>507</v>
      </c>
      <c r="J174" s="44" t="n">
        <v>493</v>
      </c>
      <c r="K174" s="28">
        <f>TABL123[[#This Row],[ (T/B) SAR]]+TABL123[[#This Row],[ (S/S) SAR]]</f>
        <v/>
      </c>
      <c r="L174" s="45" t="n">
        <v>346</v>
      </c>
      <c r="M174" s="46" t="n">
        <v>24.5</v>
      </c>
      <c r="N174" s="46" t="n">
        <v>7.44</v>
      </c>
      <c r="O174" s="40" t="n">
        <v>413</v>
      </c>
      <c r="P174" s="3">
        <f>TABL123[[#This Row],[ (S/S) SAR]]-TABL123[[#This Row],[(S/S) AJD]]</f>
        <v/>
      </c>
      <c r="Q174" s="40" t="n">
        <v>444</v>
      </c>
      <c r="R174" s="3">
        <f>TABL123[[#This Row],[ (T/B) SAR]]-TABL123[[#This Row],[(T/B) AJD]]</f>
        <v/>
      </c>
      <c r="S174" s="3">
        <f>TABL123[[#This Row],[T/B-CON.]]+TABL123[[#This Row],[S/S_CON.]]</f>
        <v/>
      </c>
      <c r="T174" s="3">
        <f>TABL123[[#This Row],[(S/S) AJD]]+TABL123[[#This Row],[(T/B) AJD]]</f>
        <v/>
      </c>
      <c r="U174" s="44" t="n">
        <v>565</v>
      </c>
      <c r="V174" s="44" t="n">
        <v>264</v>
      </c>
      <c r="W174" s="3">
        <f>TABL123[[#This Row],[(A/B) AJD]]+TABL123[[#This Row],[(A/S) AJD]]</f>
        <v/>
      </c>
      <c r="X174" s="3">
        <f>TABL123[[#This Row],[( S/S+T/B) AJD]]-TABL123[[#This Row],[(A/B + A/S) AJD]]</f>
        <v/>
      </c>
      <c r="Y174" s="44" t="n">
        <v>92.358</v>
      </c>
      <c r="Z174" s="45" t="n">
        <v>412122</v>
      </c>
      <c r="AA174" s="3">
        <f>TABL123[[#This Row],[(RESV. STORGE) AJD]]/10</f>
        <v/>
      </c>
      <c r="AB174" s="45">
        <f>IF(TRIM(Z174)="",,(Z174-Z173)/1000)</f>
        <v/>
      </c>
      <c r="AC174" s="45" t="n">
        <v>3100</v>
      </c>
      <c r="AD174" s="83">
        <f>TABL123[[#This Row],[( S/S+T/B) AJD]]-(TABL123[[#This Row],[(A/B + A/S) AJD]]+TABL123[[#This Row],[(STORGE DIFF.) AJD]]+(TABL123[[#This Row],[AJD_Evaporation]])/1000)</f>
        <v/>
      </c>
      <c r="AE174" s="68" t="n">
        <v>60</v>
      </c>
      <c r="AF174" s="68" t="n">
        <v>59.25</v>
      </c>
      <c r="AG174" s="68" t="n">
        <v>1788970</v>
      </c>
      <c r="AH174" s="45" t="n">
        <v>2015</v>
      </c>
      <c r="AI174" s="45" t="n">
        <v>2015</v>
      </c>
      <c r="AJ174" s="78">
        <f>TABL123[[#This Row],[(A/B) AJD]]-TABL123[[#This Row],[BER_IN]]</f>
        <v/>
      </c>
      <c r="AK174" s="68" t="n">
        <v>30</v>
      </c>
      <c r="AL174" s="87" t="n">
        <v>41.183</v>
      </c>
      <c r="AM174" s="87" t="n">
        <v>2137770</v>
      </c>
      <c r="AN174" s="87">
        <f>TABL123[[#This Row],[ (RESV. STORGE) SER]]/10</f>
        <v/>
      </c>
      <c r="AO174" s="45" t="n">
        <v>1850</v>
      </c>
      <c r="AP174" s="32">
        <f>TABL123[[#This Row],[(A/S) AJD]]-TABL123[[#This Row],[SER_IN]]</f>
        <v/>
      </c>
    </row>
    <row r="175" ht="18.75" customHeight="1">
      <c r="A175" s="2" t="n">
        <v>46196</v>
      </c>
      <c r="B175" s="41" t="n">
        <v>40</v>
      </c>
      <c r="C175" s="41" t="n">
        <v>324</v>
      </c>
      <c r="D175" s="41">
        <f>B175</f>
        <v/>
      </c>
      <c r="E175" s="28" t="n"/>
      <c r="F175" s="41" t="n">
        <v>93</v>
      </c>
      <c r="G175" s="39" t="n">
        <v>652</v>
      </c>
      <c r="H175" s="28">
        <f>103-F175</f>
        <v/>
      </c>
      <c r="I175" s="39" t="n">
        <v>507</v>
      </c>
      <c r="J175" s="39" t="n">
        <v>494</v>
      </c>
      <c r="K175" s="28">
        <f>TABL123[[#This Row],[ (T/B) SAR]]+TABL123[[#This Row],[ (S/S) SAR]]</f>
        <v/>
      </c>
      <c r="L175" s="41" t="n">
        <v>349</v>
      </c>
      <c r="M175" s="42" t="n">
        <v>24.5</v>
      </c>
      <c r="N175" s="42" t="n">
        <v>7.51</v>
      </c>
      <c r="O175" s="39" t="n">
        <v>415</v>
      </c>
      <c r="P175" s="3">
        <f>TABL123[[#This Row],[ (S/S) SAR]]-TABL123[[#This Row],[(S/S) AJD]]</f>
        <v/>
      </c>
      <c r="Q175" s="39" t="n">
        <v>444</v>
      </c>
      <c r="R175" s="3">
        <f>TABL123[[#This Row],[ (T/B) SAR]]-TABL123[[#This Row],[(T/B) AJD]]</f>
        <v/>
      </c>
      <c r="S175" s="3">
        <f>TABL123[[#This Row],[T/B-CON.]]+TABL123[[#This Row],[S/S_CON.]]</f>
        <v/>
      </c>
      <c r="T175" s="3">
        <f>TABL123[[#This Row],[(S/S) AJD]]+TABL123[[#This Row],[(T/B) AJD]]</f>
        <v/>
      </c>
      <c r="U175" s="41" t="n">
        <v>558</v>
      </c>
      <c r="V175" s="41" t="n">
        <v>274</v>
      </c>
      <c r="W175" s="3">
        <f>TABL123[[#This Row],[(A/B) AJD]]+TABL123[[#This Row],[(A/S) AJD]]</f>
        <v/>
      </c>
      <c r="X175" s="3">
        <f>TABL123[[#This Row],[( S/S+T/B) AJD]]-TABL123[[#This Row],[(A/B + A/S) AJD]]</f>
        <v/>
      </c>
      <c r="Y175" s="41" t="n">
        <v>92.36</v>
      </c>
      <c r="Z175" s="43" t="n">
        <v>413311</v>
      </c>
      <c r="AA175" s="3">
        <f>TABL123[[#This Row],[(RESV. STORGE) AJD]]/10</f>
        <v/>
      </c>
      <c r="AB175" s="45">
        <f>IF(TRIM(Z175)="",,(Z175-Z174)/1000)</f>
        <v/>
      </c>
      <c r="AC175" s="43" t="n">
        <v>2780</v>
      </c>
      <c r="AD175" s="83">
        <f>TABL123[[#This Row],[( S/S+T/B) AJD]]-(TABL123[[#This Row],[(A/B + A/S) AJD]]+TABL123[[#This Row],[(STORGE DIFF.) AJD]]+(TABL123[[#This Row],[AJD_Evaporation]])/1000)</f>
        <v/>
      </c>
      <c r="AE175" s="68" t="n">
        <v>60</v>
      </c>
      <c r="AF175" s="68" t="n">
        <v>59.27</v>
      </c>
      <c r="AG175" s="68" t="n">
        <v>1802219</v>
      </c>
      <c r="AH175" s="43" t="n">
        <v>2524</v>
      </c>
      <c r="AI175" s="43" t="n">
        <v>2524</v>
      </c>
      <c r="AJ175" s="78">
        <f>TABL123[[#This Row],[(A/B) AJD]]-TABL123[[#This Row],[BER_IN]]</f>
        <v/>
      </c>
      <c r="AK175" s="68" t="n">
        <v>30</v>
      </c>
      <c r="AL175" s="87" t="n">
        <v>41.1451</v>
      </c>
      <c r="AM175" s="87" t="n">
        <v>2117740</v>
      </c>
      <c r="AN175" s="87">
        <f>TABL123[[#This Row],[ (RESV. STORGE) SER]]/10</f>
        <v/>
      </c>
      <c r="AO175" s="43" t="n">
        <v>1830</v>
      </c>
      <c r="AP175" s="32">
        <f>TABL123[[#This Row],[(A/S) AJD]]-TABL123[[#This Row],[SER_IN]]</f>
        <v/>
      </c>
    </row>
    <row r="176" ht="18.75" customHeight="1">
      <c r="A176" s="2" t="n">
        <v>46197</v>
      </c>
      <c r="B176" s="44" t="n">
        <v>40</v>
      </c>
      <c r="C176" s="44" t="n">
        <v>299</v>
      </c>
      <c r="D176" s="44">
        <f>B176</f>
        <v/>
      </c>
      <c r="E176" s="28" t="n"/>
      <c r="F176" s="44" t="n">
        <v>0</v>
      </c>
      <c r="G176" s="40" t="n">
        <v>642</v>
      </c>
      <c r="H176" s="28">
        <f>103-F176</f>
        <v/>
      </c>
      <c r="I176" s="40" t="n">
        <v>507</v>
      </c>
      <c r="J176" s="44" t="n">
        <v>480</v>
      </c>
      <c r="K176" s="28">
        <f>TABL123[[#This Row],[ (T/B) SAR]]+TABL123[[#This Row],[ (S/S) SAR]]</f>
        <v/>
      </c>
      <c r="L176" s="45" t="n">
        <v>345</v>
      </c>
      <c r="M176" s="46" t="n">
        <v>24.5</v>
      </c>
      <c r="N176" s="46" t="n">
        <v>7.54</v>
      </c>
      <c r="O176" s="40" t="n">
        <v>413</v>
      </c>
      <c r="P176" s="3">
        <f>TABL123[[#This Row],[ (S/S) SAR]]-TABL123[[#This Row],[(S/S) AJD]]</f>
        <v/>
      </c>
      <c r="Q176" s="40" t="n">
        <v>443</v>
      </c>
      <c r="R176" s="3">
        <f>TABL123[[#This Row],[ (T/B) SAR]]-TABL123[[#This Row],[(T/B) AJD]]</f>
        <v/>
      </c>
      <c r="S176" s="3">
        <f>TABL123[[#This Row],[T/B-CON.]]+TABL123[[#This Row],[S/S_CON.]]</f>
        <v/>
      </c>
      <c r="T176" s="3">
        <f>TABL123[[#This Row],[(S/S) AJD]]+TABL123[[#This Row],[(T/B) AJD]]</f>
        <v/>
      </c>
      <c r="U176" s="44" t="n">
        <v>547</v>
      </c>
      <c r="V176" s="44" t="n">
        <v>297</v>
      </c>
      <c r="W176" s="3">
        <f>TABL123[[#This Row],[(A/B) AJD]]+TABL123[[#This Row],[(A/S) AJD]]</f>
        <v/>
      </c>
      <c r="X176" s="3">
        <f>TABL123[[#This Row],[( S/S+T/B) AJD]]-TABL123[[#This Row],[(A/B + A/S) AJD]]</f>
        <v/>
      </c>
      <c r="Y176" s="44" t="n">
        <v>92.33</v>
      </c>
      <c r="Z176" s="45" t="n">
        <v>395479</v>
      </c>
      <c r="AA176" s="3">
        <f>TABL123[[#This Row],[(RESV. STORGE) AJD]]/10</f>
        <v/>
      </c>
      <c r="AB176" s="45">
        <f>IF(TRIM(Z176)="",,(Z176-Z175)/1000)</f>
        <v/>
      </c>
      <c r="AC176" s="45" t="n">
        <v>3203</v>
      </c>
      <c r="AD176" s="83">
        <f>TABL123[[#This Row],[( S/S+T/B) AJD]]-(TABL123[[#This Row],[(A/B + A/S) AJD]]+TABL123[[#This Row],[(STORGE DIFF.) AJD]]+(TABL123[[#This Row],[AJD_Evaporation]])/1000)</f>
        <v/>
      </c>
      <c r="AE176" s="68" t="n">
        <v>60</v>
      </c>
      <c r="AF176" s="68" t="n">
        <v>59.28</v>
      </c>
      <c r="AG176" s="68" t="n">
        <v>1808845</v>
      </c>
      <c r="AH176" s="45" t="n">
        <v>2060</v>
      </c>
      <c r="AI176" s="45" t="n">
        <v>2060</v>
      </c>
      <c r="AJ176" s="78">
        <f>TABL123[[#This Row],[(A/B) AJD]]-TABL123[[#This Row],[BER_IN]]</f>
        <v/>
      </c>
      <c r="AK176" s="68" t="n">
        <v>30</v>
      </c>
      <c r="AL176" s="87" t="n">
        <v>41.1284</v>
      </c>
      <c r="AM176" s="87" t="n">
        <v>2109030</v>
      </c>
      <c r="AN176" s="87">
        <f>TABL123[[#This Row],[ (RESV. STORGE) SER]]/10</f>
        <v/>
      </c>
      <c r="AO176" s="45" t="n">
        <v>1810</v>
      </c>
      <c r="AP176" s="32">
        <f>TABL123[[#This Row],[(A/S) AJD]]-TABL123[[#This Row],[SER_IN]]</f>
        <v/>
      </c>
    </row>
    <row r="177" ht="18.75" customHeight="1">
      <c r="A177" s="2" t="n">
        <v>46198</v>
      </c>
      <c r="B177" s="41" t="n">
        <v>40</v>
      </c>
      <c r="C177" s="41" t="n">
        <v>207</v>
      </c>
      <c r="D177" s="41">
        <f>B177</f>
        <v/>
      </c>
      <c r="E177" s="28" t="n"/>
      <c r="F177" s="41" t="n">
        <v>92</v>
      </c>
      <c r="G177" s="39" t="n">
        <v>629</v>
      </c>
      <c r="H177" s="28">
        <f>103-F177</f>
        <v/>
      </c>
      <c r="I177" s="39" t="n">
        <v>478</v>
      </c>
      <c r="J177" s="39" t="n">
        <v>465</v>
      </c>
      <c r="K177" s="28">
        <f>TABL123[[#This Row],[ (T/B) SAR]]+TABL123[[#This Row],[ (S/S) SAR]]</f>
        <v/>
      </c>
      <c r="L177" s="41" t="n">
        <v>314</v>
      </c>
      <c r="M177" s="42" t="n">
        <v>23.7</v>
      </c>
      <c r="N177" s="42" t="n">
        <v>6.83</v>
      </c>
      <c r="O177" s="39" t="n">
        <v>365</v>
      </c>
      <c r="P177" s="3">
        <f>TABL123[[#This Row],[ (S/S) SAR]]-TABL123[[#This Row],[(S/S) AJD]]</f>
        <v/>
      </c>
      <c r="Q177" s="39" t="n">
        <v>392</v>
      </c>
      <c r="R177" s="3">
        <f>TABL123[[#This Row],[ (T/B) SAR]]-TABL123[[#This Row],[(T/B) AJD]]</f>
        <v/>
      </c>
      <c r="S177" s="3">
        <f>TABL123[[#This Row],[T/B-CON.]]+TABL123[[#This Row],[S/S_CON.]]</f>
        <v/>
      </c>
      <c r="T177" s="3">
        <f>TABL123[[#This Row],[(S/S) AJD]]+TABL123[[#This Row],[(T/B) AJD]]</f>
        <v/>
      </c>
      <c r="U177" s="41" t="n">
        <v>519</v>
      </c>
      <c r="V177" s="41" t="n">
        <v>271</v>
      </c>
      <c r="W177" s="3">
        <f>TABL123[[#This Row],[(A/B) AJD]]+TABL123[[#This Row],[(A/S) AJD]]</f>
        <v/>
      </c>
      <c r="X177" s="3">
        <f>TABL123[[#This Row],[( S/S+T/B) AJD]]-TABL123[[#This Row],[(A/B + A/S) AJD]]</f>
        <v/>
      </c>
      <c r="Y177" s="41" t="n">
        <v>92.22799999999999</v>
      </c>
      <c r="Z177" s="43" t="n">
        <v>334903</v>
      </c>
      <c r="AA177" s="3">
        <f>TABL123[[#This Row],[(RESV. STORGE) AJD]]/10</f>
        <v/>
      </c>
      <c r="AB177" s="45">
        <f>IF(TRIM(Z177)="",,(Z177-Z176)/1000)</f>
        <v/>
      </c>
      <c r="AC177" s="43" t="n">
        <v>2202</v>
      </c>
      <c r="AD177" s="83">
        <f>TABL123[[#This Row],[( S/S+T/B) AJD]]-(TABL123[[#This Row],[(A/B + A/S) AJD]]+TABL123[[#This Row],[(STORGE DIFF.) AJD]]+(TABL123[[#This Row],[AJD_Evaporation]])/1000)</f>
        <v/>
      </c>
      <c r="AE177" s="68" t="n">
        <v>53</v>
      </c>
      <c r="AF177" s="68" t="n">
        <v>59.24</v>
      </c>
      <c r="AG177" s="68" t="n">
        <v>1782347</v>
      </c>
      <c r="AH177" s="43" t="n">
        <v>2157</v>
      </c>
      <c r="AI177" s="43" t="n">
        <v>2157</v>
      </c>
      <c r="AJ177" s="78">
        <f>TABL123[[#This Row],[(A/B) AJD]]-TABL123[[#This Row],[BER_IN]]</f>
        <v/>
      </c>
      <c r="AK177" s="68" t="n">
        <v>16</v>
      </c>
      <c r="AL177" s="87" t="n">
        <v>41.1309</v>
      </c>
      <c r="AM177" s="87" t="n">
        <v>2110370</v>
      </c>
      <c r="AN177" s="87">
        <f>TABL123[[#This Row],[ (RESV. STORGE) SER]]/10</f>
        <v/>
      </c>
      <c r="AO177" s="43" t="n">
        <v>1860</v>
      </c>
      <c r="AP177" s="32">
        <f>TABL123[[#This Row],[(A/S) AJD]]-TABL123[[#This Row],[SER_IN]]</f>
        <v/>
      </c>
    </row>
    <row r="178" ht="18.75" customHeight="1">
      <c r="A178" s="2" t="n">
        <v>46199</v>
      </c>
      <c r="B178" s="44" t="n">
        <v>41</v>
      </c>
      <c r="C178" s="44" t="n">
        <v>334</v>
      </c>
      <c r="D178" s="44">
        <f>B178</f>
        <v/>
      </c>
      <c r="E178" s="28" t="n"/>
      <c r="F178" s="44" t="n">
        <v>92</v>
      </c>
      <c r="G178" s="40" t="n">
        <v>625</v>
      </c>
      <c r="H178" s="28">
        <f>103-F178</f>
        <v/>
      </c>
      <c r="I178" s="40" t="n">
        <v>479</v>
      </c>
      <c r="J178" s="44" t="n">
        <v>464</v>
      </c>
      <c r="K178" s="28">
        <f>TABL123[[#This Row],[ (T/B) SAR]]+TABL123[[#This Row],[ (S/S) SAR]]</f>
        <v/>
      </c>
      <c r="L178" s="45" t="n">
        <v>318</v>
      </c>
      <c r="M178" s="46" t="n">
        <v>23.7</v>
      </c>
      <c r="N178" s="46" t="n">
        <v>6.97</v>
      </c>
      <c r="O178" s="40" t="n">
        <v>383</v>
      </c>
      <c r="P178" s="3">
        <f>TABL123[[#This Row],[ (S/S) SAR]]-TABL123[[#This Row],[(S/S) AJD]]</f>
        <v/>
      </c>
      <c r="Q178" s="40" t="n">
        <v>405</v>
      </c>
      <c r="R178" s="3">
        <f>TABL123[[#This Row],[ (T/B) SAR]]-TABL123[[#This Row],[(T/B) AJD]]</f>
        <v/>
      </c>
      <c r="S178" s="3">
        <f>TABL123[[#This Row],[T/B-CON.]]+TABL123[[#This Row],[S/S_CON.]]</f>
        <v/>
      </c>
      <c r="T178" s="3">
        <f>TABL123[[#This Row],[(S/S) AJD]]+TABL123[[#This Row],[(T/B) AJD]]</f>
        <v/>
      </c>
      <c r="U178" s="44" t="n">
        <v>553</v>
      </c>
      <c r="V178" s="44" t="n">
        <v>259</v>
      </c>
      <c r="W178" s="3">
        <f>TABL123[[#This Row],[(A/B) AJD]]+TABL123[[#This Row],[(A/S) AJD]]</f>
        <v/>
      </c>
      <c r="X178" s="3">
        <f>TABL123[[#This Row],[( S/S+T/B) AJD]]-TABL123[[#This Row],[(A/B + A/S) AJD]]</f>
        <v/>
      </c>
      <c r="Y178" s="44" t="n">
        <v>92.148</v>
      </c>
      <c r="Z178" s="45" t="n">
        <v>287457</v>
      </c>
      <c r="AA178" s="3">
        <f>TABL123[[#This Row],[(RESV. STORGE) AJD]]/10</f>
        <v/>
      </c>
      <c r="AB178" s="45">
        <f>IF(TRIM(Z178)="",,(Z178-Z177)/1000)</f>
        <v/>
      </c>
      <c r="AC178" s="45" t="n">
        <v>1938</v>
      </c>
      <c r="AD178" s="83">
        <f>TABL123[[#This Row],[( S/S+T/B) AJD]]-(TABL123[[#This Row],[(A/B + A/S) AJD]]+TABL123[[#This Row],[(STORGE DIFF.) AJD]]+(TABL123[[#This Row],[AJD_Evaporation]])/1000)</f>
        <v/>
      </c>
      <c r="AE178" s="68" t="n">
        <v>40</v>
      </c>
      <c r="AF178" s="68" t="n">
        <v>59.16</v>
      </c>
      <c r="AG178" s="68" t="n">
        <v>1729392</v>
      </c>
      <c r="AH178" s="45" t="n">
        <v>2513</v>
      </c>
      <c r="AI178" s="45" t="n">
        <v>2513</v>
      </c>
      <c r="AJ178" s="78">
        <f>TABL123[[#This Row],[(A/B) AJD]]-TABL123[[#This Row],[BER_IN]]</f>
        <v/>
      </c>
      <c r="AK178" s="68" t="n">
        <v>13</v>
      </c>
      <c r="AL178" s="87" t="n">
        <v>41.1358</v>
      </c>
      <c r="AM178" s="87" t="n">
        <v>2113010</v>
      </c>
      <c r="AN178" s="87">
        <f>TABL123[[#This Row],[ (RESV. STORGE) SER]]/10</f>
        <v/>
      </c>
      <c r="AO178" s="45" t="n">
        <v>1860</v>
      </c>
      <c r="AP178" s="32">
        <f>TABL123[[#This Row],[(A/S) AJD]]-TABL123[[#This Row],[SER_IN]]</f>
        <v/>
      </c>
    </row>
    <row r="179" ht="18.75" customHeight="1">
      <c r="A179" s="2" t="n">
        <v>46200</v>
      </c>
      <c r="B179" s="41" t="n">
        <v>41</v>
      </c>
      <c r="C179" s="41" t="n">
        <v>342</v>
      </c>
      <c r="D179" s="41">
        <f>B179</f>
        <v/>
      </c>
      <c r="E179" s="28" t="n"/>
      <c r="F179" s="41" t="n">
        <v>92</v>
      </c>
      <c r="G179" s="39" t="n">
        <v>631</v>
      </c>
      <c r="H179" s="28">
        <f>103-F179</f>
        <v/>
      </c>
      <c r="I179" s="39" t="n">
        <v>482</v>
      </c>
      <c r="J179" s="39" t="n">
        <v>470</v>
      </c>
      <c r="K179" s="28">
        <f>TABL123[[#This Row],[ (T/B) SAR]]+TABL123[[#This Row],[ (S/S) SAR]]</f>
        <v/>
      </c>
      <c r="L179" s="41" t="n"/>
      <c r="M179" s="42" t="n">
        <v>23.7</v>
      </c>
      <c r="N179" s="42" t="n">
        <v>7.4</v>
      </c>
      <c r="O179" s="39" t="n">
        <v>388</v>
      </c>
      <c r="P179" s="3">
        <f>TABL123[[#This Row],[ (S/S) SAR]]-TABL123[[#This Row],[(S/S) AJD]]</f>
        <v/>
      </c>
      <c r="Q179" s="39" t="n">
        <v>420</v>
      </c>
      <c r="R179" s="3">
        <f>TABL123[[#This Row],[ (T/B) SAR]]-TABL123[[#This Row],[(T/B) AJD]]</f>
        <v/>
      </c>
      <c r="S179" s="3">
        <f>TABL123[[#This Row],[T/B-CON.]]+TABL123[[#This Row],[S/S_CON.]]</f>
        <v/>
      </c>
      <c r="T179" s="3">
        <f>TABL123[[#This Row],[(S/S) AJD]]+TABL123[[#This Row],[(T/B) AJD]]</f>
        <v/>
      </c>
      <c r="U179" s="41" t="n">
        <v>555</v>
      </c>
      <c r="V179" s="41" t="n">
        <v>286</v>
      </c>
      <c r="W179" s="3">
        <f>TABL123[[#This Row],[(A/B) AJD]]+TABL123[[#This Row],[(A/S) AJD]]</f>
        <v/>
      </c>
      <c r="X179" s="3">
        <f>TABL123[[#This Row],[( S/S+T/B) AJD]]-TABL123[[#This Row],[(A/B + A/S) AJD]]</f>
        <v/>
      </c>
      <c r="Y179" s="41" t="n">
        <v>92.04600000000001</v>
      </c>
      <c r="Z179" s="43" t="n">
        <v>227032</v>
      </c>
      <c r="AA179" s="3">
        <f>TABL123[[#This Row],[(RESV. STORGE) AJD]]/10</f>
        <v/>
      </c>
      <c r="AB179" s="45">
        <f>IF(TRIM(Z179)="",,(Z179-Z178)/1000)</f>
        <v/>
      </c>
      <c r="AC179" s="43" t="n">
        <v>2391</v>
      </c>
      <c r="AD179" s="83">
        <f>TABL123[[#This Row],[( S/S+T/B) AJD]]-(TABL123[[#This Row],[(A/B + A/S) AJD]]+TABL123[[#This Row],[(STORGE DIFF.) AJD]]+(TABL123[[#This Row],[AJD_Evaporation]])/1000)</f>
        <v/>
      </c>
      <c r="AE179" s="68" t="n">
        <v>40</v>
      </c>
      <c r="AF179" s="68" t="n">
        <v>59.13</v>
      </c>
      <c r="AG179" s="68" t="n">
        <v>1709548</v>
      </c>
      <c r="AH179" s="43" t="n">
        <v>2643</v>
      </c>
      <c r="AI179" s="43" t="n">
        <v>2643</v>
      </c>
      <c r="AJ179" s="78">
        <f>TABL123[[#This Row],[(A/B) AJD]]-TABL123[[#This Row],[BER_IN]]</f>
        <v/>
      </c>
      <c r="AK179" s="68" t="n">
        <v>13</v>
      </c>
      <c r="AL179" s="87" t="n">
        <v>41.138</v>
      </c>
      <c r="AM179" s="87" t="n">
        <v>2114640</v>
      </c>
      <c r="AN179" s="87">
        <f>TABL123[[#This Row],[ (RESV. STORGE) SER]]/10</f>
        <v/>
      </c>
      <c r="AO179" s="43" t="n">
        <v>1870</v>
      </c>
      <c r="AP179" s="32">
        <f>TABL123[[#This Row],[(A/S) AJD]]-TABL123[[#This Row],[SER_IN]]</f>
        <v/>
      </c>
    </row>
    <row r="180" ht="18.75" customHeight="1">
      <c r="A180" s="2" t="n">
        <v>46201</v>
      </c>
      <c r="B180" s="44" t="n">
        <v>42</v>
      </c>
      <c r="C180" s="44" t="n">
        <v>356</v>
      </c>
      <c r="D180" s="44">
        <f>B180</f>
        <v/>
      </c>
      <c r="E180" s="28" t="n"/>
      <c r="F180" s="44" t="n">
        <v>92</v>
      </c>
      <c r="G180" s="40" t="n">
        <v>637</v>
      </c>
      <c r="H180" s="28">
        <f>103-F180</f>
        <v/>
      </c>
      <c r="I180" s="40" t="n">
        <v>486</v>
      </c>
      <c r="J180" s="44" t="n">
        <v>473</v>
      </c>
      <c r="K180" s="28">
        <f>TABL123[[#This Row],[ (T/B) SAR]]+TABL123[[#This Row],[ (S/S) SAR]]</f>
        <v/>
      </c>
      <c r="L180" s="45" t="n"/>
      <c r="M180" s="46" t="n">
        <v>23.7</v>
      </c>
      <c r="N180" s="46" t="n">
        <v>7.4</v>
      </c>
      <c r="O180" s="40" t="n">
        <v>393</v>
      </c>
      <c r="P180" s="3">
        <f>TABL123[[#This Row],[ (S/S) SAR]]-TABL123[[#This Row],[(S/S) AJD]]</f>
        <v/>
      </c>
      <c r="Q180" s="40" t="n">
        <v>423</v>
      </c>
      <c r="R180" s="3">
        <f>TABL123[[#This Row],[ (T/B) SAR]]-TABL123[[#This Row],[(T/B) AJD]]</f>
        <v/>
      </c>
      <c r="S180" s="3">
        <f>TABL123[[#This Row],[T/B-CON.]]+TABL123[[#This Row],[S/S_CON.]]</f>
        <v/>
      </c>
      <c r="T180" s="3">
        <f>TABL123[[#This Row],[(S/S) AJD]]+TABL123[[#This Row],[(T/B) AJD]]</f>
        <v/>
      </c>
      <c r="U180" s="44" t="n">
        <v>554</v>
      </c>
      <c r="V180" s="44" t="n">
        <v>245</v>
      </c>
      <c r="W180" s="3">
        <f>TABL123[[#This Row],[(A/B) AJD]]+TABL123[[#This Row],[(A/S) AJD]]</f>
        <v/>
      </c>
      <c r="X180" s="3">
        <f>TABL123[[#This Row],[( S/S+T/B) AJD]]-TABL123[[#This Row],[(A/B + A/S) AJD]]</f>
        <v/>
      </c>
      <c r="Y180" s="44" t="n">
        <v>92.036</v>
      </c>
      <c r="Z180" s="45" t="n">
        <v>221117</v>
      </c>
      <c r="AA180" s="3">
        <f>TABL123[[#This Row],[(RESV. STORGE) AJD]]/10</f>
        <v/>
      </c>
      <c r="AB180" s="45">
        <f>IF(TRIM(Z180)="",,(Z180-Z179)/1000)</f>
        <v/>
      </c>
      <c r="AC180" s="45" t="n">
        <v>2254</v>
      </c>
      <c r="AD180" s="83">
        <f>TABL123[[#This Row],[( S/S+T/B) AJD]]-(TABL123[[#This Row],[(A/B + A/S) AJD]]+TABL123[[#This Row],[(STORGE DIFF.) AJD]]+(TABL123[[#This Row],[AJD_Evaporation]])/1000)</f>
        <v/>
      </c>
      <c r="AE180" s="68" t="n">
        <v>42</v>
      </c>
      <c r="AF180" s="68" t="n">
        <v>59.08</v>
      </c>
      <c r="AG180" s="68" t="n">
        <v>1676493</v>
      </c>
      <c r="AH180" s="45" t="n">
        <v>2627</v>
      </c>
      <c r="AI180" s="45" t="n">
        <v>2627</v>
      </c>
      <c r="AJ180" s="78">
        <f>TABL123[[#This Row],[(A/B) AJD]]-TABL123[[#This Row],[BER_IN]]</f>
        <v/>
      </c>
      <c r="AK180" s="68" t="n">
        <v>14</v>
      </c>
      <c r="AL180" s="87" t="n">
        <v>41.145</v>
      </c>
      <c r="AM180" s="87" t="n">
        <v>2114380</v>
      </c>
      <c r="AN180" s="87">
        <f>TABL123[[#This Row],[ (RESV. STORGE) SER]]/10</f>
        <v/>
      </c>
      <c r="AO180" s="45" t="n">
        <v>1860</v>
      </c>
      <c r="AP180" s="32">
        <f>TABL123[[#This Row],[(A/S) AJD]]-TABL123[[#This Row],[SER_IN]]</f>
        <v/>
      </c>
    </row>
    <row r="181" ht="18.75" customHeight="1">
      <c r="A181" s="2" t="n">
        <v>46202</v>
      </c>
      <c r="B181" s="41" t="n">
        <v>43</v>
      </c>
      <c r="C181" s="41" t="n">
        <v>348</v>
      </c>
      <c r="D181" s="41">
        <f>B181</f>
        <v/>
      </c>
      <c r="E181" s="28" t="n"/>
      <c r="F181" s="41" t="n">
        <v>93</v>
      </c>
      <c r="G181" s="39" t="n">
        <v>617</v>
      </c>
      <c r="H181" s="28">
        <f>103-F181</f>
        <v/>
      </c>
      <c r="I181" s="39" t="n">
        <v>506</v>
      </c>
      <c r="J181" s="39" t="n">
        <v>492</v>
      </c>
      <c r="K181" s="28">
        <f>TABL123[[#This Row],[ (T/B) SAR]]+TABL123[[#This Row],[ (S/S) SAR]]</f>
        <v/>
      </c>
      <c r="L181" s="41" t="n"/>
      <c r="M181" s="42" t="n"/>
      <c r="N181" s="42" t="n">
        <v>7.8</v>
      </c>
      <c r="O181" s="39" t="n">
        <v>400</v>
      </c>
      <c r="P181" s="3">
        <f>TABL123[[#This Row],[ (S/S) SAR]]-TABL123[[#This Row],[(S/S) AJD]]</f>
        <v/>
      </c>
      <c r="Q181" s="39" t="n">
        <v>429</v>
      </c>
      <c r="R181" s="3">
        <f>TABL123[[#This Row],[ (T/B) SAR]]-TABL123[[#This Row],[(T/B) AJD]]</f>
        <v/>
      </c>
      <c r="S181" s="3">
        <f>TABL123[[#This Row],[T/B-CON.]]+TABL123[[#This Row],[S/S_CON.]]</f>
        <v/>
      </c>
      <c r="T181" s="3">
        <f>TABL123[[#This Row],[(S/S) AJD]]+TABL123[[#This Row],[(T/B) AJD]]</f>
        <v/>
      </c>
      <c r="U181" s="41" t="n">
        <v>553</v>
      </c>
      <c r="V181" s="41" t="n">
        <v>250</v>
      </c>
      <c r="W181" s="3">
        <f>TABL123[[#This Row],[(A/B) AJD]]+TABL123[[#This Row],[(A/S) AJD]]</f>
        <v/>
      </c>
      <c r="X181" s="3">
        <f>TABL123[[#This Row],[( S/S+T/B) AJD]]-TABL123[[#This Row],[(A/B + A/S) AJD]]</f>
        <v/>
      </c>
      <c r="Y181" s="41" t="n">
        <v>92.018</v>
      </c>
      <c r="Z181" s="43" t="n">
        <v>210461</v>
      </c>
      <c r="AA181" s="3">
        <f>TABL123[[#This Row],[(RESV. STORGE) AJD]]/10</f>
        <v/>
      </c>
      <c r="AB181" s="45">
        <f>IF(TRIM(Z181)="",,(Z181-Z180)/1000)</f>
        <v/>
      </c>
      <c r="AC181" s="43" t="n">
        <v>2804</v>
      </c>
      <c r="AD181" s="83">
        <f>TABL123[[#This Row],[( S/S+T/B) AJD]]-(TABL123[[#This Row],[(A/B + A/S) AJD]]+TABL123[[#This Row],[(STORGE DIFF.) AJD]]+(TABL123[[#This Row],[AJD_Evaporation]])/1000)</f>
        <v/>
      </c>
      <c r="AE181" s="68" t="n">
        <v>43</v>
      </c>
      <c r="AF181" s="68" t="n">
        <v>59.081</v>
      </c>
      <c r="AG181" s="68" t="n">
        <v>1677154</v>
      </c>
      <c r="AH181" s="43" t="n">
        <v>2659</v>
      </c>
      <c r="AI181" s="43" t="n">
        <v>2659</v>
      </c>
      <c r="AJ181" s="78">
        <f>TABL123[[#This Row],[(A/B) AJD]]-TABL123[[#This Row],[BER_IN]]</f>
        <v/>
      </c>
      <c r="AK181" s="68" t="n">
        <v>13</v>
      </c>
      <c r="AL181" s="87" t="n">
        <v>41.1186</v>
      </c>
      <c r="AM181" s="87" t="n">
        <v>2103570</v>
      </c>
      <c r="AN181" s="87">
        <f>TABL123[[#This Row],[ (RESV. STORGE) SER]]/10</f>
        <v/>
      </c>
      <c r="AO181" s="43" t="n">
        <v>1810</v>
      </c>
      <c r="AP181" s="32">
        <f>TABL123[[#This Row],[(A/S) AJD]]-TABL123[[#This Row],[SER_IN]]</f>
        <v/>
      </c>
    </row>
    <row r="182" ht="18.75" customHeight="1">
      <c r="A182" s="2" t="n">
        <v>46203</v>
      </c>
      <c r="B182" s="44" t="n">
        <v>44</v>
      </c>
      <c r="C182" s="44" t="n">
        <v>363</v>
      </c>
      <c r="D182" s="44">
        <f>B182</f>
        <v/>
      </c>
      <c r="E182" s="28" t="n"/>
      <c r="F182" s="44" t="n">
        <v>93</v>
      </c>
      <c r="G182" s="40" t="n">
        <v>617</v>
      </c>
      <c r="H182" s="28">
        <f>103-F182</f>
        <v/>
      </c>
      <c r="I182" s="40" t="n">
        <v>510</v>
      </c>
      <c r="J182" s="44" t="n">
        <v>498</v>
      </c>
      <c r="K182" s="28">
        <f>TABL123[[#This Row],[ (T/B) SAR]]+TABL123[[#This Row],[ (S/S) SAR]]</f>
        <v/>
      </c>
      <c r="L182" s="45" t="n"/>
      <c r="M182" s="46" t="n"/>
      <c r="N182" s="46" t="n">
        <v>7.8</v>
      </c>
      <c r="O182" s="40" t="n">
        <v>412</v>
      </c>
      <c r="P182" s="3">
        <f>TABL123[[#This Row],[ (S/S) SAR]]-TABL123[[#This Row],[(S/S) AJD]]</f>
        <v/>
      </c>
      <c r="Q182" s="40" t="n">
        <v>442</v>
      </c>
      <c r="R182" s="3">
        <f>TABL123[[#This Row],[ (T/B) SAR]]-TABL123[[#This Row],[(T/B) AJD]]</f>
        <v/>
      </c>
      <c r="S182" s="3">
        <f>TABL123[[#This Row],[T/B-CON.]]+TABL123[[#This Row],[S/S_CON.]]</f>
        <v/>
      </c>
      <c r="T182" s="3">
        <f>TABL123[[#This Row],[(S/S) AJD]]+TABL123[[#This Row],[(T/B) AJD]]</f>
        <v/>
      </c>
      <c r="U182" s="44" t="n">
        <v>557</v>
      </c>
      <c r="V182" s="44" t="n">
        <v>230</v>
      </c>
      <c r="W182" s="3">
        <f>TABL123[[#This Row],[(A/B) AJD]]+TABL123[[#This Row],[(A/S) AJD]]</f>
        <v/>
      </c>
      <c r="X182" s="3">
        <f>TABL123[[#This Row],[( S/S+T/B) AJD]]-TABL123[[#This Row],[(A/B + A/S) AJD]]</f>
        <v/>
      </c>
      <c r="Y182" s="44" t="n">
        <v>92.09999999999999</v>
      </c>
      <c r="Z182" s="45" t="n">
        <v>259010</v>
      </c>
      <c r="AA182" s="3">
        <f>TABL123[[#This Row],[(RESV. STORGE) AJD]]/10</f>
        <v/>
      </c>
      <c r="AB182" s="45">
        <f>IF(TRIM(Z182)="",,(Z182-Z181)/1000)</f>
        <v/>
      </c>
      <c r="AC182" s="45" t="n">
        <v>3147</v>
      </c>
      <c r="AD182" s="83">
        <f>TABL123[[#This Row],[( S/S+T/B) AJD]]-(TABL123[[#This Row],[(A/B + A/S) AJD]]+TABL123[[#This Row],[(STORGE DIFF.) AJD]]+(TABL123[[#This Row],[AJD_Evaporation]])/1000)</f>
        <v/>
      </c>
      <c r="AE182" s="68" t="n">
        <v>39</v>
      </c>
      <c r="AF182" s="68" t="n">
        <v>59.05</v>
      </c>
      <c r="AG182" s="68" t="n">
        <v>1656670</v>
      </c>
      <c r="AH182" s="45" t="n">
        <v>2601</v>
      </c>
      <c r="AI182" s="45" t="n">
        <v>2601</v>
      </c>
      <c r="AJ182" s="78">
        <f>TABL123[[#This Row],[(A/B) AJD]]-TABL123[[#This Row],[BER_IN]]</f>
        <v/>
      </c>
      <c r="AK182" s="68" t="n">
        <v>14</v>
      </c>
      <c r="AL182" s="87" t="n">
        <v>41.0964</v>
      </c>
      <c r="AM182" s="87" t="n">
        <v>2092440</v>
      </c>
      <c r="AN182" s="87">
        <f>TABL123[[#This Row],[ (RESV. STORGE) SER]]/10</f>
        <v/>
      </c>
      <c r="AO182" s="45" t="n">
        <v>1830</v>
      </c>
      <c r="AP182" s="32">
        <f>TABL123[[#This Row],[(A/S) AJD]]-TABL123[[#This Row],[SER_IN]]</f>
        <v/>
      </c>
    </row>
    <row r="183" ht="18.75" customHeight="1">
      <c r="A183" s="2" t="n">
        <v>46204</v>
      </c>
      <c r="B183" s="41" t="n">
        <v>44</v>
      </c>
      <c r="C183" s="41" t="n">
        <v>360</v>
      </c>
      <c r="D183" s="41">
        <f>B183</f>
        <v/>
      </c>
      <c r="E183" s="41" t="n">
        <v>0</v>
      </c>
      <c r="F183" s="41" t="n">
        <v>93</v>
      </c>
      <c r="G183" s="39" t="n">
        <v>617</v>
      </c>
      <c r="H183" s="28">
        <f>103-F183</f>
        <v/>
      </c>
      <c r="I183" s="39" t="n">
        <v>525</v>
      </c>
      <c r="J183" s="39" t="n">
        <v>509</v>
      </c>
      <c r="K183" s="28">
        <f>TABL123[[#This Row],[ (T/B) SAR]]+TABL123[[#This Row],[ (S/S) SAR]]</f>
        <v/>
      </c>
      <c r="L183" s="41" t="n">
        <v>382</v>
      </c>
      <c r="M183" s="42" t="n">
        <v>25.4</v>
      </c>
      <c r="N183" s="42" t="n">
        <v>7.98</v>
      </c>
      <c r="O183" s="39" t="n">
        <v>417</v>
      </c>
      <c r="P183" s="12">
        <f>TABL123[[#This Row],[ (S/S) SAR]]-TABL123[[#This Row],[(S/S) AJD]]</f>
        <v/>
      </c>
      <c r="Q183" s="39" t="n">
        <v>449</v>
      </c>
      <c r="R183" s="12">
        <f>TABL123[[#This Row],[ (T/B) SAR]]-TABL123[[#This Row],[(T/B) AJD]]</f>
        <v/>
      </c>
      <c r="S183" s="12">
        <f>TABL123[[#This Row],[T/B-CON.]]+TABL123[[#This Row],[S/S_CON.]]</f>
        <v/>
      </c>
      <c r="T183" s="12">
        <f>TABL123[[#This Row],[(S/S) AJD]]+TABL123[[#This Row],[(T/B) AJD]]</f>
        <v/>
      </c>
      <c r="U183" s="41" t="n">
        <v>555</v>
      </c>
      <c r="V183" s="41" t="n">
        <v>256</v>
      </c>
      <c r="W183" s="12">
        <f>TABL123[[#This Row],[(A/B) AJD]]+TABL123[[#This Row],[(A/S) AJD]]</f>
        <v/>
      </c>
      <c r="X183" s="12">
        <f>TABL123[[#This Row],[( S/S+T/B) AJD]]-TABL123[[#This Row],[(A/B + A/S) AJD]]</f>
        <v/>
      </c>
      <c r="Y183" s="41" t="n">
        <v>92.16</v>
      </c>
      <c r="Z183" s="43" t="n">
        <v>294572</v>
      </c>
      <c r="AA183" s="3">
        <f>TABL123[[#This Row],[(RESV. STORGE) AJD]]/10</f>
        <v/>
      </c>
      <c r="AB183" s="45">
        <f>IF(TRIM(Z183)="",,(Z183-Z182)/1000)</f>
        <v/>
      </c>
      <c r="AC183" s="43" t="n">
        <v>3918</v>
      </c>
      <c r="AD183" s="83">
        <f>TABL123[[#This Row],[( S/S+T/B) AJD]]-(TABL123[[#This Row],[(A/B + A/S) AJD]]+TABL123[[#This Row],[(STORGE DIFF.) AJD]]+(TABL123[[#This Row],[AJD_Evaporation]])/1000)</f>
        <v/>
      </c>
      <c r="AE183" s="68" t="n">
        <v>40</v>
      </c>
      <c r="AF183" s="68" t="n">
        <v>59.08</v>
      </c>
      <c r="AG183" s="68" t="n">
        <v>1676493</v>
      </c>
      <c r="AH183" s="43" t="n">
        <v>2802</v>
      </c>
      <c r="AI183" s="43" t="n">
        <v>2802</v>
      </c>
      <c r="AJ183" s="78">
        <f>TABL123[[#This Row],[(A/B) AJD]]-TABL123[[#This Row],[BER_IN]]</f>
        <v/>
      </c>
      <c r="AK183" s="68" t="n">
        <v>13</v>
      </c>
      <c r="AL183" s="87" t="n">
        <v>41.0682</v>
      </c>
      <c r="AM183" s="87" t="n">
        <v>2077210</v>
      </c>
      <c r="AN183" s="87">
        <f>TABL123[[#This Row],[ (RESV. STORGE) SER]]/10</f>
        <v/>
      </c>
      <c r="AO183" s="43" t="n">
        <v>1850</v>
      </c>
      <c r="AP183" s="32">
        <f>TABL123[[#This Row],[(A/S) AJD]]-TABL123[[#This Row],[SER_IN]]</f>
        <v/>
      </c>
    </row>
    <row r="184" ht="18.75" customHeight="1">
      <c r="A184" s="2" t="n">
        <v>46205</v>
      </c>
      <c r="B184" s="44" t="n">
        <v>44</v>
      </c>
      <c r="C184" s="44" t="n">
        <v>375</v>
      </c>
      <c r="D184" s="44">
        <f>B184</f>
        <v/>
      </c>
      <c r="E184" s="44" t="n">
        <v>0</v>
      </c>
      <c r="F184" s="44" t="n">
        <v>93</v>
      </c>
      <c r="G184" s="40" t="n">
        <v>617</v>
      </c>
      <c r="H184" s="28">
        <f>103-F184</f>
        <v/>
      </c>
      <c r="I184" s="40" t="n">
        <v>525</v>
      </c>
      <c r="J184" s="44" t="n">
        <v>516</v>
      </c>
      <c r="K184" s="28">
        <f>TABL123[[#This Row],[ (T/B) SAR]]+TABL123[[#This Row],[ (S/S) SAR]]</f>
        <v/>
      </c>
      <c r="L184" s="45" t="n">
        <v>398</v>
      </c>
      <c r="M184" s="46" t="n">
        <v>26.7</v>
      </c>
      <c r="N184" s="46" t="n">
        <v>7.96</v>
      </c>
      <c r="O184" s="40" t="n">
        <v>431</v>
      </c>
      <c r="P184" s="12">
        <f>TABL123[[#This Row],[ (S/S) SAR]]-TABL123[[#This Row],[(S/S) AJD]]</f>
        <v/>
      </c>
      <c r="Q184" s="40" t="n">
        <v>461</v>
      </c>
      <c r="R184" s="12">
        <f>TABL123[[#This Row],[ (T/B) SAR]]-TABL123[[#This Row],[(T/B) AJD]]</f>
        <v/>
      </c>
      <c r="S184" s="12">
        <f>TABL123[[#This Row],[T/B-CON.]]+TABL123[[#This Row],[S/S_CON.]]</f>
        <v/>
      </c>
      <c r="T184" s="12">
        <f>TABL123[[#This Row],[(S/S) AJD]]+TABL123[[#This Row],[(T/B) AJD]]</f>
        <v/>
      </c>
      <c r="U184" s="44" t="n">
        <v>535</v>
      </c>
      <c r="V184" s="44" t="n">
        <v>260</v>
      </c>
      <c r="W184" s="12">
        <f>TABL123[[#This Row],[(A/B) AJD]]+TABL123[[#This Row],[(A/S) AJD]]</f>
        <v/>
      </c>
      <c r="X184" s="12">
        <f>TABL123[[#This Row],[( S/S+T/B) AJD]]-TABL123[[#This Row],[(A/B + A/S) AJD]]</f>
        <v/>
      </c>
      <c r="Y184" s="44" t="n">
        <v>92.282</v>
      </c>
      <c r="Z184" s="45" t="n">
        <v>366966</v>
      </c>
      <c r="AA184" s="3">
        <f>TABL123[[#This Row],[(RESV. STORGE) AJD]]/10</f>
        <v/>
      </c>
      <c r="AB184" s="45">
        <f>IF(TRIM(Z184)="",,(Z184-Z183)/1000)</f>
        <v/>
      </c>
      <c r="AC184" s="45" t="n">
        <v>3559</v>
      </c>
      <c r="AD184" s="83">
        <f>TABL123[[#This Row],[( S/S+T/B) AJD]]-(TABL123[[#This Row],[(A/B + A/S) AJD]]+TABL123[[#This Row],[(STORGE DIFF.) AJD]]+(TABL123[[#This Row],[AJD_Evaporation]])/1000)</f>
        <v/>
      </c>
      <c r="AE184" s="68" t="n">
        <v>44</v>
      </c>
      <c r="AF184" s="68" t="n">
        <v>59.11</v>
      </c>
      <c r="AG184" s="68" t="n">
        <v>1696324</v>
      </c>
      <c r="AH184" s="45" t="n">
        <v>2364</v>
      </c>
      <c r="AI184" s="45" t="n">
        <v>2364</v>
      </c>
      <c r="AJ184" s="78">
        <f>TABL123[[#This Row],[(A/B) AJD]]-TABL123[[#This Row],[BER_IN]]</f>
        <v/>
      </c>
      <c r="AK184" s="68" t="n">
        <v>13</v>
      </c>
      <c r="AL184" s="87" t="n">
        <v>41.0381</v>
      </c>
      <c r="AM184" s="87" t="n">
        <v>2061430</v>
      </c>
      <c r="AN184" s="87">
        <f>TABL123[[#This Row],[ (RESV. STORGE) SER]]/10</f>
        <v/>
      </c>
      <c r="AO184" s="45" t="n">
        <v>1865</v>
      </c>
      <c r="AP184" s="32">
        <f>TABL123[[#This Row],[(A/S) AJD]]-TABL123[[#This Row],[SER_IN]]</f>
        <v/>
      </c>
    </row>
    <row r="185" ht="18.75" customHeight="1">
      <c r="A185" s="2" t="n">
        <v>46206</v>
      </c>
      <c r="B185" s="41" t="n">
        <v>44</v>
      </c>
      <c r="C185" s="41" t="n">
        <v>370</v>
      </c>
      <c r="D185" s="41">
        <f>B185</f>
        <v/>
      </c>
      <c r="E185" s="41" t="n">
        <v>0</v>
      </c>
      <c r="F185" s="41" t="n">
        <v>90</v>
      </c>
      <c r="G185" s="39" t="n">
        <v>601</v>
      </c>
      <c r="H185" s="28">
        <f>103-F185</f>
        <v/>
      </c>
      <c r="I185" s="39" t="n">
        <v>520</v>
      </c>
      <c r="J185" s="39" t="n">
        <v>505</v>
      </c>
      <c r="K185" s="28">
        <f>TABL123[[#This Row],[ (T/B) SAR]]+TABL123[[#This Row],[ (S/S) SAR]]</f>
        <v/>
      </c>
      <c r="L185" s="41" t="n">
        <v>410</v>
      </c>
      <c r="M185" s="42" t="n">
        <v>27.6</v>
      </c>
      <c r="N185" s="42" t="n">
        <v>7.88</v>
      </c>
      <c r="O185" s="39" t="n">
        <v>425</v>
      </c>
      <c r="P185" s="12">
        <f>TABL123[[#This Row],[ (S/S) SAR]]-TABL123[[#This Row],[(S/S) AJD]]</f>
        <v/>
      </c>
      <c r="Q185" s="39" t="n">
        <v>458</v>
      </c>
      <c r="R185" s="12">
        <f>TABL123[[#This Row],[ (T/B) SAR]]-TABL123[[#This Row],[(T/B) AJD]]</f>
        <v/>
      </c>
      <c r="S185" s="12">
        <f>TABL123[[#This Row],[T/B-CON.]]+TABL123[[#This Row],[S/S_CON.]]</f>
        <v/>
      </c>
      <c r="T185" s="12">
        <f>TABL123[[#This Row],[(S/S) AJD]]+TABL123[[#This Row],[(T/B) AJD]]</f>
        <v/>
      </c>
      <c r="U185" s="41" t="n">
        <v>515</v>
      </c>
      <c r="V185" s="41" t="n">
        <v>262</v>
      </c>
      <c r="W185" s="12">
        <f>TABL123[[#This Row],[(A/B) AJD]]+TABL123[[#This Row],[(A/S) AJD]]</f>
        <v/>
      </c>
      <c r="X185" s="12">
        <f>TABL123[[#This Row],[( S/S+T/B) AJD]]-TABL123[[#This Row],[(A/B + A/S) AJD]]</f>
        <v/>
      </c>
      <c r="Y185" s="41" t="n">
        <v>92.417</v>
      </c>
      <c r="Z185" s="43" t="n">
        <v>447212</v>
      </c>
      <c r="AA185" s="3">
        <f>TABL123[[#This Row],[(RESV. STORGE) AJD]]/10</f>
        <v/>
      </c>
      <c r="AB185" s="45">
        <f>IF(TRIM(Z185)="",,(Z185-Z184)/1000)</f>
        <v/>
      </c>
      <c r="AC185" s="43" t="n">
        <v>2849</v>
      </c>
      <c r="AD185" s="83">
        <f>TABL123[[#This Row],[( S/S+T/B) AJD]]-(TABL123[[#This Row],[(A/B + A/S) AJD]]+TABL123[[#This Row],[(STORGE DIFF.) AJD]]+(TABL123[[#This Row],[AJD_Evaporation]])/1000)</f>
        <v/>
      </c>
      <c r="AE185" s="68" t="n">
        <v>41</v>
      </c>
      <c r="AF185" s="68" t="n">
        <v>59.08</v>
      </c>
      <c r="AG185" s="68" t="n">
        <v>1676493</v>
      </c>
      <c r="AH185" s="43" t="n">
        <v>2465</v>
      </c>
      <c r="AI185" s="43" t="n">
        <v>2465</v>
      </c>
      <c r="AJ185" s="78">
        <f>TABL123[[#This Row],[(A/B) AJD]]-TABL123[[#This Row],[BER_IN]]</f>
        <v/>
      </c>
      <c r="AK185" s="68" t="n">
        <v>13</v>
      </c>
      <c r="AL185" s="87" t="n">
        <v>41.0015</v>
      </c>
      <c r="AM185" s="87" t="n">
        <v>2042032</v>
      </c>
      <c r="AN185" s="87">
        <f>TABL123[[#This Row],[ (RESV. STORGE) SER]]/10</f>
        <v/>
      </c>
      <c r="AO185" s="43" t="n">
        <v>1835</v>
      </c>
      <c r="AP185" s="32">
        <f>TABL123[[#This Row],[(A/S) AJD]]-TABL123[[#This Row],[SER_IN]]</f>
        <v/>
      </c>
    </row>
    <row r="186" ht="18.75" customHeight="1">
      <c r="A186" s="2" t="n">
        <v>46207</v>
      </c>
      <c r="B186" s="44" t="n">
        <v>44</v>
      </c>
      <c r="C186" s="44" t="n">
        <v>375</v>
      </c>
      <c r="D186" s="44">
        <f>B186</f>
        <v/>
      </c>
      <c r="E186" s="44" t="n">
        <v>0</v>
      </c>
      <c r="F186" s="44" t="n">
        <v>92</v>
      </c>
      <c r="G186" s="40" t="n">
        <v>611</v>
      </c>
      <c r="H186" s="28">
        <f>103-F186</f>
        <v/>
      </c>
      <c r="I186" s="40" t="n">
        <v>522</v>
      </c>
      <c r="J186" s="44" t="n">
        <v>507</v>
      </c>
      <c r="K186" s="28">
        <f>TABL123[[#This Row],[ (T/B) SAR]]+TABL123[[#This Row],[ (S/S) SAR]]</f>
        <v/>
      </c>
      <c r="L186" s="45" t="n">
        <v>410</v>
      </c>
      <c r="M186" s="46" t="n">
        <v>27.6</v>
      </c>
      <c r="N186" s="46" t="n">
        <v>7.85</v>
      </c>
      <c r="O186" s="40" t="n">
        <v>426</v>
      </c>
      <c r="P186" s="12">
        <f>TABL123[[#This Row],[ (S/S) SAR]]-TABL123[[#This Row],[(S/S) AJD]]</f>
        <v/>
      </c>
      <c r="Q186" s="40" t="n">
        <v>460</v>
      </c>
      <c r="R186" s="12">
        <f>TABL123[[#This Row],[ (T/B) SAR]]-TABL123[[#This Row],[(T/B) AJD]]</f>
        <v/>
      </c>
      <c r="S186" s="12">
        <f>TABL123[[#This Row],[T/B-CON.]]+TABL123[[#This Row],[S/S_CON.]]</f>
        <v/>
      </c>
      <c r="T186" s="12">
        <f>TABL123[[#This Row],[(S/S) AJD]]+TABL123[[#This Row],[(T/B) AJD]]</f>
        <v/>
      </c>
      <c r="U186" s="44" t="n">
        <v>562</v>
      </c>
      <c r="V186" s="44" t="n">
        <v>261</v>
      </c>
      <c r="W186" s="12">
        <f>TABL123[[#This Row],[(A/B) AJD]]+TABL123[[#This Row],[(A/S) AJD]]</f>
        <v/>
      </c>
      <c r="X186" s="12">
        <f>TABL123[[#This Row],[( S/S+T/B) AJD]]-TABL123[[#This Row],[(A/B + A/S) AJD]]</f>
        <v/>
      </c>
      <c r="Y186" s="44" t="n">
        <v>92.47</v>
      </c>
      <c r="Z186" s="45" t="n">
        <v>478759</v>
      </c>
      <c r="AA186" s="3">
        <f>TABL123[[#This Row],[(RESV. STORGE) AJD]]/10</f>
        <v/>
      </c>
      <c r="AB186" s="45">
        <f>IF(TRIM(Z186)="",,(Z186-Z185)/1000)</f>
        <v/>
      </c>
      <c r="AC186" s="45" t="n">
        <v>3168</v>
      </c>
      <c r="AD186" s="83">
        <f>TABL123[[#This Row],[( S/S+T/B) AJD]]-(TABL123[[#This Row],[(A/B + A/S) AJD]]+TABL123[[#This Row],[(STORGE DIFF.) AJD]]+(TABL123[[#This Row],[AJD_Evaporation]])/1000)</f>
        <v/>
      </c>
      <c r="AE186" s="68" t="n">
        <v>41</v>
      </c>
      <c r="AF186" s="68" t="n">
        <v>59.02</v>
      </c>
      <c r="AG186" s="68" t="n">
        <v>1636855</v>
      </c>
      <c r="AH186" s="45" t="n">
        <v>2999</v>
      </c>
      <c r="AI186" s="45" t="n">
        <v>2999</v>
      </c>
      <c r="AJ186" s="78">
        <f>TABL123[[#This Row],[(A/B) AJD]]-TABL123[[#This Row],[BER_IN]]</f>
        <v/>
      </c>
      <c r="AK186" s="68" t="n">
        <v>14</v>
      </c>
      <c r="AL186" s="87" t="n">
        <v>41.0007</v>
      </c>
      <c r="AM186" s="87" t="n">
        <v>2041850</v>
      </c>
      <c r="AN186" s="87">
        <f>TABL123[[#This Row],[ (RESV. STORGE) SER]]/10</f>
        <v/>
      </c>
      <c r="AO186" s="45" t="n">
        <v>1950</v>
      </c>
      <c r="AP186" s="32">
        <f>TABL123[[#This Row],[(A/S) AJD]]-TABL123[[#This Row],[SER_IN]]</f>
        <v/>
      </c>
    </row>
    <row r="187" ht="18.75" customHeight="1">
      <c r="A187" s="2" t="n">
        <v>46208</v>
      </c>
      <c r="B187" s="41" t="n">
        <v>46</v>
      </c>
      <c r="C187" s="41" t="n">
        <v>378</v>
      </c>
      <c r="D187" s="41">
        <f>B187</f>
        <v/>
      </c>
      <c r="E187" s="41" t="n">
        <v>0</v>
      </c>
      <c r="F187" s="41" t="n">
        <v>92</v>
      </c>
      <c r="G187" s="39" t="n">
        <v>617</v>
      </c>
      <c r="H187" s="28">
        <f>103-F187</f>
        <v/>
      </c>
      <c r="I187" s="39" t="n">
        <v>525</v>
      </c>
      <c r="J187" s="39" t="n">
        <v>510</v>
      </c>
      <c r="K187" s="28">
        <f>TABL123[[#This Row],[ (T/B) SAR]]+TABL123[[#This Row],[ (S/S) SAR]]</f>
        <v/>
      </c>
      <c r="L187" s="41" t="n">
        <v>410</v>
      </c>
      <c r="M187" s="42" t="n">
        <v>27.6</v>
      </c>
      <c r="N187" s="42" t="n">
        <v>7.84</v>
      </c>
      <c r="O187" s="39" t="n">
        <v>434</v>
      </c>
      <c r="P187" s="12">
        <f>TABL123[[#This Row],[ (S/S) SAR]]-TABL123[[#This Row],[(S/S) AJD]]</f>
        <v/>
      </c>
      <c r="Q187" s="39" t="n">
        <v>466</v>
      </c>
      <c r="R187" s="12">
        <f>TABL123[[#This Row],[ (T/B) SAR]]-TABL123[[#This Row],[(T/B) AJD]]</f>
        <v/>
      </c>
      <c r="S187" s="12">
        <f>TABL123[[#This Row],[T/B-CON.]]+TABL123[[#This Row],[S/S_CON.]]</f>
        <v/>
      </c>
      <c r="T187" s="12">
        <f>TABL123[[#This Row],[(S/S) AJD]]+TABL123[[#This Row],[(T/B) AJD]]</f>
        <v/>
      </c>
      <c r="U187" s="41" t="n">
        <v>559</v>
      </c>
      <c r="V187" s="41" t="n">
        <v>270</v>
      </c>
      <c r="W187" s="10">
        <f>TABL123[[#This Row],[(A/B) AJD]]+TABL123[[#This Row],[(A/S) AJD]]</f>
        <v/>
      </c>
      <c r="X187" s="10">
        <f>TABL123[[#This Row],[( S/S+T/B) AJD]]-TABL123[[#This Row],[(A/B + A/S) AJD]]</f>
        <v/>
      </c>
      <c r="Y187" s="41" t="n">
        <v>92.539</v>
      </c>
      <c r="Z187" s="43" t="n">
        <v>519863</v>
      </c>
      <c r="AA187" s="3">
        <f>TABL123[[#This Row],[(RESV. STORGE) AJD]]/10</f>
        <v/>
      </c>
      <c r="AB187" s="45">
        <f>IF(TRIM(Z187)="",,(Z187-Z186)/1000)</f>
        <v/>
      </c>
      <c r="AC187" s="43" t="n">
        <v>3004</v>
      </c>
      <c r="AD187" s="83">
        <f>TABL123[[#This Row],[( S/S+T/B) AJD]]-(TABL123[[#This Row],[(A/B + A/S) AJD]]+TABL123[[#This Row],[(STORGE DIFF.) AJD]]+(TABL123[[#This Row],[AJD_Evaporation]])/1000)</f>
        <v/>
      </c>
      <c r="AE187" s="68" t="n">
        <v>42</v>
      </c>
      <c r="AF187" s="68" t="n">
        <v>58.98</v>
      </c>
      <c r="AG187" s="68" t="n">
        <v>1610447</v>
      </c>
      <c r="AH187" s="43" t="n">
        <v>2728</v>
      </c>
      <c r="AI187" s="43" t="n">
        <v>2728</v>
      </c>
      <c r="AJ187" s="78">
        <f>TABL123[[#This Row],[(A/B) AJD]]-TABL123[[#This Row],[BER_IN]]</f>
        <v/>
      </c>
      <c r="AK187" s="68" t="n">
        <v>13</v>
      </c>
      <c r="AL187" s="87" t="n">
        <v>40.9925</v>
      </c>
      <c r="AM187" s="87" t="n">
        <v>2037770</v>
      </c>
      <c r="AN187" s="87">
        <f>TABL123[[#This Row],[ (RESV. STORGE) SER]]/10</f>
        <v/>
      </c>
      <c r="AO187" s="43" t="n">
        <v>2015</v>
      </c>
      <c r="AP187" s="32">
        <f>TABL123[[#This Row],[(A/S) AJD]]-TABL123[[#This Row],[SER_IN]]</f>
        <v/>
      </c>
    </row>
    <row r="188" ht="18.75" customHeight="1">
      <c r="A188" s="2" t="n">
        <v>46209</v>
      </c>
      <c r="B188" s="44" t="n">
        <v>46</v>
      </c>
      <c r="C188" s="44" t="n">
        <v>373</v>
      </c>
      <c r="D188" s="44">
        <f>B188</f>
        <v/>
      </c>
      <c r="E188" s="44" t="n">
        <v>0</v>
      </c>
      <c r="F188" s="44" t="n">
        <v>92</v>
      </c>
      <c r="G188" s="40" t="n">
        <v>617</v>
      </c>
      <c r="H188" s="28">
        <f>103-F188</f>
        <v/>
      </c>
      <c r="I188" s="40" t="n">
        <v>532</v>
      </c>
      <c r="J188" s="44" t="n">
        <v>518</v>
      </c>
      <c r="K188" s="28">
        <f>TABL123[[#This Row],[ (T/B) SAR]]+TABL123[[#This Row],[ (S/S) SAR]]</f>
        <v/>
      </c>
      <c r="L188" s="45" t="n">
        <v>410</v>
      </c>
      <c r="M188" s="46" t="n">
        <v>27.6</v>
      </c>
      <c r="N188" s="46" t="n">
        <v>7.82</v>
      </c>
      <c r="O188" s="40" t="n">
        <v>469</v>
      </c>
      <c r="P188" s="12">
        <f>TABL123[[#This Row],[ (S/S) SAR]]-TABL123[[#This Row],[(S/S) AJD]]</f>
        <v/>
      </c>
      <c r="Q188" s="40" t="n">
        <v>437</v>
      </c>
      <c r="R188" s="12">
        <f>TABL123[[#This Row],[ (T/B) SAR]]-TABL123[[#This Row],[(T/B) AJD]]</f>
        <v/>
      </c>
      <c r="S188" s="12">
        <f>TABL123[[#This Row],[T/B-CON.]]+TABL123[[#This Row],[S/S_CON.]]</f>
        <v/>
      </c>
      <c r="T188" s="12">
        <f>TABL123[[#This Row],[(S/S) AJD]]+TABL123[[#This Row],[(T/B) AJD]]</f>
        <v/>
      </c>
      <c r="U188" s="44" t="n">
        <v>568</v>
      </c>
      <c r="V188" s="44" t="n">
        <v>283</v>
      </c>
      <c r="W188" s="12">
        <f>TABL123[[#This Row],[(A/B) AJD]]+TABL123[[#This Row],[(A/S) AJD]]</f>
        <v/>
      </c>
      <c r="X188" s="12">
        <f>TABL123[[#This Row],[( S/S+T/B) AJD]]-TABL123[[#This Row],[(A/B + A/S) AJD]]</f>
        <v/>
      </c>
      <c r="Y188" s="44" t="n">
        <v>92.574</v>
      </c>
      <c r="Z188" s="45" t="n">
        <v>540725</v>
      </c>
      <c r="AA188" s="3">
        <f>TABL123[[#This Row],[(RESV. STORGE) AJD]]/10</f>
        <v/>
      </c>
      <c r="AB188" s="45">
        <f>IF(TRIM(Z188)="",,(Z188-Z187)/1000)</f>
        <v/>
      </c>
      <c r="AC188" s="45" t="n">
        <v>2170</v>
      </c>
      <c r="AD188" s="83">
        <f>TABL123[[#This Row],[( S/S+T/B) AJD]]-(TABL123[[#This Row],[(A/B + A/S) AJD]]+TABL123[[#This Row],[(STORGE DIFF.) AJD]]+(TABL123[[#This Row],[AJD_Evaporation]])/1000)</f>
        <v/>
      </c>
      <c r="AE188" s="68" t="n">
        <v>39</v>
      </c>
      <c r="AF188" s="68" t="n">
        <v>58.97</v>
      </c>
      <c r="AG188" s="68" t="n">
        <v>1603847</v>
      </c>
      <c r="AH188" s="45" t="n">
        <v>2999</v>
      </c>
      <c r="AI188" s="45" t="n">
        <v>2999</v>
      </c>
      <c r="AJ188" s="78">
        <f>TABL123[[#This Row],[(A/B) AJD]]-TABL123[[#This Row],[BER_IN]]</f>
        <v/>
      </c>
      <c r="AK188" s="68" t="n">
        <v>14</v>
      </c>
      <c r="AL188" s="87" t="n">
        <v>40.9793</v>
      </c>
      <c r="AM188" s="87" t="n">
        <v>2030920</v>
      </c>
      <c r="AN188" s="87">
        <f>TABL123[[#This Row],[ (RESV. STORGE) SER]]/10</f>
        <v/>
      </c>
      <c r="AO188" s="45" t="n">
        <v>2035</v>
      </c>
      <c r="AP188" s="32">
        <f>TABL123[[#This Row],[(A/S) AJD]]-TABL123[[#This Row],[SER_IN]]</f>
        <v/>
      </c>
    </row>
    <row r="189" ht="18.75" customHeight="1">
      <c r="A189" s="2" t="n">
        <v>46210</v>
      </c>
      <c r="B189" s="41" t="n">
        <v>47</v>
      </c>
      <c r="C189" s="41" t="n">
        <v>378</v>
      </c>
      <c r="D189" s="41">
        <f>B189</f>
        <v/>
      </c>
      <c r="E189" s="41" t="n">
        <v>0</v>
      </c>
      <c r="F189" s="41" t="n">
        <v>92</v>
      </c>
      <c r="G189" s="39" t="n">
        <v>611</v>
      </c>
      <c r="H189" s="28">
        <f>103-F189</f>
        <v/>
      </c>
      <c r="I189" s="39" t="n">
        <v>533</v>
      </c>
      <c r="J189" s="39" t="n">
        <v>518</v>
      </c>
      <c r="K189" s="28">
        <f>TABL123[[#This Row],[ (T/B) SAR]]+TABL123[[#This Row],[ (S/S) SAR]]</f>
        <v/>
      </c>
      <c r="L189" s="41" t="n">
        <v>512</v>
      </c>
      <c r="M189" s="42" t="n">
        <v>27.6</v>
      </c>
      <c r="N189" s="42" t="n">
        <v>7.86</v>
      </c>
      <c r="O189" s="39" t="n">
        <v>435</v>
      </c>
      <c r="P189" s="12">
        <f>TABL123[[#This Row],[ (S/S) SAR]]-TABL123[[#This Row],[(S/S) AJD]]</f>
        <v/>
      </c>
      <c r="Q189" s="39" t="n">
        <v>465</v>
      </c>
      <c r="R189" s="12">
        <f>TABL123[[#This Row],[ (T/B) SAR]]-TABL123[[#This Row],[(T/B) AJD]]</f>
        <v/>
      </c>
      <c r="S189" s="12">
        <f>TABL123[[#This Row],[T/B-CON.]]+TABL123[[#This Row],[S/S_CON.]]</f>
        <v/>
      </c>
      <c r="T189" s="12">
        <f>TABL123[[#This Row],[(S/S) AJD]]+TABL123[[#This Row],[(T/B) AJD]]</f>
        <v/>
      </c>
      <c r="U189" s="41" t="n">
        <v>565</v>
      </c>
      <c r="V189" s="41" t="n">
        <v>285</v>
      </c>
      <c r="W189" s="12">
        <f>TABL123[[#This Row],[(A/B) AJD]]+TABL123[[#This Row],[(A/S) AJD]]</f>
        <v/>
      </c>
      <c r="X189" s="12">
        <f>TABL123[[#This Row],[( S/S+T/B) AJD]]-TABL123[[#This Row],[(A/B + A/S) AJD]]</f>
        <v/>
      </c>
      <c r="Y189" s="41" t="n">
        <v>92.604</v>
      </c>
      <c r="Z189" s="43" t="n">
        <v>558617</v>
      </c>
      <c r="AA189" s="3">
        <f>TABL123[[#This Row],[(RESV. STORGE) AJD]]/10</f>
        <v/>
      </c>
      <c r="AB189" s="45">
        <f>IF(TRIM(Z189)="",,(Z189-Z188)/1000)</f>
        <v/>
      </c>
      <c r="AC189" s="43" t="n">
        <v>2981</v>
      </c>
      <c r="AD189" s="83">
        <f>TABL123[[#This Row],[( S/S+T/B) AJD]]-(TABL123[[#This Row],[(A/B + A/S) AJD]]+TABL123[[#This Row],[(STORGE DIFF.) AJD]]+(TABL123[[#This Row],[AJD_Evaporation]])/1000)</f>
        <v/>
      </c>
      <c r="AE189" s="68" t="n">
        <v>48</v>
      </c>
      <c r="AF189" s="68" t="n">
        <v>58.95</v>
      </c>
      <c r="AG189" s="68" t="n">
        <v>1590650</v>
      </c>
      <c r="AH189" s="43" t="n">
        <v>2987</v>
      </c>
      <c r="AI189" s="43" t="n">
        <v>2987</v>
      </c>
      <c r="AJ189" s="78">
        <f>TABL123[[#This Row],[(A/B) AJD]]-TABL123[[#This Row],[BER_IN]]</f>
        <v/>
      </c>
      <c r="AK189" s="68" t="n">
        <v>22</v>
      </c>
      <c r="AL189" s="87" t="n">
        <v>40.9761</v>
      </c>
      <c r="AM189" s="87" t="n">
        <v>2028840</v>
      </c>
      <c r="AN189" s="87">
        <f>TABL123[[#This Row],[ (RESV. STORGE) SER]]/10</f>
        <v/>
      </c>
      <c r="AO189" s="43" t="n">
        <v>2048</v>
      </c>
      <c r="AP189" s="32">
        <f>TABL123[[#This Row],[(A/S) AJD]]-TABL123[[#This Row],[SER_IN]]</f>
        <v/>
      </c>
    </row>
    <row r="190" ht="18.75" customHeight="1">
      <c r="A190" s="2" t="n">
        <v>46211</v>
      </c>
      <c r="B190" s="44" t="n">
        <v>47</v>
      </c>
      <c r="C190" s="44" t="n">
        <v>378</v>
      </c>
      <c r="D190" s="44">
        <f>B190</f>
        <v/>
      </c>
      <c r="E190" s="44" t="n">
        <v>0</v>
      </c>
      <c r="F190" s="44" t="n">
        <v>92</v>
      </c>
      <c r="G190" s="40" t="n">
        <v>616</v>
      </c>
      <c r="H190" s="28">
        <f>103-F190</f>
        <v/>
      </c>
      <c r="I190" s="40" t="n">
        <v>537</v>
      </c>
      <c r="J190" s="44" t="n">
        <v>520</v>
      </c>
      <c r="K190" s="28">
        <f>TABL123[[#This Row],[ (T/B) SAR]]+TABL123[[#This Row],[ (S/S) SAR]]</f>
        <v/>
      </c>
      <c r="L190" s="45" t="n">
        <v>411</v>
      </c>
      <c r="M190" s="46" t="n">
        <v>27.6</v>
      </c>
      <c r="N190" s="46" t="n">
        <v>7.89</v>
      </c>
      <c r="O190" s="40" t="n">
        <v>436</v>
      </c>
      <c r="P190" s="12">
        <f>TABL123[[#This Row],[ (S/S) SAR]]-TABL123[[#This Row],[(S/S) AJD]]</f>
        <v/>
      </c>
      <c r="Q190" s="40" t="n">
        <v>468</v>
      </c>
      <c r="R190" s="12">
        <f>TABL123[[#This Row],[ (T/B) SAR]]-TABL123[[#This Row],[(T/B) AJD]]</f>
        <v/>
      </c>
      <c r="S190" s="12">
        <f>TABL123[[#This Row],[T/B-CON.]]+TABL123[[#This Row],[S/S_CON.]]</f>
        <v/>
      </c>
      <c r="T190" s="12">
        <f>TABL123[[#This Row],[(S/S) AJD]]+TABL123[[#This Row],[(T/B) AJD]]</f>
        <v/>
      </c>
      <c r="U190" s="44" t="n">
        <v>559</v>
      </c>
      <c r="V190" s="44" t="n">
        <v>280</v>
      </c>
      <c r="W190" s="12">
        <f>TABL123[[#This Row],[(A/B) AJD]]+TABL123[[#This Row],[(A/S) AJD]]</f>
        <v/>
      </c>
      <c r="X190" s="12">
        <f>TABL123[[#This Row],[( S/S+T/B) AJD]]-TABL123[[#This Row],[(A/B + A/S) AJD]]</f>
        <v/>
      </c>
      <c r="Y190" s="44" t="n">
        <v>92.657</v>
      </c>
      <c r="Z190" s="45" t="n">
        <v>590439</v>
      </c>
      <c r="AA190" s="3">
        <f>TABL123[[#This Row],[(RESV. STORGE) AJD]]/10</f>
        <v/>
      </c>
      <c r="AB190" s="45">
        <f>IF(TRIM(Z190)="",,(Z190-Z189)/1000)</f>
        <v/>
      </c>
      <c r="AC190" s="45" t="n">
        <v>3243</v>
      </c>
      <c r="AD190" s="83">
        <f>TABL123[[#This Row],[( S/S+T/B) AJD]]-(TABL123[[#This Row],[(A/B + A/S) AJD]]+TABL123[[#This Row],[(STORGE DIFF.) AJD]]+(TABL123[[#This Row],[AJD_Evaporation]])/1000)</f>
        <v/>
      </c>
      <c r="AE190" s="68" t="n">
        <v>50</v>
      </c>
      <c r="AF190" s="68" t="n">
        <v>58.91</v>
      </c>
      <c r="AG190" s="68" t="n">
        <v>1564266</v>
      </c>
      <c r="AH190" s="45" t="n">
        <v>2999</v>
      </c>
      <c r="AI190" s="45" t="n">
        <v>2999</v>
      </c>
      <c r="AJ190" s="78">
        <f>TABL123[[#This Row],[(A/B) AJD]]-TABL123[[#This Row],[BER_IN]]</f>
        <v/>
      </c>
      <c r="AK190" s="68" t="n">
        <v>23</v>
      </c>
      <c r="AL190" s="87" t="n">
        <v>40.9734</v>
      </c>
      <c r="AM190" s="87" t="n">
        <v>2027130</v>
      </c>
      <c r="AN190" s="87">
        <f>TABL123[[#This Row],[ (RESV. STORGE) SER]]/10</f>
        <v/>
      </c>
      <c r="AO190" s="45" t="n">
        <v>2050</v>
      </c>
      <c r="AP190" s="32">
        <f>TABL123[[#This Row],[(A/S) AJD]]-TABL123[[#This Row],[SER_IN]]</f>
        <v/>
      </c>
    </row>
    <row r="191" ht="18.75" customHeight="1">
      <c r="A191" s="2" t="n">
        <v>46212</v>
      </c>
      <c r="B191" s="41" t="n">
        <v>47</v>
      </c>
      <c r="C191" s="41" t="n">
        <v>399</v>
      </c>
      <c r="D191" s="41">
        <f>B191</f>
        <v/>
      </c>
      <c r="E191" s="41" t="n">
        <v>0</v>
      </c>
      <c r="F191" s="41" t="n">
        <v>92</v>
      </c>
      <c r="G191" s="39" t="n">
        <v>611</v>
      </c>
      <c r="H191" s="28">
        <f>103-F191</f>
        <v/>
      </c>
      <c r="I191" s="39" t="n">
        <v>540</v>
      </c>
      <c r="J191" s="39" t="n">
        <v>525</v>
      </c>
      <c r="K191" s="28">
        <f>TABL123[[#This Row],[ (T/B) SAR]]+TABL123[[#This Row],[ (S/S) SAR]]</f>
        <v/>
      </c>
      <c r="L191" s="41" t="n">
        <v>414</v>
      </c>
      <c r="M191" s="42" t="n">
        <v>27.6</v>
      </c>
      <c r="N191" s="42" t="n">
        <v>7.98</v>
      </c>
      <c r="O191" s="39" t="n">
        <v>440</v>
      </c>
      <c r="P191" s="12">
        <f>TABL123[[#This Row],[ (S/S) SAR]]-TABL123[[#This Row],[(S/S) AJD]]</f>
        <v/>
      </c>
      <c r="Q191" s="39" t="n">
        <v>473</v>
      </c>
      <c r="R191" s="12">
        <f>TABL123[[#This Row],[ (T/B) SAR]]-TABL123[[#This Row],[(T/B) AJD]]</f>
        <v/>
      </c>
      <c r="S191" s="12">
        <f>TABL123[[#This Row],[T/B-CON.]]+TABL123[[#This Row],[S/S_CON.]]</f>
        <v/>
      </c>
      <c r="T191" s="12">
        <f>TABL123[[#This Row],[(S/S) AJD]]+TABL123[[#This Row],[(T/B) AJD]]</f>
        <v/>
      </c>
      <c r="U191" s="41" t="n">
        <v>559</v>
      </c>
      <c r="V191" s="41" t="n">
        <v>267</v>
      </c>
      <c r="W191" s="12">
        <f>TABL123[[#This Row],[(A/B) AJD]]+TABL123[[#This Row],[(A/S) AJD]]</f>
        <v/>
      </c>
      <c r="X191" s="12">
        <f>TABL123[[#This Row],[( S/S+T/B) AJD]]-TABL123[[#This Row],[(A/B + A/S) AJD]]</f>
        <v/>
      </c>
      <c r="Y191" s="41" t="n">
        <v>92.73399999999999</v>
      </c>
      <c r="Z191" s="43" t="n">
        <v>636044</v>
      </c>
      <c r="AA191" s="3">
        <f>TABL123[[#This Row],[(RESV. STORGE) AJD]]/10</f>
        <v/>
      </c>
      <c r="AB191" s="45">
        <f>IF(TRIM(Z191)="",,(Z191-Z190)/1000)</f>
        <v/>
      </c>
      <c r="AC191" s="43" t="n">
        <v>3125</v>
      </c>
      <c r="AD191" s="83">
        <f>TABL123[[#This Row],[( S/S+T/B) AJD]]-(TABL123[[#This Row],[(A/B + A/S) AJD]]+TABL123[[#This Row],[(STORGE DIFF.) AJD]]+(TABL123[[#This Row],[AJD_Evaporation]])/1000)</f>
        <v/>
      </c>
      <c r="AE191" s="68" t="n">
        <v>56</v>
      </c>
      <c r="AF191" s="68" t="n">
        <v>58.88</v>
      </c>
      <c r="AG191" s="68" t="n">
        <v>1544487</v>
      </c>
      <c r="AH191" s="43" t="n">
        <v>2999</v>
      </c>
      <c r="AI191" s="43" t="n">
        <v>2999</v>
      </c>
      <c r="AJ191" s="78">
        <f>TABL123[[#This Row],[(A/B) AJD]]-TABL123[[#This Row],[BER_IN]]</f>
        <v/>
      </c>
      <c r="AK191" s="68" t="n">
        <v>32</v>
      </c>
      <c r="AL191" s="87" t="n">
        <v>40.9791</v>
      </c>
      <c r="AM191" s="87" t="n">
        <v>2028840</v>
      </c>
      <c r="AN191" s="87">
        <f>TABL123[[#This Row],[ (RESV. STORGE) SER]]/10</f>
        <v/>
      </c>
      <c r="AO191" s="43" t="n">
        <v>2057</v>
      </c>
      <c r="AP191" s="32">
        <f>TABL123[[#This Row],[(A/S) AJD]]-TABL123[[#This Row],[SER_IN]]</f>
        <v/>
      </c>
    </row>
    <row r="192" ht="18.75" customHeight="1">
      <c r="A192" s="2" t="n">
        <v>46213</v>
      </c>
      <c r="B192" s="44" t="n">
        <v>47</v>
      </c>
      <c r="C192" s="44" t="n">
        <v>395</v>
      </c>
      <c r="D192" s="44">
        <f>B192</f>
        <v/>
      </c>
      <c r="E192" s="44" t="n">
        <v>0</v>
      </c>
      <c r="F192" s="44" t="n">
        <v>92</v>
      </c>
      <c r="G192" s="40" t="n">
        <v>611</v>
      </c>
      <c r="H192" s="28">
        <f>103-F192</f>
        <v/>
      </c>
      <c r="I192" s="40" t="n">
        <v>560</v>
      </c>
      <c r="J192" s="44" t="n">
        <v>535</v>
      </c>
      <c r="K192" s="28">
        <f>TABL123[[#This Row],[ (T/B) SAR]]+TABL123[[#This Row],[ (S/S) SAR]]</f>
        <v/>
      </c>
      <c r="L192" s="45" t="n">
        <v>437</v>
      </c>
      <c r="M192" s="46" t="n">
        <v>29.4</v>
      </c>
      <c r="N192" s="46" t="n">
        <v>7.87</v>
      </c>
      <c r="O192" s="40" t="n">
        <v>477</v>
      </c>
      <c r="P192" s="12">
        <f>TABL123[[#This Row],[ (S/S) SAR]]-TABL123[[#This Row],[(S/S) AJD]]</f>
        <v/>
      </c>
      <c r="Q192" s="40" t="n">
        <v>477</v>
      </c>
      <c r="R192" s="12">
        <f>TABL123[[#This Row],[ (T/B) SAR]]-TABL123[[#This Row],[(T/B) AJD]]</f>
        <v/>
      </c>
      <c r="S192" s="12">
        <f>TABL123[[#This Row],[T/B-CON.]]+TABL123[[#This Row],[S/S_CON.]]</f>
        <v/>
      </c>
      <c r="T192" s="12">
        <f>TABL123[[#This Row],[(S/S) AJD]]+TABL123[[#This Row],[(T/B) AJD]]</f>
        <v/>
      </c>
      <c r="U192" s="44" t="n">
        <v>559</v>
      </c>
      <c r="V192" s="44" t="n">
        <v>273</v>
      </c>
      <c r="W192" s="12">
        <f>TABL123[[#This Row],[(A/B) AJD]]+TABL123[[#This Row],[(A/S) AJD]]</f>
        <v/>
      </c>
      <c r="X192" s="12">
        <f>TABL123[[#This Row],[( S/S+T/B) AJD]]-TABL123[[#This Row],[(A/B + A/S) AJD]]</f>
        <v/>
      </c>
      <c r="Y192" s="44" t="n">
        <v>92.82599999999999</v>
      </c>
      <c r="Z192" s="45" t="n">
        <v>691250</v>
      </c>
      <c r="AA192" s="3">
        <f>TABL123[[#This Row],[(RESV. STORGE) AJD]]/10</f>
        <v/>
      </c>
      <c r="AB192" s="45">
        <f>IF(TRIM(Z192)="",,(Z192-Z191)/1000)</f>
        <v/>
      </c>
      <c r="AC192" s="45" t="n">
        <v>2100</v>
      </c>
      <c r="AD192" s="83">
        <f>TABL123[[#This Row],[( S/S+T/B) AJD]]-(TABL123[[#This Row],[(A/B + A/S) AJD]]+TABL123[[#This Row],[(STORGE DIFF.) AJD]]+(TABL123[[#This Row],[AJD_Evaporation]])/1000)</f>
        <v/>
      </c>
      <c r="AE192" s="68" t="n">
        <v>77</v>
      </c>
      <c r="AF192" s="68" t="n">
        <v>58.89</v>
      </c>
      <c r="AG192" s="68" t="n">
        <v>1551079</v>
      </c>
      <c r="AH192" s="45" t="n">
        <v>2999</v>
      </c>
      <c r="AI192" s="45" t="n">
        <v>2999</v>
      </c>
      <c r="AJ192" s="78">
        <f>TABL123[[#This Row],[(A/B) AJD]]-TABL123[[#This Row],[BER_IN]]</f>
        <v/>
      </c>
      <c r="AK192" s="68" t="n">
        <v>41</v>
      </c>
      <c r="AL192" s="87" t="n">
        <v>40.9787</v>
      </c>
      <c r="AM192" s="87" t="n">
        <v>2030220</v>
      </c>
      <c r="AN192" s="87">
        <f>TABL123[[#This Row],[ (RESV. STORGE) SER]]/10</f>
        <v/>
      </c>
      <c r="AO192" s="45" t="n">
        <v>2075</v>
      </c>
      <c r="AP192" s="32">
        <f>TABL123[[#This Row],[(A/S) AJD]]-TABL123[[#This Row],[SER_IN]]</f>
        <v/>
      </c>
    </row>
    <row r="193" ht="18.75" customHeight="1">
      <c r="A193" s="2" t="n">
        <v>46214</v>
      </c>
      <c r="B193" s="41" t="n">
        <v>47</v>
      </c>
      <c r="C193" s="41" t="n">
        <v>387</v>
      </c>
      <c r="D193" s="41">
        <f>B193</f>
        <v/>
      </c>
      <c r="E193" s="41" t="n">
        <v>0</v>
      </c>
      <c r="F193" s="41" t="n">
        <v>92</v>
      </c>
      <c r="G193" s="39" t="n">
        <v>611</v>
      </c>
      <c r="H193" s="28">
        <f>103-F193</f>
        <v/>
      </c>
      <c r="I193" s="39" t="n">
        <v>558</v>
      </c>
      <c r="J193" s="39" t="n">
        <v>532</v>
      </c>
      <c r="K193" s="28">
        <f>TABL123[[#This Row],[ (T/B) SAR]]+TABL123[[#This Row],[ (S/S) SAR]]</f>
        <v/>
      </c>
      <c r="L193" s="41" t="n">
        <v>438</v>
      </c>
      <c r="M193" s="42" t="n">
        <v>29.4</v>
      </c>
      <c r="N193" s="42" t="n">
        <v>7.81</v>
      </c>
      <c r="O193" s="39" t="n">
        <v>453</v>
      </c>
      <c r="P193" s="12">
        <f>TABL123[[#This Row],[ (S/S) SAR]]-TABL123[[#This Row],[(S/S) AJD]]</f>
        <v/>
      </c>
      <c r="Q193" s="39" t="n">
        <v>486</v>
      </c>
      <c r="R193" s="12">
        <f>TABL123[[#This Row],[ (T/B) SAR]]-TABL123[[#This Row],[(T/B) AJD]]</f>
        <v/>
      </c>
      <c r="S193" s="12">
        <f>TABL123[[#This Row],[T/B-CON.]]+TABL123[[#This Row],[S/S_CON.]]</f>
        <v/>
      </c>
      <c r="T193" s="12">
        <f>TABL123[[#This Row],[(S/S) AJD]]+TABL123[[#This Row],[(T/B) AJD]]</f>
        <v/>
      </c>
      <c r="U193" s="41" t="n">
        <v>567</v>
      </c>
      <c r="V193" s="41" t="n">
        <v>257</v>
      </c>
      <c r="W193" s="12">
        <f>TABL123[[#This Row],[(A/B) AJD]]+TABL123[[#This Row],[(A/S) AJD]]</f>
        <v/>
      </c>
      <c r="X193" s="12">
        <f>TABL123[[#This Row],[( S/S+T/B) AJD]]-TABL123[[#This Row],[(A/B + A/S) AJD]]</f>
        <v/>
      </c>
      <c r="Y193" s="41" t="n">
        <v>92.946</v>
      </c>
      <c r="Z193" s="43" t="n">
        <v>763115</v>
      </c>
      <c r="AA193" s="3">
        <f>TABL123[[#This Row],[(RESV. STORGE) AJD]]/10</f>
        <v/>
      </c>
      <c r="AB193" s="45">
        <f>IF(TRIM(Z193)="",,(Z193-Z192)/1000)</f>
        <v/>
      </c>
      <c r="AC193" s="43" t="n">
        <v>2689</v>
      </c>
      <c r="AD193" s="83">
        <f>TABL123[[#This Row],[( S/S+T/B) AJD]]-(TABL123[[#This Row],[(A/B + A/S) AJD]]+TABL123[[#This Row],[(STORGE DIFF.) AJD]]+(TABL123[[#This Row],[AJD_Evaporation]])/1000)</f>
        <v/>
      </c>
      <c r="AE193" s="68" t="n">
        <v>77</v>
      </c>
      <c r="AF193" s="68" t="n">
        <v>58.86</v>
      </c>
      <c r="AG193" s="68" t="n">
        <v>1531306</v>
      </c>
      <c r="AH193" s="68" t="n">
        <v>3000</v>
      </c>
      <c r="AI193" s="68" t="n">
        <v>3000</v>
      </c>
      <c r="AJ193" s="78">
        <f>TABL123[[#This Row],[(A/B) AJD]]-TABL123[[#This Row],[BER_IN]]</f>
        <v/>
      </c>
      <c r="AK193" s="68" t="n">
        <v>42</v>
      </c>
      <c r="AL193" s="87" t="n">
        <v>40.9848</v>
      </c>
      <c r="AM193" s="87" t="n">
        <v>2033560</v>
      </c>
      <c r="AN193" s="87">
        <f>TABL123[[#This Row],[ (RESV. STORGE) SER]]/10</f>
        <v/>
      </c>
      <c r="AO193" s="43" t="n">
        <v>2095</v>
      </c>
      <c r="AP193" s="32">
        <f>TABL123[[#This Row],[(A/S) AJD]]-TABL123[[#This Row],[SER_IN]]</f>
        <v/>
      </c>
    </row>
    <row r="194" ht="18.75" customHeight="1">
      <c r="A194" s="2" t="n">
        <v>46215</v>
      </c>
      <c r="B194" s="44" t="n">
        <v>47</v>
      </c>
      <c r="C194" s="44" t="n">
        <v>382</v>
      </c>
      <c r="D194" s="44">
        <f>B194</f>
        <v/>
      </c>
      <c r="E194" s="44" t="n">
        <v>0</v>
      </c>
      <c r="F194" s="44" t="n">
        <v>92</v>
      </c>
      <c r="G194" s="40" t="n">
        <v>611</v>
      </c>
      <c r="H194" s="28">
        <f>103-F194</f>
        <v/>
      </c>
      <c r="I194" s="40" t="n">
        <v>558</v>
      </c>
      <c r="J194" s="44" t="n">
        <v>535</v>
      </c>
      <c r="K194" s="28">
        <f>TABL123[[#This Row],[ (T/B) SAR]]+TABL123[[#This Row],[ (S/S) SAR]]</f>
        <v/>
      </c>
      <c r="L194" s="45" t="n">
        <v>437</v>
      </c>
      <c r="M194" s="46" t="n">
        <v>29.4</v>
      </c>
      <c r="N194" s="46" t="n">
        <v>7.69</v>
      </c>
      <c r="O194" s="40" t="n">
        <v>454</v>
      </c>
      <c r="P194" s="12">
        <f>TABL123[[#This Row],[ (S/S) SAR]]-TABL123[[#This Row],[(S/S) AJD]]</f>
        <v/>
      </c>
      <c r="Q194" s="40" t="n">
        <v>486</v>
      </c>
      <c r="R194" s="12">
        <f>TABL123[[#This Row],[ (T/B) SAR]]-TABL123[[#This Row],[(T/B) AJD]]</f>
        <v/>
      </c>
      <c r="S194" s="12">
        <f>TABL123[[#This Row],[T/B-CON.]]+TABL123[[#This Row],[S/S_CON.]]</f>
        <v/>
      </c>
      <c r="T194" s="12">
        <f>TABL123[[#This Row],[(S/S) AJD]]+TABL123[[#This Row],[(T/B) AJD]]</f>
        <v/>
      </c>
      <c r="U194" s="44" t="n">
        <v>584</v>
      </c>
      <c r="V194" s="44" t="n">
        <v>327</v>
      </c>
      <c r="W194" s="12">
        <f>TABL123[[#This Row],[(A/B) AJD]]+TABL123[[#This Row],[(A/S) AJD]]</f>
        <v/>
      </c>
      <c r="X194" s="12">
        <f>TABL123[[#This Row],[( S/S+T/B) AJD]]-TABL123[[#This Row],[(A/B + A/S) AJD]]</f>
        <v/>
      </c>
      <c r="Y194" s="44" t="n">
        <v>92.92100000000001</v>
      </c>
      <c r="Z194" s="45" t="n">
        <v>748132</v>
      </c>
      <c r="AA194" s="3">
        <f>TABL123[[#This Row],[(RESV. STORGE) AJD]]/10</f>
        <v/>
      </c>
      <c r="AB194" s="45">
        <f>IF(TRIM(Z194)="",,(Z194-Z193)/1000)</f>
        <v/>
      </c>
      <c r="AC194" s="45" t="n">
        <v>3397</v>
      </c>
      <c r="AD194" s="83">
        <f>TABL123[[#This Row],[( S/S+T/B) AJD]]-(TABL123[[#This Row],[(A/B + A/S) AJD]]+TABL123[[#This Row],[(STORGE DIFF.) AJD]]+(TABL123[[#This Row],[AJD_Evaporation]])/1000)</f>
        <v/>
      </c>
      <c r="AE194" s="68" t="n">
        <v>82</v>
      </c>
      <c r="AF194" s="68" t="n">
        <v>58.83</v>
      </c>
      <c r="AG194" s="68" t="n">
        <v>1511540</v>
      </c>
      <c r="AH194" s="45" t="n">
        <v>2987</v>
      </c>
      <c r="AI194" s="45" t="n">
        <v>2987</v>
      </c>
      <c r="AJ194" s="78">
        <f>TABL123[[#This Row],[(A/B) AJD]]-TABL123[[#This Row],[BER_IN]]</f>
        <v/>
      </c>
      <c r="AK194" s="68" t="n">
        <v>60</v>
      </c>
      <c r="AL194" s="87" t="n">
        <v>41.0366</v>
      </c>
      <c r="AM194" s="87" t="n">
        <v>2060900</v>
      </c>
      <c r="AN194" s="87">
        <f>TABL123[[#This Row],[ (RESV. STORGE) SER]]/10</f>
        <v/>
      </c>
      <c r="AO194" s="45" t="n">
        <v>2115</v>
      </c>
      <c r="AP194" s="32">
        <f>TABL123[[#This Row],[(A/S) AJD]]-TABL123[[#This Row],[SER_IN]]</f>
        <v/>
      </c>
    </row>
    <row r="195" ht="18.75" customHeight="1">
      <c r="A195" s="2" t="n">
        <v>46216</v>
      </c>
      <c r="B195" s="41" t="n">
        <v>47</v>
      </c>
      <c r="C195" s="41" t="n">
        <v>390</v>
      </c>
      <c r="D195" s="41">
        <f>B195</f>
        <v/>
      </c>
      <c r="E195" s="41" t="n">
        <v>0</v>
      </c>
      <c r="F195" s="41" t="n">
        <v>92</v>
      </c>
      <c r="G195" s="39" t="n">
        <v>611</v>
      </c>
      <c r="H195" s="28">
        <f>103-F195</f>
        <v/>
      </c>
      <c r="I195" s="39" t="n">
        <v>555</v>
      </c>
      <c r="J195" s="39" t="n">
        <v>530</v>
      </c>
      <c r="K195" s="28">
        <f>TABL123[[#This Row],[ (T/B) SAR]]+TABL123[[#This Row],[ (S/S) SAR]]</f>
        <v/>
      </c>
      <c r="L195" s="41" t="n">
        <v>430</v>
      </c>
      <c r="M195" s="42" t="n">
        <v>29.4</v>
      </c>
      <c r="N195" s="42" t="n">
        <v>7.59</v>
      </c>
      <c r="O195" s="39" t="n">
        <v>452</v>
      </c>
      <c r="P195" s="12">
        <f>TABL123[[#This Row],[ (S/S) SAR]]-TABL123[[#This Row],[(S/S) AJD]]</f>
        <v/>
      </c>
      <c r="Q195" s="39" t="n">
        <v>485</v>
      </c>
      <c r="R195" s="12">
        <f>TABL123[[#This Row],[ (T/B) SAR]]-TABL123[[#This Row],[(T/B) AJD]]</f>
        <v/>
      </c>
      <c r="S195" s="12">
        <f>TABL123[[#This Row],[T/B-CON.]]+TABL123[[#This Row],[S/S_CON.]]</f>
        <v/>
      </c>
      <c r="T195" s="12">
        <f>TABL123[[#This Row],[(S/S) AJD]]+TABL123[[#This Row],[(T/B) AJD]]</f>
        <v/>
      </c>
      <c r="U195" s="41" t="n">
        <v>587</v>
      </c>
      <c r="V195" s="41" t="n">
        <v>352</v>
      </c>
      <c r="W195" s="12">
        <f>TABL123[[#This Row],[(A/B) AJD]]+TABL123[[#This Row],[(A/S) AJD]]</f>
        <v/>
      </c>
      <c r="X195" s="12">
        <f>TABL123[[#This Row],[( S/S+T/B) AJD]]-TABL123[[#This Row],[(A/B + A/S) AJD]]</f>
        <v/>
      </c>
      <c r="Y195" s="41" t="n">
        <v>92.84399999999999</v>
      </c>
      <c r="Z195" s="43" t="n">
        <v>702025</v>
      </c>
      <c r="AA195" s="3">
        <f>TABL123[[#This Row],[(RESV. STORGE) AJD]]/10</f>
        <v/>
      </c>
      <c r="AB195" s="45">
        <f>IF(TRIM(Z195)="",,(Z195-Z194)/1000)</f>
        <v/>
      </c>
      <c r="AC195" s="43" t="n">
        <v>3150</v>
      </c>
      <c r="AD195" s="83">
        <f>TABL123[[#This Row],[( S/S+T/B) AJD]]-(TABL123[[#This Row],[(A/B + A/S) AJD]]+TABL123[[#This Row],[(STORGE DIFF.) AJD]]+(TABL123[[#This Row],[AJD_Evaporation]])/1000)</f>
        <v/>
      </c>
      <c r="AE195" s="68" t="n">
        <v>86</v>
      </c>
      <c r="AF195" s="68" t="n">
        <v>58.82</v>
      </c>
      <c r="AG195" s="68" t="n">
        <v>1504953</v>
      </c>
      <c r="AH195" s="43" t="n">
        <v>2414</v>
      </c>
      <c r="AI195" s="43" t="n">
        <v>2414</v>
      </c>
      <c r="AJ195" s="78">
        <f>TABL123[[#This Row],[(A/B) AJD]]-TABL123[[#This Row],[BER_IN]]</f>
        <v/>
      </c>
      <c r="AK195" s="68" t="n">
        <v>68</v>
      </c>
      <c r="AL195" s="87" t="n">
        <v>41.1191</v>
      </c>
      <c r="AM195" s="87" t="n">
        <v>2104220</v>
      </c>
      <c r="AN195" s="87">
        <f>TABL123[[#This Row],[ (RESV. STORGE) SER]]/10</f>
        <v/>
      </c>
      <c r="AO195" s="43" t="n">
        <v>2125</v>
      </c>
      <c r="AP195" s="32">
        <f>TABL123[[#This Row],[(A/S) AJD]]-TABL123[[#This Row],[SER_IN]]</f>
        <v/>
      </c>
    </row>
    <row r="196" ht="18.75" customHeight="1">
      <c r="A196" s="2" t="n">
        <v>46217</v>
      </c>
      <c r="B196" s="44" t="n">
        <v>48</v>
      </c>
      <c r="C196" s="44" t="n">
        <v>382</v>
      </c>
      <c r="D196" s="44">
        <f>B196</f>
        <v/>
      </c>
      <c r="E196" s="44" t="n">
        <v>0</v>
      </c>
      <c r="F196" s="44" t="n">
        <v>92</v>
      </c>
      <c r="G196" s="40" t="n">
        <v>611</v>
      </c>
      <c r="H196" s="28">
        <f>103-F196</f>
        <v/>
      </c>
      <c r="I196" s="40" t="n">
        <v>550</v>
      </c>
      <c r="J196" s="44" t="n">
        <v>532</v>
      </c>
      <c r="K196" s="28">
        <f>TABL123[[#This Row],[ (T/B) SAR]]+TABL123[[#This Row],[ (S/S) SAR]]</f>
        <v/>
      </c>
      <c r="L196" s="45" t="n">
        <v>426</v>
      </c>
      <c r="M196" s="46" t="n">
        <v>29.4</v>
      </c>
      <c r="N196" s="46" t="n">
        <v>7.5</v>
      </c>
      <c r="O196" s="40" t="n">
        <v>448</v>
      </c>
      <c r="P196" s="12">
        <f>TABL123[[#This Row],[ (S/S) SAR]]-TABL123[[#This Row],[(S/S) AJD]]</f>
        <v/>
      </c>
      <c r="Q196" s="40" t="n">
        <v>483</v>
      </c>
      <c r="R196" s="12">
        <f>TABL123[[#This Row],[ (T/B) SAR]]-TABL123[[#This Row],[(T/B) AJD]]</f>
        <v/>
      </c>
      <c r="S196" s="12">
        <f>TABL123[[#This Row],[T/B-CON.]]+TABL123[[#This Row],[S/S_CON.]]</f>
        <v/>
      </c>
      <c r="T196" s="12">
        <f>TABL123[[#This Row],[(S/S) AJD]]+TABL123[[#This Row],[(T/B) AJD]]</f>
        <v/>
      </c>
      <c r="U196" s="44" t="n">
        <v>586</v>
      </c>
      <c r="V196" s="44" t="n">
        <v>360</v>
      </c>
      <c r="W196" s="12">
        <f>TABL123[[#This Row],[(A/B) AJD]]+TABL123[[#This Row],[(A/S) AJD]]</f>
        <v/>
      </c>
      <c r="X196" s="12">
        <f>TABL123[[#This Row],[( S/S+T/B) AJD]]-TABL123[[#This Row],[(A/B + A/S) AJD]]</f>
        <v/>
      </c>
      <c r="Y196" s="44" t="n">
        <v>92.759</v>
      </c>
      <c r="Z196" s="45" t="n">
        <v>651182</v>
      </c>
      <c r="AA196" s="3">
        <f>TABL123[[#This Row],[(RESV. STORGE) AJD]]/10</f>
        <v/>
      </c>
      <c r="AB196" s="45">
        <f>IF(TRIM(Z196)="",,(Z196-Z195)/1000)</f>
        <v/>
      </c>
      <c r="AC196" s="45" t="n">
        <v>2499</v>
      </c>
      <c r="AD196" s="83">
        <f>TABL123[[#This Row],[( S/S+T/B) AJD]]-(TABL123[[#This Row],[(A/B + A/S) AJD]]+TABL123[[#This Row],[(STORGE DIFF.) AJD]]+(TABL123[[#This Row],[AJD_Evaporation]])/1000)</f>
        <v/>
      </c>
      <c r="AE196" s="68" t="n">
        <v>86</v>
      </c>
      <c r="AF196" s="68" t="n">
        <v>58.84</v>
      </c>
      <c r="AG196" s="68" t="n">
        <v>1518127</v>
      </c>
      <c r="AH196" s="45" t="n">
        <v>2367</v>
      </c>
      <c r="AI196" s="45" t="n">
        <v>2367</v>
      </c>
      <c r="AJ196" s="78">
        <f>TABL123[[#This Row],[(A/B) AJD]]-TABL123[[#This Row],[BER_IN]]</f>
        <v/>
      </c>
      <c r="AK196" s="68" t="n">
        <v>70</v>
      </c>
      <c r="AL196" s="87" t="n">
        <v>41.2137</v>
      </c>
      <c r="AM196" s="87" t="n">
        <v>2154110</v>
      </c>
      <c r="AN196" s="87">
        <f>TABL123[[#This Row],[ (RESV. STORGE) SER]]/10</f>
        <v/>
      </c>
      <c r="AO196" s="45" t="n">
        <v>2130</v>
      </c>
      <c r="AP196" s="32">
        <f>TABL123[[#This Row],[(A/S) AJD]]-TABL123[[#This Row],[SER_IN]]</f>
        <v/>
      </c>
    </row>
    <row r="197" ht="18.75" customHeight="1">
      <c r="A197" s="2" t="n">
        <v>46218</v>
      </c>
      <c r="B197" s="41" t="n">
        <v>48</v>
      </c>
      <c r="C197" s="41" t="n">
        <v>366</v>
      </c>
      <c r="D197" s="41">
        <f>B197</f>
        <v/>
      </c>
      <c r="E197" s="41" t="n">
        <v>0</v>
      </c>
      <c r="F197" s="41" t="n">
        <v>60</v>
      </c>
      <c r="G197" s="39" t="n">
        <v>409</v>
      </c>
      <c r="H197" s="28">
        <f>103-F197</f>
        <v/>
      </c>
      <c r="I197" s="39" t="n">
        <v>444</v>
      </c>
      <c r="J197" s="39" t="n">
        <v>428</v>
      </c>
      <c r="K197" s="28">
        <f>TABL123[[#This Row],[ (T/B) SAR]]+TABL123[[#This Row],[ (S/S) SAR]]</f>
        <v/>
      </c>
      <c r="L197" s="41" t="n">
        <v>426</v>
      </c>
      <c r="M197" s="42" t="n">
        <v>29.4</v>
      </c>
      <c r="N197" s="42" t="n">
        <v>7.41</v>
      </c>
      <c r="O197" s="39" t="n">
        <v>399</v>
      </c>
      <c r="P197" s="12">
        <f>TABL123[[#This Row],[ (S/S) SAR]]-TABL123[[#This Row],[(S/S) AJD]]</f>
        <v/>
      </c>
      <c r="Q197" s="39" t="n">
        <v>440</v>
      </c>
      <c r="R197" s="12">
        <f>TABL123[[#This Row],[ (T/B) SAR]]-TABL123[[#This Row],[(T/B) AJD]]</f>
        <v/>
      </c>
      <c r="S197" s="12">
        <f>TABL123[[#This Row],[T/B-CON.]]+TABL123[[#This Row],[S/S_CON.]]</f>
        <v/>
      </c>
      <c r="T197" s="12">
        <f>TABL123[[#This Row],[(S/S) AJD]]+TABL123[[#This Row],[(T/B) AJD]]</f>
        <v/>
      </c>
      <c r="U197" s="41" t="n">
        <v>577</v>
      </c>
      <c r="V197" s="41" t="n">
        <v>329</v>
      </c>
      <c r="W197" s="12">
        <f>TABL123[[#This Row],[(A/B) AJD]]+TABL123[[#This Row],[(A/S) AJD]]</f>
        <v/>
      </c>
      <c r="X197" s="12">
        <f>TABL123[[#This Row],[( S/S+T/B) AJD]]-TABL123[[#This Row],[(A/B + A/S) AJD]]</f>
        <v/>
      </c>
      <c r="Y197" s="41" t="n">
        <v>92.574</v>
      </c>
      <c r="Z197" s="43" t="n">
        <v>540720</v>
      </c>
      <c r="AA197" s="3">
        <f>TABL123[[#This Row],[(RESV. STORGE) AJD]]/10</f>
        <v/>
      </c>
      <c r="AB197" s="45">
        <f>IF(TRIM(Z197)="",,(Z197-Z196)/1000)</f>
        <v/>
      </c>
      <c r="AC197" s="43" t="n">
        <v>2834</v>
      </c>
      <c r="AD197" s="83">
        <f>TABL123[[#This Row],[( S/S+T/B) AJD]]-(TABL123[[#This Row],[(A/B + A/S) AJD]]+TABL123[[#This Row],[(STORGE DIFF.) AJD]]+(TABL123[[#This Row],[AJD_Evaporation]])/1000)</f>
        <v/>
      </c>
      <c r="AE197" s="68" t="n">
        <v>86</v>
      </c>
      <c r="AF197" s="68" t="n">
        <v>58.836</v>
      </c>
      <c r="AG197" s="68" t="n">
        <v>1515492</v>
      </c>
      <c r="AH197" s="43" t="n">
        <v>2635</v>
      </c>
      <c r="AI197" s="43" t="n">
        <v>2635</v>
      </c>
      <c r="AJ197" s="78">
        <f>TABL123[[#This Row],[(A/B) AJD]]-TABL123[[#This Row],[BER_IN]]</f>
        <v/>
      </c>
      <c r="AK197" s="68" t="n">
        <v>71</v>
      </c>
      <c r="AL197" s="87" t="n">
        <v>41.3203</v>
      </c>
      <c r="AM197" s="87" t="n">
        <v>2210540</v>
      </c>
      <c r="AN197" s="87">
        <f>TABL123[[#This Row],[ (RESV. STORGE) SER]]/10</f>
        <v/>
      </c>
      <c r="AO197" s="43" t="n">
        <v>2140</v>
      </c>
      <c r="AP197" s="32">
        <f>TABL123[[#This Row],[(A/S) AJD]]-TABL123[[#This Row],[SER_IN]]</f>
        <v/>
      </c>
    </row>
    <row r="198" ht="18.75" customHeight="1">
      <c r="A198" s="2" t="n">
        <v>46219</v>
      </c>
      <c r="B198" s="44" t="n">
        <v>48</v>
      </c>
      <c r="C198" s="44" t="n">
        <v>376</v>
      </c>
      <c r="D198" s="44">
        <f>B198</f>
        <v/>
      </c>
      <c r="E198" s="44" t="n">
        <v>0</v>
      </c>
      <c r="F198" s="44" t="n">
        <v>92</v>
      </c>
      <c r="G198" s="40" t="n">
        <v>611</v>
      </c>
      <c r="H198" s="28">
        <f>103-F198</f>
        <v/>
      </c>
      <c r="I198" s="40" t="n">
        <v>540</v>
      </c>
      <c r="J198" s="44" t="n">
        <v>526</v>
      </c>
      <c r="K198" s="28">
        <f>TABL123[[#This Row],[ (T/B) SAR]]+TABL123[[#This Row],[ (S/S) SAR]]</f>
        <v/>
      </c>
      <c r="L198" s="45" t="n">
        <v>426</v>
      </c>
      <c r="M198" s="46" t="n">
        <v>29.4</v>
      </c>
      <c r="N198" s="46" t="n">
        <v>7.27</v>
      </c>
      <c r="O198" s="40" t="n">
        <v>321</v>
      </c>
      <c r="P198" s="12">
        <f>TABL123[[#This Row],[ (S/S) SAR]]-TABL123[[#This Row],[(S/S) AJD]]</f>
        <v/>
      </c>
      <c r="Q198" s="40" t="n">
        <v>351</v>
      </c>
      <c r="R198" s="12">
        <f>TABL123[[#This Row],[ (T/B) SAR]]-TABL123[[#This Row],[(T/B) AJD]]</f>
        <v/>
      </c>
      <c r="S198" s="12">
        <f>TABL123[[#This Row],[T/B-CON.]]+TABL123[[#This Row],[S/S_CON.]]</f>
        <v/>
      </c>
      <c r="T198" s="12">
        <f>TABL123[[#This Row],[(S/S) AJD]]+TABL123[[#This Row],[(T/B) AJD]]</f>
        <v/>
      </c>
      <c r="U198" s="44" t="n">
        <v>584</v>
      </c>
      <c r="V198" s="44" t="n">
        <v>312</v>
      </c>
      <c r="W198" s="12">
        <f>TABL123[[#This Row],[(A/B) AJD]]+TABL123[[#This Row],[(A/S) AJD]]</f>
        <v/>
      </c>
      <c r="X198" s="12">
        <f>TABL123[[#This Row],[( S/S+T/B) AJD]]-TABL123[[#This Row],[(A/B + A/S) AJD]]</f>
        <v/>
      </c>
      <c r="Y198" s="44" t="n">
        <v>92.145</v>
      </c>
      <c r="Z198" s="45" t="n">
        <v>284490</v>
      </c>
      <c r="AA198" s="3">
        <f>TABL123[[#This Row],[(RESV. STORGE) AJD]]/10</f>
        <v/>
      </c>
      <c r="AB198" s="45">
        <f>IF(TRIM(Z198)="",,(Z198-Z197)/1000)</f>
        <v/>
      </c>
      <c r="AC198" s="45" t="n">
        <v>2149</v>
      </c>
      <c r="AD198" s="83">
        <f>TABL123[[#This Row],[( S/S+T/B) AJD]]-(TABL123[[#This Row],[(A/B + A/S) AJD]]+TABL123[[#This Row],[(STORGE DIFF.) AJD]]+(TABL123[[#This Row],[AJD_Evaporation]])/1000)</f>
        <v/>
      </c>
      <c r="AE198" s="68" t="n">
        <v>90</v>
      </c>
      <c r="AF198" s="68" t="n">
        <v>58.85</v>
      </c>
      <c r="AG198" s="68" t="n">
        <v>1524716</v>
      </c>
      <c r="AH198" s="45" t="n">
        <v>2357</v>
      </c>
      <c r="AI198" s="45" t="n">
        <v>2357</v>
      </c>
      <c r="AJ198" s="78">
        <f>TABL123[[#This Row],[(A/B) AJD]]-TABL123[[#This Row],[BER_IN]]</f>
        <v/>
      </c>
      <c r="AK198" s="68" t="n">
        <v>70</v>
      </c>
      <c r="AL198" s="87" t="n">
        <v>41.4205</v>
      </c>
      <c r="AM198" s="87" t="n">
        <v>2263420</v>
      </c>
      <c r="AN198" s="87">
        <f>TABL123[[#This Row],[ (RESV. STORGE) SER]]/10</f>
        <v/>
      </c>
      <c r="AO198" s="45" t="n">
        <v>1820</v>
      </c>
      <c r="AP198" s="32">
        <f>TABL123[[#This Row],[(A/S) AJD]]-TABL123[[#This Row],[SER_IN]]</f>
        <v/>
      </c>
    </row>
    <row r="199" ht="18.75" customHeight="1">
      <c r="A199" s="2" t="n">
        <v>46220</v>
      </c>
      <c r="B199" s="41" t="n">
        <v>50</v>
      </c>
      <c r="C199" s="41" t="n">
        <v>400</v>
      </c>
      <c r="D199" s="41">
        <f>B199</f>
        <v/>
      </c>
      <c r="E199" s="41" t="n">
        <v>0</v>
      </c>
      <c r="F199" s="41" t="n">
        <v>92</v>
      </c>
      <c r="G199" s="39" t="n">
        <v>611</v>
      </c>
      <c r="H199" s="28">
        <f>103-F199</f>
        <v/>
      </c>
      <c r="I199" s="39" t="n">
        <v>537</v>
      </c>
      <c r="J199" s="39" t="n">
        <v>525</v>
      </c>
      <c r="K199" s="28">
        <f>TABL123[[#This Row],[ (T/B) SAR]]+TABL123[[#This Row],[ (S/S) SAR]]</f>
        <v/>
      </c>
      <c r="L199" s="41" t="n">
        <v>426</v>
      </c>
      <c r="M199" s="42" t="n">
        <v>29.4</v>
      </c>
      <c r="N199" s="42" t="n">
        <v>7.26</v>
      </c>
      <c r="O199" s="39" t="n">
        <v>432</v>
      </c>
      <c r="P199" s="12">
        <f>TABL123[[#This Row],[ (S/S) SAR]]-TABL123[[#This Row],[(S/S) AJD]]</f>
        <v/>
      </c>
      <c r="Q199" s="39" t="n">
        <v>460</v>
      </c>
      <c r="R199" s="12">
        <f>TABL123[[#This Row],[ (T/B) SAR]]-TABL123[[#This Row],[(T/B) AJD]]</f>
        <v/>
      </c>
      <c r="S199" s="12">
        <f>TABL123[[#This Row],[T/B-CON.]]+TABL123[[#This Row],[S/S_CON.]]</f>
        <v/>
      </c>
      <c r="T199" s="12">
        <f>TABL123[[#This Row],[(S/S) AJD]]+TABL123[[#This Row],[(T/B) AJD]]</f>
        <v/>
      </c>
      <c r="U199" s="41" t="n">
        <v>550</v>
      </c>
      <c r="V199" s="41" t="n">
        <v>277</v>
      </c>
      <c r="W199" s="12">
        <f>TABL123[[#This Row],[(A/B) AJD]]+TABL123[[#This Row],[(A/S) AJD]]</f>
        <v/>
      </c>
      <c r="X199" s="12">
        <f>TABL123[[#This Row],[( S/S+T/B) AJD]]-TABL123[[#This Row],[(A/B + A/S) AJD]]</f>
        <v/>
      </c>
      <c r="Y199" s="41" t="n">
        <v>92.215</v>
      </c>
      <c r="Z199" s="43" t="n">
        <v>327188</v>
      </c>
      <c r="AA199" s="3">
        <f>TABL123[[#This Row],[(RESV. STORGE) AJD]]/10</f>
        <v/>
      </c>
      <c r="AB199" s="45">
        <f>IF(TRIM(Z199)="",,(Z199-Z198)/1000)</f>
        <v/>
      </c>
      <c r="AC199" s="43" t="n">
        <v>3015</v>
      </c>
      <c r="AD199" s="83">
        <f>TABL123[[#This Row],[( S/S+T/B) AJD]]-(TABL123[[#This Row],[(A/B + A/S) AJD]]+TABL123[[#This Row],[(STORGE DIFF.) AJD]]+(TABL123[[#This Row],[AJD_Evaporation]])/1000)</f>
        <v/>
      </c>
      <c r="AE199" s="68" t="n">
        <v>61</v>
      </c>
      <c r="AF199" s="68" t="n">
        <v>58.83</v>
      </c>
      <c r="AG199" s="68" t="n">
        <v>1512810</v>
      </c>
      <c r="AH199" s="43" t="n">
        <v>2400</v>
      </c>
      <c r="AI199" s="43" t="n">
        <v>2400</v>
      </c>
      <c r="AJ199" s="78">
        <f>TABL123[[#This Row],[(A/B) AJD]]-TABL123[[#This Row],[BER_IN]]</f>
        <v/>
      </c>
      <c r="AK199" s="68" t="n">
        <v>51</v>
      </c>
      <c r="AL199" s="87" t="n">
        <v>41.4891</v>
      </c>
      <c r="AM199" s="87" t="n">
        <v>2299400</v>
      </c>
      <c r="AN199" s="87">
        <f>TABL123[[#This Row],[ (RESV. STORGE) SER]]/10</f>
        <v/>
      </c>
      <c r="AO199" s="43" t="n">
        <v>1920</v>
      </c>
      <c r="AP199" s="32">
        <f>TABL123[[#This Row],[(A/S) AJD]]-TABL123[[#This Row],[SER_IN]]</f>
        <v/>
      </c>
    </row>
    <row r="200" ht="18.75" customHeight="1">
      <c r="A200" s="2" t="n">
        <v>46221</v>
      </c>
      <c r="B200" s="44" t="n">
        <v>49</v>
      </c>
      <c r="C200" s="44" t="n">
        <v>311</v>
      </c>
      <c r="D200" s="44">
        <f>B200</f>
        <v/>
      </c>
      <c r="E200" s="44" t="n">
        <v>0</v>
      </c>
      <c r="F200" s="44" t="n">
        <v>90</v>
      </c>
      <c r="G200" s="40" t="n">
        <v>602</v>
      </c>
      <c r="H200" s="28">
        <f>103-F200</f>
        <v/>
      </c>
      <c r="I200" s="40" t="n">
        <v>470</v>
      </c>
      <c r="J200" s="44" t="n">
        <v>480</v>
      </c>
      <c r="K200" s="28">
        <f>TABL123[[#This Row],[ (T/B) SAR]]+TABL123[[#This Row],[ (S/S) SAR]]</f>
        <v/>
      </c>
      <c r="L200" s="45" t="n">
        <v>423</v>
      </c>
      <c r="M200" s="46" t="n">
        <v>29.5</v>
      </c>
      <c r="N200" s="46" t="n">
        <v>7.29</v>
      </c>
      <c r="O200" s="40" t="n">
        <v>439</v>
      </c>
      <c r="P200" s="12">
        <f>TABL123[[#This Row],[ (S/S) SAR]]-TABL123[[#This Row],[(S/S) AJD]]</f>
        <v/>
      </c>
      <c r="Q200" s="40" t="n">
        <v>472</v>
      </c>
      <c r="R200" s="12">
        <f>TABL123[[#This Row],[ (T/B) SAR]]-TABL123[[#This Row],[(T/B) AJD]]</f>
        <v/>
      </c>
      <c r="S200" s="12">
        <f>TABL123[[#This Row],[T/B-CON.]]+TABL123[[#This Row],[S/S_CON.]]</f>
        <v/>
      </c>
      <c r="T200" s="12">
        <f>TABL123[[#This Row],[(S/S) AJD]]+TABL123[[#This Row],[(T/B) AJD]]</f>
        <v/>
      </c>
      <c r="U200" s="44" t="n">
        <v>487</v>
      </c>
      <c r="V200" s="44" t="n">
        <v>275</v>
      </c>
      <c r="W200" s="12">
        <f>TABL123[[#This Row],[(A/B) AJD]]+TABL123[[#This Row],[(A/S) AJD]]</f>
        <v/>
      </c>
      <c r="X200" s="12">
        <f>TABL123[[#This Row],[( S/S+T/B) AJD]]-TABL123[[#This Row],[(A/B + A/S) AJD]]</f>
        <v/>
      </c>
      <c r="Y200" s="44" t="n">
        <v>92.425</v>
      </c>
      <c r="Z200" s="45" t="n">
        <v>451974</v>
      </c>
      <c r="AA200" s="3">
        <f>TABL123[[#This Row],[(RESV. STORGE) AJD]]/10</f>
        <v/>
      </c>
      <c r="AB200" s="45">
        <f>IF(TRIM(Z200)="",,(Z200-Z199)/1000)</f>
        <v/>
      </c>
      <c r="AC200" s="45" t="n">
        <v>3226</v>
      </c>
      <c r="AD200" s="83">
        <f>TABL123[[#This Row],[( S/S+T/B) AJD]]-(TABL123[[#This Row],[(A/B + A/S) AJD]]+TABL123[[#This Row],[(STORGE DIFF.) AJD]]+(TABL123[[#This Row],[AJD_Evaporation]])/1000)</f>
        <v/>
      </c>
      <c r="AE200" s="68" t="n">
        <v>51</v>
      </c>
      <c r="AF200" s="68" t="n">
        <v>58.87</v>
      </c>
      <c r="AG200" s="68" t="n">
        <v>1537896</v>
      </c>
      <c r="AH200" s="45" t="n">
        <v>2999</v>
      </c>
      <c r="AI200" s="45" t="n">
        <v>2999</v>
      </c>
      <c r="AJ200" s="78">
        <f>TABL123[[#This Row],[(A/B) AJD]]-TABL123[[#This Row],[BER_IN]]</f>
        <v/>
      </c>
      <c r="AK200" s="68" t="n">
        <v>42</v>
      </c>
      <c r="AL200" s="87" t="n">
        <v>41.5</v>
      </c>
      <c r="AM200" s="87" t="n">
        <v>2304060</v>
      </c>
      <c r="AN200" s="87">
        <f>TABL123[[#This Row],[ (RESV. STORGE) SER]]/10</f>
        <v/>
      </c>
      <c r="AO200" s="45" t="n">
        <v>1940</v>
      </c>
      <c r="AP200" s="32">
        <f>TABL123[[#This Row],[(A/S) AJD]]-TABL123[[#This Row],[SER_IN]]</f>
        <v/>
      </c>
    </row>
    <row r="201" ht="18.75" customHeight="1">
      <c r="A201" s="2" t="n">
        <v>46222</v>
      </c>
      <c r="B201" s="41" t="n">
        <v>49</v>
      </c>
      <c r="C201" s="41" t="n">
        <v>190</v>
      </c>
      <c r="D201" s="41">
        <f>B201</f>
        <v/>
      </c>
      <c r="E201" s="41" t="n">
        <v>0</v>
      </c>
      <c r="F201" s="41" t="n">
        <v>90</v>
      </c>
      <c r="G201" s="39" t="n">
        <v>599</v>
      </c>
      <c r="H201" s="28">
        <f>103-F201</f>
        <v/>
      </c>
      <c r="I201" s="39" t="n">
        <v>465</v>
      </c>
      <c r="J201" s="39" t="n">
        <v>460</v>
      </c>
      <c r="K201" s="28">
        <f>TABL123[[#This Row],[ (T/B) SAR]]+TABL123[[#This Row],[ (S/S) SAR]]</f>
        <v/>
      </c>
      <c r="L201" s="41" t="n">
        <v>390</v>
      </c>
      <c r="M201" s="42" t="n">
        <v>29.4</v>
      </c>
      <c r="N201" s="42" t="n">
        <v>7.29</v>
      </c>
      <c r="O201" s="39" t="n">
        <v>355</v>
      </c>
      <c r="P201" s="12">
        <f>TABL123[[#This Row],[ (S/S) SAR]]-TABL123[[#This Row],[(S/S) AJD]]</f>
        <v/>
      </c>
      <c r="Q201" s="39" t="n">
        <v>385</v>
      </c>
      <c r="R201" s="12">
        <f>TABL123[[#This Row],[ (T/B) SAR]]-TABL123[[#This Row],[(T/B) AJD]]</f>
        <v/>
      </c>
      <c r="S201" s="12">
        <f>TABL123[[#This Row],[T/B-CON.]]+TABL123[[#This Row],[S/S_CON.]]</f>
        <v/>
      </c>
      <c r="T201" s="12">
        <f>TABL123[[#This Row],[(S/S) AJD]]+TABL123[[#This Row],[(T/B) AJD]]</f>
        <v/>
      </c>
      <c r="U201" s="41" t="n">
        <v>453</v>
      </c>
      <c r="V201" s="41" t="n">
        <v>258</v>
      </c>
      <c r="W201" s="12">
        <f>TABL123[[#This Row],[(A/B) AJD]]+TABL123[[#This Row],[(A/S) AJD]]</f>
        <v/>
      </c>
      <c r="X201" s="12">
        <f>TABL123[[#This Row],[( S/S+T/B) AJD]]-TABL123[[#This Row],[(A/B + A/S) AJD]]</f>
        <v/>
      </c>
      <c r="Y201" s="41" t="n">
        <v>92.407</v>
      </c>
      <c r="Z201" s="43" t="n">
        <v>441261</v>
      </c>
      <c r="AA201" s="3">
        <f>TABL123[[#This Row],[(RESV. STORGE) AJD]]/10</f>
        <v/>
      </c>
      <c r="AB201" s="45">
        <f>IF(TRIM(Z201)="",,(Z201-Z200)/1000)</f>
        <v/>
      </c>
      <c r="AC201" s="43" t="n">
        <v>2082</v>
      </c>
      <c r="AD201" s="83">
        <f>TABL123[[#This Row],[( S/S+T/B) AJD]]-(TABL123[[#This Row],[(A/B + A/S) AJD]]+TABL123[[#This Row],[(STORGE DIFF.) AJD]]+(TABL123[[#This Row],[AJD_Evaporation]])/1000)</f>
        <v/>
      </c>
      <c r="AE201" s="68" t="n">
        <v>50</v>
      </c>
      <c r="AF201" s="68" t="n">
        <v>58.92</v>
      </c>
      <c r="AG201" s="68" t="n">
        <v>1570861</v>
      </c>
      <c r="AH201" s="43" t="n">
        <v>3004</v>
      </c>
      <c r="AI201" s="43" t="n">
        <v>3004</v>
      </c>
      <c r="AJ201" s="78">
        <f>TABL123[[#This Row],[(A/B) AJD]]-TABL123[[#This Row],[BER_IN]]</f>
        <v/>
      </c>
      <c r="AK201" s="68" t="n">
        <v>21</v>
      </c>
      <c r="AL201" s="87" t="n">
        <v>41.535</v>
      </c>
      <c r="AM201" s="87" t="n">
        <v>2322990</v>
      </c>
      <c r="AN201" s="87">
        <f>TABL123[[#This Row],[ (RESV. STORGE) SER]]/10</f>
        <v/>
      </c>
      <c r="AO201" s="43" t="n">
        <v>2070</v>
      </c>
      <c r="AP201" s="32">
        <f>TABL123[[#This Row],[(A/S) AJD]]-TABL123[[#This Row],[SER_IN]]</f>
        <v/>
      </c>
    </row>
    <row r="202" ht="18.75" customHeight="1">
      <c r="A202" s="2" t="n">
        <v>46223</v>
      </c>
      <c r="B202" s="44" t="n">
        <v>50</v>
      </c>
      <c r="C202" s="44" t="n">
        <v>279</v>
      </c>
      <c r="D202" s="44">
        <f>B202</f>
        <v/>
      </c>
      <c r="E202" s="44" t="n">
        <v>0</v>
      </c>
      <c r="F202" s="44" t="n">
        <v>90</v>
      </c>
      <c r="G202" s="40" t="n">
        <v>599</v>
      </c>
      <c r="H202" s="28">
        <f>103-F202</f>
        <v/>
      </c>
      <c r="I202" s="40" t="n">
        <v>459</v>
      </c>
      <c r="J202" s="44" t="n">
        <v>445</v>
      </c>
      <c r="K202" s="28">
        <f>TABL123[[#This Row],[ (T/B) SAR]]+TABL123[[#This Row],[ (S/S) SAR]]</f>
        <v/>
      </c>
      <c r="L202" s="45" t="n">
        <v>310</v>
      </c>
      <c r="M202" s="46" t="n">
        <v>29.4</v>
      </c>
      <c r="N202" s="46" t="n">
        <v>7.29</v>
      </c>
      <c r="O202" s="40" t="n">
        <v>329</v>
      </c>
      <c r="P202" s="12">
        <f>TABL123[[#This Row],[ (S/S) SAR]]-TABL123[[#This Row],[(S/S) AJD]]</f>
        <v/>
      </c>
      <c r="Q202" s="40" t="n">
        <v>345</v>
      </c>
      <c r="R202" s="12">
        <f>TABL123[[#This Row],[ (T/B) SAR]]-TABL123[[#This Row],[(T/B) AJD]]</f>
        <v/>
      </c>
      <c r="S202" s="12">
        <f>TABL123[[#This Row],[T/B-CON.]]+TABL123[[#This Row],[S/S_CON.]]</f>
        <v/>
      </c>
      <c r="T202" s="12">
        <f>TABL123[[#This Row],[(S/S) AJD]]+TABL123[[#This Row],[(T/B) AJD]]</f>
        <v/>
      </c>
      <c r="U202" s="44" t="n">
        <v>479</v>
      </c>
      <c r="V202" s="44" t="n">
        <v>238</v>
      </c>
      <c r="W202" s="12">
        <f>TABL123[[#This Row],[(A/B) AJD]]+TABL123[[#This Row],[(A/S) AJD]]</f>
        <v/>
      </c>
      <c r="X202" s="12">
        <f>TABL123[[#This Row],[( S/S+T/B) AJD]]-TABL123[[#This Row],[(A/B + A/S) AJD]]</f>
        <v/>
      </c>
      <c r="Y202" s="44" t="n">
        <v>92.295</v>
      </c>
      <c r="Z202" s="45" t="n">
        <v>374687</v>
      </c>
      <c r="AA202" s="3">
        <f>TABL123[[#This Row],[(RESV. STORGE) AJD]]/10</f>
        <v/>
      </c>
      <c r="AB202" s="45">
        <f>IF(TRIM(Z202)="",,(Z202-Z201)/1000)</f>
        <v/>
      </c>
      <c r="AC202" s="45" t="n">
        <v>3800</v>
      </c>
      <c r="AD202" s="83">
        <f>TABL123[[#This Row],[( S/S+T/B) AJD]]-(TABL123[[#This Row],[(A/B + A/S) AJD]]+TABL123[[#This Row],[(STORGE DIFF.) AJD]]+(TABL123[[#This Row],[AJD_Evaporation]])/1000)</f>
        <v/>
      </c>
      <c r="AE202" s="68" t="n">
        <v>50</v>
      </c>
      <c r="AF202" s="68" t="n">
        <v>58.992</v>
      </c>
      <c r="AG202" s="68" t="n">
        <v>1618368</v>
      </c>
      <c r="AH202" s="45" t="n">
        <v>2492</v>
      </c>
      <c r="AI202" s="45" t="n">
        <v>2492</v>
      </c>
      <c r="AJ202" s="78">
        <f>TABL123[[#This Row],[(A/B) AJD]]-TABL123[[#This Row],[BER_IN]]</f>
        <v/>
      </c>
      <c r="AK202" s="68" t="n">
        <v>0</v>
      </c>
      <c r="AL202" s="87" t="n">
        <v>41.5028</v>
      </c>
      <c r="AM202" s="87" t="n">
        <v>2306820</v>
      </c>
      <c r="AN202" s="87">
        <f>TABL123[[#This Row],[ (RESV. STORGE) SER]]/10</f>
        <v/>
      </c>
      <c r="AO202" s="45" t="n">
        <v>1870</v>
      </c>
      <c r="AP202" s="32">
        <f>TABL123[[#This Row],[(A/S) AJD]]-TABL123[[#This Row],[SER_IN]]</f>
        <v/>
      </c>
    </row>
    <row r="203" ht="18.75" customHeight="1">
      <c r="A203" s="2" t="n">
        <v>46224</v>
      </c>
      <c r="B203" s="41" t="n">
        <v>51</v>
      </c>
      <c r="C203" s="41" t="n">
        <v>411</v>
      </c>
      <c r="D203" s="41">
        <f>B203</f>
        <v/>
      </c>
      <c r="E203" s="41" t="n">
        <v>0</v>
      </c>
      <c r="F203" s="41" t="n">
        <v>91</v>
      </c>
      <c r="G203" s="39" t="n">
        <v>605</v>
      </c>
      <c r="H203" s="28">
        <f>103-F203</f>
        <v/>
      </c>
      <c r="I203" s="39" t="n">
        <v>451</v>
      </c>
      <c r="J203" s="39" t="n">
        <v>438</v>
      </c>
      <c r="K203" s="28">
        <f>TABL123[[#This Row],[ (T/B) SAR]]+TABL123[[#This Row],[ (S/S) SAR]]</f>
        <v/>
      </c>
      <c r="L203" s="41" t="n">
        <v>271</v>
      </c>
      <c r="M203" s="42" t="n">
        <v>20.7</v>
      </c>
      <c r="N203" s="42" t="n">
        <v>6.73</v>
      </c>
      <c r="O203" s="39" t="n">
        <v>361</v>
      </c>
      <c r="P203" s="12">
        <f>TABL123[[#This Row],[ (S/S) SAR]]-TABL123[[#This Row],[(S/S) AJD]]</f>
        <v/>
      </c>
      <c r="Q203" s="39" t="n">
        <v>384</v>
      </c>
      <c r="R203" s="12">
        <f>TABL123[[#This Row],[ (T/B) SAR]]-TABL123[[#This Row],[(T/B) AJD]]</f>
        <v/>
      </c>
      <c r="S203" s="12">
        <f>TABL123[[#This Row],[T/B-CON.]]+TABL123[[#This Row],[S/S_CON.]]</f>
        <v/>
      </c>
      <c r="T203" s="12">
        <f>TABL123[[#This Row],[(S/S) AJD]]+TABL123[[#This Row],[(T/B) AJD]]</f>
        <v/>
      </c>
      <c r="U203" s="41" t="n">
        <v>528</v>
      </c>
      <c r="V203" s="41" t="n">
        <v>262</v>
      </c>
      <c r="W203" s="12">
        <f>TABL123[[#This Row],[(A/B) AJD]]+TABL123[[#This Row],[(A/S) AJD]]</f>
        <v/>
      </c>
      <c r="X203" s="12">
        <f>TABL123[[#This Row],[( S/S+T/B) AJD]]-TABL123[[#This Row],[(A/B + A/S) AJD]]</f>
        <v/>
      </c>
      <c r="Y203" s="41" t="n">
        <v>92.185</v>
      </c>
      <c r="Z203" s="43" t="n">
        <v>309393</v>
      </c>
      <c r="AA203" s="3">
        <f>TABL123[[#This Row],[(RESV. STORGE) AJD]]/10</f>
        <v/>
      </c>
      <c r="AB203" s="45">
        <f>IF(TRIM(Z203)="",,(Z203-Z202)/1000)</f>
        <v/>
      </c>
      <c r="AC203" s="43" t="n">
        <v>3205</v>
      </c>
      <c r="AD203" s="83">
        <f>TABL123[[#This Row],[( S/S+T/B) AJD]]-(TABL123[[#This Row],[(A/B + A/S) AJD]]+TABL123[[#This Row],[(STORGE DIFF.) AJD]]+(TABL123[[#This Row],[AJD_Evaporation]])/1000)</f>
        <v/>
      </c>
      <c r="AE203" s="68" t="n">
        <v>53</v>
      </c>
      <c r="AF203" s="68" t="n">
        <v>59.069</v>
      </c>
      <c r="AG203" s="68" t="n">
        <v>1669224</v>
      </c>
      <c r="AH203" s="43" t="n">
        <v>2144</v>
      </c>
      <c r="AI203" s="43" t="n">
        <v>2144</v>
      </c>
      <c r="AJ203" s="78">
        <f>TABL123[[#This Row],[(A/B) AJD]]-TABL123[[#This Row],[BER_IN]]</f>
        <v/>
      </c>
      <c r="AK203" s="68" t="n">
        <v>0</v>
      </c>
      <c r="AL203" s="87" t="n">
        <v>41.4821</v>
      </c>
      <c r="AM203" s="87" t="n">
        <v>2295170</v>
      </c>
      <c r="AN203" s="87">
        <f>TABL123[[#This Row],[ (RESV. STORGE) SER]]/10</f>
        <v/>
      </c>
      <c r="AO203" s="43" t="n">
        <v>1820</v>
      </c>
      <c r="AP203" s="32">
        <f>TABL123[[#This Row],[(A/S) AJD]]-TABL123[[#This Row],[SER_IN]]</f>
        <v/>
      </c>
    </row>
    <row r="204" ht="18.75" customHeight="1">
      <c r="A204" s="2" t="n">
        <v>46225</v>
      </c>
      <c r="B204" s="44" t="n">
        <v>51</v>
      </c>
      <c r="C204" s="44" t="n">
        <v>415</v>
      </c>
      <c r="D204" s="44">
        <f>B204</f>
        <v/>
      </c>
      <c r="E204" s="44" t="n">
        <v>0</v>
      </c>
      <c r="F204" s="44" t="n">
        <v>91</v>
      </c>
      <c r="G204" s="40" t="n">
        <v>605</v>
      </c>
      <c r="H204" s="28">
        <f>103-F204</f>
        <v/>
      </c>
      <c r="I204" s="40" t="n">
        <v>499</v>
      </c>
      <c r="J204" s="44" t="n">
        <v>487</v>
      </c>
      <c r="K204" s="28">
        <f>TABL123[[#This Row],[ (T/B) SAR]]+TABL123[[#This Row],[ (S/S) SAR]]</f>
        <v/>
      </c>
      <c r="L204" s="45" t="n">
        <v>376</v>
      </c>
      <c r="M204" s="46" t="n">
        <v>25.7</v>
      </c>
      <c r="N204" s="46" t="n">
        <v>7.4</v>
      </c>
      <c r="O204" s="40" t="n">
        <v>367</v>
      </c>
      <c r="P204" s="12">
        <f>TABL123[[#This Row],[ (S/S) SAR]]-TABL123[[#This Row],[(S/S) AJD]]</f>
        <v/>
      </c>
      <c r="Q204" s="40" t="n">
        <v>395</v>
      </c>
      <c r="R204" s="12">
        <f>TABL123[[#This Row],[ (T/B) SAR]]-TABL123[[#This Row],[(T/B) AJD]]</f>
        <v/>
      </c>
      <c r="S204" s="12">
        <f>TABL123[[#This Row],[T/B-CON.]]+TABL123[[#This Row],[S/S_CON.]]</f>
        <v/>
      </c>
      <c r="T204" s="12">
        <f>TABL123[[#This Row],[(S/S) AJD]]+TABL123[[#This Row],[(T/B) AJD]]</f>
        <v/>
      </c>
      <c r="U204" s="44" t="n">
        <v>552</v>
      </c>
      <c r="V204" s="44" t="n">
        <v>259</v>
      </c>
      <c r="W204" s="12">
        <f>TABL123[[#This Row],[(A/B) AJD]]+TABL123[[#This Row],[(A/S) AJD]]</f>
        <v/>
      </c>
      <c r="X204" s="12">
        <f>TABL123[[#This Row],[( S/S+T/B) AJD]]-TABL123[[#This Row],[(A/B + A/S) AJD]]</f>
        <v/>
      </c>
      <c r="Y204" s="44" t="n">
        <v>92.063</v>
      </c>
      <c r="Z204" s="45" t="n">
        <v>237100</v>
      </c>
      <c r="AA204" s="3">
        <f>TABL123[[#This Row],[(RESV. STORGE) AJD]]/10</f>
        <v/>
      </c>
      <c r="AB204" s="45">
        <f>IF(TRIM(Z204)="",,(Z204-Z203)/1000)</f>
        <v/>
      </c>
      <c r="AC204" s="45" t="n">
        <v>4990</v>
      </c>
      <c r="AD204" s="83">
        <f>TABL123[[#This Row],[( S/S+T/B) AJD]]-(TABL123[[#This Row],[(A/B + A/S) AJD]]+TABL123[[#This Row],[(STORGE DIFF.) AJD]]+(TABL123[[#This Row],[AJD_Evaporation]])/1000)</f>
        <v/>
      </c>
      <c r="AE204" s="68" t="n">
        <v>50</v>
      </c>
      <c r="AF204" s="68" t="n">
        <v>59.14</v>
      </c>
      <c r="AG204" s="68" t="n">
        <v>1716162</v>
      </c>
      <c r="AH204" s="45" t="n">
        <v>3061</v>
      </c>
      <c r="AI204" s="45" t="n">
        <v>3061</v>
      </c>
      <c r="AJ204" s="78">
        <f>TABL123[[#This Row],[(A/B) AJD]]-TABL123[[#This Row],[BER_IN]]</f>
        <v/>
      </c>
      <c r="AK204" s="68" t="n">
        <v>0</v>
      </c>
      <c r="AL204" s="87" t="n">
        <v>41.4664</v>
      </c>
      <c r="AM204" s="87" t="n">
        <v>2287280</v>
      </c>
      <c r="AN204" s="87">
        <f>TABL123[[#This Row],[ (RESV. STORGE) SER]]/10</f>
        <v/>
      </c>
      <c r="AO204" s="45" t="n">
        <v>1890</v>
      </c>
      <c r="AP204" s="32">
        <f>TABL123[[#This Row],[(A/S) AJD]]-TABL123[[#This Row],[SER_IN]]</f>
        <v/>
      </c>
    </row>
    <row r="205" ht="18.75" customHeight="1">
      <c r="A205" s="2" t="n">
        <v>46226</v>
      </c>
      <c r="B205" s="41" t="n">
        <v>51</v>
      </c>
      <c r="C205" s="41" t="n">
        <v>394</v>
      </c>
      <c r="D205" s="41">
        <f>B205</f>
        <v/>
      </c>
      <c r="E205" s="41" t="n">
        <v>0</v>
      </c>
      <c r="F205" s="41" t="n">
        <v>91</v>
      </c>
      <c r="G205" s="39" t="n">
        <v>560</v>
      </c>
      <c r="H205" s="28">
        <f>103-F205</f>
        <v/>
      </c>
      <c r="I205" s="39" t="n">
        <v>499</v>
      </c>
      <c r="J205" s="39" t="n">
        <v>487</v>
      </c>
      <c r="K205" s="28">
        <f>TABL123[[#This Row],[ (T/B) SAR]]+TABL123[[#This Row],[ (S/S) SAR]]</f>
        <v/>
      </c>
      <c r="L205" s="41" t="n">
        <v>376</v>
      </c>
      <c r="M205" s="42" t="n">
        <v>25.7</v>
      </c>
      <c r="N205" s="42" t="n">
        <v>7.4</v>
      </c>
      <c r="O205" s="39" t="n">
        <v>409</v>
      </c>
      <c r="P205" s="12">
        <f>TABL123[[#This Row],[ (S/S) SAR]]-TABL123[[#This Row],[(S/S) AJD]]</f>
        <v/>
      </c>
      <c r="Q205" s="39" t="n">
        <v>437</v>
      </c>
      <c r="R205" s="12">
        <f>TABL123[[#This Row],[ (T/B) SAR]]-TABL123[[#This Row],[(T/B) AJD]]</f>
        <v/>
      </c>
      <c r="S205" s="12">
        <f>TABL123[[#This Row],[T/B-CON.]]+TABL123[[#This Row],[S/S_CON.]]</f>
        <v/>
      </c>
      <c r="T205" s="12">
        <f>TABL123[[#This Row],[(S/S) AJD]]+TABL123[[#This Row],[(T/B) AJD]]</f>
        <v/>
      </c>
      <c r="U205" s="41" t="n">
        <v>560</v>
      </c>
      <c r="V205" s="41" t="n">
        <v>252</v>
      </c>
      <c r="W205" s="12">
        <f>TABL123[[#This Row],[(A/B) AJD]]+TABL123[[#This Row],[(A/S) AJD]]</f>
        <v/>
      </c>
      <c r="X205" s="12">
        <f>TABL123[[#This Row],[( S/S+T/B) AJD]]-TABL123[[#This Row],[(A/B + A/S) AJD]]</f>
        <v/>
      </c>
      <c r="Y205" s="41" t="n">
        <v>92.09</v>
      </c>
      <c r="Z205" s="43" t="n">
        <v>253084</v>
      </c>
      <c r="AA205" s="3">
        <f>TABL123[[#This Row],[(RESV. STORGE) AJD]]/10</f>
        <v/>
      </c>
      <c r="AB205" s="45">
        <f>IF(TRIM(Z205)="",,(Z205-Z204)/1000)</f>
        <v/>
      </c>
      <c r="AC205" s="43" t="n">
        <v>3814</v>
      </c>
      <c r="AD205" s="83">
        <f>TABL123[[#This Row],[( S/S+T/B) AJD]]-(TABL123[[#This Row],[(A/B + A/S) AJD]]+TABL123[[#This Row],[(STORGE DIFF.) AJD]]+(TABL123[[#This Row],[AJD_Evaporation]])/1000)</f>
        <v/>
      </c>
      <c r="AE205" s="68" t="n">
        <v>51</v>
      </c>
      <c r="AF205" s="68" t="n">
        <v>59.16</v>
      </c>
      <c r="AG205" s="68" t="n">
        <v>1729392</v>
      </c>
      <c r="AH205" s="43" t="n">
        <v>3209</v>
      </c>
      <c r="AI205" s="43" t="n">
        <v>3209</v>
      </c>
      <c r="AJ205" s="78">
        <f>TABL123[[#This Row],[(A/B) AJD]]-TABL123[[#This Row],[BER_IN]]</f>
        <v/>
      </c>
      <c r="AK205" s="68" t="n">
        <v>0</v>
      </c>
      <c r="AL205" s="87" t="n">
        <v>41.4494</v>
      </c>
      <c r="AM205" s="87" t="n">
        <v>2278040</v>
      </c>
      <c r="AN205" s="87">
        <f>TABL123[[#This Row],[ (RESV. STORGE) SER]]/10</f>
        <v/>
      </c>
      <c r="AO205" s="43" t="n">
        <v>1940</v>
      </c>
      <c r="AP205" s="32">
        <f>TABL123[[#This Row],[(A/S) AJD]]-TABL123[[#This Row],[SER_IN]]</f>
        <v/>
      </c>
    </row>
    <row r="206" ht="18.75" customHeight="1">
      <c r="A206" s="2" t="n">
        <v>46227</v>
      </c>
      <c r="B206" s="44" t="n">
        <v>49</v>
      </c>
      <c r="C206" s="44" t="n">
        <v>318</v>
      </c>
      <c r="D206" s="44">
        <f>B206</f>
        <v/>
      </c>
      <c r="E206" s="44" t="n">
        <v>0</v>
      </c>
      <c r="F206" s="44" t="n">
        <v>90</v>
      </c>
      <c r="G206" s="40" t="n">
        <v>592</v>
      </c>
      <c r="H206" s="28">
        <f>103-F206</f>
        <v/>
      </c>
      <c r="I206" s="40" t="n">
        <v>408</v>
      </c>
      <c r="J206" s="44" t="n">
        <v>395</v>
      </c>
      <c r="K206" s="28">
        <f>TABL123[[#This Row],[ (T/B) SAR]]+TABL123[[#This Row],[ (S/S) SAR]]</f>
        <v/>
      </c>
      <c r="L206" s="45" t="n">
        <v>429</v>
      </c>
      <c r="M206" s="46" t="n">
        <v>30.9</v>
      </c>
      <c r="N206" s="46" t="n">
        <v>6.73</v>
      </c>
      <c r="O206" s="40" t="n">
        <v>449</v>
      </c>
      <c r="P206" s="12">
        <f>TABL123[[#This Row],[ (S/S) SAR]]-TABL123[[#This Row],[(S/S) AJD]]</f>
        <v/>
      </c>
      <c r="Q206" s="45" t="n">
        <v>473</v>
      </c>
      <c r="R206" s="12">
        <f>TABL123[[#This Row],[ (T/B) SAR]]-TABL123[[#This Row],[(T/B) AJD]]</f>
        <v/>
      </c>
      <c r="S206" s="12">
        <f>TABL123[[#This Row],[T/B-CON.]]+TABL123[[#This Row],[S/S_CON.]]</f>
        <v/>
      </c>
      <c r="T206" s="12">
        <f>TABL123[[#This Row],[(S/S) AJD]]+TABL123[[#This Row],[(T/B) AJD]]</f>
        <v/>
      </c>
      <c r="U206" s="44" t="n">
        <v>497</v>
      </c>
      <c r="V206" s="44" t="n">
        <v>224</v>
      </c>
      <c r="W206" s="12">
        <f>TABL123[[#This Row],[(A/B) AJD]]+TABL123[[#This Row],[(A/S) AJD]]</f>
        <v/>
      </c>
      <c r="X206" s="12">
        <f>TABL123[[#This Row],[( S/S+T/B) AJD]]-TABL123[[#This Row],[(A/B + A/S) AJD]]</f>
        <v/>
      </c>
      <c r="Y206" s="44" t="n">
        <v>92.377</v>
      </c>
      <c r="Z206" s="45" t="n">
        <v>422229</v>
      </c>
      <c r="AA206" s="3">
        <f>TABL123[[#This Row],[(RESV. STORGE) AJD]]/10</f>
        <v/>
      </c>
      <c r="AB206" s="45">
        <f>IF(TRIM(Z206)="",,(Z206-Z205)/1000)</f>
        <v/>
      </c>
      <c r="AC206" s="45" t="n">
        <v>4829</v>
      </c>
      <c r="AD206" s="83">
        <f>TABL123[[#This Row],[( S/S+T/B) AJD]]-(TABL123[[#This Row],[(A/B + A/S) AJD]]+TABL123[[#This Row],[(STORGE DIFF.) AJD]]+(TABL123[[#This Row],[AJD_Evaporation]])/1000)</f>
        <v/>
      </c>
      <c r="AE206" s="68" t="n">
        <v>50</v>
      </c>
      <c r="AF206" s="68" t="n">
        <v>59.14</v>
      </c>
      <c r="AG206" s="68" t="n">
        <v>1716162</v>
      </c>
      <c r="AH206" s="45" t="n">
        <v>3149</v>
      </c>
      <c r="AI206" s="45" t="n">
        <v>3149</v>
      </c>
      <c r="AJ206" s="78">
        <f>TABL123[[#This Row],[(A/B) AJD]]-TABL123[[#This Row],[BER_IN]]</f>
        <v/>
      </c>
      <c r="AK206" s="68" t="n">
        <v>0</v>
      </c>
      <c r="AL206" s="87" t="n">
        <v>41.4277</v>
      </c>
      <c r="AM206" s="87" t="n">
        <v>2267130</v>
      </c>
      <c r="AN206" s="87">
        <f>TABL123[[#This Row],[ (RESV. STORGE) SER]]/10</f>
        <v/>
      </c>
      <c r="AO206" s="45" t="n">
        <v>2010</v>
      </c>
      <c r="AP206" s="32">
        <f>TABL123[[#This Row],[(A/S) AJD]]-TABL123[[#This Row],[SER_IN]]</f>
        <v/>
      </c>
    </row>
    <row r="207" ht="18.75" customHeight="1">
      <c r="A207" s="2" t="n">
        <v>46228</v>
      </c>
      <c r="B207" s="41" t="n">
        <v>48</v>
      </c>
      <c r="C207" s="41" t="n">
        <v>312</v>
      </c>
      <c r="D207" s="41">
        <f>B207</f>
        <v/>
      </c>
      <c r="E207" s="41" t="n">
        <v>0</v>
      </c>
      <c r="F207" s="41" t="n">
        <v>89</v>
      </c>
      <c r="G207" s="39" t="n">
        <v>592</v>
      </c>
      <c r="H207" s="28">
        <f>103-F207</f>
        <v/>
      </c>
      <c r="I207" s="39" t="n">
        <v>267</v>
      </c>
      <c r="J207" s="39" t="n">
        <v>246</v>
      </c>
      <c r="K207" s="28">
        <f>TABL123[[#This Row],[ (T/B) SAR]]+TABL123[[#This Row],[ (S/S) SAR]]</f>
        <v/>
      </c>
      <c r="L207" s="41" t="n">
        <v>291</v>
      </c>
      <c r="M207" s="42" t="n">
        <v>24.4</v>
      </c>
      <c r="N207" s="42" t="n">
        <v>6</v>
      </c>
      <c r="O207" s="39" t="n">
        <v>402</v>
      </c>
      <c r="P207" s="12">
        <f>TABL123[[#This Row],[ (S/S) SAR]]-TABL123[[#This Row],[(S/S) AJD]]</f>
        <v/>
      </c>
      <c r="Q207" s="43" t="n">
        <v>432</v>
      </c>
      <c r="R207" s="12">
        <f>TABL123[[#This Row],[ (T/B) SAR]]-TABL123[[#This Row],[(T/B) AJD]]</f>
        <v/>
      </c>
      <c r="S207" s="12">
        <f>TABL123[[#This Row],[T/B-CON.]]+TABL123[[#This Row],[S/S_CON.]]</f>
        <v/>
      </c>
      <c r="T207" s="12">
        <f>TABL123[[#This Row],[(S/S) AJD]]+TABL123[[#This Row],[(T/B) AJD]]</f>
        <v/>
      </c>
      <c r="U207" s="41" t="n">
        <v>448</v>
      </c>
      <c r="V207" s="41" t="n">
        <v>190</v>
      </c>
      <c r="W207" s="12">
        <f>TABL123[[#This Row],[(A/B) AJD]]+TABL123[[#This Row],[(A/S) AJD]]</f>
        <v/>
      </c>
      <c r="X207" s="12">
        <f>TABL123[[#This Row],[( S/S+T/B) AJD]]-TABL123[[#This Row],[(A/B + A/S) AJD]]</f>
        <v/>
      </c>
      <c r="Y207" s="41" t="n">
        <v>92.66200000000001</v>
      </c>
      <c r="Z207" s="43" t="n">
        <v>594208</v>
      </c>
      <c r="AA207" s="3">
        <f>TABL123[[#This Row],[(RESV. STORGE) AJD]]/10</f>
        <v/>
      </c>
      <c r="AB207" s="45">
        <f>IF(TRIM(Z207)="",,(Z207-Z206)/1000)</f>
        <v/>
      </c>
      <c r="AC207" s="43" t="n">
        <v>5165</v>
      </c>
      <c r="AD207" s="83">
        <f>TABL123[[#This Row],[( S/S+T/B) AJD]]-(TABL123[[#This Row],[(A/B + A/S) AJD]]+TABL123[[#This Row],[(STORGE DIFF.) AJD]]+(TABL123[[#This Row],[AJD_Evaporation]])/1000)</f>
        <v/>
      </c>
      <c r="AE207" s="68" t="n">
        <v>49</v>
      </c>
      <c r="AF207" s="68" t="n">
        <v>59.16</v>
      </c>
      <c r="AG207" s="68" t="n">
        <v>1729392</v>
      </c>
      <c r="AH207" s="43" t="n">
        <v>2999</v>
      </c>
      <c r="AI207" s="43" t="n">
        <v>2999</v>
      </c>
      <c r="AJ207" s="78">
        <f>TABL123[[#This Row],[(A/B) AJD]]-TABL123[[#This Row],[BER_IN]]</f>
        <v/>
      </c>
      <c r="AK207" s="68" t="n">
        <v>0</v>
      </c>
      <c r="AL207" s="87" t="n">
        <v>41.4176</v>
      </c>
      <c r="AM207" s="87" t="n">
        <v>2261480</v>
      </c>
      <c r="AN207" s="87">
        <f>TABL123[[#This Row],[ (RESV. STORGE) SER]]/10</f>
        <v/>
      </c>
      <c r="AO207" s="43" t="n">
        <v>1950</v>
      </c>
      <c r="AP207" s="32">
        <f>TABL123[[#This Row],[(A/S) AJD]]-TABL123[[#This Row],[SER_IN]]</f>
        <v/>
      </c>
    </row>
    <row r="208" ht="18.75" customHeight="1">
      <c r="A208" s="2" t="n">
        <v>46229</v>
      </c>
      <c r="B208" s="44" t="n">
        <v>50</v>
      </c>
      <c r="C208" s="44" t="n">
        <v>329</v>
      </c>
      <c r="D208" s="44">
        <f>B208</f>
        <v/>
      </c>
      <c r="E208" s="44" t="n">
        <v>0</v>
      </c>
      <c r="F208" s="44" t="n">
        <v>89</v>
      </c>
      <c r="G208" s="40" t="n">
        <v>592</v>
      </c>
      <c r="H208" s="28">
        <f>103-F208</f>
        <v/>
      </c>
      <c r="I208" s="40" t="n">
        <v>417</v>
      </c>
      <c r="J208" s="44" t="n">
        <v>407</v>
      </c>
      <c r="K208" s="28">
        <f>TABL123[[#This Row],[ (T/B) SAR]]+TABL123[[#This Row],[ (S/S) SAR]]</f>
        <v/>
      </c>
      <c r="L208" s="45" t="n">
        <v>208</v>
      </c>
      <c r="M208" s="46" t="n">
        <v>17.2</v>
      </c>
      <c r="N208" s="46" t="n">
        <v>6.37</v>
      </c>
      <c r="O208" s="40" t="n">
        <v>287</v>
      </c>
      <c r="P208" s="12">
        <f>TABL123[[#This Row],[ (S/S) SAR]]-TABL123[[#This Row],[(S/S) AJD]]</f>
        <v/>
      </c>
      <c r="Q208" s="45" t="n">
        <v>311</v>
      </c>
      <c r="R208" s="12">
        <f>TABL123[[#This Row],[ (T/B) SAR]]-TABL123[[#This Row],[(T/B) AJD]]</f>
        <v/>
      </c>
      <c r="S208" s="12">
        <f>TABL123[[#This Row],[T/B-CON.]]+TABL123[[#This Row],[S/S_CON.]]</f>
        <v/>
      </c>
      <c r="T208" s="12">
        <f>TABL123[[#This Row],[(S/S) AJD]]+TABL123[[#This Row],[(T/B) AJD]]</f>
        <v/>
      </c>
      <c r="U208" s="44" t="n">
        <v>463</v>
      </c>
      <c r="V208" s="44" t="n">
        <v>174</v>
      </c>
      <c r="W208" s="12">
        <f>TABL123[[#This Row],[(A/B) AJD]]+TABL123[[#This Row],[(A/S) AJD]]</f>
        <v/>
      </c>
      <c r="X208" s="12">
        <f>TABL123[[#This Row],[( S/S+T/B) AJD]]-TABL123[[#This Row],[(A/B + A/S) AJD]]</f>
        <v/>
      </c>
      <c r="Y208" s="44" t="n">
        <v>92.497</v>
      </c>
      <c r="Z208" s="45" t="n">
        <v>494624</v>
      </c>
      <c r="AA208" s="3">
        <f>TABL123[[#This Row],[(RESV. STORGE) AJD]]/10</f>
        <v/>
      </c>
      <c r="AB208" s="45">
        <f>IF(TRIM(Z208)="",,(Z208-Z207)/1000)</f>
        <v/>
      </c>
      <c r="AC208" s="45" t="n">
        <v>3469</v>
      </c>
      <c r="AD208" s="83">
        <f>TABL123[[#This Row],[( S/S+T/B) AJD]]-(TABL123[[#This Row],[(A/B + A/S) AJD]]+TABL123[[#This Row],[(STORGE DIFF.) AJD]]+(TABL123[[#This Row],[AJD_Evaporation]])/1000)</f>
        <v/>
      </c>
      <c r="AE208" s="68" t="n">
        <v>50</v>
      </c>
      <c r="AF208" s="68" t="n">
        <v>59.14</v>
      </c>
      <c r="AG208" s="68" t="n">
        <v>1716162</v>
      </c>
      <c r="AH208" s="45" t="n">
        <v>2999</v>
      </c>
      <c r="AI208" s="45" t="n">
        <v>2999</v>
      </c>
      <c r="AJ208" s="78">
        <f>TABL123[[#This Row],[(A/B) AJD]]-TABL123[[#This Row],[BER_IN]]</f>
        <v/>
      </c>
      <c r="AK208" s="68" t="n">
        <v>0</v>
      </c>
      <c r="AL208" s="87" t="n">
        <v>41.4128</v>
      </c>
      <c r="AM208" s="87" t="n">
        <v>2259190</v>
      </c>
      <c r="AN208" s="87">
        <f>TABL123[[#This Row],[ (RESV. STORGE) SER]]/10</f>
        <v/>
      </c>
      <c r="AO208" s="45" t="n">
        <v>2290</v>
      </c>
      <c r="AP208" s="32">
        <f>TABL123[[#This Row],[(A/S) AJD]]-TABL123[[#This Row],[SER_IN]]</f>
        <v/>
      </c>
    </row>
    <row r="209" ht="18.75" customHeight="1">
      <c r="A209" s="2" t="n">
        <v>46230</v>
      </c>
      <c r="B209" s="41" t="n">
        <v>50</v>
      </c>
      <c r="C209" s="41" t="n">
        <v>402</v>
      </c>
      <c r="D209" s="41">
        <f>B209</f>
        <v/>
      </c>
      <c r="E209" s="41" t="n">
        <v>0</v>
      </c>
      <c r="F209" s="41" t="n">
        <v>91</v>
      </c>
      <c r="G209" s="39" t="n">
        <v>605</v>
      </c>
      <c r="H209" s="28">
        <f>103-F209</f>
        <v/>
      </c>
      <c r="I209" s="39" t="n">
        <v>432</v>
      </c>
      <c r="J209" s="39" t="n">
        <v>419</v>
      </c>
      <c r="K209" s="28">
        <f>TABL123[[#This Row],[ (T/B) SAR]]+TABL123[[#This Row],[ (S/S) SAR]]</f>
        <v/>
      </c>
      <c r="L209" s="41" t="n">
        <v>222</v>
      </c>
      <c r="M209" s="42" t="n">
        <v>18.6</v>
      </c>
      <c r="N209" s="42" t="n">
        <v>7.44</v>
      </c>
      <c r="O209" s="39" t="n">
        <v>329</v>
      </c>
      <c r="P209" s="12">
        <f>TABL123[[#This Row],[ (S/S) SAR]]-TABL123[[#This Row],[(S/S) AJD]]</f>
        <v/>
      </c>
      <c r="Q209" s="39" t="n">
        <v>372</v>
      </c>
      <c r="R209" s="12">
        <f>TABL123[[#This Row],[ (T/B) SAR]]-TABL123[[#This Row],[(T/B) AJD]]</f>
        <v/>
      </c>
      <c r="S209" s="12">
        <f>TABL123[[#This Row],[T/B-CON.]]+TABL123[[#This Row],[S/S_CON.]]</f>
        <v/>
      </c>
      <c r="T209" s="12">
        <f>TABL123[[#This Row],[(S/S) AJD]]+TABL123[[#This Row],[(T/B) AJD]]</f>
        <v/>
      </c>
      <c r="U209" s="41" t="n">
        <v>498</v>
      </c>
      <c r="V209" s="41" t="n">
        <v>173</v>
      </c>
      <c r="W209" s="12">
        <f>TABL123[[#This Row],[(A/B) AJD]]+TABL123[[#This Row],[(A/S) AJD]]</f>
        <v/>
      </c>
      <c r="X209" s="12">
        <f>TABL123[[#This Row],[( S/S+T/B) AJD]]-TABL123[[#This Row],[(A/B + A/S) AJD]]</f>
        <v/>
      </c>
      <c r="Y209" s="41" t="n">
        <v>92.45999999999999</v>
      </c>
      <c r="Z209" s="43" t="n">
        <v>472803</v>
      </c>
      <c r="AA209" s="3">
        <f>TABL123[[#This Row],[(RESV. STORGE) AJD]]/10</f>
        <v/>
      </c>
      <c r="AB209" s="45">
        <f>IF(TRIM(Z209)="",,(Z209-Z208)/1000)</f>
        <v/>
      </c>
      <c r="AC209" s="43" t="n">
        <v>3146</v>
      </c>
      <c r="AD209" s="83">
        <f>TABL123[[#This Row],[( S/S+T/B) AJD]]-(TABL123[[#This Row],[(A/B + A/S) AJD]]+TABL123[[#This Row],[(STORGE DIFF.) AJD]]+(TABL123[[#This Row],[AJD_Evaporation]])/1000)</f>
        <v/>
      </c>
      <c r="AE209" s="68" t="n">
        <v>50</v>
      </c>
      <c r="AF209" s="68" t="n">
        <v>59.13</v>
      </c>
      <c r="AG209" s="68" t="n">
        <v>1709548</v>
      </c>
      <c r="AH209" s="43" t="n">
        <v>2999</v>
      </c>
      <c r="AI209" s="43" t="n">
        <v>2999</v>
      </c>
      <c r="AJ209" s="78">
        <f>TABL123[[#This Row],[(A/B) AJD]]-TABL123[[#This Row],[BER_IN]]</f>
        <v/>
      </c>
      <c r="AK209" s="68" t="n">
        <v>0</v>
      </c>
      <c r="AL209" s="87" t="n">
        <v>41.3802</v>
      </c>
      <c r="AM209" s="87" t="n">
        <v>2241950</v>
      </c>
      <c r="AN209" s="87">
        <f>TABL123[[#This Row],[ (RESV. STORGE) SER]]/10</f>
        <v/>
      </c>
      <c r="AO209" s="43" t="n">
        <v>1940</v>
      </c>
      <c r="AP209" s="32">
        <f>TABL123[[#This Row],[(A/S) AJD]]-TABL123[[#This Row],[SER_IN]]</f>
        <v/>
      </c>
    </row>
    <row r="210" ht="18.75" customHeight="1">
      <c r="A210" s="2" t="n">
        <v>46231</v>
      </c>
      <c r="B210" s="44" t="n">
        <v>49</v>
      </c>
      <c r="C210" s="44" t="n">
        <v>390</v>
      </c>
      <c r="D210" s="44">
        <f>B210</f>
        <v/>
      </c>
      <c r="E210" s="44" t="n">
        <v>0</v>
      </c>
      <c r="F210" s="44" t="n">
        <v>92</v>
      </c>
      <c r="G210" s="40" t="n">
        <v>610</v>
      </c>
      <c r="H210" s="28">
        <f>103-F210</f>
        <v/>
      </c>
      <c r="I210" s="40" t="n">
        <v>518</v>
      </c>
      <c r="J210" s="44" t="n">
        <v>506</v>
      </c>
      <c r="K210" s="28">
        <f>TABL123[[#This Row],[ (T/B) SAR]]+TABL123[[#This Row],[ (S/S) SAR]]</f>
        <v/>
      </c>
      <c r="L210" s="45" t="n">
        <v>389</v>
      </c>
      <c r="M210" s="46" t="n">
        <v>27.7</v>
      </c>
      <c r="N210" s="46" t="n">
        <v>7.87</v>
      </c>
      <c r="O210" s="40" t="n">
        <v>358</v>
      </c>
      <c r="P210" s="12">
        <f>TABL123[[#This Row],[ (S/S) SAR]]-TABL123[[#This Row],[(S/S) AJD]]</f>
        <v/>
      </c>
      <c r="Q210" s="40" t="n">
        <v>384</v>
      </c>
      <c r="R210" s="12">
        <f>TABL123[[#This Row],[ (T/B) SAR]]-TABL123[[#This Row],[(T/B) AJD]]</f>
        <v/>
      </c>
      <c r="S210" s="12">
        <f>TABL123[[#This Row],[T/B-CON.]]+TABL123[[#This Row],[S/S_CON.]]</f>
        <v/>
      </c>
      <c r="T210" s="12">
        <f>TABL123[[#This Row],[(S/S) AJD]]+TABL123[[#This Row],[(T/B) AJD]]</f>
        <v/>
      </c>
      <c r="U210" s="44" t="n">
        <v>529</v>
      </c>
      <c r="V210" s="44" t="n">
        <v>172</v>
      </c>
      <c r="W210" s="12">
        <f>TABL123[[#This Row],[(A/B) AJD]]+TABL123[[#This Row],[(A/S) AJD]]</f>
        <v/>
      </c>
      <c r="X210" s="12">
        <f>TABL123[[#This Row],[( S/S+T/B) AJD]]-TABL123[[#This Row],[(A/B + A/S) AJD]]</f>
        <v/>
      </c>
      <c r="Y210" s="44" t="n">
        <v>92.47499999999999</v>
      </c>
      <c r="Z210" s="45" t="n">
        <v>481727</v>
      </c>
      <c r="AA210" s="3">
        <f>TABL123[[#This Row],[(RESV. STORGE) AJD]]/10</f>
        <v/>
      </c>
      <c r="AB210" s="45">
        <f>IF(TRIM(Z210)="",,(Z210-Z209)/1000)</f>
        <v/>
      </c>
      <c r="AC210" s="45" t="n">
        <v>3034</v>
      </c>
      <c r="AD210" s="83">
        <f>TABL123[[#This Row],[( S/S+T/B) AJD]]-(TABL123[[#This Row],[(A/B + A/S) AJD]]+TABL123[[#This Row],[(STORGE DIFF.) AJD]]+(TABL123[[#This Row],[AJD_Evaporation]])/1000)</f>
        <v/>
      </c>
      <c r="AE210" s="68" t="n">
        <v>50</v>
      </c>
      <c r="AF210" s="68" t="n">
        <v>59.11</v>
      </c>
      <c r="AG210" s="68" t="n">
        <v>1696324</v>
      </c>
      <c r="AH210" s="45" t="n">
        <v>2999</v>
      </c>
      <c r="AI210" s="45" t="n">
        <v>2999</v>
      </c>
      <c r="AJ210" s="78">
        <f>TABL123[[#This Row],[(A/B) AJD]]-TABL123[[#This Row],[BER_IN]]</f>
        <v/>
      </c>
      <c r="AK210" s="68" t="n">
        <v>0</v>
      </c>
      <c r="AL210" s="87" t="n">
        <v>41.3436</v>
      </c>
      <c r="AM210" s="87" t="n">
        <v>2222630</v>
      </c>
      <c r="AN210" s="87">
        <f>TABL123[[#This Row],[ (RESV. STORGE) SER]]/10</f>
        <v/>
      </c>
      <c r="AO210" s="45" t="n">
        <v>1920</v>
      </c>
      <c r="AP210" s="32">
        <f>TABL123[[#This Row],[(A/S) AJD]]-TABL123[[#This Row],[SER_IN]]</f>
        <v/>
      </c>
    </row>
    <row r="211" ht="18.75" customHeight="1">
      <c r="A211" s="2" t="n">
        <v>46232</v>
      </c>
      <c r="B211" s="41" t="n">
        <v>49</v>
      </c>
      <c r="C211" s="41" t="n">
        <v>384</v>
      </c>
      <c r="D211" s="41">
        <f>B211</f>
        <v/>
      </c>
      <c r="E211" s="41" t="n">
        <v>0</v>
      </c>
      <c r="F211" s="41" t="n">
        <v>92</v>
      </c>
      <c r="G211" s="39" t="n">
        <v>610</v>
      </c>
      <c r="H211" s="28">
        <f>103-F211</f>
        <v/>
      </c>
      <c r="I211" s="39" t="n">
        <v>554</v>
      </c>
      <c r="J211" s="39" t="n">
        <v>534</v>
      </c>
      <c r="K211" s="28">
        <f>TABL123[[#This Row],[ (T/B) SAR]]+TABL123[[#This Row],[ (S/S) SAR]]</f>
        <v/>
      </c>
      <c r="L211" s="41" t="n">
        <v>448</v>
      </c>
      <c r="M211" s="42" t="n">
        <v>30.1</v>
      </c>
      <c r="N211" s="42" t="n">
        <v>7.84</v>
      </c>
      <c r="O211" s="39" t="n">
        <v>423</v>
      </c>
      <c r="P211" s="12">
        <f>TABL123[[#This Row],[ (S/S) SAR]]-TABL123[[#This Row],[(S/S) AJD]]</f>
        <v/>
      </c>
      <c r="Q211" s="39" t="n">
        <v>450</v>
      </c>
      <c r="R211" s="12">
        <f>TABL123[[#This Row],[ (T/B) SAR]]-TABL123[[#This Row],[(T/B) AJD]]</f>
        <v/>
      </c>
      <c r="S211" s="12">
        <f>TABL123[[#This Row],[T/B-CON.]]+TABL123[[#This Row],[S/S_CON.]]</f>
        <v/>
      </c>
      <c r="T211" s="12">
        <f>TABL123[[#This Row],[(S/S) AJD]]+TABL123[[#This Row],[(T/B) AJD]]</f>
        <v/>
      </c>
      <c r="U211" s="41" t="n">
        <v>554</v>
      </c>
      <c r="V211" s="41" t="n">
        <v>191</v>
      </c>
      <c r="W211" s="12">
        <f>TABL123[[#This Row],[(A/B) AJD]]+TABL123[[#This Row],[(A/S) AJD]]</f>
        <v/>
      </c>
      <c r="X211" s="12">
        <f>TABL123[[#This Row],[( S/S+T/B) AJD]]-TABL123[[#This Row],[(A/B + A/S) AJD]]</f>
        <v/>
      </c>
      <c r="Y211" s="41" t="n">
        <v>92.667</v>
      </c>
      <c r="Z211" s="43" t="n">
        <v>596217</v>
      </c>
      <c r="AA211" s="3">
        <f>TABL123[[#This Row],[(RESV. STORGE) AJD]]/10</f>
        <v/>
      </c>
      <c r="AB211" s="45">
        <f>IF(TRIM(Z211)="",,(Z211-Z210)/1000)</f>
        <v/>
      </c>
      <c r="AC211" s="43" t="n">
        <v>3009</v>
      </c>
      <c r="AD211" s="83">
        <f>TABL123[[#This Row],[( S/S+T/B) AJD]]-(TABL123[[#This Row],[(A/B + A/S) AJD]]+TABL123[[#This Row],[(STORGE DIFF.) AJD]]+(TABL123[[#This Row],[AJD_Evaporation]])/1000)</f>
        <v/>
      </c>
      <c r="AE211" s="68" t="n">
        <v>49</v>
      </c>
      <c r="AF211" s="68" t="n">
        <v>59.11</v>
      </c>
      <c r="AG211" s="68" t="n">
        <v>1696324</v>
      </c>
      <c r="AH211" s="43" t="n">
        <v>3000</v>
      </c>
      <c r="AI211" s="43" t="n">
        <v>3000</v>
      </c>
      <c r="AJ211" s="78">
        <f>TABL123[[#This Row],[(A/B) AJD]]-TABL123[[#This Row],[BER_IN]]</f>
        <v/>
      </c>
      <c r="AK211" s="68" t="n">
        <v>15</v>
      </c>
      <c r="AL211" s="87" t="n">
        <v>41.3287</v>
      </c>
      <c r="AM211" s="87" t="n">
        <v>2214800</v>
      </c>
      <c r="AN211" s="87">
        <f>TABL123[[#This Row],[ (RESV. STORGE) SER]]/10</f>
        <v/>
      </c>
      <c r="AO211" s="43" t="n">
        <v>1930</v>
      </c>
      <c r="AP211" s="32">
        <f>TABL123[[#This Row],[(A/S) AJD]]-TABL123[[#This Row],[SER_IN]]</f>
        <v/>
      </c>
    </row>
    <row r="212" ht="18.75" customHeight="1">
      <c r="A212" s="2" t="n">
        <v>46233</v>
      </c>
      <c r="B212" s="44" t="n">
        <v>48</v>
      </c>
      <c r="C212" s="44" t="n">
        <v>312</v>
      </c>
      <c r="D212" s="44">
        <f>B212</f>
        <v/>
      </c>
      <c r="E212" s="44" t="n">
        <v>0</v>
      </c>
      <c r="F212" s="44" t="n">
        <v>89</v>
      </c>
      <c r="G212" s="40" t="n">
        <v>591</v>
      </c>
      <c r="H212" s="28">
        <f>103-F212</f>
        <v/>
      </c>
      <c r="I212" s="40" t="n">
        <v>482</v>
      </c>
      <c r="J212" s="44" t="n">
        <v>471</v>
      </c>
      <c r="K212" s="28">
        <f>TABL123[[#This Row],[ (T/B) SAR]]+TABL123[[#This Row],[ (S/S) SAR]]</f>
        <v/>
      </c>
      <c r="L212" s="45" t="n">
        <v>335</v>
      </c>
      <c r="M212" s="46" t="n">
        <v>23.4</v>
      </c>
      <c r="N212" s="46" t="n">
        <v>7.44</v>
      </c>
      <c r="O212" s="40" t="n">
        <v>413</v>
      </c>
      <c r="P212" s="12">
        <f>TABL123[[#This Row],[ (S/S) SAR]]-TABL123[[#This Row],[(S/S) AJD]]</f>
        <v/>
      </c>
      <c r="Q212" s="40" t="n">
        <v>449</v>
      </c>
      <c r="R212" s="12">
        <f>TABL123[[#This Row],[ (T/B) SAR]]-TABL123[[#This Row],[(T/B) AJD]]</f>
        <v/>
      </c>
      <c r="S212" s="12">
        <f>TABL123[[#This Row],[T/B-CON.]]+TABL123[[#This Row],[S/S_CON.]]</f>
        <v/>
      </c>
      <c r="T212" s="12">
        <f>TABL123[[#This Row],[(S/S) AJD]]+TABL123[[#This Row],[(T/B) AJD]]</f>
        <v/>
      </c>
      <c r="U212" s="44" t="n">
        <v>518</v>
      </c>
      <c r="V212" s="44" t="n">
        <v>223</v>
      </c>
      <c r="W212" s="12">
        <f>TABL123[[#This Row],[(A/B) AJD]]+TABL123[[#This Row],[(A/S) AJD]]</f>
        <v/>
      </c>
      <c r="X212" s="12">
        <f>TABL123[[#This Row],[( S/S+T/B) AJD]]-TABL123[[#This Row],[(A/B + A/S) AJD]]</f>
        <v/>
      </c>
      <c r="Y212" s="44" t="n">
        <v>92.797</v>
      </c>
      <c r="Z212" s="45" t="n">
        <v>678901</v>
      </c>
      <c r="AA212" s="3">
        <f>TABL123[[#This Row],[(RESV. STORGE) AJD]]/10</f>
        <v/>
      </c>
      <c r="AB212" s="45">
        <f>IF(TRIM(Z212)="",,(Z212-Z211)/1000)</f>
        <v/>
      </c>
      <c r="AC212" s="45" t="n">
        <v>4827</v>
      </c>
      <c r="AD212" s="83">
        <f>TABL123[[#This Row],[( S/S+T/B) AJD]]-(TABL123[[#This Row],[(A/B + A/S) AJD]]+TABL123[[#This Row],[(STORGE DIFF.) AJD]]+(TABL123[[#This Row],[AJD_Evaporation]])/1000)</f>
        <v/>
      </c>
      <c r="AE212" s="68" t="n">
        <v>66</v>
      </c>
      <c r="AF212" s="68" t="n">
        <v>59.12</v>
      </c>
      <c r="AG212" s="68" t="n">
        <v>1702936</v>
      </c>
      <c r="AH212" s="45" t="n">
        <v>2814</v>
      </c>
      <c r="AI212" s="45" t="n">
        <v>2814</v>
      </c>
      <c r="AJ212" s="78">
        <f>TABL123[[#This Row],[(A/B) AJD]]-TABL123[[#This Row],[BER_IN]]</f>
        <v/>
      </c>
      <c r="AK212" s="68" t="n">
        <v>20</v>
      </c>
      <c r="AL212" s="87" t="n">
        <v>41.3286</v>
      </c>
      <c r="AM212" s="87" t="n">
        <v>2213500</v>
      </c>
      <c r="AN212" s="87">
        <f>TABL123[[#This Row],[ (RESV. STORGE) SER]]/10</f>
        <v/>
      </c>
      <c r="AO212" s="45" t="n">
        <v>1900</v>
      </c>
      <c r="AP212" s="32">
        <f>TABL123[[#This Row],[(A/S) AJD]]-TABL123[[#This Row],[SER_IN]]</f>
        <v/>
      </c>
    </row>
    <row r="213" ht="18.75" customHeight="1">
      <c r="A213" s="2" t="n">
        <v>46234</v>
      </c>
      <c r="B213" s="41" t="n">
        <v>49</v>
      </c>
      <c r="C213" s="41" t="n">
        <v>384</v>
      </c>
      <c r="D213" s="41">
        <f>B213</f>
        <v/>
      </c>
      <c r="E213" s="41" t="n">
        <v>0</v>
      </c>
      <c r="F213" s="41" t="n">
        <v>91</v>
      </c>
      <c r="G213" s="39" t="n">
        <v>604</v>
      </c>
      <c r="H213" s="28">
        <f>103-F213</f>
        <v/>
      </c>
      <c r="I213" s="39" t="n">
        <v>490</v>
      </c>
      <c r="J213" s="39" t="n">
        <v>477</v>
      </c>
      <c r="K213" s="28">
        <f>TABL123[[#This Row],[ (T/B) SAR]]+TABL123[[#This Row],[ (S/S) SAR]]</f>
        <v/>
      </c>
      <c r="L213" s="41" t="n">
        <v>326</v>
      </c>
      <c r="M213" s="42" t="n">
        <v>23.4</v>
      </c>
      <c r="N213" s="42" t="n">
        <v>7.94</v>
      </c>
      <c r="O213" s="39" t="n">
        <v>420</v>
      </c>
      <c r="P213" s="12">
        <f>TABL123[[#This Row],[ (S/S) SAR]]-TABL123[[#This Row],[(S/S) AJD]]</f>
        <v/>
      </c>
      <c r="Q213" s="39" t="n">
        <v>389</v>
      </c>
      <c r="R213" s="12">
        <f>TABL123[[#This Row],[ (T/B) SAR]]-TABL123[[#This Row],[(T/B) AJD]]</f>
        <v/>
      </c>
      <c r="S213" s="12">
        <f>TABL123[[#This Row],[T/B-CON.]]+TABL123[[#This Row],[S/S_CON.]]</f>
        <v/>
      </c>
      <c r="T213" s="12">
        <f>TABL123[[#This Row],[(S/S) AJD]]+TABL123[[#This Row],[(T/B) AJD]]</f>
        <v/>
      </c>
      <c r="U213" s="41" t="n">
        <v>562</v>
      </c>
      <c r="V213" s="41" t="n">
        <v>192</v>
      </c>
      <c r="W213" s="12">
        <f>TABL123[[#This Row],[(A/B) AJD]]+TABL123[[#This Row],[(A/S) AJD]]</f>
        <v/>
      </c>
      <c r="X213" s="12">
        <f>TABL123[[#This Row],[( S/S+T/B) AJD]]-TABL123[[#This Row],[(A/B + A/S) AJD]]</f>
        <v/>
      </c>
      <c r="Y213" s="41" t="n">
        <v>92.70399999999999</v>
      </c>
      <c r="Z213" s="43" t="n">
        <v>618315</v>
      </c>
      <c r="AA213" s="3">
        <f>TABL123[[#This Row],[(RESV. STORGE) AJD]]/10</f>
        <v/>
      </c>
      <c r="AB213" s="45">
        <f>IF(TRIM(Z213)="",,(Z213-Z212)/1000)</f>
        <v/>
      </c>
      <c r="AC213" s="43" t="n">
        <v>3065</v>
      </c>
      <c r="AD213" s="83">
        <f>TABL123[[#This Row],[( S/S+T/B) AJD]]-(TABL123[[#This Row],[(A/B + A/S) AJD]]+TABL123[[#This Row],[(STORGE DIFF.) AJD]]+(TABL123[[#This Row],[AJD_Evaporation]])/1000)</f>
        <v/>
      </c>
      <c r="AE213" s="68" t="n">
        <v>68</v>
      </c>
      <c r="AF213" s="68" t="n">
        <v>59.14</v>
      </c>
      <c r="AG213" s="68" t="n">
        <v>1716162</v>
      </c>
      <c r="AH213" s="43" t="n">
        <v>3157</v>
      </c>
      <c r="AI213" s="43" t="n">
        <v>3157</v>
      </c>
      <c r="AJ213" s="78">
        <f>TABL123[[#This Row],[(A/B) AJD]]-TABL123[[#This Row],[BER_IN]]</f>
        <v/>
      </c>
      <c r="AK213" s="68" t="n">
        <v>22</v>
      </c>
      <c r="AL213" s="87" t="n">
        <v>41.3197</v>
      </c>
      <c r="AM213" s="87" t="n">
        <v>2210030</v>
      </c>
      <c r="AN213" s="87">
        <f>TABL123[[#This Row],[ (RESV. STORGE) SER]]/10</f>
        <v/>
      </c>
      <c r="AO213" s="43" t="n">
        <v>1970</v>
      </c>
      <c r="AP213" s="32">
        <f>TABL123[[#This Row],[(A/S) AJD]]-TABL123[[#This Row],[SER_IN]]</f>
        <v/>
      </c>
    </row>
    <row r="214" ht="18.75" customHeight="1">
      <c r="A214" s="2" t="n">
        <v>46235</v>
      </c>
      <c r="B214" s="41" t="n">
        <v>49</v>
      </c>
      <c r="C214" s="41" t="n">
        <v>324</v>
      </c>
      <c r="D214" s="41">
        <f>B214</f>
        <v/>
      </c>
      <c r="E214" s="28" t="n"/>
      <c r="F214" s="41" t="n">
        <v>90</v>
      </c>
      <c r="G214" s="39" t="n">
        <v>604</v>
      </c>
      <c r="H214" s="28">
        <f>103-F214</f>
        <v/>
      </c>
      <c r="I214" s="39" t="n">
        <v>347</v>
      </c>
      <c r="J214" s="39" t="n">
        <v>326</v>
      </c>
      <c r="K214" s="28">
        <f>TABL123[[#This Row],[ (T/B) SAR]]+TABL123[[#This Row],[ (S/S) SAR]]</f>
        <v/>
      </c>
      <c r="L214" s="41" t="n">
        <v>401</v>
      </c>
      <c r="M214" s="42" t="n">
        <v>27.1</v>
      </c>
      <c r="N214" s="42" t="n">
        <v>8.02</v>
      </c>
      <c r="O214" s="39" t="n">
        <v>401</v>
      </c>
      <c r="P214" s="3">
        <f>TABL123[[#This Row],[ (S/S) SAR]]-TABL123[[#This Row],[(S/S) AJD]]</f>
        <v/>
      </c>
      <c r="Q214" s="39" t="n">
        <v>429</v>
      </c>
      <c r="R214" s="3">
        <f>TABL123[[#This Row],[ (T/B) SAR]]-TABL123[[#This Row],[(T/B) AJD]]</f>
        <v/>
      </c>
      <c r="S214" s="3">
        <f>TABL123[[#This Row],[T/B-CON.]]+TABL123[[#This Row],[S/S_CON.]]</f>
        <v/>
      </c>
      <c r="T214" s="3">
        <f>TABL123[[#This Row],[(S/S) AJD]]+TABL123[[#This Row],[(T/B) AJD]]</f>
        <v/>
      </c>
      <c r="U214" s="41" t="n">
        <v>494</v>
      </c>
      <c r="V214" s="41" t="n">
        <v>224</v>
      </c>
      <c r="W214" s="3">
        <f>TABL123[[#This Row],[(A/B) AJD]]+TABL123[[#This Row],[(A/S) AJD]]</f>
        <v/>
      </c>
      <c r="X214" s="3">
        <f>TABL123[[#This Row],[( S/S+T/B) AJD]]-TABL123[[#This Row],[(A/B + A/S) AJD]]</f>
        <v/>
      </c>
      <c r="Y214" s="41" t="n">
        <v>92.846</v>
      </c>
      <c r="Z214" s="43" t="n">
        <v>703222</v>
      </c>
      <c r="AA214" s="3">
        <f>TABL123[[#This Row],[(RESV. STORGE) AJD]]/10</f>
        <v/>
      </c>
      <c r="AB214" s="45">
        <f>IF(TRIM(Z214)="",,(Z214-Z213)/1000)</f>
        <v/>
      </c>
      <c r="AC214" s="43" t="n">
        <v>2992</v>
      </c>
      <c r="AD214" s="83">
        <f>TABL123[[#This Row],[( S/S+T/B) AJD]]-(TABL123[[#This Row],[(A/B + A/S) AJD]]+TABL123[[#This Row],[(STORGE DIFF.) AJD]]+(TABL123[[#This Row],[AJD_Evaporation]])/1000)</f>
        <v/>
      </c>
      <c r="AE214" s="68" t="n">
        <v>67</v>
      </c>
      <c r="AF214" s="68" t="n">
        <v>59.21</v>
      </c>
      <c r="AG214" s="68" t="n">
        <v>1762482</v>
      </c>
      <c r="AH214" s="43" t="n">
        <v>3175</v>
      </c>
      <c r="AI214" s="43" t="n">
        <v>3175</v>
      </c>
      <c r="AJ214" s="78">
        <f>TABL123[[#This Row],[(A/B) AJD]]-TABL123[[#This Row],[BER_IN]]</f>
        <v/>
      </c>
      <c r="AK214" s="68" t="n">
        <v>23</v>
      </c>
      <c r="AL214" s="87" t="n">
        <v>41.3287</v>
      </c>
      <c r="AM214" s="87" t="n">
        <v>2214800</v>
      </c>
      <c r="AN214" s="87">
        <f>TABL123[[#This Row],[ (RESV. STORGE) SER]]/10</f>
        <v/>
      </c>
      <c r="AO214" s="43" t="n">
        <v>1960</v>
      </c>
      <c r="AP214" s="32">
        <f>TABL123[[#This Row],[(A/S) AJD]]-TABL123[[#This Row],[SER_IN]]</f>
        <v/>
      </c>
    </row>
    <row r="215" ht="18.75" customHeight="1">
      <c r="A215" s="2" t="n">
        <v>46236</v>
      </c>
      <c r="B215" s="44" t="n">
        <v>49</v>
      </c>
      <c r="C215" s="44" t="n">
        <v>287</v>
      </c>
      <c r="D215" s="44">
        <f>B215</f>
        <v/>
      </c>
      <c r="E215" s="28" t="n"/>
      <c r="F215" s="44" t="n">
        <v>91</v>
      </c>
      <c r="G215" s="40" t="n">
        <v>604</v>
      </c>
      <c r="H215" s="28">
        <f>103-F215</f>
        <v/>
      </c>
      <c r="I215" s="40" t="n">
        <v>445</v>
      </c>
      <c r="J215" s="44" t="n">
        <v>429</v>
      </c>
      <c r="K215" s="28">
        <f>TABL123[[#This Row],[ (T/B) SAR]]+TABL123[[#This Row],[ (S/S) SAR]]</f>
        <v/>
      </c>
      <c r="L215" s="45" t="n">
        <v>250</v>
      </c>
      <c r="M215" s="46" t="n">
        <v>18.9</v>
      </c>
      <c r="N215" s="46" t="n">
        <v>7.73</v>
      </c>
      <c r="O215" s="40" t="n">
        <v>361</v>
      </c>
      <c r="P215" s="3">
        <f>TABL123[[#This Row],[ (S/S) SAR]]-TABL123[[#This Row],[(S/S) AJD]]</f>
        <v/>
      </c>
      <c r="Q215" s="40" t="n">
        <v>397</v>
      </c>
      <c r="R215" s="3">
        <f>TABL123[[#This Row],[ (T/B) SAR]]-TABL123[[#This Row],[(T/B) AJD]]</f>
        <v/>
      </c>
      <c r="S215" s="3">
        <f>TABL123[[#This Row],[T/B-CON.]]+TABL123[[#This Row],[S/S_CON.]]</f>
        <v/>
      </c>
      <c r="T215" s="3">
        <f>TABL123[[#This Row],[(S/S) AJD]]+TABL123[[#This Row],[(T/B) AJD]]</f>
        <v/>
      </c>
      <c r="U215" s="44" t="n">
        <v>526</v>
      </c>
      <c r="V215" s="44" t="n">
        <v>189</v>
      </c>
      <c r="W215" s="3">
        <f>TABL123[[#This Row],[(A/B) AJD]]+TABL123[[#This Row],[(A/S) AJD]]</f>
        <v/>
      </c>
      <c r="X215" s="3">
        <f>TABL123[[#This Row],[( S/S+T/B) AJD]]-TABL123[[#This Row],[(A/B + A/S) AJD]]</f>
        <v/>
      </c>
      <c r="Y215" s="44" t="n">
        <v>92.848</v>
      </c>
      <c r="Z215" s="45" t="n">
        <v>703214</v>
      </c>
      <c r="AA215" s="3">
        <f>TABL123[[#This Row],[(RESV. STORGE) AJD]]/10</f>
        <v/>
      </c>
      <c r="AB215" s="45">
        <f>IF(TRIM(Z215)="",,(Z215-Z214)/1000)</f>
        <v/>
      </c>
      <c r="AC215" s="45" t="n">
        <v>3017</v>
      </c>
      <c r="AD215" s="83">
        <f>TABL123[[#This Row],[( S/S+T/B) AJD]]-(TABL123[[#This Row],[(A/B + A/S) AJD]]+TABL123[[#This Row],[(STORGE DIFF.) AJD]]+(TABL123[[#This Row],[AJD_Evaporation]])/1000)</f>
        <v/>
      </c>
      <c r="AE215" s="68" t="n">
        <v>50</v>
      </c>
      <c r="AF215" s="68" t="n">
        <v>59.12</v>
      </c>
      <c r="AG215" s="68" t="n">
        <v>1702936</v>
      </c>
      <c r="AH215" s="45" t="n">
        <v>3422</v>
      </c>
      <c r="AI215" s="45" t="n">
        <v>3422</v>
      </c>
      <c r="AJ215" s="78">
        <f>TABL123[[#This Row],[(A/B) AJD]]-TABL123[[#This Row],[BER_IN]]</f>
        <v/>
      </c>
      <c r="AK215" s="68" t="n">
        <v>21</v>
      </c>
      <c r="AL215" s="87" t="n">
        <v>41.2718</v>
      </c>
      <c r="AM215" s="87" t="n">
        <v>2184700</v>
      </c>
      <c r="AN215" s="87">
        <f>TABL123[[#This Row],[ (RESV. STORGE) SER]]/10</f>
        <v/>
      </c>
      <c r="AO215" s="45" t="n">
        <v>1975</v>
      </c>
      <c r="AP215" s="32">
        <f>TABL123[[#This Row],[(A/S) AJD]]-TABL123[[#This Row],[SER_IN]]</f>
        <v/>
      </c>
    </row>
    <row r="216" ht="18.75" customHeight="1">
      <c r="A216" s="2" t="n">
        <v>46237</v>
      </c>
      <c r="B216" s="41" t="n">
        <v>49</v>
      </c>
      <c r="C216" s="41" t="n">
        <v>389</v>
      </c>
      <c r="D216" s="41">
        <f>B216</f>
        <v/>
      </c>
      <c r="E216" s="28" t="n"/>
      <c r="F216" s="41" t="n">
        <v>92</v>
      </c>
      <c r="G216" s="39" t="n">
        <v>611</v>
      </c>
      <c r="H216" s="28">
        <f>103-F216</f>
        <v/>
      </c>
      <c r="I216" s="39" t="n">
        <v>472</v>
      </c>
      <c r="J216" s="39" t="n">
        <v>460</v>
      </c>
      <c r="K216" s="28">
        <f>TABL123[[#This Row],[ (T/B) SAR]]+TABL123[[#This Row],[ (S/S) SAR]]</f>
        <v/>
      </c>
      <c r="L216" s="41" t="n">
        <v>309</v>
      </c>
      <c r="M216" s="42" t="n">
        <v>20.1</v>
      </c>
      <c r="N216" s="42" t="n">
        <v>8.58</v>
      </c>
      <c r="O216" s="39" t="n">
        <v>361</v>
      </c>
      <c r="P216" s="3">
        <f>TABL123[[#This Row],[ (S/S) SAR]]-TABL123[[#This Row],[(S/S) AJD]]</f>
        <v/>
      </c>
      <c r="Q216" s="39" t="n">
        <v>390</v>
      </c>
      <c r="R216" s="3">
        <f>TABL123[[#This Row],[ (T/B) SAR]]-TABL123[[#This Row],[(T/B) AJD]]</f>
        <v/>
      </c>
      <c r="S216" s="3">
        <f>TABL123[[#This Row],[T/B-CON.]]+TABL123[[#This Row],[S/S_CON.]]</f>
        <v/>
      </c>
      <c r="T216" s="3">
        <f>TABL123[[#This Row],[(S/S) AJD]]+TABL123[[#This Row],[(T/B) AJD]]</f>
        <v/>
      </c>
      <c r="U216" s="41" t="n">
        <v>557</v>
      </c>
      <c r="V216" s="41" t="n">
        <v>210</v>
      </c>
      <c r="W216" s="3">
        <f>TABL123[[#This Row],[(A/B) AJD]]+TABL123[[#This Row],[(A/S) AJD]]</f>
        <v/>
      </c>
      <c r="X216" s="3">
        <f>TABL123[[#This Row],[( S/S+T/B) AJD]]-TABL123[[#This Row],[(A/B + A/S) AJD]]</f>
        <v/>
      </c>
      <c r="Y216" s="41" t="n">
        <v>92.759</v>
      </c>
      <c r="Z216" s="43" t="n">
        <v>651182</v>
      </c>
      <c r="AA216" s="3">
        <f>TABL123[[#This Row],[(RESV. STORGE) AJD]]/10</f>
        <v/>
      </c>
      <c r="AB216" s="45">
        <f>IF(TRIM(Z216)="",,(Z216-Z215)/1000)</f>
        <v/>
      </c>
      <c r="AC216" s="43" t="n">
        <v>2762</v>
      </c>
      <c r="AD216" s="83">
        <f>TABL123[[#This Row],[( S/S+T/B) AJD]]-(TABL123[[#This Row],[(A/B + A/S) AJD]]+TABL123[[#This Row],[(STORGE DIFF.) AJD]]+(TABL123[[#This Row],[AJD_Evaporation]])/1000)</f>
        <v/>
      </c>
      <c r="AE216" s="68" t="n">
        <v>63</v>
      </c>
      <c r="AF216" s="68" t="n">
        <v>59.1</v>
      </c>
      <c r="AG216" s="68" t="n">
        <v>1689713</v>
      </c>
      <c r="AH216" s="43" t="n">
        <v>3161</v>
      </c>
      <c r="AI216" s="43" t="n">
        <v>3161</v>
      </c>
      <c r="AJ216" s="78">
        <f>TABL123[[#This Row],[(A/B) AJD]]-TABL123[[#This Row],[BER_IN]]</f>
        <v/>
      </c>
      <c r="AK216" s="68" t="n">
        <v>41</v>
      </c>
      <c r="AL216" s="87" t="n">
        <v>41.248</v>
      </c>
      <c r="AM216" s="87" t="n">
        <v>2171750</v>
      </c>
      <c r="AN216" s="87">
        <f>TABL123[[#This Row],[ (RESV. STORGE) SER]]/10</f>
        <v/>
      </c>
      <c r="AO216" s="43" t="n">
        <v>1980</v>
      </c>
      <c r="AP216" s="32">
        <f>TABL123[[#This Row],[(A/S) AJD]]-TABL123[[#This Row],[SER_IN]]</f>
        <v/>
      </c>
    </row>
    <row r="217" ht="18.75" customHeight="1">
      <c r="A217" s="2" t="n">
        <v>46238</v>
      </c>
      <c r="B217" s="44" t="n">
        <v>47</v>
      </c>
      <c r="C217" s="44" t="n">
        <v>371</v>
      </c>
      <c r="D217" s="44">
        <f>B217</f>
        <v/>
      </c>
      <c r="E217" s="28" t="n"/>
      <c r="F217" s="44" t="n">
        <v>92</v>
      </c>
      <c r="G217" s="40" t="n">
        <v>611</v>
      </c>
      <c r="H217" s="28">
        <f>103-F217</f>
        <v/>
      </c>
      <c r="I217" s="40" t="n">
        <v>515</v>
      </c>
      <c r="J217" s="44" t="n">
        <v>499</v>
      </c>
      <c r="K217" s="28">
        <f>TABL123[[#This Row],[ (T/B) SAR]]+TABL123[[#This Row],[ (S/S) SAR]]</f>
        <v/>
      </c>
      <c r="L217" s="45" t="n">
        <v>390</v>
      </c>
      <c r="M217" s="46" t="n">
        <v>25.6</v>
      </c>
      <c r="N217" s="46" t="n">
        <v>8.710000000000001</v>
      </c>
      <c r="O217" s="40" t="n">
        <v>386</v>
      </c>
      <c r="P217" s="3">
        <f>TABL123[[#This Row],[ (S/S) SAR]]-TABL123[[#This Row],[(S/S) AJD]]</f>
        <v/>
      </c>
      <c r="Q217" s="40" t="n">
        <v>414</v>
      </c>
      <c r="R217" s="3">
        <f>TABL123[[#This Row],[ (T/B) SAR]]-TABL123[[#This Row],[(T/B) AJD]]</f>
        <v/>
      </c>
      <c r="S217" s="3">
        <f>TABL123[[#This Row],[T/B-CON.]]+TABL123[[#This Row],[S/S_CON.]]</f>
        <v/>
      </c>
      <c r="T217" s="3">
        <f>TABL123[[#This Row],[(S/S) AJD]]+TABL123[[#This Row],[(T/B) AJD]]</f>
        <v/>
      </c>
      <c r="U217" s="44" t="n">
        <v>572</v>
      </c>
      <c r="V217" s="44" t="n">
        <v>221</v>
      </c>
      <c r="W217" s="3">
        <f>TABL123[[#This Row],[(A/B) AJD]]+TABL123[[#This Row],[(A/S) AJD]]</f>
        <v/>
      </c>
      <c r="X217" s="3">
        <f>TABL123[[#This Row],[( S/S+T/B) AJD]]-TABL123[[#This Row],[(A/B + A/S) AJD]]</f>
        <v/>
      </c>
      <c r="Y217" s="44" t="n">
        <v>92.714</v>
      </c>
      <c r="Z217" s="45" t="n">
        <v>624286</v>
      </c>
      <c r="AA217" s="3">
        <f>TABL123[[#This Row],[(RESV. STORGE) AJD]]/10</f>
        <v/>
      </c>
      <c r="AB217" s="45">
        <f>IF(TRIM(Z217)="",,(Z217-Z216)/1000)</f>
        <v/>
      </c>
      <c r="AC217" s="45" t="n">
        <v>3513</v>
      </c>
      <c r="AD217" s="83">
        <f>TABL123[[#This Row],[( S/S+T/B) AJD]]-(TABL123[[#This Row],[(A/B + A/S) AJD]]+TABL123[[#This Row],[(STORGE DIFF.) AJD]]+(TABL123[[#This Row],[AJD_Evaporation]])/1000)</f>
        <v/>
      </c>
      <c r="AE217" s="68" t="n">
        <v>70</v>
      </c>
      <c r="AF217" s="68" t="n">
        <v>59.09</v>
      </c>
      <c r="AG217" s="68" t="n">
        <v>1683102</v>
      </c>
      <c r="AH217" s="45" t="n">
        <v>3232</v>
      </c>
      <c r="AI217" s="45" t="n">
        <v>3232</v>
      </c>
      <c r="AJ217" s="78">
        <f>TABL123[[#This Row],[(A/B) AJD]]-TABL123[[#This Row],[BER_IN]]</f>
        <v/>
      </c>
      <c r="AK217" s="68" t="n">
        <v>45</v>
      </c>
      <c r="AL217" s="87" t="n">
        <v>41.245</v>
      </c>
      <c r="AM217" s="87" t="n">
        <v>2170460</v>
      </c>
      <c r="AN217" s="87">
        <f>TABL123[[#This Row],[ (RESV. STORGE) SER]]/10</f>
        <v/>
      </c>
      <c r="AO217" s="45" t="n">
        <v>1985</v>
      </c>
      <c r="AP217" s="32">
        <f>TABL123[[#This Row],[(A/S) AJD]]-TABL123[[#This Row],[SER_IN]]</f>
        <v/>
      </c>
    </row>
    <row r="218" ht="18.75" customHeight="1">
      <c r="A218" s="2" t="n">
        <v>46239</v>
      </c>
      <c r="B218" s="41" t="n">
        <v>47</v>
      </c>
      <c r="C218" s="41" t="n">
        <v>360</v>
      </c>
      <c r="D218" s="41">
        <f>B218</f>
        <v/>
      </c>
      <c r="E218" s="28" t="n"/>
      <c r="F218" s="41" t="n">
        <v>92</v>
      </c>
      <c r="G218" s="39" t="n">
        <v>611</v>
      </c>
      <c r="H218" s="28">
        <f>103-F218</f>
        <v/>
      </c>
      <c r="I218" s="39" t="n">
        <v>525</v>
      </c>
      <c r="J218" s="39" t="n">
        <v>510</v>
      </c>
      <c r="K218" s="28">
        <f>TABL123[[#This Row],[ (T/B) SAR]]+TABL123[[#This Row],[ (S/S) SAR]]</f>
        <v/>
      </c>
      <c r="L218" s="41" t="n">
        <v>425</v>
      </c>
      <c r="M218" s="42" t="n">
        <v>27.5</v>
      </c>
      <c r="N218" s="42" t="n">
        <v>8.58</v>
      </c>
      <c r="O218" s="39" t="n">
        <v>455</v>
      </c>
      <c r="P218" s="3">
        <f>TABL123[[#This Row],[ (S/S) SAR]]-TABL123[[#This Row],[(S/S) AJD]]</f>
        <v/>
      </c>
      <c r="Q218" s="39" t="n">
        <v>426</v>
      </c>
      <c r="R218" s="3">
        <f>TABL123[[#This Row],[ (T/B) SAR]]-TABL123[[#This Row],[(T/B) AJD]]</f>
        <v/>
      </c>
      <c r="S218" s="3">
        <f>TABL123[[#This Row],[T/B-CON.]]+TABL123[[#This Row],[S/S_CON.]]</f>
        <v/>
      </c>
      <c r="T218" s="3">
        <f>TABL123[[#This Row],[(S/S) AJD]]+TABL123[[#This Row],[(T/B) AJD]]</f>
        <v/>
      </c>
      <c r="U218" s="41" t="n">
        <v>570</v>
      </c>
      <c r="V218" s="41" t="n">
        <v>231</v>
      </c>
      <c r="W218" s="3">
        <f>TABL123[[#This Row],[(A/B) AJD]]+TABL123[[#This Row],[(A/S) AJD]]</f>
        <v/>
      </c>
      <c r="X218" s="3">
        <f>TABL123[[#This Row],[( S/S+T/B) AJD]]-TABL123[[#This Row],[(A/B + A/S) AJD]]</f>
        <v/>
      </c>
      <c r="Y218" s="41" t="n">
        <v>92.782</v>
      </c>
      <c r="Z218" s="43" t="n">
        <v>664931</v>
      </c>
      <c r="AA218" s="3">
        <f>TABL123[[#This Row],[(RESV. STORGE) AJD]]/10</f>
        <v/>
      </c>
      <c r="AB218" s="45">
        <f>IF(TRIM(Z218)="",,(Z218-Z217)/1000)</f>
        <v/>
      </c>
      <c r="AC218" s="43" t="n">
        <v>2846</v>
      </c>
      <c r="AD218" s="83">
        <f>TABL123[[#This Row],[( S/S+T/B) AJD]]-(TABL123[[#This Row],[(A/B + A/S) AJD]]+TABL123[[#This Row],[(STORGE DIFF.) AJD]]+(TABL123[[#This Row],[AJD_Evaporation]])/1000)</f>
        <v/>
      </c>
      <c r="AE218" s="68" t="n">
        <v>83</v>
      </c>
      <c r="AF218" s="68" t="n">
        <v>59.065</v>
      </c>
      <c r="AG218" s="68" t="n">
        <v>1666581</v>
      </c>
      <c r="AH218" s="43" t="n">
        <v>3320</v>
      </c>
      <c r="AI218" s="43" t="n">
        <v>3320</v>
      </c>
      <c r="AJ218" s="78">
        <f>TABL123[[#This Row],[(A/B) AJD]]-TABL123[[#This Row],[BER_IN]]</f>
        <v/>
      </c>
      <c r="AK218" s="68" t="n">
        <v>50</v>
      </c>
      <c r="AL218" s="87" t="n">
        <v>41.2986</v>
      </c>
      <c r="AM218" s="87" t="n">
        <v>2198960</v>
      </c>
      <c r="AN218" s="87">
        <f>TABL123[[#This Row],[ (RESV. STORGE) SER]]/10</f>
        <v/>
      </c>
      <c r="AO218" s="43" t="n">
        <v>1995</v>
      </c>
      <c r="AP218" s="32">
        <f>TABL123[[#This Row],[(A/S) AJD]]-TABL123[[#This Row],[SER_IN]]</f>
        <v/>
      </c>
    </row>
    <row r="219" ht="18.75" customHeight="1">
      <c r="A219" s="2" t="n">
        <v>46240</v>
      </c>
      <c r="B219" s="44" t="n">
        <v>47</v>
      </c>
      <c r="C219" s="44" t="n">
        <v>374</v>
      </c>
      <c r="D219" s="44">
        <f>B219</f>
        <v/>
      </c>
      <c r="E219" s="28" t="n"/>
      <c r="F219" s="44" t="n">
        <v>92</v>
      </c>
      <c r="G219" s="40" t="n">
        <v>611</v>
      </c>
      <c r="H219" s="28">
        <f>103-F219</f>
        <v/>
      </c>
      <c r="I219" s="40" t="n">
        <v>530</v>
      </c>
      <c r="J219" s="44" t="n">
        <v>515</v>
      </c>
      <c r="K219" s="28">
        <f>TABL123[[#This Row],[ (T/B) SAR]]+TABL123[[#This Row],[ (S/S) SAR]]</f>
        <v/>
      </c>
      <c r="L219" s="45" t="n">
        <v>435</v>
      </c>
      <c r="M219" s="46" t="n">
        <v>28.4</v>
      </c>
      <c r="N219" s="46" t="n">
        <v>8.44</v>
      </c>
      <c r="O219" s="40" t="n">
        <v>437</v>
      </c>
      <c r="P219" s="3">
        <f>TABL123[[#This Row],[ (S/S) SAR]]-TABL123[[#This Row],[(S/S) AJD]]</f>
        <v/>
      </c>
      <c r="Q219" s="40" t="n">
        <v>467</v>
      </c>
      <c r="R219" s="3">
        <f>TABL123[[#This Row],[ (T/B) SAR]]-TABL123[[#This Row],[(T/B) AJD]]</f>
        <v/>
      </c>
      <c r="S219" s="3">
        <f>TABL123[[#This Row],[T/B-CON.]]+TABL123[[#This Row],[S/S_CON.]]</f>
        <v/>
      </c>
      <c r="T219" s="3">
        <f>TABL123[[#This Row],[(S/S) AJD]]+TABL123[[#This Row],[(T/B) AJD]]</f>
        <v/>
      </c>
      <c r="U219" s="44" t="n">
        <v>558</v>
      </c>
      <c r="V219" s="44" t="n">
        <v>249</v>
      </c>
      <c r="W219" s="3">
        <f>TABL123[[#This Row],[(A/B) AJD]]+TABL123[[#This Row],[(A/S) AJD]]</f>
        <v/>
      </c>
      <c r="X219" s="3">
        <f>TABL123[[#This Row],[( S/S+T/B) AJD]]-TABL123[[#This Row],[(A/B + A/S) AJD]]</f>
        <v/>
      </c>
      <c r="Y219" s="44" t="n">
        <v>92.889</v>
      </c>
      <c r="Z219" s="45" t="n">
        <v>728953</v>
      </c>
      <c r="AA219" s="3">
        <f>TABL123[[#This Row],[(RESV. STORGE) AJD]]/10</f>
        <v/>
      </c>
      <c r="AB219" s="45">
        <f>IF(TRIM(Z219)="",,(Z219-Z218)/1000)</f>
        <v/>
      </c>
      <c r="AC219" s="45" t="n">
        <v>2683</v>
      </c>
      <c r="AD219" s="83">
        <f>TABL123[[#This Row],[( S/S+T/B) AJD]]-(TABL123[[#This Row],[(A/B + A/S) AJD]]+TABL123[[#This Row],[(STORGE DIFF.) AJD]]+(TABL123[[#This Row],[AJD_Evaporation]])/1000)</f>
        <v/>
      </c>
      <c r="AE219" s="68" t="n">
        <v>87</v>
      </c>
      <c r="AF219" s="68" t="n">
        <v>59.05</v>
      </c>
      <c r="AG219" s="68" t="n">
        <v>1702936</v>
      </c>
      <c r="AH219" s="45" t="n">
        <v>3320</v>
      </c>
      <c r="AI219" s="45" t="n">
        <v>3320</v>
      </c>
      <c r="AJ219" s="78">
        <f>TABL123[[#This Row],[(A/B) AJD]]-TABL123[[#This Row],[BER_IN]]</f>
        <v/>
      </c>
      <c r="AK219" s="68" t="n">
        <v>58</v>
      </c>
      <c r="AL219" s="87" t="n">
        <v>41.331</v>
      </c>
      <c r="AM219" s="87" t="n">
        <v>2215980</v>
      </c>
      <c r="AN219" s="87">
        <f>TABL123[[#This Row],[ (RESV. STORGE) SER]]/10</f>
        <v/>
      </c>
      <c r="AO219" s="45" t="n">
        <v>2035</v>
      </c>
      <c r="AP219" s="32">
        <f>TABL123[[#This Row],[(A/S) AJD]]-TABL123[[#This Row],[SER_IN]]</f>
        <v/>
      </c>
    </row>
    <row r="220" ht="18.75" customHeight="1">
      <c r="A220" s="2" t="n">
        <v>46241</v>
      </c>
      <c r="B220" s="41" t="n">
        <v>47</v>
      </c>
      <c r="C220" s="41" t="n">
        <v>382</v>
      </c>
      <c r="D220" s="41">
        <f>B220</f>
        <v/>
      </c>
      <c r="E220" s="28" t="n"/>
      <c r="F220" s="41" t="n">
        <v>92</v>
      </c>
      <c r="G220" s="39" t="n">
        <v>611</v>
      </c>
      <c r="H220" s="28">
        <f>103-F220</f>
        <v/>
      </c>
      <c r="I220" s="39" t="n">
        <v>535</v>
      </c>
      <c r="J220" s="39" t="n">
        <v>520</v>
      </c>
      <c r="K220" s="28">
        <f>TABL123[[#This Row],[ (T/B) SAR]]+TABL123[[#This Row],[ (S/S) SAR]]</f>
        <v/>
      </c>
      <c r="L220" s="41" t="n">
        <v>442</v>
      </c>
      <c r="M220" s="42" t="n">
        <v>29.3</v>
      </c>
      <c r="N220" s="42" t="n">
        <v>8.279999999999999</v>
      </c>
      <c r="O220" s="39" t="n">
        <v>438</v>
      </c>
      <c r="P220" s="3">
        <f>TABL123[[#This Row],[ (S/S) SAR]]-TABL123[[#This Row],[(S/S) AJD]]</f>
        <v/>
      </c>
      <c r="Q220" s="39" t="n">
        <v>471</v>
      </c>
      <c r="R220" s="3">
        <f>TABL123[[#This Row],[ (T/B) SAR]]-TABL123[[#This Row],[(T/B) AJD]]</f>
        <v/>
      </c>
      <c r="S220" s="3">
        <f>TABL123[[#This Row],[T/B-CON.]]+TABL123[[#This Row],[S/S_CON.]]</f>
        <v/>
      </c>
      <c r="T220" s="3">
        <f>TABL123[[#This Row],[(S/S) AJD]]+TABL123[[#This Row],[(T/B) AJD]]</f>
        <v/>
      </c>
      <c r="U220" s="41" t="n">
        <v>551</v>
      </c>
      <c r="V220" s="41" t="n">
        <v>295</v>
      </c>
      <c r="W220" s="3">
        <f>TABL123[[#This Row],[(A/B) AJD]]+TABL123[[#This Row],[(A/S) AJD]]</f>
        <v/>
      </c>
      <c r="X220" s="3">
        <f>TABL123[[#This Row],[( S/S+T/B) AJD]]-TABL123[[#This Row],[(A/B + A/S) AJD]]</f>
        <v/>
      </c>
      <c r="Y220" s="41" t="n">
        <v>92.93600000000001</v>
      </c>
      <c r="Z220" s="43" t="n">
        <v>757922</v>
      </c>
      <c r="AA220" s="3">
        <f>TABL123[[#This Row],[(RESV. STORGE) AJD]]/10</f>
        <v/>
      </c>
      <c r="AB220" s="45">
        <f>IF(TRIM(Z220)="",,(Z220-Z219)/1000)</f>
        <v/>
      </c>
      <c r="AC220" s="43" t="n">
        <v>2727</v>
      </c>
      <c r="AD220" s="83">
        <f>TABL123[[#This Row],[( S/S+T/B) AJD]]-(TABL123[[#This Row],[(A/B + A/S) AJD]]+TABL123[[#This Row],[(STORGE DIFF.) AJD]]+(TABL123[[#This Row],[AJD_Evaporation]])/1000)</f>
        <v/>
      </c>
      <c r="AE220" s="68" t="n">
        <v>96</v>
      </c>
      <c r="AF220" s="68" t="n">
        <v>59.12</v>
      </c>
      <c r="AG220" s="68" t="n">
        <v>1702936</v>
      </c>
      <c r="AH220" s="43" t="n">
        <v>3121</v>
      </c>
      <c r="AI220" s="43" t="n">
        <v>3121</v>
      </c>
      <c r="AJ220" s="78">
        <f>TABL123[[#This Row],[(A/B) AJD]]-TABL123[[#This Row],[BER_IN]]</f>
        <v/>
      </c>
      <c r="AK220" s="68" t="n">
        <v>80</v>
      </c>
      <c r="AL220" s="87" t="n">
        <v>41.331</v>
      </c>
      <c r="AM220" s="87" t="n">
        <v>2280368</v>
      </c>
      <c r="AN220" s="87">
        <f>TABL123[[#This Row],[ (RESV. STORGE) SER]]/10</f>
        <v/>
      </c>
      <c r="AO220" s="43" t="n">
        <v>1910</v>
      </c>
      <c r="AP220" s="32">
        <f>TABL123[[#This Row],[(A/S) AJD]]-TABL123[[#This Row],[SER_IN]]</f>
        <v/>
      </c>
    </row>
    <row r="221" ht="18.75" customHeight="1">
      <c r="A221" s="2" t="n">
        <v>46242</v>
      </c>
      <c r="B221" s="44" t="n">
        <v>47</v>
      </c>
      <c r="C221" s="44" t="n">
        <v>381</v>
      </c>
      <c r="D221" s="44">
        <f>B221</f>
        <v/>
      </c>
      <c r="E221" s="28" t="n"/>
      <c r="F221" s="44" t="n">
        <v>92</v>
      </c>
      <c r="G221" s="40" t="n">
        <v>611</v>
      </c>
      <c r="H221" s="28">
        <f>103-F221</f>
        <v/>
      </c>
      <c r="I221" s="40" t="n">
        <v>537</v>
      </c>
      <c r="J221" s="44" t="n">
        <v>522</v>
      </c>
      <c r="K221" s="28">
        <f>TABL123[[#This Row],[ (T/B) SAR]]+TABL123[[#This Row],[ (S/S) SAR]]</f>
        <v/>
      </c>
      <c r="L221" s="45" t="n">
        <v>442</v>
      </c>
      <c r="M221" s="46" t="n">
        <v>29.3</v>
      </c>
      <c r="N221" s="46" t="n">
        <v>8.140000000000001</v>
      </c>
      <c r="O221" s="40" t="n">
        <v>447</v>
      </c>
      <c r="P221" s="3">
        <f>TABL123[[#This Row],[ (S/S) SAR]]-TABL123[[#This Row],[(S/S) AJD]]</f>
        <v/>
      </c>
      <c r="Q221" s="40" t="n">
        <v>478</v>
      </c>
      <c r="R221" s="3">
        <f>TABL123[[#This Row],[ (T/B) SAR]]-TABL123[[#This Row],[(T/B) AJD]]</f>
        <v/>
      </c>
      <c r="S221" s="3">
        <f>TABL123[[#This Row],[T/B-CON.]]+TABL123[[#This Row],[S/S_CON.]]</f>
        <v/>
      </c>
      <c r="T221" s="3">
        <f>TABL123[[#This Row],[(S/S) AJD]]+TABL123[[#This Row],[(T/B) AJD]]</f>
        <v/>
      </c>
      <c r="U221" s="44" t="n">
        <v>546</v>
      </c>
      <c r="V221" s="44" t="n">
        <v>304</v>
      </c>
      <c r="W221" s="3">
        <f>TABL123[[#This Row],[(A/B) AJD]]+TABL123[[#This Row],[(A/S) AJD]]</f>
        <v/>
      </c>
      <c r="X221" s="3">
        <f>TABL123[[#This Row],[( S/S+T/B) AJD]]-TABL123[[#This Row],[(A/B + A/S) AJD]]</f>
        <v/>
      </c>
      <c r="Y221" s="44" t="n">
        <v>92.98099999999999</v>
      </c>
      <c r="Z221" s="45" t="n">
        <v>784099</v>
      </c>
      <c r="AA221" s="3">
        <f>TABL123[[#This Row],[(RESV. STORGE) AJD]]/10</f>
        <v/>
      </c>
      <c r="AB221" s="45">
        <f>IF(TRIM(Z221)="",,(Z221-Z220)/1000)</f>
        <v/>
      </c>
      <c r="AC221" s="45" t="n">
        <v>3652</v>
      </c>
      <c r="AD221" s="83">
        <f>TABL123[[#This Row],[( S/S+T/B) AJD]]-(TABL123[[#This Row],[(A/B + A/S) AJD]]+TABL123[[#This Row],[(STORGE DIFF.) AJD]]+(TABL123[[#This Row],[AJD_Evaporation]])/1000)</f>
        <v/>
      </c>
      <c r="AE221" s="68" t="n">
        <v>116</v>
      </c>
      <c r="AF221" s="68" t="n">
        <v>59.2</v>
      </c>
      <c r="AG221" s="68" t="n">
        <v>1755863</v>
      </c>
      <c r="AH221" s="45" t="n">
        <v>3007</v>
      </c>
      <c r="AI221" s="45" t="n">
        <v>3007</v>
      </c>
      <c r="AJ221" s="78">
        <f>TABL123[[#This Row],[(A/B) AJD]]-TABL123[[#This Row],[BER_IN]]</f>
        <v/>
      </c>
      <c r="AK221" s="68" t="n">
        <v>87</v>
      </c>
      <c r="AL221" s="87" t="n">
        <v>41.4536</v>
      </c>
      <c r="AM221" s="87" t="n">
        <v>2343099</v>
      </c>
      <c r="AN221" s="87">
        <f>TABL123[[#This Row],[ (RESV. STORGE) SER]]/10</f>
        <v/>
      </c>
      <c r="AO221" s="45" t="n">
        <v>1985</v>
      </c>
      <c r="AP221" s="32">
        <f>TABL123[[#This Row],[(A/S) AJD]]-TABL123[[#This Row],[SER_IN]]</f>
        <v/>
      </c>
    </row>
    <row r="222" ht="18.75" customHeight="1">
      <c r="A222" s="2" t="n">
        <v>46243</v>
      </c>
      <c r="B222" s="41" t="n">
        <v>47</v>
      </c>
      <c r="C222" s="41" t="n">
        <v>386</v>
      </c>
      <c r="D222" s="41">
        <f>B222</f>
        <v/>
      </c>
      <c r="E222" s="28" t="n"/>
      <c r="F222" s="41" t="n">
        <v>92</v>
      </c>
      <c r="G222" s="39" t="n">
        <v>611</v>
      </c>
      <c r="H222" s="28">
        <f>103-F222</f>
        <v/>
      </c>
      <c r="I222" s="39" t="n">
        <v>537</v>
      </c>
      <c r="J222" s="39" t="n">
        <v>523</v>
      </c>
      <c r="K222" s="28">
        <f>TABL123[[#This Row],[ (T/B) SAR]]+TABL123[[#This Row],[ (S/S) SAR]]</f>
        <v/>
      </c>
      <c r="L222" s="41" t="n">
        <v>440</v>
      </c>
      <c r="M222" s="42" t="n">
        <v>29.3</v>
      </c>
      <c r="N222" s="42" t="n">
        <v>8.02</v>
      </c>
      <c r="O222" s="39" t="n">
        <v>445</v>
      </c>
      <c r="P222" s="3">
        <f>TABL123[[#This Row],[ (S/S) SAR]]-TABL123[[#This Row],[(S/S) AJD]]</f>
        <v/>
      </c>
      <c r="Q222" s="39" t="n">
        <v>479</v>
      </c>
      <c r="R222" s="3">
        <f>TABL123[[#This Row],[ (T/B) SAR]]-TABL123[[#This Row],[(T/B) AJD]]</f>
        <v/>
      </c>
      <c r="S222" s="3">
        <f>TABL123[[#This Row],[T/B-CON.]]+TABL123[[#This Row],[S/S_CON.]]</f>
        <v/>
      </c>
      <c r="T222" s="3">
        <f>TABL123[[#This Row],[(S/S) AJD]]+TABL123[[#This Row],[(T/B) AJD]]</f>
        <v/>
      </c>
      <c r="U222" s="41" t="n">
        <v>524</v>
      </c>
      <c r="V222" s="41" t="n">
        <v>302</v>
      </c>
      <c r="W222" s="3">
        <f>TABL123[[#This Row],[(A/B) AJD]]+TABL123[[#This Row],[(A/S) AJD]]</f>
        <v/>
      </c>
      <c r="X222" s="3">
        <f>TABL123[[#This Row],[( S/S+T/B) AJD]]-TABL123[[#This Row],[(A/B + A/S) AJD]]</f>
        <v/>
      </c>
      <c r="Y222" s="41" t="n">
        <v>93.068</v>
      </c>
      <c r="Z222" s="43" t="n">
        <v>836298</v>
      </c>
      <c r="AA222" s="3">
        <f>TABL123[[#This Row],[(RESV. STORGE) AJD]]/10</f>
        <v/>
      </c>
      <c r="AB222" s="45">
        <f>IF(TRIM(Z222)="",,(Z222-Z221)/1000)</f>
        <v/>
      </c>
      <c r="AC222" s="43" t="n">
        <v>3110</v>
      </c>
      <c r="AD222" s="83">
        <f>TABL123[[#This Row],[( S/S+T/B) AJD]]-(TABL123[[#This Row],[(A/B + A/S) AJD]]+TABL123[[#This Row],[(STORGE DIFF.) AJD]]+(TABL123[[#This Row],[AJD_Evaporation]])/1000)</f>
        <v/>
      </c>
      <c r="AE222" s="68" t="n">
        <v>129</v>
      </c>
      <c r="AF222" s="68" t="n">
        <v>59.285</v>
      </c>
      <c r="AG222" s="68" t="n">
        <v>1812158</v>
      </c>
      <c r="AH222" s="43" t="n">
        <v>2984</v>
      </c>
      <c r="AI222" s="43" t="n">
        <v>2984</v>
      </c>
      <c r="AJ222" s="78">
        <f>TABL123[[#This Row],[(A/B) AJD]]-TABL123[[#This Row],[BER_IN]]</f>
        <v/>
      </c>
      <c r="AK222" s="68" t="n">
        <v>93</v>
      </c>
      <c r="AL222" s="87" t="n">
        <v>41.6882</v>
      </c>
      <c r="AM222" s="87" t="n">
        <v>2404913</v>
      </c>
      <c r="AN222" s="87">
        <f>TABL123[[#This Row],[ (RESV. STORGE) SER]]/10</f>
        <v/>
      </c>
      <c r="AO222" s="43" t="n">
        <v>2012</v>
      </c>
      <c r="AP222" s="32">
        <f>TABL123[[#This Row],[(A/S) AJD]]-TABL123[[#This Row],[SER_IN]]</f>
        <v/>
      </c>
    </row>
    <row r="223" ht="18.75" customHeight="1">
      <c r="A223" s="2" t="n">
        <v>46244</v>
      </c>
      <c r="B223" s="44" t="n">
        <v>47</v>
      </c>
      <c r="C223" s="44" t="n">
        <v>382</v>
      </c>
      <c r="D223" s="44">
        <f>B223</f>
        <v/>
      </c>
      <c r="E223" s="28" t="n"/>
      <c r="F223" s="44" t="n">
        <v>92</v>
      </c>
      <c r="G223" s="40" t="n">
        <v>611</v>
      </c>
      <c r="H223" s="28">
        <f>103-F223</f>
        <v/>
      </c>
      <c r="I223" s="40" t="n">
        <v>537</v>
      </c>
      <c r="J223" s="44" t="n">
        <v>522</v>
      </c>
      <c r="K223" s="28">
        <f>TABL123[[#This Row],[ (T/B) SAR]]+TABL123[[#This Row],[ (S/S) SAR]]</f>
        <v/>
      </c>
      <c r="L223" s="45" t="n">
        <v>438</v>
      </c>
      <c r="M223" s="46" t="n">
        <v>29.3</v>
      </c>
      <c r="N223" s="46" t="n">
        <v>7.92</v>
      </c>
      <c r="O223" s="40" t="n">
        <v>442</v>
      </c>
      <c r="P223" s="3">
        <f>TABL123[[#This Row],[ (S/S) SAR]]-TABL123[[#This Row],[(S/S) AJD]]</f>
        <v/>
      </c>
      <c r="Q223" s="40" t="n">
        <v>478</v>
      </c>
      <c r="R223" s="3">
        <f>TABL123[[#This Row],[ (T/B) SAR]]-TABL123[[#This Row],[(T/B) AJD]]</f>
        <v/>
      </c>
      <c r="S223" s="3">
        <f>TABL123[[#This Row],[T/B-CON.]]+TABL123[[#This Row],[S/S_CON.]]</f>
        <v/>
      </c>
      <c r="T223" s="3">
        <f>TABL123[[#This Row],[(S/S) AJD]]+TABL123[[#This Row],[(T/B) AJD]]</f>
        <v/>
      </c>
      <c r="U223" s="44" t="n">
        <v>528</v>
      </c>
      <c r="V223" s="44" t="n">
        <v>324</v>
      </c>
      <c r="W223" s="3">
        <f>TABL123[[#This Row],[(A/B) AJD]]+TABL123[[#This Row],[(A/S) AJD]]</f>
        <v/>
      </c>
      <c r="X223" s="3">
        <f>TABL123[[#This Row],[( S/S+T/B) AJD]]-TABL123[[#This Row],[(A/B + A/S) AJD]]</f>
        <v/>
      </c>
      <c r="Y223" s="44" t="n">
        <v>93.10599999999999</v>
      </c>
      <c r="Z223" s="45" t="n">
        <v>859119</v>
      </c>
      <c r="AA223" s="3">
        <f>TABL123[[#This Row],[(RESV. STORGE) AJD]]/10</f>
        <v/>
      </c>
      <c r="AB223" s="45">
        <f>IF(TRIM(Z223)="",,(Z223-Z222)/1000)</f>
        <v/>
      </c>
      <c r="AC223" s="45" t="n">
        <v>2853</v>
      </c>
      <c r="AD223" s="83">
        <f>TABL123[[#This Row],[( S/S+T/B) AJD]]-(TABL123[[#This Row],[(A/B + A/S) AJD]]+TABL123[[#This Row],[(STORGE DIFF.) AJD]]+(TABL123[[#This Row],[AJD_Evaporation]])/1000)</f>
        <v/>
      </c>
      <c r="AE223" s="68" t="n">
        <v>145</v>
      </c>
      <c r="AF223" s="68" t="n">
        <v>59.364</v>
      </c>
      <c r="AG223" s="68" t="n">
        <v>1864536</v>
      </c>
      <c r="AH223" s="45" t="n">
        <v>3039</v>
      </c>
      <c r="AI223" s="45" t="n">
        <v>3039</v>
      </c>
      <c r="AJ223" s="78">
        <f>TABL123[[#This Row],[(A/B) AJD]]-TABL123[[#This Row],[BER_IN]]</f>
        <v/>
      </c>
      <c r="AK223" s="68" t="n">
        <v>120</v>
      </c>
      <c r="AL223" s="87" t="n">
        <v>41.8488</v>
      </c>
      <c r="AM223" s="87" t="n">
        <v>2490499</v>
      </c>
      <c r="AN223" s="87">
        <f>TABL123[[#This Row],[ (RESV. STORGE) SER]]/10</f>
        <v/>
      </c>
      <c r="AO223" s="45" t="n">
        <v>2025</v>
      </c>
      <c r="AP223" s="32">
        <f>TABL123[[#This Row],[(A/S) AJD]]-TABL123[[#This Row],[SER_IN]]</f>
        <v/>
      </c>
    </row>
    <row r="224" ht="18.75" customHeight="1">
      <c r="A224" s="2" t="n">
        <v>46245</v>
      </c>
      <c r="B224" s="41" t="n">
        <v>47</v>
      </c>
      <c r="C224" s="41" t="n">
        <v>382</v>
      </c>
      <c r="D224" s="41">
        <f>B224</f>
        <v/>
      </c>
      <c r="E224" s="28" t="n"/>
      <c r="F224" s="41" t="n">
        <v>92</v>
      </c>
      <c r="G224" s="39" t="n">
        <v>611</v>
      </c>
      <c r="H224" s="28">
        <f>103-F224</f>
        <v/>
      </c>
      <c r="I224" s="39" t="n">
        <v>537</v>
      </c>
      <c r="J224" s="39" t="n">
        <v>522</v>
      </c>
      <c r="K224" s="28">
        <f>TABL123[[#This Row],[ (T/B) SAR]]+TABL123[[#This Row],[ (S/S) SAR]]</f>
        <v/>
      </c>
      <c r="L224" s="41" t="n">
        <v>437</v>
      </c>
      <c r="M224" s="42" t="n">
        <v>29.3</v>
      </c>
      <c r="N224" s="42" t="n">
        <v>7.84</v>
      </c>
      <c r="O224" s="39" t="n">
        <v>443</v>
      </c>
      <c r="P224" s="3">
        <f>TABL123[[#This Row],[ (S/S) SAR]]-TABL123[[#This Row],[(S/S) AJD]]</f>
        <v/>
      </c>
      <c r="Q224" s="39" t="n">
        <v>479</v>
      </c>
      <c r="R224" s="3">
        <f>TABL123[[#This Row],[ (T/B) SAR]]-TABL123[[#This Row],[(T/B) AJD]]</f>
        <v/>
      </c>
      <c r="S224" s="3">
        <f>TABL123[[#This Row],[T/B-CON.]]+TABL123[[#This Row],[S/S_CON.]]</f>
        <v/>
      </c>
      <c r="T224" s="3">
        <f>TABL123[[#This Row],[(S/S) AJD]]+TABL123[[#This Row],[(T/B) AJD]]</f>
        <v/>
      </c>
      <c r="U224" s="41" t="n">
        <v>558</v>
      </c>
      <c r="V224" s="41" t="n">
        <v>348</v>
      </c>
      <c r="W224" s="3">
        <f>TABL123[[#This Row],[(A/B) AJD]]+TABL123[[#This Row],[(A/S) AJD]]</f>
        <v/>
      </c>
      <c r="X224" s="3">
        <f>TABL123[[#This Row],[( S/S+T/B) AJD]]-TABL123[[#This Row],[(A/B + A/S) AJD]]</f>
        <v/>
      </c>
      <c r="Y224" s="41" t="n">
        <v>93.04300000000001</v>
      </c>
      <c r="Z224" s="43" t="n">
        <v>821291</v>
      </c>
      <c r="AA224" s="3">
        <f>TABL123[[#This Row],[(RESV. STORGE) AJD]]/10</f>
        <v/>
      </c>
      <c r="AB224" s="45">
        <f>IF(TRIM(Z224)="",,(Z224-Z223)/1000)</f>
        <v/>
      </c>
      <c r="AC224" s="43" t="n">
        <v>3033</v>
      </c>
      <c r="AD224" s="83">
        <f>TABL123[[#This Row],[( S/S+T/B) AJD]]-(TABL123[[#This Row],[(A/B + A/S) AJD]]+TABL123[[#This Row],[(STORGE DIFF.) AJD]]+(TABL123[[#This Row],[AJD_Evaporation]])/1000)</f>
        <v/>
      </c>
      <c r="AE224" s="68" t="n">
        <v>149</v>
      </c>
      <c r="AF224" s="68" t="n">
        <v>59.475</v>
      </c>
      <c r="AG224" s="68" t="n">
        <v>1938221</v>
      </c>
      <c r="AH224" s="68" t="n">
        <v>2902</v>
      </c>
      <c r="AI224" s="68" t="n">
        <v>2902</v>
      </c>
      <c r="AJ224" s="78">
        <f>TABL123[[#This Row],[(A/B) AJD]]-TABL123[[#This Row],[BER_IN]]</f>
        <v/>
      </c>
      <c r="AK224" s="68" t="n">
        <v>141</v>
      </c>
      <c r="AL224" s="87" t="n">
        <v>42.0854</v>
      </c>
      <c r="AM224" s="87" t="n">
        <v>2616840</v>
      </c>
      <c r="AN224" s="87">
        <f>TABL123[[#This Row],[ (RESV. STORGE) SER]]/10</f>
        <v/>
      </c>
      <c r="AO224" s="43" t="n">
        <v>2030</v>
      </c>
      <c r="AP224" s="32">
        <f>TABL123[[#This Row],[(A/S) AJD]]-TABL123[[#This Row],[SER_IN]]</f>
        <v/>
      </c>
    </row>
    <row r="225" ht="18.75" customHeight="1">
      <c r="A225" s="2" t="n">
        <v>46246</v>
      </c>
      <c r="B225" s="44" t="n">
        <v>47</v>
      </c>
      <c r="C225" s="44" t="n">
        <v>374</v>
      </c>
      <c r="D225" s="44">
        <f>B225</f>
        <v/>
      </c>
      <c r="E225" s="28" t="n"/>
      <c r="F225" s="44" t="n">
        <v>92</v>
      </c>
      <c r="G225" s="40" t="n">
        <v>611</v>
      </c>
      <c r="H225" s="28">
        <f>103-F225</f>
        <v/>
      </c>
      <c r="I225" s="40" t="n">
        <v>537</v>
      </c>
      <c r="J225" s="44" t="n">
        <v>522</v>
      </c>
      <c r="K225" s="28">
        <f>TABL123[[#This Row],[ (T/B) SAR]]+TABL123[[#This Row],[ (S/S) SAR]]</f>
        <v/>
      </c>
      <c r="L225" s="45" t="n">
        <v>437</v>
      </c>
      <c r="M225" s="46" t="n">
        <v>29.3</v>
      </c>
      <c r="N225" s="46" t="n">
        <v>7.75</v>
      </c>
      <c r="O225" s="40" t="n">
        <v>444</v>
      </c>
      <c r="P225" s="3">
        <f>TABL123[[#This Row],[ (S/S) SAR]]-TABL123[[#This Row],[(S/S) AJD]]</f>
        <v/>
      </c>
      <c r="Q225" s="40" t="n">
        <v>479</v>
      </c>
      <c r="R225" s="3">
        <f>TABL123[[#This Row],[ (T/B) SAR]]-TABL123[[#This Row],[(T/B) AJD]]</f>
        <v/>
      </c>
      <c r="S225" s="3">
        <f>TABL123[[#This Row],[T/B-CON.]]+TABL123[[#This Row],[S/S_CON.]]</f>
        <v/>
      </c>
      <c r="T225" s="3">
        <f>TABL123[[#This Row],[(S/S) AJD]]+TABL123[[#This Row],[(T/B) AJD]]</f>
        <v/>
      </c>
      <c r="U225" s="44" t="n">
        <v>594</v>
      </c>
      <c r="V225" s="44" t="n">
        <v>352</v>
      </c>
      <c r="W225" s="3">
        <f>TABL123[[#This Row],[(A/B) AJD]]+TABL123[[#This Row],[(A/S) AJD]]</f>
        <v/>
      </c>
      <c r="X225" s="3">
        <f>TABL123[[#This Row],[( S/S+T/B) AJD]]-TABL123[[#This Row],[(A/B + A/S) AJD]]</f>
        <v/>
      </c>
      <c r="Y225" s="44" t="n">
        <v>92.926</v>
      </c>
      <c r="Z225" s="45" t="n">
        <v>751131</v>
      </c>
      <c r="AA225" s="3">
        <f>TABL123[[#This Row],[(RESV. STORGE) AJD]]/10</f>
        <v/>
      </c>
      <c r="AB225" s="45">
        <f>IF(TRIM(Z225)="",,(Z225-Z224)/1000)</f>
        <v/>
      </c>
      <c r="AC225" s="45" t="n">
        <v>2936</v>
      </c>
      <c r="AD225" s="83">
        <f>TABL123[[#This Row],[( S/S+T/B) AJD]]-(TABL123[[#This Row],[(A/B + A/S) AJD]]+TABL123[[#This Row],[(STORGE DIFF.) AJD]]+(TABL123[[#This Row],[AJD_Evaporation]])/1000)</f>
        <v/>
      </c>
      <c r="AE225" s="68" t="n">
        <v>148</v>
      </c>
      <c r="AF225" s="68" t="n">
        <v>59.548</v>
      </c>
      <c r="AG225" s="68" t="n">
        <v>1987051</v>
      </c>
      <c r="AH225" s="45" t="n">
        <v>3169</v>
      </c>
      <c r="AI225" s="45" t="n">
        <v>3169</v>
      </c>
      <c r="AJ225" s="78">
        <f>TABL123[[#This Row],[(A/B) AJD]]-TABL123[[#This Row],[BER_IN]]</f>
        <v/>
      </c>
      <c r="AK225" s="68" t="n">
        <v>153</v>
      </c>
      <c r="AL225" s="87" t="n">
        <v>42.3233</v>
      </c>
      <c r="AM225" s="87" t="n">
        <v>2743630</v>
      </c>
      <c r="AN225" s="87">
        <f>TABL123[[#This Row],[ (RESV. STORGE) SER]]/10</f>
        <v/>
      </c>
      <c r="AO225" s="45" t="n">
        <v>2035</v>
      </c>
      <c r="AP225" s="32">
        <f>TABL123[[#This Row],[(A/S) AJD]]-TABL123[[#This Row],[SER_IN]]</f>
        <v/>
      </c>
    </row>
    <row r="226" ht="18.75" customHeight="1">
      <c r="A226" s="2" t="n">
        <v>46247</v>
      </c>
      <c r="B226" s="41" t="n">
        <v>46</v>
      </c>
      <c r="C226" s="41" t="n">
        <v>361</v>
      </c>
      <c r="D226" s="41">
        <f>B226</f>
        <v/>
      </c>
      <c r="E226" s="28" t="n"/>
      <c r="F226" s="41" t="n">
        <v>92</v>
      </c>
      <c r="G226" s="39" t="n">
        <v>611</v>
      </c>
      <c r="H226" s="28">
        <f>103-F226</f>
        <v/>
      </c>
      <c r="I226" s="39" t="n">
        <v>535</v>
      </c>
      <c r="J226" s="39" t="n">
        <v>522</v>
      </c>
      <c r="K226" s="28">
        <f>TABL123[[#This Row],[ (T/B) SAR]]+TABL123[[#This Row],[ (S/S) SAR]]</f>
        <v/>
      </c>
      <c r="L226" s="41" t="n">
        <v>437</v>
      </c>
      <c r="M226" s="42" t="n">
        <v>29.3</v>
      </c>
      <c r="N226" s="42" t="n">
        <v>7.62</v>
      </c>
      <c r="O226" s="39" t="n">
        <v>447</v>
      </c>
      <c r="P226" s="3">
        <f>TABL123[[#This Row],[ (S/S) SAR]]-TABL123[[#This Row],[(S/S) AJD]]</f>
        <v/>
      </c>
      <c r="Q226" s="39" t="n">
        <v>481</v>
      </c>
      <c r="R226" s="3">
        <f>TABL123[[#This Row],[ (T/B) SAR]]-TABL123[[#This Row],[(T/B) AJD]]</f>
        <v/>
      </c>
      <c r="S226" s="3">
        <f>TABL123[[#This Row],[T/B-CON.]]+TABL123[[#This Row],[S/S_CON.]]</f>
        <v/>
      </c>
      <c r="T226" s="3">
        <f>TABL123[[#This Row],[(S/S) AJD]]+TABL123[[#This Row],[(T/B) AJD]]</f>
        <v/>
      </c>
      <c r="U226" s="41" t="n">
        <v>612</v>
      </c>
      <c r="V226" s="41" t="n">
        <v>357</v>
      </c>
      <c r="W226" s="3">
        <f>TABL123[[#This Row],[(A/B) AJD]]+TABL123[[#This Row],[(A/S) AJD]]</f>
        <v/>
      </c>
      <c r="X226" s="3">
        <f>TABL123[[#This Row],[( S/S+T/B) AJD]]-TABL123[[#This Row],[(A/B + A/S) AJD]]</f>
        <v/>
      </c>
      <c r="Y226" s="41" t="n">
        <v>92.789</v>
      </c>
      <c r="Z226" s="43" t="n">
        <v>669119</v>
      </c>
      <c r="AA226" s="3">
        <f>TABL123[[#This Row],[(RESV. STORGE) AJD]]/10</f>
        <v/>
      </c>
      <c r="AB226" s="45">
        <f>IF(TRIM(Z226)="",,(Z226-Z225)/1000)</f>
        <v/>
      </c>
      <c r="AC226" s="43" t="n">
        <v>2936</v>
      </c>
      <c r="AD226" s="83">
        <f>TABL123[[#This Row],[( S/S+T/B) AJD]]-(TABL123[[#This Row],[(A/B + A/S) AJD]]+TABL123[[#This Row],[(STORGE DIFF.) AJD]]+(TABL123[[#This Row],[AJD_Evaporation]])/1000)</f>
        <v/>
      </c>
      <c r="AE226" s="68" t="n">
        <v>148</v>
      </c>
      <c r="AF226" s="68" t="n">
        <v>59.616</v>
      </c>
      <c r="AG226" s="68" t="n">
        <v>2031975</v>
      </c>
      <c r="AH226" s="43" t="n">
        <v>3395</v>
      </c>
      <c r="AI226" s="43" t="n">
        <v>3395</v>
      </c>
      <c r="AJ226" s="78">
        <f>TABL123[[#This Row],[(A/B) AJD]]-TABL123[[#This Row],[BER_IN]]</f>
        <v/>
      </c>
      <c r="AK226" s="68" t="n">
        <v>151</v>
      </c>
      <c r="AL226" s="87" t="n">
        <v>42.5832</v>
      </c>
      <c r="AM226" s="87" t="n">
        <v>2883220</v>
      </c>
      <c r="AN226" s="87">
        <f>TABL123[[#This Row],[ (RESV. STORGE) SER]]/10</f>
        <v/>
      </c>
      <c r="AO226" s="43" t="n">
        <v>2045</v>
      </c>
      <c r="AP226" s="32">
        <f>TABL123[[#This Row],[(A/S) AJD]]-TABL123[[#This Row],[SER_IN]]</f>
        <v/>
      </c>
    </row>
    <row r="227" ht="18.75" customHeight="1">
      <c r="A227" s="2" t="n">
        <v>46248</v>
      </c>
      <c r="B227" s="44" t="n">
        <v>45</v>
      </c>
      <c r="C227" s="44" t="n">
        <v>352</v>
      </c>
      <c r="D227" s="44">
        <f>B227</f>
        <v/>
      </c>
      <c r="E227" s="28" t="n"/>
      <c r="F227" s="44" t="n">
        <v>92</v>
      </c>
      <c r="G227" s="40" t="n">
        <v>611</v>
      </c>
      <c r="H227" s="28">
        <f>103-F227</f>
        <v/>
      </c>
      <c r="I227" s="40" t="n">
        <v>537</v>
      </c>
      <c r="J227" s="44" t="n">
        <v>522</v>
      </c>
      <c r="K227" s="28">
        <f>TABL123[[#This Row],[ (T/B) SAR]]+TABL123[[#This Row],[ (S/S) SAR]]</f>
        <v/>
      </c>
      <c r="L227" s="45" t="n">
        <v>435</v>
      </c>
      <c r="M227" s="46" t="n">
        <v>29.3</v>
      </c>
      <c r="N227" s="46" t="n">
        <v>7.45</v>
      </c>
      <c r="O227" s="40" t="n">
        <v>442</v>
      </c>
      <c r="P227" s="3">
        <f>TABL123[[#This Row],[ (S/S) SAR]]-TABL123[[#This Row],[(S/S) AJD]]</f>
        <v/>
      </c>
      <c r="Q227" s="40" t="n">
        <v>479</v>
      </c>
      <c r="R227" s="3">
        <f>TABL123[[#This Row],[ (T/B) SAR]]-TABL123[[#This Row],[(T/B) AJD]]</f>
        <v/>
      </c>
      <c r="S227" s="3">
        <f>TABL123[[#This Row],[T/B-CON.]]+TABL123[[#This Row],[S/S_CON.]]</f>
        <v/>
      </c>
      <c r="T227" s="3">
        <f>TABL123[[#This Row],[(S/S) AJD]]+TABL123[[#This Row],[(T/B) AJD]]</f>
        <v/>
      </c>
      <c r="U227" s="44" t="n">
        <v>616</v>
      </c>
      <c r="V227" s="44" t="n">
        <v>359</v>
      </c>
      <c r="W227" s="3">
        <f>TABL123[[#This Row],[(A/B) AJD]]+TABL123[[#This Row],[(A/S) AJD]]</f>
        <v/>
      </c>
      <c r="X227" s="3">
        <f>TABL123[[#This Row],[( S/S+T/B) AJD]]-TABL123[[#This Row],[(A/B + A/S) AJD]]</f>
        <v/>
      </c>
      <c r="Y227" s="44" t="n">
        <v>92.639</v>
      </c>
      <c r="Z227" s="45" t="n">
        <v>579503</v>
      </c>
      <c r="AA227" s="3">
        <f>TABL123[[#This Row],[(RESV. STORGE) AJD]]/10</f>
        <v/>
      </c>
      <c r="AB227" s="45">
        <f>IF(TRIM(Z227)="",,(Z227-Z226)/1000)</f>
        <v/>
      </c>
      <c r="AC227" s="45" t="n">
        <v>3793</v>
      </c>
      <c r="AD227" s="83">
        <f>TABL123[[#This Row],[( S/S+T/B) AJD]]-(TABL123[[#This Row],[(A/B + A/S) AJD]]+TABL123[[#This Row],[(STORGE DIFF.) AJD]]+(TABL123[[#This Row],[AJD_Evaporation]])/1000)</f>
        <v/>
      </c>
      <c r="AE227" s="68" t="n">
        <v>151</v>
      </c>
      <c r="AF227" s="68" t="n">
        <v>59.585</v>
      </c>
      <c r="AG227" s="68" t="n">
        <v>2011348</v>
      </c>
      <c r="AH227" s="45" t="n">
        <v>2763</v>
      </c>
      <c r="AI227" s="45" t="n">
        <v>2763</v>
      </c>
      <c r="AJ227" s="78">
        <f>TABL123[[#This Row],[(A/B) AJD]]-TABL123[[#This Row],[BER_IN]]</f>
        <v/>
      </c>
      <c r="AK227" s="68" t="n">
        <v>153</v>
      </c>
      <c r="AL227" s="87" t="n">
        <v>42.8509</v>
      </c>
      <c r="AM227" s="87" t="n">
        <v>3027660</v>
      </c>
      <c r="AN227" s="87">
        <f>TABL123[[#This Row],[ (RESV. STORGE) SER]]/10</f>
        <v/>
      </c>
      <c r="AO227" s="45" t="n">
        <v>2040</v>
      </c>
      <c r="AP227" s="32">
        <f>TABL123[[#This Row],[(A/S) AJD]]-TABL123[[#This Row],[SER_IN]]</f>
        <v/>
      </c>
    </row>
    <row r="228" ht="18.75" customHeight="1">
      <c r="A228" s="2" t="n">
        <v>46249</v>
      </c>
      <c r="B228" s="41" t="n">
        <v>45</v>
      </c>
      <c r="C228" s="41" t="n">
        <v>346</v>
      </c>
      <c r="D228" s="41">
        <f>B228</f>
        <v/>
      </c>
      <c r="E228" s="28" t="n"/>
      <c r="F228" s="41" t="n">
        <v>92</v>
      </c>
      <c r="G228" s="39" t="n">
        <v>611</v>
      </c>
      <c r="H228" s="28">
        <f>103-F228</f>
        <v/>
      </c>
      <c r="I228" s="39" t="n">
        <v>535</v>
      </c>
      <c r="J228" s="39" t="n">
        <v>522</v>
      </c>
      <c r="K228" s="28">
        <f>TABL123[[#This Row],[ (T/B) SAR]]+TABL123[[#This Row],[ (S/S) SAR]]</f>
        <v/>
      </c>
      <c r="L228" s="41" t="n">
        <v>430</v>
      </c>
      <c r="M228" s="42" t="n">
        <v>29.3</v>
      </c>
      <c r="N228" s="42" t="n">
        <v>7.26</v>
      </c>
      <c r="O228" s="39" t="n">
        <v>439</v>
      </c>
      <c r="P228" s="3">
        <f>TABL123[[#This Row],[ (S/S) SAR]]-TABL123[[#This Row],[(S/S) AJD]]</f>
        <v/>
      </c>
      <c r="Q228" s="39" t="n">
        <v>477</v>
      </c>
      <c r="R228" s="3">
        <f>TABL123[[#This Row],[ (T/B) SAR]]-TABL123[[#This Row],[(T/B) AJD]]</f>
        <v/>
      </c>
      <c r="S228" s="3">
        <f>TABL123[[#This Row],[T/B-CON.]]+TABL123[[#This Row],[S/S_CON.]]</f>
        <v/>
      </c>
      <c r="T228" s="3">
        <f>TABL123[[#This Row],[(S/S) AJD]]+TABL123[[#This Row],[(T/B) AJD]]</f>
        <v/>
      </c>
      <c r="U228" s="41" t="n">
        <v>616</v>
      </c>
      <c r="V228" s="41" t="n">
        <v>328</v>
      </c>
      <c r="W228" s="3">
        <f>TABL123[[#This Row],[(A/B) AJD]]+TABL123[[#This Row],[(A/S) AJD]]</f>
        <v/>
      </c>
      <c r="X228" s="3">
        <f>TABL123[[#This Row],[( S/S+T/B) AJD]]-TABL123[[#This Row],[(A/B + A/S) AJD]]</f>
        <v/>
      </c>
      <c r="Y228" s="41" t="n">
        <v>92.529</v>
      </c>
      <c r="Z228" s="43" t="n">
        <v>513902</v>
      </c>
      <c r="AA228" s="3">
        <f>TABL123[[#This Row],[(RESV. STORGE) AJD]]/10</f>
        <v/>
      </c>
      <c r="AB228" s="45">
        <f>IF(TRIM(Z228)="",,(Z228-Z227)/1000)</f>
        <v/>
      </c>
      <c r="AC228" s="43" t="n">
        <v>3571</v>
      </c>
      <c r="AD228" s="83">
        <f>TABL123[[#This Row],[( S/S+T/B) AJD]]-(TABL123[[#This Row],[(A/B + A/S) AJD]]+TABL123[[#This Row],[(STORGE DIFF.) AJD]]+(TABL123[[#This Row],[AJD_Evaporation]])/1000)</f>
        <v/>
      </c>
      <c r="AE228" s="68" t="n">
        <v>134</v>
      </c>
      <c r="AF228" s="68" t="n">
        <v>59.471</v>
      </c>
      <c r="AG228" s="68" t="n">
        <v>1935564</v>
      </c>
      <c r="AH228" s="43" t="n">
        <v>2696</v>
      </c>
      <c r="AI228" s="43" t="n">
        <v>2696</v>
      </c>
      <c r="AJ228" s="78">
        <f>TABL123[[#This Row],[(A/B) AJD]]-TABL123[[#This Row],[BER_IN]]</f>
        <v/>
      </c>
      <c r="AK228" s="68" t="n">
        <v>132</v>
      </c>
      <c r="AL228" s="87" t="n">
        <v>43.0917</v>
      </c>
      <c r="AM228" s="87" t="n">
        <v>3157820</v>
      </c>
      <c r="AN228" s="87">
        <f>TABL123[[#This Row],[ (RESV. STORGE) SER]]/10</f>
        <v/>
      </c>
      <c r="AO228" s="43" t="n">
        <v>1840</v>
      </c>
      <c r="AP228" s="32">
        <f>TABL123[[#This Row],[(A/S) AJD]]-TABL123[[#This Row],[SER_IN]]</f>
        <v/>
      </c>
    </row>
    <row r="229" ht="18.75" customHeight="1">
      <c r="A229" s="2" t="n">
        <v>46250</v>
      </c>
      <c r="B229" s="44" t="n">
        <v>46</v>
      </c>
      <c r="C229" s="44" t="n">
        <v>365</v>
      </c>
      <c r="D229" s="44">
        <f>B229</f>
        <v/>
      </c>
      <c r="E229" s="28" t="n"/>
      <c r="F229" s="44" t="n">
        <v>92</v>
      </c>
      <c r="G229" s="40" t="n">
        <v>611</v>
      </c>
      <c r="H229" s="28">
        <f>103-F229</f>
        <v/>
      </c>
      <c r="I229" s="40" t="n">
        <v>528</v>
      </c>
      <c r="J229" s="44" t="n">
        <v>510</v>
      </c>
      <c r="K229" s="28">
        <f>TABL123[[#This Row],[ (T/B) SAR]]+TABL123[[#This Row],[ (S/S) SAR]]</f>
        <v/>
      </c>
      <c r="L229" s="45" t="n">
        <v>405</v>
      </c>
      <c r="M229" s="46" t="n">
        <v>28.7</v>
      </c>
      <c r="N229" s="46" t="n">
        <v>7.23</v>
      </c>
      <c r="O229" s="40" t="n">
        <v>477</v>
      </c>
      <c r="P229" s="3">
        <f>TABL123[[#This Row],[ (S/S) SAR]]-TABL123[[#This Row],[(S/S) AJD]]</f>
        <v/>
      </c>
      <c r="Q229" s="40" t="n">
        <v>440</v>
      </c>
      <c r="R229" s="3">
        <f>TABL123[[#This Row],[ (T/B) SAR]]-TABL123[[#This Row],[(T/B) AJD]]</f>
        <v/>
      </c>
      <c r="S229" s="3">
        <f>TABL123[[#This Row],[T/B-CON.]]+TABL123[[#This Row],[S/S_CON.]]</f>
        <v/>
      </c>
      <c r="T229" s="3">
        <f>TABL123[[#This Row],[(S/S) AJD]]+TABL123[[#This Row],[(T/B) AJD]]</f>
        <v/>
      </c>
      <c r="U229" s="44" t="n">
        <v>615</v>
      </c>
      <c r="V229" s="44" t="n">
        <v>341</v>
      </c>
      <c r="W229" s="3">
        <f>TABL123[[#This Row],[(A/B) AJD]]+TABL123[[#This Row],[(A/S) AJD]]</f>
        <v/>
      </c>
      <c r="X229" s="3">
        <f>TABL123[[#This Row],[( S/S+T/B) AJD]]-TABL123[[#This Row],[(A/B + A/S) AJD]]</f>
        <v/>
      </c>
      <c r="Y229" s="44" t="n">
        <v>92.402</v>
      </c>
      <c r="Z229" s="45" t="n">
        <v>438288</v>
      </c>
      <c r="AA229" s="3">
        <f>TABL123[[#This Row],[(RESV. STORGE) AJD]]/10</f>
        <v/>
      </c>
      <c r="AB229" s="45">
        <f>IF(TRIM(Z229)="",,(Z229-Z228)/1000)</f>
        <v/>
      </c>
      <c r="AC229" s="45" t="n">
        <v>3481</v>
      </c>
      <c r="AD229" s="83">
        <f>TABL123[[#This Row],[( S/S+T/B) AJD]]-(TABL123[[#This Row],[(A/B + A/S) AJD]]+TABL123[[#This Row],[(STORGE DIFF.) AJD]]+(TABL123[[#This Row],[AJD_Evaporation]])/1000)</f>
        <v/>
      </c>
      <c r="AE229" s="68" t="n">
        <v>140</v>
      </c>
      <c r="AF229" s="68" t="n">
        <v>59.368</v>
      </c>
      <c r="AG229" s="68" t="n">
        <v>1867189</v>
      </c>
      <c r="AH229" s="45" t="n">
        <v>2670</v>
      </c>
      <c r="AI229" s="45" t="n">
        <v>2670</v>
      </c>
      <c r="AJ229" s="78">
        <f>TABL123[[#This Row],[(A/B) AJD]]-TABL123[[#This Row],[BER_IN]]</f>
        <v/>
      </c>
      <c r="AK229" s="68" t="n">
        <v>122</v>
      </c>
      <c r="AL229" s="87" t="n">
        <v>43.3006</v>
      </c>
      <c r="AM229" s="87" t="n">
        <v>3271450</v>
      </c>
      <c r="AN229" s="87">
        <f>TABL123[[#This Row],[ (RESV. STORGE) SER]]/10</f>
        <v/>
      </c>
      <c r="AO229" s="45" t="n">
        <v>1870</v>
      </c>
      <c r="AP229" s="32">
        <f>TABL123[[#This Row],[(A/S) AJD]]-TABL123[[#This Row],[SER_IN]]</f>
        <v/>
      </c>
    </row>
    <row r="230" ht="18.75" customHeight="1">
      <c r="A230" s="2" t="n">
        <v>46251</v>
      </c>
      <c r="B230" s="41" t="n">
        <v>46</v>
      </c>
      <c r="C230" s="41" t="n">
        <v>363</v>
      </c>
      <c r="D230" s="41">
        <f>B230</f>
        <v/>
      </c>
      <c r="E230" s="28" t="n"/>
      <c r="F230" s="41" t="n">
        <v>93</v>
      </c>
      <c r="G230" s="39" t="n">
        <v>617</v>
      </c>
      <c r="H230" s="28">
        <f>103-F230</f>
        <v/>
      </c>
      <c r="I230" s="39" t="n">
        <v>530</v>
      </c>
      <c r="J230" s="39" t="n">
        <v>515</v>
      </c>
      <c r="K230" s="28">
        <f>TABL123[[#This Row],[ (T/B) SAR]]+TABL123[[#This Row],[ (S/S) SAR]]</f>
        <v/>
      </c>
      <c r="L230" s="41" t="n">
        <v>405</v>
      </c>
      <c r="M230" s="42" t="n">
        <v>28.7</v>
      </c>
      <c r="N230" s="42" t="n">
        <v>7.21</v>
      </c>
      <c r="O230" s="39" t="n">
        <v>430</v>
      </c>
      <c r="P230" s="3">
        <f>TABL123[[#This Row],[ (S/S) SAR]]-TABL123[[#This Row],[(S/S) AJD]]</f>
        <v/>
      </c>
      <c r="Q230" s="39" t="n">
        <v>466</v>
      </c>
      <c r="R230" s="3">
        <f>TABL123[[#This Row],[ (T/B) SAR]]-TABL123[[#This Row],[(T/B) AJD]]</f>
        <v/>
      </c>
      <c r="S230" s="3">
        <f>TABL123[[#This Row],[T/B-CON.]]+TABL123[[#This Row],[S/S_CON.]]</f>
        <v/>
      </c>
      <c r="T230" s="3">
        <f>TABL123[[#This Row],[(S/S) AJD]]+TABL123[[#This Row],[(T/B) AJD]]</f>
        <v/>
      </c>
      <c r="U230" s="41" t="n">
        <v>591</v>
      </c>
      <c r="V230" s="41" t="n">
        <v>320</v>
      </c>
      <c r="W230" s="3">
        <f>TABL123[[#This Row],[(A/B) AJD]]+TABL123[[#This Row],[(A/S) AJD]]</f>
        <v/>
      </c>
      <c r="X230" s="3">
        <f>TABL123[[#This Row],[( S/S+T/B) AJD]]-TABL123[[#This Row],[(A/B + A/S) AJD]]</f>
        <v/>
      </c>
      <c r="Y230" s="41" t="n">
        <v>92.34</v>
      </c>
      <c r="Z230" s="43" t="n">
        <v>401419</v>
      </c>
      <c r="AA230" s="3">
        <f>TABL123[[#This Row],[(RESV. STORGE) AJD]]/10</f>
        <v/>
      </c>
      <c r="AB230" s="45">
        <f>IF(TRIM(Z230)="",,(Z230-Z229)/1000)</f>
        <v/>
      </c>
      <c r="AC230" s="43" t="n">
        <v>2180</v>
      </c>
      <c r="AD230" s="83">
        <f>TABL123[[#This Row],[( S/S+T/B) AJD]]-(TABL123[[#This Row],[(A/B + A/S) AJD]]+TABL123[[#This Row],[(STORGE DIFF.) AJD]]+(TABL123[[#This Row],[AJD_Evaporation]])/1000)</f>
        <v/>
      </c>
      <c r="AE230" s="68" t="n">
        <v>111</v>
      </c>
      <c r="AF230" s="68" t="n">
        <v>59.258</v>
      </c>
      <c r="AG230" s="68" t="n">
        <v>1794269</v>
      </c>
      <c r="AH230" s="43" t="n">
        <v>3283</v>
      </c>
      <c r="AI230" s="43" t="n">
        <v>3283</v>
      </c>
      <c r="AJ230" s="78">
        <f>TABL123[[#This Row],[(A/B) AJD]]-TABL123[[#This Row],[BER_IN]]</f>
        <v/>
      </c>
      <c r="AK230" s="68" t="n">
        <v>92</v>
      </c>
      <c r="AL230" s="87" t="n">
        <v>43.4209</v>
      </c>
      <c r="AM230" s="87" t="n">
        <v>3334980</v>
      </c>
      <c r="AN230" s="87">
        <f>TABL123[[#This Row],[ (RESV. STORGE) SER]]/10</f>
        <v/>
      </c>
      <c r="AO230" s="43" t="n">
        <v>1870</v>
      </c>
      <c r="AP230" s="32">
        <f>TABL123[[#This Row],[(A/S) AJD]]-TABL123[[#This Row],[SER_IN]]</f>
        <v/>
      </c>
    </row>
    <row r="231" ht="18.75" customHeight="1">
      <c r="A231" s="2" t="n">
        <v>46252</v>
      </c>
      <c r="B231" s="44" t="n">
        <v>46</v>
      </c>
      <c r="C231" s="44" t="n">
        <v>365</v>
      </c>
      <c r="D231" s="44">
        <f>B231</f>
        <v/>
      </c>
      <c r="E231" s="28" t="n"/>
      <c r="F231" s="44" t="n">
        <v>93</v>
      </c>
      <c r="G231" s="40" t="n">
        <v>617</v>
      </c>
      <c r="H231" s="28">
        <f>103-F231</f>
        <v/>
      </c>
      <c r="I231" s="40" t="n">
        <v>533</v>
      </c>
      <c r="J231" s="44" t="n">
        <v>519</v>
      </c>
      <c r="K231" s="28">
        <f>TABL123[[#This Row],[ (T/B) SAR]]+TABL123[[#This Row],[ (S/S) SAR]]</f>
        <v/>
      </c>
      <c r="L231" s="45" t="n">
        <v>404</v>
      </c>
      <c r="M231" s="46" t="n">
        <v>28.7</v>
      </c>
      <c r="N231" s="46" t="n">
        <v>7.22</v>
      </c>
      <c r="O231" s="40" t="n">
        <v>436</v>
      </c>
      <c r="P231" s="3">
        <f>TABL123[[#This Row],[ (S/S) SAR]]-TABL123[[#This Row],[(S/S) AJD]]</f>
        <v/>
      </c>
      <c r="Q231" s="40" t="n">
        <v>469</v>
      </c>
      <c r="R231" s="3">
        <f>TABL123[[#This Row],[ (T/B) SAR]]-TABL123[[#This Row],[(T/B) AJD]]</f>
        <v/>
      </c>
      <c r="S231" s="3">
        <f>TABL123[[#This Row],[T/B-CON.]]+TABL123[[#This Row],[S/S_CON.]]</f>
        <v/>
      </c>
      <c r="T231" s="3">
        <f>TABL123[[#This Row],[(S/S) AJD]]+TABL123[[#This Row],[(T/B) AJD]]</f>
        <v/>
      </c>
      <c r="U231" s="44" t="n">
        <v>599</v>
      </c>
      <c r="V231" s="44" t="n">
        <v>290</v>
      </c>
      <c r="W231" s="3">
        <f>TABL123[[#This Row],[(A/B) AJD]]+TABL123[[#This Row],[(A/S) AJD]]</f>
        <v/>
      </c>
      <c r="X231" s="3">
        <f>TABL123[[#This Row],[( S/S+T/B) AJD]]-TABL123[[#This Row],[(A/B + A/S) AJD]]</f>
        <v/>
      </c>
      <c r="Y231" s="44" t="n">
        <v>92.31699999999999</v>
      </c>
      <c r="Z231" s="45" t="n">
        <v>387754</v>
      </c>
      <c r="AA231" s="3">
        <f>TABL123[[#This Row],[(RESV. STORGE) AJD]]/10</f>
        <v/>
      </c>
      <c r="AB231" s="45">
        <f>IF(TRIM(Z231)="",,(Z231-Z230)/1000)</f>
        <v/>
      </c>
      <c r="AC231" s="45" t="n">
        <v>2412</v>
      </c>
      <c r="AD231" s="83">
        <f>TABL123[[#This Row],[( S/S+T/B) AJD]]-(TABL123[[#This Row],[(A/B + A/S) AJD]]+TABL123[[#This Row],[(STORGE DIFF.) AJD]]+(TABL123[[#This Row],[AJD_Evaporation]])/1000)</f>
        <v/>
      </c>
      <c r="AE231" s="68" t="n">
        <v>96</v>
      </c>
      <c r="AF231" s="68" t="n">
        <v>59.238</v>
      </c>
      <c r="AG231" s="68" t="n">
        <v>1781022</v>
      </c>
      <c r="AH231" s="45" t="n">
        <v>3534</v>
      </c>
      <c r="AI231" s="45" t="n">
        <v>3534</v>
      </c>
      <c r="AJ231" s="78">
        <f>TABL123[[#This Row],[(A/B) AJD]]-TABL123[[#This Row],[BER_IN]]</f>
        <v/>
      </c>
      <c r="AK231" s="68" t="n">
        <v>82</v>
      </c>
      <c r="AL231" s="87" t="n">
        <v>43.522</v>
      </c>
      <c r="AM231" s="87" t="n">
        <v>3390043</v>
      </c>
      <c r="AN231" s="87">
        <f>TABL123[[#This Row],[ (RESV. STORGE) SER]]/10</f>
        <v/>
      </c>
      <c r="AO231" s="45" t="n">
        <v>1837</v>
      </c>
      <c r="AP231" s="32">
        <f>TABL123[[#This Row],[(A/S) AJD]]-TABL123[[#This Row],[SER_IN]]</f>
        <v/>
      </c>
    </row>
    <row r="232" ht="18.75" customHeight="1">
      <c r="A232" s="2" t="n">
        <v>46253</v>
      </c>
      <c r="B232" s="41" t="n">
        <v>46</v>
      </c>
      <c r="C232" s="41" t="n">
        <v>352</v>
      </c>
      <c r="D232" s="41">
        <f>B232</f>
        <v/>
      </c>
      <c r="E232" s="28" t="n"/>
      <c r="F232" s="41" t="n">
        <v>93</v>
      </c>
      <c r="G232" s="39" t="n">
        <v>617</v>
      </c>
      <c r="H232" s="28">
        <f>103-F232</f>
        <v/>
      </c>
      <c r="I232" s="71" t="n">
        <v>530</v>
      </c>
      <c r="J232" s="39" t="n">
        <v>516</v>
      </c>
      <c r="K232" s="28">
        <f>TABL123[[#This Row],[ (T/B) SAR]]+TABL123[[#This Row],[ (S/S) SAR]]</f>
        <v/>
      </c>
      <c r="L232" s="41" t="n">
        <v>402</v>
      </c>
      <c r="M232" s="42" t="n">
        <v>28.7</v>
      </c>
      <c r="N232" s="42" t="n">
        <v>7.16</v>
      </c>
      <c r="O232" s="39" t="n">
        <v>436</v>
      </c>
      <c r="P232" s="3">
        <f>TABL123[[#This Row],[ (S/S) SAR]]-TABL123[[#This Row],[(S/S) AJD]]</f>
        <v/>
      </c>
      <c r="Q232" s="39" t="n">
        <v>469</v>
      </c>
      <c r="R232" s="3">
        <f>TABL123[[#This Row],[ (T/B) SAR]]-TABL123[[#This Row],[(T/B) AJD]]</f>
        <v/>
      </c>
      <c r="S232" s="3">
        <f>TABL123[[#This Row],[T/B-CON.]]+TABL123[[#This Row],[S/S_CON.]]</f>
        <v/>
      </c>
      <c r="T232" s="3">
        <f>TABL123[[#This Row],[(S/S) AJD]]+TABL123[[#This Row],[(T/B) AJD]]</f>
        <v/>
      </c>
      <c r="U232" s="41" t="n">
        <v>598</v>
      </c>
      <c r="V232" s="41" t="n">
        <v>238</v>
      </c>
      <c r="W232" s="3">
        <f>TABL123[[#This Row],[(A/B) AJD]]+TABL123[[#This Row],[(A/S) AJD]]</f>
        <v/>
      </c>
      <c r="X232" s="3">
        <f>TABL123[[#This Row],[( S/S+T/B) AJD]]-TABL123[[#This Row],[(A/B + A/S) AJD]]</f>
        <v/>
      </c>
      <c r="Y232" s="41" t="n">
        <v>92.393</v>
      </c>
      <c r="Z232" s="43" t="n">
        <v>432933</v>
      </c>
      <c r="AA232" s="3">
        <f>TABL123[[#This Row],[(RESV. STORGE) AJD]]/10</f>
        <v/>
      </c>
      <c r="AB232" s="45">
        <f>IF(TRIM(Z232)="",,(Z232-Z231)/1000)</f>
        <v/>
      </c>
      <c r="AC232" s="43" t="n">
        <v>2496</v>
      </c>
      <c r="AD232" s="83">
        <f>TABL123[[#This Row],[( S/S+T/B) AJD]]-(TABL123[[#This Row],[(A/B + A/S) AJD]]+TABL123[[#This Row],[(STORGE DIFF.) AJD]]+(TABL123[[#This Row],[AJD_Evaporation]])/1000)</f>
        <v/>
      </c>
      <c r="AE232" s="68" t="n">
        <v>94</v>
      </c>
      <c r="AF232" s="68" t="n">
        <v>59.227</v>
      </c>
      <c r="AG232" s="68" t="n">
        <v>1773738</v>
      </c>
      <c r="AH232" s="43" t="n">
        <v>3604</v>
      </c>
      <c r="AI232" s="43" t="n">
        <v>3604</v>
      </c>
      <c r="AJ232" s="78">
        <f>TABL123[[#This Row],[(A/B) AJD]]-TABL123[[#This Row],[BER_IN]]</f>
        <v/>
      </c>
      <c r="AK232" s="68" t="n">
        <v>70</v>
      </c>
      <c r="AL232" s="87" t="n">
        <v>43.555</v>
      </c>
      <c r="AM232" s="87" t="n">
        <v>3408031</v>
      </c>
      <c r="AN232" s="87">
        <f>TABL123[[#This Row],[ (RESV. STORGE) SER]]/10</f>
        <v/>
      </c>
      <c r="AO232" s="43" t="n">
        <v>1912</v>
      </c>
      <c r="AP232" s="32">
        <f>TABL123[[#This Row],[(A/S) AJD]]-TABL123[[#This Row],[SER_IN]]</f>
        <v/>
      </c>
    </row>
    <row r="233" ht="18.75" customHeight="1">
      <c r="A233" s="2" t="n">
        <v>46254</v>
      </c>
      <c r="B233" s="44" t="n">
        <v>46</v>
      </c>
      <c r="C233" s="44" t="n">
        <v>356</v>
      </c>
      <c r="D233" s="44">
        <f>B233</f>
        <v/>
      </c>
      <c r="E233" s="28" t="n"/>
      <c r="F233" s="44" t="n">
        <v>93</v>
      </c>
      <c r="G233" s="40" t="n">
        <v>617</v>
      </c>
      <c r="H233" s="28">
        <f>103-F233</f>
        <v/>
      </c>
      <c r="I233" s="40" t="n">
        <v>536</v>
      </c>
      <c r="J233" s="44" t="n">
        <v>522</v>
      </c>
      <c r="K233" s="28">
        <f>TABL123[[#This Row],[ (T/B) SAR]]+TABL123[[#This Row],[ (S/S) SAR]]</f>
        <v/>
      </c>
      <c r="L233" s="45" t="n">
        <v>400</v>
      </c>
      <c r="M233" s="46" t="n">
        <v>28.7</v>
      </c>
      <c r="N233" s="46" t="n">
        <v>7.09</v>
      </c>
      <c r="O233" s="40" t="n">
        <v>436</v>
      </c>
      <c r="P233" s="3">
        <f>TABL123[[#This Row],[ (S/S) SAR]]-TABL123[[#This Row],[(S/S) AJD]]</f>
        <v/>
      </c>
      <c r="Q233" s="40" t="n">
        <v>467</v>
      </c>
      <c r="R233" s="3">
        <f>TABL123[[#This Row],[ (T/B) SAR]]-TABL123[[#This Row],[(T/B) AJD]]</f>
        <v/>
      </c>
      <c r="S233" s="3">
        <f>TABL123[[#This Row],[T/B-CON.]]+TABL123[[#This Row],[S/S_CON.]]</f>
        <v/>
      </c>
      <c r="T233" s="3">
        <f>TABL123[[#This Row],[(S/S) AJD]]+TABL123[[#This Row],[(T/B) AJD]]</f>
        <v/>
      </c>
      <c r="U233" s="44" t="n">
        <v>593</v>
      </c>
      <c r="V233" s="44" t="n">
        <v>288</v>
      </c>
      <c r="W233" s="3">
        <f>TABL123[[#This Row],[(A/B) AJD]]+TABL123[[#This Row],[(A/S) AJD]]</f>
        <v/>
      </c>
      <c r="X233" s="3">
        <f>TABL123[[#This Row],[( S/S+T/B) AJD]]-TABL123[[#This Row],[(A/B + A/S) AJD]]</f>
        <v/>
      </c>
      <c r="Y233" s="44" t="n">
        <v>92.38500000000001</v>
      </c>
      <c r="Z233" s="45" t="n">
        <v>428400</v>
      </c>
      <c r="AA233" s="3">
        <f>TABL123[[#This Row],[(RESV. STORGE) AJD]]/10</f>
        <v/>
      </c>
      <c r="AB233" s="45">
        <f>IF(TRIM(Z233)="",,(Z233-Z232)/1000)</f>
        <v/>
      </c>
      <c r="AC233" s="45" t="n">
        <v>3551</v>
      </c>
      <c r="AD233" s="83">
        <f>TABL123[[#This Row],[( S/S+T/B) AJD]]-(TABL123[[#This Row],[(A/B + A/S) AJD]]+TABL123[[#This Row],[(STORGE DIFF.) AJD]]+(TABL123[[#This Row],[AJD_Evaporation]])/1000)</f>
        <v/>
      </c>
      <c r="AE233" s="68" t="n">
        <v>96</v>
      </c>
      <c r="AF233" s="68" t="n">
        <v>59.218</v>
      </c>
      <c r="AG233" s="68" t="n">
        <v>1768035</v>
      </c>
      <c r="AH233" s="45" t="n">
        <v>3023</v>
      </c>
      <c r="AI233" s="45" t="n">
        <v>3023</v>
      </c>
      <c r="AJ233" s="78">
        <f>TABL123[[#This Row],[(A/B) AJD]]-TABL123[[#This Row],[BER_IN]]</f>
        <v/>
      </c>
      <c r="AK233" s="68" t="n">
        <v>74</v>
      </c>
      <c r="AL233" s="87" t="n">
        <v>43.512</v>
      </c>
      <c r="AM233" s="87" t="n">
        <v>3384593</v>
      </c>
      <c r="AN233" s="87">
        <f>TABL123[[#This Row],[ (RESV. STORGE) SER]]/10</f>
        <v/>
      </c>
      <c r="AO233" s="45" t="n">
        <v>1938</v>
      </c>
      <c r="AP233" s="32">
        <f>TABL123[[#This Row],[(A/S) AJD]]-TABL123[[#This Row],[SER_IN]]</f>
        <v/>
      </c>
    </row>
    <row r="234" ht="18.75" customHeight="1">
      <c r="A234" s="2" t="n">
        <v>46255</v>
      </c>
      <c r="B234" s="41" t="n">
        <v>46</v>
      </c>
      <c r="C234" s="41" t="n">
        <v>287</v>
      </c>
      <c r="D234" s="41">
        <f>B234</f>
        <v/>
      </c>
      <c r="E234" s="28" t="n"/>
      <c r="F234" s="41" t="n">
        <v>89</v>
      </c>
      <c r="G234" s="39" t="n">
        <v>597</v>
      </c>
      <c r="H234" s="28">
        <f>103-F234</f>
        <v/>
      </c>
      <c r="I234" s="39" t="n">
        <v>275</v>
      </c>
      <c r="J234" s="39" t="n">
        <v>240</v>
      </c>
      <c r="K234" s="28">
        <f>TABL123[[#This Row],[ (T/B) SAR]]+TABL123[[#This Row],[ (S/S) SAR]]</f>
        <v/>
      </c>
      <c r="L234" s="41" t="n">
        <v>300</v>
      </c>
      <c r="M234" s="42" t="n">
        <v>21.4</v>
      </c>
      <c r="N234" s="42" t="n">
        <v>7.42</v>
      </c>
      <c r="O234" s="39" t="n">
        <v>438</v>
      </c>
      <c r="P234" s="3">
        <f>TABL123[[#This Row],[ (S/S) SAR]]-TABL123[[#This Row],[(S/S) AJD]]</f>
        <v/>
      </c>
      <c r="Q234" s="39" t="n">
        <v>469</v>
      </c>
      <c r="R234" s="3">
        <f>TABL123[[#This Row],[ (T/B) SAR]]-TABL123[[#This Row],[(T/B) AJD]]</f>
        <v/>
      </c>
      <c r="S234" s="3">
        <f>TABL123[[#This Row],[T/B-CON.]]+TABL123[[#This Row],[S/S_CON.]]</f>
        <v/>
      </c>
      <c r="T234" s="3">
        <f>TABL123[[#This Row],[(S/S) AJD]]+TABL123[[#This Row],[(T/B) AJD]]</f>
        <v/>
      </c>
      <c r="U234" s="41" t="n">
        <v>521</v>
      </c>
      <c r="V234" s="41" t="n">
        <v>281</v>
      </c>
      <c r="W234" s="3">
        <f>TABL123[[#This Row],[(A/B) AJD]]+TABL123[[#This Row],[(A/S) AJD]]</f>
        <v/>
      </c>
      <c r="X234" s="3">
        <f>TABL123[[#This Row],[( S/S+T/B) AJD]]-TABL123[[#This Row],[(A/B + A/S) AJD]]</f>
        <v/>
      </c>
      <c r="Y234" s="41" t="n">
        <v>92.53400000000001</v>
      </c>
      <c r="Z234" s="43" t="n">
        <v>516875</v>
      </c>
      <c r="AA234" s="3">
        <f>TABL123[[#This Row],[(RESV. STORGE) AJD]]/10</f>
        <v/>
      </c>
      <c r="AB234" s="45">
        <f>IF(TRIM(Z234)="",,(Z234-Z233)/1000)</f>
        <v/>
      </c>
      <c r="AC234" s="43" t="n">
        <v>3971</v>
      </c>
      <c r="AD234" s="83">
        <f>TABL123[[#This Row],[( S/S+T/B) AJD]]-(TABL123[[#This Row],[(A/B + A/S) AJD]]+TABL123[[#This Row],[(STORGE DIFF.) AJD]]+(TABL123[[#This Row],[AJD_Evaporation]])/1000)</f>
        <v/>
      </c>
      <c r="AE234" s="68" t="n">
        <v>82</v>
      </c>
      <c r="AF234" s="68" t="n">
        <v>59.207</v>
      </c>
      <c r="AG234" s="68" t="n">
        <v>1760496</v>
      </c>
      <c r="AH234" s="43" t="n">
        <v>3138</v>
      </c>
      <c r="AI234" s="43" t="n">
        <v>3138</v>
      </c>
      <c r="AJ234" s="78">
        <f>TABL123[[#This Row],[(A/B) AJD]]-TABL123[[#This Row],[BER_IN]]</f>
        <v/>
      </c>
      <c r="AK234" s="68" t="n">
        <v>45</v>
      </c>
      <c r="AL234" s="87" t="n">
        <v>43.3795</v>
      </c>
      <c r="AM234" s="87" t="n">
        <v>3313880</v>
      </c>
      <c r="AN234" s="87">
        <f>TABL123[[#This Row],[ (RESV. STORGE) SER]]/10</f>
        <v/>
      </c>
      <c r="AO234" s="43" t="n">
        <v>1913</v>
      </c>
      <c r="AP234" s="32">
        <f>TABL123[[#This Row],[(A/S) AJD]]-TABL123[[#This Row],[SER_IN]]</f>
        <v/>
      </c>
    </row>
    <row r="235" ht="18.75" customHeight="1">
      <c r="A235" s="2" t="n">
        <v>46256</v>
      </c>
      <c r="B235" s="44" t="n">
        <v>46</v>
      </c>
      <c r="C235" s="44" t="n">
        <v>300</v>
      </c>
      <c r="D235" s="44">
        <f>B235</f>
        <v/>
      </c>
      <c r="E235" s="28" t="n"/>
      <c r="F235" s="44" t="n">
        <v>88</v>
      </c>
      <c r="G235" s="40" t="n">
        <v>524</v>
      </c>
      <c r="H235" s="28">
        <f>103-F235</f>
        <v/>
      </c>
      <c r="I235" s="40" t="n">
        <v>261</v>
      </c>
      <c r="J235" s="44" t="n">
        <v>250</v>
      </c>
      <c r="K235" s="28">
        <f>TABL123[[#This Row],[ (T/B) SAR]]+TABL123[[#This Row],[ (S/S) SAR]]</f>
        <v/>
      </c>
      <c r="L235" s="45" t="n">
        <v>285</v>
      </c>
      <c r="M235" s="46" t="n">
        <v>20.4</v>
      </c>
      <c r="N235" s="46" t="n">
        <v>7.47</v>
      </c>
      <c r="O235" s="40" t="n">
        <v>330</v>
      </c>
      <c r="P235" s="3">
        <f>TABL123[[#This Row],[ (S/S) SAR]]-TABL123[[#This Row],[(S/S) AJD]]</f>
        <v/>
      </c>
      <c r="Q235" s="40" t="n">
        <v>359</v>
      </c>
      <c r="R235" s="3">
        <f>TABL123[[#This Row],[ (T/B) SAR]]-TABL123[[#This Row],[(T/B) AJD]]</f>
        <v/>
      </c>
      <c r="S235" s="3">
        <f>TABL123[[#This Row],[T/B-CON.]]+TABL123[[#This Row],[S/S_CON.]]</f>
        <v/>
      </c>
      <c r="T235" s="3">
        <f>TABL123[[#This Row],[(S/S) AJD]]+TABL123[[#This Row],[(T/B) AJD]]</f>
        <v/>
      </c>
      <c r="U235" s="44" t="n">
        <v>489</v>
      </c>
      <c r="V235" s="44" t="n">
        <v>211</v>
      </c>
      <c r="W235" s="3">
        <f>TABL123[[#This Row],[(A/B) AJD]]+TABL123[[#This Row],[(A/S) AJD]]</f>
        <v/>
      </c>
      <c r="X235" s="3">
        <f>TABL123[[#This Row],[( S/S+T/B) AJD]]-TABL123[[#This Row],[(A/B + A/S) AJD]]</f>
        <v/>
      </c>
      <c r="Y235" s="44" t="n">
        <v>92.44199999999999</v>
      </c>
      <c r="Z235" s="45" t="n">
        <v>462090</v>
      </c>
      <c r="AA235" s="3">
        <f>TABL123[[#This Row],[(RESV. STORGE) AJD]]/10</f>
        <v/>
      </c>
      <c r="AB235" s="45">
        <f>IF(TRIM(Z235)="",,(Z235-Z234)/1000)</f>
        <v/>
      </c>
      <c r="AC235" s="45" t="n">
        <v>4016</v>
      </c>
      <c r="AD235" s="83">
        <f>TABL123[[#This Row],[( S/S+T/B) AJD]]-(TABL123[[#This Row],[(A/B + A/S) AJD]]+TABL123[[#This Row],[(STORGE DIFF.) AJD]]+(TABL123[[#This Row],[AJD_Evaporation]])/1000)</f>
        <v/>
      </c>
      <c r="AE235" s="68" t="n">
        <v>45</v>
      </c>
      <c r="AF235" s="68" t="n">
        <v>59.138</v>
      </c>
      <c r="AG235" s="68" t="n">
        <v>1714910</v>
      </c>
      <c r="AH235" s="45" t="n">
        <v>3356</v>
      </c>
      <c r="AI235" s="45" t="n">
        <v>3356</v>
      </c>
      <c r="AJ235" s="78">
        <f>TABL123[[#This Row],[(A/B) AJD]]-TABL123[[#This Row],[BER_IN]]</f>
        <v/>
      </c>
      <c r="AK235" s="68" t="n">
        <v>0</v>
      </c>
      <c r="AL235" s="87" t="n">
        <v>43.2033</v>
      </c>
      <c r="AM235" s="87" t="n">
        <v>3218240</v>
      </c>
      <c r="AN235" s="87">
        <f>TABL123[[#This Row],[ (RESV. STORGE) SER]]/10</f>
        <v/>
      </c>
      <c r="AO235" s="45" t="n">
        <v>3356</v>
      </c>
      <c r="AP235" s="32">
        <f>TABL123[[#This Row],[(A/S) AJD]]-TABL123[[#This Row],[SER_IN]]</f>
        <v/>
      </c>
    </row>
    <row r="236" ht="18.75" customHeight="1">
      <c r="A236" s="2" t="n">
        <v>46257</v>
      </c>
      <c r="B236" s="41" t="n">
        <v>46</v>
      </c>
      <c r="C236" s="41" t="n">
        <v>272</v>
      </c>
      <c r="D236" s="41">
        <f>B236</f>
        <v/>
      </c>
      <c r="E236" s="28" t="n"/>
      <c r="F236" s="41" t="n">
        <v>88</v>
      </c>
      <c r="G236" s="39" t="n">
        <v>524</v>
      </c>
      <c r="H236" s="28">
        <f>103-F236</f>
        <v/>
      </c>
      <c r="I236" s="39" t="n">
        <v>453</v>
      </c>
      <c r="J236" s="39" t="n">
        <v>440</v>
      </c>
      <c r="K236" s="28">
        <f>TABL123[[#This Row],[ (T/B) SAR]]+TABL123[[#This Row],[ (S/S) SAR]]</f>
        <v/>
      </c>
      <c r="L236" s="41" t="n">
        <v>280</v>
      </c>
      <c r="M236" s="42" t="n">
        <v>20.4</v>
      </c>
      <c r="N236" s="42" t="n">
        <v>7.28</v>
      </c>
      <c r="O236" s="39" t="n">
        <v>299</v>
      </c>
      <c r="P236" s="3">
        <f>TABL123[[#This Row],[ (S/S) SAR]]-TABL123[[#This Row],[(S/S) AJD]]</f>
        <v/>
      </c>
      <c r="Q236" s="39" t="n">
        <v>325</v>
      </c>
      <c r="R236" s="3">
        <f>TABL123[[#This Row],[ (T/B) SAR]]-TABL123[[#This Row],[(T/B) AJD]]</f>
        <v/>
      </c>
      <c r="S236" s="3">
        <f>TABL123[[#This Row],[T/B-CON.]]+TABL123[[#This Row],[S/S_CON.]]</f>
        <v/>
      </c>
      <c r="T236" s="3">
        <f>TABL123[[#This Row],[(S/S) AJD]]+TABL123[[#This Row],[(T/B) AJD]]</f>
        <v/>
      </c>
      <c r="U236" s="41" t="n">
        <v>467</v>
      </c>
      <c r="V236" s="41" t="n">
        <v>232</v>
      </c>
      <c r="W236" s="3">
        <f>TABL123[[#This Row],[(A/B) AJD]]+TABL123[[#This Row],[(A/S) AJD]]</f>
        <v/>
      </c>
      <c r="X236" s="3">
        <f>TABL123[[#This Row],[( S/S+T/B) AJD]]-TABL123[[#This Row],[(A/B + A/S) AJD]]</f>
        <v/>
      </c>
      <c r="Y236" s="41" t="n">
        <v>92.27</v>
      </c>
      <c r="Z236" s="43" t="n">
        <v>359834</v>
      </c>
      <c r="AA236" s="3">
        <f>TABL123[[#This Row],[(RESV. STORGE) AJD]]/10</f>
        <v/>
      </c>
      <c r="AB236" s="45">
        <f>IF(TRIM(Z236)="",,(Z236-Z235)/1000)</f>
        <v/>
      </c>
      <c r="AC236" s="43" t="n">
        <v>3480</v>
      </c>
      <c r="AD236" s="83">
        <f>TABL123[[#This Row],[( S/S+T/B) AJD]]-(TABL123[[#This Row],[(A/B + A/S) AJD]]+TABL123[[#This Row],[(STORGE DIFF.) AJD]]+(TABL123[[#This Row],[AJD_Evaporation]])/1000)</f>
        <v/>
      </c>
      <c r="AE236" s="68" t="n">
        <v>48</v>
      </c>
      <c r="AF236" s="68" t="n">
        <v>59.09</v>
      </c>
      <c r="AG236" s="68" t="n">
        <v>1683102</v>
      </c>
      <c r="AH236" s="43" t="n">
        <v>3209</v>
      </c>
      <c r="AI236" s="43" t="n">
        <v>3209</v>
      </c>
      <c r="AJ236" s="78">
        <f>TABL123[[#This Row],[(A/B) AJD]]-TABL123[[#This Row],[BER_IN]]</f>
        <v/>
      </c>
      <c r="AK236" s="68" t="n">
        <v>0</v>
      </c>
      <c r="AL236" s="87" t="n">
        <v>43.1341</v>
      </c>
      <c r="AM236" s="87" t="n">
        <v>3180790</v>
      </c>
      <c r="AN236" s="87">
        <f>TABL123[[#This Row],[ (RESV. STORGE) SER]]/10</f>
        <v/>
      </c>
      <c r="AO236" s="43" t="n">
        <v>1850</v>
      </c>
      <c r="AP236" s="32">
        <f>TABL123[[#This Row],[(A/S) AJD]]-TABL123[[#This Row],[SER_IN]]</f>
        <v/>
      </c>
    </row>
    <row r="237" ht="18.75" customHeight="1">
      <c r="A237" s="2" t="n">
        <v>46258</v>
      </c>
      <c r="B237" s="44" t="n">
        <v>46</v>
      </c>
      <c r="C237" s="44" t="n">
        <v>378</v>
      </c>
      <c r="D237" s="44">
        <f>B237</f>
        <v/>
      </c>
      <c r="E237" s="28" t="n"/>
      <c r="F237" s="44" t="n">
        <v>93</v>
      </c>
      <c r="G237" s="40" t="n">
        <v>617</v>
      </c>
      <c r="H237" s="28">
        <f>103-F237</f>
        <v/>
      </c>
      <c r="I237" s="40" t="n">
        <v>497</v>
      </c>
      <c r="J237" s="44" t="n">
        <v>485</v>
      </c>
      <c r="K237" s="28">
        <f>TABL123[[#This Row],[ (T/B) SAR]]+TABL123[[#This Row],[ (S/S) SAR]]</f>
        <v/>
      </c>
      <c r="L237" s="45" t="n">
        <v>348</v>
      </c>
      <c r="M237" s="46" t="n">
        <v>24.6</v>
      </c>
      <c r="N237" s="46" t="n">
        <v>7.7</v>
      </c>
      <c r="O237" s="40" t="n">
        <v>335</v>
      </c>
      <c r="P237" s="3">
        <f>TABL123[[#This Row],[ (S/S) SAR]]-TABL123[[#This Row],[(S/S) AJD]]</f>
        <v/>
      </c>
      <c r="Q237" s="40" t="n">
        <v>363</v>
      </c>
      <c r="R237" s="3">
        <f>TABL123[[#This Row],[ (T/B) SAR]]-TABL123[[#This Row],[(T/B) AJD]]</f>
        <v/>
      </c>
      <c r="S237" s="3">
        <f>TABL123[[#This Row],[T/B-CON.]]+TABL123[[#This Row],[S/S_CON.]]</f>
        <v/>
      </c>
      <c r="T237" s="3">
        <f>TABL123[[#This Row],[(S/S) AJD]]+TABL123[[#This Row],[(T/B) AJD]]</f>
        <v/>
      </c>
      <c r="U237" s="44" t="n">
        <v>517</v>
      </c>
      <c r="V237" s="44" t="n">
        <v>249</v>
      </c>
      <c r="W237" s="3">
        <f>TABL123[[#This Row],[(A/B) AJD]]+TABL123[[#This Row],[(A/S) AJD]]</f>
        <v/>
      </c>
      <c r="X237" s="3">
        <f>TABL123[[#This Row],[( S/S+T/B) AJD]]-TABL123[[#This Row],[(A/B + A/S) AJD]]</f>
        <v/>
      </c>
      <c r="Y237" s="44" t="n">
        <v>92.113</v>
      </c>
      <c r="Z237" s="45" t="n">
        <v>266714</v>
      </c>
      <c r="AA237" s="3">
        <f>TABL123[[#This Row],[(RESV. STORGE) AJD]]/10</f>
        <v/>
      </c>
      <c r="AB237" s="45">
        <f>IF(TRIM(Z237)="",,(Z237-Z236)/1000)</f>
        <v/>
      </c>
      <c r="AC237" s="45" t="n">
        <v>2970</v>
      </c>
      <c r="AD237" s="83">
        <f>TABL123[[#This Row],[( S/S+T/B) AJD]]-(TABL123[[#This Row],[(A/B + A/S) AJD]]+TABL123[[#This Row],[(STORGE DIFF.) AJD]]+(TABL123[[#This Row],[AJD_Evaporation]])/1000)</f>
        <v/>
      </c>
      <c r="AE237" s="68" t="n">
        <v>45</v>
      </c>
      <c r="AF237" s="68" t="n">
        <v>59.002</v>
      </c>
      <c r="AG237" s="68" t="n">
        <v>1625441</v>
      </c>
      <c r="AH237" s="45" t="n">
        <v>2981</v>
      </c>
      <c r="AI237" s="45" t="n">
        <v>2981</v>
      </c>
      <c r="AJ237" s="78">
        <f>TABL123[[#This Row],[(A/B) AJD]]-TABL123[[#This Row],[BER_IN]]</f>
        <v/>
      </c>
      <c r="AK237" s="68" t="n">
        <v>0</v>
      </c>
      <c r="AL237" s="87" t="n">
        <v>43.0956</v>
      </c>
      <c r="AM237" s="87" t="n">
        <v>3160200</v>
      </c>
      <c r="AN237" s="87">
        <f>TABL123[[#This Row],[ (RESV. STORGE) SER]]/10</f>
        <v/>
      </c>
      <c r="AO237" s="45" t="n">
        <v>1890</v>
      </c>
      <c r="AP237" s="32">
        <f>TABL123[[#This Row],[(A/S) AJD]]-TABL123[[#This Row],[SER_IN]]</f>
        <v/>
      </c>
    </row>
    <row r="238" ht="18.75" customHeight="1">
      <c r="A238" s="2" t="n">
        <v>46259</v>
      </c>
      <c r="B238" s="41" t="n">
        <v>47</v>
      </c>
      <c r="C238" s="41" t="n">
        <v>383</v>
      </c>
      <c r="D238" s="41">
        <f>B238</f>
        <v/>
      </c>
      <c r="E238" s="28" t="n"/>
      <c r="F238" s="41" t="n">
        <v>93</v>
      </c>
      <c r="G238" s="39" t="n">
        <v>617</v>
      </c>
      <c r="H238" s="28">
        <f>103-F238</f>
        <v/>
      </c>
      <c r="I238" s="39" t="n">
        <v>527</v>
      </c>
      <c r="J238" s="39" t="n">
        <v>512</v>
      </c>
      <c r="K238" s="28">
        <f>TABL123[[#This Row],[ (T/B) SAR]]+TABL123[[#This Row],[ (S/S) SAR]]</f>
        <v/>
      </c>
      <c r="L238" s="41" t="n">
        <v>395</v>
      </c>
      <c r="M238" s="42" t="n">
        <v>27.1</v>
      </c>
      <c r="N238" s="42" t="n">
        <v>7.76</v>
      </c>
      <c r="O238" s="39" t="n">
        <v>400</v>
      </c>
      <c r="P238" s="3">
        <f>TABL123[[#This Row],[ (S/S) SAR]]-TABL123[[#This Row],[(S/S) AJD]]</f>
        <v/>
      </c>
      <c r="Q238" s="39" t="n">
        <v>431</v>
      </c>
      <c r="R238" s="3">
        <f>TABL123[[#This Row],[ (T/B) SAR]]-TABL123[[#This Row],[(T/B) AJD]]</f>
        <v/>
      </c>
      <c r="S238" s="3">
        <f>TABL123[[#This Row],[T/B-CON.]]+TABL123[[#This Row],[S/S_CON.]]</f>
        <v/>
      </c>
      <c r="T238" s="3">
        <f>TABL123[[#This Row],[(S/S) AJD]]+TABL123[[#This Row],[(T/B) AJD]]</f>
        <v/>
      </c>
      <c r="U238" s="41" t="n">
        <v>464</v>
      </c>
      <c r="V238" s="41" t="n">
        <v>249</v>
      </c>
      <c r="W238" s="3">
        <f>TABL123[[#This Row],[(A/B) AJD]]+TABL123[[#This Row],[(A/S) AJD]]</f>
        <v/>
      </c>
      <c r="X238" s="3">
        <f>TABL123[[#This Row],[( S/S+T/B) AJD]]-TABL123[[#This Row],[(A/B + A/S) AJD]]</f>
        <v/>
      </c>
      <c r="Y238" s="41" t="n">
        <v>92.29300000000001</v>
      </c>
      <c r="Z238" s="43" t="n">
        <v>373495</v>
      </c>
      <c r="AA238" s="3">
        <f>TABL123[[#This Row],[(RESV. STORGE) AJD]]/10</f>
        <v/>
      </c>
      <c r="AB238" s="45">
        <f>IF(TRIM(Z238)="",,(Z238-Z237)/1000)</f>
        <v/>
      </c>
      <c r="AC238" s="43" t="n">
        <v>3093</v>
      </c>
      <c r="AD238" s="83">
        <f>TABL123[[#This Row],[( S/S+T/B) AJD]]-(TABL123[[#This Row],[(A/B + A/S) AJD]]+TABL123[[#This Row],[(STORGE DIFF.) AJD]]+(TABL123[[#This Row],[AJD_Evaporation]])/1000)</f>
        <v/>
      </c>
      <c r="AE238" s="68" t="n">
        <v>45</v>
      </c>
      <c r="AF238" s="68" t="n">
        <v>58.915</v>
      </c>
      <c r="AG238" s="68" t="n">
        <v>1567563</v>
      </c>
      <c r="AH238" s="43" t="n">
        <v>3197</v>
      </c>
      <c r="AI238" s="43" t="n">
        <v>3197</v>
      </c>
      <c r="AJ238" s="78">
        <f>TABL123[[#This Row],[(A/B) AJD]]-TABL123[[#This Row],[BER_IN]]</f>
        <v/>
      </c>
      <c r="AK238" s="68" t="n">
        <v>0</v>
      </c>
      <c r="AL238" s="87" t="n">
        <v>43.0502</v>
      </c>
      <c r="AM238" s="87" t="n">
        <v>3134740</v>
      </c>
      <c r="AN238" s="87">
        <f>TABL123[[#This Row],[ (RESV. STORGE) SER]]/10</f>
        <v/>
      </c>
      <c r="AO238" s="43" t="n">
        <v>1860</v>
      </c>
      <c r="AP238" s="32">
        <f>TABL123[[#This Row],[(A/S) AJD]]-TABL123[[#This Row],[SER_IN]]</f>
        <v/>
      </c>
    </row>
    <row r="239" ht="18.75" customHeight="1">
      <c r="A239" s="2" t="n">
        <v>46260</v>
      </c>
      <c r="B239" s="44" t="n">
        <v>47</v>
      </c>
      <c r="C239" s="44" t="n">
        <v>390</v>
      </c>
      <c r="D239" s="44">
        <f>B239</f>
        <v/>
      </c>
      <c r="E239" s="28" t="n"/>
      <c r="F239" s="44" t="n">
        <v>93</v>
      </c>
      <c r="G239" s="40" t="n">
        <v>617</v>
      </c>
      <c r="H239" s="28">
        <f>103-F239</f>
        <v/>
      </c>
      <c r="I239" s="40" t="n">
        <v>534</v>
      </c>
      <c r="J239" s="44" t="n">
        <v>520</v>
      </c>
      <c r="K239" s="28">
        <f>TABL123[[#This Row],[ (T/B) SAR]]+TABL123[[#This Row],[ (S/S) SAR]]</f>
        <v/>
      </c>
      <c r="L239" s="45" t="n">
        <v>413</v>
      </c>
      <c r="M239" s="46" t="n">
        <v>28</v>
      </c>
      <c r="N239" s="46" t="n">
        <v>7.8</v>
      </c>
      <c r="O239" s="40" t="n">
        <v>430</v>
      </c>
      <c r="P239" s="3">
        <f>TABL123[[#This Row],[ (S/S) SAR]]-TABL123[[#This Row],[(S/S) AJD]]</f>
        <v/>
      </c>
      <c r="Q239" s="40" t="n">
        <v>463</v>
      </c>
      <c r="R239" s="3">
        <f>TABL123[[#This Row],[ (T/B) SAR]]-TABL123[[#This Row],[(T/B) AJD]]</f>
        <v/>
      </c>
      <c r="S239" s="3">
        <f>TABL123[[#This Row],[T/B-CON.]]+TABL123[[#This Row],[S/S_CON.]]</f>
        <v/>
      </c>
      <c r="T239" s="3">
        <f>TABL123[[#This Row],[(S/S) AJD]]+TABL123[[#This Row],[(T/B) AJD]]</f>
        <v/>
      </c>
      <c r="U239" s="44" t="n">
        <v>514</v>
      </c>
      <c r="V239" s="44" t="n">
        <v>248</v>
      </c>
      <c r="W239" s="3">
        <f>TABL123[[#This Row],[(A/B) AJD]]+TABL123[[#This Row],[(A/S) AJD]]</f>
        <v/>
      </c>
      <c r="X239" s="3">
        <f>TABL123[[#This Row],[( S/S+T/B) AJD]]-TABL123[[#This Row],[(A/B + A/S) AJD]]</f>
        <v/>
      </c>
      <c r="Y239" s="44" t="n">
        <v>92.452</v>
      </c>
      <c r="Z239" s="45" t="n">
        <v>458044</v>
      </c>
      <c r="AA239" s="3">
        <f>TABL123[[#This Row],[(RESV. STORGE) AJD]]/10</f>
        <v/>
      </c>
      <c r="AB239" s="45">
        <f>IF(TRIM(Z239)="",,(Z239-Z238)/1000)</f>
        <v/>
      </c>
      <c r="AC239" s="45" t="n">
        <v>2783</v>
      </c>
      <c r="AD239" s="83">
        <f>TABL123[[#This Row],[( S/S+T/B) AJD]]-(TABL123[[#This Row],[(A/B + A/S) AJD]]+TABL123[[#This Row],[(STORGE DIFF.) AJD]]+(TABL123[[#This Row],[AJD_Evaporation]])/1000)</f>
        <v/>
      </c>
      <c r="AE239" s="68" t="n">
        <v>45</v>
      </c>
      <c r="AF239" s="68" t="n">
        <v>58.83</v>
      </c>
      <c r="AG239" s="68" t="n">
        <v>1511540</v>
      </c>
      <c r="AH239" s="45" t="n">
        <v>3343</v>
      </c>
      <c r="AI239" s="45" t="n">
        <v>3343</v>
      </c>
      <c r="AJ239" s="78">
        <f>TABL123[[#This Row],[(A/B) AJD]]-TABL123[[#This Row],[BER_IN]]</f>
        <v/>
      </c>
      <c r="AK239" s="68" t="n">
        <v>0</v>
      </c>
      <c r="AL239" s="87" t="n">
        <v>43.0426</v>
      </c>
      <c r="AM239" s="87" t="n">
        <v>3131220</v>
      </c>
      <c r="AN239" s="87">
        <f>TABL123[[#This Row],[ (RESV. STORGE) SER]]/10</f>
        <v/>
      </c>
      <c r="AO239" s="45" t="n">
        <v>1820</v>
      </c>
      <c r="AP239" s="32">
        <f>TABL123[[#This Row],[(A/S) AJD]]-TABL123[[#This Row],[SER_IN]]</f>
        <v/>
      </c>
    </row>
    <row r="240" ht="18.75" customHeight="1">
      <c r="A240" s="2" t="n">
        <v>46261</v>
      </c>
      <c r="B240" s="41" t="n">
        <v>45</v>
      </c>
      <c r="C240" s="41" t="n">
        <v>374</v>
      </c>
      <c r="D240" s="41">
        <f>B240</f>
        <v/>
      </c>
      <c r="E240" s="28" t="n"/>
      <c r="F240" s="41" t="n">
        <v>93</v>
      </c>
      <c r="G240" s="39" t="n">
        <v>617</v>
      </c>
      <c r="H240" s="28">
        <f>103-F240</f>
        <v/>
      </c>
      <c r="I240" s="39" t="n">
        <v>534</v>
      </c>
      <c r="J240" s="39" t="n">
        <v>520</v>
      </c>
      <c r="K240" s="28">
        <f>TABL123[[#This Row],[ (T/B) SAR]]+TABL123[[#This Row],[ (S/S) SAR]]</f>
        <v/>
      </c>
      <c r="L240" s="41" t="n">
        <v>416</v>
      </c>
      <c r="M240" s="42" t="n">
        <v>28.9</v>
      </c>
      <c r="N240" s="42" t="n">
        <v>7.68</v>
      </c>
      <c r="O240" s="39" t="n">
        <v>438</v>
      </c>
      <c r="P240" s="3">
        <f>TABL123[[#This Row],[ (S/S) SAR]]-TABL123[[#This Row],[(S/S) AJD]]</f>
        <v/>
      </c>
      <c r="Q240" s="39" t="n">
        <v>470</v>
      </c>
      <c r="R240" s="3">
        <f>TABL123[[#This Row],[ (T/B) SAR]]-TABL123[[#This Row],[(T/B) AJD]]</f>
        <v/>
      </c>
      <c r="S240" s="3">
        <f>TABL123[[#This Row],[T/B-CON.]]+TABL123[[#This Row],[S/S_CON.]]</f>
        <v/>
      </c>
      <c r="T240" s="3">
        <f>TABL123[[#This Row],[(S/S) AJD]]+TABL123[[#This Row],[(T/B) AJD]]</f>
        <v/>
      </c>
      <c r="U240" s="41" t="n">
        <v>537</v>
      </c>
      <c r="V240" s="41" t="n">
        <v>247</v>
      </c>
      <c r="W240" s="3">
        <f>TABL123[[#This Row],[(A/B) AJD]]+TABL123[[#This Row],[(A/S) AJD]]</f>
        <v/>
      </c>
      <c r="X240" s="3">
        <f>TABL123[[#This Row],[( S/S+T/B) AJD]]-TABL123[[#This Row],[(A/B + A/S) AJD]]</f>
        <v/>
      </c>
      <c r="Y240" s="41" t="n">
        <v>92.64700000000001</v>
      </c>
      <c r="Z240" s="43" t="n">
        <v>582271</v>
      </c>
      <c r="AA240" s="3">
        <f>TABL123[[#This Row],[(RESV. STORGE) AJD]]/10</f>
        <v/>
      </c>
      <c r="AB240" s="45">
        <f>IF(TRIM(Z240)="",,(Z240-Z239)/1000)</f>
        <v/>
      </c>
      <c r="AC240" s="43" t="n">
        <v>2933</v>
      </c>
      <c r="AD240" s="83">
        <f>TABL123[[#This Row],[( S/S+T/B) AJD]]-(TABL123[[#This Row],[(A/B + A/S) AJD]]+TABL123[[#This Row],[(STORGE DIFF.) AJD]]+(TABL123[[#This Row],[AJD_Evaporation]])/1000)</f>
        <v/>
      </c>
      <c r="AE240" s="68" t="n">
        <v>45</v>
      </c>
      <c r="AF240" s="68" t="n">
        <v>58.727</v>
      </c>
      <c r="AG240" s="68" t="n">
        <v>1473348</v>
      </c>
      <c r="AH240" s="43" t="n">
        <v>3512</v>
      </c>
      <c r="AI240" s="43" t="n">
        <v>3512</v>
      </c>
      <c r="AJ240" s="78">
        <f>TABL123[[#This Row],[(A/B) AJD]]-TABL123[[#This Row],[BER_IN]]</f>
        <v/>
      </c>
      <c r="AK240" s="68" t="n">
        <v>12</v>
      </c>
      <c r="AL240" s="87" t="n">
        <v>43.0494</v>
      </c>
      <c r="AM240" s="87" t="n">
        <v>3134730</v>
      </c>
      <c r="AN240" s="87">
        <f>TABL123[[#This Row],[ (RESV. STORGE) SER]]/10</f>
        <v/>
      </c>
      <c r="AO240" s="43" t="n">
        <v>1890</v>
      </c>
      <c r="AP240" s="32">
        <f>TABL123[[#This Row],[(A/S) AJD]]-TABL123[[#This Row],[SER_IN]]</f>
        <v/>
      </c>
    </row>
    <row r="241" ht="18.75" customHeight="1">
      <c r="A241" s="2" t="n">
        <v>46262</v>
      </c>
      <c r="B241" s="44" t="n">
        <v>45</v>
      </c>
      <c r="C241" s="44" t="n">
        <v>367</v>
      </c>
      <c r="D241" s="44">
        <f>B241</f>
        <v/>
      </c>
      <c r="E241" s="28" t="n"/>
      <c r="F241" s="44" t="n">
        <v>93</v>
      </c>
      <c r="G241" s="40" t="n">
        <v>617</v>
      </c>
      <c r="H241" s="28">
        <f>103-F241</f>
        <v/>
      </c>
      <c r="I241" s="40" t="n">
        <v>535</v>
      </c>
      <c r="J241" s="44" t="n">
        <v>523</v>
      </c>
      <c r="K241" s="28">
        <f>TABL123[[#This Row],[ (T/B) SAR]]+TABL123[[#This Row],[ (S/S) SAR]]</f>
        <v/>
      </c>
      <c r="L241" s="45" t="n">
        <v>420</v>
      </c>
      <c r="M241" s="46" t="n">
        <v>28.9</v>
      </c>
      <c r="N241" s="46" t="n">
        <v>7.53</v>
      </c>
      <c r="O241" s="40" t="n">
        <v>438</v>
      </c>
      <c r="P241" s="3">
        <f>TABL123[[#This Row],[ (S/S) SAR]]-TABL123[[#This Row],[(S/S) AJD]]</f>
        <v/>
      </c>
      <c r="Q241" s="40" t="n">
        <v>473</v>
      </c>
      <c r="R241" s="3">
        <f>TABL123[[#This Row],[ (T/B) SAR]]-TABL123[[#This Row],[(T/B) AJD]]</f>
        <v/>
      </c>
      <c r="S241" s="3">
        <f>TABL123[[#This Row],[T/B-CON.]]+TABL123[[#This Row],[S/S_CON.]]</f>
        <v/>
      </c>
      <c r="T241" s="3">
        <f>TABL123[[#This Row],[(S/S) AJD]]+TABL123[[#This Row],[(T/B) AJD]]</f>
        <v/>
      </c>
      <c r="U241" s="44" t="n">
        <v>542</v>
      </c>
      <c r="V241" s="44" t="n">
        <v>272</v>
      </c>
      <c r="W241" s="3">
        <f>TABL123[[#This Row],[(A/B) AJD]]+TABL123[[#This Row],[(A/S) AJD]]</f>
        <v/>
      </c>
      <c r="X241" s="3">
        <f>TABL123[[#This Row],[( S/S+T/B) AJD]]-TABL123[[#This Row],[(A/B + A/S) AJD]]</f>
        <v/>
      </c>
      <c r="Y241" s="44" t="n">
        <v>92.717</v>
      </c>
      <c r="Z241" s="45" t="n">
        <v>626082</v>
      </c>
      <c r="AA241" s="3">
        <f>TABL123[[#This Row],[(RESV. STORGE) AJD]]/10</f>
        <v/>
      </c>
      <c r="AB241" s="45">
        <f>IF(TRIM(Z241)="",,(Z241-Z240)/1000)</f>
        <v/>
      </c>
      <c r="AC241" s="45" t="n">
        <v>4558</v>
      </c>
      <c r="AD241" s="83">
        <f>TABL123[[#This Row],[( S/S+T/B) AJD]]-(TABL123[[#This Row],[(A/B + A/S) AJD]]+TABL123[[#This Row],[(STORGE DIFF.) AJD]]+(TABL123[[#This Row],[AJD_Evaporation]])/1000)</f>
        <v/>
      </c>
      <c r="AE241" s="68" t="n">
        <v>45</v>
      </c>
      <c r="AF241" s="68" t="n">
        <v>58.725</v>
      </c>
      <c r="AG241" s="68" t="n">
        <v>1442420</v>
      </c>
      <c r="AH241" s="45" t="n">
        <v>35790</v>
      </c>
      <c r="AI241" s="45" t="n">
        <v>35790</v>
      </c>
      <c r="AJ241" s="78">
        <f>TABL123[[#This Row],[(A/B) AJD]]-TABL123[[#This Row],[BER_IN]]</f>
        <v/>
      </c>
      <c r="AK241" s="68" t="n">
        <v>0</v>
      </c>
      <c r="AL241" s="87" t="n">
        <v>43.0077</v>
      </c>
      <c r="AM241" s="87" t="n">
        <v>3112500</v>
      </c>
      <c r="AN241" s="87">
        <f>TABL123[[#This Row],[ (RESV. STORGE) SER]]/10</f>
        <v/>
      </c>
      <c r="AO241" s="45" t="n">
        <v>1930</v>
      </c>
      <c r="AP241" s="32">
        <f>TABL123[[#This Row],[(A/S) AJD]]-TABL123[[#This Row],[SER_IN]]</f>
        <v/>
      </c>
    </row>
    <row r="242" ht="18.75" customHeight="1">
      <c r="A242" s="2" t="n">
        <v>46263</v>
      </c>
      <c r="B242" s="41" t="n">
        <v>44</v>
      </c>
      <c r="C242" s="41" t="n">
        <v>355</v>
      </c>
      <c r="D242" s="41">
        <f>B242</f>
        <v/>
      </c>
      <c r="E242" s="28" t="n"/>
      <c r="F242" s="41" t="n">
        <v>93</v>
      </c>
      <c r="G242" s="39" t="n">
        <v>617</v>
      </c>
      <c r="H242" s="28">
        <f>103-F242</f>
        <v/>
      </c>
      <c r="I242" s="39" t="n">
        <v>535</v>
      </c>
      <c r="J242" s="39" t="n">
        <v>521</v>
      </c>
      <c r="K242" s="28">
        <f>TABL123[[#This Row],[ (T/B) SAR]]+TABL123[[#This Row],[ (S/S) SAR]]</f>
        <v/>
      </c>
      <c r="L242" s="41" t="n">
        <v>417</v>
      </c>
      <c r="M242" s="42" t="n">
        <v>28.9</v>
      </c>
      <c r="N242" s="42" t="n">
        <v>7.38</v>
      </c>
      <c r="O242" s="39" t="n">
        <v>438</v>
      </c>
      <c r="P242" s="3">
        <f>TABL123[[#This Row],[ (S/S) SAR]]-TABL123[[#This Row],[(S/S) AJD]]</f>
        <v/>
      </c>
      <c r="Q242" s="39" t="n">
        <v>473</v>
      </c>
      <c r="R242" s="3">
        <f>TABL123[[#This Row],[ (T/B) SAR]]-TABL123[[#This Row],[(T/B) AJD]]</f>
        <v/>
      </c>
      <c r="S242" s="3">
        <f>TABL123[[#This Row],[T/B-CON.]]+TABL123[[#This Row],[S/S_CON.]]</f>
        <v/>
      </c>
      <c r="T242" s="3">
        <f>TABL123[[#This Row],[(S/S) AJD]]+TABL123[[#This Row],[(T/B) AJD]]</f>
        <v/>
      </c>
      <c r="U242" s="41" t="n">
        <v>549</v>
      </c>
      <c r="V242" s="41" t="n">
        <v>260</v>
      </c>
      <c r="W242" s="3">
        <f>TABL123[[#This Row],[(A/B) AJD]]+TABL123[[#This Row],[(A/S) AJD]]</f>
        <v/>
      </c>
      <c r="X242" s="3">
        <f>TABL123[[#This Row],[( S/S+T/B) AJD]]-TABL123[[#This Row],[(A/B + A/S) AJD]]</f>
        <v/>
      </c>
      <c r="Y242" s="41" t="n">
        <v>92.861</v>
      </c>
      <c r="Z242" s="43" t="n">
        <v>712200</v>
      </c>
      <c r="AA242" s="3">
        <f>TABL123[[#This Row],[(RESV. STORGE) AJD]]/10</f>
        <v/>
      </c>
      <c r="AB242" s="45">
        <f>IF(TRIM(Z242)="",,(Z242-Z241)/1000)</f>
        <v/>
      </c>
      <c r="AC242" s="43" t="n">
        <v>2766</v>
      </c>
      <c r="AD242" s="83">
        <f>TABL123[[#This Row],[( S/S+T/B) AJD]]-(TABL123[[#This Row],[(A/B + A/S) AJD]]+TABL123[[#This Row],[(STORGE DIFF.) AJD]]+(TABL123[[#This Row],[AJD_Evaporation]])/1000)</f>
        <v/>
      </c>
      <c r="AE242" s="68" t="n">
        <v>73</v>
      </c>
      <c r="AF242" s="68" t="n">
        <v>58.71</v>
      </c>
      <c r="AG242" s="68" t="n">
        <v>1432554</v>
      </c>
      <c r="AH242" s="43" t="n">
        <v>1386</v>
      </c>
      <c r="AI242" s="43" t="n">
        <v>1386</v>
      </c>
      <c r="AJ242" s="78">
        <f>TABL123[[#This Row],[(A/B) AJD]]-TABL123[[#This Row],[BER_IN]]</f>
        <v/>
      </c>
      <c r="AK242" s="68" t="n">
        <v>0</v>
      </c>
      <c r="AL242" s="87" t="n">
        <v>43.0027</v>
      </c>
      <c r="AM242" s="87" t="n">
        <v>3108990</v>
      </c>
      <c r="AN242" s="87">
        <f>TABL123[[#This Row],[ (RESV. STORGE) SER]]/10</f>
        <v/>
      </c>
      <c r="AO242" s="43" t="n">
        <v>1810</v>
      </c>
      <c r="AP242" s="32">
        <f>TABL123[[#This Row],[(A/S) AJD]]-TABL123[[#This Row],[SER_IN]]</f>
        <v/>
      </c>
    </row>
    <row r="243" ht="18.75" customHeight="1">
      <c r="A243" s="2" t="n">
        <v>46264</v>
      </c>
      <c r="B243" s="44" t="n">
        <v>44</v>
      </c>
      <c r="C243" s="44" t="n">
        <v>353</v>
      </c>
      <c r="D243" s="44">
        <f>B243</f>
        <v/>
      </c>
      <c r="E243" s="28" t="n"/>
      <c r="F243" s="44" t="n">
        <v>93</v>
      </c>
      <c r="G243" s="40" t="n">
        <v>617</v>
      </c>
      <c r="H243" s="28">
        <f>103-F243</f>
        <v/>
      </c>
      <c r="I243" s="40" t="n">
        <v>532</v>
      </c>
      <c r="J243" s="44" t="n">
        <v>510</v>
      </c>
      <c r="K243" s="28">
        <f>TABL123[[#This Row],[ (T/B) SAR]]+TABL123[[#This Row],[ (S/S) SAR]]</f>
        <v/>
      </c>
      <c r="L243" s="45" t="n">
        <v>412</v>
      </c>
      <c r="M243" s="46" t="n">
        <v>28.9</v>
      </c>
      <c r="N243" s="46" t="n">
        <v>7.23</v>
      </c>
      <c r="O243" s="40" t="n">
        <v>436</v>
      </c>
      <c r="P243" s="3">
        <f>TABL123[[#This Row],[ (S/S) SAR]]-TABL123[[#This Row],[(S/S) AJD]]</f>
        <v/>
      </c>
      <c r="Q243" s="40" t="n">
        <v>471</v>
      </c>
      <c r="R243" s="3">
        <f>TABL123[[#This Row],[ (T/B) SAR]]-TABL123[[#This Row],[(T/B) AJD]]</f>
        <v/>
      </c>
      <c r="S243" s="3">
        <f>TABL123[[#This Row],[T/B-CON.]]+TABL123[[#This Row],[S/S_CON.]]</f>
        <v/>
      </c>
      <c r="T243" s="3">
        <f>TABL123[[#This Row],[(S/S) AJD]]+TABL123[[#This Row],[(T/B) AJD]]</f>
        <v/>
      </c>
      <c r="U243" s="44" t="n">
        <v>572</v>
      </c>
      <c r="V243" s="44" t="n">
        <v>290</v>
      </c>
      <c r="W243" s="3">
        <f>TABL123[[#This Row],[(A/B) AJD]]+TABL123[[#This Row],[(A/S) AJD]]</f>
        <v/>
      </c>
      <c r="X243" s="3">
        <f>TABL123[[#This Row],[( S/S+T/B) AJD]]-TABL123[[#This Row],[(A/B + A/S) AJD]]</f>
        <v/>
      </c>
      <c r="Y243" s="44" t="n">
        <v>92.85599999999999</v>
      </c>
      <c r="Z243" s="45" t="n">
        <v>709220</v>
      </c>
      <c r="AA243" s="3">
        <f>TABL123[[#This Row],[(RESV. STORGE) AJD]]/10</f>
        <v/>
      </c>
      <c r="AB243" s="45">
        <f>IF(TRIM(Z243)="",,(Z243-Z242)/1000)</f>
        <v/>
      </c>
      <c r="AC243" s="45" t="n">
        <v>3687</v>
      </c>
      <c r="AD243" s="83">
        <f>TABL123[[#This Row],[( S/S+T/B) AJD]]-(TABL123[[#This Row],[(A/B + A/S) AJD]]+TABL123[[#This Row],[(STORGE DIFF.) AJD]]+(TABL123[[#This Row],[AJD_Evaporation]])/1000)</f>
        <v/>
      </c>
      <c r="AE243" s="68" t="n">
        <v>89</v>
      </c>
      <c r="AF243" s="68" t="n">
        <v>58.724</v>
      </c>
      <c r="AG243" s="68" t="n">
        <v>1441762</v>
      </c>
      <c r="AH243" s="45" t="n">
        <v>3431</v>
      </c>
      <c r="AI243" s="45" t="n">
        <v>3431</v>
      </c>
      <c r="AJ243" s="78">
        <f>TABL123[[#This Row],[(A/B) AJD]]-TABL123[[#This Row],[BER_IN]]</f>
        <v/>
      </c>
      <c r="AK243" s="68" t="n">
        <v>28</v>
      </c>
      <c r="AL243" s="87" t="n">
        <v>42.9835</v>
      </c>
      <c r="AM243" s="87" t="n">
        <v>3099020</v>
      </c>
      <c r="AN243" s="87">
        <f>TABL123[[#This Row],[ (RESV. STORGE) SER]]/10</f>
        <v/>
      </c>
      <c r="AO243" s="45" t="n">
        <v>1870</v>
      </c>
      <c r="AP243" s="32">
        <f>TABL123[[#This Row],[(A/S) AJD]]-TABL123[[#This Row],[SER_IN]]</f>
        <v/>
      </c>
    </row>
    <row r="244" ht="18.75" customHeight="1">
      <c r="A244" s="2" t="n">
        <v>46265</v>
      </c>
      <c r="B244" s="41" t="n">
        <v>43</v>
      </c>
      <c r="C244" s="41" t="n">
        <v>308</v>
      </c>
      <c r="D244" s="41">
        <f>B244</f>
        <v/>
      </c>
      <c r="E244" s="28" t="n"/>
      <c r="F244" s="41" t="n">
        <v>93</v>
      </c>
      <c r="G244" s="39" t="n">
        <v>617</v>
      </c>
      <c r="H244" s="28">
        <f>103-F244</f>
        <v/>
      </c>
      <c r="I244" s="39" t="n">
        <v>520</v>
      </c>
      <c r="J244" s="39" t="n">
        <v>506</v>
      </c>
      <c r="K244" s="28">
        <f>TABL123[[#This Row],[ (T/B) SAR]]+TABL123[[#This Row],[ (S/S) SAR]]</f>
        <v/>
      </c>
      <c r="L244" s="41" t="n">
        <v>395</v>
      </c>
      <c r="M244" s="42" t="n">
        <v>28.2</v>
      </c>
      <c r="N244" s="42" t="n">
        <v>7.19</v>
      </c>
      <c r="O244" s="39" t="n">
        <v>429</v>
      </c>
      <c r="P244" s="3">
        <f>TABL123[[#This Row],[ (S/S) SAR]]-TABL123[[#This Row],[(S/S) AJD]]</f>
        <v/>
      </c>
      <c r="Q244" s="39" t="n">
        <v>468</v>
      </c>
      <c r="R244" s="3">
        <f>TABL123[[#This Row],[ (T/B) SAR]]-TABL123[[#This Row],[(T/B) AJD]]</f>
        <v/>
      </c>
      <c r="S244" s="3">
        <f>TABL123[[#This Row],[T/B-CON.]]+TABL123[[#This Row],[S/S_CON.]]</f>
        <v/>
      </c>
      <c r="T244" s="3">
        <f>TABL123[[#This Row],[(S/S) AJD]]+TABL123[[#This Row],[(T/B) AJD]]</f>
        <v/>
      </c>
      <c r="U244" s="41" t="n">
        <v>581</v>
      </c>
      <c r="V244" s="41" t="n">
        <v>335</v>
      </c>
      <c r="W244" s="3">
        <f>TABL123[[#This Row],[(A/B) AJD]]+TABL123[[#This Row],[(A/S) AJD]]</f>
        <v/>
      </c>
      <c r="X244" s="3">
        <f>TABL123[[#This Row],[( S/S+T/B) AJD]]-TABL123[[#This Row],[(A/B + A/S) AJD]]</f>
        <v/>
      </c>
      <c r="Y244" s="41" t="n">
        <v>92.779</v>
      </c>
      <c r="Z244" s="43" t="n">
        <v>663138</v>
      </c>
      <c r="AA244" s="3">
        <f>TABL123[[#This Row],[(RESV. STORGE) AJD]]/10</f>
        <v/>
      </c>
      <c r="AB244" s="45">
        <f>IF(TRIM(Z244)="",,(Z244-Z243)/1000)</f>
        <v/>
      </c>
      <c r="AC244" s="43" t="n">
        <v>4939</v>
      </c>
      <c r="AD244" s="83">
        <f>TABL123[[#This Row],[( S/S+T/B) AJD]]-(TABL123[[#This Row],[(A/B + A/S) AJD]]+TABL123[[#This Row],[(STORGE DIFF.) AJD]]+(TABL123[[#This Row],[AJD_Evaporation]])/1000)</f>
        <v/>
      </c>
      <c r="AE244" s="68" t="n">
        <v>98</v>
      </c>
      <c r="AF244" s="68" t="n">
        <v>58.778</v>
      </c>
      <c r="AG244" s="68" t="n">
        <v>1477297</v>
      </c>
      <c r="AH244" s="43" t="n">
        <v>3535</v>
      </c>
      <c r="AI244" s="43" t="n">
        <v>3535</v>
      </c>
      <c r="AJ244" s="78">
        <f>TABL123[[#This Row],[(A/B) AJD]]-TABL123[[#This Row],[BER_IN]]</f>
        <v/>
      </c>
      <c r="AK244" s="68" t="n">
        <v>43</v>
      </c>
      <c r="AL244" s="87" t="n">
        <v>43.0189</v>
      </c>
      <c r="AM244" s="87" t="n">
        <v>3118490</v>
      </c>
      <c r="AN244" s="87">
        <f>TABL123[[#This Row],[ (RESV. STORGE) SER]]/10</f>
        <v/>
      </c>
      <c r="AO244" s="43" t="n">
        <v>1930</v>
      </c>
      <c r="AP244" s="32">
        <f>TABL123[[#This Row],[(A/S) AJD]]-TABL123[[#This Row],[SER_IN]]</f>
        <v/>
      </c>
    </row>
    <row r="245" ht="18.75" customHeight="1">
      <c r="A245" s="2" t="n">
        <v>46266</v>
      </c>
      <c r="B245" s="41" t="n">
        <v>43</v>
      </c>
      <c r="C245" s="41" t="n">
        <v>300</v>
      </c>
      <c r="D245" s="41">
        <f>B245</f>
        <v/>
      </c>
      <c r="E245" s="35" t="n"/>
      <c r="F245" s="41" t="n">
        <v>93</v>
      </c>
      <c r="G245" s="39" t="n">
        <v>617</v>
      </c>
      <c r="H245" s="34">
        <f>103-F245</f>
        <v/>
      </c>
      <c r="I245" s="39" t="n">
        <v>471</v>
      </c>
      <c r="J245" s="39" t="n">
        <v>459</v>
      </c>
      <c r="K245" s="34">
        <f>TABL123[[#This Row],[ (T/B) SAR]]+TABL123[[#This Row],[ (S/S) SAR]]</f>
        <v/>
      </c>
      <c r="L245" s="41" t="n">
        <v>303</v>
      </c>
      <c r="M245" s="42" t="n">
        <v>22.7</v>
      </c>
      <c r="N245" s="42" t="n">
        <v>7.1</v>
      </c>
      <c r="O245" s="39" t="n">
        <v>419</v>
      </c>
      <c r="P245" s="14">
        <f>TABL123[[#This Row],[ (S/S) SAR]]-TABL123[[#This Row],[(S/S) AJD]]</f>
        <v/>
      </c>
      <c r="Q245" s="39" t="n">
        <v>456</v>
      </c>
      <c r="R245" s="14">
        <f>TABL123[[#This Row],[ (T/B) SAR]]-TABL123[[#This Row],[(T/B) AJD]]</f>
        <v/>
      </c>
      <c r="S245" s="14">
        <f>TABL123[[#This Row],[T/B-CON.]]+TABL123[[#This Row],[S/S_CON.]]</f>
        <v/>
      </c>
      <c r="T245" s="9">
        <f>TABL123[[#This Row],[(S/S) AJD]]+TABL123[[#This Row],[(T/B) AJD]]</f>
        <v/>
      </c>
      <c r="U245" s="41" t="n">
        <v>588</v>
      </c>
      <c r="V245" s="41" t="n">
        <v>346</v>
      </c>
      <c r="W245" s="9">
        <f>TABL123[[#This Row],[(A/B) AJD]]+TABL123[[#This Row],[(A/S) AJD]]</f>
        <v/>
      </c>
      <c r="X245" s="9">
        <f>TABL123[[#This Row],[( S/S+T/B) AJD]]-TABL123[[#This Row],[(A/B + A/S) AJD]]</f>
        <v/>
      </c>
      <c r="Y245" s="41" t="n">
        <v>92.63200000000001</v>
      </c>
      <c r="Z245" s="43" t="n">
        <v>575333</v>
      </c>
      <c r="AA245" s="3">
        <f>TABL123[[#This Row],[(RESV. STORGE) AJD]]/10</f>
        <v/>
      </c>
      <c r="AB245" s="45">
        <f>IF(TRIM(Z245)="",,(Z245-Z244)/1000)</f>
        <v/>
      </c>
      <c r="AC245" s="43" t="n">
        <v>3425</v>
      </c>
      <c r="AD245" s="83">
        <f>TABL123[[#This Row],[( S/S+T/B) AJD]]-(TABL123[[#This Row],[(A/B + A/S) AJD]]+TABL123[[#This Row],[(STORGE DIFF.) AJD]]+(TABL123[[#This Row],[AJD_Evaporation]])/1000)</f>
        <v/>
      </c>
      <c r="AE245" s="68" t="n">
        <v>97</v>
      </c>
      <c r="AF245" s="68" t="n">
        <v>58.812</v>
      </c>
      <c r="AG245" s="68" t="n">
        <v>1499684</v>
      </c>
      <c r="AH245" s="43" t="n">
        <v>3233</v>
      </c>
      <c r="AI245" s="43" t="n">
        <v>3233</v>
      </c>
      <c r="AJ245" s="78">
        <f>TABL123[[#This Row],[(A/B) AJD]]-TABL123[[#This Row],[BER_IN]]</f>
        <v/>
      </c>
      <c r="AK245" s="68" t="n">
        <v>43</v>
      </c>
      <c r="AL245" s="87" t="n">
        <v>43.0189</v>
      </c>
      <c r="AM245" s="87" t="n">
        <v>3118490</v>
      </c>
      <c r="AN245" s="87">
        <f>TABL123[[#This Row],[ (RESV. STORGE) SER]]/10</f>
        <v/>
      </c>
      <c r="AO245" s="43" t="n">
        <v>1930</v>
      </c>
      <c r="AP245" s="32">
        <f>TABL123[[#This Row],[(A/S) AJD]]-TABL123[[#This Row],[SER_IN]]</f>
        <v/>
      </c>
    </row>
    <row r="246" ht="18.75" customHeight="1">
      <c r="A246" s="2" t="n">
        <v>46267</v>
      </c>
      <c r="B246" s="44" t="n">
        <v>42</v>
      </c>
      <c r="C246" s="44" t="n">
        <v>338</v>
      </c>
      <c r="D246" s="44">
        <f>B246</f>
        <v/>
      </c>
      <c r="E246" s="35" t="n"/>
      <c r="F246" s="44" t="n">
        <v>93</v>
      </c>
      <c r="G246" s="40" t="n">
        <v>617</v>
      </c>
      <c r="H246" s="34">
        <f>103-F246</f>
        <v/>
      </c>
      <c r="I246" s="40" t="n">
        <v>475</v>
      </c>
      <c r="J246" s="44" t="n">
        <v>463</v>
      </c>
      <c r="K246" s="34">
        <f>TABL123[[#This Row],[ (T/B) SAR]]+TABL123[[#This Row],[ (S/S) SAR]]</f>
        <v/>
      </c>
      <c r="L246" s="45" t="n">
        <v>310</v>
      </c>
      <c r="M246" s="46" t="n">
        <v>22.7</v>
      </c>
      <c r="N246" s="46" t="n">
        <v>7.47</v>
      </c>
      <c r="O246" s="40" t="n">
        <v>390</v>
      </c>
      <c r="P246" s="14">
        <f>TABL123[[#This Row],[ (S/S) SAR]]-TABL123[[#This Row],[(S/S) AJD]]</f>
        <v/>
      </c>
      <c r="Q246" s="40" t="n">
        <v>426</v>
      </c>
      <c r="R246" s="14">
        <f>TABL123[[#This Row],[ (T/B) SAR]]-TABL123[[#This Row],[(T/B) AJD]]</f>
        <v/>
      </c>
      <c r="S246" s="14">
        <f>TABL123[[#This Row],[T/B-CON.]]+TABL123[[#This Row],[S/S_CON.]]</f>
        <v/>
      </c>
      <c r="T246" s="9">
        <f>TABL123[[#This Row],[(S/S) AJD]]+TABL123[[#This Row],[(T/B) AJD]]</f>
        <v/>
      </c>
      <c r="U246" s="44" t="n">
        <v>583</v>
      </c>
      <c r="V246" s="44" t="n">
        <v>308</v>
      </c>
      <c r="W246" s="9">
        <f>TABL123[[#This Row],[(A/B) AJD]]+TABL123[[#This Row],[(A/S) AJD]]</f>
        <v/>
      </c>
      <c r="X246" s="9">
        <f>TABL123[[#This Row],[( S/S+T/B) AJD]]-TABL123[[#This Row],[(A/B + A/S) AJD]]</f>
        <v/>
      </c>
      <c r="Y246" s="44" t="n">
        <v>92.41500000000001</v>
      </c>
      <c r="Z246" s="45" t="n">
        <v>446022</v>
      </c>
      <c r="AA246" s="3">
        <f>TABL123[[#This Row],[(RESV. STORGE) AJD]]/10</f>
        <v/>
      </c>
      <c r="AB246" s="45">
        <f>IF(TRIM(Z246)="",,(Z246-Z245)/1000)</f>
        <v/>
      </c>
      <c r="AC246" s="45" t="n">
        <v>2999</v>
      </c>
      <c r="AD246" s="83">
        <f>TABL123[[#This Row],[( S/S+T/B) AJD]]-(TABL123[[#This Row],[(A/B + A/S) AJD]]+TABL123[[#This Row],[(STORGE DIFF.) AJD]]+(TABL123[[#This Row],[AJD_Evaporation]])/1000)</f>
        <v/>
      </c>
      <c r="AE246" s="68" t="n">
        <v>89</v>
      </c>
      <c r="AF246" s="68" t="n">
        <v>58.829</v>
      </c>
      <c r="AG246" s="68" t="n">
        <v>1510881</v>
      </c>
      <c r="AH246" s="45" t="n">
        <v>3102</v>
      </c>
      <c r="AI246" s="45" t="n">
        <v>3102</v>
      </c>
      <c r="AJ246" s="78">
        <f>TABL123[[#This Row],[(A/B) AJD]]-TABL123[[#This Row],[BER_IN]]</f>
        <v/>
      </c>
      <c r="AK246" s="68" t="n">
        <v>42</v>
      </c>
      <c r="AL246" s="87" t="n">
        <v>43.123</v>
      </c>
      <c r="AM246" s="87" t="n">
        <v>3175280</v>
      </c>
      <c r="AN246" s="87">
        <f>TABL123[[#This Row],[ (RESV. STORGE) SER]]/10</f>
        <v/>
      </c>
      <c r="AO246" s="45" t="n">
        <v>2015</v>
      </c>
      <c r="AP246" s="32">
        <f>TABL123[[#This Row],[(A/S) AJD]]-TABL123[[#This Row],[SER_IN]]</f>
        <v/>
      </c>
    </row>
    <row r="247" ht="18.75" customHeight="1">
      <c r="A247" s="2" t="n">
        <v>46268</v>
      </c>
      <c r="B247" s="41" t="n">
        <v>43</v>
      </c>
      <c r="C247" s="41" t="n">
        <v>340</v>
      </c>
      <c r="D247" s="41">
        <f>B247</f>
        <v/>
      </c>
      <c r="E247" s="35" t="n"/>
      <c r="F247" s="41" t="n">
        <v>93</v>
      </c>
      <c r="G247" s="39" t="n">
        <v>617</v>
      </c>
      <c r="H247" s="34">
        <f>103-F247</f>
        <v/>
      </c>
      <c r="I247" s="39" t="n">
        <v>475</v>
      </c>
      <c r="J247" s="39" t="n">
        <v>460</v>
      </c>
      <c r="K247" s="34">
        <f>TABL123[[#This Row],[ (T/B) SAR]]+TABL123[[#This Row],[ (S/S) SAR]]</f>
        <v/>
      </c>
      <c r="L247" s="41" t="n">
        <v>310</v>
      </c>
      <c r="M247" s="42" t="n">
        <v>22.7</v>
      </c>
      <c r="N247" s="42" t="n">
        <v>7.72</v>
      </c>
      <c r="O247" s="39" t="n">
        <v>385</v>
      </c>
      <c r="P247" s="14">
        <f>TABL123[[#This Row],[ (S/S) SAR]]-TABL123[[#This Row],[(S/S) AJD]]</f>
        <v/>
      </c>
      <c r="Q247" s="39" t="n">
        <v>418</v>
      </c>
      <c r="R247" s="14">
        <f>TABL123[[#This Row],[ (T/B) SAR]]-TABL123[[#This Row],[(T/B) AJD]]</f>
        <v/>
      </c>
      <c r="S247" s="14">
        <f>TABL123[[#This Row],[T/B-CON.]]+TABL123[[#This Row],[S/S_CON.]]</f>
        <v/>
      </c>
      <c r="T247" s="9">
        <f>TABL123[[#This Row],[(S/S) AJD]]+TABL123[[#This Row],[(T/B) AJD]]</f>
        <v/>
      </c>
      <c r="U247" s="41" t="n">
        <v>600</v>
      </c>
      <c r="V247" s="41" t="n">
        <v>287</v>
      </c>
      <c r="W247" s="9">
        <f>TABL123[[#This Row],[(A/B) AJD]]+TABL123[[#This Row],[(A/S) AJD]]</f>
        <v/>
      </c>
      <c r="X247" s="9">
        <f>TABL123[[#This Row],[( S/S+T/B) AJD]]-TABL123[[#This Row],[(A/B + A/S) AJD]]</f>
        <v/>
      </c>
      <c r="Y247" s="41" t="n">
        <v>92.22799999999999</v>
      </c>
      <c r="Z247" s="43" t="n">
        <v>334903</v>
      </c>
      <c r="AA247" s="3">
        <f>TABL123[[#This Row],[(RESV. STORGE) AJD]]/10</f>
        <v/>
      </c>
      <c r="AB247" s="45">
        <f>IF(TRIM(Z247)="",,(Z247-Z246)/1000)</f>
        <v/>
      </c>
      <c r="AC247" s="43" t="n">
        <v>3074</v>
      </c>
      <c r="AD247" s="83">
        <f>TABL123[[#This Row],[( S/S+T/B) AJD]]-(TABL123[[#This Row],[(A/B + A/S) AJD]]+TABL123[[#This Row],[(STORGE DIFF.) AJD]]+(TABL123[[#This Row],[AJD_Evaporation]])/1000)</f>
        <v/>
      </c>
      <c r="AE247" s="68" t="n">
        <v>80</v>
      </c>
      <c r="AF247" s="68" t="n">
        <v>58.83</v>
      </c>
      <c r="AG247" s="68" t="n">
        <v>1511540</v>
      </c>
      <c r="AH247" s="43" t="n">
        <v>2981</v>
      </c>
      <c r="AI247" s="43" t="n">
        <v>2981</v>
      </c>
      <c r="AJ247" s="78">
        <f>TABL123[[#This Row],[(A/B) AJD]]-TABL123[[#This Row],[BER_IN]]</f>
        <v/>
      </c>
      <c r="AK247" s="68" t="n">
        <v>16</v>
      </c>
      <c r="AL247" s="87" t="n">
        <v>43.1044</v>
      </c>
      <c r="AM247" s="87" t="n">
        <v>3166401</v>
      </c>
      <c r="AN247" s="87">
        <f>TABL123[[#This Row],[ (RESV. STORGE) SER]]/10</f>
        <v/>
      </c>
      <c r="AO247" s="43" t="n">
        <v>2010</v>
      </c>
      <c r="AP247" s="32">
        <f>TABL123[[#This Row],[(A/S) AJD]]-TABL123[[#This Row],[SER_IN]]</f>
        <v/>
      </c>
    </row>
    <row r="248" ht="18.75" customHeight="1">
      <c r="A248" s="2" t="n">
        <v>46269</v>
      </c>
      <c r="B248" s="44" t="n">
        <v>43</v>
      </c>
      <c r="C248" s="44" t="n">
        <v>350</v>
      </c>
      <c r="D248" s="44">
        <f>B248</f>
        <v/>
      </c>
      <c r="E248" s="35" t="n"/>
      <c r="F248" s="44" t="n">
        <v>93</v>
      </c>
      <c r="G248" s="40" t="n">
        <v>617</v>
      </c>
      <c r="H248" s="34">
        <f>103-F248</f>
        <v/>
      </c>
      <c r="I248" s="40" t="n">
        <v>510</v>
      </c>
      <c r="J248" s="44" t="n">
        <v>490</v>
      </c>
      <c r="K248" s="34">
        <f>TABL123[[#This Row],[ (T/B) SAR]]+TABL123[[#This Row],[ (S/S) SAR]]</f>
        <v/>
      </c>
      <c r="L248" s="45" t="n">
        <v>370</v>
      </c>
      <c r="M248" s="46" t="n">
        <v>25.9</v>
      </c>
      <c r="N248" s="46" t="n">
        <v>7.82</v>
      </c>
      <c r="O248" s="40" t="n">
        <v>388</v>
      </c>
      <c r="P248" s="14">
        <f>TABL123[[#This Row],[ (S/S) SAR]]-TABL123[[#This Row],[(S/S) AJD]]</f>
        <v/>
      </c>
      <c r="Q248" s="40" t="n">
        <v>422</v>
      </c>
      <c r="R248" s="14">
        <f>TABL123[[#This Row],[ (T/B) SAR]]-TABL123[[#This Row],[(T/B) AJD]]</f>
        <v/>
      </c>
      <c r="S248" s="14">
        <f>TABL123[[#This Row],[T/B-CON.]]+TABL123[[#This Row],[S/S_CON.]]</f>
        <v/>
      </c>
      <c r="T248" s="9">
        <f>TABL123[[#This Row],[(S/S) AJD]]+TABL123[[#This Row],[(T/B) AJD]]</f>
        <v/>
      </c>
      <c r="U248" s="44" t="n">
        <v>576</v>
      </c>
      <c r="V248" s="44" t="n">
        <v>272</v>
      </c>
      <c r="W248" s="9">
        <f>TABL123[[#This Row],[(A/B) AJD]]+TABL123[[#This Row],[(A/S) AJD]]</f>
        <v/>
      </c>
      <c r="X248" s="9">
        <f>TABL123[[#This Row],[( S/S+T/B) AJD]]-TABL123[[#This Row],[(A/B + A/S) AJD]]</f>
        <v/>
      </c>
      <c r="Y248" s="44" t="n">
        <v>92.133</v>
      </c>
      <c r="Z248" s="45" t="n">
        <v>278567</v>
      </c>
      <c r="AA248" s="3">
        <f>TABL123[[#This Row],[(RESV. STORGE) AJD]]/10</f>
        <v/>
      </c>
      <c r="AB248" s="45">
        <f>IF(TRIM(Z248)="",,(Z248-Z247)/1000)</f>
        <v/>
      </c>
      <c r="AC248" s="45" t="n">
        <v>0</v>
      </c>
      <c r="AD248" s="83">
        <f>TABL123[[#This Row],[( S/S+T/B) AJD]]-(TABL123[[#This Row],[(A/B + A/S) AJD]]+TABL123[[#This Row],[(STORGE DIFF.) AJD]]+(TABL123[[#This Row],[AJD_Evaporation]])/1000)</f>
        <v/>
      </c>
      <c r="AE248" s="68" t="n">
        <v>56</v>
      </c>
      <c r="AF248" s="68" t="n">
        <v>58.788</v>
      </c>
      <c r="AG248" s="68" t="n">
        <v>1483850</v>
      </c>
      <c r="AH248" s="45" t="n">
        <v>2979</v>
      </c>
      <c r="AI248" s="45" t="n">
        <v>2979</v>
      </c>
      <c r="AJ248" s="78">
        <f>TABL123[[#This Row],[(A/B) AJD]]-TABL123[[#This Row],[BER_IN]]</f>
        <v/>
      </c>
      <c r="AK248" s="68" t="n">
        <v>0</v>
      </c>
      <c r="AL248" s="87" t="n">
        <v>43.0627</v>
      </c>
      <c r="AM248" s="87" t="n">
        <v>3142146</v>
      </c>
      <c r="AN248" s="87">
        <f>TABL123[[#This Row],[ (RESV. STORGE) SER]]/10</f>
        <v/>
      </c>
      <c r="AO248" s="45" t="n">
        <v>2035</v>
      </c>
      <c r="AP248" s="32">
        <f>TABL123[[#This Row],[(A/S) AJD]]-TABL123[[#This Row],[SER_IN]]</f>
        <v/>
      </c>
    </row>
    <row r="249" ht="18.75" customHeight="1">
      <c r="A249" s="2" t="n">
        <v>46270</v>
      </c>
      <c r="B249" s="41" t="n">
        <v>42</v>
      </c>
      <c r="C249" s="41" t="n">
        <v>329</v>
      </c>
      <c r="D249" s="41">
        <f>B249</f>
        <v/>
      </c>
      <c r="E249" s="35" t="n"/>
      <c r="F249" s="41" t="n">
        <v>93</v>
      </c>
      <c r="G249" s="39" t="n">
        <v>617</v>
      </c>
      <c r="H249" s="34">
        <f>103-F249</f>
        <v/>
      </c>
      <c r="I249" s="39" t="n">
        <v>510</v>
      </c>
      <c r="J249" s="39" t="n">
        <v>495</v>
      </c>
      <c r="K249" s="34">
        <f>TABL123[[#This Row],[ (T/B) SAR]]+TABL123[[#This Row],[ (S/S) SAR]]</f>
        <v/>
      </c>
      <c r="L249" s="41" t="n">
        <v>375</v>
      </c>
      <c r="M249" s="42" t="n">
        <v>25.9</v>
      </c>
      <c r="N249" s="42" t="n">
        <v>7.7</v>
      </c>
      <c r="O249" s="39" t="n">
        <v>403</v>
      </c>
      <c r="P249" s="14">
        <f>TABL123[[#This Row],[ (S/S) SAR]]-TABL123[[#This Row],[(S/S) AJD]]</f>
        <v/>
      </c>
      <c r="Q249" s="39" t="n">
        <v>440</v>
      </c>
      <c r="R249" s="14">
        <f>TABL123[[#This Row],[ (T/B) SAR]]-TABL123[[#This Row],[(T/B) AJD]]</f>
        <v/>
      </c>
      <c r="S249" s="14">
        <f>TABL123[[#This Row],[T/B-CON.]]+TABL123[[#This Row],[S/S_CON.]]</f>
        <v/>
      </c>
      <c r="T249" s="9">
        <f>TABL123[[#This Row],[(S/S) AJD]]+TABL123[[#This Row],[(T/B) AJD]]</f>
        <v/>
      </c>
      <c r="U249" s="41" t="n">
        <v>568</v>
      </c>
      <c r="V249" s="41" t="n">
        <v>267</v>
      </c>
      <c r="W249" s="9">
        <f>TABL123[[#This Row],[(A/B) AJD]]+TABL123[[#This Row],[(A/S) AJD]]</f>
        <v/>
      </c>
      <c r="X249" s="9">
        <f>TABL123[[#This Row],[( S/S+T/B) AJD]]-TABL123[[#This Row],[(A/B + A/S) AJD]]</f>
        <v/>
      </c>
      <c r="Y249" s="41" t="n">
        <v>92.11799999999999</v>
      </c>
      <c r="Z249" s="43" t="n">
        <v>268400</v>
      </c>
      <c r="AA249" s="3">
        <f>TABL123[[#This Row],[(RESV. STORGE) AJD]]/10</f>
        <v/>
      </c>
      <c r="AB249" s="45">
        <f>IF(TRIM(Z249)="",,(Z249-Z248)/1000)</f>
        <v/>
      </c>
      <c r="AC249" s="43" t="n">
        <v>1410</v>
      </c>
      <c r="AD249" s="83">
        <f>TABL123[[#This Row],[( S/S+T/B) AJD]]-(TABL123[[#This Row],[(A/B + A/S) AJD]]+TABL123[[#This Row],[(STORGE DIFF.) AJD]]+(TABL123[[#This Row],[AJD_Evaporation]])/1000)</f>
        <v/>
      </c>
      <c r="AE249" s="68" t="n">
        <v>50</v>
      </c>
      <c r="AF249" s="68" t="n">
        <v>58.738</v>
      </c>
      <c r="AG249" s="68" t="n">
        <v>1450973</v>
      </c>
      <c r="AH249" s="43" t="n">
        <v>3227</v>
      </c>
      <c r="AI249" s="43" t="n">
        <v>3227</v>
      </c>
      <c r="AJ249" s="78">
        <f>TABL123[[#This Row],[(A/B) AJD]]-TABL123[[#This Row],[BER_IN]]</f>
        <v/>
      </c>
      <c r="AK249" s="68" t="n">
        <v>0</v>
      </c>
      <c r="AL249" s="87" t="n">
        <v>43.0345</v>
      </c>
      <c r="AM249" s="87" t="n">
        <v>3126610</v>
      </c>
      <c r="AN249" s="87">
        <f>TABL123[[#This Row],[ (RESV. STORGE) SER]]/10</f>
        <v/>
      </c>
      <c r="AO249" s="43" t="n">
        <v>2015</v>
      </c>
      <c r="AP249" s="32">
        <f>TABL123[[#This Row],[(A/S) AJD]]-TABL123[[#This Row],[SER_IN]]</f>
        <v/>
      </c>
    </row>
    <row r="250" ht="18.75" customHeight="1">
      <c r="A250" s="2" t="n">
        <v>46271</v>
      </c>
      <c r="B250" s="44" t="n">
        <v>42</v>
      </c>
      <c r="C250" s="44" t="n">
        <v>342</v>
      </c>
      <c r="D250" s="44">
        <f>B250</f>
        <v/>
      </c>
      <c r="E250" s="35" t="n"/>
      <c r="F250" s="44" t="n">
        <v>93</v>
      </c>
      <c r="G250" s="40" t="n">
        <v>617</v>
      </c>
      <c r="H250" s="28">
        <f>103-F250</f>
        <v/>
      </c>
      <c r="I250" s="40" t="n">
        <v>510</v>
      </c>
      <c r="J250" s="44" t="n">
        <v>495</v>
      </c>
      <c r="K250" s="28">
        <f>TABL123[[#This Row],[ (T/B) SAR]]+TABL123[[#This Row],[ (S/S) SAR]]</f>
        <v/>
      </c>
      <c r="L250" s="45" t="n">
        <v>373</v>
      </c>
      <c r="M250" s="46" t="n">
        <v>26</v>
      </c>
      <c r="N250" s="46" t="n">
        <v>7.62</v>
      </c>
      <c r="O250" s="40" t="n">
        <v>418</v>
      </c>
      <c r="P250" s="9">
        <f>TABL123[[#This Row],[ (S/S) SAR]]-TABL123[[#This Row],[(S/S) AJD]]</f>
        <v/>
      </c>
      <c r="Q250" s="40" t="n">
        <v>453</v>
      </c>
      <c r="R250" s="9">
        <f>TABL123[[#This Row],[ (T/B) SAR]]-TABL123[[#This Row],[(T/B) AJD]]</f>
        <v/>
      </c>
      <c r="S250" s="9">
        <f>TABL123[[#This Row],[T/B-CON.]]+TABL123[[#This Row],[S/S_CON.]]</f>
        <v/>
      </c>
      <c r="T250" s="9">
        <f>TABL123[[#This Row],[(S/S) AJD]]+TABL123[[#This Row],[(T/B) AJD]]</f>
        <v/>
      </c>
      <c r="U250" s="44" t="n">
        <v>558</v>
      </c>
      <c r="V250" s="44" t="n">
        <v>250</v>
      </c>
      <c r="W250" s="9">
        <f>TABL123[[#This Row],[(A/B) AJD]]+TABL123[[#This Row],[(A/S) AJD]]</f>
        <v/>
      </c>
      <c r="X250" s="9">
        <f>TABL123[[#This Row],[( S/S+T/B) AJD]]-TABL123[[#This Row],[(A/B + A/S) AJD]]</f>
        <v/>
      </c>
      <c r="Y250" s="44" t="n">
        <v>92.17</v>
      </c>
      <c r="Z250" s="45" t="n">
        <v>300501</v>
      </c>
      <c r="AA250" s="3">
        <f>TABL123[[#This Row],[(RESV. STORGE) AJD]]/10</f>
        <v/>
      </c>
      <c r="AB250" s="45">
        <f>IF(TRIM(Z250)="",,(Z250-Z249)/1000)</f>
        <v/>
      </c>
      <c r="AC250" s="45" t="n">
        <v>2034</v>
      </c>
      <c r="AD250" s="83">
        <f>TABL123[[#This Row],[( S/S+T/B) AJD]]-(TABL123[[#This Row],[(A/B + A/S) AJD]]+TABL123[[#This Row],[(STORGE DIFF.) AJD]]+(TABL123[[#This Row],[AJD_Evaporation]])/1000)</f>
        <v/>
      </c>
      <c r="AE250" s="68" t="n">
        <v>50</v>
      </c>
      <c r="AF250" s="68" t="n">
        <v>58.724</v>
      </c>
      <c r="AG250" s="68" t="n">
        <v>1441762</v>
      </c>
      <c r="AH250" s="45" t="n">
        <v>2770</v>
      </c>
      <c r="AI250" s="45" t="n">
        <v>2770</v>
      </c>
      <c r="AJ250" s="78">
        <f>TABL123[[#This Row],[(A/B) AJD]]-TABL123[[#This Row],[BER_IN]]</f>
        <v/>
      </c>
      <c r="AK250" s="68" t="n">
        <v>0</v>
      </c>
      <c r="AL250" s="87" t="n">
        <v>42.9957</v>
      </c>
      <c r="AM250" s="87" t="n">
        <v>3106040</v>
      </c>
      <c r="AN250" s="87">
        <f>TABL123[[#This Row],[ (RESV. STORGE) SER]]/10</f>
        <v/>
      </c>
      <c r="AO250" s="45" t="n">
        <v>2010</v>
      </c>
      <c r="AP250" s="32">
        <f>TABL123[[#This Row],[(A/S) AJD]]-TABL123[[#This Row],[SER_IN]]</f>
        <v/>
      </c>
    </row>
    <row r="251" ht="18.75" customHeight="1">
      <c r="A251" s="2" t="n">
        <v>46272</v>
      </c>
      <c r="B251" s="41" t="n">
        <v>42</v>
      </c>
      <c r="C251" s="41" t="n">
        <v>341</v>
      </c>
      <c r="D251" s="41">
        <f>B251</f>
        <v/>
      </c>
      <c r="E251" s="35" t="n"/>
      <c r="F251" s="41" t="n">
        <v>93</v>
      </c>
      <c r="G251" s="39" t="n">
        <v>617</v>
      </c>
      <c r="H251" s="28">
        <f>103-F251</f>
        <v/>
      </c>
      <c r="I251" s="39" t="n">
        <v>512</v>
      </c>
      <c r="J251" s="39" t="n">
        <v>498</v>
      </c>
      <c r="K251" s="28">
        <f>TABL123[[#This Row],[ (T/B) SAR]]+TABL123[[#This Row],[ (S/S) SAR]]</f>
        <v/>
      </c>
      <c r="L251" s="41" t="n">
        <v>385</v>
      </c>
      <c r="M251" s="42" t="n">
        <v>27</v>
      </c>
      <c r="N251" s="42" t="n">
        <v>7.54</v>
      </c>
      <c r="O251" s="39" t="n">
        <v>431</v>
      </c>
      <c r="P251" s="9">
        <f>TABL123[[#This Row],[ (S/S) SAR]]-TABL123[[#This Row],[(S/S) AJD]]</f>
        <v/>
      </c>
      <c r="Q251" s="39" t="n">
        <v>450</v>
      </c>
      <c r="R251" s="9">
        <f>TABL123[[#This Row],[ (T/B) SAR]]-TABL123[[#This Row],[(T/B) AJD]]</f>
        <v/>
      </c>
      <c r="S251" s="9">
        <f>TABL123[[#This Row],[T/B-CON.]]+TABL123[[#This Row],[S/S_CON.]]</f>
        <v/>
      </c>
      <c r="T251" s="9">
        <f>TABL123[[#This Row],[(S/S) AJD]]+TABL123[[#This Row],[(T/B) AJD]]</f>
        <v/>
      </c>
      <c r="U251" s="41" t="n">
        <v>563</v>
      </c>
      <c r="V251" s="41" t="n">
        <v>257</v>
      </c>
      <c r="W251" s="9">
        <f>TABL123[[#This Row],[(A/B) AJD]]+TABL123[[#This Row],[(A/S) AJD]]</f>
        <v/>
      </c>
      <c r="X251" s="9">
        <f>TABL123[[#This Row],[( S/S+T/B) AJD]]-TABL123[[#This Row],[(A/B + A/S) AJD]]</f>
        <v/>
      </c>
      <c r="Y251" s="41" t="n">
        <v>92.21299999999999</v>
      </c>
      <c r="Z251" s="43" t="n">
        <v>325712</v>
      </c>
      <c r="AA251" s="3">
        <f>TABL123[[#This Row],[(RESV. STORGE) AJD]]/10</f>
        <v/>
      </c>
      <c r="AB251" s="45">
        <f>IF(TRIM(Z251)="",,(Z251-Z250)/1000)</f>
        <v/>
      </c>
      <c r="AC251" s="43" t="n">
        <v>2284</v>
      </c>
      <c r="AD251" s="83">
        <f>TABL123[[#This Row],[( S/S+T/B) AJD]]-(TABL123[[#This Row],[(A/B + A/S) AJD]]+TABL123[[#This Row],[(STORGE DIFF.) AJD]]+(TABL123[[#This Row],[AJD_Evaporation]])/1000)</f>
        <v/>
      </c>
      <c r="AE251" s="68" t="n">
        <v>50</v>
      </c>
      <c r="AF251" s="68" t="n">
        <v>58.701</v>
      </c>
      <c r="AG251" s="68" t="n">
        <v>1426635</v>
      </c>
      <c r="AH251" s="43" t="n">
        <v>2877</v>
      </c>
      <c r="AI251" s="43" t="n">
        <v>2877</v>
      </c>
      <c r="AJ251" s="78">
        <f>TABL123[[#This Row],[(A/B) AJD]]-TABL123[[#This Row],[BER_IN]]</f>
        <v/>
      </c>
      <c r="AK251" s="68" t="n">
        <v>0</v>
      </c>
      <c r="AL251" s="87" t="n">
        <v>42.9064</v>
      </c>
      <c r="AM251" s="87" t="n">
        <v>3057400</v>
      </c>
      <c r="AN251" s="87">
        <f>TABL123[[#This Row],[ (RESV. STORGE) SER]]/10</f>
        <v/>
      </c>
      <c r="AO251" s="43" t="n">
        <v>2015</v>
      </c>
      <c r="AP251" s="32">
        <f>TABL123[[#This Row],[(A/S) AJD]]-TABL123[[#This Row],[SER_IN]]</f>
        <v/>
      </c>
    </row>
    <row r="252" ht="18.75" customHeight="1">
      <c r="A252" s="2" t="n">
        <v>46273</v>
      </c>
      <c r="B252" s="44" t="n">
        <v>42</v>
      </c>
      <c r="C252" s="44" t="n">
        <v>341</v>
      </c>
      <c r="D252" s="44">
        <f>B252</f>
        <v/>
      </c>
      <c r="E252" s="35" t="n"/>
      <c r="F252" s="44" t="n">
        <v>92</v>
      </c>
      <c r="G252" s="40" t="n">
        <v>609</v>
      </c>
      <c r="H252" s="28">
        <f>103-F252</f>
        <v/>
      </c>
      <c r="I252" s="40" t="n">
        <v>515</v>
      </c>
      <c r="J252" s="44" t="n">
        <v>505</v>
      </c>
      <c r="K252" s="28">
        <f>TABL123[[#This Row],[ (T/B) SAR]]+TABL123[[#This Row],[ (S/S) SAR]]</f>
        <v/>
      </c>
      <c r="L252" s="45" t="n">
        <v>380</v>
      </c>
      <c r="M252" s="46" t="n">
        <v>27.6</v>
      </c>
      <c r="N252" s="46" t="n">
        <v>7.2</v>
      </c>
      <c r="O252" s="40" t="n">
        <v>426</v>
      </c>
      <c r="P252" s="9">
        <f>TABL123[[#This Row],[ (S/S) SAR]]-TABL123[[#This Row],[(S/S) AJD]]</f>
        <v/>
      </c>
      <c r="Q252" s="40" t="n">
        <v>458</v>
      </c>
      <c r="R252" s="9">
        <f>TABL123[[#This Row],[ (T/B) SAR]]-TABL123[[#This Row],[(T/B) AJD]]</f>
        <v/>
      </c>
      <c r="S252" s="9">
        <f>TABL123[[#This Row],[T/B-CON.]]+TABL123[[#This Row],[S/S_CON.]]</f>
        <v/>
      </c>
      <c r="T252" s="9">
        <f>TABL123[[#This Row],[(S/S) AJD]]+TABL123[[#This Row],[(T/B) AJD]]</f>
        <v/>
      </c>
      <c r="U252" s="44" t="n">
        <v>581</v>
      </c>
      <c r="V252" s="44" t="n">
        <v>273</v>
      </c>
      <c r="W252" s="9">
        <f>TABL123[[#This Row],[(A/B) AJD]]+TABL123[[#This Row],[(A/S) AJD]]</f>
        <v/>
      </c>
      <c r="X252" s="9">
        <f>TABL123[[#This Row],[( S/S+T/B) AJD]]-TABL123[[#This Row],[(A/B + A/S) AJD]]</f>
        <v/>
      </c>
      <c r="Y252" s="44" t="n">
        <v>92.20999999999999</v>
      </c>
      <c r="Z252" s="45" t="n">
        <v>324227</v>
      </c>
      <c r="AA252" s="3">
        <f>TABL123[[#This Row],[(RESV. STORGE) AJD]]/10</f>
        <v/>
      </c>
      <c r="AB252" s="45">
        <f>IF(TRIM(Z252)="",,(Z252-Z251)/1000)</f>
        <v/>
      </c>
      <c r="AC252" s="45" t="n">
        <v>2367</v>
      </c>
      <c r="AD252" s="83">
        <f>TABL123[[#This Row],[( S/S+T/B) AJD]]-(TABL123[[#This Row],[(A/B + A/S) AJD]]+TABL123[[#This Row],[(STORGE DIFF.) AJD]]+(TABL123[[#This Row],[AJD_Evaporation]])/1000)</f>
        <v/>
      </c>
      <c r="AE252" s="68" t="n">
        <v>50</v>
      </c>
      <c r="AF252" s="68" t="n">
        <v>58.651</v>
      </c>
      <c r="AG252" s="68" t="n">
        <v>1393764</v>
      </c>
      <c r="AH252" s="45" t="n">
        <v>3190</v>
      </c>
      <c r="AI252" s="45" t="n">
        <v>3190</v>
      </c>
      <c r="AJ252" s="78">
        <f>TABL123[[#This Row],[(A/B) AJD]]-TABL123[[#This Row],[BER_IN]]</f>
        <v/>
      </c>
      <c r="AK252" s="68" t="n">
        <v>0</v>
      </c>
      <c r="AL252" s="87" t="n">
        <v>42.8285</v>
      </c>
      <c r="AM252" s="87" t="n">
        <v>3015620</v>
      </c>
      <c r="AN252" s="87">
        <f>TABL123[[#This Row],[ (RESV. STORGE) SER]]/10</f>
        <v/>
      </c>
      <c r="AO252" s="45" t="n">
        <v>2018</v>
      </c>
      <c r="AP252" s="32">
        <f>TABL123[[#This Row],[(A/S) AJD]]-TABL123[[#This Row],[SER_IN]]</f>
        <v/>
      </c>
    </row>
    <row r="253" ht="18.75" customHeight="1">
      <c r="A253" s="2" t="n">
        <v>46274</v>
      </c>
      <c r="B253" s="41" t="n">
        <v>41</v>
      </c>
      <c r="C253" s="41" t="n">
        <v>321</v>
      </c>
      <c r="D253" s="41">
        <f>B253</f>
        <v/>
      </c>
      <c r="E253" s="35" t="n"/>
      <c r="F253" s="41" t="n">
        <v>92</v>
      </c>
      <c r="G253" s="39" t="n">
        <v>609</v>
      </c>
      <c r="H253" s="28">
        <f>103-F253</f>
        <v/>
      </c>
      <c r="I253" s="39" t="n">
        <v>515</v>
      </c>
      <c r="J253" s="39" t="n">
        <v>505</v>
      </c>
      <c r="K253" s="28">
        <f>TABL123[[#This Row],[ (T/B) SAR]]+TABL123[[#This Row],[ (S/S) SAR]]</f>
        <v/>
      </c>
      <c r="L253" s="41" t="n">
        <v>378</v>
      </c>
      <c r="M253" s="42" t="n">
        <v>27.6</v>
      </c>
      <c r="N253" s="42" t="n">
        <v>7.2</v>
      </c>
      <c r="O253" s="39" t="n">
        <v>427</v>
      </c>
      <c r="P253" s="9">
        <f>TABL123[[#This Row],[ (S/S) SAR]]-TABL123[[#This Row],[(S/S) AJD]]</f>
        <v/>
      </c>
      <c r="Q253" s="39" t="n">
        <v>458</v>
      </c>
      <c r="R253" s="9">
        <f>TABL123[[#This Row],[ (T/B) SAR]]-TABL123[[#This Row],[(T/B) AJD]]</f>
        <v/>
      </c>
      <c r="S253" s="9">
        <f>TABL123[[#This Row],[T/B-CON.]]+TABL123[[#This Row],[S/S_CON.]]</f>
        <v/>
      </c>
      <c r="T253" s="9">
        <f>TABL123[[#This Row],[(S/S) AJD]]+TABL123[[#This Row],[(T/B) AJD]]</f>
        <v/>
      </c>
      <c r="U253" s="41" t="n">
        <v>558</v>
      </c>
      <c r="V253" s="41" t="n">
        <v>260</v>
      </c>
      <c r="W253" s="9">
        <f>TABL123[[#This Row],[(A/B) AJD]]+TABL123[[#This Row],[(A/S) AJD]]</f>
        <v/>
      </c>
      <c r="X253" s="9">
        <f>TABL123[[#This Row],[( S/S+T/B) AJD]]-TABL123[[#This Row],[(A/B + A/S) AJD]]</f>
        <v/>
      </c>
      <c r="Y253" s="41" t="n">
        <v>92.282</v>
      </c>
      <c r="Z253" s="43" t="n">
        <v>366961</v>
      </c>
      <c r="AA253" s="3">
        <f>TABL123[[#This Row],[(RESV. STORGE) AJD]]/10</f>
        <v/>
      </c>
      <c r="AB253" s="45">
        <f>IF(TRIM(Z253)="",,(Z253-Z252)/1000)</f>
        <v/>
      </c>
      <c r="AC253" s="43" t="n">
        <v>2427</v>
      </c>
      <c r="AD253" s="83">
        <f>TABL123[[#This Row],[( S/S+T/B) AJD]]-(TABL123[[#This Row],[(A/B + A/S) AJD]]+TABL123[[#This Row],[(STORGE DIFF.) AJD]]+(TABL123[[#This Row],[AJD_Evaporation]])/1000)</f>
        <v/>
      </c>
      <c r="AE253" s="68" t="n">
        <v>50</v>
      </c>
      <c r="AF253" s="68" t="n">
        <v>58.608</v>
      </c>
      <c r="AG253" s="68" t="n">
        <v>1365513</v>
      </c>
      <c r="AH253" s="43" t="n">
        <v>2721</v>
      </c>
      <c r="AI253" s="43" t="n">
        <v>2721</v>
      </c>
      <c r="AJ253" s="78">
        <f>TABL123[[#This Row],[(A/B) AJD]]-TABL123[[#This Row],[BER_IN]]</f>
        <v/>
      </c>
      <c r="AK253" s="68" t="n">
        <v>0</v>
      </c>
      <c r="AL253" s="87" t="n">
        <v>42.8053</v>
      </c>
      <c r="AM253" s="87" t="n">
        <v>3002832</v>
      </c>
      <c r="AN253" s="87">
        <f>TABL123[[#This Row],[ (RESV. STORGE) SER]]/10</f>
        <v/>
      </c>
      <c r="AO253" s="43" t="n">
        <v>2000</v>
      </c>
      <c r="AP253" s="32">
        <f>TABL123[[#This Row],[(A/S) AJD]]-TABL123[[#This Row],[SER_IN]]</f>
        <v/>
      </c>
    </row>
    <row r="254" ht="18.75" customHeight="1">
      <c r="A254" s="2" t="n">
        <v>46275</v>
      </c>
      <c r="B254" s="44" t="n">
        <v>40</v>
      </c>
      <c r="C254" s="44" t="n">
        <v>308</v>
      </c>
      <c r="D254" s="44">
        <f>B254</f>
        <v/>
      </c>
      <c r="E254" s="35" t="n"/>
      <c r="F254" s="44" t="n">
        <v>92</v>
      </c>
      <c r="G254" s="40" t="n">
        <v>609</v>
      </c>
      <c r="H254" s="28">
        <f>103-F254</f>
        <v/>
      </c>
      <c r="I254" s="40" t="n">
        <v>510</v>
      </c>
      <c r="J254" s="44" t="n">
        <v>497</v>
      </c>
      <c r="K254" s="28">
        <f>TABL123[[#This Row],[ (T/B) SAR]]+TABL123[[#This Row],[ (S/S) SAR]]</f>
        <v/>
      </c>
      <c r="L254" s="45" t="n">
        <v>368</v>
      </c>
      <c r="M254" s="46" t="n">
        <v>27.6</v>
      </c>
      <c r="N254" s="46" t="n">
        <v>7.1</v>
      </c>
      <c r="O254" s="40" t="n">
        <v>422</v>
      </c>
      <c r="P254" s="9">
        <f>TABL123[[#This Row],[ (S/S) SAR]]-TABL123[[#This Row],[(S/S) AJD]]</f>
        <v/>
      </c>
      <c r="Q254" s="40" t="n">
        <v>455</v>
      </c>
      <c r="R254" s="9">
        <f>TABL123[[#This Row],[ (T/B) SAR]]-TABL123[[#This Row],[(T/B) AJD]]</f>
        <v/>
      </c>
      <c r="S254" s="9">
        <f>TABL123[[#This Row],[T/B-CON.]]+TABL123[[#This Row],[S/S_CON.]]</f>
        <v/>
      </c>
      <c r="T254" s="9">
        <f>TABL123[[#This Row],[(S/S) AJD]]+TABL123[[#This Row],[(T/B) AJD]]</f>
        <v/>
      </c>
      <c r="U254" s="44" t="n">
        <v>557</v>
      </c>
      <c r="V254" s="44" t="n">
        <v>225</v>
      </c>
      <c r="W254" s="9">
        <f>TABL123[[#This Row],[(A/B) AJD]]+TABL123[[#This Row],[(A/S) AJD]]</f>
        <v/>
      </c>
      <c r="X254" s="9">
        <f>TABL123[[#This Row],[( S/S+T/B) AJD]]-TABL123[[#This Row],[(A/B + A/S) AJD]]</f>
        <v/>
      </c>
      <c r="Y254" s="44" t="n">
        <v>92.41</v>
      </c>
      <c r="Z254" s="45" t="n">
        <v>441261</v>
      </c>
      <c r="AA254" s="3">
        <f>TABL123[[#This Row],[(RESV. STORGE) AJD]]/10</f>
        <v/>
      </c>
      <c r="AB254" s="45">
        <f>IF(TRIM(Z254)="",,(Z254-Z253)/1000)</f>
        <v/>
      </c>
      <c r="AC254" s="45" t="n">
        <v>2499</v>
      </c>
      <c r="AD254" s="83">
        <f>TABL123[[#This Row],[( S/S+T/B) AJD]]-(TABL123[[#This Row],[(A/B + A/S) AJD]]+TABL123[[#This Row],[(STORGE DIFF.) AJD]]+(TABL123[[#This Row],[AJD_Evaporation]])/1000)</f>
        <v/>
      </c>
      <c r="AE254" s="68" t="n">
        <v>50</v>
      </c>
      <c r="AF254" s="68" t="n">
        <v>58.574</v>
      </c>
      <c r="AG254" s="68" t="n">
        <v>1343186</v>
      </c>
      <c r="AH254" s="45" t="n">
        <v>2646</v>
      </c>
      <c r="AI254" s="45" t="n">
        <v>2646</v>
      </c>
      <c r="AJ254" s="78">
        <f>TABL123[[#This Row],[(A/B) AJD]]-TABL123[[#This Row],[BER_IN]]</f>
        <v/>
      </c>
      <c r="AK254" s="68" t="n">
        <v>0</v>
      </c>
      <c r="AL254" s="87" t="n">
        <v>42.7281</v>
      </c>
      <c r="AM254" s="87" t="n">
        <v>2961303</v>
      </c>
      <c r="AN254" s="87">
        <f>TABL123[[#This Row],[ (RESV. STORGE) SER]]/10</f>
        <v/>
      </c>
      <c r="AO254" s="45" t="n">
        <v>2010</v>
      </c>
      <c r="AP254" s="32">
        <f>TABL123[[#This Row],[(A/S) AJD]]-TABL123[[#This Row],[SER_IN]]</f>
        <v/>
      </c>
    </row>
    <row r="255" ht="18.75" customHeight="1">
      <c r="A255" s="2" t="n">
        <v>46276</v>
      </c>
      <c r="B255" s="41" t="n">
        <v>41</v>
      </c>
      <c r="C255" s="41" t="n">
        <v>317</v>
      </c>
      <c r="D255" s="41">
        <f>B255</f>
        <v/>
      </c>
      <c r="E255" s="35" t="n"/>
      <c r="F255" s="41" t="n">
        <v>92</v>
      </c>
      <c r="G255" s="39" t="n">
        <v>610</v>
      </c>
      <c r="H255" s="28">
        <f>103-F255</f>
        <v/>
      </c>
      <c r="I255" s="39" t="n">
        <v>485</v>
      </c>
      <c r="J255" s="39" t="n">
        <v>470</v>
      </c>
      <c r="K255" s="28">
        <f>TABL123[[#This Row],[ (T/B) SAR]]+TABL123[[#This Row],[ (S/S) SAR]]</f>
        <v/>
      </c>
      <c r="L255" s="41" t="n">
        <v>319</v>
      </c>
      <c r="M255" s="42" t="n"/>
      <c r="N255" s="42" t="n">
        <v>7.1</v>
      </c>
      <c r="O255" s="39" t="n">
        <v>415</v>
      </c>
      <c r="P255" s="9">
        <f>TABL123[[#This Row],[ (S/S) SAR]]-TABL123[[#This Row],[(S/S) AJD]]</f>
        <v/>
      </c>
      <c r="Q255" s="39" t="n">
        <v>448</v>
      </c>
      <c r="R255" s="9">
        <f>TABL123[[#This Row],[ (T/B) SAR]]-TABL123[[#This Row],[(T/B) AJD]]</f>
        <v/>
      </c>
      <c r="S255" s="9">
        <f>TABL123[[#This Row],[T/B-CON.]]+TABL123[[#This Row],[S/S_CON.]]</f>
        <v/>
      </c>
      <c r="T255" s="9">
        <f>TABL123[[#This Row],[(S/S) AJD]]+TABL123[[#This Row],[(T/B) AJD]]</f>
        <v/>
      </c>
      <c r="U255" s="41" t="n">
        <v>573</v>
      </c>
      <c r="V255" s="41" t="n">
        <v>236</v>
      </c>
      <c r="W255" s="9">
        <f>TABL123[[#This Row],[(A/B) AJD]]+TABL123[[#This Row],[(A/S) AJD]]</f>
        <v/>
      </c>
      <c r="X255" s="9">
        <f>TABL123[[#This Row],[( S/S+T/B) AJD]]-TABL123[[#This Row],[(A/B + A/S) AJD]]</f>
        <v/>
      </c>
      <c r="Y255" s="41" t="n">
        <v>92.452</v>
      </c>
      <c r="Z255" s="43" t="n">
        <v>468044</v>
      </c>
      <c r="AA255" s="3">
        <f>TABL123[[#This Row],[(RESV. STORGE) AJD]]/10</f>
        <v/>
      </c>
      <c r="AB255" s="45">
        <f>IF(TRIM(Z255)="",,(Z255-Z254)/1000)</f>
        <v/>
      </c>
      <c r="AC255" s="43" t="n">
        <v>2417</v>
      </c>
      <c r="AD255" s="83">
        <f>TABL123[[#This Row],[( S/S+T/B) AJD]]-(TABL123[[#This Row],[(A/B + A/S) AJD]]+TABL123[[#This Row],[(STORGE DIFF.) AJD]]+(TABL123[[#This Row],[AJD_Evaporation]])/1000)</f>
        <v/>
      </c>
      <c r="AE255" s="68" t="n">
        <v>50</v>
      </c>
      <c r="AF255" s="68" t="n">
        <v>58.524</v>
      </c>
      <c r="AG255" s="68" t="n">
        <v>1310371</v>
      </c>
      <c r="AH255" s="43" t="n">
        <v>3135</v>
      </c>
      <c r="AI255" s="43" t="n">
        <v>3135</v>
      </c>
      <c r="AJ255" s="78">
        <f>TABL123[[#This Row],[(A/B) AJD]]-TABL123[[#This Row],[BER_IN]]</f>
        <v/>
      </c>
      <c r="AK255" s="68" t="n">
        <v>0</v>
      </c>
      <c r="AL255" s="87" t="n">
        <v>42.696</v>
      </c>
      <c r="AM255" s="87" t="n">
        <v>2945137</v>
      </c>
      <c r="AN255" s="87">
        <f>TABL123[[#This Row],[ (RESV. STORGE) SER]]/10</f>
        <v/>
      </c>
      <c r="AO255" s="43" t="n">
        <v>1980</v>
      </c>
      <c r="AP255" s="32">
        <f>TABL123[[#This Row],[(A/S) AJD]]-TABL123[[#This Row],[SER_IN]]</f>
        <v/>
      </c>
    </row>
    <row r="256" ht="18.75" customHeight="1">
      <c r="A256" s="2" t="n">
        <v>46277</v>
      </c>
      <c r="B256" s="44" t="n">
        <v>41</v>
      </c>
      <c r="C256" s="44" t="n">
        <v>324</v>
      </c>
      <c r="D256" s="44">
        <f>B256</f>
        <v/>
      </c>
      <c r="E256" s="35" t="n"/>
      <c r="F256" s="44" t="n">
        <v>93</v>
      </c>
      <c r="G256" s="40" t="n">
        <v>617</v>
      </c>
      <c r="H256" s="28">
        <f>103-F256</f>
        <v/>
      </c>
      <c r="I256" s="40" t="n">
        <v>485</v>
      </c>
      <c r="J256" s="44" t="n">
        <v>475</v>
      </c>
      <c r="K256" s="28">
        <f>TABL123[[#This Row],[ (T/B) SAR]]+TABL123[[#This Row],[ (S/S) SAR]]</f>
        <v/>
      </c>
      <c r="L256" s="45" t="n">
        <v>293</v>
      </c>
      <c r="M256" s="46" t="n"/>
      <c r="N256" s="46" t="n">
        <v>7.2</v>
      </c>
      <c r="O256" s="40" t="n">
        <v>390</v>
      </c>
      <c r="P256" s="9">
        <f>TABL123[[#This Row],[ (S/S) SAR]]-TABL123[[#This Row],[(S/S) AJD]]</f>
        <v/>
      </c>
      <c r="Q256" s="40" t="n">
        <v>423</v>
      </c>
      <c r="R256" s="9">
        <f>TABL123[[#This Row],[ (T/B) SAR]]-TABL123[[#This Row],[(T/B) AJD]]</f>
        <v/>
      </c>
      <c r="S256" s="9">
        <f>TABL123[[#This Row],[T/B-CON.]]+TABL123[[#This Row],[S/S_CON.]]</f>
        <v/>
      </c>
      <c r="T256" s="9">
        <f>TABL123[[#This Row],[(S/S) AJD]]+TABL123[[#This Row],[(T/B) AJD]]</f>
        <v/>
      </c>
      <c r="U256" s="44" t="n">
        <v>564</v>
      </c>
      <c r="V256" s="44" t="n">
        <v>236</v>
      </c>
      <c r="W256" s="9">
        <f>TABL123[[#This Row],[(A/B) AJD]]+TABL123[[#This Row],[(A/S) AJD]]</f>
        <v/>
      </c>
      <c r="X256" s="9">
        <f>TABL123[[#This Row],[( S/S+T/B) AJD]]-TABL123[[#This Row],[(A/B + A/S) AJD]]</f>
        <v/>
      </c>
      <c r="Y256" s="44" t="n">
        <v>92.435</v>
      </c>
      <c r="Z256" s="45" t="n">
        <v>457921</v>
      </c>
      <c r="AA256" s="3">
        <f>TABL123[[#This Row],[(RESV. STORGE) AJD]]/10</f>
        <v/>
      </c>
      <c r="AB256" s="45">
        <f>IF(TRIM(Z256)="",,(Z256-Z255)/1000)</f>
        <v/>
      </c>
      <c r="AC256" s="45" t="n">
        <v>2417</v>
      </c>
      <c r="AD256" s="83">
        <f>TABL123[[#This Row],[( S/S+T/B) AJD]]-(TABL123[[#This Row],[(A/B + A/S) AJD]]+TABL123[[#This Row],[(STORGE DIFF.) AJD]]+(TABL123[[#This Row],[AJD_Evaporation]])/1000)</f>
        <v/>
      </c>
      <c r="AE256" s="68" t="n">
        <v>50</v>
      </c>
      <c r="AF256" s="68" t="n">
        <v>58.474</v>
      </c>
      <c r="AG256" s="68" t="n">
        <v>1277577</v>
      </c>
      <c r="AH256" s="45" t="n">
        <v>3114</v>
      </c>
      <c r="AI256" s="45" t="n">
        <v>3114</v>
      </c>
      <c r="AJ256" s="78">
        <f>TABL123[[#This Row],[(A/B) AJD]]-TABL123[[#This Row],[BER_IN]]</f>
        <v/>
      </c>
      <c r="AK256" s="68" t="n">
        <v>0</v>
      </c>
      <c r="AL256" s="87" t="n">
        <v>42.6518</v>
      </c>
      <c r="AM256" s="87" t="n">
        <v>2920698</v>
      </c>
      <c r="AN256" s="87">
        <f>TABL123[[#This Row],[ (RESV. STORGE) SER]]/10</f>
        <v/>
      </c>
      <c r="AO256" s="45" t="n">
        <v>1935</v>
      </c>
      <c r="AP256" s="32">
        <f>TABL123[[#This Row],[(A/S) AJD]]-TABL123[[#This Row],[SER_IN]]</f>
        <v/>
      </c>
    </row>
    <row r="257" ht="18.75" customHeight="1">
      <c r="A257" s="2" t="n">
        <v>46278</v>
      </c>
      <c r="B257" s="41" t="n">
        <v>41</v>
      </c>
      <c r="C257" s="41" t="n">
        <v>306</v>
      </c>
      <c r="D257" s="41">
        <f>B257</f>
        <v/>
      </c>
      <c r="E257" s="35" t="n"/>
      <c r="F257" s="41" t="n">
        <v>93</v>
      </c>
      <c r="G257" s="39" t="n">
        <v>617</v>
      </c>
      <c r="H257" s="28">
        <f>103-F257</f>
        <v/>
      </c>
      <c r="I257" s="39" t="n">
        <v>482</v>
      </c>
      <c r="J257" s="39" t="n">
        <v>472</v>
      </c>
      <c r="K257" s="28">
        <f>TABL123[[#This Row],[ (T/B) SAR]]+TABL123[[#This Row],[ (S/S) SAR]]</f>
        <v/>
      </c>
      <c r="L257" s="41" t="n">
        <v>297</v>
      </c>
      <c r="M257" s="42" t="n"/>
      <c r="N257" s="42" t="n">
        <v>7.5</v>
      </c>
      <c r="O257" s="39" t="n">
        <v>420</v>
      </c>
      <c r="P257" s="9">
        <f>TABL123[[#This Row],[ (S/S) SAR]]-TABL123[[#This Row],[(S/S) AJD]]</f>
        <v/>
      </c>
      <c r="Q257" s="39" t="n">
        <v>389</v>
      </c>
      <c r="R257" s="9">
        <f>TABL123[[#This Row],[ (T/B) SAR]]-TABL123[[#This Row],[(T/B) AJD]]</f>
        <v/>
      </c>
      <c r="S257" s="9">
        <f>TABL123[[#This Row],[T/B-CON.]]+TABL123[[#This Row],[S/S_CON.]]</f>
        <v/>
      </c>
      <c r="T257" s="9">
        <f>TABL123[[#This Row],[(S/S) AJD]]+TABL123[[#This Row],[(T/B) AJD]]</f>
        <v/>
      </c>
      <c r="U257" s="41" t="n">
        <v>534</v>
      </c>
      <c r="V257" s="41" t="n">
        <v>209</v>
      </c>
      <c r="W257" s="9">
        <f>TABL123[[#This Row],[(A/B) AJD]]+TABL123[[#This Row],[(A/S) AJD]]</f>
        <v/>
      </c>
      <c r="X257" s="9">
        <f>TABL123[[#This Row],[( S/S+T/B) AJD]]-TABL123[[#This Row],[(A/B + A/S) AJD]]</f>
        <v/>
      </c>
      <c r="Y257" s="41" t="n">
        <v>92.5</v>
      </c>
      <c r="Z257" s="43" t="n">
        <v>496624</v>
      </c>
      <c r="AA257" s="3">
        <f>TABL123[[#This Row],[(RESV. STORGE) AJD]]/10</f>
        <v/>
      </c>
      <c r="AB257" s="45">
        <f>IF(TRIM(Z257)="",,(Z257-Z256)/1000)</f>
        <v/>
      </c>
      <c r="AC257" s="43" t="n">
        <v>3177</v>
      </c>
      <c r="AD257" s="83">
        <f>TABL123[[#This Row],[( S/S+T/B) AJD]]-(TABL123[[#This Row],[(A/B + A/S) AJD]]+TABL123[[#This Row],[(STORGE DIFF.) AJD]]+(TABL123[[#This Row],[AJD_Evaporation]])/1000)</f>
        <v/>
      </c>
      <c r="AE257" s="68" t="n">
        <v>50</v>
      </c>
      <c r="AF257" s="68" t="n">
        <v>58.455</v>
      </c>
      <c r="AG257" s="68" t="n">
        <v>1265121</v>
      </c>
      <c r="AH257" s="43" t="n">
        <v>2696</v>
      </c>
      <c r="AI257" s="43" t="n">
        <v>2696</v>
      </c>
      <c r="AJ257" s="78">
        <f>TABL123[[#This Row],[(A/B) AJD]]-TABL123[[#This Row],[BER_IN]]</f>
        <v/>
      </c>
      <c r="AK257" s="68" t="n">
        <v>0</v>
      </c>
      <c r="AL257" s="87" t="n">
        <v>42.5981</v>
      </c>
      <c r="AM257" s="87" t="n">
        <v>2891290</v>
      </c>
      <c r="AN257" s="87">
        <f>TABL123[[#This Row],[ (RESV. STORGE) SER]]/10</f>
        <v/>
      </c>
      <c r="AO257" s="43" t="n">
        <v>1955</v>
      </c>
      <c r="AP257" s="32">
        <f>TABL123[[#This Row],[(A/S) AJD]]-TABL123[[#This Row],[SER_IN]]</f>
        <v/>
      </c>
    </row>
    <row r="258" ht="18.75" customHeight="1">
      <c r="A258" s="2" t="n">
        <v>46279</v>
      </c>
      <c r="B258" s="44" t="n">
        <v>41</v>
      </c>
      <c r="C258" s="44" t="n">
        <v>309</v>
      </c>
      <c r="D258" s="44">
        <f>B258</f>
        <v/>
      </c>
      <c r="E258" s="35" t="n"/>
      <c r="F258" s="44" t="n">
        <v>93</v>
      </c>
      <c r="G258" s="40" t="n">
        <v>617</v>
      </c>
      <c r="H258" s="28">
        <f>103-F258</f>
        <v/>
      </c>
      <c r="I258" s="40" t="n">
        <v>478</v>
      </c>
      <c r="J258" s="44" t="n">
        <v>486</v>
      </c>
      <c r="K258" s="28">
        <f>TABL123[[#This Row],[ (T/B) SAR]]+TABL123[[#This Row],[ (S/S) SAR]]</f>
        <v/>
      </c>
      <c r="L258" s="45" t="n">
        <v>299</v>
      </c>
      <c r="M258" s="46" t="n"/>
      <c r="N258" s="46" t="n">
        <v>7.5</v>
      </c>
      <c r="O258" s="40" t="n">
        <v>388</v>
      </c>
      <c r="P258" s="9">
        <f>TABL123[[#This Row],[ (S/S) SAR]]-TABL123[[#This Row],[(S/S) AJD]]</f>
        <v/>
      </c>
      <c r="Q258" s="40" t="n">
        <v>420</v>
      </c>
      <c r="R258" s="9">
        <f>TABL123[[#This Row],[ (T/B) SAR]]-TABL123[[#This Row],[(T/B) AJD]]</f>
        <v/>
      </c>
      <c r="S258" s="9">
        <f>TABL123[[#This Row],[T/B-CON.]]+TABL123[[#This Row],[S/S_CON.]]</f>
        <v/>
      </c>
      <c r="T258" s="9">
        <f>TABL123[[#This Row],[(S/S) AJD]]+TABL123[[#This Row],[(T/B) AJD]]</f>
        <v/>
      </c>
      <c r="U258" s="44" t="n">
        <v>570</v>
      </c>
      <c r="V258" s="44" t="n">
        <v>201</v>
      </c>
      <c r="W258" s="9">
        <f>TABL123[[#This Row],[(A/B) AJD]]+TABL123[[#This Row],[(A/S) AJD]]</f>
        <v/>
      </c>
      <c r="X258" s="9">
        <f>TABL123[[#This Row],[( S/S+T/B) AJD]]-TABL123[[#This Row],[(A/B + A/S) AJD]]</f>
        <v/>
      </c>
      <c r="Y258" s="44" t="n">
        <v>92.515</v>
      </c>
      <c r="Z258" s="45" t="n">
        <v>503774</v>
      </c>
      <c r="AA258" s="3">
        <f>TABL123[[#This Row],[(RESV. STORGE) AJD]]/10</f>
        <v/>
      </c>
      <c r="AB258" s="45">
        <f>IF(TRIM(Z258)="",,(Z258-Z257)/1000)</f>
        <v/>
      </c>
      <c r="AC258" s="45" t="n">
        <v>3328</v>
      </c>
      <c r="AD258" s="83">
        <f>TABL123[[#This Row],[( S/S+T/B) AJD]]-(TABL123[[#This Row],[(A/B + A/S) AJD]]+TABL123[[#This Row],[(STORGE DIFF.) AJD]]+(TABL123[[#This Row],[AJD_Evaporation]])/1000)</f>
        <v/>
      </c>
      <c r="AE258" s="68" t="n">
        <v>50</v>
      </c>
      <c r="AF258" s="68" t="n">
        <v>58.406</v>
      </c>
      <c r="AG258" s="68" t="n">
        <v>1233011</v>
      </c>
      <c r="AH258" s="45" t="n">
        <v>2429</v>
      </c>
      <c r="AI258" s="45" t="n">
        <v>2429</v>
      </c>
      <c r="AJ258" s="78">
        <f>TABL123[[#This Row],[(A/B) AJD]]-TABL123[[#This Row],[BER_IN]]</f>
        <v/>
      </c>
      <c r="AK258" s="68" t="n">
        <v>0</v>
      </c>
      <c r="AL258" s="87" t="n">
        <v>42.5394</v>
      </c>
      <c r="AM258" s="87" t="n">
        <v>2860540</v>
      </c>
      <c r="AN258" s="87">
        <f>TABL123[[#This Row],[ (RESV. STORGE) SER]]/10</f>
        <v/>
      </c>
      <c r="AO258" s="45" t="n">
        <v>1960</v>
      </c>
      <c r="AP258" s="32">
        <f>TABL123[[#This Row],[(A/S) AJD]]-TABL123[[#This Row],[SER_IN]]</f>
        <v/>
      </c>
    </row>
    <row r="259" ht="18.75" customHeight="1">
      <c r="A259" s="2" t="n">
        <v>46280</v>
      </c>
      <c r="B259" s="41" t="n">
        <v>40</v>
      </c>
      <c r="C259" s="41" t="n">
        <v>275</v>
      </c>
      <c r="D259" s="41">
        <f>B259</f>
        <v/>
      </c>
      <c r="E259" s="35" t="n"/>
      <c r="F259" s="41" t="n">
        <v>92</v>
      </c>
      <c r="G259" s="39" t="n">
        <v>610</v>
      </c>
      <c r="H259" s="28">
        <f>103-F259</f>
        <v/>
      </c>
      <c r="I259" s="39" t="n">
        <v>280</v>
      </c>
      <c r="J259" s="39" t="n">
        <v>270</v>
      </c>
      <c r="K259" s="28">
        <f>TABL123[[#This Row],[ (T/B) SAR]]+TABL123[[#This Row],[ (S/S) SAR]]</f>
        <v/>
      </c>
      <c r="L259" s="41" t="n">
        <v>324</v>
      </c>
      <c r="M259" s="42" t="n"/>
      <c r="N259" s="42" t="n">
        <v>7.4</v>
      </c>
      <c r="O259" s="39" t="n">
        <v>388</v>
      </c>
      <c r="P259" s="9">
        <f>TABL123[[#This Row],[ (S/S) SAR]]-TABL123[[#This Row],[(S/S) AJD]]</f>
        <v/>
      </c>
      <c r="Q259" s="39" t="n">
        <v>421</v>
      </c>
      <c r="R259" s="9">
        <f>TABL123[[#This Row],[ (T/B) SAR]]-TABL123[[#This Row],[(T/B) AJD]]</f>
        <v/>
      </c>
      <c r="S259" s="9">
        <f>TABL123[[#This Row],[T/B-CON.]]+TABL123[[#This Row],[S/S_CON.]]</f>
        <v/>
      </c>
      <c r="T259" s="9">
        <f>TABL123[[#This Row],[(S/S) AJD]]+TABL123[[#This Row],[(T/B) AJD]]</f>
        <v/>
      </c>
      <c r="U259" s="41" t="n">
        <v>522</v>
      </c>
      <c r="V259" s="41" t="n">
        <v>192</v>
      </c>
      <c r="W259" s="9">
        <f>TABL123[[#This Row],[(A/B) AJD]]+TABL123[[#This Row],[(A/S) AJD]]</f>
        <v/>
      </c>
      <c r="X259" s="9">
        <f>TABL123[[#This Row],[( S/S+T/B) AJD]]-TABL123[[#This Row],[(A/B + A/S) AJD]]</f>
        <v/>
      </c>
      <c r="Y259" s="41" t="n">
        <v>92.622</v>
      </c>
      <c r="Z259" s="43" t="n">
        <v>569359</v>
      </c>
      <c r="AA259" s="3">
        <f>TABL123[[#This Row],[(RESV. STORGE) AJD]]/10</f>
        <v/>
      </c>
      <c r="AB259" s="45">
        <f>IF(TRIM(Z259)="",,(Z259-Z258)/1000)</f>
        <v/>
      </c>
      <c r="AC259" s="43" t="n">
        <v>3328</v>
      </c>
      <c r="AD259" s="83">
        <f>TABL123[[#This Row],[( S/S+T/B) AJD]]-(TABL123[[#This Row],[(A/B + A/S) AJD]]+TABL123[[#This Row],[(STORGE DIFF.) AJD]]+(TABL123[[#This Row],[AJD_Evaporation]])/1000)</f>
        <v/>
      </c>
      <c r="AE259" s="68" t="n">
        <v>50</v>
      </c>
      <c r="AF259" s="68" t="n">
        <v>58.433</v>
      </c>
      <c r="AG259" s="68" t="n">
        <v>1250702</v>
      </c>
      <c r="AH259" s="43" t="n">
        <v>2706</v>
      </c>
      <c r="AI259" s="43" t="n">
        <v>2706</v>
      </c>
      <c r="AJ259" s="78">
        <f>TABL123[[#This Row],[(A/B) AJD]]-TABL123[[#This Row],[BER_IN]]</f>
        <v/>
      </c>
      <c r="AK259" s="68" t="n">
        <v>0</v>
      </c>
      <c r="AL259" s="87" t="n">
        <v>42.4998</v>
      </c>
      <c r="AM259" s="87" t="n">
        <v>2838760</v>
      </c>
      <c r="AN259" s="87">
        <f>TABL123[[#This Row],[ (RESV. STORGE) SER]]/10</f>
        <v/>
      </c>
      <c r="AO259" s="43" t="n">
        <v>1900</v>
      </c>
      <c r="AP259" s="32">
        <f>TABL123[[#This Row],[(A/S) AJD]]-TABL123[[#This Row],[SER_IN]]</f>
        <v/>
      </c>
    </row>
    <row r="260" ht="18.75" customHeight="1">
      <c r="A260" s="2" t="n">
        <v>46281</v>
      </c>
      <c r="B260" s="44" t="n">
        <v>39</v>
      </c>
      <c r="C260" s="44" t="n">
        <v>285</v>
      </c>
      <c r="D260" s="44">
        <f>B260</f>
        <v/>
      </c>
      <c r="E260" s="35" t="n"/>
      <c r="F260" s="44" t="n">
        <v>93</v>
      </c>
      <c r="G260" s="40" t="n">
        <v>617</v>
      </c>
      <c r="H260" s="28">
        <f>103-F260</f>
        <v/>
      </c>
      <c r="I260" s="40" t="n">
        <v>465</v>
      </c>
      <c r="J260" s="44" t="n">
        <v>460</v>
      </c>
      <c r="K260" s="28">
        <f>TABL123[[#This Row],[ (T/B) SAR]]+TABL123[[#This Row],[ (S/S) SAR]]</f>
        <v/>
      </c>
      <c r="L260" s="45" t="n">
        <v>331</v>
      </c>
      <c r="M260" s="46" t="n"/>
      <c r="N260" s="46" t="n">
        <v>7</v>
      </c>
      <c r="O260" s="40" t="n">
        <v>349</v>
      </c>
      <c r="P260" s="9">
        <f>TABL123[[#This Row],[ (S/S) SAR]]-TABL123[[#This Row],[(S/S) AJD]]</f>
        <v/>
      </c>
      <c r="Q260" s="40" t="n">
        <v>382</v>
      </c>
      <c r="R260" s="9">
        <f>TABL123[[#This Row],[ (T/B) SAR]]-TABL123[[#This Row],[(T/B) AJD]]</f>
        <v/>
      </c>
      <c r="S260" s="9">
        <f>TABL123[[#This Row],[T/B-CON.]]+TABL123[[#This Row],[S/S_CON.]]</f>
        <v/>
      </c>
      <c r="T260" s="9">
        <f>TABL123[[#This Row],[(S/S) AJD]]+TABL123[[#This Row],[(T/B) AJD]]</f>
        <v/>
      </c>
      <c r="U260" s="44" t="n">
        <v>536</v>
      </c>
      <c r="V260" s="44" t="n">
        <v>237</v>
      </c>
      <c r="W260" s="9">
        <f>TABL123[[#This Row],[(A/B) AJD]]+TABL123[[#This Row],[(A/S) AJD]]</f>
        <v/>
      </c>
      <c r="X260" s="9">
        <f>TABL123[[#This Row],[( S/S+T/B) AJD]]-TABL123[[#This Row],[(A/B + A/S) AJD]]</f>
        <v/>
      </c>
      <c r="Y260" s="44" t="n">
        <v>92.51000000000001</v>
      </c>
      <c r="Z260" s="45" t="n">
        <v>502589</v>
      </c>
      <c r="AA260" s="3">
        <f>TABL123[[#This Row],[(RESV. STORGE) AJD]]/10</f>
        <v/>
      </c>
      <c r="AB260" s="45">
        <f>IF(TRIM(Z260)="",,(Z260-Z259)/1000)</f>
        <v/>
      </c>
      <c r="AC260" s="45" t="n">
        <v>2586</v>
      </c>
      <c r="AD260" s="83">
        <f>TABL123[[#This Row],[( S/S+T/B) AJD]]-(TABL123[[#This Row],[(A/B + A/S) AJD]]+TABL123[[#This Row],[(STORGE DIFF.) AJD]]+(TABL123[[#This Row],[AJD_Evaporation]])/1000)</f>
        <v/>
      </c>
      <c r="AE260" s="68" t="n">
        <v>50</v>
      </c>
      <c r="AF260" s="68" t="n">
        <v>58.446</v>
      </c>
      <c r="AG260" s="68" t="n">
        <v>1259222</v>
      </c>
      <c r="AH260" s="45" t="n">
        <v>2470</v>
      </c>
      <c r="AI260" s="45" t="n">
        <v>2470</v>
      </c>
      <c r="AJ260" s="78">
        <f>TABL123[[#This Row],[(A/B) AJD]]-TABL123[[#This Row],[BER_IN]]</f>
        <v/>
      </c>
      <c r="AK260" s="68" t="n">
        <v>0</v>
      </c>
      <c r="AL260" s="87" t="n">
        <v>42.4762</v>
      </c>
      <c r="AM260" s="87" t="n">
        <v>2825714</v>
      </c>
      <c r="AN260" s="87">
        <f>TABL123[[#This Row],[ (RESV. STORGE) SER]]/10</f>
        <v/>
      </c>
      <c r="AO260" s="45" t="n">
        <v>1870</v>
      </c>
      <c r="AP260" s="32">
        <f>TABL123[[#This Row],[(A/S) AJD]]-TABL123[[#This Row],[SER_IN]]</f>
        <v/>
      </c>
    </row>
    <row r="261" ht="18.75" customHeight="1">
      <c r="A261" s="2" t="n">
        <v>46282</v>
      </c>
      <c r="B261" s="41" t="n">
        <v>38</v>
      </c>
      <c r="C261" s="41" t="n">
        <v>307</v>
      </c>
      <c r="D261" s="41">
        <f>B261</f>
        <v/>
      </c>
      <c r="E261" s="35" t="n"/>
      <c r="F261" s="41" t="n">
        <v>93</v>
      </c>
      <c r="G261" s="39" t="n">
        <v>617</v>
      </c>
      <c r="H261" s="28">
        <f>103-F261</f>
        <v/>
      </c>
      <c r="I261" s="39" t="n">
        <v>496</v>
      </c>
      <c r="J261" s="39" t="n">
        <v>490</v>
      </c>
      <c r="K261" s="28">
        <f>TABL123[[#This Row],[ (T/B) SAR]]+TABL123[[#This Row],[ (S/S) SAR]]</f>
        <v/>
      </c>
      <c r="L261" s="41" t="n">
        <v>323</v>
      </c>
      <c r="M261" s="42" t="n"/>
      <c r="N261" s="42" t="n">
        <v>7</v>
      </c>
      <c r="O261" s="39" t="n">
        <v>396</v>
      </c>
      <c r="P261" s="9">
        <f>TABL123[[#This Row],[ (S/S) SAR]]-TABL123[[#This Row],[(S/S) AJD]]</f>
        <v/>
      </c>
      <c r="Q261" s="39" t="n">
        <v>425</v>
      </c>
      <c r="R261" s="9">
        <f>TABL123[[#This Row],[ (T/B) SAR]]-TABL123[[#This Row],[(T/B) AJD]]</f>
        <v/>
      </c>
      <c r="S261" s="9">
        <f>TABL123[[#This Row],[T/B-CON.]]+TABL123[[#This Row],[S/S_CON.]]</f>
        <v/>
      </c>
      <c r="T261" s="9">
        <f>TABL123[[#This Row],[(S/S) AJD]]+TABL123[[#This Row],[(T/B) AJD]]</f>
        <v/>
      </c>
      <c r="U261" s="41" t="n">
        <v>570</v>
      </c>
      <c r="V261" s="41" t="n">
        <v>259</v>
      </c>
      <c r="W261" s="9">
        <f>TABL123[[#This Row],[(A/B) AJD]]+TABL123[[#This Row],[(A/S) AJD]]</f>
        <v/>
      </c>
      <c r="X261" s="9">
        <f>TABL123[[#This Row],[( S/S+T/B) AJD]]-TABL123[[#This Row],[(A/B + A/S) AJD]]</f>
        <v/>
      </c>
      <c r="Y261" s="41" t="n">
        <v>92.447</v>
      </c>
      <c r="Z261" s="43" t="n">
        <v>465064</v>
      </c>
      <c r="AA261" s="3">
        <f>TABL123[[#This Row],[(RESV. STORGE) AJD]]/10</f>
        <v/>
      </c>
      <c r="AB261" s="45">
        <f>IF(TRIM(Z261)="",,(Z261-Z260)/1000)</f>
        <v/>
      </c>
      <c r="AC261" s="43" t="n">
        <v>2167</v>
      </c>
      <c r="AD261" s="83">
        <f>TABL123[[#This Row],[( S/S+T/B) AJD]]-(TABL123[[#This Row],[(A/B + A/S) AJD]]+TABL123[[#This Row],[(STORGE DIFF.) AJD]]+(TABL123[[#This Row],[AJD_Evaporation]])/1000)</f>
        <v/>
      </c>
      <c r="AE261" s="68" t="n">
        <v>50</v>
      </c>
      <c r="AF261" s="68" t="n">
        <v>58.462</v>
      </c>
      <c r="AG261" s="68" t="n">
        <v>1259709</v>
      </c>
      <c r="AH261" s="43" t="n">
        <v>2992</v>
      </c>
      <c r="AI261" s="43" t="n">
        <v>2992</v>
      </c>
      <c r="AJ261" s="78">
        <f>TABL123[[#This Row],[(A/B) AJD]]-TABL123[[#This Row],[BER_IN]]</f>
        <v/>
      </c>
      <c r="AK261" s="68" t="n">
        <v>8</v>
      </c>
      <c r="AL261" s="87" t="n">
        <v>42.4602</v>
      </c>
      <c r="AM261" s="87" t="n">
        <v>2817110</v>
      </c>
      <c r="AN261" s="87">
        <f>TABL123[[#This Row],[ (RESV. STORGE) SER]]/10</f>
        <v/>
      </c>
      <c r="AO261" s="43" t="n">
        <v>1804</v>
      </c>
      <c r="AP261" s="32">
        <f>TABL123[[#This Row],[(A/S) AJD]]-TABL123[[#This Row],[SER_IN]]</f>
        <v/>
      </c>
    </row>
    <row r="262" ht="18.75" customHeight="1">
      <c r="A262" s="2" t="n">
        <v>46283</v>
      </c>
      <c r="B262" s="44" t="n">
        <v>38</v>
      </c>
      <c r="C262" s="44" t="n">
        <v>308</v>
      </c>
      <c r="D262" s="44">
        <f>B262</f>
        <v/>
      </c>
      <c r="E262" s="35" t="n"/>
      <c r="F262" s="44" t="n">
        <v>93</v>
      </c>
      <c r="G262" s="40" t="n">
        <v>617</v>
      </c>
      <c r="H262" s="28">
        <f>103-F262</f>
        <v/>
      </c>
      <c r="I262" s="40" t="n">
        <v>499</v>
      </c>
      <c r="J262" s="44" t="n">
        <v>492</v>
      </c>
      <c r="K262" s="28">
        <f>TABL123[[#This Row],[ (T/B) SAR]]+TABL123[[#This Row],[ (S/S) SAR]]</f>
        <v/>
      </c>
      <c r="L262" s="45" t="n">
        <v>330</v>
      </c>
      <c r="M262" s="46" t="n">
        <v>25.3</v>
      </c>
      <c r="N262" s="46" t="n">
        <v>6.97</v>
      </c>
      <c r="O262" s="40" t="n">
        <v>410</v>
      </c>
      <c r="P262" s="9">
        <f>TABL123[[#This Row],[ (S/S) SAR]]-TABL123[[#This Row],[(S/S) AJD]]</f>
        <v/>
      </c>
      <c r="Q262" s="40" t="n">
        <v>441</v>
      </c>
      <c r="R262" s="9">
        <f>TABL123[[#This Row],[ (T/B) SAR]]-TABL123[[#This Row],[(T/B) AJD]]</f>
        <v/>
      </c>
      <c r="S262" s="9">
        <f>TABL123[[#This Row],[T/B-CON.]]+TABL123[[#This Row],[S/S_CON.]]</f>
        <v/>
      </c>
      <c r="T262" s="9">
        <f>TABL123[[#This Row],[(S/S) AJD]]+TABL123[[#This Row],[(T/B) AJD]]</f>
        <v/>
      </c>
      <c r="U262" s="44" t="n">
        <v>566</v>
      </c>
      <c r="V262" s="44" t="n">
        <v>294</v>
      </c>
      <c r="W262" s="9">
        <f>TABL123[[#This Row],[(A/B) AJD]]+TABL123[[#This Row],[(A/S) AJD]]</f>
        <v/>
      </c>
      <c r="X262" s="9">
        <f>TABL123[[#This Row],[( S/S+T/B) AJD]]-TABL123[[#This Row],[(A/B + A/S) AJD]]</f>
        <v/>
      </c>
      <c r="Y262" s="44" t="n">
        <v>92.375</v>
      </c>
      <c r="Z262" s="45" t="n">
        <v>422229</v>
      </c>
      <c r="AA262" s="3">
        <f>TABL123[[#This Row],[(RESV. STORGE) AJD]]/10</f>
        <v/>
      </c>
      <c r="AB262" s="45">
        <f>IF(TRIM(Z262)="",,(Z262-Z261)/1000)</f>
        <v/>
      </c>
      <c r="AC262" s="45" t="n">
        <v>2406</v>
      </c>
      <c r="AD262" s="83">
        <f>TABL123[[#This Row],[( S/S+T/B) AJD]]-(TABL123[[#This Row],[(A/B + A/S) AJD]]+TABL123[[#This Row],[(STORGE DIFF.) AJD]]+(TABL123[[#This Row],[AJD_Evaporation]])/1000)</f>
        <v/>
      </c>
      <c r="AE262" s="68" t="n">
        <v>50</v>
      </c>
      <c r="AF262" s="68" t="n">
        <v>58474</v>
      </c>
      <c r="AG262" s="68" t="n">
        <v>1277577</v>
      </c>
      <c r="AH262" s="45" t="n">
        <v>2292</v>
      </c>
      <c r="AI262" s="45" t="n">
        <v>2292</v>
      </c>
      <c r="AJ262" s="78">
        <f>TABL123[[#This Row],[(A/B) AJD]]-TABL123[[#This Row],[BER_IN]]</f>
        <v/>
      </c>
      <c r="AK262" s="68" t="n">
        <v>48</v>
      </c>
      <c r="AL262" s="87" t="n">
        <v>42.4949</v>
      </c>
      <c r="AM262" s="87" t="n">
        <v>2835450</v>
      </c>
      <c r="AN262" s="87">
        <f>TABL123[[#This Row],[ (RESV. STORGE) SER]]/10</f>
        <v/>
      </c>
      <c r="AO262" s="45" t="n">
        <v>1860</v>
      </c>
      <c r="AP262" s="32">
        <f>TABL123[[#This Row],[(A/S) AJD]]-TABL123[[#This Row],[SER_IN]]</f>
        <v/>
      </c>
    </row>
    <row r="263" ht="18.75" customHeight="1">
      <c r="A263" s="2" t="n">
        <v>46284</v>
      </c>
      <c r="B263" s="41" t="n">
        <v>38</v>
      </c>
      <c r="C263" s="41" t="n">
        <v>304</v>
      </c>
      <c r="D263" s="41">
        <f>B263</f>
        <v/>
      </c>
      <c r="E263" s="35" t="n"/>
      <c r="F263" s="41" t="n">
        <v>93</v>
      </c>
      <c r="G263" s="39" t="n">
        <v>617</v>
      </c>
      <c r="H263" s="28">
        <f>103-F263</f>
        <v/>
      </c>
      <c r="I263" s="39" t="n">
        <v>492</v>
      </c>
      <c r="J263" s="39" t="n">
        <v>487</v>
      </c>
      <c r="K263" s="28">
        <f>TABL123[[#This Row],[ (T/B) SAR]]+TABL123[[#This Row],[ (S/S) SAR]]</f>
        <v/>
      </c>
      <c r="L263" s="41" t="n">
        <v>329</v>
      </c>
      <c r="M263" s="42" t="n">
        <v>24.7</v>
      </c>
      <c r="N263" s="42" t="n">
        <v>6.99</v>
      </c>
      <c r="O263" s="39" t="n">
        <v>408</v>
      </c>
      <c r="P263" s="9">
        <f>TABL123[[#This Row],[ (S/S) SAR]]-TABL123[[#This Row],[(S/S) AJD]]</f>
        <v/>
      </c>
      <c r="Q263" s="39" t="n">
        <v>442</v>
      </c>
      <c r="R263" s="9">
        <f>TABL123[[#This Row],[ (T/B) SAR]]-TABL123[[#This Row],[(T/B) AJD]]</f>
        <v/>
      </c>
      <c r="S263" s="9">
        <f>TABL123[[#This Row],[T/B-CON.]]+TABL123[[#This Row],[S/S_CON.]]</f>
        <v/>
      </c>
      <c r="T263" s="9">
        <f>TABL123[[#This Row],[(S/S) AJD]]+TABL123[[#This Row],[(T/B) AJD]]</f>
        <v/>
      </c>
      <c r="U263" s="41" t="n">
        <v>571</v>
      </c>
      <c r="V263" s="41" t="n">
        <v>257</v>
      </c>
      <c r="W263" s="9">
        <f>TABL123[[#This Row],[(A/B) AJD]]+TABL123[[#This Row],[(A/S) AJD]]</f>
        <v/>
      </c>
      <c r="X263" s="9">
        <f>TABL123[[#This Row],[( S/S+T/B) AJD]]-TABL123[[#This Row],[(A/B + A/S) AJD]]</f>
        <v/>
      </c>
      <c r="Y263" s="41" t="n">
        <v>92.367</v>
      </c>
      <c r="Z263" s="43" t="n">
        <v>417476</v>
      </c>
      <c r="AA263" s="3">
        <f>TABL123[[#This Row],[(RESV. STORGE) AJD]]/10</f>
        <v/>
      </c>
      <c r="AB263" s="45">
        <f>IF(TRIM(Z263)="",,(Z263-Z262)/1000)</f>
        <v/>
      </c>
      <c r="AC263" s="43" t="n">
        <v>2938</v>
      </c>
      <c r="AD263" s="83">
        <f>TABL123[[#This Row],[( S/S+T/B) AJD]]-(TABL123[[#This Row],[(A/B + A/S) AJD]]+TABL123[[#This Row],[(STORGE DIFF.) AJD]]+(TABL123[[#This Row],[AJD_Evaporation]])/1000)</f>
        <v/>
      </c>
      <c r="AE263" s="68" t="n">
        <v>50</v>
      </c>
      <c r="AF263" s="68" t="n">
        <v>58.485</v>
      </c>
      <c r="AG263" s="68" t="n">
        <v>1284790</v>
      </c>
      <c r="AH263" s="43" t="n">
        <v>2947</v>
      </c>
      <c r="AI263" s="43" t="n">
        <v>2947</v>
      </c>
      <c r="AJ263" s="78">
        <f>TABL123[[#This Row],[(A/B) AJD]]-TABL123[[#This Row],[BER_IN]]</f>
        <v/>
      </c>
      <c r="AK263" s="68" t="n">
        <v>27</v>
      </c>
      <c r="AL263" s="87" t="n">
        <v>42.5002</v>
      </c>
      <c r="AM263" s="87" t="n">
        <v>2839080</v>
      </c>
      <c r="AN263" s="87">
        <f>TABL123[[#This Row],[ (RESV. STORGE) SER]]/10</f>
        <v/>
      </c>
      <c r="AO263" s="43" t="n">
        <v>1870</v>
      </c>
      <c r="AP263" s="32">
        <f>TABL123[[#This Row],[(A/S) AJD]]-TABL123[[#This Row],[SER_IN]]</f>
        <v/>
      </c>
    </row>
    <row r="264" ht="18.75" customHeight="1">
      <c r="A264" s="2" t="n">
        <v>46285</v>
      </c>
      <c r="B264" s="44" t="n">
        <v>38</v>
      </c>
      <c r="C264" s="44" t="n">
        <v>306</v>
      </c>
      <c r="D264" s="44">
        <f>B264</f>
        <v/>
      </c>
      <c r="E264" s="35" t="n"/>
      <c r="F264" s="44" t="n">
        <v>93</v>
      </c>
      <c r="G264" s="40" t="n">
        <v>617</v>
      </c>
      <c r="H264" s="28">
        <f>103-F264</f>
        <v/>
      </c>
      <c r="I264" s="40" t="n">
        <v>491</v>
      </c>
      <c r="J264" s="44" t="n">
        <v>484</v>
      </c>
      <c r="K264" s="28">
        <f>TABL123[[#This Row],[ (T/B) SAR]]+TABL123[[#This Row],[ (S/S) SAR]]</f>
        <v/>
      </c>
      <c r="L264" s="45" t="n">
        <v>333</v>
      </c>
      <c r="M264" s="46" t="n">
        <v>24.7</v>
      </c>
      <c r="N264" s="46" t="n">
        <v>7.02</v>
      </c>
      <c r="O264" s="40" t="n">
        <v>398</v>
      </c>
      <c r="P264" s="9">
        <f>TABL123[[#This Row],[ (S/S) SAR]]-TABL123[[#This Row],[(S/S) AJD]]</f>
        <v/>
      </c>
      <c r="Q264" s="40" t="n">
        <v>433</v>
      </c>
      <c r="R264" s="9">
        <f>TABL123[[#This Row],[ (T/B) SAR]]-TABL123[[#This Row],[(T/B) AJD]]</f>
        <v/>
      </c>
      <c r="S264" s="9">
        <f>TABL123[[#This Row],[T/B-CON.]]+TABL123[[#This Row],[S/S_CON.]]</f>
        <v/>
      </c>
      <c r="T264" s="9">
        <f>TABL123[[#This Row],[(S/S) AJD]]+TABL123[[#This Row],[(T/B) AJD]]</f>
        <v/>
      </c>
      <c r="U264" s="44" t="n">
        <v>568</v>
      </c>
      <c r="V264" s="44" t="n">
        <v>233</v>
      </c>
      <c r="W264" s="9">
        <f>TABL123[[#This Row],[(A/B) AJD]]+TABL123[[#This Row],[(A/S) AJD]]</f>
        <v/>
      </c>
      <c r="X264" s="9">
        <f>TABL123[[#This Row],[( S/S+T/B) AJD]]-TABL123[[#This Row],[(A/B + A/S) AJD]]</f>
        <v/>
      </c>
      <c r="Y264" s="44" t="n">
        <v>92.38</v>
      </c>
      <c r="Z264" s="45" t="n">
        <v>425201</v>
      </c>
      <c r="AA264" s="3">
        <f>TABL123[[#This Row],[(RESV. STORGE) AJD]]/10</f>
        <v/>
      </c>
      <c r="AB264" s="45">
        <f>IF(TRIM(Z264)="",,(Z264-Z263)/1000)</f>
        <v/>
      </c>
      <c r="AC264" s="45" t="n">
        <v>3314</v>
      </c>
      <c r="AD264" s="83">
        <f>TABL123[[#This Row],[( S/S+T/B) AJD]]-(TABL123[[#This Row],[(A/B + A/S) AJD]]+TABL123[[#This Row],[(STORGE DIFF.) AJD]]+(TABL123[[#This Row],[AJD_Evaporation]])/1000)</f>
        <v/>
      </c>
      <c r="AE264" s="68" t="n">
        <v>50</v>
      </c>
      <c r="AF264" s="68" t="n">
        <v>58.495</v>
      </c>
      <c r="AG264" s="68" t="n">
        <v>1291348</v>
      </c>
      <c r="AH264" s="45" t="n">
        <v>3601</v>
      </c>
      <c r="AI264" s="45" t="n">
        <v>3601</v>
      </c>
      <c r="AJ264" s="78">
        <f>TABL123[[#This Row],[(A/B) AJD]]-TABL123[[#This Row],[BER_IN]]</f>
        <v/>
      </c>
      <c r="AK264" s="68" t="n">
        <v>0</v>
      </c>
      <c r="AL264" s="87" t="n">
        <v>42.4604</v>
      </c>
      <c r="AM264" s="87" t="n">
        <v>2817120</v>
      </c>
      <c r="AN264" s="87">
        <f>TABL123[[#This Row],[ (RESV. STORGE) SER]]/10</f>
        <v/>
      </c>
      <c r="AO264" s="45" t="n">
        <v>1860</v>
      </c>
      <c r="AP264" s="32">
        <f>TABL123[[#This Row],[(A/S) AJD]]-TABL123[[#This Row],[SER_IN]]</f>
        <v/>
      </c>
    </row>
    <row r="265" ht="18.75" customHeight="1">
      <c r="A265" s="2" t="n">
        <v>46286</v>
      </c>
      <c r="B265" s="41" t="n">
        <v>38</v>
      </c>
      <c r="C265" s="41" t="n">
        <v>290</v>
      </c>
      <c r="D265" s="41">
        <f>B265</f>
        <v/>
      </c>
      <c r="E265" s="35" t="n"/>
      <c r="F265" s="41" t="n">
        <v>93</v>
      </c>
      <c r="G265" s="39" t="n">
        <v>617</v>
      </c>
      <c r="H265" s="28">
        <f>103-F265</f>
        <v/>
      </c>
      <c r="I265" s="39" t="n">
        <v>489</v>
      </c>
      <c r="J265" s="39" t="n">
        <v>480</v>
      </c>
      <c r="K265" s="28">
        <f>TABL123[[#This Row],[ (T/B) SAR]]+TABL123[[#This Row],[ (S/S) SAR]]</f>
        <v/>
      </c>
      <c r="L265" s="41" t="n">
        <v>332</v>
      </c>
      <c r="M265" s="42" t="n">
        <v>24.7</v>
      </c>
      <c r="N265" s="42" t="n">
        <v>6.98</v>
      </c>
      <c r="O265" s="39" t="n">
        <v>398</v>
      </c>
      <c r="P265" s="9">
        <f>TABL123[[#This Row],[ (S/S) SAR]]-TABL123[[#This Row],[(S/S) AJD]]</f>
        <v/>
      </c>
      <c r="Q265" s="39" t="n">
        <v>430</v>
      </c>
      <c r="R265" s="9">
        <f>TABL123[[#This Row],[ (T/B) SAR]]-TABL123[[#This Row],[(T/B) AJD]]</f>
        <v/>
      </c>
      <c r="S265" s="9">
        <f>TABL123[[#This Row],[T/B-CON.]]+TABL123[[#This Row],[S/S_CON.]]</f>
        <v/>
      </c>
      <c r="T265" s="9">
        <f>TABL123[[#This Row],[(S/S) AJD]]+TABL123[[#This Row],[(T/B) AJD]]</f>
        <v/>
      </c>
      <c r="U265" s="41" t="n">
        <v>568</v>
      </c>
      <c r="V265" s="41" t="n">
        <v>210</v>
      </c>
      <c r="W265" s="9">
        <f>TABL123[[#This Row],[(A/B) AJD]]+TABL123[[#This Row],[(A/S) AJD]]</f>
        <v/>
      </c>
      <c r="X265" s="9">
        <f>TABL123[[#This Row],[( S/S+T/B) AJD]]-TABL123[[#This Row],[(A/B + A/S) AJD]]</f>
        <v/>
      </c>
      <c r="Y265" s="41" t="n">
        <v>92.43000000000001</v>
      </c>
      <c r="Z265" s="43" t="n">
        <v>454947</v>
      </c>
      <c r="AA265" s="3">
        <f>TABL123[[#This Row],[(RESV. STORGE) AJD]]/10</f>
        <v/>
      </c>
      <c r="AB265" s="45">
        <f>IF(TRIM(Z265)="",,(Z265-Z264)/1000)</f>
        <v/>
      </c>
      <c r="AC265" s="43" t="n">
        <v>2666</v>
      </c>
      <c r="AD265" s="83">
        <f>TABL123[[#This Row],[( S/S+T/B) AJD]]-(TABL123[[#This Row],[(A/B + A/S) AJD]]+TABL123[[#This Row],[(STORGE DIFF.) AJD]]+(TABL123[[#This Row],[AJD_Evaporation]])/1000)</f>
        <v/>
      </c>
      <c r="AE265" s="68" t="n">
        <v>50</v>
      </c>
      <c r="AF265" s="68" t="n">
        <v>58.514</v>
      </c>
      <c r="AG265" s="68" t="n">
        <v>1303810</v>
      </c>
      <c r="AH265" s="43" t="n">
        <v>3092</v>
      </c>
      <c r="AI265" s="43" t="n">
        <v>3092</v>
      </c>
      <c r="AJ265" s="78">
        <f>TABL123[[#This Row],[(A/B) AJD]]-TABL123[[#This Row],[BER_IN]]</f>
        <v/>
      </c>
      <c r="AK265" s="68" t="n">
        <v>0</v>
      </c>
      <c r="AL265" s="87" t="n">
        <v>42.4164</v>
      </c>
      <c r="AM265" s="87" t="n">
        <v>2793280</v>
      </c>
      <c r="AN265" s="87">
        <f>TABL123[[#This Row],[ (RESV. STORGE) SER]]/10</f>
        <v/>
      </c>
      <c r="AO265" s="43" t="n">
        <v>1840</v>
      </c>
      <c r="AP265" s="32">
        <f>TABL123[[#This Row],[(A/S) AJD]]-TABL123[[#This Row],[SER_IN]]</f>
        <v/>
      </c>
    </row>
    <row r="266" ht="18.75" customHeight="1">
      <c r="A266" s="2" t="n">
        <v>46287</v>
      </c>
      <c r="B266" s="44" t="n">
        <v>38</v>
      </c>
      <c r="C266" s="44" t="n">
        <v>297</v>
      </c>
      <c r="D266" s="44">
        <f>B266</f>
        <v/>
      </c>
      <c r="E266" s="35" t="n"/>
      <c r="F266" s="44" t="n">
        <v>92</v>
      </c>
      <c r="G266" s="40" t="n">
        <v>609</v>
      </c>
      <c r="H266" s="28">
        <f>103-F266</f>
        <v/>
      </c>
      <c r="I266" s="40" t="n">
        <v>494</v>
      </c>
      <c r="J266" s="44" t="n">
        <v>484</v>
      </c>
      <c r="K266" s="28">
        <f>TABL123[[#This Row],[ (T/B) SAR]]+TABL123[[#This Row],[ (S/S) SAR]]</f>
        <v/>
      </c>
      <c r="L266" s="45" t="n">
        <v>333</v>
      </c>
      <c r="M266" s="46" t="n">
        <v>24.7</v>
      </c>
      <c r="N266" s="46" t="n">
        <v>6.96</v>
      </c>
      <c r="O266" s="40" t="n">
        <v>402</v>
      </c>
      <c r="P266" s="9">
        <f>TABL123[[#This Row],[ (S/S) SAR]]-TABL123[[#This Row],[(S/S) AJD]]</f>
        <v/>
      </c>
      <c r="Q266" s="40" t="n">
        <v>431</v>
      </c>
      <c r="R266" s="9">
        <f>TABL123[[#This Row],[ (T/B) SAR]]-TABL123[[#This Row],[(T/B) AJD]]</f>
        <v/>
      </c>
      <c r="S266" s="9">
        <f>TABL123[[#This Row],[T/B-CON.]]+TABL123[[#This Row],[S/S_CON.]]</f>
        <v/>
      </c>
      <c r="T266" s="9">
        <f>TABL123[[#This Row],[(S/S) AJD]]+TABL123[[#This Row],[(T/B) AJD]]</f>
        <v/>
      </c>
      <c r="U266" s="44" t="n">
        <v>565</v>
      </c>
      <c r="V266" s="44" t="n">
        <v>201</v>
      </c>
      <c r="W266" s="9">
        <f>TABL123[[#This Row],[(A/B) AJD]]+TABL123[[#This Row],[(A/S) AJD]]</f>
        <v/>
      </c>
      <c r="X266" s="9">
        <f>TABL123[[#This Row],[( S/S+T/B) AJD]]-TABL123[[#This Row],[(A/B + A/S) AJD]]</f>
        <v/>
      </c>
      <c r="Y266" s="44" t="n">
        <v>92.5</v>
      </c>
      <c r="Z266" s="45" t="n">
        <v>496624</v>
      </c>
      <c r="AA266" s="3">
        <f>TABL123[[#This Row],[(RESV. STORGE) AJD]]/10</f>
        <v/>
      </c>
      <c r="AB266" s="45">
        <f>IF(TRIM(Z266)="",,(Z266-Z265)/1000)</f>
        <v/>
      </c>
      <c r="AC266" s="45" t="n">
        <v>2669</v>
      </c>
      <c r="AD266" s="83">
        <f>TABL123[[#This Row],[( S/S+T/B) AJD]]-(TABL123[[#This Row],[(A/B + A/S) AJD]]+TABL123[[#This Row],[(STORGE DIFF.) AJD]]+(TABL123[[#This Row],[AJD_Evaporation]])/1000)</f>
        <v/>
      </c>
      <c r="AE266" s="68" t="n">
        <v>52</v>
      </c>
      <c r="AF266" s="68" t="n">
        <v>58.526</v>
      </c>
      <c r="AG266" s="68" t="n">
        <v>1311683</v>
      </c>
      <c r="AH266" s="45" t="n">
        <v>3287</v>
      </c>
      <c r="AI266" s="45" t="n">
        <v>3287</v>
      </c>
      <c r="AJ266" s="78">
        <f>TABL123[[#This Row],[(A/B) AJD]]-TABL123[[#This Row],[BER_IN]]</f>
        <v/>
      </c>
      <c r="AK266" s="68" t="n">
        <v>0</v>
      </c>
      <c r="AL266" s="87" t="n">
        <v>42.3808</v>
      </c>
      <c r="AM266" s="87" t="n">
        <v>2774470</v>
      </c>
      <c r="AN266" s="87">
        <f>TABL123[[#This Row],[ (RESV. STORGE) SER]]/10</f>
        <v/>
      </c>
      <c r="AO266" s="45" t="n">
        <v>1810</v>
      </c>
      <c r="AP266" s="32">
        <f>TABL123[[#This Row],[(A/S) AJD]]-TABL123[[#This Row],[SER_IN]]</f>
        <v/>
      </c>
    </row>
    <row r="267" ht="18.75" customHeight="1">
      <c r="A267" s="2" t="n">
        <v>46288</v>
      </c>
      <c r="B267" s="41" t="n">
        <v>38</v>
      </c>
      <c r="C267" s="41" t="n">
        <v>293</v>
      </c>
      <c r="D267" s="41">
        <f>B267</f>
        <v/>
      </c>
      <c r="E267" s="35" t="n"/>
      <c r="F267" s="41" t="n">
        <v>93</v>
      </c>
      <c r="G267" s="39" t="n">
        <v>617</v>
      </c>
      <c r="H267" s="28">
        <f>103-F267</f>
        <v/>
      </c>
      <c r="I267" s="39" t="n">
        <v>498</v>
      </c>
      <c r="J267" s="39" t="n">
        <v>488</v>
      </c>
      <c r="K267" s="28">
        <f>TABL123[[#This Row],[ (T/B) SAR]]+TABL123[[#This Row],[ (S/S) SAR]]</f>
        <v/>
      </c>
      <c r="L267" s="41" t="n">
        <v>334</v>
      </c>
      <c r="M267" s="42" t="n">
        <v>24.7</v>
      </c>
      <c r="N267" s="42" t="n">
        <v>6.9</v>
      </c>
      <c r="O267" s="39" t="n">
        <v>405</v>
      </c>
      <c r="P267" s="9">
        <f>TABL123[[#This Row],[ (S/S) SAR]]-TABL123[[#This Row],[(S/S) AJD]]</f>
        <v/>
      </c>
      <c r="Q267" s="39" t="n">
        <v>435</v>
      </c>
      <c r="R267" s="9">
        <f>TABL123[[#This Row],[ (T/B) SAR]]-TABL123[[#This Row],[(T/B) AJD]]</f>
        <v/>
      </c>
      <c r="S267" s="9">
        <f>TABL123[[#This Row],[T/B-CON.]]+TABL123[[#This Row],[S/S_CON.]]</f>
        <v/>
      </c>
      <c r="T267" s="9">
        <f>TABL123[[#This Row],[(S/S) AJD]]+TABL123[[#This Row],[(T/B) AJD]]</f>
        <v/>
      </c>
      <c r="U267" s="41" t="n">
        <v>565</v>
      </c>
      <c r="V267" s="41" t="n">
        <v>205</v>
      </c>
      <c r="W267" s="9">
        <f>TABL123[[#This Row],[(A/B) AJD]]+TABL123[[#This Row],[(A/S) AJD]]</f>
        <v/>
      </c>
      <c r="X267" s="9">
        <f>TABL123[[#This Row],[( S/S+T/B) AJD]]-TABL123[[#This Row],[(A/B + A/S) AJD]]</f>
        <v/>
      </c>
      <c r="Y267" s="41" t="n">
        <v>92.574</v>
      </c>
      <c r="Z267" s="43" t="n">
        <v>540725</v>
      </c>
      <c r="AA267" s="3">
        <f>TABL123[[#This Row],[(RESV. STORGE) AJD]]/10</f>
        <v/>
      </c>
      <c r="AB267" s="45">
        <f>IF(TRIM(Z267)="",,(Z267-Z266)/1000)</f>
        <v/>
      </c>
      <c r="AC267" s="43" t="n">
        <v>2930</v>
      </c>
      <c r="AD267" s="83">
        <f>TABL123[[#This Row],[( S/S+T/B) AJD]]-(TABL123[[#This Row],[(A/B + A/S) AJD]]+TABL123[[#This Row],[(STORGE DIFF.) AJD]]+(TABL123[[#This Row],[AJD_Evaporation]])/1000)</f>
        <v/>
      </c>
      <c r="AE267" s="68" t="n">
        <v>51</v>
      </c>
      <c r="AF267" s="68" t="n">
        <v>58.559</v>
      </c>
      <c r="AG267" s="68" t="n">
        <v>1333339</v>
      </c>
      <c r="AH267" s="43" t="n">
        <v>2389</v>
      </c>
      <c r="AI267" s="43" t="n">
        <v>2389</v>
      </c>
      <c r="AJ267" s="78">
        <f>TABL123[[#This Row],[(A/B) AJD]]-TABL123[[#This Row],[BER_IN]]</f>
        <v/>
      </c>
      <c r="AK267" s="68" t="n">
        <v>0</v>
      </c>
      <c r="AL267" s="87" t="n">
        <v>42.3156</v>
      </c>
      <c r="AM267" s="87" t="n">
        <v>2739880</v>
      </c>
      <c r="AN267" s="87">
        <f>TABL123[[#This Row],[ (RESV. STORGE) SER]]/10</f>
        <v/>
      </c>
      <c r="AO267" s="43" t="n">
        <v>1890</v>
      </c>
      <c r="AP267" s="32">
        <f>TABL123[[#This Row],[(A/S) AJD]]-TABL123[[#This Row],[SER_IN]]</f>
        <v/>
      </c>
    </row>
    <row r="268" ht="19.5" customHeight="1" thickBot="1">
      <c r="A268" s="2" t="n">
        <v>46289</v>
      </c>
      <c r="B268" s="44" t="n"/>
      <c r="C268" s="44" t="n"/>
      <c r="D268" s="44">
        <f>B268</f>
        <v/>
      </c>
      <c r="E268" s="35" t="n"/>
      <c r="F268" s="44" t="n">
        <v>93</v>
      </c>
      <c r="G268" s="40" t="n">
        <v>617</v>
      </c>
      <c r="H268" s="28">
        <f>103-F268</f>
        <v/>
      </c>
      <c r="I268" s="40" t="n">
        <v>485</v>
      </c>
      <c r="J268" s="44" t="n">
        <v>476</v>
      </c>
      <c r="K268" s="28">
        <f>TABL123[[#This Row],[ (T/B) SAR]]+TABL123[[#This Row],[ (S/S) SAR]]</f>
        <v/>
      </c>
      <c r="L268" s="45" t="n">
        <v>312</v>
      </c>
      <c r="M268" s="46" t="n">
        <v>23.5</v>
      </c>
      <c r="N268" s="46" t="n">
        <v>6.9</v>
      </c>
      <c r="O268" s="14" t="n">
        <v>405</v>
      </c>
      <c r="P268" s="9">
        <f>TABL123[[#This Row],[ (S/S) SAR]]-TABL123[[#This Row],[(S/S) AJD]]</f>
        <v/>
      </c>
      <c r="Q268" s="40" t="n">
        <v>436</v>
      </c>
      <c r="R268" s="9">
        <f>TABL123[[#This Row],[ (T/B) SAR]]-TABL123[[#This Row],[(T/B) AJD]]</f>
        <v/>
      </c>
      <c r="S268" s="9">
        <f>TABL123[[#This Row],[T/B-CON.]]+TABL123[[#This Row],[S/S_CON.]]</f>
        <v/>
      </c>
      <c r="T268" s="9">
        <f>TABL123[[#This Row],[(S/S) AJD]]+TABL123[[#This Row],[(T/B) AJD]]</f>
        <v/>
      </c>
      <c r="U268" s="44" t="n">
        <v>572</v>
      </c>
      <c r="V268" s="44" t="n">
        <v>254</v>
      </c>
      <c r="W268" s="9">
        <f>TABL123[[#This Row],[(A/B) AJD]]+TABL123[[#This Row],[(A/S) AJD]]</f>
        <v/>
      </c>
      <c r="X268" s="9">
        <f>TABL123[[#This Row],[( S/S+T/B) AJD]]-TABL123[[#This Row],[(A/B + A/S) AJD]]</f>
        <v/>
      </c>
      <c r="Y268" s="44" t="n">
        <v>92.545</v>
      </c>
      <c r="Z268" s="45" t="n">
        <v>522841</v>
      </c>
      <c r="AA268" s="3">
        <f>TABL123[[#This Row],[(RESV. STORGE) AJD]]/10</f>
        <v/>
      </c>
      <c r="AB268" s="45">
        <f>IF(TRIM(Z268)="",,(Z268-Z267)/1000)</f>
        <v/>
      </c>
      <c r="AC268" s="45" t="n">
        <v>3655</v>
      </c>
      <c r="AD268" s="83">
        <f>TABL123[[#This Row],[( S/S+T/B) AJD]]-(TABL123[[#This Row],[(A/B + A/S) AJD]]+TABL123[[#This Row],[(STORGE DIFF.) AJD]]+(TABL123[[#This Row],[AJD_Evaporation]])/1000)</f>
        <v/>
      </c>
      <c r="AE268" s="68" t="n">
        <v>51</v>
      </c>
      <c r="AF268" s="68" t="n">
        <v>58.559</v>
      </c>
      <c r="AG268" s="68" t="n">
        <v>1333339</v>
      </c>
      <c r="AH268" s="45" t="n">
        <v>2389</v>
      </c>
      <c r="AI268" s="45" t="n">
        <v>2389</v>
      </c>
      <c r="AJ268" s="78">
        <f>TABL123[[#This Row],[(A/B) AJD]]-TABL123[[#This Row],[BER_IN]]</f>
        <v/>
      </c>
      <c r="AK268" s="68" t="n">
        <v>0</v>
      </c>
      <c r="AL268" s="87" t="n">
        <v>42.2548</v>
      </c>
      <c r="AM268" s="87" t="n">
        <v>2707210</v>
      </c>
      <c r="AN268" s="87">
        <f>TABL123[[#This Row],[ (RESV. STORGE) SER]]/10</f>
        <v/>
      </c>
      <c r="AO268" s="45" t="n">
        <v>1870</v>
      </c>
      <c r="AP268" s="32">
        <f>TABL123[[#This Row],[(A/S) AJD]]-TABL123[[#This Row],[SER_IN]]</f>
        <v/>
      </c>
    </row>
    <row r="269" ht="19.5" customHeight="1" thickBot="1">
      <c r="A269" s="2" t="n">
        <v>46290</v>
      </c>
      <c r="B269" s="41" t="n"/>
      <c r="C269" s="41" t="n"/>
      <c r="D269" s="41">
        <f>B269</f>
        <v/>
      </c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TABL123[[#This Row],[ (T/B) SAR]]+TABL123[[#This Row],[ (S/S) SAR]]</f>
        <v/>
      </c>
      <c r="L269" s="41" t="n"/>
      <c r="M269" s="42" t="n"/>
      <c r="N269" s="42" t="n"/>
      <c r="O269" s="14" t="n">
        <v>395</v>
      </c>
      <c r="P269" s="9">
        <f>TABL123[[#This Row],[ (S/S) SAR]]-TABL123[[#This Row],[(S/S) AJD]]</f>
        <v/>
      </c>
      <c r="Q269" s="14" t="n">
        <v>425</v>
      </c>
      <c r="R269" s="9">
        <f>TABL123[[#This Row],[ (T/B) SAR]]-TABL123[[#This Row],[(T/B) AJD]]</f>
        <v/>
      </c>
      <c r="S269" s="9">
        <f>TABL123[[#This Row],[T/B-CON.]]+TABL123[[#This Row],[S/S_CON.]]</f>
        <v/>
      </c>
      <c r="T269" s="9">
        <f>TABL123[[#This Row],[(S/S) AJD]]+TABL123[[#This Row],[(T/B) AJD]]</f>
        <v/>
      </c>
      <c r="U269" s="14" t="n">
        <v>570</v>
      </c>
      <c r="V269" s="14" t="n">
        <v>245</v>
      </c>
      <c r="W269" s="9">
        <f>TABL123[[#This Row],[(A/B) AJD]]+TABL123[[#This Row],[(A/S) AJD]]</f>
        <v/>
      </c>
      <c r="X269" s="9">
        <f>TABL123[[#This Row],[( S/S+T/B) AJD]]-TABL123[[#This Row],[(A/B + A/S) AJD]]</f>
        <v/>
      </c>
      <c r="Y269" s="15" t="n">
        <v>92.502</v>
      </c>
      <c r="Z269" s="16" t="n">
        <v>497815</v>
      </c>
      <c r="AA269" s="3">
        <f>TABL123[[#This Row],[(RESV. STORGE) AJD]]/10</f>
        <v/>
      </c>
      <c r="AB269" s="45">
        <f>IF(TRIM(Z269)="",,(Z269-Z268)/1000)</f>
        <v/>
      </c>
      <c r="AC269" s="43" t="n"/>
      <c r="AD269" s="83">
        <f>TABL123[[#This Row],[( S/S+T/B) AJD]]-(TABL123[[#This Row],[(A/B + A/S) AJD]]+TABL123[[#This Row],[(STORGE DIFF.) AJD]]+(TABL123[[#This Row],[AJD_Evaporation]])/1000)</f>
        <v/>
      </c>
      <c r="AE269" s="68" t="n"/>
      <c r="AF269" s="68" t="n"/>
      <c r="AG269" s="68" t="n"/>
      <c r="AH269" s="43" t="n"/>
      <c r="AI269" s="78" t="n"/>
      <c r="AJ269" s="78">
        <f>TABL123[[#This Row],[(A/B) AJD]]-TABL123[[#This Row],[BER_IN]]</f>
        <v/>
      </c>
      <c r="AK269" s="78" t="n"/>
      <c r="AL269" s="68" t="n"/>
      <c r="AM269" s="87" t="n"/>
      <c r="AN269" s="87">
        <f>TABL123[[#This Row],[ (RESV. STORGE) SER]]/10</f>
        <v/>
      </c>
      <c r="AO269" s="43" t="n"/>
      <c r="AP269" s="32">
        <f>TABL123[[#This Row],[(A/S) AJD]]-TABL123[[#This Row],[SER_IN]]</f>
        <v/>
      </c>
    </row>
    <row r="270" ht="19.5" customHeight="1" thickBot="1">
      <c r="A270" s="2" t="n">
        <v>46291</v>
      </c>
      <c r="B270" s="44" t="n"/>
      <c r="C270" s="44" t="n"/>
      <c r="D270" s="44">
        <f>B270</f>
        <v/>
      </c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TABL123[[#This Row],[ (T/B) SAR]]+TABL123[[#This Row],[ (S/S) SAR]]</f>
        <v/>
      </c>
      <c r="L270" s="45" t="n"/>
      <c r="M270" s="46" t="n"/>
      <c r="N270" s="46" t="n"/>
      <c r="O270" s="14" t="n">
        <v>389</v>
      </c>
      <c r="P270" s="9">
        <f>TABL123[[#This Row],[ (S/S) SAR]]-TABL123[[#This Row],[(S/S) AJD]]</f>
        <v/>
      </c>
      <c r="Q270" s="14" t="n">
        <v>420</v>
      </c>
      <c r="R270" s="9">
        <f>TABL123[[#This Row],[ (T/B) SAR]]-TABL123[[#This Row],[(T/B) AJD]]</f>
        <v/>
      </c>
      <c r="S270" s="9">
        <f>TABL123[[#This Row],[T/B-CON.]]+TABL123[[#This Row],[S/S_CON.]]</f>
        <v/>
      </c>
      <c r="T270" s="9">
        <f>TABL123[[#This Row],[(S/S) AJD]]+TABL123[[#This Row],[(T/B) AJD]]</f>
        <v/>
      </c>
      <c r="U270" s="14" t="n">
        <v>549</v>
      </c>
      <c r="V270" s="14" t="n">
        <v>244</v>
      </c>
      <c r="W270" s="9">
        <f>TABL123[[#This Row],[(A/B) AJD]]+TABL123[[#This Row],[(A/S) AJD]]</f>
        <v/>
      </c>
      <c r="X270" s="9">
        <f>TABL123[[#This Row],[( S/S+T/B) AJD]]-TABL123[[#This Row],[(A/B + A/S) AJD]]</f>
        <v/>
      </c>
      <c r="Y270" s="15" t="n">
        <v>92.48699999999999</v>
      </c>
      <c r="Z270" s="16" t="n">
        <v>488881</v>
      </c>
      <c r="AA270" s="3">
        <f>TABL123[[#This Row],[(RESV. STORGE) AJD]]/10</f>
        <v/>
      </c>
      <c r="AB270" s="45">
        <f>IF(TRIM(Z270)="",,(Z270-Z269)/1000)</f>
        <v/>
      </c>
      <c r="AC270" s="45" t="n"/>
      <c r="AD270" s="83">
        <f>TABL123[[#This Row],[( S/S+T/B) AJD]]-(TABL123[[#This Row],[(A/B + A/S) AJD]]+TABL123[[#This Row],[(STORGE DIFF.) AJD]]+(TABL123[[#This Row],[AJD_Evaporation]])/1000)</f>
        <v/>
      </c>
      <c r="AE270" s="68" t="n"/>
      <c r="AF270" s="68" t="n"/>
      <c r="AG270" s="68" t="n"/>
      <c r="AH270" s="45" t="n"/>
      <c r="AI270" s="78" t="n"/>
      <c r="AJ270" s="78">
        <f>TABL123[[#This Row],[(A/B) AJD]]-TABL123[[#This Row],[BER_IN]]</f>
        <v/>
      </c>
      <c r="AK270" s="78" t="n"/>
      <c r="AL270" s="68" t="n"/>
      <c r="AM270" s="87" t="n"/>
      <c r="AN270" s="87">
        <f>TABL123[[#This Row],[ (RESV. STORGE) SER]]/10</f>
        <v/>
      </c>
      <c r="AO270" s="45" t="n"/>
      <c r="AP270" s="32">
        <f>TABL123[[#This Row],[(A/S) AJD]]-TABL123[[#This Row],[SER_IN]]</f>
        <v/>
      </c>
    </row>
    <row r="271" ht="19.5" customHeight="1" thickBot="1">
      <c r="A271" s="2" t="n">
        <v>46292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TABL123[[#This Row],[ (T/B) SAR]]+TABL123[[#This Row],[ (S/S) SAR]]</f>
        <v/>
      </c>
      <c r="L271" s="41" t="n"/>
      <c r="M271" s="42" t="n"/>
      <c r="N271" s="42" t="n"/>
      <c r="O271" s="14" t="n">
        <v>376</v>
      </c>
      <c r="P271" s="9">
        <f>TABL123[[#This Row],[ (S/S) SAR]]-TABL123[[#This Row],[(S/S) AJD]]</f>
        <v/>
      </c>
      <c r="Q271" s="14" t="n">
        <v>409</v>
      </c>
      <c r="R271" s="9">
        <f>TABL123[[#This Row],[ (T/B) SAR]]-TABL123[[#This Row],[(T/B) AJD]]</f>
        <v/>
      </c>
      <c r="S271" s="9">
        <f>TABL123[[#This Row],[T/B-CON.]]+TABL123[[#This Row],[S/S_CON.]]</f>
        <v/>
      </c>
      <c r="T271" s="9">
        <f>TABL123[[#This Row],[(S/S) AJD]]+TABL123[[#This Row],[(T/B) AJD]]</f>
        <v/>
      </c>
      <c r="U271" s="14" t="n">
        <v>543</v>
      </c>
      <c r="V271" s="14" t="n">
        <v>236</v>
      </c>
      <c r="W271" s="9">
        <f>TABL123[[#This Row],[(A/B) AJD]]+TABL123[[#This Row],[(A/S) AJD]]</f>
        <v/>
      </c>
      <c r="X271" s="9">
        <f>TABL123[[#This Row],[( S/S+T/B) AJD]]-TABL123[[#This Row],[(A/B + A/S) AJD]]</f>
        <v/>
      </c>
      <c r="Y271" s="15" t="n">
        <v>92.45999999999999</v>
      </c>
      <c r="Z271" s="16" t="n">
        <v>472803</v>
      </c>
      <c r="AA271" s="3">
        <f>TABL123[[#This Row],[(RESV. STORGE) AJD]]/10</f>
        <v/>
      </c>
      <c r="AB271" s="45">
        <f>IF(TRIM(Z271)="",,(Z271-Z270)/1000)</f>
        <v/>
      </c>
      <c r="AC271" s="43" t="n"/>
      <c r="AD271" s="83">
        <f>TABL123[[#This Row],[( S/S+T/B) AJD]]-(TABL123[[#This Row],[(A/B + A/S) AJD]]+TABL123[[#This Row],[(STORGE DIFF.) AJD]]+(TABL123[[#This Row],[AJD_Evaporation]])/1000)</f>
        <v/>
      </c>
      <c r="AE271" s="68" t="n"/>
      <c r="AF271" s="68" t="n"/>
      <c r="AG271" s="68" t="n"/>
      <c r="AH271" s="43" t="n"/>
      <c r="AI271" s="78" t="n"/>
      <c r="AJ271" s="78">
        <f>TABL123[[#This Row],[(A/B) AJD]]-TABL123[[#This Row],[BER_IN]]</f>
        <v/>
      </c>
      <c r="AK271" s="78" t="n"/>
      <c r="AL271" s="68" t="n"/>
      <c r="AM271" s="87" t="n"/>
      <c r="AN271" s="87">
        <f>TABL123[[#This Row],[ (RESV. STORGE) SER]]/10</f>
        <v/>
      </c>
      <c r="AO271" s="43" t="n"/>
      <c r="AP271" s="32">
        <f>TABL123[[#This Row],[(A/S) AJD]]-TABL123[[#This Row],[SER_IN]]</f>
        <v/>
      </c>
    </row>
    <row r="272" ht="19.5" customHeight="1" thickBot="1">
      <c r="A272" s="2" t="n">
        <v>46293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TABL123[[#This Row],[ (T/B) SAR]]+TABL123[[#This Row],[ (S/S) SAR]]</f>
        <v/>
      </c>
      <c r="L272" s="45" t="n"/>
      <c r="M272" s="46" t="n"/>
      <c r="N272" s="46" t="n"/>
      <c r="O272" s="14" t="n">
        <v>383</v>
      </c>
      <c r="P272" s="9">
        <f>TABL123[[#This Row],[ (S/S) SAR]]-TABL123[[#This Row],[(S/S) AJD]]</f>
        <v/>
      </c>
      <c r="Q272" s="14" t="n">
        <v>414</v>
      </c>
      <c r="R272" s="9">
        <f>TABL123[[#This Row],[ (T/B) SAR]]-TABL123[[#This Row],[(T/B) AJD]]</f>
        <v/>
      </c>
      <c r="S272" s="9">
        <f>TABL123[[#This Row],[T/B-CON.]]+TABL123[[#This Row],[S/S_CON.]]</f>
        <v/>
      </c>
      <c r="T272" s="9">
        <f>TABL123[[#This Row],[(S/S) AJD]]+TABL123[[#This Row],[(T/B) AJD]]</f>
        <v/>
      </c>
      <c r="U272" s="14" t="n">
        <v>545</v>
      </c>
      <c r="V272" s="14" t="n">
        <v>216</v>
      </c>
      <c r="W272" s="9">
        <f>TABL123[[#This Row],[(A/B) AJD]]+TABL123[[#This Row],[(A/S) AJD]]</f>
        <v/>
      </c>
      <c r="X272" s="9">
        <f>TABL123[[#This Row],[( S/S+T/B) AJD]]-TABL123[[#This Row],[(A/B + A/S) AJD]]</f>
        <v/>
      </c>
      <c r="Y272" s="15" t="n">
        <v>92.47</v>
      </c>
      <c r="Z272" s="16" t="n">
        <v>478759</v>
      </c>
      <c r="AA272" s="3">
        <f>TABL123[[#This Row],[(RESV. STORGE) AJD]]/10</f>
        <v/>
      </c>
      <c r="AB272" s="45">
        <f>IF(TRIM(Z272)="",,(Z272-Z271)/1000)</f>
        <v/>
      </c>
      <c r="AC272" s="45" t="n"/>
      <c r="AD272" s="83">
        <f>TABL123[[#This Row],[( S/S+T/B) AJD]]-(TABL123[[#This Row],[(A/B + A/S) AJD]]+TABL123[[#This Row],[(STORGE DIFF.) AJD]]+(TABL123[[#This Row],[AJD_Evaporation]])/1000)</f>
        <v/>
      </c>
      <c r="AE272" s="68" t="n"/>
      <c r="AF272" s="68" t="n"/>
      <c r="AG272" s="68" t="n"/>
      <c r="AH272" s="45" t="n"/>
      <c r="AI272" s="78" t="n"/>
      <c r="AJ272" s="78">
        <f>TABL123[[#This Row],[(A/B) AJD]]-TABL123[[#This Row],[BER_IN]]</f>
        <v/>
      </c>
      <c r="AK272" s="78" t="n"/>
      <c r="AL272" s="68" t="n"/>
      <c r="AM272" s="87" t="n"/>
      <c r="AN272" s="87">
        <f>TABL123[[#This Row],[ (RESV. STORGE) SER]]/10</f>
        <v/>
      </c>
      <c r="AO272" s="6" t="n"/>
      <c r="AP272" s="32">
        <f>TABL123[[#This Row],[(A/S) AJD]]-TABL123[[#This Row],[SER_IN]]</f>
        <v/>
      </c>
    </row>
    <row r="273" ht="19.5" customHeight="1" thickBot="1">
      <c r="A273" s="2" t="n">
        <v>46294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TABL123[[#This Row],[ (T/B) SAR]]+TABL123[[#This Row],[ (S/S) SAR]]</f>
        <v/>
      </c>
      <c r="L273" s="28" t="n"/>
      <c r="M273" s="29" t="n"/>
      <c r="N273" s="30" t="n"/>
      <c r="O273" s="14" t="n">
        <v>393</v>
      </c>
      <c r="P273" s="9">
        <f>TABL123[[#This Row],[ (S/S) SAR]]-TABL123[[#This Row],[(S/S) AJD]]</f>
        <v/>
      </c>
      <c r="Q273" s="14" t="n">
        <v>423</v>
      </c>
      <c r="R273" s="9">
        <f>TABL123[[#This Row],[ (T/B) SAR]]-TABL123[[#This Row],[(T/B) AJD]]</f>
        <v/>
      </c>
      <c r="S273" s="9">
        <f>TABL123[[#This Row],[T/B-CON.]]+TABL123[[#This Row],[S/S_CON.]]</f>
        <v/>
      </c>
      <c r="T273" s="9">
        <f>TABL123[[#This Row],[(S/S) AJD]]+TABL123[[#This Row],[(T/B) AJD]]</f>
        <v/>
      </c>
      <c r="U273" s="14" t="n">
        <v>538</v>
      </c>
      <c r="V273" s="14" t="n">
        <v>213</v>
      </c>
      <c r="W273" s="9">
        <f>TABL123[[#This Row],[(A/B) AJD]]+TABL123[[#This Row],[(A/S) AJD]]</f>
        <v/>
      </c>
      <c r="X273" s="9">
        <f>TABL123[[#This Row],[( S/S+T/B) AJD]]-TABL123[[#This Row],[(A/B + A/S) AJD]]</f>
        <v/>
      </c>
      <c r="Y273" s="15" t="n">
        <v>92.542</v>
      </c>
      <c r="Z273" s="16" t="n">
        <v>521650</v>
      </c>
      <c r="AA273" s="3">
        <f>TABL123[[#This Row],[(RESV. STORGE) AJD]]/10</f>
        <v/>
      </c>
      <c r="AB273" s="45">
        <f>IF(TRIM(Z273)="",,(Z273-Z272)/1000)</f>
        <v/>
      </c>
      <c r="AC273" s="43" t="n"/>
      <c r="AD273" s="83">
        <f>TABL123[[#This Row],[( S/S+T/B) AJD]]-(TABL123[[#This Row],[(A/B + A/S) AJD]]+TABL123[[#This Row],[(STORGE DIFF.) AJD]]+(TABL123[[#This Row],[AJD_Evaporation]])/1000)</f>
        <v/>
      </c>
      <c r="AE273" s="68" t="n"/>
      <c r="AF273" s="68" t="n"/>
      <c r="AG273" s="68" t="n"/>
      <c r="AH273" s="43" t="n"/>
      <c r="AI273" s="78" t="n"/>
      <c r="AJ273" s="78">
        <f>TABL123[[#This Row],[(A/B) AJD]]-TABL123[[#This Row],[BER_IN]]</f>
        <v/>
      </c>
      <c r="AK273" s="78" t="n"/>
      <c r="AL273" s="68" t="n"/>
      <c r="AM273" s="87" t="n"/>
      <c r="AN273" s="87">
        <f>TABL123[[#This Row],[ (RESV. STORGE) SER]]/10</f>
        <v/>
      </c>
      <c r="AO273" s="6" t="n"/>
      <c r="AP273" s="32">
        <f>TABL123[[#This Row],[(A/S) AJD]]-TABL123[[#This Row],[SER_IN]]</f>
        <v/>
      </c>
    </row>
    <row r="274" ht="19.5" customHeight="1" thickBot="1">
      <c r="A274" s="2" t="n">
        <v>46295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TABL123[[#This Row],[ (T/B) SAR]]+TABL123[[#This Row],[ (S/S) SAR]]</f>
        <v/>
      </c>
      <c r="L274" s="28" t="n"/>
      <c r="M274" s="29" t="n"/>
      <c r="N274" s="30" t="n"/>
      <c r="O274" s="77" t="n">
        <v>395</v>
      </c>
      <c r="P274" s="9">
        <f>TABL123[[#This Row],[ (S/S) SAR]]-TABL123[[#This Row],[(S/S) AJD]]</f>
        <v/>
      </c>
      <c r="Q274" s="77" t="n">
        <v>428</v>
      </c>
      <c r="R274" s="9">
        <f>TABL123[[#This Row],[ (T/B) SAR]]-TABL123[[#This Row],[(T/B) AJD]]</f>
        <v/>
      </c>
      <c r="S274" s="9">
        <f>TABL123[[#This Row],[T/B-CON.]]+TABL123[[#This Row],[S/S_CON.]]</f>
        <v/>
      </c>
      <c r="T274" s="9">
        <f>TABL123[[#This Row],[(S/S) AJD]]+TABL123[[#This Row],[(T/B) AJD]]</f>
        <v/>
      </c>
      <c r="U274" s="77" t="n">
        <v>536</v>
      </c>
      <c r="V274" s="77" t="n">
        <v>212</v>
      </c>
      <c r="W274" s="9">
        <f>TABL123[[#This Row],[(A/B) AJD]]+TABL123[[#This Row],[(A/S) AJD]]</f>
        <v/>
      </c>
      <c r="X274" s="9">
        <f>TABL123[[#This Row],[( S/S+T/B) AJD]]-TABL123[[#This Row],[(A/B + A/S) AJD]]</f>
        <v/>
      </c>
      <c r="Y274" s="85" t="n">
        <v>92.617</v>
      </c>
      <c r="Z274" s="86" t="n">
        <v>566373</v>
      </c>
      <c r="AA274" s="3">
        <f>TABL123[[#This Row],[(RESV. STORGE) AJD]]/10</f>
        <v/>
      </c>
      <c r="AB274" s="45">
        <f>IF(TRIM(Z274)="",,(Z274-Z273)/1000)</f>
        <v/>
      </c>
      <c r="AC274" s="45" t="n"/>
      <c r="AD274" s="83">
        <f>TABL123[[#This Row],[( S/S+T/B) AJD]]-(TABL123[[#This Row],[(A/B + A/S) AJD]]+TABL123[[#This Row],[(STORGE DIFF.) AJD]]+(TABL123[[#This Row],[AJD_Evaporation]])/1000)</f>
        <v/>
      </c>
      <c r="AE274" s="68" t="n"/>
      <c r="AF274" s="68" t="n"/>
      <c r="AG274" s="68" t="n"/>
      <c r="AH274" s="6" t="n"/>
      <c r="AI274" s="78" t="n"/>
      <c r="AJ274" s="78">
        <f>TABL123[[#This Row],[(A/B) AJD]]-TABL123[[#This Row],[BER_IN]]</f>
        <v/>
      </c>
      <c r="AK274" s="78" t="n"/>
      <c r="AL274" s="68" t="n"/>
      <c r="AM274" s="87" t="n"/>
      <c r="AN274" s="87">
        <f>TABL123[[#This Row],[ (RESV. STORGE) SER]]/10</f>
        <v/>
      </c>
      <c r="AO274" s="6" t="n"/>
      <c r="AP274" s="32">
        <f>TABL123[[#This Row],[(A/S) AJD]]-TABL123[[#This Row],[SER_IN]]</f>
        <v/>
      </c>
    </row>
    <row r="275" ht="19.5" customHeight="1" thickBot="1">
      <c r="A275" s="2" t="n">
        <v>46296</v>
      </c>
      <c r="B275" s="28" t="n">
        <v>38</v>
      </c>
      <c r="C275" s="28" t="n">
        <v>300</v>
      </c>
      <c r="D275" s="28" t="n">
        <v>38</v>
      </c>
      <c r="E275" s="28" t="n">
        <v>0</v>
      </c>
      <c r="F275" s="28" t="n">
        <v>93</v>
      </c>
      <c r="G275" s="28" t="n">
        <v>617</v>
      </c>
      <c r="H275" s="28" t="n">
        <v>0</v>
      </c>
      <c r="I275" s="28" t="n"/>
      <c r="J275" s="28" t="n"/>
      <c r="K275" s="28">
        <f>TABL123[[#This Row],[ (T/B) SAR]]+TABL123[[#This Row],[ (S/S) SAR]]</f>
        <v/>
      </c>
      <c r="L275" s="28" t="n">
        <v>313</v>
      </c>
      <c r="M275" s="29" t="n">
        <v>22.6</v>
      </c>
      <c r="N275" s="30" t="n">
        <v>7.71</v>
      </c>
      <c r="O275" s="14" t="n">
        <v>395</v>
      </c>
      <c r="P275" s="9">
        <f>TABL123[[#This Row],[ (S/S) SAR]]-TABL123[[#This Row],[(S/S) AJD]]</f>
        <v/>
      </c>
      <c r="Q275" s="14" t="n">
        <v>427</v>
      </c>
      <c r="R275" s="9">
        <f>TABL123[[#This Row],[ (T/B) SAR]]-TABL123[[#This Row],[(T/B) AJD]]</f>
        <v/>
      </c>
      <c r="S275" s="9">
        <f>TABL123[[#This Row],[T/B-CON.]]+TABL123[[#This Row],[S/S_CON.]]</f>
        <v/>
      </c>
      <c r="T275" s="9">
        <f>TABL123[[#This Row],[(S/S) AJD]]+TABL123[[#This Row],[(T/B) AJD]]</f>
        <v/>
      </c>
      <c r="U275" s="14" t="n">
        <v>538</v>
      </c>
      <c r="V275" s="14" t="n">
        <v>222</v>
      </c>
      <c r="W275" s="9">
        <f>TABL123[[#This Row],[(A/B) AJD]]+TABL123[[#This Row],[(A/S) AJD]]</f>
        <v/>
      </c>
      <c r="X275" s="9">
        <f>TABL123[[#This Row],[( S/S+T/B) AJD]]-TABL123[[#This Row],[(A/B + A/S) AJD]]</f>
        <v/>
      </c>
      <c r="Y275" s="15" t="n">
        <v>92.67400000000001</v>
      </c>
      <c r="Z275" s="16" t="n">
        <v>600399</v>
      </c>
      <c r="AA275" s="3">
        <f>TABL123[[#This Row],[(RESV. STORGE) AJD]]/10</f>
        <v/>
      </c>
      <c r="AB275" s="45">
        <f>IF(TRIM(Z275)="",,(Z275-Z274)/1000)</f>
        <v/>
      </c>
      <c r="AC275" s="5" t="n"/>
      <c r="AD275" s="83">
        <f>TABL123[[#This Row],[( S/S+T/B) AJD]]-(TABL123[[#This Row],[(A/B + A/S) AJD]]+TABL123[[#This Row],[(STORGE DIFF.) AJD]]+(TABL123[[#This Row],[AJD_Evaporation]])/1000)</f>
        <v/>
      </c>
      <c r="AE275" s="68" t="n"/>
      <c r="AF275" s="68" t="n"/>
      <c r="AG275" s="68" t="n"/>
      <c r="AH275" s="6" t="n"/>
      <c r="AI275" s="78" t="n"/>
      <c r="AJ275" s="78">
        <f>TABL123[[#This Row],[(A/B) AJD]]-TABL123[[#This Row],[BER_IN]]</f>
        <v/>
      </c>
      <c r="AK275" s="78" t="n">
        <v>0</v>
      </c>
      <c r="AL275" s="68" t="n">
        <v>42.0324</v>
      </c>
      <c r="AM275" s="87" t="n">
        <v>2588030</v>
      </c>
      <c r="AN275" s="87">
        <f>TABL123[[#This Row],[ (RESV. STORGE) SER]]/10</f>
        <v/>
      </c>
      <c r="AO275" s="6" t="n">
        <v>1870</v>
      </c>
      <c r="AP275" s="32">
        <f>TABL123[[#This Row],[(A/S) AJD]]-TABL123[[#This Row],[SER_IN]]</f>
        <v/>
      </c>
    </row>
    <row r="276" ht="19.5" customHeight="1" thickBot="1">
      <c r="A276" s="2" t="n">
        <v>46297</v>
      </c>
      <c r="B276" s="28" t="n">
        <v>38</v>
      </c>
      <c r="C276" s="28" t="n">
        <v>295</v>
      </c>
      <c r="D276" s="28" t="n">
        <v>38</v>
      </c>
      <c r="E276" s="28" t="n">
        <v>0</v>
      </c>
      <c r="F276" s="28" t="n">
        <v>93</v>
      </c>
      <c r="G276" s="28" t="n">
        <v>617</v>
      </c>
      <c r="H276" s="28">
        <f>103-F276</f>
        <v/>
      </c>
      <c r="I276" s="28" t="n"/>
      <c r="J276" s="28" t="n"/>
      <c r="K276" s="28">
        <f>TABL123[[#This Row],[ (T/B) SAR]]+TABL123[[#This Row],[ (S/S) SAR]]</f>
        <v/>
      </c>
      <c r="L276" s="28" t="n">
        <v>310</v>
      </c>
      <c r="M276" s="29" t="n">
        <v>22.6</v>
      </c>
      <c r="N276" s="30" t="n">
        <v>7.82</v>
      </c>
      <c r="O276" s="14" t="n">
        <v>396</v>
      </c>
      <c r="P276" s="9">
        <f>TABL123[[#This Row],[ (S/S) SAR]]-TABL123[[#This Row],[(S/S) AJD]]</f>
        <v/>
      </c>
      <c r="Q276" s="14" t="n">
        <v>427</v>
      </c>
      <c r="R276" s="9">
        <f>TABL123[[#This Row],[ (T/B) SAR]]-TABL123[[#This Row],[(T/B) AJD]]</f>
        <v/>
      </c>
      <c r="S276" s="9">
        <f>TABL123[[#This Row],[T/B-CON.]]+TABL123[[#This Row],[S/S_CON.]]</f>
        <v/>
      </c>
      <c r="T276" s="9">
        <f>TABL123[[#This Row],[(S/S) AJD]]+TABL123[[#This Row],[(T/B) AJD]]</f>
        <v/>
      </c>
      <c r="U276" s="14" t="n">
        <v>529</v>
      </c>
      <c r="V276" s="14" t="n">
        <v>260</v>
      </c>
      <c r="W276" s="9">
        <f>TABL123[[#This Row],[(A/B) AJD]]+TABL123[[#This Row],[(A/S) AJD]]</f>
        <v/>
      </c>
      <c r="X276" s="9">
        <f>TABL123[[#This Row],[( S/S+T/B) AJD]]-TABL123[[#This Row],[(A/B + A/S) AJD]]</f>
        <v/>
      </c>
      <c r="Y276" s="15" t="n">
        <v>92.697</v>
      </c>
      <c r="Z276" s="16" t="n">
        <v>614131</v>
      </c>
      <c r="AA276" s="3">
        <f>TABL123[[#This Row],[(RESV. STORGE) AJD]]/10</f>
        <v/>
      </c>
      <c r="AB276" s="45">
        <f>IF(TRIM(Z276)="",,(Z276-Z275)/1000)</f>
        <v/>
      </c>
      <c r="AC276" s="5" t="n"/>
      <c r="AD276" s="83">
        <f>TABL123[[#This Row],[( S/S+T/B) AJD]]-(TABL123[[#This Row],[(A/B + A/S) AJD]]+TABL123[[#This Row],[(STORGE DIFF.) AJD]]+(TABL123[[#This Row],[AJD_Evaporation]])/1000)</f>
        <v/>
      </c>
      <c r="AE276" s="68" t="n"/>
      <c r="AF276" s="68" t="n"/>
      <c r="AG276" s="68" t="n"/>
      <c r="AH276" s="6" t="n"/>
      <c r="AI276" s="78" t="n"/>
      <c r="AJ276" s="78">
        <f>TABL123[[#This Row],[(A/B) AJD]]-TABL123[[#This Row],[BER_IN]]</f>
        <v/>
      </c>
      <c r="AK276" s="78" t="n">
        <v>0</v>
      </c>
      <c r="AL276" s="68" t="n">
        <v>42.0172</v>
      </c>
      <c r="AM276" s="87" t="n">
        <v>2580010</v>
      </c>
      <c r="AN276" s="87">
        <f>TABL123[[#This Row],[ (RESV. STORGE) SER]]/10</f>
        <v/>
      </c>
      <c r="AO276" s="6" t="n">
        <v>1850</v>
      </c>
      <c r="AP276" s="32">
        <f>TABL123[[#This Row],[(A/S) AJD]]-TABL123[[#This Row],[SER_IN]]</f>
        <v/>
      </c>
    </row>
    <row r="277" ht="19.5" customHeight="1" thickBot="1">
      <c r="A277" s="2" t="n">
        <v>46298</v>
      </c>
      <c r="B277" s="28" t="n">
        <v>37</v>
      </c>
      <c r="C277" s="28" t="n">
        <v>292</v>
      </c>
      <c r="D277" s="35" t="n">
        <v>37</v>
      </c>
      <c r="E277" s="28" t="n">
        <v>0</v>
      </c>
      <c r="F277" s="28" t="n">
        <v>93</v>
      </c>
      <c r="G277" s="28" t="n">
        <v>617</v>
      </c>
      <c r="H277" s="28">
        <f>103-F277</f>
        <v/>
      </c>
      <c r="I277" s="28" t="n"/>
      <c r="J277" s="28" t="n"/>
      <c r="K277" s="28">
        <f>TABL123[[#This Row],[ (T/B) SAR]]+TABL123[[#This Row],[ (S/S) SAR]]</f>
        <v/>
      </c>
      <c r="L277" s="28" t="n">
        <v>320</v>
      </c>
      <c r="M277" s="29" t="n">
        <v>22.9</v>
      </c>
      <c r="N277" s="30" t="n">
        <v>7.8</v>
      </c>
      <c r="O277" s="14" t="n">
        <v>397</v>
      </c>
      <c r="P277" s="9">
        <f>TABL123[[#This Row],[ (S/S) SAR]]-TABL123[[#This Row],[(S/S) AJD]]</f>
        <v/>
      </c>
      <c r="Q277" s="14" t="n">
        <v>431</v>
      </c>
      <c r="R277" s="9">
        <f>TABL123[[#This Row],[ (T/B) SAR]]-TABL123[[#This Row],[(T/B) AJD]]</f>
        <v/>
      </c>
      <c r="S277" s="9">
        <f>TABL123[[#This Row],[T/B-CON.]]+TABL123[[#This Row],[S/S_CON.]]</f>
        <v/>
      </c>
      <c r="T277" s="9">
        <f>TABL123[[#This Row],[(S/S) AJD]]+TABL123[[#This Row],[(T/B) AJD]]</f>
        <v/>
      </c>
      <c r="U277" s="14" t="n">
        <v>538</v>
      </c>
      <c r="V277" s="14" t="n">
        <v>261</v>
      </c>
      <c r="W277" s="9">
        <f>TABL123[[#This Row],[(A/B) AJD]]+TABL123[[#This Row],[(A/S) AJD]]</f>
        <v/>
      </c>
      <c r="X277" s="9">
        <f>TABL123[[#This Row],[( S/S+T/B) AJD]]-TABL123[[#This Row],[(A/B + A/S) AJD]]</f>
        <v/>
      </c>
      <c r="Y277" s="15" t="n">
        <v>92.69199999999999</v>
      </c>
      <c r="Z277" s="16" t="n">
        <v>611137</v>
      </c>
      <c r="AA277" s="3">
        <f>TABL123[[#This Row],[(RESV. STORGE) AJD]]/10</f>
        <v/>
      </c>
      <c r="AB277" s="45">
        <f>IF(TRIM(Z277)="",,(Z277-Z276)/1000)</f>
        <v/>
      </c>
      <c r="AC277" s="5" t="n"/>
      <c r="AD277" s="83">
        <f>TABL123[[#This Row],[( S/S+T/B) AJD]]-(TABL123[[#This Row],[(A/B + A/S) AJD]]+TABL123[[#This Row],[(STORGE DIFF.) AJD]]+(TABL123[[#This Row],[AJD_Evaporation]])/1000)</f>
        <v/>
      </c>
      <c r="AE277" s="68" t="n"/>
      <c r="AF277" s="68" t="n"/>
      <c r="AG277" s="68" t="n"/>
      <c r="AH277" s="6" t="n"/>
      <c r="AI277" s="78" t="n"/>
      <c r="AJ277" s="78">
        <f>TABL123[[#This Row],[(A/B) AJD]]-TABL123[[#This Row],[BER_IN]]</f>
        <v/>
      </c>
      <c r="AK277" s="78" t="n">
        <v>32</v>
      </c>
      <c r="AL277" s="68" t="n">
        <v>42.0709</v>
      </c>
      <c r="AM277" s="87" t="n">
        <v>2608570</v>
      </c>
      <c r="AN277" s="87">
        <f>TABL123[[#This Row],[ (RESV. STORGE) SER]]/10</f>
        <v/>
      </c>
      <c r="AO277" s="6" t="n">
        <v>1800</v>
      </c>
      <c r="AP277" s="32">
        <f>TABL123[[#This Row],[(A/S) AJD]]-TABL123[[#This Row],[SER_IN]]</f>
        <v/>
      </c>
    </row>
    <row r="278" ht="19.5" customHeight="1" thickBot="1">
      <c r="A278" s="2" t="n">
        <v>46299</v>
      </c>
      <c r="B278" s="28" t="n">
        <v>36</v>
      </c>
      <c r="C278" s="28" t="n">
        <v>286</v>
      </c>
      <c r="D278" s="35" t="n">
        <v>37</v>
      </c>
      <c r="E278" s="28" t="n">
        <v>0</v>
      </c>
      <c r="F278" s="28" t="n">
        <v>93</v>
      </c>
      <c r="G278" s="28" t="n">
        <v>617</v>
      </c>
      <c r="H278" s="28">
        <f>103-F278</f>
        <v/>
      </c>
      <c r="I278" s="28" t="n"/>
      <c r="J278" s="28" t="n"/>
      <c r="K278" s="28">
        <f>TABL123[[#This Row],[ (T/B) SAR]]+TABL123[[#This Row],[ (S/S) SAR]]</f>
        <v/>
      </c>
      <c r="L278" s="28" t="n">
        <v>340</v>
      </c>
      <c r="M278" s="29" t="n">
        <v>24.1</v>
      </c>
      <c r="N278" s="30" t="n">
        <v>7.69</v>
      </c>
      <c r="O278" s="14" t="n">
        <v>402</v>
      </c>
      <c r="P278" s="9">
        <f>TABL123[[#This Row],[ (S/S) SAR]]-TABL123[[#This Row],[(S/S) AJD]]</f>
        <v/>
      </c>
      <c r="Q278" s="14" t="n">
        <v>436</v>
      </c>
      <c r="R278" s="9">
        <f>TABL123[[#This Row],[ (T/B) SAR]]-TABL123[[#This Row],[(T/B) AJD]]</f>
        <v/>
      </c>
      <c r="S278" s="9">
        <f>TABL123[[#This Row],[T/B-CON.]]+TABL123[[#This Row],[S/S_CON.]]</f>
        <v/>
      </c>
      <c r="T278" s="9">
        <f>TABL123[[#This Row],[(S/S) AJD]]+TABL123[[#This Row],[(T/B) AJD]]</f>
        <v/>
      </c>
      <c r="U278" s="14" t="n">
        <v>539</v>
      </c>
      <c r="V278" s="14" t="n">
        <v>263</v>
      </c>
      <c r="W278" s="9">
        <f>TABL123[[#This Row],[(A/B) AJD]]+TABL123[[#This Row],[(A/S) AJD]]</f>
        <v/>
      </c>
      <c r="X278" s="9">
        <f>TABL123[[#This Row],[( S/S+T/B) AJD]]-TABL123[[#This Row],[(A/B + A/S) AJD]]</f>
        <v/>
      </c>
      <c r="Y278" s="15" t="n">
        <v>92.697</v>
      </c>
      <c r="Z278" s="16" t="n">
        <v>614131</v>
      </c>
      <c r="AA278" s="3">
        <f>TABL123[[#This Row],[(RESV. STORGE) AJD]]/10</f>
        <v/>
      </c>
      <c r="AB278" s="45">
        <f>IF(TRIM(Z278)="",,(Z278-Z277)/1000)</f>
        <v/>
      </c>
      <c r="AC278" s="5" t="n"/>
      <c r="AD278" s="83">
        <f>TABL123[[#This Row],[( S/S+T/B) AJD]]-(TABL123[[#This Row],[(A/B + A/S) AJD]]+TABL123[[#This Row],[(STORGE DIFF.) AJD]]+(TABL123[[#This Row],[AJD_Evaporation]])/1000)</f>
        <v/>
      </c>
      <c r="AE278" s="68" t="n"/>
      <c r="AF278" s="68" t="n"/>
      <c r="AG278" s="68" t="n"/>
      <c r="AH278" s="6" t="n"/>
      <c r="AI278" s="78" t="n"/>
      <c r="AJ278" s="78">
        <f>TABL123[[#This Row],[(A/B) AJD]]-TABL123[[#This Row],[BER_IN]]</f>
        <v/>
      </c>
      <c r="AK278" s="78" t="n">
        <v>38</v>
      </c>
      <c r="AL278" s="68" t="n">
        <v>42.1394</v>
      </c>
      <c r="AM278" s="87" t="n">
        <v>2645160</v>
      </c>
      <c r="AN278" s="87">
        <f>TABL123[[#This Row],[ (RESV. STORGE) SER]]/10</f>
        <v/>
      </c>
      <c r="AO278" s="6" t="n">
        <v>1410</v>
      </c>
      <c r="AP278" s="32">
        <f>TABL123[[#This Row],[(A/S) AJD]]-TABL123[[#This Row],[SER_IN]]</f>
        <v/>
      </c>
    </row>
    <row r="279" ht="19.5" customHeight="1" thickBot="1">
      <c r="A279" s="2" t="n">
        <v>46300</v>
      </c>
      <c r="B279" s="28" t="n">
        <v>35</v>
      </c>
      <c r="C279" s="28" t="n">
        <v>273</v>
      </c>
      <c r="D279" s="35" t="n">
        <v>35</v>
      </c>
      <c r="E279" s="28" t="n">
        <v>0</v>
      </c>
      <c r="F279" s="28" t="n">
        <v>93</v>
      </c>
      <c r="G279" s="28" t="n">
        <v>617</v>
      </c>
      <c r="H279" s="28">
        <f>103-F279</f>
        <v/>
      </c>
      <c r="I279" s="28" t="n"/>
      <c r="J279" s="28" t="n"/>
      <c r="K279" s="28">
        <f>TABL123[[#This Row],[ (T/B) SAR]]+TABL123[[#This Row],[ (S/S) SAR]]</f>
        <v/>
      </c>
      <c r="L279" s="28" t="n">
        <v>336</v>
      </c>
      <c r="M279" s="29" t="n">
        <v>24.1</v>
      </c>
      <c r="N279" s="30" t="n">
        <v>7.55</v>
      </c>
      <c r="O279" s="14" t="n">
        <v>406</v>
      </c>
      <c r="P279" s="9">
        <f>TABL123[[#This Row],[ (S/S) SAR]]-TABL123[[#This Row],[(S/S) AJD]]</f>
        <v/>
      </c>
      <c r="Q279" s="14" t="n">
        <v>440</v>
      </c>
      <c r="R279" s="9">
        <f>TABL123[[#This Row],[ (T/B) SAR]]-TABL123[[#This Row],[(T/B) AJD]]</f>
        <v/>
      </c>
      <c r="S279" s="9">
        <f>TABL123[[#This Row],[T/B-CON.]]+TABL123[[#This Row],[S/S_CON.]]</f>
        <v/>
      </c>
      <c r="T279" s="9">
        <f>TABL123[[#This Row],[(S/S) AJD]]+TABL123[[#This Row],[(T/B) AJD]]</f>
        <v/>
      </c>
      <c r="U279" s="14" t="n">
        <v>542</v>
      </c>
      <c r="V279" s="14" t="n">
        <v>262</v>
      </c>
      <c r="W279" s="9">
        <f>TABL123[[#This Row],[(A/B) AJD]]+TABL123[[#This Row],[(A/S) AJD]]</f>
        <v/>
      </c>
      <c r="X279" s="9">
        <f>TABL123[[#This Row],[( S/S+T/B) AJD]]-TABL123[[#This Row],[(A/B + A/S) AJD]]</f>
        <v/>
      </c>
      <c r="Y279" s="15" t="n">
        <v>92.712</v>
      </c>
      <c r="Z279" s="16" t="n">
        <v>623091</v>
      </c>
      <c r="AA279" s="3">
        <f>TABL123[[#This Row],[(RESV. STORGE) AJD]]/10</f>
        <v/>
      </c>
      <c r="AB279" s="45">
        <f>IF(TRIM(Z279)="",,(Z279-Z278)/1000)</f>
        <v/>
      </c>
      <c r="AC279" s="5" t="n"/>
      <c r="AD279" s="83">
        <f>TABL123[[#This Row],[( S/S+T/B) AJD]]-(TABL123[[#This Row],[(A/B + A/S) AJD]]+TABL123[[#This Row],[(STORGE DIFF.) AJD]]+(TABL123[[#This Row],[AJD_Evaporation]])/1000)</f>
        <v/>
      </c>
      <c r="AE279" s="68" t="n"/>
      <c r="AF279" s="68" t="n"/>
      <c r="AG279" s="68" t="n"/>
      <c r="AH279" s="6" t="n"/>
      <c r="AI279" s="78" t="n"/>
      <c r="AJ279" s="78">
        <f>TABL123[[#This Row],[(A/B) AJD]]-TABL123[[#This Row],[BER_IN]]</f>
        <v/>
      </c>
      <c r="AK279" s="78" t="n">
        <v>26</v>
      </c>
      <c r="AL279" s="68" t="n">
        <v>42.1632</v>
      </c>
      <c r="AM279" s="87" t="n">
        <v>2658010</v>
      </c>
      <c r="AN279" s="87">
        <f>TABL123[[#This Row],[ (RESV. STORGE) SER]]/10</f>
        <v/>
      </c>
      <c r="AO279" s="6" t="n">
        <v>1900</v>
      </c>
      <c r="AP279" s="32">
        <f>TABL123[[#This Row],[(A/S) AJD]]-TABL123[[#This Row],[SER_IN]]</f>
        <v/>
      </c>
    </row>
    <row r="280" ht="19.5" customHeight="1" thickBot="1">
      <c r="A280" s="2" t="n">
        <v>46301</v>
      </c>
      <c r="B280" s="28" t="n">
        <v>35</v>
      </c>
      <c r="C280" s="28" t="n">
        <v>281</v>
      </c>
      <c r="D280" s="35" t="n">
        <v>35</v>
      </c>
      <c r="E280" s="28" t="n">
        <v>0</v>
      </c>
      <c r="F280" s="28" t="n">
        <v>93</v>
      </c>
      <c r="G280" s="28" t="n">
        <v>617</v>
      </c>
      <c r="H280" s="28">
        <f>103-F280</f>
        <v/>
      </c>
      <c r="I280" s="28" t="n"/>
      <c r="J280" s="28" t="n"/>
      <c r="K280" s="28">
        <f>TABL123[[#This Row],[ (T/B) SAR]]+TABL123[[#This Row],[ (S/S) SAR]]</f>
        <v/>
      </c>
      <c r="L280" s="28" t="n">
        <v>335</v>
      </c>
      <c r="M280" s="29" t="n">
        <v>24.1</v>
      </c>
      <c r="N280" s="30" t="n">
        <v>7.48</v>
      </c>
      <c r="O280" s="14" t="n">
        <v>404</v>
      </c>
      <c r="P280" s="9">
        <f>TABL123[[#This Row],[ (S/S) SAR]]-TABL123[[#This Row],[(S/S) AJD]]</f>
        <v/>
      </c>
      <c r="Q280" s="14" t="n">
        <v>437</v>
      </c>
      <c r="R280" s="9">
        <f>TABL123[[#This Row],[ (T/B) SAR]]-TABL123[[#This Row],[(T/B) AJD]]</f>
        <v/>
      </c>
      <c r="S280" s="9">
        <f>TABL123[[#This Row],[T/B-CON.]]+TABL123[[#This Row],[S/S_CON.]]</f>
        <v/>
      </c>
      <c r="T280" s="9">
        <f>TABL123[[#This Row],[(S/S) AJD]]+TABL123[[#This Row],[(T/B) AJD]]</f>
        <v/>
      </c>
      <c r="U280" s="14" t="n">
        <v>551</v>
      </c>
      <c r="V280" s="14" t="n">
        <v>263</v>
      </c>
      <c r="W280" s="9">
        <f>TABL123[[#This Row],[(A/B) AJD]]+TABL123[[#This Row],[(A/S) AJD]]</f>
        <v/>
      </c>
      <c r="X280" s="9">
        <f>TABL123[[#This Row],[( S/S+T/B) AJD]]-TABL123[[#This Row],[(A/B + A/S) AJD]]</f>
        <v/>
      </c>
      <c r="Y280" s="15" t="n">
        <v>92.71899999999999</v>
      </c>
      <c r="Z280" s="16" t="n">
        <v>627276</v>
      </c>
      <c r="AA280" s="3">
        <f>TABL123[[#This Row],[(RESV. STORGE) AJD]]/10</f>
        <v/>
      </c>
      <c r="AB280" s="45">
        <f>IF(TRIM(Z280)="",,(Z280-Z279)/1000)</f>
        <v/>
      </c>
      <c r="AC280" s="5" t="n"/>
      <c r="AD280" s="83">
        <f>TABL123[[#This Row],[( S/S+T/B) AJD]]-(TABL123[[#This Row],[(A/B + A/S) AJD]]+TABL123[[#This Row],[(STORGE DIFF.) AJD]]+(TABL123[[#This Row],[AJD_Evaporation]])/1000)</f>
        <v/>
      </c>
      <c r="AE280" s="68" t="n"/>
      <c r="AF280" s="68" t="n"/>
      <c r="AG280" s="68" t="n"/>
      <c r="AH280" s="6" t="n"/>
      <c r="AI280" s="78" t="n"/>
      <c r="AJ280" s="78">
        <f>TABL123[[#This Row],[(A/B) AJD]]-TABL123[[#This Row],[BER_IN]]</f>
        <v/>
      </c>
      <c r="AK280" s="78" t="n">
        <v>27</v>
      </c>
      <c r="AL280" s="68" t="n">
        <v>42.1809</v>
      </c>
      <c r="AM280" s="87" t="n">
        <v>2667610</v>
      </c>
      <c r="AN280" s="87">
        <f>TABL123[[#This Row],[ (RESV. STORGE) SER]]/10</f>
        <v/>
      </c>
      <c r="AO280" s="6" t="n">
        <v>1920</v>
      </c>
      <c r="AP280" s="32">
        <f>TABL123[[#This Row],[(A/S) AJD]]-TABL123[[#This Row],[SER_IN]]</f>
        <v/>
      </c>
    </row>
    <row r="281" ht="19.5" customHeight="1" thickBot="1">
      <c r="A281" s="2" t="n">
        <v>46302</v>
      </c>
      <c r="B281" s="28" t="n">
        <v>35</v>
      </c>
      <c r="C281" s="28" t="n">
        <v>283</v>
      </c>
      <c r="D281" s="35" t="n">
        <v>35</v>
      </c>
      <c r="E281" s="28" t="n">
        <v>0</v>
      </c>
      <c r="F281" s="28" t="n">
        <v>93</v>
      </c>
      <c r="G281" s="28" t="n">
        <v>617</v>
      </c>
      <c r="H281" s="28">
        <f>103-F281</f>
        <v/>
      </c>
      <c r="I281" s="28" t="n"/>
      <c r="J281" s="28" t="n"/>
      <c r="K281" s="28">
        <f>TABL123[[#This Row],[ (T/B) SAR]]+TABL123[[#This Row],[ (S/S) SAR]]</f>
        <v/>
      </c>
      <c r="L281" s="28" t="n">
        <v>332</v>
      </c>
      <c r="M281" s="29" t="n">
        <v>24.1</v>
      </c>
      <c r="N281" s="30" t="n">
        <v>7.39</v>
      </c>
      <c r="O281" s="14" t="n">
        <v>402</v>
      </c>
      <c r="P281" s="9">
        <f>TABL123[[#This Row],[ (S/S) SAR]]-TABL123[[#This Row],[(S/S) AJD]]</f>
        <v/>
      </c>
      <c r="Q281" s="14" t="n">
        <v>435</v>
      </c>
      <c r="R281" s="9">
        <f>TABL123[[#This Row],[ (T/B) SAR]]-TABL123[[#This Row],[(T/B) AJD]]</f>
        <v/>
      </c>
      <c r="S281" s="9">
        <f>TABL123[[#This Row],[T/B-CON.]]+TABL123[[#This Row],[S/S_CON.]]</f>
        <v/>
      </c>
      <c r="T281" s="9">
        <f>TABL123[[#This Row],[(S/S) AJD]]+TABL123[[#This Row],[(T/B) AJD]]</f>
        <v/>
      </c>
      <c r="U281" s="14" t="n">
        <v>545</v>
      </c>
      <c r="V281" s="14" t="n">
        <v>257</v>
      </c>
      <c r="W281" s="9">
        <f>TABL123[[#This Row],[(A/B) AJD]]+TABL123[[#This Row],[(A/S) AJD]]</f>
        <v/>
      </c>
      <c r="X281" s="9">
        <f>TABL123[[#This Row],[( S/S+T/B) AJD]]-TABL123[[#This Row],[(A/B + A/S) AJD]]</f>
        <v/>
      </c>
      <c r="Y281" s="15" t="n">
        <v>92.71899999999999</v>
      </c>
      <c r="Z281" s="16" t="n">
        <v>627276</v>
      </c>
      <c r="AA281" s="3">
        <f>TABL123[[#This Row],[(RESV. STORGE) AJD]]/10</f>
        <v/>
      </c>
      <c r="AB281" s="45">
        <f>IF(TRIM(Z281)="",,(Z281-Z280)/1000)</f>
        <v/>
      </c>
      <c r="AC281" s="5" t="n"/>
      <c r="AD281" s="83">
        <f>TABL123[[#This Row],[( S/S+T/B) AJD]]-(TABL123[[#This Row],[(A/B + A/S) AJD]]+TABL123[[#This Row],[(STORGE DIFF.) AJD]]+(TABL123[[#This Row],[AJD_Evaporation]])/1000)</f>
        <v/>
      </c>
      <c r="AE281" s="68" t="n"/>
      <c r="AF281" s="68" t="n"/>
      <c r="AG281" s="68" t="n"/>
      <c r="AH281" s="6" t="n"/>
      <c r="AI281" s="78" t="n"/>
      <c r="AJ281" s="78">
        <f>TABL123[[#This Row],[(A/B) AJD]]-TABL123[[#This Row],[BER_IN]]</f>
        <v/>
      </c>
      <c r="AK281" s="78" t="n">
        <v>27</v>
      </c>
      <c r="AL281" s="68" t="n">
        <v>42.2015</v>
      </c>
      <c r="AM281" s="87" t="n">
        <v>2678640</v>
      </c>
      <c r="AN281" s="87">
        <f>TABL123[[#This Row],[ (RESV. STORGE) SER]]/10</f>
        <v/>
      </c>
      <c r="AO281" s="6" t="n">
        <v>1850</v>
      </c>
      <c r="AP281" s="32">
        <f>TABL123[[#This Row],[(A/S) AJD]]-TABL123[[#This Row],[SER_IN]]</f>
        <v/>
      </c>
    </row>
    <row r="282" ht="19.5" customHeight="1" thickBot="1">
      <c r="A282" s="2" t="n">
        <v>46303</v>
      </c>
      <c r="B282" s="28" t="n">
        <v>35</v>
      </c>
      <c r="C282" s="28" t="n">
        <v>285</v>
      </c>
      <c r="D282" s="35" t="n">
        <v>35</v>
      </c>
      <c r="E282" s="28" t="n">
        <v>0</v>
      </c>
      <c r="F282" s="28" t="n">
        <v>93</v>
      </c>
      <c r="G282" s="28" t="n">
        <v>617</v>
      </c>
      <c r="H282" s="28">
        <f>103-F282</f>
        <v/>
      </c>
      <c r="I282" s="28" t="n"/>
      <c r="J282" s="28" t="n"/>
      <c r="K282" s="28">
        <f>TABL123[[#This Row],[ (T/B) SAR]]+TABL123[[#This Row],[ (S/S) SAR]]</f>
        <v/>
      </c>
      <c r="L282" s="28" t="n">
        <v>330</v>
      </c>
      <c r="M282" s="29" t="n">
        <v>24.1</v>
      </c>
      <c r="N282" s="30" t="n">
        <v>7.34</v>
      </c>
      <c r="O282" s="14" t="n">
        <v>402</v>
      </c>
      <c r="P282" s="9">
        <f>TABL123[[#This Row],[ (S/S) SAR]]-TABL123[[#This Row],[(S/S) AJD]]</f>
        <v/>
      </c>
      <c r="Q282" s="14" t="n">
        <v>433</v>
      </c>
      <c r="R282" s="9">
        <f>TABL123[[#This Row],[ (T/B) SAR]]-TABL123[[#This Row],[(T/B) AJD]]</f>
        <v/>
      </c>
      <c r="S282" s="9">
        <f>TABL123[[#This Row],[T/B-CON.]]+TABL123[[#This Row],[S/S_CON.]]</f>
        <v/>
      </c>
      <c r="T282" s="9">
        <f>TABL123[[#This Row],[(S/S) AJD]]+TABL123[[#This Row],[(T/B) AJD]]</f>
        <v/>
      </c>
      <c r="U282" s="14" t="n">
        <v>543</v>
      </c>
      <c r="V282" s="14" t="n">
        <v>254</v>
      </c>
      <c r="W282" s="9">
        <f>TABL123[[#This Row],[(A/B) AJD]]+TABL123[[#This Row],[(A/S) AJD]]</f>
        <v/>
      </c>
      <c r="X282" s="9">
        <f>TABL123[[#This Row],[( S/S+T/B) AJD]]-TABL123[[#This Row],[(A/B + A/S) AJD]]</f>
        <v/>
      </c>
      <c r="Y282" s="15" t="n">
        <v>92.717</v>
      </c>
      <c r="Z282" s="16" t="n">
        <v>626082</v>
      </c>
      <c r="AA282" s="3">
        <f>TABL123[[#This Row],[(RESV. STORGE) AJD]]/10</f>
        <v/>
      </c>
      <c r="AB282" s="45">
        <f>IF(TRIM(Z282)="",,(Z282-Z281)/1000)</f>
        <v/>
      </c>
      <c r="AC282" s="5" t="n"/>
      <c r="AD282" s="83">
        <f>TABL123[[#This Row],[( S/S+T/B) AJD]]-(TABL123[[#This Row],[(A/B + A/S) AJD]]+TABL123[[#This Row],[(STORGE DIFF.) AJD]]+(TABL123[[#This Row],[AJD_Evaporation]])/1000)</f>
        <v/>
      </c>
      <c r="AE282" s="68" t="n"/>
      <c r="AF282" s="68" t="n"/>
      <c r="AG282" s="68" t="n"/>
      <c r="AH282" s="6" t="n"/>
      <c r="AI282" s="78" t="n"/>
      <c r="AJ282" s="78">
        <f>TABL123[[#This Row],[(A/B) AJD]]-TABL123[[#This Row],[BER_IN]]</f>
        <v/>
      </c>
      <c r="AK282" s="78" t="n">
        <v>27</v>
      </c>
      <c r="AL282" s="68" t="n">
        <v>42.2175</v>
      </c>
      <c r="AM282" s="87" t="n">
        <v>2686880</v>
      </c>
      <c r="AN282" s="87">
        <f>TABL123[[#This Row],[ (RESV. STORGE) SER]]/10</f>
        <v/>
      </c>
      <c r="AO282" s="6" t="n">
        <v>1935</v>
      </c>
      <c r="AP282" s="32">
        <f>TABL123[[#This Row],[(A/S) AJD]]-TABL123[[#This Row],[SER_IN]]</f>
        <v/>
      </c>
    </row>
    <row r="283" ht="19.5" customHeight="1" thickBot="1">
      <c r="A283" s="2" t="n">
        <v>46304</v>
      </c>
      <c r="B283" s="28" t="n">
        <v>35</v>
      </c>
      <c r="C283" s="28" t="n">
        <v>275</v>
      </c>
      <c r="D283" s="35" t="n">
        <v>35</v>
      </c>
      <c r="E283" s="28" t="n">
        <v>0</v>
      </c>
      <c r="F283" s="28" t="n">
        <v>93</v>
      </c>
      <c r="G283" s="28" t="n">
        <v>617</v>
      </c>
      <c r="H283" s="28">
        <f>103-F283</f>
        <v/>
      </c>
      <c r="I283" s="28" t="n"/>
      <c r="J283" s="28" t="n"/>
      <c r="K283" s="28">
        <f>TABL123[[#This Row],[ (T/B) SAR]]+TABL123[[#This Row],[ (S/S) SAR]]</f>
        <v/>
      </c>
      <c r="L283" s="28" t="n">
        <v>330</v>
      </c>
      <c r="M283" s="29" t="n">
        <v>24.1</v>
      </c>
      <c r="N283" s="30" t="n">
        <v>7.24</v>
      </c>
      <c r="O283" s="14" t="n">
        <v>401</v>
      </c>
      <c r="P283" s="9">
        <f>TABL123[[#This Row],[ (S/S) SAR]]-TABL123[[#This Row],[(S/S) AJD]]</f>
        <v/>
      </c>
      <c r="Q283" s="14" t="n">
        <v>432</v>
      </c>
      <c r="R283" s="9">
        <f>TABL123[[#This Row],[ (T/B) SAR]]-TABL123[[#This Row],[(T/B) AJD]]</f>
        <v/>
      </c>
      <c r="S283" s="9">
        <f>TABL123[[#This Row],[T/B-CON.]]+TABL123[[#This Row],[S/S_CON.]]</f>
        <v/>
      </c>
      <c r="T283" s="9">
        <f>TABL123[[#This Row],[(S/S) AJD]]+TABL123[[#This Row],[(T/B) AJD]]</f>
        <v/>
      </c>
      <c r="U283" s="14" t="n">
        <v>552</v>
      </c>
      <c r="V283" s="14" t="n">
        <v>248</v>
      </c>
      <c r="W283" s="9">
        <f>TABL123[[#This Row],[(A/B) AJD]]+TABL123[[#This Row],[(A/S) AJD]]</f>
        <v/>
      </c>
      <c r="X283" s="9">
        <f>TABL123[[#This Row],[( S/S+T/B) AJD]]-TABL123[[#This Row],[(A/B + A/S) AJD]]</f>
        <v/>
      </c>
      <c r="Y283" s="15" t="n">
        <v>92.732</v>
      </c>
      <c r="Z283" s="16" t="n">
        <v>635044</v>
      </c>
      <c r="AA283" s="3">
        <f>TABL123[[#This Row],[(RESV. STORGE) AJD]]/10</f>
        <v/>
      </c>
      <c r="AB283" s="45">
        <f>IF(TRIM(Z283)="",,(Z283-Z282)/1000)</f>
        <v/>
      </c>
      <c r="AC283" s="5" t="n"/>
      <c r="AD283" s="83">
        <f>TABL123[[#This Row],[( S/S+T/B) AJD]]-(TABL123[[#This Row],[(A/B + A/S) AJD]]+TABL123[[#This Row],[(STORGE DIFF.) AJD]]+(TABL123[[#This Row],[AJD_Evaporation]])/1000)</f>
        <v/>
      </c>
      <c r="AE283" s="68" t="n"/>
      <c r="AF283" s="68" t="n"/>
      <c r="AG283" s="68" t="n"/>
      <c r="AH283" s="6" t="n"/>
      <c r="AI283" s="78" t="n"/>
      <c r="AJ283" s="78">
        <f>TABL123[[#This Row],[(A/B) AJD]]-TABL123[[#This Row],[BER_IN]]</f>
        <v/>
      </c>
      <c r="AK283" s="78" t="n">
        <v>27</v>
      </c>
      <c r="AL283" s="68" t="n">
        <v>42.2362</v>
      </c>
      <c r="AM283" s="87" t="n">
        <v>2697770</v>
      </c>
      <c r="AN283" s="87">
        <f>TABL123[[#This Row],[ (RESV. STORGE) SER]]/10</f>
        <v/>
      </c>
      <c r="AO283" s="6" t="n">
        <v>1920</v>
      </c>
      <c r="AP283" s="32">
        <f>TABL123[[#This Row],[(A/S) AJD]]-TABL123[[#This Row],[SER_IN]]</f>
        <v/>
      </c>
    </row>
    <row r="284" ht="19.5" customHeight="1" thickBot="1">
      <c r="A284" s="2" t="n">
        <v>46305</v>
      </c>
      <c r="B284" s="28" t="n">
        <v>35</v>
      </c>
      <c r="C284" s="28" t="n">
        <v>277</v>
      </c>
      <c r="D284" s="35" t="n">
        <v>35</v>
      </c>
      <c r="E284" s="28" t="n">
        <v>0</v>
      </c>
      <c r="F284" s="28" t="n">
        <v>93</v>
      </c>
      <c r="G284" s="28" t="n">
        <v>617</v>
      </c>
      <c r="H284" s="28">
        <f>103-F284</f>
        <v/>
      </c>
      <c r="I284" s="28" t="n"/>
      <c r="J284" s="28" t="n"/>
      <c r="K284" s="28">
        <f>TABL123[[#This Row],[ (T/B) SAR]]+TABL123[[#This Row],[ (S/S) SAR]]</f>
        <v/>
      </c>
      <c r="L284" s="28" t="n">
        <v>325</v>
      </c>
      <c r="M284" s="29" t="n">
        <v>24.1</v>
      </c>
      <c r="N284" s="30" t="n">
        <v>7.16</v>
      </c>
      <c r="O284" s="14" t="n">
        <v>399</v>
      </c>
      <c r="P284" s="9">
        <f>TABL123[[#This Row],[ (S/S) SAR]]-TABL123[[#This Row],[(S/S) AJD]]</f>
        <v/>
      </c>
      <c r="Q284" s="14" t="n">
        <v>432</v>
      </c>
      <c r="R284" s="9">
        <f>TABL123[[#This Row],[ (T/B) SAR]]-TABL123[[#This Row],[(T/B) AJD]]</f>
        <v/>
      </c>
      <c r="S284" s="9">
        <f>TABL123[[#This Row],[T/B-CON.]]+TABL123[[#This Row],[S/S_CON.]]</f>
        <v/>
      </c>
      <c r="T284" s="9">
        <f>TABL123[[#This Row],[(S/S) AJD]]+TABL123[[#This Row],[(T/B) AJD]]</f>
        <v/>
      </c>
      <c r="U284" s="14" t="n">
        <v>549</v>
      </c>
      <c r="V284" s="14" t="n">
        <v>241</v>
      </c>
      <c r="W284" s="9">
        <f>TABL123[[#This Row],[(A/B) AJD]]+TABL123[[#This Row],[(A/S) AJD]]</f>
        <v/>
      </c>
      <c r="X284" s="9">
        <f>TABL123[[#This Row],[( S/S+T/B) AJD]]-TABL123[[#This Row],[(A/B + A/S) AJD]]</f>
        <v/>
      </c>
      <c r="Y284" s="15" t="n">
        <v>92.744</v>
      </c>
      <c r="Z284" s="16" t="n">
        <v>642216</v>
      </c>
      <c r="AA284" s="3">
        <f>TABL123[[#This Row],[(RESV. STORGE) AJD]]/10</f>
        <v/>
      </c>
      <c r="AB284" s="45">
        <f>IF(TRIM(Z284)="",,(Z284-Z283)/1000)</f>
        <v/>
      </c>
      <c r="AC284" s="5" t="n"/>
      <c r="AD284" s="83">
        <f>TABL123[[#This Row],[( S/S+T/B) AJD]]-(TABL123[[#This Row],[(A/B + A/S) AJD]]+TABL123[[#This Row],[(STORGE DIFF.) AJD]]+(TABL123[[#This Row],[AJD_Evaporation]])/1000)</f>
        <v/>
      </c>
      <c r="AE284" s="68" t="n"/>
      <c r="AF284" s="68" t="n"/>
      <c r="AG284" s="68" t="n"/>
      <c r="AH284" s="6" t="n"/>
      <c r="AI284" s="78" t="n"/>
      <c r="AJ284" s="78">
        <f>TABL123[[#This Row],[(A/B) AJD]]-TABL123[[#This Row],[BER_IN]]</f>
        <v/>
      </c>
      <c r="AK284" s="78" t="n">
        <v>27</v>
      </c>
      <c r="AL284" s="68" t="n">
        <v>42.2849</v>
      </c>
      <c r="AM284" s="87" t="n">
        <v>2723060</v>
      </c>
      <c r="AN284" s="87">
        <f>TABL123[[#This Row],[ (RESV. STORGE) SER]]/10</f>
        <v/>
      </c>
      <c r="AO284" s="6" t="n">
        <v>1710</v>
      </c>
      <c r="AP284" s="32">
        <f>TABL123[[#This Row],[(A/S) AJD]]-TABL123[[#This Row],[SER_IN]]</f>
        <v/>
      </c>
    </row>
    <row r="285" ht="19.5" customHeight="1" thickBot="1">
      <c r="A285" s="2" t="n">
        <v>46306</v>
      </c>
      <c r="B285" s="28" t="n">
        <v>35</v>
      </c>
      <c r="C285" s="28" t="n">
        <v>281</v>
      </c>
      <c r="D285" s="35" t="n">
        <v>35</v>
      </c>
      <c r="E285" s="28" t="n">
        <v>0</v>
      </c>
      <c r="F285" s="28" t="n">
        <v>93</v>
      </c>
      <c r="G285" s="28" t="n">
        <v>617</v>
      </c>
      <c r="H285" s="28">
        <f>103-F285</f>
        <v/>
      </c>
      <c r="I285" s="28" t="n"/>
      <c r="J285" s="28" t="n"/>
      <c r="K285" s="28">
        <f>TABL123[[#This Row],[ (T/B) SAR]]+TABL123[[#This Row],[ (S/S) SAR]]</f>
        <v/>
      </c>
      <c r="L285" s="28" t="n">
        <v>320</v>
      </c>
      <c r="M285" s="29" t="n">
        <v>24.1</v>
      </c>
      <c r="N285" s="30" t="n">
        <v>7.09</v>
      </c>
      <c r="O285" s="14" t="n">
        <v>395</v>
      </c>
      <c r="P285" s="9">
        <f>TABL123[[#This Row],[ (S/S) SAR]]-TABL123[[#This Row],[(S/S) AJD]]</f>
        <v/>
      </c>
      <c r="Q285" s="14" t="n">
        <v>429</v>
      </c>
      <c r="R285" s="9">
        <f>TABL123[[#This Row],[ (T/B) SAR]]-TABL123[[#This Row],[(T/B) AJD]]</f>
        <v/>
      </c>
      <c r="S285" s="9">
        <f>TABL123[[#This Row],[T/B-CON.]]+TABL123[[#This Row],[S/S_CON.]]</f>
        <v/>
      </c>
      <c r="T285" s="9">
        <f>TABL123[[#This Row],[(S/S) AJD]]+TABL123[[#This Row],[(T/B) AJD]]</f>
        <v/>
      </c>
      <c r="U285" s="14" t="n">
        <v>548</v>
      </c>
      <c r="V285" s="14" t="n">
        <v>237</v>
      </c>
      <c r="W285" s="9">
        <f>TABL123[[#This Row],[(A/B) AJD]]+TABL123[[#This Row],[(A/S) AJD]]</f>
        <v/>
      </c>
      <c r="X285" s="9">
        <f>TABL123[[#This Row],[( S/S+T/B) AJD]]-TABL123[[#This Row],[(A/B + A/S) AJD]]</f>
        <v/>
      </c>
      <c r="Y285" s="15" t="n">
        <v>92.767</v>
      </c>
      <c r="Z285" s="16" t="n">
        <v>655962</v>
      </c>
      <c r="AA285" s="3">
        <f>TABL123[[#This Row],[(RESV. STORGE) AJD]]/10</f>
        <v/>
      </c>
      <c r="AB285" s="45">
        <f>IF(TRIM(Z285)="",,(Z285-Z284)/1000)</f>
        <v/>
      </c>
      <c r="AC285" s="5" t="n"/>
      <c r="AD285" s="83">
        <f>TABL123[[#This Row],[( S/S+T/B) AJD]]-(TABL123[[#This Row],[(A/B + A/S) AJD]]+TABL123[[#This Row],[(STORGE DIFF.) AJD]]+(TABL123[[#This Row],[AJD_Evaporation]])/1000)</f>
        <v/>
      </c>
      <c r="AE285" s="68" t="n"/>
      <c r="AF285" s="68" t="n"/>
      <c r="AG285" s="68" t="n"/>
      <c r="AH285" s="6" t="n"/>
      <c r="AI285" s="78" t="n"/>
      <c r="AJ285" s="78">
        <f>TABL123[[#This Row],[(A/B) AJD]]-TABL123[[#This Row],[BER_IN]]</f>
        <v/>
      </c>
      <c r="AK285" s="78" t="n">
        <v>28</v>
      </c>
      <c r="AL285" s="68" t="n">
        <v>42.2712</v>
      </c>
      <c r="AM285" s="87" t="n">
        <v>2716130</v>
      </c>
      <c r="AN285" s="87">
        <f>TABL123[[#This Row],[ (RESV. STORGE) SER]]/10</f>
        <v/>
      </c>
      <c r="AO285" s="6" t="n">
        <v>1755</v>
      </c>
      <c r="AP285" s="32">
        <f>TABL123[[#This Row],[(A/S) AJD]]-TABL123[[#This Row],[SER_IN]]</f>
        <v/>
      </c>
    </row>
    <row r="286" ht="19.5" customHeight="1" thickBot="1">
      <c r="A286" s="2" t="n">
        <v>46307</v>
      </c>
      <c r="B286" s="28" t="n">
        <v>35</v>
      </c>
      <c r="C286" s="28" t="n">
        <v>292</v>
      </c>
      <c r="D286" s="35" t="n">
        <v>35</v>
      </c>
      <c r="E286" s="28" t="n">
        <v>0</v>
      </c>
      <c r="F286" s="28" t="n">
        <v>93</v>
      </c>
      <c r="G286" s="28" t="n">
        <v>617</v>
      </c>
      <c r="H286" s="28">
        <f>103-F286</f>
        <v/>
      </c>
      <c r="I286" s="28" t="n"/>
      <c r="J286" s="28" t="n"/>
      <c r="K286" s="28">
        <f>TABL123[[#This Row],[ (T/B) SAR]]+TABL123[[#This Row],[ (S/S) SAR]]</f>
        <v/>
      </c>
      <c r="L286" s="28" t="n">
        <v>320</v>
      </c>
      <c r="M286" s="29" t="n">
        <v>24.1</v>
      </c>
      <c r="N286" s="30" t="n">
        <v>7.03</v>
      </c>
      <c r="O286" s="14" t="n">
        <v>395</v>
      </c>
      <c r="P286" s="9">
        <f>TABL123[[#This Row],[ (S/S) SAR]]-TABL123[[#This Row],[(S/S) AJD]]</f>
        <v/>
      </c>
      <c r="Q286" s="14" t="n">
        <v>428</v>
      </c>
      <c r="R286" s="9">
        <f>TABL123[[#This Row],[ (T/B) SAR]]-TABL123[[#This Row],[(T/B) AJD]]</f>
        <v/>
      </c>
      <c r="S286" s="9">
        <f>TABL123[[#This Row],[T/B-CON.]]+TABL123[[#This Row],[S/S_CON.]]</f>
        <v/>
      </c>
      <c r="T286" s="9">
        <f>TABL123[[#This Row],[(S/S) AJD]]+TABL123[[#This Row],[(T/B) AJD]]</f>
        <v/>
      </c>
      <c r="U286" s="14" t="n">
        <v>548</v>
      </c>
      <c r="V286" s="14" t="n">
        <v>244</v>
      </c>
      <c r="W286" s="9">
        <f>TABL123[[#This Row],[(A/B) AJD]]+TABL123[[#This Row],[(A/S) AJD]]</f>
        <v/>
      </c>
      <c r="X286" s="9">
        <f>TABL123[[#This Row],[( S/S+T/B) AJD]]-TABL123[[#This Row],[(A/B + A/S) AJD]]</f>
        <v/>
      </c>
      <c r="Y286" s="15" t="n">
        <v>92.777</v>
      </c>
      <c r="Z286" s="16" t="n">
        <v>661943</v>
      </c>
      <c r="AA286" s="3">
        <f>TABL123[[#This Row],[(RESV. STORGE) AJD]]/10</f>
        <v/>
      </c>
      <c r="AB286" s="45">
        <f>IF(TRIM(Z286)="",,(Z286-Z285)/1000)</f>
        <v/>
      </c>
      <c r="AC286" s="5" t="n"/>
      <c r="AD286" s="83">
        <f>TABL123[[#This Row],[( S/S+T/B) AJD]]-(TABL123[[#This Row],[(A/B + A/S) AJD]]+TABL123[[#This Row],[(STORGE DIFF.) AJD]]+(TABL123[[#This Row],[AJD_Evaporation]])/1000)</f>
        <v/>
      </c>
      <c r="AE286" s="68" t="n"/>
      <c r="AF286" s="68" t="n"/>
      <c r="AG286" s="68" t="n"/>
      <c r="AH286" s="6" t="n"/>
      <c r="AI286" s="78" t="n"/>
      <c r="AJ286" s="78">
        <f>TABL123[[#This Row],[(A/B) AJD]]-TABL123[[#This Row],[BER_IN]]</f>
        <v/>
      </c>
      <c r="AK286" s="78" t="n">
        <v>28</v>
      </c>
      <c r="AL286" s="68" t="n">
        <v>42.267</v>
      </c>
      <c r="AM286" s="87" t="n">
        <v>2714150</v>
      </c>
      <c r="AN286" s="87">
        <f>TABL123[[#This Row],[ (RESV. STORGE) SER]]/10</f>
        <v/>
      </c>
      <c r="AO286" s="6" t="n">
        <v>1960</v>
      </c>
      <c r="AP286" s="32">
        <f>TABL123[[#This Row],[(A/S) AJD]]-TABL123[[#This Row],[SER_IN]]</f>
        <v/>
      </c>
    </row>
    <row r="287" ht="19.5" customHeight="1" thickBot="1">
      <c r="A287" s="2" t="n">
        <v>46308</v>
      </c>
      <c r="B287" s="28" t="n">
        <v>35</v>
      </c>
      <c r="C287" s="28" t="n">
        <v>276</v>
      </c>
      <c r="D287" s="35" t="n">
        <v>35</v>
      </c>
      <c r="E287" s="28" t="n">
        <v>0</v>
      </c>
      <c r="F287" s="28" t="n">
        <v>93</v>
      </c>
      <c r="G287" s="28" t="n">
        <v>617</v>
      </c>
      <c r="H287" s="28">
        <f>103-F287</f>
        <v/>
      </c>
      <c r="I287" s="28" t="n"/>
      <c r="J287" s="28" t="n"/>
      <c r="K287" s="28">
        <f>TABL123[[#This Row],[ (T/B) SAR]]+TABL123[[#This Row],[ (S/S) SAR]]</f>
        <v/>
      </c>
      <c r="L287" s="28" t="n">
        <v>315</v>
      </c>
      <c r="M287" s="29" t="n">
        <v>24.1</v>
      </c>
      <c r="N287" s="30" t="n">
        <v>6.93</v>
      </c>
      <c r="O287" s="14" t="n">
        <v>397</v>
      </c>
      <c r="P287" s="9">
        <f>TABL123[[#This Row],[ (S/S) SAR]]-TABL123[[#This Row],[(S/S) AJD]]</f>
        <v/>
      </c>
      <c r="Q287" s="14" t="n">
        <v>428</v>
      </c>
      <c r="R287" s="9">
        <f>TABL123[[#This Row],[ (T/B) SAR]]-TABL123[[#This Row],[(T/B) AJD]]</f>
        <v/>
      </c>
      <c r="S287" s="9">
        <f>TABL123[[#This Row],[T/B-CON.]]+TABL123[[#This Row],[S/S_CON.]]</f>
        <v/>
      </c>
      <c r="T287" s="9">
        <f>TABL123[[#This Row],[(S/S) AJD]]+TABL123[[#This Row],[(T/B) AJD]]</f>
        <v/>
      </c>
      <c r="U287" s="14" t="n">
        <v>561</v>
      </c>
      <c r="V287" s="14" t="n">
        <v>261</v>
      </c>
      <c r="W287" s="9">
        <f>TABL123[[#This Row],[(A/B) AJD]]+TABL123[[#This Row],[(A/S) AJD]]</f>
        <v/>
      </c>
      <c r="X287" s="9">
        <f>TABL123[[#This Row],[( S/S+T/B) AJD]]-TABL123[[#This Row],[(A/B + A/S) AJD]]</f>
        <v/>
      </c>
      <c r="Y287" s="15" t="n">
        <v>92.724</v>
      </c>
      <c r="Z287" s="16" t="n">
        <v>630252</v>
      </c>
      <c r="AA287" s="3">
        <f>TABL123[[#This Row],[(RESV. STORGE) AJD]]/10</f>
        <v/>
      </c>
      <c r="AB287" s="45">
        <f>IF(TRIM(Z287)="",,(Z287-Z286)/1000)</f>
        <v/>
      </c>
      <c r="AC287" s="5" t="n"/>
      <c r="AD287" s="83">
        <f>TABL123[[#This Row],[( S/S+T/B) AJD]]-(TABL123[[#This Row],[(A/B + A/S) AJD]]+TABL123[[#This Row],[(STORGE DIFF.) AJD]]+(TABL123[[#This Row],[AJD_Evaporation]])/1000)</f>
        <v/>
      </c>
      <c r="AE287" s="68" t="n"/>
      <c r="AF287" s="68" t="n"/>
      <c r="AG287" s="68" t="n"/>
      <c r="AH287" s="6" t="n"/>
      <c r="AI287" s="78" t="n"/>
      <c r="AJ287" s="78">
        <f>TABL123[[#This Row],[(A/B) AJD]]-TABL123[[#This Row],[BER_IN]]</f>
        <v/>
      </c>
      <c r="AK287" s="78" t="n">
        <v>28</v>
      </c>
      <c r="AL287" s="68" t="n">
        <v>42.2964</v>
      </c>
      <c r="AM287" s="87" t="n">
        <v>2729150</v>
      </c>
      <c r="AN287" s="87">
        <f>TABL123[[#This Row],[ (RESV. STORGE) SER]]/10</f>
        <v/>
      </c>
      <c r="AO287" s="6" t="n">
        <v>1940</v>
      </c>
      <c r="AP287" s="32">
        <f>TABL123[[#This Row],[(A/S) AJD]]-TABL123[[#This Row],[SER_IN]]</f>
        <v/>
      </c>
    </row>
    <row r="288" ht="19.5" customHeight="1" thickBot="1">
      <c r="A288" s="2" t="n">
        <v>46309</v>
      </c>
      <c r="B288" s="28" t="n">
        <v>35</v>
      </c>
      <c r="C288" s="28" t="n">
        <v>288</v>
      </c>
      <c r="D288" s="35" t="n">
        <v>35</v>
      </c>
      <c r="E288" s="28" t="n">
        <v>0</v>
      </c>
      <c r="F288" s="28" t="n">
        <v>93</v>
      </c>
      <c r="G288" s="28" t="n">
        <v>617</v>
      </c>
      <c r="H288" s="28" t="n"/>
      <c r="I288" s="28" t="n"/>
      <c r="J288" s="28" t="n"/>
      <c r="K288" s="28">
        <f>TABL123[[#This Row],[ (T/B) SAR]]+TABL123[[#This Row],[ (S/S) SAR]]</f>
        <v/>
      </c>
      <c r="L288" s="28" t="n">
        <v>315</v>
      </c>
      <c r="M288" s="29" t="n">
        <v>24.1</v>
      </c>
      <c r="N288" s="30" t="n">
        <v>6.9</v>
      </c>
      <c r="O288" s="14" t="n">
        <v>398</v>
      </c>
      <c r="P288" s="9">
        <f>TABL123[[#This Row],[ (S/S) SAR]]-TABL123[[#This Row],[(S/S) AJD]]</f>
        <v/>
      </c>
      <c r="Q288" s="14" t="n">
        <v>428</v>
      </c>
      <c r="R288" s="9">
        <f>TABL123[[#This Row],[ (T/B) SAR]]-TABL123[[#This Row],[(T/B) AJD]]</f>
        <v/>
      </c>
      <c r="S288" s="9">
        <f>TABL123[[#This Row],[T/B-CON.]]+TABL123[[#This Row],[S/S_CON.]]</f>
        <v/>
      </c>
      <c r="T288" s="9">
        <f>TABL123[[#This Row],[(S/S) AJD]]+TABL123[[#This Row],[(T/B) AJD]]</f>
        <v/>
      </c>
      <c r="U288" s="14" t="n">
        <v>561</v>
      </c>
      <c r="V288" s="14" t="n">
        <v>266</v>
      </c>
      <c r="W288" s="9">
        <f>TABL123[[#This Row],[(A/B) AJD]]+TABL123[[#This Row],[(A/S) AJD]]</f>
        <v/>
      </c>
      <c r="X288" s="9">
        <f>TABL123[[#This Row],[( S/S+T/B) AJD]]-TABL123[[#This Row],[(A/B + A/S) AJD]]</f>
        <v/>
      </c>
      <c r="Y288" s="15" t="n">
        <v>92.697</v>
      </c>
      <c r="Z288" s="16" t="n">
        <v>614122</v>
      </c>
      <c r="AA288" s="3">
        <f>TABL123[[#This Row],[(RESV. STORGE) AJD]]/10</f>
        <v/>
      </c>
      <c r="AB288" s="45">
        <f>IF(TRIM(Z288)="",,(Z288-Z287)/1000)</f>
        <v/>
      </c>
      <c r="AC288" s="5" t="n"/>
      <c r="AD288" s="83">
        <f>TABL123[[#This Row],[( S/S+T/B) AJD]]-(TABL123[[#This Row],[(A/B + A/S) AJD]]+TABL123[[#This Row],[(STORGE DIFF.) AJD]]+(TABL123[[#This Row],[AJD_Evaporation]])/1000)</f>
        <v/>
      </c>
      <c r="AE288" s="68" t="n"/>
      <c r="AF288" s="68" t="n"/>
      <c r="AG288" s="68" t="n"/>
      <c r="AH288" s="6" t="n"/>
      <c r="AI288" s="78" t="n"/>
      <c r="AJ288" s="78">
        <f>TABL123[[#This Row],[(A/B) AJD]]-TABL123[[#This Row],[BER_IN]]</f>
        <v/>
      </c>
      <c r="AK288" s="78" t="n"/>
      <c r="AL288" s="68" t="n"/>
      <c r="AM288" s="87" t="n"/>
      <c r="AN288" s="87">
        <f>TABL123[[#This Row],[ (RESV. STORGE) SER]]/10</f>
        <v/>
      </c>
      <c r="AO288" s="6" t="n"/>
      <c r="AP288" s="32">
        <f>TABL123[[#This Row],[(A/S) AJD]]-TABL123[[#This Row],[SER_IN]]</f>
        <v/>
      </c>
    </row>
    <row r="289" ht="19.5" customHeight="1" thickBot="1">
      <c r="A289" s="2" t="n">
        <v>46310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TABL123[[#This Row],[ (T/B) SAR]]+TABL123[[#This Row],[ (S/S) SAR]]</f>
        <v/>
      </c>
      <c r="L289" s="28" t="n"/>
      <c r="M289" s="29" t="n"/>
      <c r="N289" s="30" t="n"/>
      <c r="O289" s="14" t="n">
        <v>402</v>
      </c>
      <c r="P289" s="9">
        <f>TABL123[[#This Row],[ (S/S) SAR]]-TABL123[[#This Row],[(S/S) AJD]]</f>
        <v/>
      </c>
      <c r="Q289" s="14" t="n">
        <v>430</v>
      </c>
      <c r="R289" s="9">
        <f>TABL123[[#This Row],[ (T/B) SAR]]-TABL123[[#This Row],[(T/B) AJD]]</f>
        <v/>
      </c>
      <c r="S289" s="9">
        <f>TABL123[[#This Row],[T/B-CON.]]+TABL123[[#This Row],[S/S_CON.]]</f>
        <v/>
      </c>
      <c r="T289" s="9">
        <f>TABL123[[#This Row],[(S/S) AJD]]+TABL123[[#This Row],[(T/B) AJD]]</f>
        <v/>
      </c>
      <c r="U289" s="14" t="n">
        <v>563</v>
      </c>
      <c r="V289" s="14" t="n">
        <v>278</v>
      </c>
      <c r="W289" s="9">
        <f>TABL123[[#This Row],[(A/B) AJD]]+TABL123[[#This Row],[(A/S) AJD]]</f>
        <v/>
      </c>
      <c r="X289" s="9">
        <f>TABL123[[#This Row],[( S/S+T/B) AJD]]-TABL123[[#This Row],[(A/B + A/S) AJD]]</f>
        <v/>
      </c>
      <c r="Y289" s="15" t="n">
        <v>92.617</v>
      </c>
      <c r="Z289" s="16" t="n">
        <v>566373</v>
      </c>
      <c r="AA289" s="3">
        <f>TABL123[[#This Row],[(RESV. STORGE) AJD]]/10</f>
        <v/>
      </c>
      <c r="AB289" s="45">
        <f>IF(TRIM(Z289)="",,(Z289-Z288)/1000)</f>
        <v/>
      </c>
      <c r="AC289" s="5" t="n"/>
      <c r="AD289" s="83">
        <f>TABL123[[#This Row],[( S/S+T/B) AJD]]-(TABL123[[#This Row],[(A/B + A/S) AJD]]+TABL123[[#This Row],[(STORGE DIFF.) AJD]]+(TABL123[[#This Row],[AJD_Evaporation]])/1000)</f>
        <v/>
      </c>
      <c r="AE289" s="68" t="n"/>
      <c r="AF289" s="68" t="n"/>
      <c r="AG289" s="68" t="n"/>
      <c r="AH289" s="6" t="n"/>
      <c r="AI289" s="78" t="n"/>
      <c r="AJ289" s="78">
        <f>TABL123[[#This Row],[(A/B) AJD]]-TABL123[[#This Row],[BER_IN]]</f>
        <v/>
      </c>
      <c r="AK289" s="78" t="n"/>
      <c r="AL289" s="68" t="n"/>
      <c r="AM289" s="87" t="n"/>
      <c r="AN289" s="87">
        <f>TABL123[[#This Row],[ (RESV. STORGE) SER]]/10</f>
        <v/>
      </c>
      <c r="AO289" s="6" t="n"/>
      <c r="AP289" s="32">
        <f>TABL123[[#This Row],[(A/S) AJD]]-TABL123[[#This Row],[SER_IN]]</f>
        <v/>
      </c>
    </row>
    <row r="290" ht="19.5" customHeight="1" thickBot="1">
      <c r="A290" s="2" t="n">
        <v>46311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TABL123[[#This Row],[ (T/B) SAR]]+TABL123[[#This Row],[ (S/S) SAR]]</f>
        <v/>
      </c>
      <c r="L290" s="28" t="n"/>
      <c r="M290" s="29" t="n"/>
      <c r="N290" s="30" t="n"/>
      <c r="O290" s="14" t="n">
        <v>398</v>
      </c>
      <c r="P290" s="9">
        <f>TABL123[[#This Row],[ (S/S) SAR]]-TABL123[[#This Row],[(S/S) AJD]]</f>
        <v/>
      </c>
      <c r="Q290" s="14" t="n">
        <v>429</v>
      </c>
      <c r="R290" s="9">
        <f>TABL123[[#This Row],[ (T/B) SAR]]-TABL123[[#This Row],[(T/B) AJD]]</f>
        <v/>
      </c>
      <c r="S290" s="9">
        <f>TABL123[[#This Row],[T/B-CON.]]+TABL123[[#This Row],[S/S_CON.]]</f>
        <v/>
      </c>
      <c r="T290" s="9">
        <f>TABL123[[#This Row],[(S/S) AJD]]+TABL123[[#This Row],[(T/B) AJD]]</f>
        <v/>
      </c>
      <c r="U290" s="14" t="n">
        <v>558</v>
      </c>
      <c r="V290" s="14" t="n">
        <v>253</v>
      </c>
      <c r="W290" s="9">
        <f>TABL123[[#This Row],[(A/B) AJD]]+TABL123[[#This Row],[(A/S) AJD]]</f>
        <v/>
      </c>
      <c r="X290" s="9">
        <f>TABL123[[#This Row],[( S/S+T/B) AJD]]-TABL123[[#This Row],[(A/B + A/S) AJD]]</f>
        <v/>
      </c>
      <c r="Y290" s="15" t="n">
        <v>92.607</v>
      </c>
      <c r="Z290" s="16" t="n">
        <v>560410</v>
      </c>
      <c r="AA290" s="3">
        <f>TABL123[[#This Row],[(RESV. STORGE) AJD]]/10</f>
        <v/>
      </c>
      <c r="AB290" s="45">
        <f>IF(TRIM(Z290)="",,(Z290-Z289)/1000)</f>
        <v/>
      </c>
      <c r="AC290" s="5" t="n"/>
      <c r="AD290" s="83">
        <f>TABL123[[#This Row],[( S/S+T/B) AJD]]-(TABL123[[#This Row],[(A/B + A/S) AJD]]+TABL123[[#This Row],[(STORGE DIFF.) AJD]]+(TABL123[[#This Row],[AJD_Evaporation]])/1000)</f>
        <v/>
      </c>
      <c r="AE290" s="68" t="n"/>
      <c r="AF290" s="68" t="n"/>
      <c r="AG290" s="68" t="n"/>
      <c r="AH290" s="6" t="n"/>
      <c r="AI290" s="78" t="n"/>
      <c r="AJ290" s="78">
        <f>TABL123[[#This Row],[(A/B) AJD]]-TABL123[[#This Row],[BER_IN]]</f>
        <v/>
      </c>
      <c r="AK290" s="78" t="n"/>
      <c r="AL290" s="68" t="n"/>
      <c r="AM290" s="87" t="n"/>
      <c r="AN290" s="87">
        <f>TABL123[[#This Row],[ (RESV. STORGE) SER]]/10</f>
        <v/>
      </c>
      <c r="AO290" s="6" t="n"/>
      <c r="AP290" s="32">
        <f>TABL123[[#This Row],[(A/S) AJD]]-TABL123[[#This Row],[SER_IN]]</f>
        <v/>
      </c>
    </row>
    <row r="291" ht="19.5" customHeight="1" thickBot="1">
      <c r="A291" s="2" t="n">
        <v>46312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TABL123[[#This Row],[ (T/B) SAR]]+TABL123[[#This Row],[ (S/S) SAR]]</f>
        <v/>
      </c>
      <c r="L291" s="28" t="n"/>
      <c r="M291" s="29" t="n"/>
      <c r="N291" s="30" t="n"/>
      <c r="O291" s="14" t="n">
        <v>397</v>
      </c>
      <c r="P291" s="9">
        <f>TABL123[[#This Row],[ (S/S) SAR]]-TABL123[[#This Row],[(S/S) AJD]]</f>
        <v/>
      </c>
      <c r="Q291" s="14" t="n">
        <v>428</v>
      </c>
      <c r="R291" s="9">
        <f>TABL123[[#This Row],[ (T/B) SAR]]-TABL123[[#This Row],[(T/B) AJD]]</f>
        <v/>
      </c>
      <c r="S291" s="9">
        <f>TABL123[[#This Row],[T/B-CON.]]+TABL123[[#This Row],[S/S_CON.]]</f>
        <v/>
      </c>
      <c r="T291" s="9">
        <f>TABL123[[#This Row],[(S/S) AJD]]+TABL123[[#This Row],[(T/B) AJD]]</f>
        <v/>
      </c>
      <c r="U291" s="14" t="n">
        <v>558</v>
      </c>
      <c r="V291" s="14" t="n">
        <v>224</v>
      </c>
      <c r="W291" s="9">
        <f>TABL123[[#This Row],[(A/B) AJD]]+TABL123[[#This Row],[(A/S) AJD]]</f>
        <v/>
      </c>
      <c r="X291" s="9">
        <f>TABL123[[#This Row],[( S/S+T/B) AJD]]-TABL123[[#This Row],[(A/B + A/S) AJD]]</f>
        <v/>
      </c>
      <c r="Y291" s="15" t="n">
        <v>92.624</v>
      </c>
      <c r="Z291" s="16" t="n">
        <v>570552</v>
      </c>
      <c r="AA291" s="3">
        <f>TABL123[[#This Row],[(RESV. STORGE) AJD]]/10</f>
        <v/>
      </c>
      <c r="AB291" s="45">
        <f>IF(TRIM(Z291)="",,(Z291-Z290)/1000)</f>
        <v/>
      </c>
      <c r="AC291" s="5" t="n"/>
      <c r="AD291" s="83">
        <f>TABL123[[#This Row],[( S/S+T/B) AJD]]-(TABL123[[#This Row],[(A/B + A/S) AJD]]+TABL123[[#This Row],[(STORGE DIFF.) AJD]]+(TABL123[[#This Row],[AJD_Evaporation]])/1000)</f>
        <v/>
      </c>
      <c r="AE291" s="68" t="n"/>
      <c r="AF291" s="68" t="n"/>
      <c r="AG291" s="68" t="n"/>
      <c r="AH291" s="6" t="n"/>
      <c r="AI291" s="78" t="n"/>
      <c r="AJ291" s="78">
        <f>TABL123[[#This Row],[(A/B) AJD]]-TABL123[[#This Row],[BER_IN]]</f>
        <v/>
      </c>
      <c r="AK291" s="78" t="n"/>
      <c r="AL291" s="68" t="n"/>
      <c r="AM291" s="87" t="n"/>
      <c r="AN291" s="87">
        <f>TABL123[[#This Row],[ (RESV. STORGE) SER]]/10</f>
        <v/>
      </c>
      <c r="AO291" s="6" t="n"/>
      <c r="AP291" s="32">
        <f>TABL123[[#This Row],[(A/S) AJD]]-TABL123[[#This Row],[SER_IN]]</f>
        <v/>
      </c>
    </row>
    <row r="292" ht="19.5" customHeight="1" thickBot="1">
      <c r="A292" s="2" t="n">
        <v>46313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TABL123[[#This Row],[ (T/B) SAR]]+TABL123[[#This Row],[ (S/S) SAR]]</f>
        <v/>
      </c>
      <c r="L292" s="28" t="n"/>
      <c r="M292" s="29" t="n"/>
      <c r="N292" s="30" t="n"/>
      <c r="O292" s="14" t="n">
        <v>393</v>
      </c>
      <c r="P292" s="9">
        <f>TABL123[[#This Row],[ (S/S) SAR]]-TABL123[[#This Row],[(S/S) AJD]]</f>
        <v/>
      </c>
      <c r="Q292" s="14" t="n">
        <v>426</v>
      </c>
      <c r="R292" s="9">
        <f>TABL123[[#This Row],[ (T/B) SAR]]-TABL123[[#This Row],[(T/B) AJD]]</f>
        <v/>
      </c>
      <c r="S292" s="9">
        <f>TABL123[[#This Row],[T/B-CON.]]+TABL123[[#This Row],[S/S_CON.]]</f>
        <v/>
      </c>
      <c r="T292" s="9">
        <f>TABL123[[#This Row],[(S/S) AJD]]+TABL123[[#This Row],[(T/B) AJD]]</f>
        <v/>
      </c>
      <c r="U292" s="14" t="n">
        <v>565</v>
      </c>
      <c r="V292" s="14" t="n">
        <v>217</v>
      </c>
      <c r="W292" s="9">
        <f>TABL123[[#This Row],[(A/B) AJD]]+TABL123[[#This Row],[(A/S) AJD]]</f>
        <v/>
      </c>
      <c r="X292" s="9">
        <f>TABL123[[#This Row],[( S/S+T/B) AJD]]-TABL123[[#This Row],[(A/B + A/S) AJD]]</f>
        <v/>
      </c>
      <c r="Y292" s="15" t="n">
        <v>92.652</v>
      </c>
      <c r="Z292" s="16" t="n">
        <v>587262</v>
      </c>
      <c r="AA292" s="3">
        <f>TABL123[[#This Row],[(RESV. STORGE) AJD]]/10</f>
        <v/>
      </c>
      <c r="AB292" s="45">
        <f>IF(TRIM(Z292)="",,(Z292-Z291)/1000)</f>
        <v/>
      </c>
      <c r="AC292" s="5" t="n"/>
      <c r="AD292" s="83">
        <f>TABL123[[#This Row],[( S/S+T/B) AJD]]-(TABL123[[#This Row],[(A/B + A/S) AJD]]+TABL123[[#This Row],[(STORGE DIFF.) AJD]]+(TABL123[[#This Row],[AJD_Evaporation]])/1000)</f>
        <v/>
      </c>
      <c r="AE292" s="68" t="n"/>
      <c r="AF292" s="68" t="n"/>
      <c r="AG292" s="68" t="n"/>
      <c r="AH292" s="6" t="n"/>
      <c r="AI292" s="78" t="n"/>
      <c r="AJ292" s="78">
        <f>TABL123[[#This Row],[(A/B) AJD]]-TABL123[[#This Row],[BER_IN]]</f>
        <v/>
      </c>
      <c r="AK292" s="78" t="n"/>
      <c r="AL292" s="68" t="n"/>
      <c r="AM292" s="87" t="n"/>
      <c r="AN292" s="87">
        <f>TABL123[[#This Row],[ (RESV. STORGE) SER]]/10</f>
        <v/>
      </c>
      <c r="AO292" s="6" t="n"/>
      <c r="AP292" s="32">
        <f>TABL123[[#This Row],[(A/S) AJD]]-TABL123[[#This Row],[SER_IN]]</f>
        <v/>
      </c>
    </row>
    <row r="293" ht="19.5" customHeight="1" thickBot="1">
      <c r="A293" s="2" t="n">
        <v>46314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TABL123[[#This Row],[ (T/B) SAR]]+TABL123[[#This Row],[ (S/S) SAR]]</f>
        <v/>
      </c>
      <c r="L293" s="28" t="n"/>
      <c r="M293" s="29" t="n"/>
      <c r="N293" s="30" t="n"/>
      <c r="O293" s="14" t="n">
        <v>387</v>
      </c>
      <c r="P293" s="9">
        <f>TABL123[[#This Row],[ (S/S) SAR]]-TABL123[[#This Row],[(S/S) AJD]]</f>
        <v/>
      </c>
      <c r="Q293" s="14" t="n">
        <v>417</v>
      </c>
      <c r="R293" s="9">
        <f>TABL123[[#This Row],[ (T/B) SAR]]-TABL123[[#This Row],[(T/B) AJD]]</f>
        <v/>
      </c>
      <c r="S293" s="9">
        <f>TABL123[[#This Row],[T/B-CON.]]+TABL123[[#This Row],[S/S_CON.]]</f>
        <v/>
      </c>
      <c r="T293" s="9">
        <f>TABL123[[#This Row],[(S/S) AJD]]+TABL123[[#This Row],[(T/B) AJD]]</f>
        <v/>
      </c>
      <c r="U293" s="14" t="n">
        <v>568</v>
      </c>
      <c r="V293" s="14" t="n">
        <v>216</v>
      </c>
      <c r="W293" s="9">
        <f>TABL123[[#This Row],[(A/B) AJD]]+TABL123[[#This Row],[(A/S) AJD]]</f>
        <v/>
      </c>
      <c r="X293" s="9">
        <f>TABL123[[#This Row],[( S/S+T/B) AJD]]-TABL123[[#This Row],[(A/B + A/S) AJD]]</f>
        <v/>
      </c>
      <c r="Y293" s="15" t="n">
        <v>92.634</v>
      </c>
      <c r="Z293" s="16" t="n">
        <v>576521</v>
      </c>
      <c r="AA293" s="3">
        <f>TABL123[[#This Row],[(RESV. STORGE) AJD]]/10</f>
        <v/>
      </c>
      <c r="AB293" s="45">
        <f>IF(TRIM(Z293)="",,(Z293-Z292)/1000)</f>
        <v/>
      </c>
      <c r="AC293" s="5" t="n"/>
      <c r="AD293" s="83">
        <f>TABL123[[#This Row],[( S/S+T/B) AJD]]-(TABL123[[#This Row],[(A/B + A/S) AJD]]+TABL123[[#This Row],[(STORGE DIFF.) AJD]]+(TABL123[[#This Row],[AJD_Evaporation]])/1000)</f>
        <v/>
      </c>
      <c r="AE293" s="68" t="n"/>
      <c r="AF293" s="68" t="n"/>
      <c r="AG293" s="68" t="n"/>
      <c r="AH293" s="6" t="n"/>
      <c r="AI293" s="78" t="n"/>
      <c r="AJ293" s="78">
        <f>TABL123[[#This Row],[(A/B) AJD]]-TABL123[[#This Row],[BER_IN]]</f>
        <v/>
      </c>
      <c r="AK293" s="78" t="n"/>
      <c r="AL293" s="68" t="n"/>
      <c r="AM293" s="87" t="n"/>
      <c r="AN293" s="87">
        <f>TABL123[[#This Row],[ (RESV. STORGE) SER]]/10</f>
        <v/>
      </c>
      <c r="AO293" s="6" t="n"/>
      <c r="AP293" s="32">
        <f>TABL123[[#This Row],[(A/S) AJD]]-TABL123[[#This Row],[SER_IN]]</f>
        <v/>
      </c>
    </row>
    <row r="294" ht="19.5" customHeight="1" thickBot="1">
      <c r="A294" s="2" t="n">
        <v>46315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TABL123[[#This Row],[ (T/B) SAR]]+TABL123[[#This Row],[ (S/S) SAR]]</f>
        <v/>
      </c>
      <c r="L294" s="28" t="n"/>
      <c r="M294" s="29" t="n"/>
      <c r="N294" s="30" t="n"/>
      <c r="O294" s="14" t="n">
        <v>379</v>
      </c>
      <c r="P294" s="9">
        <f>TABL123[[#This Row],[ (S/S) SAR]]-TABL123[[#This Row],[(S/S) AJD]]</f>
        <v/>
      </c>
      <c r="Q294" s="14" t="n">
        <v>409</v>
      </c>
      <c r="R294" s="9">
        <f>TABL123[[#This Row],[ (T/B) SAR]]-TABL123[[#This Row],[(T/B) AJD]]</f>
        <v/>
      </c>
      <c r="S294" s="9">
        <f>TABL123[[#This Row],[T/B-CON.]]+TABL123[[#This Row],[S/S_CON.]]</f>
        <v/>
      </c>
      <c r="T294" s="9">
        <f>TABL123[[#This Row],[(S/S) AJD]]+TABL123[[#This Row],[(T/B) AJD]]</f>
        <v/>
      </c>
      <c r="U294" s="14" t="n">
        <v>564</v>
      </c>
      <c r="V294" s="14" t="n">
        <v>227</v>
      </c>
      <c r="W294" s="9">
        <f>TABL123[[#This Row],[(A/B) AJD]]+TABL123[[#This Row],[(A/S) AJD]]</f>
        <v/>
      </c>
      <c r="X294" s="9">
        <f>TABL123[[#This Row],[( S/S+T/B) AJD]]-TABL123[[#This Row],[(A/B + A/S) AJD]]</f>
        <v/>
      </c>
      <c r="Y294" s="15" t="n">
        <v>92.57899999999999</v>
      </c>
      <c r="Z294" s="16" t="n">
        <v>543710</v>
      </c>
      <c r="AA294" s="3">
        <f>TABL123[[#This Row],[(RESV. STORGE) AJD]]/10</f>
        <v/>
      </c>
      <c r="AB294" s="45">
        <f>IF(TRIM(Z294)="",,(Z294-Z293)/1000)</f>
        <v/>
      </c>
      <c r="AC294" s="5" t="n"/>
      <c r="AD294" s="83">
        <f>TABL123[[#This Row],[( S/S+T/B) AJD]]-(TABL123[[#This Row],[(A/B + A/S) AJD]]+TABL123[[#This Row],[(STORGE DIFF.) AJD]]+(TABL123[[#This Row],[AJD_Evaporation]])/1000)</f>
        <v/>
      </c>
      <c r="AE294" s="68" t="n"/>
      <c r="AF294" s="68" t="n"/>
      <c r="AG294" s="68" t="n"/>
      <c r="AH294" s="6" t="n"/>
      <c r="AI294" s="78" t="n"/>
      <c r="AJ294" s="78">
        <f>TABL123[[#This Row],[(A/B) AJD]]-TABL123[[#This Row],[BER_IN]]</f>
        <v/>
      </c>
      <c r="AK294" s="78" t="n"/>
      <c r="AL294" s="68" t="n"/>
      <c r="AM294" s="87" t="n"/>
      <c r="AN294" s="87">
        <f>TABL123[[#This Row],[ (RESV. STORGE) SER]]/10</f>
        <v/>
      </c>
      <c r="AO294" s="6" t="n"/>
      <c r="AP294" s="32">
        <f>TABL123[[#This Row],[(A/S) AJD]]-TABL123[[#This Row],[SER_IN]]</f>
        <v/>
      </c>
    </row>
    <row r="295" ht="19.5" customHeight="1" thickBot="1">
      <c r="A295" s="2" t="n">
        <v>46316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TABL123[[#This Row],[ (T/B) SAR]]+TABL123[[#This Row],[ (S/S) SAR]]</f>
        <v/>
      </c>
      <c r="L295" s="28" t="n"/>
      <c r="M295" s="29" t="n"/>
      <c r="N295" s="30" t="n"/>
      <c r="O295" s="14" t="n">
        <v>381</v>
      </c>
      <c r="P295" s="9">
        <f>TABL123[[#This Row],[ (S/S) SAR]]-TABL123[[#This Row],[(S/S) AJD]]</f>
        <v/>
      </c>
      <c r="Q295" s="14" t="n">
        <v>412</v>
      </c>
      <c r="R295" s="9">
        <f>TABL123[[#This Row],[ (T/B) SAR]]-TABL123[[#This Row],[(T/B) AJD]]</f>
        <v/>
      </c>
      <c r="S295" s="9">
        <f>TABL123[[#This Row],[T/B-CON.]]+TABL123[[#This Row],[S/S_CON.]]</f>
        <v/>
      </c>
      <c r="T295" s="9">
        <f>TABL123[[#This Row],[(S/S) AJD]]+TABL123[[#This Row],[(T/B) AJD]]</f>
        <v/>
      </c>
      <c r="U295" s="14" t="n">
        <v>565</v>
      </c>
      <c r="V295" s="14" t="n">
        <v>225</v>
      </c>
      <c r="W295" s="9">
        <f>TABL123[[#This Row],[(A/B) AJD]]+TABL123[[#This Row],[(A/S) AJD]]</f>
        <v/>
      </c>
      <c r="X295" s="9">
        <f>TABL123[[#This Row],[( S/S+T/B) AJD]]-TABL123[[#This Row],[(A/B + A/S) AJD]]</f>
        <v/>
      </c>
      <c r="Y295" s="15" t="n">
        <v>92.527</v>
      </c>
      <c r="Z295" s="16" t="n">
        <v>512711</v>
      </c>
      <c r="AA295" s="3">
        <f>TABL123[[#This Row],[(RESV. STORGE) AJD]]/10</f>
        <v/>
      </c>
      <c r="AB295" s="45">
        <f>IF(TRIM(Z295)="",,(Z295-Z294)/1000)</f>
        <v/>
      </c>
      <c r="AC295" s="5" t="n"/>
      <c r="AD295" s="83">
        <f>TABL123[[#This Row],[( S/S+T/B) AJD]]-(TABL123[[#This Row],[(A/B + A/S) AJD]]+TABL123[[#This Row],[(STORGE DIFF.) AJD]]+(TABL123[[#This Row],[AJD_Evaporation]])/1000)</f>
        <v/>
      </c>
      <c r="AE295" s="68" t="n"/>
      <c r="AF295" s="68" t="n"/>
      <c r="AG295" s="68" t="n"/>
      <c r="AH295" s="6" t="n"/>
      <c r="AI295" s="78" t="n"/>
      <c r="AJ295" s="78">
        <f>TABL123[[#This Row],[(A/B) AJD]]-TABL123[[#This Row],[BER_IN]]</f>
        <v/>
      </c>
      <c r="AK295" s="78" t="n"/>
      <c r="AL295" s="68" t="n"/>
      <c r="AM295" s="87" t="n"/>
      <c r="AN295" s="87">
        <f>TABL123[[#This Row],[ (RESV. STORGE) SER]]/10</f>
        <v/>
      </c>
      <c r="AO295" s="6" t="n"/>
      <c r="AP295" s="32">
        <f>TABL123[[#This Row],[(A/S) AJD]]-TABL123[[#This Row],[SER_IN]]</f>
        <v/>
      </c>
    </row>
    <row r="296" ht="19.5" customHeight="1" thickBot="1">
      <c r="A296" s="2" t="n">
        <v>46317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TABL123[[#This Row],[ (T/B) SAR]]+TABL123[[#This Row],[ (S/S) SAR]]</f>
        <v/>
      </c>
      <c r="L296" s="28" t="n"/>
      <c r="M296" s="29" t="n"/>
      <c r="N296" s="30" t="n"/>
      <c r="O296" s="14" t="n">
        <v>382</v>
      </c>
      <c r="P296" s="9">
        <f>TABL123[[#This Row],[ (S/S) SAR]]-TABL123[[#This Row],[(S/S) AJD]]</f>
        <v/>
      </c>
      <c r="Q296" s="14" t="n">
        <v>412</v>
      </c>
      <c r="R296" s="9">
        <f>TABL123[[#This Row],[ (T/B) SAR]]-TABL123[[#This Row],[(T/B) AJD]]</f>
        <v/>
      </c>
      <c r="S296" s="9">
        <f>TABL123[[#This Row],[T/B-CON.]]+TABL123[[#This Row],[S/S_CON.]]</f>
        <v/>
      </c>
      <c r="T296" s="9">
        <f>TABL123[[#This Row],[(S/S) AJD]]+TABL123[[#This Row],[(T/B) AJD]]</f>
        <v/>
      </c>
      <c r="U296" s="14" t="n">
        <v>558</v>
      </c>
      <c r="V296" s="14" t="n">
        <v>263</v>
      </c>
      <c r="W296" s="9">
        <f>TABL123[[#This Row],[(A/B) AJD]]+TABL123[[#This Row],[(A/S) AJD]]</f>
        <v/>
      </c>
      <c r="X296" s="9">
        <f>TABL123[[#This Row],[( S/S+T/B) AJD]]-TABL123[[#This Row],[(A/B + A/S) AJD]]</f>
        <v/>
      </c>
      <c r="Y296" s="15" t="n">
        <v>92.447</v>
      </c>
      <c r="Z296" s="16" t="n">
        <v>465064</v>
      </c>
      <c r="AA296" s="3">
        <f>TABL123[[#This Row],[(RESV. STORGE) AJD]]/10</f>
        <v/>
      </c>
      <c r="AB296" s="45">
        <f>IF(TRIM(Z296)="",,(Z296-Z295)/1000)</f>
        <v/>
      </c>
      <c r="AC296" s="5" t="n"/>
      <c r="AD296" s="83">
        <f>TABL123[[#This Row],[( S/S+T/B) AJD]]-(TABL123[[#This Row],[(A/B + A/S) AJD]]+TABL123[[#This Row],[(STORGE DIFF.) AJD]]+(TABL123[[#This Row],[AJD_Evaporation]])/1000)</f>
        <v/>
      </c>
      <c r="AE296" s="68" t="n"/>
      <c r="AF296" s="68" t="n"/>
      <c r="AG296" s="68" t="n"/>
      <c r="AH296" s="6" t="n"/>
      <c r="AI296" s="78" t="n"/>
      <c r="AJ296" s="78">
        <f>TABL123[[#This Row],[(A/B) AJD]]-TABL123[[#This Row],[BER_IN]]</f>
        <v/>
      </c>
      <c r="AK296" s="78" t="n"/>
      <c r="AL296" s="68" t="n"/>
      <c r="AM296" s="87" t="n"/>
      <c r="AN296" s="87">
        <f>TABL123[[#This Row],[ (RESV. STORGE) SER]]/10</f>
        <v/>
      </c>
      <c r="AO296" s="6" t="n"/>
      <c r="AP296" s="32">
        <f>TABL123[[#This Row],[(A/S) AJD]]-TABL123[[#This Row],[SER_IN]]</f>
        <v/>
      </c>
    </row>
    <row r="297" ht="19.5" customHeight="1" thickBot="1">
      <c r="A297" s="2" t="n">
        <v>46318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TABL123[[#This Row],[ (T/B) SAR]]+TABL123[[#This Row],[ (S/S) SAR]]</f>
        <v/>
      </c>
      <c r="L297" s="28" t="n"/>
      <c r="M297" s="29" t="n"/>
      <c r="N297" s="30" t="n"/>
      <c r="O297" s="14" t="n">
        <v>383</v>
      </c>
      <c r="P297" s="9">
        <f>TABL123[[#This Row],[ (S/S) SAR]]-TABL123[[#This Row],[(S/S) AJD]]</f>
        <v/>
      </c>
      <c r="Q297" s="14" t="n">
        <v>411</v>
      </c>
      <c r="R297" s="9">
        <f>TABL123[[#This Row],[ (T/B) SAR]]-TABL123[[#This Row],[(T/B) AJD]]</f>
        <v/>
      </c>
      <c r="S297" s="9">
        <f>TABL123[[#This Row],[T/B-CON.]]+TABL123[[#This Row],[S/S_CON.]]</f>
        <v/>
      </c>
      <c r="T297" s="9">
        <f>TABL123[[#This Row],[(S/S) AJD]]+TABL123[[#This Row],[(T/B) AJD]]</f>
        <v/>
      </c>
      <c r="U297" s="14" t="n">
        <v>551</v>
      </c>
      <c r="V297" s="14" t="n">
        <v>260</v>
      </c>
      <c r="W297" s="9">
        <f>TABL123[[#This Row],[(A/B) AJD]]+TABL123[[#This Row],[(A/S) AJD]]</f>
        <v/>
      </c>
      <c r="X297" s="9">
        <f>TABL123[[#This Row],[( S/S+T/B) AJD]]-TABL123[[#This Row],[(A/B + A/S) AJD]]</f>
        <v/>
      </c>
      <c r="Y297" s="15" t="n">
        <v>92.37</v>
      </c>
      <c r="Z297" s="16" t="n">
        <v>422229</v>
      </c>
      <c r="AA297" s="3">
        <f>TABL123[[#This Row],[(RESV. STORGE) AJD]]/10</f>
        <v/>
      </c>
      <c r="AB297" s="45">
        <f>IF(TRIM(Z297)="",,(Z297-Z296)/1000)</f>
        <v/>
      </c>
      <c r="AC297" s="5" t="n"/>
      <c r="AD297" s="83">
        <f>TABL123[[#This Row],[( S/S+T/B) AJD]]-(TABL123[[#This Row],[(A/B + A/S) AJD]]+TABL123[[#This Row],[(STORGE DIFF.) AJD]]+(TABL123[[#This Row],[AJD_Evaporation]])/1000)</f>
        <v/>
      </c>
      <c r="AE297" s="68" t="n"/>
      <c r="AF297" s="68" t="n"/>
      <c r="AG297" s="68" t="n"/>
      <c r="AH297" s="6" t="n"/>
      <c r="AI297" s="78" t="n"/>
      <c r="AJ297" s="78">
        <f>TABL123[[#This Row],[(A/B) AJD]]-TABL123[[#This Row],[BER_IN]]</f>
        <v/>
      </c>
      <c r="AK297" s="78" t="n"/>
      <c r="AL297" s="68" t="n"/>
      <c r="AM297" s="87" t="n"/>
      <c r="AN297" s="87">
        <f>TABL123[[#This Row],[ (RESV. STORGE) SER]]/10</f>
        <v/>
      </c>
      <c r="AO297" s="6" t="n"/>
      <c r="AP297" s="32">
        <f>TABL123[[#This Row],[(A/S) AJD]]-TABL123[[#This Row],[SER_IN]]</f>
        <v/>
      </c>
    </row>
    <row r="298" ht="19.5" customHeight="1" thickBot="1">
      <c r="A298" s="2" t="n">
        <v>46319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TABL123[[#This Row],[ (T/B) SAR]]+TABL123[[#This Row],[ (S/S) SAR]]</f>
        <v/>
      </c>
      <c r="L298" s="28" t="n"/>
      <c r="M298" s="29" t="n"/>
      <c r="N298" s="30" t="n"/>
      <c r="O298" s="14" t="n">
        <v>404</v>
      </c>
      <c r="P298" s="9">
        <f>TABL123[[#This Row],[ (S/S) SAR]]-TABL123[[#This Row],[(S/S) AJD]]</f>
        <v/>
      </c>
      <c r="Q298" s="14" t="n">
        <v>436</v>
      </c>
      <c r="R298" s="9">
        <f>TABL123[[#This Row],[ (T/B) SAR]]-TABL123[[#This Row],[(T/B) AJD]]</f>
        <v/>
      </c>
      <c r="S298" s="9">
        <f>TABL123[[#This Row],[T/B-CON.]]+TABL123[[#This Row],[S/S_CON.]]</f>
        <v/>
      </c>
      <c r="T298" s="9">
        <f>TABL123[[#This Row],[(S/S) AJD]]+TABL123[[#This Row],[(T/B) AJD]]</f>
        <v/>
      </c>
      <c r="U298" s="14" t="n">
        <v>543</v>
      </c>
      <c r="V298" s="14" t="n">
        <v>257</v>
      </c>
      <c r="W298" s="9">
        <f>TABL123[[#This Row],[(A/B) AJD]]+TABL123[[#This Row],[(A/S) AJD]]</f>
        <v/>
      </c>
      <c r="X298" s="9">
        <f>TABL123[[#This Row],[( S/S+T/B) AJD]]-TABL123[[#This Row],[(A/B + A/S) AJD]]</f>
        <v/>
      </c>
      <c r="Y298" s="15" t="n">
        <v>92.41</v>
      </c>
      <c r="Z298" s="16" t="n">
        <v>443049</v>
      </c>
      <c r="AA298" s="3">
        <f>TABL123[[#This Row],[(RESV. STORGE) AJD]]/10</f>
        <v/>
      </c>
      <c r="AB298" s="45">
        <f>IF(TRIM(Z298)="",,(Z298-Z297)/1000)</f>
        <v/>
      </c>
      <c r="AC298" s="5" t="n"/>
      <c r="AD298" s="83">
        <f>TABL123[[#This Row],[( S/S+T/B) AJD]]-(TABL123[[#This Row],[(A/B + A/S) AJD]]+TABL123[[#This Row],[(STORGE DIFF.) AJD]]+(TABL123[[#This Row],[AJD_Evaporation]])/1000)</f>
        <v/>
      </c>
      <c r="AE298" s="68" t="n"/>
      <c r="AF298" s="68" t="n"/>
      <c r="AG298" s="68" t="n"/>
      <c r="AH298" s="6" t="n"/>
      <c r="AI298" s="78" t="n"/>
      <c r="AJ298" s="78">
        <f>TABL123[[#This Row],[(A/B) AJD]]-TABL123[[#This Row],[BER_IN]]</f>
        <v/>
      </c>
      <c r="AK298" s="78" t="n"/>
      <c r="AL298" s="68" t="n"/>
      <c r="AM298" s="87" t="n"/>
      <c r="AN298" s="87">
        <f>TABL123[[#This Row],[ (RESV. STORGE) SER]]/10</f>
        <v/>
      </c>
      <c r="AO298" s="6" t="n"/>
      <c r="AP298" s="32">
        <f>TABL123[[#This Row],[(A/S) AJD]]-TABL123[[#This Row],[SER_IN]]</f>
        <v/>
      </c>
    </row>
    <row r="299" ht="19.5" customHeight="1" thickBot="1">
      <c r="A299" s="2" t="n">
        <v>46320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TABL123[[#This Row],[ (T/B) SAR]]+TABL123[[#This Row],[ (S/S) SAR]]</f>
        <v/>
      </c>
      <c r="L299" s="28" t="n"/>
      <c r="M299" s="29" t="n"/>
      <c r="N299" s="30" t="n"/>
      <c r="O299" s="14" t="n">
        <v>413</v>
      </c>
      <c r="P299" s="9">
        <f>TABL123[[#This Row],[ (S/S) SAR]]-TABL123[[#This Row],[(S/S) AJD]]</f>
        <v/>
      </c>
      <c r="Q299" s="14" t="n">
        <v>446</v>
      </c>
      <c r="R299" s="9">
        <f>TABL123[[#This Row],[ (T/B) SAR]]-TABL123[[#This Row],[(T/B) AJD]]</f>
        <v/>
      </c>
      <c r="S299" s="9">
        <f>TABL123[[#This Row],[T/B-CON.]]+TABL123[[#This Row],[S/S_CON.]]</f>
        <v/>
      </c>
      <c r="T299" s="9">
        <f>TABL123[[#This Row],[(S/S) AJD]]+TABL123[[#This Row],[(T/B) AJD]]</f>
        <v/>
      </c>
      <c r="U299" s="14" t="n">
        <v>527</v>
      </c>
      <c r="V299" s="14" t="n">
        <v>264</v>
      </c>
      <c r="W299" s="9">
        <f>TABL123[[#This Row],[(A/B) AJD]]+TABL123[[#This Row],[(A/S) AJD]]</f>
        <v/>
      </c>
      <c r="X299" s="9">
        <f>TABL123[[#This Row],[( S/S+T/B) AJD]]-TABL123[[#This Row],[(A/B + A/S) AJD]]</f>
        <v/>
      </c>
      <c r="Y299" s="15" t="n">
        <v>92.47499999999999</v>
      </c>
      <c r="Z299" s="16" t="n">
        <v>481734</v>
      </c>
      <c r="AA299" s="3">
        <f>TABL123[[#This Row],[(RESV. STORGE) AJD]]/10</f>
        <v/>
      </c>
      <c r="AB299" s="45">
        <f>IF(TRIM(Z299)="",,(Z299-Z298)/1000)</f>
        <v/>
      </c>
      <c r="AC299" s="5" t="n"/>
      <c r="AD299" s="83">
        <f>TABL123[[#This Row],[( S/S+T/B) AJD]]-(TABL123[[#This Row],[(A/B + A/S) AJD]]+TABL123[[#This Row],[(STORGE DIFF.) AJD]]+(TABL123[[#This Row],[AJD_Evaporation]])/1000)</f>
        <v/>
      </c>
      <c r="AE299" s="68" t="n"/>
      <c r="AF299" s="68" t="n"/>
      <c r="AG299" s="68" t="n"/>
      <c r="AH299" s="6" t="n"/>
      <c r="AI299" s="78" t="n"/>
      <c r="AJ299" s="78">
        <f>TABL123[[#This Row],[(A/B) AJD]]-TABL123[[#This Row],[BER_IN]]</f>
        <v/>
      </c>
      <c r="AK299" s="78" t="n"/>
      <c r="AL299" s="68" t="n"/>
      <c r="AM299" s="87" t="n"/>
      <c r="AN299" s="87">
        <f>TABL123[[#This Row],[ (RESV. STORGE) SER]]/10</f>
        <v/>
      </c>
      <c r="AO299" s="6" t="n"/>
      <c r="AP299" s="32">
        <f>TABL123[[#This Row],[(A/S) AJD]]-TABL123[[#This Row],[SER_IN]]</f>
        <v/>
      </c>
    </row>
    <row r="300" ht="18.75" customHeight="1">
      <c r="A300" s="2" t="n">
        <v>46321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TABL123[[#This Row],[ (T/B) SAR]]+TABL123[[#This Row],[ (S/S) SAR]]</f>
        <v/>
      </c>
      <c r="L300" s="28" t="n"/>
      <c r="M300" s="29" t="n"/>
      <c r="N300" s="30" t="n"/>
      <c r="O300" s="14" t="n"/>
      <c r="P300" s="9">
        <f>TABL123[[#This Row],[ (S/S) SAR]]-TABL123[[#This Row],[(S/S) AJD]]</f>
        <v/>
      </c>
      <c r="Q300" s="14" t="n"/>
      <c r="R300" s="9">
        <f>TABL123[[#This Row],[ (T/B) SAR]]-TABL123[[#This Row],[(T/B) AJD]]</f>
        <v/>
      </c>
      <c r="S300" s="9">
        <f>TABL123[[#This Row],[T/B-CON.]]+TABL123[[#This Row],[S/S_CON.]]</f>
        <v/>
      </c>
      <c r="T300" s="9">
        <f>TABL123[[#This Row],[(S/S) AJD]]+TABL123[[#This Row],[(T/B) AJD]]</f>
        <v/>
      </c>
      <c r="U300" s="14" t="n"/>
      <c r="V300" s="14" t="n"/>
      <c r="W300" s="9">
        <f>TABL123[[#This Row],[(A/B) AJD]]+TABL123[[#This Row],[(A/S) AJD]]</f>
        <v/>
      </c>
      <c r="X300" s="9">
        <f>TABL123[[#This Row],[( S/S+T/B) AJD]]-TABL123[[#This Row],[(A/B + A/S) AJD]]</f>
        <v/>
      </c>
      <c r="Y300" s="18" t="n"/>
      <c r="Z300" s="9" t="n"/>
      <c r="AA300" s="3">
        <f>TABL123[[#This Row],[(RESV. STORGE) AJD]]/10</f>
        <v/>
      </c>
      <c r="AB300" s="45">
        <f>IF(TRIM(Z300)="",,(Z300-Z299)/1000)</f>
        <v/>
      </c>
      <c r="AC300" s="5" t="n"/>
      <c r="AD300" s="83">
        <f>TABL123[[#This Row],[( S/S+T/B) AJD]]-(TABL123[[#This Row],[(A/B + A/S) AJD]]+TABL123[[#This Row],[(STORGE DIFF.) AJD]]+(TABL123[[#This Row],[AJD_Evaporation]])/1000)</f>
        <v/>
      </c>
      <c r="AE300" s="68" t="n"/>
      <c r="AF300" s="68" t="n"/>
      <c r="AG300" s="68" t="n"/>
      <c r="AH300" s="6" t="n"/>
      <c r="AI300" s="78" t="n"/>
      <c r="AJ300" s="78" t="n"/>
      <c r="AK300" s="78" t="n"/>
      <c r="AL300" s="68" t="n"/>
      <c r="AM300" s="87" t="n"/>
      <c r="AN300" s="87" t="n"/>
      <c r="AO300" s="6" t="n"/>
      <c r="AP300" s="32" t="n"/>
    </row>
    <row r="301" ht="18.75" customHeight="1">
      <c r="A301" s="2" t="n">
        <v>46322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TABL123[[#This Row],[ (T/B) SAR]]+TABL123[[#This Row],[ (S/S) SAR]]</f>
        <v/>
      </c>
      <c r="L301" s="28" t="n"/>
      <c r="M301" s="29" t="n"/>
      <c r="N301" s="30" t="n"/>
      <c r="O301" s="14" t="n"/>
      <c r="P301" s="9">
        <f>TABL123[[#This Row],[ (S/S) SAR]]-TABL123[[#This Row],[(S/S) AJD]]</f>
        <v/>
      </c>
      <c r="Q301" s="14" t="n"/>
      <c r="R301" s="9">
        <f>TABL123[[#This Row],[ (T/B) SAR]]-TABL123[[#This Row],[(T/B) AJD]]</f>
        <v/>
      </c>
      <c r="S301" s="9">
        <f>TABL123[[#This Row],[T/B-CON.]]+TABL123[[#This Row],[S/S_CON.]]</f>
        <v/>
      </c>
      <c r="T301" s="9">
        <f>TABL123[[#This Row],[(S/S) AJD]]+TABL123[[#This Row],[(T/B) AJD]]</f>
        <v/>
      </c>
      <c r="U301" s="14" t="n"/>
      <c r="V301" s="14" t="n"/>
      <c r="W301" s="9">
        <f>TABL123[[#This Row],[(A/B) AJD]]+TABL123[[#This Row],[(A/S) AJD]]</f>
        <v/>
      </c>
      <c r="X301" s="9">
        <f>TABL123[[#This Row],[( S/S+T/B) AJD]]-TABL123[[#This Row],[(A/B + A/S) AJD]]</f>
        <v/>
      </c>
      <c r="Y301" s="18" t="n"/>
      <c r="Z301" s="9" t="n"/>
      <c r="AA301" s="3">
        <f>TABL123[[#This Row],[(RESV. STORGE) AJD]]/10</f>
        <v/>
      </c>
      <c r="AB301" s="45">
        <f>IF(TRIM(Z301)="",,(Z301-Z300)/1000)</f>
        <v/>
      </c>
      <c r="AC301" s="5" t="n"/>
      <c r="AD301" s="83">
        <f>TABL123[[#This Row],[( S/S+T/B) AJD]]-(TABL123[[#This Row],[(A/B + A/S) AJD]]+TABL123[[#This Row],[(STORGE DIFF.) AJD]]+(TABL123[[#This Row],[AJD_Evaporation]])/1000)</f>
        <v/>
      </c>
      <c r="AE301" s="68" t="n"/>
      <c r="AF301" s="68" t="n"/>
      <c r="AG301" s="68" t="n"/>
      <c r="AH301" s="6" t="n"/>
      <c r="AI301" s="78" t="n"/>
      <c r="AJ301" s="78" t="n"/>
      <c r="AK301" s="78" t="n"/>
      <c r="AL301" s="68" t="n"/>
      <c r="AM301" s="87" t="n"/>
      <c r="AN301" s="87" t="n"/>
      <c r="AO301" s="6" t="n"/>
      <c r="AP301" s="32" t="n"/>
    </row>
    <row r="302" ht="18.75" customHeight="1">
      <c r="A302" s="2" t="n">
        <v>46323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TABL123[[#This Row],[ (T/B) SAR]]+TABL123[[#This Row],[ (S/S) SAR]]</f>
        <v/>
      </c>
      <c r="L302" s="28" t="n"/>
      <c r="M302" s="29" t="n"/>
      <c r="N302" s="30" t="n"/>
      <c r="O302" s="14" t="n"/>
      <c r="P302" s="9">
        <f>TABL123[[#This Row],[ (S/S) SAR]]-TABL123[[#This Row],[(S/S) AJD]]</f>
        <v/>
      </c>
      <c r="Q302" s="14" t="n"/>
      <c r="R302" s="9">
        <f>TABL123[[#This Row],[ (T/B) SAR]]-TABL123[[#This Row],[(T/B) AJD]]</f>
        <v/>
      </c>
      <c r="S302" s="9">
        <f>TABL123[[#This Row],[T/B-CON.]]+TABL123[[#This Row],[S/S_CON.]]</f>
        <v/>
      </c>
      <c r="T302" s="9">
        <f>TABL123[[#This Row],[(S/S) AJD]]+TABL123[[#This Row],[(T/B) AJD]]</f>
        <v/>
      </c>
      <c r="U302" s="14" t="n"/>
      <c r="V302" s="14" t="n"/>
      <c r="W302" s="9">
        <f>TABL123[[#This Row],[(A/B) AJD]]+TABL123[[#This Row],[(A/S) AJD]]</f>
        <v/>
      </c>
      <c r="X302" s="9">
        <f>TABL123[[#This Row],[( S/S+T/B) AJD]]-TABL123[[#This Row],[(A/B + A/S) AJD]]</f>
        <v/>
      </c>
      <c r="Y302" s="18" t="n"/>
      <c r="Z302" s="9" t="n"/>
      <c r="AA302" s="3">
        <f>TABL123[[#This Row],[(RESV. STORGE) AJD]]/10</f>
        <v/>
      </c>
      <c r="AB302" s="45">
        <f>IF(TRIM(Z302)="",,(Z302-Z301)/1000)</f>
        <v/>
      </c>
      <c r="AC302" s="5" t="n"/>
      <c r="AD302" s="83">
        <f>TABL123[[#This Row],[( S/S+T/B) AJD]]-(TABL123[[#This Row],[(A/B + A/S) AJD]]+TABL123[[#This Row],[(STORGE DIFF.) AJD]]+(TABL123[[#This Row],[AJD_Evaporation]])/1000)</f>
        <v/>
      </c>
      <c r="AE302" s="68" t="n"/>
      <c r="AF302" s="68" t="n"/>
      <c r="AG302" s="68" t="n"/>
      <c r="AH302" s="6" t="n"/>
      <c r="AI302" s="78" t="n"/>
      <c r="AJ302" s="78">
        <f>TABL123[[#This Row],[(A/B) AJD]]-TABL123[[#This Row],[BER_IN]]</f>
        <v/>
      </c>
      <c r="AK302" s="78" t="n"/>
      <c r="AL302" s="68" t="n"/>
      <c r="AM302" s="87" t="n"/>
      <c r="AN302" s="87">
        <f>TABL123[[#This Row],[ (RESV. STORGE) SER]]/10</f>
        <v/>
      </c>
      <c r="AO302" s="6" t="n"/>
      <c r="AP302" s="32">
        <f>TABL123[[#This Row],[(A/S) AJD]]-TABL123[[#This Row],[SER_IN]]</f>
        <v/>
      </c>
    </row>
    <row r="303" ht="18.75" customHeight="1">
      <c r="A303" s="2" t="n">
        <v>46324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TABL123[[#This Row],[ (T/B) SAR]]+TABL123[[#This Row],[ (S/S) SAR]]</f>
        <v/>
      </c>
      <c r="L303" s="28" t="n"/>
      <c r="M303" s="29" t="n"/>
      <c r="N303" s="30" t="n"/>
      <c r="O303" s="14" t="n"/>
      <c r="P303" s="9">
        <f>TABL123[[#This Row],[ (S/S) SAR]]-TABL123[[#This Row],[(S/S) AJD]]</f>
        <v/>
      </c>
      <c r="Q303" s="14" t="n"/>
      <c r="R303" s="9">
        <f>TABL123[[#This Row],[ (T/B) SAR]]-TABL123[[#This Row],[(T/B) AJD]]</f>
        <v/>
      </c>
      <c r="S303" s="9">
        <f>TABL123[[#This Row],[T/B-CON.]]+TABL123[[#This Row],[S/S_CON.]]</f>
        <v/>
      </c>
      <c r="T303" s="9">
        <f>TABL123[[#This Row],[(S/S) AJD]]+TABL123[[#This Row],[(T/B) AJD]]</f>
        <v/>
      </c>
      <c r="U303" s="14" t="n"/>
      <c r="V303" s="14" t="n"/>
      <c r="W303" s="9">
        <f>TABL123[[#This Row],[(A/B) AJD]]+TABL123[[#This Row],[(A/S) AJD]]</f>
        <v/>
      </c>
      <c r="X303" s="9">
        <f>TABL123[[#This Row],[( S/S+T/B) AJD]]-TABL123[[#This Row],[(A/B + A/S) AJD]]</f>
        <v/>
      </c>
      <c r="Y303" s="18" t="n"/>
      <c r="Z303" s="9" t="n"/>
      <c r="AA303" s="3">
        <f>TABL123[[#This Row],[(RESV. STORGE) AJD]]/10</f>
        <v/>
      </c>
      <c r="AB303" s="45">
        <f>IF(TRIM(Z303)="",,(Z303-Z302)/1000)</f>
        <v/>
      </c>
      <c r="AC303" s="5" t="n"/>
      <c r="AD303" s="83">
        <f>TABL123[[#This Row],[( S/S+T/B) AJD]]-(TABL123[[#This Row],[(A/B + A/S) AJD]]+TABL123[[#This Row],[(STORGE DIFF.) AJD]]+(TABL123[[#This Row],[AJD_Evaporation]])/1000)</f>
        <v/>
      </c>
      <c r="AE303" s="68" t="n"/>
      <c r="AF303" s="68" t="n"/>
      <c r="AG303" s="68" t="n"/>
      <c r="AH303" s="6" t="n"/>
      <c r="AI303" s="78" t="n"/>
      <c r="AJ303" s="78">
        <f>TABL123[[#This Row],[(A/B) AJD]]-TABL123[[#This Row],[BER_IN]]</f>
        <v/>
      </c>
      <c r="AK303" s="78" t="n"/>
      <c r="AL303" s="68" t="n"/>
      <c r="AM303" s="87" t="n"/>
      <c r="AN303" s="87">
        <f>TABL123[[#This Row],[ (RESV. STORGE) SER]]/10</f>
        <v/>
      </c>
      <c r="AO303" s="6" t="n"/>
      <c r="AP303" s="32">
        <f>TABL123[[#This Row],[(A/S) AJD]]-TABL123[[#This Row],[SER_IN]]</f>
        <v/>
      </c>
    </row>
    <row r="304" ht="18.75" customHeight="1">
      <c r="A304" s="2" t="n">
        <v>46325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TABL123[[#This Row],[ (T/B) SAR]]+TABL123[[#This Row],[ (S/S) SAR]]</f>
        <v/>
      </c>
      <c r="L304" s="28" t="n"/>
      <c r="M304" s="29" t="n"/>
      <c r="N304" s="30" t="n"/>
      <c r="O304" s="14" t="n"/>
      <c r="P304" s="9">
        <f>TABL123[[#This Row],[ (S/S) SAR]]-TABL123[[#This Row],[(S/S) AJD]]</f>
        <v/>
      </c>
      <c r="Q304" s="14" t="n"/>
      <c r="R304" s="9">
        <f>TABL123[[#This Row],[ (T/B) SAR]]-TABL123[[#This Row],[(T/B) AJD]]</f>
        <v/>
      </c>
      <c r="S304" s="9">
        <f>TABL123[[#This Row],[T/B-CON.]]+TABL123[[#This Row],[S/S_CON.]]</f>
        <v/>
      </c>
      <c r="T304" s="9">
        <f>TABL123[[#This Row],[(S/S) AJD]]+TABL123[[#This Row],[(T/B) AJD]]</f>
        <v/>
      </c>
      <c r="U304" s="14" t="n"/>
      <c r="V304" s="14" t="n"/>
      <c r="W304" s="9">
        <f>TABL123[[#This Row],[(A/B) AJD]]+TABL123[[#This Row],[(A/S) AJD]]</f>
        <v/>
      </c>
      <c r="X304" s="9">
        <f>TABL123[[#This Row],[( S/S+T/B) AJD]]-TABL123[[#This Row],[(A/B + A/S) AJD]]</f>
        <v/>
      </c>
      <c r="Y304" s="18" t="n"/>
      <c r="Z304" s="9" t="n"/>
      <c r="AA304" s="3">
        <f>TABL123[[#This Row],[(RESV. STORGE) AJD]]/10</f>
        <v/>
      </c>
      <c r="AB304" s="45">
        <f>IF(TRIM(Z304)="",,(Z304-Z303)/1000)</f>
        <v/>
      </c>
      <c r="AC304" s="5" t="n"/>
      <c r="AD304" s="83">
        <f>TABL123[[#This Row],[( S/S+T/B) AJD]]-(TABL123[[#This Row],[(A/B + A/S) AJD]]+TABL123[[#This Row],[(STORGE DIFF.) AJD]]+(TABL123[[#This Row],[AJD_Evaporation]])/1000)</f>
        <v/>
      </c>
      <c r="AE304" s="68" t="n"/>
      <c r="AF304" s="68" t="n"/>
      <c r="AG304" s="68" t="n"/>
      <c r="AH304" s="6" t="n"/>
      <c r="AI304" s="78" t="n"/>
      <c r="AJ304" s="78">
        <f>TABL123[[#This Row],[(A/B) AJD]]-TABL123[[#This Row],[BER_IN]]</f>
        <v/>
      </c>
      <c r="AK304" s="78" t="n"/>
      <c r="AL304" s="68" t="n"/>
      <c r="AM304" s="87" t="n"/>
      <c r="AN304" s="87">
        <f>TABL123[[#This Row],[ (RESV. STORGE) SER]]/10</f>
        <v/>
      </c>
      <c r="AO304" s="6" t="n"/>
      <c r="AP304" s="32">
        <f>TABL123[[#This Row],[(A/S) AJD]]-TABL123[[#This Row],[SER_IN]]</f>
        <v/>
      </c>
    </row>
    <row r="305" ht="18.75" customHeight="1">
      <c r="A305" s="2" t="n">
        <v>46326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TABL123[[#This Row],[ (T/B) SAR]]+TABL123[[#This Row],[ (S/S) SAR]]</f>
        <v/>
      </c>
      <c r="L305" s="28" t="n"/>
      <c r="M305" s="29" t="n"/>
      <c r="N305" s="30" t="n"/>
      <c r="O305" s="14" t="n"/>
      <c r="P305" s="9">
        <f>TABL123[[#This Row],[ (S/S) SAR]]-TABL123[[#This Row],[(S/S) AJD]]</f>
        <v/>
      </c>
      <c r="Q305" s="14" t="n"/>
      <c r="R305" s="9">
        <f>TABL123[[#This Row],[ (T/B) SAR]]-TABL123[[#This Row],[(T/B) AJD]]</f>
        <v/>
      </c>
      <c r="S305" s="9">
        <f>TABL123[[#This Row],[T/B-CON.]]+TABL123[[#This Row],[S/S_CON.]]</f>
        <v/>
      </c>
      <c r="T305" s="9">
        <f>TABL123[[#This Row],[(S/S) AJD]]+TABL123[[#This Row],[(T/B) AJD]]</f>
        <v/>
      </c>
      <c r="U305" s="14" t="n"/>
      <c r="V305" s="14" t="n"/>
      <c r="W305" s="9">
        <f>TABL123[[#This Row],[(A/B) AJD]]+TABL123[[#This Row],[(A/S) AJD]]</f>
        <v/>
      </c>
      <c r="X305" s="9">
        <f>TABL123[[#This Row],[( S/S+T/B) AJD]]-TABL123[[#This Row],[(A/B + A/S) AJD]]</f>
        <v/>
      </c>
      <c r="Y305" s="18" t="n"/>
      <c r="Z305" s="9" t="n"/>
      <c r="AA305" s="3">
        <f>TABL123[[#This Row],[(RESV. STORGE) AJD]]/10</f>
        <v/>
      </c>
      <c r="AB305" s="45">
        <f>IF(TRIM(Z305)="",,(Z305-Z304)/1000)</f>
        <v/>
      </c>
      <c r="AC305" s="5" t="n"/>
      <c r="AD305" s="83">
        <f>TABL123[[#This Row],[( S/S+T/B) AJD]]-(TABL123[[#This Row],[(A/B + A/S) AJD]]+TABL123[[#This Row],[(STORGE DIFF.) AJD]]+(TABL123[[#This Row],[AJD_Evaporation]])/1000)</f>
        <v/>
      </c>
      <c r="AE305" s="68" t="n"/>
      <c r="AF305" s="68" t="n"/>
      <c r="AG305" s="68" t="n"/>
      <c r="AH305" s="6" t="n"/>
      <c r="AI305" s="78" t="n"/>
      <c r="AJ305" s="78">
        <f>TABL123[[#This Row],[(A/B) AJD]]-TABL123[[#This Row],[BER_IN]]</f>
        <v/>
      </c>
      <c r="AK305" s="78" t="n"/>
      <c r="AL305" s="68" t="n"/>
      <c r="AM305" s="87" t="n"/>
      <c r="AN305" s="87">
        <f>TABL123[[#This Row],[ (RESV. STORGE) SER]]/10</f>
        <v/>
      </c>
      <c r="AO305" s="6" t="n"/>
      <c r="AP305" s="32">
        <f>TABL123[[#This Row],[(A/S) AJD]]-TABL123[[#This Row],[SER_IN]]</f>
        <v/>
      </c>
    </row>
    <row r="306" ht="18.75" customHeight="1">
      <c r="A306" s="2" t="n">
        <v>46327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TABL123[[#This Row],[ (T/B) SAR]]+TABL123[[#This Row],[ (S/S) SAR]]</f>
        <v/>
      </c>
      <c r="L306" s="28" t="n"/>
      <c r="M306" s="29" t="n"/>
      <c r="N306" s="30" t="n"/>
      <c r="O306" s="39" t="n"/>
      <c r="P306" s="9">
        <f>TABL123[[#This Row],[ (S/S) SAR]]-TABL123[[#This Row],[(S/S) AJD]]</f>
        <v/>
      </c>
      <c r="Q306" s="9" t="n"/>
      <c r="R306" s="9">
        <f>TABL123[[#This Row],[ (T/B) SAR]]-TABL123[[#This Row],[(T/B) AJD]]</f>
        <v/>
      </c>
      <c r="S306" s="9">
        <f>TABL123[[#This Row],[T/B-CON.]]+TABL123[[#This Row],[S/S_CON.]]</f>
        <v/>
      </c>
      <c r="T306" s="9">
        <f>TABL123[[#This Row],[(S/S) AJD]]+TABL123[[#This Row],[(T/B) AJD]]</f>
        <v/>
      </c>
      <c r="U306" s="9" t="n"/>
      <c r="V306" s="9" t="n"/>
      <c r="W306" s="9">
        <f>TABL123[[#This Row],[(A/B) AJD]]+TABL123[[#This Row],[(A/S) AJD]]</f>
        <v/>
      </c>
      <c r="X306" s="9">
        <f>TABL123[[#This Row],[( S/S+T/B) AJD]]-TABL123[[#This Row],[(A/B + A/S) AJD]]</f>
        <v/>
      </c>
      <c r="Y306" s="18" t="n"/>
      <c r="Z306" s="9" t="n"/>
      <c r="AA306" s="3">
        <f>TABL123[[#This Row],[(RESV. STORGE) AJD]]/10</f>
        <v/>
      </c>
      <c r="AB306" s="45">
        <f>IF(TRIM(Z306)="",,(Z306-Z305)/1000)</f>
        <v/>
      </c>
      <c r="AC306" s="5" t="n"/>
      <c r="AD306" s="83">
        <f>TABL123[[#This Row],[( S/S+T/B) AJD]]-(TABL123[[#This Row],[(A/B + A/S) AJD]]+TABL123[[#This Row],[(STORGE DIFF.) AJD]]+(TABL123[[#This Row],[AJD_Evaporation]])/1000)</f>
        <v/>
      </c>
      <c r="AE306" s="68" t="n"/>
      <c r="AF306" s="68" t="n"/>
      <c r="AG306" s="68" t="n"/>
      <c r="AH306" s="6" t="n"/>
      <c r="AI306" s="78" t="n"/>
      <c r="AJ306" s="78">
        <f>TABL123[[#This Row],[(A/B) AJD]]-TABL123[[#This Row],[BER_IN]]</f>
        <v/>
      </c>
      <c r="AK306" s="78" t="n"/>
      <c r="AL306" s="68" t="n"/>
      <c r="AM306" s="87" t="n"/>
      <c r="AN306" s="87">
        <f>TABL123[[#This Row],[ (RESV. STORGE) SER]]/10</f>
        <v/>
      </c>
      <c r="AO306" s="6" t="n"/>
      <c r="AP306" s="32">
        <f>TABL123[[#This Row],[(A/S) AJD]]-TABL123[[#This Row],[SER_IN]]</f>
        <v/>
      </c>
    </row>
    <row r="307" ht="18.75" customHeight="1">
      <c r="A307" s="2" t="n">
        <v>46328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TABL123[[#This Row],[ (T/B) SAR]]+TABL123[[#This Row],[ (S/S) SAR]]</f>
        <v/>
      </c>
      <c r="L307" s="28" t="n"/>
      <c r="M307" s="29" t="n"/>
      <c r="N307" s="30" t="n"/>
      <c r="O307" s="40" t="n"/>
      <c r="P307" s="9">
        <f>TABL123[[#This Row],[ (S/S) SAR]]-TABL123[[#This Row],[(S/S) AJD]]</f>
        <v/>
      </c>
      <c r="Q307" s="9" t="n"/>
      <c r="R307" s="9">
        <f>TABL123[[#This Row],[ (T/B) SAR]]-TABL123[[#This Row],[(T/B) AJD]]</f>
        <v/>
      </c>
      <c r="S307" s="9">
        <f>TABL123[[#This Row],[T/B-CON.]]+TABL123[[#This Row],[S/S_CON.]]</f>
        <v/>
      </c>
      <c r="T307" s="9">
        <f>TABL123[[#This Row],[(S/S) AJD]]+TABL123[[#This Row],[(T/B) AJD]]</f>
        <v/>
      </c>
      <c r="U307" s="9" t="n"/>
      <c r="V307" s="9" t="n"/>
      <c r="W307" s="9">
        <f>TABL123[[#This Row],[(A/B) AJD]]+TABL123[[#This Row],[(A/S) AJD]]</f>
        <v/>
      </c>
      <c r="X307" s="9">
        <f>TABL123[[#This Row],[( S/S+T/B) AJD]]-TABL123[[#This Row],[(A/B + A/S) AJD]]</f>
        <v/>
      </c>
      <c r="Y307" s="18" t="n"/>
      <c r="Z307" s="9" t="n"/>
      <c r="AA307" s="3">
        <f>TABL123[[#This Row],[(RESV. STORGE) AJD]]/10</f>
        <v/>
      </c>
      <c r="AB307" s="45">
        <f>IF(TRIM(Z307)="",,(Z307-Z306)/1000)</f>
        <v/>
      </c>
      <c r="AC307" s="5" t="n"/>
      <c r="AD307" s="83">
        <f>TABL123[[#This Row],[( S/S+T/B) AJD]]-(TABL123[[#This Row],[(A/B + A/S) AJD]]+TABL123[[#This Row],[(STORGE DIFF.) AJD]]+(TABL123[[#This Row],[AJD_Evaporation]])/1000)</f>
        <v/>
      </c>
      <c r="AE307" s="68" t="n"/>
      <c r="AF307" s="68" t="n"/>
      <c r="AG307" s="68" t="n"/>
      <c r="AH307" s="6" t="n"/>
      <c r="AI307" s="78" t="n"/>
      <c r="AJ307" s="78">
        <f>TABL123[[#This Row],[(A/B) AJD]]-TABL123[[#This Row],[BER_IN]]</f>
        <v/>
      </c>
      <c r="AK307" s="78" t="n"/>
      <c r="AL307" s="68" t="n"/>
      <c r="AM307" s="87" t="n"/>
      <c r="AN307" s="87">
        <f>TABL123[[#This Row],[ (RESV. STORGE) SER]]/10</f>
        <v/>
      </c>
      <c r="AO307" s="6" t="n"/>
      <c r="AP307" s="32">
        <f>TABL123[[#This Row],[(A/S) AJD]]-TABL123[[#This Row],[SER_IN]]</f>
        <v/>
      </c>
    </row>
    <row r="308" ht="18.75" customHeight="1">
      <c r="A308" s="2" t="n">
        <v>46329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TABL123[[#This Row],[ (T/B) SAR]]+TABL123[[#This Row],[ (S/S) SAR]]</f>
        <v/>
      </c>
      <c r="L308" s="28" t="n"/>
      <c r="M308" s="29" t="n"/>
      <c r="N308" s="30" t="n"/>
      <c r="O308" s="39" t="n"/>
      <c r="P308" s="9">
        <f>TABL123[[#This Row],[ (S/S) SAR]]-TABL123[[#This Row],[(S/S) AJD]]</f>
        <v/>
      </c>
      <c r="Q308" s="9" t="n"/>
      <c r="R308" s="9">
        <f>TABL123[[#This Row],[ (T/B) SAR]]-TABL123[[#This Row],[(T/B) AJD]]</f>
        <v/>
      </c>
      <c r="S308" s="9">
        <f>TABL123[[#This Row],[T/B-CON.]]+TABL123[[#This Row],[S/S_CON.]]</f>
        <v/>
      </c>
      <c r="T308" s="9">
        <f>TABL123[[#This Row],[(S/S) AJD]]+TABL123[[#This Row],[(T/B) AJD]]</f>
        <v/>
      </c>
      <c r="U308" s="9" t="n"/>
      <c r="V308" s="9" t="n"/>
      <c r="W308" s="9">
        <f>TABL123[[#This Row],[(A/B) AJD]]+TABL123[[#This Row],[(A/S) AJD]]</f>
        <v/>
      </c>
      <c r="X308" s="9">
        <f>TABL123[[#This Row],[( S/S+T/B) AJD]]-TABL123[[#This Row],[(A/B + A/S) AJD]]</f>
        <v/>
      </c>
      <c r="Y308" s="18" t="n"/>
      <c r="Z308" s="9" t="n"/>
      <c r="AA308" s="3">
        <f>TABL123[[#This Row],[(RESV. STORGE) AJD]]/10</f>
        <v/>
      </c>
      <c r="AB308" s="45">
        <f>IF(TRIM(Z308)="",,(Z308-Z307)/1000)</f>
        <v/>
      </c>
      <c r="AC308" s="5" t="n"/>
      <c r="AD308" s="83">
        <f>TABL123[[#This Row],[( S/S+T/B) AJD]]-(TABL123[[#This Row],[(A/B + A/S) AJD]]+TABL123[[#This Row],[(STORGE DIFF.) AJD]]+(TABL123[[#This Row],[AJD_Evaporation]])/1000)</f>
        <v/>
      </c>
      <c r="AE308" s="68" t="n"/>
      <c r="AF308" s="68" t="n"/>
      <c r="AG308" s="68" t="n"/>
      <c r="AH308" s="6" t="n"/>
      <c r="AI308" s="78" t="n"/>
      <c r="AJ308" s="78">
        <f>TABL123[[#This Row],[(A/B) AJD]]-TABL123[[#This Row],[BER_IN]]</f>
        <v/>
      </c>
      <c r="AK308" s="78" t="n"/>
      <c r="AL308" s="68" t="n"/>
      <c r="AM308" s="87" t="n"/>
      <c r="AN308" s="87">
        <f>TABL123[[#This Row],[ (RESV. STORGE) SER]]/10</f>
        <v/>
      </c>
      <c r="AO308" s="6" t="n"/>
      <c r="AP308" s="32">
        <f>TABL123[[#This Row],[(A/S) AJD]]-TABL123[[#This Row],[SER_IN]]</f>
        <v/>
      </c>
    </row>
    <row r="309" ht="18.75" customHeight="1">
      <c r="A309" s="2" t="n">
        <v>46330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TABL123[[#This Row],[ (T/B) SAR]]+TABL123[[#This Row],[ (S/S) SAR]]</f>
        <v/>
      </c>
      <c r="L309" s="28" t="n"/>
      <c r="M309" s="29" t="n"/>
      <c r="N309" s="30" t="n"/>
      <c r="O309" s="40" t="n"/>
      <c r="P309" s="9">
        <f>TABL123[[#This Row],[ (S/S) SAR]]-TABL123[[#This Row],[(S/S) AJD]]</f>
        <v/>
      </c>
      <c r="Q309" s="9" t="n"/>
      <c r="R309" s="9">
        <f>TABL123[[#This Row],[ (T/B) SAR]]-TABL123[[#This Row],[(T/B) AJD]]</f>
        <v/>
      </c>
      <c r="S309" s="9">
        <f>TABL123[[#This Row],[T/B-CON.]]+TABL123[[#This Row],[S/S_CON.]]</f>
        <v/>
      </c>
      <c r="T309" s="9">
        <f>TABL123[[#This Row],[(S/S) AJD]]+TABL123[[#This Row],[(T/B) AJD]]</f>
        <v/>
      </c>
      <c r="U309" s="9" t="n"/>
      <c r="V309" s="9" t="n"/>
      <c r="W309" s="9">
        <f>TABL123[[#This Row],[(A/B) AJD]]+TABL123[[#This Row],[(A/S) AJD]]</f>
        <v/>
      </c>
      <c r="X309" s="9">
        <f>TABL123[[#This Row],[( S/S+T/B) AJD]]-TABL123[[#This Row],[(A/B + A/S) AJD]]</f>
        <v/>
      </c>
      <c r="Y309" s="18" t="n"/>
      <c r="Z309" s="9" t="n"/>
      <c r="AA309" s="3">
        <f>TABL123[[#This Row],[(RESV. STORGE) AJD]]/10</f>
        <v/>
      </c>
      <c r="AB309" s="45">
        <f>IF(TRIM(Z309)="",,(Z309-Z308)/1000)</f>
        <v/>
      </c>
      <c r="AC309" s="5" t="n"/>
      <c r="AD309" s="83">
        <f>TABL123[[#This Row],[( S/S+T/B) AJD]]-(TABL123[[#This Row],[(A/B + A/S) AJD]]+TABL123[[#This Row],[(STORGE DIFF.) AJD]]+(TABL123[[#This Row],[AJD_Evaporation]])/1000)</f>
        <v/>
      </c>
      <c r="AE309" s="68" t="n"/>
      <c r="AF309" s="68" t="n"/>
      <c r="AG309" s="68" t="n"/>
      <c r="AH309" s="6" t="n"/>
      <c r="AI309" s="78" t="n"/>
      <c r="AJ309" s="78">
        <f>TABL123[[#This Row],[(A/B) AJD]]-TABL123[[#This Row],[BER_IN]]</f>
        <v/>
      </c>
      <c r="AK309" s="78" t="n"/>
      <c r="AL309" s="68" t="n"/>
      <c r="AM309" s="87" t="n"/>
      <c r="AN309" s="87">
        <f>TABL123[[#This Row],[ (RESV. STORGE) SER]]/10</f>
        <v/>
      </c>
      <c r="AO309" s="6" t="n"/>
      <c r="AP309" s="32">
        <f>TABL123[[#This Row],[(A/S) AJD]]-TABL123[[#This Row],[SER_IN]]</f>
        <v/>
      </c>
    </row>
    <row r="310" ht="18.75" customHeight="1">
      <c r="A310" s="2" t="n">
        <v>46331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TABL123[[#This Row],[ (T/B) SAR]]+TABL123[[#This Row],[ (S/S) SAR]]</f>
        <v/>
      </c>
      <c r="L310" s="28" t="n"/>
      <c r="M310" s="29" t="n"/>
      <c r="N310" s="30" t="n"/>
      <c r="O310" s="39" t="n"/>
      <c r="P310" s="9">
        <f>TABL123[[#This Row],[ (S/S) SAR]]-TABL123[[#This Row],[(S/S) AJD]]</f>
        <v/>
      </c>
      <c r="Q310" s="9" t="n"/>
      <c r="R310" s="9">
        <f>TABL123[[#This Row],[ (T/B) SAR]]-TABL123[[#This Row],[(T/B) AJD]]</f>
        <v/>
      </c>
      <c r="S310" s="9">
        <f>TABL123[[#This Row],[T/B-CON.]]+TABL123[[#This Row],[S/S_CON.]]</f>
        <v/>
      </c>
      <c r="T310" s="9">
        <f>TABL123[[#This Row],[(S/S) AJD]]+TABL123[[#This Row],[(T/B) AJD]]</f>
        <v/>
      </c>
      <c r="U310" s="9" t="n"/>
      <c r="V310" s="9" t="n"/>
      <c r="W310" s="9">
        <f>TABL123[[#This Row],[(A/B) AJD]]+TABL123[[#This Row],[(A/S) AJD]]</f>
        <v/>
      </c>
      <c r="X310" s="9">
        <f>TABL123[[#This Row],[( S/S+T/B) AJD]]-TABL123[[#This Row],[(A/B + A/S) AJD]]</f>
        <v/>
      </c>
      <c r="Y310" s="18" t="n"/>
      <c r="Z310" s="9" t="n"/>
      <c r="AA310" s="3">
        <f>TABL123[[#This Row],[(RESV. STORGE) AJD]]/10</f>
        <v/>
      </c>
      <c r="AB310" s="45">
        <f>IF(TRIM(Z310)="",,(Z310-Z309)/1000)</f>
        <v/>
      </c>
      <c r="AC310" s="5" t="n"/>
      <c r="AD310" s="83">
        <f>TABL123[[#This Row],[( S/S+T/B) AJD]]-(TABL123[[#This Row],[(A/B + A/S) AJD]]+TABL123[[#This Row],[(STORGE DIFF.) AJD]]+(TABL123[[#This Row],[AJD_Evaporation]])/1000)</f>
        <v/>
      </c>
      <c r="AE310" s="68" t="n"/>
      <c r="AF310" s="68" t="n"/>
      <c r="AG310" s="68" t="n"/>
      <c r="AH310" s="6" t="n"/>
      <c r="AI310" s="78" t="n"/>
      <c r="AJ310" s="78">
        <f>TABL123[[#This Row],[(A/B) AJD]]-TABL123[[#This Row],[BER_IN]]</f>
        <v/>
      </c>
      <c r="AK310" s="78" t="n"/>
      <c r="AL310" s="68" t="n"/>
      <c r="AM310" s="87" t="n"/>
      <c r="AN310" s="87">
        <f>TABL123[[#This Row],[ (RESV. STORGE) SER]]/10</f>
        <v/>
      </c>
      <c r="AO310" s="6" t="n"/>
      <c r="AP310" s="32">
        <f>TABL123[[#This Row],[(A/S) AJD]]-TABL123[[#This Row],[SER_IN]]</f>
        <v/>
      </c>
    </row>
    <row r="311" ht="18.75" customHeight="1">
      <c r="A311" s="2" t="n">
        <v>46332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TABL123[[#This Row],[ (T/B) SAR]]+TABL123[[#This Row],[ (S/S) SAR]]</f>
        <v/>
      </c>
      <c r="L311" s="28" t="n"/>
      <c r="M311" s="29" t="n"/>
      <c r="N311" s="30" t="n"/>
      <c r="O311" s="40" t="n"/>
      <c r="P311" s="9">
        <f>TABL123[[#This Row],[ (S/S) SAR]]-TABL123[[#This Row],[(S/S) AJD]]</f>
        <v/>
      </c>
      <c r="Q311" s="9" t="n"/>
      <c r="R311" s="9">
        <f>TABL123[[#This Row],[ (T/B) SAR]]-TABL123[[#This Row],[(T/B) AJD]]</f>
        <v/>
      </c>
      <c r="S311" s="9">
        <f>TABL123[[#This Row],[T/B-CON.]]+TABL123[[#This Row],[S/S_CON.]]</f>
        <v/>
      </c>
      <c r="T311" s="9">
        <f>TABL123[[#This Row],[(S/S) AJD]]+TABL123[[#This Row],[(T/B) AJD]]</f>
        <v/>
      </c>
      <c r="U311" s="9" t="n"/>
      <c r="V311" s="9" t="n"/>
      <c r="W311" s="9">
        <f>TABL123[[#This Row],[(A/B) AJD]]+TABL123[[#This Row],[(A/S) AJD]]</f>
        <v/>
      </c>
      <c r="X311" s="9">
        <f>TABL123[[#This Row],[( S/S+T/B) AJD]]-TABL123[[#This Row],[(A/B + A/S) AJD]]</f>
        <v/>
      </c>
      <c r="Y311" s="18" t="n"/>
      <c r="Z311" s="9" t="n"/>
      <c r="AA311" s="3">
        <f>TABL123[[#This Row],[(RESV. STORGE) AJD]]/10</f>
        <v/>
      </c>
      <c r="AB311" s="45">
        <f>IF(TRIM(Z311)="",,(Z311-Z310)/1000)</f>
        <v/>
      </c>
      <c r="AC311" s="5" t="n"/>
      <c r="AD311" s="83">
        <f>TABL123[[#This Row],[( S/S+T/B) AJD]]-(TABL123[[#This Row],[(A/B + A/S) AJD]]+TABL123[[#This Row],[(STORGE DIFF.) AJD]]+(TABL123[[#This Row],[AJD_Evaporation]])/1000)</f>
        <v/>
      </c>
      <c r="AE311" s="68" t="n"/>
      <c r="AF311" s="68" t="n"/>
      <c r="AG311" s="68" t="n"/>
      <c r="AH311" s="6" t="n"/>
      <c r="AI311" s="78" t="n"/>
      <c r="AJ311" s="78">
        <f>TABL123[[#This Row],[(A/B) AJD]]-TABL123[[#This Row],[BER_IN]]</f>
        <v/>
      </c>
      <c r="AK311" s="78" t="n"/>
      <c r="AL311" s="68" t="n"/>
      <c r="AM311" s="87" t="n"/>
      <c r="AN311" s="87">
        <f>TABL123[[#This Row],[ (RESV. STORGE) SER]]/10</f>
        <v/>
      </c>
      <c r="AO311" s="6" t="n"/>
      <c r="AP311" s="32">
        <f>TABL123[[#This Row],[(A/S) AJD]]-TABL123[[#This Row],[SER_IN]]</f>
        <v/>
      </c>
    </row>
    <row r="312" ht="18.75" customHeight="1">
      <c r="A312" s="2" t="n">
        <v>46333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TABL123[[#This Row],[ (T/B) SAR]]+TABL123[[#This Row],[ (S/S) SAR]]</f>
        <v/>
      </c>
      <c r="L312" s="28" t="n"/>
      <c r="M312" s="29" t="n"/>
      <c r="N312" s="30" t="n"/>
      <c r="O312" s="39" t="n"/>
      <c r="P312" s="9">
        <f>TABL123[[#This Row],[ (S/S) SAR]]-TABL123[[#This Row],[(S/S) AJD]]</f>
        <v/>
      </c>
      <c r="Q312" s="9" t="n"/>
      <c r="R312" s="9">
        <f>TABL123[[#This Row],[ (T/B) SAR]]-TABL123[[#This Row],[(T/B) AJD]]</f>
        <v/>
      </c>
      <c r="S312" s="9">
        <f>TABL123[[#This Row],[T/B-CON.]]+TABL123[[#This Row],[S/S_CON.]]</f>
        <v/>
      </c>
      <c r="T312" s="9">
        <f>TABL123[[#This Row],[(S/S) AJD]]+TABL123[[#This Row],[(T/B) AJD]]</f>
        <v/>
      </c>
      <c r="U312" s="9" t="n"/>
      <c r="V312" s="9" t="n"/>
      <c r="W312" s="9">
        <f>TABL123[[#This Row],[(A/B) AJD]]+TABL123[[#This Row],[(A/S) AJD]]</f>
        <v/>
      </c>
      <c r="X312" s="9">
        <f>TABL123[[#This Row],[( S/S+T/B) AJD]]-TABL123[[#This Row],[(A/B + A/S) AJD]]</f>
        <v/>
      </c>
      <c r="Y312" s="18" t="n"/>
      <c r="Z312" s="9" t="n"/>
      <c r="AA312" s="3">
        <f>TABL123[[#This Row],[(RESV. STORGE) AJD]]/10</f>
        <v/>
      </c>
      <c r="AB312" s="45">
        <f>IF(TRIM(Z312)="",,(Z312-Z311)/1000)</f>
        <v/>
      </c>
      <c r="AC312" s="5" t="n"/>
      <c r="AD312" s="83">
        <f>TABL123[[#This Row],[( S/S+T/B) AJD]]-(TABL123[[#This Row],[(A/B + A/S) AJD]]+TABL123[[#This Row],[(STORGE DIFF.) AJD]]+(TABL123[[#This Row],[AJD_Evaporation]])/1000)</f>
        <v/>
      </c>
      <c r="AE312" s="68" t="n"/>
      <c r="AF312" s="68" t="n"/>
      <c r="AG312" s="68" t="n"/>
      <c r="AH312" s="6" t="n"/>
      <c r="AI312" s="78" t="n"/>
      <c r="AJ312" s="78">
        <f>TABL123[[#This Row],[(A/B) AJD]]-TABL123[[#This Row],[BER_IN]]</f>
        <v/>
      </c>
      <c r="AK312" s="78" t="n"/>
      <c r="AL312" s="68" t="n"/>
      <c r="AM312" s="87" t="n"/>
      <c r="AN312" s="87">
        <f>TABL123[[#This Row],[ (RESV. STORGE) SER]]/10</f>
        <v/>
      </c>
      <c r="AO312" s="6" t="n"/>
      <c r="AP312" s="32">
        <f>TABL123[[#This Row],[(A/S) AJD]]-TABL123[[#This Row],[SER_IN]]</f>
        <v/>
      </c>
    </row>
    <row r="313" ht="18.75" customHeight="1">
      <c r="A313" s="2" t="n">
        <v>46334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TABL123[[#This Row],[ (T/B) SAR]]+TABL123[[#This Row],[ (S/S) SAR]]</f>
        <v/>
      </c>
      <c r="L313" s="28" t="n"/>
      <c r="M313" s="29" t="n"/>
      <c r="N313" s="30" t="n"/>
      <c r="O313" s="40" t="n"/>
      <c r="P313" s="9">
        <f>TABL123[[#This Row],[ (S/S) SAR]]-TABL123[[#This Row],[(S/S) AJD]]</f>
        <v/>
      </c>
      <c r="Q313" s="9" t="n"/>
      <c r="R313" s="9">
        <f>TABL123[[#This Row],[ (T/B) SAR]]-TABL123[[#This Row],[(T/B) AJD]]</f>
        <v/>
      </c>
      <c r="S313" s="9">
        <f>TABL123[[#This Row],[T/B-CON.]]+TABL123[[#This Row],[S/S_CON.]]</f>
        <v/>
      </c>
      <c r="T313" s="9">
        <f>TABL123[[#This Row],[(S/S) AJD]]+TABL123[[#This Row],[(T/B) AJD]]</f>
        <v/>
      </c>
      <c r="U313" s="9" t="n"/>
      <c r="V313" s="9" t="n"/>
      <c r="W313" s="9">
        <f>TABL123[[#This Row],[(A/B) AJD]]+TABL123[[#This Row],[(A/S) AJD]]</f>
        <v/>
      </c>
      <c r="X313" s="9">
        <f>TABL123[[#This Row],[( S/S+T/B) AJD]]-TABL123[[#This Row],[(A/B + A/S) AJD]]</f>
        <v/>
      </c>
      <c r="Y313" s="18" t="n"/>
      <c r="Z313" s="9" t="n"/>
      <c r="AA313" s="3">
        <f>TABL123[[#This Row],[(RESV. STORGE) AJD]]/10</f>
        <v/>
      </c>
      <c r="AB313" s="45">
        <f>IF(TRIM(Z313)="",,(Z313-Z312)/1000)</f>
        <v/>
      </c>
      <c r="AC313" s="5" t="n"/>
      <c r="AD313" s="83">
        <f>TABL123[[#This Row],[( S/S+T/B) AJD]]-(TABL123[[#This Row],[(A/B + A/S) AJD]]+TABL123[[#This Row],[(STORGE DIFF.) AJD]]+(TABL123[[#This Row],[AJD_Evaporation]])/1000)</f>
        <v/>
      </c>
      <c r="AE313" s="68" t="n"/>
      <c r="AF313" s="68" t="n"/>
      <c r="AG313" s="68" t="n"/>
      <c r="AH313" s="6" t="n"/>
      <c r="AI313" s="78" t="n"/>
      <c r="AJ313" s="78">
        <f>TABL123[[#This Row],[(A/B) AJD]]-TABL123[[#This Row],[BER_IN]]</f>
        <v/>
      </c>
      <c r="AK313" s="78" t="n"/>
      <c r="AL313" s="68" t="n"/>
      <c r="AM313" s="87" t="n"/>
      <c r="AN313" s="87">
        <f>TABL123[[#This Row],[ (RESV. STORGE) SER]]/10</f>
        <v/>
      </c>
      <c r="AO313" s="6" t="n"/>
      <c r="AP313" s="32">
        <f>TABL123[[#This Row],[(A/S) AJD]]-TABL123[[#This Row],[SER_IN]]</f>
        <v/>
      </c>
    </row>
    <row r="314" ht="18.75" customHeight="1">
      <c r="A314" s="2" t="n">
        <v>46335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TABL123[[#This Row],[ (T/B) SAR]]+TABL123[[#This Row],[ (S/S) SAR]]</f>
        <v/>
      </c>
      <c r="L314" s="28" t="n"/>
      <c r="M314" s="29" t="n"/>
      <c r="N314" s="30" t="n"/>
      <c r="O314" s="39" t="n"/>
      <c r="P314" s="9">
        <f>TABL123[[#This Row],[ (S/S) SAR]]-TABL123[[#This Row],[(S/S) AJD]]</f>
        <v/>
      </c>
      <c r="Q314" s="9" t="n"/>
      <c r="R314" s="9">
        <f>TABL123[[#This Row],[ (T/B) SAR]]-TABL123[[#This Row],[(T/B) AJD]]</f>
        <v/>
      </c>
      <c r="S314" s="9">
        <f>TABL123[[#This Row],[T/B-CON.]]+TABL123[[#This Row],[S/S_CON.]]</f>
        <v/>
      </c>
      <c r="T314" s="9">
        <f>TABL123[[#This Row],[(S/S) AJD]]+TABL123[[#This Row],[(T/B) AJD]]</f>
        <v/>
      </c>
      <c r="U314" s="9" t="n"/>
      <c r="V314" s="9" t="n"/>
      <c r="W314" s="9">
        <f>TABL123[[#This Row],[(A/B) AJD]]+TABL123[[#This Row],[(A/S) AJD]]</f>
        <v/>
      </c>
      <c r="X314" s="9">
        <f>TABL123[[#This Row],[( S/S+T/B) AJD]]-TABL123[[#This Row],[(A/B + A/S) AJD]]</f>
        <v/>
      </c>
      <c r="Y314" s="18" t="n"/>
      <c r="Z314" s="9" t="n"/>
      <c r="AA314" s="3">
        <f>TABL123[[#This Row],[(RESV. STORGE) AJD]]/10</f>
        <v/>
      </c>
      <c r="AB314" s="45">
        <f>IF(TRIM(Z314)="",,(Z314-Z313)/1000)</f>
        <v/>
      </c>
      <c r="AC314" s="5" t="n"/>
      <c r="AD314" s="83">
        <f>TABL123[[#This Row],[( S/S+T/B) AJD]]-(TABL123[[#This Row],[(A/B + A/S) AJD]]+TABL123[[#This Row],[(STORGE DIFF.) AJD]]+(TABL123[[#This Row],[AJD_Evaporation]])/1000)</f>
        <v/>
      </c>
      <c r="AE314" s="68" t="n"/>
      <c r="AF314" s="68" t="n"/>
      <c r="AG314" s="68" t="n"/>
      <c r="AH314" s="6" t="n"/>
      <c r="AI314" s="78" t="n"/>
      <c r="AJ314" s="78">
        <f>TABL123[[#This Row],[(A/B) AJD]]-TABL123[[#This Row],[BER_IN]]</f>
        <v/>
      </c>
      <c r="AK314" s="78" t="n"/>
      <c r="AL314" s="68" t="n"/>
      <c r="AM314" s="87" t="n"/>
      <c r="AN314" s="87">
        <f>TABL123[[#This Row],[ (RESV. STORGE) SER]]/10</f>
        <v/>
      </c>
      <c r="AO314" s="6" t="n"/>
      <c r="AP314" s="32">
        <f>TABL123[[#This Row],[(A/S) AJD]]-TABL123[[#This Row],[SER_IN]]</f>
        <v/>
      </c>
    </row>
    <row r="315" ht="18.75" customHeight="1">
      <c r="A315" s="2" t="n">
        <v>46336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TABL123[[#This Row],[ (T/B) SAR]]+TABL123[[#This Row],[ (S/S) SAR]]</f>
        <v/>
      </c>
      <c r="L315" s="28" t="n"/>
      <c r="M315" s="29" t="n"/>
      <c r="N315" s="30" t="n"/>
      <c r="O315" s="40" t="n"/>
      <c r="P315" s="9">
        <f>TABL123[[#This Row],[ (S/S) SAR]]-TABL123[[#This Row],[(S/S) AJD]]</f>
        <v/>
      </c>
      <c r="Q315" s="9" t="n"/>
      <c r="R315" s="9">
        <f>TABL123[[#This Row],[ (T/B) SAR]]-TABL123[[#This Row],[(T/B) AJD]]</f>
        <v/>
      </c>
      <c r="S315" s="9">
        <f>TABL123[[#This Row],[T/B-CON.]]+TABL123[[#This Row],[S/S_CON.]]</f>
        <v/>
      </c>
      <c r="T315" s="9">
        <f>TABL123[[#This Row],[(S/S) AJD]]+TABL123[[#This Row],[(T/B) AJD]]</f>
        <v/>
      </c>
      <c r="U315" s="9" t="n"/>
      <c r="V315" s="9" t="n"/>
      <c r="W315" s="9">
        <f>TABL123[[#This Row],[(A/B) AJD]]+TABL123[[#This Row],[(A/S) AJD]]</f>
        <v/>
      </c>
      <c r="X315" s="9">
        <f>TABL123[[#This Row],[( S/S+T/B) AJD]]-TABL123[[#This Row],[(A/B + A/S) AJD]]</f>
        <v/>
      </c>
      <c r="Y315" s="18" t="n"/>
      <c r="Z315" s="9" t="n"/>
      <c r="AA315" s="3">
        <f>TABL123[[#This Row],[(RESV. STORGE) AJD]]/10</f>
        <v/>
      </c>
      <c r="AB315" s="45">
        <f>IF(TRIM(Z315)="",,(Z315-Z314)/1000)</f>
        <v/>
      </c>
      <c r="AC315" s="5" t="n"/>
      <c r="AD315" s="83">
        <f>TABL123[[#This Row],[( S/S+T/B) AJD]]-(TABL123[[#This Row],[(A/B + A/S) AJD]]+TABL123[[#This Row],[(STORGE DIFF.) AJD]]+(TABL123[[#This Row],[AJD_Evaporation]])/1000)</f>
        <v/>
      </c>
      <c r="AE315" s="68" t="n"/>
      <c r="AF315" s="68" t="n"/>
      <c r="AG315" s="68" t="n"/>
      <c r="AH315" s="6" t="n"/>
      <c r="AI315" s="78" t="n"/>
      <c r="AJ315" s="78">
        <f>TABL123[[#This Row],[(A/B) AJD]]-TABL123[[#This Row],[BER_IN]]</f>
        <v/>
      </c>
      <c r="AK315" s="78" t="n"/>
      <c r="AL315" s="68" t="n"/>
      <c r="AM315" s="87" t="n"/>
      <c r="AN315" s="87">
        <f>TABL123[[#This Row],[ (RESV. STORGE) SER]]/10</f>
        <v/>
      </c>
      <c r="AO315" s="6" t="n"/>
      <c r="AP315" s="32">
        <f>TABL123[[#This Row],[(A/S) AJD]]-TABL123[[#This Row],[SER_IN]]</f>
        <v/>
      </c>
    </row>
    <row r="316" ht="18.75" customHeight="1">
      <c r="A316" s="2" t="n">
        <v>46337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TABL123[[#This Row],[ (T/B) SAR]]+TABL123[[#This Row],[ (S/S) SAR]]</f>
        <v/>
      </c>
      <c r="L316" s="28" t="n"/>
      <c r="M316" s="29" t="n"/>
      <c r="N316" s="30" t="n"/>
      <c r="O316" s="39" t="n"/>
      <c r="P316" s="9">
        <f>TABL123[[#This Row],[ (S/S) SAR]]-TABL123[[#This Row],[(S/S) AJD]]</f>
        <v/>
      </c>
      <c r="Q316" s="9" t="n"/>
      <c r="R316" s="9">
        <f>TABL123[[#This Row],[ (T/B) SAR]]-TABL123[[#This Row],[(T/B) AJD]]</f>
        <v/>
      </c>
      <c r="S316" s="9">
        <f>TABL123[[#This Row],[T/B-CON.]]+TABL123[[#This Row],[S/S_CON.]]</f>
        <v/>
      </c>
      <c r="T316" s="9">
        <f>TABL123[[#This Row],[(S/S) AJD]]+TABL123[[#This Row],[(T/B) AJD]]</f>
        <v/>
      </c>
      <c r="U316" s="9" t="n"/>
      <c r="V316" s="9" t="n"/>
      <c r="W316" s="9">
        <f>TABL123[[#This Row],[(A/B) AJD]]+TABL123[[#This Row],[(A/S) AJD]]</f>
        <v/>
      </c>
      <c r="X316" s="9">
        <f>TABL123[[#This Row],[( S/S+T/B) AJD]]-TABL123[[#This Row],[(A/B + A/S) AJD]]</f>
        <v/>
      </c>
      <c r="Y316" s="18" t="n"/>
      <c r="Z316" s="9" t="n"/>
      <c r="AA316" s="3">
        <f>TABL123[[#This Row],[(RESV. STORGE) AJD]]/10</f>
        <v/>
      </c>
      <c r="AB316" s="45">
        <f>IF(TRIM(Z316)="",,(Z316-Z315)/1000)</f>
        <v/>
      </c>
      <c r="AC316" s="5" t="n"/>
      <c r="AD316" s="83">
        <f>TABL123[[#This Row],[( S/S+T/B) AJD]]-(TABL123[[#This Row],[(A/B + A/S) AJD]]+TABL123[[#This Row],[(STORGE DIFF.) AJD]]+(TABL123[[#This Row],[AJD_Evaporation]])/1000)</f>
        <v/>
      </c>
      <c r="AE316" s="68" t="n"/>
      <c r="AF316" s="68" t="n"/>
      <c r="AG316" s="68" t="n"/>
      <c r="AH316" s="6" t="n"/>
      <c r="AI316" s="78" t="n"/>
      <c r="AJ316" s="78">
        <f>TABL123[[#This Row],[(A/B) AJD]]-TABL123[[#This Row],[BER_IN]]</f>
        <v/>
      </c>
      <c r="AK316" s="78" t="n"/>
      <c r="AL316" s="68" t="n"/>
      <c r="AM316" s="87" t="n"/>
      <c r="AN316" s="87">
        <f>TABL123[[#This Row],[ (RESV. STORGE) SER]]/10</f>
        <v/>
      </c>
      <c r="AO316" s="6" t="n"/>
      <c r="AP316" s="32">
        <f>TABL123[[#This Row],[(A/S) AJD]]-TABL123[[#This Row],[SER_IN]]</f>
        <v/>
      </c>
    </row>
    <row r="317" ht="18.75" customHeight="1">
      <c r="A317" s="2" t="n">
        <v>46338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TABL123[[#This Row],[ (T/B) SAR]]+TABL123[[#This Row],[ (S/S) SAR]]</f>
        <v/>
      </c>
      <c r="L317" s="28" t="n"/>
      <c r="M317" s="29" t="n"/>
      <c r="N317" s="30" t="n"/>
      <c r="O317" s="40" t="n"/>
      <c r="P317" s="9">
        <f>TABL123[[#This Row],[ (S/S) SAR]]-TABL123[[#This Row],[(S/S) AJD]]</f>
        <v/>
      </c>
      <c r="Q317" s="9" t="n"/>
      <c r="R317" s="9">
        <f>TABL123[[#This Row],[ (T/B) SAR]]-TABL123[[#This Row],[(T/B) AJD]]</f>
        <v/>
      </c>
      <c r="S317" s="9">
        <f>TABL123[[#This Row],[T/B-CON.]]+TABL123[[#This Row],[S/S_CON.]]</f>
        <v/>
      </c>
      <c r="T317" s="9">
        <f>TABL123[[#This Row],[(S/S) AJD]]+TABL123[[#This Row],[(T/B) AJD]]</f>
        <v/>
      </c>
      <c r="U317" s="9" t="n"/>
      <c r="V317" s="9" t="n"/>
      <c r="W317" s="9">
        <f>TABL123[[#This Row],[(A/B) AJD]]+TABL123[[#This Row],[(A/S) AJD]]</f>
        <v/>
      </c>
      <c r="X317" s="9">
        <f>TABL123[[#This Row],[( S/S+T/B) AJD]]-TABL123[[#This Row],[(A/B + A/S) AJD]]</f>
        <v/>
      </c>
      <c r="Y317" s="18" t="n"/>
      <c r="Z317" s="9" t="n"/>
      <c r="AA317" s="3">
        <f>TABL123[[#This Row],[(RESV. STORGE) AJD]]/10</f>
        <v/>
      </c>
      <c r="AB317" s="45">
        <f>IF(TRIM(Z317)="",,(Z317-Z316)/1000)</f>
        <v/>
      </c>
      <c r="AC317" s="5" t="n"/>
      <c r="AD317" s="83">
        <f>TABL123[[#This Row],[( S/S+T/B) AJD]]-(TABL123[[#This Row],[(A/B + A/S) AJD]]+TABL123[[#This Row],[(STORGE DIFF.) AJD]]+(TABL123[[#This Row],[AJD_Evaporation]])/1000)</f>
        <v/>
      </c>
      <c r="AE317" s="68" t="n"/>
      <c r="AF317" s="68" t="n"/>
      <c r="AG317" s="68" t="n"/>
      <c r="AH317" s="6" t="n"/>
      <c r="AI317" s="78" t="n"/>
      <c r="AJ317" s="78">
        <f>TABL123[[#This Row],[(A/B) AJD]]-TABL123[[#This Row],[BER_IN]]</f>
        <v/>
      </c>
      <c r="AK317" s="78" t="n"/>
      <c r="AL317" s="68" t="n"/>
      <c r="AM317" s="87" t="n"/>
      <c r="AN317" s="87">
        <f>TABL123[[#This Row],[ (RESV. STORGE) SER]]/10</f>
        <v/>
      </c>
      <c r="AO317" s="6" t="n"/>
      <c r="AP317" s="32">
        <f>TABL123[[#This Row],[(A/S) AJD]]-TABL123[[#This Row],[SER_IN]]</f>
        <v/>
      </c>
    </row>
    <row r="318" ht="18.75" customHeight="1">
      <c r="A318" s="2" t="n">
        <v>46339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TABL123[[#This Row],[ (T/B) SAR]]+TABL123[[#This Row],[ (S/S) SAR]]</f>
        <v/>
      </c>
      <c r="L318" s="28" t="n"/>
      <c r="M318" s="29" t="n"/>
      <c r="N318" s="30" t="n"/>
      <c r="O318" s="39" t="n"/>
      <c r="P318" s="9">
        <f>TABL123[[#This Row],[ (S/S) SAR]]-TABL123[[#This Row],[(S/S) AJD]]</f>
        <v/>
      </c>
      <c r="Q318" s="9" t="n"/>
      <c r="R318" s="9">
        <f>TABL123[[#This Row],[ (T/B) SAR]]-TABL123[[#This Row],[(T/B) AJD]]</f>
        <v/>
      </c>
      <c r="S318" s="9">
        <f>TABL123[[#This Row],[T/B-CON.]]+TABL123[[#This Row],[S/S_CON.]]</f>
        <v/>
      </c>
      <c r="T318" s="9">
        <f>TABL123[[#This Row],[(S/S) AJD]]+TABL123[[#This Row],[(T/B) AJD]]</f>
        <v/>
      </c>
      <c r="U318" s="9" t="n"/>
      <c r="V318" s="9" t="n"/>
      <c r="W318" s="9">
        <f>TABL123[[#This Row],[(A/B) AJD]]+TABL123[[#This Row],[(A/S) AJD]]</f>
        <v/>
      </c>
      <c r="X318" s="9">
        <f>TABL123[[#This Row],[( S/S+T/B) AJD]]-TABL123[[#This Row],[(A/B + A/S) AJD]]</f>
        <v/>
      </c>
      <c r="Y318" s="18" t="n"/>
      <c r="Z318" s="9" t="n"/>
      <c r="AA318" s="3">
        <f>TABL123[[#This Row],[(RESV. STORGE) AJD]]/10</f>
        <v/>
      </c>
      <c r="AB318" s="45">
        <f>IF(TRIM(Z318)="",,(Z318-Z317)/1000)</f>
        <v/>
      </c>
      <c r="AC318" s="5" t="n"/>
      <c r="AD318" s="83">
        <f>TABL123[[#This Row],[( S/S+T/B) AJD]]-(TABL123[[#This Row],[(A/B + A/S) AJD]]+TABL123[[#This Row],[(STORGE DIFF.) AJD]]+(TABL123[[#This Row],[AJD_Evaporation]])/1000)</f>
        <v/>
      </c>
      <c r="AE318" s="68" t="n"/>
      <c r="AF318" s="68" t="n"/>
      <c r="AG318" s="68" t="n"/>
      <c r="AH318" s="6" t="n"/>
      <c r="AI318" s="78" t="n"/>
      <c r="AJ318" s="78">
        <f>TABL123[[#This Row],[(A/B) AJD]]-TABL123[[#This Row],[BER_IN]]</f>
        <v/>
      </c>
      <c r="AK318" s="78" t="n"/>
      <c r="AL318" s="68" t="n"/>
      <c r="AM318" s="87" t="n"/>
      <c r="AN318" s="87">
        <f>TABL123[[#This Row],[ (RESV. STORGE) SER]]/10</f>
        <v/>
      </c>
      <c r="AO318" s="6" t="n"/>
      <c r="AP318" s="32">
        <f>TABL123[[#This Row],[(A/S) AJD]]-TABL123[[#This Row],[SER_IN]]</f>
        <v/>
      </c>
    </row>
    <row r="319" ht="18.75" customHeight="1">
      <c r="A319" s="2" t="n">
        <v>46340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TABL123[[#This Row],[ (T/B) SAR]]+TABL123[[#This Row],[ (S/S) SAR]]</f>
        <v/>
      </c>
      <c r="L319" s="28" t="n"/>
      <c r="M319" s="29" t="n"/>
      <c r="N319" s="30" t="n"/>
      <c r="O319" s="40" t="n"/>
      <c r="P319" s="9">
        <f>TABL123[[#This Row],[ (S/S) SAR]]-TABL123[[#This Row],[(S/S) AJD]]</f>
        <v/>
      </c>
      <c r="Q319" s="9" t="n"/>
      <c r="R319" s="9">
        <f>TABL123[[#This Row],[ (T/B) SAR]]-TABL123[[#This Row],[(T/B) AJD]]</f>
        <v/>
      </c>
      <c r="S319" s="9">
        <f>TABL123[[#This Row],[T/B-CON.]]+TABL123[[#This Row],[S/S_CON.]]</f>
        <v/>
      </c>
      <c r="T319" s="9">
        <f>TABL123[[#This Row],[(S/S) AJD]]+TABL123[[#This Row],[(T/B) AJD]]</f>
        <v/>
      </c>
      <c r="U319" s="9" t="n"/>
      <c r="V319" s="9" t="n"/>
      <c r="W319" s="9">
        <f>TABL123[[#This Row],[(A/B) AJD]]+TABL123[[#This Row],[(A/S) AJD]]</f>
        <v/>
      </c>
      <c r="X319" s="9">
        <f>TABL123[[#This Row],[( S/S+T/B) AJD]]-TABL123[[#This Row],[(A/B + A/S) AJD]]</f>
        <v/>
      </c>
      <c r="Y319" s="18" t="n"/>
      <c r="Z319" s="9" t="n"/>
      <c r="AA319" s="3">
        <f>TABL123[[#This Row],[(RESV. STORGE) AJD]]/10</f>
        <v/>
      </c>
      <c r="AB319" s="45">
        <f>IF(TRIM(Z319)="",,(Z319-Z318)/1000)</f>
        <v/>
      </c>
      <c r="AC319" s="5" t="n"/>
      <c r="AD319" s="83">
        <f>TABL123[[#This Row],[( S/S+T/B) AJD]]-(TABL123[[#This Row],[(A/B + A/S) AJD]]+TABL123[[#This Row],[(STORGE DIFF.) AJD]]+(TABL123[[#This Row],[AJD_Evaporation]])/1000)</f>
        <v/>
      </c>
      <c r="AE319" s="68" t="n"/>
      <c r="AF319" s="68" t="n"/>
      <c r="AG319" s="68" t="n"/>
      <c r="AH319" s="6" t="n"/>
      <c r="AI319" s="78" t="n"/>
      <c r="AJ319" s="78">
        <f>TABL123[[#This Row],[(A/B) AJD]]-TABL123[[#This Row],[BER_IN]]</f>
        <v/>
      </c>
      <c r="AK319" s="78" t="n"/>
      <c r="AL319" s="68" t="n"/>
      <c r="AM319" s="87" t="n"/>
      <c r="AN319" s="87">
        <f>TABL123[[#This Row],[ (RESV. STORGE) SER]]/10</f>
        <v/>
      </c>
      <c r="AO319" s="6" t="n"/>
      <c r="AP319" s="32">
        <f>TABL123[[#This Row],[(A/S) AJD]]-TABL123[[#This Row],[SER_IN]]</f>
        <v/>
      </c>
    </row>
    <row r="320" ht="18.75" customHeight="1">
      <c r="A320" s="2" t="n">
        <v>46341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TABL123[[#This Row],[ (T/B) SAR]]+TABL123[[#This Row],[ (S/S) SAR]]</f>
        <v/>
      </c>
      <c r="L320" s="28" t="n"/>
      <c r="M320" s="29" t="n"/>
      <c r="N320" s="30" t="n"/>
      <c r="O320" s="39" t="n"/>
      <c r="P320" s="9">
        <f>TABL123[[#This Row],[ (S/S) SAR]]-TABL123[[#This Row],[(S/S) AJD]]</f>
        <v/>
      </c>
      <c r="Q320" s="9" t="n"/>
      <c r="R320" s="9">
        <f>TABL123[[#This Row],[ (T/B) SAR]]-TABL123[[#This Row],[(T/B) AJD]]</f>
        <v/>
      </c>
      <c r="S320" s="9">
        <f>TABL123[[#This Row],[T/B-CON.]]+TABL123[[#This Row],[S/S_CON.]]</f>
        <v/>
      </c>
      <c r="T320" s="9">
        <f>TABL123[[#This Row],[(S/S) AJD]]+TABL123[[#This Row],[(T/B) AJD]]</f>
        <v/>
      </c>
      <c r="U320" s="9" t="n"/>
      <c r="V320" s="9" t="n"/>
      <c r="W320" s="9">
        <f>TABL123[[#This Row],[(A/B) AJD]]+TABL123[[#This Row],[(A/S) AJD]]</f>
        <v/>
      </c>
      <c r="X320" s="9">
        <f>TABL123[[#This Row],[( S/S+T/B) AJD]]-TABL123[[#This Row],[(A/B + A/S) AJD]]</f>
        <v/>
      </c>
      <c r="Y320" s="18" t="n"/>
      <c r="Z320" s="9" t="n"/>
      <c r="AA320" s="3">
        <f>TABL123[[#This Row],[(RESV. STORGE) AJD]]/10</f>
        <v/>
      </c>
      <c r="AB320" s="45">
        <f>IF(TRIM(Z320)="",,(Z320-Z319)/1000)</f>
        <v/>
      </c>
      <c r="AC320" s="5" t="n"/>
      <c r="AD320" s="83">
        <f>TABL123[[#This Row],[( S/S+T/B) AJD]]-(TABL123[[#This Row],[(A/B + A/S) AJD]]+TABL123[[#This Row],[(STORGE DIFF.) AJD]]+(TABL123[[#This Row],[AJD_Evaporation]])/1000)</f>
        <v/>
      </c>
      <c r="AE320" s="68" t="n"/>
      <c r="AF320" s="68" t="n"/>
      <c r="AG320" s="68" t="n"/>
      <c r="AH320" s="6" t="n"/>
      <c r="AI320" s="78" t="n"/>
      <c r="AJ320" s="78">
        <f>TABL123[[#This Row],[(A/B) AJD]]-TABL123[[#This Row],[BER_IN]]</f>
        <v/>
      </c>
      <c r="AK320" s="78" t="n"/>
      <c r="AL320" s="68" t="n"/>
      <c r="AM320" s="87" t="n"/>
      <c r="AN320" s="87">
        <f>TABL123[[#This Row],[ (RESV. STORGE) SER]]/10</f>
        <v/>
      </c>
      <c r="AO320" s="6" t="n"/>
      <c r="AP320" s="32">
        <f>TABL123[[#This Row],[(A/S) AJD]]-TABL123[[#This Row],[SER_IN]]</f>
        <v/>
      </c>
    </row>
    <row r="321" ht="18.75" customHeight="1">
      <c r="A321" s="2" t="n">
        <v>46342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TABL123[[#This Row],[ (T/B) SAR]]+TABL123[[#This Row],[ (S/S) SAR]]</f>
        <v/>
      </c>
      <c r="L321" s="28" t="n"/>
      <c r="M321" s="29" t="n"/>
      <c r="N321" s="30" t="n"/>
      <c r="O321" s="40" t="n"/>
      <c r="P321" s="9">
        <f>TABL123[[#This Row],[ (S/S) SAR]]-TABL123[[#This Row],[(S/S) AJD]]</f>
        <v/>
      </c>
      <c r="Q321" s="9" t="n"/>
      <c r="R321" s="9">
        <f>TABL123[[#This Row],[ (T/B) SAR]]-TABL123[[#This Row],[(T/B) AJD]]</f>
        <v/>
      </c>
      <c r="S321" s="9">
        <f>TABL123[[#This Row],[T/B-CON.]]+TABL123[[#This Row],[S/S_CON.]]</f>
        <v/>
      </c>
      <c r="T321" s="9">
        <f>TABL123[[#This Row],[(S/S) AJD]]+TABL123[[#This Row],[(T/B) AJD]]</f>
        <v/>
      </c>
      <c r="U321" s="9" t="n"/>
      <c r="V321" s="9" t="n"/>
      <c r="W321" s="9">
        <f>TABL123[[#This Row],[(A/B) AJD]]+TABL123[[#This Row],[(A/S) AJD]]</f>
        <v/>
      </c>
      <c r="X321" s="9">
        <f>TABL123[[#This Row],[( S/S+T/B) AJD]]-TABL123[[#This Row],[(A/B + A/S) AJD]]</f>
        <v/>
      </c>
      <c r="Y321" s="18" t="n"/>
      <c r="Z321" s="9" t="n"/>
      <c r="AA321" s="3">
        <f>TABL123[[#This Row],[(RESV. STORGE) AJD]]/10</f>
        <v/>
      </c>
      <c r="AB321" s="45">
        <f>IF(TRIM(Z321)="",,(Z321-Z320)/1000)</f>
        <v/>
      </c>
      <c r="AC321" s="5" t="n"/>
      <c r="AD321" s="83">
        <f>TABL123[[#This Row],[( S/S+T/B) AJD]]-(TABL123[[#This Row],[(A/B + A/S) AJD]]+TABL123[[#This Row],[(STORGE DIFF.) AJD]]+(TABL123[[#This Row],[AJD_Evaporation]])/1000)</f>
        <v/>
      </c>
      <c r="AE321" s="68" t="n"/>
      <c r="AF321" s="68" t="n"/>
      <c r="AG321" s="68" t="n"/>
      <c r="AH321" s="6" t="n"/>
      <c r="AI321" s="78" t="n"/>
      <c r="AJ321" s="78">
        <f>TABL123[[#This Row],[(A/B) AJD]]-TABL123[[#This Row],[BER_IN]]</f>
        <v/>
      </c>
      <c r="AK321" s="78" t="n"/>
      <c r="AL321" s="68" t="n"/>
      <c r="AM321" s="87" t="n"/>
      <c r="AN321" s="87">
        <f>TABL123[[#This Row],[ (RESV. STORGE) SER]]/10</f>
        <v/>
      </c>
      <c r="AO321" s="6" t="n"/>
      <c r="AP321" s="32">
        <f>TABL123[[#This Row],[(A/S) AJD]]-TABL123[[#This Row],[SER_IN]]</f>
        <v/>
      </c>
    </row>
    <row r="322" ht="18.75" customHeight="1">
      <c r="A322" s="2" t="n">
        <v>46343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TABL123[[#This Row],[ (T/B) SAR]]+TABL123[[#This Row],[ (S/S) SAR]]</f>
        <v/>
      </c>
      <c r="L322" s="28" t="n"/>
      <c r="M322" s="29" t="n"/>
      <c r="N322" s="30" t="n"/>
      <c r="O322" s="39" t="n"/>
      <c r="P322" s="9">
        <f>TABL123[[#This Row],[ (S/S) SAR]]-TABL123[[#This Row],[(S/S) AJD]]</f>
        <v/>
      </c>
      <c r="Q322" s="9" t="n"/>
      <c r="R322" s="9">
        <f>TABL123[[#This Row],[ (T/B) SAR]]-TABL123[[#This Row],[(T/B) AJD]]</f>
        <v/>
      </c>
      <c r="S322" s="9">
        <f>TABL123[[#This Row],[T/B-CON.]]+TABL123[[#This Row],[S/S_CON.]]</f>
        <v/>
      </c>
      <c r="T322" s="9">
        <f>TABL123[[#This Row],[(S/S) AJD]]+TABL123[[#This Row],[(T/B) AJD]]</f>
        <v/>
      </c>
      <c r="U322" s="9" t="n"/>
      <c r="V322" s="9" t="n"/>
      <c r="W322" s="9">
        <f>TABL123[[#This Row],[(A/B) AJD]]+TABL123[[#This Row],[(A/S) AJD]]</f>
        <v/>
      </c>
      <c r="X322" s="9">
        <f>TABL123[[#This Row],[( S/S+T/B) AJD]]-TABL123[[#This Row],[(A/B + A/S) AJD]]</f>
        <v/>
      </c>
      <c r="Y322" s="18" t="n"/>
      <c r="Z322" s="9" t="n"/>
      <c r="AA322" s="3">
        <f>TABL123[[#This Row],[(RESV. STORGE) AJD]]/10</f>
        <v/>
      </c>
      <c r="AB322" s="45">
        <f>IF(TRIM(Z322)="",,(Z322-Z321)/1000)</f>
        <v/>
      </c>
      <c r="AC322" s="5" t="n"/>
      <c r="AD322" s="83">
        <f>TABL123[[#This Row],[( S/S+T/B) AJD]]-(TABL123[[#This Row],[(A/B + A/S) AJD]]+TABL123[[#This Row],[(STORGE DIFF.) AJD]]+(TABL123[[#This Row],[AJD_Evaporation]])/1000)</f>
        <v/>
      </c>
      <c r="AE322" s="68" t="n"/>
      <c r="AF322" s="68" t="n"/>
      <c r="AG322" s="68" t="n"/>
      <c r="AH322" s="6" t="n"/>
      <c r="AI322" s="78" t="n"/>
      <c r="AJ322" s="78">
        <f>TABL123[[#This Row],[(A/B) AJD]]-TABL123[[#This Row],[BER_IN]]</f>
        <v/>
      </c>
      <c r="AK322" s="78" t="n"/>
      <c r="AL322" s="68" t="n"/>
      <c r="AM322" s="87" t="n"/>
      <c r="AN322" s="87">
        <f>TABL123[[#This Row],[ (RESV. STORGE) SER]]/10</f>
        <v/>
      </c>
      <c r="AO322" s="6" t="n"/>
      <c r="AP322" s="32">
        <f>TABL123[[#This Row],[(A/S) AJD]]-TABL123[[#This Row],[SER_IN]]</f>
        <v/>
      </c>
    </row>
    <row r="323" ht="18.75" customHeight="1">
      <c r="A323" s="2" t="n">
        <v>46344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TABL123[[#This Row],[ (T/B) SAR]]+TABL123[[#This Row],[ (S/S) SAR]]</f>
        <v/>
      </c>
      <c r="L323" s="28" t="n"/>
      <c r="M323" s="29" t="n"/>
      <c r="N323" s="30" t="n"/>
      <c r="O323" s="40" t="n"/>
      <c r="P323" s="9">
        <f>TABL123[[#This Row],[ (S/S) SAR]]-TABL123[[#This Row],[(S/S) AJD]]</f>
        <v/>
      </c>
      <c r="Q323" s="9" t="n"/>
      <c r="R323" s="9">
        <f>TABL123[[#This Row],[ (T/B) SAR]]-TABL123[[#This Row],[(T/B) AJD]]</f>
        <v/>
      </c>
      <c r="S323" s="9">
        <f>TABL123[[#This Row],[T/B-CON.]]+TABL123[[#This Row],[S/S_CON.]]</f>
        <v/>
      </c>
      <c r="T323" s="9">
        <f>TABL123[[#This Row],[(S/S) AJD]]+TABL123[[#This Row],[(T/B) AJD]]</f>
        <v/>
      </c>
      <c r="U323" s="9" t="n"/>
      <c r="V323" s="9" t="n"/>
      <c r="W323" s="9">
        <f>TABL123[[#This Row],[(A/B) AJD]]+TABL123[[#This Row],[(A/S) AJD]]</f>
        <v/>
      </c>
      <c r="X323" s="9">
        <f>TABL123[[#This Row],[( S/S+T/B) AJD]]-TABL123[[#This Row],[(A/B + A/S) AJD]]</f>
        <v/>
      </c>
      <c r="Y323" s="18" t="n"/>
      <c r="Z323" s="9" t="n"/>
      <c r="AA323" s="3">
        <f>TABL123[[#This Row],[(RESV. STORGE) AJD]]/10</f>
        <v/>
      </c>
      <c r="AB323" s="45">
        <f>IF(TRIM(Z323)="",,(Z323-Z322)/1000)</f>
        <v/>
      </c>
      <c r="AC323" s="5" t="n"/>
      <c r="AD323" s="83">
        <f>TABL123[[#This Row],[( S/S+T/B) AJD]]-(TABL123[[#This Row],[(A/B + A/S) AJD]]+TABL123[[#This Row],[(STORGE DIFF.) AJD]]+(TABL123[[#This Row],[AJD_Evaporation]])/1000)</f>
        <v/>
      </c>
      <c r="AE323" s="68" t="n"/>
      <c r="AF323" s="68" t="n"/>
      <c r="AG323" s="68" t="n"/>
      <c r="AH323" s="6" t="n"/>
      <c r="AI323" s="78" t="n"/>
      <c r="AJ323" s="78">
        <f>TABL123[[#This Row],[(A/B) AJD]]-TABL123[[#This Row],[BER_IN]]</f>
        <v/>
      </c>
      <c r="AK323" s="78" t="n"/>
      <c r="AL323" s="68" t="n"/>
      <c r="AM323" s="87" t="n"/>
      <c r="AN323" s="87">
        <f>TABL123[[#This Row],[ (RESV. STORGE) SER]]/10</f>
        <v/>
      </c>
      <c r="AO323" s="6" t="n"/>
      <c r="AP323" s="32">
        <f>TABL123[[#This Row],[(A/S) AJD]]-TABL123[[#This Row],[SER_IN]]</f>
        <v/>
      </c>
    </row>
    <row r="324" ht="18.75" customHeight="1">
      <c r="A324" s="2" t="n">
        <v>46345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TABL123[[#This Row],[ (T/B) SAR]]+TABL123[[#This Row],[ (S/S) SAR]]</f>
        <v/>
      </c>
      <c r="L324" s="28" t="n"/>
      <c r="M324" s="29" t="n"/>
      <c r="N324" s="30" t="n"/>
      <c r="O324" s="39" t="n"/>
      <c r="P324" s="9">
        <f>TABL123[[#This Row],[ (S/S) SAR]]-TABL123[[#This Row],[(S/S) AJD]]</f>
        <v/>
      </c>
      <c r="Q324" s="9" t="n"/>
      <c r="R324" s="9">
        <f>TABL123[[#This Row],[ (T/B) SAR]]-TABL123[[#This Row],[(T/B) AJD]]</f>
        <v/>
      </c>
      <c r="S324" s="9">
        <f>TABL123[[#This Row],[T/B-CON.]]+TABL123[[#This Row],[S/S_CON.]]</f>
        <v/>
      </c>
      <c r="T324" s="9">
        <f>TABL123[[#This Row],[(S/S) AJD]]+TABL123[[#This Row],[(T/B) AJD]]</f>
        <v/>
      </c>
      <c r="U324" s="9" t="n"/>
      <c r="V324" s="9" t="n"/>
      <c r="W324" s="9">
        <f>TABL123[[#This Row],[(A/B) AJD]]+TABL123[[#This Row],[(A/S) AJD]]</f>
        <v/>
      </c>
      <c r="X324" s="9">
        <f>TABL123[[#This Row],[( S/S+T/B) AJD]]-TABL123[[#This Row],[(A/B + A/S) AJD]]</f>
        <v/>
      </c>
      <c r="Y324" s="18" t="n"/>
      <c r="Z324" s="9" t="n"/>
      <c r="AA324" s="3">
        <f>TABL123[[#This Row],[(RESV. STORGE) AJD]]/10</f>
        <v/>
      </c>
      <c r="AB324" s="45">
        <f>IF(TRIM(Z324)="",,(Z324-Z323)/1000)</f>
        <v/>
      </c>
      <c r="AC324" s="5" t="n"/>
      <c r="AD324" s="83">
        <f>TABL123[[#This Row],[( S/S+T/B) AJD]]-(TABL123[[#This Row],[(A/B + A/S) AJD]]+TABL123[[#This Row],[(STORGE DIFF.) AJD]]+(TABL123[[#This Row],[AJD_Evaporation]])/1000)</f>
        <v/>
      </c>
      <c r="AE324" s="68" t="n"/>
      <c r="AF324" s="68" t="n"/>
      <c r="AG324" s="68" t="n"/>
      <c r="AH324" s="6" t="n"/>
      <c r="AI324" s="78" t="n"/>
      <c r="AJ324" s="78">
        <f>TABL123[[#This Row],[(A/B) AJD]]-TABL123[[#This Row],[BER_IN]]</f>
        <v/>
      </c>
      <c r="AK324" s="78" t="n"/>
      <c r="AL324" s="68" t="n"/>
      <c r="AM324" s="87" t="n"/>
      <c r="AN324" s="87">
        <f>TABL123[[#This Row],[ (RESV. STORGE) SER]]/10</f>
        <v/>
      </c>
      <c r="AO324" s="6" t="n"/>
      <c r="AP324" s="32">
        <f>TABL123[[#This Row],[(A/S) AJD]]-TABL123[[#This Row],[SER_IN]]</f>
        <v/>
      </c>
    </row>
    <row r="325" ht="18.75" customHeight="1">
      <c r="A325" s="2" t="n">
        <v>46346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TABL123[[#This Row],[ (T/B) SAR]]+TABL123[[#This Row],[ (S/S) SAR]]</f>
        <v/>
      </c>
      <c r="L325" s="28" t="n"/>
      <c r="M325" s="29" t="n"/>
      <c r="N325" s="30" t="n"/>
      <c r="O325" s="40" t="n"/>
      <c r="P325" s="9">
        <f>TABL123[[#This Row],[ (S/S) SAR]]-TABL123[[#This Row],[(S/S) AJD]]</f>
        <v/>
      </c>
      <c r="Q325" s="9" t="n"/>
      <c r="R325" s="9">
        <f>TABL123[[#This Row],[ (T/B) SAR]]-TABL123[[#This Row],[(T/B) AJD]]</f>
        <v/>
      </c>
      <c r="S325" s="9">
        <f>TABL123[[#This Row],[T/B-CON.]]+TABL123[[#This Row],[S/S_CON.]]</f>
        <v/>
      </c>
      <c r="T325" s="9">
        <f>TABL123[[#This Row],[(S/S) AJD]]+TABL123[[#This Row],[(T/B) AJD]]</f>
        <v/>
      </c>
      <c r="U325" s="9" t="n"/>
      <c r="V325" s="9" t="n"/>
      <c r="W325" s="9">
        <f>TABL123[[#This Row],[(A/B) AJD]]+TABL123[[#This Row],[(A/S) AJD]]</f>
        <v/>
      </c>
      <c r="X325" s="9">
        <f>TABL123[[#This Row],[( S/S+T/B) AJD]]-TABL123[[#This Row],[(A/B + A/S) AJD]]</f>
        <v/>
      </c>
      <c r="Y325" s="18" t="n"/>
      <c r="Z325" s="9" t="n"/>
      <c r="AA325" s="3">
        <f>TABL123[[#This Row],[(RESV. STORGE) AJD]]/10</f>
        <v/>
      </c>
      <c r="AB325" s="45">
        <f>IF(TRIM(Z325)="",,(Z325-Z324)/1000)</f>
        <v/>
      </c>
      <c r="AC325" s="5" t="n"/>
      <c r="AD325" s="83">
        <f>TABL123[[#This Row],[( S/S+T/B) AJD]]-(TABL123[[#This Row],[(A/B + A/S) AJD]]+TABL123[[#This Row],[(STORGE DIFF.) AJD]]+(TABL123[[#This Row],[AJD_Evaporation]])/1000)</f>
        <v/>
      </c>
      <c r="AE325" s="68" t="n"/>
      <c r="AF325" s="68" t="n"/>
      <c r="AG325" s="68" t="n"/>
      <c r="AH325" s="6" t="n"/>
      <c r="AI325" s="78" t="n"/>
      <c r="AJ325" s="78">
        <f>TABL123[[#This Row],[(A/B) AJD]]-TABL123[[#This Row],[BER_IN]]</f>
        <v/>
      </c>
      <c r="AK325" s="78" t="n"/>
      <c r="AL325" s="68" t="n"/>
      <c r="AM325" s="87" t="n"/>
      <c r="AN325" s="87">
        <f>TABL123[[#This Row],[ (RESV. STORGE) SER]]/10</f>
        <v/>
      </c>
      <c r="AO325" s="6" t="n"/>
      <c r="AP325" s="32">
        <f>TABL123[[#This Row],[(A/S) AJD]]-TABL123[[#This Row],[SER_IN]]</f>
        <v/>
      </c>
    </row>
    <row r="326" ht="18.75" customHeight="1">
      <c r="A326" s="2" t="n">
        <v>46347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TABL123[[#This Row],[ (T/B) SAR]]+TABL123[[#This Row],[ (S/S) SAR]]</f>
        <v/>
      </c>
      <c r="L326" s="28" t="n"/>
      <c r="M326" s="29" t="n"/>
      <c r="N326" s="30" t="n"/>
      <c r="O326" s="39" t="n"/>
      <c r="P326" s="9">
        <f>TABL123[[#This Row],[ (S/S) SAR]]-TABL123[[#This Row],[(S/S) AJD]]</f>
        <v/>
      </c>
      <c r="Q326" s="9" t="n"/>
      <c r="R326" s="9">
        <f>TABL123[[#This Row],[ (T/B) SAR]]-TABL123[[#This Row],[(T/B) AJD]]</f>
        <v/>
      </c>
      <c r="S326" s="9">
        <f>TABL123[[#This Row],[T/B-CON.]]+TABL123[[#This Row],[S/S_CON.]]</f>
        <v/>
      </c>
      <c r="T326" s="9">
        <f>TABL123[[#This Row],[(S/S) AJD]]+TABL123[[#This Row],[(T/B) AJD]]</f>
        <v/>
      </c>
      <c r="U326" s="9" t="n"/>
      <c r="V326" s="9" t="n"/>
      <c r="W326" s="9">
        <f>TABL123[[#This Row],[(A/B) AJD]]+TABL123[[#This Row],[(A/S) AJD]]</f>
        <v/>
      </c>
      <c r="X326" s="9">
        <f>TABL123[[#This Row],[( S/S+T/B) AJD]]-TABL123[[#This Row],[(A/B + A/S) AJD]]</f>
        <v/>
      </c>
      <c r="Y326" s="18" t="n"/>
      <c r="Z326" s="9" t="n"/>
      <c r="AA326" s="3">
        <f>TABL123[[#This Row],[(RESV. STORGE) AJD]]/10</f>
        <v/>
      </c>
      <c r="AB326" s="45">
        <f>IF(TRIM(Z326)="",,(Z326-Z325)/1000)</f>
        <v/>
      </c>
      <c r="AC326" s="5" t="n"/>
      <c r="AD326" s="83">
        <f>TABL123[[#This Row],[( S/S+T/B) AJD]]-(TABL123[[#This Row],[(A/B + A/S) AJD]]+TABL123[[#This Row],[(STORGE DIFF.) AJD]]+(TABL123[[#This Row],[AJD_Evaporation]])/1000)</f>
        <v/>
      </c>
      <c r="AE326" s="68" t="n"/>
      <c r="AF326" s="68" t="n"/>
      <c r="AG326" s="68" t="n"/>
      <c r="AH326" s="6" t="n"/>
      <c r="AI326" s="78" t="n"/>
      <c r="AJ326" s="78">
        <f>TABL123[[#This Row],[(A/B) AJD]]-TABL123[[#This Row],[BER_IN]]</f>
        <v/>
      </c>
      <c r="AK326" s="78" t="n"/>
      <c r="AL326" s="68" t="n"/>
      <c r="AM326" s="87" t="n"/>
      <c r="AN326" s="87">
        <f>TABL123[[#This Row],[ (RESV. STORGE) SER]]/10</f>
        <v/>
      </c>
      <c r="AO326" s="6" t="n"/>
      <c r="AP326" s="32">
        <f>TABL123[[#This Row],[(A/S) AJD]]-TABL123[[#This Row],[SER_IN]]</f>
        <v/>
      </c>
    </row>
    <row r="327" ht="18.75" customHeight="1">
      <c r="A327" s="2" t="n">
        <v>46348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TABL123[[#This Row],[ (T/B) SAR]]+TABL123[[#This Row],[ (S/S) SAR]]</f>
        <v/>
      </c>
      <c r="L327" s="28" t="n"/>
      <c r="M327" s="29" t="n"/>
      <c r="N327" s="30" t="n"/>
      <c r="O327" s="40" t="n"/>
      <c r="P327" s="9">
        <f>TABL123[[#This Row],[ (S/S) SAR]]-TABL123[[#This Row],[(S/S) AJD]]</f>
        <v/>
      </c>
      <c r="Q327" s="9" t="n"/>
      <c r="R327" s="9">
        <f>TABL123[[#This Row],[ (T/B) SAR]]-TABL123[[#This Row],[(T/B) AJD]]</f>
        <v/>
      </c>
      <c r="S327" s="9">
        <f>TABL123[[#This Row],[T/B-CON.]]+TABL123[[#This Row],[S/S_CON.]]</f>
        <v/>
      </c>
      <c r="T327" s="9">
        <f>TABL123[[#This Row],[(S/S) AJD]]+TABL123[[#This Row],[(T/B) AJD]]</f>
        <v/>
      </c>
      <c r="U327" s="9" t="n"/>
      <c r="V327" s="9" t="n"/>
      <c r="W327" s="9">
        <f>TABL123[[#This Row],[(A/B) AJD]]+TABL123[[#This Row],[(A/S) AJD]]</f>
        <v/>
      </c>
      <c r="X327" s="9">
        <f>TABL123[[#This Row],[( S/S+T/B) AJD]]-TABL123[[#This Row],[(A/B + A/S) AJD]]</f>
        <v/>
      </c>
      <c r="Y327" s="18" t="n"/>
      <c r="Z327" s="9" t="n"/>
      <c r="AA327" s="3">
        <f>TABL123[[#This Row],[(RESV. STORGE) AJD]]/10</f>
        <v/>
      </c>
      <c r="AB327" s="45">
        <f>IF(TRIM(Z327)="",,(Z327-Z326)/1000)</f>
        <v/>
      </c>
      <c r="AC327" s="5" t="n"/>
      <c r="AD327" s="83">
        <f>TABL123[[#This Row],[( S/S+T/B) AJD]]-(TABL123[[#This Row],[(A/B + A/S) AJD]]+TABL123[[#This Row],[(STORGE DIFF.) AJD]]+(TABL123[[#This Row],[AJD_Evaporation]])/1000)</f>
        <v/>
      </c>
      <c r="AE327" s="68" t="n"/>
      <c r="AF327" s="68" t="n"/>
      <c r="AG327" s="68" t="n"/>
      <c r="AH327" s="6" t="n"/>
      <c r="AI327" s="78" t="n"/>
      <c r="AJ327" s="78">
        <f>TABL123[[#This Row],[(A/B) AJD]]-TABL123[[#This Row],[BER_IN]]</f>
        <v/>
      </c>
      <c r="AK327" s="78" t="n"/>
      <c r="AL327" s="68" t="n"/>
      <c r="AM327" s="87" t="n"/>
      <c r="AN327" s="87">
        <f>TABL123[[#This Row],[ (RESV. STORGE) SER]]/10</f>
        <v/>
      </c>
      <c r="AO327" s="6" t="n"/>
      <c r="AP327" s="32">
        <f>TABL123[[#This Row],[(A/S) AJD]]-TABL123[[#This Row],[SER_IN]]</f>
        <v/>
      </c>
    </row>
    <row r="328" ht="18.75" customHeight="1">
      <c r="A328" s="2" t="n">
        <v>46349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TABL123[[#This Row],[ (T/B) SAR]]+TABL123[[#This Row],[ (S/S) SAR]]</f>
        <v/>
      </c>
      <c r="L328" s="28" t="n"/>
      <c r="M328" s="29" t="n"/>
      <c r="N328" s="30" t="n"/>
      <c r="O328" s="39" t="n"/>
      <c r="P328" s="9">
        <f>TABL123[[#This Row],[ (S/S) SAR]]-TABL123[[#This Row],[(S/S) AJD]]</f>
        <v/>
      </c>
      <c r="Q328" s="9" t="n"/>
      <c r="R328" s="9">
        <f>TABL123[[#This Row],[ (T/B) SAR]]-TABL123[[#This Row],[(T/B) AJD]]</f>
        <v/>
      </c>
      <c r="S328" s="9">
        <f>TABL123[[#This Row],[T/B-CON.]]+TABL123[[#This Row],[S/S_CON.]]</f>
        <v/>
      </c>
      <c r="T328" s="9">
        <f>TABL123[[#This Row],[(S/S) AJD]]+TABL123[[#This Row],[(T/B) AJD]]</f>
        <v/>
      </c>
      <c r="U328" s="9" t="n"/>
      <c r="V328" s="9" t="n"/>
      <c r="W328" s="9">
        <f>TABL123[[#This Row],[(A/B) AJD]]+TABL123[[#This Row],[(A/S) AJD]]</f>
        <v/>
      </c>
      <c r="X328" s="9">
        <f>TABL123[[#This Row],[( S/S+T/B) AJD]]-TABL123[[#This Row],[(A/B + A/S) AJD]]</f>
        <v/>
      </c>
      <c r="Y328" s="18" t="n"/>
      <c r="Z328" s="9" t="n"/>
      <c r="AA328" s="3">
        <f>TABL123[[#This Row],[(RESV. STORGE) AJD]]/10</f>
        <v/>
      </c>
      <c r="AB328" s="45">
        <f>IF(TRIM(Z328)="",,(Z328-Z327)/1000)</f>
        <v/>
      </c>
      <c r="AC328" s="5" t="n"/>
      <c r="AD328" s="83">
        <f>TABL123[[#This Row],[( S/S+T/B) AJD]]-(TABL123[[#This Row],[(A/B + A/S) AJD]]+TABL123[[#This Row],[(STORGE DIFF.) AJD]]+(TABL123[[#This Row],[AJD_Evaporation]])/1000)</f>
        <v/>
      </c>
      <c r="AE328" s="68" t="n"/>
      <c r="AF328" s="68" t="n"/>
      <c r="AG328" s="68" t="n"/>
      <c r="AH328" s="6" t="n"/>
      <c r="AI328" s="78" t="n"/>
      <c r="AJ328" s="78">
        <f>TABL123[[#This Row],[(A/B) AJD]]-TABL123[[#This Row],[BER_IN]]</f>
        <v/>
      </c>
      <c r="AK328" s="78" t="n"/>
      <c r="AL328" s="68" t="n"/>
      <c r="AM328" s="87" t="n"/>
      <c r="AN328" s="87">
        <f>TABL123[[#This Row],[ (RESV. STORGE) SER]]/10</f>
        <v/>
      </c>
      <c r="AO328" s="6" t="n"/>
      <c r="AP328" s="32">
        <f>TABL123[[#This Row],[(A/S) AJD]]-TABL123[[#This Row],[SER_IN]]</f>
        <v/>
      </c>
    </row>
    <row r="329" ht="18.75" customHeight="1">
      <c r="A329" s="2" t="n">
        <v>46350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TABL123[[#This Row],[ (T/B) SAR]]+TABL123[[#This Row],[ (S/S) SAR]]</f>
        <v/>
      </c>
      <c r="L329" s="28" t="n"/>
      <c r="M329" s="29" t="n"/>
      <c r="N329" s="30" t="n"/>
      <c r="O329" s="40" t="n"/>
      <c r="P329" s="9">
        <f>TABL123[[#This Row],[ (S/S) SAR]]-TABL123[[#This Row],[(S/S) AJD]]</f>
        <v/>
      </c>
      <c r="Q329" s="9" t="n"/>
      <c r="R329" s="9">
        <f>TABL123[[#This Row],[ (T/B) SAR]]-TABL123[[#This Row],[(T/B) AJD]]</f>
        <v/>
      </c>
      <c r="S329" s="9">
        <f>TABL123[[#This Row],[T/B-CON.]]+TABL123[[#This Row],[S/S_CON.]]</f>
        <v/>
      </c>
      <c r="T329" s="9">
        <f>TABL123[[#This Row],[(S/S) AJD]]+TABL123[[#This Row],[(T/B) AJD]]</f>
        <v/>
      </c>
      <c r="U329" s="9" t="n"/>
      <c r="V329" s="9" t="n"/>
      <c r="W329" s="9">
        <f>TABL123[[#This Row],[(A/B) AJD]]+TABL123[[#This Row],[(A/S) AJD]]</f>
        <v/>
      </c>
      <c r="X329" s="9">
        <f>TABL123[[#This Row],[( S/S+T/B) AJD]]-TABL123[[#This Row],[(A/B + A/S) AJD]]</f>
        <v/>
      </c>
      <c r="Y329" s="18" t="n"/>
      <c r="Z329" s="9" t="n"/>
      <c r="AA329" s="3">
        <f>TABL123[[#This Row],[(RESV. STORGE) AJD]]/10</f>
        <v/>
      </c>
      <c r="AB329" s="45">
        <f>IF(TRIM(Z329)="",,(Z329-Z328)/1000)</f>
        <v/>
      </c>
      <c r="AC329" s="5" t="n"/>
      <c r="AD329" s="83">
        <f>TABL123[[#This Row],[( S/S+T/B) AJD]]-(TABL123[[#This Row],[(A/B + A/S) AJD]]+TABL123[[#This Row],[(STORGE DIFF.) AJD]]+(TABL123[[#This Row],[AJD_Evaporation]])/1000)</f>
        <v/>
      </c>
      <c r="AE329" s="68" t="n"/>
      <c r="AF329" s="68" t="n"/>
      <c r="AG329" s="68" t="n"/>
      <c r="AH329" s="6" t="n"/>
      <c r="AI329" s="78" t="n"/>
      <c r="AJ329" s="78">
        <f>TABL123[[#This Row],[(A/B) AJD]]-TABL123[[#This Row],[BER_IN]]</f>
        <v/>
      </c>
      <c r="AK329" s="78" t="n"/>
      <c r="AL329" s="68" t="n"/>
      <c r="AM329" s="87" t="n"/>
      <c r="AN329" s="87">
        <f>TABL123[[#This Row],[ (RESV. STORGE) SER]]/10</f>
        <v/>
      </c>
      <c r="AO329" s="6" t="n"/>
      <c r="AP329" s="32">
        <f>TABL123[[#This Row],[(A/S) AJD]]-TABL123[[#This Row],[SER_IN]]</f>
        <v/>
      </c>
    </row>
    <row r="330" ht="18.75" customHeight="1">
      <c r="A330" s="2" t="n">
        <v>46351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TABL123[[#This Row],[ (T/B) SAR]]+TABL123[[#This Row],[ (S/S) SAR]]</f>
        <v/>
      </c>
      <c r="L330" s="28" t="n"/>
      <c r="M330" s="29" t="n"/>
      <c r="N330" s="30" t="n"/>
      <c r="O330" s="39" t="n"/>
      <c r="P330" s="9">
        <f>TABL123[[#This Row],[ (S/S) SAR]]-TABL123[[#This Row],[(S/S) AJD]]</f>
        <v/>
      </c>
      <c r="Q330" s="9" t="n"/>
      <c r="R330" s="9">
        <f>TABL123[[#This Row],[ (T/B) SAR]]-TABL123[[#This Row],[(T/B) AJD]]</f>
        <v/>
      </c>
      <c r="S330" s="9">
        <f>TABL123[[#This Row],[T/B-CON.]]+TABL123[[#This Row],[S/S_CON.]]</f>
        <v/>
      </c>
      <c r="T330" s="9">
        <f>TABL123[[#This Row],[(S/S) AJD]]+TABL123[[#This Row],[(T/B) AJD]]</f>
        <v/>
      </c>
      <c r="U330" s="9" t="n"/>
      <c r="V330" s="9" t="n"/>
      <c r="W330" s="9">
        <f>TABL123[[#This Row],[(A/B) AJD]]+TABL123[[#This Row],[(A/S) AJD]]</f>
        <v/>
      </c>
      <c r="X330" s="9">
        <f>TABL123[[#This Row],[( S/S+T/B) AJD]]-TABL123[[#This Row],[(A/B + A/S) AJD]]</f>
        <v/>
      </c>
      <c r="Y330" s="18" t="n"/>
      <c r="Z330" s="9" t="n"/>
      <c r="AA330" s="3">
        <f>TABL123[[#This Row],[(RESV. STORGE) AJD]]/10</f>
        <v/>
      </c>
      <c r="AB330" s="45">
        <f>IF(TRIM(Z330)="",,(Z330-Z329)/1000)</f>
        <v/>
      </c>
      <c r="AC330" s="5" t="n"/>
      <c r="AD330" s="83">
        <f>TABL123[[#This Row],[( S/S+T/B) AJD]]-(TABL123[[#This Row],[(A/B + A/S) AJD]]+TABL123[[#This Row],[(STORGE DIFF.) AJD]]+(TABL123[[#This Row],[AJD_Evaporation]])/1000)</f>
        <v/>
      </c>
      <c r="AE330" s="68" t="n"/>
      <c r="AF330" s="68" t="n"/>
      <c r="AG330" s="68" t="n"/>
      <c r="AH330" s="6" t="n"/>
      <c r="AI330" s="78" t="n"/>
      <c r="AJ330" s="78">
        <f>TABL123[[#This Row],[(A/B) AJD]]-TABL123[[#This Row],[BER_IN]]</f>
        <v/>
      </c>
      <c r="AK330" s="78" t="n"/>
      <c r="AL330" s="68" t="n"/>
      <c r="AM330" s="87" t="n"/>
      <c r="AN330" s="87">
        <f>TABL123[[#This Row],[ (RESV. STORGE) SER]]/10</f>
        <v/>
      </c>
      <c r="AO330" s="6" t="n"/>
      <c r="AP330" s="32">
        <f>TABL123[[#This Row],[(A/S) AJD]]-TABL123[[#This Row],[SER_IN]]</f>
        <v/>
      </c>
    </row>
    <row r="331" ht="18.75" customHeight="1">
      <c r="A331" s="2" t="n">
        <v>46352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TABL123[[#This Row],[ (T/B) SAR]]+TABL123[[#This Row],[ (S/S) SAR]]</f>
        <v/>
      </c>
      <c r="L331" s="28" t="n"/>
      <c r="M331" s="29" t="n"/>
      <c r="N331" s="30" t="n"/>
      <c r="O331" s="40" t="n"/>
      <c r="P331" s="9">
        <f>TABL123[[#This Row],[ (S/S) SAR]]-TABL123[[#This Row],[(S/S) AJD]]</f>
        <v/>
      </c>
      <c r="Q331" s="9" t="n"/>
      <c r="R331" s="9">
        <f>TABL123[[#This Row],[ (T/B) SAR]]-TABL123[[#This Row],[(T/B) AJD]]</f>
        <v/>
      </c>
      <c r="S331" s="9">
        <f>TABL123[[#This Row],[T/B-CON.]]+TABL123[[#This Row],[S/S_CON.]]</f>
        <v/>
      </c>
      <c r="T331" s="9">
        <f>TABL123[[#This Row],[(S/S) AJD]]+TABL123[[#This Row],[(T/B) AJD]]</f>
        <v/>
      </c>
      <c r="U331" s="9" t="n"/>
      <c r="V331" s="9" t="n"/>
      <c r="W331" s="9">
        <f>TABL123[[#This Row],[(A/B) AJD]]+TABL123[[#This Row],[(A/S) AJD]]</f>
        <v/>
      </c>
      <c r="X331" s="9">
        <f>TABL123[[#This Row],[( S/S+T/B) AJD]]-TABL123[[#This Row],[(A/B + A/S) AJD]]</f>
        <v/>
      </c>
      <c r="Y331" s="18" t="n"/>
      <c r="Z331" s="9" t="n"/>
      <c r="AA331" s="3">
        <f>TABL123[[#This Row],[(RESV. STORGE) AJD]]/10</f>
        <v/>
      </c>
      <c r="AB331" s="45">
        <f>IF(TRIM(Z331)="",,(Z331-Z330)/1000)</f>
        <v/>
      </c>
      <c r="AC331" s="5" t="n"/>
      <c r="AD331" s="83">
        <f>TABL123[[#This Row],[( S/S+T/B) AJD]]-(TABL123[[#This Row],[(A/B + A/S) AJD]]+TABL123[[#This Row],[(STORGE DIFF.) AJD]]+(TABL123[[#This Row],[AJD_Evaporation]])/1000)</f>
        <v/>
      </c>
      <c r="AE331" s="68" t="n"/>
      <c r="AF331" s="68" t="n"/>
      <c r="AG331" s="68" t="n"/>
      <c r="AH331" s="6" t="n"/>
      <c r="AI331" s="78" t="n"/>
      <c r="AJ331" s="78">
        <f>TABL123[[#This Row],[(A/B) AJD]]-TABL123[[#This Row],[BER_IN]]</f>
        <v/>
      </c>
      <c r="AK331" s="78" t="n"/>
      <c r="AL331" s="68" t="n"/>
      <c r="AM331" s="87" t="n"/>
      <c r="AN331" s="87">
        <f>TABL123[[#This Row],[ (RESV. STORGE) SER]]/10</f>
        <v/>
      </c>
      <c r="AO331" s="6" t="n"/>
      <c r="AP331" s="32">
        <f>TABL123[[#This Row],[(A/S) AJD]]-TABL123[[#This Row],[SER_IN]]</f>
        <v/>
      </c>
    </row>
    <row r="332" ht="18.75" customHeight="1">
      <c r="A332" s="2" t="n">
        <v>46353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TABL123[[#This Row],[ (T/B) SAR]]+TABL123[[#This Row],[ (S/S) SAR]]</f>
        <v/>
      </c>
      <c r="L332" s="28" t="n"/>
      <c r="M332" s="29" t="n"/>
      <c r="N332" s="30" t="n"/>
      <c r="O332" s="39" t="n"/>
      <c r="P332" s="9">
        <f>TABL123[[#This Row],[ (S/S) SAR]]-TABL123[[#This Row],[(S/S) AJD]]</f>
        <v/>
      </c>
      <c r="Q332" s="9" t="n"/>
      <c r="R332" s="9">
        <f>TABL123[[#This Row],[ (T/B) SAR]]-TABL123[[#This Row],[(T/B) AJD]]</f>
        <v/>
      </c>
      <c r="S332" s="9">
        <f>TABL123[[#This Row],[T/B-CON.]]+TABL123[[#This Row],[S/S_CON.]]</f>
        <v/>
      </c>
      <c r="T332" s="9">
        <f>TABL123[[#This Row],[(S/S) AJD]]+TABL123[[#This Row],[(T/B) AJD]]</f>
        <v/>
      </c>
      <c r="U332" s="9" t="n"/>
      <c r="V332" s="9" t="n"/>
      <c r="W332" s="9">
        <f>TABL123[[#This Row],[(A/B) AJD]]+TABL123[[#This Row],[(A/S) AJD]]</f>
        <v/>
      </c>
      <c r="X332" s="9">
        <f>TABL123[[#This Row],[( S/S+T/B) AJD]]-TABL123[[#This Row],[(A/B + A/S) AJD]]</f>
        <v/>
      </c>
      <c r="Y332" s="18" t="n"/>
      <c r="Z332" s="9" t="n"/>
      <c r="AA332" s="3">
        <f>TABL123[[#This Row],[(RESV. STORGE) AJD]]/10</f>
        <v/>
      </c>
      <c r="AB332" s="45">
        <f>IF(TRIM(Z332)="",,(Z332-Z331)/1000)</f>
        <v/>
      </c>
      <c r="AC332" s="5" t="n"/>
      <c r="AD332" s="83">
        <f>TABL123[[#This Row],[( S/S+T/B) AJD]]-(TABL123[[#This Row],[(A/B + A/S) AJD]]+TABL123[[#This Row],[(STORGE DIFF.) AJD]]+(TABL123[[#This Row],[AJD_Evaporation]])/1000)</f>
        <v/>
      </c>
      <c r="AE332" s="68" t="n"/>
      <c r="AF332" s="68" t="n"/>
      <c r="AG332" s="68" t="n"/>
      <c r="AH332" s="6" t="n"/>
      <c r="AI332" s="78" t="n"/>
      <c r="AJ332" s="78">
        <f>TABL123[[#This Row],[(A/B) AJD]]-TABL123[[#This Row],[BER_IN]]</f>
        <v/>
      </c>
      <c r="AK332" s="78" t="n"/>
      <c r="AL332" s="68" t="n"/>
      <c r="AM332" s="87" t="n"/>
      <c r="AN332" s="87">
        <f>TABL123[[#This Row],[ (RESV. STORGE) SER]]/10</f>
        <v/>
      </c>
      <c r="AO332" s="6" t="n"/>
      <c r="AP332" s="32">
        <f>TABL123[[#This Row],[(A/S) AJD]]-TABL123[[#This Row],[SER_IN]]</f>
        <v/>
      </c>
    </row>
    <row r="333" ht="18.75" customHeight="1">
      <c r="A333" s="2" t="n">
        <v>46354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TABL123[[#This Row],[ (T/B) SAR]]+TABL123[[#This Row],[ (S/S) SAR]]</f>
        <v/>
      </c>
      <c r="L333" s="28" t="n"/>
      <c r="M333" s="29" t="n"/>
      <c r="N333" s="30" t="n"/>
      <c r="O333" s="40" t="n"/>
      <c r="P333" s="9">
        <f>TABL123[[#This Row],[ (S/S) SAR]]-TABL123[[#This Row],[(S/S) AJD]]</f>
        <v/>
      </c>
      <c r="Q333" s="9" t="n"/>
      <c r="R333" s="9">
        <f>TABL123[[#This Row],[ (T/B) SAR]]-TABL123[[#This Row],[(T/B) AJD]]</f>
        <v/>
      </c>
      <c r="S333" s="9">
        <f>TABL123[[#This Row],[T/B-CON.]]+TABL123[[#This Row],[S/S_CON.]]</f>
        <v/>
      </c>
      <c r="T333" s="9">
        <f>TABL123[[#This Row],[(S/S) AJD]]+TABL123[[#This Row],[(T/B) AJD]]</f>
        <v/>
      </c>
      <c r="U333" s="9" t="n"/>
      <c r="V333" s="9" t="n"/>
      <c r="W333" s="9">
        <f>TABL123[[#This Row],[(A/B) AJD]]+TABL123[[#This Row],[(A/S) AJD]]</f>
        <v/>
      </c>
      <c r="X333" s="9">
        <f>TABL123[[#This Row],[( S/S+T/B) AJD]]-TABL123[[#This Row],[(A/B + A/S) AJD]]</f>
        <v/>
      </c>
      <c r="Y333" s="18" t="n"/>
      <c r="Z333" s="9" t="n"/>
      <c r="AA333" s="3">
        <f>TABL123[[#This Row],[(RESV. STORGE) AJD]]/10</f>
        <v/>
      </c>
      <c r="AB333" s="45">
        <f>IF(TRIM(Z333)="",,(Z333-Z332)/1000)</f>
        <v/>
      </c>
      <c r="AC333" s="5" t="n"/>
      <c r="AD333" s="83">
        <f>TABL123[[#This Row],[( S/S+T/B) AJD]]-(TABL123[[#This Row],[(A/B + A/S) AJD]]+TABL123[[#This Row],[(STORGE DIFF.) AJD]]+(TABL123[[#This Row],[AJD_Evaporation]])/1000)</f>
        <v/>
      </c>
      <c r="AE333" s="68" t="n"/>
      <c r="AF333" s="68" t="n"/>
      <c r="AG333" s="68" t="n"/>
      <c r="AH333" s="6" t="n"/>
      <c r="AI333" s="78" t="n"/>
      <c r="AJ333" s="78">
        <f>TABL123[[#This Row],[(A/B) AJD]]-TABL123[[#This Row],[BER_IN]]</f>
        <v/>
      </c>
      <c r="AK333" s="78" t="n"/>
      <c r="AL333" s="68" t="n"/>
      <c r="AM333" s="87" t="n"/>
      <c r="AN333" s="87">
        <f>TABL123[[#This Row],[ (RESV. STORGE) SER]]/10</f>
        <v/>
      </c>
      <c r="AO333" s="6" t="n"/>
      <c r="AP333" s="32">
        <f>TABL123[[#This Row],[(A/S) AJD]]-TABL123[[#This Row],[SER_IN]]</f>
        <v/>
      </c>
    </row>
    <row r="334" ht="18.75" customHeight="1">
      <c r="A334" s="2" t="n">
        <v>46355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TABL123[[#This Row],[ (T/B) SAR]]+TABL123[[#This Row],[ (S/S) SAR]]</f>
        <v/>
      </c>
      <c r="L334" s="28" t="n"/>
      <c r="M334" s="29" t="n"/>
      <c r="N334" s="30" t="n"/>
      <c r="O334" s="39" t="n"/>
      <c r="P334" s="9">
        <f>TABL123[[#This Row],[ (S/S) SAR]]-TABL123[[#This Row],[(S/S) AJD]]</f>
        <v/>
      </c>
      <c r="Q334" s="9" t="n"/>
      <c r="R334" s="9">
        <f>TABL123[[#This Row],[ (T/B) SAR]]-TABL123[[#This Row],[(T/B) AJD]]</f>
        <v/>
      </c>
      <c r="S334" s="9">
        <f>TABL123[[#This Row],[T/B-CON.]]+TABL123[[#This Row],[S/S_CON.]]</f>
        <v/>
      </c>
      <c r="T334" s="9">
        <f>TABL123[[#This Row],[(S/S) AJD]]+TABL123[[#This Row],[(T/B) AJD]]</f>
        <v/>
      </c>
      <c r="U334" s="9" t="n"/>
      <c r="V334" s="9" t="n"/>
      <c r="W334" s="9">
        <f>TABL123[[#This Row],[(A/B) AJD]]+TABL123[[#This Row],[(A/S) AJD]]</f>
        <v/>
      </c>
      <c r="X334" s="9">
        <f>TABL123[[#This Row],[( S/S+T/B) AJD]]-TABL123[[#This Row],[(A/B + A/S) AJD]]</f>
        <v/>
      </c>
      <c r="Y334" s="18" t="n"/>
      <c r="Z334" s="9" t="n"/>
      <c r="AA334" s="3">
        <f>TABL123[[#This Row],[(RESV. STORGE) AJD]]/10</f>
        <v/>
      </c>
      <c r="AB334" s="45">
        <f>IF(TRIM(Z334)="",,(Z334-Z333)/1000)</f>
        <v/>
      </c>
      <c r="AC334" s="5" t="n"/>
      <c r="AD334" s="83">
        <f>TABL123[[#This Row],[( S/S+T/B) AJD]]-(TABL123[[#This Row],[(A/B + A/S) AJD]]+TABL123[[#This Row],[(STORGE DIFF.) AJD]]+(TABL123[[#This Row],[AJD_Evaporation]])/1000)</f>
        <v/>
      </c>
      <c r="AE334" s="68" t="n"/>
      <c r="AF334" s="68" t="n"/>
      <c r="AG334" s="68" t="n"/>
      <c r="AH334" s="6" t="n"/>
      <c r="AI334" s="78" t="n"/>
      <c r="AJ334" s="78">
        <f>TABL123[[#This Row],[(A/B) AJD]]-TABL123[[#This Row],[BER_IN]]</f>
        <v/>
      </c>
      <c r="AK334" s="78" t="n"/>
      <c r="AL334" s="68" t="n"/>
      <c r="AM334" s="87" t="n"/>
      <c r="AN334" s="87">
        <f>TABL123[[#This Row],[ (RESV. STORGE) SER]]/10</f>
        <v/>
      </c>
      <c r="AO334" s="6" t="n"/>
      <c r="AP334" s="32">
        <f>TABL123[[#This Row],[(A/S) AJD]]-TABL123[[#This Row],[SER_IN]]</f>
        <v/>
      </c>
    </row>
    <row r="335" ht="18.75" customHeight="1">
      <c r="A335" s="2" t="n">
        <v>46356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TABL123[[#This Row],[ (T/B) SAR]]+TABL123[[#This Row],[ (S/S) SAR]]</f>
        <v/>
      </c>
      <c r="L335" s="28" t="n"/>
      <c r="M335" s="29" t="n"/>
      <c r="N335" s="30" t="n"/>
      <c r="O335" s="40" t="n"/>
      <c r="P335" s="9">
        <f>TABL123[[#This Row],[ (S/S) SAR]]-TABL123[[#This Row],[(S/S) AJD]]</f>
        <v/>
      </c>
      <c r="Q335" s="9" t="n"/>
      <c r="R335" s="9">
        <f>TABL123[[#This Row],[ (T/B) SAR]]-TABL123[[#This Row],[(T/B) AJD]]</f>
        <v/>
      </c>
      <c r="S335" s="9">
        <f>TABL123[[#This Row],[T/B-CON.]]+TABL123[[#This Row],[S/S_CON.]]</f>
        <v/>
      </c>
      <c r="T335" s="9">
        <f>TABL123[[#This Row],[(S/S) AJD]]+TABL123[[#This Row],[(T/B) AJD]]</f>
        <v/>
      </c>
      <c r="U335" s="9" t="n"/>
      <c r="V335" s="9" t="n"/>
      <c r="W335" s="9">
        <f>TABL123[[#This Row],[(A/B) AJD]]+TABL123[[#This Row],[(A/S) AJD]]</f>
        <v/>
      </c>
      <c r="X335" s="9">
        <f>TABL123[[#This Row],[( S/S+T/B) AJD]]-TABL123[[#This Row],[(A/B + A/S) AJD]]</f>
        <v/>
      </c>
      <c r="Y335" s="18" t="n"/>
      <c r="Z335" s="9" t="n"/>
      <c r="AA335" s="3">
        <f>TABL123[[#This Row],[(RESV. STORGE) AJD]]/10</f>
        <v/>
      </c>
      <c r="AB335" s="45">
        <f>IF(TRIM(Z335)="",,(Z335-Z334)/1000)</f>
        <v/>
      </c>
      <c r="AC335" s="5" t="n"/>
      <c r="AD335" s="83">
        <f>TABL123[[#This Row],[( S/S+T/B) AJD]]-(TABL123[[#This Row],[(A/B + A/S) AJD]]+TABL123[[#This Row],[(STORGE DIFF.) AJD]]+(TABL123[[#This Row],[AJD_Evaporation]])/1000)</f>
        <v/>
      </c>
      <c r="AE335" s="68" t="n"/>
      <c r="AF335" s="68" t="n"/>
      <c r="AG335" s="68" t="n"/>
      <c r="AH335" s="6" t="n"/>
      <c r="AI335" s="78" t="n"/>
      <c r="AJ335" s="78">
        <f>TABL123[[#This Row],[(A/B) AJD]]-TABL123[[#This Row],[BER_IN]]</f>
        <v/>
      </c>
      <c r="AK335" s="78" t="n"/>
      <c r="AL335" s="68" t="n"/>
      <c r="AM335" s="87" t="n"/>
      <c r="AN335" s="87">
        <f>TABL123[[#This Row],[ (RESV. STORGE) SER]]/10</f>
        <v/>
      </c>
      <c r="AO335" s="6" t="n"/>
      <c r="AP335" s="32">
        <f>TABL123[[#This Row],[(A/S) AJD]]-TABL123[[#This Row],[SER_IN]]</f>
        <v/>
      </c>
    </row>
    <row r="336" ht="18.75" customHeight="1">
      <c r="A336" s="2" t="n">
        <v>46357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TABL123[[#This Row],[ (T/B) SAR]]+TABL123[[#This Row],[ (S/S) SAR]]</f>
        <v/>
      </c>
      <c r="L336" s="41" t="n"/>
      <c r="M336" s="42" t="n"/>
      <c r="N336" s="42" t="n"/>
      <c r="O336" s="39" t="n"/>
      <c r="P336" s="9">
        <f>TABL123[[#This Row],[ (S/S) SAR]]-TABL123[[#This Row],[(S/S) AJD]]</f>
        <v/>
      </c>
      <c r="Q336" s="39" t="n"/>
      <c r="R336" s="9">
        <f>TABL123[[#This Row],[ (T/B) SAR]]-TABL123[[#This Row],[(T/B) AJD]]</f>
        <v/>
      </c>
      <c r="S336" s="9">
        <f>TABL123[[#This Row],[T/B-CON.]]+TABL123[[#This Row],[S/S_CON.]]</f>
        <v/>
      </c>
      <c r="T336" s="9">
        <f>TABL123[[#This Row],[(S/S) AJD]]+TABL123[[#This Row],[(T/B) AJD]]</f>
        <v/>
      </c>
      <c r="U336" s="41" t="n"/>
      <c r="V336" s="41" t="n"/>
      <c r="W336" s="9">
        <f>TABL123[[#This Row],[(A/B) AJD]]+TABL123[[#This Row],[(A/S) AJD]]</f>
        <v/>
      </c>
      <c r="X336" s="9">
        <f>TABL123[[#This Row],[( S/S+T/B) AJD]]-TABL123[[#This Row],[(A/B + A/S) AJD]]</f>
        <v/>
      </c>
      <c r="Y336" s="41" t="n"/>
      <c r="Z336" s="43" t="n"/>
      <c r="AA336" s="3">
        <f>TABL123[[#This Row],[(RESV. STORGE) AJD]]/10</f>
        <v/>
      </c>
      <c r="AB336" s="45">
        <f>IF(TRIM(Z336)="",,(Z336-Z335)/1000)</f>
        <v/>
      </c>
      <c r="AC336" s="5" t="n"/>
      <c r="AD336" s="83">
        <f>TABL123[[#This Row],[( S/S+T/B) AJD]]-(TABL123[[#This Row],[(A/B + A/S) AJD]]+TABL123[[#This Row],[(STORGE DIFF.) AJD]]+(TABL123[[#This Row],[AJD_Evaporation]])/1000)</f>
        <v/>
      </c>
      <c r="AE336" s="68" t="n"/>
      <c r="AF336" s="68" t="n"/>
      <c r="AG336" s="68" t="n"/>
      <c r="AH336" s="43" t="n"/>
      <c r="AI336" s="78" t="n"/>
      <c r="AJ336" s="78">
        <f>TABL123[[#This Row],[(A/B) AJD]]-TABL123[[#This Row],[BER_IN]]</f>
        <v/>
      </c>
      <c r="AK336" s="78" t="n"/>
      <c r="AL336" s="68" t="n"/>
      <c r="AM336" s="87" t="n"/>
      <c r="AN336" s="87">
        <f>TABL123[[#This Row],[ (RESV. STORGE) SER]]/10</f>
        <v/>
      </c>
      <c r="AO336" s="43" t="n"/>
      <c r="AP336" s="32">
        <f>TABL123[[#This Row],[(A/S) AJD]]-TABL123[[#This Row],[SER_IN]]</f>
        <v/>
      </c>
    </row>
    <row r="337" ht="18.75" customHeight="1">
      <c r="A337" s="2" t="n">
        <v>46358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TABL123[[#This Row],[ (T/B) SAR]]+TABL123[[#This Row],[ (S/S) SAR]]</f>
        <v/>
      </c>
      <c r="L337" s="45" t="n"/>
      <c r="M337" s="46" t="n"/>
      <c r="N337" s="46" t="n"/>
      <c r="O337" s="40" t="n"/>
      <c r="P337" s="9">
        <f>TABL123[[#This Row],[ (S/S) SAR]]-TABL123[[#This Row],[(S/S) AJD]]</f>
        <v/>
      </c>
      <c r="Q337" s="40" t="n"/>
      <c r="R337" s="9">
        <f>TABL123[[#This Row],[ (T/B) SAR]]-TABL123[[#This Row],[(T/B) AJD]]</f>
        <v/>
      </c>
      <c r="S337" s="9">
        <f>TABL123[[#This Row],[T/B-CON.]]+TABL123[[#This Row],[S/S_CON.]]</f>
        <v/>
      </c>
      <c r="T337" s="9">
        <f>TABL123[[#This Row],[(S/S) AJD]]+TABL123[[#This Row],[(T/B) AJD]]</f>
        <v/>
      </c>
      <c r="U337" s="44" t="n"/>
      <c r="V337" s="44" t="n"/>
      <c r="W337" s="9">
        <f>TABL123[[#This Row],[(A/B) AJD]]+TABL123[[#This Row],[(A/S) AJD]]</f>
        <v/>
      </c>
      <c r="X337" s="9">
        <f>TABL123[[#This Row],[( S/S+T/B) AJD]]-TABL123[[#This Row],[(A/B + A/S) AJD]]</f>
        <v/>
      </c>
      <c r="Y337" s="44" t="n"/>
      <c r="Z337" s="45" t="n"/>
      <c r="AA337" s="3">
        <f>TABL123[[#This Row],[(RESV. STORGE) AJD]]/10</f>
        <v/>
      </c>
      <c r="AB337" s="45">
        <f>IF(TRIM(Z337)="",,(Z337-Z336)/1000)</f>
        <v/>
      </c>
      <c r="AC337" s="5" t="n"/>
      <c r="AD337" s="83">
        <f>TABL123[[#This Row],[( S/S+T/B) AJD]]-(TABL123[[#This Row],[(A/B + A/S) AJD]]+TABL123[[#This Row],[(STORGE DIFF.) AJD]]+(TABL123[[#This Row],[AJD_Evaporation]])/1000)</f>
        <v/>
      </c>
      <c r="AE337" s="68" t="n"/>
      <c r="AF337" s="68" t="n"/>
      <c r="AG337" s="68" t="n"/>
      <c r="AH337" s="45" t="n"/>
      <c r="AI337" s="78" t="n"/>
      <c r="AJ337" s="78">
        <f>TABL123[[#This Row],[(A/B) AJD]]-TABL123[[#This Row],[BER_IN]]</f>
        <v/>
      </c>
      <c r="AK337" s="78" t="n"/>
      <c r="AL337" s="68" t="n"/>
      <c r="AM337" s="87" t="n"/>
      <c r="AN337" s="87">
        <f>TABL123[[#This Row],[ (RESV. STORGE) SER]]/10</f>
        <v/>
      </c>
      <c r="AO337" s="45" t="n"/>
      <c r="AP337" s="32">
        <f>TABL123[[#This Row],[(A/S) AJD]]-TABL123[[#This Row],[SER_IN]]</f>
        <v/>
      </c>
    </row>
    <row r="338" ht="18.75" customHeight="1">
      <c r="A338" s="2" t="n">
        <v>46359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TABL123[[#This Row],[ (T/B) SAR]]+TABL123[[#This Row],[ (S/S) SAR]]</f>
        <v/>
      </c>
      <c r="L338" s="41" t="n"/>
      <c r="M338" s="42" t="n"/>
      <c r="N338" s="42" t="n"/>
      <c r="O338" s="39" t="n"/>
      <c r="P338" s="9">
        <f>TABL123[[#This Row],[ (S/S) SAR]]-TABL123[[#This Row],[(S/S) AJD]]</f>
        <v/>
      </c>
      <c r="Q338" s="39" t="n"/>
      <c r="R338" s="9">
        <f>TABL123[[#This Row],[ (T/B) SAR]]-TABL123[[#This Row],[(T/B) AJD]]</f>
        <v/>
      </c>
      <c r="S338" s="9">
        <f>TABL123[[#This Row],[T/B-CON.]]+TABL123[[#This Row],[S/S_CON.]]</f>
        <v/>
      </c>
      <c r="T338" s="9">
        <f>TABL123[[#This Row],[(S/S) AJD]]+TABL123[[#This Row],[(T/B) AJD]]</f>
        <v/>
      </c>
      <c r="U338" s="41" t="n"/>
      <c r="V338" s="41" t="n"/>
      <c r="W338" s="9">
        <f>TABL123[[#This Row],[(A/B) AJD]]+TABL123[[#This Row],[(A/S) AJD]]</f>
        <v/>
      </c>
      <c r="X338" s="9">
        <f>TABL123[[#This Row],[( S/S+T/B) AJD]]-TABL123[[#This Row],[(A/B + A/S) AJD]]</f>
        <v/>
      </c>
      <c r="Y338" s="41" t="n"/>
      <c r="Z338" s="43" t="n"/>
      <c r="AA338" s="3">
        <f>TABL123[[#This Row],[(RESV. STORGE) AJD]]/10</f>
        <v/>
      </c>
      <c r="AB338" s="45">
        <f>IF(TRIM(Z338)="",,(Z338-Z337)/1000)</f>
        <v/>
      </c>
      <c r="AC338" s="5" t="n"/>
      <c r="AD338" s="83">
        <f>TABL123[[#This Row],[( S/S+T/B) AJD]]-(TABL123[[#This Row],[(A/B + A/S) AJD]]+TABL123[[#This Row],[(STORGE DIFF.) AJD]]+(TABL123[[#This Row],[AJD_Evaporation]])/1000)</f>
        <v/>
      </c>
      <c r="AE338" s="68" t="n"/>
      <c r="AF338" s="68" t="n"/>
      <c r="AG338" s="68" t="n"/>
      <c r="AH338" s="43" t="n"/>
      <c r="AI338" s="78" t="n"/>
      <c r="AJ338" s="78">
        <f>TABL123[[#This Row],[(A/B) AJD]]-TABL123[[#This Row],[BER_IN]]</f>
        <v/>
      </c>
      <c r="AK338" s="78" t="n"/>
      <c r="AL338" s="68" t="n"/>
      <c r="AM338" s="87" t="n"/>
      <c r="AN338" s="87">
        <f>TABL123[[#This Row],[ (RESV. STORGE) SER]]/10</f>
        <v/>
      </c>
      <c r="AO338" s="43" t="n"/>
      <c r="AP338" s="32">
        <f>TABL123[[#This Row],[(A/S) AJD]]-TABL123[[#This Row],[SER_IN]]</f>
        <v/>
      </c>
    </row>
    <row r="339" ht="18.75" customHeight="1">
      <c r="A339" s="2" t="n">
        <v>46360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TABL123[[#This Row],[ (T/B) SAR]]+TABL123[[#This Row],[ (S/S) SAR]]</f>
        <v/>
      </c>
      <c r="L339" s="45" t="n"/>
      <c r="M339" s="46" t="n"/>
      <c r="N339" s="46" t="n"/>
      <c r="O339" s="40" t="n"/>
      <c r="P339" s="9">
        <f>TABL123[[#This Row],[ (S/S) SAR]]-TABL123[[#This Row],[(S/S) AJD]]</f>
        <v/>
      </c>
      <c r="Q339" s="40" t="n"/>
      <c r="R339" s="9">
        <f>TABL123[[#This Row],[ (T/B) SAR]]-TABL123[[#This Row],[(T/B) AJD]]</f>
        <v/>
      </c>
      <c r="S339" s="9">
        <f>TABL123[[#This Row],[T/B-CON.]]+TABL123[[#This Row],[S/S_CON.]]</f>
        <v/>
      </c>
      <c r="T339" s="9">
        <f>TABL123[[#This Row],[(S/S) AJD]]+TABL123[[#This Row],[(T/B) AJD]]</f>
        <v/>
      </c>
      <c r="U339" s="44" t="n"/>
      <c r="V339" s="47" t="n"/>
      <c r="W339" s="9">
        <f>TABL123[[#This Row],[(A/B) AJD]]+TABL123[[#This Row],[(A/S) AJD]]</f>
        <v/>
      </c>
      <c r="X339" s="9">
        <f>TABL123[[#This Row],[( S/S+T/B) AJD]]-TABL123[[#This Row],[(A/B + A/S) AJD]]</f>
        <v/>
      </c>
      <c r="Y339" s="44" t="n"/>
      <c r="Z339" s="45" t="n"/>
      <c r="AA339" s="3">
        <f>TABL123[[#This Row],[(RESV. STORGE) AJD]]/10</f>
        <v/>
      </c>
      <c r="AB339" s="45">
        <f>IF(TRIM(Z339)="",,(Z339-Z338)/1000)</f>
        <v/>
      </c>
      <c r="AC339" s="5" t="n"/>
      <c r="AD339" s="83">
        <f>TABL123[[#This Row],[( S/S+T/B) AJD]]-(TABL123[[#This Row],[(A/B + A/S) AJD]]+TABL123[[#This Row],[(STORGE DIFF.) AJD]]+(TABL123[[#This Row],[AJD_Evaporation]])/1000)</f>
        <v/>
      </c>
      <c r="AE339" s="68" t="n"/>
      <c r="AF339" s="68" t="n"/>
      <c r="AG339" s="68" t="n"/>
      <c r="AH339" s="45" t="n"/>
      <c r="AI339" s="78" t="n"/>
      <c r="AJ339" s="78">
        <f>TABL123[[#This Row],[(A/B) AJD]]-TABL123[[#This Row],[BER_IN]]</f>
        <v/>
      </c>
      <c r="AK339" s="78" t="n"/>
      <c r="AL339" s="68" t="n"/>
      <c r="AM339" s="87" t="n"/>
      <c r="AN339" s="87">
        <f>TABL123[[#This Row],[ (RESV. STORGE) SER]]/10</f>
        <v/>
      </c>
      <c r="AO339" s="45" t="n"/>
      <c r="AP339" s="32">
        <f>TABL123[[#This Row],[(A/S) AJD]]-TABL123[[#This Row],[SER_IN]]</f>
        <v/>
      </c>
    </row>
    <row r="340" ht="18.75" customHeight="1">
      <c r="A340" s="2" t="n">
        <v>46361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TABL123[[#This Row],[ (T/B) SAR]]+TABL123[[#This Row],[ (S/S) SAR]]</f>
        <v/>
      </c>
      <c r="L340" s="41" t="n"/>
      <c r="M340" s="42" t="n"/>
      <c r="N340" s="42" t="n"/>
      <c r="O340" s="39" t="n"/>
      <c r="P340" s="9">
        <f>TABL123[[#This Row],[ (S/S) SAR]]-TABL123[[#This Row],[(S/S) AJD]]</f>
        <v/>
      </c>
      <c r="Q340" s="39" t="n"/>
      <c r="R340" s="9">
        <f>TABL123[[#This Row],[ (T/B) SAR]]-TABL123[[#This Row],[(T/B) AJD]]</f>
        <v/>
      </c>
      <c r="S340" s="9">
        <f>TABL123[[#This Row],[T/B-CON.]]+TABL123[[#This Row],[S/S_CON.]]</f>
        <v/>
      </c>
      <c r="T340" s="9">
        <f>TABL123[[#This Row],[(S/S) AJD]]+TABL123[[#This Row],[(T/B) AJD]]</f>
        <v/>
      </c>
      <c r="U340" s="41" t="n"/>
      <c r="V340" s="41" t="n"/>
      <c r="W340" s="9">
        <f>TABL123[[#This Row],[(A/B) AJD]]+TABL123[[#This Row],[(A/S) AJD]]</f>
        <v/>
      </c>
      <c r="X340" s="9">
        <f>TABL123[[#This Row],[( S/S+T/B) AJD]]-TABL123[[#This Row],[(A/B + A/S) AJD]]</f>
        <v/>
      </c>
      <c r="Y340" s="41" t="n"/>
      <c r="Z340" s="43" t="n"/>
      <c r="AA340" s="3">
        <f>TABL123[[#This Row],[(RESV. STORGE) AJD]]/10</f>
        <v/>
      </c>
      <c r="AB340" s="45">
        <f>IF(TRIM(Z340)="",,(Z340-Z339)/1000)</f>
        <v/>
      </c>
      <c r="AC340" s="5" t="n"/>
      <c r="AD340" s="83">
        <f>TABL123[[#This Row],[( S/S+T/B) AJD]]-(TABL123[[#This Row],[(A/B + A/S) AJD]]+TABL123[[#This Row],[(STORGE DIFF.) AJD]]+(TABL123[[#This Row],[AJD_Evaporation]])/1000)</f>
        <v/>
      </c>
      <c r="AE340" s="68" t="n"/>
      <c r="AF340" s="68" t="n"/>
      <c r="AG340" s="68" t="n"/>
      <c r="AH340" s="43" t="n"/>
      <c r="AI340" s="78" t="n"/>
      <c r="AJ340" s="78">
        <f>TABL123[[#This Row],[(A/B) AJD]]-TABL123[[#This Row],[BER_IN]]</f>
        <v/>
      </c>
      <c r="AK340" s="78" t="n"/>
      <c r="AL340" s="68" t="n"/>
      <c r="AM340" s="87" t="n"/>
      <c r="AN340" s="87">
        <f>TABL123[[#This Row],[ (RESV. STORGE) SER]]/10</f>
        <v/>
      </c>
      <c r="AO340" s="43" t="n"/>
      <c r="AP340" s="32">
        <f>TABL123[[#This Row],[(A/S) AJD]]-TABL123[[#This Row],[SER_IN]]</f>
        <v/>
      </c>
    </row>
    <row r="341" ht="18.75" customHeight="1">
      <c r="A341" s="2" t="n">
        <v>46362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TABL123[[#This Row],[ (T/B) SAR]]+TABL123[[#This Row],[ (S/S) SAR]]</f>
        <v/>
      </c>
      <c r="L341" s="45" t="n"/>
      <c r="M341" s="46" t="n"/>
      <c r="N341" s="46" t="n"/>
      <c r="O341" s="40" t="n"/>
      <c r="P341" s="9">
        <f>TABL123[[#This Row],[ (S/S) SAR]]-TABL123[[#This Row],[(S/S) AJD]]</f>
        <v/>
      </c>
      <c r="Q341" s="40" t="n"/>
      <c r="R341" s="9">
        <f>TABL123[[#This Row],[ (T/B) SAR]]-TABL123[[#This Row],[(T/B) AJD]]</f>
        <v/>
      </c>
      <c r="S341" s="9">
        <f>TABL123[[#This Row],[T/B-CON.]]+TABL123[[#This Row],[S/S_CON.]]</f>
        <v/>
      </c>
      <c r="T341" s="9">
        <f>TABL123[[#This Row],[(S/S) AJD]]+TABL123[[#This Row],[(T/B) AJD]]</f>
        <v/>
      </c>
      <c r="U341" s="44" t="n"/>
      <c r="V341" s="44" t="n"/>
      <c r="W341" s="9">
        <f>TABL123[[#This Row],[(A/B) AJD]]+TABL123[[#This Row],[(A/S) AJD]]</f>
        <v/>
      </c>
      <c r="X341" s="9">
        <f>TABL123[[#This Row],[( S/S+T/B) AJD]]-TABL123[[#This Row],[(A/B + A/S) AJD]]</f>
        <v/>
      </c>
      <c r="Y341" s="44" t="n"/>
      <c r="Z341" s="45" t="n"/>
      <c r="AA341" s="3">
        <f>TABL123[[#This Row],[(RESV. STORGE) AJD]]/10</f>
        <v/>
      </c>
      <c r="AB341" s="45">
        <f>IF(TRIM(Z341)="",,(Z341-Z340)/1000)</f>
        <v/>
      </c>
      <c r="AC341" s="5" t="n"/>
      <c r="AD341" s="83">
        <f>TABL123[[#This Row],[( S/S+T/B) AJD]]-(TABL123[[#This Row],[(A/B + A/S) AJD]]+TABL123[[#This Row],[(STORGE DIFF.) AJD]]+(TABL123[[#This Row],[AJD_Evaporation]])/1000)</f>
        <v/>
      </c>
      <c r="AE341" s="68" t="n"/>
      <c r="AF341" s="68" t="n"/>
      <c r="AG341" s="68" t="n"/>
      <c r="AH341" s="45" t="n"/>
      <c r="AI341" s="78" t="n"/>
      <c r="AJ341" s="78">
        <f>TABL123[[#This Row],[(A/B) AJD]]-TABL123[[#This Row],[BER_IN]]</f>
        <v/>
      </c>
      <c r="AK341" s="78" t="n"/>
      <c r="AL341" s="68" t="n"/>
      <c r="AM341" s="87" t="n"/>
      <c r="AN341" s="87">
        <f>TABL123[[#This Row],[ (RESV. STORGE) SER]]/10</f>
        <v/>
      </c>
      <c r="AO341" s="45" t="n"/>
      <c r="AP341" s="32">
        <f>TABL123[[#This Row],[(A/S) AJD]]-TABL123[[#This Row],[SER_IN]]</f>
        <v/>
      </c>
    </row>
    <row r="342" ht="18.75" customHeight="1">
      <c r="A342" s="2" t="n">
        <v>46363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TABL123[[#This Row],[ (T/B) SAR]]+TABL123[[#This Row],[ (S/S) SAR]]</f>
        <v/>
      </c>
      <c r="L342" s="41" t="n"/>
      <c r="M342" s="42" t="n"/>
      <c r="N342" s="42" t="n"/>
      <c r="O342" s="39" t="n"/>
      <c r="P342" s="9">
        <f>TABL123[[#This Row],[ (S/S) SAR]]-TABL123[[#This Row],[(S/S) AJD]]</f>
        <v/>
      </c>
      <c r="Q342" s="39" t="n"/>
      <c r="R342" s="9">
        <f>TABL123[[#This Row],[ (T/B) SAR]]-TABL123[[#This Row],[(T/B) AJD]]</f>
        <v/>
      </c>
      <c r="S342" s="9">
        <f>TABL123[[#This Row],[T/B-CON.]]+TABL123[[#This Row],[S/S_CON.]]</f>
        <v/>
      </c>
      <c r="T342" s="9">
        <f>TABL123[[#This Row],[(S/S) AJD]]+TABL123[[#This Row],[(T/B) AJD]]</f>
        <v/>
      </c>
      <c r="U342" s="41" t="n"/>
      <c r="V342" s="41" t="n"/>
      <c r="W342" s="9">
        <f>TABL123[[#This Row],[(A/B) AJD]]+TABL123[[#This Row],[(A/S) AJD]]</f>
        <v/>
      </c>
      <c r="X342" s="9">
        <f>TABL123[[#This Row],[( S/S+T/B) AJD]]-TABL123[[#This Row],[(A/B + A/S) AJD]]</f>
        <v/>
      </c>
      <c r="Y342" s="41" t="n"/>
      <c r="Z342" s="43" t="n"/>
      <c r="AA342" s="3">
        <f>TABL123[[#This Row],[(RESV. STORGE) AJD]]/10</f>
        <v/>
      </c>
      <c r="AB342" s="45">
        <f>IF(TRIM(Z342)="",,(Z342-Z341)/1000)</f>
        <v/>
      </c>
      <c r="AC342" s="5" t="n"/>
      <c r="AD342" s="83">
        <f>TABL123[[#This Row],[( S/S+T/B) AJD]]-(TABL123[[#This Row],[(A/B + A/S) AJD]]+TABL123[[#This Row],[(STORGE DIFF.) AJD]]+(TABL123[[#This Row],[AJD_Evaporation]])/1000)</f>
        <v/>
      </c>
      <c r="AE342" s="68" t="n"/>
      <c r="AF342" s="68" t="n"/>
      <c r="AG342" s="68" t="n"/>
      <c r="AH342" s="43" t="n"/>
      <c r="AI342" s="78" t="n"/>
      <c r="AJ342" s="78">
        <f>TABL123[[#This Row],[(A/B) AJD]]-TABL123[[#This Row],[BER_IN]]</f>
        <v/>
      </c>
      <c r="AK342" s="78" t="n"/>
      <c r="AL342" s="68" t="n"/>
      <c r="AM342" s="87" t="n"/>
      <c r="AN342" s="87">
        <f>TABL123[[#This Row],[ (RESV. STORGE) SER]]/10</f>
        <v/>
      </c>
      <c r="AO342" s="43" t="n"/>
      <c r="AP342" s="32">
        <f>TABL123[[#This Row],[(A/S) AJD]]-TABL123[[#This Row],[SER_IN]]</f>
        <v/>
      </c>
    </row>
    <row r="343" ht="18.75" customHeight="1">
      <c r="A343" s="2" t="n">
        <v>46364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TABL123[[#This Row],[ (T/B) SAR]]+TABL123[[#This Row],[ (S/S) SAR]]</f>
        <v/>
      </c>
      <c r="L343" s="45" t="n"/>
      <c r="M343" s="46" t="n"/>
      <c r="N343" s="46" t="n"/>
      <c r="O343" s="40" t="n"/>
      <c r="P343" s="9">
        <f>TABL123[[#This Row],[ (S/S) SAR]]-TABL123[[#This Row],[(S/S) AJD]]</f>
        <v/>
      </c>
      <c r="Q343" s="40" t="n"/>
      <c r="R343" s="9">
        <f>TABL123[[#This Row],[ (T/B) SAR]]-TABL123[[#This Row],[(T/B) AJD]]</f>
        <v/>
      </c>
      <c r="S343" s="9">
        <f>TABL123[[#This Row],[T/B-CON.]]+TABL123[[#This Row],[S/S_CON.]]</f>
        <v/>
      </c>
      <c r="T343" s="9">
        <f>TABL123[[#This Row],[(S/S) AJD]]+TABL123[[#This Row],[(T/B) AJD]]</f>
        <v/>
      </c>
      <c r="U343" s="44" t="n"/>
      <c r="V343" s="44" t="n"/>
      <c r="W343" s="9">
        <f>TABL123[[#This Row],[(A/B) AJD]]+TABL123[[#This Row],[(A/S) AJD]]</f>
        <v/>
      </c>
      <c r="X343" s="9">
        <f>TABL123[[#This Row],[( S/S+T/B) AJD]]-TABL123[[#This Row],[(A/B + A/S) AJD]]</f>
        <v/>
      </c>
      <c r="Y343" s="44" t="n"/>
      <c r="Z343" s="45" t="n"/>
      <c r="AA343" s="3">
        <f>TABL123[[#This Row],[(RESV. STORGE) AJD]]/10</f>
        <v/>
      </c>
      <c r="AB343" s="45">
        <f>IF(TRIM(Z343)="",,(Z343-Z342)/1000)</f>
        <v/>
      </c>
      <c r="AC343" s="5" t="n"/>
      <c r="AD343" s="83">
        <f>TABL123[[#This Row],[( S/S+T/B) AJD]]-(TABL123[[#This Row],[(A/B + A/S) AJD]]+TABL123[[#This Row],[(STORGE DIFF.) AJD]]+(TABL123[[#This Row],[AJD_Evaporation]])/1000)</f>
        <v/>
      </c>
      <c r="AE343" s="68" t="n"/>
      <c r="AF343" s="68" t="n"/>
      <c r="AG343" s="68" t="n"/>
      <c r="AH343" s="45" t="n"/>
      <c r="AI343" s="78" t="n"/>
      <c r="AJ343" s="78">
        <f>TABL123[[#This Row],[(A/B) AJD]]-TABL123[[#This Row],[BER_IN]]</f>
        <v/>
      </c>
      <c r="AK343" s="78" t="n"/>
      <c r="AL343" s="68" t="n"/>
      <c r="AM343" s="87" t="n"/>
      <c r="AN343" s="87">
        <f>TABL123[[#This Row],[ (RESV. STORGE) SER]]/10</f>
        <v/>
      </c>
      <c r="AO343" s="45" t="n"/>
      <c r="AP343" s="32">
        <f>TABL123[[#This Row],[(A/S) AJD]]-TABL123[[#This Row],[SER_IN]]</f>
        <v/>
      </c>
    </row>
    <row r="344" ht="18.75" customHeight="1">
      <c r="A344" s="2" t="n">
        <v>46365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TABL123[[#This Row],[ (T/B) SAR]]+TABL123[[#This Row],[ (S/S) SAR]]</f>
        <v/>
      </c>
      <c r="L344" s="41" t="n"/>
      <c r="M344" s="42" t="n"/>
      <c r="N344" s="42" t="n"/>
      <c r="O344" s="39" t="n"/>
      <c r="P344" s="9">
        <f>TABL123[[#This Row],[ (S/S) SAR]]-TABL123[[#This Row],[(S/S) AJD]]</f>
        <v/>
      </c>
      <c r="Q344" s="39" t="n"/>
      <c r="R344" s="9">
        <f>TABL123[[#This Row],[ (T/B) SAR]]-TABL123[[#This Row],[(T/B) AJD]]</f>
        <v/>
      </c>
      <c r="S344" s="9">
        <f>TABL123[[#This Row],[T/B-CON.]]+TABL123[[#This Row],[S/S_CON.]]</f>
        <v/>
      </c>
      <c r="T344" s="9">
        <f>TABL123[[#This Row],[(S/S) AJD]]+TABL123[[#This Row],[(T/B) AJD]]</f>
        <v/>
      </c>
      <c r="U344" s="41" t="n"/>
      <c r="V344" s="41" t="n"/>
      <c r="W344" s="9">
        <f>TABL123[[#This Row],[(A/B) AJD]]+TABL123[[#This Row],[(A/S) AJD]]</f>
        <v/>
      </c>
      <c r="X344" s="9">
        <f>TABL123[[#This Row],[( S/S+T/B) AJD]]-TABL123[[#This Row],[(A/B + A/S) AJD]]</f>
        <v/>
      </c>
      <c r="Y344" s="41" t="n"/>
      <c r="Z344" s="43" t="n"/>
      <c r="AA344" s="3">
        <f>TABL123[[#This Row],[(RESV. STORGE) AJD]]/10</f>
        <v/>
      </c>
      <c r="AB344" s="45">
        <f>IF(TRIM(Z344)="",,(Z344-Z343)/1000)</f>
        <v/>
      </c>
      <c r="AC344" s="5" t="n"/>
      <c r="AD344" s="83">
        <f>TABL123[[#This Row],[( S/S+T/B) AJD]]-(TABL123[[#This Row],[(A/B + A/S) AJD]]+TABL123[[#This Row],[(STORGE DIFF.) AJD]]+(TABL123[[#This Row],[AJD_Evaporation]])/1000)</f>
        <v/>
      </c>
      <c r="AE344" s="68" t="n"/>
      <c r="AF344" s="68" t="n"/>
      <c r="AG344" s="68" t="n"/>
      <c r="AH344" s="43" t="n"/>
      <c r="AI344" s="78" t="n"/>
      <c r="AJ344" s="78">
        <f>TABL123[[#This Row],[(A/B) AJD]]-TABL123[[#This Row],[BER_IN]]</f>
        <v/>
      </c>
      <c r="AK344" s="78" t="n"/>
      <c r="AL344" s="68" t="n"/>
      <c r="AM344" s="87" t="n"/>
      <c r="AN344" s="87">
        <f>TABL123[[#This Row],[ (RESV. STORGE) SER]]/10</f>
        <v/>
      </c>
      <c r="AO344" s="43" t="n"/>
      <c r="AP344" s="32">
        <f>TABL123[[#This Row],[(A/S) AJD]]-TABL123[[#This Row],[SER_IN]]</f>
        <v/>
      </c>
    </row>
    <row r="345" ht="18.75" customHeight="1">
      <c r="A345" s="2" t="n">
        <v>46366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TABL123[[#This Row],[ (T/B) SAR]]+TABL123[[#This Row],[ (S/S) SAR]]</f>
        <v/>
      </c>
      <c r="L345" s="45" t="n"/>
      <c r="M345" s="46" t="n"/>
      <c r="N345" s="46" t="n"/>
      <c r="O345" s="40" t="n"/>
      <c r="P345" s="9">
        <f>TABL123[[#This Row],[ (S/S) SAR]]-TABL123[[#This Row],[(S/S) AJD]]</f>
        <v/>
      </c>
      <c r="Q345" s="40" t="n"/>
      <c r="R345" s="9">
        <f>TABL123[[#This Row],[ (T/B) SAR]]-TABL123[[#This Row],[(T/B) AJD]]</f>
        <v/>
      </c>
      <c r="S345" s="9">
        <f>TABL123[[#This Row],[T/B-CON.]]+TABL123[[#This Row],[S/S_CON.]]</f>
        <v/>
      </c>
      <c r="T345" s="9">
        <f>TABL123[[#This Row],[(S/S) AJD]]+TABL123[[#This Row],[(T/B) AJD]]</f>
        <v/>
      </c>
      <c r="U345" s="44" t="n"/>
      <c r="V345" s="44" t="n"/>
      <c r="W345" s="9">
        <f>TABL123[[#This Row],[(A/B) AJD]]+TABL123[[#This Row],[(A/S) AJD]]</f>
        <v/>
      </c>
      <c r="X345" s="9">
        <f>TABL123[[#This Row],[( S/S+T/B) AJD]]-TABL123[[#This Row],[(A/B + A/S) AJD]]</f>
        <v/>
      </c>
      <c r="Y345" s="44" t="n"/>
      <c r="Z345" s="45" t="n"/>
      <c r="AA345" s="3">
        <f>TABL123[[#This Row],[(RESV. STORGE) AJD]]/10</f>
        <v/>
      </c>
      <c r="AB345" s="45">
        <f>IF(TRIM(Z345)="",,(Z345-Z344)/1000)</f>
        <v/>
      </c>
      <c r="AC345" s="5" t="n"/>
      <c r="AD345" s="83">
        <f>TABL123[[#This Row],[( S/S+T/B) AJD]]-(TABL123[[#This Row],[(A/B + A/S) AJD]]+TABL123[[#This Row],[(STORGE DIFF.) AJD]]+(TABL123[[#This Row],[AJD_Evaporation]])/1000)</f>
        <v/>
      </c>
      <c r="AE345" s="68" t="n"/>
      <c r="AF345" s="68" t="n"/>
      <c r="AG345" s="68" t="n"/>
      <c r="AH345" s="45" t="n"/>
      <c r="AI345" s="78" t="n"/>
      <c r="AJ345" s="78">
        <f>TABL123[[#This Row],[(A/B) AJD]]-TABL123[[#This Row],[BER_IN]]</f>
        <v/>
      </c>
      <c r="AK345" s="78" t="n"/>
      <c r="AL345" s="68" t="n"/>
      <c r="AM345" s="87" t="n"/>
      <c r="AN345" s="87">
        <f>TABL123[[#This Row],[ (RESV. STORGE) SER]]/10</f>
        <v/>
      </c>
      <c r="AO345" s="45" t="n"/>
      <c r="AP345" s="32">
        <f>TABL123[[#This Row],[(A/S) AJD]]-TABL123[[#This Row],[SER_IN]]</f>
        <v/>
      </c>
    </row>
    <row r="346" ht="18.75" customHeight="1">
      <c r="A346" s="2" t="n">
        <v>46367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TABL123[[#This Row],[ (T/B) SAR]]+TABL123[[#This Row],[ (S/S) SAR]]</f>
        <v/>
      </c>
      <c r="L346" s="41" t="n"/>
      <c r="M346" s="42" t="n"/>
      <c r="N346" s="42" t="n"/>
      <c r="O346" s="39" t="n"/>
      <c r="P346" s="9">
        <f>TABL123[[#This Row],[ (S/S) SAR]]-TABL123[[#This Row],[(S/S) AJD]]</f>
        <v/>
      </c>
      <c r="Q346" s="39" t="n"/>
      <c r="R346" s="9">
        <f>TABL123[[#This Row],[ (T/B) SAR]]-TABL123[[#This Row],[(T/B) AJD]]</f>
        <v/>
      </c>
      <c r="S346" s="9">
        <f>TABL123[[#This Row],[T/B-CON.]]+TABL123[[#This Row],[S/S_CON.]]</f>
        <v/>
      </c>
      <c r="T346" s="9">
        <f>TABL123[[#This Row],[(S/S) AJD]]+TABL123[[#This Row],[(T/B) AJD]]</f>
        <v/>
      </c>
      <c r="U346" s="41" t="n"/>
      <c r="V346" s="41" t="n"/>
      <c r="W346" s="9">
        <f>TABL123[[#This Row],[(A/B) AJD]]+TABL123[[#This Row],[(A/S) AJD]]</f>
        <v/>
      </c>
      <c r="X346" s="9">
        <f>TABL123[[#This Row],[( S/S+T/B) AJD]]-TABL123[[#This Row],[(A/B + A/S) AJD]]</f>
        <v/>
      </c>
      <c r="Y346" s="41" t="n"/>
      <c r="Z346" s="43" t="n"/>
      <c r="AA346" s="3">
        <f>TABL123[[#This Row],[(RESV. STORGE) AJD]]/10</f>
        <v/>
      </c>
      <c r="AB346" s="45">
        <f>IF(TRIM(Z346)="",,(Z346-Z345)/1000)</f>
        <v/>
      </c>
      <c r="AC346" s="5" t="n"/>
      <c r="AD346" s="83">
        <f>TABL123[[#This Row],[( S/S+T/B) AJD]]-(TABL123[[#This Row],[(A/B + A/S) AJD]]+TABL123[[#This Row],[(STORGE DIFF.) AJD]]+(TABL123[[#This Row],[AJD_Evaporation]])/1000)</f>
        <v/>
      </c>
      <c r="AE346" s="68" t="n"/>
      <c r="AF346" s="68" t="n"/>
      <c r="AG346" s="68" t="n"/>
      <c r="AH346" s="48" t="n"/>
      <c r="AI346" s="78" t="n"/>
      <c r="AJ346" s="78">
        <f>TABL123[[#This Row],[(A/B) AJD]]-TABL123[[#This Row],[BER_IN]]</f>
        <v/>
      </c>
      <c r="AK346" s="78" t="n"/>
      <c r="AL346" s="68" t="n"/>
      <c r="AM346" s="87" t="n"/>
      <c r="AN346" s="87">
        <f>TABL123[[#This Row],[ (RESV. STORGE) SER]]/10</f>
        <v/>
      </c>
      <c r="AO346" s="43" t="n"/>
      <c r="AP346" s="32">
        <f>TABL123[[#This Row],[(A/S) AJD]]-TABL123[[#This Row],[SER_IN]]</f>
        <v/>
      </c>
    </row>
    <row r="347" ht="18.75" customHeight="1">
      <c r="A347" s="2" t="n">
        <v>46368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TABL123[[#This Row],[ (T/B) SAR]]+TABL123[[#This Row],[ (S/S) SAR]]</f>
        <v/>
      </c>
      <c r="L347" s="45" t="n"/>
      <c r="M347" s="46" t="n"/>
      <c r="N347" s="46" t="n"/>
      <c r="O347" s="40" t="n"/>
      <c r="P347" s="9">
        <f>TABL123[[#This Row],[ (S/S) SAR]]-TABL123[[#This Row],[(S/S) AJD]]</f>
        <v/>
      </c>
      <c r="Q347" s="40" t="n"/>
      <c r="R347" s="9">
        <f>TABL123[[#This Row],[ (T/B) SAR]]-TABL123[[#This Row],[(T/B) AJD]]</f>
        <v/>
      </c>
      <c r="S347" s="9">
        <f>TABL123[[#This Row],[T/B-CON.]]+TABL123[[#This Row],[S/S_CON.]]</f>
        <v/>
      </c>
      <c r="T347" s="9">
        <f>TABL123[[#This Row],[(S/S) AJD]]+TABL123[[#This Row],[(T/B) AJD]]</f>
        <v/>
      </c>
      <c r="U347" s="44" t="n"/>
      <c r="V347" s="44" t="n"/>
      <c r="W347" s="9">
        <f>TABL123[[#This Row],[(A/B) AJD]]+TABL123[[#This Row],[(A/S) AJD]]</f>
        <v/>
      </c>
      <c r="X347" s="9">
        <f>TABL123[[#This Row],[( S/S+T/B) AJD]]-TABL123[[#This Row],[(A/B + A/S) AJD]]</f>
        <v/>
      </c>
      <c r="Y347" s="44" t="n"/>
      <c r="Z347" s="45" t="n"/>
      <c r="AA347" s="3">
        <f>TABL123[[#This Row],[(RESV. STORGE) AJD]]/10</f>
        <v/>
      </c>
      <c r="AB347" s="45">
        <f>IF(TRIM(Z347)="",,(Z347-Z346)/1000)</f>
        <v/>
      </c>
      <c r="AC347" s="5" t="n"/>
      <c r="AD347" s="83">
        <f>TABL123[[#This Row],[( S/S+T/B) AJD]]-(TABL123[[#This Row],[(A/B + A/S) AJD]]+TABL123[[#This Row],[(STORGE DIFF.) AJD]]+(TABL123[[#This Row],[AJD_Evaporation]])/1000)</f>
        <v/>
      </c>
      <c r="AE347" s="68" t="n"/>
      <c r="AF347" s="68" t="n"/>
      <c r="AG347" s="68" t="n"/>
      <c r="AH347" s="45" t="n"/>
      <c r="AI347" s="78" t="n"/>
      <c r="AJ347" s="78">
        <f>TABL123[[#This Row],[(A/B) AJD]]-TABL123[[#This Row],[BER_IN]]</f>
        <v/>
      </c>
      <c r="AK347" s="78" t="n"/>
      <c r="AL347" s="68" t="n"/>
      <c r="AM347" s="87" t="n"/>
      <c r="AN347" s="87">
        <f>TABL123[[#This Row],[ (RESV. STORGE) SER]]/10</f>
        <v/>
      </c>
      <c r="AO347" s="45" t="n"/>
      <c r="AP347" s="32">
        <f>TABL123[[#This Row],[(A/S) AJD]]-TABL123[[#This Row],[SER_IN]]</f>
        <v/>
      </c>
    </row>
    <row r="348" ht="18.75" customHeight="1">
      <c r="A348" s="2" t="n">
        <v>46369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TABL123[[#This Row],[ (T/B) SAR]]+TABL123[[#This Row],[ (S/S) SAR]]</f>
        <v/>
      </c>
      <c r="L348" s="41" t="n"/>
      <c r="M348" s="42" t="n"/>
      <c r="N348" s="42" t="n"/>
      <c r="O348" s="39" t="n"/>
      <c r="P348" s="9">
        <f>TABL123[[#This Row],[ (S/S) SAR]]-TABL123[[#This Row],[(S/S) AJD]]</f>
        <v/>
      </c>
      <c r="Q348" s="39" t="n"/>
      <c r="R348" s="9">
        <f>TABL123[[#This Row],[ (T/B) SAR]]-TABL123[[#This Row],[(T/B) AJD]]</f>
        <v/>
      </c>
      <c r="S348" s="9">
        <f>TABL123[[#This Row],[T/B-CON.]]+TABL123[[#This Row],[S/S_CON.]]</f>
        <v/>
      </c>
      <c r="T348" s="9">
        <f>TABL123[[#This Row],[(S/S) AJD]]+TABL123[[#This Row],[(T/B) AJD]]</f>
        <v/>
      </c>
      <c r="U348" s="41" t="n"/>
      <c r="V348" s="41" t="n"/>
      <c r="W348" s="9">
        <f>TABL123[[#This Row],[(A/B) AJD]]+TABL123[[#This Row],[(A/S) AJD]]</f>
        <v/>
      </c>
      <c r="X348" s="9">
        <f>TABL123[[#This Row],[( S/S+T/B) AJD]]-TABL123[[#This Row],[(A/B + A/S) AJD]]</f>
        <v/>
      </c>
      <c r="Y348" s="41" t="n"/>
      <c r="Z348" s="43" t="n"/>
      <c r="AA348" s="3">
        <f>TABL123[[#This Row],[(RESV. STORGE) AJD]]/10</f>
        <v/>
      </c>
      <c r="AB348" s="45">
        <f>IF(TRIM(Z348)="",,(Z348-Z347)/1000)</f>
        <v/>
      </c>
      <c r="AC348" s="5" t="n"/>
      <c r="AD348" s="83">
        <f>TABL123[[#This Row],[( S/S+T/B) AJD]]-(TABL123[[#This Row],[(A/B + A/S) AJD]]+TABL123[[#This Row],[(STORGE DIFF.) AJD]]+(TABL123[[#This Row],[AJD_Evaporation]])/1000)</f>
        <v/>
      </c>
      <c r="AE348" s="68" t="n"/>
      <c r="AF348" s="68" t="n"/>
      <c r="AG348" s="68" t="n"/>
      <c r="AH348" s="43" t="n"/>
      <c r="AI348" s="78" t="n"/>
      <c r="AJ348" s="78">
        <f>TABL123[[#This Row],[(A/B) AJD]]-TABL123[[#This Row],[BER_IN]]</f>
        <v/>
      </c>
      <c r="AK348" s="78" t="n"/>
      <c r="AL348" s="68" t="n"/>
      <c r="AM348" s="87" t="n"/>
      <c r="AN348" s="87">
        <f>TABL123[[#This Row],[ (RESV. STORGE) SER]]/10</f>
        <v/>
      </c>
      <c r="AO348" s="43" t="n"/>
      <c r="AP348" s="32">
        <f>TABL123[[#This Row],[(A/S) AJD]]-TABL123[[#This Row],[SER_IN]]</f>
        <v/>
      </c>
    </row>
    <row r="349" ht="18.75" customHeight="1">
      <c r="A349" s="2" t="n">
        <v>46370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TABL123[[#This Row],[ (T/B) SAR]]+TABL123[[#This Row],[ (S/S) SAR]]</f>
        <v/>
      </c>
      <c r="L349" s="45" t="n"/>
      <c r="M349" s="46" t="n"/>
      <c r="N349" s="46" t="n"/>
      <c r="O349" s="40" t="n"/>
      <c r="P349" s="9">
        <f>TABL123[[#This Row],[ (S/S) SAR]]-TABL123[[#This Row],[(S/S) AJD]]</f>
        <v/>
      </c>
      <c r="Q349" s="40" t="n"/>
      <c r="R349" s="9">
        <f>TABL123[[#This Row],[ (T/B) SAR]]-TABL123[[#This Row],[(T/B) AJD]]</f>
        <v/>
      </c>
      <c r="S349" s="9">
        <f>TABL123[[#This Row],[T/B-CON.]]+TABL123[[#This Row],[S/S_CON.]]</f>
        <v/>
      </c>
      <c r="T349" s="9">
        <f>TABL123[[#This Row],[(S/S) AJD]]+TABL123[[#This Row],[(T/B) AJD]]</f>
        <v/>
      </c>
      <c r="U349" s="44" t="n"/>
      <c r="V349" s="44" t="n"/>
      <c r="W349" s="9">
        <f>TABL123[[#This Row],[(A/B) AJD]]+TABL123[[#This Row],[(A/S) AJD]]</f>
        <v/>
      </c>
      <c r="X349" s="9">
        <f>TABL123[[#This Row],[( S/S+T/B) AJD]]-TABL123[[#This Row],[(A/B + A/S) AJD]]</f>
        <v/>
      </c>
      <c r="Y349" s="44" t="n"/>
      <c r="Z349" s="45" t="n"/>
      <c r="AA349" s="3">
        <f>TABL123[[#This Row],[(RESV. STORGE) AJD]]/10</f>
        <v/>
      </c>
      <c r="AB349" s="45">
        <f>IF(TRIM(Z349)="",,(Z349-Z348)/1000)</f>
        <v/>
      </c>
      <c r="AC349" s="5" t="n"/>
      <c r="AD349" s="83">
        <f>TABL123[[#This Row],[( S/S+T/B) AJD]]-(TABL123[[#This Row],[(A/B + A/S) AJD]]+TABL123[[#This Row],[(STORGE DIFF.) AJD]]+(TABL123[[#This Row],[AJD_Evaporation]])/1000)</f>
        <v/>
      </c>
      <c r="AE349" s="68" t="n"/>
      <c r="AF349" s="68" t="n"/>
      <c r="AG349" s="68" t="n"/>
      <c r="AH349" s="45" t="n"/>
      <c r="AI349" s="78" t="n"/>
      <c r="AJ349" s="78">
        <f>TABL123[[#This Row],[(A/B) AJD]]-TABL123[[#This Row],[BER_IN]]</f>
        <v/>
      </c>
      <c r="AK349" s="78" t="n"/>
      <c r="AL349" s="68" t="n"/>
      <c r="AM349" s="87" t="n"/>
      <c r="AN349" s="87">
        <f>TABL123[[#This Row],[ (RESV. STORGE) SER]]/10</f>
        <v/>
      </c>
      <c r="AO349" s="45" t="n"/>
      <c r="AP349" s="32">
        <f>TABL123[[#This Row],[(A/S) AJD]]-TABL123[[#This Row],[SER_IN]]</f>
        <v/>
      </c>
    </row>
    <row r="350" ht="18.75" customHeight="1">
      <c r="A350" s="2" t="n">
        <v>46371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TABL123[[#This Row],[ (T/B) SAR]]+TABL123[[#This Row],[ (S/S) SAR]]</f>
        <v/>
      </c>
      <c r="L350" s="41" t="n"/>
      <c r="M350" s="42" t="n"/>
      <c r="N350" s="42" t="n"/>
      <c r="O350" s="39" t="n"/>
      <c r="P350" s="9">
        <f>TABL123[[#This Row],[ (S/S) SAR]]-TABL123[[#This Row],[(S/S) AJD]]</f>
        <v/>
      </c>
      <c r="Q350" s="39" t="n"/>
      <c r="R350" s="9">
        <f>TABL123[[#This Row],[ (T/B) SAR]]-TABL123[[#This Row],[(T/B) AJD]]</f>
        <v/>
      </c>
      <c r="S350" s="9">
        <f>TABL123[[#This Row],[T/B-CON.]]+TABL123[[#This Row],[S/S_CON.]]</f>
        <v/>
      </c>
      <c r="T350" s="9">
        <f>TABL123[[#This Row],[(S/S) AJD]]+TABL123[[#This Row],[(T/B) AJD]]</f>
        <v/>
      </c>
      <c r="U350" s="41" t="n"/>
      <c r="V350" s="41" t="n"/>
      <c r="W350" s="9">
        <f>TABL123[[#This Row],[(A/B) AJD]]+TABL123[[#This Row],[(A/S) AJD]]</f>
        <v/>
      </c>
      <c r="X350" s="9">
        <f>TABL123[[#This Row],[( S/S+T/B) AJD]]-TABL123[[#This Row],[(A/B + A/S) AJD]]</f>
        <v/>
      </c>
      <c r="Y350" s="41" t="n"/>
      <c r="Z350" s="43" t="n"/>
      <c r="AA350" s="3">
        <f>TABL123[[#This Row],[(RESV. STORGE) AJD]]/10</f>
        <v/>
      </c>
      <c r="AB350" s="45">
        <f>IF(TRIM(Z350)="",,(Z350-Z349)/1000)</f>
        <v/>
      </c>
      <c r="AC350" s="5" t="n"/>
      <c r="AD350" s="83">
        <f>TABL123[[#This Row],[( S/S+T/B) AJD]]-(TABL123[[#This Row],[(A/B + A/S) AJD]]+TABL123[[#This Row],[(STORGE DIFF.) AJD]]+(TABL123[[#This Row],[AJD_Evaporation]])/1000)</f>
        <v/>
      </c>
      <c r="AE350" s="68" t="n"/>
      <c r="AF350" s="68" t="n"/>
      <c r="AG350" s="68" t="n"/>
      <c r="AH350" s="43" t="n"/>
      <c r="AI350" s="78" t="n"/>
      <c r="AJ350" s="78">
        <f>TABL123[[#This Row],[(A/B) AJD]]-TABL123[[#This Row],[BER_IN]]</f>
        <v/>
      </c>
      <c r="AK350" s="78" t="n"/>
      <c r="AL350" s="68" t="n"/>
      <c r="AM350" s="87" t="n"/>
      <c r="AN350" s="87">
        <f>TABL123[[#This Row],[ (RESV. STORGE) SER]]/10</f>
        <v/>
      </c>
      <c r="AO350" s="43" t="n"/>
      <c r="AP350" s="32">
        <f>TABL123[[#This Row],[(A/S) AJD]]-TABL123[[#This Row],[SER_IN]]</f>
        <v/>
      </c>
    </row>
    <row r="351" ht="18.75" customHeight="1">
      <c r="A351" s="2" t="n">
        <v>46372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TABL123[[#This Row],[ (T/B) SAR]]+TABL123[[#This Row],[ (S/S) SAR]]</f>
        <v/>
      </c>
      <c r="L351" s="45" t="n"/>
      <c r="M351" s="46" t="n"/>
      <c r="N351" s="46" t="n"/>
      <c r="O351" s="40" t="n"/>
      <c r="P351" s="9">
        <f>TABL123[[#This Row],[ (S/S) SAR]]-TABL123[[#This Row],[(S/S) AJD]]</f>
        <v/>
      </c>
      <c r="Q351" s="40" t="n"/>
      <c r="R351" s="9">
        <f>TABL123[[#This Row],[ (T/B) SAR]]-TABL123[[#This Row],[(T/B) AJD]]</f>
        <v/>
      </c>
      <c r="S351" s="9">
        <f>TABL123[[#This Row],[T/B-CON.]]+TABL123[[#This Row],[S/S_CON.]]</f>
        <v/>
      </c>
      <c r="T351" s="9">
        <f>TABL123[[#This Row],[(S/S) AJD]]+TABL123[[#This Row],[(T/B) AJD]]</f>
        <v/>
      </c>
      <c r="U351" s="44" t="n"/>
      <c r="V351" s="44" t="n"/>
      <c r="W351" s="9">
        <f>TABL123[[#This Row],[(A/B) AJD]]+TABL123[[#This Row],[(A/S) AJD]]</f>
        <v/>
      </c>
      <c r="X351" s="9">
        <f>TABL123[[#This Row],[( S/S+T/B) AJD]]-TABL123[[#This Row],[(A/B + A/S) AJD]]</f>
        <v/>
      </c>
      <c r="Y351" s="44" t="n"/>
      <c r="Z351" s="45" t="n"/>
      <c r="AA351" s="3">
        <f>TABL123[[#This Row],[(RESV. STORGE) AJD]]/10</f>
        <v/>
      </c>
      <c r="AB351" s="45">
        <f>IF(TRIM(Z351)="",,(Z351-Z350)/1000)</f>
        <v/>
      </c>
      <c r="AC351" s="5" t="n"/>
      <c r="AD351" s="83">
        <f>TABL123[[#This Row],[( S/S+T/B) AJD]]-(TABL123[[#This Row],[(A/B + A/S) AJD]]+TABL123[[#This Row],[(STORGE DIFF.) AJD]]+(TABL123[[#This Row],[AJD_Evaporation]])/1000)</f>
        <v/>
      </c>
      <c r="AE351" s="68" t="n"/>
      <c r="AF351" s="68" t="n"/>
      <c r="AG351" s="68" t="n"/>
      <c r="AH351" s="45" t="n"/>
      <c r="AI351" s="78" t="n"/>
      <c r="AJ351" s="78">
        <f>TABL123[[#This Row],[(A/B) AJD]]-TABL123[[#This Row],[BER_IN]]</f>
        <v/>
      </c>
      <c r="AK351" s="78" t="n"/>
      <c r="AL351" s="68" t="n"/>
      <c r="AM351" s="87" t="n"/>
      <c r="AN351" s="87">
        <f>TABL123[[#This Row],[ (RESV. STORGE) SER]]/10</f>
        <v/>
      </c>
      <c r="AO351" s="45" t="n"/>
      <c r="AP351" s="32">
        <f>TABL123[[#This Row],[(A/S) AJD]]-TABL123[[#This Row],[SER_IN]]</f>
        <v/>
      </c>
    </row>
    <row r="352" ht="18.75" customHeight="1">
      <c r="A352" s="2" t="n">
        <v>46373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TABL123[[#This Row],[ (T/B) SAR]]+TABL123[[#This Row],[ (S/S) SAR]]</f>
        <v/>
      </c>
      <c r="L352" s="41" t="n"/>
      <c r="M352" s="42" t="n"/>
      <c r="N352" s="42" t="n"/>
      <c r="O352" s="39" t="n"/>
      <c r="P352" s="9">
        <f>TABL123[[#This Row],[ (S/S) SAR]]-TABL123[[#This Row],[(S/S) AJD]]</f>
        <v/>
      </c>
      <c r="Q352" s="39" t="n"/>
      <c r="R352" s="9">
        <f>TABL123[[#This Row],[ (T/B) SAR]]-TABL123[[#This Row],[(T/B) AJD]]</f>
        <v/>
      </c>
      <c r="S352" s="9">
        <f>TABL123[[#This Row],[T/B-CON.]]+TABL123[[#This Row],[S/S_CON.]]</f>
        <v/>
      </c>
      <c r="T352" s="9">
        <f>TABL123[[#This Row],[(S/S) AJD]]+TABL123[[#This Row],[(T/B) AJD]]</f>
        <v/>
      </c>
      <c r="U352" s="41" t="n"/>
      <c r="V352" s="41" t="n"/>
      <c r="W352" s="9">
        <f>TABL123[[#This Row],[(A/B) AJD]]+TABL123[[#This Row],[(A/S) AJD]]</f>
        <v/>
      </c>
      <c r="X352" s="9">
        <f>TABL123[[#This Row],[( S/S+T/B) AJD]]-TABL123[[#This Row],[(A/B + A/S) AJD]]</f>
        <v/>
      </c>
      <c r="Y352" s="41" t="n"/>
      <c r="Z352" s="43" t="n"/>
      <c r="AA352" s="3">
        <f>TABL123[[#This Row],[(RESV. STORGE) AJD]]/10</f>
        <v/>
      </c>
      <c r="AB352" s="45">
        <f>IF(TRIM(Z352)="",,(Z352-Z351)/1000)</f>
        <v/>
      </c>
      <c r="AC352" s="5" t="n"/>
      <c r="AD352" s="83">
        <f>TABL123[[#This Row],[( S/S+T/B) AJD]]-(TABL123[[#This Row],[(A/B + A/S) AJD]]+TABL123[[#This Row],[(STORGE DIFF.) AJD]]+(TABL123[[#This Row],[AJD_Evaporation]])/1000)</f>
        <v/>
      </c>
      <c r="AE352" s="68" t="n"/>
      <c r="AF352" s="68" t="n"/>
      <c r="AG352" s="68" t="n"/>
      <c r="AH352" s="43" t="n"/>
      <c r="AI352" s="78" t="n"/>
      <c r="AJ352" s="78">
        <f>TABL123[[#This Row],[(A/B) AJD]]-TABL123[[#This Row],[BER_IN]]</f>
        <v/>
      </c>
      <c r="AK352" s="78" t="n"/>
      <c r="AL352" s="68" t="n"/>
      <c r="AM352" s="87" t="n"/>
      <c r="AN352" s="87">
        <f>TABL123[[#This Row],[ (RESV. STORGE) SER]]/10</f>
        <v/>
      </c>
      <c r="AO352" s="43" t="n"/>
      <c r="AP352" s="32">
        <f>TABL123[[#This Row],[(A/S) AJD]]-TABL123[[#This Row],[SER_IN]]</f>
        <v/>
      </c>
    </row>
    <row r="353" ht="18.75" customHeight="1">
      <c r="A353" s="2" t="n">
        <v>46374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TABL123[[#This Row],[ (T/B) SAR]]+TABL123[[#This Row],[ (S/S) SAR]]</f>
        <v/>
      </c>
      <c r="L353" s="45" t="n"/>
      <c r="M353" s="46" t="n"/>
      <c r="N353" s="46" t="n"/>
      <c r="O353" s="40" t="n"/>
      <c r="P353" s="9">
        <f>TABL123[[#This Row],[ (S/S) SAR]]-TABL123[[#This Row],[(S/S) AJD]]</f>
        <v/>
      </c>
      <c r="Q353" s="40" t="n"/>
      <c r="R353" s="9">
        <f>TABL123[[#This Row],[ (T/B) SAR]]-TABL123[[#This Row],[(T/B) AJD]]</f>
        <v/>
      </c>
      <c r="S353" s="9">
        <f>TABL123[[#This Row],[T/B-CON.]]+TABL123[[#This Row],[S/S_CON.]]</f>
        <v/>
      </c>
      <c r="T353" s="9">
        <f>TABL123[[#This Row],[(S/S) AJD]]+TABL123[[#This Row],[(T/B) AJD]]</f>
        <v/>
      </c>
      <c r="U353" s="44" t="n"/>
      <c r="V353" s="44" t="n"/>
      <c r="W353" s="9">
        <f>TABL123[[#This Row],[(A/B) AJD]]+TABL123[[#This Row],[(A/S) AJD]]</f>
        <v/>
      </c>
      <c r="X353" s="9">
        <f>TABL123[[#This Row],[( S/S+T/B) AJD]]-TABL123[[#This Row],[(A/B + A/S) AJD]]</f>
        <v/>
      </c>
      <c r="Y353" s="44" t="n"/>
      <c r="Z353" s="45" t="n"/>
      <c r="AA353" s="3">
        <f>TABL123[[#This Row],[(RESV. STORGE) AJD]]/10</f>
        <v/>
      </c>
      <c r="AB353" s="45">
        <f>IF(TRIM(Z353)="",,(Z353-Z352)/1000)</f>
        <v/>
      </c>
      <c r="AC353" s="5" t="n"/>
      <c r="AD353" s="83">
        <f>TABL123[[#This Row],[( S/S+T/B) AJD]]-(TABL123[[#This Row],[(A/B + A/S) AJD]]+TABL123[[#This Row],[(STORGE DIFF.) AJD]]+(TABL123[[#This Row],[AJD_Evaporation]])/1000)</f>
        <v/>
      </c>
      <c r="AE353" s="68" t="n"/>
      <c r="AF353" s="68" t="n"/>
      <c r="AG353" s="68" t="n"/>
      <c r="AH353" s="45" t="n"/>
      <c r="AI353" s="78" t="n"/>
      <c r="AJ353" s="78">
        <f>TABL123[[#This Row],[(A/B) AJD]]-TABL123[[#This Row],[BER_IN]]</f>
        <v/>
      </c>
      <c r="AK353" s="78" t="n"/>
      <c r="AL353" s="68" t="n"/>
      <c r="AM353" s="87" t="n"/>
      <c r="AN353" s="87">
        <f>TABL123[[#This Row],[ (RESV. STORGE) SER]]/10</f>
        <v/>
      </c>
      <c r="AO353" s="45" t="n"/>
      <c r="AP353" s="32">
        <f>TABL123[[#This Row],[(A/S) AJD]]-TABL123[[#This Row],[SER_IN]]</f>
        <v/>
      </c>
    </row>
    <row r="354" ht="18.75" customHeight="1">
      <c r="A354" s="2" t="n">
        <v>46375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TABL123[[#This Row],[ (T/B) SAR]]+TABL123[[#This Row],[ (S/S) SAR]]</f>
        <v/>
      </c>
      <c r="L354" s="41" t="n"/>
      <c r="M354" s="42" t="n"/>
      <c r="N354" s="42" t="n"/>
      <c r="O354" s="39" t="n"/>
      <c r="P354" s="9">
        <f>TABL123[[#This Row],[ (S/S) SAR]]-TABL123[[#This Row],[(S/S) AJD]]</f>
        <v/>
      </c>
      <c r="Q354" s="39" t="n"/>
      <c r="R354" s="9">
        <f>TABL123[[#This Row],[ (T/B) SAR]]-TABL123[[#This Row],[(T/B) AJD]]</f>
        <v/>
      </c>
      <c r="S354" s="9">
        <f>TABL123[[#This Row],[T/B-CON.]]+TABL123[[#This Row],[S/S_CON.]]</f>
        <v/>
      </c>
      <c r="T354" s="9">
        <f>TABL123[[#This Row],[(S/S) AJD]]+TABL123[[#This Row],[(T/B) AJD]]</f>
        <v/>
      </c>
      <c r="U354" s="41" t="n"/>
      <c r="V354" s="41" t="n"/>
      <c r="W354" s="9">
        <f>TABL123[[#This Row],[(A/B) AJD]]+TABL123[[#This Row],[(A/S) AJD]]</f>
        <v/>
      </c>
      <c r="X354" s="9">
        <f>TABL123[[#This Row],[( S/S+T/B) AJD]]-TABL123[[#This Row],[(A/B + A/S) AJD]]</f>
        <v/>
      </c>
      <c r="Y354" s="41" t="n"/>
      <c r="Z354" s="43" t="n"/>
      <c r="AA354" s="3">
        <f>TABL123[[#This Row],[(RESV. STORGE) AJD]]/10</f>
        <v/>
      </c>
      <c r="AB354" s="45">
        <f>IF(TRIM(Z354)="",,(Z354-Z353)/1000)</f>
        <v/>
      </c>
      <c r="AC354" s="5" t="n"/>
      <c r="AD354" s="83">
        <f>TABL123[[#This Row],[( S/S+T/B) AJD]]-(TABL123[[#This Row],[(A/B + A/S) AJD]]+TABL123[[#This Row],[(STORGE DIFF.) AJD]]+(TABL123[[#This Row],[AJD_Evaporation]])/1000)</f>
        <v/>
      </c>
      <c r="AE354" s="68" t="n"/>
      <c r="AF354" s="68" t="n"/>
      <c r="AG354" s="68" t="n"/>
      <c r="AH354" s="43" t="n"/>
      <c r="AI354" s="78" t="n"/>
      <c r="AJ354" s="78">
        <f>TABL123[[#This Row],[(A/B) AJD]]-TABL123[[#This Row],[BER_IN]]</f>
        <v/>
      </c>
      <c r="AK354" s="78" t="n"/>
      <c r="AL354" s="68" t="n"/>
      <c r="AM354" s="87" t="n"/>
      <c r="AN354" s="87">
        <f>TABL123[[#This Row],[ (RESV. STORGE) SER]]/10</f>
        <v/>
      </c>
      <c r="AO354" s="43" t="n"/>
      <c r="AP354" s="32">
        <f>TABL123[[#This Row],[(A/S) AJD]]-TABL123[[#This Row],[SER_IN]]</f>
        <v/>
      </c>
    </row>
    <row r="355" ht="18.75" customHeight="1">
      <c r="A355" s="2" t="n">
        <v>46376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TABL123[[#This Row],[ (T/B) SAR]]+TABL123[[#This Row],[ (S/S) SAR]]</f>
        <v/>
      </c>
      <c r="L355" s="45" t="n"/>
      <c r="M355" s="46" t="n"/>
      <c r="N355" s="46" t="n"/>
      <c r="O355" s="40" t="n"/>
      <c r="P355" s="9">
        <f>TABL123[[#This Row],[ (S/S) SAR]]-TABL123[[#This Row],[(S/S) AJD]]</f>
        <v/>
      </c>
      <c r="Q355" s="40" t="n"/>
      <c r="R355" s="9">
        <f>TABL123[[#This Row],[ (T/B) SAR]]-TABL123[[#This Row],[(T/B) AJD]]</f>
        <v/>
      </c>
      <c r="S355" s="9">
        <f>TABL123[[#This Row],[T/B-CON.]]+TABL123[[#This Row],[S/S_CON.]]</f>
        <v/>
      </c>
      <c r="T355" s="9">
        <f>TABL123[[#This Row],[(S/S) AJD]]+TABL123[[#This Row],[(T/B) AJD]]</f>
        <v/>
      </c>
      <c r="U355" s="44" t="n"/>
      <c r="V355" s="44" t="n"/>
      <c r="W355" s="9">
        <f>TABL123[[#This Row],[(A/B) AJD]]+TABL123[[#This Row],[(A/S) AJD]]</f>
        <v/>
      </c>
      <c r="X355" s="9">
        <f>TABL123[[#This Row],[( S/S+T/B) AJD]]-TABL123[[#This Row],[(A/B + A/S) AJD]]</f>
        <v/>
      </c>
      <c r="Y355" s="44" t="n"/>
      <c r="Z355" s="45" t="n"/>
      <c r="AA355" s="3">
        <f>TABL123[[#This Row],[(RESV. STORGE) AJD]]/10</f>
        <v/>
      </c>
      <c r="AB355" s="45">
        <f>IF(TRIM(Z355)="",,(Z355-Z354)/1000)</f>
        <v/>
      </c>
      <c r="AC355" s="5" t="n"/>
      <c r="AD355" s="83">
        <f>TABL123[[#This Row],[( S/S+T/B) AJD]]-(TABL123[[#This Row],[(A/B + A/S) AJD]]+TABL123[[#This Row],[(STORGE DIFF.) AJD]]+(TABL123[[#This Row],[AJD_Evaporation]])/1000)</f>
        <v/>
      </c>
      <c r="AE355" s="68" t="n"/>
      <c r="AF355" s="68" t="n"/>
      <c r="AG355" s="68" t="n"/>
      <c r="AH355" s="45" t="n"/>
      <c r="AI355" s="78" t="n"/>
      <c r="AJ355" s="78">
        <f>TABL123[[#This Row],[(A/B) AJD]]-TABL123[[#This Row],[BER_IN]]</f>
        <v/>
      </c>
      <c r="AK355" s="78" t="n"/>
      <c r="AL355" s="68" t="n"/>
      <c r="AM355" s="87" t="n"/>
      <c r="AN355" s="87">
        <f>TABL123[[#This Row],[ (RESV. STORGE) SER]]/10</f>
        <v/>
      </c>
      <c r="AO355" s="45" t="n"/>
      <c r="AP355" s="32">
        <f>TABL123[[#This Row],[(A/S) AJD]]-TABL123[[#This Row],[SER_IN]]</f>
        <v/>
      </c>
    </row>
    <row r="356" ht="18.75" customHeight="1">
      <c r="A356" s="2" t="n">
        <v>46377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TABL123[[#This Row],[ (T/B) SAR]]+TABL123[[#This Row],[ (S/S) SAR]]</f>
        <v/>
      </c>
      <c r="L356" s="41" t="n"/>
      <c r="M356" s="42" t="n"/>
      <c r="N356" s="42" t="n"/>
      <c r="O356" s="39" t="n"/>
      <c r="P356" s="9">
        <f>TABL123[[#This Row],[ (S/S) SAR]]-TABL123[[#This Row],[(S/S) AJD]]</f>
        <v/>
      </c>
      <c r="Q356" s="39" t="n"/>
      <c r="R356" s="9">
        <f>TABL123[[#This Row],[ (T/B) SAR]]-TABL123[[#This Row],[(T/B) AJD]]</f>
        <v/>
      </c>
      <c r="S356" s="9">
        <f>TABL123[[#This Row],[T/B-CON.]]+TABL123[[#This Row],[S/S_CON.]]</f>
        <v/>
      </c>
      <c r="T356" s="9">
        <f>TABL123[[#This Row],[(S/S) AJD]]+TABL123[[#This Row],[(T/B) AJD]]</f>
        <v/>
      </c>
      <c r="U356" s="41" t="n"/>
      <c r="V356" s="41" t="n"/>
      <c r="W356" s="9">
        <f>TABL123[[#This Row],[(A/B) AJD]]+TABL123[[#This Row],[(A/S) AJD]]</f>
        <v/>
      </c>
      <c r="X356" s="9">
        <f>TABL123[[#This Row],[( S/S+T/B) AJD]]-TABL123[[#This Row],[(A/B + A/S) AJD]]</f>
        <v/>
      </c>
      <c r="Y356" s="41" t="n"/>
      <c r="Z356" s="43" t="n"/>
      <c r="AA356" s="3">
        <f>TABL123[[#This Row],[(RESV. STORGE) AJD]]/10</f>
        <v/>
      </c>
      <c r="AB356" s="45">
        <f>IF(TRIM(Z356)="",,(Z356-Z355)/1000)</f>
        <v/>
      </c>
      <c r="AC356" s="5" t="n"/>
      <c r="AD356" s="83">
        <f>TABL123[[#This Row],[( S/S+T/B) AJD]]-(TABL123[[#This Row],[(A/B + A/S) AJD]]+TABL123[[#This Row],[(STORGE DIFF.) AJD]]+(TABL123[[#This Row],[AJD_Evaporation]])/1000)</f>
        <v/>
      </c>
      <c r="AE356" s="68" t="n"/>
      <c r="AF356" s="68" t="n"/>
      <c r="AG356" s="68" t="n"/>
      <c r="AH356" s="43" t="n"/>
      <c r="AI356" s="78" t="n"/>
      <c r="AJ356" s="78">
        <f>TABL123[[#This Row],[(A/B) AJD]]-TABL123[[#This Row],[BER_IN]]</f>
        <v/>
      </c>
      <c r="AK356" s="78" t="n"/>
      <c r="AL356" s="68" t="n"/>
      <c r="AM356" s="87" t="n"/>
      <c r="AN356" s="87">
        <f>TABL123[[#This Row],[ (RESV. STORGE) SER]]/10</f>
        <v/>
      </c>
      <c r="AO356" s="43" t="n"/>
      <c r="AP356" s="32">
        <f>TABL123[[#This Row],[(A/S) AJD]]-TABL123[[#This Row],[SER_IN]]</f>
        <v/>
      </c>
    </row>
    <row r="357" ht="18.75" customHeight="1">
      <c r="A357" s="2" t="n">
        <v>46378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TABL123[[#This Row],[ (T/B) SAR]]+TABL123[[#This Row],[ (S/S) SAR]]</f>
        <v/>
      </c>
      <c r="L357" s="45" t="n"/>
      <c r="M357" s="46" t="n"/>
      <c r="N357" s="46" t="n"/>
      <c r="O357" s="40" t="n"/>
      <c r="P357" s="9">
        <f>TABL123[[#This Row],[ (S/S) SAR]]-TABL123[[#This Row],[(S/S) AJD]]</f>
        <v/>
      </c>
      <c r="Q357" s="40" t="n"/>
      <c r="R357" s="9">
        <f>TABL123[[#This Row],[ (T/B) SAR]]-TABL123[[#This Row],[(T/B) AJD]]</f>
        <v/>
      </c>
      <c r="S357" s="9">
        <f>TABL123[[#This Row],[T/B-CON.]]+TABL123[[#This Row],[S/S_CON.]]</f>
        <v/>
      </c>
      <c r="T357" s="9">
        <f>TABL123[[#This Row],[(S/S) AJD]]+TABL123[[#This Row],[(T/B) AJD]]</f>
        <v/>
      </c>
      <c r="U357" s="44" t="n"/>
      <c r="V357" s="44" t="n"/>
      <c r="W357" s="9">
        <f>TABL123[[#This Row],[(A/B) AJD]]+TABL123[[#This Row],[(A/S) AJD]]</f>
        <v/>
      </c>
      <c r="X357" s="9">
        <f>TABL123[[#This Row],[( S/S+T/B) AJD]]-TABL123[[#This Row],[(A/B + A/S) AJD]]</f>
        <v/>
      </c>
      <c r="Y357" s="44" t="n"/>
      <c r="Z357" s="45" t="n"/>
      <c r="AA357" s="3">
        <f>TABL123[[#This Row],[(RESV. STORGE) AJD]]/10</f>
        <v/>
      </c>
      <c r="AB357" s="45">
        <f>IF(TRIM(Z357)="",,(Z357-Z356)/1000)</f>
        <v/>
      </c>
      <c r="AC357" s="5" t="n"/>
      <c r="AD357" s="83">
        <f>TABL123[[#This Row],[( S/S+T/B) AJD]]-(TABL123[[#This Row],[(A/B + A/S) AJD]]+TABL123[[#This Row],[(STORGE DIFF.) AJD]]+(TABL123[[#This Row],[AJD_Evaporation]])/1000)</f>
        <v/>
      </c>
      <c r="AE357" s="68" t="n"/>
      <c r="AF357" s="68" t="n"/>
      <c r="AG357" s="68" t="n"/>
      <c r="AH357" s="45" t="n"/>
      <c r="AI357" s="78" t="n"/>
      <c r="AJ357" s="78">
        <f>TABL123[[#This Row],[(A/B) AJD]]-TABL123[[#This Row],[BER_IN]]</f>
        <v/>
      </c>
      <c r="AK357" s="78" t="n"/>
      <c r="AL357" s="68" t="n"/>
      <c r="AM357" s="87" t="n"/>
      <c r="AN357" s="87">
        <f>TABL123[[#This Row],[ (RESV. STORGE) SER]]/10</f>
        <v/>
      </c>
      <c r="AO357" s="45" t="n"/>
      <c r="AP357" s="32">
        <f>TABL123[[#This Row],[(A/S) AJD]]-TABL123[[#This Row],[SER_IN]]</f>
        <v/>
      </c>
    </row>
    <row r="358" ht="18.75" customHeight="1">
      <c r="A358" s="2" t="n">
        <v>46379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TABL123[[#This Row],[ (T/B) SAR]]+TABL123[[#This Row],[ (S/S) SAR]]</f>
        <v/>
      </c>
      <c r="L358" s="41" t="n"/>
      <c r="M358" s="42" t="n"/>
      <c r="N358" s="42" t="n"/>
      <c r="O358" s="39" t="n"/>
      <c r="P358" s="9">
        <f>TABL123[[#This Row],[ (S/S) SAR]]-TABL123[[#This Row],[(S/S) AJD]]</f>
        <v/>
      </c>
      <c r="Q358" s="39" t="n"/>
      <c r="R358" s="9">
        <f>TABL123[[#This Row],[ (T/B) SAR]]-TABL123[[#This Row],[(T/B) AJD]]</f>
        <v/>
      </c>
      <c r="S358" s="9">
        <f>TABL123[[#This Row],[T/B-CON.]]+TABL123[[#This Row],[S/S_CON.]]</f>
        <v/>
      </c>
      <c r="T358" s="9">
        <f>TABL123[[#This Row],[(S/S) AJD]]+TABL123[[#This Row],[(T/B) AJD]]</f>
        <v/>
      </c>
      <c r="U358" s="41" t="n"/>
      <c r="V358" s="41" t="n"/>
      <c r="W358" s="9">
        <f>TABL123[[#This Row],[(A/B) AJD]]+TABL123[[#This Row],[(A/S) AJD]]</f>
        <v/>
      </c>
      <c r="X358" s="9">
        <f>TABL123[[#This Row],[( S/S+T/B) AJD]]-TABL123[[#This Row],[(A/B + A/S) AJD]]</f>
        <v/>
      </c>
      <c r="Y358" s="41" t="n"/>
      <c r="Z358" s="43" t="n"/>
      <c r="AA358" s="3">
        <f>TABL123[[#This Row],[(RESV. STORGE) AJD]]/10</f>
        <v/>
      </c>
      <c r="AB358" s="45">
        <f>IF(TRIM(Z358)="",,(Z358-Z357)/1000)</f>
        <v/>
      </c>
      <c r="AC358" s="5" t="n"/>
      <c r="AD358" s="83">
        <f>TABL123[[#This Row],[( S/S+T/B) AJD]]-(TABL123[[#This Row],[(A/B + A/S) AJD]]+TABL123[[#This Row],[(STORGE DIFF.) AJD]]+(TABL123[[#This Row],[AJD_Evaporation]])/1000)</f>
        <v/>
      </c>
      <c r="AE358" s="68" t="n"/>
      <c r="AF358" s="68" t="n"/>
      <c r="AG358" s="68" t="n"/>
      <c r="AH358" s="43" t="n"/>
      <c r="AI358" s="78" t="n"/>
      <c r="AJ358" s="78">
        <f>TABL123[[#This Row],[(A/B) AJD]]-TABL123[[#This Row],[BER_IN]]</f>
        <v/>
      </c>
      <c r="AK358" s="78" t="n"/>
      <c r="AL358" s="68" t="n"/>
      <c r="AM358" s="87" t="n"/>
      <c r="AN358" s="87">
        <f>TABL123[[#This Row],[ (RESV. STORGE) SER]]/10</f>
        <v/>
      </c>
      <c r="AO358" s="43" t="n"/>
      <c r="AP358" s="32">
        <f>TABL123[[#This Row],[(A/S) AJD]]-TABL123[[#This Row],[SER_IN]]</f>
        <v/>
      </c>
    </row>
    <row r="359" ht="18.75" customHeight="1">
      <c r="A359" s="2" t="n">
        <v>46380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TABL123[[#This Row],[ (T/B) SAR]]+TABL123[[#This Row],[ (S/S) SAR]]</f>
        <v/>
      </c>
      <c r="L359" s="45" t="n"/>
      <c r="M359" s="46" t="n"/>
      <c r="N359" s="46" t="n"/>
      <c r="O359" s="40" t="n"/>
      <c r="P359" s="9">
        <f>TABL123[[#This Row],[ (S/S) SAR]]-TABL123[[#This Row],[(S/S) AJD]]</f>
        <v/>
      </c>
      <c r="Q359" s="40" t="n"/>
      <c r="R359" s="9">
        <f>TABL123[[#This Row],[ (T/B) SAR]]-TABL123[[#This Row],[(T/B) AJD]]</f>
        <v/>
      </c>
      <c r="S359" s="9">
        <f>TABL123[[#This Row],[T/B-CON.]]+TABL123[[#This Row],[S/S_CON.]]</f>
        <v/>
      </c>
      <c r="T359" s="9">
        <f>TABL123[[#This Row],[(S/S) AJD]]+TABL123[[#This Row],[(T/B) AJD]]</f>
        <v/>
      </c>
      <c r="U359" s="44" t="n"/>
      <c r="V359" s="44" t="n"/>
      <c r="W359" s="9">
        <f>TABL123[[#This Row],[(A/B) AJD]]+TABL123[[#This Row],[(A/S) AJD]]</f>
        <v/>
      </c>
      <c r="X359" s="9">
        <f>TABL123[[#This Row],[( S/S+T/B) AJD]]-TABL123[[#This Row],[(A/B + A/S) AJD]]</f>
        <v/>
      </c>
      <c r="Y359" s="44" t="n"/>
      <c r="Z359" s="45" t="n"/>
      <c r="AA359" s="3">
        <f>TABL123[[#This Row],[(RESV. STORGE) AJD]]/10</f>
        <v/>
      </c>
      <c r="AB359" s="45">
        <f>IF(TRIM(Z359)="",,(Z359-Z358)/1000)</f>
        <v/>
      </c>
      <c r="AC359" s="5" t="n"/>
      <c r="AD359" s="83">
        <f>TABL123[[#This Row],[( S/S+T/B) AJD]]-(TABL123[[#This Row],[(A/B + A/S) AJD]]+TABL123[[#This Row],[(STORGE DIFF.) AJD]]+(TABL123[[#This Row],[AJD_Evaporation]])/1000)</f>
        <v/>
      </c>
      <c r="AE359" s="68" t="n"/>
      <c r="AF359" s="68" t="n"/>
      <c r="AG359" s="68" t="n"/>
      <c r="AH359" s="45" t="n"/>
      <c r="AI359" s="78" t="n"/>
      <c r="AJ359" s="78">
        <f>TABL123[[#This Row],[(A/B) AJD]]-TABL123[[#This Row],[BER_IN]]</f>
        <v/>
      </c>
      <c r="AK359" s="78" t="n"/>
      <c r="AL359" s="68" t="n"/>
      <c r="AM359" s="87" t="n"/>
      <c r="AN359" s="87">
        <f>TABL123[[#This Row],[ (RESV. STORGE) SER]]/10</f>
        <v/>
      </c>
      <c r="AO359" s="45" t="n"/>
      <c r="AP359" s="32">
        <f>TABL123[[#This Row],[(A/S) AJD]]-TABL123[[#This Row],[SER_IN]]</f>
        <v/>
      </c>
    </row>
    <row r="360" ht="18.75" customHeight="1">
      <c r="A360" s="2" t="n">
        <v>46381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TABL123[[#This Row],[ (T/B) SAR]]+TABL123[[#This Row],[ (S/S) SAR]]</f>
        <v/>
      </c>
      <c r="L360" s="41" t="n"/>
      <c r="M360" s="42" t="n"/>
      <c r="N360" s="42" t="n"/>
      <c r="O360" s="39" t="n"/>
      <c r="P360" s="9">
        <f>TABL123[[#This Row],[ (S/S) SAR]]-TABL123[[#This Row],[(S/S) AJD]]</f>
        <v/>
      </c>
      <c r="Q360" s="39" t="n"/>
      <c r="R360" s="9">
        <f>TABL123[[#This Row],[ (T/B) SAR]]-TABL123[[#This Row],[(T/B) AJD]]</f>
        <v/>
      </c>
      <c r="S360" s="9">
        <f>TABL123[[#This Row],[T/B-CON.]]+TABL123[[#This Row],[S/S_CON.]]</f>
        <v/>
      </c>
      <c r="T360" s="9">
        <f>TABL123[[#This Row],[(S/S) AJD]]+TABL123[[#This Row],[(T/B) AJD]]</f>
        <v/>
      </c>
      <c r="U360" s="41" t="n"/>
      <c r="V360" s="41" t="n"/>
      <c r="W360" s="9">
        <f>TABL123[[#This Row],[(A/B) AJD]]+TABL123[[#This Row],[(A/S) AJD]]</f>
        <v/>
      </c>
      <c r="X360" s="9">
        <f>TABL123[[#This Row],[( S/S+T/B) AJD]]-TABL123[[#This Row],[(A/B + A/S) AJD]]</f>
        <v/>
      </c>
      <c r="Y360" s="41" t="n"/>
      <c r="Z360" s="43" t="n"/>
      <c r="AA360" s="3">
        <f>TABL123[[#This Row],[(RESV. STORGE) AJD]]/10</f>
        <v/>
      </c>
      <c r="AB360" s="45">
        <f>IF(TRIM(Z360)="",,(Z360-Z359)/1000)</f>
        <v/>
      </c>
      <c r="AC360" s="5" t="n"/>
      <c r="AD360" s="83">
        <f>TABL123[[#This Row],[( S/S+T/B) AJD]]-(TABL123[[#This Row],[(A/B + A/S) AJD]]+TABL123[[#This Row],[(STORGE DIFF.) AJD]]+(TABL123[[#This Row],[AJD_Evaporation]])/1000)</f>
        <v/>
      </c>
      <c r="AE360" s="68" t="n"/>
      <c r="AF360" s="68" t="n"/>
      <c r="AG360" s="68" t="n"/>
      <c r="AH360" s="43" t="n"/>
      <c r="AI360" s="78" t="n"/>
      <c r="AJ360" s="78">
        <f>TABL123[[#This Row],[(A/B) AJD]]-TABL123[[#This Row],[BER_IN]]</f>
        <v/>
      </c>
      <c r="AK360" s="78" t="n"/>
      <c r="AL360" s="68" t="n"/>
      <c r="AM360" s="87" t="n"/>
      <c r="AN360" s="87">
        <f>TABL123[[#This Row],[ (RESV. STORGE) SER]]/10</f>
        <v/>
      </c>
      <c r="AO360" s="43" t="n"/>
      <c r="AP360" s="32">
        <f>TABL123[[#This Row],[(A/S) AJD]]-TABL123[[#This Row],[SER_IN]]</f>
        <v/>
      </c>
    </row>
    <row r="361" ht="18.75" customHeight="1">
      <c r="A361" s="2" t="n">
        <v>46382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TABL123[[#This Row],[ (T/B) SAR]]+TABL123[[#This Row],[ (S/S) SAR]]</f>
        <v/>
      </c>
      <c r="L361" s="45" t="n"/>
      <c r="M361" s="46" t="n"/>
      <c r="N361" s="46" t="n"/>
      <c r="O361" s="40" t="n"/>
      <c r="P361" s="9">
        <f>TABL123[[#This Row],[ (S/S) SAR]]-TABL123[[#This Row],[(S/S) AJD]]</f>
        <v/>
      </c>
      <c r="Q361" s="40" t="n"/>
      <c r="R361" s="9">
        <f>TABL123[[#This Row],[ (T/B) SAR]]-TABL123[[#This Row],[(T/B) AJD]]</f>
        <v/>
      </c>
      <c r="S361" s="9">
        <f>TABL123[[#This Row],[T/B-CON.]]+TABL123[[#This Row],[S/S_CON.]]</f>
        <v/>
      </c>
      <c r="T361" s="9">
        <f>TABL123[[#This Row],[(S/S) AJD]]+TABL123[[#This Row],[(T/B) AJD]]</f>
        <v/>
      </c>
      <c r="U361" s="44" t="n"/>
      <c r="V361" s="44" t="n"/>
      <c r="W361" s="9">
        <f>TABL123[[#This Row],[(A/B) AJD]]+TABL123[[#This Row],[(A/S) AJD]]</f>
        <v/>
      </c>
      <c r="X361" s="9">
        <f>TABL123[[#This Row],[( S/S+T/B) AJD]]-TABL123[[#This Row],[(A/B + A/S) AJD]]</f>
        <v/>
      </c>
      <c r="Y361" s="44" t="n"/>
      <c r="Z361" s="45" t="n"/>
      <c r="AA361" s="3">
        <f>TABL123[[#This Row],[(RESV. STORGE) AJD]]/10</f>
        <v/>
      </c>
      <c r="AB361" s="45">
        <f>IF(TRIM(Z361)="",,(Z361-Z360)/1000)</f>
        <v/>
      </c>
      <c r="AC361" s="5" t="n"/>
      <c r="AD361" s="83">
        <f>TABL123[[#This Row],[( S/S+T/B) AJD]]-(TABL123[[#This Row],[(A/B + A/S) AJD]]+TABL123[[#This Row],[(STORGE DIFF.) AJD]]+(TABL123[[#This Row],[AJD_Evaporation]])/1000)</f>
        <v/>
      </c>
      <c r="AE361" s="68" t="n"/>
      <c r="AF361" s="68" t="n"/>
      <c r="AG361" s="68" t="n"/>
      <c r="AH361" s="45" t="n"/>
      <c r="AI361" s="78" t="n"/>
      <c r="AJ361" s="78">
        <f>TABL123[[#This Row],[(A/B) AJD]]-TABL123[[#This Row],[BER_IN]]</f>
        <v/>
      </c>
      <c r="AK361" s="78" t="n"/>
      <c r="AL361" s="68" t="n"/>
      <c r="AM361" s="87" t="n"/>
      <c r="AN361" s="87">
        <f>TABL123[[#This Row],[ (RESV. STORGE) SER]]/10</f>
        <v/>
      </c>
      <c r="AO361" s="45" t="n"/>
      <c r="AP361" s="32">
        <f>TABL123[[#This Row],[(A/S) AJD]]-TABL123[[#This Row],[SER_IN]]</f>
        <v/>
      </c>
    </row>
    <row r="362" ht="18.75" customHeight="1">
      <c r="A362" s="2" t="n">
        <v>46383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TABL123[[#This Row],[ (T/B) SAR]]+TABL123[[#This Row],[ (S/S) SAR]]</f>
        <v/>
      </c>
      <c r="L362" s="41" t="n"/>
      <c r="M362" s="42" t="n"/>
      <c r="N362" s="42" t="n"/>
      <c r="O362" s="39" t="n"/>
      <c r="P362" s="9">
        <f>TABL123[[#This Row],[ (S/S) SAR]]-TABL123[[#This Row],[(S/S) AJD]]</f>
        <v/>
      </c>
      <c r="Q362" s="39" t="n"/>
      <c r="R362" s="9">
        <f>TABL123[[#This Row],[ (T/B) SAR]]-TABL123[[#This Row],[(T/B) AJD]]</f>
        <v/>
      </c>
      <c r="S362" s="9">
        <f>TABL123[[#This Row],[T/B-CON.]]+TABL123[[#This Row],[S/S_CON.]]</f>
        <v/>
      </c>
      <c r="T362" s="9">
        <f>TABL123[[#This Row],[(S/S) AJD]]+TABL123[[#This Row],[(T/B) AJD]]</f>
        <v/>
      </c>
      <c r="U362" s="41" t="n"/>
      <c r="V362" s="41" t="n"/>
      <c r="W362" s="9">
        <f>TABL123[[#This Row],[(A/B) AJD]]+TABL123[[#This Row],[(A/S) AJD]]</f>
        <v/>
      </c>
      <c r="X362" s="9">
        <f>TABL123[[#This Row],[( S/S+T/B) AJD]]-TABL123[[#This Row],[(A/B + A/S) AJD]]</f>
        <v/>
      </c>
      <c r="Y362" s="41" t="n"/>
      <c r="Z362" s="43" t="n"/>
      <c r="AA362" s="3">
        <f>TABL123[[#This Row],[(RESV. STORGE) AJD]]/10</f>
        <v/>
      </c>
      <c r="AB362" s="45">
        <f>IF(TRIM(Z362)="",,(Z362-Z361)/1000)</f>
        <v/>
      </c>
      <c r="AC362" s="5" t="n"/>
      <c r="AD362" s="83">
        <f>TABL123[[#This Row],[( S/S+T/B) AJD]]-(TABL123[[#This Row],[(A/B + A/S) AJD]]+TABL123[[#This Row],[(STORGE DIFF.) AJD]]+(TABL123[[#This Row],[AJD_Evaporation]])/1000)</f>
        <v/>
      </c>
      <c r="AE362" s="68" t="n"/>
      <c r="AF362" s="68" t="n"/>
      <c r="AG362" s="68" t="n"/>
      <c r="AH362" s="43" t="n"/>
      <c r="AI362" s="78" t="n"/>
      <c r="AJ362" s="78">
        <f>TABL123[[#This Row],[(A/B) AJD]]-TABL123[[#This Row],[BER_IN]]</f>
        <v/>
      </c>
      <c r="AK362" s="78" t="n"/>
      <c r="AL362" s="68" t="n"/>
      <c r="AM362" s="87" t="n"/>
      <c r="AN362" s="87">
        <f>TABL123[[#This Row],[ (RESV. STORGE) SER]]/10</f>
        <v/>
      </c>
      <c r="AO362" s="43" t="n"/>
      <c r="AP362" s="32">
        <f>TABL123[[#This Row],[(A/S) AJD]]-TABL123[[#This Row],[SER_IN]]</f>
        <v/>
      </c>
    </row>
    <row r="363" ht="18.75" customHeight="1">
      <c r="A363" s="2" t="n">
        <v>46384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TABL123[[#This Row],[ (T/B) SAR]]+TABL123[[#This Row],[ (S/S) SAR]]</f>
        <v/>
      </c>
      <c r="L363" s="45" t="n"/>
      <c r="M363" s="46" t="n"/>
      <c r="N363" s="46" t="n"/>
      <c r="O363" s="40" t="n"/>
      <c r="P363" s="9">
        <f>TABL123[[#This Row],[ (S/S) SAR]]-TABL123[[#This Row],[(S/S) AJD]]</f>
        <v/>
      </c>
      <c r="Q363" s="40" t="n"/>
      <c r="R363" s="9">
        <f>TABL123[[#This Row],[ (T/B) SAR]]-TABL123[[#This Row],[(T/B) AJD]]</f>
        <v/>
      </c>
      <c r="S363" s="9">
        <f>TABL123[[#This Row],[T/B-CON.]]+TABL123[[#This Row],[S/S_CON.]]</f>
        <v/>
      </c>
      <c r="T363" s="9">
        <f>TABL123[[#This Row],[(S/S) AJD]]+TABL123[[#This Row],[(T/B) AJD]]</f>
        <v/>
      </c>
      <c r="U363" s="44" t="n"/>
      <c r="V363" s="44" t="n"/>
      <c r="W363" s="9">
        <f>TABL123[[#This Row],[(A/B) AJD]]+TABL123[[#This Row],[(A/S) AJD]]</f>
        <v/>
      </c>
      <c r="X363" s="9">
        <f>TABL123[[#This Row],[( S/S+T/B) AJD]]-TABL123[[#This Row],[(A/B + A/S) AJD]]</f>
        <v/>
      </c>
      <c r="Y363" s="44" t="n"/>
      <c r="Z363" s="45" t="n"/>
      <c r="AA363" s="3">
        <f>TABL123[[#This Row],[(RESV. STORGE) AJD]]/10</f>
        <v/>
      </c>
      <c r="AB363" s="45">
        <f>IF(TRIM(Z363)="",,(Z363-Z362)/1000)</f>
        <v/>
      </c>
      <c r="AC363" s="5" t="n"/>
      <c r="AD363" s="83">
        <f>TABL123[[#This Row],[( S/S+T/B) AJD]]-(TABL123[[#This Row],[(A/B + A/S) AJD]]+TABL123[[#This Row],[(STORGE DIFF.) AJD]]+(TABL123[[#This Row],[AJD_Evaporation]])/1000)</f>
        <v/>
      </c>
      <c r="AE363" s="68" t="n"/>
      <c r="AF363" s="68" t="n"/>
      <c r="AG363" s="68" t="n"/>
      <c r="AH363" s="45" t="n"/>
      <c r="AI363" s="78" t="n"/>
      <c r="AJ363" s="78">
        <f>TABL123[[#This Row],[(A/B) AJD]]-TABL123[[#This Row],[BER_IN]]</f>
        <v/>
      </c>
      <c r="AK363" s="78" t="n"/>
      <c r="AL363" s="68" t="n"/>
      <c r="AM363" s="87" t="n"/>
      <c r="AN363" s="87">
        <f>TABL123[[#This Row],[ (RESV. STORGE) SER]]/10</f>
        <v/>
      </c>
      <c r="AO363" s="45" t="n"/>
      <c r="AP363" s="32">
        <f>TABL123[[#This Row],[(A/S) AJD]]-TABL123[[#This Row],[SER_IN]]</f>
        <v/>
      </c>
    </row>
    <row r="364" ht="18.75" customHeight="1">
      <c r="A364" s="2" t="n">
        <v>46385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TABL123[[#This Row],[ (T/B) SAR]]+TABL123[[#This Row],[ (S/S) SAR]]</f>
        <v/>
      </c>
      <c r="L364" s="41" t="n"/>
      <c r="M364" s="42" t="n"/>
      <c r="N364" s="42" t="n"/>
      <c r="O364" s="39" t="n"/>
      <c r="P364" s="9">
        <f>TABL123[[#This Row],[ (S/S) SAR]]-TABL123[[#This Row],[(S/S) AJD]]</f>
        <v/>
      </c>
      <c r="Q364" s="39" t="n"/>
      <c r="R364" s="9">
        <f>TABL123[[#This Row],[ (T/B) SAR]]-TABL123[[#This Row],[(T/B) AJD]]</f>
        <v/>
      </c>
      <c r="S364" s="9">
        <f>TABL123[[#This Row],[T/B-CON.]]+TABL123[[#This Row],[S/S_CON.]]</f>
        <v/>
      </c>
      <c r="T364" s="9">
        <f>TABL123[[#This Row],[(S/S) AJD]]+TABL123[[#This Row],[(T/B) AJD]]</f>
        <v/>
      </c>
      <c r="U364" s="41" t="n"/>
      <c r="V364" s="41" t="n"/>
      <c r="W364" s="9">
        <f>TABL123[[#This Row],[(A/B) AJD]]+TABL123[[#This Row],[(A/S) AJD]]</f>
        <v/>
      </c>
      <c r="X364" s="9">
        <f>TABL123[[#This Row],[( S/S+T/B) AJD]]-TABL123[[#This Row],[(A/B + A/S) AJD]]</f>
        <v/>
      </c>
      <c r="Y364" s="41" t="n"/>
      <c r="Z364" s="43" t="n"/>
      <c r="AA364" s="3">
        <f>TABL123[[#This Row],[(RESV. STORGE) AJD]]/10</f>
        <v/>
      </c>
      <c r="AB364" s="45">
        <f>IF(TRIM(Z364)="",,(Z364-Z363)/1000)</f>
        <v/>
      </c>
      <c r="AC364" s="5" t="n"/>
      <c r="AD364" s="83">
        <f>TABL123[[#This Row],[( S/S+T/B) AJD]]-(TABL123[[#This Row],[(A/B + A/S) AJD]]+TABL123[[#This Row],[(STORGE DIFF.) AJD]]+(TABL123[[#This Row],[AJD_Evaporation]])/1000)</f>
        <v/>
      </c>
      <c r="AE364" s="68" t="n"/>
      <c r="AF364" s="68" t="n"/>
      <c r="AG364" s="68" t="n"/>
      <c r="AH364" s="43" t="n"/>
      <c r="AI364" s="78" t="n"/>
      <c r="AJ364" s="78">
        <f>TABL123[[#This Row],[(A/B) AJD]]-TABL123[[#This Row],[BER_IN]]</f>
        <v/>
      </c>
      <c r="AK364" s="78" t="n"/>
      <c r="AL364" s="68" t="n"/>
      <c r="AM364" s="87" t="n"/>
      <c r="AN364" s="87">
        <f>TABL123[[#This Row],[ (RESV. STORGE) SER]]/10</f>
        <v/>
      </c>
      <c r="AO364" s="43" t="n"/>
      <c r="AP364" s="32">
        <f>TABL123[[#This Row],[(A/S) AJD]]-TABL123[[#This Row],[SER_IN]]</f>
        <v/>
      </c>
    </row>
    <row r="365" ht="18.75" customHeight="1">
      <c r="A365" s="2" t="n">
        <v>46386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TABL123[[#This Row],[ (T/B) SAR]]+TABL123[[#This Row],[ (S/S) SAR]]</f>
        <v/>
      </c>
      <c r="L365" s="45" t="n"/>
      <c r="M365" s="46" t="n"/>
      <c r="N365" s="46" t="n"/>
      <c r="O365" s="40" t="n"/>
      <c r="P365" s="9">
        <f>TABL123[[#This Row],[ (S/S) SAR]]-TABL123[[#This Row],[(S/S) AJD]]</f>
        <v/>
      </c>
      <c r="Q365" s="40" t="n"/>
      <c r="R365" s="9">
        <f>TABL123[[#This Row],[ (T/B) SAR]]-TABL123[[#This Row],[(T/B) AJD]]</f>
        <v/>
      </c>
      <c r="S365" s="9">
        <f>TABL123[[#This Row],[T/B-CON.]]+TABL123[[#This Row],[S/S_CON.]]</f>
        <v/>
      </c>
      <c r="T365" s="9">
        <f>TABL123[[#This Row],[(S/S) AJD]]+TABL123[[#This Row],[(T/B) AJD]]</f>
        <v/>
      </c>
      <c r="U365" s="44" t="n"/>
      <c r="V365" s="44" t="n"/>
      <c r="W365" s="9">
        <f>TABL123[[#This Row],[(A/B) AJD]]+TABL123[[#This Row],[(A/S) AJD]]</f>
        <v/>
      </c>
      <c r="X365" s="9">
        <f>TABL123[[#This Row],[( S/S+T/B) AJD]]-TABL123[[#This Row],[(A/B + A/S) AJD]]</f>
        <v/>
      </c>
      <c r="Y365" s="44" t="n"/>
      <c r="Z365" s="45" t="n"/>
      <c r="AA365" s="3">
        <f>TABL123[[#This Row],[(RESV. STORGE) AJD]]/10</f>
        <v/>
      </c>
      <c r="AB365" s="45">
        <f>IF(TRIM(Z365)="",,(Z365-Z364)/1000)</f>
        <v/>
      </c>
      <c r="AC365" s="5" t="n"/>
      <c r="AD365" s="83">
        <f>TABL123[[#This Row],[( S/S+T/B) AJD]]-(TABL123[[#This Row],[(A/B + A/S) AJD]]+TABL123[[#This Row],[(STORGE DIFF.) AJD]]+(TABL123[[#This Row],[AJD_Evaporation]])/1000)</f>
        <v/>
      </c>
      <c r="AE365" s="68" t="n"/>
      <c r="AF365" s="68" t="n"/>
      <c r="AG365" s="68" t="n"/>
      <c r="AH365" s="45" t="n"/>
      <c r="AI365" s="78" t="n"/>
      <c r="AJ365" s="78">
        <f>TABL123[[#This Row],[(A/B) AJD]]-TABL123[[#This Row],[BER_IN]]</f>
        <v/>
      </c>
      <c r="AK365" s="78" t="n"/>
      <c r="AL365" s="68" t="n"/>
      <c r="AM365" s="87" t="n"/>
      <c r="AN365" s="87">
        <f>TABL123[[#This Row],[ (RESV. STORGE) SER]]/10</f>
        <v/>
      </c>
      <c r="AO365" s="45" t="n"/>
      <c r="AP365" s="32">
        <f>TABL123[[#This Row],[(A/S) AJD]]-TABL123[[#This Row],[SER_IN]]</f>
        <v/>
      </c>
    </row>
    <row r="366" ht="18.75" customHeight="1">
      <c r="A366" s="2" t="n">
        <v>46387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TABL123[[#This Row],[ (T/B) SAR]]+TABL123[[#This Row],[ (S/S) SAR]]</f>
        <v/>
      </c>
      <c r="L366" s="41" t="n"/>
      <c r="M366" s="42" t="n"/>
      <c r="N366" s="42" t="n"/>
      <c r="O366" s="39" t="n"/>
      <c r="P366" s="19">
        <f>TABL123[[#This Row],[ (S/S) SAR]]-TABL123[[#This Row],[(S/S) AJD]]</f>
        <v/>
      </c>
      <c r="Q366" s="39" t="n"/>
      <c r="R366" s="19">
        <f>TABL123[[#This Row],[ (T/B) SAR]]-TABL123[[#This Row],[(T/B) AJD]]</f>
        <v/>
      </c>
      <c r="S366" s="19">
        <f>TABL123[[#This Row],[T/B-CON.]]+TABL123[[#This Row],[S/S_CON.]]</f>
        <v/>
      </c>
      <c r="T366" s="19">
        <f>TABL123[[#This Row],[(S/S) AJD]]+TABL123[[#This Row],[(T/B) AJD]]</f>
        <v/>
      </c>
      <c r="U366" s="41" t="n"/>
      <c r="V366" s="41" t="n"/>
      <c r="W366" s="19">
        <f>TABL123[[#This Row],[(A/B) AJD]]+TABL123[[#This Row],[(A/S) AJD]]</f>
        <v/>
      </c>
      <c r="X366" s="19">
        <f>TABL123[[#This Row],[( S/S+T/B) AJD]]-TABL123[[#This Row],[(A/B + A/S) AJD]]</f>
        <v/>
      </c>
      <c r="Y366" s="41" t="n"/>
      <c r="Z366" s="43" t="n"/>
      <c r="AA366" s="3">
        <f>TABL123[[#This Row],[(RESV. STORGE) AJD]]/10</f>
        <v/>
      </c>
      <c r="AB366" s="45">
        <f>IF(TRIM(Z366)="",,(Z366-Z365)/1000)</f>
        <v/>
      </c>
      <c r="AC366" s="5" t="n"/>
      <c r="AD366" s="54">
        <f>TABL123[[#This Row],[( S/S+T/B) AJD]]-(TABL123[[#This Row],[(A/B + A/S) AJD]]+TABL123[[#This Row],[(STORGE DIFF.) AJD]]+(TABL123[[#This Row],[AJD_Evaporation]])/1000)</f>
        <v/>
      </c>
      <c r="AE366" s="82" t="n"/>
      <c r="AF366" s="82" t="n"/>
      <c r="AG366" s="82" t="n"/>
      <c r="AH366" s="43" t="n"/>
      <c r="AI366" s="80" t="n"/>
      <c r="AJ366" s="80">
        <f>TABL123[[#This Row],[(A/B) AJD]]-TABL123[[#This Row],[BER_IN]]</f>
        <v/>
      </c>
      <c r="AK366" s="80" t="n"/>
      <c r="AL366" s="82" t="n"/>
      <c r="AM366" s="89" t="n"/>
      <c r="AN366" s="89">
        <f>TABL123[[#This Row],[ (RESV. STORGE) SER]]/10</f>
        <v/>
      </c>
      <c r="AO366" s="43" t="n"/>
      <c r="AP366" s="32">
        <f>TABL123[[#This Row],[(A/S) AJD]]-TABL123[[#This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9"/>
    <col width="9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 ht="18.75" customHeight="1">
      <c r="A2" s="2" t="n">
        <v>46388</v>
      </c>
      <c r="B2" s="41" t="n"/>
      <c r="C2" s="41" t="n"/>
      <c r="D2" s="41" t="n"/>
      <c r="E2" s="41" t="n"/>
      <c r="F2" s="41" t="n"/>
      <c r="G2" s="39" t="n"/>
      <c r="H2" s="41">
        <f>103-F2</f>
        <v/>
      </c>
      <c r="I2" s="39" t="n"/>
      <c r="J2" s="39" t="n"/>
      <c r="K2" s="28">
        <f>TABL1234[[#This Row],[ (T/B) SAR]]+TABL1234[[#This Row],[ (S/S) SAR]]</f>
        <v/>
      </c>
      <c r="L2" s="41" t="n"/>
      <c r="M2" s="42" t="n"/>
      <c r="N2" s="42" t="n"/>
      <c r="O2" s="39" t="n"/>
      <c r="P2" s="3">
        <f>TABL1234[[#This Row],[ (S/S) SAR]]-TABL1234[[#This Row],[(S/S) AJD]]</f>
        <v/>
      </c>
      <c r="Q2" s="39" t="n"/>
      <c r="R2" s="3">
        <f>TABL1234[[#This Row],[ (T/B) SAR]]-TABL1234[[#This Row],[(T/B) AJD]]</f>
        <v/>
      </c>
      <c r="S2" s="3">
        <f>TABL1234[[#This Row],[T/B-CON.]]+TABL1234[[#This Row],[S/S_CON.]]</f>
        <v/>
      </c>
      <c r="T2" s="3">
        <f>TABL1234[[#This Row],[(S/S) AJD]]+TABL1234[[#This Row],[(T/B) AJD]]</f>
        <v/>
      </c>
      <c r="U2" s="41" t="n"/>
      <c r="V2" s="41" t="n"/>
      <c r="W2" s="3">
        <f>TABL1234[[#This Row],[(A/B) AJD]]+TABL1234[[#This Row],[(A/S) AJD]]</f>
        <v/>
      </c>
      <c r="X2" s="3">
        <f>TABL1234[[#This Row],[( S/S+T/B) AJD]]-TABL1234[[#This Row],[(A/B + A/S) AJD]]</f>
        <v/>
      </c>
      <c r="Y2" s="41" t="n"/>
      <c r="Z2" s="43" t="n"/>
      <c r="AA2" s="3">
        <f>TABL1234[[#This Row],[(RESV. STORGE) AJD]]/10</f>
        <v/>
      </c>
      <c r="AB2" s="43">
        <f>(Z2-'my_job2 - 2026'!Z366)/1000</f>
        <v/>
      </c>
      <c r="AC2" s="43" t="n"/>
      <c r="AD2" s="84" t="n">
        <v>0</v>
      </c>
      <c r="AE2" s="81" t="n"/>
      <c r="AF2" s="81" t="n"/>
      <c r="AG2" s="81" t="n"/>
      <c r="AH2" s="43" t="n"/>
      <c r="AI2" s="43" t="n"/>
      <c r="AJ2" s="79">
        <f>TABL1234[[#This Row],[(A/B) AJD]]-TABL1234[[#This Row],[BER_IN]]</f>
        <v/>
      </c>
      <c r="AK2" s="81" t="n"/>
      <c r="AL2" s="88" t="n"/>
      <c r="AM2" s="88" t="n"/>
      <c r="AN2" s="88">
        <f>TABL1234[[#This Row],[ (RESV. STORGE) SER]]/10</f>
        <v/>
      </c>
      <c r="AO2" s="43" t="n"/>
      <c r="AP2" s="32">
        <f>TABL1234[[#This Row],[(A/S) AJD]]-TABL1234[[#This Row],[SER_IN]]</f>
        <v/>
      </c>
    </row>
    <row r="3" ht="18.75" customHeight="1">
      <c r="A3" s="2" t="n">
        <v>46389</v>
      </c>
      <c r="B3" s="28" t="n"/>
      <c r="C3" s="28" t="n"/>
      <c r="D3" s="28" t="n"/>
      <c r="E3" s="28" t="n"/>
      <c r="F3" s="28" t="n"/>
      <c r="G3" s="28" t="n"/>
      <c r="H3" s="28">
        <f>103-F3</f>
        <v/>
      </c>
      <c r="I3" s="28" t="n"/>
      <c r="J3" s="28" t="n"/>
      <c r="K3" s="28">
        <f>TABL1234[[#This Row],[ (T/B) SAR]]+TABL1234[[#This Row],[ (S/S) SAR]]</f>
        <v/>
      </c>
      <c r="L3" s="28" t="n"/>
      <c r="M3" s="29" t="n"/>
      <c r="N3" s="30" t="n"/>
      <c r="O3" s="3" t="n"/>
      <c r="P3" s="3">
        <f>TABL1234[[#This Row],[ (S/S) SAR]]-TABL1234[[#This Row],[(S/S) AJD]]</f>
        <v/>
      </c>
      <c r="Q3" s="3" t="n"/>
      <c r="R3" s="3">
        <f>TABL1234[[#This Row],[ (T/B) SAR]]-TABL1234[[#This Row],[(T/B) AJD]]</f>
        <v/>
      </c>
      <c r="S3" s="3">
        <f>TABL1234[[#This Row],[T/B-CON.]]+TABL1234[[#This Row],[S/S_CON.]]</f>
        <v/>
      </c>
      <c r="T3" s="3">
        <f>TABL1234[[#This Row],[(S/S) AJD]]+TABL1234[[#This Row],[(T/B) AJD]]</f>
        <v/>
      </c>
      <c r="U3" s="3" t="n"/>
      <c r="V3" s="3" t="n"/>
      <c r="W3" s="3">
        <f>TABL1234[[#This Row],[(A/B) AJD]]+TABL1234[[#This Row],[(A/S) AJD]]</f>
        <v/>
      </c>
      <c r="X3" s="3">
        <f>TABL1234[[#This Row],[( S/S+T/B) AJD]]-TABL1234[[#This Row],[(A/B + A/S) AJD]]</f>
        <v/>
      </c>
      <c r="Y3" s="4" t="n"/>
      <c r="Z3" s="3" t="n"/>
      <c r="AA3" s="3">
        <f>TABL1234[[#This Row],[(RESV. STORGE) AJD]]/10</f>
        <v/>
      </c>
      <c r="AB3" s="3">
        <f>IF(TRIM(Z3)="",,(Z3-Z2)/1000)</f>
        <v/>
      </c>
      <c r="AC3" s="6" t="n"/>
      <c r="AD3" s="5">
        <f>TABL1234[[#This Row],[( S/S+T/B) AJD]]-(TABL1234[[#This Row],[(A/B + A/S) AJD]]+(TABL1234[[#This Row],[(STORGE DIFF.) AJD]]*1000)+TABL1234[[#This Row],[AJD_Evaporation]])</f>
        <v/>
      </c>
      <c r="AE3" s="6" t="n"/>
      <c r="AF3" s="33" t="n"/>
      <c r="AG3" s="6" t="n"/>
      <c r="AH3" s="6" t="n"/>
      <c r="AI3" s="6" t="n"/>
      <c r="AJ3" s="6">
        <f>TABL1234[[#This Row],[(A/B) AJD]]-TABL1234[[#This Row],[BER_IN]]</f>
        <v/>
      </c>
      <c r="AK3" s="33" t="n"/>
      <c r="AL3" s="6" t="n"/>
      <c r="AM3" s="6" t="n"/>
      <c r="AN3" s="32">
        <f>TABL1234[[#This Row],[ (RESV. STORGE) SER]]/10</f>
        <v/>
      </c>
      <c r="AO3" s="68" t="n"/>
      <c r="AP3" s="68">
        <f>TABL1234[[#This Row],[(A/S) AJD]]-TABL1234[[#This Row],[SER_IN]]</f>
        <v/>
      </c>
    </row>
    <row r="4" ht="18.75" customHeight="1">
      <c r="A4" s="2" t="n">
        <v>46390</v>
      </c>
      <c r="B4" s="28" t="n"/>
      <c r="C4" s="28" t="n"/>
      <c r="D4" s="28" t="n"/>
      <c r="E4" s="28" t="n"/>
      <c r="F4" s="28" t="n"/>
      <c r="G4" s="28" t="n"/>
      <c r="H4" s="28">
        <f>103-F4</f>
        <v/>
      </c>
      <c r="I4" s="28" t="n"/>
      <c r="J4" s="28" t="n"/>
      <c r="K4" s="28">
        <f>TABL1234[[#This Row],[ (T/B) SAR]]+TABL1234[[#This Row],[ (S/S) SAR]]</f>
        <v/>
      </c>
      <c r="L4" s="28" t="n"/>
      <c r="M4" s="29" t="n"/>
      <c r="N4" s="30" t="n"/>
      <c r="O4" s="3" t="n"/>
      <c r="P4" s="3">
        <f>TABL1234[[#This Row],[ (S/S) SAR]]-TABL1234[[#This Row],[(S/S) AJD]]</f>
        <v/>
      </c>
      <c r="Q4" s="3" t="n"/>
      <c r="R4" s="3">
        <f>TABL1234[[#This Row],[ (T/B) SAR]]-TABL1234[[#This Row],[(T/B) AJD]]</f>
        <v/>
      </c>
      <c r="S4" s="3">
        <f>TABL1234[[#This Row],[T/B-CON.]]+TABL1234[[#This Row],[S/S_CON.]]</f>
        <v/>
      </c>
      <c r="T4" s="3">
        <f>TABL1234[[#This Row],[(S/S) AJD]]+TABL1234[[#This Row],[(T/B) AJD]]</f>
        <v/>
      </c>
      <c r="U4" s="3" t="n"/>
      <c r="V4" s="3" t="n"/>
      <c r="W4" s="3">
        <f>TABL1234[[#This Row],[(A/B) AJD]]+TABL1234[[#This Row],[(A/S) AJD]]</f>
        <v/>
      </c>
      <c r="X4" s="3">
        <f>TABL1234[[#This Row],[( S/S+T/B) AJD]]-TABL1234[[#This Row],[(A/B + A/S) AJD]]</f>
        <v/>
      </c>
      <c r="Y4" s="4" t="n"/>
      <c r="Z4" s="3" t="n"/>
      <c r="AA4" s="3">
        <f>TABL1234[[#This Row],[(RESV. STORGE) AJD]]/10</f>
        <v/>
      </c>
      <c r="AB4" s="3">
        <f>IF(TRIM(Z4)="",,(Z4-Z3)/1000)</f>
        <v/>
      </c>
      <c r="AC4" s="6" t="n"/>
      <c r="AD4" s="5">
        <f>TABL1234[[#This Row],[( S/S+T/B) AJD]]-(TABL1234[[#This Row],[(A/B + A/S) AJD]]+(TABL1234[[#This Row],[(STORGE DIFF.) AJD]]*1000)+TABL1234[[#This Row],[AJD_Evaporation]])</f>
        <v/>
      </c>
      <c r="AE4" s="6" t="n"/>
      <c r="AF4" s="33" t="n"/>
      <c r="AG4" s="6" t="n"/>
      <c r="AH4" s="6" t="n"/>
      <c r="AI4" s="6" t="n"/>
      <c r="AJ4" s="6">
        <f>TABL1234[[#This Row],[(A/B) AJD]]-TABL1234[[#This Row],[BER_IN]]</f>
        <v/>
      </c>
      <c r="AK4" s="33" t="n"/>
      <c r="AL4" s="6" t="n"/>
      <c r="AM4" s="6" t="n"/>
      <c r="AN4" s="32">
        <f>TABL1234[[#This Row],[ (RESV. STORGE) SER]]/10</f>
        <v/>
      </c>
      <c r="AO4" s="68" t="n"/>
      <c r="AP4" s="68">
        <f>TABL1234[[#This Row],[(A/S) AJD]]-TABL1234[[#This Row],[SER_IN]]</f>
        <v/>
      </c>
    </row>
    <row r="5" ht="18.75" customHeight="1">
      <c r="A5" s="2" t="n">
        <v>46391</v>
      </c>
      <c r="B5" s="28" t="n"/>
      <c r="C5" s="28" t="n"/>
      <c r="D5" s="28" t="n"/>
      <c r="E5" s="28" t="n"/>
      <c r="F5" s="28" t="n"/>
      <c r="G5" s="28" t="n"/>
      <c r="H5" s="28">
        <f>103-F5</f>
        <v/>
      </c>
      <c r="I5" s="28" t="n"/>
      <c r="J5" s="28" t="n"/>
      <c r="K5" s="28">
        <f>TABL1234[[#This Row],[ (T/B) SAR]]+TABL1234[[#This Row],[ (S/S) SAR]]</f>
        <v/>
      </c>
      <c r="L5" s="28" t="n"/>
      <c r="M5" s="29" t="n"/>
      <c r="N5" s="30" t="n"/>
      <c r="O5" s="3" t="n"/>
      <c r="P5" s="3">
        <f>TABL1234[[#This Row],[ (S/S) SAR]]-TABL1234[[#This Row],[(S/S) AJD]]</f>
        <v/>
      </c>
      <c r="Q5" s="3" t="n"/>
      <c r="R5" s="3">
        <f>TABL1234[[#This Row],[ (T/B) SAR]]-TABL1234[[#This Row],[(T/B) AJD]]</f>
        <v/>
      </c>
      <c r="S5" s="3">
        <f>TABL1234[[#This Row],[T/B-CON.]]+TABL1234[[#This Row],[S/S_CON.]]</f>
        <v/>
      </c>
      <c r="T5" s="3">
        <f>TABL1234[[#This Row],[(S/S) AJD]]+TABL1234[[#This Row],[(T/B) AJD]]</f>
        <v/>
      </c>
      <c r="U5" s="3" t="n"/>
      <c r="V5" s="3" t="n"/>
      <c r="W5" s="3">
        <f>TABL1234[[#This Row],[(A/B) AJD]]+TABL1234[[#This Row],[(A/S) AJD]]</f>
        <v/>
      </c>
      <c r="X5" s="3">
        <f>TABL1234[[#This Row],[( S/S+T/B) AJD]]-TABL1234[[#This Row],[(A/B + A/S) AJD]]</f>
        <v/>
      </c>
      <c r="Y5" s="4" t="n"/>
      <c r="Z5" s="3" t="n"/>
      <c r="AA5" s="3">
        <f>TABL1234[[#This Row],[(RESV. STORGE) AJD]]/10</f>
        <v/>
      </c>
      <c r="AB5" s="3">
        <f>IF(TRIM(Z5)="",,(Z5-Z4)/1000)</f>
        <v/>
      </c>
      <c r="AC5" s="6" t="n"/>
      <c r="AD5" s="5">
        <f>TABL1234[[#This Row],[( S/S+T/B) AJD]]-(TABL1234[[#This Row],[(A/B + A/S) AJD]]+(TABL1234[[#This Row],[(STORGE DIFF.) AJD]]*1000)+TABL1234[[#This Row],[AJD_Evaporation]])</f>
        <v/>
      </c>
      <c r="AE5" s="6" t="n"/>
      <c r="AF5" s="33" t="n"/>
      <c r="AG5" s="6" t="n"/>
      <c r="AH5" s="6" t="n"/>
      <c r="AI5" s="6" t="n"/>
      <c r="AJ5" s="6">
        <f>TABL1234[[#This Row],[(A/B) AJD]]-TABL1234[[#This Row],[BER_IN]]</f>
        <v/>
      </c>
      <c r="AK5" s="33" t="n"/>
      <c r="AL5" s="6" t="n"/>
      <c r="AM5" s="6" t="n"/>
      <c r="AN5" s="32">
        <f>TABL1234[[#This Row],[ (RESV. STORGE) SER]]/10</f>
        <v/>
      </c>
      <c r="AO5" s="68" t="n"/>
      <c r="AP5" s="68">
        <f>TABL1234[[#This Row],[(A/S) AJD]]-TABL1234[[#This Row],[SER_IN]]</f>
        <v/>
      </c>
    </row>
    <row r="6" ht="18.75" customHeight="1">
      <c r="A6" s="2" t="n">
        <v>46392</v>
      </c>
      <c r="B6" s="28" t="n"/>
      <c r="C6" s="28" t="n"/>
      <c r="D6" s="28" t="n"/>
      <c r="E6" s="28" t="n"/>
      <c r="F6" s="28" t="n"/>
      <c r="G6" s="28" t="n"/>
      <c r="H6" s="28">
        <f>103-F6</f>
        <v/>
      </c>
      <c r="I6" s="28" t="n"/>
      <c r="J6" s="28" t="n"/>
      <c r="K6" s="28">
        <f>TABL1234[[#This Row],[ (T/B) SAR]]+TABL1234[[#This Row],[ (S/S) SAR]]</f>
        <v/>
      </c>
      <c r="L6" s="28" t="n"/>
      <c r="M6" s="29" t="n"/>
      <c r="N6" s="30" t="n"/>
      <c r="O6" s="3" t="n"/>
      <c r="P6" s="3">
        <f>TABL1234[[#This Row],[ (S/S) SAR]]-TABL1234[[#This Row],[(S/S) AJD]]</f>
        <v/>
      </c>
      <c r="Q6" s="3" t="n"/>
      <c r="R6" s="3">
        <f>TABL1234[[#This Row],[ (T/B) SAR]]-TABL1234[[#This Row],[(T/B) AJD]]</f>
        <v/>
      </c>
      <c r="S6" s="3">
        <f>TABL1234[[#This Row],[T/B-CON.]]+TABL1234[[#This Row],[S/S_CON.]]</f>
        <v/>
      </c>
      <c r="T6" s="3">
        <f>TABL1234[[#This Row],[(S/S) AJD]]+TABL1234[[#This Row],[(T/B) AJD]]</f>
        <v/>
      </c>
      <c r="U6" s="3" t="n"/>
      <c r="V6" s="3" t="n"/>
      <c r="W6" s="3">
        <f>TABL1234[[#This Row],[(A/B) AJD]]+TABL1234[[#This Row],[(A/S) AJD]]</f>
        <v/>
      </c>
      <c r="X6" s="3">
        <f>TABL1234[[#This Row],[( S/S+T/B) AJD]]-TABL1234[[#This Row],[(A/B + A/S) AJD]]</f>
        <v/>
      </c>
      <c r="Y6" s="4" t="n"/>
      <c r="Z6" s="3" t="n"/>
      <c r="AA6" s="3">
        <f>TABL1234[[#This Row],[(RESV. STORGE) AJD]]/10</f>
        <v/>
      </c>
      <c r="AB6" s="3">
        <f>IF(TRIM(Z6)="",,(Z6-Z5)/1000)</f>
        <v/>
      </c>
      <c r="AC6" s="6" t="n"/>
      <c r="AD6" s="5">
        <f>TABL1234[[#This Row],[( S/S+T/B) AJD]]-(TABL1234[[#This Row],[(A/B + A/S) AJD]]+(TABL1234[[#This Row],[(STORGE DIFF.) AJD]]*1000)+TABL1234[[#This Row],[AJD_Evaporation]])</f>
        <v/>
      </c>
      <c r="AE6" s="6" t="n"/>
      <c r="AF6" s="33" t="n"/>
      <c r="AG6" s="6" t="n"/>
      <c r="AH6" s="6" t="n"/>
      <c r="AI6" s="6" t="n"/>
      <c r="AJ6" s="6">
        <f>TABL1234[[#This Row],[(A/B) AJD]]-TABL1234[[#This Row],[BER_IN]]</f>
        <v/>
      </c>
      <c r="AK6" s="33" t="n"/>
      <c r="AL6" s="6" t="n"/>
      <c r="AM6" s="6" t="n"/>
      <c r="AN6" s="32">
        <f>TABL1234[[#This Row],[ (RESV. STORGE) SER]]/10</f>
        <v/>
      </c>
      <c r="AO6" s="68" t="n"/>
      <c r="AP6" s="68">
        <f>TABL1234[[#This Row],[(A/S) AJD]]-TABL1234[[#This Row],[SER_IN]]</f>
        <v/>
      </c>
    </row>
    <row r="7" ht="18.75" customHeight="1">
      <c r="A7" s="2" t="n">
        <v>46393</v>
      </c>
      <c r="B7" s="28" t="n"/>
      <c r="C7" s="28" t="n"/>
      <c r="D7" s="28" t="n"/>
      <c r="E7" s="28" t="n"/>
      <c r="F7" s="28" t="n"/>
      <c r="G7" s="28" t="n"/>
      <c r="H7" s="28">
        <f>103-F7</f>
        <v/>
      </c>
      <c r="I7" s="28" t="n"/>
      <c r="J7" s="28" t="n"/>
      <c r="K7" s="28">
        <f>TABL1234[[#This Row],[ (T/B) SAR]]+TABL1234[[#This Row],[ (S/S) SAR]]</f>
        <v/>
      </c>
      <c r="L7" s="28" t="n"/>
      <c r="M7" s="29" t="n"/>
      <c r="N7" s="30" t="n"/>
      <c r="O7" s="3" t="n"/>
      <c r="P7" s="3">
        <f>TABL1234[[#This Row],[ (S/S) SAR]]-TABL1234[[#This Row],[(S/S) AJD]]</f>
        <v/>
      </c>
      <c r="Q7" s="3" t="n"/>
      <c r="R7" s="3">
        <f>TABL1234[[#This Row],[ (T/B) SAR]]-TABL1234[[#This Row],[(T/B) AJD]]</f>
        <v/>
      </c>
      <c r="S7" s="3">
        <f>TABL1234[[#This Row],[T/B-CON.]]+TABL1234[[#This Row],[S/S_CON.]]</f>
        <v/>
      </c>
      <c r="T7" s="3">
        <f>TABL1234[[#This Row],[(S/S) AJD]]+TABL1234[[#This Row],[(T/B) AJD]]</f>
        <v/>
      </c>
      <c r="U7" s="3" t="n"/>
      <c r="V7" s="3" t="n"/>
      <c r="W7" s="3">
        <f>TABL1234[[#This Row],[(A/B) AJD]]+TABL1234[[#This Row],[(A/S) AJD]]</f>
        <v/>
      </c>
      <c r="X7" s="3">
        <f>TABL1234[[#This Row],[( S/S+T/B) AJD]]-TABL1234[[#This Row],[(A/B + A/S) AJD]]</f>
        <v/>
      </c>
      <c r="Y7" s="4" t="n"/>
      <c r="Z7" s="3" t="n"/>
      <c r="AA7" s="3">
        <f>TABL1234[[#This Row],[(RESV. STORGE) AJD]]/10</f>
        <v/>
      </c>
      <c r="AB7" s="3">
        <f>IF(TRIM(Z7)="",,(Z7-Z6)/1000)</f>
        <v/>
      </c>
      <c r="AC7" s="6" t="n"/>
      <c r="AD7" s="5">
        <f>TABL1234[[#This Row],[( S/S+T/B) AJD]]-(TABL1234[[#This Row],[(A/B + A/S) AJD]]+(TABL1234[[#This Row],[(STORGE DIFF.) AJD]]*1000)+TABL1234[[#This Row],[AJD_Evaporation]])</f>
        <v/>
      </c>
      <c r="AE7" s="6" t="n"/>
      <c r="AF7" s="33" t="n"/>
      <c r="AG7" s="6" t="n"/>
      <c r="AH7" s="6" t="n"/>
      <c r="AI7" s="6" t="n"/>
      <c r="AJ7" s="6">
        <f>TABL1234[[#This Row],[(A/B) AJD]]-TABL1234[[#This Row],[BER_IN]]</f>
        <v/>
      </c>
      <c r="AK7" s="33" t="n"/>
      <c r="AL7" s="6" t="n"/>
      <c r="AM7" s="6" t="n"/>
      <c r="AN7" s="32">
        <f>TABL1234[[#This Row],[ (RESV. STORGE) SER]]/10</f>
        <v/>
      </c>
      <c r="AO7" s="68" t="n"/>
      <c r="AP7" s="68">
        <f>TABL1234[[#This Row],[(A/S) AJD]]-TABL1234[[#This Row],[SER_IN]]</f>
        <v/>
      </c>
    </row>
    <row r="8" ht="18.75" customHeight="1">
      <c r="A8" s="2" t="n">
        <v>46394</v>
      </c>
      <c r="B8" s="28" t="n"/>
      <c r="C8" s="28" t="n"/>
      <c r="D8" s="28" t="n"/>
      <c r="E8" s="28" t="n"/>
      <c r="F8" s="28" t="n"/>
      <c r="G8" s="28" t="n"/>
      <c r="H8" s="28">
        <f>103-F8</f>
        <v/>
      </c>
      <c r="I8" s="28" t="n"/>
      <c r="J8" s="28" t="n"/>
      <c r="K8" s="28">
        <f>TABL1234[[#This Row],[ (T/B) SAR]]+TABL1234[[#This Row],[ (S/S) SAR]]</f>
        <v/>
      </c>
      <c r="L8" s="28" t="n"/>
      <c r="M8" s="29" t="n"/>
      <c r="N8" s="30" t="n"/>
      <c r="O8" s="3" t="n"/>
      <c r="P8" s="3">
        <f>TABL1234[[#This Row],[ (S/S) SAR]]-TABL1234[[#This Row],[(S/S) AJD]]</f>
        <v/>
      </c>
      <c r="Q8" s="3" t="n"/>
      <c r="R8" s="3">
        <f>TABL1234[[#This Row],[ (T/B) SAR]]-TABL1234[[#This Row],[(T/B) AJD]]</f>
        <v/>
      </c>
      <c r="S8" s="3">
        <f>TABL1234[[#This Row],[T/B-CON.]]+TABL1234[[#This Row],[S/S_CON.]]</f>
        <v/>
      </c>
      <c r="T8" s="3">
        <f>TABL1234[[#This Row],[(S/S) AJD]]+TABL1234[[#This Row],[(T/B) AJD]]</f>
        <v/>
      </c>
      <c r="U8" s="3" t="n"/>
      <c r="V8" s="3" t="n"/>
      <c r="W8" s="3">
        <f>TABL1234[[#This Row],[(A/B) AJD]]+TABL1234[[#This Row],[(A/S) AJD]]</f>
        <v/>
      </c>
      <c r="X8" s="3">
        <f>TABL1234[[#This Row],[( S/S+T/B) AJD]]-TABL1234[[#This Row],[(A/B + A/S) AJD]]</f>
        <v/>
      </c>
      <c r="Y8" s="4" t="n"/>
      <c r="Z8" s="3" t="n"/>
      <c r="AA8" s="3">
        <f>TABL1234[[#This Row],[(RESV. STORGE) AJD]]/10</f>
        <v/>
      </c>
      <c r="AB8" s="3">
        <f>IF(TRIM(Z8)="",,(Z8-Z7)/1000)</f>
        <v/>
      </c>
      <c r="AC8" s="6" t="n"/>
      <c r="AD8" s="5">
        <f>TABL1234[[#This Row],[( S/S+T/B) AJD]]-(TABL1234[[#This Row],[(A/B + A/S) AJD]]+(TABL1234[[#This Row],[(STORGE DIFF.) AJD]]*1000)+TABL1234[[#This Row],[AJD_Evaporation]])</f>
        <v/>
      </c>
      <c r="AE8" s="6" t="n"/>
      <c r="AF8" s="33" t="n"/>
      <c r="AG8" s="6" t="n"/>
      <c r="AH8" s="6" t="n"/>
      <c r="AI8" s="6" t="n"/>
      <c r="AJ8" s="6">
        <f>TABL1234[[#This Row],[(A/B) AJD]]-TABL1234[[#This Row],[BER_IN]]</f>
        <v/>
      </c>
      <c r="AK8" s="33" t="n"/>
      <c r="AL8" s="6" t="n"/>
      <c r="AM8" s="6" t="n"/>
      <c r="AN8" s="32">
        <f>TABL1234[[#This Row],[ (RESV. STORGE) SER]]/10</f>
        <v/>
      </c>
      <c r="AO8" s="68" t="n"/>
      <c r="AP8" s="68">
        <f>TABL1234[[#This Row],[(A/S) AJD]]-TABL1234[[#This Row],[SER_IN]]</f>
        <v/>
      </c>
    </row>
    <row r="9" ht="18.75" customHeight="1">
      <c r="A9" s="2" t="n">
        <v>46395</v>
      </c>
      <c r="B9" s="28" t="n"/>
      <c r="C9" s="28" t="n"/>
      <c r="D9" s="28" t="n"/>
      <c r="E9" s="28" t="n"/>
      <c r="F9" s="28" t="n"/>
      <c r="G9" s="28" t="n"/>
      <c r="H9" s="28">
        <f>103-F9</f>
        <v/>
      </c>
      <c r="I9" s="28" t="n"/>
      <c r="J9" s="28" t="n"/>
      <c r="K9" s="28">
        <f>TABL1234[[#This Row],[ (T/B) SAR]]+TABL1234[[#This Row],[ (S/S) SAR]]</f>
        <v/>
      </c>
      <c r="L9" s="28" t="n"/>
      <c r="M9" s="29" t="n"/>
      <c r="N9" s="30" t="n"/>
      <c r="O9" s="3" t="n"/>
      <c r="P9" s="3">
        <f>TABL1234[[#This Row],[ (S/S) SAR]]-TABL1234[[#This Row],[(S/S) AJD]]</f>
        <v/>
      </c>
      <c r="Q9" s="3" t="n"/>
      <c r="R9" s="3">
        <f>TABL1234[[#This Row],[ (T/B) SAR]]-TABL1234[[#This Row],[(T/B) AJD]]</f>
        <v/>
      </c>
      <c r="S9" s="3">
        <f>TABL1234[[#This Row],[T/B-CON.]]+TABL1234[[#This Row],[S/S_CON.]]</f>
        <v/>
      </c>
      <c r="T9" s="3">
        <f>TABL1234[[#This Row],[(S/S) AJD]]+TABL1234[[#This Row],[(T/B) AJD]]</f>
        <v/>
      </c>
      <c r="U9" s="3" t="n"/>
      <c r="V9" s="3" t="n"/>
      <c r="W9" s="3">
        <f>TABL1234[[#This Row],[(A/B) AJD]]+TABL1234[[#This Row],[(A/S) AJD]]</f>
        <v/>
      </c>
      <c r="X9" s="3">
        <f>TABL1234[[#This Row],[( S/S+T/B) AJD]]-TABL1234[[#This Row],[(A/B + A/S) AJD]]</f>
        <v/>
      </c>
      <c r="Y9" s="4" t="n"/>
      <c r="Z9" s="3" t="n"/>
      <c r="AA9" s="3">
        <f>TABL1234[[#This Row],[(RESV. STORGE) AJD]]/10</f>
        <v/>
      </c>
      <c r="AB9" s="3">
        <f>IF(TRIM(Z9)="",,(Z9-Z8)/1000)</f>
        <v/>
      </c>
      <c r="AC9" s="6" t="n"/>
      <c r="AD9" s="5">
        <f>TABL1234[[#This Row],[( S/S+T/B) AJD]]-(TABL1234[[#This Row],[(A/B + A/S) AJD]]+(TABL1234[[#This Row],[(STORGE DIFF.) AJD]]*1000)+TABL1234[[#This Row],[AJD_Evaporation]])</f>
        <v/>
      </c>
      <c r="AE9" s="6" t="n"/>
      <c r="AF9" s="33" t="n"/>
      <c r="AG9" s="6" t="n"/>
      <c r="AH9" s="6" t="n"/>
      <c r="AI9" s="6" t="n"/>
      <c r="AJ9" s="6">
        <f>TABL1234[[#This Row],[(A/B) AJD]]-TABL1234[[#This Row],[BER_IN]]</f>
        <v/>
      </c>
      <c r="AK9" s="33" t="n"/>
      <c r="AL9" s="6" t="n"/>
      <c r="AM9" s="6" t="n"/>
      <c r="AN9" s="32">
        <f>TABL1234[[#This Row],[ (RESV. STORGE) SER]]/10</f>
        <v/>
      </c>
      <c r="AO9" s="68" t="n"/>
      <c r="AP9" s="68">
        <f>TABL1234[[#This Row],[(A/S) AJD]]-TABL1234[[#This Row],[SER_IN]]</f>
        <v/>
      </c>
    </row>
    <row r="10" ht="18.75" customHeight="1">
      <c r="A10" s="2" t="n">
        <v>46396</v>
      </c>
      <c r="B10" s="28" t="n"/>
      <c r="C10" s="28" t="n"/>
      <c r="D10" s="28" t="n"/>
      <c r="E10" s="28" t="n"/>
      <c r="F10" s="28" t="n"/>
      <c r="G10" s="28" t="n"/>
      <c r="H10" s="28">
        <f>103-F10</f>
        <v/>
      </c>
      <c r="I10" s="28" t="n"/>
      <c r="J10" s="28" t="n"/>
      <c r="K10" s="28">
        <f>TABL1234[[#This Row],[ (T/B) SAR]]+TABL1234[[#This Row],[ (S/S) SAR]]</f>
        <v/>
      </c>
      <c r="L10" s="28" t="n"/>
      <c r="M10" s="29" t="n"/>
      <c r="N10" s="30" t="n"/>
      <c r="O10" s="3" t="n"/>
      <c r="P10" s="3">
        <f>TABL1234[[#This Row],[ (S/S) SAR]]-TABL1234[[#This Row],[(S/S) AJD]]</f>
        <v/>
      </c>
      <c r="Q10" s="3" t="n"/>
      <c r="R10" s="3">
        <f>TABL1234[[#This Row],[ (T/B) SAR]]-TABL1234[[#This Row],[(T/B) AJD]]</f>
        <v/>
      </c>
      <c r="S10" s="3">
        <f>TABL1234[[#This Row],[T/B-CON.]]+TABL1234[[#This Row],[S/S_CON.]]</f>
        <v/>
      </c>
      <c r="T10" s="3">
        <f>TABL1234[[#This Row],[(S/S) AJD]]+TABL1234[[#This Row],[(T/B) AJD]]</f>
        <v/>
      </c>
      <c r="U10" s="3" t="n"/>
      <c r="V10" s="3" t="n"/>
      <c r="W10" s="3">
        <f>TABL1234[[#This Row],[(A/B) AJD]]+TABL1234[[#This Row],[(A/S) AJD]]</f>
        <v/>
      </c>
      <c r="X10" s="3">
        <f>TABL1234[[#This Row],[( S/S+T/B) AJD]]-TABL1234[[#This Row],[(A/B + A/S) AJD]]</f>
        <v/>
      </c>
      <c r="Y10" s="4" t="n"/>
      <c r="Z10" s="3" t="n"/>
      <c r="AA10" s="3">
        <f>TABL1234[[#This Row],[(RESV. STORGE) AJD]]/10</f>
        <v/>
      </c>
      <c r="AB10" s="3">
        <f>IF(TRIM(Z10)="",,(Z10-Z9)/1000)</f>
        <v/>
      </c>
      <c r="AC10" s="6" t="n"/>
      <c r="AD10" s="5">
        <f>TABL1234[[#This Row],[( S/S+T/B) AJD]]-(TABL1234[[#This Row],[(A/B + A/S) AJD]]+(TABL1234[[#This Row],[(STORGE DIFF.) AJD]]*1000)+TABL1234[[#This Row],[AJD_Evaporation]])</f>
        <v/>
      </c>
      <c r="AE10" s="6" t="n"/>
      <c r="AF10" s="33" t="n"/>
      <c r="AG10" s="6" t="n"/>
      <c r="AH10" s="6" t="n"/>
      <c r="AI10" s="6" t="n"/>
      <c r="AJ10" s="6">
        <f>TABL1234[[#This Row],[(A/B) AJD]]-TABL1234[[#This Row],[BER_IN]]</f>
        <v/>
      </c>
      <c r="AK10" s="33" t="n"/>
      <c r="AL10" s="6" t="n"/>
      <c r="AM10" s="6" t="n"/>
      <c r="AN10" s="32">
        <f>TABL1234[[#This Row],[ (RESV. STORGE) SER]]/10</f>
        <v/>
      </c>
      <c r="AO10" s="68" t="n"/>
      <c r="AP10" s="68">
        <f>TABL1234[[#This Row],[(A/S) AJD]]-TABL1234[[#This Row],[SER_IN]]</f>
        <v/>
      </c>
    </row>
    <row r="11" ht="18.75" customHeight="1">
      <c r="A11" s="2" t="n">
        <v>46397</v>
      </c>
      <c r="B11" s="28" t="n"/>
      <c r="C11" s="28" t="n"/>
      <c r="D11" s="28" t="n"/>
      <c r="E11" s="28" t="n"/>
      <c r="F11" s="28" t="n"/>
      <c r="G11" s="28" t="n"/>
      <c r="H11" s="28">
        <f>103-F11</f>
        <v/>
      </c>
      <c r="I11" s="28" t="n"/>
      <c r="J11" s="28" t="n"/>
      <c r="K11" s="28">
        <f>TABL1234[[#This Row],[ (T/B) SAR]]+TABL1234[[#This Row],[ (S/S) SAR]]</f>
        <v/>
      </c>
      <c r="L11" s="28" t="n"/>
      <c r="M11" s="29" t="n"/>
      <c r="N11" s="30" t="n"/>
      <c r="O11" s="3" t="n"/>
      <c r="P11" s="3">
        <f>TABL1234[[#This Row],[ (S/S) SAR]]-TABL1234[[#This Row],[(S/S) AJD]]</f>
        <v/>
      </c>
      <c r="Q11" s="3" t="n"/>
      <c r="R11" s="3">
        <f>TABL1234[[#This Row],[ (T/B) SAR]]-TABL1234[[#This Row],[(T/B) AJD]]</f>
        <v/>
      </c>
      <c r="S11" s="3">
        <f>TABL1234[[#This Row],[T/B-CON.]]+TABL1234[[#This Row],[S/S_CON.]]</f>
        <v/>
      </c>
      <c r="T11" s="3">
        <f>TABL1234[[#This Row],[(S/S) AJD]]+TABL1234[[#This Row],[(T/B) AJD]]</f>
        <v/>
      </c>
      <c r="U11" s="3" t="n"/>
      <c r="V11" s="3" t="n"/>
      <c r="W11" s="3">
        <f>TABL1234[[#This Row],[(A/B) AJD]]+TABL1234[[#This Row],[(A/S) AJD]]</f>
        <v/>
      </c>
      <c r="X11" s="3">
        <f>TABL1234[[#This Row],[( S/S+T/B) AJD]]-TABL1234[[#This Row],[(A/B + A/S) AJD]]</f>
        <v/>
      </c>
      <c r="Y11" s="4" t="n"/>
      <c r="Z11" s="3" t="n"/>
      <c r="AA11" s="3">
        <f>TABL1234[[#This Row],[(RESV. STORGE) AJD]]/10</f>
        <v/>
      </c>
      <c r="AB11" s="3">
        <f>IF(TRIM(Z11)="",,(Z11-Z10)/1000)</f>
        <v/>
      </c>
      <c r="AC11" s="6" t="n"/>
      <c r="AD11" s="5">
        <f>TABL1234[[#This Row],[( S/S+T/B) AJD]]-(TABL1234[[#This Row],[(A/B + A/S) AJD]]+(TABL1234[[#This Row],[(STORGE DIFF.) AJD]]*1000)+TABL1234[[#This Row],[AJD_Evaporation]])</f>
        <v/>
      </c>
      <c r="AE11" s="6" t="n"/>
      <c r="AF11" s="33" t="n"/>
      <c r="AG11" s="6" t="n"/>
      <c r="AH11" s="6" t="n"/>
      <c r="AI11" s="6" t="n"/>
      <c r="AJ11" s="6">
        <f>TABL1234[[#This Row],[(A/B) AJD]]-TABL1234[[#This Row],[BER_IN]]</f>
        <v/>
      </c>
      <c r="AK11" s="33" t="n"/>
      <c r="AL11" s="6" t="n"/>
      <c r="AM11" s="6" t="n"/>
      <c r="AN11" s="32">
        <f>TABL1234[[#This Row],[ (RESV. STORGE) SER]]/10</f>
        <v/>
      </c>
      <c r="AO11" s="68" t="n"/>
      <c r="AP11" s="68">
        <f>TABL1234[[#This Row],[(A/S) AJD]]-TABL1234[[#This Row],[SER_IN]]</f>
        <v/>
      </c>
    </row>
    <row r="12" ht="18.75" customHeight="1">
      <c r="A12" s="2" t="n">
        <v>46398</v>
      </c>
      <c r="B12" s="28" t="n"/>
      <c r="C12" s="28" t="n"/>
      <c r="D12" s="28" t="n"/>
      <c r="E12" s="28" t="n"/>
      <c r="F12" s="28" t="n"/>
      <c r="G12" s="28" t="n"/>
      <c r="H12" s="28">
        <f>103-F12</f>
        <v/>
      </c>
      <c r="I12" s="28" t="n"/>
      <c r="J12" s="28" t="n"/>
      <c r="K12" s="28">
        <f>TABL1234[[#This Row],[ (T/B) SAR]]+TABL1234[[#This Row],[ (S/S) SAR]]</f>
        <v/>
      </c>
      <c r="L12" s="28" t="n"/>
      <c r="M12" s="29" t="n"/>
      <c r="N12" s="30" t="n"/>
      <c r="O12" s="3" t="n"/>
      <c r="P12" s="3">
        <f>TABL1234[[#This Row],[ (S/S) SAR]]-TABL1234[[#This Row],[(S/S) AJD]]</f>
        <v/>
      </c>
      <c r="Q12" s="3" t="n"/>
      <c r="R12" s="3">
        <f>TABL1234[[#This Row],[ (T/B) SAR]]-TABL1234[[#This Row],[(T/B) AJD]]</f>
        <v/>
      </c>
      <c r="S12" s="3">
        <f>TABL1234[[#This Row],[T/B-CON.]]+TABL1234[[#This Row],[S/S_CON.]]</f>
        <v/>
      </c>
      <c r="T12" s="3">
        <f>TABL1234[[#This Row],[(S/S) AJD]]+TABL1234[[#This Row],[(T/B) AJD]]</f>
        <v/>
      </c>
      <c r="U12" s="3" t="n"/>
      <c r="V12" s="3" t="n"/>
      <c r="W12" s="3">
        <f>TABL1234[[#This Row],[(A/B) AJD]]+TABL1234[[#This Row],[(A/S) AJD]]</f>
        <v/>
      </c>
      <c r="X12" s="3">
        <f>TABL1234[[#This Row],[( S/S+T/B) AJD]]-TABL1234[[#This Row],[(A/B + A/S) AJD]]</f>
        <v/>
      </c>
      <c r="Y12" s="4" t="n"/>
      <c r="Z12" s="3" t="n"/>
      <c r="AA12" s="3">
        <f>TABL1234[[#This Row],[(RESV. STORGE) AJD]]/10</f>
        <v/>
      </c>
      <c r="AB12" s="3">
        <f>IF(TRIM(Z12)="",,(Z12-Z11)/1000)</f>
        <v/>
      </c>
      <c r="AC12" s="6" t="n"/>
      <c r="AD12" s="5">
        <f>TABL1234[[#This Row],[( S/S+T/B) AJD]]-(TABL1234[[#This Row],[(A/B + A/S) AJD]]+(TABL1234[[#This Row],[(STORGE DIFF.) AJD]]*1000)+TABL1234[[#This Row],[AJD_Evaporation]])</f>
        <v/>
      </c>
      <c r="AE12" s="6" t="n"/>
      <c r="AF12" s="33" t="n"/>
      <c r="AG12" s="6" t="n"/>
      <c r="AH12" s="6" t="n"/>
      <c r="AI12" s="6" t="n"/>
      <c r="AJ12" s="6">
        <f>TABL1234[[#This Row],[(A/B) AJD]]-TABL1234[[#This Row],[BER_IN]]</f>
        <v/>
      </c>
      <c r="AK12" s="33" t="n"/>
      <c r="AL12" s="6" t="n"/>
      <c r="AM12" s="6" t="n"/>
      <c r="AN12" s="32">
        <f>TABL1234[[#This Row],[ (RESV. STORGE) SER]]/10</f>
        <v/>
      </c>
      <c r="AO12" s="68" t="n"/>
      <c r="AP12" s="68">
        <f>TABL1234[[#This Row],[(A/S) AJD]]-TABL1234[[#This Row],[SER_IN]]</f>
        <v/>
      </c>
    </row>
    <row r="13" ht="18.75" customHeight="1">
      <c r="A13" s="2" t="n">
        <v>46399</v>
      </c>
      <c r="B13" s="28" t="n"/>
      <c r="C13" s="28" t="n"/>
      <c r="D13" s="28" t="n"/>
      <c r="E13" s="28" t="n"/>
      <c r="F13" s="28" t="n"/>
      <c r="G13" s="28" t="n"/>
      <c r="H13" s="28">
        <f>103-F13</f>
        <v/>
      </c>
      <c r="I13" s="28" t="n"/>
      <c r="J13" s="28" t="n"/>
      <c r="K13" s="28">
        <f>TABL1234[[#This Row],[ (T/B) SAR]]+TABL1234[[#This Row],[ (S/S) SAR]]</f>
        <v/>
      </c>
      <c r="L13" s="28" t="n"/>
      <c r="M13" s="29" t="n"/>
      <c r="N13" s="30" t="n"/>
      <c r="O13" s="3" t="n"/>
      <c r="P13" s="3">
        <f>TABL1234[[#This Row],[ (S/S) SAR]]-TABL1234[[#This Row],[(S/S) AJD]]</f>
        <v/>
      </c>
      <c r="Q13" s="3" t="n"/>
      <c r="R13" s="3">
        <f>TABL1234[[#This Row],[ (T/B) SAR]]-TABL1234[[#This Row],[(T/B) AJD]]</f>
        <v/>
      </c>
      <c r="S13" s="3">
        <f>TABL1234[[#This Row],[T/B-CON.]]+TABL1234[[#This Row],[S/S_CON.]]</f>
        <v/>
      </c>
      <c r="T13" s="3">
        <f>TABL1234[[#This Row],[(S/S) AJD]]+TABL1234[[#This Row],[(T/B) AJD]]</f>
        <v/>
      </c>
      <c r="U13" s="3" t="n"/>
      <c r="V13" s="3" t="n"/>
      <c r="W13" s="3">
        <f>TABL1234[[#This Row],[(A/B) AJD]]+TABL1234[[#This Row],[(A/S) AJD]]</f>
        <v/>
      </c>
      <c r="X13" s="3">
        <f>TABL1234[[#This Row],[( S/S+T/B) AJD]]-TABL1234[[#This Row],[(A/B + A/S) AJD]]</f>
        <v/>
      </c>
      <c r="Y13" s="4" t="n"/>
      <c r="Z13" s="3" t="n"/>
      <c r="AA13" s="3">
        <f>TABL1234[[#This Row],[(RESV. STORGE) AJD]]/10</f>
        <v/>
      </c>
      <c r="AB13" s="3">
        <f>IF(TRIM(Z13)="",,(Z13-Z12)/1000)</f>
        <v/>
      </c>
      <c r="AC13" s="6" t="n"/>
      <c r="AD13" s="5">
        <f>TABL1234[[#This Row],[( S/S+T/B) AJD]]-(TABL1234[[#This Row],[(A/B + A/S) AJD]]+(TABL1234[[#This Row],[(STORGE DIFF.) AJD]]*1000)+TABL1234[[#This Row],[AJD_Evaporation]])</f>
        <v/>
      </c>
      <c r="AE13" s="6" t="n"/>
      <c r="AF13" s="33" t="n"/>
      <c r="AG13" s="6" t="n"/>
      <c r="AH13" s="6" t="n"/>
      <c r="AI13" s="6" t="n"/>
      <c r="AJ13" s="6">
        <f>TABL1234[[#This Row],[(A/B) AJD]]-TABL1234[[#This Row],[BER_IN]]</f>
        <v/>
      </c>
      <c r="AK13" s="33" t="n"/>
      <c r="AL13" s="6" t="n"/>
      <c r="AM13" s="6" t="n"/>
      <c r="AN13" s="32">
        <f>TABL1234[[#This Row],[ (RESV. STORGE) SER]]/10</f>
        <v/>
      </c>
      <c r="AO13" s="68" t="n"/>
      <c r="AP13" s="68">
        <f>TABL1234[[#This Row],[(A/S) AJD]]-TABL1234[[#This Row],[SER_IN]]</f>
        <v/>
      </c>
    </row>
    <row r="14" ht="18.75" customHeight="1">
      <c r="A14" s="2" t="n">
        <v>46400</v>
      </c>
      <c r="B14" s="28" t="n"/>
      <c r="C14" s="28" t="n"/>
      <c r="D14" s="28" t="n"/>
      <c r="E14" s="28" t="n"/>
      <c r="F14" s="28" t="n"/>
      <c r="G14" s="28" t="n"/>
      <c r="H14" s="28">
        <f>103-F14</f>
        <v/>
      </c>
      <c r="I14" s="28" t="n"/>
      <c r="J14" s="28" t="n"/>
      <c r="K14" s="28">
        <f>TABL1234[[#This Row],[ (T/B) SAR]]+TABL1234[[#This Row],[ (S/S) SAR]]</f>
        <v/>
      </c>
      <c r="L14" s="28" t="n"/>
      <c r="M14" s="29" t="n"/>
      <c r="N14" s="30" t="n"/>
      <c r="O14" s="3" t="n"/>
      <c r="P14" s="3">
        <f>TABL1234[[#This Row],[ (S/S) SAR]]-TABL1234[[#This Row],[(S/S) AJD]]</f>
        <v/>
      </c>
      <c r="Q14" s="3" t="n"/>
      <c r="R14" s="3">
        <f>TABL1234[[#This Row],[ (T/B) SAR]]-TABL1234[[#This Row],[(T/B) AJD]]</f>
        <v/>
      </c>
      <c r="S14" s="3">
        <f>TABL1234[[#This Row],[T/B-CON.]]+TABL1234[[#This Row],[S/S_CON.]]</f>
        <v/>
      </c>
      <c r="T14" s="3">
        <f>TABL1234[[#This Row],[(S/S) AJD]]+TABL1234[[#This Row],[(T/B) AJD]]</f>
        <v/>
      </c>
      <c r="U14" s="3" t="n"/>
      <c r="V14" s="3" t="n"/>
      <c r="W14" s="3">
        <f>TABL1234[[#This Row],[(A/B) AJD]]+TABL1234[[#This Row],[(A/S) AJD]]</f>
        <v/>
      </c>
      <c r="X14" s="3">
        <f>TABL1234[[#This Row],[( S/S+T/B) AJD]]-TABL1234[[#This Row],[(A/B + A/S) AJD]]</f>
        <v/>
      </c>
      <c r="Y14" s="4" t="n"/>
      <c r="Z14" s="3" t="n"/>
      <c r="AA14" s="3">
        <f>TABL1234[[#This Row],[(RESV. STORGE) AJD]]/10</f>
        <v/>
      </c>
      <c r="AB14" s="3">
        <f>IF(TRIM(Z14)="",,(Z14-Z13)/1000)</f>
        <v/>
      </c>
      <c r="AC14" s="6" t="n"/>
      <c r="AD14" s="5">
        <f>TABL1234[[#This Row],[( S/S+T/B) AJD]]-(TABL1234[[#This Row],[(A/B + A/S) AJD]]+(TABL1234[[#This Row],[(STORGE DIFF.) AJD]]*1000)+TABL1234[[#This Row],[AJD_Evaporation]])</f>
        <v/>
      </c>
      <c r="AE14" s="6" t="n"/>
      <c r="AF14" s="33" t="n"/>
      <c r="AG14" s="6" t="n"/>
      <c r="AH14" s="6" t="n"/>
      <c r="AI14" s="6" t="n"/>
      <c r="AJ14" s="6">
        <f>TABL1234[[#This Row],[(A/B) AJD]]-TABL1234[[#This Row],[BER_IN]]</f>
        <v/>
      </c>
      <c r="AK14" s="33" t="n"/>
      <c r="AL14" s="6" t="n"/>
      <c r="AM14" s="6" t="n"/>
      <c r="AN14" s="32">
        <f>TABL1234[[#This Row],[ (RESV. STORGE) SER]]/10</f>
        <v/>
      </c>
      <c r="AO14" s="68" t="n"/>
      <c r="AP14" s="68">
        <f>TABL1234[[#This Row],[(A/S) AJD]]-TABL1234[[#This Row],[SER_IN]]</f>
        <v/>
      </c>
    </row>
    <row r="15" ht="18.75" customHeight="1">
      <c r="A15" s="2" t="n">
        <v>46401</v>
      </c>
      <c r="B15" s="28" t="n"/>
      <c r="C15" s="28" t="n"/>
      <c r="D15" s="28" t="n"/>
      <c r="E15" s="28" t="n"/>
      <c r="F15" s="28" t="n"/>
      <c r="G15" s="28" t="n"/>
      <c r="H15" s="28">
        <f>103-F15</f>
        <v/>
      </c>
      <c r="I15" s="28" t="n"/>
      <c r="J15" s="28" t="n"/>
      <c r="K15" s="28">
        <f>TABL1234[[#This Row],[ (T/B) SAR]]+TABL1234[[#This Row],[ (S/S) SAR]]</f>
        <v/>
      </c>
      <c r="L15" s="28" t="n"/>
      <c r="M15" s="29" t="n"/>
      <c r="N15" s="30" t="n"/>
      <c r="O15" s="3" t="n"/>
      <c r="P15" s="3">
        <f>TABL1234[[#This Row],[ (S/S) SAR]]-TABL1234[[#This Row],[(S/S) AJD]]</f>
        <v/>
      </c>
      <c r="Q15" s="3" t="n"/>
      <c r="R15" s="3">
        <f>TABL1234[[#This Row],[ (T/B) SAR]]-TABL1234[[#This Row],[(T/B) AJD]]</f>
        <v/>
      </c>
      <c r="S15" s="3">
        <f>TABL1234[[#This Row],[T/B-CON.]]+TABL1234[[#This Row],[S/S_CON.]]</f>
        <v/>
      </c>
      <c r="T15" s="3">
        <f>TABL1234[[#This Row],[(S/S) AJD]]+TABL1234[[#This Row],[(T/B) AJD]]</f>
        <v/>
      </c>
      <c r="U15" s="3" t="n"/>
      <c r="V15" s="3" t="n"/>
      <c r="W15" s="3">
        <f>TABL1234[[#This Row],[(A/B) AJD]]+TABL1234[[#This Row],[(A/S) AJD]]</f>
        <v/>
      </c>
      <c r="X15" s="3">
        <f>TABL1234[[#This Row],[( S/S+T/B) AJD]]-TABL1234[[#This Row],[(A/B + A/S) AJD]]</f>
        <v/>
      </c>
      <c r="Y15" s="4" t="n"/>
      <c r="Z15" s="3" t="n"/>
      <c r="AA15" s="3">
        <f>TABL1234[[#This Row],[(RESV. STORGE) AJD]]/10</f>
        <v/>
      </c>
      <c r="AB15" s="3">
        <f>IF(TRIM(Z15)="",,(Z15-Z14)/1000)</f>
        <v/>
      </c>
      <c r="AC15" s="6" t="n"/>
      <c r="AD15" s="5">
        <f>TABL1234[[#This Row],[( S/S+T/B) AJD]]-(TABL1234[[#This Row],[(A/B + A/S) AJD]]+(TABL1234[[#This Row],[(STORGE DIFF.) AJD]]*1000)+TABL1234[[#This Row],[AJD_Evaporation]])</f>
        <v/>
      </c>
      <c r="AE15" s="6" t="n"/>
      <c r="AF15" s="33" t="n"/>
      <c r="AG15" s="6" t="n"/>
      <c r="AH15" s="6" t="n"/>
      <c r="AI15" s="6" t="n"/>
      <c r="AJ15" s="6">
        <f>TABL1234[[#This Row],[(A/B) AJD]]-TABL1234[[#This Row],[BER_IN]]</f>
        <v/>
      </c>
      <c r="AK15" s="33" t="n"/>
      <c r="AL15" s="6" t="n"/>
      <c r="AM15" s="6" t="n"/>
      <c r="AN15" s="32">
        <f>TABL1234[[#This Row],[ (RESV. STORGE) SER]]/10</f>
        <v/>
      </c>
      <c r="AO15" s="68" t="n"/>
      <c r="AP15" s="68">
        <f>TABL1234[[#This Row],[(A/S) AJD]]-TABL1234[[#This Row],[SER_IN]]</f>
        <v/>
      </c>
    </row>
    <row r="16" ht="18.75" customHeight="1">
      <c r="A16" s="2" t="n">
        <v>46402</v>
      </c>
      <c r="B16" s="28" t="n"/>
      <c r="C16" s="28" t="n"/>
      <c r="D16" s="28" t="n"/>
      <c r="E16" s="28" t="n"/>
      <c r="F16" s="28" t="n"/>
      <c r="G16" s="28" t="n"/>
      <c r="H16" s="28">
        <f>103-F16</f>
        <v/>
      </c>
      <c r="I16" s="28" t="n"/>
      <c r="J16" s="28" t="n"/>
      <c r="K16" s="28">
        <f>TABL1234[[#This Row],[ (T/B) SAR]]+TABL1234[[#This Row],[ (S/S) SAR]]</f>
        <v/>
      </c>
      <c r="L16" s="28" t="n"/>
      <c r="M16" s="29" t="n"/>
      <c r="N16" s="30" t="n"/>
      <c r="O16" s="3" t="n"/>
      <c r="P16" s="3">
        <f>TABL1234[[#This Row],[ (S/S) SAR]]-TABL1234[[#This Row],[(S/S) AJD]]</f>
        <v/>
      </c>
      <c r="Q16" s="3" t="n"/>
      <c r="R16" s="3">
        <f>TABL1234[[#This Row],[ (T/B) SAR]]-TABL1234[[#This Row],[(T/B) AJD]]</f>
        <v/>
      </c>
      <c r="S16" s="3">
        <f>TABL1234[[#This Row],[T/B-CON.]]+TABL1234[[#This Row],[S/S_CON.]]</f>
        <v/>
      </c>
      <c r="T16" s="3">
        <f>TABL1234[[#This Row],[(S/S) AJD]]+TABL1234[[#This Row],[(T/B) AJD]]</f>
        <v/>
      </c>
      <c r="U16" s="3" t="n"/>
      <c r="V16" s="3" t="n"/>
      <c r="W16" s="3">
        <f>TABL1234[[#This Row],[(A/B) AJD]]+TABL1234[[#This Row],[(A/S) AJD]]</f>
        <v/>
      </c>
      <c r="X16" s="3">
        <f>TABL1234[[#This Row],[( S/S+T/B) AJD]]-TABL1234[[#This Row],[(A/B + A/S) AJD]]</f>
        <v/>
      </c>
      <c r="Y16" s="4" t="n"/>
      <c r="Z16" s="3" t="n"/>
      <c r="AA16" s="3">
        <f>TABL1234[[#This Row],[(RESV. STORGE) AJD]]/10</f>
        <v/>
      </c>
      <c r="AB16" s="3">
        <f>IF(TRIM(Z16)="",,(Z16-Z15)/1000)</f>
        <v/>
      </c>
      <c r="AC16" s="6" t="n"/>
      <c r="AD16" s="5">
        <f>TABL1234[[#This Row],[( S/S+T/B) AJD]]-(TABL1234[[#This Row],[(A/B + A/S) AJD]]+(TABL1234[[#This Row],[(STORGE DIFF.) AJD]]*1000)+TABL1234[[#This Row],[AJD_Evaporation]])</f>
        <v/>
      </c>
      <c r="AE16" s="6" t="n"/>
      <c r="AF16" s="33" t="n"/>
      <c r="AG16" s="6" t="n"/>
      <c r="AH16" s="6" t="n"/>
      <c r="AI16" s="6" t="n"/>
      <c r="AJ16" s="6">
        <f>TABL1234[[#This Row],[(A/B) AJD]]-TABL1234[[#This Row],[BER_IN]]</f>
        <v/>
      </c>
      <c r="AK16" s="33" t="n"/>
      <c r="AL16" s="6" t="n"/>
      <c r="AM16" s="6" t="n"/>
      <c r="AN16" s="32">
        <f>TABL1234[[#This Row],[ (RESV. STORGE) SER]]/10</f>
        <v/>
      </c>
      <c r="AO16" s="68" t="n"/>
      <c r="AP16" s="68">
        <f>TABL1234[[#This Row],[(A/S) AJD]]-TABL1234[[#This Row],[SER_IN]]</f>
        <v/>
      </c>
    </row>
    <row r="17" ht="18.75" customHeight="1">
      <c r="A17" s="2" t="n">
        <v>46403</v>
      </c>
      <c r="B17" s="28" t="n"/>
      <c r="C17" s="28" t="n"/>
      <c r="D17" s="28" t="n"/>
      <c r="E17" s="28" t="n"/>
      <c r="F17" s="28" t="n"/>
      <c r="G17" s="28" t="n"/>
      <c r="H17" s="28">
        <f>103-F17</f>
        <v/>
      </c>
      <c r="I17" s="28" t="n"/>
      <c r="J17" s="28" t="n"/>
      <c r="K17" s="28">
        <f>TABL1234[[#This Row],[ (T/B) SAR]]+TABL1234[[#This Row],[ (S/S) SAR]]</f>
        <v/>
      </c>
      <c r="L17" s="28" t="n"/>
      <c r="M17" s="29" t="n"/>
      <c r="N17" s="30" t="n"/>
      <c r="O17" s="3" t="n"/>
      <c r="P17" s="3">
        <f>TABL1234[[#This Row],[ (S/S) SAR]]-TABL1234[[#This Row],[(S/S) AJD]]</f>
        <v/>
      </c>
      <c r="Q17" s="3" t="n"/>
      <c r="R17" s="3">
        <f>TABL1234[[#This Row],[ (T/B) SAR]]-TABL1234[[#This Row],[(T/B) AJD]]</f>
        <v/>
      </c>
      <c r="S17" s="3">
        <f>TABL1234[[#This Row],[T/B-CON.]]+TABL1234[[#This Row],[S/S_CON.]]</f>
        <v/>
      </c>
      <c r="T17" s="3">
        <f>TABL1234[[#This Row],[(S/S) AJD]]+TABL1234[[#This Row],[(T/B) AJD]]</f>
        <v/>
      </c>
      <c r="U17" s="3" t="n"/>
      <c r="V17" s="3" t="n"/>
      <c r="W17" s="3">
        <f>TABL1234[[#This Row],[(A/B) AJD]]+TABL1234[[#This Row],[(A/S) AJD]]</f>
        <v/>
      </c>
      <c r="X17" s="3">
        <f>TABL1234[[#This Row],[( S/S+T/B) AJD]]-TABL1234[[#This Row],[(A/B + A/S) AJD]]</f>
        <v/>
      </c>
      <c r="Y17" s="4" t="n"/>
      <c r="Z17" s="3" t="n"/>
      <c r="AA17" s="3">
        <f>TABL1234[[#This Row],[(RESV. STORGE) AJD]]/10</f>
        <v/>
      </c>
      <c r="AB17" s="3">
        <f>IF(TRIM(Z17)="",,(Z17-Z16)/1000)</f>
        <v/>
      </c>
      <c r="AC17" s="6" t="n"/>
      <c r="AD17" s="5">
        <f>TABL1234[[#This Row],[( S/S+T/B) AJD]]-(TABL1234[[#This Row],[(A/B + A/S) AJD]]+(TABL1234[[#This Row],[(STORGE DIFF.) AJD]]*1000)+TABL1234[[#This Row],[AJD_Evaporation]])</f>
        <v/>
      </c>
      <c r="AE17" s="6" t="n"/>
      <c r="AF17" s="33" t="n"/>
      <c r="AG17" s="6" t="n"/>
      <c r="AH17" s="6" t="n"/>
      <c r="AI17" s="6" t="n"/>
      <c r="AJ17" s="6">
        <f>TABL1234[[#This Row],[(A/B) AJD]]-TABL1234[[#This Row],[BER_IN]]</f>
        <v/>
      </c>
      <c r="AK17" s="33" t="n"/>
      <c r="AL17" s="6" t="n"/>
      <c r="AM17" s="6" t="n"/>
      <c r="AN17" s="32">
        <f>TABL1234[[#This Row],[ (RESV. STORGE) SER]]/10</f>
        <v/>
      </c>
      <c r="AO17" s="68" t="n"/>
      <c r="AP17" s="68">
        <f>TABL1234[[#This Row],[(A/S) AJD]]-TABL1234[[#This Row],[SER_IN]]</f>
        <v/>
      </c>
    </row>
    <row r="18" ht="18.75" customHeight="1">
      <c r="A18" s="2" t="n">
        <v>46404</v>
      </c>
      <c r="B18" s="28" t="n"/>
      <c r="C18" s="28" t="n"/>
      <c r="D18" s="28" t="n"/>
      <c r="E18" s="28" t="n"/>
      <c r="F18" s="28" t="n"/>
      <c r="G18" s="28" t="n"/>
      <c r="H18" s="28">
        <f>103-F18</f>
        <v/>
      </c>
      <c r="I18" s="28" t="n"/>
      <c r="J18" s="28" t="n"/>
      <c r="K18" s="28">
        <f>TABL1234[[#This Row],[ (T/B) SAR]]+TABL1234[[#This Row],[ (S/S) SAR]]</f>
        <v/>
      </c>
      <c r="L18" s="28" t="n"/>
      <c r="M18" s="29" t="n"/>
      <c r="N18" s="30" t="n"/>
      <c r="O18" s="3" t="n"/>
      <c r="P18" s="3">
        <f>TABL1234[[#This Row],[ (S/S) SAR]]-TABL1234[[#This Row],[(S/S) AJD]]</f>
        <v/>
      </c>
      <c r="Q18" s="3" t="n"/>
      <c r="R18" s="3">
        <f>TABL1234[[#This Row],[ (T/B) SAR]]-TABL1234[[#This Row],[(T/B) AJD]]</f>
        <v/>
      </c>
      <c r="S18" s="3">
        <f>TABL1234[[#This Row],[T/B-CON.]]+TABL1234[[#This Row],[S/S_CON.]]</f>
        <v/>
      </c>
      <c r="T18" s="3">
        <f>TABL1234[[#This Row],[(S/S) AJD]]+TABL1234[[#This Row],[(T/B) AJD]]</f>
        <v/>
      </c>
      <c r="U18" s="3" t="n"/>
      <c r="V18" s="3" t="n"/>
      <c r="W18" s="3">
        <f>TABL1234[[#This Row],[(A/B) AJD]]+TABL1234[[#This Row],[(A/S) AJD]]</f>
        <v/>
      </c>
      <c r="X18" s="3">
        <f>TABL1234[[#This Row],[( S/S+T/B) AJD]]-TABL1234[[#This Row],[(A/B + A/S) AJD]]</f>
        <v/>
      </c>
      <c r="Y18" s="4" t="n"/>
      <c r="Z18" s="3" t="n"/>
      <c r="AA18" s="3">
        <f>TABL1234[[#This Row],[(RESV. STORGE) AJD]]/10</f>
        <v/>
      </c>
      <c r="AB18" s="3">
        <f>IF(TRIM(Z18)="",,(Z18-Z17)/1000)</f>
        <v/>
      </c>
      <c r="AC18" s="6" t="n"/>
      <c r="AD18" s="5">
        <f>TABL1234[[#This Row],[( S/S+T/B) AJD]]-(TABL1234[[#This Row],[(A/B + A/S) AJD]]+(TABL1234[[#This Row],[(STORGE DIFF.) AJD]]*1000)+TABL1234[[#This Row],[AJD_Evaporation]])</f>
        <v/>
      </c>
      <c r="AE18" s="6" t="n"/>
      <c r="AF18" s="33" t="n"/>
      <c r="AG18" s="6" t="n"/>
      <c r="AH18" s="6" t="n"/>
      <c r="AI18" s="6" t="n"/>
      <c r="AJ18" s="6">
        <f>TABL1234[[#This Row],[(A/B) AJD]]-TABL1234[[#This Row],[BER_IN]]</f>
        <v/>
      </c>
      <c r="AK18" s="33" t="n"/>
      <c r="AL18" s="6" t="n"/>
      <c r="AM18" s="6" t="n"/>
      <c r="AN18" s="32">
        <f>TABL1234[[#This Row],[ (RESV. STORGE) SER]]/10</f>
        <v/>
      </c>
      <c r="AO18" s="68" t="n"/>
      <c r="AP18" s="68">
        <f>TABL1234[[#This Row],[(A/S) AJD]]-TABL1234[[#This Row],[SER_IN]]</f>
        <v/>
      </c>
    </row>
    <row r="19" ht="18.75" customHeight="1">
      <c r="A19" s="2" t="n">
        <v>46405</v>
      </c>
      <c r="B19" s="28" t="n"/>
      <c r="C19" s="28" t="n"/>
      <c r="D19" s="28" t="n"/>
      <c r="E19" s="28" t="n"/>
      <c r="F19" s="28" t="n"/>
      <c r="G19" s="28" t="n"/>
      <c r="H19" s="28">
        <f>103-F19</f>
        <v/>
      </c>
      <c r="I19" s="28" t="n"/>
      <c r="J19" s="28" t="n"/>
      <c r="K19" s="28">
        <f>TABL1234[[#This Row],[ (T/B) SAR]]+TABL1234[[#This Row],[ (S/S) SAR]]</f>
        <v/>
      </c>
      <c r="L19" s="28" t="n"/>
      <c r="M19" s="29" t="n"/>
      <c r="N19" s="30" t="n"/>
      <c r="O19" s="3" t="n"/>
      <c r="P19" s="3">
        <f>TABL1234[[#This Row],[ (S/S) SAR]]-TABL1234[[#This Row],[(S/S) AJD]]</f>
        <v/>
      </c>
      <c r="Q19" s="3" t="n"/>
      <c r="R19" s="3">
        <f>TABL1234[[#This Row],[ (T/B) SAR]]-TABL1234[[#This Row],[(T/B) AJD]]</f>
        <v/>
      </c>
      <c r="S19" s="3">
        <f>TABL1234[[#This Row],[T/B-CON.]]+TABL1234[[#This Row],[S/S_CON.]]</f>
        <v/>
      </c>
      <c r="T19" s="3">
        <f>TABL1234[[#This Row],[(S/S) AJD]]+TABL1234[[#This Row],[(T/B) AJD]]</f>
        <v/>
      </c>
      <c r="U19" s="3" t="n"/>
      <c r="V19" s="3" t="n"/>
      <c r="W19" s="3">
        <f>TABL1234[[#This Row],[(A/B) AJD]]+TABL1234[[#This Row],[(A/S) AJD]]</f>
        <v/>
      </c>
      <c r="X19" s="3">
        <f>TABL1234[[#This Row],[( S/S+T/B) AJD]]-TABL1234[[#This Row],[(A/B + A/S) AJD]]</f>
        <v/>
      </c>
      <c r="Y19" s="4" t="n"/>
      <c r="Z19" s="3" t="n"/>
      <c r="AA19" s="3">
        <f>TABL1234[[#This Row],[(RESV. STORGE) AJD]]/10</f>
        <v/>
      </c>
      <c r="AB19" s="3">
        <f>IF(TRIM(Z19)="",,(Z19-Z18)/1000)</f>
        <v/>
      </c>
      <c r="AC19" s="6" t="n"/>
      <c r="AD19" s="5">
        <f>TABL1234[[#This Row],[( S/S+T/B) AJD]]-(TABL1234[[#This Row],[(A/B + A/S) AJD]]+(TABL1234[[#This Row],[(STORGE DIFF.) AJD]]*1000)+TABL1234[[#This Row],[AJD_Evaporation]])</f>
        <v/>
      </c>
      <c r="AE19" s="6" t="n"/>
      <c r="AF19" s="33" t="n"/>
      <c r="AG19" s="6" t="n"/>
      <c r="AH19" s="6" t="n"/>
      <c r="AI19" s="6" t="n"/>
      <c r="AJ19" s="6">
        <f>TABL1234[[#This Row],[(A/B) AJD]]-TABL1234[[#This Row],[BER_IN]]</f>
        <v/>
      </c>
      <c r="AK19" s="33" t="n"/>
      <c r="AL19" s="6" t="n"/>
      <c r="AM19" s="6" t="n"/>
      <c r="AN19" s="32">
        <f>TABL1234[[#This Row],[ (RESV. STORGE) SER]]/10</f>
        <v/>
      </c>
      <c r="AO19" s="68" t="n"/>
      <c r="AP19" s="68">
        <f>TABL1234[[#This Row],[(A/S) AJD]]-TABL1234[[#This Row],[SER_IN]]</f>
        <v/>
      </c>
    </row>
    <row r="20" ht="18.75" customHeight="1">
      <c r="A20" s="2" t="n">
        <v>46406</v>
      </c>
      <c r="B20" s="28" t="n"/>
      <c r="C20" s="28" t="n"/>
      <c r="D20" s="28" t="n"/>
      <c r="E20" s="28" t="n"/>
      <c r="F20" s="28" t="n"/>
      <c r="G20" s="28" t="n"/>
      <c r="H20" s="28">
        <f>103-F20</f>
        <v/>
      </c>
      <c r="I20" s="28" t="n"/>
      <c r="J20" s="28" t="n"/>
      <c r="K20" s="28">
        <f>TABL1234[[#This Row],[ (T/B) SAR]]+TABL1234[[#This Row],[ (S/S) SAR]]</f>
        <v/>
      </c>
      <c r="L20" s="28" t="n"/>
      <c r="M20" s="29" t="n"/>
      <c r="N20" s="30" t="n"/>
      <c r="O20" s="3" t="n"/>
      <c r="P20" s="3">
        <f>TABL1234[[#This Row],[ (S/S) SAR]]-TABL1234[[#This Row],[(S/S) AJD]]</f>
        <v/>
      </c>
      <c r="Q20" s="3" t="n"/>
      <c r="R20" s="3">
        <f>TABL1234[[#This Row],[ (T/B) SAR]]-TABL1234[[#This Row],[(T/B) AJD]]</f>
        <v/>
      </c>
      <c r="S20" s="3">
        <f>TABL1234[[#This Row],[T/B-CON.]]+TABL1234[[#This Row],[S/S_CON.]]</f>
        <v/>
      </c>
      <c r="T20" s="3">
        <f>TABL1234[[#This Row],[(S/S) AJD]]+TABL1234[[#This Row],[(T/B) AJD]]</f>
        <v/>
      </c>
      <c r="U20" s="3" t="n"/>
      <c r="V20" s="3" t="n"/>
      <c r="W20" s="3">
        <f>TABL1234[[#This Row],[(A/B) AJD]]+TABL1234[[#This Row],[(A/S) AJD]]</f>
        <v/>
      </c>
      <c r="X20" s="3">
        <f>TABL1234[[#This Row],[( S/S+T/B) AJD]]-TABL1234[[#This Row],[(A/B + A/S) AJD]]</f>
        <v/>
      </c>
      <c r="Y20" s="4" t="n"/>
      <c r="Z20" s="3" t="n"/>
      <c r="AA20" s="3">
        <f>TABL1234[[#This Row],[(RESV. STORGE) AJD]]/10</f>
        <v/>
      </c>
      <c r="AB20" s="3">
        <f>IF(TRIM(Z20)="",,(Z20-Z19)/1000)</f>
        <v/>
      </c>
      <c r="AC20" s="6" t="n"/>
      <c r="AD20" s="5">
        <f>TABL1234[[#This Row],[( S/S+T/B) AJD]]-(TABL1234[[#This Row],[(A/B + A/S) AJD]]+(TABL1234[[#This Row],[(STORGE DIFF.) AJD]]*1000)+TABL1234[[#This Row],[AJD_Evaporation]])</f>
        <v/>
      </c>
      <c r="AE20" s="6" t="n"/>
      <c r="AF20" s="33" t="n"/>
      <c r="AG20" s="6" t="n"/>
      <c r="AH20" s="6" t="n"/>
      <c r="AI20" s="6" t="n"/>
      <c r="AJ20" s="6">
        <f>TABL1234[[#This Row],[(A/B) AJD]]-TABL1234[[#This Row],[BER_IN]]</f>
        <v/>
      </c>
      <c r="AK20" s="33" t="n"/>
      <c r="AL20" s="6" t="n"/>
      <c r="AM20" s="6" t="n"/>
      <c r="AN20" s="32">
        <f>TABL1234[[#This Row],[ (RESV. STORGE) SER]]/10</f>
        <v/>
      </c>
      <c r="AO20" s="68" t="n"/>
      <c r="AP20" s="68">
        <f>TABL1234[[#This Row],[(A/S) AJD]]-TABL1234[[#This Row],[SER_IN]]</f>
        <v/>
      </c>
    </row>
    <row r="21" ht="18.75" customHeight="1">
      <c r="A21" s="2" t="n">
        <v>46407</v>
      </c>
      <c r="B21" s="28" t="n"/>
      <c r="C21" s="28" t="n"/>
      <c r="D21" s="28" t="n"/>
      <c r="E21" s="28" t="n"/>
      <c r="F21" s="28" t="n"/>
      <c r="G21" s="28" t="n"/>
      <c r="H21" s="28">
        <f>103-F21</f>
        <v/>
      </c>
      <c r="I21" s="28" t="n"/>
      <c r="J21" s="28" t="n"/>
      <c r="K21" s="28">
        <f>TABL1234[[#This Row],[ (T/B) SAR]]+TABL1234[[#This Row],[ (S/S) SAR]]</f>
        <v/>
      </c>
      <c r="L21" s="28" t="n"/>
      <c r="M21" s="29" t="n"/>
      <c r="N21" s="30" t="n"/>
      <c r="O21" s="3" t="n"/>
      <c r="P21" s="3">
        <f>TABL1234[[#This Row],[ (S/S) SAR]]-TABL1234[[#This Row],[(S/S) AJD]]</f>
        <v/>
      </c>
      <c r="Q21" s="3" t="n"/>
      <c r="R21" s="3">
        <f>TABL1234[[#This Row],[ (T/B) SAR]]-TABL1234[[#This Row],[(T/B) AJD]]</f>
        <v/>
      </c>
      <c r="S21" s="3">
        <f>TABL1234[[#This Row],[T/B-CON.]]+TABL1234[[#This Row],[S/S_CON.]]</f>
        <v/>
      </c>
      <c r="T21" s="3">
        <f>TABL1234[[#This Row],[(S/S) AJD]]+TABL1234[[#This Row],[(T/B) AJD]]</f>
        <v/>
      </c>
      <c r="U21" s="3" t="n"/>
      <c r="V21" s="3" t="n"/>
      <c r="W21" s="3">
        <f>TABL1234[[#This Row],[(A/B) AJD]]+TABL1234[[#This Row],[(A/S) AJD]]</f>
        <v/>
      </c>
      <c r="X21" s="3">
        <f>TABL1234[[#This Row],[( S/S+T/B) AJD]]-TABL1234[[#This Row],[(A/B + A/S) AJD]]</f>
        <v/>
      </c>
      <c r="Y21" s="4" t="n"/>
      <c r="Z21" s="3" t="n"/>
      <c r="AA21" s="3">
        <f>TABL1234[[#This Row],[(RESV. STORGE) AJD]]/10</f>
        <v/>
      </c>
      <c r="AB21" s="3">
        <f>IF(TRIM(Z21)="",,(Z21-Z20)/1000)</f>
        <v/>
      </c>
      <c r="AC21" s="6" t="n"/>
      <c r="AD21" s="5">
        <f>TABL1234[[#This Row],[( S/S+T/B) AJD]]-(TABL1234[[#This Row],[(A/B + A/S) AJD]]+(TABL1234[[#This Row],[(STORGE DIFF.) AJD]]*1000)+TABL1234[[#This Row],[AJD_Evaporation]])</f>
        <v/>
      </c>
      <c r="AE21" s="6" t="n"/>
      <c r="AF21" s="33" t="n"/>
      <c r="AG21" s="6" t="n"/>
      <c r="AH21" s="6" t="n"/>
      <c r="AI21" s="6" t="n"/>
      <c r="AJ21" s="6">
        <f>TABL1234[[#This Row],[(A/B) AJD]]-TABL1234[[#This Row],[BER_IN]]</f>
        <v/>
      </c>
      <c r="AK21" s="33" t="n"/>
      <c r="AL21" s="6" t="n"/>
      <c r="AM21" s="6" t="n"/>
      <c r="AN21" s="32">
        <f>TABL1234[[#This Row],[ (RESV. STORGE) SER]]/10</f>
        <v/>
      </c>
      <c r="AO21" s="68" t="n"/>
      <c r="AP21" s="68">
        <f>TABL1234[[#This Row],[(A/S) AJD]]-TABL1234[[#This Row],[SER_IN]]</f>
        <v/>
      </c>
    </row>
    <row r="22" ht="18.75" customHeight="1">
      <c r="A22" s="2" t="n">
        <v>46408</v>
      </c>
      <c r="B22" s="28" t="n"/>
      <c r="C22" s="28" t="n"/>
      <c r="D22" s="28" t="n"/>
      <c r="E22" s="28" t="n"/>
      <c r="F22" s="28" t="n"/>
      <c r="G22" s="28" t="n"/>
      <c r="H22" s="28">
        <f>103-F22</f>
        <v/>
      </c>
      <c r="I22" s="28" t="n"/>
      <c r="J22" s="28" t="n"/>
      <c r="K22" s="28">
        <f>TABL1234[[#This Row],[ (T/B) SAR]]+TABL1234[[#This Row],[ (S/S) SAR]]</f>
        <v/>
      </c>
      <c r="L22" s="28" t="n"/>
      <c r="M22" s="29" t="n"/>
      <c r="N22" s="30" t="n"/>
      <c r="O22" s="3" t="n"/>
      <c r="P22" s="3">
        <f>TABL1234[[#This Row],[ (S/S) SAR]]-TABL1234[[#This Row],[(S/S) AJD]]</f>
        <v/>
      </c>
      <c r="Q22" s="3" t="n"/>
      <c r="R22" s="3">
        <f>TABL1234[[#This Row],[ (T/B) SAR]]-TABL1234[[#This Row],[(T/B) AJD]]</f>
        <v/>
      </c>
      <c r="S22" s="3">
        <f>TABL1234[[#This Row],[T/B-CON.]]+TABL1234[[#This Row],[S/S_CON.]]</f>
        <v/>
      </c>
      <c r="T22" s="3">
        <f>TABL1234[[#This Row],[(S/S) AJD]]+TABL1234[[#This Row],[(T/B) AJD]]</f>
        <v/>
      </c>
      <c r="U22" s="3" t="n"/>
      <c r="V22" s="3" t="n"/>
      <c r="W22" s="3">
        <f>TABL1234[[#This Row],[(A/B) AJD]]+TABL1234[[#This Row],[(A/S) AJD]]</f>
        <v/>
      </c>
      <c r="X22" s="3">
        <f>TABL1234[[#This Row],[( S/S+T/B) AJD]]-TABL1234[[#This Row],[(A/B + A/S) AJD]]</f>
        <v/>
      </c>
      <c r="Y22" s="4" t="n"/>
      <c r="Z22" s="3" t="n"/>
      <c r="AA22" s="3">
        <f>TABL1234[[#This Row],[(RESV. STORGE) AJD]]/10</f>
        <v/>
      </c>
      <c r="AB22" s="3">
        <f>IF(TRIM(Z22)="",,(Z22-Z21)/1000)</f>
        <v/>
      </c>
      <c r="AC22" s="6" t="n"/>
      <c r="AD22" s="5">
        <f>TABL1234[[#This Row],[( S/S+T/B) AJD]]-(TABL1234[[#This Row],[(A/B + A/S) AJD]]+(TABL1234[[#This Row],[(STORGE DIFF.) AJD]]*1000)+TABL1234[[#This Row],[AJD_Evaporation]])</f>
        <v/>
      </c>
      <c r="AE22" s="6" t="n"/>
      <c r="AF22" s="33" t="n"/>
      <c r="AG22" s="6" t="n"/>
      <c r="AH22" s="6" t="n"/>
      <c r="AI22" s="6" t="n"/>
      <c r="AJ22" s="6">
        <f>TABL1234[[#This Row],[(A/B) AJD]]-TABL1234[[#This Row],[BER_IN]]</f>
        <v/>
      </c>
      <c r="AK22" s="33" t="n"/>
      <c r="AL22" s="6" t="n"/>
      <c r="AM22" s="6" t="n"/>
      <c r="AN22" s="32">
        <f>TABL1234[[#This Row],[ (RESV. STORGE) SER]]/10</f>
        <v/>
      </c>
      <c r="AO22" s="68" t="n"/>
      <c r="AP22" s="68">
        <f>TABL1234[[#This Row],[(A/S) AJD]]-TABL1234[[#This Row],[SER_IN]]</f>
        <v/>
      </c>
    </row>
    <row r="23" ht="18.75" customHeight="1">
      <c r="A23" s="2" t="n">
        <v>46409</v>
      </c>
      <c r="B23" s="28" t="n"/>
      <c r="C23" s="28" t="n"/>
      <c r="D23" s="28" t="n"/>
      <c r="E23" s="28" t="n"/>
      <c r="F23" s="28" t="n"/>
      <c r="G23" s="28" t="n"/>
      <c r="H23" s="28">
        <f>103-F23</f>
        <v/>
      </c>
      <c r="I23" s="28" t="n"/>
      <c r="J23" s="28" t="n"/>
      <c r="K23" s="28">
        <f>TABL1234[[#This Row],[ (T/B) SAR]]+TABL1234[[#This Row],[ (S/S) SAR]]</f>
        <v/>
      </c>
      <c r="L23" s="28" t="n"/>
      <c r="M23" s="29" t="n"/>
      <c r="N23" s="30" t="n"/>
      <c r="O23" s="3" t="n"/>
      <c r="P23" s="3">
        <f>TABL1234[[#This Row],[ (S/S) SAR]]-TABL1234[[#This Row],[(S/S) AJD]]</f>
        <v/>
      </c>
      <c r="Q23" s="3" t="n"/>
      <c r="R23" s="3">
        <f>TABL1234[[#This Row],[ (T/B) SAR]]-TABL1234[[#This Row],[(T/B) AJD]]</f>
        <v/>
      </c>
      <c r="S23" s="3">
        <f>TABL1234[[#This Row],[T/B-CON.]]+TABL1234[[#This Row],[S/S_CON.]]</f>
        <v/>
      </c>
      <c r="T23" s="3">
        <f>TABL1234[[#This Row],[(S/S) AJD]]+TABL1234[[#This Row],[(T/B) AJD]]</f>
        <v/>
      </c>
      <c r="U23" s="3" t="n"/>
      <c r="V23" s="3" t="n"/>
      <c r="W23" s="3">
        <f>TABL1234[[#This Row],[(A/B) AJD]]+TABL1234[[#This Row],[(A/S) AJD]]</f>
        <v/>
      </c>
      <c r="X23" s="3">
        <f>TABL1234[[#This Row],[( S/S+T/B) AJD]]-TABL1234[[#This Row],[(A/B + A/S) AJD]]</f>
        <v/>
      </c>
      <c r="Y23" s="4" t="n"/>
      <c r="Z23" s="3" t="n"/>
      <c r="AA23" s="3">
        <f>TABL1234[[#This Row],[(RESV. STORGE) AJD]]/10</f>
        <v/>
      </c>
      <c r="AB23" s="3">
        <f>IF(TRIM(Z23)="",,(Z23-Z22)/1000)</f>
        <v/>
      </c>
      <c r="AC23" s="6" t="n"/>
      <c r="AD23" s="5">
        <f>TABL1234[[#This Row],[( S/S+T/B) AJD]]-(TABL1234[[#This Row],[(A/B + A/S) AJD]]+(TABL1234[[#This Row],[(STORGE DIFF.) AJD]]*1000)+TABL1234[[#This Row],[AJD_Evaporation]])</f>
        <v/>
      </c>
      <c r="AE23" s="6" t="n"/>
      <c r="AF23" s="33" t="n"/>
      <c r="AG23" s="6" t="n"/>
      <c r="AH23" s="6" t="n"/>
      <c r="AI23" s="6" t="n"/>
      <c r="AJ23" s="6">
        <f>TABL1234[[#This Row],[(A/B) AJD]]-TABL1234[[#This Row],[BER_IN]]</f>
        <v/>
      </c>
      <c r="AK23" s="33" t="n"/>
      <c r="AL23" s="6" t="n"/>
      <c r="AM23" s="6" t="n"/>
      <c r="AN23" s="32">
        <f>TABL1234[[#This Row],[ (RESV. STORGE) SER]]/10</f>
        <v/>
      </c>
      <c r="AO23" s="68" t="n"/>
      <c r="AP23" s="68">
        <f>TABL1234[[#This Row],[(A/S) AJD]]-TABL1234[[#This Row],[SER_IN]]</f>
        <v/>
      </c>
    </row>
    <row r="24" ht="18.75" customHeight="1">
      <c r="A24" s="2" t="n">
        <v>46410</v>
      </c>
      <c r="B24" s="28" t="n"/>
      <c r="C24" s="28" t="n"/>
      <c r="D24" s="28" t="n"/>
      <c r="E24" s="28" t="n"/>
      <c r="F24" s="28" t="n"/>
      <c r="G24" s="28" t="n"/>
      <c r="H24" s="28">
        <f>103-F24</f>
        <v/>
      </c>
      <c r="I24" s="28" t="n"/>
      <c r="J24" s="28" t="n"/>
      <c r="K24" s="28">
        <f>TABL1234[[#This Row],[ (T/B) SAR]]+TABL1234[[#This Row],[ (S/S) SAR]]</f>
        <v/>
      </c>
      <c r="L24" s="28" t="n"/>
      <c r="M24" s="29" t="n"/>
      <c r="N24" s="30" t="n"/>
      <c r="O24" s="3" t="n"/>
      <c r="P24" s="3">
        <f>TABL1234[[#This Row],[ (S/S) SAR]]-TABL1234[[#This Row],[(S/S) AJD]]</f>
        <v/>
      </c>
      <c r="Q24" s="3" t="n"/>
      <c r="R24" s="3">
        <f>TABL1234[[#This Row],[ (T/B) SAR]]-TABL1234[[#This Row],[(T/B) AJD]]</f>
        <v/>
      </c>
      <c r="S24" s="3">
        <f>TABL1234[[#This Row],[T/B-CON.]]+TABL1234[[#This Row],[S/S_CON.]]</f>
        <v/>
      </c>
      <c r="T24" s="3">
        <f>TABL1234[[#This Row],[(S/S) AJD]]+TABL1234[[#This Row],[(T/B) AJD]]</f>
        <v/>
      </c>
      <c r="U24" s="3" t="n"/>
      <c r="V24" s="3" t="n"/>
      <c r="W24" s="3">
        <f>TABL1234[[#This Row],[(A/B) AJD]]+TABL1234[[#This Row],[(A/S) AJD]]</f>
        <v/>
      </c>
      <c r="X24" s="3">
        <f>TABL1234[[#This Row],[( S/S+T/B) AJD]]-TABL1234[[#This Row],[(A/B + A/S) AJD]]</f>
        <v/>
      </c>
      <c r="Y24" s="4" t="n"/>
      <c r="Z24" s="3" t="n"/>
      <c r="AA24" s="3">
        <f>TABL1234[[#This Row],[(RESV. STORGE) AJD]]/10</f>
        <v/>
      </c>
      <c r="AB24" s="3">
        <f>IF(TRIM(Z24)="",,(Z24-Z23)/1000)</f>
        <v/>
      </c>
      <c r="AC24" s="6" t="n"/>
      <c r="AD24" s="5">
        <f>TABL1234[[#This Row],[( S/S+T/B) AJD]]-(TABL1234[[#This Row],[(A/B + A/S) AJD]]+(TABL1234[[#This Row],[(STORGE DIFF.) AJD]]*1000)+TABL1234[[#This Row],[AJD_Evaporation]])</f>
        <v/>
      </c>
      <c r="AE24" s="6" t="n"/>
      <c r="AF24" s="33" t="n"/>
      <c r="AG24" s="6" t="n"/>
      <c r="AH24" s="6" t="n"/>
      <c r="AI24" s="6" t="n"/>
      <c r="AJ24" s="6">
        <f>TABL1234[[#This Row],[(A/B) AJD]]-TABL1234[[#This Row],[BER_IN]]</f>
        <v/>
      </c>
      <c r="AK24" s="33" t="n"/>
      <c r="AL24" s="6" t="n"/>
      <c r="AM24" s="6" t="n"/>
      <c r="AN24" s="32">
        <f>TABL1234[[#This Row],[ (RESV. STORGE) SER]]/10</f>
        <v/>
      </c>
      <c r="AO24" s="68" t="n"/>
      <c r="AP24" s="68">
        <f>TABL1234[[#This Row],[(A/S) AJD]]-TABL1234[[#This Row],[SER_IN]]</f>
        <v/>
      </c>
    </row>
    <row r="25" ht="18.75" customHeight="1">
      <c r="A25" s="2" t="n">
        <v>46411</v>
      </c>
      <c r="B25" s="28" t="n"/>
      <c r="C25" s="28" t="n"/>
      <c r="D25" s="28" t="n"/>
      <c r="E25" s="28" t="n"/>
      <c r="F25" s="28" t="n"/>
      <c r="G25" s="28" t="n"/>
      <c r="H25" s="28">
        <f>103-F25</f>
        <v/>
      </c>
      <c r="I25" s="28" t="n"/>
      <c r="J25" s="28" t="n"/>
      <c r="K25" s="28">
        <f>TABL1234[[#This Row],[ (T/B) SAR]]+TABL1234[[#This Row],[ (S/S) SAR]]</f>
        <v/>
      </c>
      <c r="L25" s="28" t="n"/>
      <c r="M25" s="29" t="n"/>
      <c r="N25" s="30" t="n"/>
      <c r="O25" s="3" t="n"/>
      <c r="P25" s="3">
        <f>TABL1234[[#This Row],[ (S/S) SAR]]-TABL1234[[#This Row],[(S/S) AJD]]</f>
        <v/>
      </c>
      <c r="Q25" s="3" t="n"/>
      <c r="R25" s="3">
        <f>TABL1234[[#This Row],[ (T/B) SAR]]-TABL1234[[#This Row],[(T/B) AJD]]</f>
        <v/>
      </c>
      <c r="S25" s="3">
        <f>TABL1234[[#This Row],[T/B-CON.]]+TABL1234[[#This Row],[S/S_CON.]]</f>
        <v/>
      </c>
      <c r="T25" s="3">
        <f>TABL1234[[#This Row],[(S/S) AJD]]+TABL1234[[#This Row],[(T/B) AJD]]</f>
        <v/>
      </c>
      <c r="U25" s="3" t="n"/>
      <c r="V25" s="3" t="n"/>
      <c r="W25" s="3">
        <f>TABL1234[[#This Row],[(A/B) AJD]]+TABL1234[[#This Row],[(A/S) AJD]]</f>
        <v/>
      </c>
      <c r="X25" s="3">
        <f>TABL1234[[#This Row],[( S/S+T/B) AJD]]-TABL1234[[#This Row],[(A/B + A/S) AJD]]</f>
        <v/>
      </c>
      <c r="Y25" s="4" t="n"/>
      <c r="Z25" s="3" t="n"/>
      <c r="AA25" s="3">
        <f>TABL1234[[#This Row],[(RESV. STORGE) AJD]]/10</f>
        <v/>
      </c>
      <c r="AB25" s="3">
        <f>IF(TRIM(Z25)="",,(Z25-Z24)/1000)</f>
        <v/>
      </c>
      <c r="AC25" s="6" t="n"/>
      <c r="AD25" s="5">
        <f>TABL1234[[#This Row],[( S/S+T/B) AJD]]-(TABL1234[[#This Row],[(A/B + A/S) AJD]]+(TABL1234[[#This Row],[(STORGE DIFF.) AJD]]*1000)+TABL1234[[#This Row],[AJD_Evaporation]])</f>
        <v/>
      </c>
      <c r="AE25" s="6" t="n"/>
      <c r="AF25" s="33" t="n"/>
      <c r="AG25" s="6" t="n"/>
      <c r="AH25" s="6" t="n"/>
      <c r="AI25" s="6" t="n"/>
      <c r="AJ25" s="6">
        <f>TABL1234[[#This Row],[(A/B) AJD]]-TABL1234[[#This Row],[BER_IN]]</f>
        <v/>
      </c>
      <c r="AK25" s="33" t="n"/>
      <c r="AL25" s="6" t="n"/>
      <c r="AM25" s="6" t="n"/>
      <c r="AN25" s="32">
        <f>TABL1234[[#This Row],[ (RESV. STORGE) SER]]/10</f>
        <v/>
      </c>
      <c r="AO25" s="68" t="n"/>
      <c r="AP25" s="68">
        <f>TABL1234[[#This Row],[(A/S) AJD]]-TABL1234[[#This Row],[SER_IN]]</f>
        <v/>
      </c>
    </row>
    <row r="26" ht="18.75" customHeight="1">
      <c r="A26" s="2" t="n">
        <v>46412</v>
      </c>
      <c r="B26" s="28" t="n"/>
      <c r="C26" s="28" t="n"/>
      <c r="D26" s="28" t="n"/>
      <c r="E26" s="28" t="n"/>
      <c r="F26" s="28" t="n"/>
      <c r="G26" s="28" t="n"/>
      <c r="H26" s="28">
        <f>103-F26</f>
        <v/>
      </c>
      <c r="I26" s="28" t="n"/>
      <c r="J26" s="28" t="n"/>
      <c r="K26" s="28">
        <f>TABL1234[[#This Row],[ (T/B) SAR]]+TABL1234[[#This Row],[ (S/S) SAR]]</f>
        <v/>
      </c>
      <c r="L26" s="28" t="n"/>
      <c r="M26" s="29" t="n"/>
      <c r="N26" s="30" t="n"/>
      <c r="O26" s="3" t="n"/>
      <c r="P26" s="3">
        <f>TABL1234[[#This Row],[ (S/S) SAR]]-TABL1234[[#This Row],[(S/S) AJD]]</f>
        <v/>
      </c>
      <c r="Q26" s="3" t="n"/>
      <c r="R26" s="3">
        <f>TABL1234[[#This Row],[ (T/B) SAR]]-TABL1234[[#This Row],[(T/B) AJD]]</f>
        <v/>
      </c>
      <c r="S26" s="3">
        <f>TABL1234[[#This Row],[T/B-CON.]]+TABL1234[[#This Row],[S/S_CON.]]</f>
        <v/>
      </c>
      <c r="T26" s="3">
        <f>TABL1234[[#This Row],[(S/S) AJD]]+TABL1234[[#This Row],[(T/B) AJD]]</f>
        <v/>
      </c>
      <c r="U26" s="3" t="n"/>
      <c r="V26" s="3" t="n"/>
      <c r="W26" s="3">
        <f>TABL1234[[#This Row],[(A/B) AJD]]+TABL1234[[#This Row],[(A/S) AJD]]</f>
        <v/>
      </c>
      <c r="X26" s="3">
        <f>TABL1234[[#This Row],[( S/S+T/B) AJD]]-TABL1234[[#This Row],[(A/B + A/S) AJD]]</f>
        <v/>
      </c>
      <c r="Y26" s="4" t="n"/>
      <c r="Z26" s="3" t="n"/>
      <c r="AA26" s="3">
        <f>TABL1234[[#This Row],[(RESV. STORGE) AJD]]/10</f>
        <v/>
      </c>
      <c r="AB26" s="3">
        <f>IF(TRIM(Z26)="",,(Z26-Z25)/1000)</f>
        <v/>
      </c>
      <c r="AC26" s="6" t="n"/>
      <c r="AD26" s="5">
        <f>TABL1234[[#This Row],[( S/S+T/B) AJD]]-(TABL1234[[#This Row],[(A/B + A/S) AJD]]+(TABL1234[[#This Row],[(STORGE DIFF.) AJD]]*1000)+TABL1234[[#This Row],[AJD_Evaporation]])</f>
        <v/>
      </c>
      <c r="AE26" s="6" t="n"/>
      <c r="AF26" s="33" t="n"/>
      <c r="AG26" s="6" t="n"/>
      <c r="AH26" s="6" t="n"/>
      <c r="AI26" s="6" t="n"/>
      <c r="AJ26" s="6">
        <f>TABL1234[[#This Row],[(A/B) AJD]]-TABL1234[[#This Row],[BER_IN]]</f>
        <v/>
      </c>
      <c r="AK26" s="33" t="n"/>
      <c r="AL26" s="6" t="n"/>
      <c r="AM26" s="6" t="n"/>
      <c r="AN26" s="32">
        <f>TABL1234[[#This Row],[ (RESV. STORGE) SER]]/10</f>
        <v/>
      </c>
      <c r="AO26" s="68" t="n"/>
      <c r="AP26" s="68">
        <f>TABL1234[[#This Row],[(A/S) AJD]]-TABL1234[[#This Row],[SER_IN]]</f>
        <v/>
      </c>
    </row>
    <row r="27" ht="18.75" customHeight="1">
      <c r="A27" s="2" t="n">
        <v>46413</v>
      </c>
      <c r="B27" s="28" t="n"/>
      <c r="C27" s="28" t="n"/>
      <c r="D27" s="28" t="n"/>
      <c r="E27" s="28" t="n"/>
      <c r="F27" s="28" t="n"/>
      <c r="G27" s="28" t="n"/>
      <c r="H27" s="28">
        <f>103-F27</f>
        <v/>
      </c>
      <c r="I27" s="28" t="n"/>
      <c r="J27" s="28" t="n"/>
      <c r="K27" s="28">
        <f>TABL1234[[#This Row],[ (T/B) SAR]]+TABL1234[[#This Row],[ (S/S) SAR]]</f>
        <v/>
      </c>
      <c r="L27" s="28" t="n"/>
      <c r="M27" s="29" t="n"/>
      <c r="N27" s="30" t="n"/>
      <c r="O27" s="3" t="n"/>
      <c r="P27" s="3">
        <f>TABL1234[[#This Row],[ (S/S) SAR]]-TABL1234[[#This Row],[(S/S) AJD]]</f>
        <v/>
      </c>
      <c r="Q27" s="3" t="n"/>
      <c r="R27" s="3">
        <f>TABL1234[[#This Row],[ (T/B) SAR]]-TABL1234[[#This Row],[(T/B) AJD]]</f>
        <v/>
      </c>
      <c r="S27" s="3">
        <f>TABL1234[[#This Row],[T/B-CON.]]+TABL1234[[#This Row],[S/S_CON.]]</f>
        <v/>
      </c>
      <c r="T27" s="3">
        <f>TABL1234[[#This Row],[(S/S) AJD]]+TABL1234[[#This Row],[(T/B) AJD]]</f>
        <v/>
      </c>
      <c r="U27" s="3" t="n"/>
      <c r="V27" s="3" t="n"/>
      <c r="W27" s="3">
        <f>TABL1234[[#This Row],[(A/B) AJD]]+TABL1234[[#This Row],[(A/S) AJD]]</f>
        <v/>
      </c>
      <c r="X27" s="3">
        <f>TABL1234[[#This Row],[( S/S+T/B) AJD]]-TABL1234[[#This Row],[(A/B + A/S) AJD]]</f>
        <v/>
      </c>
      <c r="Y27" s="4" t="n"/>
      <c r="Z27" s="3" t="n"/>
      <c r="AA27" s="3">
        <f>TABL1234[[#This Row],[(RESV. STORGE) AJD]]/10</f>
        <v/>
      </c>
      <c r="AB27" s="3">
        <f>IF(TRIM(Z27)="",,(Z27-Z26)/1000)</f>
        <v/>
      </c>
      <c r="AC27" s="6" t="n"/>
      <c r="AD27" s="5">
        <f>TABL1234[[#This Row],[( S/S+T/B) AJD]]-(TABL1234[[#This Row],[(A/B + A/S) AJD]]+(TABL1234[[#This Row],[(STORGE DIFF.) AJD]]*1000)+TABL1234[[#This Row],[AJD_Evaporation]])</f>
        <v/>
      </c>
      <c r="AE27" s="6" t="n"/>
      <c r="AF27" s="33" t="n"/>
      <c r="AG27" s="6" t="n"/>
      <c r="AH27" s="6" t="n"/>
      <c r="AI27" s="6" t="n"/>
      <c r="AJ27" s="6">
        <f>TABL1234[[#This Row],[(A/B) AJD]]-TABL1234[[#This Row],[BER_IN]]</f>
        <v/>
      </c>
      <c r="AK27" s="33" t="n"/>
      <c r="AL27" s="6" t="n"/>
      <c r="AM27" s="6" t="n"/>
      <c r="AN27" s="32">
        <f>TABL1234[[#This Row],[ (RESV. STORGE) SER]]/10</f>
        <v/>
      </c>
      <c r="AO27" s="68" t="n"/>
      <c r="AP27" s="68">
        <f>TABL1234[[#This Row],[(A/S) AJD]]-TABL1234[[#This Row],[SER_IN]]</f>
        <v/>
      </c>
    </row>
    <row r="28" ht="18.75" customHeight="1">
      <c r="A28" s="2" t="n">
        <v>46414</v>
      </c>
      <c r="B28" s="28" t="n"/>
      <c r="C28" s="28" t="n"/>
      <c r="D28" s="28" t="n"/>
      <c r="E28" s="28" t="n"/>
      <c r="F28" s="28" t="n"/>
      <c r="G28" s="28" t="n"/>
      <c r="H28" s="28">
        <f>103-F28</f>
        <v/>
      </c>
      <c r="I28" s="28" t="n"/>
      <c r="J28" s="28" t="n"/>
      <c r="K28" s="28">
        <f>TABL1234[[#This Row],[ (T/B) SAR]]+TABL1234[[#This Row],[ (S/S) SAR]]</f>
        <v/>
      </c>
      <c r="L28" s="28" t="n"/>
      <c r="M28" s="29" t="n"/>
      <c r="N28" s="30" t="n"/>
      <c r="O28" s="3" t="n"/>
      <c r="P28" s="3">
        <f>TABL1234[[#This Row],[ (S/S) SAR]]-TABL1234[[#This Row],[(S/S) AJD]]</f>
        <v/>
      </c>
      <c r="Q28" s="3" t="n"/>
      <c r="R28" s="3">
        <f>TABL1234[[#This Row],[ (T/B) SAR]]-TABL1234[[#This Row],[(T/B) AJD]]</f>
        <v/>
      </c>
      <c r="S28" s="3">
        <f>TABL1234[[#This Row],[T/B-CON.]]+TABL1234[[#This Row],[S/S_CON.]]</f>
        <v/>
      </c>
      <c r="T28" s="3">
        <f>TABL1234[[#This Row],[(S/S) AJD]]+TABL1234[[#This Row],[(T/B) AJD]]</f>
        <v/>
      </c>
      <c r="U28" s="3" t="n"/>
      <c r="V28" s="3" t="n"/>
      <c r="W28" s="3">
        <f>TABL1234[[#This Row],[(A/B) AJD]]+TABL1234[[#This Row],[(A/S) AJD]]</f>
        <v/>
      </c>
      <c r="X28" s="3">
        <f>TABL1234[[#This Row],[( S/S+T/B) AJD]]-TABL1234[[#This Row],[(A/B + A/S) AJD]]</f>
        <v/>
      </c>
      <c r="Y28" s="4" t="n"/>
      <c r="Z28" s="3" t="n"/>
      <c r="AA28" s="3">
        <f>TABL1234[[#This Row],[(RESV. STORGE) AJD]]/10</f>
        <v/>
      </c>
      <c r="AB28" s="3">
        <f>IF(TRIM(Z28)="",,(Z28-Z27)/1000)</f>
        <v/>
      </c>
      <c r="AC28" s="6" t="n"/>
      <c r="AD28" s="5">
        <f>TABL1234[[#This Row],[( S/S+T/B) AJD]]-(TABL1234[[#This Row],[(A/B + A/S) AJD]]+(TABL1234[[#This Row],[(STORGE DIFF.) AJD]]*1000)+TABL1234[[#This Row],[AJD_Evaporation]])</f>
        <v/>
      </c>
      <c r="AE28" s="6" t="n"/>
      <c r="AF28" s="33" t="n"/>
      <c r="AG28" s="6" t="n"/>
      <c r="AH28" s="6" t="n"/>
      <c r="AI28" s="6" t="n"/>
      <c r="AJ28" s="6">
        <f>TABL1234[[#This Row],[(A/B) AJD]]-TABL1234[[#This Row],[BER_IN]]</f>
        <v/>
      </c>
      <c r="AK28" s="33" t="n"/>
      <c r="AL28" s="6" t="n"/>
      <c r="AM28" s="6" t="n"/>
      <c r="AN28" s="32">
        <f>TABL1234[[#This Row],[ (RESV. STORGE) SER]]/10</f>
        <v/>
      </c>
      <c r="AO28" s="68" t="n"/>
      <c r="AP28" s="68">
        <f>TABL1234[[#This Row],[(A/S) AJD]]-TABL1234[[#This Row],[SER_IN]]</f>
        <v/>
      </c>
    </row>
    <row r="29" ht="18.75" customHeight="1">
      <c r="A29" s="2" t="n">
        <v>46415</v>
      </c>
      <c r="B29" s="28" t="n"/>
      <c r="C29" s="28" t="n"/>
      <c r="D29" s="28" t="n"/>
      <c r="E29" s="28" t="n"/>
      <c r="F29" s="28" t="n"/>
      <c r="G29" s="28" t="n"/>
      <c r="H29" s="28">
        <f>103-F29</f>
        <v/>
      </c>
      <c r="I29" s="28" t="n"/>
      <c r="J29" s="28" t="n"/>
      <c r="K29" s="28">
        <f>TABL1234[[#This Row],[ (T/B) SAR]]+TABL1234[[#This Row],[ (S/S) SAR]]</f>
        <v/>
      </c>
      <c r="L29" s="28" t="n"/>
      <c r="M29" s="29" t="n"/>
      <c r="N29" s="30" t="n"/>
      <c r="O29" s="3" t="n"/>
      <c r="P29" s="3">
        <f>TABL1234[[#This Row],[ (S/S) SAR]]-TABL1234[[#This Row],[(S/S) AJD]]</f>
        <v/>
      </c>
      <c r="Q29" s="3" t="n"/>
      <c r="R29" s="3">
        <f>TABL1234[[#This Row],[ (T/B) SAR]]-TABL1234[[#This Row],[(T/B) AJD]]</f>
        <v/>
      </c>
      <c r="S29" s="3">
        <f>TABL1234[[#This Row],[T/B-CON.]]+TABL1234[[#This Row],[S/S_CON.]]</f>
        <v/>
      </c>
      <c r="T29" s="3">
        <f>TABL1234[[#This Row],[(S/S) AJD]]+TABL1234[[#This Row],[(T/B) AJD]]</f>
        <v/>
      </c>
      <c r="U29" s="3" t="n"/>
      <c r="V29" s="3" t="n"/>
      <c r="W29" s="3">
        <f>TABL1234[[#This Row],[(A/B) AJD]]+TABL1234[[#This Row],[(A/S) AJD]]</f>
        <v/>
      </c>
      <c r="X29" s="3">
        <f>TABL1234[[#This Row],[( S/S+T/B) AJD]]-TABL1234[[#This Row],[(A/B + A/S) AJD]]</f>
        <v/>
      </c>
      <c r="Y29" s="4" t="n"/>
      <c r="Z29" s="3" t="n"/>
      <c r="AA29" s="3">
        <f>TABL1234[[#This Row],[(RESV. STORGE) AJD]]/10</f>
        <v/>
      </c>
      <c r="AB29" s="3">
        <f>IF(TRIM(Z29)="",,(Z29-Z28)/1000)</f>
        <v/>
      </c>
      <c r="AC29" s="6" t="n"/>
      <c r="AD29" s="5">
        <f>TABL1234[[#This Row],[( S/S+T/B) AJD]]-(TABL1234[[#This Row],[(A/B + A/S) AJD]]+(TABL1234[[#This Row],[(STORGE DIFF.) AJD]]*1000)+TABL1234[[#This Row],[AJD_Evaporation]])</f>
        <v/>
      </c>
      <c r="AE29" s="6" t="n"/>
      <c r="AF29" s="33" t="n"/>
      <c r="AG29" s="6" t="n"/>
      <c r="AH29" s="6" t="n"/>
      <c r="AI29" s="6" t="n"/>
      <c r="AJ29" s="6">
        <f>TABL1234[[#This Row],[(A/B) AJD]]-TABL1234[[#This Row],[BER_IN]]</f>
        <v/>
      </c>
      <c r="AK29" s="33" t="n"/>
      <c r="AL29" s="6" t="n"/>
      <c r="AM29" s="6" t="n"/>
      <c r="AN29" s="32">
        <f>TABL1234[[#This Row],[ (RESV. STORGE) SER]]/10</f>
        <v/>
      </c>
      <c r="AO29" s="68" t="n"/>
      <c r="AP29" s="68">
        <f>TABL1234[[#This Row],[(A/S) AJD]]-TABL1234[[#This Row],[SER_IN]]</f>
        <v/>
      </c>
    </row>
    <row r="30" ht="18.75" customHeight="1">
      <c r="A30" s="2" t="n">
        <v>46416</v>
      </c>
      <c r="B30" s="28" t="n"/>
      <c r="C30" s="28" t="n"/>
      <c r="D30" s="28" t="n"/>
      <c r="E30" s="28" t="n"/>
      <c r="F30" s="28" t="n"/>
      <c r="G30" s="28" t="n"/>
      <c r="H30" s="28">
        <f>103-F30</f>
        <v/>
      </c>
      <c r="I30" s="28" t="n"/>
      <c r="J30" s="28" t="n"/>
      <c r="K30" s="28">
        <f>TABL1234[[#This Row],[ (T/B) SAR]]+TABL1234[[#This Row],[ (S/S) SAR]]</f>
        <v/>
      </c>
      <c r="L30" s="28" t="n"/>
      <c r="M30" s="29" t="n"/>
      <c r="N30" s="30" t="n"/>
      <c r="O30" s="3" t="n"/>
      <c r="P30" s="3">
        <f>TABL1234[[#This Row],[ (S/S) SAR]]-TABL1234[[#This Row],[(S/S) AJD]]</f>
        <v/>
      </c>
      <c r="Q30" s="3" t="n"/>
      <c r="R30" s="3">
        <f>TABL1234[[#This Row],[ (T/B) SAR]]-TABL1234[[#This Row],[(T/B) AJD]]</f>
        <v/>
      </c>
      <c r="S30" s="3">
        <f>TABL1234[[#This Row],[T/B-CON.]]+TABL1234[[#This Row],[S/S_CON.]]</f>
        <v/>
      </c>
      <c r="T30" s="3">
        <f>TABL1234[[#This Row],[(S/S) AJD]]+TABL1234[[#This Row],[(T/B) AJD]]</f>
        <v/>
      </c>
      <c r="U30" s="3" t="n"/>
      <c r="V30" s="3" t="n"/>
      <c r="W30" s="3">
        <f>TABL1234[[#This Row],[(A/B) AJD]]+TABL1234[[#This Row],[(A/S) AJD]]</f>
        <v/>
      </c>
      <c r="X30" s="3">
        <f>TABL1234[[#This Row],[( S/S+T/B) AJD]]-TABL1234[[#This Row],[(A/B + A/S) AJD]]</f>
        <v/>
      </c>
      <c r="Y30" s="4" t="n"/>
      <c r="Z30" s="3" t="n"/>
      <c r="AA30" s="3">
        <f>TABL1234[[#This Row],[(RESV. STORGE) AJD]]/10</f>
        <v/>
      </c>
      <c r="AB30" s="3">
        <f>IF(TRIM(Z30)="",,(Z30-Z29)/1000)</f>
        <v/>
      </c>
      <c r="AC30" s="6" t="n"/>
      <c r="AD30" s="5">
        <f>TABL1234[[#This Row],[( S/S+T/B) AJD]]-(TABL1234[[#This Row],[(A/B + A/S) AJD]]+(TABL1234[[#This Row],[(STORGE DIFF.) AJD]]*1000)+TABL1234[[#This Row],[AJD_Evaporation]])</f>
        <v/>
      </c>
      <c r="AE30" s="6" t="n"/>
      <c r="AF30" s="33" t="n"/>
      <c r="AG30" s="6" t="n"/>
      <c r="AH30" s="6" t="n"/>
      <c r="AI30" s="6" t="n"/>
      <c r="AJ30" s="6">
        <f>TABL1234[[#This Row],[(A/B) AJD]]-TABL1234[[#This Row],[BER_IN]]</f>
        <v/>
      </c>
      <c r="AK30" s="33" t="n"/>
      <c r="AL30" s="6" t="n"/>
      <c r="AM30" s="6" t="n"/>
      <c r="AN30" s="32">
        <f>TABL1234[[#This Row],[ (RESV. STORGE) SER]]/10</f>
        <v/>
      </c>
      <c r="AO30" s="68" t="n"/>
      <c r="AP30" s="68">
        <f>TABL1234[[#This Row],[(A/S) AJD]]-TABL1234[[#This Row],[SER_IN]]</f>
        <v/>
      </c>
    </row>
    <row r="31" ht="18.75" customHeight="1">
      <c r="A31" s="2" t="n">
        <v>46417</v>
      </c>
      <c r="B31" s="28" t="n"/>
      <c r="C31" s="28" t="n"/>
      <c r="D31" s="28" t="n"/>
      <c r="E31" s="28" t="n"/>
      <c r="F31" s="28" t="n"/>
      <c r="G31" s="28" t="n"/>
      <c r="H31" s="28">
        <f>103-F31</f>
        <v/>
      </c>
      <c r="I31" s="28" t="n"/>
      <c r="J31" s="28" t="n"/>
      <c r="K31" s="28">
        <f>TABL1234[[#This Row],[ (T/B) SAR]]+TABL1234[[#This Row],[ (S/S) SAR]]</f>
        <v/>
      </c>
      <c r="L31" s="28" t="n"/>
      <c r="M31" s="29" t="n"/>
      <c r="N31" s="30" t="n"/>
      <c r="O31" s="3" t="n"/>
      <c r="P31" s="3">
        <f>TABL1234[[#This Row],[ (S/S) SAR]]-TABL1234[[#This Row],[(S/S) AJD]]</f>
        <v/>
      </c>
      <c r="Q31" s="3" t="n"/>
      <c r="R31" s="3">
        <f>TABL1234[[#This Row],[ (T/B) SAR]]-TABL1234[[#This Row],[(T/B) AJD]]</f>
        <v/>
      </c>
      <c r="S31" s="3">
        <f>TABL1234[[#This Row],[T/B-CON.]]+TABL1234[[#This Row],[S/S_CON.]]</f>
        <v/>
      </c>
      <c r="T31" s="3">
        <f>TABL1234[[#This Row],[(S/S) AJD]]+TABL1234[[#This Row],[(T/B) AJD]]</f>
        <v/>
      </c>
      <c r="U31" s="3" t="n"/>
      <c r="V31" s="3" t="n"/>
      <c r="W31" s="3">
        <f>TABL1234[[#This Row],[(A/B) AJD]]+TABL1234[[#This Row],[(A/S) AJD]]</f>
        <v/>
      </c>
      <c r="X31" s="3">
        <f>TABL1234[[#This Row],[( S/S+T/B) AJD]]-TABL1234[[#This Row],[(A/B + A/S) AJD]]</f>
        <v/>
      </c>
      <c r="Y31" s="4" t="n"/>
      <c r="Z31" s="3" t="n"/>
      <c r="AA31" s="3">
        <f>TABL1234[[#This Row],[(RESV. STORGE) AJD]]/10</f>
        <v/>
      </c>
      <c r="AB31" s="3">
        <f>IF(TRIM(Z31)="",,(Z31-Z30)/1000)</f>
        <v/>
      </c>
      <c r="AC31" s="6" t="n"/>
      <c r="AD31" s="5">
        <f>TABL1234[[#This Row],[( S/S+T/B) AJD]]-(TABL1234[[#This Row],[(A/B + A/S) AJD]]+(TABL1234[[#This Row],[(STORGE DIFF.) AJD]]*1000)+TABL1234[[#This Row],[AJD_Evaporation]])</f>
        <v/>
      </c>
      <c r="AE31" s="6" t="n"/>
      <c r="AF31" s="33" t="n"/>
      <c r="AG31" s="6" t="n"/>
      <c r="AH31" s="6" t="n"/>
      <c r="AI31" s="6" t="n"/>
      <c r="AJ31" s="6">
        <f>TABL1234[[#This Row],[(A/B) AJD]]-TABL1234[[#This Row],[BER_IN]]</f>
        <v/>
      </c>
      <c r="AK31" s="33" t="n"/>
      <c r="AL31" s="6" t="n"/>
      <c r="AM31" s="6" t="n"/>
      <c r="AN31" s="32">
        <f>TABL1234[[#This Row],[ (RESV. STORGE) SER]]/10</f>
        <v/>
      </c>
      <c r="AO31" s="68" t="n"/>
      <c r="AP31" s="68">
        <f>TABL1234[[#This Row],[(A/S) AJD]]-TABL1234[[#This Row],[SER_IN]]</f>
        <v/>
      </c>
    </row>
    <row r="32" ht="18.75" customHeight="1">
      <c r="A32" s="2" t="n">
        <v>46418</v>
      </c>
      <c r="B32" s="28" t="n"/>
      <c r="C32" s="28" t="n"/>
      <c r="D32" s="28" t="n"/>
      <c r="E32" s="28" t="n"/>
      <c r="F32" s="28" t="n"/>
      <c r="G32" s="28" t="n"/>
      <c r="H32" s="28">
        <f>103-F32</f>
        <v/>
      </c>
      <c r="I32" s="28" t="n"/>
      <c r="J32" s="28" t="n"/>
      <c r="K32" s="28">
        <f>TABL1234[[#This Row],[ (T/B) SAR]]+TABL1234[[#This Row],[ (S/S) SAR]]</f>
        <v/>
      </c>
      <c r="L32" s="28" t="n"/>
      <c r="M32" s="29" t="n"/>
      <c r="N32" s="30" t="n"/>
      <c r="O32" s="3" t="n"/>
      <c r="P32" s="3">
        <f>TABL1234[[#This Row],[ (S/S) SAR]]-TABL1234[[#This Row],[(S/S) AJD]]</f>
        <v/>
      </c>
      <c r="Q32" s="3" t="n"/>
      <c r="R32" s="3">
        <f>TABL1234[[#This Row],[ (T/B) SAR]]-TABL1234[[#This Row],[(T/B) AJD]]</f>
        <v/>
      </c>
      <c r="S32" s="3">
        <f>TABL1234[[#This Row],[T/B-CON.]]+TABL1234[[#This Row],[S/S_CON.]]</f>
        <v/>
      </c>
      <c r="T32" s="3">
        <f>TABL1234[[#This Row],[(S/S) AJD]]+TABL1234[[#This Row],[(T/B) AJD]]</f>
        <v/>
      </c>
      <c r="U32" s="3" t="n"/>
      <c r="V32" s="3" t="n"/>
      <c r="W32" s="3">
        <f>TABL1234[[#This Row],[(A/B) AJD]]+TABL1234[[#This Row],[(A/S) AJD]]</f>
        <v/>
      </c>
      <c r="X32" s="3">
        <f>TABL1234[[#This Row],[( S/S+T/B) AJD]]-TABL1234[[#This Row],[(A/B + A/S) AJD]]</f>
        <v/>
      </c>
      <c r="Y32" s="4" t="n"/>
      <c r="Z32" s="3" t="n"/>
      <c r="AA32" s="3">
        <f>TABL1234[[#This Row],[(RESV. STORGE) AJD]]/10</f>
        <v/>
      </c>
      <c r="AB32" s="3">
        <f>IF(TRIM(Z32)="",,(Z32-Z31)/1000)</f>
        <v/>
      </c>
      <c r="AC32" s="6" t="n"/>
      <c r="AD32" s="5">
        <f>TABL1234[[#This Row],[( S/S+T/B) AJD]]-(TABL1234[[#This Row],[(A/B + A/S) AJD]]+(TABL1234[[#This Row],[(STORGE DIFF.) AJD]]*1000)+TABL1234[[#This Row],[AJD_Evaporation]])</f>
        <v/>
      </c>
      <c r="AE32" s="6" t="n"/>
      <c r="AF32" s="33" t="n"/>
      <c r="AG32" s="6" t="n"/>
      <c r="AH32" s="6" t="n"/>
      <c r="AI32" s="6" t="n"/>
      <c r="AJ32" s="6">
        <f>TABL1234[[#This Row],[(A/B) AJD]]-TABL1234[[#This Row],[BER_IN]]</f>
        <v/>
      </c>
      <c r="AK32" s="33" t="n"/>
      <c r="AL32" s="6" t="n"/>
      <c r="AM32" s="6" t="n"/>
      <c r="AN32" s="32">
        <f>TABL1234[[#This Row],[ (RESV. STORGE) SER]]/10</f>
        <v/>
      </c>
      <c r="AO32" s="68" t="n"/>
      <c r="AP32" s="68">
        <f>TABL1234[[#This Row],[(A/S) AJD]]-TABL1234[[#This Row],[SER_IN]]</f>
        <v/>
      </c>
    </row>
    <row r="33" ht="18.75" customHeight="1">
      <c r="A33" s="2" t="n">
        <v>46419</v>
      </c>
      <c r="B33" s="41" t="n"/>
      <c r="C33" s="41" t="n"/>
      <c r="D33" s="41" t="n"/>
      <c r="E33" s="44" t="n"/>
      <c r="F33" s="41" t="n"/>
      <c r="G33" s="39" t="n"/>
      <c r="H33" s="28">
        <f>103-F33</f>
        <v/>
      </c>
      <c r="I33" s="39" t="n"/>
      <c r="J33" s="39" t="n"/>
      <c r="K33" s="28">
        <f>TABL1234[[#This Row],[ (T/B) SAR]]+TABL1234[[#This Row],[ (S/S) SAR]]</f>
        <v/>
      </c>
      <c r="L33" s="41" t="n"/>
      <c r="M33" s="42" t="n"/>
      <c r="N33" s="42" t="n"/>
      <c r="O33" s="39" t="n"/>
      <c r="P33" s="3">
        <f>TABL1234[[#This Row],[ (S/S) SAR]]-TABL1234[[#This Row],[(S/S) AJD]]</f>
        <v/>
      </c>
      <c r="Q33" s="39" t="n"/>
      <c r="R33" s="3">
        <f>TABL1234[[#This Row],[ (T/B) SAR]]-TABL1234[[#This Row],[(T/B) AJD]]</f>
        <v/>
      </c>
      <c r="S33" s="3">
        <f>TABL1234[[#This Row],[T/B-CON.]]+TABL1234[[#This Row],[S/S_CON.]]</f>
        <v/>
      </c>
      <c r="T33" s="3">
        <f>TABL1234[[#This Row],[(S/S) AJD]]+TABL1234[[#This Row],[(T/B) AJD]]</f>
        <v/>
      </c>
      <c r="U33" s="41" t="n"/>
      <c r="V33" s="41" t="n"/>
      <c r="W33" s="3">
        <f>TABL1234[[#This Row],[(A/B) AJD]]+TABL1234[[#This Row],[(A/S) AJD]]</f>
        <v/>
      </c>
      <c r="X33" s="3">
        <f>TABL1234[[#This Row],[( S/S+T/B) AJD]]-TABL1234[[#This Row],[(A/B + A/S) AJD]]</f>
        <v/>
      </c>
      <c r="Y33" s="41" t="n"/>
      <c r="Z33" s="43" t="n"/>
      <c r="AA33" s="3">
        <f>TABL1234[[#This Row],[(RESV. STORGE) AJD]]/10</f>
        <v/>
      </c>
      <c r="AB33" s="3">
        <f>IF(TRIM(Z33)="",,(Z33-Z32)/1000)</f>
        <v/>
      </c>
      <c r="AC33" s="5" t="n"/>
      <c r="AD33" s="39">
        <f>TABL1234[[#This Row],[( S/S+T/B) AJD]]-(TABL1234[[#This Row],[(A/B + A/S) AJD]]+(TABL1234[[#This Row],[(STORGE DIFF.) AJD]]*1000)+TABL1234[[#This Row],[AJD_Evaporation]])</f>
        <v/>
      </c>
      <c r="AE33" s="41" t="n"/>
      <c r="AF33" s="43" t="n"/>
      <c r="AG33" s="43" t="n"/>
      <c r="AH33" s="6" t="n"/>
      <c r="AI33" s="43" t="n"/>
      <c r="AJ33" s="43">
        <f>TABL1234[[#This Row],[(A/B) AJD]]-TABL1234[[#This Row],[BER_IN]]</f>
        <v/>
      </c>
      <c r="AK33" s="43" t="n"/>
      <c r="AL33" s="43" t="n"/>
      <c r="AM33" s="32" t="n"/>
      <c r="AN33" s="32">
        <f>TABL1234[[#This Row],[ (RESV. STORGE) SER]]/10</f>
        <v/>
      </c>
      <c r="AO33" s="68" t="n"/>
      <c r="AP33" s="68">
        <f>TABL1234[[#This Row],[(A/S) AJD]]-TABL1234[[#This Row],[SER_IN]]</f>
        <v/>
      </c>
    </row>
    <row r="34" ht="18.75" customHeight="1">
      <c r="A34" s="2" t="n">
        <v>46420</v>
      </c>
      <c r="B34" s="44" t="n"/>
      <c r="C34" s="44" t="n"/>
      <c r="D34" s="44" t="n"/>
      <c r="E34" s="41" t="n"/>
      <c r="F34" s="44" t="n"/>
      <c r="G34" s="40" t="n"/>
      <c r="H34" s="28">
        <f>103-F34</f>
        <v/>
      </c>
      <c r="I34" s="40" t="n"/>
      <c r="J34" s="44" t="n"/>
      <c r="K34" s="28">
        <f>TABL1234[[#This Row],[ (T/B) SAR]]+TABL1234[[#This Row],[ (S/S) SAR]]</f>
        <v/>
      </c>
      <c r="L34" s="45" t="n"/>
      <c r="M34" s="46" t="n"/>
      <c r="N34" s="46" t="n"/>
      <c r="O34" s="40" t="n"/>
      <c r="P34" s="3">
        <f>TABL1234[[#This Row],[ (S/S) SAR]]-TABL1234[[#This Row],[(S/S) AJD]]</f>
        <v/>
      </c>
      <c r="Q34" s="40" t="n"/>
      <c r="R34" s="3">
        <f>TABL1234[[#This Row],[ (T/B) SAR]]-TABL1234[[#This Row],[(T/B) AJD]]</f>
        <v/>
      </c>
      <c r="S34" s="3">
        <f>TABL1234[[#This Row],[T/B-CON.]]+TABL1234[[#This Row],[S/S_CON.]]</f>
        <v/>
      </c>
      <c r="T34" s="3">
        <f>TABL1234[[#This Row],[(S/S) AJD]]+TABL1234[[#This Row],[(T/B) AJD]]</f>
        <v/>
      </c>
      <c r="U34" s="44" t="n"/>
      <c r="V34" s="44" t="n"/>
      <c r="W34" s="3">
        <f>TABL1234[[#This Row],[(A/B) AJD]]+TABL1234[[#This Row],[(A/S) AJD]]</f>
        <v/>
      </c>
      <c r="X34" s="3">
        <f>TABL1234[[#This Row],[( S/S+T/B) AJD]]-TABL1234[[#This Row],[(A/B + A/S) AJD]]</f>
        <v/>
      </c>
      <c r="Y34" s="44" t="n"/>
      <c r="Z34" s="45" t="n"/>
      <c r="AA34" s="3">
        <f>TABL1234[[#This Row],[(RESV. STORGE) AJD]]/10</f>
        <v/>
      </c>
      <c r="AB34" s="3">
        <f>IF(TRIM(Z34)="",,(Z34-Z33)/1000)</f>
        <v/>
      </c>
      <c r="AC34" s="5" t="n"/>
      <c r="AD34" s="40">
        <f>TABL1234[[#This Row],[( S/S+T/B) AJD]]-(TABL1234[[#This Row],[(A/B + A/S) AJD]]+(TABL1234[[#This Row],[(STORGE DIFF.) AJD]]*1000)+TABL1234[[#This Row],[AJD_Evaporation]])</f>
        <v/>
      </c>
      <c r="AE34" s="44" t="n"/>
      <c r="AF34" s="45" t="n"/>
      <c r="AG34" s="45" t="n"/>
      <c r="AH34" s="6" t="n"/>
      <c r="AI34" s="45" t="n"/>
      <c r="AJ34" s="45">
        <f>TABL1234[[#This Row],[(A/B) AJD]]-TABL1234[[#This Row],[BER_IN]]</f>
        <v/>
      </c>
      <c r="AK34" s="45" t="n"/>
      <c r="AL34" s="45" t="n"/>
      <c r="AM34" s="32" t="n"/>
      <c r="AN34" s="32">
        <f>TABL1234[[#This Row],[ (RESV. STORGE) SER]]/10</f>
        <v/>
      </c>
      <c r="AO34" s="68" t="n"/>
      <c r="AP34" s="68">
        <f>TABL1234[[#This Row],[(A/S) AJD]]-TABL1234[[#This Row],[SER_IN]]</f>
        <v/>
      </c>
    </row>
    <row r="35" ht="18.75" customHeight="1">
      <c r="A35" s="2" t="n">
        <v>46421</v>
      </c>
      <c r="B35" s="41" t="n"/>
      <c r="C35" s="41" t="n"/>
      <c r="D35" s="41" t="n"/>
      <c r="E35" s="44" t="n"/>
      <c r="F35" s="41" t="n"/>
      <c r="G35" s="39" t="n"/>
      <c r="H35" s="28">
        <f>103-F35</f>
        <v/>
      </c>
      <c r="I35" s="39" t="n"/>
      <c r="J35" s="39" t="n"/>
      <c r="K35" s="28">
        <f>TABL1234[[#This Row],[ (T/B) SAR]]+TABL1234[[#This Row],[ (S/S) SAR]]</f>
        <v/>
      </c>
      <c r="L35" s="41" t="n"/>
      <c r="M35" s="42" t="n"/>
      <c r="N35" s="42" t="n"/>
      <c r="O35" s="39" t="n"/>
      <c r="P35" s="3">
        <f>TABL1234[[#This Row],[ (S/S) SAR]]-TABL1234[[#This Row],[(S/S) AJD]]</f>
        <v/>
      </c>
      <c r="Q35" s="39" t="n"/>
      <c r="R35" s="3">
        <f>TABL1234[[#This Row],[ (T/B) SAR]]-TABL1234[[#This Row],[(T/B) AJD]]</f>
        <v/>
      </c>
      <c r="S35" s="3">
        <f>TABL1234[[#This Row],[T/B-CON.]]+TABL1234[[#This Row],[S/S_CON.]]</f>
        <v/>
      </c>
      <c r="T35" s="3">
        <f>TABL1234[[#This Row],[(S/S) AJD]]+TABL1234[[#This Row],[(T/B) AJD]]</f>
        <v/>
      </c>
      <c r="U35" s="41" t="n"/>
      <c r="V35" s="41" t="n"/>
      <c r="W35" s="3">
        <f>TABL1234[[#This Row],[(A/B) AJD]]+TABL1234[[#This Row],[(A/S) AJD]]</f>
        <v/>
      </c>
      <c r="X35" s="3">
        <f>TABL1234[[#This Row],[( S/S+T/B) AJD]]-TABL1234[[#This Row],[(A/B + A/S) AJD]]</f>
        <v/>
      </c>
      <c r="Y35" s="41" t="n"/>
      <c r="Z35" s="43" t="n"/>
      <c r="AA35" s="3">
        <f>TABL1234[[#This Row],[(RESV. STORGE) AJD]]/10</f>
        <v/>
      </c>
      <c r="AB35" s="3">
        <f>IF(TRIM(Z35)="",,(Z35-Z34)/1000)</f>
        <v/>
      </c>
      <c r="AC35" s="5" t="n"/>
      <c r="AD35" s="39">
        <f>TABL1234[[#This Row],[( S/S+T/B) AJD]]-(TABL1234[[#This Row],[(A/B + A/S) AJD]]+(TABL1234[[#This Row],[(STORGE DIFF.) AJD]]*1000)+TABL1234[[#This Row],[AJD_Evaporation]])</f>
        <v/>
      </c>
      <c r="AE35" s="41" t="n"/>
      <c r="AF35" s="43" t="n"/>
      <c r="AG35" s="43" t="n"/>
      <c r="AH35" s="6" t="n"/>
      <c r="AI35" s="43" t="n"/>
      <c r="AJ35" s="43">
        <f>TABL1234[[#This Row],[(A/B) AJD]]-TABL1234[[#This Row],[BER_IN]]</f>
        <v/>
      </c>
      <c r="AK35" s="43" t="n"/>
      <c r="AL35" s="43" t="n"/>
      <c r="AM35" s="32" t="n"/>
      <c r="AN35" s="32">
        <f>TABL1234[[#This Row],[ (RESV. STORGE) SER]]/10</f>
        <v/>
      </c>
      <c r="AO35" s="68" t="n"/>
      <c r="AP35" s="68">
        <f>TABL1234[[#This Row],[(A/S) AJD]]-TABL1234[[#This Row],[SER_IN]]</f>
        <v/>
      </c>
    </row>
    <row r="36" ht="18.75" customHeight="1">
      <c r="A36" s="2" t="n">
        <v>46422</v>
      </c>
      <c r="B36" s="44" t="n"/>
      <c r="C36" s="44" t="n"/>
      <c r="D36" s="44" t="n"/>
      <c r="E36" s="44" t="n"/>
      <c r="F36" s="44" t="n"/>
      <c r="G36" s="40" t="n"/>
      <c r="H36" s="28">
        <f>103-F36</f>
        <v/>
      </c>
      <c r="I36" s="40" t="n"/>
      <c r="J36" s="44" t="n"/>
      <c r="K36" s="28">
        <f>TABL1234[[#This Row],[ (T/B) SAR]]+TABL1234[[#This Row],[ (S/S) SAR]]</f>
        <v/>
      </c>
      <c r="L36" s="45" t="n"/>
      <c r="M36" s="46" t="n"/>
      <c r="N36" s="46" t="n"/>
      <c r="O36" s="40" t="n"/>
      <c r="P36" s="3">
        <f>TABL1234[[#This Row],[ (S/S) SAR]]-TABL1234[[#This Row],[(S/S) AJD]]</f>
        <v/>
      </c>
      <c r="Q36" s="40" t="n"/>
      <c r="R36" s="3">
        <f>TABL1234[[#This Row],[ (T/B) SAR]]-TABL1234[[#This Row],[(T/B) AJD]]</f>
        <v/>
      </c>
      <c r="S36" s="3">
        <f>TABL1234[[#This Row],[T/B-CON.]]+TABL1234[[#This Row],[S/S_CON.]]</f>
        <v/>
      </c>
      <c r="T36" s="3">
        <f>TABL1234[[#This Row],[(S/S) AJD]]+TABL1234[[#This Row],[(T/B) AJD]]</f>
        <v/>
      </c>
      <c r="U36" s="44" t="n"/>
      <c r="V36" s="44" t="n"/>
      <c r="W36" s="3">
        <f>TABL1234[[#This Row],[(A/B) AJD]]+TABL1234[[#This Row],[(A/S) AJD]]</f>
        <v/>
      </c>
      <c r="X36" s="3">
        <f>TABL1234[[#This Row],[( S/S+T/B) AJD]]-TABL1234[[#This Row],[(A/B + A/S) AJD]]</f>
        <v/>
      </c>
      <c r="Y36" s="44" t="n"/>
      <c r="Z36" s="45" t="n"/>
      <c r="AA36" s="3">
        <f>TABL1234[[#This Row],[(RESV. STORGE) AJD]]/10</f>
        <v/>
      </c>
      <c r="AB36" s="3">
        <f>IF(TRIM(Z36)="",,(Z36-Z35)/1000)</f>
        <v/>
      </c>
      <c r="AC36" s="5" t="n"/>
      <c r="AD36" s="40">
        <f>TABL1234[[#This Row],[( S/S+T/B) AJD]]-(TABL1234[[#This Row],[(A/B + A/S) AJD]]+(TABL1234[[#This Row],[(STORGE DIFF.) AJD]]*1000)+TABL1234[[#This Row],[AJD_Evaporation]])</f>
        <v/>
      </c>
      <c r="AE36" s="44" t="n"/>
      <c r="AF36" s="45" t="n"/>
      <c r="AG36" s="45" t="n"/>
      <c r="AH36" s="6" t="n"/>
      <c r="AI36" s="45" t="n"/>
      <c r="AJ36" s="45">
        <f>TABL1234[[#This Row],[(A/B) AJD]]-TABL1234[[#This Row],[BER_IN]]</f>
        <v/>
      </c>
      <c r="AK36" s="45" t="n"/>
      <c r="AL36" s="45" t="n"/>
      <c r="AM36" s="32" t="n"/>
      <c r="AN36" s="32">
        <f>TABL1234[[#This Row],[ (RESV. STORGE) SER]]/10</f>
        <v/>
      </c>
      <c r="AO36" s="68" t="n"/>
      <c r="AP36" s="68">
        <f>TABL1234[[#This Row],[(A/S) AJD]]-TABL1234[[#This Row],[SER_IN]]</f>
        <v/>
      </c>
    </row>
    <row r="37" ht="18.75" customHeight="1">
      <c r="A37" s="2" t="n">
        <v>46423</v>
      </c>
      <c r="B37" s="41" t="n"/>
      <c r="C37" s="41" t="n"/>
      <c r="D37" s="41" t="n"/>
      <c r="E37" s="41" t="n"/>
      <c r="F37" s="41" t="n"/>
      <c r="G37" s="39" t="n"/>
      <c r="H37" s="28">
        <f>103-F37</f>
        <v/>
      </c>
      <c r="I37" s="39" t="n"/>
      <c r="J37" s="39" t="n"/>
      <c r="K37" s="28">
        <f>TABL1234[[#This Row],[ (T/B) SAR]]+TABL1234[[#This Row],[ (S/S) SAR]]</f>
        <v/>
      </c>
      <c r="L37" s="41" t="n"/>
      <c r="M37" s="42" t="n"/>
      <c r="N37" s="42" t="n"/>
      <c r="O37" s="39" t="n"/>
      <c r="P37" s="3">
        <f>TABL1234[[#This Row],[ (S/S) SAR]]-TABL1234[[#This Row],[(S/S) AJD]]</f>
        <v/>
      </c>
      <c r="Q37" s="39" t="n"/>
      <c r="R37" s="3">
        <f>TABL1234[[#This Row],[ (T/B) SAR]]-TABL1234[[#This Row],[(T/B) AJD]]</f>
        <v/>
      </c>
      <c r="S37" s="3">
        <f>TABL1234[[#This Row],[T/B-CON.]]+TABL1234[[#This Row],[S/S_CON.]]</f>
        <v/>
      </c>
      <c r="T37" s="3">
        <f>TABL1234[[#This Row],[(S/S) AJD]]+TABL1234[[#This Row],[(T/B) AJD]]</f>
        <v/>
      </c>
      <c r="U37" s="41" t="n"/>
      <c r="V37" s="41" t="n"/>
      <c r="W37" s="3">
        <f>TABL1234[[#This Row],[(A/B) AJD]]+TABL1234[[#This Row],[(A/S) AJD]]</f>
        <v/>
      </c>
      <c r="X37" s="3">
        <f>TABL1234[[#This Row],[( S/S+T/B) AJD]]-TABL1234[[#This Row],[(A/B + A/S) AJD]]</f>
        <v/>
      </c>
      <c r="Y37" s="41" t="n"/>
      <c r="Z37" s="43" t="n"/>
      <c r="AA37" s="3">
        <f>TABL1234[[#This Row],[(RESV. STORGE) AJD]]/10</f>
        <v/>
      </c>
      <c r="AB37" s="3">
        <f>IF(TRIM(Z37)="",,(Z37-Z36)/1000)</f>
        <v/>
      </c>
      <c r="AC37" s="5" t="n"/>
      <c r="AD37" s="39">
        <f>TABL1234[[#This Row],[( S/S+T/B) AJD]]-(TABL1234[[#This Row],[(A/B + A/S) AJD]]+(TABL1234[[#This Row],[(STORGE DIFF.) AJD]]*1000)+TABL1234[[#This Row],[AJD_Evaporation]])</f>
        <v/>
      </c>
      <c r="AE37" s="41" t="n"/>
      <c r="AF37" s="43" t="n"/>
      <c r="AG37" s="43" t="n"/>
      <c r="AH37" s="6" t="n"/>
      <c r="AI37" s="43" t="n"/>
      <c r="AJ37" s="43">
        <f>TABL1234[[#This Row],[(A/B) AJD]]-TABL1234[[#This Row],[BER_IN]]</f>
        <v/>
      </c>
      <c r="AK37" s="43" t="n"/>
      <c r="AL37" s="43" t="n"/>
      <c r="AM37" s="32" t="n"/>
      <c r="AN37" s="32">
        <f>TABL1234[[#This Row],[ (RESV. STORGE) SER]]/10</f>
        <v/>
      </c>
      <c r="AO37" s="68" t="n"/>
      <c r="AP37" s="68">
        <f>TABL1234[[#This Row],[(A/S) AJD]]-TABL1234[[#This Row],[SER_IN]]</f>
        <v/>
      </c>
    </row>
    <row r="38" ht="18.75" customHeight="1">
      <c r="A38" s="2" t="n">
        <v>46424</v>
      </c>
      <c r="B38" s="44" t="n"/>
      <c r="C38" s="44" t="n"/>
      <c r="D38" s="44" t="n"/>
      <c r="E38" s="44" t="n"/>
      <c r="F38" s="44" t="n"/>
      <c r="G38" s="40" t="n"/>
      <c r="H38" s="28">
        <f>103-F38</f>
        <v/>
      </c>
      <c r="I38" s="40" t="n"/>
      <c r="J38" s="44" t="n"/>
      <c r="K38" s="28">
        <f>TABL1234[[#This Row],[ (T/B) SAR]]+TABL1234[[#This Row],[ (S/S) SAR]]</f>
        <v/>
      </c>
      <c r="L38" s="45" t="n"/>
      <c r="M38" s="46" t="n"/>
      <c r="N38" s="46" t="n"/>
      <c r="O38" s="40" t="n"/>
      <c r="P38" s="3">
        <f>TABL1234[[#This Row],[ (S/S) SAR]]-TABL1234[[#This Row],[(S/S) AJD]]</f>
        <v/>
      </c>
      <c r="Q38" s="40" t="n"/>
      <c r="R38" s="3">
        <f>TABL1234[[#This Row],[ (T/B) SAR]]-TABL1234[[#This Row],[(T/B) AJD]]</f>
        <v/>
      </c>
      <c r="S38" s="3">
        <f>TABL1234[[#This Row],[T/B-CON.]]+TABL1234[[#This Row],[S/S_CON.]]</f>
        <v/>
      </c>
      <c r="T38" s="3">
        <f>TABL1234[[#This Row],[(S/S) AJD]]+TABL1234[[#This Row],[(T/B) AJD]]</f>
        <v/>
      </c>
      <c r="U38" s="44" t="n"/>
      <c r="V38" s="44" t="n"/>
      <c r="W38" s="3">
        <f>TABL1234[[#This Row],[(A/B) AJD]]+TABL1234[[#This Row],[(A/S) AJD]]</f>
        <v/>
      </c>
      <c r="X38" s="3">
        <f>TABL1234[[#This Row],[( S/S+T/B) AJD]]-TABL1234[[#This Row],[(A/B + A/S) AJD]]</f>
        <v/>
      </c>
      <c r="Y38" s="44" t="n"/>
      <c r="Z38" s="45" t="n"/>
      <c r="AA38" s="3">
        <f>TABL1234[[#This Row],[(RESV. STORGE) AJD]]/10</f>
        <v/>
      </c>
      <c r="AB38" s="3">
        <f>IF(TRIM(Z38)="",,(Z38-Z37)/1000)</f>
        <v/>
      </c>
      <c r="AC38" s="5" t="n"/>
      <c r="AD38" s="40">
        <f>TABL1234[[#This Row],[( S/S+T/B) AJD]]-(TABL1234[[#This Row],[(A/B + A/S) AJD]]+(TABL1234[[#This Row],[(STORGE DIFF.) AJD]]*1000)+TABL1234[[#This Row],[AJD_Evaporation]])</f>
        <v/>
      </c>
      <c r="AE38" s="44" t="n"/>
      <c r="AF38" s="45" t="n"/>
      <c r="AG38" s="45" t="n"/>
      <c r="AH38" s="6" t="n"/>
      <c r="AI38" s="45" t="n"/>
      <c r="AJ38" s="45">
        <f>TABL1234[[#This Row],[(A/B) AJD]]-TABL1234[[#This Row],[BER_IN]]</f>
        <v/>
      </c>
      <c r="AK38" s="45" t="n"/>
      <c r="AL38" s="45" t="n"/>
      <c r="AM38" s="32" t="n"/>
      <c r="AN38" s="32">
        <f>TABL1234[[#This Row],[ (RESV. STORGE) SER]]/10</f>
        <v/>
      </c>
      <c r="AO38" s="68" t="n"/>
      <c r="AP38" s="68">
        <f>TABL1234[[#This Row],[(A/S) AJD]]-TABL1234[[#This Row],[SER_IN]]</f>
        <v/>
      </c>
    </row>
    <row r="39" ht="18.75" customHeight="1">
      <c r="A39" s="2" t="n">
        <v>46425</v>
      </c>
      <c r="B39" s="41" t="n"/>
      <c r="C39" s="41" t="n"/>
      <c r="D39" s="41" t="n"/>
      <c r="E39" s="41" t="n"/>
      <c r="F39" s="41" t="n"/>
      <c r="G39" s="39" t="n"/>
      <c r="H39" s="28">
        <f>103-F39</f>
        <v/>
      </c>
      <c r="I39" s="39" t="n"/>
      <c r="J39" s="39" t="n"/>
      <c r="K39" s="28">
        <f>TABL1234[[#This Row],[ (T/B) SAR]]+TABL1234[[#This Row],[ (S/S) SAR]]</f>
        <v/>
      </c>
      <c r="L39" s="41" t="n"/>
      <c r="M39" s="42" t="n"/>
      <c r="N39" s="42" t="n"/>
      <c r="O39" s="39" t="n"/>
      <c r="P39" s="3">
        <f>TABL1234[[#This Row],[ (S/S) SAR]]-TABL1234[[#This Row],[(S/S) AJD]]</f>
        <v/>
      </c>
      <c r="Q39" s="39" t="n"/>
      <c r="R39" s="3">
        <f>TABL1234[[#This Row],[ (T/B) SAR]]-TABL1234[[#This Row],[(T/B) AJD]]</f>
        <v/>
      </c>
      <c r="S39" s="3">
        <f>TABL1234[[#This Row],[T/B-CON.]]+TABL1234[[#This Row],[S/S_CON.]]</f>
        <v/>
      </c>
      <c r="T39" s="3">
        <f>TABL1234[[#This Row],[(S/S) AJD]]+TABL1234[[#This Row],[(T/B) AJD]]</f>
        <v/>
      </c>
      <c r="U39" s="41" t="n"/>
      <c r="V39" s="41" t="n"/>
      <c r="W39" s="3">
        <f>TABL1234[[#This Row],[(A/B) AJD]]+TABL1234[[#This Row],[(A/S) AJD]]</f>
        <v/>
      </c>
      <c r="X39" s="3">
        <f>TABL1234[[#This Row],[( S/S+T/B) AJD]]-TABL1234[[#This Row],[(A/B + A/S) AJD]]</f>
        <v/>
      </c>
      <c r="Y39" s="41" t="n"/>
      <c r="Z39" s="43" t="n"/>
      <c r="AA39" s="3">
        <f>TABL1234[[#This Row],[(RESV. STORGE) AJD]]/10</f>
        <v/>
      </c>
      <c r="AB39" s="3">
        <f>IF(TRIM(Z39)="",,(Z39-Z38)/1000)</f>
        <v/>
      </c>
      <c r="AC39" s="5" t="n"/>
      <c r="AD39" s="39">
        <f>TABL1234[[#This Row],[( S/S+T/B) AJD]]-(TABL1234[[#This Row],[(A/B + A/S) AJD]]+(TABL1234[[#This Row],[(STORGE DIFF.) AJD]]*1000)+TABL1234[[#This Row],[AJD_Evaporation]])</f>
        <v/>
      </c>
      <c r="AE39" s="41" t="n"/>
      <c r="AF39" s="43" t="n"/>
      <c r="AG39" s="43" t="n"/>
      <c r="AH39" s="6" t="n"/>
      <c r="AI39" s="43" t="n"/>
      <c r="AJ39" s="43">
        <f>TABL1234[[#This Row],[(A/B) AJD]]-TABL1234[[#This Row],[BER_IN]]</f>
        <v/>
      </c>
      <c r="AK39" s="43" t="n"/>
      <c r="AL39" s="43" t="n"/>
      <c r="AM39" s="32" t="n"/>
      <c r="AN39" s="32">
        <f>TABL1234[[#This Row],[ (RESV. STORGE) SER]]/10</f>
        <v/>
      </c>
      <c r="AO39" s="68" t="n"/>
      <c r="AP39" s="68">
        <f>TABL1234[[#This Row],[(A/S) AJD]]-TABL1234[[#This Row],[SER_IN]]</f>
        <v/>
      </c>
    </row>
    <row r="40" ht="18.75" customHeight="1">
      <c r="A40" s="2" t="n">
        <v>46426</v>
      </c>
      <c r="B40" s="44" t="n"/>
      <c r="C40" s="44" t="n"/>
      <c r="D40" s="44" t="n"/>
      <c r="E40" s="44" t="n"/>
      <c r="F40" s="44" t="n"/>
      <c r="G40" s="40" t="n"/>
      <c r="H40" s="28">
        <f>103-F40</f>
        <v/>
      </c>
      <c r="I40" s="40" t="n"/>
      <c r="J40" s="44" t="n"/>
      <c r="K40" s="28">
        <f>TABL1234[[#This Row],[ (T/B) SAR]]+TABL1234[[#This Row],[ (S/S) SAR]]</f>
        <v/>
      </c>
      <c r="L40" s="45" t="n"/>
      <c r="M40" s="46" t="n"/>
      <c r="N40" s="46" t="n"/>
      <c r="O40" s="40" t="n"/>
      <c r="P40" s="3">
        <f>TABL1234[[#This Row],[ (S/S) SAR]]-TABL1234[[#This Row],[(S/S) AJD]]</f>
        <v/>
      </c>
      <c r="Q40" s="40" t="n"/>
      <c r="R40" s="3">
        <f>TABL1234[[#This Row],[ (T/B) SAR]]-TABL1234[[#This Row],[(T/B) AJD]]</f>
        <v/>
      </c>
      <c r="S40" s="3">
        <f>TABL1234[[#This Row],[T/B-CON.]]+TABL1234[[#This Row],[S/S_CON.]]</f>
        <v/>
      </c>
      <c r="T40" s="3">
        <f>TABL1234[[#This Row],[(S/S) AJD]]+TABL1234[[#This Row],[(T/B) AJD]]</f>
        <v/>
      </c>
      <c r="U40" s="44" t="n"/>
      <c r="V40" s="44" t="n"/>
      <c r="W40" s="3">
        <f>TABL1234[[#This Row],[(A/B) AJD]]+TABL1234[[#This Row],[(A/S) AJD]]</f>
        <v/>
      </c>
      <c r="X40" s="3">
        <f>TABL1234[[#This Row],[( S/S+T/B) AJD]]-TABL1234[[#This Row],[(A/B + A/S) AJD]]</f>
        <v/>
      </c>
      <c r="Y40" s="44" t="n"/>
      <c r="Z40" s="45" t="n"/>
      <c r="AA40" s="3">
        <f>TABL1234[[#This Row],[(RESV. STORGE) AJD]]/10</f>
        <v/>
      </c>
      <c r="AB40" s="3">
        <f>IF(TRIM(Z40)="",,(Z40-Z39)/1000)</f>
        <v/>
      </c>
      <c r="AC40" s="5" t="n"/>
      <c r="AD40" s="40">
        <f>TABL1234[[#This Row],[( S/S+T/B) AJD]]-(TABL1234[[#This Row],[(A/B + A/S) AJD]]+(TABL1234[[#This Row],[(STORGE DIFF.) AJD]]*1000)+TABL1234[[#This Row],[AJD_Evaporation]])</f>
        <v/>
      </c>
      <c r="AE40" s="44" t="n"/>
      <c r="AF40" s="45" t="n"/>
      <c r="AG40" s="45" t="n"/>
      <c r="AH40" s="6" t="n"/>
      <c r="AI40" s="45" t="n"/>
      <c r="AJ40" s="45">
        <f>TABL1234[[#This Row],[(A/B) AJD]]-TABL1234[[#This Row],[BER_IN]]</f>
        <v/>
      </c>
      <c r="AK40" s="45" t="n"/>
      <c r="AL40" s="45" t="n"/>
      <c r="AM40" s="32" t="n"/>
      <c r="AN40" s="32">
        <f>TABL1234[[#This Row],[ (RESV. STORGE) SER]]/10</f>
        <v/>
      </c>
      <c r="AO40" s="68" t="n"/>
      <c r="AP40" s="68">
        <f>TABL1234[[#This Row],[(A/S) AJD]]-TABL1234[[#This Row],[SER_IN]]</f>
        <v/>
      </c>
    </row>
    <row r="41" ht="18.75" customHeight="1">
      <c r="A41" s="2" t="n">
        <v>46427</v>
      </c>
      <c r="B41" s="41" t="n"/>
      <c r="C41" s="41" t="n"/>
      <c r="D41" s="41" t="n"/>
      <c r="E41" s="41" t="n"/>
      <c r="F41" s="41" t="n"/>
      <c r="G41" s="39" t="n"/>
      <c r="H41" s="28">
        <f>103-F41</f>
        <v/>
      </c>
      <c r="I41" s="39" t="n"/>
      <c r="J41" s="39" t="n"/>
      <c r="K41" s="28">
        <f>TABL1234[[#This Row],[ (T/B) SAR]]+TABL1234[[#This Row],[ (S/S) SAR]]</f>
        <v/>
      </c>
      <c r="L41" s="41" t="n"/>
      <c r="M41" s="42" t="n"/>
      <c r="N41" s="42" t="n"/>
      <c r="O41" s="39" t="n"/>
      <c r="P41" s="3">
        <f>TABL1234[[#This Row],[ (S/S) SAR]]-TABL1234[[#This Row],[(S/S) AJD]]</f>
        <v/>
      </c>
      <c r="Q41" s="39" t="n"/>
      <c r="R41" s="3">
        <f>TABL1234[[#This Row],[ (T/B) SAR]]-TABL1234[[#This Row],[(T/B) AJD]]</f>
        <v/>
      </c>
      <c r="S41" s="3">
        <f>TABL1234[[#This Row],[T/B-CON.]]+TABL1234[[#This Row],[S/S_CON.]]</f>
        <v/>
      </c>
      <c r="T41" s="3">
        <f>TABL1234[[#This Row],[(S/S) AJD]]+TABL1234[[#This Row],[(T/B) AJD]]</f>
        <v/>
      </c>
      <c r="U41" s="41" t="n"/>
      <c r="V41" s="41" t="n"/>
      <c r="W41" s="3">
        <f>TABL1234[[#This Row],[(A/B) AJD]]+TABL1234[[#This Row],[(A/S) AJD]]</f>
        <v/>
      </c>
      <c r="X41" s="3">
        <f>TABL1234[[#This Row],[( S/S+T/B) AJD]]-TABL1234[[#This Row],[(A/B + A/S) AJD]]</f>
        <v/>
      </c>
      <c r="Y41" s="41" t="n"/>
      <c r="Z41" s="43" t="n"/>
      <c r="AA41" s="3">
        <f>TABL1234[[#This Row],[(RESV. STORGE) AJD]]/10</f>
        <v/>
      </c>
      <c r="AB41" s="3">
        <f>IF(TRIM(Z41)="",,(Z41-Z40)/1000)</f>
        <v/>
      </c>
      <c r="AC41" s="5" t="n"/>
      <c r="AD41" s="39">
        <f>TABL1234[[#This Row],[( S/S+T/B) AJD]]-(TABL1234[[#This Row],[(A/B + A/S) AJD]]+(TABL1234[[#This Row],[(STORGE DIFF.) AJD]]*1000)+TABL1234[[#This Row],[AJD_Evaporation]])</f>
        <v/>
      </c>
      <c r="AE41" s="41" t="n"/>
      <c r="AF41" s="43" t="n"/>
      <c r="AG41" s="43" t="n"/>
      <c r="AH41" s="6" t="n"/>
      <c r="AI41" s="43" t="n"/>
      <c r="AJ41" s="43">
        <f>TABL1234[[#This Row],[(A/B) AJD]]-TABL1234[[#This Row],[BER_IN]]</f>
        <v/>
      </c>
      <c r="AK41" s="43" t="n"/>
      <c r="AL41" s="43" t="n"/>
      <c r="AM41" s="32" t="n"/>
      <c r="AN41" s="32">
        <f>TABL1234[[#This Row],[ (RESV. STORGE) SER]]/10</f>
        <v/>
      </c>
      <c r="AO41" s="68" t="n"/>
      <c r="AP41" s="68">
        <f>TABL1234[[#This Row],[(A/S) AJD]]-TABL1234[[#This Row],[SER_IN]]</f>
        <v/>
      </c>
    </row>
    <row r="42" ht="18.75" customHeight="1">
      <c r="A42" s="2" t="n">
        <v>46428</v>
      </c>
      <c r="B42" s="44" t="n"/>
      <c r="C42" s="44" t="n"/>
      <c r="D42" s="44" t="n"/>
      <c r="E42" s="44" t="n"/>
      <c r="F42" s="44" t="n"/>
      <c r="G42" s="40" t="n"/>
      <c r="H42" s="28">
        <f>103-F42</f>
        <v/>
      </c>
      <c r="I42" s="40" t="n"/>
      <c r="J42" s="44" t="n"/>
      <c r="K42" s="28">
        <f>TABL1234[[#This Row],[ (T/B) SAR]]+TABL1234[[#This Row],[ (S/S) SAR]]</f>
        <v/>
      </c>
      <c r="L42" s="45" t="n"/>
      <c r="M42" s="46" t="n"/>
      <c r="N42" s="46" t="n"/>
      <c r="O42" s="40" t="n"/>
      <c r="P42" s="3">
        <f>TABL1234[[#This Row],[ (S/S) SAR]]-TABL1234[[#This Row],[(S/S) AJD]]</f>
        <v/>
      </c>
      <c r="Q42" s="40" t="n"/>
      <c r="R42" s="3">
        <f>TABL1234[[#This Row],[ (T/B) SAR]]-TABL1234[[#This Row],[(T/B) AJD]]</f>
        <v/>
      </c>
      <c r="S42" s="3">
        <f>TABL1234[[#This Row],[T/B-CON.]]+TABL1234[[#This Row],[S/S_CON.]]</f>
        <v/>
      </c>
      <c r="T42" s="3">
        <f>TABL1234[[#This Row],[(S/S) AJD]]+TABL1234[[#This Row],[(T/B) AJD]]</f>
        <v/>
      </c>
      <c r="U42" s="44" t="n"/>
      <c r="V42" s="44" t="n"/>
      <c r="W42" s="3">
        <f>TABL1234[[#This Row],[(A/B) AJD]]+TABL1234[[#This Row],[(A/S) AJD]]</f>
        <v/>
      </c>
      <c r="X42" s="3">
        <f>TABL1234[[#This Row],[( S/S+T/B) AJD]]-TABL1234[[#This Row],[(A/B + A/S) AJD]]</f>
        <v/>
      </c>
      <c r="Y42" s="44" t="n"/>
      <c r="Z42" s="45" t="n"/>
      <c r="AA42" s="3">
        <f>TABL1234[[#This Row],[(RESV. STORGE) AJD]]/10</f>
        <v/>
      </c>
      <c r="AB42" s="3">
        <f>IF(TRIM(Z42)="",,(Z42-Z41)/1000)</f>
        <v/>
      </c>
      <c r="AC42" s="5" t="n"/>
      <c r="AD42" s="40">
        <f>TABL1234[[#This Row],[( S/S+T/B) AJD]]-(TABL1234[[#This Row],[(A/B + A/S) AJD]]+(TABL1234[[#This Row],[(STORGE DIFF.) AJD]]*1000)+TABL1234[[#This Row],[AJD_Evaporation]])</f>
        <v/>
      </c>
      <c r="AE42" s="44" t="n"/>
      <c r="AF42" s="45" t="n"/>
      <c r="AG42" s="45" t="n"/>
      <c r="AH42" s="6" t="n"/>
      <c r="AI42" s="45" t="n"/>
      <c r="AJ42" s="45">
        <f>TABL1234[[#This Row],[(A/B) AJD]]-TABL1234[[#This Row],[BER_IN]]</f>
        <v/>
      </c>
      <c r="AK42" s="45" t="n"/>
      <c r="AL42" s="45" t="n"/>
      <c r="AM42" s="32" t="n"/>
      <c r="AN42" s="32">
        <f>TABL1234[[#This Row],[ (RESV. STORGE) SER]]/10</f>
        <v/>
      </c>
      <c r="AO42" s="68" t="n"/>
      <c r="AP42" s="68">
        <f>TABL1234[[#This Row],[(A/S) AJD]]-TABL1234[[#This Row],[SER_IN]]</f>
        <v/>
      </c>
    </row>
    <row r="43" ht="18.75" customHeight="1">
      <c r="A43" s="2" t="n">
        <v>46429</v>
      </c>
      <c r="B43" s="41" t="n"/>
      <c r="C43" s="41" t="n"/>
      <c r="D43" s="41" t="n"/>
      <c r="E43" s="41" t="n"/>
      <c r="F43" s="41" t="n"/>
      <c r="G43" s="39" t="n"/>
      <c r="H43" s="28">
        <f>103-F43</f>
        <v/>
      </c>
      <c r="I43" s="39" t="n"/>
      <c r="J43" s="39" t="n"/>
      <c r="K43" s="28">
        <f>TABL1234[[#This Row],[ (T/B) SAR]]+TABL1234[[#This Row],[ (S/S) SAR]]</f>
        <v/>
      </c>
      <c r="L43" s="41" t="n"/>
      <c r="M43" s="42" t="n"/>
      <c r="N43" s="42" t="n"/>
      <c r="O43" s="39" t="n"/>
      <c r="P43" s="3">
        <f>TABL1234[[#This Row],[ (S/S) SAR]]-TABL1234[[#This Row],[(S/S) AJD]]</f>
        <v/>
      </c>
      <c r="Q43" s="39" t="n"/>
      <c r="R43" s="3">
        <f>TABL1234[[#This Row],[ (T/B) SAR]]-TABL1234[[#This Row],[(T/B) AJD]]</f>
        <v/>
      </c>
      <c r="S43" s="3">
        <f>TABL1234[[#This Row],[T/B-CON.]]+TABL1234[[#This Row],[S/S_CON.]]</f>
        <v/>
      </c>
      <c r="T43" s="3">
        <f>TABL1234[[#This Row],[(S/S) AJD]]+TABL1234[[#This Row],[(T/B) AJD]]</f>
        <v/>
      </c>
      <c r="U43" s="41" t="n"/>
      <c r="V43" s="41" t="n"/>
      <c r="W43" s="3">
        <f>TABL1234[[#This Row],[(A/B) AJD]]+TABL1234[[#This Row],[(A/S) AJD]]</f>
        <v/>
      </c>
      <c r="X43" s="3">
        <f>TABL1234[[#This Row],[( S/S+T/B) AJD]]-TABL1234[[#This Row],[(A/B + A/S) AJD]]</f>
        <v/>
      </c>
      <c r="Y43" s="41" t="n"/>
      <c r="Z43" s="43" t="n"/>
      <c r="AA43" s="3">
        <f>TABL1234[[#This Row],[(RESV. STORGE) AJD]]/10</f>
        <v/>
      </c>
      <c r="AB43" s="3">
        <f>IF(TRIM(Z43)="",,(Z43-Z42)/1000)</f>
        <v/>
      </c>
      <c r="AC43" s="5" t="n"/>
      <c r="AD43" s="39">
        <f>TABL1234[[#This Row],[( S/S+T/B) AJD]]-(TABL1234[[#This Row],[(A/B + A/S) AJD]]+(TABL1234[[#This Row],[(STORGE DIFF.) AJD]]*1000)+TABL1234[[#This Row],[AJD_Evaporation]])</f>
        <v/>
      </c>
      <c r="AE43" s="41" t="n"/>
      <c r="AF43" s="43" t="n"/>
      <c r="AG43" s="43" t="n"/>
      <c r="AH43" s="6" t="n"/>
      <c r="AI43" s="43" t="n"/>
      <c r="AJ43" s="43">
        <f>TABL1234[[#This Row],[(A/B) AJD]]-TABL1234[[#This Row],[BER_IN]]</f>
        <v/>
      </c>
      <c r="AK43" s="43" t="n"/>
      <c r="AL43" s="43" t="n"/>
      <c r="AM43" s="32" t="n"/>
      <c r="AN43" s="32">
        <f>TABL1234[[#This Row],[ (RESV. STORGE) SER]]/10</f>
        <v/>
      </c>
      <c r="AO43" s="68" t="n"/>
      <c r="AP43" s="68">
        <f>TABL1234[[#This Row],[(A/S) AJD]]-TABL1234[[#This Row],[SER_IN]]</f>
        <v/>
      </c>
    </row>
    <row r="44" ht="18.75" customHeight="1">
      <c r="A44" s="2" t="n">
        <v>46430</v>
      </c>
      <c r="B44" s="44" t="n"/>
      <c r="C44" s="44" t="n"/>
      <c r="D44" s="44" t="n"/>
      <c r="E44" s="44" t="n"/>
      <c r="F44" s="44" t="n"/>
      <c r="G44" s="40" t="n"/>
      <c r="H44" s="28">
        <f>103-F44</f>
        <v/>
      </c>
      <c r="I44" s="40" t="n"/>
      <c r="J44" s="44" t="n"/>
      <c r="K44" s="28">
        <f>TABL1234[[#This Row],[ (T/B) SAR]]+TABL1234[[#This Row],[ (S/S) SAR]]</f>
        <v/>
      </c>
      <c r="L44" s="45" t="n"/>
      <c r="M44" s="46" t="n"/>
      <c r="N44" s="46" t="n"/>
      <c r="O44" s="40" t="n"/>
      <c r="P44" s="3">
        <f>TABL1234[[#This Row],[ (S/S) SAR]]-TABL1234[[#This Row],[(S/S) AJD]]</f>
        <v/>
      </c>
      <c r="Q44" s="40" t="n"/>
      <c r="R44" s="3">
        <f>TABL1234[[#This Row],[ (T/B) SAR]]-TABL1234[[#This Row],[(T/B) AJD]]</f>
        <v/>
      </c>
      <c r="S44" s="3">
        <f>TABL1234[[#This Row],[T/B-CON.]]+TABL1234[[#This Row],[S/S_CON.]]</f>
        <v/>
      </c>
      <c r="T44" s="3">
        <f>TABL1234[[#This Row],[(S/S) AJD]]+TABL1234[[#This Row],[(T/B) AJD]]</f>
        <v/>
      </c>
      <c r="U44" s="44" t="n"/>
      <c r="V44" s="44" t="n"/>
      <c r="W44" s="3">
        <f>TABL1234[[#This Row],[(A/B) AJD]]+TABL1234[[#This Row],[(A/S) AJD]]</f>
        <v/>
      </c>
      <c r="X44" s="3">
        <f>TABL1234[[#This Row],[( S/S+T/B) AJD]]-TABL1234[[#This Row],[(A/B + A/S) AJD]]</f>
        <v/>
      </c>
      <c r="Y44" s="44" t="n"/>
      <c r="Z44" s="45" t="n"/>
      <c r="AA44" s="3">
        <f>TABL1234[[#This Row],[(RESV. STORGE) AJD]]/10</f>
        <v/>
      </c>
      <c r="AB44" s="3">
        <f>IF(TRIM(Z44)="",,(Z44-Z43)/1000)</f>
        <v/>
      </c>
      <c r="AC44" s="5" t="n"/>
      <c r="AD44" s="40">
        <f>TABL1234[[#This Row],[( S/S+T/B) AJD]]-(TABL1234[[#This Row],[(A/B + A/S) AJD]]+(TABL1234[[#This Row],[(STORGE DIFF.) AJD]]*1000)+TABL1234[[#This Row],[AJD_Evaporation]])</f>
        <v/>
      </c>
      <c r="AE44" s="44" t="n"/>
      <c r="AF44" s="45" t="n"/>
      <c r="AG44" s="45" t="n"/>
      <c r="AH44" s="6" t="n"/>
      <c r="AI44" s="45" t="n"/>
      <c r="AJ44" s="45">
        <f>TABL1234[[#This Row],[(A/B) AJD]]-TABL1234[[#This Row],[BER_IN]]</f>
        <v/>
      </c>
      <c r="AK44" s="45" t="n"/>
      <c r="AL44" s="45" t="n"/>
      <c r="AM44" s="32" t="n"/>
      <c r="AN44" s="32">
        <f>TABL1234[[#This Row],[ (RESV. STORGE) SER]]/10</f>
        <v/>
      </c>
      <c r="AO44" s="68" t="n"/>
      <c r="AP44" s="68">
        <f>TABL1234[[#This Row],[(A/S) AJD]]-TABL1234[[#This Row],[SER_IN]]</f>
        <v/>
      </c>
    </row>
    <row r="45" ht="18.75" customHeight="1">
      <c r="A45" s="2" t="n">
        <v>46431</v>
      </c>
      <c r="B45" s="41" t="n"/>
      <c r="C45" s="41" t="n"/>
      <c r="D45" s="41" t="n"/>
      <c r="E45" s="41" t="n"/>
      <c r="F45" s="41" t="n"/>
      <c r="G45" s="39" t="n"/>
      <c r="H45" s="28">
        <f>103-F45</f>
        <v/>
      </c>
      <c r="I45" s="39" t="n"/>
      <c r="J45" s="39" t="n"/>
      <c r="K45" s="28">
        <f>TABL1234[[#This Row],[ (T/B) SAR]]+TABL1234[[#This Row],[ (S/S) SAR]]</f>
        <v/>
      </c>
      <c r="L45" s="41" t="n"/>
      <c r="M45" s="42" t="n"/>
      <c r="N45" s="42" t="n"/>
      <c r="O45" s="39" t="n"/>
      <c r="P45" s="3">
        <f>TABL1234[[#This Row],[ (S/S) SAR]]-TABL1234[[#This Row],[(S/S) AJD]]</f>
        <v/>
      </c>
      <c r="Q45" s="39" t="n"/>
      <c r="R45" s="3">
        <f>TABL1234[[#This Row],[ (T/B) SAR]]-TABL1234[[#This Row],[(T/B) AJD]]</f>
        <v/>
      </c>
      <c r="S45" s="3">
        <f>TABL1234[[#This Row],[T/B-CON.]]+TABL1234[[#This Row],[S/S_CON.]]</f>
        <v/>
      </c>
      <c r="T45" s="3">
        <f>TABL1234[[#This Row],[(S/S) AJD]]+TABL1234[[#This Row],[(T/B) AJD]]</f>
        <v/>
      </c>
      <c r="U45" s="41" t="n"/>
      <c r="V45" s="41" t="n"/>
      <c r="W45" s="3">
        <f>TABL1234[[#This Row],[(A/B) AJD]]+TABL1234[[#This Row],[(A/S) AJD]]</f>
        <v/>
      </c>
      <c r="X45" s="3">
        <f>TABL1234[[#This Row],[( S/S+T/B) AJD]]-TABL1234[[#This Row],[(A/B + A/S) AJD]]</f>
        <v/>
      </c>
      <c r="Y45" s="41" t="n"/>
      <c r="Z45" s="43" t="n"/>
      <c r="AA45" s="3">
        <f>TABL1234[[#This Row],[(RESV. STORGE) AJD]]/10</f>
        <v/>
      </c>
      <c r="AB45" s="3">
        <f>IF(TRIM(Z45)="",,(Z45-Z44)/1000)</f>
        <v/>
      </c>
      <c r="AC45" s="5" t="n"/>
      <c r="AD45" s="39">
        <f>TABL1234[[#This Row],[( S/S+T/B) AJD]]-(TABL1234[[#This Row],[(A/B + A/S) AJD]]+(TABL1234[[#This Row],[(STORGE DIFF.) AJD]]*1000)+TABL1234[[#This Row],[AJD_Evaporation]])</f>
        <v/>
      </c>
      <c r="AE45" s="41" t="n"/>
      <c r="AF45" s="43" t="n"/>
      <c r="AG45" s="43" t="n"/>
      <c r="AH45" s="6" t="n"/>
      <c r="AI45" s="43" t="n"/>
      <c r="AJ45" s="43">
        <f>TABL1234[[#This Row],[(A/B) AJD]]-TABL1234[[#This Row],[BER_IN]]</f>
        <v/>
      </c>
      <c r="AK45" s="43" t="n"/>
      <c r="AL45" s="43" t="n"/>
      <c r="AM45" s="32" t="n"/>
      <c r="AN45" s="32">
        <f>TABL1234[[#This Row],[ (RESV. STORGE) SER]]/10</f>
        <v/>
      </c>
      <c r="AO45" s="68" t="n"/>
      <c r="AP45" s="68">
        <f>TABL1234[[#This Row],[(A/S) AJD]]-TABL1234[[#This Row],[SER_IN]]</f>
        <v/>
      </c>
    </row>
    <row r="46" ht="18.75" customHeight="1">
      <c r="A46" s="2" t="n">
        <v>46432</v>
      </c>
      <c r="B46" s="44" t="n"/>
      <c r="C46" s="44" t="n"/>
      <c r="D46" s="44" t="n"/>
      <c r="E46" s="44" t="n"/>
      <c r="F46" s="44" t="n"/>
      <c r="G46" s="40" t="n"/>
      <c r="H46" s="28">
        <f>103-F46</f>
        <v/>
      </c>
      <c r="I46" s="40" t="n"/>
      <c r="J46" s="44" t="n"/>
      <c r="K46" s="28">
        <f>TABL1234[[#This Row],[ (T/B) SAR]]+TABL1234[[#This Row],[ (S/S) SAR]]</f>
        <v/>
      </c>
      <c r="L46" s="45" t="n"/>
      <c r="M46" s="46" t="n"/>
      <c r="N46" s="46" t="n"/>
      <c r="O46" s="40" t="n"/>
      <c r="P46" s="3">
        <f>TABL1234[[#This Row],[ (S/S) SAR]]-TABL1234[[#This Row],[(S/S) AJD]]</f>
        <v/>
      </c>
      <c r="Q46" s="40" t="n"/>
      <c r="R46" s="3">
        <f>TABL1234[[#This Row],[ (T/B) SAR]]-TABL1234[[#This Row],[(T/B) AJD]]</f>
        <v/>
      </c>
      <c r="S46" s="3">
        <f>TABL1234[[#This Row],[T/B-CON.]]+TABL1234[[#This Row],[S/S_CON.]]</f>
        <v/>
      </c>
      <c r="T46" s="3">
        <f>TABL1234[[#This Row],[(S/S) AJD]]+TABL1234[[#This Row],[(T/B) AJD]]</f>
        <v/>
      </c>
      <c r="U46" s="44" t="n"/>
      <c r="V46" s="44" t="n"/>
      <c r="W46" s="3">
        <f>TABL1234[[#This Row],[(A/B) AJD]]+TABL1234[[#This Row],[(A/S) AJD]]</f>
        <v/>
      </c>
      <c r="X46" s="3">
        <f>TABL1234[[#This Row],[( S/S+T/B) AJD]]-TABL1234[[#This Row],[(A/B + A/S) AJD]]</f>
        <v/>
      </c>
      <c r="Y46" s="44" t="n"/>
      <c r="Z46" s="45" t="n"/>
      <c r="AA46" s="3">
        <f>TABL1234[[#This Row],[(RESV. STORGE) AJD]]/10</f>
        <v/>
      </c>
      <c r="AB46" s="3">
        <f>IF(TRIM(Z46)="",,(Z46-Z45)/1000)</f>
        <v/>
      </c>
      <c r="AC46" s="5" t="n"/>
      <c r="AD46" s="40">
        <f>TABL1234[[#This Row],[( S/S+T/B) AJD]]-(TABL1234[[#This Row],[(A/B + A/S) AJD]]+(TABL1234[[#This Row],[(STORGE DIFF.) AJD]]*1000)+TABL1234[[#This Row],[AJD_Evaporation]])</f>
        <v/>
      </c>
      <c r="AE46" s="44" t="n"/>
      <c r="AF46" s="45" t="n"/>
      <c r="AG46" s="45" t="n"/>
      <c r="AH46" s="6" t="n"/>
      <c r="AI46" s="45" t="n"/>
      <c r="AJ46" s="45">
        <f>TABL1234[[#This Row],[(A/B) AJD]]-TABL1234[[#This Row],[BER_IN]]</f>
        <v/>
      </c>
      <c r="AK46" s="45" t="n"/>
      <c r="AL46" s="45" t="n"/>
      <c r="AM46" s="32" t="n"/>
      <c r="AN46" s="32">
        <f>TABL1234[[#This Row],[ (RESV. STORGE) SER]]/10</f>
        <v/>
      </c>
      <c r="AO46" s="68" t="n"/>
      <c r="AP46" s="68">
        <f>TABL1234[[#This Row],[(A/S) AJD]]-TABL1234[[#This Row],[SER_IN]]</f>
        <v/>
      </c>
    </row>
    <row r="47" ht="18.75" customHeight="1">
      <c r="A47" s="2" t="n">
        <v>46433</v>
      </c>
      <c r="B47" s="41" t="n"/>
      <c r="C47" s="41" t="n"/>
      <c r="D47" s="41" t="n"/>
      <c r="E47" s="41" t="n"/>
      <c r="F47" s="41" t="n"/>
      <c r="G47" s="39" t="n"/>
      <c r="H47" s="28">
        <f>103-F47</f>
        <v/>
      </c>
      <c r="I47" s="39" t="n"/>
      <c r="J47" s="39" t="n"/>
      <c r="K47" s="28">
        <f>TABL1234[[#This Row],[ (T/B) SAR]]+TABL1234[[#This Row],[ (S/S) SAR]]</f>
        <v/>
      </c>
      <c r="L47" s="41" t="n"/>
      <c r="M47" s="42" t="n"/>
      <c r="N47" s="42" t="n"/>
      <c r="O47" s="39" t="n"/>
      <c r="P47" s="3">
        <f>TABL1234[[#This Row],[ (S/S) SAR]]-TABL1234[[#This Row],[(S/S) AJD]]</f>
        <v/>
      </c>
      <c r="Q47" s="39" t="n"/>
      <c r="R47" s="3">
        <f>TABL1234[[#This Row],[ (T/B) SAR]]-TABL1234[[#This Row],[(T/B) AJD]]</f>
        <v/>
      </c>
      <c r="S47" s="3">
        <f>TABL1234[[#This Row],[T/B-CON.]]+TABL1234[[#This Row],[S/S_CON.]]</f>
        <v/>
      </c>
      <c r="T47" s="3">
        <f>TABL1234[[#This Row],[(S/S) AJD]]+TABL1234[[#This Row],[(T/B) AJD]]</f>
        <v/>
      </c>
      <c r="U47" s="41" t="n"/>
      <c r="V47" s="41" t="n"/>
      <c r="W47" s="3">
        <f>TABL1234[[#This Row],[(A/B) AJD]]+TABL1234[[#This Row],[(A/S) AJD]]</f>
        <v/>
      </c>
      <c r="X47" s="3">
        <f>TABL1234[[#This Row],[( S/S+T/B) AJD]]-TABL1234[[#This Row],[(A/B + A/S) AJD]]</f>
        <v/>
      </c>
      <c r="Y47" s="41" t="n"/>
      <c r="Z47" s="43" t="n"/>
      <c r="AA47" s="3">
        <f>TABL1234[[#This Row],[(RESV. STORGE) AJD]]/10</f>
        <v/>
      </c>
      <c r="AB47" s="3">
        <f>IF(TRIM(Z47)="",,(Z47-Z46)/1000)</f>
        <v/>
      </c>
      <c r="AC47" s="5" t="n"/>
      <c r="AD47" s="39">
        <f>TABL1234[[#This Row],[( S/S+T/B) AJD]]-(TABL1234[[#This Row],[(A/B + A/S) AJD]]+(TABL1234[[#This Row],[(STORGE DIFF.) AJD]]*1000)+TABL1234[[#This Row],[AJD_Evaporation]])</f>
        <v/>
      </c>
      <c r="AE47" s="41" t="n"/>
      <c r="AF47" s="43" t="n"/>
      <c r="AG47" s="43" t="n"/>
      <c r="AH47" s="6" t="n"/>
      <c r="AI47" s="43" t="n"/>
      <c r="AJ47" s="43">
        <f>TABL1234[[#This Row],[(A/B) AJD]]-TABL1234[[#This Row],[BER_IN]]</f>
        <v/>
      </c>
      <c r="AK47" s="43" t="n"/>
      <c r="AL47" s="43" t="n"/>
      <c r="AM47" s="32" t="n"/>
      <c r="AN47" s="32">
        <f>TABL1234[[#This Row],[ (RESV. STORGE) SER]]/10</f>
        <v/>
      </c>
      <c r="AO47" s="68" t="n"/>
      <c r="AP47" s="68">
        <f>TABL1234[[#This Row],[(A/S) AJD]]-TABL1234[[#This Row],[SER_IN]]</f>
        <v/>
      </c>
    </row>
    <row r="48" ht="18.75" customHeight="1">
      <c r="A48" s="2" t="n">
        <v>46434</v>
      </c>
      <c r="B48" s="44" t="n"/>
      <c r="C48" s="44" t="n"/>
      <c r="D48" s="44" t="n"/>
      <c r="E48" s="44" t="n"/>
      <c r="F48" s="44" t="n"/>
      <c r="G48" s="40" t="n"/>
      <c r="H48" s="28">
        <f>103-F48</f>
        <v/>
      </c>
      <c r="I48" s="40" t="n"/>
      <c r="J48" s="44" t="n"/>
      <c r="K48" s="28">
        <f>TABL1234[[#This Row],[ (T/B) SAR]]+TABL1234[[#This Row],[ (S/S) SAR]]</f>
        <v/>
      </c>
      <c r="L48" s="45" t="n"/>
      <c r="M48" s="46" t="n"/>
      <c r="N48" s="46" t="n"/>
      <c r="O48" s="40" t="n"/>
      <c r="P48" s="3">
        <f>TABL1234[[#This Row],[ (S/S) SAR]]-TABL1234[[#This Row],[(S/S) AJD]]</f>
        <v/>
      </c>
      <c r="Q48" s="40" t="n"/>
      <c r="R48" s="3">
        <f>TABL1234[[#This Row],[ (T/B) SAR]]-TABL1234[[#This Row],[(T/B) AJD]]</f>
        <v/>
      </c>
      <c r="S48" s="3">
        <f>TABL1234[[#This Row],[T/B-CON.]]+TABL1234[[#This Row],[S/S_CON.]]</f>
        <v/>
      </c>
      <c r="T48" s="3">
        <f>TABL1234[[#This Row],[(S/S) AJD]]+TABL1234[[#This Row],[(T/B) AJD]]</f>
        <v/>
      </c>
      <c r="U48" s="44" t="n"/>
      <c r="V48" s="44" t="n"/>
      <c r="W48" s="3">
        <f>TABL1234[[#This Row],[(A/B) AJD]]+TABL1234[[#This Row],[(A/S) AJD]]</f>
        <v/>
      </c>
      <c r="X48" s="3">
        <f>TABL1234[[#This Row],[( S/S+T/B) AJD]]-TABL1234[[#This Row],[(A/B + A/S) AJD]]</f>
        <v/>
      </c>
      <c r="Y48" s="44" t="n"/>
      <c r="Z48" s="45" t="n"/>
      <c r="AA48" s="3">
        <f>TABL1234[[#This Row],[(RESV. STORGE) AJD]]/10</f>
        <v/>
      </c>
      <c r="AB48" s="3">
        <f>IF(TRIM(Z48)="",,(Z48-Z47)/1000)</f>
        <v/>
      </c>
      <c r="AC48" s="5" t="n"/>
      <c r="AD48" s="40">
        <f>TABL1234[[#This Row],[( S/S+T/B) AJD]]-(TABL1234[[#This Row],[(A/B + A/S) AJD]]+(TABL1234[[#This Row],[(STORGE DIFF.) AJD]]*1000)+TABL1234[[#This Row],[AJD_Evaporation]])</f>
        <v/>
      </c>
      <c r="AE48" s="44" t="n"/>
      <c r="AF48" s="45" t="n"/>
      <c r="AG48" s="45" t="n"/>
      <c r="AH48" s="6" t="n"/>
      <c r="AI48" s="45" t="n"/>
      <c r="AJ48" s="45">
        <f>TABL1234[[#This Row],[(A/B) AJD]]-TABL1234[[#This Row],[BER_IN]]</f>
        <v/>
      </c>
      <c r="AK48" s="45" t="n"/>
      <c r="AL48" s="45" t="n"/>
      <c r="AM48" s="32" t="n"/>
      <c r="AN48" s="32">
        <f>TABL1234[[#This Row],[ (RESV. STORGE) SER]]/10</f>
        <v/>
      </c>
      <c r="AO48" s="68" t="n"/>
      <c r="AP48" s="68">
        <f>TABL1234[[#This Row],[(A/S) AJD]]-TABL1234[[#This Row],[SER_IN]]</f>
        <v/>
      </c>
    </row>
    <row r="49" ht="18.75" customHeight="1">
      <c r="A49" s="2" t="n">
        <v>46435</v>
      </c>
      <c r="B49" s="41" t="n"/>
      <c r="C49" s="41" t="n"/>
      <c r="D49" s="41" t="n"/>
      <c r="E49" s="41" t="n"/>
      <c r="F49" s="41" t="n"/>
      <c r="G49" s="39" t="n"/>
      <c r="H49" s="28">
        <f>103-F49</f>
        <v/>
      </c>
      <c r="I49" s="39" t="n"/>
      <c r="J49" s="39" t="n"/>
      <c r="K49" s="28">
        <f>TABL1234[[#This Row],[ (T/B) SAR]]+TABL1234[[#This Row],[ (S/S) SAR]]</f>
        <v/>
      </c>
      <c r="L49" s="41" t="n"/>
      <c r="M49" s="42" t="n"/>
      <c r="N49" s="42" t="n"/>
      <c r="O49" s="39" t="n"/>
      <c r="P49" s="3">
        <f>TABL1234[[#This Row],[ (S/S) SAR]]-TABL1234[[#This Row],[(S/S) AJD]]</f>
        <v/>
      </c>
      <c r="Q49" s="39" t="n"/>
      <c r="R49" s="3">
        <f>TABL1234[[#This Row],[ (T/B) SAR]]-TABL1234[[#This Row],[(T/B) AJD]]</f>
        <v/>
      </c>
      <c r="S49" s="3">
        <f>TABL1234[[#This Row],[T/B-CON.]]+TABL1234[[#This Row],[S/S_CON.]]</f>
        <v/>
      </c>
      <c r="T49" s="3">
        <f>TABL1234[[#This Row],[(S/S) AJD]]+TABL1234[[#This Row],[(T/B) AJD]]</f>
        <v/>
      </c>
      <c r="U49" s="41" t="n"/>
      <c r="V49" s="41" t="n"/>
      <c r="W49" s="3">
        <f>TABL1234[[#This Row],[(A/B) AJD]]+TABL1234[[#This Row],[(A/S) AJD]]</f>
        <v/>
      </c>
      <c r="X49" s="3">
        <f>TABL1234[[#This Row],[( S/S+T/B) AJD]]-TABL1234[[#This Row],[(A/B + A/S) AJD]]</f>
        <v/>
      </c>
      <c r="Y49" s="41" t="n"/>
      <c r="Z49" s="43" t="n"/>
      <c r="AA49" s="3">
        <f>TABL1234[[#This Row],[(RESV. STORGE) AJD]]/10</f>
        <v/>
      </c>
      <c r="AB49" s="3">
        <f>IF(TRIM(Z49)="",,(Z49-Z48)/1000)</f>
        <v/>
      </c>
      <c r="AC49" s="5" t="n"/>
      <c r="AD49" s="39">
        <f>TABL1234[[#This Row],[( S/S+T/B) AJD]]-(TABL1234[[#This Row],[(A/B + A/S) AJD]]+(TABL1234[[#This Row],[(STORGE DIFF.) AJD]]*1000)+TABL1234[[#This Row],[AJD_Evaporation]])</f>
        <v/>
      </c>
      <c r="AE49" s="41" t="n"/>
      <c r="AF49" s="43" t="n"/>
      <c r="AG49" s="43" t="n"/>
      <c r="AH49" s="6" t="n"/>
      <c r="AI49" s="43" t="n"/>
      <c r="AJ49" s="43">
        <f>TABL1234[[#This Row],[(A/B) AJD]]-TABL1234[[#This Row],[BER_IN]]</f>
        <v/>
      </c>
      <c r="AK49" s="43" t="n"/>
      <c r="AL49" s="43" t="n"/>
      <c r="AM49" s="32" t="n"/>
      <c r="AN49" s="32">
        <f>TABL1234[[#This Row],[ (RESV. STORGE) SER]]/10</f>
        <v/>
      </c>
      <c r="AO49" s="68" t="n"/>
      <c r="AP49" s="68">
        <f>TABL1234[[#This Row],[(A/S) AJD]]-TABL1234[[#This Row],[SER_IN]]</f>
        <v/>
      </c>
    </row>
    <row r="50" ht="18.75" customHeight="1">
      <c r="A50" s="2" t="n">
        <v>46436</v>
      </c>
      <c r="B50" s="44" t="n"/>
      <c r="C50" s="44" t="n"/>
      <c r="D50" s="44" t="n"/>
      <c r="E50" s="44" t="n"/>
      <c r="F50" s="44" t="n"/>
      <c r="G50" s="40" t="n"/>
      <c r="H50" s="28">
        <f>103-F50</f>
        <v/>
      </c>
      <c r="I50" s="40" t="n"/>
      <c r="J50" s="44" t="n"/>
      <c r="K50" s="28">
        <f>TABL1234[[#This Row],[ (T/B) SAR]]+TABL1234[[#This Row],[ (S/S) SAR]]</f>
        <v/>
      </c>
      <c r="L50" s="45" t="n"/>
      <c r="M50" s="46" t="n"/>
      <c r="N50" s="46" t="n"/>
      <c r="O50" s="40" t="n"/>
      <c r="P50" s="3">
        <f>TABL1234[[#This Row],[ (S/S) SAR]]-TABL1234[[#This Row],[(S/S) AJD]]</f>
        <v/>
      </c>
      <c r="Q50" s="40" t="n"/>
      <c r="R50" s="3">
        <f>TABL1234[[#This Row],[ (T/B) SAR]]-TABL1234[[#This Row],[(T/B) AJD]]</f>
        <v/>
      </c>
      <c r="S50" s="3">
        <f>TABL1234[[#This Row],[T/B-CON.]]+TABL1234[[#This Row],[S/S_CON.]]</f>
        <v/>
      </c>
      <c r="T50" s="3">
        <f>TABL1234[[#This Row],[(S/S) AJD]]+TABL1234[[#This Row],[(T/B) AJD]]</f>
        <v/>
      </c>
      <c r="U50" s="44" t="n"/>
      <c r="V50" s="44" t="n"/>
      <c r="W50" s="3">
        <f>TABL1234[[#This Row],[(A/B) AJD]]+TABL1234[[#This Row],[(A/S) AJD]]</f>
        <v/>
      </c>
      <c r="X50" s="3">
        <f>TABL1234[[#This Row],[( S/S+T/B) AJD]]-TABL1234[[#This Row],[(A/B + A/S) AJD]]</f>
        <v/>
      </c>
      <c r="Y50" s="44" t="n"/>
      <c r="Z50" s="45" t="n"/>
      <c r="AA50" s="3">
        <f>TABL1234[[#This Row],[(RESV. STORGE) AJD]]/10</f>
        <v/>
      </c>
      <c r="AB50" s="3">
        <f>IF(TRIM(Z50)="",,(Z50-Z49)/1000)</f>
        <v/>
      </c>
      <c r="AC50" s="5" t="n"/>
      <c r="AD50" s="40">
        <f>TABL1234[[#This Row],[( S/S+T/B) AJD]]-(TABL1234[[#This Row],[(A/B + A/S) AJD]]+(TABL1234[[#This Row],[(STORGE DIFF.) AJD]]*1000)+TABL1234[[#This Row],[AJD_Evaporation]])</f>
        <v/>
      </c>
      <c r="AE50" s="44" t="n"/>
      <c r="AF50" s="45" t="n"/>
      <c r="AG50" s="45" t="n"/>
      <c r="AH50" s="6" t="n"/>
      <c r="AI50" s="45" t="n"/>
      <c r="AJ50" s="45">
        <f>TABL1234[[#This Row],[(A/B) AJD]]-TABL1234[[#This Row],[BER_IN]]</f>
        <v/>
      </c>
      <c r="AK50" s="45" t="n"/>
      <c r="AL50" s="45" t="n"/>
      <c r="AM50" s="32" t="n"/>
      <c r="AN50" s="32">
        <f>TABL1234[[#This Row],[ (RESV. STORGE) SER]]/10</f>
        <v/>
      </c>
      <c r="AO50" s="68" t="n"/>
      <c r="AP50" s="68">
        <f>TABL1234[[#This Row],[(A/S) AJD]]-TABL1234[[#This Row],[SER_IN]]</f>
        <v/>
      </c>
    </row>
    <row r="51" ht="18.75" customHeight="1">
      <c r="A51" s="2" t="n">
        <v>46437</v>
      </c>
      <c r="B51" s="41" t="n"/>
      <c r="C51" s="41" t="n"/>
      <c r="D51" s="41" t="n"/>
      <c r="E51" s="41" t="n"/>
      <c r="F51" s="41" t="n"/>
      <c r="G51" s="39" t="n"/>
      <c r="H51" s="28">
        <f>103-F51</f>
        <v/>
      </c>
      <c r="I51" s="39" t="n"/>
      <c r="J51" s="39" t="n"/>
      <c r="K51" s="28">
        <f>TABL1234[[#This Row],[ (T/B) SAR]]+TABL1234[[#This Row],[ (S/S) SAR]]</f>
        <v/>
      </c>
      <c r="L51" s="41" t="n"/>
      <c r="M51" s="42" t="n"/>
      <c r="N51" s="42" t="n"/>
      <c r="O51" s="39" t="n"/>
      <c r="P51" s="3">
        <f>TABL1234[[#This Row],[ (S/S) SAR]]-TABL1234[[#This Row],[(S/S) AJD]]</f>
        <v/>
      </c>
      <c r="Q51" s="39" t="n"/>
      <c r="R51" s="3">
        <f>TABL1234[[#This Row],[ (T/B) SAR]]-TABL1234[[#This Row],[(T/B) AJD]]</f>
        <v/>
      </c>
      <c r="S51" s="3">
        <f>TABL1234[[#This Row],[T/B-CON.]]+TABL1234[[#This Row],[S/S_CON.]]</f>
        <v/>
      </c>
      <c r="T51" s="3">
        <f>TABL1234[[#This Row],[(S/S) AJD]]+TABL1234[[#This Row],[(T/B) AJD]]</f>
        <v/>
      </c>
      <c r="U51" s="41" t="n"/>
      <c r="V51" s="41" t="n"/>
      <c r="W51" s="3">
        <f>TABL1234[[#This Row],[(A/B) AJD]]+TABL1234[[#This Row],[(A/S) AJD]]</f>
        <v/>
      </c>
      <c r="X51" s="3">
        <f>TABL1234[[#This Row],[( S/S+T/B) AJD]]-TABL1234[[#This Row],[(A/B + A/S) AJD]]</f>
        <v/>
      </c>
      <c r="Y51" s="41" t="n"/>
      <c r="Z51" s="43" t="n"/>
      <c r="AA51" s="3">
        <f>TABL1234[[#This Row],[(RESV. STORGE) AJD]]/10</f>
        <v/>
      </c>
      <c r="AB51" s="3">
        <f>IF(TRIM(Z51)="",,(Z51-Z50)/1000)</f>
        <v/>
      </c>
      <c r="AC51" s="5" t="n"/>
      <c r="AD51" s="39">
        <f>TABL1234[[#This Row],[( S/S+T/B) AJD]]-(TABL1234[[#This Row],[(A/B + A/S) AJD]]+(TABL1234[[#This Row],[(STORGE DIFF.) AJD]]*1000)+TABL1234[[#This Row],[AJD_Evaporation]])</f>
        <v/>
      </c>
      <c r="AE51" s="41" t="n"/>
      <c r="AF51" s="43" t="n"/>
      <c r="AG51" s="43" t="n"/>
      <c r="AH51" s="6" t="n"/>
      <c r="AI51" s="43" t="n"/>
      <c r="AJ51" s="43">
        <f>TABL1234[[#This Row],[(A/B) AJD]]-TABL1234[[#This Row],[BER_IN]]</f>
        <v/>
      </c>
      <c r="AK51" s="43" t="n"/>
      <c r="AL51" s="43" t="n"/>
      <c r="AM51" s="32" t="n"/>
      <c r="AN51" s="32">
        <f>TABL1234[[#This Row],[ (RESV. STORGE) SER]]/10</f>
        <v/>
      </c>
      <c r="AO51" s="68" t="n"/>
      <c r="AP51" s="68">
        <f>TABL1234[[#This Row],[(A/S) AJD]]-TABL1234[[#This Row],[SER_IN]]</f>
        <v/>
      </c>
    </row>
    <row r="52" ht="18.75" customHeight="1">
      <c r="A52" s="2" t="n">
        <v>46438</v>
      </c>
      <c r="B52" s="44" t="n"/>
      <c r="C52" s="44" t="n"/>
      <c r="D52" s="44" t="n"/>
      <c r="E52" s="44" t="n"/>
      <c r="F52" s="44" t="n"/>
      <c r="G52" s="40" t="n"/>
      <c r="H52" s="28">
        <f>103-F52</f>
        <v/>
      </c>
      <c r="I52" s="40" t="n"/>
      <c r="J52" s="44" t="n"/>
      <c r="K52" s="28">
        <f>TABL1234[[#This Row],[ (T/B) SAR]]+TABL1234[[#This Row],[ (S/S) SAR]]</f>
        <v/>
      </c>
      <c r="L52" s="45" t="n"/>
      <c r="M52" s="46" t="n"/>
      <c r="N52" s="46" t="n"/>
      <c r="O52" s="40" t="n"/>
      <c r="P52" s="3">
        <f>TABL1234[[#This Row],[ (S/S) SAR]]-TABL1234[[#This Row],[(S/S) AJD]]</f>
        <v/>
      </c>
      <c r="Q52" s="40" t="n"/>
      <c r="R52" s="3">
        <f>TABL1234[[#This Row],[ (T/B) SAR]]-TABL1234[[#This Row],[(T/B) AJD]]</f>
        <v/>
      </c>
      <c r="S52" s="3">
        <f>TABL1234[[#This Row],[T/B-CON.]]+TABL1234[[#This Row],[S/S_CON.]]</f>
        <v/>
      </c>
      <c r="T52" s="3">
        <f>TABL1234[[#This Row],[(S/S) AJD]]+TABL1234[[#This Row],[(T/B) AJD]]</f>
        <v/>
      </c>
      <c r="U52" s="44" t="n"/>
      <c r="V52" s="44" t="n"/>
      <c r="W52" s="3">
        <f>TABL1234[[#This Row],[(A/B) AJD]]+TABL1234[[#This Row],[(A/S) AJD]]</f>
        <v/>
      </c>
      <c r="X52" s="3">
        <f>TABL1234[[#This Row],[( S/S+T/B) AJD]]-TABL1234[[#This Row],[(A/B + A/S) AJD]]</f>
        <v/>
      </c>
      <c r="Y52" s="44" t="n"/>
      <c r="Z52" s="45" t="n"/>
      <c r="AA52" s="3">
        <f>TABL1234[[#This Row],[(RESV. STORGE) AJD]]/10</f>
        <v/>
      </c>
      <c r="AB52" s="3">
        <f>IF(TRIM(Z52)="",,(Z52-Z51)/1000)</f>
        <v/>
      </c>
      <c r="AC52" s="5" t="n"/>
      <c r="AD52" s="40">
        <f>TABL1234[[#This Row],[( S/S+T/B) AJD]]-(TABL1234[[#This Row],[(A/B + A/S) AJD]]+(TABL1234[[#This Row],[(STORGE DIFF.) AJD]]*1000)+TABL1234[[#This Row],[AJD_Evaporation]])</f>
        <v/>
      </c>
      <c r="AE52" s="44" t="n"/>
      <c r="AF52" s="45" t="n"/>
      <c r="AG52" s="45" t="n"/>
      <c r="AH52" s="6" t="n"/>
      <c r="AI52" s="45" t="n"/>
      <c r="AJ52" s="45">
        <f>TABL1234[[#This Row],[(A/B) AJD]]-TABL1234[[#This Row],[BER_IN]]</f>
        <v/>
      </c>
      <c r="AK52" s="45" t="n"/>
      <c r="AL52" s="45" t="n"/>
      <c r="AM52" s="32" t="n"/>
      <c r="AN52" s="32">
        <f>TABL1234[[#This Row],[ (RESV. STORGE) SER]]/10</f>
        <v/>
      </c>
      <c r="AO52" s="68" t="n"/>
      <c r="AP52" s="68">
        <f>TABL1234[[#This Row],[(A/S) AJD]]-TABL1234[[#This Row],[SER_IN]]</f>
        <v/>
      </c>
    </row>
    <row r="53" ht="18.75" customHeight="1">
      <c r="A53" s="2" t="n">
        <v>46439</v>
      </c>
      <c r="B53" s="41" t="n"/>
      <c r="C53" s="41" t="n"/>
      <c r="D53" s="41" t="n"/>
      <c r="E53" s="41" t="n"/>
      <c r="F53" s="41" t="n"/>
      <c r="G53" s="39" t="n"/>
      <c r="H53" s="28">
        <f>103-F53</f>
        <v/>
      </c>
      <c r="I53" s="39" t="n"/>
      <c r="J53" s="39" t="n"/>
      <c r="K53" s="28">
        <f>TABL1234[[#This Row],[ (T/B) SAR]]+TABL1234[[#This Row],[ (S/S) SAR]]</f>
        <v/>
      </c>
      <c r="L53" s="41" t="n"/>
      <c r="M53" s="42" t="n"/>
      <c r="N53" s="42" t="n"/>
      <c r="O53" s="39" t="n"/>
      <c r="P53" s="3">
        <f>TABL1234[[#This Row],[ (S/S) SAR]]-TABL1234[[#This Row],[(S/S) AJD]]</f>
        <v/>
      </c>
      <c r="Q53" s="39" t="n"/>
      <c r="R53" s="3">
        <f>TABL1234[[#This Row],[ (T/B) SAR]]-TABL1234[[#This Row],[(T/B) AJD]]</f>
        <v/>
      </c>
      <c r="S53" s="3">
        <f>TABL1234[[#This Row],[T/B-CON.]]+TABL1234[[#This Row],[S/S_CON.]]</f>
        <v/>
      </c>
      <c r="T53" s="3">
        <f>TABL1234[[#This Row],[(S/S) AJD]]+TABL1234[[#This Row],[(T/B) AJD]]</f>
        <v/>
      </c>
      <c r="U53" s="41" t="n"/>
      <c r="V53" s="41" t="n"/>
      <c r="W53" s="3">
        <f>TABL1234[[#This Row],[(A/B) AJD]]+TABL1234[[#This Row],[(A/S) AJD]]</f>
        <v/>
      </c>
      <c r="X53" s="3">
        <f>TABL1234[[#This Row],[( S/S+T/B) AJD]]-TABL1234[[#This Row],[(A/B + A/S) AJD]]</f>
        <v/>
      </c>
      <c r="Y53" s="41" t="n"/>
      <c r="Z53" s="43" t="n"/>
      <c r="AA53" s="3">
        <f>TABL1234[[#This Row],[(RESV. STORGE) AJD]]/10</f>
        <v/>
      </c>
      <c r="AB53" s="3">
        <f>IF(TRIM(Z53)="",,(Z53-Z52)/1000)</f>
        <v/>
      </c>
      <c r="AC53" s="5" t="n"/>
      <c r="AD53" s="39">
        <f>TABL1234[[#This Row],[( S/S+T/B) AJD]]-(TABL1234[[#This Row],[(A/B + A/S) AJD]]+(TABL1234[[#This Row],[(STORGE DIFF.) AJD]]*1000)+TABL1234[[#This Row],[AJD_Evaporation]])</f>
        <v/>
      </c>
      <c r="AE53" s="41" t="n"/>
      <c r="AF53" s="43" t="n"/>
      <c r="AG53" s="43" t="n"/>
      <c r="AH53" s="6" t="n"/>
      <c r="AI53" s="43" t="n"/>
      <c r="AJ53" s="43">
        <f>TABL1234[[#This Row],[(A/B) AJD]]-TABL1234[[#This Row],[BER_IN]]</f>
        <v/>
      </c>
      <c r="AK53" s="43" t="n"/>
      <c r="AL53" s="43" t="n"/>
      <c r="AM53" s="32" t="n"/>
      <c r="AN53" s="32">
        <f>TABL1234[[#This Row],[ (RESV. STORGE) SER]]/10</f>
        <v/>
      </c>
      <c r="AO53" s="68" t="n"/>
      <c r="AP53" s="68">
        <f>TABL1234[[#This Row],[(A/S) AJD]]-TABL1234[[#This Row],[SER_IN]]</f>
        <v/>
      </c>
    </row>
    <row r="54" ht="18.75" customHeight="1">
      <c r="A54" s="2" t="n">
        <v>46440</v>
      </c>
      <c r="B54" s="44" t="n"/>
      <c r="C54" s="44" t="n"/>
      <c r="D54" s="44" t="n"/>
      <c r="E54" s="44" t="n"/>
      <c r="F54" s="44" t="n"/>
      <c r="G54" s="40" t="n"/>
      <c r="H54" s="28">
        <f>103-F54</f>
        <v/>
      </c>
      <c r="I54" s="40" t="n"/>
      <c r="J54" s="44" t="n"/>
      <c r="K54" s="28">
        <f>TABL1234[[#This Row],[ (T/B) SAR]]+TABL1234[[#This Row],[ (S/S) SAR]]</f>
        <v/>
      </c>
      <c r="L54" s="45" t="n"/>
      <c r="M54" s="46" t="n"/>
      <c r="N54" s="46" t="n"/>
      <c r="O54" s="40" t="n"/>
      <c r="P54" s="3">
        <f>TABL1234[[#This Row],[ (S/S) SAR]]-TABL1234[[#This Row],[(S/S) AJD]]</f>
        <v/>
      </c>
      <c r="Q54" s="40" t="n"/>
      <c r="R54" s="3">
        <f>TABL1234[[#This Row],[ (T/B) SAR]]-TABL1234[[#This Row],[(T/B) AJD]]</f>
        <v/>
      </c>
      <c r="S54" s="3">
        <f>TABL1234[[#This Row],[T/B-CON.]]+TABL1234[[#This Row],[S/S_CON.]]</f>
        <v/>
      </c>
      <c r="T54" s="3">
        <f>TABL1234[[#This Row],[(S/S) AJD]]+TABL1234[[#This Row],[(T/B) AJD]]</f>
        <v/>
      </c>
      <c r="U54" s="44" t="n"/>
      <c r="V54" s="44" t="n"/>
      <c r="W54" s="3">
        <f>TABL1234[[#This Row],[(A/B) AJD]]+TABL1234[[#This Row],[(A/S) AJD]]</f>
        <v/>
      </c>
      <c r="X54" s="3">
        <f>TABL1234[[#This Row],[( S/S+T/B) AJD]]-TABL1234[[#This Row],[(A/B + A/S) AJD]]</f>
        <v/>
      </c>
      <c r="Y54" s="44" t="n"/>
      <c r="Z54" s="45" t="n"/>
      <c r="AA54" s="3">
        <f>TABL1234[[#This Row],[(RESV. STORGE) AJD]]/10</f>
        <v/>
      </c>
      <c r="AB54" s="3">
        <f>IF(TRIM(Z54)="",,(Z54-Z53)/1000)</f>
        <v/>
      </c>
      <c r="AC54" s="5" t="n"/>
      <c r="AD54" s="40">
        <f>TABL1234[[#This Row],[( S/S+T/B) AJD]]-(TABL1234[[#This Row],[(A/B + A/S) AJD]]+(TABL1234[[#This Row],[(STORGE DIFF.) AJD]]*1000)+TABL1234[[#This Row],[AJD_Evaporation]])</f>
        <v/>
      </c>
      <c r="AE54" s="44" t="n"/>
      <c r="AF54" s="45" t="n"/>
      <c r="AG54" s="45" t="n"/>
      <c r="AH54" s="6" t="n"/>
      <c r="AI54" s="45" t="n"/>
      <c r="AJ54" s="45">
        <f>TABL1234[[#This Row],[(A/B) AJD]]-TABL1234[[#This Row],[BER_IN]]</f>
        <v/>
      </c>
      <c r="AK54" s="45" t="n"/>
      <c r="AL54" s="45" t="n"/>
      <c r="AM54" s="32" t="n"/>
      <c r="AN54" s="32">
        <f>TABL1234[[#This Row],[ (RESV. STORGE) SER]]/10</f>
        <v/>
      </c>
      <c r="AO54" s="68" t="n"/>
      <c r="AP54" s="68">
        <f>TABL1234[[#This Row],[(A/S) AJD]]-TABL1234[[#This Row],[SER_IN]]</f>
        <v/>
      </c>
    </row>
    <row r="55" ht="18.75" customHeight="1">
      <c r="A55" s="2" t="n">
        <v>46441</v>
      </c>
      <c r="B55" s="41" t="n"/>
      <c r="C55" s="41" t="n"/>
      <c r="D55" s="41" t="n"/>
      <c r="E55" s="41" t="n"/>
      <c r="F55" s="41" t="n"/>
      <c r="G55" s="39" t="n"/>
      <c r="H55" s="28">
        <f>103-F55</f>
        <v/>
      </c>
      <c r="I55" s="39" t="n"/>
      <c r="J55" s="39" t="n"/>
      <c r="K55" s="28">
        <f>TABL1234[[#This Row],[ (T/B) SAR]]+TABL1234[[#This Row],[ (S/S) SAR]]</f>
        <v/>
      </c>
      <c r="L55" s="41" t="n"/>
      <c r="M55" s="42" t="n"/>
      <c r="N55" s="42" t="n"/>
      <c r="O55" s="39" t="n"/>
      <c r="P55" s="3">
        <f>TABL1234[[#This Row],[ (S/S) SAR]]-TABL1234[[#This Row],[(S/S) AJD]]</f>
        <v/>
      </c>
      <c r="Q55" s="39" t="n"/>
      <c r="R55" s="3">
        <f>TABL1234[[#This Row],[ (T/B) SAR]]-TABL1234[[#This Row],[(T/B) AJD]]</f>
        <v/>
      </c>
      <c r="S55" s="3">
        <f>TABL1234[[#This Row],[T/B-CON.]]+TABL1234[[#This Row],[S/S_CON.]]</f>
        <v/>
      </c>
      <c r="T55" s="3">
        <f>TABL1234[[#This Row],[(S/S) AJD]]+TABL1234[[#This Row],[(T/B) AJD]]</f>
        <v/>
      </c>
      <c r="U55" s="41" t="n"/>
      <c r="V55" s="41" t="n"/>
      <c r="W55" s="3">
        <f>TABL1234[[#This Row],[(A/B) AJD]]+TABL1234[[#This Row],[(A/S) AJD]]</f>
        <v/>
      </c>
      <c r="X55" s="3">
        <f>TABL1234[[#This Row],[( S/S+T/B) AJD]]-TABL1234[[#This Row],[(A/B + A/S) AJD]]</f>
        <v/>
      </c>
      <c r="Y55" s="41" t="n"/>
      <c r="Z55" s="43" t="n"/>
      <c r="AA55" s="3">
        <f>TABL1234[[#This Row],[(RESV. STORGE) AJD]]/10</f>
        <v/>
      </c>
      <c r="AB55" s="3">
        <f>IF(TRIM(Z55)="",,(Z55-Z54)/1000)</f>
        <v/>
      </c>
      <c r="AC55" s="5" t="n"/>
      <c r="AD55" s="39">
        <f>TABL1234[[#This Row],[( S/S+T/B) AJD]]-(TABL1234[[#This Row],[(A/B + A/S) AJD]]+(TABL1234[[#This Row],[(STORGE DIFF.) AJD]]*1000)+TABL1234[[#This Row],[AJD_Evaporation]])</f>
        <v/>
      </c>
      <c r="AE55" s="41" t="n"/>
      <c r="AF55" s="43" t="n"/>
      <c r="AG55" s="43" t="n"/>
      <c r="AH55" s="6" t="n"/>
      <c r="AI55" s="43" t="n"/>
      <c r="AJ55" s="43">
        <f>TABL1234[[#This Row],[(A/B) AJD]]-TABL1234[[#This Row],[BER_IN]]</f>
        <v/>
      </c>
      <c r="AK55" s="43" t="n"/>
      <c r="AL55" s="43" t="n"/>
      <c r="AM55" s="32" t="n"/>
      <c r="AN55" s="32">
        <f>TABL1234[[#This Row],[ (RESV. STORGE) SER]]/10</f>
        <v/>
      </c>
      <c r="AO55" s="68" t="n"/>
      <c r="AP55" s="68">
        <f>TABL1234[[#This Row],[(A/S) AJD]]-TABL1234[[#This Row],[SER_IN]]</f>
        <v/>
      </c>
    </row>
    <row r="56" ht="18.75" customHeight="1">
      <c r="A56" s="2" t="n">
        <v>46442</v>
      </c>
      <c r="B56" s="44" t="n"/>
      <c r="C56" s="44" t="n"/>
      <c r="D56" s="44" t="n"/>
      <c r="E56" s="44" t="n"/>
      <c r="F56" s="44" t="n"/>
      <c r="G56" s="40" t="n"/>
      <c r="H56" s="28">
        <f>103-F56</f>
        <v/>
      </c>
      <c r="I56" s="40" t="n"/>
      <c r="J56" s="44" t="n"/>
      <c r="K56" s="28">
        <f>TABL1234[[#This Row],[ (T/B) SAR]]+TABL1234[[#This Row],[ (S/S) SAR]]</f>
        <v/>
      </c>
      <c r="L56" s="45" t="n"/>
      <c r="M56" s="46" t="n"/>
      <c r="N56" s="46" t="n"/>
      <c r="O56" s="40" t="n"/>
      <c r="P56" s="3">
        <f>TABL1234[[#This Row],[ (S/S) SAR]]-TABL1234[[#This Row],[(S/S) AJD]]</f>
        <v/>
      </c>
      <c r="Q56" s="40" t="n"/>
      <c r="R56" s="3">
        <f>TABL1234[[#This Row],[ (T/B) SAR]]-TABL1234[[#This Row],[(T/B) AJD]]</f>
        <v/>
      </c>
      <c r="S56" s="3">
        <f>TABL1234[[#This Row],[T/B-CON.]]+TABL1234[[#This Row],[S/S_CON.]]</f>
        <v/>
      </c>
      <c r="T56" s="3">
        <f>TABL1234[[#This Row],[(S/S) AJD]]+TABL1234[[#This Row],[(T/B) AJD]]</f>
        <v/>
      </c>
      <c r="U56" s="44" t="n"/>
      <c r="V56" s="44" t="n"/>
      <c r="W56" s="3">
        <f>TABL1234[[#This Row],[(A/B) AJD]]+TABL1234[[#This Row],[(A/S) AJD]]</f>
        <v/>
      </c>
      <c r="X56" s="3">
        <f>TABL1234[[#This Row],[( S/S+T/B) AJD]]-TABL1234[[#This Row],[(A/B + A/S) AJD]]</f>
        <v/>
      </c>
      <c r="Y56" s="44" t="n"/>
      <c r="Z56" s="45" t="n"/>
      <c r="AA56" s="3">
        <f>TABL1234[[#This Row],[(RESV. STORGE) AJD]]/10</f>
        <v/>
      </c>
      <c r="AB56" s="3">
        <f>IF(TRIM(Z56)="",,(Z56-Z55)/1000)</f>
        <v/>
      </c>
      <c r="AC56" s="5" t="n"/>
      <c r="AD56" s="40">
        <f>TABL1234[[#This Row],[( S/S+T/B) AJD]]-(TABL1234[[#This Row],[(A/B + A/S) AJD]]+(TABL1234[[#This Row],[(STORGE DIFF.) AJD]]*1000)+TABL1234[[#This Row],[AJD_Evaporation]])</f>
        <v/>
      </c>
      <c r="AE56" s="44" t="n"/>
      <c r="AF56" s="45" t="n"/>
      <c r="AG56" s="45" t="n"/>
      <c r="AH56" s="6" t="n"/>
      <c r="AI56" s="45" t="n"/>
      <c r="AJ56" s="45">
        <f>TABL1234[[#This Row],[(A/B) AJD]]-TABL1234[[#This Row],[BER_IN]]</f>
        <v/>
      </c>
      <c r="AK56" s="45" t="n"/>
      <c r="AL56" s="45" t="n"/>
      <c r="AM56" s="32" t="n"/>
      <c r="AN56" s="32">
        <f>TABL1234[[#This Row],[ (RESV. STORGE) SER]]/10</f>
        <v/>
      </c>
      <c r="AO56" s="68" t="n"/>
      <c r="AP56" s="68">
        <f>TABL1234[[#This Row],[(A/S) AJD]]-TABL1234[[#This Row],[SER_IN]]</f>
        <v/>
      </c>
    </row>
    <row r="57" ht="18.75" customHeight="1">
      <c r="A57" s="2" t="n">
        <v>46443</v>
      </c>
      <c r="B57" s="41" t="n"/>
      <c r="C57" s="41" t="n"/>
      <c r="D57" s="41" t="n"/>
      <c r="E57" s="41" t="n"/>
      <c r="F57" s="41" t="n"/>
      <c r="G57" s="39" t="n"/>
      <c r="H57" s="28">
        <f>103-F57</f>
        <v/>
      </c>
      <c r="I57" s="39" t="n"/>
      <c r="J57" s="39" t="n"/>
      <c r="K57" s="28">
        <f>TABL1234[[#This Row],[ (T/B) SAR]]+TABL1234[[#This Row],[ (S/S) SAR]]</f>
        <v/>
      </c>
      <c r="L57" s="41" t="n"/>
      <c r="M57" s="42" t="n"/>
      <c r="N57" s="42" t="n"/>
      <c r="O57" s="39" t="n"/>
      <c r="P57" s="3">
        <f>TABL1234[[#This Row],[ (S/S) SAR]]-TABL1234[[#This Row],[(S/S) AJD]]</f>
        <v/>
      </c>
      <c r="Q57" s="39" t="n"/>
      <c r="R57" s="3">
        <f>TABL1234[[#This Row],[ (T/B) SAR]]-TABL1234[[#This Row],[(T/B) AJD]]</f>
        <v/>
      </c>
      <c r="S57" s="3">
        <f>TABL1234[[#This Row],[T/B-CON.]]+TABL1234[[#This Row],[S/S_CON.]]</f>
        <v/>
      </c>
      <c r="T57" s="3">
        <f>TABL1234[[#This Row],[(S/S) AJD]]+TABL1234[[#This Row],[(T/B) AJD]]</f>
        <v/>
      </c>
      <c r="U57" s="41" t="n"/>
      <c r="V57" s="41" t="n"/>
      <c r="W57" s="3">
        <f>TABL1234[[#This Row],[(A/B) AJD]]+TABL1234[[#This Row],[(A/S) AJD]]</f>
        <v/>
      </c>
      <c r="X57" s="3">
        <f>TABL1234[[#This Row],[( S/S+T/B) AJD]]-TABL1234[[#This Row],[(A/B + A/S) AJD]]</f>
        <v/>
      </c>
      <c r="Y57" s="41" t="n"/>
      <c r="Z57" s="43" t="n"/>
      <c r="AA57" s="3">
        <f>TABL1234[[#This Row],[(RESV. STORGE) AJD]]/10</f>
        <v/>
      </c>
      <c r="AB57" s="3">
        <f>IF(TRIM(Z57)="",,(Z57-Z56)/1000)</f>
        <v/>
      </c>
      <c r="AC57" s="5" t="n"/>
      <c r="AD57" s="39">
        <f>TABL1234[[#This Row],[( S/S+T/B) AJD]]-(TABL1234[[#This Row],[(A/B + A/S) AJD]]+(TABL1234[[#This Row],[(STORGE DIFF.) AJD]]*1000)+TABL1234[[#This Row],[AJD_Evaporation]])</f>
        <v/>
      </c>
      <c r="AE57" s="41" t="n"/>
      <c r="AF57" s="43" t="n"/>
      <c r="AG57" s="43" t="n"/>
      <c r="AH57" s="6" t="n"/>
      <c r="AI57" s="43" t="n"/>
      <c r="AJ57" s="43">
        <f>TABL1234[[#This Row],[(A/B) AJD]]-TABL1234[[#This Row],[BER_IN]]</f>
        <v/>
      </c>
      <c r="AK57" s="43" t="n"/>
      <c r="AL57" s="43" t="n"/>
      <c r="AM57" s="32" t="n"/>
      <c r="AN57" s="32">
        <f>TABL1234[[#This Row],[ (RESV. STORGE) SER]]/10</f>
        <v/>
      </c>
      <c r="AO57" s="68" t="n"/>
      <c r="AP57" s="68">
        <f>TABL1234[[#This Row],[(A/S) AJD]]-TABL1234[[#This Row],[SER_IN]]</f>
        <v/>
      </c>
    </row>
    <row r="58" ht="18.75" customHeight="1">
      <c r="A58" s="2" t="n">
        <v>46444</v>
      </c>
      <c r="B58" s="44" t="n"/>
      <c r="C58" s="44" t="n"/>
      <c r="D58" s="44" t="n"/>
      <c r="E58" s="44" t="n"/>
      <c r="F58" s="44" t="n"/>
      <c r="G58" s="40" t="n"/>
      <c r="H58" s="28">
        <f>103-F58</f>
        <v/>
      </c>
      <c r="I58" s="40" t="n"/>
      <c r="J58" s="44" t="n"/>
      <c r="K58" s="28">
        <f>TABL1234[[#This Row],[ (T/B) SAR]]+TABL1234[[#This Row],[ (S/S) SAR]]</f>
        <v/>
      </c>
      <c r="L58" s="45" t="n"/>
      <c r="M58" s="46" t="n"/>
      <c r="N58" s="46" t="n"/>
      <c r="O58" s="40" t="n"/>
      <c r="P58" s="3">
        <f>TABL1234[[#This Row],[ (S/S) SAR]]-TABL1234[[#This Row],[(S/S) AJD]]</f>
        <v/>
      </c>
      <c r="Q58" s="40" t="n"/>
      <c r="R58" s="3">
        <f>TABL1234[[#This Row],[ (T/B) SAR]]-TABL1234[[#This Row],[(T/B) AJD]]</f>
        <v/>
      </c>
      <c r="S58" s="3">
        <f>TABL1234[[#This Row],[T/B-CON.]]+TABL1234[[#This Row],[S/S_CON.]]</f>
        <v/>
      </c>
      <c r="T58" s="3">
        <f>TABL1234[[#This Row],[(S/S) AJD]]+TABL1234[[#This Row],[(T/B) AJD]]</f>
        <v/>
      </c>
      <c r="U58" s="44" t="n"/>
      <c r="V58" s="44" t="n"/>
      <c r="W58" s="3">
        <f>TABL1234[[#This Row],[(A/B) AJD]]+TABL1234[[#This Row],[(A/S) AJD]]</f>
        <v/>
      </c>
      <c r="X58" s="3">
        <f>TABL1234[[#This Row],[( S/S+T/B) AJD]]-TABL1234[[#This Row],[(A/B + A/S) AJD]]</f>
        <v/>
      </c>
      <c r="Y58" s="44" t="n"/>
      <c r="Z58" s="45" t="n"/>
      <c r="AA58" s="3">
        <f>TABL1234[[#This Row],[(RESV. STORGE) AJD]]/10</f>
        <v/>
      </c>
      <c r="AB58" s="3">
        <f>IF(TRIM(Z58)="",,(Z58-Z57)/1000)</f>
        <v/>
      </c>
      <c r="AC58" s="5" t="n"/>
      <c r="AD58" s="40">
        <f>TABL1234[[#This Row],[( S/S+T/B) AJD]]-(TABL1234[[#This Row],[(A/B + A/S) AJD]]+(TABL1234[[#This Row],[(STORGE DIFF.) AJD]]*1000)+TABL1234[[#This Row],[AJD_Evaporation]])</f>
        <v/>
      </c>
      <c r="AE58" s="44" t="n"/>
      <c r="AF58" s="45" t="n"/>
      <c r="AG58" s="45" t="n"/>
      <c r="AH58" s="6" t="n"/>
      <c r="AI58" s="45" t="n"/>
      <c r="AJ58" s="45">
        <f>TABL1234[[#This Row],[(A/B) AJD]]-TABL1234[[#This Row],[BER_IN]]</f>
        <v/>
      </c>
      <c r="AK58" s="45" t="n"/>
      <c r="AL58" s="45" t="n"/>
      <c r="AM58" s="32" t="n"/>
      <c r="AN58" s="32">
        <f>TABL1234[[#This Row],[ (RESV. STORGE) SER]]/10</f>
        <v/>
      </c>
      <c r="AO58" s="68" t="n"/>
      <c r="AP58" s="68">
        <f>TABL1234[[#This Row],[(A/S) AJD]]-TABL1234[[#This Row],[SER_IN]]</f>
        <v/>
      </c>
    </row>
    <row r="59" ht="18.75" customHeight="1">
      <c r="A59" s="2" t="n">
        <v>46445</v>
      </c>
      <c r="B59" s="41" t="n"/>
      <c r="C59" s="41" t="n"/>
      <c r="D59" s="41" t="n"/>
      <c r="E59" s="41" t="n"/>
      <c r="F59" s="41" t="n"/>
      <c r="G59" s="39" t="n"/>
      <c r="H59" s="28">
        <f>103-F59</f>
        <v/>
      </c>
      <c r="I59" s="39" t="n"/>
      <c r="J59" s="39" t="n"/>
      <c r="K59" s="28">
        <f>TABL1234[[#This Row],[ (T/B) SAR]]+TABL1234[[#This Row],[ (S/S) SAR]]</f>
        <v/>
      </c>
      <c r="L59" s="41" t="n"/>
      <c r="M59" s="42" t="n"/>
      <c r="N59" s="42" t="n"/>
      <c r="O59" s="39" t="n"/>
      <c r="P59" s="3">
        <f>TABL1234[[#This Row],[ (S/S) SAR]]-TABL1234[[#This Row],[(S/S) AJD]]</f>
        <v/>
      </c>
      <c r="Q59" s="39" t="n"/>
      <c r="R59" s="3">
        <f>TABL1234[[#This Row],[ (T/B) SAR]]-TABL1234[[#This Row],[(T/B) AJD]]</f>
        <v/>
      </c>
      <c r="S59" s="3">
        <f>TABL1234[[#This Row],[T/B-CON.]]+TABL1234[[#This Row],[S/S_CON.]]</f>
        <v/>
      </c>
      <c r="T59" s="3">
        <f>TABL1234[[#This Row],[(S/S) AJD]]+TABL1234[[#This Row],[(T/B) AJD]]</f>
        <v/>
      </c>
      <c r="U59" s="41" t="n"/>
      <c r="V59" s="41" t="n"/>
      <c r="W59" s="3">
        <f>TABL1234[[#This Row],[(A/B) AJD]]+TABL1234[[#This Row],[(A/S) AJD]]</f>
        <v/>
      </c>
      <c r="X59" s="3">
        <f>TABL1234[[#This Row],[( S/S+T/B) AJD]]-TABL1234[[#This Row],[(A/B + A/S) AJD]]</f>
        <v/>
      </c>
      <c r="Y59" s="41" t="n"/>
      <c r="Z59" s="43" t="n"/>
      <c r="AA59" s="3">
        <f>TABL1234[[#This Row],[(RESV. STORGE) AJD]]/10</f>
        <v/>
      </c>
      <c r="AB59" s="3">
        <f>IF(TRIM(Z59)="",,(Z59-Z58)/1000)</f>
        <v/>
      </c>
      <c r="AC59" s="5" t="n"/>
      <c r="AD59" s="39">
        <f>TABL1234[[#This Row],[( S/S+T/B) AJD]]-(TABL1234[[#This Row],[(A/B + A/S) AJD]]+(TABL1234[[#This Row],[(STORGE DIFF.) AJD]]*1000)+TABL1234[[#This Row],[AJD_Evaporation]])</f>
        <v/>
      </c>
      <c r="AE59" s="41" t="n"/>
      <c r="AF59" s="43" t="n"/>
      <c r="AG59" s="43" t="n"/>
      <c r="AH59" s="6" t="n"/>
      <c r="AI59" s="43" t="n"/>
      <c r="AJ59" s="43">
        <f>TABL1234[[#This Row],[(A/B) AJD]]-TABL1234[[#This Row],[BER_IN]]</f>
        <v/>
      </c>
      <c r="AK59" s="43" t="n"/>
      <c r="AL59" s="43" t="n"/>
      <c r="AM59" s="32" t="n"/>
      <c r="AN59" s="32">
        <f>TABL1234[[#This Row],[ (RESV. STORGE) SER]]/10</f>
        <v/>
      </c>
      <c r="AO59" s="68" t="n"/>
      <c r="AP59" s="68">
        <f>TABL1234[[#This Row],[(A/S) AJD]]-TABL1234[[#This Row],[SER_IN]]</f>
        <v/>
      </c>
    </row>
    <row r="60" ht="18.75" customHeight="1">
      <c r="A60" s="2" t="n">
        <v>46446</v>
      </c>
      <c r="B60" s="44" t="n"/>
      <c r="C60" s="44" t="n"/>
      <c r="D60" s="44" t="n"/>
      <c r="E60" s="44" t="n"/>
      <c r="F60" s="44" t="n"/>
      <c r="G60" s="40" t="n"/>
      <c r="H60" s="28">
        <f>103-F60</f>
        <v/>
      </c>
      <c r="I60" s="40" t="n"/>
      <c r="J60" s="44" t="n"/>
      <c r="K60" s="28">
        <f>TABL1234[[#This Row],[ (T/B) SAR]]+TABL1234[[#This Row],[ (S/S) SAR]]</f>
        <v/>
      </c>
      <c r="L60" s="45" t="n"/>
      <c r="M60" s="46" t="n"/>
      <c r="N60" s="46" t="n"/>
      <c r="O60" s="40" t="n"/>
      <c r="P60" s="3">
        <f>TABL1234[[#This Row],[ (S/S) SAR]]-TABL1234[[#This Row],[(S/S) AJD]]</f>
        <v/>
      </c>
      <c r="Q60" s="40" t="n"/>
      <c r="R60" s="3">
        <f>TABL1234[[#This Row],[ (T/B) SAR]]-TABL1234[[#This Row],[(T/B) AJD]]</f>
        <v/>
      </c>
      <c r="S60" s="3">
        <f>TABL1234[[#This Row],[T/B-CON.]]+TABL1234[[#This Row],[S/S_CON.]]</f>
        <v/>
      </c>
      <c r="T60" s="3">
        <f>TABL1234[[#This Row],[(S/S) AJD]]+TABL1234[[#This Row],[(T/B) AJD]]</f>
        <v/>
      </c>
      <c r="U60" s="44" t="n"/>
      <c r="V60" s="44" t="n"/>
      <c r="W60" s="3">
        <f>TABL1234[[#This Row],[(A/B) AJD]]+TABL1234[[#This Row],[(A/S) AJD]]</f>
        <v/>
      </c>
      <c r="X60" s="3">
        <f>TABL1234[[#This Row],[( S/S+T/B) AJD]]-TABL1234[[#This Row],[(A/B + A/S) AJD]]</f>
        <v/>
      </c>
      <c r="Y60" s="44" t="n"/>
      <c r="Z60" s="45" t="n"/>
      <c r="AA60" s="3">
        <f>TABL1234[[#This Row],[(RESV. STORGE) AJD]]/10</f>
        <v/>
      </c>
      <c r="AB60" s="3">
        <f>IF(TRIM(Z60)="",,(Z60-Z59)/1000)</f>
        <v/>
      </c>
      <c r="AC60" s="5" t="n"/>
      <c r="AD60" s="40">
        <f>TABL1234[[#This Row],[( S/S+T/B) AJD]]-(TABL1234[[#This Row],[(A/B + A/S) AJD]]+(TABL1234[[#This Row],[(STORGE DIFF.) AJD]]*1000)+TABL1234[[#This Row],[AJD_Evaporation]])</f>
        <v/>
      </c>
      <c r="AE60" s="44" t="n"/>
      <c r="AF60" s="45" t="n"/>
      <c r="AG60" s="45" t="n"/>
      <c r="AH60" s="6" t="n"/>
      <c r="AI60" s="45" t="n"/>
      <c r="AJ60" s="45">
        <f>TABL1234[[#This Row],[(A/B) AJD]]-TABL1234[[#This Row],[BER_IN]]</f>
        <v/>
      </c>
      <c r="AK60" s="45" t="n"/>
      <c r="AL60" s="45" t="n"/>
      <c r="AM60" s="32" t="n"/>
      <c r="AN60" s="32">
        <f>TABL1234[[#This Row],[ (RESV. STORGE) SER]]/10</f>
        <v/>
      </c>
      <c r="AO60" s="68" t="n"/>
      <c r="AP60" s="68">
        <f>TABL1234[[#This Row],[(A/S) AJD]]-TABL1234[[#This Row],[SER_IN]]</f>
        <v/>
      </c>
    </row>
    <row r="61" ht="18.75" customHeight="1">
      <c r="A61" s="2" t="n">
        <v>46447</v>
      </c>
      <c r="B61" s="41" t="n"/>
      <c r="C61" s="41" t="n"/>
      <c r="D61" s="41" t="n"/>
      <c r="E61" s="44" t="n"/>
      <c r="F61" s="41" t="n"/>
      <c r="G61" s="39" t="n"/>
      <c r="H61" s="28">
        <f>103-F61</f>
        <v/>
      </c>
      <c r="I61" s="39" t="n"/>
      <c r="J61" s="39" t="n"/>
      <c r="K61" s="28">
        <f>TABL1234[[#This Row],[ (T/B) SAR]]+TABL1234[[#This Row],[ (S/S) SAR]]</f>
        <v/>
      </c>
      <c r="L61" s="41" t="n"/>
      <c r="M61" s="42" t="n"/>
      <c r="N61" s="42" t="n"/>
      <c r="O61" s="39" t="n"/>
      <c r="P61" s="3">
        <f>TABL1234[[#This Row],[ (S/S) SAR]]-TABL1234[[#This Row],[(S/S) AJD]]</f>
        <v/>
      </c>
      <c r="Q61" s="39" t="n"/>
      <c r="R61" s="3">
        <f>TABL1234[[#This Row],[ (T/B) SAR]]-TABL1234[[#This Row],[(T/B) AJD]]</f>
        <v/>
      </c>
      <c r="S61" s="3">
        <f>TABL1234[[#This Row],[T/B-CON.]]+TABL1234[[#This Row],[S/S_CON.]]</f>
        <v/>
      </c>
      <c r="T61" s="3">
        <f>TABL1234[[#This Row],[(S/S) AJD]]+TABL1234[[#This Row],[(T/B) AJD]]</f>
        <v/>
      </c>
      <c r="U61" s="41" t="n"/>
      <c r="V61" s="41" t="n"/>
      <c r="W61" s="3">
        <f>TABL1234[[#This Row],[(A/B) AJD]]+TABL1234[[#This Row],[(A/S) AJD]]</f>
        <v/>
      </c>
      <c r="X61" s="3">
        <f>TABL1234[[#This Row],[( S/S+T/B) AJD]]-TABL1234[[#This Row],[(A/B + A/S) AJD]]</f>
        <v/>
      </c>
      <c r="Y61" s="41" t="n"/>
      <c r="Z61" s="43" t="n"/>
      <c r="AA61" s="3">
        <f>TABL1234[[#This Row],[(RESV. STORGE) AJD]]/10</f>
        <v/>
      </c>
      <c r="AB61" s="3">
        <f>IF(TRIM(Z61)="",,(Z61-Z60)/1000)</f>
        <v/>
      </c>
      <c r="AC61" s="5" t="n"/>
      <c r="AD61" s="39">
        <f>TABL1234[[#This Row],[( S/S+T/B) AJD]]-(TABL1234[[#This Row],[(A/B + A/S) AJD]]+(TABL1234[[#This Row],[(STORGE DIFF.) AJD]]*1000)+TABL1234[[#This Row],[AJD_Evaporation]])</f>
        <v/>
      </c>
      <c r="AE61" s="41" t="n"/>
      <c r="AF61" s="43" t="n"/>
      <c r="AG61" s="43" t="n"/>
      <c r="AH61" s="6" t="n"/>
      <c r="AI61" s="43" t="n"/>
      <c r="AJ61" s="43">
        <f>TABL1234[[#This Row],[(A/B) AJD]]-TABL1234[[#This Row],[BER_IN]]</f>
        <v/>
      </c>
      <c r="AK61" s="43" t="n"/>
      <c r="AL61" s="43" t="n"/>
      <c r="AM61" s="32" t="n"/>
      <c r="AN61" s="32">
        <f>TABL1234[[#This Row],[ (RESV. STORGE) SER]]/10</f>
        <v/>
      </c>
      <c r="AO61" s="68" t="n"/>
      <c r="AP61" s="68">
        <f>TABL1234[[#This Row],[(A/S) AJD]]-TABL1234[[#This Row],[SER_IN]]</f>
        <v/>
      </c>
    </row>
    <row r="62" ht="18.75" customHeight="1">
      <c r="A62" s="2" t="n">
        <v>46448</v>
      </c>
      <c r="B62" s="44" t="n"/>
      <c r="C62" s="44" t="n"/>
      <c r="D62" s="44" t="n"/>
      <c r="E62" s="44" t="n"/>
      <c r="F62" s="44" t="n"/>
      <c r="G62" s="40" t="n"/>
      <c r="H62" s="28">
        <f>103-F62</f>
        <v/>
      </c>
      <c r="I62" s="40" t="n"/>
      <c r="J62" s="44" t="n"/>
      <c r="K62" s="28">
        <f>TABL1234[[#This Row],[ (T/B) SAR]]+TABL1234[[#This Row],[ (S/S) SAR]]</f>
        <v/>
      </c>
      <c r="L62" s="45" t="n"/>
      <c r="M62" s="46" t="n"/>
      <c r="N62" s="46" t="n"/>
      <c r="O62" s="40" t="n"/>
      <c r="P62" s="3">
        <f>TABL1234[[#This Row],[ (S/S) SAR]]-TABL1234[[#This Row],[(S/S) AJD]]</f>
        <v/>
      </c>
      <c r="Q62" s="40" t="n"/>
      <c r="R62" s="3">
        <f>TABL1234[[#This Row],[ (T/B) SAR]]-TABL1234[[#This Row],[(T/B) AJD]]</f>
        <v/>
      </c>
      <c r="S62" s="3">
        <f>TABL1234[[#This Row],[T/B-CON.]]+TABL1234[[#This Row],[S/S_CON.]]</f>
        <v/>
      </c>
      <c r="T62" s="3">
        <f>TABL1234[[#This Row],[(S/S) AJD]]+TABL1234[[#This Row],[(T/B) AJD]]</f>
        <v/>
      </c>
      <c r="U62" s="44" t="n"/>
      <c r="V62" s="44" t="n"/>
      <c r="W62" s="3">
        <f>TABL1234[[#This Row],[(A/B) AJD]]+TABL1234[[#This Row],[(A/S) AJD]]</f>
        <v/>
      </c>
      <c r="X62" s="3">
        <f>TABL1234[[#This Row],[( S/S+T/B) AJD]]-TABL1234[[#This Row],[(A/B + A/S) AJD]]</f>
        <v/>
      </c>
      <c r="Y62" s="44" t="n"/>
      <c r="Z62" s="45" t="n"/>
      <c r="AA62" s="3">
        <f>TABL1234[[#This Row],[(RESV. STORGE) AJD]]/10</f>
        <v/>
      </c>
      <c r="AB62" s="3">
        <f>IF(TRIM(Z62)="",,(Z62-Z61)/1000)</f>
        <v/>
      </c>
      <c r="AC62" s="5" t="n"/>
      <c r="AD62" s="40">
        <f>TABL1234[[#This Row],[( S/S+T/B) AJD]]-(TABL1234[[#This Row],[(A/B + A/S) AJD]]+(TABL1234[[#This Row],[(STORGE DIFF.) AJD]]*1000)+TABL1234[[#This Row],[AJD_Evaporation]])</f>
        <v/>
      </c>
      <c r="AE62" s="44" t="n"/>
      <c r="AF62" s="45" t="n"/>
      <c r="AG62" s="45" t="n"/>
      <c r="AH62" s="6" t="n"/>
      <c r="AI62" s="45" t="n"/>
      <c r="AJ62" s="45">
        <f>TABL1234[[#This Row],[(A/B) AJD]]-TABL1234[[#This Row],[BER_IN]]</f>
        <v/>
      </c>
      <c r="AK62" s="45" t="n"/>
      <c r="AL62" s="45" t="n"/>
      <c r="AM62" s="32" t="n"/>
      <c r="AN62" s="32">
        <f>TABL1234[[#This Row],[ (RESV. STORGE) SER]]/10</f>
        <v/>
      </c>
      <c r="AO62" s="68" t="n"/>
      <c r="AP62" s="68">
        <f>TABL1234[[#This Row],[(A/S) AJD]]-TABL1234[[#This Row],[SER_IN]]</f>
        <v/>
      </c>
    </row>
    <row r="63" ht="18.75" customHeight="1">
      <c r="A63" s="2" t="n">
        <v>46449</v>
      </c>
      <c r="B63" s="41" t="n"/>
      <c r="C63" s="41" t="n"/>
      <c r="D63" s="41" t="n"/>
      <c r="E63" s="44" t="n"/>
      <c r="F63" s="41" t="n"/>
      <c r="G63" s="39" t="n"/>
      <c r="H63" s="28">
        <f>103-F63</f>
        <v/>
      </c>
      <c r="I63" s="39" t="n"/>
      <c r="J63" s="39" t="n"/>
      <c r="K63" s="28">
        <f>TABL1234[[#This Row],[ (T/B) SAR]]+TABL1234[[#This Row],[ (S/S) SAR]]</f>
        <v/>
      </c>
      <c r="L63" s="41" t="n"/>
      <c r="M63" s="42" t="n"/>
      <c r="N63" s="42" t="n"/>
      <c r="O63" s="39" t="n"/>
      <c r="P63" s="3">
        <f>TABL1234[[#This Row],[ (S/S) SAR]]-TABL1234[[#This Row],[(S/S) AJD]]</f>
        <v/>
      </c>
      <c r="Q63" s="39" t="n"/>
      <c r="R63" s="3">
        <f>TABL1234[[#This Row],[ (T/B) SAR]]-TABL1234[[#This Row],[(T/B) AJD]]</f>
        <v/>
      </c>
      <c r="S63" s="3">
        <f>TABL1234[[#This Row],[T/B-CON.]]+TABL1234[[#This Row],[S/S_CON.]]</f>
        <v/>
      </c>
      <c r="T63" s="3">
        <f>TABL1234[[#This Row],[(S/S) AJD]]+TABL1234[[#This Row],[(T/B) AJD]]</f>
        <v/>
      </c>
      <c r="U63" s="41" t="n"/>
      <c r="V63" s="41" t="n"/>
      <c r="W63" s="3">
        <f>TABL1234[[#This Row],[(A/B) AJD]]+TABL1234[[#This Row],[(A/S) AJD]]</f>
        <v/>
      </c>
      <c r="X63" s="3">
        <f>TABL1234[[#This Row],[( S/S+T/B) AJD]]-TABL1234[[#This Row],[(A/B + A/S) AJD]]</f>
        <v/>
      </c>
      <c r="Y63" s="41" t="n"/>
      <c r="Z63" s="43" t="n"/>
      <c r="AA63" s="3">
        <f>TABL1234[[#This Row],[(RESV. STORGE) AJD]]/10</f>
        <v/>
      </c>
      <c r="AB63" s="3">
        <f>IF(TRIM(Z63)="",,(Z63-Z62)/1000)</f>
        <v/>
      </c>
      <c r="AC63" s="5" t="n"/>
      <c r="AD63" s="39">
        <f>TABL1234[[#This Row],[( S/S+T/B) AJD]]-(TABL1234[[#This Row],[(A/B + A/S) AJD]]+(TABL1234[[#This Row],[(STORGE DIFF.) AJD]]*1000)+TABL1234[[#This Row],[AJD_Evaporation]])</f>
        <v/>
      </c>
      <c r="AE63" s="41" t="n"/>
      <c r="AF63" s="43" t="n"/>
      <c r="AG63" s="43" t="n"/>
      <c r="AH63" s="6" t="n"/>
      <c r="AI63" s="43" t="n"/>
      <c r="AJ63" s="43">
        <f>TABL1234[[#This Row],[(A/B) AJD]]-TABL1234[[#This Row],[BER_IN]]</f>
        <v/>
      </c>
      <c r="AK63" s="43" t="n"/>
      <c r="AL63" s="43" t="n"/>
      <c r="AM63" s="32" t="n"/>
      <c r="AN63" s="32">
        <f>TABL1234[[#This Row],[ (RESV. STORGE) SER]]/10</f>
        <v/>
      </c>
      <c r="AO63" s="68" t="n"/>
      <c r="AP63" s="68">
        <f>TABL1234[[#This Row],[(A/S) AJD]]-TABL1234[[#This Row],[SER_IN]]</f>
        <v/>
      </c>
    </row>
    <row r="64" ht="18.75" customHeight="1">
      <c r="A64" s="2" t="n">
        <v>46450</v>
      </c>
      <c r="B64" s="44" t="n"/>
      <c r="C64" s="44" t="n"/>
      <c r="D64" s="44" t="n"/>
      <c r="E64" s="28" t="n"/>
      <c r="F64" s="44" t="n"/>
      <c r="G64" s="40" t="n"/>
      <c r="H64" s="28">
        <f>103-F64</f>
        <v/>
      </c>
      <c r="I64" s="40" t="n"/>
      <c r="J64" s="44" t="n"/>
      <c r="K64" s="28">
        <f>TABL1234[[#This Row],[ (T/B) SAR]]+TABL1234[[#This Row],[ (S/S) SAR]]</f>
        <v/>
      </c>
      <c r="L64" s="45" t="n"/>
      <c r="M64" s="46" t="n"/>
      <c r="N64" s="46" t="n"/>
      <c r="O64" s="40" t="n"/>
      <c r="P64" s="3">
        <f>TABL1234[[#This Row],[ (S/S) SAR]]-TABL1234[[#This Row],[(S/S) AJD]]</f>
        <v/>
      </c>
      <c r="Q64" s="40" t="n"/>
      <c r="R64" s="3">
        <f>TABL1234[[#This Row],[ (T/B) SAR]]-TABL1234[[#This Row],[(T/B) AJD]]</f>
        <v/>
      </c>
      <c r="S64" s="3">
        <f>TABL1234[[#This Row],[T/B-CON.]]+TABL1234[[#This Row],[S/S_CON.]]</f>
        <v/>
      </c>
      <c r="T64" s="3">
        <f>TABL1234[[#This Row],[(S/S) AJD]]+TABL1234[[#This Row],[(T/B) AJD]]</f>
        <v/>
      </c>
      <c r="U64" s="44" t="n"/>
      <c r="V64" s="44" t="n"/>
      <c r="W64" s="3">
        <f>TABL1234[[#This Row],[(A/B) AJD]]+TABL1234[[#This Row],[(A/S) AJD]]</f>
        <v/>
      </c>
      <c r="X64" s="3">
        <f>TABL1234[[#This Row],[( S/S+T/B) AJD]]-TABL1234[[#This Row],[(A/B + A/S) AJD]]</f>
        <v/>
      </c>
      <c r="Y64" s="44" t="n"/>
      <c r="Z64" s="45" t="n"/>
      <c r="AA64" s="3">
        <f>TABL1234[[#This Row],[(RESV. STORGE) AJD]]/10</f>
        <v/>
      </c>
      <c r="AB64" s="3">
        <f>IF(TRIM(Z64)="",,(Z64-Z63)/1000)</f>
        <v/>
      </c>
      <c r="AC64" s="5" t="n"/>
      <c r="AD64" s="40">
        <f>TABL1234[[#This Row],[( S/S+T/B) AJD]]-(TABL1234[[#This Row],[(A/B + A/S) AJD]]+(TABL1234[[#This Row],[(STORGE DIFF.) AJD]]*1000)+TABL1234[[#This Row],[AJD_Evaporation]])</f>
        <v/>
      </c>
      <c r="AE64" s="44" t="n"/>
      <c r="AF64" s="45" t="n"/>
      <c r="AG64" s="45" t="n"/>
      <c r="AH64" s="6" t="n"/>
      <c r="AI64" s="45" t="n"/>
      <c r="AJ64" s="45">
        <f>TABL1234[[#This Row],[(A/B) AJD]]-TABL1234[[#This Row],[BER_IN]]</f>
        <v/>
      </c>
      <c r="AK64" s="45" t="n"/>
      <c r="AL64" s="45" t="n"/>
      <c r="AM64" s="32" t="n"/>
      <c r="AN64" s="32">
        <f>TABL1234[[#This Row],[ (RESV. STORGE) SER]]/10</f>
        <v/>
      </c>
      <c r="AO64" s="68" t="n"/>
      <c r="AP64" s="68">
        <f>TABL1234[[#This Row],[(A/S) AJD]]-TABL1234[[#This Row],[SER_IN]]</f>
        <v/>
      </c>
    </row>
    <row r="65" ht="18.75" customHeight="1">
      <c r="A65" s="2" t="n">
        <v>46451</v>
      </c>
      <c r="B65" s="41" t="n"/>
      <c r="C65" s="41" t="n"/>
      <c r="D65" s="41" t="n"/>
      <c r="E65" s="28" t="n"/>
      <c r="F65" s="41" t="n"/>
      <c r="G65" s="39" t="n"/>
      <c r="H65" s="28">
        <f>103-F65</f>
        <v/>
      </c>
      <c r="I65" s="39" t="n"/>
      <c r="J65" s="39" t="n"/>
      <c r="K65" s="28">
        <f>TABL1234[[#This Row],[ (T/B) SAR]]+TABL1234[[#This Row],[ (S/S) SAR]]</f>
        <v/>
      </c>
      <c r="L65" s="41" t="n"/>
      <c r="M65" s="42" t="n"/>
      <c r="N65" s="42" t="n"/>
      <c r="O65" s="39" t="n"/>
      <c r="P65" s="3">
        <f>TABL1234[[#This Row],[ (S/S) SAR]]-TABL1234[[#This Row],[(S/S) AJD]]</f>
        <v/>
      </c>
      <c r="Q65" s="39" t="n"/>
      <c r="R65" s="3">
        <f>TABL1234[[#This Row],[ (T/B) SAR]]-TABL1234[[#This Row],[(T/B) AJD]]</f>
        <v/>
      </c>
      <c r="S65" s="3">
        <f>TABL1234[[#This Row],[T/B-CON.]]+TABL1234[[#This Row],[S/S_CON.]]</f>
        <v/>
      </c>
      <c r="T65" s="3">
        <f>TABL1234[[#This Row],[(S/S) AJD]]+TABL1234[[#This Row],[(T/B) AJD]]</f>
        <v/>
      </c>
      <c r="U65" s="41" t="n"/>
      <c r="V65" s="41" t="n"/>
      <c r="W65" s="3">
        <f>TABL1234[[#This Row],[(A/B) AJD]]+TABL1234[[#This Row],[(A/S) AJD]]</f>
        <v/>
      </c>
      <c r="X65" s="3">
        <f>TABL1234[[#This Row],[( S/S+T/B) AJD]]-TABL1234[[#This Row],[(A/B + A/S) AJD]]</f>
        <v/>
      </c>
      <c r="Y65" s="41" t="n"/>
      <c r="Z65" s="43" t="n"/>
      <c r="AA65" s="3">
        <f>TABL1234[[#This Row],[(RESV. STORGE) AJD]]/10</f>
        <v/>
      </c>
      <c r="AB65" s="3">
        <f>IF(TRIM(Z65)="",,(Z65-Z64)/1000)</f>
        <v/>
      </c>
      <c r="AC65" s="5" t="n"/>
      <c r="AD65" s="39">
        <f>TABL1234[[#This Row],[( S/S+T/B) AJD]]-(TABL1234[[#This Row],[(A/B + A/S) AJD]]+(TABL1234[[#This Row],[(STORGE DIFF.) AJD]]*1000)+TABL1234[[#This Row],[AJD_Evaporation]])</f>
        <v/>
      </c>
      <c r="AE65" s="41" t="n"/>
      <c r="AF65" s="43" t="n"/>
      <c r="AG65" s="43" t="n"/>
      <c r="AH65" s="6" t="n"/>
      <c r="AI65" s="43" t="n"/>
      <c r="AJ65" s="43">
        <f>TABL1234[[#This Row],[(A/B) AJD]]-TABL1234[[#This Row],[BER_IN]]</f>
        <v/>
      </c>
      <c r="AK65" s="43" t="n"/>
      <c r="AL65" s="43" t="n"/>
      <c r="AM65" s="32" t="n"/>
      <c r="AN65" s="32">
        <f>TABL1234[[#This Row],[ (RESV. STORGE) SER]]/10</f>
        <v/>
      </c>
      <c r="AO65" s="68" t="n"/>
      <c r="AP65" s="68">
        <f>TABL1234[[#This Row],[(A/S) AJD]]-TABL1234[[#This Row],[SER_IN]]</f>
        <v/>
      </c>
    </row>
    <row r="66" ht="18.75" customHeight="1">
      <c r="A66" s="2" t="n">
        <v>46452</v>
      </c>
      <c r="B66" s="44" t="n"/>
      <c r="C66" s="44" t="n"/>
      <c r="D66" s="44" t="n"/>
      <c r="E66" s="28" t="n"/>
      <c r="F66" s="44" t="n"/>
      <c r="G66" s="40" t="n"/>
      <c r="H66" s="28">
        <f>103-F66</f>
        <v/>
      </c>
      <c r="I66" s="40" t="n"/>
      <c r="J66" s="44" t="n"/>
      <c r="K66" s="28">
        <f>TABL1234[[#This Row],[ (T/B) SAR]]+TABL1234[[#This Row],[ (S/S) SAR]]</f>
        <v/>
      </c>
      <c r="L66" s="45" t="n"/>
      <c r="M66" s="46" t="n"/>
      <c r="N66" s="46" t="n"/>
      <c r="O66" s="40" t="n"/>
      <c r="P66" s="3">
        <f>TABL1234[[#This Row],[ (S/S) SAR]]-TABL1234[[#This Row],[(S/S) AJD]]</f>
        <v/>
      </c>
      <c r="Q66" s="40" t="n"/>
      <c r="R66" s="3">
        <f>TABL1234[[#This Row],[ (T/B) SAR]]-TABL1234[[#This Row],[(T/B) AJD]]</f>
        <v/>
      </c>
      <c r="S66" s="3">
        <f>TABL1234[[#This Row],[T/B-CON.]]+TABL1234[[#This Row],[S/S_CON.]]</f>
        <v/>
      </c>
      <c r="T66" s="3">
        <f>TABL1234[[#This Row],[(S/S) AJD]]+TABL1234[[#This Row],[(T/B) AJD]]</f>
        <v/>
      </c>
      <c r="U66" s="44" t="n"/>
      <c r="V66" s="44" t="n"/>
      <c r="W66" s="3">
        <f>TABL1234[[#This Row],[(A/B) AJD]]+TABL1234[[#This Row],[(A/S) AJD]]</f>
        <v/>
      </c>
      <c r="X66" s="3">
        <f>TABL1234[[#This Row],[( S/S+T/B) AJD]]-TABL1234[[#This Row],[(A/B + A/S) AJD]]</f>
        <v/>
      </c>
      <c r="Y66" s="44" t="n"/>
      <c r="Z66" s="45" t="n"/>
      <c r="AA66" s="3">
        <f>TABL1234[[#This Row],[(RESV. STORGE) AJD]]/10</f>
        <v/>
      </c>
      <c r="AB66" s="3">
        <f>IF(TRIM(Z66)="",,(Z66-Z65)/1000)</f>
        <v/>
      </c>
      <c r="AC66" s="5" t="n"/>
      <c r="AD66" s="40">
        <f>TABL1234[[#This Row],[( S/S+T/B) AJD]]-(TABL1234[[#This Row],[(A/B + A/S) AJD]]+(TABL1234[[#This Row],[(STORGE DIFF.) AJD]]*1000)+TABL1234[[#This Row],[AJD_Evaporation]])</f>
        <v/>
      </c>
      <c r="AE66" s="44" t="n"/>
      <c r="AF66" s="45" t="n"/>
      <c r="AG66" s="45" t="n"/>
      <c r="AH66" s="6" t="n"/>
      <c r="AI66" s="45" t="n"/>
      <c r="AJ66" s="45">
        <f>TABL1234[[#This Row],[(A/B) AJD]]-TABL1234[[#This Row],[BER_IN]]</f>
        <v/>
      </c>
      <c r="AK66" s="45" t="n"/>
      <c r="AL66" s="45" t="n"/>
      <c r="AM66" s="32" t="n"/>
      <c r="AN66" s="32">
        <f>TABL1234[[#This Row],[ (RESV. STORGE) SER]]/10</f>
        <v/>
      </c>
      <c r="AO66" s="68" t="n"/>
      <c r="AP66" s="68">
        <f>TABL1234[[#This Row],[(A/S) AJD]]-TABL1234[[#This Row],[SER_IN]]</f>
        <v/>
      </c>
    </row>
    <row r="67" ht="18.75" customHeight="1">
      <c r="A67" s="2" t="n">
        <v>46453</v>
      </c>
      <c r="B67" s="41" t="n"/>
      <c r="C67" s="41" t="n"/>
      <c r="D67" s="41" t="n"/>
      <c r="E67" s="28" t="n"/>
      <c r="F67" s="41" t="n"/>
      <c r="G67" s="39" t="n"/>
      <c r="H67" s="28">
        <f>103-F67</f>
        <v/>
      </c>
      <c r="I67" s="39" t="n"/>
      <c r="J67" s="39" t="n"/>
      <c r="K67" s="28">
        <f>TABL1234[[#This Row],[ (T/B) SAR]]+TABL1234[[#This Row],[ (S/S) SAR]]</f>
        <v/>
      </c>
      <c r="L67" s="41" t="n"/>
      <c r="M67" s="42" t="n"/>
      <c r="N67" s="42" t="n"/>
      <c r="O67" s="39" t="n"/>
      <c r="P67" s="3">
        <f>TABL1234[[#This Row],[ (S/S) SAR]]-TABL1234[[#This Row],[(S/S) AJD]]</f>
        <v/>
      </c>
      <c r="Q67" s="39" t="n"/>
      <c r="R67" s="3">
        <f>TABL1234[[#This Row],[ (T/B) SAR]]-TABL1234[[#This Row],[(T/B) AJD]]</f>
        <v/>
      </c>
      <c r="S67" s="3">
        <f>TABL1234[[#This Row],[T/B-CON.]]+TABL1234[[#This Row],[S/S_CON.]]</f>
        <v/>
      </c>
      <c r="T67" s="3">
        <f>TABL1234[[#This Row],[(S/S) AJD]]+TABL1234[[#This Row],[(T/B) AJD]]</f>
        <v/>
      </c>
      <c r="U67" s="41" t="n"/>
      <c r="V67" s="41" t="n"/>
      <c r="W67" s="3">
        <f>TABL1234[[#This Row],[(A/B) AJD]]+TABL1234[[#This Row],[(A/S) AJD]]</f>
        <v/>
      </c>
      <c r="X67" s="3">
        <f>TABL1234[[#This Row],[( S/S+T/B) AJD]]-TABL1234[[#This Row],[(A/B + A/S) AJD]]</f>
        <v/>
      </c>
      <c r="Y67" s="41" t="n"/>
      <c r="Z67" s="43" t="n"/>
      <c r="AA67" s="3">
        <f>TABL1234[[#This Row],[(RESV. STORGE) AJD]]/10</f>
        <v/>
      </c>
      <c r="AB67" s="3">
        <f>IF(TRIM(Z67)="",,(Z67-Z66)/1000)</f>
        <v/>
      </c>
      <c r="AC67" s="5" t="n"/>
      <c r="AD67" s="39">
        <f>TABL1234[[#This Row],[( S/S+T/B) AJD]]-(TABL1234[[#This Row],[(A/B + A/S) AJD]]+(TABL1234[[#This Row],[(STORGE DIFF.) AJD]]*1000)+TABL1234[[#This Row],[AJD_Evaporation]])</f>
        <v/>
      </c>
      <c r="AE67" s="41" t="n"/>
      <c r="AF67" s="43" t="n"/>
      <c r="AG67" s="43" t="n"/>
      <c r="AH67" s="6" t="n"/>
      <c r="AI67" s="43" t="n"/>
      <c r="AJ67" s="43">
        <f>TABL1234[[#This Row],[(A/B) AJD]]-TABL1234[[#This Row],[BER_IN]]</f>
        <v/>
      </c>
      <c r="AK67" s="43" t="n"/>
      <c r="AL67" s="43" t="n"/>
      <c r="AM67" s="32" t="n"/>
      <c r="AN67" s="32">
        <f>TABL1234[[#This Row],[ (RESV. STORGE) SER]]/10</f>
        <v/>
      </c>
      <c r="AO67" s="68" t="n"/>
      <c r="AP67" s="68">
        <f>TABL1234[[#This Row],[(A/S) AJD]]-TABL1234[[#This Row],[SER_IN]]</f>
        <v/>
      </c>
    </row>
    <row r="68" ht="18.75" customHeight="1">
      <c r="A68" s="2" t="n">
        <v>46454</v>
      </c>
      <c r="B68" s="44" t="n"/>
      <c r="C68" s="44" t="n"/>
      <c r="D68" s="44" t="n"/>
      <c r="E68" s="28" t="n"/>
      <c r="F68" s="44" t="n"/>
      <c r="G68" s="40" t="n"/>
      <c r="H68" s="28">
        <f>103-F68</f>
        <v/>
      </c>
      <c r="I68" s="40" t="n"/>
      <c r="J68" s="44" t="n"/>
      <c r="K68" s="28">
        <f>TABL1234[[#This Row],[ (T/B) SAR]]+TABL1234[[#This Row],[ (S/S) SAR]]</f>
        <v/>
      </c>
      <c r="L68" s="45" t="n"/>
      <c r="M68" s="46" t="n"/>
      <c r="N68" s="46" t="n"/>
      <c r="O68" s="40" t="n"/>
      <c r="P68" s="3">
        <f>TABL1234[[#This Row],[ (S/S) SAR]]-TABL1234[[#This Row],[(S/S) AJD]]</f>
        <v/>
      </c>
      <c r="Q68" s="40" t="n"/>
      <c r="R68" s="3">
        <f>TABL1234[[#This Row],[ (T/B) SAR]]-TABL1234[[#This Row],[(T/B) AJD]]</f>
        <v/>
      </c>
      <c r="S68" s="3">
        <f>TABL1234[[#This Row],[T/B-CON.]]+TABL1234[[#This Row],[S/S_CON.]]</f>
        <v/>
      </c>
      <c r="T68" s="3">
        <f>TABL1234[[#This Row],[(S/S) AJD]]+TABL1234[[#This Row],[(T/B) AJD]]</f>
        <v/>
      </c>
      <c r="U68" s="44" t="n"/>
      <c r="V68" s="44" t="n"/>
      <c r="W68" s="3">
        <f>TABL1234[[#This Row],[(A/B) AJD]]+TABL1234[[#This Row],[(A/S) AJD]]</f>
        <v/>
      </c>
      <c r="X68" s="3">
        <f>TABL1234[[#This Row],[( S/S+T/B) AJD]]-TABL1234[[#This Row],[(A/B + A/S) AJD]]</f>
        <v/>
      </c>
      <c r="Y68" s="44" t="n"/>
      <c r="Z68" s="45" t="n"/>
      <c r="AA68" s="3">
        <f>TABL1234[[#This Row],[(RESV. STORGE) AJD]]/10</f>
        <v/>
      </c>
      <c r="AB68" s="3">
        <f>IF(TRIM(Z68)="",,(Z68-Z67)/1000)</f>
        <v/>
      </c>
      <c r="AC68" s="5" t="n"/>
      <c r="AD68" s="40">
        <f>TABL1234[[#This Row],[( S/S+T/B) AJD]]-(TABL1234[[#This Row],[(A/B + A/S) AJD]]+(TABL1234[[#This Row],[(STORGE DIFF.) AJD]]*1000)+TABL1234[[#This Row],[AJD_Evaporation]])</f>
        <v/>
      </c>
      <c r="AE68" s="44" t="n"/>
      <c r="AF68" s="45" t="n"/>
      <c r="AG68" s="45" t="n"/>
      <c r="AH68" s="6" t="n"/>
      <c r="AI68" s="45" t="n"/>
      <c r="AJ68" s="45">
        <f>TABL1234[[#This Row],[(A/B) AJD]]-TABL1234[[#This Row],[BER_IN]]</f>
        <v/>
      </c>
      <c r="AK68" s="45" t="n"/>
      <c r="AL68" s="45" t="n"/>
      <c r="AM68" s="32" t="n"/>
      <c r="AN68" s="32">
        <f>TABL1234[[#This Row],[ (RESV. STORGE) SER]]/10</f>
        <v/>
      </c>
      <c r="AO68" s="68" t="n"/>
      <c r="AP68" s="68">
        <f>TABL1234[[#This Row],[(A/S) AJD]]-TABL1234[[#This Row],[SER_IN]]</f>
        <v/>
      </c>
    </row>
    <row r="69" ht="18.75" customHeight="1">
      <c r="A69" s="2" t="n">
        <v>46455</v>
      </c>
      <c r="B69" s="41" t="n"/>
      <c r="C69" s="41" t="n"/>
      <c r="D69" s="41" t="n"/>
      <c r="E69" s="28" t="n"/>
      <c r="F69" s="41" t="n"/>
      <c r="G69" s="39" t="n"/>
      <c r="H69" s="28">
        <f>103-F69</f>
        <v/>
      </c>
      <c r="I69" s="39" t="n"/>
      <c r="J69" s="39" t="n"/>
      <c r="K69" s="28">
        <f>TABL1234[[#This Row],[ (T/B) SAR]]+TABL1234[[#This Row],[ (S/S) SAR]]</f>
        <v/>
      </c>
      <c r="L69" s="41" t="n"/>
      <c r="M69" s="42" t="n"/>
      <c r="N69" s="42" t="n"/>
      <c r="O69" s="39" t="n"/>
      <c r="P69" s="3">
        <f>TABL1234[[#This Row],[ (S/S) SAR]]-TABL1234[[#This Row],[(S/S) AJD]]</f>
        <v/>
      </c>
      <c r="Q69" s="39" t="n"/>
      <c r="R69" s="3">
        <f>TABL1234[[#This Row],[ (T/B) SAR]]-TABL1234[[#This Row],[(T/B) AJD]]</f>
        <v/>
      </c>
      <c r="S69" s="3">
        <f>TABL1234[[#This Row],[T/B-CON.]]+TABL1234[[#This Row],[S/S_CON.]]</f>
        <v/>
      </c>
      <c r="T69" s="3">
        <f>TABL1234[[#This Row],[(S/S) AJD]]+TABL1234[[#This Row],[(T/B) AJD]]</f>
        <v/>
      </c>
      <c r="U69" s="41" t="n"/>
      <c r="V69" s="41" t="n"/>
      <c r="W69" s="3">
        <f>TABL1234[[#This Row],[(A/B) AJD]]+TABL1234[[#This Row],[(A/S) AJD]]</f>
        <v/>
      </c>
      <c r="X69" s="3">
        <f>TABL1234[[#This Row],[( S/S+T/B) AJD]]-TABL1234[[#This Row],[(A/B + A/S) AJD]]</f>
        <v/>
      </c>
      <c r="Y69" s="41" t="n"/>
      <c r="Z69" s="43" t="n"/>
      <c r="AA69" s="3">
        <f>TABL1234[[#This Row],[(RESV. STORGE) AJD]]/10</f>
        <v/>
      </c>
      <c r="AB69" s="3">
        <f>IF(TRIM(Z69)="",,(Z69-Z68)/1000)</f>
        <v/>
      </c>
      <c r="AC69" s="5" t="n"/>
      <c r="AD69" s="39">
        <f>TABL1234[[#This Row],[( S/S+T/B) AJD]]-(TABL1234[[#This Row],[(A/B + A/S) AJD]]+(TABL1234[[#This Row],[(STORGE DIFF.) AJD]]*1000)+TABL1234[[#This Row],[AJD_Evaporation]])</f>
        <v/>
      </c>
      <c r="AE69" s="41" t="n"/>
      <c r="AF69" s="43" t="n"/>
      <c r="AG69" s="43" t="n"/>
      <c r="AH69" s="6" t="n"/>
      <c r="AI69" s="43" t="n"/>
      <c r="AJ69" s="43">
        <f>TABL1234[[#This Row],[(A/B) AJD]]-TABL1234[[#This Row],[BER_IN]]</f>
        <v/>
      </c>
      <c r="AK69" s="43" t="n"/>
      <c r="AL69" s="43" t="n"/>
      <c r="AM69" s="32" t="n"/>
      <c r="AN69" s="32">
        <f>TABL1234[[#This Row],[ (RESV. STORGE) SER]]/10</f>
        <v/>
      </c>
      <c r="AO69" s="68" t="n"/>
      <c r="AP69" s="68">
        <f>TABL1234[[#This Row],[(A/S) AJD]]-TABL1234[[#This Row],[SER_IN]]</f>
        <v/>
      </c>
    </row>
    <row r="70" ht="18.75" customHeight="1">
      <c r="A70" s="2" t="n">
        <v>46456</v>
      </c>
      <c r="B70" s="44" t="n"/>
      <c r="C70" s="44" t="n"/>
      <c r="D70" s="44" t="n"/>
      <c r="E70" s="28" t="n"/>
      <c r="F70" s="44" t="n"/>
      <c r="G70" s="40" t="n"/>
      <c r="H70" s="28">
        <f>103-F70</f>
        <v/>
      </c>
      <c r="I70" s="40" t="n"/>
      <c r="J70" s="44" t="n"/>
      <c r="K70" s="28">
        <f>TABL1234[[#This Row],[ (T/B) SAR]]+TABL1234[[#This Row],[ (S/S) SAR]]</f>
        <v/>
      </c>
      <c r="L70" s="45" t="n"/>
      <c r="M70" s="46" t="n"/>
      <c r="N70" s="46" t="n"/>
      <c r="O70" s="40" t="n"/>
      <c r="P70" s="3">
        <f>TABL1234[[#This Row],[ (S/S) SAR]]-TABL1234[[#This Row],[(S/S) AJD]]</f>
        <v/>
      </c>
      <c r="Q70" s="40" t="n"/>
      <c r="R70" s="3">
        <f>TABL1234[[#This Row],[ (T/B) SAR]]-TABL1234[[#This Row],[(T/B) AJD]]</f>
        <v/>
      </c>
      <c r="S70" s="3">
        <f>TABL1234[[#This Row],[T/B-CON.]]+TABL1234[[#This Row],[S/S_CON.]]</f>
        <v/>
      </c>
      <c r="T70" s="3">
        <f>TABL1234[[#This Row],[(S/S) AJD]]+TABL1234[[#This Row],[(T/B) AJD]]</f>
        <v/>
      </c>
      <c r="U70" s="44" t="n"/>
      <c r="V70" s="44" t="n"/>
      <c r="W70" s="3">
        <f>TABL1234[[#This Row],[(A/B) AJD]]+TABL1234[[#This Row],[(A/S) AJD]]</f>
        <v/>
      </c>
      <c r="X70" s="3">
        <f>TABL1234[[#This Row],[( S/S+T/B) AJD]]-TABL1234[[#This Row],[(A/B + A/S) AJD]]</f>
        <v/>
      </c>
      <c r="Y70" s="44" t="n"/>
      <c r="Z70" s="45" t="n"/>
      <c r="AA70" s="3">
        <f>TABL1234[[#This Row],[(RESV. STORGE) AJD]]/10</f>
        <v/>
      </c>
      <c r="AB70" s="3">
        <f>IF(TRIM(Z70)="",,(Z70-Z69)/1000)</f>
        <v/>
      </c>
      <c r="AC70" s="5" t="n"/>
      <c r="AD70" s="40">
        <f>TABL1234[[#This Row],[( S/S+T/B) AJD]]-(TABL1234[[#This Row],[(A/B + A/S) AJD]]+(TABL1234[[#This Row],[(STORGE DIFF.) AJD]]*1000)+TABL1234[[#This Row],[AJD_Evaporation]])</f>
        <v/>
      </c>
      <c r="AE70" s="44" t="n"/>
      <c r="AF70" s="45" t="n"/>
      <c r="AG70" s="45" t="n"/>
      <c r="AH70" s="6" t="n"/>
      <c r="AI70" s="45" t="n"/>
      <c r="AJ70" s="45">
        <f>TABL1234[[#This Row],[(A/B) AJD]]-TABL1234[[#This Row],[BER_IN]]</f>
        <v/>
      </c>
      <c r="AK70" s="45" t="n"/>
      <c r="AL70" s="45" t="n"/>
      <c r="AM70" s="32" t="n"/>
      <c r="AN70" s="32">
        <f>TABL1234[[#This Row],[ (RESV. STORGE) SER]]/10</f>
        <v/>
      </c>
      <c r="AO70" s="68" t="n"/>
      <c r="AP70" s="68">
        <f>TABL1234[[#This Row],[(A/S) AJD]]-TABL1234[[#This Row],[SER_IN]]</f>
        <v/>
      </c>
    </row>
    <row r="71" ht="18.75" customHeight="1">
      <c r="A71" s="2" t="n">
        <v>46457</v>
      </c>
      <c r="B71" s="41" t="n"/>
      <c r="C71" s="41" t="n"/>
      <c r="D71" s="41" t="n"/>
      <c r="E71" s="28" t="n"/>
      <c r="F71" s="41" t="n"/>
      <c r="G71" s="39" t="n"/>
      <c r="H71" s="28">
        <f>103-F71</f>
        <v/>
      </c>
      <c r="I71" s="39" t="n"/>
      <c r="J71" s="39" t="n"/>
      <c r="K71" s="28">
        <f>TABL1234[[#This Row],[ (T/B) SAR]]+TABL1234[[#This Row],[ (S/S) SAR]]</f>
        <v/>
      </c>
      <c r="L71" s="41" t="n"/>
      <c r="M71" s="42" t="n"/>
      <c r="N71" s="42" t="n"/>
      <c r="O71" s="39" t="n"/>
      <c r="P71" s="3">
        <f>TABL1234[[#This Row],[ (S/S) SAR]]-TABL1234[[#This Row],[(S/S) AJD]]</f>
        <v/>
      </c>
      <c r="Q71" s="39" t="n"/>
      <c r="R71" s="3">
        <f>TABL1234[[#This Row],[ (T/B) SAR]]-TABL1234[[#This Row],[(T/B) AJD]]</f>
        <v/>
      </c>
      <c r="S71" s="3">
        <f>TABL1234[[#This Row],[T/B-CON.]]+TABL1234[[#This Row],[S/S_CON.]]</f>
        <v/>
      </c>
      <c r="T71" s="3">
        <f>TABL1234[[#This Row],[(S/S) AJD]]+TABL1234[[#This Row],[(T/B) AJD]]</f>
        <v/>
      </c>
      <c r="U71" s="41" t="n"/>
      <c r="V71" s="41" t="n"/>
      <c r="W71" s="3">
        <f>TABL1234[[#This Row],[(A/B) AJD]]+TABL1234[[#This Row],[(A/S) AJD]]</f>
        <v/>
      </c>
      <c r="X71" s="3">
        <f>TABL1234[[#This Row],[( S/S+T/B) AJD]]-TABL1234[[#This Row],[(A/B + A/S) AJD]]</f>
        <v/>
      </c>
      <c r="Y71" s="41" t="n"/>
      <c r="Z71" s="43" t="n"/>
      <c r="AA71" s="3">
        <f>TABL1234[[#This Row],[(RESV. STORGE) AJD]]/10</f>
        <v/>
      </c>
      <c r="AB71" s="3">
        <f>IF(TRIM(Z71)="",,(Z71-Z70)/1000)</f>
        <v/>
      </c>
      <c r="AC71" s="5" t="n"/>
      <c r="AD71" s="39">
        <f>TABL1234[[#This Row],[( S/S+T/B) AJD]]-(TABL1234[[#This Row],[(A/B + A/S) AJD]]+(TABL1234[[#This Row],[(STORGE DIFF.) AJD]]*1000)+TABL1234[[#This Row],[AJD_Evaporation]])</f>
        <v/>
      </c>
      <c r="AE71" s="41" t="n"/>
      <c r="AF71" s="43" t="n"/>
      <c r="AG71" s="68" t="n"/>
      <c r="AH71" s="6" t="n"/>
      <c r="AI71" s="43" t="n"/>
      <c r="AJ71" s="68">
        <f>TABL1234[[#This Row],[(A/B) AJD]]-TABL1234[[#This Row],[BER_IN]]</f>
        <v/>
      </c>
      <c r="AK71" s="43" t="n"/>
      <c r="AL71" s="43" t="n"/>
      <c r="AM71" s="32" t="n"/>
      <c r="AN71" s="32">
        <f>TABL1234[[#This Row],[ (RESV. STORGE) SER]]/10</f>
        <v/>
      </c>
      <c r="AO71" s="68" t="n"/>
      <c r="AP71" s="68">
        <f>TABL1234[[#This Row],[(A/S) AJD]]-TABL1234[[#This Row],[SER_IN]]</f>
        <v/>
      </c>
    </row>
    <row r="72" ht="18.75" customHeight="1">
      <c r="A72" s="2" t="n">
        <v>46458</v>
      </c>
      <c r="B72" s="44" t="n"/>
      <c r="C72" s="44" t="n"/>
      <c r="D72" s="44" t="n"/>
      <c r="E72" s="28" t="n"/>
      <c r="F72" s="44" t="n"/>
      <c r="G72" s="40" t="n"/>
      <c r="H72" s="28">
        <f>103-F72</f>
        <v/>
      </c>
      <c r="I72" s="40" t="n"/>
      <c r="J72" s="44" t="n"/>
      <c r="K72" s="28">
        <f>TABL1234[[#This Row],[ (T/B) SAR]]+TABL1234[[#This Row],[ (S/S) SAR]]</f>
        <v/>
      </c>
      <c r="L72" s="45" t="n"/>
      <c r="M72" s="46" t="n"/>
      <c r="N72" s="46" t="n"/>
      <c r="O72" s="40" t="n"/>
      <c r="P72" s="3">
        <f>TABL1234[[#This Row],[ (S/S) SAR]]-TABL1234[[#This Row],[(S/S) AJD]]</f>
        <v/>
      </c>
      <c r="Q72" s="40" t="n"/>
      <c r="R72" s="3">
        <f>TABL1234[[#This Row],[ (T/B) SAR]]-TABL1234[[#This Row],[(T/B) AJD]]</f>
        <v/>
      </c>
      <c r="S72" s="3">
        <f>TABL1234[[#This Row],[T/B-CON.]]+TABL1234[[#This Row],[S/S_CON.]]</f>
        <v/>
      </c>
      <c r="T72" s="3">
        <f>TABL1234[[#This Row],[(S/S) AJD]]+TABL1234[[#This Row],[(T/B) AJD]]</f>
        <v/>
      </c>
      <c r="U72" s="44" t="n"/>
      <c r="V72" s="44" t="n"/>
      <c r="W72" s="3">
        <f>TABL1234[[#This Row],[(A/B) AJD]]+TABL1234[[#This Row],[(A/S) AJD]]</f>
        <v/>
      </c>
      <c r="X72" s="3">
        <f>TABL1234[[#This Row],[( S/S+T/B) AJD]]-TABL1234[[#This Row],[(A/B + A/S) AJD]]</f>
        <v/>
      </c>
      <c r="Y72" s="44" t="n"/>
      <c r="Z72" s="45" t="n"/>
      <c r="AA72" s="3">
        <f>TABL1234[[#This Row],[(RESV. STORGE) AJD]]/10</f>
        <v/>
      </c>
      <c r="AB72" s="3">
        <f>IF(TRIM(Z72)="",,(Z72-Z71)/1000)</f>
        <v/>
      </c>
      <c r="AC72" s="5" t="n"/>
      <c r="AD72" s="40">
        <f>TABL1234[[#This Row],[( S/S+T/B) AJD]]-(TABL1234[[#This Row],[(A/B + A/S) AJD]]+(TABL1234[[#This Row],[(STORGE DIFF.) AJD]]*1000)+TABL1234[[#This Row],[AJD_Evaporation]])</f>
        <v/>
      </c>
      <c r="AE72" s="44" t="n"/>
      <c r="AF72" s="45" t="n"/>
      <c r="AG72" s="45" t="n"/>
      <c r="AH72" s="6" t="n"/>
      <c r="AI72" s="45" t="n"/>
      <c r="AJ72" s="45">
        <f>TABL1234[[#This Row],[(A/B) AJD]]-TABL1234[[#This Row],[BER_IN]]</f>
        <v/>
      </c>
      <c r="AK72" s="45" t="n"/>
      <c r="AL72" s="45" t="n"/>
      <c r="AM72" s="32" t="n"/>
      <c r="AN72" s="32">
        <f>TABL1234[[#This Row],[ (RESV. STORGE) SER]]/10</f>
        <v/>
      </c>
      <c r="AO72" s="68" t="n"/>
      <c r="AP72" s="68">
        <f>TABL1234[[#This Row],[(A/S) AJD]]-TABL1234[[#This Row],[SER_IN]]</f>
        <v/>
      </c>
    </row>
    <row r="73" ht="18.75" customHeight="1">
      <c r="A73" s="2" t="n">
        <v>46459</v>
      </c>
      <c r="B73" s="41" t="n"/>
      <c r="C73" s="41" t="n"/>
      <c r="D73" s="41" t="n"/>
      <c r="E73" s="28" t="n"/>
      <c r="F73" s="41" t="n"/>
      <c r="G73" s="39" t="n"/>
      <c r="H73" s="28">
        <f>103-F73</f>
        <v/>
      </c>
      <c r="I73" s="39" t="n"/>
      <c r="J73" s="39" t="n"/>
      <c r="K73" s="28">
        <f>TABL1234[[#This Row],[ (T/B) SAR]]+TABL1234[[#This Row],[ (S/S) SAR]]</f>
        <v/>
      </c>
      <c r="L73" s="41" t="n"/>
      <c r="M73" s="42" t="n"/>
      <c r="N73" s="42" t="n"/>
      <c r="O73" s="39" t="n"/>
      <c r="P73" s="3">
        <f>TABL1234[[#This Row],[ (S/S) SAR]]-TABL1234[[#This Row],[(S/S) AJD]]</f>
        <v/>
      </c>
      <c r="Q73" s="39" t="n"/>
      <c r="R73" s="3">
        <f>TABL1234[[#This Row],[ (T/B) SAR]]-TABL1234[[#This Row],[(T/B) AJD]]</f>
        <v/>
      </c>
      <c r="S73" s="3">
        <f>TABL1234[[#This Row],[T/B-CON.]]+TABL1234[[#This Row],[S/S_CON.]]</f>
        <v/>
      </c>
      <c r="T73" s="3">
        <f>TABL1234[[#This Row],[(S/S) AJD]]+TABL1234[[#This Row],[(T/B) AJD]]</f>
        <v/>
      </c>
      <c r="U73" s="41" t="n"/>
      <c r="V73" s="41" t="n"/>
      <c r="W73" s="3">
        <f>TABL1234[[#This Row],[(A/B) AJD]]+TABL1234[[#This Row],[(A/S) AJD]]</f>
        <v/>
      </c>
      <c r="X73" s="3">
        <f>TABL1234[[#This Row],[( S/S+T/B) AJD]]-TABL1234[[#This Row],[(A/B + A/S) AJD]]</f>
        <v/>
      </c>
      <c r="Y73" s="41" t="n"/>
      <c r="Z73" s="43" t="n"/>
      <c r="AA73" s="3">
        <f>TABL1234[[#This Row],[(RESV. STORGE) AJD]]/10</f>
        <v/>
      </c>
      <c r="AB73" s="3">
        <f>IF(TRIM(Z73)="",,(Z73-Z72)/1000)</f>
        <v/>
      </c>
      <c r="AC73" s="5" t="n"/>
      <c r="AD73" s="39">
        <f>TABL1234[[#This Row],[( S/S+T/B) AJD]]-(TABL1234[[#This Row],[(A/B + A/S) AJD]]+(TABL1234[[#This Row],[(STORGE DIFF.) AJD]]*1000)+TABL1234[[#This Row],[AJD_Evaporation]])</f>
        <v/>
      </c>
      <c r="AE73" s="41" t="n"/>
      <c r="AF73" s="43" t="n"/>
      <c r="AG73" s="43" t="n"/>
      <c r="AH73" s="6" t="n"/>
      <c r="AI73" s="43" t="n"/>
      <c r="AJ73" s="43">
        <f>TABL1234[[#This Row],[(A/B) AJD]]-TABL1234[[#This Row],[BER_IN]]</f>
        <v/>
      </c>
      <c r="AK73" s="43" t="n"/>
      <c r="AL73" s="43" t="n"/>
      <c r="AM73" s="32" t="n"/>
      <c r="AN73" s="32">
        <f>TABL1234[[#This Row],[ (RESV. STORGE) SER]]/10</f>
        <v/>
      </c>
      <c r="AO73" s="68" t="n"/>
      <c r="AP73" s="68">
        <f>TABL1234[[#This Row],[(A/S) AJD]]-TABL1234[[#This Row],[SER_IN]]</f>
        <v/>
      </c>
    </row>
    <row r="74" ht="18.75" customHeight="1">
      <c r="A74" s="2" t="n">
        <v>46460</v>
      </c>
      <c r="B74" s="44" t="n"/>
      <c r="C74" s="44" t="n"/>
      <c r="D74" s="44" t="n"/>
      <c r="E74" s="28" t="n"/>
      <c r="F74" s="44" t="n"/>
      <c r="G74" s="40" t="n"/>
      <c r="H74" s="28">
        <f>103-F74</f>
        <v/>
      </c>
      <c r="I74" s="40" t="n"/>
      <c r="J74" s="44" t="n"/>
      <c r="K74" s="28">
        <f>TABL1234[[#This Row],[ (T/B) SAR]]+TABL1234[[#This Row],[ (S/S) SAR]]</f>
        <v/>
      </c>
      <c r="L74" s="45" t="n"/>
      <c r="M74" s="46" t="n"/>
      <c r="N74" s="46" t="n"/>
      <c r="O74" s="40" t="n"/>
      <c r="P74" s="3">
        <f>TABL1234[[#This Row],[ (S/S) SAR]]-TABL1234[[#This Row],[(S/S) AJD]]</f>
        <v/>
      </c>
      <c r="Q74" s="40" t="n"/>
      <c r="R74" s="3">
        <f>TABL1234[[#This Row],[ (T/B) SAR]]-TABL1234[[#This Row],[(T/B) AJD]]</f>
        <v/>
      </c>
      <c r="S74" s="3">
        <f>TABL1234[[#This Row],[T/B-CON.]]+TABL1234[[#This Row],[S/S_CON.]]</f>
        <v/>
      </c>
      <c r="T74" s="3">
        <f>TABL1234[[#This Row],[(S/S) AJD]]+TABL1234[[#This Row],[(T/B) AJD]]</f>
        <v/>
      </c>
      <c r="U74" s="44" t="n"/>
      <c r="V74" s="44" t="n"/>
      <c r="W74" s="3">
        <f>TABL1234[[#This Row],[(A/B) AJD]]+TABL1234[[#This Row],[(A/S) AJD]]</f>
        <v/>
      </c>
      <c r="X74" s="3">
        <f>TABL1234[[#This Row],[( S/S+T/B) AJD]]-TABL1234[[#This Row],[(A/B + A/S) AJD]]</f>
        <v/>
      </c>
      <c r="Y74" s="44" t="n"/>
      <c r="Z74" s="45" t="n"/>
      <c r="AA74" s="3">
        <f>TABL1234[[#This Row],[(RESV. STORGE) AJD]]/10</f>
        <v/>
      </c>
      <c r="AB74" s="3">
        <f>IF(TRIM(Z74)="",,(Z74-Z73)/1000)</f>
        <v/>
      </c>
      <c r="AC74" s="5" t="n"/>
      <c r="AD74" s="40">
        <f>TABL1234[[#This Row],[( S/S+T/B) AJD]]-(TABL1234[[#This Row],[(A/B + A/S) AJD]]+(TABL1234[[#This Row],[(STORGE DIFF.) AJD]]*1000)+TABL1234[[#This Row],[AJD_Evaporation]])</f>
        <v/>
      </c>
      <c r="AE74" s="44" t="n"/>
      <c r="AF74" s="45" t="n"/>
      <c r="AG74" s="45" t="n"/>
      <c r="AH74" s="6" t="n"/>
      <c r="AI74" s="45" t="n"/>
      <c r="AJ74" s="45">
        <f>TABL1234[[#This Row],[(A/B) AJD]]-TABL1234[[#This Row],[BER_IN]]</f>
        <v/>
      </c>
      <c r="AK74" s="45" t="n"/>
      <c r="AL74" s="45" t="n"/>
      <c r="AM74" s="32" t="n"/>
      <c r="AN74" s="32">
        <f>TABL1234[[#This Row],[ (RESV. STORGE) SER]]/10</f>
        <v/>
      </c>
      <c r="AO74" s="68" t="n"/>
      <c r="AP74" s="68">
        <f>TABL1234[[#This Row],[(A/S) AJD]]-TABL1234[[#This Row],[SER_IN]]</f>
        <v/>
      </c>
    </row>
    <row r="75" ht="18.75" customHeight="1">
      <c r="A75" s="2" t="n">
        <v>46461</v>
      </c>
      <c r="B75" s="41" t="n"/>
      <c r="C75" s="41" t="n"/>
      <c r="D75" s="41" t="n"/>
      <c r="E75" s="28" t="n"/>
      <c r="F75" s="41" t="n"/>
      <c r="G75" s="39" t="n"/>
      <c r="H75" s="28">
        <f>103-F75</f>
        <v/>
      </c>
      <c r="I75" s="39" t="n"/>
      <c r="J75" s="39" t="n"/>
      <c r="K75" s="28">
        <f>TABL1234[[#This Row],[ (T/B) SAR]]+TABL1234[[#This Row],[ (S/S) SAR]]</f>
        <v/>
      </c>
      <c r="L75" s="41" t="n"/>
      <c r="M75" s="42" t="n"/>
      <c r="N75" s="42" t="n"/>
      <c r="O75" s="39" t="n"/>
      <c r="P75" s="3">
        <f>TABL1234[[#This Row],[ (S/S) SAR]]-TABL1234[[#This Row],[(S/S) AJD]]</f>
        <v/>
      </c>
      <c r="Q75" s="39" t="n"/>
      <c r="R75" s="3">
        <f>TABL1234[[#This Row],[ (T/B) SAR]]-TABL1234[[#This Row],[(T/B) AJD]]</f>
        <v/>
      </c>
      <c r="S75" s="3">
        <f>TABL1234[[#This Row],[T/B-CON.]]+TABL1234[[#This Row],[S/S_CON.]]</f>
        <v/>
      </c>
      <c r="T75" s="3">
        <f>TABL1234[[#This Row],[(S/S) AJD]]+TABL1234[[#This Row],[(T/B) AJD]]</f>
        <v/>
      </c>
      <c r="U75" s="41" t="n"/>
      <c r="V75" s="41" t="n"/>
      <c r="W75" s="3">
        <f>TABL1234[[#This Row],[(A/B) AJD]]+TABL1234[[#This Row],[(A/S) AJD]]</f>
        <v/>
      </c>
      <c r="X75" s="3">
        <f>TABL1234[[#This Row],[( S/S+T/B) AJD]]-TABL1234[[#This Row],[(A/B + A/S) AJD]]</f>
        <v/>
      </c>
      <c r="Y75" s="41" t="n"/>
      <c r="Z75" s="43" t="n"/>
      <c r="AA75" s="3">
        <f>TABL1234[[#This Row],[(RESV. STORGE) AJD]]/10</f>
        <v/>
      </c>
      <c r="AB75" s="3">
        <f>IF(TRIM(Z75)="",,(Z75-Z74)/1000)</f>
        <v/>
      </c>
      <c r="AC75" s="5" t="n"/>
      <c r="AD75" s="39">
        <f>TABL1234[[#This Row],[( S/S+T/B) AJD]]-(TABL1234[[#This Row],[(A/B + A/S) AJD]]+(TABL1234[[#This Row],[(STORGE DIFF.) AJD]]*1000)+TABL1234[[#This Row],[AJD_Evaporation]])</f>
        <v/>
      </c>
      <c r="AE75" s="41" t="n"/>
      <c r="AF75" s="43" t="n"/>
      <c r="AG75" s="43" t="n"/>
      <c r="AH75" s="6" t="n"/>
      <c r="AI75" s="43" t="n"/>
      <c r="AJ75" s="43">
        <f>TABL1234[[#This Row],[(A/B) AJD]]-TABL1234[[#This Row],[BER_IN]]</f>
        <v/>
      </c>
      <c r="AK75" s="43" t="n"/>
      <c r="AL75" s="43" t="n"/>
      <c r="AM75" s="32" t="n"/>
      <c r="AN75" s="32">
        <f>TABL1234[[#This Row],[ (RESV. STORGE) SER]]/10</f>
        <v/>
      </c>
      <c r="AO75" s="68" t="n"/>
      <c r="AP75" s="68">
        <f>TABL1234[[#This Row],[(A/S) AJD]]-TABL1234[[#This Row],[SER_IN]]</f>
        <v/>
      </c>
    </row>
    <row r="76" ht="18.75" customHeight="1">
      <c r="A76" s="2" t="n">
        <v>46462</v>
      </c>
      <c r="B76" s="44" t="n"/>
      <c r="C76" s="44" t="n"/>
      <c r="D76" s="44" t="n"/>
      <c r="E76" s="28" t="n"/>
      <c r="F76" s="44" t="n"/>
      <c r="G76" s="40" t="n"/>
      <c r="H76" s="28">
        <f>103-F76</f>
        <v/>
      </c>
      <c r="I76" s="40" t="n"/>
      <c r="J76" s="44" t="n"/>
      <c r="K76" s="28">
        <f>TABL1234[[#This Row],[ (T/B) SAR]]+TABL1234[[#This Row],[ (S/S) SAR]]</f>
        <v/>
      </c>
      <c r="L76" s="45" t="n"/>
      <c r="M76" s="46" t="n"/>
      <c r="N76" s="46" t="n"/>
      <c r="O76" s="40" t="n"/>
      <c r="P76" s="3">
        <f>TABL1234[[#This Row],[ (S/S) SAR]]-TABL1234[[#This Row],[(S/S) AJD]]</f>
        <v/>
      </c>
      <c r="Q76" s="40" t="n"/>
      <c r="R76" s="3">
        <f>TABL1234[[#This Row],[ (T/B) SAR]]-TABL1234[[#This Row],[(T/B) AJD]]</f>
        <v/>
      </c>
      <c r="S76" s="3">
        <f>TABL1234[[#This Row],[T/B-CON.]]+TABL1234[[#This Row],[S/S_CON.]]</f>
        <v/>
      </c>
      <c r="T76" s="3">
        <f>TABL1234[[#This Row],[(S/S) AJD]]+TABL1234[[#This Row],[(T/B) AJD]]</f>
        <v/>
      </c>
      <c r="U76" s="44" t="n"/>
      <c r="V76" s="44" t="n"/>
      <c r="W76" s="3">
        <f>TABL1234[[#This Row],[(A/B) AJD]]+TABL1234[[#This Row],[(A/S) AJD]]</f>
        <v/>
      </c>
      <c r="X76" s="3">
        <f>TABL1234[[#This Row],[( S/S+T/B) AJD]]-TABL1234[[#This Row],[(A/B + A/S) AJD]]</f>
        <v/>
      </c>
      <c r="Y76" s="44" t="n"/>
      <c r="Z76" s="45" t="n"/>
      <c r="AA76" s="3">
        <f>TABL1234[[#This Row],[(RESV. STORGE) AJD]]/10</f>
        <v/>
      </c>
      <c r="AB76" s="3">
        <f>IF(TRIM(Z76)="",,(Z76-Z75)/1000)</f>
        <v/>
      </c>
      <c r="AC76" s="5" t="n"/>
      <c r="AD76" s="40">
        <f>TABL1234[[#This Row],[( S/S+T/B) AJD]]-(TABL1234[[#This Row],[(A/B + A/S) AJD]]+(TABL1234[[#This Row],[(STORGE DIFF.) AJD]]*1000)+TABL1234[[#This Row],[AJD_Evaporation]])</f>
        <v/>
      </c>
      <c r="AE76" s="44" t="n"/>
      <c r="AF76" s="45" t="n"/>
      <c r="AG76" s="45" t="n"/>
      <c r="AH76" s="6" t="n"/>
      <c r="AI76" s="45" t="n"/>
      <c r="AJ76" s="45">
        <f>TABL1234[[#This Row],[(A/B) AJD]]-TABL1234[[#This Row],[BER_IN]]</f>
        <v/>
      </c>
      <c r="AK76" s="45" t="n"/>
      <c r="AL76" s="45" t="n"/>
      <c r="AM76" s="32" t="n"/>
      <c r="AN76" s="32">
        <f>TABL1234[[#This Row],[ (RESV. STORGE) SER]]/10</f>
        <v/>
      </c>
      <c r="AO76" s="68" t="n"/>
      <c r="AP76" s="68">
        <f>TABL1234[[#This Row],[(A/S) AJD]]-TABL1234[[#This Row],[SER_IN]]</f>
        <v/>
      </c>
    </row>
    <row r="77" ht="18.75" customHeight="1">
      <c r="A77" s="2" t="n">
        <v>46463</v>
      </c>
      <c r="B77" s="41" t="n"/>
      <c r="C77" s="41" t="n"/>
      <c r="D77" s="41" t="n"/>
      <c r="E77" s="28" t="n"/>
      <c r="F77" s="41" t="n"/>
      <c r="G77" s="39" t="n"/>
      <c r="H77" s="28">
        <f>103-F77</f>
        <v/>
      </c>
      <c r="I77" s="39" t="n"/>
      <c r="J77" s="39" t="n"/>
      <c r="K77" s="28">
        <f>TABL1234[[#This Row],[ (T/B) SAR]]+TABL1234[[#This Row],[ (S/S) SAR]]</f>
        <v/>
      </c>
      <c r="L77" s="41" t="n"/>
      <c r="M77" s="42" t="n"/>
      <c r="N77" s="42" t="n"/>
      <c r="O77" s="39" t="n"/>
      <c r="P77" s="3">
        <f>TABL1234[[#This Row],[ (S/S) SAR]]-TABL1234[[#This Row],[(S/S) AJD]]</f>
        <v/>
      </c>
      <c r="Q77" s="39" t="n"/>
      <c r="R77" s="3">
        <f>TABL1234[[#This Row],[ (T/B) SAR]]-TABL1234[[#This Row],[(T/B) AJD]]</f>
        <v/>
      </c>
      <c r="S77" s="3">
        <f>TABL1234[[#This Row],[T/B-CON.]]+TABL1234[[#This Row],[S/S_CON.]]</f>
        <v/>
      </c>
      <c r="T77" s="3">
        <f>TABL1234[[#This Row],[(S/S) AJD]]+TABL1234[[#This Row],[(T/B) AJD]]</f>
        <v/>
      </c>
      <c r="U77" s="41" t="n"/>
      <c r="V77" s="41" t="n"/>
      <c r="W77" s="3">
        <f>TABL1234[[#This Row],[(A/B) AJD]]+TABL1234[[#This Row],[(A/S) AJD]]</f>
        <v/>
      </c>
      <c r="X77" s="3">
        <f>TABL1234[[#This Row],[( S/S+T/B) AJD]]-TABL1234[[#This Row],[(A/B + A/S) AJD]]</f>
        <v/>
      </c>
      <c r="Y77" s="41" t="n"/>
      <c r="Z77" s="43" t="n"/>
      <c r="AA77" s="3">
        <f>TABL1234[[#This Row],[(RESV. STORGE) AJD]]/10</f>
        <v/>
      </c>
      <c r="AB77" s="3">
        <f>IF(TRIM(Z77)="",,(Z77-Z76)/1000)</f>
        <v/>
      </c>
      <c r="AC77" s="5" t="n"/>
      <c r="AD77" s="39">
        <f>TABL1234[[#This Row],[( S/S+T/B) AJD]]-(TABL1234[[#This Row],[(A/B + A/S) AJD]]+(TABL1234[[#This Row],[(STORGE DIFF.) AJD]]*1000)+TABL1234[[#This Row],[AJD_Evaporation]])</f>
        <v/>
      </c>
      <c r="AE77" s="41" t="n"/>
      <c r="AF77" s="43" t="n"/>
      <c r="AG77" s="43" t="n"/>
      <c r="AH77" s="6" t="n"/>
      <c r="AI77" s="43" t="n"/>
      <c r="AJ77" s="43">
        <f>TABL1234[[#This Row],[(A/B) AJD]]-TABL1234[[#This Row],[BER_IN]]</f>
        <v/>
      </c>
      <c r="AK77" s="43" t="n"/>
      <c r="AL77" s="43" t="n"/>
      <c r="AM77" s="32" t="n"/>
      <c r="AN77" s="32">
        <f>TABL1234[[#This Row],[ (RESV. STORGE) SER]]/10</f>
        <v/>
      </c>
      <c r="AO77" s="68" t="n"/>
      <c r="AP77" s="68">
        <f>TABL1234[[#This Row],[(A/S) AJD]]-TABL1234[[#This Row],[SER_IN]]</f>
        <v/>
      </c>
    </row>
    <row r="78" ht="18.75" customHeight="1">
      <c r="A78" s="2" t="n">
        <v>46464</v>
      </c>
      <c r="B78" s="44" t="n"/>
      <c r="C78" s="44" t="n"/>
      <c r="D78" s="44" t="n"/>
      <c r="E78" s="28" t="n"/>
      <c r="F78" s="44" t="n"/>
      <c r="G78" s="40" t="n"/>
      <c r="H78" s="28">
        <f>103-F78</f>
        <v/>
      </c>
      <c r="I78" s="40" t="n"/>
      <c r="J78" s="44" t="n"/>
      <c r="K78" s="28">
        <f>TABL1234[[#This Row],[ (T/B) SAR]]+TABL1234[[#This Row],[ (S/S) SAR]]</f>
        <v/>
      </c>
      <c r="L78" s="45" t="n"/>
      <c r="M78" s="46" t="n"/>
      <c r="N78" s="46" t="n"/>
      <c r="O78" s="40" t="n"/>
      <c r="P78" s="3">
        <f>TABL1234[[#This Row],[ (S/S) SAR]]-TABL1234[[#This Row],[(S/S) AJD]]</f>
        <v/>
      </c>
      <c r="Q78" s="40" t="n"/>
      <c r="R78" s="3">
        <f>TABL1234[[#This Row],[ (T/B) SAR]]-TABL1234[[#This Row],[(T/B) AJD]]</f>
        <v/>
      </c>
      <c r="S78" s="3">
        <f>TABL1234[[#This Row],[T/B-CON.]]+TABL1234[[#This Row],[S/S_CON.]]</f>
        <v/>
      </c>
      <c r="T78" s="3">
        <f>TABL1234[[#This Row],[(S/S) AJD]]+TABL1234[[#This Row],[(T/B) AJD]]</f>
        <v/>
      </c>
      <c r="U78" s="44" t="n"/>
      <c r="V78" s="44" t="n"/>
      <c r="W78" s="3">
        <f>TABL1234[[#This Row],[(A/B) AJD]]+TABL1234[[#This Row],[(A/S) AJD]]</f>
        <v/>
      </c>
      <c r="X78" s="3">
        <f>TABL1234[[#This Row],[( S/S+T/B) AJD]]-TABL1234[[#This Row],[(A/B + A/S) AJD]]</f>
        <v/>
      </c>
      <c r="Y78" s="44" t="n"/>
      <c r="Z78" s="45" t="n"/>
      <c r="AA78" s="3">
        <f>TABL1234[[#This Row],[(RESV. STORGE) AJD]]/10</f>
        <v/>
      </c>
      <c r="AB78" s="3">
        <f>IF(TRIM(Z78)="",,(Z78-Z77)/1000)</f>
        <v/>
      </c>
      <c r="AC78" s="5" t="n"/>
      <c r="AD78" s="40">
        <f>TABL1234[[#This Row],[( S/S+T/B) AJD]]-(TABL1234[[#This Row],[(A/B + A/S) AJD]]+(TABL1234[[#This Row],[(STORGE DIFF.) AJD]]*1000)+TABL1234[[#This Row],[AJD_Evaporation]])</f>
        <v/>
      </c>
      <c r="AE78" s="44" t="n"/>
      <c r="AF78" s="45" t="n"/>
      <c r="AG78" s="45" t="n"/>
      <c r="AH78" s="6" t="n"/>
      <c r="AI78" s="45" t="n"/>
      <c r="AJ78" s="45">
        <f>TABL1234[[#This Row],[(A/B) AJD]]-TABL1234[[#This Row],[BER_IN]]</f>
        <v/>
      </c>
      <c r="AK78" s="45" t="n"/>
      <c r="AL78" s="45" t="n"/>
      <c r="AM78" s="32" t="n"/>
      <c r="AN78" s="32">
        <f>TABL1234[[#This Row],[ (RESV. STORGE) SER]]/10</f>
        <v/>
      </c>
      <c r="AO78" s="68" t="n"/>
      <c r="AP78" s="68">
        <f>TABL1234[[#This Row],[(A/S) AJD]]-TABL1234[[#This Row],[SER_IN]]</f>
        <v/>
      </c>
    </row>
    <row r="79" ht="18.75" customHeight="1">
      <c r="A79" s="2" t="n">
        <v>46465</v>
      </c>
      <c r="B79" s="41" t="n"/>
      <c r="C79" s="41" t="n"/>
      <c r="D79" s="41" t="n"/>
      <c r="E79" s="28" t="n"/>
      <c r="F79" s="41" t="n"/>
      <c r="G79" s="39" t="n"/>
      <c r="H79" s="28">
        <f>103-F79</f>
        <v/>
      </c>
      <c r="I79" s="39" t="n"/>
      <c r="J79" s="39" t="n"/>
      <c r="K79" s="28">
        <f>TABL1234[[#This Row],[ (T/B) SAR]]+TABL1234[[#This Row],[ (S/S) SAR]]</f>
        <v/>
      </c>
      <c r="L79" s="41" t="n"/>
      <c r="M79" s="42" t="n"/>
      <c r="N79" s="42" t="n"/>
      <c r="O79" s="39" t="n"/>
      <c r="P79" s="3">
        <f>TABL1234[[#This Row],[ (S/S) SAR]]-TABL1234[[#This Row],[(S/S) AJD]]</f>
        <v/>
      </c>
      <c r="Q79" s="39" t="n"/>
      <c r="R79" s="3">
        <f>TABL1234[[#This Row],[ (T/B) SAR]]-TABL1234[[#This Row],[(T/B) AJD]]</f>
        <v/>
      </c>
      <c r="S79" s="3">
        <f>TABL1234[[#This Row],[T/B-CON.]]+TABL1234[[#This Row],[S/S_CON.]]</f>
        <v/>
      </c>
      <c r="T79" s="3">
        <f>TABL1234[[#This Row],[(S/S) AJD]]+TABL1234[[#This Row],[(T/B) AJD]]</f>
        <v/>
      </c>
      <c r="U79" s="41" t="n"/>
      <c r="V79" s="41" t="n"/>
      <c r="W79" s="3">
        <f>TABL1234[[#This Row],[(A/B) AJD]]+TABL1234[[#This Row],[(A/S) AJD]]</f>
        <v/>
      </c>
      <c r="X79" s="3">
        <f>TABL1234[[#This Row],[( S/S+T/B) AJD]]-TABL1234[[#This Row],[(A/B + A/S) AJD]]</f>
        <v/>
      </c>
      <c r="Y79" s="41" t="n"/>
      <c r="Z79" s="43" t="n"/>
      <c r="AA79" s="3">
        <f>TABL1234[[#This Row],[(RESV. STORGE) AJD]]/10</f>
        <v/>
      </c>
      <c r="AB79" s="3">
        <f>IF(TRIM(Z79)="",,(Z79-Z78)/1000)</f>
        <v/>
      </c>
      <c r="AC79" s="5" t="n"/>
      <c r="AD79" s="39">
        <f>TABL1234[[#This Row],[( S/S+T/B) AJD]]-(TABL1234[[#This Row],[(A/B + A/S) AJD]]+(TABL1234[[#This Row],[(STORGE DIFF.) AJD]]*1000)+TABL1234[[#This Row],[AJD_Evaporation]])</f>
        <v/>
      </c>
      <c r="AE79" s="41" t="n"/>
      <c r="AF79" s="43" t="n"/>
      <c r="AG79" s="43" t="n"/>
      <c r="AH79" s="6" t="n"/>
      <c r="AI79" s="43" t="n"/>
      <c r="AJ79" s="43">
        <f>TABL1234[[#This Row],[(A/B) AJD]]-TABL1234[[#This Row],[BER_IN]]</f>
        <v/>
      </c>
      <c r="AK79" s="43" t="n"/>
      <c r="AL79" s="43" t="n"/>
      <c r="AM79" s="32" t="n"/>
      <c r="AN79" s="32">
        <f>TABL1234[[#This Row],[ (RESV. STORGE) SER]]/10</f>
        <v/>
      </c>
      <c r="AO79" s="68" t="n"/>
      <c r="AP79" s="68">
        <f>TABL1234[[#This Row],[(A/S) AJD]]-TABL1234[[#This Row],[SER_IN]]</f>
        <v/>
      </c>
    </row>
    <row r="80" ht="18.75" customHeight="1">
      <c r="A80" s="2" t="n">
        <v>46466</v>
      </c>
      <c r="B80" s="44" t="n"/>
      <c r="C80" s="44" t="n"/>
      <c r="D80" s="44" t="n"/>
      <c r="E80" s="28" t="n"/>
      <c r="F80" s="44" t="n"/>
      <c r="G80" s="40" t="n"/>
      <c r="H80" s="28">
        <f>103-F80</f>
        <v/>
      </c>
      <c r="I80" s="40" t="n"/>
      <c r="J80" s="44" t="n"/>
      <c r="K80" s="28">
        <f>TABL1234[[#This Row],[ (T/B) SAR]]+TABL1234[[#This Row],[ (S/S) SAR]]</f>
        <v/>
      </c>
      <c r="L80" s="45" t="n"/>
      <c r="M80" s="46" t="n"/>
      <c r="N80" s="46" t="n"/>
      <c r="O80" s="40" t="n"/>
      <c r="P80" s="3">
        <f>TABL1234[[#This Row],[ (S/S) SAR]]-TABL1234[[#This Row],[(S/S) AJD]]</f>
        <v/>
      </c>
      <c r="Q80" s="40" t="n"/>
      <c r="R80" s="3">
        <f>TABL1234[[#This Row],[ (T/B) SAR]]-TABL1234[[#This Row],[(T/B) AJD]]</f>
        <v/>
      </c>
      <c r="S80" s="3">
        <f>TABL1234[[#This Row],[T/B-CON.]]+TABL1234[[#This Row],[S/S_CON.]]</f>
        <v/>
      </c>
      <c r="T80" s="3">
        <f>TABL1234[[#This Row],[(S/S) AJD]]+TABL1234[[#This Row],[(T/B) AJD]]</f>
        <v/>
      </c>
      <c r="U80" s="44" t="n"/>
      <c r="V80" s="44" t="n"/>
      <c r="W80" s="3">
        <f>TABL1234[[#This Row],[(A/B) AJD]]+TABL1234[[#This Row],[(A/S) AJD]]</f>
        <v/>
      </c>
      <c r="X80" s="3">
        <f>TABL1234[[#This Row],[( S/S+T/B) AJD]]-TABL1234[[#This Row],[(A/B + A/S) AJD]]</f>
        <v/>
      </c>
      <c r="Y80" s="44" t="n"/>
      <c r="Z80" s="45" t="n"/>
      <c r="AA80" s="3">
        <f>TABL1234[[#This Row],[(RESV. STORGE) AJD]]/10</f>
        <v/>
      </c>
      <c r="AB80" s="3">
        <f>IF(TRIM(Z80)="",,(Z80-Z79)/1000)</f>
        <v/>
      </c>
      <c r="AC80" s="5" t="n"/>
      <c r="AD80" s="40">
        <f>TABL1234[[#This Row],[( S/S+T/B) AJD]]-(TABL1234[[#This Row],[(A/B + A/S) AJD]]+(TABL1234[[#This Row],[(STORGE DIFF.) AJD]]*1000)+TABL1234[[#This Row],[AJD_Evaporation]])</f>
        <v/>
      </c>
      <c r="AE80" s="44" t="n"/>
      <c r="AF80" s="45" t="n"/>
      <c r="AG80" s="45" t="n"/>
      <c r="AH80" s="6" t="n"/>
      <c r="AI80" s="45" t="n"/>
      <c r="AJ80" s="45">
        <f>TABL1234[[#This Row],[(A/B) AJD]]-TABL1234[[#This Row],[BER_IN]]</f>
        <v/>
      </c>
      <c r="AK80" s="45" t="n"/>
      <c r="AL80" s="45" t="n"/>
      <c r="AM80" s="32" t="n"/>
      <c r="AN80" s="32">
        <f>TABL1234[[#This Row],[ (RESV. STORGE) SER]]/10</f>
        <v/>
      </c>
      <c r="AO80" s="68" t="n"/>
      <c r="AP80" s="68">
        <f>TABL1234[[#This Row],[(A/S) AJD]]-TABL1234[[#This Row],[SER_IN]]</f>
        <v/>
      </c>
    </row>
    <row r="81" ht="18.75" customHeight="1">
      <c r="A81" s="2" t="n">
        <v>46467</v>
      </c>
      <c r="B81" s="41" t="n"/>
      <c r="C81" s="41" t="n"/>
      <c r="D81" s="41" t="n"/>
      <c r="E81" s="28" t="n"/>
      <c r="F81" s="41" t="n"/>
      <c r="G81" s="39" t="n"/>
      <c r="H81" s="28">
        <f>103-F81</f>
        <v/>
      </c>
      <c r="I81" s="39" t="n"/>
      <c r="J81" s="39" t="n"/>
      <c r="K81" s="28">
        <f>TABL1234[[#This Row],[ (T/B) SAR]]+TABL1234[[#This Row],[ (S/S) SAR]]</f>
        <v/>
      </c>
      <c r="L81" s="41" t="n"/>
      <c r="M81" s="42" t="n"/>
      <c r="N81" s="42" t="n"/>
      <c r="O81" s="39" t="n"/>
      <c r="P81" s="3">
        <f>TABL1234[[#This Row],[ (S/S) SAR]]-TABL1234[[#This Row],[(S/S) AJD]]</f>
        <v/>
      </c>
      <c r="Q81" s="39" t="n"/>
      <c r="R81" s="3">
        <f>TABL1234[[#This Row],[ (T/B) SAR]]-TABL1234[[#This Row],[(T/B) AJD]]</f>
        <v/>
      </c>
      <c r="S81" s="3">
        <f>TABL1234[[#This Row],[T/B-CON.]]+TABL1234[[#This Row],[S/S_CON.]]</f>
        <v/>
      </c>
      <c r="T81" s="3">
        <f>TABL1234[[#This Row],[(S/S) AJD]]+TABL1234[[#This Row],[(T/B) AJD]]</f>
        <v/>
      </c>
      <c r="U81" s="41" t="n"/>
      <c r="V81" s="41" t="n"/>
      <c r="W81" s="3">
        <f>TABL1234[[#This Row],[(A/B) AJD]]+TABL1234[[#This Row],[(A/S) AJD]]</f>
        <v/>
      </c>
      <c r="X81" s="3">
        <f>TABL1234[[#This Row],[( S/S+T/B) AJD]]-TABL1234[[#This Row],[(A/B + A/S) AJD]]</f>
        <v/>
      </c>
      <c r="Y81" s="41" t="n"/>
      <c r="Z81" s="43" t="n"/>
      <c r="AA81" s="3">
        <f>TABL1234[[#This Row],[(RESV. STORGE) AJD]]/10</f>
        <v/>
      </c>
      <c r="AB81" s="3">
        <f>IF(TRIM(Z81)="",,(Z81-Z80)/1000)</f>
        <v/>
      </c>
      <c r="AC81" s="5" t="n"/>
      <c r="AD81" s="39">
        <f>TABL1234[[#This Row],[( S/S+T/B) AJD]]-(TABL1234[[#This Row],[(A/B + A/S) AJD]]+(TABL1234[[#This Row],[(STORGE DIFF.) AJD]]*1000)+TABL1234[[#This Row],[AJD_Evaporation]])</f>
        <v/>
      </c>
      <c r="AE81" s="41" t="n"/>
      <c r="AF81" s="43" t="n"/>
      <c r="AG81" s="43" t="n"/>
      <c r="AH81" s="6" t="n"/>
      <c r="AI81" s="43" t="n"/>
      <c r="AJ81" s="43">
        <f>TABL1234[[#This Row],[(A/B) AJD]]-TABL1234[[#This Row],[BER_IN]]</f>
        <v/>
      </c>
      <c r="AK81" s="43" t="n"/>
      <c r="AL81" s="43" t="n"/>
      <c r="AM81" s="32" t="n"/>
      <c r="AN81" s="32">
        <f>TABL1234[[#This Row],[ (RESV. STORGE) SER]]/10</f>
        <v/>
      </c>
      <c r="AO81" s="68" t="n"/>
      <c r="AP81" s="68">
        <f>TABL1234[[#This Row],[(A/S) AJD]]-TABL1234[[#This Row],[SER_IN]]</f>
        <v/>
      </c>
    </row>
    <row r="82" ht="18.75" customHeight="1">
      <c r="A82" s="2" t="n">
        <v>46468</v>
      </c>
      <c r="B82" s="44" t="n"/>
      <c r="C82" s="44" t="n"/>
      <c r="D82" s="44" t="n"/>
      <c r="E82" s="28" t="n"/>
      <c r="F82" s="44" t="n"/>
      <c r="G82" s="40" t="n"/>
      <c r="H82" s="28">
        <f>103-F82</f>
        <v/>
      </c>
      <c r="I82" s="40" t="n"/>
      <c r="J82" s="44" t="n"/>
      <c r="K82" s="28">
        <f>TABL1234[[#This Row],[ (T/B) SAR]]+TABL1234[[#This Row],[ (S/S) SAR]]</f>
        <v/>
      </c>
      <c r="L82" s="45" t="n"/>
      <c r="M82" s="46" t="n"/>
      <c r="N82" s="46" t="n"/>
      <c r="O82" s="40" t="n"/>
      <c r="P82" s="3">
        <f>TABL1234[[#This Row],[ (S/S) SAR]]-TABL1234[[#This Row],[(S/S) AJD]]</f>
        <v/>
      </c>
      <c r="Q82" s="40" t="n"/>
      <c r="R82" s="3">
        <f>TABL1234[[#This Row],[ (T/B) SAR]]-TABL1234[[#This Row],[(T/B) AJD]]</f>
        <v/>
      </c>
      <c r="S82" s="3">
        <f>TABL1234[[#This Row],[T/B-CON.]]+TABL1234[[#This Row],[S/S_CON.]]</f>
        <v/>
      </c>
      <c r="T82" s="3">
        <f>TABL1234[[#This Row],[(S/S) AJD]]+TABL1234[[#This Row],[(T/B) AJD]]</f>
        <v/>
      </c>
      <c r="U82" s="44" t="n"/>
      <c r="V82" s="44" t="n"/>
      <c r="W82" s="3">
        <f>TABL1234[[#This Row],[(A/B) AJD]]+TABL1234[[#This Row],[(A/S) AJD]]</f>
        <v/>
      </c>
      <c r="X82" s="3">
        <f>TABL1234[[#This Row],[( S/S+T/B) AJD]]-TABL1234[[#This Row],[(A/B + A/S) AJD]]</f>
        <v/>
      </c>
      <c r="Y82" s="44" t="n"/>
      <c r="Z82" s="45" t="n"/>
      <c r="AA82" s="3">
        <f>TABL1234[[#This Row],[(RESV. STORGE) AJD]]/10</f>
        <v/>
      </c>
      <c r="AB82" s="3">
        <f>IF(TRIM(Z82)="",,(Z82-Z81)/1000)</f>
        <v/>
      </c>
      <c r="AC82" s="5" t="n"/>
      <c r="AD82" s="40">
        <f>TABL1234[[#This Row],[( S/S+T/B) AJD]]-(TABL1234[[#This Row],[(A/B + A/S) AJD]]+(TABL1234[[#This Row],[(STORGE DIFF.) AJD]]*1000)+TABL1234[[#This Row],[AJD_Evaporation]])</f>
        <v/>
      </c>
      <c r="AE82" s="44" t="n"/>
      <c r="AF82" s="45" t="n"/>
      <c r="AG82" s="45" t="n"/>
      <c r="AH82" s="6" t="n"/>
      <c r="AI82" s="45" t="n"/>
      <c r="AJ82" s="45">
        <f>TABL1234[[#This Row],[(A/B) AJD]]-TABL1234[[#This Row],[BER_IN]]</f>
        <v/>
      </c>
      <c r="AK82" s="45" t="n"/>
      <c r="AL82" s="45" t="n"/>
      <c r="AM82" s="32" t="n"/>
      <c r="AN82" s="32">
        <f>TABL1234[[#This Row],[ (RESV. STORGE) SER]]/10</f>
        <v/>
      </c>
      <c r="AO82" s="68" t="n"/>
      <c r="AP82" s="68">
        <f>TABL1234[[#This Row],[(A/S) AJD]]-TABL1234[[#This Row],[SER_IN]]</f>
        <v/>
      </c>
    </row>
    <row r="83" ht="18.75" customHeight="1">
      <c r="A83" s="2" t="n">
        <v>46469</v>
      </c>
      <c r="B83" s="41" t="n"/>
      <c r="C83" s="41" t="n"/>
      <c r="D83" s="41" t="n"/>
      <c r="E83" s="28" t="n"/>
      <c r="F83" s="41" t="n"/>
      <c r="G83" s="39" t="n"/>
      <c r="H83" s="28">
        <f>103-F83</f>
        <v/>
      </c>
      <c r="I83" s="39" t="n"/>
      <c r="J83" s="39" t="n"/>
      <c r="K83" s="28">
        <f>TABL1234[[#This Row],[ (T/B) SAR]]+TABL1234[[#This Row],[ (S/S) SAR]]</f>
        <v/>
      </c>
      <c r="L83" s="41" t="n"/>
      <c r="M83" s="42" t="n"/>
      <c r="N83" s="42" t="n"/>
      <c r="O83" s="39" t="n"/>
      <c r="P83" s="3">
        <f>TABL1234[[#This Row],[ (S/S) SAR]]-TABL1234[[#This Row],[(S/S) AJD]]</f>
        <v/>
      </c>
      <c r="Q83" s="39" t="n"/>
      <c r="R83" s="3">
        <f>TABL1234[[#This Row],[ (T/B) SAR]]-TABL1234[[#This Row],[(T/B) AJD]]</f>
        <v/>
      </c>
      <c r="S83" s="3">
        <f>TABL1234[[#This Row],[T/B-CON.]]+TABL1234[[#This Row],[S/S_CON.]]</f>
        <v/>
      </c>
      <c r="T83" s="3">
        <f>TABL1234[[#This Row],[(S/S) AJD]]+TABL1234[[#This Row],[(T/B) AJD]]</f>
        <v/>
      </c>
      <c r="U83" s="41" t="n"/>
      <c r="V83" s="41" t="n"/>
      <c r="W83" s="3">
        <f>TABL1234[[#This Row],[(A/B) AJD]]+TABL1234[[#This Row],[(A/S) AJD]]</f>
        <v/>
      </c>
      <c r="X83" s="3">
        <f>TABL1234[[#This Row],[( S/S+T/B) AJD]]-TABL1234[[#This Row],[(A/B + A/S) AJD]]</f>
        <v/>
      </c>
      <c r="Y83" s="41" t="n"/>
      <c r="Z83" s="43" t="n"/>
      <c r="AA83" s="3">
        <f>TABL1234[[#This Row],[(RESV. STORGE) AJD]]/10</f>
        <v/>
      </c>
      <c r="AB83" s="3">
        <f>IF(TRIM(Z83)="",,(Z83-Z82)/1000)</f>
        <v/>
      </c>
      <c r="AC83" s="5" t="n"/>
      <c r="AD83" s="39">
        <f>TABL1234[[#This Row],[( S/S+T/B) AJD]]-(TABL1234[[#This Row],[(A/B + A/S) AJD]]+(TABL1234[[#This Row],[(STORGE DIFF.) AJD]]*1000)+TABL1234[[#This Row],[AJD_Evaporation]])</f>
        <v/>
      </c>
      <c r="AE83" s="41" t="n"/>
      <c r="AF83" s="43" t="n"/>
      <c r="AG83" s="43" t="n"/>
      <c r="AH83" s="6" t="n"/>
      <c r="AI83" s="43" t="n"/>
      <c r="AJ83" s="43">
        <f>TABL1234[[#This Row],[(A/B) AJD]]-TABL1234[[#This Row],[BER_IN]]</f>
        <v/>
      </c>
      <c r="AK83" s="43" t="n"/>
      <c r="AL83" s="43" t="n"/>
      <c r="AM83" s="32" t="n"/>
      <c r="AN83" s="32">
        <f>TABL1234[[#This Row],[ (RESV. STORGE) SER]]/10</f>
        <v/>
      </c>
      <c r="AO83" s="68" t="n"/>
      <c r="AP83" s="68">
        <f>TABL1234[[#This Row],[(A/S) AJD]]-TABL1234[[#This Row],[SER_IN]]</f>
        <v/>
      </c>
    </row>
    <row r="84" ht="18.75" customHeight="1">
      <c r="A84" s="2" t="n">
        <v>46470</v>
      </c>
      <c r="B84" s="44" t="n"/>
      <c r="C84" s="44" t="n"/>
      <c r="D84" s="44" t="n"/>
      <c r="E84" s="28" t="n"/>
      <c r="F84" s="44" t="n"/>
      <c r="G84" s="40" t="n"/>
      <c r="H84" s="28">
        <f>103-F84</f>
        <v/>
      </c>
      <c r="I84" s="40" t="n"/>
      <c r="J84" s="44" t="n"/>
      <c r="K84" s="28">
        <f>TABL1234[[#This Row],[ (T/B) SAR]]+TABL1234[[#This Row],[ (S/S) SAR]]</f>
        <v/>
      </c>
      <c r="L84" s="45" t="n"/>
      <c r="M84" s="46" t="n"/>
      <c r="N84" s="46" t="n"/>
      <c r="O84" s="40" t="n"/>
      <c r="P84" s="3">
        <f>TABL1234[[#This Row],[ (S/S) SAR]]-TABL1234[[#This Row],[(S/S) AJD]]</f>
        <v/>
      </c>
      <c r="Q84" s="40" t="n"/>
      <c r="R84" s="3">
        <f>TABL1234[[#This Row],[ (T/B) SAR]]-TABL1234[[#This Row],[(T/B) AJD]]</f>
        <v/>
      </c>
      <c r="S84" s="3">
        <f>TABL1234[[#This Row],[T/B-CON.]]+TABL1234[[#This Row],[S/S_CON.]]</f>
        <v/>
      </c>
      <c r="T84" s="3">
        <f>TABL1234[[#This Row],[(S/S) AJD]]+TABL1234[[#This Row],[(T/B) AJD]]</f>
        <v/>
      </c>
      <c r="U84" s="44" t="n"/>
      <c r="V84" s="44" t="n"/>
      <c r="W84" s="3">
        <f>TABL1234[[#This Row],[(A/B) AJD]]+TABL1234[[#This Row],[(A/S) AJD]]</f>
        <v/>
      </c>
      <c r="X84" s="3">
        <f>TABL1234[[#This Row],[( S/S+T/B) AJD]]-TABL1234[[#This Row],[(A/B + A/S) AJD]]</f>
        <v/>
      </c>
      <c r="Y84" s="44" t="n"/>
      <c r="Z84" s="45" t="n"/>
      <c r="AA84" s="3">
        <f>TABL1234[[#This Row],[(RESV. STORGE) AJD]]/10</f>
        <v/>
      </c>
      <c r="AB84" s="3">
        <f>IF(TRIM(Z84)="",,(Z84-Z83)/1000)</f>
        <v/>
      </c>
      <c r="AC84" s="5" t="n"/>
      <c r="AD84" s="40">
        <f>TABL1234[[#This Row],[( S/S+T/B) AJD]]-(TABL1234[[#This Row],[(A/B + A/S) AJD]]+(TABL1234[[#This Row],[(STORGE DIFF.) AJD]]*1000)+TABL1234[[#This Row],[AJD_Evaporation]])</f>
        <v/>
      </c>
      <c r="AE84" s="44" t="n"/>
      <c r="AF84" s="45" t="n"/>
      <c r="AG84" s="45" t="n"/>
      <c r="AH84" s="6" t="n"/>
      <c r="AI84" s="45" t="n"/>
      <c r="AJ84" s="45">
        <f>TABL1234[[#This Row],[(A/B) AJD]]-TABL1234[[#This Row],[BER_IN]]</f>
        <v/>
      </c>
      <c r="AK84" s="45" t="n"/>
      <c r="AL84" s="45" t="n"/>
      <c r="AM84" s="32" t="n"/>
      <c r="AN84" s="32">
        <f>TABL1234[[#This Row],[ (RESV. STORGE) SER]]/10</f>
        <v/>
      </c>
      <c r="AO84" s="68" t="n"/>
      <c r="AP84" s="68">
        <f>TABL1234[[#This Row],[(A/S) AJD]]-TABL1234[[#This Row],[SER_IN]]</f>
        <v/>
      </c>
    </row>
    <row r="85" ht="18.75" customHeight="1">
      <c r="A85" s="2" t="n">
        <v>46471</v>
      </c>
      <c r="B85" s="41" t="n"/>
      <c r="C85" s="41" t="n"/>
      <c r="D85" s="41" t="n"/>
      <c r="E85" s="28" t="n"/>
      <c r="F85" s="41" t="n"/>
      <c r="G85" s="39" t="n"/>
      <c r="H85" s="28">
        <f>103-F85</f>
        <v/>
      </c>
      <c r="I85" s="39" t="n"/>
      <c r="J85" s="39" t="n"/>
      <c r="K85" s="28">
        <f>TABL1234[[#This Row],[ (T/B) SAR]]+TABL1234[[#This Row],[ (S/S) SAR]]</f>
        <v/>
      </c>
      <c r="L85" s="41" t="n"/>
      <c r="M85" s="42" t="n"/>
      <c r="N85" s="42" t="n"/>
      <c r="O85" s="39" t="n"/>
      <c r="P85" s="3">
        <f>TABL1234[[#This Row],[ (S/S) SAR]]-TABL1234[[#This Row],[(S/S) AJD]]</f>
        <v/>
      </c>
      <c r="Q85" s="39" t="n"/>
      <c r="R85" s="3">
        <f>TABL1234[[#This Row],[ (T/B) SAR]]-TABL1234[[#This Row],[(T/B) AJD]]</f>
        <v/>
      </c>
      <c r="S85" s="3">
        <f>TABL1234[[#This Row],[T/B-CON.]]+TABL1234[[#This Row],[S/S_CON.]]</f>
        <v/>
      </c>
      <c r="T85" s="3">
        <f>TABL1234[[#This Row],[(S/S) AJD]]+TABL1234[[#This Row],[(T/B) AJD]]</f>
        <v/>
      </c>
      <c r="U85" s="41" t="n"/>
      <c r="V85" s="41" t="n"/>
      <c r="W85" s="3">
        <f>TABL1234[[#This Row],[(A/B) AJD]]+TABL1234[[#This Row],[(A/S) AJD]]</f>
        <v/>
      </c>
      <c r="X85" s="3">
        <f>TABL1234[[#This Row],[( S/S+T/B) AJD]]-TABL1234[[#This Row],[(A/B + A/S) AJD]]</f>
        <v/>
      </c>
      <c r="Y85" s="41" t="n"/>
      <c r="Z85" s="43" t="n"/>
      <c r="AA85" s="3">
        <f>TABL1234[[#This Row],[(RESV. STORGE) AJD]]/10</f>
        <v/>
      </c>
      <c r="AB85" s="3">
        <f>IF(TRIM(Z85)="",,(Z85-Z84)/1000)</f>
        <v/>
      </c>
      <c r="AC85" s="5" t="n"/>
      <c r="AD85" s="39">
        <f>TABL1234[[#This Row],[( S/S+T/B) AJD]]-(TABL1234[[#This Row],[(A/B + A/S) AJD]]+(TABL1234[[#This Row],[(STORGE DIFF.) AJD]]*1000)+TABL1234[[#This Row],[AJD_Evaporation]])</f>
        <v/>
      </c>
      <c r="AE85" s="41" t="n"/>
      <c r="AF85" s="43" t="n"/>
      <c r="AG85" s="43" t="n"/>
      <c r="AH85" s="6" t="n"/>
      <c r="AI85" s="43" t="n"/>
      <c r="AJ85" s="43">
        <f>TABL1234[[#This Row],[(A/B) AJD]]-TABL1234[[#This Row],[BER_IN]]</f>
        <v/>
      </c>
      <c r="AK85" s="43" t="n"/>
      <c r="AL85" s="43" t="n"/>
      <c r="AM85" s="32" t="n"/>
      <c r="AN85" s="32">
        <f>TABL1234[[#This Row],[ (RESV. STORGE) SER]]/10</f>
        <v/>
      </c>
      <c r="AO85" s="68" t="n"/>
      <c r="AP85" s="68">
        <f>TABL1234[[#This Row],[(A/S) AJD]]-TABL1234[[#This Row],[SER_IN]]</f>
        <v/>
      </c>
    </row>
    <row r="86" ht="18.75" customHeight="1">
      <c r="A86" s="2" t="n">
        <v>46472</v>
      </c>
      <c r="B86" s="44" t="n"/>
      <c r="C86" s="44" t="n"/>
      <c r="D86" s="44" t="n"/>
      <c r="E86" s="28" t="n"/>
      <c r="F86" s="44" t="n"/>
      <c r="G86" s="40" t="n"/>
      <c r="H86" s="28">
        <f>103-F86</f>
        <v/>
      </c>
      <c r="I86" s="40" t="n"/>
      <c r="J86" s="44" t="n"/>
      <c r="K86" s="28">
        <f>TABL1234[[#This Row],[ (T/B) SAR]]+TABL1234[[#This Row],[ (S/S) SAR]]</f>
        <v/>
      </c>
      <c r="L86" s="45" t="n"/>
      <c r="M86" s="46" t="n"/>
      <c r="N86" s="46" t="n"/>
      <c r="O86" s="40" t="n"/>
      <c r="P86" s="3">
        <f>TABL1234[[#This Row],[ (S/S) SAR]]-TABL1234[[#This Row],[(S/S) AJD]]</f>
        <v/>
      </c>
      <c r="Q86" s="40" t="n"/>
      <c r="R86" s="3">
        <f>TABL1234[[#This Row],[ (T/B) SAR]]-TABL1234[[#This Row],[(T/B) AJD]]</f>
        <v/>
      </c>
      <c r="S86" s="3">
        <f>TABL1234[[#This Row],[T/B-CON.]]+TABL1234[[#This Row],[S/S_CON.]]</f>
        <v/>
      </c>
      <c r="T86" s="3">
        <f>TABL1234[[#This Row],[(S/S) AJD]]+TABL1234[[#This Row],[(T/B) AJD]]</f>
        <v/>
      </c>
      <c r="U86" s="44" t="n"/>
      <c r="V86" s="44" t="n"/>
      <c r="W86" s="3">
        <f>TABL1234[[#This Row],[(A/B) AJD]]+TABL1234[[#This Row],[(A/S) AJD]]</f>
        <v/>
      </c>
      <c r="X86" s="3">
        <f>TABL1234[[#This Row],[( S/S+T/B) AJD]]-TABL1234[[#This Row],[(A/B + A/S) AJD]]</f>
        <v/>
      </c>
      <c r="Y86" s="44" t="n"/>
      <c r="Z86" s="45" t="n"/>
      <c r="AA86" s="3">
        <f>TABL1234[[#This Row],[(RESV. STORGE) AJD]]/10</f>
        <v/>
      </c>
      <c r="AB86" s="3">
        <f>IF(TRIM(Z86)="",,(Z86-Z85)/1000)</f>
        <v/>
      </c>
      <c r="AC86" s="5" t="n"/>
      <c r="AD86" s="40">
        <f>TABL1234[[#This Row],[( S/S+T/B) AJD]]-(TABL1234[[#This Row],[(A/B + A/S) AJD]]+(TABL1234[[#This Row],[(STORGE DIFF.) AJD]]*1000)+TABL1234[[#This Row],[AJD_Evaporation]])</f>
        <v/>
      </c>
      <c r="AE86" s="44" t="n"/>
      <c r="AF86" s="45" t="n"/>
      <c r="AG86" s="45" t="n"/>
      <c r="AH86" s="6" t="n"/>
      <c r="AI86" s="45" t="n"/>
      <c r="AJ86" s="45">
        <f>TABL1234[[#This Row],[(A/B) AJD]]-TABL1234[[#This Row],[BER_IN]]</f>
        <v/>
      </c>
      <c r="AK86" s="45" t="n"/>
      <c r="AL86" s="45" t="n"/>
      <c r="AM86" s="32" t="n"/>
      <c r="AN86" s="32">
        <f>TABL1234[[#This Row],[ (RESV. STORGE) SER]]/10</f>
        <v/>
      </c>
      <c r="AO86" s="68" t="n"/>
      <c r="AP86" s="68">
        <f>TABL1234[[#This Row],[(A/S) AJD]]-TABL1234[[#This Row],[SER_IN]]</f>
        <v/>
      </c>
    </row>
    <row r="87" ht="18.75" customHeight="1">
      <c r="A87" s="2" t="n">
        <v>46473</v>
      </c>
      <c r="B87" s="41" t="n"/>
      <c r="C87" s="41" t="n"/>
      <c r="D87" s="41" t="n"/>
      <c r="E87" s="28" t="n"/>
      <c r="F87" s="41" t="n"/>
      <c r="G87" s="39" t="n"/>
      <c r="H87" s="28">
        <f>103-F87</f>
        <v/>
      </c>
      <c r="I87" s="39" t="n"/>
      <c r="J87" s="39" t="n"/>
      <c r="K87" s="28">
        <f>TABL1234[[#This Row],[ (T/B) SAR]]+TABL1234[[#This Row],[ (S/S) SAR]]</f>
        <v/>
      </c>
      <c r="L87" s="41" t="n"/>
      <c r="M87" s="42" t="n"/>
      <c r="N87" s="42" t="n"/>
      <c r="O87" s="39" t="n"/>
      <c r="P87" s="3">
        <f>TABL1234[[#This Row],[ (S/S) SAR]]-TABL1234[[#This Row],[(S/S) AJD]]</f>
        <v/>
      </c>
      <c r="Q87" s="39" t="n"/>
      <c r="R87" s="3">
        <f>TABL1234[[#This Row],[ (T/B) SAR]]-TABL1234[[#This Row],[(T/B) AJD]]</f>
        <v/>
      </c>
      <c r="S87" s="3">
        <f>TABL1234[[#This Row],[T/B-CON.]]+TABL1234[[#This Row],[S/S_CON.]]</f>
        <v/>
      </c>
      <c r="T87" s="3">
        <f>TABL1234[[#This Row],[(S/S) AJD]]+TABL1234[[#This Row],[(T/B) AJD]]</f>
        <v/>
      </c>
      <c r="U87" s="41" t="n"/>
      <c r="V87" s="41" t="n"/>
      <c r="W87" s="3">
        <f>TABL1234[[#This Row],[(A/B) AJD]]+TABL1234[[#This Row],[(A/S) AJD]]</f>
        <v/>
      </c>
      <c r="X87" s="3">
        <f>TABL1234[[#This Row],[( S/S+T/B) AJD]]-TABL1234[[#This Row],[(A/B + A/S) AJD]]</f>
        <v/>
      </c>
      <c r="Y87" s="41" t="n"/>
      <c r="Z87" s="43" t="n"/>
      <c r="AA87" s="3">
        <f>TABL1234[[#This Row],[(RESV. STORGE) AJD]]/10</f>
        <v/>
      </c>
      <c r="AB87" s="3">
        <f>IF(TRIM(Z87)="",,(Z87-Z86)/1000)</f>
        <v/>
      </c>
      <c r="AC87" s="5" t="n"/>
      <c r="AD87" s="39">
        <f>TABL1234[[#This Row],[( S/S+T/B) AJD]]-(TABL1234[[#This Row],[(A/B + A/S) AJD]]+(TABL1234[[#This Row],[(STORGE DIFF.) AJD]]*1000)+TABL1234[[#This Row],[AJD_Evaporation]])</f>
        <v/>
      </c>
      <c r="AE87" s="41" t="n"/>
      <c r="AF87" s="43" t="n"/>
      <c r="AG87" s="43" t="n"/>
      <c r="AH87" s="6" t="n"/>
      <c r="AI87" s="43" t="n"/>
      <c r="AJ87" s="43">
        <f>TABL1234[[#This Row],[(A/B) AJD]]-TABL1234[[#This Row],[BER_IN]]</f>
        <v/>
      </c>
      <c r="AK87" s="43" t="n"/>
      <c r="AL87" s="43" t="n"/>
      <c r="AM87" s="32" t="n"/>
      <c r="AN87" s="32">
        <f>TABL1234[[#This Row],[ (RESV. STORGE) SER]]/10</f>
        <v/>
      </c>
      <c r="AO87" s="68" t="n"/>
      <c r="AP87" s="68">
        <f>TABL1234[[#This Row],[(A/S) AJD]]-TABL1234[[#This Row],[SER_IN]]</f>
        <v/>
      </c>
    </row>
    <row r="88" ht="18.75" customHeight="1">
      <c r="A88" s="2" t="n">
        <v>46474</v>
      </c>
      <c r="B88" s="44" t="n"/>
      <c r="C88" s="44" t="n"/>
      <c r="D88" s="44" t="n"/>
      <c r="E88" s="28" t="n"/>
      <c r="F88" s="44" t="n"/>
      <c r="G88" s="40" t="n"/>
      <c r="H88" s="28">
        <f>103-F88</f>
        <v/>
      </c>
      <c r="I88" s="40" t="n"/>
      <c r="J88" s="44" t="n"/>
      <c r="K88" s="28">
        <f>TABL1234[[#This Row],[ (T/B) SAR]]+TABL1234[[#This Row],[ (S/S) SAR]]</f>
        <v/>
      </c>
      <c r="L88" s="45" t="n"/>
      <c r="M88" s="46" t="n"/>
      <c r="N88" s="46" t="n"/>
      <c r="O88" s="40" t="n"/>
      <c r="P88" s="3">
        <f>TABL1234[[#This Row],[ (S/S) SAR]]-TABL1234[[#This Row],[(S/S) AJD]]</f>
        <v/>
      </c>
      <c r="Q88" s="40" t="n"/>
      <c r="R88" s="3">
        <f>TABL1234[[#This Row],[ (T/B) SAR]]-TABL1234[[#This Row],[(T/B) AJD]]</f>
        <v/>
      </c>
      <c r="S88" s="3">
        <f>TABL1234[[#This Row],[T/B-CON.]]+TABL1234[[#This Row],[S/S_CON.]]</f>
        <v/>
      </c>
      <c r="T88" s="3">
        <f>TABL1234[[#This Row],[(S/S) AJD]]+TABL1234[[#This Row],[(T/B) AJD]]</f>
        <v/>
      </c>
      <c r="U88" s="44" t="n"/>
      <c r="V88" s="44" t="n"/>
      <c r="W88" s="3">
        <f>TABL1234[[#This Row],[(A/B) AJD]]+TABL1234[[#This Row],[(A/S) AJD]]</f>
        <v/>
      </c>
      <c r="X88" s="3">
        <f>TABL1234[[#This Row],[( S/S+T/B) AJD]]-TABL1234[[#This Row],[(A/B + A/S) AJD]]</f>
        <v/>
      </c>
      <c r="Y88" s="44" t="n"/>
      <c r="Z88" s="45" t="n"/>
      <c r="AA88" s="3">
        <f>TABL1234[[#This Row],[(RESV. STORGE) AJD]]/10</f>
        <v/>
      </c>
      <c r="AB88" s="3">
        <f>IF(TRIM(Z88)="",,(Z88-Z87)/1000)</f>
        <v/>
      </c>
      <c r="AC88" s="5" t="n"/>
      <c r="AD88" s="40">
        <f>TABL1234[[#This Row],[( S/S+T/B) AJD]]-(TABL1234[[#This Row],[(A/B + A/S) AJD]]+(TABL1234[[#This Row],[(STORGE DIFF.) AJD]]*1000)+TABL1234[[#This Row],[AJD_Evaporation]])</f>
        <v/>
      </c>
      <c r="AE88" s="44" t="n"/>
      <c r="AF88" s="45" t="n"/>
      <c r="AG88" s="45" t="n"/>
      <c r="AH88" s="6" t="n"/>
      <c r="AI88" s="45" t="n"/>
      <c r="AJ88" s="45">
        <f>TABL1234[[#This Row],[(A/B) AJD]]-TABL1234[[#This Row],[BER_IN]]</f>
        <v/>
      </c>
      <c r="AK88" s="45" t="n"/>
      <c r="AL88" s="45" t="n"/>
      <c r="AM88" s="32" t="n"/>
      <c r="AN88" s="32">
        <f>TABL1234[[#This Row],[ (RESV. STORGE) SER]]/10</f>
        <v/>
      </c>
      <c r="AO88" s="68" t="n"/>
      <c r="AP88" s="68">
        <f>TABL1234[[#This Row],[(A/S) AJD]]-TABL1234[[#This Row],[SER_IN]]</f>
        <v/>
      </c>
    </row>
    <row r="89" ht="18.75" customHeight="1">
      <c r="A89" s="2" t="n">
        <v>46475</v>
      </c>
      <c r="B89" s="41" t="n"/>
      <c r="C89" s="41" t="n"/>
      <c r="D89" s="41" t="n"/>
      <c r="E89" s="28" t="n"/>
      <c r="F89" s="41" t="n"/>
      <c r="G89" s="39" t="n"/>
      <c r="H89" s="28">
        <f>103-F89</f>
        <v/>
      </c>
      <c r="I89" s="39" t="n"/>
      <c r="J89" s="39" t="n"/>
      <c r="K89" s="28">
        <f>TABL1234[[#This Row],[ (T/B) SAR]]+TABL1234[[#This Row],[ (S/S) SAR]]</f>
        <v/>
      </c>
      <c r="L89" s="41" t="n"/>
      <c r="M89" s="42" t="n"/>
      <c r="N89" s="42" t="n"/>
      <c r="O89" s="39" t="n"/>
      <c r="P89" s="3">
        <f>TABL1234[[#This Row],[ (S/S) SAR]]-TABL1234[[#This Row],[(S/S) AJD]]</f>
        <v/>
      </c>
      <c r="Q89" s="39" t="n"/>
      <c r="R89" s="3">
        <f>TABL1234[[#This Row],[ (T/B) SAR]]-TABL1234[[#This Row],[(T/B) AJD]]</f>
        <v/>
      </c>
      <c r="S89" s="3">
        <f>TABL1234[[#This Row],[T/B-CON.]]+TABL1234[[#This Row],[S/S_CON.]]</f>
        <v/>
      </c>
      <c r="T89" s="3">
        <f>TABL1234[[#This Row],[(S/S) AJD]]+TABL1234[[#This Row],[(T/B) AJD]]</f>
        <v/>
      </c>
      <c r="U89" s="41" t="n"/>
      <c r="V89" s="41" t="n"/>
      <c r="W89" s="3">
        <f>TABL1234[[#This Row],[(A/B) AJD]]+TABL1234[[#This Row],[(A/S) AJD]]</f>
        <v/>
      </c>
      <c r="X89" s="3">
        <f>TABL1234[[#This Row],[( S/S+T/B) AJD]]-TABL1234[[#This Row],[(A/B + A/S) AJD]]</f>
        <v/>
      </c>
      <c r="Y89" s="41" t="n"/>
      <c r="Z89" s="43" t="n"/>
      <c r="AA89" s="3">
        <f>TABL1234[[#This Row],[(RESV. STORGE) AJD]]/10</f>
        <v/>
      </c>
      <c r="AB89" s="3">
        <f>IF(TRIM(Z89)="",,(Z89-Z88)/1000)</f>
        <v/>
      </c>
      <c r="AC89" s="5" t="n"/>
      <c r="AD89" s="39">
        <f>TABL1234[[#This Row],[( S/S+T/B) AJD]]-(TABL1234[[#This Row],[(A/B + A/S) AJD]]+(TABL1234[[#This Row],[(STORGE DIFF.) AJD]]*1000)+TABL1234[[#This Row],[AJD_Evaporation]])</f>
        <v/>
      </c>
      <c r="AE89" s="41" t="n"/>
      <c r="AF89" s="43" t="n"/>
      <c r="AG89" s="43" t="n"/>
      <c r="AH89" s="6" t="n"/>
      <c r="AI89" s="43" t="n"/>
      <c r="AJ89" s="43">
        <f>TABL1234[[#This Row],[(A/B) AJD]]-TABL1234[[#This Row],[BER_IN]]</f>
        <v/>
      </c>
      <c r="AK89" s="43" t="n"/>
      <c r="AL89" s="43" t="n"/>
      <c r="AM89" s="32" t="n"/>
      <c r="AN89" s="32">
        <f>TABL1234[[#This Row],[ (RESV. STORGE) SER]]/10</f>
        <v/>
      </c>
      <c r="AO89" s="68" t="n"/>
      <c r="AP89" s="68">
        <f>TABL1234[[#This Row],[(A/S) AJD]]-TABL1234[[#This Row],[SER_IN]]</f>
        <v/>
      </c>
    </row>
    <row r="90" ht="18.75" customHeight="1">
      <c r="A90" s="2" t="n">
        <v>46476</v>
      </c>
      <c r="B90" s="44" t="n"/>
      <c r="C90" s="44" t="n"/>
      <c r="D90" s="44" t="n"/>
      <c r="E90" s="28" t="n"/>
      <c r="F90" s="44" t="n"/>
      <c r="G90" s="40" t="n"/>
      <c r="H90" s="28">
        <f>103-F90</f>
        <v/>
      </c>
      <c r="I90" s="40" t="n"/>
      <c r="J90" s="44" t="n"/>
      <c r="K90" s="28">
        <f>TABL1234[[#This Row],[ (T/B) SAR]]+TABL1234[[#This Row],[ (S/S) SAR]]</f>
        <v/>
      </c>
      <c r="L90" s="45" t="n"/>
      <c r="M90" s="46" t="n"/>
      <c r="N90" s="46" t="n"/>
      <c r="O90" s="40" t="n"/>
      <c r="P90" s="3">
        <f>TABL1234[[#This Row],[ (S/S) SAR]]-TABL1234[[#This Row],[(S/S) AJD]]</f>
        <v/>
      </c>
      <c r="Q90" s="40" t="n"/>
      <c r="R90" s="3">
        <f>TABL1234[[#This Row],[ (T/B) SAR]]-TABL1234[[#This Row],[(T/B) AJD]]</f>
        <v/>
      </c>
      <c r="S90" s="3">
        <f>TABL1234[[#This Row],[T/B-CON.]]+TABL1234[[#This Row],[S/S_CON.]]</f>
        <v/>
      </c>
      <c r="T90" s="3">
        <f>TABL1234[[#This Row],[(S/S) AJD]]+TABL1234[[#This Row],[(T/B) AJD]]</f>
        <v/>
      </c>
      <c r="U90" s="44" t="n"/>
      <c r="V90" s="44" t="n"/>
      <c r="W90" s="3">
        <f>TABL1234[[#This Row],[(A/B) AJD]]+TABL1234[[#This Row],[(A/S) AJD]]</f>
        <v/>
      </c>
      <c r="X90" s="3">
        <f>TABL1234[[#This Row],[( S/S+T/B) AJD]]-TABL1234[[#This Row],[(A/B + A/S) AJD]]</f>
        <v/>
      </c>
      <c r="Y90" s="44" t="n"/>
      <c r="Z90" s="45" t="n"/>
      <c r="AA90" s="3">
        <f>TABL1234[[#This Row],[(RESV. STORGE) AJD]]/10</f>
        <v/>
      </c>
      <c r="AB90" s="3">
        <f>IF(TRIM(Z90)="",,(Z90-Z89)/1000)</f>
        <v/>
      </c>
      <c r="AC90" s="5" t="n"/>
      <c r="AD90" s="70">
        <f>TABL1234[[#This Row],[( S/S+T/B) AJD]]-(TABL1234[[#This Row],[(A/B + A/S) AJD]]+(TABL1234[[#This Row],[(STORGE DIFF.) AJD]]*1000)+TABL1234[[#This Row],[AJD_Evaporation]])</f>
        <v/>
      </c>
      <c r="AE90" s="44" t="n"/>
      <c r="AF90" s="45" t="n"/>
      <c r="AG90" s="45" t="n"/>
      <c r="AH90" s="6" t="n"/>
      <c r="AI90" s="45" t="n"/>
      <c r="AJ90" s="90">
        <f>TABL1234[[#This Row],[(A/B) AJD]]-TABL1234[[#This Row],[BER_IN]]</f>
        <v/>
      </c>
      <c r="AK90" s="45" t="n"/>
      <c r="AL90" s="45" t="n"/>
      <c r="AM90" s="32" t="n"/>
      <c r="AN90" s="32">
        <f>TABL1234[[#This Row],[ (RESV. STORGE) SER]]/10</f>
        <v/>
      </c>
      <c r="AO90" s="68" t="n"/>
      <c r="AP90" s="68">
        <f>TABL1234[[#This Row],[(A/S) AJD]]-TABL1234[[#This Row],[SER_IN]]</f>
        <v/>
      </c>
    </row>
    <row r="91" ht="18.75" customHeight="1">
      <c r="A91" s="2" t="n">
        <v>46477</v>
      </c>
      <c r="B91" s="41" t="n"/>
      <c r="C91" s="41" t="n"/>
      <c r="D91" s="41" t="n"/>
      <c r="E91" s="28" t="n"/>
      <c r="F91" s="41" t="n"/>
      <c r="G91" s="39" t="n"/>
      <c r="H91" s="28">
        <f>103-F91</f>
        <v/>
      </c>
      <c r="I91" s="39" t="n"/>
      <c r="J91" s="39" t="n"/>
      <c r="K91" s="28">
        <f>TABL1234[[#This Row],[ (T/B) SAR]]+TABL1234[[#This Row],[ (S/S) SAR]]</f>
        <v/>
      </c>
      <c r="L91" s="41" t="n"/>
      <c r="M91" s="42" t="n"/>
      <c r="N91" s="42" t="n"/>
      <c r="O91" s="39" t="n"/>
      <c r="P91" s="3">
        <f>TABL1234[[#This Row],[ (S/S) SAR]]-TABL1234[[#This Row],[(S/S) AJD]]</f>
        <v/>
      </c>
      <c r="Q91" s="39" t="n"/>
      <c r="R91" s="3">
        <f>TABL1234[[#This Row],[ (T/B) SAR]]-TABL1234[[#This Row],[(T/B) AJD]]</f>
        <v/>
      </c>
      <c r="S91" s="3">
        <f>TABL1234[[#This Row],[T/B-CON.]]+TABL1234[[#This Row],[S/S_CON.]]</f>
        <v/>
      </c>
      <c r="T91" s="3">
        <f>TABL1234[[#This Row],[(S/S) AJD]]+TABL1234[[#This Row],[(T/B) AJD]]</f>
        <v/>
      </c>
      <c r="U91" s="41" t="n"/>
      <c r="V91" s="41" t="n"/>
      <c r="W91" s="3">
        <f>TABL1234[[#This Row],[(A/B) AJD]]+TABL1234[[#This Row],[(A/S) AJD]]</f>
        <v/>
      </c>
      <c r="X91" s="3">
        <f>TABL1234[[#This Row],[( S/S+T/B) AJD]]-TABL1234[[#This Row],[(A/B + A/S) AJD]]</f>
        <v/>
      </c>
      <c r="Y91" s="41" t="n"/>
      <c r="Z91" s="43" t="n"/>
      <c r="AA91" s="3">
        <f>TABL1234[[#This Row],[(RESV. STORGE) AJD]]/10</f>
        <v/>
      </c>
      <c r="AB91" s="3">
        <f>IF(TRIM(Z91)="",,(Z91-Z90)/1000)</f>
        <v/>
      </c>
      <c r="AC91" s="5" t="n"/>
      <c r="AD91" s="39">
        <f>TABL1234[[#This Row],[( S/S+T/B) AJD]]-(TABL1234[[#This Row],[(A/B + A/S) AJD]]+(TABL1234[[#This Row],[(STORGE DIFF.) AJD]]*1000)+TABL1234[[#This Row],[AJD_Evaporation]])</f>
        <v/>
      </c>
      <c r="AE91" s="41" t="n"/>
      <c r="AF91" s="43" t="n"/>
      <c r="AG91" s="43" t="n"/>
      <c r="AH91" s="6" t="n"/>
      <c r="AI91" s="43" t="n"/>
      <c r="AJ91" s="43">
        <f>TABL1234[[#This Row],[(A/B) AJD]]-TABL1234[[#This Row],[BER_IN]]</f>
        <v/>
      </c>
      <c r="AK91" s="43" t="n"/>
      <c r="AL91" s="43" t="n"/>
      <c r="AM91" s="32" t="n"/>
      <c r="AN91" s="32">
        <f>TABL1234[[#This Row],[ (RESV. STORGE) SER]]/10</f>
        <v/>
      </c>
      <c r="AO91" s="68" t="n"/>
      <c r="AP91" s="68">
        <f>TABL1234[[#This Row],[(A/S) AJD]]-TABL1234[[#This Row],[SER_IN]]</f>
        <v/>
      </c>
    </row>
    <row r="92" ht="18.75" customHeight="1">
      <c r="A92" s="2" t="n">
        <v>46478</v>
      </c>
      <c r="B92" s="41" t="n"/>
      <c r="C92" s="41" t="n"/>
      <c r="D92" s="41" t="n"/>
      <c r="E92" s="41" t="n"/>
      <c r="F92" s="41" t="n"/>
      <c r="G92" s="39" t="n"/>
      <c r="H92" s="28">
        <f>103-F92</f>
        <v/>
      </c>
      <c r="I92" s="39" t="n"/>
      <c r="J92" s="39" t="n"/>
      <c r="K92" s="28">
        <f>TABL1234[[#This Row],[ (T/B) SAR]]+TABL1234[[#This Row],[ (S/S) SAR]]</f>
        <v/>
      </c>
      <c r="L92" s="41" t="n"/>
      <c r="M92" s="42" t="n"/>
      <c r="N92" s="42" t="n"/>
      <c r="O92" s="39" t="n"/>
      <c r="P92" s="3">
        <f>TABL1234[[#This Row],[ (S/S) SAR]]-TABL1234[[#This Row],[(S/S) AJD]]</f>
        <v/>
      </c>
      <c r="Q92" s="39" t="n"/>
      <c r="R92" s="3">
        <f>TABL1234[[#This Row],[ (T/B) SAR]]-TABL1234[[#This Row],[(T/B) AJD]]</f>
        <v/>
      </c>
      <c r="S92" s="3">
        <f>TABL1234[[#This Row],[T/B-CON.]]+TABL1234[[#This Row],[S/S_CON.]]</f>
        <v/>
      </c>
      <c r="T92" s="3">
        <f>TABL1234[[#This Row],[(S/S) AJD]]+TABL1234[[#This Row],[(T/B) AJD]]</f>
        <v/>
      </c>
      <c r="U92" s="41" t="n"/>
      <c r="V92" s="41" t="n"/>
      <c r="W92" s="3">
        <f>TABL1234[[#This Row],[(A/B) AJD]]+TABL1234[[#This Row],[(A/S) AJD]]</f>
        <v/>
      </c>
      <c r="X92" s="3">
        <f>TABL1234[[#This Row],[( S/S+T/B) AJD]]-TABL1234[[#This Row],[(A/B + A/S) AJD]]</f>
        <v/>
      </c>
      <c r="Y92" s="41" t="n"/>
      <c r="Z92" s="43" t="n"/>
      <c r="AA92" s="3">
        <f>TABL1234[[#This Row],[(RESV. STORGE) AJD]]/10</f>
        <v/>
      </c>
      <c r="AB92" s="3">
        <f>IF(TRIM(Z92)="",,(Z92-Z91)/1000)</f>
        <v/>
      </c>
      <c r="AC92" s="5" t="n"/>
      <c r="AD92" s="39">
        <f>TABL1234[[#This Row],[( S/S+T/B) AJD]]-(TABL1234[[#This Row],[(A/B + A/S) AJD]]+(TABL1234[[#This Row],[(STORGE DIFF.) AJD]]*1000)+TABL1234[[#This Row],[AJD_Evaporation]])</f>
        <v/>
      </c>
      <c r="AE92" s="41" t="n"/>
      <c r="AF92" s="43" t="n"/>
      <c r="AG92" s="43" t="n"/>
      <c r="AH92" s="6" t="n"/>
      <c r="AI92" s="43" t="n"/>
      <c r="AJ92" s="43">
        <f>TABL1234[[#This Row],[(A/B) AJD]]-TABL1234[[#This Row],[BER_IN]]</f>
        <v/>
      </c>
      <c r="AK92" s="43" t="n"/>
      <c r="AL92" s="43" t="n"/>
      <c r="AM92" s="32" t="n"/>
      <c r="AN92" s="32">
        <f>TABL1234[[#This Row],[ (RESV. STORGE) SER]]/10</f>
        <v/>
      </c>
      <c r="AO92" s="68" t="n"/>
      <c r="AP92" s="68">
        <f>TABL1234[[#This Row],[(A/S) AJD]]-TABL1234[[#This Row],[SER_IN]]</f>
        <v/>
      </c>
    </row>
    <row r="93" ht="18.75" customHeight="1">
      <c r="A93" s="2" t="n">
        <v>46479</v>
      </c>
      <c r="B93" s="44" t="n"/>
      <c r="C93" s="44" t="n"/>
      <c r="D93" s="44" t="n"/>
      <c r="E93" s="44" t="n"/>
      <c r="F93" s="44" t="n"/>
      <c r="G93" s="40" t="n"/>
      <c r="H93" s="28">
        <f>103-F93</f>
        <v/>
      </c>
      <c r="I93" s="40" t="n"/>
      <c r="J93" s="44" t="n"/>
      <c r="K93" s="28">
        <f>TABL1234[[#This Row],[ (T/B) SAR]]+TABL1234[[#This Row],[ (S/S) SAR]]</f>
        <v/>
      </c>
      <c r="L93" s="45" t="n"/>
      <c r="M93" s="46" t="n"/>
      <c r="N93" s="46" t="n"/>
      <c r="O93" s="40" t="n"/>
      <c r="P93" s="3">
        <f>TABL1234[[#This Row],[ (S/S) SAR]]-TABL1234[[#This Row],[(S/S) AJD]]</f>
        <v/>
      </c>
      <c r="Q93" s="40" t="n"/>
      <c r="R93" s="3">
        <f>TABL1234[[#This Row],[ (T/B) SAR]]-TABL1234[[#This Row],[(T/B) AJD]]</f>
        <v/>
      </c>
      <c r="S93" s="3">
        <f>TABL1234[[#This Row],[T/B-CON.]]+TABL1234[[#This Row],[S/S_CON.]]</f>
        <v/>
      </c>
      <c r="T93" s="3">
        <f>TABL1234[[#This Row],[(S/S) AJD]]+TABL1234[[#This Row],[(T/B) AJD]]</f>
        <v/>
      </c>
      <c r="U93" s="44" t="n"/>
      <c r="V93" s="44" t="n"/>
      <c r="W93" s="3">
        <f>TABL1234[[#This Row],[(A/B) AJD]]+TABL1234[[#This Row],[(A/S) AJD]]</f>
        <v/>
      </c>
      <c r="X93" s="3">
        <f>TABL1234[[#This Row],[( S/S+T/B) AJD]]-TABL1234[[#This Row],[(A/B + A/S) AJD]]</f>
        <v/>
      </c>
      <c r="Y93" s="44" t="n"/>
      <c r="Z93" s="45" t="n"/>
      <c r="AA93" s="3">
        <f>TABL1234[[#This Row],[(RESV. STORGE) AJD]]/10</f>
        <v/>
      </c>
      <c r="AB93" s="3">
        <f>IF(TRIM(Z93)="",,(Z93-Z92)/1000)</f>
        <v/>
      </c>
      <c r="AC93" s="5" t="n"/>
      <c r="AD93" s="40">
        <f>TABL1234[[#This Row],[( S/S+T/B) AJD]]-(TABL1234[[#This Row],[(A/B + A/S) AJD]]+(TABL1234[[#This Row],[(STORGE DIFF.) AJD]]*1000)+TABL1234[[#This Row],[AJD_Evaporation]])</f>
        <v/>
      </c>
      <c r="AE93" s="44" t="n"/>
      <c r="AF93" s="45" t="n"/>
      <c r="AG93" s="45" t="n"/>
      <c r="AH93" s="6" t="n"/>
      <c r="AI93" s="45" t="n"/>
      <c r="AJ93" s="45">
        <f>TABL1234[[#This Row],[(A/B) AJD]]-TABL1234[[#This Row],[BER_IN]]</f>
        <v/>
      </c>
      <c r="AK93" s="45" t="n"/>
      <c r="AL93" s="45" t="n"/>
      <c r="AM93" s="32" t="n"/>
      <c r="AN93" s="32">
        <f>TABL1234[[#This Row],[ (RESV. STORGE) SER]]/10</f>
        <v/>
      </c>
      <c r="AO93" s="68" t="n"/>
      <c r="AP93" s="68">
        <f>TABL1234[[#This Row],[(A/S) AJD]]-TABL1234[[#This Row],[SER_IN]]</f>
        <v/>
      </c>
    </row>
    <row r="94" ht="18.75" customHeight="1">
      <c r="A94" s="2" t="n">
        <v>46480</v>
      </c>
      <c r="B94" s="41" t="n"/>
      <c r="C94" s="41" t="n"/>
      <c r="D94" s="41" t="n"/>
      <c r="E94" s="41" t="n"/>
      <c r="F94" s="41" t="n"/>
      <c r="G94" s="39" t="n"/>
      <c r="H94" s="28">
        <f>103-F94</f>
        <v/>
      </c>
      <c r="I94" s="39" t="n"/>
      <c r="J94" s="39" t="n"/>
      <c r="K94" s="28">
        <f>TABL1234[[#This Row],[ (T/B) SAR]]+TABL1234[[#This Row],[ (S/S) SAR]]</f>
        <v/>
      </c>
      <c r="L94" s="41" t="n"/>
      <c r="M94" s="42" t="n"/>
      <c r="N94" s="42" t="n"/>
      <c r="O94" s="39" t="n"/>
      <c r="P94" s="3">
        <f>TABL1234[[#This Row],[ (S/S) SAR]]-TABL1234[[#This Row],[(S/S) AJD]]</f>
        <v/>
      </c>
      <c r="Q94" s="39" t="n"/>
      <c r="R94" s="3">
        <f>TABL1234[[#This Row],[ (T/B) SAR]]-TABL1234[[#This Row],[(T/B) AJD]]</f>
        <v/>
      </c>
      <c r="S94" s="3">
        <f>TABL1234[[#This Row],[T/B-CON.]]+TABL1234[[#This Row],[S/S_CON.]]</f>
        <v/>
      </c>
      <c r="T94" s="3">
        <f>TABL1234[[#This Row],[(S/S) AJD]]+TABL1234[[#This Row],[(T/B) AJD]]</f>
        <v/>
      </c>
      <c r="U94" s="41" t="n"/>
      <c r="V94" s="41" t="n"/>
      <c r="W94" s="3">
        <f>TABL1234[[#This Row],[(A/B) AJD]]+TABL1234[[#This Row],[(A/S) AJD]]</f>
        <v/>
      </c>
      <c r="X94" s="3">
        <f>TABL1234[[#This Row],[( S/S+T/B) AJD]]-TABL1234[[#This Row],[(A/B + A/S) AJD]]</f>
        <v/>
      </c>
      <c r="Y94" s="41" t="n"/>
      <c r="Z94" s="43" t="n"/>
      <c r="AA94" s="3">
        <f>TABL1234[[#This Row],[(RESV. STORGE) AJD]]/10</f>
        <v/>
      </c>
      <c r="AB94" s="3">
        <f>IF(TRIM(Z94)="",,(Z94-Z93)/1000)</f>
        <v/>
      </c>
      <c r="AC94" s="5" t="n"/>
      <c r="AD94" s="39">
        <f>TABL1234[[#This Row],[( S/S+T/B) AJD]]-(TABL1234[[#This Row],[(A/B + A/S) AJD]]+(TABL1234[[#This Row],[(STORGE DIFF.) AJD]]*1000)+TABL1234[[#This Row],[AJD_Evaporation]])</f>
        <v/>
      </c>
      <c r="AE94" s="41" t="n"/>
      <c r="AF94" s="43" t="n"/>
      <c r="AG94" s="43" t="n"/>
      <c r="AH94" s="6" t="n"/>
      <c r="AI94" s="43" t="n"/>
      <c r="AJ94" s="43">
        <f>TABL1234[[#This Row],[(A/B) AJD]]-TABL1234[[#This Row],[BER_IN]]</f>
        <v/>
      </c>
      <c r="AK94" s="43" t="n"/>
      <c r="AL94" s="43" t="n"/>
      <c r="AM94" s="32" t="n"/>
      <c r="AN94" s="32">
        <f>TABL1234[[#This Row],[ (RESV. STORGE) SER]]/10</f>
        <v/>
      </c>
      <c r="AO94" s="68" t="n"/>
      <c r="AP94" s="68">
        <f>TABL1234[[#This Row],[(A/S) AJD]]-TABL1234[[#This Row],[SER_IN]]</f>
        <v/>
      </c>
    </row>
    <row r="95" ht="18.75" customHeight="1">
      <c r="A95" s="2" t="n">
        <v>46481</v>
      </c>
      <c r="B95" s="44" t="n"/>
      <c r="C95" s="44" t="n"/>
      <c r="D95" s="44" t="n"/>
      <c r="E95" s="44" t="n"/>
      <c r="F95" s="44" t="n"/>
      <c r="G95" s="40" t="n"/>
      <c r="H95" s="28">
        <f>103-F95</f>
        <v/>
      </c>
      <c r="I95" s="40" t="n"/>
      <c r="J95" s="44" t="n"/>
      <c r="K95" s="28">
        <f>TABL1234[[#This Row],[ (T/B) SAR]]+TABL1234[[#This Row],[ (S/S) SAR]]</f>
        <v/>
      </c>
      <c r="L95" s="45" t="n"/>
      <c r="M95" s="46" t="n"/>
      <c r="N95" s="46" t="n"/>
      <c r="O95" s="40" t="n"/>
      <c r="P95" s="3">
        <f>TABL1234[[#This Row],[ (S/S) SAR]]-TABL1234[[#This Row],[(S/S) AJD]]</f>
        <v/>
      </c>
      <c r="Q95" s="40" t="n"/>
      <c r="R95" s="3">
        <f>TABL1234[[#This Row],[ (T/B) SAR]]-TABL1234[[#This Row],[(T/B) AJD]]</f>
        <v/>
      </c>
      <c r="S95" s="3">
        <f>TABL1234[[#This Row],[T/B-CON.]]+TABL1234[[#This Row],[S/S_CON.]]</f>
        <v/>
      </c>
      <c r="T95" s="3">
        <f>TABL1234[[#This Row],[(S/S) AJD]]+TABL1234[[#This Row],[(T/B) AJD]]</f>
        <v/>
      </c>
      <c r="U95" s="44" t="n"/>
      <c r="V95" s="44" t="n"/>
      <c r="W95" s="3">
        <f>TABL1234[[#This Row],[(A/B) AJD]]+TABL1234[[#This Row],[(A/S) AJD]]</f>
        <v/>
      </c>
      <c r="X95" s="3">
        <f>TABL1234[[#This Row],[( S/S+T/B) AJD]]-TABL1234[[#This Row],[(A/B + A/S) AJD]]</f>
        <v/>
      </c>
      <c r="Y95" s="44" t="n"/>
      <c r="Z95" s="45" t="n"/>
      <c r="AA95" s="3">
        <f>TABL1234[[#This Row],[(RESV. STORGE) AJD]]/10</f>
        <v/>
      </c>
      <c r="AB95" s="3">
        <f>IF(TRIM(Z95)="",,(Z95-Z94)/1000)</f>
        <v/>
      </c>
      <c r="AC95" s="5" t="n"/>
      <c r="AD95" s="40">
        <f>TABL1234[[#This Row],[( S/S+T/B) AJD]]-(TABL1234[[#This Row],[(A/B + A/S) AJD]]+(TABL1234[[#This Row],[(STORGE DIFF.) AJD]]*1000)+TABL1234[[#This Row],[AJD_Evaporation]])</f>
        <v/>
      </c>
      <c r="AE95" s="44" t="n"/>
      <c r="AF95" s="45" t="n"/>
      <c r="AG95" s="45" t="n"/>
      <c r="AH95" s="6" t="n"/>
      <c r="AI95" s="45" t="n"/>
      <c r="AJ95" s="45">
        <f>TABL1234[[#This Row],[(A/B) AJD]]-TABL1234[[#This Row],[BER_IN]]</f>
        <v/>
      </c>
      <c r="AK95" s="45" t="n"/>
      <c r="AL95" s="45" t="n"/>
      <c r="AM95" s="32" t="n"/>
      <c r="AN95" s="32">
        <f>TABL1234[[#This Row],[ (RESV. STORGE) SER]]/10</f>
        <v/>
      </c>
      <c r="AO95" s="68" t="n"/>
      <c r="AP95" s="68">
        <f>TABL1234[[#This Row],[(A/S) AJD]]-TABL1234[[#This Row],[SER_IN]]</f>
        <v/>
      </c>
    </row>
    <row r="96" ht="18.75" customHeight="1">
      <c r="A96" s="2" t="n">
        <v>46482</v>
      </c>
      <c r="B96" s="41" t="n"/>
      <c r="C96" s="41" t="n"/>
      <c r="D96" s="41" t="n"/>
      <c r="E96" s="41" t="n"/>
      <c r="F96" s="41" t="n"/>
      <c r="G96" s="39" t="n"/>
      <c r="H96" s="28">
        <f>103-F96</f>
        <v/>
      </c>
      <c r="I96" s="39" t="n"/>
      <c r="J96" s="39" t="n"/>
      <c r="K96" s="28">
        <f>TABL1234[[#This Row],[ (T/B) SAR]]+TABL1234[[#This Row],[ (S/S) SAR]]</f>
        <v/>
      </c>
      <c r="L96" s="41" t="n"/>
      <c r="M96" s="42" t="n"/>
      <c r="N96" s="42" t="n"/>
      <c r="O96" s="39" t="n"/>
      <c r="P96" s="3">
        <f>TABL1234[[#This Row],[ (S/S) SAR]]-TABL1234[[#This Row],[(S/S) AJD]]</f>
        <v/>
      </c>
      <c r="Q96" s="39" t="n"/>
      <c r="R96" s="3">
        <f>TABL1234[[#This Row],[ (T/B) SAR]]-TABL1234[[#This Row],[(T/B) AJD]]</f>
        <v/>
      </c>
      <c r="S96" s="3">
        <f>TABL1234[[#This Row],[T/B-CON.]]+TABL1234[[#This Row],[S/S_CON.]]</f>
        <v/>
      </c>
      <c r="T96" s="3">
        <f>TABL1234[[#This Row],[(S/S) AJD]]+TABL1234[[#This Row],[(T/B) AJD]]</f>
        <v/>
      </c>
      <c r="U96" s="41" t="n"/>
      <c r="V96" s="41" t="n"/>
      <c r="W96" s="3">
        <f>TABL1234[[#This Row],[(A/B) AJD]]+TABL1234[[#This Row],[(A/S) AJD]]</f>
        <v/>
      </c>
      <c r="X96" s="3">
        <f>TABL1234[[#This Row],[( S/S+T/B) AJD]]-TABL1234[[#This Row],[(A/B + A/S) AJD]]</f>
        <v/>
      </c>
      <c r="Y96" s="41" t="n"/>
      <c r="Z96" s="43" t="n"/>
      <c r="AA96" s="3">
        <f>TABL1234[[#This Row],[(RESV. STORGE) AJD]]/10</f>
        <v/>
      </c>
      <c r="AB96" s="3">
        <f>IF(TRIM(Z96)="",,(Z96-Z95)/1000)</f>
        <v/>
      </c>
      <c r="AC96" s="5" t="n"/>
      <c r="AD96" s="39">
        <f>TABL1234[[#This Row],[( S/S+T/B) AJD]]-(TABL1234[[#This Row],[(A/B + A/S) AJD]]+(TABL1234[[#This Row],[(STORGE DIFF.) AJD]]*1000)+TABL1234[[#This Row],[AJD_Evaporation]])</f>
        <v/>
      </c>
      <c r="AE96" s="41" t="n"/>
      <c r="AF96" s="43" t="n"/>
      <c r="AG96" s="43" t="n"/>
      <c r="AH96" s="6" t="n"/>
      <c r="AI96" s="43" t="n"/>
      <c r="AJ96" s="43">
        <f>TABL1234[[#This Row],[(A/B) AJD]]-TABL1234[[#This Row],[BER_IN]]</f>
        <v/>
      </c>
      <c r="AK96" s="43" t="n"/>
      <c r="AL96" s="43" t="n"/>
      <c r="AM96" s="32" t="n"/>
      <c r="AN96" s="32">
        <f>TABL1234[[#This Row],[ (RESV. STORGE) SER]]/10</f>
        <v/>
      </c>
      <c r="AO96" s="68" t="n"/>
      <c r="AP96" s="68">
        <f>TABL1234[[#This Row],[(A/S) AJD]]-TABL1234[[#This Row],[SER_IN]]</f>
        <v/>
      </c>
    </row>
    <row r="97" ht="18.75" customHeight="1">
      <c r="A97" s="2" t="n">
        <v>46483</v>
      </c>
      <c r="B97" s="44" t="n"/>
      <c r="C97" s="44" t="n"/>
      <c r="D97" s="44" t="n"/>
      <c r="E97" s="44" t="n"/>
      <c r="F97" s="44" t="n"/>
      <c r="G97" s="40" t="n"/>
      <c r="H97" s="28">
        <f>103-F97</f>
        <v/>
      </c>
      <c r="I97" s="40" t="n"/>
      <c r="J97" s="44" t="n"/>
      <c r="K97" s="28">
        <f>TABL1234[[#This Row],[ (T/B) SAR]]+TABL1234[[#This Row],[ (S/S) SAR]]</f>
        <v/>
      </c>
      <c r="L97" s="45" t="n"/>
      <c r="M97" s="46" t="n"/>
      <c r="N97" s="46" t="n"/>
      <c r="O97" s="40" t="n"/>
      <c r="P97" s="3">
        <f>TABL1234[[#This Row],[ (S/S) SAR]]-TABL1234[[#This Row],[(S/S) AJD]]</f>
        <v/>
      </c>
      <c r="Q97" s="40" t="n"/>
      <c r="R97" s="3">
        <f>TABL1234[[#This Row],[ (T/B) SAR]]-TABL1234[[#This Row],[(T/B) AJD]]</f>
        <v/>
      </c>
      <c r="S97" s="3">
        <f>TABL1234[[#This Row],[T/B-CON.]]+TABL1234[[#This Row],[S/S_CON.]]</f>
        <v/>
      </c>
      <c r="T97" s="3">
        <f>TABL1234[[#This Row],[(S/S) AJD]]+TABL1234[[#This Row],[(T/B) AJD]]</f>
        <v/>
      </c>
      <c r="U97" s="44" t="n"/>
      <c r="V97" s="44" t="n"/>
      <c r="W97" s="3">
        <f>TABL1234[[#This Row],[(A/B) AJD]]+TABL1234[[#This Row],[(A/S) AJD]]</f>
        <v/>
      </c>
      <c r="X97" s="3">
        <f>TABL1234[[#This Row],[( S/S+T/B) AJD]]-TABL1234[[#This Row],[(A/B + A/S) AJD]]</f>
        <v/>
      </c>
      <c r="Y97" s="44" t="n"/>
      <c r="Z97" s="45" t="n"/>
      <c r="AA97" s="3">
        <f>TABL1234[[#This Row],[(RESV. STORGE) AJD]]/10</f>
        <v/>
      </c>
      <c r="AB97" s="3">
        <f>IF(TRIM(Z97)="",,(Z97-Z96)/1000)</f>
        <v/>
      </c>
      <c r="AC97" s="5" t="n"/>
      <c r="AD97" s="40">
        <f>TABL1234[[#This Row],[( S/S+T/B) AJD]]-(TABL1234[[#This Row],[(A/B + A/S) AJD]]+(TABL1234[[#This Row],[(STORGE DIFF.) AJD]]*1000)+TABL1234[[#This Row],[AJD_Evaporation]])</f>
        <v/>
      </c>
      <c r="AE97" s="44" t="n"/>
      <c r="AF97" s="45" t="n"/>
      <c r="AG97" s="45" t="n"/>
      <c r="AH97" s="6" t="n"/>
      <c r="AI97" s="45" t="n"/>
      <c r="AJ97" s="45">
        <f>TABL1234[[#This Row],[(A/B) AJD]]-TABL1234[[#This Row],[BER_IN]]</f>
        <v/>
      </c>
      <c r="AK97" s="45" t="n"/>
      <c r="AL97" s="45" t="n"/>
      <c r="AM97" s="32" t="n"/>
      <c r="AN97" s="32">
        <f>TABL1234[[#This Row],[ (RESV. STORGE) SER]]/10</f>
        <v/>
      </c>
      <c r="AO97" s="68" t="n"/>
      <c r="AP97" s="68">
        <f>TABL1234[[#This Row],[(A/S) AJD]]-TABL1234[[#This Row],[SER_IN]]</f>
        <v/>
      </c>
    </row>
    <row r="98" ht="18.75" customHeight="1">
      <c r="A98" s="2" t="n">
        <v>46484</v>
      </c>
      <c r="B98" s="41" t="n"/>
      <c r="C98" s="41" t="n"/>
      <c r="D98" s="41" t="n"/>
      <c r="E98" s="41" t="n"/>
      <c r="F98" s="41" t="n"/>
      <c r="G98" s="39" t="n"/>
      <c r="H98" s="28">
        <f>103-F98</f>
        <v/>
      </c>
      <c r="I98" s="39" t="n"/>
      <c r="J98" s="39" t="n"/>
      <c r="K98" s="28">
        <f>TABL1234[[#This Row],[ (T/B) SAR]]+TABL1234[[#This Row],[ (S/S) SAR]]</f>
        <v/>
      </c>
      <c r="L98" s="41" t="n"/>
      <c r="M98" s="42" t="n"/>
      <c r="N98" s="42" t="n"/>
      <c r="O98" s="39" t="n"/>
      <c r="P98" s="3">
        <f>TABL1234[[#This Row],[ (S/S) SAR]]-TABL1234[[#This Row],[(S/S) AJD]]</f>
        <v/>
      </c>
      <c r="Q98" s="39" t="n"/>
      <c r="R98" s="3">
        <f>TABL1234[[#This Row],[ (T/B) SAR]]-TABL1234[[#This Row],[(T/B) AJD]]</f>
        <v/>
      </c>
      <c r="S98" s="3">
        <f>TABL1234[[#This Row],[T/B-CON.]]+TABL1234[[#This Row],[S/S_CON.]]</f>
        <v/>
      </c>
      <c r="T98" s="3">
        <f>TABL1234[[#This Row],[(S/S) AJD]]+TABL1234[[#This Row],[(T/B) AJD]]</f>
        <v/>
      </c>
      <c r="U98" s="41" t="n"/>
      <c r="V98" s="41" t="n"/>
      <c r="W98" s="3">
        <f>TABL1234[[#This Row],[(A/B) AJD]]+TABL1234[[#This Row],[(A/S) AJD]]</f>
        <v/>
      </c>
      <c r="X98" s="3">
        <f>TABL1234[[#This Row],[( S/S+T/B) AJD]]-TABL1234[[#This Row],[(A/B + A/S) AJD]]</f>
        <v/>
      </c>
      <c r="Y98" s="41" t="n"/>
      <c r="Z98" s="43" t="n"/>
      <c r="AA98" s="3">
        <f>TABL1234[[#This Row],[(RESV. STORGE) AJD]]/10</f>
        <v/>
      </c>
      <c r="AB98" s="3">
        <f>IF(TRIM(Z98)="",,(Z98-Z97)/1000)</f>
        <v/>
      </c>
      <c r="AC98" s="5" t="n"/>
      <c r="AD98" s="39">
        <f>TABL1234[[#This Row],[( S/S+T/B) AJD]]-(TABL1234[[#This Row],[(A/B + A/S) AJD]]+(TABL1234[[#This Row],[(STORGE DIFF.) AJD]]*1000)+TABL1234[[#This Row],[AJD_Evaporation]])</f>
        <v/>
      </c>
      <c r="AE98" s="41" t="n"/>
      <c r="AF98" s="43" t="n"/>
      <c r="AG98" s="43" t="n"/>
      <c r="AH98" s="6" t="n"/>
      <c r="AI98" s="43" t="n"/>
      <c r="AJ98" s="43">
        <f>TABL1234[[#This Row],[(A/B) AJD]]-TABL1234[[#This Row],[BER_IN]]</f>
        <v/>
      </c>
      <c r="AK98" s="43" t="n"/>
      <c r="AL98" s="43" t="n"/>
      <c r="AM98" s="32" t="n"/>
      <c r="AN98" s="32">
        <f>TABL1234[[#This Row],[ (RESV. STORGE) SER]]/10</f>
        <v/>
      </c>
      <c r="AO98" s="68" t="n"/>
      <c r="AP98" s="68">
        <f>TABL1234[[#This Row],[(A/S) AJD]]-TABL1234[[#This Row],[SER_IN]]</f>
        <v/>
      </c>
    </row>
    <row r="99" ht="18.75" customHeight="1">
      <c r="A99" s="2" t="n">
        <v>46485</v>
      </c>
      <c r="B99" s="44" t="n"/>
      <c r="C99" s="44" t="n"/>
      <c r="D99" s="44" t="n"/>
      <c r="E99" s="44" t="n"/>
      <c r="F99" s="44" t="n"/>
      <c r="G99" s="40" t="n"/>
      <c r="H99" s="28">
        <f>103-F99</f>
        <v/>
      </c>
      <c r="I99" s="40" t="n"/>
      <c r="J99" s="44" t="n"/>
      <c r="K99" s="28">
        <f>TABL1234[[#This Row],[ (T/B) SAR]]+TABL1234[[#This Row],[ (S/S) SAR]]</f>
        <v/>
      </c>
      <c r="L99" s="45" t="n"/>
      <c r="M99" s="46" t="n"/>
      <c r="N99" s="46" t="n"/>
      <c r="O99" s="40" t="n"/>
      <c r="P99" s="3">
        <f>TABL1234[[#This Row],[ (S/S) SAR]]-TABL1234[[#This Row],[(S/S) AJD]]</f>
        <v/>
      </c>
      <c r="Q99" s="40" t="n"/>
      <c r="R99" s="3">
        <f>TABL1234[[#This Row],[ (T/B) SAR]]-TABL1234[[#This Row],[(T/B) AJD]]</f>
        <v/>
      </c>
      <c r="S99" s="3">
        <f>TABL1234[[#This Row],[T/B-CON.]]+TABL1234[[#This Row],[S/S_CON.]]</f>
        <v/>
      </c>
      <c r="T99" s="3">
        <f>TABL1234[[#This Row],[(S/S) AJD]]+TABL1234[[#This Row],[(T/B) AJD]]</f>
        <v/>
      </c>
      <c r="U99" s="44" t="n"/>
      <c r="V99" s="44" t="n"/>
      <c r="W99" s="3">
        <f>TABL1234[[#This Row],[(A/B) AJD]]+TABL1234[[#This Row],[(A/S) AJD]]</f>
        <v/>
      </c>
      <c r="X99" s="3">
        <f>TABL1234[[#This Row],[( S/S+T/B) AJD]]-TABL1234[[#This Row],[(A/B + A/S) AJD]]</f>
        <v/>
      </c>
      <c r="Y99" s="44" t="n"/>
      <c r="Z99" s="45" t="n"/>
      <c r="AA99" s="3">
        <f>TABL1234[[#This Row],[(RESV. STORGE) AJD]]/10</f>
        <v/>
      </c>
      <c r="AB99" s="3">
        <f>IF(TRIM(Z99)="",,(Z99-Z98)/1000)</f>
        <v/>
      </c>
      <c r="AC99" s="5" t="n"/>
      <c r="AD99" s="40">
        <f>TABL1234[[#This Row],[( S/S+T/B) AJD]]-(TABL1234[[#This Row],[(A/B + A/S) AJD]]+(TABL1234[[#This Row],[(STORGE DIFF.) AJD]]*1000)+TABL1234[[#This Row],[AJD_Evaporation]])</f>
        <v/>
      </c>
      <c r="AE99" s="44" t="n"/>
      <c r="AF99" s="45" t="n"/>
      <c r="AG99" s="45" t="n"/>
      <c r="AH99" s="6" t="n"/>
      <c r="AI99" s="45" t="n"/>
      <c r="AJ99" s="45">
        <f>TABL1234[[#This Row],[(A/B) AJD]]-TABL1234[[#This Row],[BER_IN]]</f>
        <v/>
      </c>
      <c r="AK99" s="45" t="n"/>
      <c r="AL99" s="45" t="n"/>
      <c r="AM99" s="32" t="n"/>
      <c r="AN99" s="32">
        <f>TABL1234[[#This Row],[ (RESV. STORGE) SER]]/10</f>
        <v/>
      </c>
      <c r="AO99" s="68" t="n"/>
      <c r="AP99" s="68">
        <f>TABL1234[[#This Row],[(A/S) AJD]]-TABL1234[[#This Row],[SER_IN]]</f>
        <v/>
      </c>
    </row>
    <row r="100" ht="18.75" customHeight="1">
      <c r="A100" s="2" t="n">
        <v>46486</v>
      </c>
      <c r="B100" s="41" t="n"/>
      <c r="C100" s="41" t="n"/>
      <c r="D100" s="41" t="n"/>
      <c r="E100" s="41" t="n"/>
      <c r="F100" s="41" t="n"/>
      <c r="G100" s="39" t="n"/>
      <c r="H100" s="28">
        <f>103-F100</f>
        <v/>
      </c>
      <c r="I100" s="39" t="n"/>
      <c r="J100" s="39" t="n"/>
      <c r="K100" s="28">
        <f>TABL1234[[#This Row],[ (T/B) SAR]]+TABL1234[[#This Row],[ (S/S) SAR]]</f>
        <v/>
      </c>
      <c r="L100" s="41" t="n"/>
      <c r="M100" s="42" t="n"/>
      <c r="N100" s="42" t="n"/>
      <c r="O100" s="39" t="n"/>
      <c r="P100" s="3">
        <f>TABL1234[[#This Row],[ (S/S) SAR]]-TABL1234[[#This Row],[(S/S) AJD]]</f>
        <v/>
      </c>
      <c r="Q100" s="39" t="n"/>
      <c r="R100" s="3">
        <f>TABL1234[[#This Row],[ (T/B) SAR]]-TABL1234[[#This Row],[(T/B) AJD]]</f>
        <v/>
      </c>
      <c r="S100" s="3">
        <f>TABL1234[[#This Row],[T/B-CON.]]+TABL1234[[#This Row],[S/S_CON.]]</f>
        <v/>
      </c>
      <c r="T100" s="3">
        <f>TABL1234[[#This Row],[(S/S) AJD]]+TABL1234[[#This Row],[(T/B) AJD]]</f>
        <v/>
      </c>
      <c r="U100" s="41" t="n"/>
      <c r="V100" s="41" t="n"/>
      <c r="W100" s="3">
        <f>TABL1234[[#This Row],[(A/B) AJD]]+TABL1234[[#This Row],[(A/S) AJD]]</f>
        <v/>
      </c>
      <c r="X100" s="3">
        <f>TABL1234[[#This Row],[( S/S+T/B) AJD]]-TABL1234[[#This Row],[(A/B + A/S) AJD]]</f>
        <v/>
      </c>
      <c r="Y100" s="41" t="n"/>
      <c r="Z100" s="43" t="n"/>
      <c r="AA100" s="3">
        <f>TABL1234[[#This Row],[(RESV. STORGE) AJD]]/10</f>
        <v/>
      </c>
      <c r="AB100" s="3">
        <f>IF(TRIM(Z100)="",,(Z100-Z99)/1000)</f>
        <v/>
      </c>
      <c r="AC100" s="5" t="n"/>
      <c r="AD100" s="39">
        <f>TABL1234[[#This Row],[( S/S+T/B) AJD]]-(TABL1234[[#This Row],[(A/B + A/S) AJD]]+(TABL1234[[#This Row],[(STORGE DIFF.) AJD]]*1000)+TABL1234[[#This Row],[AJD_Evaporation]])</f>
        <v/>
      </c>
      <c r="AE100" s="41" t="n"/>
      <c r="AF100" s="43" t="n"/>
      <c r="AG100" s="43" t="n"/>
      <c r="AH100" s="6" t="n"/>
      <c r="AI100" s="43" t="n"/>
      <c r="AJ100" s="43">
        <f>TABL1234[[#This Row],[(A/B) AJD]]-TABL1234[[#This Row],[BER_IN]]</f>
        <v/>
      </c>
      <c r="AK100" s="43" t="n"/>
      <c r="AL100" s="43" t="n"/>
      <c r="AM100" s="32" t="n"/>
      <c r="AN100" s="32">
        <f>TABL1234[[#This Row],[ (RESV. STORGE) SER]]/10</f>
        <v/>
      </c>
      <c r="AO100" s="68" t="n"/>
      <c r="AP100" s="68">
        <f>TABL1234[[#This Row],[(A/S) AJD]]-TABL1234[[#This Row],[SER_IN]]</f>
        <v/>
      </c>
    </row>
    <row r="101" ht="18.75" customHeight="1">
      <c r="A101" s="2" t="n">
        <v>46487</v>
      </c>
      <c r="B101" s="44" t="n"/>
      <c r="C101" s="44" t="n"/>
      <c r="D101" s="44" t="n"/>
      <c r="E101" s="44" t="n"/>
      <c r="F101" s="44" t="n"/>
      <c r="G101" s="40" t="n"/>
      <c r="H101" s="28">
        <f>103-F101</f>
        <v/>
      </c>
      <c r="I101" s="40" t="n"/>
      <c r="J101" s="44" t="n"/>
      <c r="K101" s="28">
        <f>TABL1234[[#This Row],[ (T/B) SAR]]+TABL1234[[#This Row],[ (S/S) SAR]]</f>
        <v/>
      </c>
      <c r="L101" s="45" t="n"/>
      <c r="M101" s="46" t="n"/>
      <c r="N101" s="46" t="n"/>
      <c r="O101" s="40" t="n"/>
      <c r="P101" s="3">
        <f>TABL1234[[#This Row],[ (S/S) SAR]]-TABL1234[[#This Row],[(S/S) AJD]]</f>
        <v/>
      </c>
      <c r="Q101" s="40" t="n"/>
      <c r="R101" s="3">
        <f>TABL1234[[#This Row],[ (T/B) SAR]]-TABL1234[[#This Row],[(T/B) AJD]]</f>
        <v/>
      </c>
      <c r="S101" s="3">
        <f>TABL1234[[#This Row],[T/B-CON.]]+TABL1234[[#This Row],[S/S_CON.]]</f>
        <v/>
      </c>
      <c r="T101" s="3">
        <f>TABL1234[[#This Row],[(S/S) AJD]]+TABL1234[[#This Row],[(T/B) AJD]]</f>
        <v/>
      </c>
      <c r="U101" s="44" t="n"/>
      <c r="V101" s="44" t="n"/>
      <c r="W101" s="3">
        <f>TABL1234[[#This Row],[(A/B) AJD]]+TABL1234[[#This Row],[(A/S) AJD]]</f>
        <v/>
      </c>
      <c r="X101" s="3">
        <f>TABL1234[[#This Row],[( S/S+T/B) AJD]]-TABL1234[[#This Row],[(A/B + A/S) AJD]]</f>
        <v/>
      </c>
      <c r="Y101" s="44" t="n"/>
      <c r="Z101" s="45" t="n"/>
      <c r="AA101" s="3">
        <f>TABL1234[[#This Row],[(RESV. STORGE) AJD]]/10</f>
        <v/>
      </c>
      <c r="AB101" s="3">
        <f>IF(TRIM(Z101)="",,(Z101-Z100)/1000)</f>
        <v/>
      </c>
      <c r="AC101" s="5" t="n"/>
      <c r="AD101" s="40">
        <f>TABL1234[[#This Row],[( S/S+T/B) AJD]]-(TABL1234[[#This Row],[(A/B + A/S) AJD]]+(TABL1234[[#This Row],[(STORGE DIFF.) AJD]]*1000)+TABL1234[[#This Row],[AJD_Evaporation]])</f>
        <v/>
      </c>
      <c r="AE101" s="44" t="n"/>
      <c r="AF101" s="45" t="n"/>
      <c r="AG101" s="45" t="n"/>
      <c r="AH101" s="6" t="n"/>
      <c r="AI101" s="45" t="n"/>
      <c r="AJ101" s="45">
        <f>TABL1234[[#This Row],[(A/B) AJD]]-TABL1234[[#This Row],[BER_IN]]</f>
        <v/>
      </c>
      <c r="AK101" s="45" t="n"/>
      <c r="AL101" s="45" t="n"/>
      <c r="AM101" s="32" t="n"/>
      <c r="AN101" s="32">
        <f>TABL1234[[#This Row],[ (RESV. STORGE) SER]]/10</f>
        <v/>
      </c>
      <c r="AO101" s="68" t="n"/>
      <c r="AP101" s="68">
        <f>TABL1234[[#This Row],[(A/S) AJD]]-TABL1234[[#This Row],[SER_IN]]</f>
        <v/>
      </c>
    </row>
    <row r="102" ht="18.75" customHeight="1">
      <c r="A102" s="2" t="n">
        <v>46488</v>
      </c>
      <c r="B102" s="41" t="n"/>
      <c r="C102" s="41" t="n"/>
      <c r="D102" s="41" t="n"/>
      <c r="E102" s="41" t="n"/>
      <c r="F102" s="41" t="n"/>
      <c r="G102" s="39" t="n"/>
      <c r="H102" s="28">
        <f>103-F102</f>
        <v/>
      </c>
      <c r="I102" s="39" t="n"/>
      <c r="J102" s="39" t="n"/>
      <c r="K102" s="28">
        <f>TABL1234[[#This Row],[ (T/B) SAR]]+TABL1234[[#This Row],[ (S/S) SAR]]</f>
        <v/>
      </c>
      <c r="L102" s="41" t="n"/>
      <c r="M102" s="42" t="n"/>
      <c r="N102" s="42" t="n"/>
      <c r="O102" s="39" t="n"/>
      <c r="P102" s="3">
        <f>TABL1234[[#This Row],[ (S/S) SAR]]-TABL1234[[#This Row],[(S/S) AJD]]</f>
        <v/>
      </c>
      <c r="Q102" s="39" t="n"/>
      <c r="R102" s="3">
        <f>TABL1234[[#This Row],[ (T/B) SAR]]-TABL1234[[#This Row],[(T/B) AJD]]</f>
        <v/>
      </c>
      <c r="S102" s="3">
        <f>TABL1234[[#This Row],[T/B-CON.]]+TABL1234[[#This Row],[S/S_CON.]]</f>
        <v/>
      </c>
      <c r="T102" s="3">
        <f>TABL1234[[#This Row],[(S/S) AJD]]+TABL1234[[#This Row],[(T/B) AJD]]</f>
        <v/>
      </c>
      <c r="U102" s="41" t="n"/>
      <c r="V102" s="41" t="n"/>
      <c r="W102" s="3">
        <f>TABL1234[[#This Row],[(A/B) AJD]]+TABL1234[[#This Row],[(A/S) AJD]]</f>
        <v/>
      </c>
      <c r="X102" s="3">
        <f>TABL1234[[#This Row],[( S/S+T/B) AJD]]-TABL1234[[#This Row],[(A/B + A/S) AJD]]</f>
        <v/>
      </c>
      <c r="Y102" s="41" t="n"/>
      <c r="Z102" s="43" t="n"/>
      <c r="AA102" s="3">
        <f>TABL1234[[#This Row],[(RESV. STORGE) AJD]]/10</f>
        <v/>
      </c>
      <c r="AB102" s="3">
        <f>IF(TRIM(Z102)="",,(Z102-Z101)/1000)</f>
        <v/>
      </c>
      <c r="AC102" s="5" t="n"/>
      <c r="AD102" s="39">
        <f>TABL1234[[#This Row],[( S/S+T/B) AJD]]-(TABL1234[[#This Row],[(A/B + A/S) AJD]]+(TABL1234[[#This Row],[(STORGE DIFF.) AJD]]*1000)+TABL1234[[#This Row],[AJD_Evaporation]])</f>
        <v/>
      </c>
      <c r="AE102" s="41" t="n"/>
      <c r="AF102" s="43" t="n"/>
      <c r="AG102" s="43" t="n"/>
      <c r="AH102" s="6" t="n"/>
      <c r="AI102" s="43" t="n"/>
      <c r="AJ102" s="43">
        <f>TABL1234[[#This Row],[(A/B) AJD]]-TABL1234[[#This Row],[BER_IN]]</f>
        <v/>
      </c>
      <c r="AK102" s="43" t="n"/>
      <c r="AL102" s="43" t="n"/>
      <c r="AM102" s="32" t="n"/>
      <c r="AN102" s="32">
        <f>TABL1234[[#This Row],[ (RESV. STORGE) SER]]/10</f>
        <v/>
      </c>
      <c r="AO102" s="68" t="n"/>
      <c r="AP102" s="68">
        <f>TABL1234[[#This Row],[(A/S) AJD]]-TABL1234[[#This Row],[SER_IN]]</f>
        <v/>
      </c>
    </row>
    <row r="103" ht="18.75" customHeight="1">
      <c r="A103" s="2" t="n">
        <v>46489</v>
      </c>
      <c r="B103" s="44" t="n"/>
      <c r="C103" s="44" t="n"/>
      <c r="D103" s="44" t="n"/>
      <c r="E103" s="44" t="n"/>
      <c r="F103" s="44" t="n"/>
      <c r="G103" s="40" t="n"/>
      <c r="H103" s="28">
        <f>103-F103</f>
        <v/>
      </c>
      <c r="I103" s="40" t="n"/>
      <c r="J103" s="44" t="n"/>
      <c r="K103" s="28">
        <f>TABL1234[[#This Row],[ (T/B) SAR]]+TABL1234[[#This Row],[ (S/S) SAR]]</f>
        <v/>
      </c>
      <c r="L103" s="45" t="n"/>
      <c r="M103" s="46" t="n"/>
      <c r="N103" s="46" t="n"/>
      <c r="O103" s="40" t="n"/>
      <c r="P103" s="3">
        <f>TABL1234[[#This Row],[ (S/S) SAR]]-TABL1234[[#This Row],[(S/S) AJD]]</f>
        <v/>
      </c>
      <c r="Q103" s="40" t="n"/>
      <c r="R103" s="3">
        <f>TABL1234[[#This Row],[ (T/B) SAR]]-TABL1234[[#This Row],[(T/B) AJD]]</f>
        <v/>
      </c>
      <c r="S103" s="3">
        <f>TABL1234[[#This Row],[T/B-CON.]]+TABL1234[[#This Row],[S/S_CON.]]</f>
        <v/>
      </c>
      <c r="T103" s="3">
        <f>TABL1234[[#This Row],[(S/S) AJD]]+TABL1234[[#This Row],[(T/B) AJD]]</f>
        <v/>
      </c>
      <c r="U103" s="44" t="n"/>
      <c r="V103" s="44" t="n"/>
      <c r="W103" s="3">
        <f>TABL1234[[#This Row],[(A/B) AJD]]+TABL1234[[#This Row],[(A/S) AJD]]</f>
        <v/>
      </c>
      <c r="X103" s="3">
        <f>TABL1234[[#This Row],[( S/S+T/B) AJD]]-TABL1234[[#This Row],[(A/B + A/S) AJD]]</f>
        <v/>
      </c>
      <c r="Y103" s="44" t="n"/>
      <c r="Z103" s="45" t="n"/>
      <c r="AA103" s="3">
        <f>TABL1234[[#This Row],[(RESV. STORGE) AJD]]/10</f>
        <v/>
      </c>
      <c r="AB103" s="3">
        <f>IF(TRIM(Z103)="",,(Z103-Z102)/1000)</f>
        <v/>
      </c>
      <c r="AC103" s="5" t="n"/>
      <c r="AD103" s="40">
        <f>TABL1234[[#This Row],[( S/S+T/B) AJD]]-(TABL1234[[#This Row],[(A/B + A/S) AJD]]+(TABL1234[[#This Row],[(STORGE DIFF.) AJD]]*1000)+TABL1234[[#This Row],[AJD_Evaporation]])</f>
        <v/>
      </c>
      <c r="AE103" s="44" t="n"/>
      <c r="AF103" s="45" t="n"/>
      <c r="AG103" s="45" t="n"/>
      <c r="AH103" s="6" t="n"/>
      <c r="AI103" s="45" t="n"/>
      <c r="AJ103" s="45">
        <f>TABL1234[[#This Row],[(A/B) AJD]]-TABL1234[[#This Row],[BER_IN]]</f>
        <v/>
      </c>
      <c r="AK103" s="45" t="n"/>
      <c r="AL103" s="45" t="n"/>
      <c r="AM103" s="32" t="n"/>
      <c r="AN103" s="32">
        <f>TABL1234[[#This Row],[ (RESV. STORGE) SER]]/10</f>
        <v/>
      </c>
      <c r="AO103" s="68" t="n"/>
      <c r="AP103" s="68">
        <f>TABL1234[[#This Row],[(A/S) AJD]]-TABL1234[[#This Row],[SER_IN]]</f>
        <v/>
      </c>
    </row>
    <row r="104" ht="18.75" customHeight="1">
      <c r="A104" s="2" t="n">
        <v>46490</v>
      </c>
      <c r="B104" s="41" t="n"/>
      <c r="C104" s="41" t="n"/>
      <c r="D104" s="41" t="n"/>
      <c r="E104" s="41" t="n"/>
      <c r="F104" s="41" t="n"/>
      <c r="G104" s="39" t="n"/>
      <c r="H104" s="28">
        <f>103-F104</f>
        <v/>
      </c>
      <c r="I104" s="39" t="n"/>
      <c r="J104" s="39" t="n"/>
      <c r="K104" s="28">
        <f>TABL1234[[#This Row],[ (T/B) SAR]]+TABL1234[[#This Row],[ (S/S) SAR]]</f>
        <v/>
      </c>
      <c r="L104" s="41" t="n"/>
      <c r="M104" s="42" t="n"/>
      <c r="N104" s="42" t="n"/>
      <c r="O104" s="39" t="n"/>
      <c r="P104" s="3">
        <f>TABL1234[[#This Row],[ (S/S) SAR]]-TABL1234[[#This Row],[(S/S) AJD]]</f>
        <v/>
      </c>
      <c r="Q104" s="39" t="n"/>
      <c r="R104" s="3">
        <f>TABL1234[[#This Row],[ (T/B) SAR]]-TABL1234[[#This Row],[(T/B) AJD]]</f>
        <v/>
      </c>
      <c r="S104" s="3">
        <f>TABL1234[[#This Row],[T/B-CON.]]+TABL1234[[#This Row],[S/S_CON.]]</f>
        <v/>
      </c>
      <c r="T104" s="3">
        <f>TABL1234[[#This Row],[(S/S) AJD]]+TABL1234[[#This Row],[(T/B) AJD]]</f>
        <v/>
      </c>
      <c r="U104" s="41" t="n"/>
      <c r="V104" s="41" t="n"/>
      <c r="W104" s="3">
        <f>TABL1234[[#This Row],[(A/B) AJD]]+TABL1234[[#This Row],[(A/S) AJD]]</f>
        <v/>
      </c>
      <c r="X104" s="3">
        <f>TABL1234[[#This Row],[( S/S+T/B) AJD]]-TABL1234[[#This Row],[(A/B + A/S) AJD]]</f>
        <v/>
      </c>
      <c r="Y104" s="41" t="n"/>
      <c r="Z104" s="43" t="n"/>
      <c r="AA104" s="3">
        <f>TABL1234[[#This Row],[(RESV. STORGE) AJD]]/10</f>
        <v/>
      </c>
      <c r="AB104" s="3">
        <f>IF(TRIM(Z104)="",,(Z104-Z103)/1000)</f>
        <v/>
      </c>
      <c r="AC104" s="5" t="n"/>
      <c r="AD104" s="39">
        <f>TABL1234[[#This Row],[( S/S+T/B) AJD]]-(TABL1234[[#This Row],[(A/B + A/S) AJD]]+(TABL1234[[#This Row],[(STORGE DIFF.) AJD]]*1000)+TABL1234[[#This Row],[AJD_Evaporation]])</f>
        <v/>
      </c>
      <c r="AE104" s="41" t="n"/>
      <c r="AF104" s="43" t="n"/>
      <c r="AG104" s="43" t="n"/>
      <c r="AH104" s="6" t="n"/>
      <c r="AI104" s="43" t="n"/>
      <c r="AJ104" s="43">
        <f>TABL1234[[#This Row],[(A/B) AJD]]-TABL1234[[#This Row],[BER_IN]]</f>
        <v/>
      </c>
      <c r="AK104" s="43" t="n"/>
      <c r="AL104" s="43" t="n"/>
      <c r="AM104" s="32" t="n"/>
      <c r="AN104" s="32">
        <f>TABL1234[[#This Row],[ (RESV. STORGE) SER]]/10</f>
        <v/>
      </c>
      <c r="AO104" s="68" t="n"/>
      <c r="AP104" s="68">
        <f>TABL1234[[#This Row],[(A/S) AJD]]-TABL1234[[#This Row],[SER_IN]]</f>
        <v/>
      </c>
    </row>
    <row r="105" ht="18.75" customHeight="1">
      <c r="A105" s="2" t="n">
        <v>46491</v>
      </c>
      <c r="B105" s="44" t="n"/>
      <c r="C105" s="44" t="n"/>
      <c r="D105" s="44" t="n"/>
      <c r="E105" s="44" t="n"/>
      <c r="F105" s="44" t="n"/>
      <c r="G105" s="40" t="n"/>
      <c r="H105" s="28">
        <f>103-F105</f>
        <v/>
      </c>
      <c r="I105" s="40" t="n"/>
      <c r="J105" s="44" t="n"/>
      <c r="K105" s="28">
        <f>TABL1234[[#This Row],[ (T/B) SAR]]+TABL1234[[#This Row],[ (S/S) SAR]]</f>
        <v/>
      </c>
      <c r="L105" s="45" t="n"/>
      <c r="M105" s="46" t="n"/>
      <c r="N105" s="46" t="n"/>
      <c r="O105" s="40" t="n"/>
      <c r="P105" s="3">
        <f>TABL1234[[#This Row],[ (S/S) SAR]]-TABL1234[[#This Row],[(S/S) AJD]]</f>
        <v/>
      </c>
      <c r="Q105" s="40" t="n"/>
      <c r="R105" s="3">
        <f>TABL1234[[#This Row],[ (T/B) SAR]]-TABL1234[[#This Row],[(T/B) AJD]]</f>
        <v/>
      </c>
      <c r="S105" s="3">
        <f>TABL1234[[#This Row],[T/B-CON.]]+TABL1234[[#This Row],[S/S_CON.]]</f>
        <v/>
      </c>
      <c r="T105" s="3">
        <f>TABL1234[[#This Row],[(S/S) AJD]]+TABL1234[[#This Row],[(T/B) AJD]]</f>
        <v/>
      </c>
      <c r="U105" s="44" t="n"/>
      <c r="V105" s="44" t="n"/>
      <c r="W105" s="3">
        <f>TABL1234[[#This Row],[(A/B) AJD]]+TABL1234[[#This Row],[(A/S) AJD]]</f>
        <v/>
      </c>
      <c r="X105" s="3">
        <f>TABL1234[[#This Row],[( S/S+T/B) AJD]]-TABL1234[[#This Row],[(A/B + A/S) AJD]]</f>
        <v/>
      </c>
      <c r="Y105" s="44" t="n"/>
      <c r="Z105" s="45" t="n"/>
      <c r="AA105" s="3">
        <f>TABL1234[[#This Row],[(RESV. STORGE) AJD]]/10</f>
        <v/>
      </c>
      <c r="AB105" s="3">
        <f>IF(TRIM(Z105)="",,(Z105-Z104)/1000)</f>
        <v/>
      </c>
      <c r="AC105" s="5" t="n"/>
      <c r="AD105" s="40">
        <f>TABL1234[[#This Row],[( S/S+T/B) AJD]]-(TABL1234[[#This Row],[(A/B + A/S) AJD]]+(TABL1234[[#This Row],[(STORGE DIFF.) AJD]]*1000)+TABL1234[[#This Row],[AJD_Evaporation]])</f>
        <v/>
      </c>
      <c r="AE105" s="44" t="n"/>
      <c r="AF105" s="45" t="n"/>
      <c r="AG105" s="45" t="n"/>
      <c r="AH105" s="6" t="n"/>
      <c r="AI105" s="45" t="n"/>
      <c r="AJ105" s="45">
        <f>TABL1234[[#This Row],[(A/B) AJD]]-TABL1234[[#This Row],[BER_IN]]</f>
        <v/>
      </c>
      <c r="AK105" s="45" t="n"/>
      <c r="AL105" s="45" t="n"/>
      <c r="AM105" s="32" t="n"/>
      <c r="AN105" s="32">
        <f>TABL1234[[#This Row],[ (RESV. STORGE) SER]]/10</f>
        <v/>
      </c>
      <c r="AO105" s="68" t="n"/>
      <c r="AP105" s="68">
        <f>TABL1234[[#This Row],[(A/S) AJD]]-TABL1234[[#This Row],[SER_IN]]</f>
        <v/>
      </c>
    </row>
    <row r="106" ht="18.75" customHeight="1">
      <c r="A106" s="2" t="n">
        <v>46492</v>
      </c>
      <c r="B106" s="41" t="n"/>
      <c r="C106" s="41" t="n"/>
      <c r="D106" s="41" t="n"/>
      <c r="E106" s="41" t="n"/>
      <c r="F106" s="41" t="n"/>
      <c r="G106" s="39" t="n"/>
      <c r="H106" s="28">
        <f>103-F106</f>
        <v/>
      </c>
      <c r="I106" s="39" t="n"/>
      <c r="J106" s="39" t="n"/>
      <c r="K106" s="28">
        <f>TABL1234[[#This Row],[ (T/B) SAR]]+TABL1234[[#This Row],[ (S/S) SAR]]</f>
        <v/>
      </c>
      <c r="L106" s="41" t="n"/>
      <c r="M106" s="42" t="n"/>
      <c r="N106" s="42" t="n"/>
      <c r="O106" s="39" t="n"/>
      <c r="P106" s="3">
        <f>TABL1234[[#This Row],[ (S/S) SAR]]-TABL1234[[#This Row],[(S/S) AJD]]</f>
        <v/>
      </c>
      <c r="Q106" s="39" t="n"/>
      <c r="R106" s="3">
        <f>TABL1234[[#This Row],[ (T/B) SAR]]-TABL1234[[#This Row],[(T/B) AJD]]</f>
        <v/>
      </c>
      <c r="S106" s="3">
        <f>TABL1234[[#This Row],[T/B-CON.]]+TABL1234[[#This Row],[S/S_CON.]]</f>
        <v/>
      </c>
      <c r="T106" s="3">
        <f>TABL1234[[#This Row],[(S/S) AJD]]+TABL1234[[#This Row],[(T/B) AJD]]</f>
        <v/>
      </c>
      <c r="U106" s="41" t="n"/>
      <c r="V106" s="41" t="n"/>
      <c r="W106" s="3">
        <f>TABL1234[[#This Row],[(A/B) AJD]]+TABL1234[[#This Row],[(A/S) AJD]]</f>
        <v/>
      </c>
      <c r="X106" s="3">
        <f>TABL1234[[#This Row],[( S/S+T/B) AJD]]-TABL1234[[#This Row],[(A/B + A/S) AJD]]</f>
        <v/>
      </c>
      <c r="Y106" s="41" t="n"/>
      <c r="Z106" s="43" t="n"/>
      <c r="AA106" s="3">
        <f>TABL1234[[#This Row],[(RESV. STORGE) AJD]]/10</f>
        <v/>
      </c>
      <c r="AB106" s="3">
        <f>IF(TRIM(Z106)="",,(Z106-Z105)/1000)</f>
        <v/>
      </c>
      <c r="AC106" s="5" t="n"/>
      <c r="AD106" s="39">
        <f>TABL1234[[#This Row],[( S/S+T/B) AJD]]-(TABL1234[[#This Row],[(A/B + A/S) AJD]]+(TABL1234[[#This Row],[(STORGE DIFF.) AJD]]*1000)+TABL1234[[#This Row],[AJD_Evaporation]])</f>
        <v/>
      </c>
      <c r="AE106" s="41" t="n"/>
      <c r="AF106" s="43" t="n"/>
      <c r="AG106" s="43" t="n"/>
      <c r="AH106" s="6" t="n"/>
      <c r="AI106" s="43" t="n"/>
      <c r="AJ106" s="43">
        <f>TABL1234[[#This Row],[(A/B) AJD]]-TABL1234[[#This Row],[BER_IN]]</f>
        <v/>
      </c>
      <c r="AK106" s="43" t="n"/>
      <c r="AL106" s="43" t="n"/>
      <c r="AM106" s="32" t="n"/>
      <c r="AN106" s="32">
        <f>TABL1234[[#This Row],[ (RESV. STORGE) SER]]/10</f>
        <v/>
      </c>
      <c r="AO106" s="68" t="n"/>
      <c r="AP106" s="68">
        <f>TABL1234[[#This Row],[(A/S) AJD]]-TABL1234[[#This Row],[SER_IN]]</f>
        <v/>
      </c>
    </row>
    <row r="107" ht="18.75" customHeight="1">
      <c r="A107" s="2" t="n">
        <v>46493</v>
      </c>
      <c r="B107" s="44" t="n"/>
      <c r="C107" s="44" t="n"/>
      <c r="D107" s="44" t="n"/>
      <c r="E107" s="44" t="n"/>
      <c r="F107" s="44" t="n"/>
      <c r="G107" s="40" t="n"/>
      <c r="H107" s="28">
        <f>103-F107</f>
        <v/>
      </c>
      <c r="I107" s="40" t="n"/>
      <c r="J107" s="44" t="n"/>
      <c r="K107" s="28">
        <f>TABL1234[[#This Row],[ (T/B) SAR]]+TABL1234[[#This Row],[ (S/S) SAR]]</f>
        <v/>
      </c>
      <c r="L107" s="45" t="n"/>
      <c r="M107" s="46" t="n"/>
      <c r="N107" s="46" t="n"/>
      <c r="O107" s="40" t="n"/>
      <c r="P107" s="3">
        <f>TABL1234[[#This Row],[ (S/S) SAR]]-TABL1234[[#This Row],[(S/S) AJD]]</f>
        <v/>
      </c>
      <c r="Q107" s="40" t="n"/>
      <c r="R107" s="3">
        <f>TABL1234[[#This Row],[ (T/B) SAR]]-TABL1234[[#This Row],[(T/B) AJD]]</f>
        <v/>
      </c>
      <c r="S107" s="3">
        <f>TABL1234[[#This Row],[T/B-CON.]]+TABL1234[[#This Row],[S/S_CON.]]</f>
        <v/>
      </c>
      <c r="T107" s="3">
        <f>TABL1234[[#This Row],[(S/S) AJD]]+TABL1234[[#This Row],[(T/B) AJD]]</f>
        <v/>
      </c>
      <c r="U107" s="44" t="n"/>
      <c r="V107" s="44" t="n"/>
      <c r="W107" s="3">
        <f>TABL1234[[#This Row],[(A/B) AJD]]+TABL1234[[#This Row],[(A/S) AJD]]</f>
        <v/>
      </c>
      <c r="X107" s="3">
        <f>TABL1234[[#This Row],[( S/S+T/B) AJD]]-TABL1234[[#This Row],[(A/B + A/S) AJD]]</f>
        <v/>
      </c>
      <c r="Y107" s="44" t="n"/>
      <c r="Z107" s="45" t="n"/>
      <c r="AA107" s="3">
        <f>TABL1234[[#This Row],[(RESV. STORGE) AJD]]/10</f>
        <v/>
      </c>
      <c r="AB107" s="3">
        <f>IF(TRIM(Z107)="",,(Z107-Z106)/1000)</f>
        <v/>
      </c>
      <c r="AC107" s="5" t="n"/>
      <c r="AD107" s="40">
        <f>TABL1234[[#This Row],[( S/S+T/B) AJD]]-(TABL1234[[#This Row],[(A/B + A/S) AJD]]+(TABL1234[[#This Row],[(STORGE DIFF.) AJD]]*1000)+TABL1234[[#This Row],[AJD_Evaporation]])</f>
        <v/>
      </c>
      <c r="AE107" s="44" t="n"/>
      <c r="AF107" s="45" t="n"/>
      <c r="AG107" s="45" t="n"/>
      <c r="AH107" s="6" t="n"/>
      <c r="AI107" s="45" t="n"/>
      <c r="AJ107" s="45">
        <f>TABL1234[[#This Row],[(A/B) AJD]]-TABL1234[[#This Row],[BER_IN]]</f>
        <v/>
      </c>
      <c r="AK107" s="45" t="n"/>
      <c r="AL107" s="45" t="n"/>
      <c r="AM107" s="32" t="n"/>
      <c r="AN107" s="32">
        <f>TABL1234[[#This Row],[ (RESV. STORGE) SER]]/10</f>
        <v/>
      </c>
      <c r="AO107" s="68" t="n"/>
      <c r="AP107" s="68">
        <f>TABL1234[[#This Row],[(A/S) AJD]]-TABL1234[[#This Row],[SER_IN]]</f>
        <v/>
      </c>
    </row>
    <row r="108" ht="18.75" customHeight="1">
      <c r="A108" s="2" t="n">
        <v>46494</v>
      </c>
      <c r="B108" s="41" t="n"/>
      <c r="C108" s="41" t="n"/>
      <c r="D108" s="41" t="n"/>
      <c r="E108" s="41" t="n"/>
      <c r="F108" s="41" t="n"/>
      <c r="G108" s="39" t="n"/>
      <c r="H108" s="28">
        <f>103-F108</f>
        <v/>
      </c>
      <c r="I108" s="39" t="n"/>
      <c r="J108" s="39" t="n"/>
      <c r="K108" s="28">
        <f>TABL1234[[#This Row],[ (T/B) SAR]]+TABL1234[[#This Row],[ (S/S) SAR]]</f>
        <v/>
      </c>
      <c r="L108" s="41" t="n"/>
      <c r="M108" s="42" t="n"/>
      <c r="N108" s="42" t="n"/>
      <c r="O108" s="39" t="n"/>
      <c r="P108" s="3">
        <f>TABL1234[[#This Row],[ (S/S) SAR]]-TABL1234[[#This Row],[(S/S) AJD]]</f>
        <v/>
      </c>
      <c r="Q108" s="39" t="n"/>
      <c r="R108" s="3">
        <f>TABL1234[[#This Row],[ (T/B) SAR]]-TABL1234[[#This Row],[(T/B) AJD]]</f>
        <v/>
      </c>
      <c r="S108" s="3">
        <f>TABL1234[[#This Row],[T/B-CON.]]+TABL1234[[#This Row],[S/S_CON.]]</f>
        <v/>
      </c>
      <c r="T108" s="3">
        <f>TABL1234[[#This Row],[(S/S) AJD]]+TABL1234[[#This Row],[(T/B) AJD]]</f>
        <v/>
      </c>
      <c r="U108" s="41" t="n"/>
      <c r="V108" s="41" t="n"/>
      <c r="W108" s="3">
        <f>TABL1234[[#This Row],[(A/B) AJD]]+TABL1234[[#This Row],[(A/S) AJD]]</f>
        <v/>
      </c>
      <c r="X108" s="3">
        <f>TABL1234[[#This Row],[( S/S+T/B) AJD]]-TABL1234[[#This Row],[(A/B + A/S) AJD]]</f>
        <v/>
      </c>
      <c r="Y108" s="41" t="n"/>
      <c r="Z108" s="43" t="n"/>
      <c r="AA108" s="3">
        <f>TABL1234[[#This Row],[(RESV. STORGE) AJD]]/10</f>
        <v/>
      </c>
      <c r="AB108" s="3">
        <f>IF(TRIM(Z108)="",,(Z108-Z107)/1000)</f>
        <v/>
      </c>
      <c r="AC108" s="5" t="n"/>
      <c r="AD108" s="39">
        <f>TABL1234[[#This Row],[( S/S+T/B) AJD]]-(TABL1234[[#This Row],[(A/B + A/S) AJD]]+(TABL1234[[#This Row],[(STORGE DIFF.) AJD]]*1000)+TABL1234[[#This Row],[AJD_Evaporation]])</f>
        <v/>
      </c>
      <c r="AE108" s="41" t="n"/>
      <c r="AF108" s="43" t="n"/>
      <c r="AG108" s="43" t="n"/>
      <c r="AH108" s="6" t="n"/>
      <c r="AI108" s="43" t="n"/>
      <c r="AJ108" s="43">
        <f>TABL1234[[#This Row],[(A/B) AJD]]-TABL1234[[#This Row],[BER_IN]]</f>
        <v/>
      </c>
      <c r="AK108" s="43" t="n"/>
      <c r="AL108" s="43" t="n"/>
      <c r="AM108" s="32" t="n"/>
      <c r="AN108" s="32">
        <f>TABL1234[[#This Row],[ (RESV. STORGE) SER]]/10</f>
        <v/>
      </c>
      <c r="AO108" s="68" t="n"/>
      <c r="AP108" s="68">
        <f>TABL1234[[#This Row],[(A/S) AJD]]-TABL1234[[#This Row],[SER_IN]]</f>
        <v/>
      </c>
    </row>
    <row r="109" ht="18.75" customHeight="1">
      <c r="A109" s="2" t="n">
        <v>46495</v>
      </c>
      <c r="B109" s="44" t="n"/>
      <c r="C109" s="44" t="n"/>
      <c r="D109" s="44" t="n"/>
      <c r="E109" s="44" t="n"/>
      <c r="F109" s="44" t="n"/>
      <c r="G109" s="40" t="n"/>
      <c r="H109" s="28">
        <f>103-F109</f>
        <v/>
      </c>
      <c r="I109" s="40" t="n"/>
      <c r="J109" s="44" t="n"/>
      <c r="K109" s="28">
        <f>TABL1234[[#This Row],[ (T/B) SAR]]+TABL1234[[#This Row],[ (S/S) SAR]]</f>
        <v/>
      </c>
      <c r="L109" s="45" t="n"/>
      <c r="M109" s="46" t="n"/>
      <c r="N109" s="46" t="n"/>
      <c r="O109" s="40" t="n"/>
      <c r="P109" s="3">
        <f>TABL1234[[#This Row],[ (S/S) SAR]]-TABL1234[[#This Row],[(S/S) AJD]]</f>
        <v/>
      </c>
      <c r="Q109" s="40" t="n"/>
      <c r="R109" s="3">
        <f>TABL1234[[#This Row],[ (T/B) SAR]]-TABL1234[[#This Row],[(T/B) AJD]]</f>
        <v/>
      </c>
      <c r="S109" s="3">
        <f>TABL1234[[#This Row],[T/B-CON.]]+TABL1234[[#This Row],[S/S_CON.]]</f>
        <v/>
      </c>
      <c r="T109" s="3">
        <f>TABL1234[[#This Row],[(S/S) AJD]]+TABL1234[[#This Row],[(T/B) AJD]]</f>
        <v/>
      </c>
      <c r="U109" s="44" t="n"/>
      <c r="V109" s="44" t="n"/>
      <c r="W109" s="3">
        <f>TABL1234[[#This Row],[(A/B) AJD]]+TABL1234[[#This Row],[(A/S) AJD]]</f>
        <v/>
      </c>
      <c r="X109" s="3">
        <f>TABL1234[[#This Row],[( S/S+T/B) AJD]]-TABL1234[[#This Row],[(A/B + A/S) AJD]]</f>
        <v/>
      </c>
      <c r="Y109" s="44" t="n"/>
      <c r="Z109" s="45" t="n"/>
      <c r="AA109" s="3">
        <f>TABL1234[[#This Row],[(RESV. STORGE) AJD]]/10</f>
        <v/>
      </c>
      <c r="AB109" s="3">
        <f>IF(TRIM(Z109)="",,(Z109-Z108)/1000)</f>
        <v/>
      </c>
      <c r="AC109" s="5" t="n"/>
      <c r="AD109" s="40">
        <f>TABL1234[[#This Row],[( S/S+T/B) AJD]]-(TABL1234[[#This Row],[(A/B + A/S) AJD]]+(TABL1234[[#This Row],[(STORGE DIFF.) AJD]]*1000)+TABL1234[[#This Row],[AJD_Evaporation]])</f>
        <v/>
      </c>
      <c r="AE109" s="44" t="n"/>
      <c r="AF109" s="45" t="n"/>
      <c r="AG109" s="45" t="n"/>
      <c r="AH109" s="6" t="n"/>
      <c r="AI109" s="45" t="n"/>
      <c r="AJ109" s="45">
        <f>TABL1234[[#This Row],[(A/B) AJD]]-TABL1234[[#This Row],[BER_IN]]</f>
        <v/>
      </c>
      <c r="AK109" s="45" t="n"/>
      <c r="AL109" s="45" t="n"/>
      <c r="AM109" s="32" t="n"/>
      <c r="AN109" s="32">
        <f>TABL1234[[#This Row],[ (RESV. STORGE) SER]]/10</f>
        <v/>
      </c>
      <c r="AO109" s="68" t="n"/>
      <c r="AP109" s="68">
        <f>TABL1234[[#This Row],[(A/S) AJD]]-TABL1234[[#This Row],[SER_IN]]</f>
        <v/>
      </c>
    </row>
    <row r="110" ht="18.75" customHeight="1">
      <c r="A110" s="2" t="n">
        <v>46496</v>
      </c>
      <c r="B110" s="41" t="n"/>
      <c r="C110" s="41" t="n"/>
      <c r="D110" s="41" t="n"/>
      <c r="E110" s="41" t="n"/>
      <c r="F110" s="41" t="n"/>
      <c r="G110" s="39" t="n"/>
      <c r="H110" s="28">
        <f>103-F110</f>
        <v/>
      </c>
      <c r="I110" s="39" t="n"/>
      <c r="J110" s="39" t="n"/>
      <c r="K110" s="28">
        <f>TABL1234[[#This Row],[ (T/B) SAR]]+TABL1234[[#This Row],[ (S/S) SAR]]</f>
        <v/>
      </c>
      <c r="L110" s="41" t="n"/>
      <c r="M110" s="42" t="n"/>
      <c r="N110" s="42" t="n"/>
      <c r="O110" s="39" t="n"/>
      <c r="P110" s="3">
        <f>TABL1234[[#This Row],[ (S/S) SAR]]-TABL1234[[#This Row],[(S/S) AJD]]</f>
        <v/>
      </c>
      <c r="Q110" s="39" t="n"/>
      <c r="R110" s="3">
        <f>TABL1234[[#This Row],[ (T/B) SAR]]-TABL1234[[#This Row],[(T/B) AJD]]</f>
        <v/>
      </c>
      <c r="S110" s="3">
        <f>TABL1234[[#This Row],[T/B-CON.]]+TABL1234[[#This Row],[S/S_CON.]]</f>
        <v/>
      </c>
      <c r="T110" s="3">
        <f>TABL1234[[#This Row],[(S/S) AJD]]+TABL1234[[#This Row],[(T/B) AJD]]</f>
        <v/>
      </c>
      <c r="U110" s="41" t="n"/>
      <c r="V110" s="41" t="n"/>
      <c r="W110" s="3">
        <f>TABL1234[[#This Row],[(A/B) AJD]]+TABL1234[[#This Row],[(A/S) AJD]]</f>
        <v/>
      </c>
      <c r="X110" s="3">
        <f>TABL1234[[#This Row],[( S/S+T/B) AJD]]-TABL1234[[#This Row],[(A/B + A/S) AJD]]</f>
        <v/>
      </c>
      <c r="Y110" s="41" t="n"/>
      <c r="Z110" s="43" t="n"/>
      <c r="AA110" s="3">
        <f>TABL1234[[#This Row],[(RESV. STORGE) AJD]]/10</f>
        <v/>
      </c>
      <c r="AB110" s="3">
        <f>IF(TRIM(Z110)="",,(Z110-Z109)/1000)</f>
        <v/>
      </c>
      <c r="AC110" s="5" t="n"/>
      <c r="AD110" s="39">
        <f>TABL1234[[#This Row],[( S/S+T/B) AJD]]-(TABL1234[[#This Row],[(A/B + A/S) AJD]]+(TABL1234[[#This Row],[(STORGE DIFF.) AJD]]*1000)+TABL1234[[#This Row],[AJD_Evaporation]])</f>
        <v/>
      </c>
      <c r="AE110" s="41" t="n"/>
      <c r="AF110" s="43" t="n"/>
      <c r="AG110" s="43" t="n"/>
      <c r="AH110" s="6" t="n"/>
      <c r="AI110" s="43" t="n"/>
      <c r="AJ110" s="43">
        <f>TABL1234[[#This Row],[(A/B) AJD]]-TABL1234[[#This Row],[BER_IN]]</f>
        <v/>
      </c>
      <c r="AK110" s="43" t="n"/>
      <c r="AL110" s="43" t="n"/>
      <c r="AM110" s="32" t="n"/>
      <c r="AN110" s="32">
        <f>TABL1234[[#This Row],[ (RESV. STORGE) SER]]/10</f>
        <v/>
      </c>
      <c r="AO110" s="68" t="n"/>
      <c r="AP110" s="68">
        <f>TABL1234[[#This Row],[(A/S) AJD]]-TABL1234[[#This Row],[SER_IN]]</f>
        <v/>
      </c>
    </row>
    <row r="111" ht="18.75" customHeight="1">
      <c r="A111" s="2" t="n">
        <v>46497</v>
      </c>
      <c r="B111" s="44" t="n"/>
      <c r="C111" s="44" t="n"/>
      <c r="D111" s="44" t="n"/>
      <c r="E111" s="44" t="n"/>
      <c r="F111" s="44" t="n"/>
      <c r="G111" s="40" t="n"/>
      <c r="H111" s="28">
        <f>103-F111</f>
        <v/>
      </c>
      <c r="I111" s="40" t="n"/>
      <c r="J111" s="44" t="n"/>
      <c r="K111" s="28">
        <f>TABL1234[[#This Row],[ (T/B) SAR]]+TABL1234[[#This Row],[ (S/S) SAR]]</f>
        <v/>
      </c>
      <c r="L111" s="45" t="n"/>
      <c r="M111" s="46" t="n"/>
      <c r="N111" s="46" t="n"/>
      <c r="O111" s="40" t="n"/>
      <c r="P111" s="3">
        <f>TABL1234[[#This Row],[ (S/S) SAR]]-TABL1234[[#This Row],[(S/S) AJD]]</f>
        <v/>
      </c>
      <c r="Q111" s="40" t="n"/>
      <c r="R111" s="3">
        <f>TABL1234[[#This Row],[ (T/B) SAR]]-TABL1234[[#This Row],[(T/B) AJD]]</f>
        <v/>
      </c>
      <c r="S111" s="3">
        <f>TABL1234[[#This Row],[T/B-CON.]]+TABL1234[[#This Row],[S/S_CON.]]</f>
        <v/>
      </c>
      <c r="T111" s="3">
        <f>TABL1234[[#This Row],[(S/S) AJD]]+TABL1234[[#This Row],[(T/B) AJD]]</f>
        <v/>
      </c>
      <c r="U111" s="44" t="n"/>
      <c r="V111" s="44" t="n"/>
      <c r="W111" s="3">
        <f>TABL1234[[#This Row],[(A/B) AJD]]+TABL1234[[#This Row],[(A/S) AJD]]</f>
        <v/>
      </c>
      <c r="X111" s="3">
        <f>TABL1234[[#This Row],[( S/S+T/B) AJD]]-TABL1234[[#This Row],[(A/B + A/S) AJD]]</f>
        <v/>
      </c>
      <c r="Y111" s="44" t="n"/>
      <c r="Z111" s="45" t="n"/>
      <c r="AA111" s="3">
        <f>TABL1234[[#This Row],[(RESV. STORGE) AJD]]/10</f>
        <v/>
      </c>
      <c r="AB111" s="3">
        <f>IF(TRIM(Z111)="",,(Z111-Z110)/1000)</f>
        <v/>
      </c>
      <c r="AC111" s="5" t="n"/>
      <c r="AD111" s="40">
        <f>TABL1234[[#This Row],[( S/S+T/B) AJD]]-(TABL1234[[#This Row],[(A/B + A/S) AJD]]+(TABL1234[[#This Row],[(STORGE DIFF.) AJD]]*1000)+TABL1234[[#This Row],[AJD_Evaporation]])</f>
        <v/>
      </c>
      <c r="AE111" s="44" t="n"/>
      <c r="AF111" s="45" t="n"/>
      <c r="AG111" s="45" t="n"/>
      <c r="AH111" s="6" t="n"/>
      <c r="AI111" s="45" t="n"/>
      <c r="AJ111" s="45">
        <f>TABL1234[[#This Row],[(A/B) AJD]]-TABL1234[[#This Row],[BER_IN]]</f>
        <v/>
      </c>
      <c r="AK111" s="45" t="n"/>
      <c r="AL111" s="45" t="n"/>
      <c r="AM111" s="32" t="n"/>
      <c r="AN111" s="32">
        <f>TABL1234[[#This Row],[ (RESV. STORGE) SER]]/10</f>
        <v/>
      </c>
      <c r="AO111" s="68" t="n"/>
      <c r="AP111" s="68">
        <f>TABL1234[[#This Row],[(A/S) AJD]]-TABL1234[[#This Row],[SER_IN]]</f>
        <v/>
      </c>
    </row>
    <row r="112" ht="18.75" customHeight="1">
      <c r="A112" s="2" t="n">
        <v>46498</v>
      </c>
      <c r="B112" s="41" t="n"/>
      <c r="C112" s="41" t="n"/>
      <c r="D112" s="41" t="n"/>
      <c r="E112" s="41" t="n"/>
      <c r="F112" s="41" t="n"/>
      <c r="G112" s="39" t="n"/>
      <c r="H112" s="28">
        <f>103-F112</f>
        <v/>
      </c>
      <c r="I112" s="39" t="n"/>
      <c r="J112" s="39" t="n"/>
      <c r="K112" s="28">
        <f>TABL1234[[#This Row],[ (T/B) SAR]]+TABL1234[[#This Row],[ (S/S) SAR]]</f>
        <v/>
      </c>
      <c r="L112" s="41" t="n"/>
      <c r="M112" s="42" t="n"/>
      <c r="N112" s="42" t="n"/>
      <c r="O112" s="39" t="n"/>
      <c r="P112" s="3">
        <f>TABL1234[[#This Row],[ (S/S) SAR]]-TABL1234[[#This Row],[(S/S) AJD]]</f>
        <v/>
      </c>
      <c r="Q112" s="39" t="n"/>
      <c r="R112" s="3">
        <f>TABL1234[[#This Row],[ (T/B) SAR]]-TABL1234[[#This Row],[(T/B) AJD]]</f>
        <v/>
      </c>
      <c r="S112" s="3">
        <f>TABL1234[[#This Row],[T/B-CON.]]+TABL1234[[#This Row],[S/S_CON.]]</f>
        <v/>
      </c>
      <c r="T112" s="3">
        <f>TABL1234[[#This Row],[(S/S) AJD]]+TABL1234[[#This Row],[(T/B) AJD]]</f>
        <v/>
      </c>
      <c r="U112" s="41" t="n"/>
      <c r="V112" s="41" t="n"/>
      <c r="W112" s="3">
        <f>TABL1234[[#This Row],[(A/B) AJD]]+TABL1234[[#This Row],[(A/S) AJD]]</f>
        <v/>
      </c>
      <c r="X112" s="3">
        <f>TABL1234[[#This Row],[( S/S+T/B) AJD]]-TABL1234[[#This Row],[(A/B + A/S) AJD]]</f>
        <v/>
      </c>
      <c r="Y112" s="41" t="n"/>
      <c r="Z112" s="43" t="n"/>
      <c r="AA112" s="3">
        <f>TABL1234[[#This Row],[(RESV. STORGE) AJD]]/10</f>
        <v/>
      </c>
      <c r="AB112" s="3">
        <f>IF(TRIM(Z112)="",,(Z112-Z111)/1000)</f>
        <v/>
      </c>
      <c r="AC112" s="5" t="n"/>
      <c r="AD112" s="39">
        <f>TABL1234[[#This Row],[( S/S+T/B) AJD]]-(TABL1234[[#This Row],[(A/B + A/S) AJD]]+(TABL1234[[#This Row],[(STORGE DIFF.) AJD]]*1000)+TABL1234[[#This Row],[AJD_Evaporation]])</f>
        <v/>
      </c>
      <c r="AE112" s="41" t="n"/>
      <c r="AF112" s="43" t="n"/>
      <c r="AG112" s="43" t="n"/>
      <c r="AH112" s="6" t="n"/>
      <c r="AI112" s="43" t="n"/>
      <c r="AJ112" s="43">
        <f>TABL1234[[#This Row],[(A/B) AJD]]-TABL1234[[#This Row],[BER_IN]]</f>
        <v/>
      </c>
      <c r="AK112" s="43" t="n"/>
      <c r="AL112" s="43" t="n"/>
      <c r="AM112" s="32" t="n"/>
      <c r="AN112" s="32">
        <f>TABL1234[[#This Row],[ (RESV. STORGE) SER]]/10</f>
        <v/>
      </c>
      <c r="AO112" s="68" t="n"/>
      <c r="AP112" s="68">
        <f>TABL1234[[#This Row],[(A/S) AJD]]-TABL1234[[#This Row],[SER_IN]]</f>
        <v/>
      </c>
    </row>
    <row r="113" ht="18.75" customHeight="1">
      <c r="A113" s="2" t="n">
        <v>46499</v>
      </c>
      <c r="B113" s="44" t="n"/>
      <c r="C113" s="44" t="n"/>
      <c r="D113" s="44" t="n"/>
      <c r="E113" s="44" t="n"/>
      <c r="F113" s="44" t="n"/>
      <c r="G113" s="40" t="n"/>
      <c r="H113" s="28">
        <f>103-F113</f>
        <v/>
      </c>
      <c r="I113" s="40" t="n"/>
      <c r="J113" s="44" t="n"/>
      <c r="K113" s="28">
        <f>TABL1234[[#This Row],[ (T/B) SAR]]+TABL1234[[#This Row],[ (S/S) SAR]]</f>
        <v/>
      </c>
      <c r="L113" s="45" t="n"/>
      <c r="M113" s="46" t="n"/>
      <c r="N113" s="46" t="n"/>
      <c r="O113" s="40" t="n"/>
      <c r="P113" s="3">
        <f>TABL1234[[#This Row],[ (S/S) SAR]]-TABL1234[[#This Row],[(S/S) AJD]]</f>
        <v/>
      </c>
      <c r="Q113" s="40" t="n"/>
      <c r="R113" s="3">
        <f>TABL1234[[#This Row],[ (T/B) SAR]]-TABL1234[[#This Row],[(T/B) AJD]]</f>
        <v/>
      </c>
      <c r="S113" s="3">
        <f>TABL1234[[#This Row],[T/B-CON.]]+TABL1234[[#This Row],[S/S_CON.]]</f>
        <v/>
      </c>
      <c r="T113" s="3">
        <f>TABL1234[[#This Row],[(S/S) AJD]]+TABL1234[[#This Row],[(T/B) AJD]]</f>
        <v/>
      </c>
      <c r="U113" s="44" t="n"/>
      <c r="V113" s="44" t="n"/>
      <c r="W113" s="3">
        <f>TABL1234[[#This Row],[(A/B) AJD]]+TABL1234[[#This Row],[(A/S) AJD]]</f>
        <v/>
      </c>
      <c r="X113" s="3">
        <f>TABL1234[[#This Row],[( S/S+T/B) AJD]]-TABL1234[[#This Row],[(A/B + A/S) AJD]]</f>
        <v/>
      </c>
      <c r="Y113" s="44" t="n"/>
      <c r="Z113" s="45" t="n"/>
      <c r="AA113" s="3">
        <f>TABL1234[[#This Row],[(RESV. STORGE) AJD]]/10</f>
        <v/>
      </c>
      <c r="AB113" s="3">
        <f>IF(TRIM(Z113)="",,(Z113-Z112)/1000)</f>
        <v/>
      </c>
      <c r="AC113" s="5" t="n"/>
      <c r="AD113" s="40">
        <f>TABL1234[[#This Row],[( S/S+T/B) AJD]]-(TABL1234[[#This Row],[(A/B + A/S) AJD]]+(TABL1234[[#This Row],[(STORGE DIFF.) AJD]]*1000)+TABL1234[[#This Row],[AJD_Evaporation]])</f>
        <v/>
      </c>
      <c r="AE113" s="44" t="n"/>
      <c r="AF113" s="45" t="n"/>
      <c r="AG113" s="45" t="n"/>
      <c r="AH113" s="6" t="n"/>
      <c r="AI113" s="45" t="n"/>
      <c r="AJ113" s="45">
        <f>TABL1234[[#This Row],[(A/B) AJD]]-TABL1234[[#This Row],[BER_IN]]</f>
        <v/>
      </c>
      <c r="AK113" s="45" t="n"/>
      <c r="AL113" s="45" t="n"/>
      <c r="AM113" s="32" t="n"/>
      <c r="AN113" s="32">
        <f>TABL1234[[#This Row],[ (RESV. STORGE) SER]]/10</f>
        <v/>
      </c>
      <c r="AO113" s="68" t="n"/>
      <c r="AP113" s="68">
        <f>TABL1234[[#This Row],[(A/S) AJD]]-TABL1234[[#This Row],[SER_IN]]</f>
        <v/>
      </c>
    </row>
    <row r="114" ht="18.75" customHeight="1">
      <c r="A114" s="2" t="n">
        <v>46500</v>
      </c>
      <c r="B114" s="41" t="n"/>
      <c r="C114" s="41" t="n"/>
      <c r="D114" s="41" t="n"/>
      <c r="E114" s="41" t="n"/>
      <c r="F114" s="41" t="n"/>
      <c r="G114" s="39" t="n"/>
      <c r="H114" s="28">
        <f>103-F114</f>
        <v/>
      </c>
      <c r="I114" s="39" t="n"/>
      <c r="J114" s="39" t="n"/>
      <c r="K114" s="28">
        <f>TABL1234[[#This Row],[ (T/B) SAR]]+TABL1234[[#This Row],[ (S/S) SAR]]</f>
        <v/>
      </c>
      <c r="L114" s="41" t="n"/>
      <c r="M114" s="42" t="n"/>
      <c r="N114" s="42" t="n"/>
      <c r="O114" s="39" t="n"/>
      <c r="P114" s="3">
        <f>TABL1234[[#This Row],[ (S/S) SAR]]-TABL1234[[#This Row],[(S/S) AJD]]</f>
        <v/>
      </c>
      <c r="Q114" s="39" t="n"/>
      <c r="R114" s="3">
        <f>TABL1234[[#This Row],[ (T/B) SAR]]-TABL1234[[#This Row],[(T/B) AJD]]</f>
        <v/>
      </c>
      <c r="S114" s="3">
        <f>TABL1234[[#This Row],[T/B-CON.]]+TABL1234[[#This Row],[S/S_CON.]]</f>
        <v/>
      </c>
      <c r="T114" s="3">
        <f>TABL1234[[#This Row],[(S/S) AJD]]+TABL1234[[#This Row],[(T/B) AJD]]</f>
        <v/>
      </c>
      <c r="U114" s="41" t="n"/>
      <c r="V114" s="41" t="n"/>
      <c r="W114" s="3">
        <f>TABL1234[[#This Row],[(A/B) AJD]]+TABL1234[[#This Row],[(A/S) AJD]]</f>
        <v/>
      </c>
      <c r="X114" s="3">
        <f>TABL1234[[#This Row],[( S/S+T/B) AJD]]-TABL1234[[#This Row],[(A/B + A/S) AJD]]</f>
        <v/>
      </c>
      <c r="Y114" s="41" t="n"/>
      <c r="Z114" s="43" t="n"/>
      <c r="AA114" s="3">
        <f>TABL1234[[#This Row],[(RESV. STORGE) AJD]]/10</f>
        <v/>
      </c>
      <c r="AB114" s="3">
        <f>IF(TRIM(Z114)="",,(Z114-Z113)/1000)</f>
        <v/>
      </c>
      <c r="AC114" s="5" t="n"/>
      <c r="AD114" s="39">
        <f>TABL1234[[#This Row],[( S/S+T/B) AJD]]-(TABL1234[[#This Row],[(A/B + A/S) AJD]]+(TABL1234[[#This Row],[(STORGE DIFF.) AJD]]*1000)+TABL1234[[#This Row],[AJD_Evaporation]])</f>
        <v/>
      </c>
      <c r="AE114" s="41" t="n"/>
      <c r="AF114" s="43" t="n"/>
      <c r="AG114" s="43" t="n"/>
      <c r="AH114" s="6" t="n"/>
      <c r="AI114" s="43" t="n"/>
      <c r="AJ114" s="43">
        <f>TABL1234[[#This Row],[(A/B) AJD]]-TABL1234[[#This Row],[BER_IN]]</f>
        <v/>
      </c>
      <c r="AK114" s="43" t="n"/>
      <c r="AL114" s="43" t="n"/>
      <c r="AM114" s="32" t="n"/>
      <c r="AN114" s="32">
        <f>TABL1234[[#This Row],[ (RESV. STORGE) SER]]/10</f>
        <v/>
      </c>
      <c r="AO114" s="68" t="n"/>
      <c r="AP114" s="68">
        <f>TABL1234[[#This Row],[(A/S) AJD]]-TABL1234[[#This Row],[SER_IN]]</f>
        <v/>
      </c>
    </row>
    <row r="115" ht="18.75" customHeight="1">
      <c r="A115" s="2" t="n">
        <v>46501</v>
      </c>
      <c r="B115" s="44" t="n"/>
      <c r="C115" s="44" t="n"/>
      <c r="D115" s="44" t="n"/>
      <c r="E115" s="44" t="n"/>
      <c r="F115" s="44" t="n"/>
      <c r="G115" s="40" t="n"/>
      <c r="H115" s="28">
        <f>103-F115</f>
        <v/>
      </c>
      <c r="I115" s="40" t="n"/>
      <c r="J115" s="44" t="n"/>
      <c r="K115" s="28">
        <f>TABL1234[[#This Row],[ (T/B) SAR]]+TABL1234[[#This Row],[ (S/S) SAR]]</f>
        <v/>
      </c>
      <c r="L115" s="45" t="n"/>
      <c r="M115" s="46" t="n"/>
      <c r="N115" s="46" t="n"/>
      <c r="O115" s="40" t="n"/>
      <c r="P115" s="3">
        <f>TABL1234[[#This Row],[ (S/S) SAR]]-TABL1234[[#This Row],[(S/S) AJD]]</f>
        <v/>
      </c>
      <c r="Q115" s="40" t="n"/>
      <c r="R115" s="3">
        <f>TABL1234[[#This Row],[ (T/B) SAR]]-TABL1234[[#This Row],[(T/B) AJD]]</f>
        <v/>
      </c>
      <c r="S115" s="3">
        <f>TABL1234[[#This Row],[T/B-CON.]]+TABL1234[[#This Row],[S/S_CON.]]</f>
        <v/>
      </c>
      <c r="T115" s="3">
        <f>TABL1234[[#This Row],[(S/S) AJD]]+TABL1234[[#This Row],[(T/B) AJD]]</f>
        <v/>
      </c>
      <c r="U115" s="44" t="n"/>
      <c r="V115" s="44" t="n"/>
      <c r="W115" s="3">
        <f>TABL1234[[#This Row],[(A/B) AJD]]+TABL1234[[#This Row],[(A/S) AJD]]</f>
        <v/>
      </c>
      <c r="X115" s="3">
        <f>TABL1234[[#This Row],[( S/S+T/B) AJD]]-TABL1234[[#This Row],[(A/B + A/S) AJD]]</f>
        <v/>
      </c>
      <c r="Y115" s="44" t="n"/>
      <c r="Z115" s="45" t="n"/>
      <c r="AA115" s="3">
        <f>TABL1234[[#This Row],[(RESV. STORGE) AJD]]/10</f>
        <v/>
      </c>
      <c r="AB115" s="3">
        <f>IF(TRIM(Z115)="",,(Z115-Z114)/1000)</f>
        <v/>
      </c>
      <c r="AC115" s="5" t="n"/>
      <c r="AD115" s="40">
        <f>TABL1234[[#This Row],[( S/S+T/B) AJD]]-(TABL1234[[#This Row],[(A/B + A/S) AJD]]+(TABL1234[[#This Row],[(STORGE DIFF.) AJD]]*1000)+TABL1234[[#This Row],[AJD_Evaporation]])</f>
        <v/>
      </c>
      <c r="AE115" s="44" t="n"/>
      <c r="AF115" s="45" t="n"/>
      <c r="AG115" s="45" t="n"/>
      <c r="AH115" s="6" t="n"/>
      <c r="AI115" s="45" t="n"/>
      <c r="AJ115" s="45">
        <f>TABL1234[[#This Row],[(A/B) AJD]]-TABL1234[[#This Row],[BER_IN]]</f>
        <v/>
      </c>
      <c r="AK115" s="45" t="n"/>
      <c r="AL115" s="45" t="n"/>
      <c r="AM115" s="32" t="n"/>
      <c r="AN115" s="32">
        <f>TABL1234[[#This Row],[ (RESV. STORGE) SER]]/10</f>
        <v/>
      </c>
      <c r="AO115" s="68" t="n"/>
      <c r="AP115" s="68">
        <f>TABL1234[[#This Row],[(A/S) AJD]]-TABL1234[[#This Row],[SER_IN]]</f>
        <v/>
      </c>
    </row>
    <row r="116" ht="18.75" customHeight="1">
      <c r="A116" s="2" t="n">
        <v>46502</v>
      </c>
      <c r="B116" s="41" t="n"/>
      <c r="C116" s="41" t="n"/>
      <c r="D116" s="41" t="n"/>
      <c r="E116" s="41" t="n"/>
      <c r="F116" s="41" t="n"/>
      <c r="G116" s="39" t="n"/>
      <c r="H116" s="28">
        <f>103-F116</f>
        <v/>
      </c>
      <c r="I116" s="39" t="n"/>
      <c r="J116" s="39" t="n"/>
      <c r="K116" s="28">
        <f>TABL1234[[#This Row],[ (T/B) SAR]]+TABL1234[[#This Row],[ (S/S) SAR]]</f>
        <v/>
      </c>
      <c r="L116" s="41" t="n"/>
      <c r="M116" s="42" t="n"/>
      <c r="N116" s="42" t="n"/>
      <c r="O116" s="39" t="n"/>
      <c r="P116" s="3">
        <f>TABL1234[[#This Row],[ (S/S) SAR]]-TABL1234[[#This Row],[(S/S) AJD]]</f>
        <v/>
      </c>
      <c r="Q116" s="39" t="n"/>
      <c r="R116" s="3">
        <f>TABL1234[[#This Row],[ (T/B) SAR]]-TABL1234[[#This Row],[(T/B) AJD]]</f>
        <v/>
      </c>
      <c r="S116" s="3">
        <f>TABL1234[[#This Row],[T/B-CON.]]+TABL1234[[#This Row],[S/S_CON.]]</f>
        <v/>
      </c>
      <c r="T116" s="3">
        <f>TABL1234[[#This Row],[(S/S) AJD]]+TABL1234[[#This Row],[(T/B) AJD]]</f>
        <v/>
      </c>
      <c r="U116" s="41" t="n"/>
      <c r="V116" s="41" t="n"/>
      <c r="W116" s="3">
        <f>TABL1234[[#This Row],[(A/B) AJD]]+TABL1234[[#This Row],[(A/S) AJD]]</f>
        <v/>
      </c>
      <c r="X116" s="3">
        <f>TABL1234[[#This Row],[( S/S+T/B) AJD]]-TABL1234[[#This Row],[(A/B + A/S) AJD]]</f>
        <v/>
      </c>
      <c r="Y116" s="41" t="n"/>
      <c r="Z116" s="43" t="n"/>
      <c r="AA116" s="3">
        <f>TABL1234[[#This Row],[(RESV. STORGE) AJD]]/10</f>
        <v/>
      </c>
      <c r="AB116" s="3">
        <f>IF(TRIM(Z116)="",,(Z116-Z115)/1000)</f>
        <v/>
      </c>
      <c r="AC116" s="5" t="n"/>
      <c r="AD116" s="39">
        <f>TABL1234[[#This Row],[( S/S+T/B) AJD]]-(TABL1234[[#This Row],[(A/B + A/S) AJD]]+(TABL1234[[#This Row],[(STORGE DIFF.) AJD]]*1000)+TABL1234[[#This Row],[AJD_Evaporation]])</f>
        <v/>
      </c>
      <c r="AE116" s="41" t="n"/>
      <c r="AF116" s="43" t="n"/>
      <c r="AG116" s="43" t="n"/>
      <c r="AH116" s="6" t="n"/>
      <c r="AI116" s="43" t="n"/>
      <c r="AJ116" s="43">
        <f>TABL1234[[#This Row],[(A/B) AJD]]-TABL1234[[#This Row],[BER_IN]]</f>
        <v/>
      </c>
      <c r="AK116" s="43" t="n"/>
      <c r="AL116" s="43" t="n"/>
      <c r="AM116" s="32" t="n"/>
      <c r="AN116" s="32">
        <f>TABL1234[[#This Row],[ (RESV. STORGE) SER]]/10</f>
        <v/>
      </c>
      <c r="AO116" s="68" t="n"/>
      <c r="AP116" s="68">
        <f>TABL1234[[#This Row],[(A/S) AJD]]-TABL1234[[#This Row],[SER_IN]]</f>
        <v/>
      </c>
    </row>
    <row r="117" ht="18.75" customHeight="1">
      <c r="A117" s="2" t="n">
        <v>46503</v>
      </c>
      <c r="B117" s="44" t="n"/>
      <c r="C117" s="67" t="n"/>
      <c r="D117" s="44" t="n"/>
      <c r="E117" s="44" t="n"/>
      <c r="F117" s="44" t="n"/>
      <c r="G117" s="40" t="n"/>
      <c r="H117" s="28">
        <f>103-F117</f>
        <v/>
      </c>
      <c r="I117" s="40" t="n"/>
      <c r="J117" s="44" t="n"/>
      <c r="K117" s="28">
        <f>TABL1234[[#This Row],[ (T/B) SAR]]+TABL1234[[#This Row],[ (S/S) SAR]]</f>
        <v/>
      </c>
      <c r="L117" s="45" t="n"/>
      <c r="M117" s="46" t="n"/>
      <c r="N117" s="46" t="n"/>
      <c r="O117" s="40" t="n"/>
      <c r="P117" s="3">
        <f>TABL1234[[#This Row],[ (S/S) SAR]]-TABL1234[[#This Row],[(S/S) AJD]]</f>
        <v/>
      </c>
      <c r="Q117" s="40" t="n"/>
      <c r="R117" s="3">
        <f>TABL1234[[#This Row],[ (T/B) SAR]]-TABL1234[[#This Row],[(T/B) AJD]]</f>
        <v/>
      </c>
      <c r="S117" s="3">
        <f>TABL1234[[#This Row],[T/B-CON.]]+TABL1234[[#This Row],[S/S_CON.]]</f>
        <v/>
      </c>
      <c r="T117" s="3">
        <f>TABL1234[[#This Row],[(S/S) AJD]]+TABL1234[[#This Row],[(T/B) AJD]]</f>
        <v/>
      </c>
      <c r="U117" s="44" t="n"/>
      <c r="V117" s="44" t="n"/>
      <c r="W117" s="3">
        <f>TABL1234[[#This Row],[(A/B) AJD]]+TABL1234[[#This Row],[(A/S) AJD]]</f>
        <v/>
      </c>
      <c r="X117" s="3">
        <f>TABL1234[[#This Row],[( S/S+T/B) AJD]]-TABL1234[[#This Row],[(A/B + A/S) AJD]]</f>
        <v/>
      </c>
      <c r="Y117" s="44" t="n"/>
      <c r="Z117" s="45" t="n"/>
      <c r="AA117" s="3">
        <f>TABL1234[[#This Row],[(RESV. STORGE) AJD]]/10</f>
        <v/>
      </c>
      <c r="AB117" s="3">
        <f>IF(TRIM(Z117)="",,(Z117-Z116)/1000)</f>
        <v/>
      </c>
      <c r="AC117" s="5" t="n"/>
      <c r="AD117" s="40">
        <f>TABL1234[[#This Row],[( S/S+T/B) AJD]]-(TABL1234[[#This Row],[(A/B + A/S) AJD]]+(TABL1234[[#This Row],[(STORGE DIFF.) AJD]]*1000)+TABL1234[[#This Row],[AJD_Evaporation]])</f>
        <v/>
      </c>
      <c r="AE117" s="44" t="n"/>
      <c r="AF117" s="45" t="n"/>
      <c r="AG117" s="45" t="n"/>
      <c r="AH117" s="6" t="n"/>
      <c r="AI117" s="45" t="n"/>
      <c r="AJ117" s="45">
        <f>TABL1234[[#This Row],[(A/B) AJD]]-TABL1234[[#This Row],[BER_IN]]</f>
        <v/>
      </c>
      <c r="AK117" s="45" t="n"/>
      <c r="AL117" s="45" t="n"/>
      <c r="AM117" s="32" t="n"/>
      <c r="AN117" s="32">
        <f>TABL1234[[#This Row],[ (RESV. STORGE) SER]]/10</f>
        <v/>
      </c>
      <c r="AO117" s="68" t="n"/>
      <c r="AP117" s="68">
        <f>TABL1234[[#This Row],[(A/S) AJD]]-TABL1234[[#This Row],[SER_IN]]</f>
        <v/>
      </c>
    </row>
    <row r="118" ht="18.75" customHeight="1">
      <c r="A118" s="2" t="n">
        <v>46504</v>
      </c>
      <c r="B118" s="41" t="n"/>
      <c r="C118" s="41" t="n"/>
      <c r="D118" s="41" t="n"/>
      <c r="E118" s="41" t="n"/>
      <c r="F118" s="41" t="n"/>
      <c r="G118" s="39" t="n"/>
      <c r="H118" s="28">
        <f>103-F118</f>
        <v/>
      </c>
      <c r="I118" s="39" t="n"/>
      <c r="J118" s="39" t="n"/>
      <c r="K118" s="28">
        <f>TABL1234[[#This Row],[ (T/B) SAR]]+TABL1234[[#This Row],[ (S/S) SAR]]</f>
        <v/>
      </c>
      <c r="L118" s="41" t="n"/>
      <c r="M118" s="42" t="n"/>
      <c r="N118" s="42" t="n"/>
      <c r="O118" s="39" t="n"/>
      <c r="P118" s="3">
        <f>TABL1234[[#This Row],[ (S/S) SAR]]-TABL1234[[#This Row],[(S/S) AJD]]</f>
        <v/>
      </c>
      <c r="Q118" s="39" t="n"/>
      <c r="R118" s="3">
        <f>TABL1234[[#This Row],[ (T/B) SAR]]-TABL1234[[#This Row],[(T/B) AJD]]</f>
        <v/>
      </c>
      <c r="S118" s="3">
        <f>TABL1234[[#This Row],[T/B-CON.]]+TABL1234[[#This Row],[S/S_CON.]]</f>
        <v/>
      </c>
      <c r="T118" s="3">
        <f>TABL1234[[#This Row],[(S/S) AJD]]+TABL1234[[#This Row],[(T/B) AJD]]</f>
        <v/>
      </c>
      <c r="U118" s="41" t="n"/>
      <c r="V118" s="41" t="n"/>
      <c r="W118" s="3">
        <f>TABL1234[[#This Row],[(A/B) AJD]]+TABL1234[[#This Row],[(A/S) AJD]]</f>
        <v/>
      </c>
      <c r="X118" s="3">
        <f>TABL1234[[#This Row],[( S/S+T/B) AJD]]-TABL1234[[#This Row],[(A/B + A/S) AJD]]</f>
        <v/>
      </c>
      <c r="Y118" s="41" t="n"/>
      <c r="Z118" s="43" t="n"/>
      <c r="AA118" s="3">
        <f>TABL1234[[#This Row],[(RESV. STORGE) AJD]]/10</f>
        <v/>
      </c>
      <c r="AB118" s="3">
        <f>IF(TRIM(Z118)="",,(Z118-Z117)/1000)</f>
        <v/>
      </c>
      <c r="AC118" s="5" t="n"/>
      <c r="AD118" s="39">
        <f>TABL1234[[#This Row],[( S/S+T/B) AJD]]-(TABL1234[[#This Row],[(A/B + A/S) AJD]]+(TABL1234[[#This Row],[(STORGE DIFF.) AJD]]*1000)+TABL1234[[#This Row],[AJD_Evaporation]])</f>
        <v/>
      </c>
      <c r="AE118" s="41" t="n"/>
      <c r="AF118" s="43" t="n"/>
      <c r="AG118" s="43" t="n"/>
      <c r="AH118" s="6" t="n"/>
      <c r="AI118" s="43" t="n"/>
      <c r="AJ118" s="43">
        <f>TABL1234[[#This Row],[(A/B) AJD]]-TABL1234[[#This Row],[BER_IN]]</f>
        <v/>
      </c>
      <c r="AK118" s="43" t="n"/>
      <c r="AL118" s="43" t="n"/>
      <c r="AM118" s="32" t="n"/>
      <c r="AN118" s="32">
        <f>TABL1234[[#This Row],[ (RESV. STORGE) SER]]/10</f>
        <v/>
      </c>
      <c r="AO118" s="68" t="n"/>
      <c r="AP118" s="68">
        <f>TABL1234[[#This Row],[(A/S) AJD]]-TABL1234[[#This Row],[SER_IN]]</f>
        <v/>
      </c>
    </row>
    <row r="119" ht="18.75" customHeight="1">
      <c r="A119" s="2" t="n">
        <v>46505</v>
      </c>
      <c r="B119" s="44" t="n"/>
      <c r="C119" s="44" t="n"/>
      <c r="D119" s="44" t="n"/>
      <c r="E119" s="44" t="n"/>
      <c r="F119" s="44" t="n"/>
      <c r="G119" s="40" t="n"/>
      <c r="H119" s="28">
        <f>103-F119</f>
        <v/>
      </c>
      <c r="I119" s="40" t="n"/>
      <c r="J119" s="44" t="n"/>
      <c r="K119" s="28">
        <f>TABL1234[[#This Row],[ (T/B) SAR]]+TABL1234[[#This Row],[ (S/S) SAR]]</f>
        <v/>
      </c>
      <c r="L119" s="45" t="n"/>
      <c r="M119" s="46" t="n"/>
      <c r="N119" s="46" t="n"/>
      <c r="O119" s="40" t="n"/>
      <c r="P119" s="3">
        <f>TABL1234[[#This Row],[ (S/S) SAR]]-TABL1234[[#This Row],[(S/S) AJD]]</f>
        <v/>
      </c>
      <c r="Q119" s="40" t="n"/>
      <c r="R119" s="3">
        <f>TABL1234[[#This Row],[ (T/B) SAR]]-TABL1234[[#This Row],[(T/B) AJD]]</f>
        <v/>
      </c>
      <c r="S119" s="3">
        <f>TABL1234[[#This Row],[T/B-CON.]]+TABL1234[[#This Row],[S/S_CON.]]</f>
        <v/>
      </c>
      <c r="T119" s="3">
        <f>TABL1234[[#This Row],[(S/S) AJD]]+TABL1234[[#This Row],[(T/B) AJD]]</f>
        <v/>
      </c>
      <c r="U119" s="44" t="n"/>
      <c r="V119" s="44" t="n"/>
      <c r="W119" s="3">
        <f>TABL1234[[#This Row],[(A/B) AJD]]+TABL1234[[#This Row],[(A/S) AJD]]</f>
        <v/>
      </c>
      <c r="X119" s="3">
        <f>TABL1234[[#This Row],[( S/S+T/B) AJD]]-TABL1234[[#This Row],[(A/B + A/S) AJD]]</f>
        <v/>
      </c>
      <c r="Y119" s="44" t="n"/>
      <c r="Z119" s="45" t="n"/>
      <c r="AA119" s="3">
        <f>TABL1234[[#This Row],[(RESV. STORGE) AJD]]/10</f>
        <v/>
      </c>
      <c r="AB119" s="3">
        <f>IF(TRIM(Z119)="",,(Z119-Z118)/1000)</f>
        <v/>
      </c>
      <c r="AC119" s="5" t="n"/>
      <c r="AD119" s="40">
        <f>TABL1234[[#This Row],[( S/S+T/B) AJD]]-(TABL1234[[#This Row],[(A/B + A/S) AJD]]+(TABL1234[[#This Row],[(STORGE DIFF.) AJD]]*1000)+TABL1234[[#This Row],[AJD_Evaporation]])</f>
        <v/>
      </c>
      <c r="AE119" s="44" t="n"/>
      <c r="AF119" s="45" t="n"/>
      <c r="AG119" s="45" t="n"/>
      <c r="AH119" s="6" t="n"/>
      <c r="AI119" s="45" t="n"/>
      <c r="AJ119" s="45">
        <f>TABL1234[[#This Row],[(A/B) AJD]]-TABL1234[[#This Row],[BER_IN]]</f>
        <v/>
      </c>
      <c r="AK119" s="45" t="n"/>
      <c r="AL119" s="45" t="n"/>
      <c r="AM119" s="32" t="n"/>
      <c r="AN119" s="32">
        <f>TABL1234[[#This Row],[ (RESV. STORGE) SER]]/10</f>
        <v/>
      </c>
      <c r="AO119" s="68" t="n"/>
      <c r="AP119" s="68">
        <f>TABL1234[[#This Row],[(A/S) AJD]]-TABL1234[[#This Row],[SER_IN]]</f>
        <v/>
      </c>
    </row>
    <row r="120" ht="18.75" customHeight="1">
      <c r="A120" s="2" t="n">
        <v>46506</v>
      </c>
      <c r="B120" s="41" t="n"/>
      <c r="C120" s="41" t="n"/>
      <c r="D120" s="41" t="n"/>
      <c r="E120" s="41" t="n"/>
      <c r="F120" s="41" t="n"/>
      <c r="G120" s="39" t="n"/>
      <c r="H120" s="28">
        <f>103-F120</f>
        <v/>
      </c>
      <c r="I120" s="39" t="n"/>
      <c r="J120" s="39" t="n"/>
      <c r="K120" s="28">
        <f>TABL1234[[#This Row],[ (T/B) SAR]]+TABL1234[[#This Row],[ (S/S) SAR]]</f>
        <v/>
      </c>
      <c r="L120" s="41" t="n"/>
      <c r="M120" s="42" t="n"/>
      <c r="N120" s="42" t="n"/>
      <c r="O120" s="39" t="n"/>
      <c r="P120" s="3">
        <f>TABL1234[[#This Row],[ (S/S) SAR]]-TABL1234[[#This Row],[(S/S) AJD]]</f>
        <v/>
      </c>
      <c r="Q120" s="39" t="n"/>
      <c r="R120" s="3">
        <f>TABL1234[[#This Row],[ (T/B) SAR]]-TABL1234[[#This Row],[(T/B) AJD]]</f>
        <v/>
      </c>
      <c r="S120" s="3">
        <f>TABL1234[[#This Row],[T/B-CON.]]+TABL1234[[#This Row],[S/S_CON.]]</f>
        <v/>
      </c>
      <c r="T120" s="3">
        <f>TABL1234[[#This Row],[(S/S) AJD]]+TABL1234[[#This Row],[(T/B) AJD]]</f>
        <v/>
      </c>
      <c r="U120" s="41" t="n"/>
      <c r="V120" s="41" t="n"/>
      <c r="W120" s="3">
        <f>TABL1234[[#This Row],[(A/B) AJD]]+TABL1234[[#This Row],[(A/S) AJD]]</f>
        <v/>
      </c>
      <c r="X120" s="3">
        <f>TABL1234[[#This Row],[( S/S+T/B) AJD]]-TABL1234[[#This Row],[(A/B + A/S) AJD]]</f>
        <v/>
      </c>
      <c r="Y120" s="41" t="n"/>
      <c r="Z120" s="43" t="n"/>
      <c r="AA120" s="3">
        <f>TABL1234[[#This Row],[(RESV. STORGE) AJD]]/10</f>
        <v/>
      </c>
      <c r="AB120" s="3">
        <f>IF(TRIM(Z120)="",,(Z120-Z119)/1000)</f>
        <v/>
      </c>
      <c r="AC120" s="5" t="n"/>
      <c r="AD120" s="39">
        <f>TABL1234[[#This Row],[( S/S+T/B) AJD]]-(TABL1234[[#This Row],[(A/B + A/S) AJD]]+(TABL1234[[#This Row],[(STORGE DIFF.) AJD]]*1000)+TABL1234[[#This Row],[AJD_Evaporation]])</f>
        <v/>
      </c>
      <c r="AE120" s="41" t="n"/>
      <c r="AF120" s="43" t="n"/>
      <c r="AG120" s="43" t="n"/>
      <c r="AH120" s="6" t="n"/>
      <c r="AI120" s="43" t="n"/>
      <c r="AJ120" s="43">
        <f>TABL1234[[#This Row],[(A/B) AJD]]-TABL1234[[#This Row],[BER_IN]]</f>
        <v/>
      </c>
      <c r="AK120" s="43" t="n"/>
      <c r="AL120" s="43" t="n"/>
      <c r="AM120" s="32" t="n"/>
      <c r="AN120" s="32">
        <f>TABL1234[[#This Row],[ (RESV. STORGE) SER]]/10</f>
        <v/>
      </c>
      <c r="AO120" s="68" t="n"/>
      <c r="AP120" s="68">
        <f>TABL1234[[#This Row],[(A/S) AJD]]-TABL1234[[#This Row],[SER_IN]]</f>
        <v/>
      </c>
    </row>
    <row r="121" ht="18.75" customHeight="1">
      <c r="A121" s="2" t="n">
        <v>46507</v>
      </c>
      <c r="B121" s="44" t="n"/>
      <c r="C121" s="44" t="n"/>
      <c r="D121" s="44" t="n"/>
      <c r="E121" s="44" t="n"/>
      <c r="F121" s="44" t="n"/>
      <c r="G121" s="40" t="n"/>
      <c r="H121" s="28">
        <f>103-F121</f>
        <v/>
      </c>
      <c r="I121" s="40" t="n"/>
      <c r="J121" s="44" t="n"/>
      <c r="K121" s="28">
        <f>TABL1234[[#This Row],[ (T/B) SAR]]+TABL1234[[#This Row],[ (S/S) SAR]]</f>
        <v/>
      </c>
      <c r="L121" s="45" t="n"/>
      <c r="M121" s="46" t="n"/>
      <c r="N121" s="46" t="n"/>
      <c r="O121" s="40" t="n"/>
      <c r="P121" s="3">
        <f>TABL1234[[#This Row],[ (S/S) SAR]]-TABL1234[[#This Row],[(S/S) AJD]]</f>
        <v/>
      </c>
      <c r="Q121" s="40" t="n"/>
      <c r="R121" s="3">
        <f>TABL1234[[#This Row],[ (T/B) SAR]]-TABL1234[[#This Row],[(T/B) AJD]]</f>
        <v/>
      </c>
      <c r="S121" s="3">
        <f>TABL1234[[#This Row],[T/B-CON.]]+TABL1234[[#This Row],[S/S_CON.]]</f>
        <v/>
      </c>
      <c r="T121" s="3">
        <f>TABL1234[[#This Row],[(S/S) AJD]]+TABL1234[[#This Row],[(T/B) AJD]]</f>
        <v/>
      </c>
      <c r="U121" s="44" t="n"/>
      <c r="V121" s="44" t="n"/>
      <c r="W121" s="3">
        <f>TABL1234[[#This Row],[(A/B) AJD]]+TABL1234[[#This Row],[(A/S) AJD]]</f>
        <v/>
      </c>
      <c r="X121" s="3">
        <f>TABL1234[[#This Row],[( S/S+T/B) AJD]]-TABL1234[[#This Row],[(A/B + A/S) AJD]]</f>
        <v/>
      </c>
      <c r="Y121" s="44" t="n"/>
      <c r="Z121" s="45" t="n"/>
      <c r="AA121" s="3">
        <f>TABL1234[[#This Row],[(RESV. STORGE) AJD]]/10</f>
        <v/>
      </c>
      <c r="AB121" s="3">
        <f>IF(TRIM(Z121)="",,(Z121-Z120)/1000)</f>
        <v/>
      </c>
      <c r="AC121" s="5" t="n"/>
      <c r="AD121" s="40">
        <f>TABL1234[[#This Row],[( S/S+T/B) AJD]]-(TABL1234[[#This Row],[(A/B + A/S) AJD]]+(TABL1234[[#This Row],[(STORGE DIFF.) AJD]]*1000)+TABL1234[[#This Row],[AJD_Evaporation]])</f>
        <v/>
      </c>
      <c r="AE121" s="44" t="n"/>
      <c r="AF121" s="45" t="n"/>
      <c r="AG121" s="45" t="n"/>
      <c r="AH121" s="6" t="n"/>
      <c r="AI121" s="45" t="n"/>
      <c r="AJ121" s="45">
        <f>TABL1234[[#This Row],[(A/B) AJD]]-TABL1234[[#This Row],[BER_IN]]</f>
        <v/>
      </c>
      <c r="AK121" s="45" t="n"/>
      <c r="AL121" s="45" t="n"/>
      <c r="AM121" s="32" t="n"/>
      <c r="AN121" s="32">
        <f>TABL1234[[#This Row],[ (RESV. STORGE) SER]]/10</f>
        <v/>
      </c>
      <c r="AO121" s="68" t="n"/>
      <c r="AP121" s="68">
        <f>TABL1234[[#This Row],[(A/S) AJD]]-TABL1234[[#This Row],[SER_IN]]</f>
        <v/>
      </c>
    </row>
    <row r="122" ht="18.75" customHeight="1">
      <c r="A122" s="2" t="n">
        <v>46508</v>
      </c>
      <c r="B122" s="41" t="n"/>
      <c r="C122" s="41" t="n"/>
      <c r="D122" s="41" t="n"/>
      <c r="E122" s="41" t="n"/>
      <c r="F122" s="41" t="n"/>
      <c r="G122" s="39" t="n"/>
      <c r="H122" s="28">
        <f>103-F122</f>
        <v/>
      </c>
      <c r="I122" s="39" t="n"/>
      <c r="J122" s="39" t="n"/>
      <c r="K122" s="28">
        <f>TABL1234[[#This Row],[ (T/B) SAR]]+TABL1234[[#This Row],[ (S/S) SAR]]</f>
        <v/>
      </c>
      <c r="L122" s="41" t="n"/>
      <c r="M122" s="42" t="n"/>
      <c r="N122" s="42" t="n"/>
      <c r="O122" s="39" t="n"/>
      <c r="P122" s="3">
        <f>TABL1234[[#This Row],[ (S/S) SAR]]-TABL1234[[#This Row],[(S/S) AJD]]</f>
        <v/>
      </c>
      <c r="Q122" s="39" t="n"/>
      <c r="R122" s="3">
        <f>TABL1234[[#This Row],[ (T/B) SAR]]-TABL1234[[#This Row],[(T/B) AJD]]</f>
        <v/>
      </c>
      <c r="S122" s="3">
        <f>TABL1234[[#This Row],[T/B-CON.]]+TABL1234[[#This Row],[S/S_CON.]]</f>
        <v/>
      </c>
      <c r="T122" s="3">
        <f>TABL1234[[#This Row],[(S/S) AJD]]+TABL1234[[#This Row],[(T/B) AJD]]</f>
        <v/>
      </c>
      <c r="U122" s="41" t="n"/>
      <c r="V122" s="41" t="n"/>
      <c r="W122" s="3">
        <f>TABL1234[[#This Row],[(A/B) AJD]]+TABL1234[[#This Row],[(A/S) AJD]]</f>
        <v/>
      </c>
      <c r="X122" s="3">
        <f>TABL1234[[#This Row],[( S/S+T/B) AJD]]-TABL1234[[#This Row],[(A/B + A/S) AJD]]</f>
        <v/>
      </c>
      <c r="Y122" s="41" t="n"/>
      <c r="Z122" s="43" t="n"/>
      <c r="AA122" s="3">
        <f>TABL1234[[#This Row],[(RESV. STORGE) AJD]]/10</f>
        <v/>
      </c>
      <c r="AB122" s="3">
        <f>IF(TRIM(Z122)="",,(Z122-Z121)/1000)</f>
        <v/>
      </c>
      <c r="AC122" s="5" t="n"/>
      <c r="AD122" s="39">
        <f>TABL1234[[#This Row],[( S/S+T/B) AJD]]-(TABL1234[[#This Row],[(A/B + A/S) AJD]]+(TABL1234[[#This Row],[(STORGE DIFF.) AJD]]*1000)+TABL1234[[#This Row],[AJD_Evaporation]])</f>
        <v/>
      </c>
      <c r="AE122" s="41" t="n"/>
      <c r="AF122" s="43" t="n"/>
      <c r="AG122" s="43" t="n"/>
      <c r="AH122" s="6" t="n"/>
      <c r="AI122" s="43" t="n"/>
      <c r="AJ122" s="43">
        <f>TABL1234[[#This Row],[(A/B) AJD]]-TABL1234[[#This Row],[BER_IN]]</f>
        <v/>
      </c>
      <c r="AK122" s="43" t="n"/>
      <c r="AL122" s="43" t="n"/>
      <c r="AM122" s="32" t="n"/>
      <c r="AN122" s="32">
        <f>TABL1234[[#This Row],[ (RESV. STORGE) SER]]/10</f>
        <v/>
      </c>
      <c r="AO122" s="68" t="n"/>
      <c r="AP122" s="68">
        <f>TABL1234[[#This Row],[(A/S) AJD]]-TABL1234[[#This Row],[SER_IN]]</f>
        <v/>
      </c>
    </row>
    <row r="123" ht="18.75" customHeight="1">
      <c r="A123" s="2" t="n">
        <v>46509</v>
      </c>
      <c r="B123" s="44" t="n"/>
      <c r="C123" s="44" t="n"/>
      <c r="D123" s="44" t="n"/>
      <c r="E123" s="44" t="n"/>
      <c r="F123" s="44" t="n"/>
      <c r="G123" s="40" t="n"/>
      <c r="H123" s="28">
        <f>103-F123</f>
        <v/>
      </c>
      <c r="I123" s="40" t="n"/>
      <c r="J123" s="44" t="n"/>
      <c r="K123" s="28">
        <f>TABL1234[[#This Row],[ (T/B) SAR]]+TABL1234[[#This Row],[ (S/S) SAR]]</f>
        <v/>
      </c>
      <c r="L123" s="45" t="n"/>
      <c r="M123" s="46" t="n"/>
      <c r="N123" s="46" t="n"/>
      <c r="O123" s="40" t="n"/>
      <c r="P123" s="3">
        <f>TABL1234[[#This Row],[ (S/S) SAR]]-TABL1234[[#This Row],[(S/S) AJD]]</f>
        <v/>
      </c>
      <c r="Q123" s="40" t="n"/>
      <c r="R123" s="3">
        <f>TABL1234[[#This Row],[ (T/B) SAR]]-TABL1234[[#This Row],[(T/B) AJD]]</f>
        <v/>
      </c>
      <c r="S123" s="3">
        <f>TABL1234[[#This Row],[T/B-CON.]]+TABL1234[[#This Row],[S/S_CON.]]</f>
        <v/>
      </c>
      <c r="T123" s="3">
        <f>TABL1234[[#This Row],[(S/S) AJD]]+TABL1234[[#This Row],[(T/B) AJD]]</f>
        <v/>
      </c>
      <c r="U123" s="44" t="n"/>
      <c r="V123" s="44" t="n"/>
      <c r="W123" s="3">
        <f>TABL1234[[#This Row],[(A/B) AJD]]+TABL1234[[#This Row],[(A/S) AJD]]</f>
        <v/>
      </c>
      <c r="X123" s="3">
        <f>TABL1234[[#This Row],[( S/S+T/B) AJD]]-TABL1234[[#This Row],[(A/B + A/S) AJD]]</f>
        <v/>
      </c>
      <c r="Y123" s="44" t="n"/>
      <c r="Z123" s="45" t="n"/>
      <c r="AA123" s="3">
        <f>TABL1234[[#This Row],[(RESV. STORGE) AJD]]/10</f>
        <v/>
      </c>
      <c r="AB123" s="3">
        <f>IF(TRIM(Z123)="",,(Z123-Z122)/1000)</f>
        <v/>
      </c>
      <c r="AC123" s="5" t="n"/>
      <c r="AD123" s="40">
        <f>TABL1234[[#This Row],[( S/S+T/B) AJD]]-(TABL1234[[#This Row],[(A/B + A/S) AJD]]+(TABL1234[[#This Row],[(STORGE DIFF.) AJD]]*1000)+TABL1234[[#This Row],[AJD_Evaporation]])</f>
        <v/>
      </c>
      <c r="AE123" s="44" t="n"/>
      <c r="AF123" s="45" t="n"/>
      <c r="AG123" s="45" t="n"/>
      <c r="AH123" s="6" t="n"/>
      <c r="AI123" s="45" t="n"/>
      <c r="AJ123" s="45">
        <f>TABL1234[[#This Row],[(A/B) AJD]]-TABL1234[[#This Row],[BER_IN]]</f>
        <v/>
      </c>
      <c r="AK123" s="45" t="n"/>
      <c r="AL123" s="45" t="n"/>
      <c r="AM123" s="32" t="n"/>
      <c r="AN123" s="32">
        <f>TABL1234[[#This Row],[ (RESV. STORGE) SER]]/10</f>
        <v/>
      </c>
      <c r="AO123" s="68" t="n"/>
      <c r="AP123" s="68">
        <f>TABL1234[[#This Row],[(A/S) AJD]]-TABL1234[[#This Row],[SER_IN]]</f>
        <v/>
      </c>
    </row>
    <row r="124" ht="18.75" customHeight="1">
      <c r="A124" s="2" t="n">
        <v>46510</v>
      </c>
      <c r="B124" s="41" t="n"/>
      <c r="C124" s="41" t="n"/>
      <c r="D124" s="41" t="n"/>
      <c r="E124" s="41" t="n"/>
      <c r="F124" s="41" t="n"/>
      <c r="G124" s="39" t="n"/>
      <c r="H124" s="28">
        <f>103-F124</f>
        <v/>
      </c>
      <c r="I124" s="39" t="n"/>
      <c r="J124" s="39" t="n"/>
      <c r="K124" s="28">
        <f>TABL1234[[#This Row],[ (T/B) SAR]]+TABL1234[[#This Row],[ (S/S) SAR]]</f>
        <v/>
      </c>
      <c r="L124" s="41" t="n"/>
      <c r="M124" s="42" t="n"/>
      <c r="N124" s="42" t="n"/>
      <c r="O124" s="39" t="n"/>
      <c r="P124" s="3">
        <f>TABL1234[[#This Row],[ (S/S) SAR]]-TABL1234[[#This Row],[(S/S) AJD]]</f>
        <v/>
      </c>
      <c r="Q124" s="39" t="n"/>
      <c r="R124" s="3">
        <f>TABL1234[[#This Row],[ (T/B) SAR]]-TABL1234[[#This Row],[(T/B) AJD]]</f>
        <v/>
      </c>
      <c r="S124" s="3">
        <f>TABL1234[[#This Row],[T/B-CON.]]+TABL1234[[#This Row],[S/S_CON.]]</f>
        <v/>
      </c>
      <c r="T124" s="3">
        <f>TABL1234[[#This Row],[(S/S) AJD]]+TABL1234[[#This Row],[(T/B) AJD]]</f>
        <v/>
      </c>
      <c r="U124" s="41" t="n"/>
      <c r="V124" s="41" t="n"/>
      <c r="W124" s="3">
        <f>TABL1234[[#This Row],[(A/B) AJD]]+TABL1234[[#This Row],[(A/S) AJD]]</f>
        <v/>
      </c>
      <c r="X124" s="3">
        <f>TABL1234[[#This Row],[( S/S+T/B) AJD]]-TABL1234[[#This Row],[(A/B + A/S) AJD]]</f>
        <v/>
      </c>
      <c r="Y124" s="41" t="n"/>
      <c r="Z124" s="43" t="n"/>
      <c r="AA124" s="3">
        <f>TABL1234[[#This Row],[(RESV. STORGE) AJD]]/10</f>
        <v/>
      </c>
      <c r="AB124" s="3">
        <f>IF(TRIM(Z124)="",,(Z124-Z123)/1000)</f>
        <v/>
      </c>
      <c r="AC124" s="5" t="n"/>
      <c r="AD124" s="39">
        <f>TABL1234[[#This Row],[( S/S+T/B) AJD]]-(TABL1234[[#This Row],[(A/B + A/S) AJD]]+(TABL1234[[#This Row],[(STORGE DIFF.) AJD]]*1000)+TABL1234[[#This Row],[AJD_Evaporation]])</f>
        <v/>
      </c>
      <c r="AE124" s="41" t="n"/>
      <c r="AF124" s="43" t="n"/>
      <c r="AG124" s="43" t="n"/>
      <c r="AH124" s="6" t="n"/>
      <c r="AI124" s="43" t="n"/>
      <c r="AJ124" s="43">
        <f>TABL1234[[#This Row],[(A/B) AJD]]-TABL1234[[#This Row],[BER_IN]]</f>
        <v/>
      </c>
      <c r="AK124" s="43" t="n"/>
      <c r="AL124" s="43" t="n"/>
      <c r="AM124" s="32" t="n"/>
      <c r="AN124" s="32">
        <f>TABL1234[[#This Row],[ (RESV. STORGE) SER]]/10</f>
        <v/>
      </c>
      <c r="AO124" s="68" t="n"/>
      <c r="AP124" s="68">
        <f>TABL1234[[#This Row],[(A/S) AJD]]-TABL1234[[#This Row],[SER_IN]]</f>
        <v/>
      </c>
    </row>
    <row r="125" ht="18.75" customHeight="1">
      <c r="A125" s="2" t="n">
        <v>46511</v>
      </c>
      <c r="B125" s="44" t="n"/>
      <c r="C125" s="44" t="n"/>
      <c r="D125" s="44" t="n"/>
      <c r="E125" s="44" t="n"/>
      <c r="F125" s="44" t="n"/>
      <c r="G125" s="40" t="n"/>
      <c r="H125" s="28">
        <f>103-F125</f>
        <v/>
      </c>
      <c r="I125" s="40" t="n"/>
      <c r="J125" s="44" t="n"/>
      <c r="K125" s="28">
        <f>TABL1234[[#This Row],[ (T/B) SAR]]+TABL1234[[#This Row],[ (S/S) SAR]]</f>
        <v/>
      </c>
      <c r="L125" s="45" t="n"/>
      <c r="M125" s="46" t="n"/>
      <c r="N125" s="46" t="n"/>
      <c r="O125" s="40" t="n"/>
      <c r="P125" s="3">
        <f>TABL1234[[#This Row],[ (S/S) SAR]]-TABL1234[[#This Row],[(S/S) AJD]]</f>
        <v/>
      </c>
      <c r="Q125" s="40" t="n"/>
      <c r="R125" s="3">
        <f>TABL1234[[#This Row],[ (T/B) SAR]]-TABL1234[[#This Row],[(T/B) AJD]]</f>
        <v/>
      </c>
      <c r="S125" s="3">
        <f>TABL1234[[#This Row],[T/B-CON.]]+TABL1234[[#This Row],[S/S_CON.]]</f>
        <v/>
      </c>
      <c r="T125" s="3">
        <f>TABL1234[[#This Row],[(S/S) AJD]]+TABL1234[[#This Row],[(T/B) AJD]]</f>
        <v/>
      </c>
      <c r="U125" s="44" t="n"/>
      <c r="V125" s="44" t="n"/>
      <c r="W125" s="3">
        <f>TABL1234[[#This Row],[(A/B) AJD]]+TABL1234[[#This Row],[(A/S) AJD]]</f>
        <v/>
      </c>
      <c r="X125" s="3">
        <f>TABL1234[[#This Row],[( S/S+T/B) AJD]]-TABL1234[[#This Row],[(A/B + A/S) AJD]]</f>
        <v/>
      </c>
      <c r="Y125" s="44" t="n"/>
      <c r="Z125" s="45" t="n"/>
      <c r="AA125" s="3">
        <f>TABL1234[[#This Row],[(RESV. STORGE) AJD]]/10</f>
        <v/>
      </c>
      <c r="AB125" s="3">
        <f>IF(TRIM(Z125)="",,(Z125-Z124)/1000)</f>
        <v/>
      </c>
      <c r="AC125" s="5" t="n"/>
      <c r="AD125" s="40">
        <f>TABL1234[[#This Row],[( S/S+T/B) AJD]]-(TABL1234[[#This Row],[(A/B + A/S) AJD]]+(TABL1234[[#This Row],[(STORGE DIFF.) AJD]]*1000)+TABL1234[[#This Row],[AJD_Evaporation]])</f>
        <v/>
      </c>
      <c r="AE125" s="44" t="n"/>
      <c r="AF125" s="45" t="n"/>
      <c r="AG125" s="45" t="n"/>
      <c r="AH125" s="6" t="n"/>
      <c r="AI125" s="45" t="n"/>
      <c r="AJ125" s="45">
        <f>TABL1234[[#This Row],[(A/B) AJD]]-TABL1234[[#This Row],[BER_IN]]</f>
        <v/>
      </c>
      <c r="AK125" s="45" t="n"/>
      <c r="AL125" s="45" t="n"/>
      <c r="AM125" s="32" t="n"/>
      <c r="AN125" s="32">
        <f>TABL1234[[#This Row],[ (RESV. STORGE) SER]]/10</f>
        <v/>
      </c>
      <c r="AO125" s="68" t="n"/>
      <c r="AP125" s="68">
        <f>TABL1234[[#This Row],[(A/S) AJD]]-TABL1234[[#This Row],[SER_IN]]</f>
        <v/>
      </c>
    </row>
    <row r="126" ht="18.75" customHeight="1">
      <c r="A126" s="2" t="n">
        <v>46512</v>
      </c>
      <c r="B126" s="41" t="n"/>
      <c r="C126" s="41" t="n"/>
      <c r="D126" s="41" t="n"/>
      <c r="E126" s="41" t="n"/>
      <c r="F126" s="41" t="n"/>
      <c r="G126" s="39" t="n"/>
      <c r="H126" s="28">
        <f>103-F126</f>
        <v/>
      </c>
      <c r="I126" s="39" t="n"/>
      <c r="J126" s="39" t="n"/>
      <c r="K126" s="28">
        <f>TABL1234[[#This Row],[ (T/B) SAR]]+TABL1234[[#This Row],[ (S/S) SAR]]</f>
        <v/>
      </c>
      <c r="L126" s="41" t="n"/>
      <c r="M126" s="42" t="n"/>
      <c r="N126" s="42" t="n"/>
      <c r="O126" s="39" t="n"/>
      <c r="P126" s="3">
        <f>TABL1234[[#This Row],[ (S/S) SAR]]-TABL1234[[#This Row],[(S/S) AJD]]</f>
        <v/>
      </c>
      <c r="Q126" s="39" t="n"/>
      <c r="R126" s="3">
        <f>TABL1234[[#This Row],[ (T/B) SAR]]-TABL1234[[#This Row],[(T/B) AJD]]</f>
        <v/>
      </c>
      <c r="S126" s="3">
        <f>TABL1234[[#This Row],[T/B-CON.]]+TABL1234[[#This Row],[S/S_CON.]]</f>
        <v/>
      </c>
      <c r="T126" s="3">
        <f>TABL1234[[#This Row],[(S/S) AJD]]+TABL1234[[#This Row],[(T/B) AJD]]</f>
        <v/>
      </c>
      <c r="U126" s="41" t="n"/>
      <c r="V126" s="41" t="n"/>
      <c r="W126" s="3">
        <f>TABL1234[[#This Row],[(A/B) AJD]]+TABL1234[[#This Row],[(A/S) AJD]]</f>
        <v/>
      </c>
      <c r="X126" s="3">
        <f>TABL1234[[#This Row],[( S/S+T/B) AJD]]-TABL1234[[#This Row],[(A/B + A/S) AJD]]</f>
        <v/>
      </c>
      <c r="Y126" s="41" t="n"/>
      <c r="Z126" s="43" t="n"/>
      <c r="AA126" s="3">
        <f>TABL1234[[#This Row],[(RESV. STORGE) AJD]]/10</f>
        <v/>
      </c>
      <c r="AB126" s="3">
        <f>IF(TRIM(Z126)="",,(Z126-Z125)/1000)</f>
        <v/>
      </c>
      <c r="AC126" s="5" t="n"/>
      <c r="AD126" s="39">
        <f>TABL1234[[#This Row],[( S/S+T/B) AJD]]-(TABL1234[[#This Row],[(A/B + A/S) AJD]]+(TABL1234[[#This Row],[(STORGE DIFF.) AJD]]*1000)+TABL1234[[#This Row],[AJD_Evaporation]])</f>
        <v/>
      </c>
      <c r="AE126" s="41" t="n"/>
      <c r="AF126" s="43" t="n"/>
      <c r="AG126" s="43" t="n"/>
      <c r="AH126" s="6" t="n"/>
      <c r="AI126" s="43" t="n"/>
      <c r="AJ126" s="43">
        <f>TABL1234[[#This Row],[(A/B) AJD]]-TABL1234[[#This Row],[BER_IN]]</f>
        <v/>
      </c>
      <c r="AK126" s="43" t="n"/>
      <c r="AL126" s="43" t="n"/>
      <c r="AM126" s="32" t="n"/>
      <c r="AN126" s="32">
        <f>TABL1234[[#This Row],[ (RESV. STORGE) SER]]/10</f>
        <v/>
      </c>
      <c r="AO126" s="68" t="n"/>
      <c r="AP126" s="68">
        <f>TABL1234[[#This Row],[(A/S) AJD]]-TABL1234[[#This Row],[SER_IN]]</f>
        <v/>
      </c>
    </row>
    <row r="127" ht="18.75" customHeight="1">
      <c r="A127" s="2" t="n">
        <v>46513</v>
      </c>
      <c r="B127" s="44" t="n"/>
      <c r="C127" s="44" t="n"/>
      <c r="D127" s="44" t="n"/>
      <c r="E127" s="44" t="n"/>
      <c r="F127" s="44" t="n"/>
      <c r="G127" s="40" t="n"/>
      <c r="H127" s="28">
        <f>103-F127</f>
        <v/>
      </c>
      <c r="I127" s="40" t="n"/>
      <c r="J127" s="44" t="n"/>
      <c r="K127" s="28">
        <f>TABL1234[[#This Row],[ (T/B) SAR]]+TABL1234[[#This Row],[ (S/S) SAR]]</f>
        <v/>
      </c>
      <c r="L127" s="45" t="n"/>
      <c r="M127" s="46" t="n"/>
      <c r="N127" s="46" t="n"/>
      <c r="O127" s="40" t="n"/>
      <c r="P127" s="3">
        <f>TABL1234[[#This Row],[ (S/S) SAR]]-TABL1234[[#This Row],[(S/S) AJD]]</f>
        <v/>
      </c>
      <c r="Q127" s="40" t="n"/>
      <c r="R127" s="3">
        <f>TABL1234[[#This Row],[ (T/B) SAR]]-TABL1234[[#This Row],[(T/B) AJD]]</f>
        <v/>
      </c>
      <c r="S127" s="3">
        <f>TABL1234[[#This Row],[T/B-CON.]]+TABL1234[[#This Row],[S/S_CON.]]</f>
        <v/>
      </c>
      <c r="T127" s="3">
        <f>TABL1234[[#This Row],[(S/S) AJD]]+TABL1234[[#This Row],[(T/B) AJD]]</f>
        <v/>
      </c>
      <c r="U127" s="44" t="n"/>
      <c r="V127" s="44" t="n"/>
      <c r="W127" s="3">
        <f>TABL1234[[#This Row],[(A/B) AJD]]+TABL1234[[#This Row],[(A/S) AJD]]</f>
        <v/>
      </c>
      <c r="X127" s="3">
        <f>TABL1234[[#This Row],[( S/S+T/B) AJD]]-TABL1234[[#This Row],[(A/B + A/S) AJD]]</f>
        <v/>
      </c>
      <c r="Y127" s="44" t="n"/>
      <c r="Z127" s="45" t="n"/>
      <c r="AA127" s="3">
        <f>TABL1234[[#This Row],[(RESV. STORGE) AJD]]/10</f>
        <v/>
      </c>
      <c r="AB127" s="3">
        <f>IF(TRIM(Z127)="",,(Z127-Z126)/1000)</f>
        <v/>
      </c>
      <c r="AC127" s="5" t="n"/>
      <c r="AD127" s="40">
        <f>TABL1234[[#This Row],[( S/S+T/B) AJD]]-(TABL1234[[#This Row],[(A/B + A/S) AJD]]+(TABL1234[[#This Row],[(STORGE DIFF.) AJD]]*1000)+TABL1234[[#This Row],[AJD_Evaporation]])</f>
        <v/>
      </c>
      <c r="AE127" s="44" t="n"/>
      <c r="AF127" s="45" t="n"/>
      <c r="AG127" s="45" t="n"/>
      <c r="AH127" s="6" t="n"/>
      <c r="AI127" s="45" t="n"/>
      <c r="AJ127" s="45">
        <f>TABL1234[[#This Row],[(A/B) AJD]]-TABL1234[[#This Row],[BER_IN]]</f>
        <v/>
      </c>
      <c r="AK127" s="45" t="n"/>
      <c r="AL127" s="45" t="n"/>
      <c r="AM127" s="32" t="n"/>
      <c r="AN127" s="32">
        <f>TABL1234[[#This Row],[ (RESV. STORGE) SER]]/10</f>
        <v/>
      </c>
      <c r="AO127" s="68" t="n"/>
      <c r="AP127" s="68">
        <f>TABL1234[[#This Row],[(A/S) AJD]]-TABL1234[[#This Row],[SER_IN]]</f>
        <v/>
      </c>
    </row>
    <row r="128" ht="18.75" customHeight="1">
      <c r="A128" s="2" t="n">
        <v>46514</v>
      </c>
      <c r="B128" s="41" t="n"/>
      <c r="C128" s="41" t="n"/>
      <c r="D128" s="41" t="n"/>
      <c r="E128" s="41" t="n"/>
      <c r="F128" s="41" t="n"/>
      <c r="G128" s="39" t="n"/>
      <c r="H128" s="28">
        <f>103-F128</f>
        <v/>
      </c>
      <c r="I128" s="39" t="n"/>
      <c r="J128" s="39" t="n"/>
      <c r="K128" s="28">
        <f>TABL1234[[#This Row],[ (T/B) SAR]]+TABL1234[[#This Row],[ (S/S) SAR]]</f>
        <v/>
      </c>
      <c r="L128" s="41" t="n"/>
      <c r="M128" s="42" t="n"/>
      <c r="N128" s="42" t="n"/>
      <c r="O128" s="39" t="n"/>
      <c r="P128" s="3">
        <f>TABL1234[[#This Row],[ (S/S) SAR]]-TABL1234[[#This Row],[(S/S) AJD]]</f>
        <v/>
      </c>
      <c r="Q128" s="39" t="n"/>
      <c r="R128" s="3">
        <f>TABL1234[[#This Row],[ (T/B) SAR]]-TABL1234[[#This Row],[(T/B) AJD]]</f>
        <v/>
      </c>
      <c r="S128" s="3">
        <f>TABL1234[[#This Row],[T/B-CON.]]+TABL1234[[#This Row],[S/S_CON.]]</f>
        <v/>
      </c>
      <c r="T128" s="3">
        <f>TABL1234[[#This Row],[(S/S) AJD]]+TABL1234[[#This Row],[(T/B) AJD]]</f>
        <v/>
      </c>
      <c r="U128" s="41" t="n"/>
      <c r="V128" s="41" t="n"/>
      <c r="W128" s="3">
        <f>TABL1234[[#This Row],[(A/B) AJD]]+TABL1234[[#This Row],[(A/S) AJD]]</f>
        <v/>
      </c>
      <c r="X128" s="3">
        <f>TABL1234[[#This Row],[( S/S+T/B) AJD]]-TABL1234[[#This Row],[(A/B + A/S) AJD]]</f>
        <v/>
      </c>
      <c r="Y128" s="41" t="n"/>
      <c r="Z128" s="43" t="n"/>
      <c r="AA128" s="3">
        <f>TABL1234[[#This Row],[(RESV. STORGE) AJD]]/10</f>
        <v/>
      </c>
      <c r="AB128" s="3">
        <f>IF(TRIM(Z128)="",,(Z128-Z127)/1000)</f>
        <v/>
      </c>
      <c r="AC128" s="5" t="n"/>
      <c r="AD128" s="39">
        <f>TABL1234[[#This Row],[( S/S+T/B) AJD]]-(TABL1234[[#This Row],[(A/B + A/S) AJD]]+(TABL1234[[#This Row],[(STORGE DIFF.) AJD]]*1000)+TABL1234[[#This Row],[AJD_Evaporation]])</f>
        <v/>
      </c>
      <c r="AE128" s="41" t="n"/>
      <c r="AF128" s="43" t="n"/>
      <c r="AG128" s="43" t="n"/>
      <c r="AH128" s="6" t="n"/>
      <c r="AI128" s="43" t="n"/>
      <c r="AJ128" s="43">
        <f>TABL1234[[#This Row],[(A/B) AJD]]-TABL1234[[#This Row],[BER_IN]]</f>
        <v/>
      </c>
      <c r="AK128" s="43" t="n"/>
      <c r="AL128" s="43" t="n"/>
      <c r="AM128" s="32" t="n"/>
      <c r="AN128" s="32">
        <f>TABL1234[[#This Row],[ (RESV. STORGE) SER]]/10</f>
        <v/>
      </c>
      <c r="AO128" s="68" t="n"/>
      <c r="AP128" s="68">
        <f>TABL1234[[#This Row],[(A/S) AJD]]-TABL1234[[#This Row],[SER_IN]]</f>
        <v/>
      </c>
    </row>
    <row r="129" ht="18.75" customHeight="1">
      <c r="A129" s="2" t="n">
        <v>46515</v>
      </c>
      <c r="B129" s="44" t="n"/>
      <c r="C129" s="44" t="n"/>
      <c r="D129" s="44" t="n"/>
      <c r="E129" s="44" t="n"/>
      <c r="F129" s="44" t="n"/>
      <c r="G129" s="40" t="n"/>
      <c r="H129" s="28">
        <f>103-F129</f>
        <v/>
      </c>
      <c r="I129" s="40" t="n"/>
      <c r="J129" s="44" t="n"/>
      <c r="K129" s="28">
        <f>TABL1234[[#This Row],[ (T/B) SAR]]+TABL1234[[#This Row],[ (S/S) SAR]]</f>
        <v/>
      </c>
      <c r="L129" s="45" t="n"/>
      <c r="M129" s="46" t="n"/>
      <c r="N129" s="46" t="n"/>
      <c r="O129" s="40" t="n"/>
      <c r="P129" s="3">
        <f>TABL1234[[#This Row],[ (S/S) SAR]]-TABL1234[[#This Row],[(S/S) AJD]]</f>
        <v/>
      </c>
      <c r="Q129" s="40" t="n"/>
      <c r="R129" s="3">
        <f>TABL1234[[#This Row],[ (T/B) SAR]]-TABL1234[[#This Row],[(T/B) AJD]]</f>
        <v/>
      </c>
      <c r="S129" s="3">
        <f>TABL1234[[#This Row],[T/B-CON.]]+TABL1234[[#This Row],[S/S_CON.]]</f>
        <v/>
      </c>
      <c r="T129" s="3">
        <f>TABL1234[[#This Row],[(S/S) AJD]]+TABL1234[[#This Row],[(T/B) AJD]]</f>
        <v/>
      </c>
      <c r="U129" s="44" t="n"/>
      <c r="V129" s="44" t="n"/>
      <c r="W129" s="3">
        <f>TABL1234[[#This Row],[(A/B) AJD]]+TABL1234[[#This Row],[(A/S) AJD]]</f>
        <v/>
      </c>
      <c r="X129" s="3">
        <f>TABL1234[[#This Row],[( S/S+T/B) AJD]]-TABL1234[[#This Row],[(A/B + A/S) AJD]]</f>
        <v/>
      </c>
      <c r="Y129" s="44" t="n"/>
      <c r="Z129" s="45" t="n"/>
      <c r="AA129" s="3">
        <f>TABL1234[[#This Row],[(RESV. STORGE) AJD]]/10</f>
        <v/>
      </c>
      <c r="AB129" s="3">
        <f>IF(TRIM(Z129)="",,(Z129-Z128)/1000)</f>
        <v/>
      </c>
      <c r="AC129" s="5" t="n"/>
      <c r="AD129" s="40">
        <f>TABL1234[[#This Row],[( S/S+T/B) AJD]]-(TABL1234[[#This Row],[(A/B + A/S) AJD]]+(TABL1234[[#This Row],[(STORGE DIFF.) AJD]]*1000)+TABL1234[[#This Row],[AJD_Evaporation]])</f>
        <v/>
      </c>
      <c r="AE129" s="44" t="n"/>
      <c r="AF129" s="45" t="n"/>
      <c r="AG129" s="45" t="n"/>
      <c r="AH129" s="6" t="n"/>
      <c r="AI129" s="45" t="n"/>
      <c r="AJ129" s="45">
        <f>TABL1234[[#This Row],[(A/B) AJD]]-TABL1234[[#This Row],[BER_IN]]</f>
        <v/>
      </c>
      <c r="AK129" s="45" t="n"/>
      <c r="AL129" s="45" t="n"/>
      <c r="AM129" s="32" t="n"/>
      <c r="AN129" s="32">
        <f>TABL1234[[#This Row],[ (RESV. STORGE) SER]]/10</f>
        <v/>
      </c>
      <c r="AO129" s="68" t="n"/>
      <c r="AP129" s="68">
        <f>TABL1234[[#This Row],[(A/S) AJD]]-TABL1234[[#This Row],[SER_IN]]</f>
        <v/>
      </c>
    </row>
    <row r="130" ht="18.75" customHeight="1">
      <c r="A130" s="2" t="n">
        <v>46516</v>
      </c>
      <c r="B130" s="41" t="n"/>
      <c r="C130" s="41" t="n"/>
      <c r="D130" s="41" t="n"/>
      <c r="E130" s="41" t="n"/>
      <c r="F130" s="41" t="n"/>
      <c r="G130" s="39" t="n"/>
      <c r="H130" s="28">
        <f>103-F130</f>
        <v/>
      </c>
      <c r="I130" s="39" t="n"/>
      <c r="J130" s="39" t="n"/>
      <c r="K130" s="28">
        <f>TABL1234[[#This Row],[ (T/B) SAR]]+TABL1234[[#This Row],[ (S/S) SAR]]</f>
        <v/>
      </c>
      <c r="L130" s="41" t="n"/>
      <c r="M130" s="42" t="n"/>
      <c r="N130" s="42" t="n"/>
      <c r="O130" s="39" t="n"/>
      <c r="P130" s="3">
        <f>TABL1234[[#This Row],[ (S/S) SAR]]-TABL1234[[#This Row],[(S/S) AJD]]</f>
        <v/>
      </c>
      <c r="Q130" s="39" t="n"/>
      <c r="R130" s="3">
        <f>TABL1234[[#This Row],[ (T/B) SAR]]-TABL1234[[#This Row],[(T/B) AJD]]</f>
        <v/>
      </c>
      <c r="S130" s="3">
        <f>TABL1234[[#This Row],[T/B-CON.]]+TABL1234[[#This Row],[S/S_CON.]]</f>
        <v/>
      </c>
      <c r="T130" s="3">
        <f>TABL1234[[#This Row],[(S/S) AJD]]+TABL1234[[#This Row],[(T/B) AJD]]</f>
        <v/>
      </c>
      <c r="U130" s="41" t="n"/>
      <c r="V130" s="41" t="n"/>
      <c r="W130" s="3">
        <f>TABL1234[[#This Row],[(A/B) AJD]]+TABL1234[[#This Row],[(A/S) AJD]]</f>
        <v/>
      </c>
      <c r="X130" s="3">
        <f>TABL1234[[#This Row],[( S/S+T/B) AJD]]-TABL1234[[#This Row],[(A/B + A/S) AJD]]</f>
        <v/>
      </c>
      <c r="Y130" s="41" t="n"/>
      <c r="Z130" s="43" t="n"/>
      <c r="AA130" s="3">
        <f>TABL1234[[#This Row],[(RESV. STORGE) AJD]]/10</f>
        <v/>
      </c>
      <c r="AB130" s="3">
        <f>IF(TRIM(Z130)="",,(Z130-Z129)/1000)</f>
        <v/>
      </c>
      <c r="AC130" s="5" t="n"/>
      <c r="AD130" s="39">
        <f>TABL1234[[#This Row],[( S/S+T/B) AJD]]-(TABL1234[[#This Row],[(A/B + A/S) AJD]]+(TABL1234[[#This Row],[(STORGE DIFF.) AJD]]*1000)+TABL1234[[#This Row],[AJD_Evaporation]])</f>
        <v/>
      </c>
      <c r="AE130" s="41" t="n"/>
      <c r="AF130" s="43" t="n"/>
      <c r="AG130" s="43" t="n"/>
      <c r="AH130" s="6" t="n"/>
      <c r="AI130" s="43" t="n"/>
      <c r="AJ130" s="43">
        <f>TABL1234[[#This Row],[(A/B) AJD]]-TABL1234[[#This Row],[BER_IN]]</f>
        <v/>
      </c>
      <c r="AK130" s="43" t="n"/>
      <c r="AL130" s="43" t="n"/>
      <c r="AM130" s="32" t="n"/>
      <c r="AN130" s="32">
        <f>TABL1234[[#This Row],[ (RESV. STORGE) SER]]/10</f>
        <v/>
      </c>
      <c r="AO130" s="68" t="n"/>
      <c r="AP130" s="68">
        <f>TABL1234[[#This Row],[(A/S) AJD]]-TABL1234[[#This Row],[SER_IN]]</f>
        <v/>
      </c>
    </row>
    <row r="131" ht="18.75" customHeight="1">
      <c r="A131" s="2" t="n">
        <v>46517</v>
      </c>
      <c r="B131" s="44" t="n"/>
      <c r="C131" s="44" t="n"/>
      <c r="D131" s="44" t="n"/>
      <c r="E131" s="44" t="n"/>
      <c r="F131" s="44" t="n"/>
      <c r="G131" s="40" t="n"/>
      <c r="H131" s="28">
        <f>103-F131</f>
        <v/>
      </c>
      <c r="I131" s="40" t="n"/>
      <c r="J131" s="44" t="n"/>
      <c r="K131" s="28">
        <f>TABL1234[[#This Row],[ (T/B) SAR]]+TABL1234[[#This Row],[ (S/S) SAR]]</f>
        <v/>
      </c>
      <c r="L131" s="45" t="n"/>
      <c r="M131" s="46" t="n"/>
      <c r="N131" s="46" t="n"/>
      <c r="O131" s="40" t="n"/>
      <c r="P131" s="3">
        <f>TABL1234[[#This Row],[ (S/S) SAR]]-TABL1234[[#This Row],[(S/S) AJD]]</f>
        <v/>
      </c>
      <c r="Q131" s="40" t="n"/>
      <c r="R131" s="3">
        <f>TABL1234[[#This Row],[ (T/B) SAR]]-TABL1234[[#This Row],[(T/B) AJD]]</f>
        <v/>
      </c>
      <c r="S131" s="3">
        <f>TABL1234[[#This Row],[T/B-CON.]]+TABL1234[[#This Row],[S/S_CON.]]</f>
        <v/>
      </c>
      <c r="T131" s="3">
        <f>TABL1234[[#This Row],[(S/S) AJD]]+TABL1234[[#This Row],[(T/B) AJD]]</f>
        <v/>
      </c>
      <c r="U131" s="44" t="n"/>
      <c r="V131" s="44" t="n"/>
      <c r="W131" s="3">
        <f>TABL1234[[#This Row],[(A/B) AJD]]+TABL1234[[#This Row],[(A/S) AJD]]</f>
        <v/>
      </c>
      <c r="X131" s="3">
        <f>TABL1234[[#This Row],[( S/S+T/B) AJD]]-TABL1234[[#This Row],[(A/B + A/S) AJD]]</f>
        <v/>
      </c>
      <c r="Y131" s="44" t="n"/>
      <c r="Z131" s="45" t="n"/>
      <c r="AA131" s="3">
        <f>TABL1234[[#This Row],[(RESV. STORGE) AJD]]/10</f>
        <v/>
      </c>
      <c r="AB131" s="3">
        <f>IF(TRIM(Z131)="",,(Z131-Z130)/1000)</f>
        <v/>
      </c>
      <c r="AC131" s="5" t="n"/>
      <c r="AD131" s="40">
        <f>TABL1234[[#This Row],[( S/S+T/B) AJD]]-(TABL1234[[#This Row],[(A/B + A/S) AJD]]+(TABL1234[[#This Row],[(STORGE DIFF.) AJD]]*1000)+TABL1234[[#This Row],[AJD_Evaporation]])</f>
        <v/>
      </c>
      <c r="AE131" s="44" t="n"/>
      <c r="AF131" s="45" t="n"/>
      <c r="AG131" s="45" t="n"/>
      <c r="AH131" s="6" t="n"/>
      <c r="AI131" s="45" t="n"/>
      <c r="AJ131" s="45">
        <f>TABL1234[[#This Row],[(A/B) AJD]]-TABL1234[[#This Row],[BER_IN]]</f>
        <v/>
      </c>
      <c r="AK131" s="45" t="n"/>
      <c r="AL131" s="45" t="n"/>
      <c r="AM131" s="32" t="n"/>
      <c r="AN131" s="32">
        <f>TABL1234[[#This Row],[ (RESV. STORGE) SER]]/10</f>
        <v/>
      </c>
      <c r="AO131" s="68" t="n"/>
      <c r="AP131" s="68">
        <f>TABL1234[[#This Row],[(A/S) AJD]]-TABL1234[[#This Row],[SER_IN]]</f>
        <v/>
      </c>
    </row>
    <row r="132" ht="18.75" customHeight="1">
      <c r="A132" s="2" t="n">
        <v>46518</v>
      </c>
      <c r="B132" s="41" t="n"/>
      <c r="C132" s="41" t="n"/>
      <c r="D132" s="41" t="n"/>
      <c r="E132" s="41" t="n"/>
      <c r="F132" s="41" t="n"/>
      <c r="G132" s="39" t="n"/>
      <c r="H132" s="28">
        <f>103-F132</f>
        <v/>
      </c>
      <c r="I132" s="39" t="n"/>
      <c r="J132" s="39" t="n"/>
      <c r="K132" s="28">
        <f>TABL1234[[#This Row],[ (T/B) SAR]]+TABL1234[[#This Row],[ (S/S) SAR]]</f>
        <v/>
      </c>
      <c r="L132" s="41" t="n"/>
      <c r="M132" s="42" t="n"/>
      <c r="N132" s="42" t="n"/>
      <c r="O132" s="39" t="n"/>
      <c r="P132" s="3">
        <f>TABL1234[[#This Row],[ (S/S) SAR]]-TABL1234[[#This Row],[(S/S) AJD]]</f>
        <v/>
      </c>
      <c r="Q132" s="39" t="n"/>
      <c r="R132" s="3">
        <f>TABL1234[[#This Row],[ (T/B) SAR]]-TABL1234[[#This Row],[(T/B) AJD]]</f>
        <v/>
      </c>
      <c r="S132" s="3">
        <f>TABL1234[[#This Row],[T/B-CON.]]+TABL1234[[#This Row],[S/S_CON.]]</f>
        <v/>
      </c>
      <c r="T132" s="3">
        <f>TABL1234[[#This Row],[(S/S) AJD]]+TABL1234[[#This Row],[(T/B) AJD]]</f>
        <v/>
      </c>
      <c r="U132" s="41" t="n"/>
      <c r="V132" s="41" t="n"/>
      <c r="W132" s="3">
        <f>TABL1234[[#This Row],[(A/B) AJD]]+TABL1234[[#This Row],[(A/S) AJD]]</f>
        <v/>
      </c>
      <c r="X132" s="3">
        <f>TABL1234[[#This Row],[( S/S+T/B) AJD]]-TABL1234[[#This Row],[(A/B + A/S) AJD]]</f>
        <v/>
      </c>
      <c r="Y132" s="41" t="n"/>
      <c r="Z132" s="43" t="n"/>
      <c r="AA132" s="3">
        <f>TABL1234[[#This Row],[(RESV. STORGE) AJD]]/10</f>
        <v/>
      </c>
      <c r="AB132" s="3">
        <f>IF(TRIM(Z132)="",,(Z132-Z131)/1000)</f>
        <v/>
      </c>
      <c r="AC132" s="5" t="n"/>
      <c r="AD132" s="39">
        <f>TABL1234[[#This Row],[( S/S+T/B) AJD]]-(TABL1234[[#This Row],[(A/B + A/S) AJD]]+(TABL1234[[#This Row],[(STORGE DIFF.) AJD]]*1000)+TABL1234[[#This Row],[AJD_Evaporation]])</f>
        <v/>
      </c>
      <c r="AE132" s="41" t="n"/>
      <c r="AF132" s="43" t="n"/>
      <c r="AG132" s="68" t="n"/>
      <c r="AH132" s="6" t="n"/>
      <c r="AI132" s="43" t="n"/>
      <c r="AJ132" s="68">
        <f>TABL1234[[#This Row],[(A/B) AJD]]-TABL1234[[#This Row],[BER_IN]]</f>
        <v/>
      </c>
      <c r="AK132" s="43" t="n"/>
      <c r="AL132" s="43" t="n"/>
      <c r="AM132" s="32" t="n"/>
      <c r="AN132" s="32">
        <f>TABL1234[[#This Row],[ (RESV. STORGE) SER]]/10</f>
        <v/>
      </c>
      <c r="AO132" s="68" t="n"/>
      <c r="AP132" s="68">
        <f>TABL1234[[#This Row],[(A/S) AJD]]-TABL1234[[#This Row],[SER_IN]]</f>
        <v/>
      </c>
    </row>
    <row r="133" ht="18.75" customHeight="1">
      <c r="A133" s="2" t="n">
        <v>46519</v>
      </c>
      <c r="B133" s="44" t="n"/>
      <c r="C133" s="44" t="n"/>
      <c r="D133" s="44" t="n"/>
      <c r="E133" s="44" t="n"/>
      <c r="F133" s="44" t="n"/>
      <c r="G133" s="40" t="n"/>
      <c r="H133" s="28">
        <f>103-F133</f>
        <v/>
      </c>
      <c r="I133" s="40" t="n"/>
      <c r="J133" s="44" t="n"/>
      <c r="K133" s="28">
        <f>TABL1234[[#This Row],[ (T/B) SAR]]+TABL1234[[#This Row],[ (S/S) SAR]]</f>
        <v/>
      </c>
      <c r="L133" s="45" t="n"/>
      <c r="M133" s="46" t="n"/>
      <c r="N133" s="46" t="n"/>
      <c r="O133" s="40" t="n"/>
      <c r="P133" s="3">
        <f>TABL1234[[#This Row],[ (S/S) SAR]]-TABL1234[[#This Row],[(S/S) AJD]]</f>
        <v/>
      </c>
      <c r="Q133" s="40" t="n"/>
      <c r="R133" s="3">
        <f>TABL1234[[#This Row],[ (T/B) SAR]]-TABL1234[[#This Row],[(T/B) AJD]]</f>
        <v/>
      </c>
      <c r="S133" s="3">
        <f>TABL1234[[#This Row],[T/B-CON.]]+TABL1234[[#This Row],[S/S_CON.]]</f>
        <v/>
      </c>
      <c r="T133" s="3">
        <f>TABL1234[[#This Row],[(S/S) AJD]]+TABL1234[[#This Row],[(T/B) AJD]]</f>
        <v/>
      </c>
      <c r="U133" s="44" t="n"/>
      <c r="V133" s="44" t="n"/>
      <c r="W133" s="3">
        <f>TABL1234[[#This Row],[(A/B) AJD]]+TABL1234[[#This Row],[(A/S) AJD]]</f>
        <v/>
      </c>
      <c r="X133" s="3">
        <f>TABL1234[[#This Row],[( S/S+T/B) AJD]]-TABL1234[[#This Row],[(A/B + A/S) AJD]]</f>
        <v/>
      </c>
      <c r="Y133" s="44" t="n"/>
      <c r="Z133" s="45" t="n"/>
      <c r="AA133" s="3">
        <f>TABL1234[[#This Row],[(RESV. STORGE) AJD]]/10</f>
        <v/>
      </c>
      <c r="AB133" s="3">
        <f>IF(TRIM(Z133)="",,(Z133-Z132)/1000)</f>
        <v/>
      </c>
      <c r="AC133" s="5" t="n"/>
      <c r="AD133" s="40">
        <f>TABL1234[[#This Row],[( S/S+T/B) AJD]]-(TABL1234[[#This Row],[(A/B + A/S) AJD]]+(TABL1234[[#This Row],[(STORGE DIFF.) AJD]]*1000)+TABL1234[[#This Row],[AJD_Evaporation]])</f>
        <v/>
      </c>
      <c r="AE133" s="44" t="n"/>
      <c r="AF133" s="45" t="n"/>
      <c r="AG133" s="45" t="n"/>
      <c r="AH133" s="6" t="n"/>
      <c r="AI133" s="45" t="n"/>
      <c r="AJ133" s="45">
        <f>TABL1234[[#This Row],[(A/B) AJD]]-TABL1234[[#This Row],[BER_IN]]</f>
        <v/>
      </c>
      <c r="AK133" s="45" t="n"/>
      <c r="AL133" s="45" t="n"/>
      <c r="AM133" s="32" t="n"/>
      <c r="AN133" s="32">
        <f>TABL1234[[#This Row],[ (RESV. STORGE) SER]]/10</f>
        <v/>
      </c>
      <c r="AO133" s="68" t="n"/>
      <c r="AP133" s="68">
        <f>TABL1234[[#This Row],[(A/S) AJD]]-TABL1234[[#This Row],[SER_IN]]</f>
        <v/>
      </c>
    </row>
    <row r="134" ht="18.75" customHeight="1">
      <c r="A134" s="2" t="n">
        <v>46520</v>
      </c>
      <c r="B134" s="41" t="n"/>
      <c r="C134" s="41" t="n"/>
      <c r="D134" s="41" t="n"/>
      <c r="E134" s="41" t="n"/>
      <c r="F134" s="41" t="n"/>
      <c r="G134" s="39" t="n"/>
      <c r="H134" s="28">
        <f>103-F134</f>
        <v/>
      </c>
      <c r="I134" s="39" t="n"/>
      <c r="J134" s="39" t="n"/>
      <c r="K134" s="28">
        <f>TABL1234[[#This Row],[ (T/B) SAR]]+TABL1234[[#This Row],[ (S/S) SAR]]</f>
        <v/>
      </c>
      <c r="L134" s="41" t="n"/>
      <c r="M134" s="42" t="n"/>
      <c r="N134" s="42" t="n"/>
      <c r="O134" s="39" t="n"/>
      <c r="P134" s="3">
        <f>TABL1234[[#This Row],[ (S/S) SAR]]-TABL1234[[#This Row],[(S/S) AJD]]</f>
        <v/>
      </c>
      <c r="Q134" s="39" t="n"/>
      <c r="R134" s="3">
        <f>TABL1234[[#This Row],[ (T/B) SAR]]-TABL1234[[#This Row],[(T/B) AJD]]</f>
        <v/>
      </c>
      <c r="S134" s="3">
        <f>TABL1234[[#This Row],[T/B-CON.]]+TABL1234[[#This Row],[S/S_CON.]]</f>
        <v/>
      </c>
      <c r="T134" s="3">
        <f>TABL1234[[#This Row],[(S/S) AJD]]+TABL1234[[#This Row],[(T/B) AJD]]</f>
        <v/>
      </c>
      <c r="U134" s="41" t="n"/>
      <c r="V134" s="41" t="n"/>
      <c r="W134" s="3">
        <f>TABL1234[[#This Row],[(A/B) AJD]]+TABL1234[[#This Row],[(A/S) AJD]]</f>
        <v/>
      </c>
      <c r="X134" s="3">
        <f>TABL1234[[#This Row],[( S/S+T/B) AJD]]-TABL1234[[#This Row],[(A/B + A/S) AJD]]</f>
        <v/>
      </c>
      <c r="Y134" s="41" t="n"/>
      <c r="Z134" s="43" t="n"/>
      <c r="AA134" s="3">
        <f>TABL1234[[#This Row],[(RESV. STORGE) AJD]]/10</f>
        <v/>
      </c>
      <c r="AB134" s="3">
        <f>IF(TRIM(Z134)="",,(Z134-Z133)/1000)</f>
        <v/>
      </c>
      <c r="AC134" s="5" t="n"/>
      <c r="AD134" s="39">
        <f>TABL1234[[#This Row],[( S/S+T/B) AJD]]-(TABL1234[[#This Row],[(A/B + A/S) AJD]]+(TABL1234[[#This Row],[(STORGE DIFF.) AJD]]*1000)+TABL1234[[#This Row],[AJD_Evaporation]])</f>
        <v/>
      </c>
      <c r="AE134" s="41" t="n"/>
      <c r="AF134" s="43" t="n"/>
      <c r="AG134" s="43" t="n"/>
      <c r="AH134" s="6" t="n"/>
      <c r="AI134" s="43" t="n"/>
      <c r="AJ134" s="43">
        <f>TABL1234[[#This Row],[(A/B) AJD]]-TABL1234[[#This Row],[BER_IN]]</f>
        <v/>
      </c>
      <c r="AK134" s="43" t="n"/>
      <c r="AL134" s="43" t="n"/>
      <c r="AM134" s="32" t="n"/>
      <c r="AN134" s="32">
        <f>TABL1234[[#This Row],[ (RESV. STORGE) SER]]/10</f>
        <v/>
      </c>
      <c r="AO134" s="68" t="n"/>
      <c r="AP134" s="68">
        <f>TABL1234[[#This Row],[(A/S) AJD]]-TABL1234[[#This Row],[SER_IN]]</f>
        <v/>
      </c>
    </row>
    <row r="135" ht="18.75" customHeight="1">
      <c r="A135" s="2" t="n">
        <v>46521</v>
      </c>
      <c r="B135" s="44" t="n"/>
      <c r="C135" s="44" t="n"/>
      <c r="D135" s="44" t="n"/>
      <c r="E135" s="44" t="n"/>
      <c r="F135" s="44" t="n"/>
      <c r="G135" s="40" t="n"/>
      <c r="H135" s="28">
        <f>103-F135</f>
        <v/>
      </c>
      <c r="I135" s="40" t="n"/>
      <c r="J135" s="44" t="n"/>
      <c r="K135" s="28">
        <f>TABL1234[[#This Row],[ (T/B) SAR]]+TABL1234[[#This Row],[ (S/S) SAR]]</f>
        <v/>
      </c>
      <c r="L135" s="45" t="n"/>
      <c r="M135" s="46" t="n"/>
      <c r="N135" s="46" t="n"/>
      <c r="O135" s="40" t="n"/>
      <c r="P135" s="3">
        <f>TABL1234[[#This Row],[ (S/S) SAR]]-TABL1234[[#This Row],[(S/S) AJD]]</f>
        <v/>
      </c>
      <c r="Q135" s="40" t="n"/>
      <c r="R135" s="3">
        <f>TABL1234[[#This Row],[ (T/B) SAR]]-TABL1234[[#This Row],[(T/B) AJD]]</f>
        <v/>
      </c>
      <c r="S135" s="3">
        <f>TABL1234[[#This Row],[T/B-CON.]]+TABL1234[[#This Row],[S/S_CON.]]</f>
        <v/>
      </c>
      <c r="T135" s="3">
        <f>TABL1234[[#This Row],[(S/S) AJD]]+TABL1234[[#This Row],[(T/B) AJD]]</f>
        <v/>
      </c>
      <c r="U135" s="44" t="n"/>
      <c r="V135" s="44" t="n"/>
      <c r="W135" s="3">
        <f>TABL1234[[#This Row],[(A/B) AJD]]+TABL1234[[#This Row],[(A/S) AJD]]</f>
        <v/>
      </c>
      <c r="X135" s="3">
        <f>TABL1234[[#This Row],[( S/S+T/B) AJD]]-TABL1234[[#This Row],[(A/B + A/S) AJD]]</f>
        <v/>
      </c>
      <c r="Y135" s="44" t="n"/>
      <c r="Z135" s="45" t="n"/>
      <c r="AA135" s="3">
        <f>TABL1234[[#This Row],[(RESV. STORGE) AJD]]/10</f>
        <v/>
      </c>
      <c r="AB135" s="3">
        <f>IF(TRIM(Z135)="",,(Z135-Z134)/1000)</f>
        <v/>
      </c>
      <c r="AC135" s="5" t="n"/>
      <c r="AD135" s="40">
        <f>TABL1234[[#This Row],[( S/S+T/B) AJD]]-(TABL1234[[#This Row],[(A/B + A/S) AJD]]+(TABL1234[[#This Row],[(STORGE DIFF.) AJD]]*1000)+TABL1234[[#This Row],[AJD_Evaporation]])</f>
        <v/>
      </c>
      <c r="AE135" s="44" t="n"/>
      <c r="AF135" s="45" t="n"/>
      <c r="AG135" s="45" t="n"/>
      <c r="AH135" s="6" t="n"/>
      <c r="AI135" s="45" t="n"/>
      <c r="AJ135" s="45">
        <f>TABL1234[[#This Row],[(A/B) AJD]]-TABL1234[[#This Row],[BER_IN]]</f>
        <v/>
      </c>
      <c r="AK135" s="45" t="n"/>
      <c r="AL135" s="45" t="n"/>
      <c r="AM135" s="32" t="n"/>
      <c r="AN135" s="32">
        <f>TABL1234[[#This Row],[ (RESV. STORGE) SER]]/10</f>
        <v/>
      </c>
      <c r="AO135" s="68" t="n"/>
      <c r="AP135" s="68">
        <f>TABL1234[[#This Row],[(A/S) AJD]]-TABL1234[[#This Row],[SER_IN]]</f>
        <v/>
      </c>
    </row>
    <row r="136" ht="18.75" customHeight="1">
      <c r="A136" s="2" t="n">
        <v>46522</v>
      </c>
      <c r="B136" s="41" t="n"/>
      <c r="C136" s="41" t="n"/>
      <c r="D136" s="41" t="n"/>
      <c r="E136" s="41" t="n"/>
      <c r="F136" s="41" t="n"/>
      <c r="G136" s="39" t="n"/>
      <c r="H136" s="28">
        <f>103-F136</f>
        <v/>
      </c>
      <c r="I136" s="39" t="n"/>
      <c r="J136" s="39" t="n"/>
      <c r="K136" s="28">
        <f>TABL1234[[#This Row],[ (T/B) SAR]]+TABL1234[[#This Row],[ (S/S) SAR]]</f>
        <v/>
      </c>
      <c r="L136" s="41" t="n"/>
      <c r="M136" s="42" t="n"/>
      <c r="N136" s="42" t="n"/>
      <c r="O136" s="39" t="n"/>
      <c r="P136" s="3">
        <f>TABL1234[[#This Row],[ (S/S) SAR]]-TABL1234[[#This Row],[(S/S) AJD]]</f>
        <v/>
      </c>
      <c r="Q136" s="39" t="n"/>
      <c r="R136" s="3">
        <f>TABL1234[[#This Row],[ (T/B) SAR]]-TABL1234[[#This Row],[(T/B) AJD]]</f>
        <v/>
      </c>
      <c r="S136" s="3">
        <f>TABL1234[[#This Row],[T/B-CON.]]+TABL1234[[#This Row],[S/S_CON.]]</f>
        <v/>
      </c>
      <c r="T136" s="3">
        <f>TABL1234[[#This Row],[(S/S) AJD]]+TABL1234[[#This Row],[(T/B) AJD]]</f>
        <v/>
      </c>
      <c r="U136" s="41" t="n"/>
      <c r="V136" s="41" t="n"/>
      <c r="W136" s="3">
        <f>TABL1234[[#This Row],[(A/B) AJD]]+TABL1234[[#This Row],[(A/S) AJD]]</f>
        <v/>
      </c>
      <c r="X136" s="3">
        <f>TABL1234[[#This Row],[( S/S+T/B) AJD]]-TABL1234[[#This Row],[(A/B + A/S) AJD]]</f>
        <v/>
      </c>
      <c r="Y136" s="41" t="n"/>
      <c r="Z136" s="43" t="n"/>
      <c r="AA136" s="3">
        <f>TABL1234[[#This Row],[(RESV. STORGE) AJD]]/10</f>
        <v/>
      </c>
      <c r="AB136" s="3">
        <f>IF(TRIM(Z136)="",,(Z136-Z135)/1000)</f>
        <v/>
      </c>
      <c r="AC136" s="5" t="n"/>
      <c r="AD136" s="39">
        <f>TABL1234[[#This Row],[( S/S+T/B) AJD]]-(TABL1234[[#This Row],[(A/B + A/S) AJD]]+(TABL1234[[#This Row],[(STORGE DIFF.) AJD]]*1000)+TABL1234[[#This Row],[AJD_Evaporation]])</f>
        <v/>
      </c>
      <c r="AE136" s="41" t="n"/>
      <c r="AF136" s="43" t="n"/>
      <c r="AG136" s="43" t="n"/>
      <c r="AH136" s="6" t="n"/>
      <c r="AI136" s="43" t="n"/>
      <c r="AJ136" s="43">
        <f>TABL1234[[#This Row],[(A/B) AJD]]-TABL1234[[#This Row],[BER_IN]]</f>
        <v/>
      </c>
      <c r="AK136" s="43" t="n"/>
      <c r="AL136" s="43" t="n"/>
      <c r="AM136" s="32" t="n"/>
      <c r="AN136" s="32">
        <f>TABL1234[[#This Row],[ (RESV. STORGE) SER]]/10</f>
        <v/>
      </c>
      <c r="AO136" s="68" t="n"/>
      <c r="AP136" s="68">
        <f>TABL1234[[#This Row],[(A/S) AJD]]-TABL1234[[#This Row],[SER_IN]]</f>
        <v/>
      </c>
    </row>
    <row r="137" ht="18.75" customHeight="1">
      <c r="A137" s="2" t="n">
        <v>46523</v>
      </c>
      <c r="B137" s="44" t="n"/>
      <c r="C137" s="44" t="n"/>
      <c r="D137" s="44" t="n"/>
      <c r="E137" s="44" t="n"/>
      <c r="F137" s="44" t="n"/>
      <c r="G137" s="40" t="n"/>
      <c r="H137" s="28">
        <f>103-F137</f>
        <v/>
      </c>
      <c r="I137" s="40" t="n"/>
      <c r="J137" s="44" t="n"/>
      <c r="K137" s="28">
        <f>TABL1234[[#This Row],[ (T/B) SAR]]+TABL1234[[#This Row],[ (S/S) SAR]]</f>
        <v/>
      </c>
      <c r="L137" s="45" t="n"/>
      <c r="M137" s="46" t="n"/>
      <c r="N137" s="46" t="n"/>
      <c r="O137" s="40" t="n"/>
      <c r="P137" s="3">
        <f>TABL1234[[#This Row],[ (S/S) SAR]]-TABL1234[[#This Row],[(S/S) AJD]]</f>
        <v/>
      </c>
      <c r="Q137" s="40" t="n"/>
      <c r="R137" s="3">
        <f>TABL1234[[#This Row],[ (T/B) SAR]]-TABL1234[[#This Row],[(T/B) AJD]]</f>
        <v/>
      </c>
      <c r="S137" s="3">
        <f>TABL1234[[#This Row],[T/B-CON.]]+TABL1234[[#This Row],[S/S_CON.]]</f>
        <v/>
      </c>
      <c r="T137" s="3">
        <f>TABL1234[[#This Row],[(S/S) AJD]]+TABL1234[[#This Row],[(T/B) AJD]]</f>
        <v/>
      </c>
      <c r="U137" s="44" t="n"/>
      <c r="V137" s="44" t="n"/>
      <c r="W137" s="3">
        <f>TABL1234[[#This Row],[(A/B) AJD]]+TABL1234[[#This Row],[(A/S) AJD]]</f>
        <v/>
      </c>
      <c r="X137" s="3">
        <f>TABL1234[[#This Row],[( S/S+T/B) AJD]]-TABL1234[[#This Row],[(A/B + A/S) AJD]]</f>
        <v/>
      </c>
      <c r="Y137" s="44" t="n"/>
      <c r="Z137" s="45" t="n"/>
      <c r="AA137" s="3">
        <f>TABL1234[[#This Row],[(RESV. STORGE) AJD]]/10</f>
        <v/>
      </c>
      <c r="AB137" s="3">
        <f>IF(TRIM(Z137)="",,(Z137-Z136)/1000)</f>
        <v/>
      </c>
      <c r="AC137" s="5" t="n"/>
      <c r="AD137" s="40">
        <f>TABL1234[[#This Row],[( S/S+T/B) AJD]]-(TABL1234[[#This Row],[(A/B + A/S) AJD]]+(TABL1234[[#This Row],[(STORGE DIFF.) AJD]]*1000)+TABL1234[[#This Row],[AJD_Evaporation]])</f>
        <v/>
      </c>
      <c r="AE137" s="44" t="n"/>
      <c r="AF137" s="45" t="n"/>
      <c r="AG137" s="45" t="n"/>
      <c r="AH137" s="6" t="n"/>
      <c r="AI137" s="45" t="n"/>
      <c r="AJ137" s="45">
        <f>TABL1234[[#This Row],[(A/B) AJD]]-TABL1234[[#This Row],[BER_IN]]</f>
        <v/>
      </c>
      <c r="AK137" s="45" t="n"/>
      <c r="AL137" s="45" t="n"/>
      <c r="AM137" s="32" t="n"/>
      <c r="AN137" s="32">
        <f>TABL1234[[#This Row],[ (RESV. STORGE) SER]]/10</f>
        <v/>
      </c>
      <c r="AO137" s="68" t="n"/>
      <c r="AP137" s="68">
        <f>TABL1234[[#This Row],[(A/S) AJD]]-TABL1234[[#This Row],[SER_IN]]</f>
        <v/>
      </c>
    </row>
    <row r="138" ht="18.75" customHeight="1">
      <c r="A138" s="2" t="n">
        <v>46524</v>
      </c>
      <c r="B138" s="41" t="n"/>
      <c r="C138" s="41" t="n"/>
      <c r="D138" s="41" t="n"/>
      <c r="E138" s="41" t="n"/>
      <c r="F138" s="41" t="n"/>
      <c r="G138" s="39" t="n"/>
      <c r="H138" s="28">
        <f>103-F138</f>
        <v/>
      </c>
      <c r="I138" s="39" t="n"/>
      <c r="J138" s="39" t="n"/>
      <c r="K138" s="28">
        <f>TABL1234[[#This Row],[ (T/B) SAR]]+TABL1234[[#This Row],[ (S/S) SAR]]</f>
        <v/>
      </c>
      <c r="L138" s="41" t="n"/>
      <c r="M138" s="42" t="n"/>
      <c r="N138" s="42" t="n"/>
      <c r="O138" s="39" t="n"/>
      <c r="P138" s="3">
        <f>TABL1234[[#This Row],[ (S/S) SAR]]-TABL1234[[#This Row],[(S/S) AJD]]</f>
        <v/>
      </c>
      <c r="Q138" s="39" t="n"/>
      <c r="R138" s="3">
        <f>TABL1234[[#This Row],[ (T/B) SAR]]-TABL1234[[#This Row],[(T/B) AJD]]</f>
        <v/>
      </c>
      <c r="S138" s="3">
        <f>TABL1234[[#This Row],[T/B-CON.]]+TABL1234[[#This Row],[S/S_CON.]]</f>
        <v/>
      </c>
      <c r="T138" s="3">
        <f>TABL1234[[#This Row],[(S/S) AJD]]+TABL1234[[#This Row],[(T/B) AJD]]</f>
        <v/>
      </c>
      <c r="U138" s="41" t="n"/>
      <c r="V138" s="41" t="n"/>
      <c r="W138" s="3">
        <f>TABL1234[[#This Row],[(A/B) AJD]]+TABL1234[[#This Row],[(A/S) AJD]]</f>
        <v/>
      </c>
      <c r="X138" s="3">
        <f>TABL1234[[#This Row],[( S/S+T/B) AJD]]-TABL1234[[#This Row],[(A/B + A/S) AJD]]</f>
        <v/>
      </c>
      <c r="Y138" s="41" t="n"/>
      <c r="Z138" s="43" t="n"/>
      <c r="AA138" s="3">
        <f>TABL1234[[#This Row],[(RESV. STORGE) AJD]]/10</f>
        <v/>
      </c>
      <c r="AB138" s="3">
        <f>IF(TRIM(Z138)="",,(Z138-Z137)/1000)</f>
        <v/>
      </c>
      <c r="AC138" s="5" t="n"/>
      <c r="AD138" s="39">
        <f>TABL1234[[#This Row],[( S/S+T/B) AJD]]-(TABL1234[[#This Row],[(A/B + A/S) AJD]]+(TABL1234[[#This Row],[(STORGE DIFF.) AJD]]*1000)+TABL1234[[#This Row],[AJD_Evaporation]])</f>
        <v/>
      </c>
      <c r="AE138" s="41" t="n"/>
      <c r="AF138" s="43" t="n"/>
      <c r="AG138" s="43" t="n"/>
      <c r="AH138" s="6" t="n"/>
      <c r="AI138" s="43" t="n"/>
      <c r="AJ138" s="43">
        <f>TABL1234[[#This Row],[(A/B) AJD]]-TABL1234[[#This Row],[BER_IN]]</f>
        <v/>
      </c>
      <c r="AK138" s="43" t="n"/>
      <c r="AL138" s="43" t="n"/>
      <c r="AM138" s="32" t="n"/>
      <c r="AN138" s="32">
        <f>TABL1234[[#This Row],[ (RESV. STORGE) SER]]/10</f>
        <v/>
      </c>
      <c r="AO138" s="68" t="n"/>
      <c r="AP138" s="68">
        <f>TABL1234[[#This Row],[(A/S) AJD]]-TABL1234[[#This Row],[SER_IN]]</f>
        <v/>
      </c>
    </row>
    <row r="139" ht="18.75" customHeight="1">
      <c r="A139" s="2" t="n">
        <v>46525</v>
      </c>
      <c r="B139" s="44" t="n"/>
      <c r="C139" s="44" t="n"/>
      <c r="D139" s="44" t="n"/>
      <c r="E139" s="44" t="n"/>
      <c r="F139" s="44" t="n"/>
      <c r="G139" s="40" t="n"/>
      <c r="H139" s="28">
        <f>103-F139</f>
        <v/>
      </c>
      <c r="I139" s="40" t="n"/>
      <c r="J139" s="44" t="n"/>
      <c r="K139" s="28">
        <f>TABL1234[[#This Row],[ (T/B) SAR]]+TABL1234[[#This Row],[ (S/S) SAR]]</f>
        <v/>
      </c>
      <c r="L139" s="45" t="n"/>
      <c r="M139" s="46" t="n"/>
      <c r="N139" s="46" t="n"/>
      <c r="O139" s="40" t="n"/>
      <c r="P139" s="3">
        <f>TABL1234[[#This Row],[ (S/S) SAR]]-TABL1234[[#This Row],[(S/S) AJD]]</f>
        <v/>
      </c>
      <c r="Q139" s="40" t="n"/>
      <c r="R139" s="3">
        <f>TABL1234[[#This Row],[ (T/B) SAR]]-TABL1234[[#This Row],[(T/B) AJD]]</f>
        <v/>
      </c>
      <c r="S139" s="3">
        <f>TABL1234[[#This Row],[T/B-CON.]]+TABL1234[[#This Row],[S/S_CON.]]</f>
        <v/>
      </c>
      <c r="T139" s="3">
        <f>TABL1234[[#This Row],[(S/S) AJD]]+TABL1234[[#This Row],[(T/B) AJD]]</f>
        <v/>
      </c>
      <c r="U139" s="44" t="n"/>
      <c r="V139" s="44" t="n"/>
      <c r="W139" s="3">
        <f>TABL1234[[#This Row],[(A/B) AJD]]+TABL1234[[#This Row],[(A/S) AJD]]</f>
        <v/>
      </c>
      <c r="X139" s="3">
        <f>TABL1234[[#This Row],[( S/S+T/B) AJD]]-TABL1234[[#This Row],[(A/B + A/S) AJD]]</f>
        <v/>
      </c>
      <c r="Y139" s="44" t="n"/>
      <c r="Z139" s="45" t="n"/>
      <c r="AA139" s="3">
        <f>TABL1234[[#This Row],[(RESV. STORGE) AJD]]/10</f>
        <v/>
      </c>
      <c r="AB139" s="3">
        <f>IF(TRIM(Z139)="",,(Z139-Z138)/1000)</f>
        <v/>
      </c>
      <c r="AC139" s="5" t="n"/>
      <c r="AD139" s="40">
        <f>TABL1234[[#This Row],[( S/S+T/B) AJD]]-(TABL1234[[#This Row],[(A/B + A/S) AJD]]+(TABL1234[[#This Row],[(STORGE DIFF.) AJD]]*1000)+TABL1234[[#This Row],[AJD_Evaporation]])</f>
        <v/>
      </c>
      <c r="AE139" s="44" t="n"/>
      <c r="AF139" s="45" t="n"/>
      <c r="AG139" s="45" t="n"/>
      <c r="AH139" s="6" t="n"/>
      <c r="AI139" s="45" t="n"/>
      <c r="AJ139" s="45">
        <f>TABL1234[[#This Row],[(A/B) AJD]]-TABL1234[[#This Row],[BER_IN]]</f>
        <v/>
      </c>
      <c r="AK139" s="45" t="n"/>
      <c r="AL139" s="45" t="n"/>
      <c r="AM139" s="32" t="n"/>
      <c r="AN139" s="32">
        <f>TABL1234[[#This Row],[ (RESV. STORGE) SER]]/10</f>
        <v/>
      </c>
      <c r="AO139" s="68" t="n"/>
      <c r="AP139" s="68">
        <f>TABL1234[[#This Row],[(A/S) AJD]]-TABL1234[[#This Row],[SER_IN]]</f>
        <v/>
      </c>
    </row>
    <row r="140" ht="18.75" customHeight="1">
      <c r="A140" s="2" t="n">
        <v>46526</v>
      </c>
      <c r="B140" s="41" t="n"/>
      <c r="C140" s="41" t="n"/>
      <c r="D140" s="41" t="n"/>
      <c r="E140" s="41" t="n"/>
      <c r="F140" s="41" t="n"/>
      <c r="G140" s="39" t="n"/>
      <c r="H140" s="28">
        <f>103-F140</f>
        <v/>
      </c>
      <c r="I140" s="39" t="n"/>
      <c r="J140" s="39" t="n"/>
      <c r="K140" s="28">
        <f>TABL1234[[#This Row],[ (T/B) SAR]]+TABL1234[[#This Row],[ (S/S) SAR]]</f>
        <v/>
      </c>
      <c r="L140" s="41" t="n"/>
      <c r="M140" s="42" t="n"/>
      <c r="N140" s="42" t="n"/>
      <c r="O140" s="39" t="n"/>
      <c r="P140" s="3">
        <f>TABL1234[[#This Row],[ (S/S) SAR]]-TABL1234[[#This Row],[(S/S) AJD]]</f>
        <v/>
      </c>
      <c r="Q140" s="39" t="n"/>
      <c r="R140" s="3">
        <f>TABL1234[[#This Row],[ (T/B) SAR]]-TABL1234[[#This Row],[(T/B) AJD]]</f>
        <v/>
      </c>
      <c r="S140" s="3">
        <f>TABL1234[[#This Row],[T/B-CON.]]+TABL1234[[#This Row],[S/S_CON.]]</f>
        <v/>
      </c>
      <c r="T140" s="3">
        <f>TABL1234[[#This Row],[(S/S) AJD]]+TABL1234[[#This Row],[(T/B) AJD]]</f>
        <v/>
      </c>
      <c r="U140" s="41" t="n"/>
      <c r="V140" s="41" t="n"/>
      <c r="W140" s="3">
        <f>TABL1234[[#This Row],[(A/B) AJD]]+TABL1234[[#This Row],[(A/S) AJD]]</f>
        <v/>
      </c>
      <c r="X140" s="3">
        <f>TABL1234[[#This Row],[( S/S+T/B) AJD]]-TABL1234[[#This Row],[(A/B + A/S) AJD]]</f>
        <v/>
      </c>
      <c r="Y140" s="41" t="n"/>
      <c r="Z140" s="43" t="n"/>
      <c r="AA140" s="3">
        <f>TABL1234[[#This Row],[(RESV. STORGE) AJD]]/10</f>
        <v/>
      </c>
      <c r="AB140" s="3">
        <f>IF(TRIM(Z140)="",,(Z140-Z139)/1000)</f>
        <v/>
      </c>
      <c r="AC140" s="5" t="n"/>
      <c r="AD140" s="39">
        <f>TABL1234[[#This Row],[( S/S+T/B) AJD]]-(TABL1234[[#This Row],[(A/B + A/S) AJD]]+(TABL1234[[#This Row],[(STORGE DIFF.) AJD]]*1000)+TABL1234[[#This Row],[AJD_Evaporation]])</f>
        <v/>
      </c>
      <c r="AE140" s="41" t="n"/>
      <c r="AF140" s="43" t="n"/>
      <c r="AG140" s="43" t="n"/>
      <c r="AH140" s="6" t="n"/>
      <c r="AI140" s="43" t="n"/>
      <c r="AJ140" s="43">
        <f>TABL1234[[#This Row],[(A/B) AJD]]-TABL1234[[#This Row],[BER_IN]]</f>
        <v/>
      </c>
      <c r="AK140" s="43" t="n"/>
      <c r="AL140" s="43" t="n"/>
      <c r="AM140" s="32" t="n"/>
      <c r="AN140" s="32">
        <f>TABL1234[[#This Row],[ (RESV. STORGE) SER]]/10</f>
        <v/>
      </c>
      <c r="AO140" s="68" t="n"/>
      <c r="AP140" s="68">
        <f>TABL1234[[#This Row],[(A/S) AJD]]-TABL1234[[#This Row],[SER_IN]]</f>
        <v/>
      </c>
    </row>
    <row r="141" ht="18.75" customHeight="1">
      <c r="A141" s="2" t="n">
        <v>46527</v>
      </c>
      <c r="B141" s="44" t="n"/>
      <c r="C141" s="44" t="n"/>
      <c r="D141" s="44" t="n"/>
      <c r="E141" s="44" t="n"/>
      <c r="F141" s="44" t="n"/>
      <c r="G141" s="40" t="n"/>
      <c r="H141" s="28">
        <f>103-F141</f>
        <v/>
      </c>
      <c r="I141" s="40" t="n"/>
      <c r="J141" s="44" t="n"/>
      <c r="K141" s="28">
        <f>TABL1234[[#This Row],[ (T/B) SAR]]+TABL1234[[#This Row],[ (S/S) SAR]]</f>
        <v/>
      </c>
      <c r="L141" s="45" t="n"/>
      <c r="M141" s="46" t="n"/>
      <c r="N141" s="46" t="n"/>
      <c r="O141" s="40" t="n"/>
      <c r="P141" s="3">
        <f>TABL1234[[#This Row],[ (S/S) SAR]]-TABL1234[[#This Row],[(S/S) AJD]]</f>
        <v/>
      </c>
      <c r="Q141" s="40" t="n"/>
      <c r="R141" s="3">
        <f>TABL1234[[#This Row],[ (T/B) SAR]]-TABL1234[[#This Row],[(T/B) AJD]]</f>
        <v/>
      </c>
      <c r="S141" s="3">
        <f>TABL1234[[#This Row],[T/B-CON.]]+TABL1234[[#This Row],[S/S_CON.]]</f>
        <v/>
      </c>
      <c r="T141" s="3">
        <f>TABL1234[[#This Row],[(S/S) AJD]]+TABL1234[[#This Row],[(T/B) AJD]]</f>
        <v/>
      </c>
      <c r="U141" s="44" t="n"/>
      <c r="V141" s="44" t="n"/>
      <c r="W141" s="3">
        <f>TABL1234[[#This Row],[(A/B) AJD]]+TABL1234[[#This Row],[(A/S) AJD]]</f>
        <v/>
      </c>
      <c r="X141" s="3">
        <f>TABL1234[[#This Row],[( S/S+T/B) AJD]]-TABL1234[[#This Row],[(A/B + A/S) AJD]]</f>
        <v/>
      </c>
      <c r="Y141" s="44" t="n"/>
      <c r="Z141" s="45" t="n"/>
      <c r="AA141" s="3">
        <f>TABL1234[[#This Row],[(RESV. STORGE) AJD]]/10</f>
        <v/>
      </c>
      <c r="AB141" s="3">
        <f>IF(TRIM(Z141)="",,(Z141-Z140)/1000)</f>
        <v/>
      </c>
      <c r="AC141" s="5" t="n"/>
      <c r="AD141" s="40">
        <f>TABL1234[[#This Row],[( S/S+T/B) AJD]]-(TABL1234[[#This Row],[(A/B + A/S) AJD]]+(TABL1234[[#This Row],[(STORGE DIFF.) AJD]]*1000)+TABL1234[[#This Row],[AJD_Evaporation]])</f>
        <v/>
      </c>
      <c r="AE141" s="44" t="n"/>
      <c r="AF141" s="45" t="n"/>
      <c r="AG141" s="45" t="n"/>
      <c r="AH141" s="6" t="n"/>
      <c r="AI141" s="45" t="n"/>
      <c r="AJ141" s="45">
        <f>TABL1234[[#This Row],[(A/B) AJD]]-TABL1234[[#This Row],[BER_IN]]</f>
        <v/>
      </c>
      <c r="AK141" s="45" t="n"/>
      <c r="AL141" s="45" t="n"/>
      <c r="AM141" s="32" t="n"/>
      <c r="AN141" s="32">
        <f>TABL1234[[#This Row],[ (RESV. STORGE) SER]]/10</f>
        <v/>
      </c>
      <c r="AO141" s="68" t="n"/>
      <c r="AP141" s="68">
        <f>TABL1234[[#This Row],[(A/S) AJD]]-TABL1234[[#This Row],[SER_IN]]</f>
        <v/>
      </c>
    </row>
    <row r="142" ht="18.75" customHeight="1">
      <c r="A142" s="2" t="n">
        <v>46528</v>
      </c>
      <c r="B142" s="41" t="n"/>
      <c r="C142" s="41" t="n"/>
      <c r="D142" s="41" t="n"/>
      <c r="E142" s="41" t="n"/>
      <c r="F142" s="41" t="n"/>
      <c r="G142" s="39" t="n"/>
      <c r="H142" s="28">
        <f>103-F142</f>
        <v/>
      </c>
      <c r="I142" s="39" t="n"/>
      <c r="J142" s="39" t="n"/>
      <c r="K142" s="28">
        <f>TABL1234[[#This Row],[ (T/B) SAR]]+TABL1234[[#This Row],[ (S/S) SAR]]</f>
        <v/>
      </c>
      <c r="L142" s="41" t="n"/>
      <c r="M142" s="42" t="n"/>
      <c r="N142" s="42" t="n"/>
      <c r="O142" s="39" t="n"/>
      <c r="P142" s="3">
        <f>TABL1234[[#This Row],[ (S/S) SAR]]-TABL1234[[#This Row],[(S/S) AJD]]</f>
        <v/>
      </c>
      <c r="Q142" s="39" t="n"/>
      <c r="R142" s="3">
        <f>TABL1234[[#This Row],[ (T/B) SAR]]-TABL1234[[#This Row],[(T/B) AJD]]</f>
        <v/>
      </c>
      <c r="S142" s="3">
        <f>TABL1234[[#This Row],[T/B-CON.]]+TABL1234[[#This Row],[S/S_CON.]]</f>
        <v/>
      </c>
      <c r="T142" s="3">
        <f>TABL1234[[#This Row],[(S/S) AJD]]+TABL1234[[#This Row],[(T/B) AJD]]</f>
        <v/>
      </c>
      <c r="U142" s="41" t="n"/>
      <c r="V142" s="41" t="n"/>
      <c r="W142" s="3">
        <f>TABL1234[[#This Row],[(A/B) AJD]]+TABL1234[[#This Row],[(A/S) AJD]]</f>
        <v/>
      </c>
      <c r="X142" s="3">
        <f>TABL1234[[#This Row],[( S/S+T/B) AJD]]-TABL1234[[#This Row],[(A/B + A/S) AJD]]</f>
        <v/>
      </c>
      <c r="Y142" s="41" t="n"/>
      <c r="Z142" s="43" t="n"/>
      <c r="AA142" s="3">
        <f>TABL1234[[#This Row],[(RESV. STORGE) AJD]]/10</f>
        <v/>
      </c>
      <c r="AB142" s="3">
        <f>IF(TRIM(Z142)="",,(Z142-Z141)/1000)</f>
        <v/>
      </c>
      <c r="AC142" s="5" t="n"/>
      <c r="AD142" s="39">
        <f>TABL1234[[#This Row],[( S/S+T/B) AJD]]-(TABL1234[[#This Row],[(A/B + A/S) AJD]]+(TABL1234[[#This Row],[(STORGE DIFF.) AJD]]*1000)+TABL1234[[#This Row],[AJD_Evaporation]])</f>
        <v/>
      </c>
      <c r="AE142" s="41" t="n"/>
      <c r="AF142" s="43" t="n"/>
      <c r="AG142" s="43" t="n"/>
      <c r="AH142" s="6" t="n"/>
      <c r="AI142" s="43" t="n"/>
      <c r="AJ142" s="43">
        <f>TABL1234[[#This Row],[(A/B) AJD]]-TABL1234[[#This Row],[BER_IN]]</f>
        <v/>
      </c>
      <c r="AK142" s="43" t="n"/>
      <c r="AL142" s="43" t="n"/>
      <c r="AM142" s="32" t="n"/>
      <c r="AN142" s="32">
        <f>TABL1234[[#This Row],[ (RESV. STORGE) SER]]/10</f>
        <v/>
      </c>
      <c r="AO142" s="68" t="n"/>
      <c r="AP142" s="68">
        <f>TABL1234[[#This Row],[(A/S) AJD]]-TABL1234[[#This Row],[SER_IN]]</f>
        <v/>
      </c>
    </row>
    <row r="143" ht="18.75" customHeight="1">
      <c r="A143" s="2" t="n">
        <v>46529</v>
      </c>
      <c r="B143" s="44" t="n"/>
      <c r="C143" s="44" t="n"/>
      <c r="D143" s="44" t="n"/>
      <c r="E143" s="44" t="n"/>
      <c r="F143" s="44" t="n"/>
      <c r="G143" s="40" t="n"/>
      <c r="H143" s="28">
        <f>103-F143</f>
        <v/>
      </c>
      <c r="I143" s="40" t="n"/>
      <c r="J143" s="44" t="n"/>
      <c r="K143" s="28">
        <f>TABL1234[[#This Row],[ (T/B) SAR]]+TABL1234[[#This Row],[ (S/S) SAR]]</f>
        <v/>
      </c>
      <c r="L143" s="45" t="n"/>
      <c r="M143" s="46" t="n"/>
      <c r="N143" s="46" t="n"/>
      <c r="O143" s="40" t="n"/>
      <c r="P143" s="3">
        <f>TABL1234[[#This Row],[ (S/S) SAR]]-TABL1234[[#This Row],[(S/S) AJD]]</f>
        <v/>
      </c>
      <c r="Q143" s="40" t="n"/>
      <c r="R143" s="3">
        <f>TABL1234[[#This Row],[ (T/B) SAR]]-TABL1234[[#This Row],[(T/B) AJD]]</f>
        <v/>
      </c>
      <c r="S143" s="3">
        <f>TABL1234[[#This Row],[T/B-CON.]]+TABL1234[[#This Row],[S/S_CON.]]</f>
        <v/>
      </c>
      <c r="T143" s="3">
        <f>TABL1234[[#This Row],[(S/S) AJD]]+TABL1234[[#This Row],[(T/B) AJD]]</f>
        <v/>
      </c>
      <c r="U143" s="44" t="n"/>
      <c r="V143" s="44" t="n"/>
      <c r="W143" s="3">
        <f>TABL1234[[#This Row],[(A/B) AJD]]+TABL1234[[#This Row],[(A/S) AJD]]</f>
        <v/>
      </c>
      <c r="X143" s="3">
        <f>TABL1234[[#This Row],[( S/S+T/B) AJD]]-TABL1234[[#This Row],[(A/B + A/S) AJD]]</f>
        <v/>
      </c>
      <c r="Y143" s="44" t="n"/>
      <c r="Z143" s="45" t="n"/>
      <c r="AA143" s="3">
        <f>TABL1234[[#This Row],[(RESV. STORGE) AJD]]/10</f>
        <v/>
      </c>
      <c r="AB143" s="3">
        <f>IF(TRIM(Z143)="",,(Z143-Z142)/1000)</f>
        <v/>
      </c>
      <c r="AC143" s="5" t="n"/>
      <c r="AD143" s="40">
        <f>TABL1234[[#This Row],[( S/S+T/B) AJD]]-(TABL1234[[#This Row],[(A/B + A/S) AJD]]+(TABL1234[[#This Row],[(STORGE DIFF.) AJD]]*1000)+TABL1234[[#This Row],[AJD_Evaporation]])</f>
        <v/>
      </c>
      <c r="AE143" s="44" t="n"/>
      <c r="AF143" s="45" t="n"/>
      <c r="AG143" s="45" t="n"/>
      <c r="AH143" s="6" t="n"/>
      <c r="AI143" s="45" t="n"/>
      <c r="AJ143" s="45">
        <f>TABL1234[[#This Row],[(A/B) AJD]]-TABL1234[[#This Row],[BER_IN]]</f>
        <v/>
      </c>
      <c r="AK143" s="45" t="n"/>
      <c r="AL143" s="45" t="n"/>
      <c r="AM143" s="32" t="n"/>
      <c r="AN143" s="32">
        <f>TABL1234[[#This Row],[ (RESV. STORGE) SER]]/10</f>
        <v/>
      </c>
      <c r="AO143" s="68" t="n"/>
      <c r="AP143" s="68">
        <f>TABL1234[[#This Row],[(A/S) AJD]]-TABL1234[[#This Row],[SER_IN]]</f>
        <v/>
      </c>
    </row>
    <row r="144" ht="18.75" customHeight="1">
      <c r="A144" s="2" t="n">
        <v>46530</v>
      </c>
      <c r="B144" s="41" t="n"/>
      <c r="C144" s="41" t="n"/>
      <c r="D144" s="41" t="n"/>
      <c r="E144" s="41" t="n"/>
      <c r="F144" s="41" t="n"/>
      <c r="G144" s="39" t="n"/>
      <c r="H144" s="28">
        <f>103-F144</f>
        <v/>
      </c>
      <c r="I144" s="39" t="n"/>
      <c r="J144" s="39" t="n"/>
      <c r="K144" s="28">
        <f>TABL1234[[#This Row],[ (T/B) SAR]]+TABL1234[[#This Row],[ (S/S) SAR]]</f>
        <v/>
      </c>
      <c r="L144" s="41" t="n"/>
      <c r="M144" s="42" t="n"/>
      <c r="N144" s="42" t="n"/>
      <c r="O144" s="39" t="n"/>
      <c r="P144" s="3">
        <f>TABL1234[[#This Row],[ (S/S) SAR]]-TABL1234[[#This Row],[(S/S) AJD]]</f>
        <v/>
      </c>
      <c r="Q144" s="39" t="n"/>
      <c r="R144" s="3">
        <f>TABL1234[[#This Row],[ (T/B) SAR]]-TABL1234[[#This Row],[(T/B) AJD]]</f>
        <v/>
      </c>
      <c r="S144" s="3">
        <f>TABL1234[[#This Row],[T/B-CON.]]+TABL1234[[#This Row],[S/S_CON.]]</f>
        <v/>
      </c>
      <c r="T144" s="3">
        <f>TABL1234[[#This Row],[(S/S) AJD]]+TABL1234[[#This Row],[(T/B) AJD]]</f>
        <v/>
      </c>
      <c r="U144" s="41" t="n"/>
      <c r="V144" s="41" t="n"/>
      <c r="W144" s="3">
        <f>TABL1234[[#This Row],[(A/B) AJD]]+TABL1234[[#This Row],[(A/S) AJD]]</f>
        <v/>
      </c>
      <c r="X144" s="3">
        <f>TABL1234[[#This Row],[( S/S+T/B) AJD]]-TABL1234[[#This Row],[(A/B + A/S) AJD]]</f>
        <v/>
      </c>
      <c r="Y144" s="41" t="n"/>
      <c r="Z144" s="43" t="n"/>
      <c r="AA144" s="3">
        <f>TABL1234[[#This Row],[(RESV. STORGE) AJD]]/10</f>
        <v/>
      </c>
      <c r="AB144" s="3">
        <f>IF(TRIM(Z144)="",,(Z144-Z143)/1000)</f>
        <v/>
      </c>
      <c r="AC144" s="5" t="n"/>
      <c r="AD144" s="39">
        <f>TABL1234[[#This Row],[( S/S+T/B) AJD]]-(TABL1234[[#This Row],[(A/B + A/S) AJD]]+(TABL1234[[#This Row],[(STORGE DIFF.) AJD]]*1000)+TABL1234[[#This Row],[AJD_Evaporation]])</f>
        <v/>
      </c>
      <c r="AE144" s="41" t="n"/>
      <c r="AF144" s="43" t="n"/>
      <c r="AG144" s="43" t="n"/>
      <c r="AH144" s="6" t="n"/>
      <c r="AI144" s="43" t="n"/>
      <c r="AJ144" s="43">
        <f>TABL1234[[#This Row],[(A/B) AJD]]-TABL1234[[#This Row],[BER_IN]]</f>
        <v/>
      </c>
      <c r="AK144" s="43" t="n"/>
      <c r="AL144" s="43" t="n"/>
      <c r="AM144" s="32" t="n"/>
      <c r="AN144" s="32">
        <f>TABL1234[[#This Row],[ (RESV. STORGE) SER]]/10</f>
        <v/>
      </c>
      <c r="AO144" s="68" t="n"/>
      <c r="AP144" s="68">
        <f>TABL1234[[#This Row],[(A/S) AJD]]-TABL1234[[#This Row],[SER_IN]]</f>
        <v/>
      </c>
    </row>
    <row r="145" ht="18.75" customHeight="1">
      <c r="A145" s="2" t="n">
        <v>46531</v>
      </c>
      <c r="B145" s="44" t="n"/>
      <c r="C145" s="44" t="n"/>
      <c r="D145" s="44" t="n"/>
      <c r="E145" s="44" t="n"/>
      <c r="F145" s="44" t="n"/>
      <c r="G145" s="40" t="n"/>
      <c r="H145" s="28">
        <f>103-F145</f>
        <v/>
      </c>
      <c r="I145" s="40" t="n"/>
      <c r="J145" s="44" t="n"/>
      <c r="K145" s="28">
        <f>TABL1234[[#This Row],[ (T/B) SAR]]+TABL1234[[#This Row],[ (S/S) SAR]]</f>
        <v/>
      </c>
      <c r="L145" s="45" t="n"/>
      <c r="M145" s="46" t="n"/>
      <c r="N145" s="46" t="n"/>
      <c r="O145" s="40" t="n"/>
      <c r="P145" s="3">
        <f>TABL1234[[#This Row],[ (S/S) SAR]]-TABL1234[[#This Row],[(S/S) AJD]]</f>
        <v/>
      </c>
      <c r="Q145" s="40" t="n"/>
      <c r="R145" s="3">
        <f>TABL1234[[#This Row],[ (T/B) SAR]]-TABL1234[[#This Row],[(T/B) AJD]]</f>
        <v/>
      </c>
      <c r="S145" s="3">
        <f>TABL1234[[#This Row],[T/B-CON.]]+TABL1234[[#This Row],[S/S_CON.]]</f>
        <v/>
      </c>
      <c r="T145" s="3">
        <f>TABL1234[[#This Row],[(S/S) AJD]]+TABL1234[[#This Row],[(T/B) AJD]]</f>
        <v/>
      </c>
      <c r="U145" s="44" t="n"/>
      <c r="V145" s="44" t="n"/>
      <c r="W145" s="3">
        <f>TABL1234[[#This Row],[(A/B) AJD]]+TABL1234[[#This Row],[(A/S) AJD]]</f>
        <v/>
      </c>
      <c r="X145" s="3">
        <f>TABL1234[[#This Row],[( S/S+T/B) AJD]]-TABL1234[[#This Row],[(A/B + A/S) AJD]]</f>
        <v/>
      </c>
      <c r="Y145" s="44" t="n"/>
      <c r="Z145" s="45" t="n"/>
      <c r="AA145" s="3">
        <f>TABL1234[[#This Row],[(RESV. STORGE) AJD]]/10</f>
        <v/>
      </c>
      <c r="AB145" s="3">
        <f>IF(TRIM(Z145)="",,(Z145-Z144)/1000)</f>
        <v/>
      </c>
      <c r="AC145" s="5" t="n"/>
      <c r="AD145" s="40">
        <f>TABL1234[[#This Row],[( S/S+T/B) AJD]]-(TABL1234[[#This Row],[(A/B + A/S) AJD]]+(TABL1234[[#This Row],[(STORGE DIFF.) AJD]]*1000)+TABL1234[[#This Row],[AJD_Evaporation]])</f>
        <v/>
      </c>
      <c r="AE145" s="44" t="n"/>
      <c r="AF145" s="45" t="n"/>
      <c r="AG145" s="45" t="n"/>
      <c r="AH145" s="6" t="n"/>
      <c r="AI145" s="45" t="n"/>
      <c r="AJ145" s="45">
        <f>TABL1234[[#This Row],[(A/B) AJD]]-TABL1234[[#This Row],[BER_IN]]</f>
        <v/>
      </c>
      <c r="AK145" s="45" t="n"/>
      <c r="AL145" s="45" t="n"/>
      <c r="AM145" s="32" t="n"/>
      <c r="AN145" s="32">
        <f>TABL1234[[#This Row],[ (RESV. STORGE) SER]]/10</f>
        <v/>
      </c>
      <c r="AO145" s="68" t="n"/>
      <c r="AP145" s="68">
        <f>TABL1234[[#This Row],[(A/S) AJD]]-TABL1234[[#This Row],[SER_IN]]</f>
        <v/>
      </c>
    </row>
    <row r="146" ht="18.75" customHeight="1">
      <c r="A146" s="2" t="n">
        <v>46532</v>
      </c>
      <c r="B146" s="41" t="n"/>
      <c r="C146" s="41" t="n"/>
      <c r="D146" s="41" t="n"/>
      <c r="E146" s="41" t="n"/>
      <c r="F146" s="41" t="n"/>
      <c r="G146" s="39" t="n"/>
      <c r="H146" s="28">
        <f>103-F146</f>
        <v/>
      </c>
      <c r="I146" s="39" t="n"/>
      <c r="J146" s="39" t="n"/>
      <c r="K146" s="28">
        <f>TABL1234[[#This Row],[ (T/B) SAR]]+TABL1234[[#This Row],[ (S/S) SAR]]</f>
        <v/>
      </c>
      <c r="L146" s="41" t="n"/>
      <c r="M146" s="42" t="n"/>
      <c r="N146" s="42" t="n"/>
      <c r="O146" s="39" t="n"/>
      <c r="P146" s="3">
        <f>TABL1234[[#This Row],[ (S/S) SAR]]-TABL1234[[#This Row],[(S/S) AJD]]</f>
        <v/>
      </c>
      <c r="Q146" s="39" t="n"/>
      <c r="R146" s="3">
        <f>TABL1234[[#This Row],[ (T/B) SAR]]-TABL1234[[#This Row],[(T/B) AJD]]</f>
        <v/>
      </c>
      <c r="S146" s="3">
        <f>TABL1234[[#This Row],[T/B-CON.]]+TABL1234[[#This Row],[S/S_CON.]]</f>
        <v/>
      </c>
      <c r="T146" s="3">
        <f>TABL1234[[#This Row],[(S/S) AJD]]+TABL1234[[#This Row],[(T/B) AJD]]</f>
        <v/>
      </c>
      <c r="U146" s="41" t="n"/>
      <c r="V146" s="41" t="n"/>
      <c r="W146" s="3">
        <f>TABL1234[[#This Row],[(A/B) AJD]]+TABL1234[[#This Row],[(A/S) AJD]]</f>
        <v/>
      </c>
      <c r="X146" s="3">
        <f>TABL1234[[#This Row],[( S/S+T/B) AJD]]-TABL1234[[#This Row],[(A/B + A/S) AJD]]</f>
        <v/>
      </c>
      <c r="Y146" s="41" t="n"/>
      <c r="Z146" s="43" t="n"/>
      <c r="AA146" s="3">
        <f>TABL1234[[#This Row],[(RESV. STORGE) AJD]]/10</f>
        <v/>
      </c>
      <c r="AB146" s="3">
        <f>IF(TRIM(Z146)="",,(Z146-Z145)/1000)</f>
        <v/>
      </c>
      <c r="AC146" s="5" t="n"/>
      <c r="AD146" s="39">
        <f>TABL1234[[#This Row],[( S/S+T/B) AJD]]-(TABL1234[[#This Row],[(A/B + A/S) AJD]]+(TABL1234[[#This Row],[(STORGE DIFF.) AJD]]*1000)+TABL1234[[#This Row],[AJD_Evaporation]])</f>
        <v/>
      </c>
      <c r="AE146" s="41" t="n"/>
      <c r="AF146" s="43" t="n"/>
      <c r="AG146" s="43" t="n"/>
      <c r="AH146" s="6" t="n"/>
      <c r="AI146" s="43" t="n"/>
      <c r="AJ146" s="43">
        <f>TABL1234[[#This Row],[(A/B) AJD]]-TABL1234[[#This Row],[BER_IN]]</f>
        <v/>
      </c>
      <c r="AK146" s="43" t="n"/>
      <c r="AL146" s="43" t="n"/>
      <c r="AM146" s="32" t="n"/>
      <c r="AN146" s="32">
        <f>TABL1234[[#This Row],[ (RESV. STORGE) SER]]/10</f>
        <v/>
      </c>
      <c r="AO146" s="68" t="n"/>
      <c r="AP146" s="68">
        <f>TABL1234[[#This Row],[(A/S) AJD]]-TABL1234[[#This Row],[SER_IN]]</f>
        <v/>
      </c>
    </row>
    <row r="147" ht="18.75" customHeight="1">
      <c r="A147" s="2" t="n">
        <v>46533</v>
      </c>
      <c r="B147" s="44" t="n"/>
      <c r="C147" s="44" t="n"/>
      <c r="D147" s="44" t="n"/>
      <c r="E147" s="44" t="n"/>
      <c r="F147" s="44" t="n"/>
      <c r="G147" s="40" t="n"/>
      <c r="H147" s="28">
        <f>103-F147</f>
        <v/>
      </c>
      <c r="I147" s="40" t="n"/>
      <c r="J147" s="44" t="n"/>
      <c r="K147" s="28">
        <f>TABL1234[[#This Row],[ (T/B) SAR]]+TABL1234[[#This Row],[ (S/S) SAR]]</f>
        <v/>
      </c>
      <c r="L147" s="45" t="n"/>
      <c r="M147" s="46" t="n"/>
      <c r="N147" s="46" t="n"/>
      <c r="O147" s="40" t="n"/>
      <c r="P147" s="3">
        <f>TABL1234[[#This Row],[ (S/S) SAR]]-TABL1234[[#This Row],[(S/S) AJD]]</f>
        <v/>
      </c>
      <c r="Q147" s="40" t="n"/>
      <c r="R147" s="3">
        <f>TABL1234[[#This Row],[ (T/B) SAR]]-TABL1234[[#This Row],[(T/B) AJD]]</f>
        <v/>
      </c>
      <c r="S147" s="3">
        <f>TABL1234[[#This Row],[T/B-CON.]]+TABL1234[[#This Row],[S/S_CON.]]</f>
        <v/>
      </c>
      <c r="T147" s="3">
        <f>TABL1234[[#This Row],[(S/S) AJD]]+TABL1234[[#This Row],[(T/B) AJD]]</f>
        <v/>
      </c>
      <c r="U147" s="44" t="n"/>
      <c r="V147" s="44" t="n"/>
      <c r="W147" s="3">
        <f>TABL1234[[#This Row],[(A/B) AJD]]+TABL1234[[#This Row],[(A/S) AJD]]</f>
        <v/>
      </c>
      <c r="X147" s="3">
        <f>TABL1234[[#This Row],[( S/S+T/B) AJD]]-TABL1234[[#This Row],[(A/B + A/S) AJD]]</f>
        <v/>
      </c>
      <c r="Y147" s="44" t="n"/>
      <c r="Z147" s="45" t="n"/>
      <c r="AA147" s="3">
        <f>TABL1234[[#This Row],[(RESV. STORGE) AJD]]/10</f>
        <v/>
      </c>
      <c r="AB147" s="3">
        <f>IF(TRIM(Z147)="",,(Z147-Z146)/1000)</f>
        <v/>
      </c>
      <c r="AC147" s="5" t="n"/>
      <c r="AD147" s="40">
        <f>TABL1234[[#This Row],[( S/S+T/B) AJD]]-(TABL1234[[#This Row],[(A/B + A/S) AJD]]+(TABL1234[[#This Row],[(STORGE DIFF.) AJD]]*1000)+TABL1234[[#This Row],[AJD_Evaporation]])</f>
        <v/>
      </c>
      <c r="AE147" s="44" t="n"/>
      <c r="AF147" s="45" t="n"/>
      <c r="AG147" s="45" t="n"/>
      <c r="AH147" s="6" t="n"/>
      <c r="AI147" s="45" t="n"/>
      <c r="AJ147" s="45">
        <f>TABL1234[[#This Row],[(A/B) AJD]]-TABL1234[[#This Row],[BER_IN]]</f>
        <v/>
      </c>
      <c r="AK147" s="45" t="n"/>
      <c r="AL147" s="45" t="n"/>
      <c r="AM147" s="32" t="n"/>
      <c r="AN147" s="32">
        <f>TABL1234[[#This Row],[ (RESV. STORGE) SER]]/10</f>
        <v/>
      </c>
      <c r="AO147" s="68" t="n"/>
      <c r="AP147" s="68">
        <f>TABL1234[[#This Row],[(A/S) AJD]]-TABL1234[[#This Row],[SER_IN]]</f>
        <v/>
      </c>
    </row>
    <row r="148" ht="18.75" customHeight="1">
      <c r="A148" s="2" t="n">
        <v>46534</v>
      </c>
      <c r="B148" s="41" t="n"/>
      <c r="C148" s="41" t="n"/>
      <c r="D148" s="41" t="n"/>
      <c r="E148" s="41" t="n"/>
      <c r="F148" s="41" t="n"/>
      <c r="G148" s="39" t="n"/>
      <c r="H148" s="28">
        <f>103-F148</f>
        <v/>
      </c>
      <c r="I148" s="39" t="n"/>
      <c r="J148" s="39" t="n"/>
      <c r="K148" s="28">
        <f>TABL1234[[#This Row],[ (T/B) SAR]]+TABL1234[[#This Row],[ (S/S) SAR]]</f>
        <v/>
      </c>
      <c r="L148" s="41" t="n"/>
      <c r="M148" s="42" t="n"/>
      <c r="N148" s="42" t="n"/>
      <c r="O148" s="39" t="n"/>
      <c r="P148" s="3">
        <f>TABL1234[[#This Row],[ (S/S) SAR]]-TABL1234[[#This Row],[(S/S) AJD]]</f>
        <v/>
      </c>
      <c r="Q148" s="39" t="n"/>
      <c r="R148" s="3">
        <f>TABL1234[[#This Row],[ (T/B) SAR]]-TABL1234[[#This Row],[(T/B) AJD]]</f>
        <v/>
      </c>
      <c r="S148" s="3">
        <f>TABL1234[[#This Row],[T/B-CON.]]+TABL1234[[#This Row],[S/S_CON.]]</f>
        <v/>
      </c>
      <c r="T148" s="3">
        <f>TABL1234[[#This Row],[(S/S) AJD]]+TABL1234[[#This Row],[(T/B) AJD]]</f>
        <v/>
      </c>
      <c r="U148" s="41" t="n"/>
      <c r="V148" s="41" t="n"/>
      <c r="W148" s="3">
        <f>TABL1234[[#This Row],[(A/B) AJD]]+TABL1234[[#This Row],[(A/S) AJD]]</f>
        <v/>
      </c>
      <c r="X148" s="3">
        <f>TABL1234[[#This Row],[( S/S+T/B) AJD]]-TABL1234[[#This Row],[(A/B + A/S) AJD]]</f>
        <v/>
      </c>
      <c r="Y148" s="41" t="n"/>
      <c r="Z148" s="43" t="n"/>
      <c r="AA148" s="3">
        <f>TABL1234[[#This Row],[(RESV. STORGE) AJD]]/10</f>
        <v/>
      </c>
      <c r="AB148" s="3">
        <f>IF(TRIM(Z148)="",,(Z148-Z147)/1000)</f>
        <v/>
      </c>
      <c r="AC148" s="5" t="n"/>
      <c r="AD148" s="39">
        <f>TABL1234[[#This Row],[( S/S+T/B) AJD]]-(TABL1234[[#This Row],[(A/B + A/S) AJD]]+(TABL1234[[#This Row],[(STORGE DIFF.) AJD]]*1000)+TABL1234[[#This Row],[AJD_Evaporation]])</f>
        <v/>
      </c>
      <c r="AE148" s="41" t="n"/>
      <c r="AF148" s="43" t="n"/>
      <c r="AG148" s="43" t="n"/>
      <c r="AH148" s="6" t="n"/>
      <c r="AI148" s="43" t="n"/>
      <c r="AJ148" s="43">
        <f>TABL1234[[#This Row],[(A/B) AJD]]-TABL1234[[#This Row],[BER_IN]]</f>
        <v/>
      </c>
      <c r="AK148" s="43" t="n"/>
      <c r="AL148" s="43" t="n"/>
      <c r="AM148" s="32" t="n"/>
      <c r="AN148" s="32">
        <f>TABL1234[[#This Row],[ (RESV. STORGE) SER]]/10</f>
        <v/>
      </c>
      <c r="AO148" s="68" t="n"/>
      <c r="AP148" s="68">
        <f>TABL1234[[#This Row],[(A/S) AJD]]-TABL1234[[#This Row],[SER_IN]]</f>
        <v/>
      </c>
    </row>
    <row r="149" ht="18.75" customHeight="1">
      <c r="A149" s="2" t="n">
        <v>46535</v>
      </c>
      <c r="B149" s="44" t="n"/>
      <c r="C149" s="44" t="n"/>
      <c r="D149" s="44" t="n"/>
      <c r="E149" s="44" t="n"/>
      <c r="F149" s="44" t="n"/>
      <c r="G149" s="40" t="n"/>
      <c r="H149" s="28">
        <f>103-F149</f>
        <v/>
      </c>
      <c r="I149" s="40" t="n"/>
      <c r="J149" s="44" t="n"/>
      <c r="K149" s="28">
        <f>TABL1234[[#This Row],[ (T/B) SAR]]+TABL1234[[#This Row],[ (S/S) SAR]]</f>
        <v/>
      </c>
      <c r="L149" s="45" t="n"/>
      <c r="M149" s="46" t="n"/>
      <c r="N149" s="46" t="n"/>
      <c r="O149" s="40" t="n"/>
      <c r="P149" s="3">
        <f>TABL1234[[#This Row],[ (S/S) SAR]]-TABL1234[[#This Row],[(S/S) AJD]]</f>
        <v/>
      </c>
      <c r="Q149" s="40" t="n"/>
      <c r="R149" s="3">
        <f>TABL1234[[#This Row],[ (T/B) SAR]]-TABL1234[[#This Row],[(T/B) AJD]]</f>
        <v/>
      </c>
      <c r="S149" s="3">
        <f>TABL1234[[#This Row],[T/B-CON.]]+TABL1234[[#This Row],[S/S_CON.]]</f>
        <v/>
      </c>
      <c r="T149" s="3">
        <f>TABL1234[[#This Row],[(S/S) AJD]]+TABL1234[[#This Row],[(T/B) AJD]]</f>
        <v/>
      </c>
      <c r="U149" s="44" t="n"/>
      <c r="V149" s="44" t="n"/>
      <c r="W149" s="3">
        <f>TABL1234[[#This Row],[(A/B) AJD]]+TABL1234[[#This Row],[(A/S) AJD]]</f>
        <v/>
      </c>
      <c r="X149" s="3">
        <f>TABL1234[[#This Row],[( S/S+T/B) AJD]]-TABL1234[[#This Row],[(A/B + A/S) AJD]]</f>
        <v/>
      </c>
      <c r="Y149" s="44" t="n"/>
      <c r="Z149" s="45" t="n"/>
      <c r="AA149" s="3">
        <f>TABL1234[[#This Row],[(RESV. STORGE) AJD]]/10</f>
        <v/>
      </c>
      <c r="AB149" s="3">
        <f>IF(TRIM(Z149)="",,(Z149-Z148)/1000)</f>
        <v/>
      </c>
      <c r="AC149" s="5" t="n"/>
      <c r="AD149" s="40">
        <f>TABL1234[[#This Row],[( S/S+T/B) AJD]]-(TABL1234[[#This Row],[(A/B + A/S) AJD]]+(TABL1234[[#This Row],[(STORGE DIFF.) AJD]]*1000)+TABL1234[[#This Row],[AJD_Evaporation]])</f>
        <v/>
      </c>
      <c r="AE149" s="44" t="n"/>
      <c r="AF149" s="45" t="n"/>
      <c r="AG149" s="45" t="n"/>
      <c r="AH149" s="6" t="n"/>
      <c r="AI149" s="45" t="n"/>
      <c r="AJ149" s="45">
        <f>TABL1234[[#This Row],[(A/B) AJD]]-TABL1234[[#This Row],[BER_IN]]</f>
        <v/>
      </c>
      <c r="AK149" s="45" t="n"/>
      <c r="AL149" s="45" t="n"/>
      <c r="AM149" s="32" t="n"/>
      <c r="AN149" s="32">
        <f>TABL1234[[#This Row],[ (RESV. STORGE) SER]]/10</f>
        <v/>
      </c>
      <c r="AO149" s="68" t="n"/>
      <c r="AP149" s="68">
        <f>TABL1234[[#This Row],[(A/S) AJD]]-TABL1234[[#This Row],[SER_IN]]</f>
        <v/>
      </c>
    </row>
    <row r="150" ht="18.75" customHeight="1">
      <c r="A150" s="2" t="n">
        <v>46536</v>
      </c>
      <c r="B150" s="41" t="n"/>
      <c r="C150" s="41" t="n"/>
      <c r="D150" s="41" t="n"/>
      <c r="E150" s="41" t="n"/>
      <c r="F150" s="41" t="n"/>
      <c r="G150" s="39" t="n"/>
      <c r="H150" s="28">
        <f>103-F150</f>
        <v/>
      </c>
      <c r="I150" s="39" t="n"/>
      <c r="J150" s="39" t="n"/>
      <c r="K150" s="28">
        <f>TABL1234[[#This Row],[ (T/B) SAR]]+TABL1234[[#This Row],[ (S/S) SAR]]</f>
        <v/>
      </c>
      <c r="L150" s="41" t="n"/>
      <c r="M150" s="42" t="n"/>
      <c r="N150" s="42" t="n"/>
      <c r="O150" s="39" t="n"/>
      <c r="P150" s="3">
        <f>TABL1234[[#This Row],[ (S/S) SAR]]-TABL1234[[#This Row],[(S/S) AJD]]</f>
        <v/>
      </c>
      <c r="Q150" s="39" t="n"/>
      <c r="R150" s="3">
        <f>TABL1234[[#This Row],[ (T/B) SAR]]-TABL1234[[#This Row],[(T/B) AJD]]</f>
        <v/>
      </c>
      <c r="S150" s="3">
        <f>TABL1234[[#This Row],[T/B-CON.]]+TABL1234[[#This Row],[S/S_CON.]]</f>
        <v/>
      </c>
      <c r="T150" s="3">
        <f>TABL1234[[#This Row],[(S/S) AJD]]+TABL1234[[#This Row],[(T/B) AJD]]</f>
        <v/>
      </c>
      <c r="U150" s="41" t="n"/>
      <c r="V150" s="41" t="n"/>
      <c r="W150" s="3">
        <f>TABL1234[[#This Row],[(A/B) AJD]]+TABL1234[[#This Row],[(A/S) AJD]]</f>
        <v/>
      </c>
      <c r="X150" s="3">
        <f>TABL1234[[#This Row],[( S/S+T/B) AJD]]-TABL1234[[#This Row],[(A/B + A/S) AJD]]</f>
        <v/>
      </c>
      <c r="Y150" s="41" t="n"/>
      <c r="Z150" s="43" t="n"/>
      <c r="AA150" s="3">
        <f>TABL1234[[#This Row],[(RESV. STORGE) AJD]]/10</f>
        <v/>
      </c>
      <c r="AB150" s="3">
        <f>IF(TRIM(Z150)="",,(Z150-Z149)/1000)</f>
        <v/>
      </c>
      <c r="AC150" s="5" t="n"/>
      <c r="AD150" s="39">
        <f>TABL1234[[#This Row],[( S/S+T/B) AJD]]-(TABL1234[[#This Row],[(A/B + A/S) AJD]]+(TABL1234[[#This Row],[(STORGE DIFF.) AJD]]*1000)+TABL1234[[#This Row],[AJD_Evaporation]])</f>
        <v/>
      </c>
      <c r="AE150" s="41" t="n"/>
      <c r="AF150" s="43" t="n"/>
      <c r="AG150" s="43" t="n"/>
      <c r="AH150" s="6" t="n"/>
      <c r="AI150" s="43" t="n"/>
      <c r="AJ150" s="43">
        <f>TABL1234[[#This Row],[(A/B) AJD]]-TABL1234[[#This Row],[BER_IN]]</f>
        <v/>
      </c>
      <c r="AK150" s="43" t="n"/>
      <c r="AL150" s="43" t="n"/>
      <c r="AM150" s="32" t="n"/>
      <c r="AN150" s="32">
        <f>TABL1234[[#This Row],[ (RESV. STORGE) SER]]/10</f>
        <v/>
      </c>
      <c r="AO150" s="68" t="n"/>
      <c r="AP150" s="68">
        <f>TABL1234[[#This Row],[(A/S) AJD]]-TABL1234[[#This Row],[SER_IN]]</f>
        <v/>
      </c>
    </row>
    <row r="151" ht="18.75" customHeight="1">
      <c r="A151" s="2" t="n">
        <v>46537</v>
      </c>
      <c r="B151" s="44" t="n"/>
      <c r="C151" s="44" t="n"/>
      <c r="D151" s="44" t="n"/>
      <c r="E151" s="44" t="n"/>
      <c r="F151" s="44" t="n"/>
      <c r="G151" s="40" t="n"/>
      <c r="H151" s="28">
        <f>103-F151</f>
        <v/>
      </c>
      <c r="I151" s="40" t="n"/>
      <c r="J151" s="44" t="n"/>
      <c r="K151" s="28">
        <f>TABL1234[[#This Row],[ (T/B) SAR]]+TABL1234[[#This Row],[ (S/S) SAR]]</f>
        <v/>
      </c>
      <c r="L151" s="45" t="n"/>
      <c r="M151" s="46" t="n"/>
      <c r="N151" s="46" t="n"/>
      <c r="O151" s="40" t="n"/>
      <c r="P151" s="3">
        <f>TABL1234[[#This Row],[ (S/S) SAR]]-TABL1234[[#This Row],[(S/S) AJD]]</f>
        <v/>
      </c>
      <c r="Q151" s="40" t="n"/>
      <c r="R151" s="3">
        <f>TABL1234[[#This Row],[ (T/B) SAR]]-TABL1234[[#This Row],[(T/B) AJD]]</f>
        <v/>
      </c>
      <c r="S151" s="3">
        <f>TABL1234[[#This Row],[T/B-CON.]]+TABL1234[[#This Row],[S/S_CON.]]</f>
        <v/>
      </c>
      <c r="T151" s="3">
        <f>TABL1234[[#This Row],[(S/S) AJD]]+TABL1234[[#This Row],[(T/B) AJD]]</f>
        <v/>
      </c>
      <c r="U151" s="44" t="n"/>
      <c r="V151" s="44" t="n"/>
      <c r="W151" s="3">
        <f>TABL1234[[#This Row],[(A/B) AJD]]+TABL1234[[#This Row],[(A/S) AJD]]</f>
        <v/>
      </c>
      <c r="X151" s="3">
        <f>TABL1234[[#This Row],[( S/S+T/B) AJD]]-TABL1234[[#This Row],[(A/B + A/S) AJD]]</f>
        <v/>
      </c>
      <c r="Y151" s="44" t="n"/>
      <c r="Z151" s="45" t="n"/>
      <c r="AA151" s="3">
        <f>TABL1234[[#This Row],[(RESV. STORGE) AJD]]/10</f>
        <v/>
      </c>
      <c r="AB151" s="3">
        <f>IF(TRIM(Z151)="",,(Z151-Z150)/1000)</f>
        <v/>
      </c>
      <c r="AC151" s="5" t="n"/>
      <c r="AD151" s="70">
        <f>TABL1234[[#This Row],[( S/S+T/B) AJD]]-(TABL1234[[#This Row],[(A/B + A/S) AJD]]+(TABL1234[[#This Row],[(STORGE DIFF.) AJD]]*1000)+TABL1234[[#This Row],[AJD_Evaporation]])</f>
        <v/>
      </c>
      <c r="AE151" s="44" t="n"/>
      <c r="AF151" s="45" t="n"/>
      <c r="AG151" s="45" t="n"/>
      <c r="AH151" s="6" t="n"/>
      <c r="AI151" s="45" t="n"/>
      <c r="AJ151" s="90">
        <f>TABL1234[[#This Row],[(A/B) AJD]]-TABL1234[[#This Row],[BER_IN]]</f>
        <v/>
      </c>
      <c r="AK151" s="45" t="n"/>
      <c r="AL151" s="45" t="n"/>
      <c r="AM151" s="32" t="n"/>
      <c r="AN151" s="32">
        <f>TABL1234[[#This Row],[ (RESV. STORGE) SER]]/10</f>
        <v/>
      </c>
      <c r="AO151" s="68" t="n"/>
      <c r="AP151" s="68">
        <f>TABL1234[[#This Row],[(A/S) AJD]]-TABL1234[[#This Row],[SER_IN]]</f>
        <v/>
      </c>
    </row>
    <row r="152" ht="18.75" customHeight="1">
      <c r="A152" s="2" t="n">
        <v>46538</v>
      </c>
      <c r="B152" s="41" t="n"/>
      <c r="C152" s="41" t="n"/>
      <c r="D152" s="41" t="n"/>
      <c r="E152" s="28" t="n"/>
      <c r="F152" s="41" t="n"/>
      <c r="G152" s="39" t="n"/>
      <c r="H152" s="28">
        <f>103-F152</f>
        <v/>
      </c>
      <c r="I152" s="39" t="n"/>
      <c r="J152" s="39" t="n"/>
      <c r="K152" s="28">
        <f>TABL1234[[#This Row],[ (T/B) SAR]]+TABL1234[[#This Row],[ (S/S) SAR]]</f>
        <v/>
      </c>
      <c r="L152" s="41" t="n"/>
      <c r="M152" s="42" t="n"/>
      <c r="N152" s="42" t="n"/>
      <c r="O152" s="39" t="n"/>
      <c r="P152" s="3">
        <f>TABL1234[[#This Row],[ (S/S) SAR]]-TABL1234[[#This Row],[(S/S) AJD]]</f>
        <v/>
      </c>
      <c r="Q152" s="39" t="n"/>
      <c r="R152" s="3">
        <f>TABL1234[[#This Row],[ (T/B) SAR]]-TABL1234[[#This Row],[(T/B) AJD]]</f>
        <v/>
      </c>
      <c r="S152" s="3">
        <f>TABL1234[[#This Row],[T/B-CON.]]+TABL1234[[#This Row],[S/S_CON.]]</f>
        <v/>
      </c>
      <c r="T152" s="3">
        <f>TABL1234[[#This Row],[(S/S) AJD]]+TABL1234[[#This Row],[(T/B) AJD]]</f>
        <v/>
      </c>
      <c r="U152" s="41" t="n"/>
      <c r="V152" s="41" t="n"/>
      <c r="W152" s="3">
        <f>TABL1234[[#This Row],[(A/B) AJD]]+TABL1234[[#This Row],[(A/S) AJD]]</f>
        <v/>
      </c>
      <c r="X152" s="3">
        <f>TABL1234[[#This Row],[( S/S+T/B) AJD]]-TABL1234[[#This Row],[(A/B + A/S) AJD]]</f>
        <v/>
      </c>
      <c r="Y152" s="41" t="n"/>
      <c r="Z152" s="43" t="n"/>
      <c r="AA152" s="3">
        <f>TABL1234[[#This Row],[(RESV. STORGE) AJD]]/10</f>
        <v/>
      </c>
      <c r="AB152" s="3">
        <f>IF(TRIM(Z152)="",,(Z152-Z151)/1000)</f>
        <v/>
      </c>
      <c r="AC152" s="5" t="n"/>
      <c r="AD152" s="39">
        <f>TABL1234[[#This Row],[( S/S+T/B) AJD]]-(TABL1234[[#This Row],[(A/B + A/S) AJD]]+(TABL1234[[#This Row],[(STORGE DIFF.) AJD]]*1000)+TABL1234[[#This Row],[AJD_Evaporation]])</f>
        <v/>
      </c>
      <c r="AE152" s="41" t="n"/>
      <c r="AF152" s="43" t="n"/>
      <c r="AG152" s="43" t="n"/>
      <c r="AH152" s="6" t="n"/>
      <c r="AI152" s="43" t="n"/>
      <c r="AJ152" s="43">
        <f>TABL1234[[#This Row],[(A/B) AJD]]-TABL1234[[#This Row],[BER_IN]]</f>
        <v/>
      </c>
      <c r="AK152" s="43" t="n"/>
      <c r="AL152" s="43" t="n"/>
      <c r="AM152" s="32" t="n"/>
      <c r="AN152" s="32">
        <f>TABL1234[[#This Row],[ (RESV. STORGE) SER]]/10</f>
        <v/>
      </c>
      <c r="AO152" s="68" t="n"/>
      <c r="AP152" s="68">
        <f>TABL1234[[#This Row],[(A/S) AJD]]-TABL1234[[#This Row],[SER_IN]]</f>
        <v/>
      </c>
    </row>
    <row r="153" ht="18.75" customHeight="1">
      <c r="A153" s="2" t="n">
        <v>46539</v>
      </c>
      <c r="B153" s="41" t="n"/>
      <c r="C153" s="41" t="n"/>
      <c r="D153" s="41" t="n"/>
      <c r="E153" s="28" t="n"/>
      <c r="F153" s="41" t="n"/>
      <c r="G153" s="39" t="n"/>
      <c r="H153" s="28">
        <f>103-F153</f>
        <v/>
      </c>
      <c r="I153" s="39" t="n"/>
      <c r="J153" s="39" t="n"/>
      <c r="K153" s="28">
        <f>TABL1234[[#This Row],[ (T/B) SAR]]+TABL1234[[#This Row],[ (S/S) SAR]]</f>
        <v/>
      </c>
      <c r="L153" s="41" t="n"/>
      <c r="M153" s="42" t="n"/>
      <c r="N153" s="42" t="n"/>
      <c r="O153" s="39" t="n"/>
      <c r="P153" s="10">
        <f>TABL1234[[#This Row],[ (S/S) SAR]]-TABL1234[[#This Row],[(S/S) AJD]]</f>
        <v/>
      </c>
      <c r="Q153" s="39" t="n"/>
      <c r="R153" s="10">
        <f>TABL1234[[#This Row],[ (T/B) SAR]]-TABL1234[[#This Row],[(T/B) AJD]]</f>
        <v/>
      </c>
      <c r="S153" s="10">
        <f>TABL1234[[#This Row],[T/B-CON.]]+TABL1234[[#This Row],[S/S_CON.]]</f>
        <v/>
      </c>
      <c r="T153" s="10">
        <f>TABL1234[[#This Row],[(S/S) AJD]]+TABL1234[[#This Row],[(T/B) AJD]]</f>
        <v/>
      </c>
      <c r="U153" s="41" t="n"/>
      <c r="V153" s="41" t="n"/>
      <c r="W153" s="10">
        <f>TABL1234[[#This Row],[(A/B) AJD]]+TABL1234[[#This Row],[(A/S) AJD]]</f>
        <v/>
      </c>
      <c r="X153" s="10">
        <f>TABL1234[[#This Row],[( S/S+T/B) AJD]]-TABL1234[[#This Row],[(A/B + A/S) AJD]]</f>
        <v/>
      </c>
      <c r="Y153" s="41" t="n"/>
      <c r="Z153" s="43" t="n"/>
      <c r="AA153" s="3">
        <f>TABL1234[[#This Row],[(RESV. STORGE) AJD]]/10</f>
        <v/>
      </c>
      <c r="AB153" s="3">
        <f>IF(TRIM(Z153)="",,(Z153-Z152)/1000)</f>
        <v/>
      </c>
      <c r="AC153" s="5" t="n"/>
      <c r="AD153" s="39">
        <f>TABL1234[[#This Row],[( S/S+T/B) AJD]]-(TABL1234[[#This Row],[(A/B + A/S) AJD]]+(TABL1234[[#This Row],[(STORGE DIFF.) AJD]]*1000)+TABL1234[[#This Row],[AJD_Evaporation]])</f>
        <v/>
      </c>
      <c r="AE153" s="41" t="n"/>
      <c r="AF153" s="43" t="n"/>
      <c r="AG153" s="43" t="n"/>
      <c r="AH153" s="6" t="n"/>
      <c r="AI153" s="43" t="n"/>
      <c r="AJ153" s="43">
        <f>TABL1234[[#This Row],[(A/B) AJD]]-TABL1234[[#This Row],[BER_IN]]</f>
        <v/>
      </c>
      <c r="AK153" s="43" t="n"/>
      <c r="AL153" s="43" t="n"/>
      <c r="AM153" s="32" t="n"/>
      <c r="AN153" s="32">
        <f>TABL1234[[#This Row],[ (RESV. STORGE) SER]]/10</f>
        <v/>
      </c>
      <c r="AO153" s="68" t="n"/>
      <c r="AP153" s="68">
        <f>TABL1234[[#This Row],[(A/S) AJD]]-TABL1234[[#This Row],[SER_IN]]</f>
        <v/>
      </c>
    </row>
    <row r="154" ht="18.75" customHeight="1">
      <c r="A154" s="2" t="n">
        <v>46540</v>
      </c>
      <c r="B154" s="44" t="n"/>
      <c r="C154" s="44" t="n"/>
      <c r="D154" s="44" t="n"/>
      <c r="E154" s="28" t="n"/>
      <c r="F154" s="44" t="n"/>
      <c r="G154" s="40" t="n"/>
      <c r="H154" s="28">
        <f>103-F154</f>
        <v/>
      </c>
      <c r="I154" s="40" t="n"/>
      <c r="J154" s="44" t="n"/>
      <c r="K154" s="28">
        <f>TABL1234[[#This Row],[ (T/B) SAR]]+TABL1234[[#This Row],[ (S/S) SAR]]</f>
        <v/>
      </c>
      <c r="L154" s="45" t="n"/>
      <c r="M154" s="46" t="n"/>
      <c r="N154" s="46" t="n"/>
      <c r="O154" s="40" t="n"/>
      <c r="P154" s="10">
        <f>TABL1234[[#This Row],[ (S/S) SAR]]-TABL1234[[#This Row],[(S/S) AJD]]</f>
        <v/>
      </c>
      <c r="Q154" s="40" t="n"/>
      <c r="R154" s="10">
        <f>TABL1234[[#This Row],[ (T/B) SAR]]-TABL1234[[#This Row],[(T/B) AJD]]</f>
        <v/>
      </c>
      <c r="S154" s="10">
        <f>TABL1234[[#This Row],[T/B-CON.]]+TABL1234[[#This Row],[S/S_CON.]]</f>
        <v/>
      </c>
      <c r="T154" s="10">
        <f>TABL1234[[#This Row],[(S/S) AJD]]+TABL1234[[#This Row],[(T/B) AJD]]</f>
        <v/>
      </c>
      <c r="U154" s="44" t="n"/>
      <c r="V154" s="44" t="n"/>
      <c r="W154" s="10">
        <f>TABL1234[[#This Row],[(A/B) AJD]]+TABL1234[[#This Row],[(A/S) AJD]]</f>
        <v/>
      </c>
      <c r="X154" s="10">
        <f>TABL1234[[#This Row],[( S/S+T/B) AJD]]-TABL1234[[#This Row],[(A/B + A/S) AJD]]</f>
        <v/>
      </c>
      <c r="Y154" s="44" t="n"/>
      <c r="Z154" s="45" t="n"/>
      <c r="AA154" s="3">
        <f>TABL1234[[#This Row],[(RESV. STORGE) AJD]]/10</f>
        <v/>
      </c>
      <c r="AB154" s="3">
        <f>IF(TRIM(Z154)="",,(Z154-Z153)/1000)</f>
        <v/>
      </c>
      <c r="AC154" s="5" t="n"/>
      <c r="AD154" s="40">
        <f>TABL1234[[#This Row],[( S/S+T/B) AJD]]-(TABL1234[[#This Row],[(A/B + A/S) AJD]]+(TABL1234[[#This Row],[(STORGE DIFF.) AJD]]*1000)+TABL1234[[#This Row],[AJD_Evaporation]])</f>
        <v/>
      </c>
      <c r="AE154" s="44" t="n"/>
      <c r="AF154" s="45" t="n"/>
      <c r="AG154" s="45" t="n"/>
      <c r="AH154" s="6" t="n"/>
      <c r="AI154" s="45" t="n"/>
      <c r="AJ154" s="45">
        <f>TABL1234[[#This Row],[(A/B) AJD]]-TABL1234[[#This Row],[BER_IN]]</f>
        <v/>
      </c>
      <c r="AK154" s="45" t="n"/>
      <c r="AL154" s="45" t="n"/>
      <c r="AM154" s="32" t="n"/>
      <c r="AN154" s="32">
        <f>TABL1234[[#This Row],[ (RESV. STORGE) SER]]/10</f>
        <v/>
      </c>
      <c r="AO154" s="68" t="n"/>
      <c r="AP154" s="68">
        <f>TABL1234[[#This Row],[(A/S) AJD]]-TABL1234[[#This Row],[SER_IN]]</f>
        <v/>
      </c>
    </row>
    <row r="155" ht="18.75" customHeight="1">
      <c r="A155" s="2" t="n">
        <v>46541</v>
      </c>
      <c r="B155" s="41" t="n"/>
      <c r="C155" s="41" t="n"/>
      <c r="D155" s="41" t="n"/>
      <c r="E155" s="28" t="n"/>
      <c r="F155" s="41" t="n"/>
      <c r="G155" s="39" t="n"/>
      <c r="H155" s="28">
        <f>103-F155</f>
        <v/>
      </c>
      <c r="I155" s="39" t="n"/>
      <c r="J155" s="39" t="n"/>
      <c r="K155" s="28">
        <f>TABL1234[[#This Row],[ (T/B) SAR]]+TABL1234[[#This Row],[ (S/S) SAR]]</f>
        <v/>
      </c>
      <c r="L155" s="41" t="n"/>
      <c r="M155" s="42" t="n"/>
      <c r="N155" s="42" t="n"/>
      <c r="O155" s="39" t="n"/>
      <c r="P155" s="10">
        <f>TABL1234[[#This Row],[ (S/S) SAR]]-TABL1234[[#This Row],[(S/S) AJD]]</f>
        <v/>
      </c>
      <c r="Q155" s="39" t="n"/>
      <c r="R155" s="10">
        <f>TABL1234[[#This Row],[ (T/B) SAR]]-TABL1234[[#This Row],[(T/B) AJD]]</f>
        <v/>
      </c>
      <c r="S155" s="10">
        <f>TABL1234[[#This Row],[T/B-CON.]]+TABL1234[[#This Row],[S/S_CON.]]</f>
        <v/>
      </c>
      <c r="T155" s="10">
        <f>TABL1234[[#This Row],[(S/S) AJD]]+TABL1234[[#This Row],[(T/B) AJD]]</f>
        <v/>
      </c>
      <c r="U155" s="41" t="n"/>
      <c r="V155" s="41" t="n"/>
      <c r="W155" s="10">
        <f>TABL1234[[#This Row],[(A/B) AJD]]+TABL1234[[#This Row],[(A/S) AJD]]</f>
        <v/>
      </c>
      <c r="X155" s="10">
        <f>TABL1234[[#This Row],[( S/S+T/B) AJD]]-TABL1234[[#This Row],[(A/B + A/S) AJD]]</f>
        <v/>
      </c>
      <c r="Y155" s="41" t="n"/>
      <c r="Z155" s="43" t="n"/>
      <c r="AA155" s="3">
        <f>TABL1234[[#This Row],[(RESV. STORGE) AJD]]/10</f>
        <v/>
      </c>
      <c r="AB155" s="3">
        <f>IF(TRIM(Z155)="",,(Z155-Z154)/1000)</f>
        <v/>
      </c>
      <c r="AC155" s="5" t="n"/>
      <c r="AD155" s="39">
        <f>TABL1234[[#This Row],[( S/S+T/B) AJD]]-(TABL1234[[#This Row],[(A/B + A/S) AJD]]+(TABL1234[[#This Row],[(STORGE DIFF.) AJD]]*1000)+TABL1234[[#This Row],[AJD_Evaporation]])</f>
        <v/>
      </c>
      <c r="AE155" s="41" t="n"/>
      <c r="AF155" s="43" t="n"/>
      <c r="AG155" s="43" t="n"/>
      <c r="AH155" s="6" t="n"/>
      <c r="AI155" s="43" t="n"/>
      <c r="AJ155" s="43">
        <f>TABL1234[[#This Row],[(A/B) AJD]]-TABL1234[[#This Row],[BER_IN]]</f>
        <v/>
      </c>
      <c r="AK155" s="43" t="n"/>
      <c r="AL155" s="43" t="n"/>
      <c r="AM155" s="32" t="n"/>
      <c r="AN155" s="32">
        <f>TABL1234[[#This Row],[ (RESV. STORGE) SER]]/10</f>
        <v/>
      </c>
      <c r="AO155" s="68" t="n"/>
      <c r="AP155" s="68">
        <f>TABL1234[[#This Row],[(A/S) AJD]]-TABL1234[[#This Row],[SER_IN]]</f>
        <v/>
      </c>
    </row>
    <row r="156" ht="18.75" customHeight="1">
      <c r="A156" s="2" t="n">
        <v>46542</v>
      </c>
      <c r="B156" s="44" t="n"/>
      <c r="C156" s="44" t="n"/>
      <c r="D156" s="44" t="n"/>
      <c r="E156" s="28" t="n"/>
      <c r="F156" s="44" t="n"/>
      <c r="G156" s="40" t="n"/>
      <c r="H156" s="28">
        <f>103-F156</f>
        <v/>
      </c>
      <c r="I156" s="40" t="n"/>
      <c r="J156" s="44" t="n"/>
      <c r="K156" s="28">
        <f>TABL1234[[#This Row],[ (T/B) SAR]]+TABL1234[[#This Row],[ (S/S) SAR]]</f>
        <v/>
      </c>
      <c r="L156" s="45" t="n"/>
      <c r="M156" s="46" t="n"/>
      <c r="N156" s="46" t="n"/>
      <c r="O156" s="40" t="n"/>
      <c r="P156" s="10">
        <f>TABL1234[[#This Row],[ (S/S) SAR]]-TABL1234[[#This Row],[(S/S) AJD]]</f>
        <v/>
      </c>
      <c r="Q156" s="40" t="n"/>
      <c r="R156" s="10">
        <f>TABL1234[[#This Row],[ (T/B) SAR]]-TABL1234[[#This Row],[(T/B) AJD]]</f>
        <v/>
      </c>
      <c r="S156" s="10">
        <f>TABL1234[[#This Row],[T/B-CON.]]+TABL1234[[#This Row],[S/S_CON.]]</f>
        <v/>
      </c>
      <c r="T156" s="10">
        <f>TABL1234[[#This Row],[(S/S) AJD]]+TABL1234[[#This Row],[(T/B) AJD]]</f>
        <v/>
      </c>
      <c r="U156" s="44" t="n"/>
      <c r="V156" s="44" t="n"/>
      <c r="W156" s="10">
        <f>TABL1234[[#This Row],[(A/B) AJD]]+TABL1234[[#This Row],[(A/S) AJD]]</f>
        <v/>
      </c>
      <c r="X156" s="10">
        <f>TABL1234[[#This Row],[( S/S+T/B) AJD]]-TABL1234[[#This Row],[(A/B + A/S) AJD]]</f>
        <v/>
      </c>
      <c r="Y156" s="44" t="n"/>
      <c r="Z156" s="45" t="n"/>
      <c r="AA156" s="3">
        <f>TABL1234[[#This Row],[(RESV. STORGE) AJD]]/10</f>
        <v/>
      </c>
      <c r="AB156" s="3">
        <f>IF(TRIM(Z156)="",,(Z156-Z155)/1000)</f>
        <v/>
      </c>
      <c r="AC156" s="5" t="n"/>
      <c r="AD156" s="40">
        <f>TABL1234[[#This Row],[( S/S+T/B) AJD]]-(TABL1234[[#This Row],[(A/B + A/S) AJD]]+(TABL1234[[#This Row],[(STORGE DIFF.) AJD]]*1000)+TABL1234[[#This Row],[AJD_Evaporation]])</f>
        <v/>
      </c>
      <c r="AE156" s="44" t="n"/>
      <c r="AF156" s="45" t="n"/>
      <c r="AG156" s="45" t="n"/>
      <c r="AH156" s="6" t="n"/>
      <c r="AI156" s="45" t="n"/>
      <c r="AJ156" s="45">
        <f>TABL1234[[#This Row],[(A/B) AJD]]-TABL1234[[#This Row],[BER_IN]]</f>
        <v/>
      </c>
      <c r="AK156" s="45" t="n"/>
      <c r="AL156" s="45" t="n"/>
      <c r="AM156" s="32" t="n"/>
      <c r="AN156" s="32">
        <f>TABL1234[[#This Row],[ (RESV. STORGE) SER]]/10</f>
        <v/>
      </c>
      <c r="AO156" s="68" t="n"/>
      <c r="AP156" s="68">
        <f>TABL1234[[#This Row],[(A/S) AJD]]-TABL1234[[#This Row],[SER_IN]]</f>
        <v/>
      </c>
    </row>
    <row r="157" ht="18.75" customHeight="1">
      <c r="A157" s="2" t="n">
        <v>46543</v>
      </c>
      <c r="B157" s="41" t="n"/>
      <c r="C157" s="41" t="n"/>
      <c r="D157" s="41" t="n"/>
      <c r="E157" s="28" t="n"/>
      <c r="F157" s="41" t="n"/>
      <c r="G157" s="39" t="n"/>
      <c r="H157" s="28">
        <f>103-F157</f>
        <v/>
      </c>
      <c r="I157" s="39" t="n"/>
      <c r="J157" s="39" t="n"/>
      <c r="K157" s="28">
        <f>TABL1234[[#This Row],[ (T/B) SAR]]+TABL1234[[#This Row],[ (S/S) SAR]]</f>
        <v/>
      </c>
      <c r="L157" s="41" t="n"/>
      <c r="M157" s="42" t="n"/>
      <c r="N157" s="42" t="n"/>
      <c r="O157" s="39" t="n"/>
      <c r="P157" s="10">
        <f>TABL1234[[#This Row],[ (S/S) SAR]]-TABL1234[[#This Row],[(S/S) AJD]]</f>
        <v/>
      </c>
      <c r="Q157" s="39" t="n"/>
      <c r="R157" s="10">
        <f>TABL1234[[#This Row],[ (T/B) SAR]]-TABL1234[[#This Row],[(T/B) AJD]]</f>
        <v/>
      </c>
      <c r="S157" s="10">
        <f>TABL1234[[#This Row],[T/B-CON.]]+TABL1234[[#This Row],[S/S_CON.]]</f>
        <v/>
      </c>
      <c r="T157" s="10">
        <f>TABL1234[[#This Row],[(S/S) AJD]]+TABL1234[[#This Row],[(T/B) AJD]]</f>
        <v/>
      </c>
      <c r="U157" s="41" t="n"/>
      <c r="V157" s="41" t="n"/>
      <c r="W157" s="10">
        <f>TABL1234[[#This Row],[(A/B) AJD]]+TABL1234[[#This Row],[(A/S) AJD]]</f>
        <v/>
      </c>
      <c r="X157" s="10">
        <f>TABL1234[[#This Row],[( S/S+T/B) AJD]]-TABL1234[[#This Row],[(A/B + A/S) AJD]]</f>
        <v/>
      </c>
      <c r="Y157" s="41" t="n"/>
      <c r="Z157" s="43" t="n"/>
      <c r="AA157" s="3">
        <f>TABL1234[[#This Row],[(RESV. STORGE) AJD]]/10</f>
        <v/>
      </c>
      <c r="AB157" s="3">
        <f>IF(TRIM(Z157)="",,(Z157-Z156)/1000)</f>
        <v/>
      </c>
      <c r="AC157" s="5" t="n"/>
      <c r="AD157" s="39">
        <f>TABL1234[[#This Row],[( S/S+T/B) AJD]]-(TABL1234[[#This Row],[(A/B + A/S) AJD]]+(TABL1234[[#This Row],[(STORGE DIFF.) AJD]]*1000)+TABL1234[[#This Row],[AJD_Evaporation]])</f>
        <v/>
      </c>
      <c r="AE157" s="41" t="n"/>
      <c r="AF157" s="43" t="n"/>
      <c r="AG157" s="43" t="n"/>
      <c r="AH157" s="6" t="n"/>
      <c r="AI157" s="43" t="n"/>
      <c r="AJ157" s="43">
        <f>TABL1234[[#This Row],[(A/B) AJD]]-TABL1234[[#This Row],[BER_IN]]</f>
        <v/>
      </c>
      <c r="AK157" s="43" t="n"/>
      <c r="AL157" s="43" t="n"/>
      <c r="AM157" s="32" t="n"/>
      <c r="AN157" s="32">
        <f>TABL1234[[#This Row],[ (RESV. STORGE) SER]]/10</f>
        <v/>
      </c>
      <c r="AO157" s="68" t="n"/>
      <c r="AP157" s="68">
        <f>TABL1234[[#This Row],[(A/S) AJD]]-TABL1234[[#This Row],[SER_IN]]</f>
        <v/>
      </c>
    </row>
    <row r="158" ht="18.75" customHeight="1">
      <c r="A158" s="2" t="n">
        <v>46544</v>
      </c>
      <c r="B158" s="44" t="n"/>
      <c r="C158" s="44" t="n"/>
      <c r="D158" s="44" t="n"/>
      <c r="E158" s="28" t="n"/>
      <c r="F158" s="44" t="n"/>
      <c r="G158" s="40" t="n"/>
      <c r="H158" s="28">
        <f>103-F158</f>
        <v/>
      </c>
      <c r="I158" s="40" t="n"/>
      <c r="J158" s="44" t="n"/>
      <c r="K158" s="28">
        <f>TABL1234[[#This Row],[ (T/B) SAR]]+TABL1234[[#This Row],[ (S/S) SAR]]</f>
        <v/>
      </c>
      <c r="L158" s="45" t="n"/>
      <c r="M158" s="46" t="n"/>
      <c r="N158" s="46" t="n"/>
      <c r="O158" s="40" t="n"/>
      <c r="P158" s="10">
        <f>TABL1234[[#This Row],[ (S/S) SAR]]-TABL1234[[#This Row],[(S/S) AJD]]</f>
        <v/>
      </c>
      <c r="Q158" s="40" t="n"/>
      <c r="R158" s="10">
        <f>TABL1234[[#This Row],[ (T/B) SAR]]-TABL1234[[#This Row],[(T/B) AJD]]</f>
        <v/>
      </c>
      <c r="S158" s="10">
        <f>TABL1234[[#This Row],[T/B-CON.]]+TABL1234[[#This Row],[S/S_CON.]]</f>
        <v/>
      </c>
      <c r="T158" s="10">
        <f>TABL1234[[#This Row],[(S/S) AJD]]+TABL1234[[#This Row],[(T/B) AJD]]</f>
        <v/>
      </c>
      <c r="U158" s="44" t="n"/>
      <c r="V158" s="44" t="n"/>
      <c r="W158" s="10">
        <f>TABL1234[[#This Row],[(A/B) AJD]]+TABL1234[[#This Row],[(A/S) AJD]]</f>
        <v/>
      </c>
      <c r="X158" s="10">
        <f>TABL1234[[#This Row],[( S/S+T/B) AJD]]-TABL1234[[#This Row],[(A/B + A/S) AJD]]</f>
        <v/>
      </c>
      <c r="Y158" s="44" t="n"/>
      <c r="Z158" s="45" t="n"/>
      <c r="AA158" s="3">
        <f>TABL1234[[#This Row],[(RESV. STORGE) AJD]]/10</f>
        <v/>
      </c>
      <c r="AB158" s="3">
        <f>IF(TRIM(Z158)="",,(Z158-Z157)/1000)</f>
        <v/>
      </c>
      <c r="AC158" s="5" t="n"/>
      <c r="AD158" s="40">
        <f>TABL1234[[#This Row],[( S/S+T/B) AJD]]-(TABL1234[[#This Row],[(A/B + A/S) AJD]]+(TABL1234[[#This Row],[(STORGE DIFF.) AJD]]*1000)+TABL1234[[#This Row],[AJD_Evaporation]])</f>
        <v/>
      </c>
      <c r="AE158" s="44" t="n"/>
      <c r="AF158" s="45" t="n"/>
      <c r="AG158" s="45" t="n"/>
      <c r="AH158" s="6" t="n"/>
      <c r="AI158" s="45" t="n"/>
      <c r="AJ158" s="45">
        <f>TABL1234[[#This Row],[(A/B) AJD]]-TABL1234[[#This Row],[BER_IN]]</f>
        <v/>
      </c>
      <c r="AK158" s="45" t="n"/>
      <c r="AL158" s="45" t="n"/>
      <c r="AM158" s="32" t="n"/>
      <c r="AN158" s="32">
        <f>TABL1234[[#This Row],[ (RESV. STORGE) SER]]/10</f>
        <v/>
      </c>
      <c r="AO158" s="68" t="n"/>
      <c r="AP158" s="68">
        <f>TABL1234[[#This Row],[(A/S) AJD]]-TABL1234[[#This Row],[SER_IN]]</f>
        <v/>
      </c>
    </row>
    <row r="159" ht="18.75" customHeight="1">
      <c r="A159" s="2" t="n">
        <v>46545</v>
      </c>
      <c r="B159" s="41" t="n"/>
      <c r="C159" s="41" t="n"/>
      <c r="D159" s="41" t="n"/>
      <c r="E159" s="28" t="n"/>
      <c r="F159" s="41" t="n"/>
      <c r="G159" s="39" t="n"/>
      <c r="H159" s="28">
        <f>103-F159</f>
        <v/>
      </c>
      <c r="I159" s="39" t="n"/>
      <c r="J159" s="39" t="n"/>
      <c r="K159" s="28">
        <f>TABL1234[[#This Row],[ (T/B) SAR]]+TABL1234[[#This Row],[ (S/S) SAR]]</f>
        <v/>
      </c>
      <c r="L159" s="41" t="n"/>
      <c r="M159" s="42" t="n"/>
      <c r="N159" s="42" t="n"/>
      <c r="O159" s="39" t="n"/>
      <c r="P159" s="10">
        <f>TABL1234[[#This Row],[ (S/S) SAR]]-TABL1234[[#This Row],[(S/S) AJD]]</f>
        <v/>
      </c>
      <c r="Q159" s="39" t="n"/>
      <c r="R159" s="10">
        <f>TABL1234[[#This Row],[ (T/B) SAR]]-TABL1234[[#This Row],[(T/B) AJD]]</f>
        <v/>
      </c>
      <c r="S159" s="10">
        <f>TABL1234[[#This Row],[T/B-CON.]]+TABL1234[[#This Row],[S/S_CON.]]</f>
        <v/>
      </c>
      <c r="T159" s="10">
        <f>TABL1234[[#This Row],[(S/S) AJD]]+TABL1234[[#This Row],[(T/B) AJD]]</f>
        <v/>
      </c>
      <c r="U159" s="41" t="n"/>
      <c r="V159" s="41" t="n"/>
      <c r="W159" s="10">
        <f>TABL1234[[#This Row],[(A/B) AJD]]+TABL1234[[#This Row],[(A/S) AJD]]</f>
        <v/>
      </c>
      <c r="X159" s="10">
        <f>TABL1234[[#This Row],[( S/S+T/B) AJD]]-TABL1234[[#This Row],[(A/B + A/S) AJD]]</f>
        <v/>
      </c>
      <c r="Y159" s="41" t="n"/>
      <c r="Z159" s="43" t="n"/>
      <c r="AA159" s="3">
        <f>TABL1234[[#This Row],[(RESV. STORGE) AJD]]/10</f>
        <v/>
      </c>
      <c r="AB159" s="3">
        <f>IF(TRIM(Z159)="",,(Z159-Z158)/1000)</f>
        <v/>
      </c>
      <c r="AC159" s="5" t="n"/>
      <c r="AD159" s="39">
        <f>TABL1234[[#This Row],[( S/S+T/B) AJD]]-(TABL1234[[#This Row],[(A/B + A/S) AJD]]+(TABL1234[[#This Row],[(STORGE DIFF.) AJD]]*1000)+TABL1234[[#This Row],[AJD_Evaporation]])</f>
        <v/>
      </c>
      <c r="AE159" s="41" t="n"/>
      <c r="AF159" s="43" t="n"/>
      <c r="AG159" s="43" t="n"/>
      <c r="AH159" s="6" t="n"/>
      <c r="AI159" s="43" t="n"/>
      <c r="AJ159" s="43">
        <f>TABL1234[[#This Row],[(A/B) AJD]]-TABL1234[[#This Row],[BER_IN]]</f>
        <v/>
      </c>
      <c r="AK159" s="43" t="n"/>
      <c r="AL159" s="43" t="n"/>
      <c r="AM159" s="32" t="n"/>
      <c r="AN159" s="32">
        <f>TABL1234[[#This Row],[ (RESV. STORGE) SER]]/10</f>
        <v/>
      </c>
      <c r="AO159" s="68" t="n"/>
      <c r="AP159" s="68">
        <f>TABL1234[[#This Row],[(A/S) AJD]]-TABL1234[[#This Row],[SER_IN]]</f>
        <v/>
      </c>
    </row>
    <row r="160" ht="18.75" customHeight="1">
      <c r="A160" s="2" t="n">
        <v>46546</v>
      </c>
      <c r="B160" s="44" t="n"/>
      <c r="C160" s="44" t="n"/>
      <c r="D160" s="44" t="n"/>
      <c r="E160" s="28" t="n"/>
      <c r="F160" s="44" t="n"/>
      <c r="G160" s="40" t="n"/>
      <c r="H160" s="28">
        <f>103-F160</f>
        <v/>
      </c>
      <c r="I160" s="40" t="n"/>
      <c r="J160" s="44" t="n"/>
      <c r="K160" s="28">
        <f>TABL1234[[#This Row],[ (T/B) SAR]]+TABL1234[[#This Row],[ (S/S) SAR]]</f>
        <v/>
      </c>
      <c r="L160" s="45" t="n"/>
      <c r="M160" s="46" t="n"/>
      <c r="N160" s="46" t="n"/>
      <c r="O160" s="40" t="n"/>
      <c r="P160" s="10">
        <f>TABL1234[[#This Row],[ (S/S) SAR]]-TABL1234[[#This Row],[(S/S) AJD]]</f>
        <v/>
      </c>
      <c r="Q160" s="40" t="n"/>
      <c r="R160" s="10">
        <f>TABL1234[[#This Row],[ (T/B) SAR]]-TABL1234[[#This Row],[(T/B) AJD]]</f>
        <v/>
      </c>
      <c r="S160" s="10">
        <f>TABL1234[[#This Row],[T/B-CON.]]+TABL1234[[#This Row],[S/S_CON.]]</f>
        <v/>
      </c>
      <c r="T160" s="10">
        <f>TABL1234[[#This Row],[(S/S) AJD]]+TABL1234[[#This Row],[(T/B) AJD]]</f>
        <v/>
      </c>
      <c r="U160" s="44" t="n"/>
      <c r="V160" s="44" t="n"/>
      <c r="W160" s="10">
        <f>TABL1234[[#This Row],[(A/B) AJD]]+TABL1234[[#This Row],[(A/S) AJD]]</f>
        <v/>
      </c>
      <c r="X160" s="10">
        <f>TABL1234[[#This Row],[( S/S+T/B) AJD]]-TABL1234[[#This Row],[(A/B + A/S) AJD]]</f>
        <v/>
      </c>
      <c r="Y160" s="44" t="n"/>
      <c r="Z160" s="45" t="n"/>
      <c r="AA160" s="3">
        <f>TABL1234[[#This Row],[(RESV. STORGE) AJD]]/10</f>
        <v/>
      </c>
      <c r="AB160" s="3">
        <f>IF(TRIM(Z160)="",,(Z160-Z159)/1000)</f>
        <v/>
      </c>
      <c r="AC160" s="5" t="n"/>
      <c r="AD160" s="40">
        <f>TABL1234[[#This Row],[( S/S+T/B) AJD]]-(TABL1234[[#This Row],[(A/B + A/S) AJD]]+(TABL1234[[#This Row],[(STORGE DIFF.) AJD]]*1000)+TABL1234[[#This Row],[AJD_Evaporation]])</f>
        <v/>
      </c>
      <c r="AE160" s="44" t="n"/>
      <c r="AF160" s="45" t="n"/>
      <c r="AG160" s="45" t="n"/>
      <c r="AH160" s="6" t="n"/>
      <c r="AI160" s="45" t="n"/>
      <c r="AJ160" s="45">
        <f>TABL1234[[#This Row],[(A/B) AJD]]-TABL1234[[#This Row],[BER_IN]]</f>
        <v/>
      </c>
      <c r="AK160" s="45" t="n"/>
      <c r="AL160" s="45" t="n"/>
      <c r="AM160" s="32" t="n"/>
      <c r="AN160" s="32">
        <f>TABL1234[[#This Row],[ (RESV. STORGE) SER]]/10</f>
        <v/>
      </c>
      <c r="AO160" s="68" t="n"/>
      <c r="AP160" s="68">
        <f>TABL1234[[#This Row],[(A/S) AJD]]-TABL1234[[#This Row],[SER_IN]]</f>
        <v/>
      </c>
    </row>
    <row r="161" ht="18.75" customHeight="1">
      <c r="A161" s="2" t="n">
        <v>46547</v>
      </c>
      <c r="B161" s="41" t="n"/>
      <c r="C161" s="41" t="n"/>
      <c r="D161" s="41" t="n"/>
      <c r="E161" s="28" t="n"/>
      <c r="F161" s="41" t="n"/>
      <c r="G161" s="39" t="n"/>
      <c r="H161" s="28">
        <f>103-F161</f>
        <v/>
      </c>
      <c r="I161" s="39" t="n"/>
      <c r="J161" s="39" t="n"/>
      <c r="K161" s="28">
        <f>TABL1234[[#This Row],[ (T/B) SAR]]+TABL1234[[#This Row],[ (S/S) SAR]]</f>
        <v/>
      </c>
      <c r="L161" s="41" t="n"/>
      <c r="M161" s="42" t="n"/>
      <c r="N161" s="42" t="n"/>
      <c r="O161" s="39" t="n"/>
      <c r="P161" s="10">
        <f>TABL1234[[#This Row],[ (S/S) SAR]]-TABL1234[[#This Row],[(S/S) AJD]]</f>
        <v/>
      </c>
      <c r="Q161" s="39" t="n"/>
      <c r="R161" s="10">
        <f>TABL1234[[#This Row],[ (T/B) SAR]]-TABL1234[[#This Row],[(T/B) AJD]]</f>
        <v/>
      </c>
      <c r="S161" s="10">
        <f>TABL1234[[#This Row],[T/B-CON.]]+TABL1234[[#This Row],[S/S_CON.]]</f>
        <v/>
      </c>
      <c r="T161" s="10">
        <f>TABL1234[[#This Row],[(S/S) AJD]]+TABL1234[[#This Row],[(T/B) AJD]]</f>
        <v/>
      </c>
      <c r="U161" s="41" t="n"/>
      <c r="V161" s="41" t="n"/>
      <c r="W161" s="10">
        <f>TABL1234[[#This Row],[(A/B) AJD]]+TABL1234[[#This Row],[(A/S) AJD]]</f>
        <v/>
      </c>
      <c r="X161" s="10">
        <f>TABL1234[[#This Row],[( S/S+T/B) AJD]]-TABL1234[[#This Row],[(A/B + A/S) AJD]]</f>
        <v/>
      </c>
      <c r="Y161" s="41" t="n"/>
      <c r="Z161" s="43" t="n"/>
      <c r="AA161" s="3">
        <f>TABL1234[[#This Row],[(RESV. STORGE) AJD]]/10</f>
        <v/>
      </c>
      <c r="AB161" s="3">
        <f>IF(TRIM(Z161)="",,(Z161-Z160)/1000)</f>
        <v/>
      </c>
      <c r="AC161" s="5" t="n"/>
      <c r="AD161" s="39">
        <f>TABL1234[[#This Row],[( S/S+T/B) AJD]]-(TABL1234[[#This Row],[(A/B + A/S) AJD]]+(TABL1234[[#This Row],[(STORGE DIFF.) AJD]]*1000)+TABL1234[[#This Row],[AJD_Evaporation]])</f>
        <v/>
      </c>
      <c r="AE161" s="41" t="n"/>
      <c r="AF161" s="43" t="n"/>
      <c r="AG161" s="43" t="n"/>
      <c r="AH161" s="6" t="n"/>
      <c r="AI161" s="43" t="n"/>
      <c r="AJ161" s="43">
        <f>TABL1234[[#This Row],[(A/B) AJD]]-TABL1234[[#This Row],[BER_IN]]</f>
        <v/>
      </c>
      <c r="AK161" s="43" t="n"/>
      <c r="AL161" s="43" t="n"/>
      <c r="AM161" s="32" t="n"/>
      <c r="AN161" s="32">
        <f>TABL1234[[#This Row],[ (RESV. STORGE) SER]]/10</f>
        <v/>
      </c>
      <c r="AO161" s="68" t="n"/>
      <c r="AP161" s="68">
        <f>TABL1234[[#This Row],[(A/S) AJD]]-TABL1234[[#This Row],[SER_IN]]</f>
        <v/>
      </c>
    </row>
    <row r="162" ht="18.75" customHeight="1">
      <c r="A162" s="2" t="n">
        <v>46548</v>
      </c>
      <c r="B162" s="44" t="n"/>
      <c r="C162" s="44" t="n"/>
      <c r="D162" s="44" t="n"/>
      <c r="E162" s="28" t="n"/>
      <c r="F162" s="44" t="n"/>
      <c r="G162" s="40" t="n"/>
      <c r="H162" s="28">
        <f>103-F162</f>
        <v/>
      </c>
      <c r="I162" s="40" t="n"/>
      <c r="J162" s="44" t="n"/>
      <c r="K162" s="28">
        <f>TABL1234[[#This Row],[ (T/B) SAR]]+TABL1234[[#This Row],[ (S/S) SAR]]</f>
        <v/>
      </c>
      <c r="L162" s="45" t="n"/>
      <c r="M162" s="46" t="n"/>
      <c r="N162" s="46" t="n"/>
      <c r="O162" s="40" t="n"/>
      <c r="P162" s="10">
        <f>TABL1234[[#This Row],[ (S/S) SAR]]-TABL1234[[#This Row],[(S/S) AJD]]</f>
        <v/>
      </c>
      <c r="Q162" s="40" t="n"/>
      <c r="R162" s="10">
        <f>TABL1234[[#This Row],[ (T/B) SAR]]-TABL1234[[#This Row],[(T/B) AJD]]</f>
        <v/>
      </c>
      <c r="S162" s="10">
        <f>TABL1234[[#This Row],[T/B-CON.]]+TABL1234[[#This Row],[S/S_CON.]]</f>
        <v/>
      </c>
      <c r="T162" s="10">
        <f>TABL1234[[#This Row],[(S/S) AJD]]+TABL1234[[#This Row],[(T/B) AJD]]</f>
        <v/>
      </c>
      <c r="U162" s="44" t="n"/>
      <c r="V162" s="44" t="n"/>
      <c r="W162" s="10">
        <f>TABL1234[[#This Row],[(A/B) AJD]]+TABL1234[[#This Row],[(A/S) AJD]]</f>
        <v/>
      </c>
      <c r="X162" s="10">
        <f>TABL1234[[#This Row],[( S/S+T/B) AJD]]-TABL1234[[#This Row],[(A/B + A/S) AJD]]</f>
        <v/>
      </c>
      <c r="Y162" s="44" t="n"/>
      <c r="Z162" s="45" t="n"/>
      <c r="AA162" s="3">
        <f>TABL1234[[#This Row],[(RESV. STORGE) AJD]]/10</f>
        <v/>
      </c>
      <c r="AB162" s="3">
        <f>IF(TRIM(Z162)="",,(Z162-Z161)/1000)</f>
        <v/>
      </c>
      <c r="AC162" s="5" t="n"/>
      <c r="AD162" s="40">
        <f>TABL1234[[#This Row],[( S/S+T/B) AJD]]-(TABL1234[[#This Row],[(A/B + A/S) AJD]]+(TABL1234[[#This Row],[(STORGE DIFF.) AJD]]*1000)+TABL1234[[#This Row],[AJD_Evaporation]])</f>
        <v/>
      </c>
      <c r="AE162" s="44" t="n"/>
      <c r="AF162" s="45" t="n"/>
      <c r="AG162" s="45" t="n"/>
      <c r="AH162" s="6" t="n"/>
      <c r="AI162" s="45" t="n"/>
      <c r="AJ162" s="45">
        <f>TABL1234[[#This Row],[(A/B) AJD]]-TABL1234[[#This Row],[BER_IN]]</f>
        <v/>
      </c>
      <c r="AK162" s="45" t="n"/>
      <c r="AL162" s="45" t="n"/>
      <c r="AM162" s="32" t="n"/>
      <c r="AN162" s="32">
        <f>TABL1234[[#This Row],[ (RESV. STORGE) SER]]/10</f>
        <v/>
      </c>
      <c r="AO162" s="68" t="n"/>
      <c r="AP162" s="68">
        <f>TABL1234[[#This Row],[(A/S) AJD]]-TABL1234[[#This Row],[SER_IN]]</f>
        <v/>
      </c>
    </row>
    <row r="163" ht="18.75" customHeight="1">
      <c r="A163" s="2" t="n">
        <v>46549</v>
      </c>
      <c r="B163" s="41" t="n"/>
      <c r="C163" s="41" t="n"/>
      <c r="D163" s="41" t="n"/>
      <c r="E163" s="28" t="n"/>
      <c r="F163" s="41" t="n"/>
      <c r="G163" s="39" t="n"/>
      <c r="H163" s="28">
        <f>103-F163</f>
        <v/>
      </c>
      <c r="I163" s="39" t="n"/>
      <c r="J163" s="39" t="n"/>
      <c r="K163" s="28">
        <f>TABL1234[[#This Row],[ (T/B) SAR]]+TABL1234[[#This Row],[ (S/S) SAR]]</f>
        <v/>
      </c>
      <c r="L163" s="41" t="n"/>
      <c r="M163" s="42" t="n"/>
      <c r="N163" s="42" t="n"/>
      <c r="O163" s="39" t="n"/>
      <c r="P163" s="10">
        <f>TABL1234[[#This Row],[ (S/S) SAR]]-TABL1234[[#This Row],[(S/S) AJD]]</f>
        <v/>
      </c>
      <c r="Q163" s="39" t="n"/>
      <c r="R163" s="10">
        <f>TABL1234[[#This Row],[ (T/B) SAR]]-TABL1234[[#This Row],[(T/B) AJD]]</f>
        <v/>
      </c>
      <c r="S163" s="10">
        <f>TABL1234[[#This Row],[T/B-CON.]]+TABL1234[[#This Row],[S/S_CON.]]</f>
        <v/>
      </c>
      <c r="T163" s="10">
        <f>TABL1234[[#This Row],[(S/S) AJD]]+TABL1234[[#This Row],[(T/B) AJD]]</f>
        <v/>
      </c>
      <c r="U163" s="41" t="n"/>
      <c r="V163" s="41" t="n"/>
      <c r="W163" s="10">
        <f>TABL1234[[#This Row],[(A/B) AJD]]+TABL1234[[#This Row],[(A/S) AJD]]</f>
        <v/>
      </c>
      <c r="X163" s="10">
        <f>TABL1234[[#This Row],[( S/S+T/B) AJD]]-TABL1234[[#This Row],[(A/B + A/S) AJD]]</f>
        <v/>
      </c>
      <c r="Y163" s="41" t="n"/>
      <c r="Z163" s="43" t="n"/>
      <c r="AA163" s="3">
        <f>TABL1234[[#This Row],[(RESV. STORGE) AJD]]/10</f>
        <v/>
      </c>
      <c r="AB163" s="3">
        <f>IF(TRIM(Z163)="",,(Z163-Z162)/1000)</f>
        <v/>
      </c>
      <c r="AC163" s="5" t="n"/>
      <c r="AD163" s="39">
        <f>TABL1234[[#This Row],[( S/S+T/B) AJD]]-(TABL1234[[#This Row],[(A/B + A/S) AJD]]+(TABL1234[[#This Row],[(STORGE DIFF.) AJD]]*1000)+TABL1234[[#This Row],[AJD_Evaporation]])</f>
        <v/>
      </c>
      <c r="AE163" s="41" t="n"/>
      <c r="AF163" s="43" t="n"/>
      <c r="AG163" s="43" t="n"/>
      <c r="AH163" s="6" t="n"/>
      <c r="AI163" s="43" t="n"/>
      <c r="AJ163" s="43">
        <f>TABL1234[[#This Row],[(A/B) AJD]]-TABL1234[[#This Row],[BER_IN]]</f>
        <v/>
      </c>
      <c r="AK163" s="43" t="n"/>
      <c r="AL163" s="43" t="n"/>
      <c r="AM163" s="32" t="n"/>
      <c r="AN163" s="32">
        <f>TABL1234[[#This Row],[ (RESV. STORGE) SER]]/10</f>
        <v/>
      </c>
      <c r="AO163" s="68" t="n"/>
      <c r="AP163" s="68">
        <f>TABL1234[[#This Row],[(A/S) AJD]]-TABL1234[[#This Row],[SER_IN]]</f>
        <v/>
      </c>
    </row>
    <row r="164" ht="18.75" customHeight="1">
      <c r="A164" s="2" t="n">
        <v>46550</v>
      </c>
      <c r="B164" s="44" t="n"/>
      <c r="C164" s="44" t="n"/>
      <c r="D164" s="44" t="n"/>
      <c r="E164" s="28" t="n"/>
      <c r="F164" s="44" t="n"/>
      <c r="G164" s="40" t="n"/>
      <c r="H164" s="28">
        <f>103-F164</f>
        <v/>
      </c>
      <c r="I164" s="40" t="n"/>
      <c r="J164" s="44" t="n"/>
      <c r="K164" s="28">
        <f>TABL1234[[#This Row],[ (T/B) SAR]]+TABL1234[[#This Row],[ (S/S) SAR]]</f>
        <v/>
      </c>
      <c r="L164" s="45" t="n"/>
      <c r="M164" s="46" t="n"/>
      <c r="N164" s="46" t="n"/>
      <c r="O164" s="40" t="n"/>
      <c r="P164" s="10">
        <f>TABL1234[[#This Row],[ (S/S) SAR]]-TABL1234[[#This Row],[(S/S) AJD]]</f>
        <v/>
      </c>
      <c r="Q164" s="40" t="n"/>
      <c r="R164" s="10">
        <f>TABL1234[[#This Row],[ (T/B) SAR]]-TABL1234[[#This Row],[(T/B) AJD]]</f>
        <v/>
      </c>
      <c r="S164" s="10">
        <f>TABL1234[[#This Row],[T/B-CON.]]+TABL1234[[#This Row],[S/S_CON.]]</f>
        <v/>
      </c>
      <c r="T164" s="10">
        <f>TABL1234[[#This Row],[(S/S) AJD]]+TABL1234[[#This Row],[(T/B) AJD]]</f>
        <v/>
      </c>
      <c r="U164" s="44" t="n"/>
      <c r="V164" s="44" t="n"/>
      <c r="W164" s="10">
        <f>TABL1234[[#This Row],[(A/B) AJD]]+TABL1234[[#This Row],[(A/S) AJD]]</f>
        <v/>
      </c>
      <c r="X164" s="10">
        <f>TABL1234[[#This Row],[( S/S+T/B) AJD]]-TABL1234[[#This Row],[(A/B + A/S) AJD]]</f>
        <v/>
      </c>
      <c r="Y164" s="44" t="n"/>
      <c r="Z164" s="45" t="n"/>
      <c r="AA164" s="3">
        <f>TABL1234[[#This Row],[(RESV. STORGE) AJD]]/10</f>
        <v/>
      </c>
      <c r="AB164" s="3">
        <f>IF(TRIM(Z164)="",,(Z164-Z163)/1000)</f>
        <v/>
      </c>
      <c r="AC164" s="5" t="n"/>
      <c r="AD164" s="40">
        <f>TABL1234[[#This Row],[( S/S+T/B) AJD]]-(TABL1234[[#This Row],[(A/B + A/S) AJD]]+(TABL1234[[#This Row],[(STORGE DIFF.) AJD]]*1000)+TABL1234[[#This Row],[AJD_Evaporation]])</f>
        <v/>
      </c>
      <c r="AE164" s="44" t="n"/>
      <c r="AF164" s="45" t="n"/>
      <c r="AG164" s="45" t="n"/>
      <c r="AH164" s="6" t="n"/>
      <c r="AI164" s="45" t="n"/>
      <c r="AJ164" s="45">
        <f>TABL1234[[#This Row],[(A/B) AJD]]-TABL1234[[#This Row],[BER_IN]]</f>
        <v/>
      </c>
      <c r="AK164" s="45" t="n"/>
      <c r="AL164" s="45" t="n"/>
      <c r="AM164" s="32" t="n"/>
      <c r="AN164" s="32">
        <f>TABL1234[[#This Row],[ (RESV. STORGE) SER]]/10</f>
        <v/>
      </c>
      <c r="AO164" s="68" t="n"/>
      <c r="AP164" s="68">
        <f>TABL1234[[#This Row],[(A/S) AJD]]-TABL1234[[#This Row],[SER_IN]]</f>
        <v/>
      </c>
    </row>
    <row r="165" ht="18.75" customHeight="1">
      <c r="A165" s="2" t="n">
        <v>46551</v>
      </c>
      <c r="B165" s="41" t="n"/>
      <c r="C165" s="41" t="n"/>
      <c r="D165" s="41" t="n"/>
      <c r="E165" s="28" t="n"/>
      <c r="F165" s="41" t="n"/>
      <c r="G165" s="39" t="n"/>
      <c r="H165" s="28">
        <f>103-F165</f>
        <v/>
      </c>
      <c r="I165" s="39" t="n"/>
      <c r="J165" s="39" t="n"/>
      <c r="K165" s="28">
        <f>TABL1234[[#This Row],[ (T/B) SAR]]+TABL1234[[#This Row],[ (S/S) SAR]]</f>
        <v/>
      </c>
      <c r="L165" s="41" t="n"/>
      <c r="M165" s="42" t="n"/>
      <c r="N165" s="42" t="n"/>
      <c r="O165" s="39" t="n"/>
      <c r="P165" s="10">
        <f>TABL1234[[#This Row],[ (S/S) SAR]]-TABL1234[[#This Row],[(S/S) AJD]]</f>
        <v/>
      </c>
      <c r="Q165" s="39" t="n"/>
      <c r="R165" s="10">
        <f>TABL1234[[#This Row],[ (T/B) SAR]]-TABL1234[[#This Row],[(T/B) AJD]]</f>
        <v/>
      </c>
      <c r="S165" s="10">
        <f>TABL1234[[#This Row],[T/B-CON.]]+TABL1234[[#This Row],[S/S_CON.]]</f>
        <v/>
      </c>
      <c r="T165" s="10">
        <f>TABL1234[[#This Row],[(S/S) AJD]]+TABL1234[[#This Row],[(T/B) AJD]]</f>
        <v/>
      </c>
      <c r="U165" s="41" t="n"/>
      <c r="V165" s="41" t="n"/>
      <c r="W165" s="10">
        <f>TABL1234[[#This Row],[(A/B) AJD]]+TABL1234[[#This Row],[(A/S) AJD]]</f>
        <v/>
      </c>
      <c r="X165" s="10">
        <f>TABL1234[[#This Row],[( S/S+T/B) AJD]]-TABL1234[[#This Row],[(A/B + A/S) AJD]]</f>
        <v/>
      </c>
      <c r="Y165" s="41" t="n"/>
      <c r="Z165" s="43" t="n"/>
      <c r="AA165" s="3">
        <f>TABL1234[[#This Row],[(RESV. STORGE) AJD]]/10</f>
        <v/>
      </c>
      <c r="AB165" s="3">
        <f>IF(TRIM(Z165)="",,(Z165-Z164)/1000)</f>
        <v/>
      </c>
      <c r="AC165" s="5" t="n"/>
      <c r="AD165" s="39">
        <f>TABL1234[[#This Row],[( S/S+T/B) AJD]]-(TABL1234[[#This Row],[(A/B + A/S) AJD]]+(TABL1234[[#This Row],[(STORGE DIFF.) AJD]]*1000)+TABL1234[[#This Row],[AJD_Evaporation]])</f>
        <v/>
      </c>
      <c r="AE165" s="41" t="n"/>
      <c r="AF165" s="43" t="n"/>
      <c r="AG165" s="43" t="n"/>
      <c r="AH165" s="6" t="n"/>
      <c r="AI165" s="43" t="n"/>
      <c r="AJ165" s="43">
        <f>TABL1234[[#This Row],[(A/B) AJD]]-TABL1234[[#This Row],[BER_IN]]</f>
        <v/>
      </c>
      <c r="AK165" s="43" t="n"/>
      <c r="AL165" s="43" t="n"/>
      <c r="AM165" s="32" t="n"/>
      <c r="AN165" s="32">
        <f>TABL1234[[#This Row],[ (RESV. STORGE) SER]]/10</f>
        <v/>
      </c>
      <c r="AO165" s="68" t="n"/>
      <c r="AP165" s="68">
        <f>TABL1234[[#This Row],[(A/S) AJD]]-TABL1234[[#This Row],[SER_IN]]</f>
        <v/>
      </c>
    </row>
    <row r="166" ht="18.75" customHeight="1">
      <c r="A166" s="2" t="n">
        <v>46552</v>
      </c>
      <c r="B166" s="44" t="n"/>
      <c r="C166" s="44" t="n"/>
      <c r="D166" s="44" t="n"/>
      <c r="E166" s="28" t="n"/>
      <c r="F166" s="44" t="n"/>
      <c r="G166" s="40" t="n"/>
      <c r="H166" s="28">
        <f>103-F166</f>
        <v/>
      </c>
      <c r="I166" s="40" t="n"/>
      <c r="J166" s="44" t="n"/>
      <c r="K166" s="28">
        <f>TABL1234[[#This Row],[ (T/B) SAR]]+TABL1234[[#This Row],[ (S/S) SAR]]</f>
        <v/>
      </c>
      <c r="L166" s="45" t="n"/>
      <c r="M166" s="46" t="n"/>
      <c r="N166" s="46" t="n"/>
      <c r="O166" s="40" t="n"/>
      <c r="P166" s="10">
        <f>TABL1234[[#This Row],[ (S/S) SAR]]-TABL1234[[#This Row],[(S/S) AJD]]</f>
        <v/>
      </c>
      <c r="Q166" s="40" t="n"/>
      <c r="R166" s="10">
        <f>TABL1234[[#This Row],[ (T/B) SAR]]-TABL1234[[#This Row],[(T/B) AJD]]</f>
        <v/>
      </c>
      <c r="S166" s="10">
        <f>TABL1234[[#This Row],[T/B-CON.]]+TABL1234[[#This Row],[S/S_CON.]]</f>
        <v/>
      </c>
      <c r="T166" s="10">
        <f>TABL1234[[#This Row],[(S/S) AJD]]+TABL1234[[#This Row],[(T/B) AJD]]</f>
        <v/>
      </c>
      <c r="U166" s="44" t="n"/>
      <c r="V166" s="44" t="n"/>
      <c r="W166" s="10">
        <f>TABL1234[[#This Row],[(A/B) AJD]]+TABL1234[[#This Row],[(A/S) AJD]]</f>
        <v/>
      </c>
      <c r="X166" s="10">
        <f>TABL1234[[#This Row],[( S/S+T/B) AJD]]-TABL1234[[#This Row],[(A/B + A/S) AJD]]</f>
        <v/>
      </c>
      <c r="Y166" s="44" t="n"/>
      <c r="Z166" s="45" t="n"/>
      <c r="AA166" s="3">
        <f>TABL1234[[#This Row],[(RESV. STORGE) AJD]]/10</f>
        <v/>
      </c>
      <c r="AB166" s="3">
        <f>IF(TRIM(Z166)="",,(Z166-Z165)/1000)</f>
        <v/>
      </c>
      <c r="AC166" s="5" t="n"/>
      <c r="AD166" s="40">
        <f>TABL1234[[#This Row],[( S/S+T/B) AJD]]-(TABL1234[[#This Row],[(A/B + A/S) AJD]]+(TABL1234[[#This Row],[(STORGE DIFF.) AJD]]*1000)+TABL1234[[#This Row],[AJD_Evaporation]])</f>
        <v/>
      </c>
      <c r="AE166" s="44" t="n"/>
      <c r="AF166" s="45" t="n"/>
      <c r="AG166" s="45" t="n"/>
      <c r="AH166" s="6" t="n"/>
      <c r="AI166" s="45" t="n"/>
      <c r="AJ166" s="45">
        <f>TABL1234[[#This Row],[(A/B) AJD]]-TABL1234[[#This Row],[BER_IN]]</f>
        <v/>
      </c>
      <c r="AK166" s="45" t="n"/>
      <c r="AL166" s="45" t="n"/>
      <c r="AM166" s="32" t="n"/>
      <c r="AN166" s="32">
        <f>TABL1234[[#This Row],[ (RESV. STORGE) SER]]/10</f>
        <v/>
      </c>
      <c r="AO166" s="68" t="n"/>
      <c r="AP166" s="68">
        <f>TABL1234[[#This Row],[(A/S) AJD]]-TABL1234[[#This Row],[SER_IN]]</f>
        <v/>
      </c>
    </row>
    <row r="167" ht="18.75" customHeight="1">
      <c r="A167" s="2" t="n">
        <v>46553</v>
      </c>
      <c r="B167" s="41" t="n"/>
      <c r="C167" s="41" t="n"/>
      <c r="D167" s="41" t="n"/>
      <c r="E167" s="28" t="n"/>
      <c r="F167" s="41" t="n"/>
      <c r="G167" s="39" t="n"/>
      <c r="H167" s="28">
        <f>103-F167</f>
        <v/>
      </c>
      <c r="I167" s="39" t="n"/>
      <c r="J167" s="39" t="n"/>
      <c r="K167" s="28">
        <f>TABL1234[[#This Row],[ (T/B) SAR]]+TABL1234[[#This Row],[ (S/S) SAR]]</f>
        <v/>
      </c>
      <c r="L167" s="41" t="n"/>
      <c r="M167" s="42" t="n"/>
      <c r="N167" s="42" t="n"/>
      <c r="O167" s="39" t="n"/>
      <c r="P167" s="10">
        <f>TABL1234[[#This Row],[ (S/S) SAR]]-TABL1234[[#This Row],[(S/S) AJD]]</f>
        <v/>
      </c>
      <c r="Q167" s="39" t="n"/>
      <c r="R167" s="10">
        <f>TABL1234[[#This Row],[ (T/B) SAR]]-TABL1234[[#This Row],[(T/B) AJD]]</f>
        <v/>
      </c>
      <c r="S167" s="10">
        <f>TABL1234[[#This Row],[T/B-CON.]]+TABL1234[[#This Row],[S/S_CON.]]</f>
        <v/>
      </c>
      <c r="T167" s="10">
        <f>TABL1234[[#This Row],[(S/S) AJD]]+TABL1234[[#This Row],[(T/B) AJD]]</f>
        <v/>
      </c>
      <c r="U167" s="41" t="n"/>
      <c r="V167" s="41" t="n"/>
      <c r="W167" s="10">
        <f>TABL1234[[#This Row],[(A/B) AJD]]+TABL1234[[#This Row],[(A/S) AJD]]</f>
        <v/>
      </c>
      <c r="X167" s="10">
        <f>TABL1234[[#This Row],[( S/S+T/B) AJD]]-TABL1234[[#This Row],[(A/B + A/S) AJD]]</f>
        <v/>
      </c>
      <c r="Y167" s="41" t="n"/>
      <c r="Z167" s="43" t="n"/>
      <c r="AA167" s="3">
        <f>TABL1234[[#This Row],[(RESV. STORGE) AJD]]/10</f>
        <v/>
      </c>
      <c r="AB167" s="3">
        <f>IF(TRIM(Z167)="",,(Z167-Z166)/1000)</f>
        <v/>
      </c>
      <c r="AC167" s="5" t="n"/>
      <c r="AD167" s="39">
        <f>TABL1234[[#This Row],[( S/S+T/B) AJD]]-(TABL1234[[#This Row],[(A/B + A/S) AJD]]+(TABL1234[[#This Row],[(STORGE DIFF.) AJD]]*1000)+TABL1234[[#This Row],[AJD_Evaporation]])</f>
        <v/>
      </c>
      <c r="AE167" s="41" t="n"/>
      <c r="AF167" s="43" t="n"/>
      <c r="AG167" s="43" t="n"/>
      <c r="AH167" s="6" t="n"/>
      <c r="AI167" s="43" t="n"/>
      <c r="AJ167" s="43">
        <f>TABL1234[[#This Row],[(A/B) AJD]]-TABL1234[[#This Row],[BER_IN]]</f>
        <v/>
      </c>
      <c r="AK167" s="43" t="n"/>
      <c r="AL167" s="43" t="n"/>
      <c r="AM167" s="32" t="n"/>
      <c r="AN167" s="32">
        <f>TABL1234[[#This Row],[ (RESV. STORGE) SER]]/10</f>
        <v/>
      </c>
      <c r="AO167" s="68" t="n"/>
      <c r="AP167" s="68">
        <f>TABL1234[[#This Row],[(A/S) AJD]]-TABL1234[[#This Row],[SER_IN]]</f>
        <v/>
      </c>
    </row>
    <row r="168" ht="18.75" customHeight="1">
      <c r="A168" s="2" t="n">
        <v>46554</v>
      </c>
      <c r="B168" s="44" t="n"/>
      <c r="C168" s="44" t="n"/>
      <c r="D168" s="44" t="n"/>
      <c r="E168" s="28" t="n"/>
      <c r="F168" s="44" t="n"/>
      <c r="G168" s="40" t="n"/>
      <c r="H168" s="28">
        <f>103-F168</f>
        <v/>
      </c>
      <c r="I168" s="40" t="n"/>
      <c r="J168" s="44" t="n"/>
      <c r="K168" s="28">
        <f>TABL1234[[#This Row],[ (T/B) SAR]]+TABL1234[[#This Row],[ (S/S) SAR]]</f>
        <v/>
      </c>
      <c r="L168" s="45" t="n"/>
      <c r="M168" s="46" t="n"/>
      <c r="N168" s="46" t="n"/>
      <c r="O168" s="40" t="n"/>
      <c r="P168" s="10">
        <f>TABL1234[[#This Row],[ (S/S) SAR]]-TABL1234[[#This Row],[(S/S) AJD]]</f>
        <v/>
      </c>
      <c r="Q168" s="40" t="n"/>
      <c r="R168" s="10">
        <f>TABL1234[[#This Row],[ (T/B) SAR]]-TABL1234[[#This Row],[(T/B) AJD]]</f>
        <v/>
      </c>
      <c r="S168" s="10">
        <f>TABL1234[[#This Row],[T/B-CON.]]+TABL1234[[#This Row],[S/S_CON.]]</f>
        <v/>
      </c>
      <c r="T168" s="10">
        <f>TABL1234[[#This Row],[(S/S) AJD]]+TABL1234[[#This Row],[(T/B) AJD]]</f>
        <v/>
      </c>
      <c r="U168" s="44" t="n"/>
      <c r="V168" s="44" t="n"/>
      <c r="W168" s="10">
        <f>TABL1234[[#This Row],[(A/B) AJD]]+TABL1234[[#This Row],[(A/S) AJD]]</f>
        <v/>
      </c>
      <c r="X168" s="10">
        <f>TABL1234[[#This Row],[( S/S+T/B) AJD]]-TABL1234[[#This Row],[(A/B + A/S) AJD]]</f>
        <v/>
      </c>
      <c r="Y168" s="44" t="n"/>
      <c r="Z168" s="45" t="n"/>
      <c r="AA168" s="3">
        <f>TABL1234[[#This Row],[(RESV. STORGE) AJD]]/10</f>
        <v/>
      </c>
      <c r="AB168" s="3">
        <f>IF(TRIM(Z168)="",,(Z168-Z167)/1000)</f>
        <v/>
      </c>
      <c r="AC168" s="5" t="n"/>
      <c r="AD168" s="40">
        <f>TABL1234[[#This Row],[( S/S+T/B) AJD]]-(TABL1234[[#This Row],[(A/B + A/S) AJD]]+(TABL1234[[#This Row],[(STORGE DIFF.) AJD]]*1000)+TABL1234[[#This Row],[AJD_Evaporation]])</f>
        <v/>
      </c>
      <c r="AE168" s="44" t="n"/>
      <c r="AF168" s="45" t="n"/>
      <c r="AG168" s="45" t="n"/>
      <c r="AH168" s="6" t="n"/>
      <c r="AI168" s="45" t="n"/>
      <c r="AJ168" s="45">
        <f>TABL1234[[#This Row],[(A/B) AJD]]-TABL1234[[#This Row],[BER_IN]]</f>
        <v/>
      </c>
      <c r="AK168" s="45" t="n"/>
      <c r="AL168" s="45" t="n"/>
      <c r="AM168" s="32" t="n"/>
      <c r="AN168" s="32">
        <f>TABL1234[[#This Row],[ (RESV. STORGE) SER]]/10</f>
        <v/>
      </c>
      <c r="AO168" s="68" t="n"/>
      <c r="AP168" s="68">
        <f>TABL1234[[#This Row],[(A/S) AJD]]-TABL1234[[#This Row],[SER_IN]]</f>
        <v/>
      </c>
    </row>
    <row r="169" ht="18.75" customHeight="1">
      <c r="A169" s="2" t="n">
        <v>46555</v>
      </c>
      <c r="B169" s="41" t="n"/>
      <c r="C169" s="41" t="n"/>
      <c r="D169" s="41" t="n"/>
      <c r="E169" s="28" t="n"/>
      <c r="F169" s="41" t="n"/>
      <c r="G169" s="39" t="n"/>
      <c r="H169" s="28">
        <f>103-F169</f>
        <v/>
      </c>
      <c r="I169" s="39" t="n"/>
      <c r="J169" s="39" t="n"/>
      <c r="K169" s="28">
        <f>TABL1234[[#This Row],[ (T/B) SAR]]+TABL1234[[#This Row],[ (S/S) SAR]]</f>
        <v/>
      </c>
      <c r="L169" s="41" t="n"/>
      <c r="M169" s="42" t="n"/>
      <c r="N169" s="42" t="n"/>
      <c r="O169" s="39" t="n"/>
      <c r="P169" s="10">
        <f>TABL1234[[#This Row],[ (S/S) SAR]]-TABL1234[[#This Row],[(S/S) AJD]]</f>
        <v/>
      </c>
      <c r="Q169" s="39" t="n"/>
      <c r="R169" s="10">
        <f>TABL1234[[#This Row],[ (T/B) SAR]]-TABL1234[[#This Row],[(T/B) AJD]]</f>
        <v/>
      </c>
      <c r="S169" s="10">
        <f>TABL1234[[#This Row],[T/B-CON.]]+TABL1234[[#This Row],[S/S_CON.]]</f>
        <v/>
      </c>
      <c r="T169" s="10">
        <f>TABL1234[[#This Row],[(S/S) AJD]]+TABL1234[[#This Row],[(T/B) AJD]]</f>
        <v/>
      </c>
      <c r="U169" s="41" t="n"/>
      <c r="V169" s="41" t="n"/>
      <c r="W169" s="10">
        <f>TABL1234[[#This Row],[(A/B) AJD]]+TABL1234[[#This Row],[(A/S) AJD]]</f>
        <v/>
      </c>
      <c r="X169" s="10">
        <f>TABL1234[[#This Row],[( S/S+T/B) AJD]]-TABL1234[[#This Row],[(A/B + A/S) AJD]]</f>
        <v/>
      </c>
      <c r="Y169" s="41" t="n"/>
      <c r="Z169" s="43" t="n"/>
      <c r="AA169" s="3">
        <f>TABL1234[[#This Row],[(RESV. STORGE) AJD]]/10</f>
        <v/>
      </c>
      <c r="AB169" s="3">
        <f>IF(TRIM(Z169)="",,(Z169-Z168)/1000)</f>
        <v/>
      </c>
      <c r="AC169" s="5" t="n"/>
      <c r="AD169" s="39">
        <f>TABL1234[[#This Row],[( S/S+T/B) AJD]]-(TABL1234[[#This Row],[(A/B + A/S) AJD]]+(TABL1234[[#This Row],[(STORGE DIFF.) AJD]]*1000)+TABL1234[[#This Row],[AJD_Evaporation]])</f>
        <v/>
      </c>
      <c r="AE169" s="41" t="n"/>
      <c r="AF169" s="43" t="n"/>
      <c r="AG169" s="43" t="n"/>
      <c r="AH169" s="6" t="n"/>
      <c r="AI169" s="43" t="n"/>
      <c r="AJ169" s="43">
        <f>TABL1234[[#This Row],[(A/B) AJD]]-TABL1234[[#This Row],[BER_IN]]</f>
        <v/>
      </c>
      <c r="AK169" s="43" t="n"/>
      <c r="AL169" s="43" t="n"/>
      <c r="AM169" s="32" t="n"/>
      <c r="AN169" s="32">
        <f>TABL1234[[#This Row],[ (RESV. STORGE) SER]]/10</f>
        <v/>
      </c>
      <c r="AO169" s="68" t="n"/>
      <c r="AP169" s="68">
        <f>TABL1234[[#This Row],[(A/S) AJD]]-TABL1234[[#This Row],[SER_IN]]</f>
        <v/>
      </c>
    </row>
    <row r="170" ht="18.75" customHeight="1">
      <c r="A170" s="2" t="n">
        <v>46556</v>
      </c>
      <c r="B170" s="44" t="n"/>
      <c r="C170" s="44" t="n"/>
      <c r="D170" s="44" t="n"/>
      <c r="E170" s="28" t="n"/>
      <c r="F170" s="44" t="n"/>
      <c r="G170" s="40" t="n"/>
      <c r="H170" s="28">
        <f>103-F170</f>
        <v/>
      </c>
      <c r="I170" s="40" t="n"/>
      <c r="J170" s="44" t="n"/>
      <c r="K170" s="28">
        <f>TABL1234[[#This Row],[ (T/B) SAR]]+TABL1234[[#This Row],[ (S/S) SAR]]</f>
        <v/>
      </c>
      <c r="L170" s="45" t="n"/>
      <c r="M170" s="46" t="n"/>
      <c r="N170" s="46" t="n"/>
      <c r="O170" s="40" t="n"/>
      <c r="P170" s="3">
        <f>TABL1234[[#This Row],[ (S/S) SAR]]-TABL1234[[#This Row],[(S/S) AJD]]</f>
        <v/>
      </c>
      <c r="Q170" s="40" t="n"/>
      <c r="R170" s="3">
        <f>TABL1234[[#This Row],[ (T/B) SAR]]-TABL1234[[#This Row],[(T/B) AJD]]</f>
        <v/>
      </c>
      <c r="S170" s="3">
        <f>TABL1234[[#This Row],[T/B-CON.]]+TABL1234[[#This Row],[S/S_CON.]]</f>
        <v/>
      </c>
      <c r="T170" s="3">
        <f>TABL1234[[#This Row],[(S/S) AJD]]+TABL1234[[#This Row],[(T/B) AJD]]</f>
        <v/>
      </c>
      <c r="U170" s="44" t="n"/>
      <c r="V170" s="44" t="n"/>
      <c r="W170" s="3">
        <f>TABL1234[[#This Row],[(A/B) AJD]]+TABL1234[[#This Row],[(A/S) AJD]]</f>
        <v/>
      </c>
      <c r="X170" s="3">
        <f>TABL1234[[#This Row],[( S/S+T/B) AJD]]-TABL1234[[#This Row],[(A/B + A/S) AJD]]</f>
        <v/>
      </c>
      <c r="Y170" s="44" t="n"/>
      <c r="Z170" s="45" t="n"/>
      <c r="AA170" s="3">
        <f>TABL1234[[#This Row],[(RESV. STORGE) AJD]]/10</f>
        <v/>
      </c>
      <c r="AB170" s="3">
        <f>IF(TRIM(Z170)="",,(Z170-Z169)/1000)</f>
        <v/>
      </c>
      <c r="AC170" s="5" t="n"/>
      <c r="AD170" s="40">
        <f>TABL1234[[#This Row],[( S/S+T/B) AJD]]-(TABL1234[[#This Row],[(A/B + A/S) AJD]]+(TABL1234[[#This Row],[(STORGE DIFF.) AJD]]*1000)+TABL1234[[#This Row],[AJD_Evaporation]])</f>
        <v/>
      </c>
      <c r="AE170" s="44" t="n"/>
      <c r="AF170" s="45" t="n"/>
      <c r="AG170" s="45" t="n"/>
      <c r="AH170" s="6" t="n"/>
      <c r="AI170" s="45" t="n"/>
      <c r="AJ170" s="45">
        <f>TABL1234[[#This Row],[(A/B) AJD]]-TABL1234[[#This Row],[BER_IN]]</f>
        <v/>
      </c>
      <c r="AK170" s="45" t="n"/>
      <c r="AL170" s="45" t="n"/>
      <c r="AM170" s="32" t="n"/>
      <c r="AN170" s="32">
        <f>TABL1234[[#This Row],[ (RESV. STORGE) SER]]/10</f>
        <v/>
      </c>
      <c r="AO170" s="68" t="n"/>
      <c r="AP170" s="68">
        <f>TABL1234[[#This Row],[(A/S) AJD]]-TABL1234[[#This Row],[SER_IN]]</f>
        <v/>
      </c>
    </row>
    <row r="171" ht="18.75" customHeight="1">
      <c r="A171" s="2" t="n">
        <v>46557</v>
      </c>
      <c r="B171" s="41" t="n"/>
      <c r="C171" s="41" t="n"/>
      <c r="D171" s="41" t="n"/>
      <c r="E171" s="28" t="n"/>
      <c r="F171" s="41" t="n"/>
      <c r="G171" s="39" t="n"/>
      <c r="H171" s="28">
        <f>103-F171</f>
        <v/>
      </c>
      <c r="I171" s="39" t="n"/>
      <c r="J171" s="39" t="n"/>
      <c r="K171" s="28">
        <f>TABL1234[[#This Row],[ (T/B) SAR]]+TABL1234[[#This Row],[ (S/S) SAR]]</f>
        <v/>
      </c>
      <c r="L171" s="41" t="n"/>
      <c r="M171" s="42" t="n"/>
      <c r="N171" s="42" t="n"/>
      <c r="O171" s="39" t="n"/>
      <c r="P171" s="3">
        <f>TABL1234[[#This Row],[ (S/S) SAR]]-TABL1234[[#This Row],[(S/S) AJD]]</f>
        <v/>
      </c>
      <c r="Q171" s="39" t="n"/>
      <c r="R171" s="3">
        <f>TABL1234[[#This Row],[ (T/B) SAR]]-TABL1234[[#This Row],[(T/B) AJD]]</f>
        <v/>
      </c>
      <c r="S171" s="3">
        <f>TABL1234[[#This Row],[T/B-CON.]]+TABL1234[[#This Row],[S/S_CON.]]</f>
        <v/>
      </c>
      <c r="T171" s="3">
        <f>TABL1234[[#This Row],[(S/S) AJD]]+TABL1234[[#This Row],[(T/B) AJD]]</f>
        <v/>
      </c>
      <c r="U171" s="41" t="n"/>
      <c r="V171" s="41" t="n"/>
      <c r="W171" s="3">
        <f>TABL1234[[#This Row],[(A/B) AJD]]+TABL1234[[#This Row],[(A/S) AJD]]</f>
        <v/>
      </c>
      <c r="X171" s="3">
        <f>TABL1234[[#This Row],[( S/S+T/B) AJD]]-TABL1234[[#This Row],[(A/B + A/S) AJD]]</f>
        <v/>
      </c>
      <c r="Y171" s="41" t="n"/>
      <c r="Z171" s="43" t="n"/>
      <c r="AA171" s="3">
        <f>TABL1234[[#This Row],[(RESV. STORGE) AJD]]/10</f>
        <v/>
      </c>
      <c r="AB171" s="3">
        <f>IF(TRIM(Z171)="",,(Z171-Z170)/1000)</f>
        <v/>
      </c>
      <c r="AC171" s="5" t="n"/>
      <c r="AD171" s="39">
        <f>TABL1234[[#This Row],[( S/S+T/B) AJD]]-(TABL1234[[#This Row],[(A/B + A/S) AJD]]+(TABL1234[[#This Row],[(STORGE DIFF.) AJD]]*1000)+TABL1234[[#This Row],[AJD_Evaporation]])</f>
        <v/>
      </c>
      <c r="AE171" s="41" t="n"/>
      <c r="AF171" s="43" t="n"/>
      <c r="AG171" s="43" t="n"/>
      <c r="AH171" s="6" t="n"/>
      <c r="AI171" s="43" t="n"/>
      <c r="AJ171" s="43">
        <f>TABL1234[[#This Row],[(A/B) AJD]]-TABL1234[[#This Row],[BER_IN]]</f>
        <v/>
      </c>
      <c r="AK171" s="43" t="n"/>
      <c r="AL171" s="43" t="n"/>
      <c r="AM171" s="32" t="n"/>
      <c r="AN171" s="32">
        <f>TABL1234[[#This Row],[ (RESV. STORGE) SER]]/10</f>
        <v/>
      </c>
      <c r="AO171" s="68" t="n"/>
      <c r="AP171" s="68">
        <f>TABL1234[[#This Row],[(A/S) AJD]]-TABL1234[[#This Row],[SER_IN]]</f>
        <v/>
      </c>
    </row>
    <row r="172" ht="18.75" customHeight="1">
      <c r="A172" s="2" t="n">
        <v>46558</v>
      </c>
      <c r="B172" s="44" t="n"/>
      <c r="C172" s="44" t="n"/>
      <c r="D172" s="44" t="n"/>
      <c r="E172" s="28" t="n"/>
      <c r="F172" s="44" t="n"/>
      <c r="G172" s="40" t="n"/>
      <c r="H172" s="28">
        <f>103-F172</f>
        <v/>
      </c>
      <c r="I172" s="40" t="n"/>
      <c r="J172" s="40" t="n"/>
      <c r="K172" s="28">
        <f>TABL1234[[#This Row],[ (T/B) SAR]]+TABL1234[[#This Row],[ (S/S) SAR]]</f>
        <v/>
      </c>
      <c r="L172" s="44" t="n"/>
      <c r="M172" s="46" t="n"/>
      <c r="N172" s="46" t="n"/>
      <c r="O172" s="40" t="n"/>
      <c r="P172" s="3">
        <f>TABL1234[[#This Row],[ (S/S) SAR]]-TABL1234[[#This Row],[(S/S) AJD]]</f>
        <v/>
      </c>
      <c r="Q172" s="40" t="n"/>
      <c r="R172" s="3">
        <f>TABL1234[[#This Row],[ (T/B) SAR]]-TABL1234[[#This Row],[(T/B) AJD]]</f>
        <v/>
      </c>
      <c r="S172" s="3">
        <f>TABL1234[[#This Row],[T/B-CON.]]+TABL1234[[#This Row],[S/S_CON.]]</f>
        <v/>
      </c>
      <c r="T172" s="3">
        <f>TABL1234[[#This Row],[(S/S) AJD]]+TABL1234[[#This Row],[(T/B) AJD]]</f>
        <v/>
      </c>
      <c r="U172" s="44" t="n"/>
      <c r="V172" s="44" t="n"/>
      <c r="W172" s="3">
        <f>TABL1234[[#This Row],[(A/B) AJD]]+TABL1234[[#This Row],[(A/S) AJD]]</f>
        <v/>
      </c>
      <c r="X172" s="3">
        <f>TABL1234[[#This Row],[( S/S+T/B) AJD]]-TABL1234[[#This Row],[(A/B + A/S) AJD]]</f>
        <v/>
      </c>
      <c r="Y172" s="44" t="n"/>
      <c r="Z172" s="45" t="n"/>
      <c r="AA172" s="3">
        <f>TABL1234[[#This Row],[(RESV. STORGE) AJD]]/10</f>
        <v/>
      </c>
      <c r="AB172" s="3">
        <f>IF(TRIM(Z172)="",,(Z172-Z171)/1000)</f>
        <v/>
      </c>
      <c r="AC172" s="5" t="n"/>
      <c r="AD172" s="40">
        <f>TABL1234[[#This Row],[( S/S+T/B) AJD]]-(TABL1234[[#This Row],[(A/B + A/S) AJD]]+(TABL1234[[#This Row],[(STORGE DIFF.) AJD]]*1000)+TABL1234[[#This Row],[AJD_Evaporation]])</f>
        <v/>
      </c>
      <c r="AE172" s="44" t="n"/>
      <c r="AF172" s="45" t="n"/>
      <c r="AG172" s="45" t="n"/>
      <c r="AH172" s="6" t="n"/>
      <c r="AI172" s="45" t="n"/>
      <c r="AJ172" s="45">
        <f>TABL1234[[#This Row],[(A/B) AJD]]-TABL1234[[#This Row],[BER_IN]]</f>
        <v/>
      </c>
      <c r="AK172" s="45" t="n"/>
      <c r="AL172" s="45" t="n"/>
      <c r="AM172" s="32" t="n"/>
      <c r="AN172" s="32">
        <f>TABL1234[[#This Row],[ (RESV. STORGE) SER]]/10</f>
        <v/>
      </c>
      <c r="AO172" s="68" t="n"/>
      <c r="AP172" s="68">
        <f>TABL1234[[#This Row],[(A/S) AJD]]-TABL1234[[#This Row],[SER_IN]]</f>
        <v/>
      </c>
    </row>
    <row r="173" ht="18.75" customHeight="1">
      <c r="A173" s="2" t="n">
        <v>46559</v>
      </c>
      <c r="B173" s="41" t="n"/>
      <c r="C173" s="41" t="n"/>
      <c r="D173" s="41" t="n"/>
      <c r="E173" s="28" t="n"/>
      <c r="F173" s="41" t="n"/>
      <c r="G173" s="39" t="n"/>
      <c r="H173" s="28">
        <f>103-F173</f>
        <v/>
      </c>
      <c r="I173" s="39" t="n"/>
      <c r="J173" s="39" t="n"/>
      <c r="K173" s="28">
        <f>TABL1234[[#This Row],[ (T/B) SAR]]+TABL1234[[#This Row],[ (S/S) SAR]]</f>
        <v/>
      </c>
      <c r="L173" s="41" t="n"/>
      <c r="M173" s="42" t="n"/>
      <c r="N173" s="42" t="n"/>
      <c r="O173" s="39" t="n"/>
      <c r="P173" s="3">
        <f>TABL1234[[#This Row],[ (S/S) SAR]]-TABL1234[[#This Row],[(S/S) AJD]]</f>
        <v/>
      </c>
      <c r="Q173" s="39" t="n"/>
      <c r="R173" s="3">
        <f>TABL1234[[#This Row],[ (T/B) SAR]]-TABL1234[[#This Row],[(T/B) AJD]]</f>
        <v/>
      </c>
      <c r="S173" s="3">
        <f>TABL1234[[#This Row],[T/B-CON.]]+TABL1234[[#This Row],[S/S_CON.]]</f>
        <v/>
      </c>
      <c r="T173" s="3">
        <f>TABL1234[[#This Row],[(S/S) AJD]]+TABL1234[[#This Row],[(T/B) AJD]]</f>
        <v/>
      </c>
      <c r="U173" s="41" t="n"/>
      <c r="V173" s="41" t="n"/>
      <c r="W173" s="3">
        <f>TABL1234[[#This Row],[(A/B) AJD]]+TABL1234[[#This Row],[(A/S) AJD]]</f>
        <v/>
      </c>
      <c r="X173" s="3">
        <f>TABL1234[[#This Row],[( S/S+T/B) AJD]]-TABL1234[[#This Row],[(A/B + A/S) AJD]]</f>
        <v/>
      </c>
      <c r="Y173" s="41" t="n"/>
      <c r="Z173" s="43" t="n"/>
      <c r="AA173" s="3">
        <f>TABL1234[[#This Row],[(RESV. STORGE) AJD]]/10</f>
        <v/>
      </c>
      <c r="AB173" s="3">
        <f>IF(TRIM(Z173)="",,(Z173-Z172)/1000)</f>
        <v/>
      </c>
      <c r="AC173" s="5" t="n"/>
      <c r="AD173" s="39">
        <f>TABL1234[[#This Row],[( S/S+T/B) AJD]]-(TABL1234[[#This Row],[(A/B + A/S) AJD]]+(TABL1234[[#This Row],[(STORGE DIFF.) AJD]]*1000)+TABL1234[[#This Row],[AJD_Evaporation]])</f>
        <v/>
      </c>
      <c r="AE173" s="41" t="n"/>
      <c r="AF173" s="43" t="n"/>
      <c r="AG173" s="43" t="n"/>
      <c r="AH173" s="6" t="n"/>
      <c r="AI173" s="43" t="n"/>
      <c r="AJ173" s="43">
        <f>TABL1234[[#This Row],[(A/B) AJD]]-TABL1234[[#This Row],[BER_IN]]</f>
        <v/>
      </c>
      <c r="AK173" s="43" t="n"/>
      <c r="AL173" s="43" t="n"/>
      <c r="AM173" s="32" t="n"/>
      <c r="AN173" s="32">
        <f>TABL1234[[#This Row],[ (RESV. STORGE) SER]]/10</f>
        <v/>
      </c>
      <c r="AO173" s="68" t="n"/>
      <c r="AP173" s="68">
        <f>TABL1234[[#This Row],[(A/S) AJD]]-TABL1234[[#This Row],[SER_IN]]</f>
        <v/>
      </c>
    </row>
    <row r="174" ht="18.75" customHeight="1">
      <c r="A174" s="2" t="n">
        <v>46560</v>
      </c>
      <c r="B174" s="44" t="n"/>
      <c r="C174" s="44" t="n"/>
      <c r="D174" s="44" t="n"/>
      <c r="E174" s="28" t="n"/>
      <c r="F174" s="44" t="n"/>
      <c r="G174" s="40" t="n"/>
      <c r="H174" s="28">
        <f>103-F174</f>
        <v/>
      </c>
      <c r="I174" s="40" t="n"/>
      <c r="J174" s="44" t="n"/>
      <c r="K174" s="28">
        <f>TABL1234[[#This Row],[ (T/B) SAR]]+TABL1234[[#This Row],[ (S/S) SAR]]</f>
        <v/>
      </c>
      <c r="L174" s="45" t="n"/>
      <c r="M174" s="46" t="n"/>
      <c r="N174" s="46" t="n"/>
      <c r="O174" s="40" t="n"/>
      <c r="P174" s="3">
        <f>TABL1234[[#This Row],[ (S/S) SAR]]-TABL1234[[#This Row],[(S/S) AJD]]</f>
        <v/>
      </c>
      <c r="Q174" s="40" t="n"/>
      <c r="R174" s="3">
        <f>TABL1234[[#This Row],[ (T/B) SAR]]-TABL1234[[#This Row],[(T/B) AJD]]</f>
        <v/>
      </c>
      <c r="S174" s="3">
        <f>TABL1234[[#This Row],[T/B-CON.]]+TABL1234[[#This Row],[S/S_CON.]]</f>
        <v/>
      </c>
      <c r="T174" s="3">
        <f>TABL1234[[#This Row],[(S/S) AJD]]+TABL1234[[#This Row],[(T/B) AJD]]</f>
        <v/>
      </c>
      <c r="U174" s="44" t="n"/>
      <c r="V174" s="44" t="n"/>
      <c r="W174" s="3">
        <f>TABL1234[[#This Row],[(A/B) AJD]]+TABL1234[[#This Row],[(A/S) AJD]]</f>
        <v/>
      </c>
      <c r="X174" s="3">
        <f>TABL1234[[#This Row],[( S/S+T/B) AJD]]-TABL1234[[#This Row],[(A/B + A/S) AJD]]</f>
        <v/>
      </c>
      <c r="Y174" s="44" t="n"/>
      <c r="Z174" s="45" t="n"/>
      <c r="AA174" s="3">
        <f>TABL1234[[#This Row],[(RESV. STORGE) AJD]]/10</f>
        <v/>
      </c>
      <c r="AB174" s="3">
        <f>IF(TRIM(Z174)="",,(Z174-Z173)/1000)</f>
        <v/>
      </c>
      <c r="AC174" s="5" t="n"/>
      <c r="AD174" s="40">
        <f>TABL1234[[#This Row],[( S/S+T/B) AJD]]-(TABL1234[[#This Row],[(A/B + A/S) AJD]]+(TABL1234[[#This Row],[(STORGE DIFF.) AJD]]*1000)+TABL1234[[#This Row],[AJD_Evaporation]])</f>
        <v/>
      </c>
      <c r="AE174" s="44" t="n"/>
      <c r="AF174" s="45" t="n"/>
      <c r="AG174" s="45" t="n"/>
      <c r="AH174" s="6" t="n"/>
      <c r="AI174" s="45" t="n"/>
      <c r="AJ174" s="45">
        <f>TABL1234[[#This Row],[(A/B) AJD]]-TABL1234[[#This Row],[BER_IN]]</f>
        <v/>
      </c>
      <c r="AK174" s="45" t="n"/>
      <c r="AL174" s="45" t="n"/>
      <c r="AM174" s="32" t="n"/>
      <c r="AN174" s="32">
        <f>TABL1234[[#This Row],[ (RESV. STORGE) SER]]/10</f>
        <v/>
      </c>
      <c r="AO174" s="68" t="n"/>
      <c r="AP174" s="68">
        <f>TABL1234[[#This Row],[(A/S) AJD]]-TABL1234[[#This Row],[SER_IN]]</f>
        <v/>
      </c>
    </row>
    <row r="175" ht="18.75" customHeight="1">
      <c r="A175" s="2" t="n">
        <v>46561</v>
      </c>
      <c r="B175" s="41" t="n"/>
      <c r="C175" s="41" t="n"/>
      <c r="D175" s="41" t="n"/>
      <c r="E175" s="28" t="n"/>
      <c r="F175" s="41" t="n"/>
      <c r="G175" s="39" t="n"/>
      <c r="H175" s="28">
        <f>103-F175</f>
        <v/>
      </c>
      <c r="I175" s="39" t="n"/>
      <c r="J175" s="39" t="n"/>
      <c r="K175" s="28">
        <f>TABL1234[[#This Row],[ (T/B) SAR]]+TABL1234[[#This Row],[ (S/S) SAR]]</f>
        <v/>
      </c>
      <c r="L175" s="41" t="n"/>
      <c r="M175" s="42" t="n"/>
      <c r="N175" s="42" t="n"/>
      <c r="O175" s="39" t="n"/>
      <c r="P175" s="3">
        <f>TABL1234[[#This Row],[ (S/S) SAR]]-TABL1234[[#This Row],[(S/S) AJD]]</f>
        <v/>
      </c>
      <c r="Q175" s="39" t="n"/>
      <c r="R175" s="3">
        <f>TABL1234[[#This Row],[ (T/B) SAR]]-TABL1234[[#This Row],[(T/B) AJD]]</f>
        <v/>
      </c>
      <c r="S175" s="3">
        <f>TABL1234[[#This Row],[T/B-CON.]]+TABL1234[[#This Row],[S/S_CON.]]</f>
        <v/>
      </c>
      <c r="T175" s="3">
        <f>TABL1234[[#This Row],[(S/S) AJD]]+TABL1234[[#This Row],[(T/B) AJD]]</f>
        <v/>
      </c>
      <c r="U175" s="41" t="n"/>
      <c r="V175" s="41" t="n"/>
      <c r="W175" s="3">
        <f>TABL1234[[#This Row],[(A/B) AJD]]+TABL1234[[#This Row],[(A/S) AJD]]</f>
        <v/>
      </c>
      <c r="X175" s="3">
        <f>TABL1234[[#This Row],[( S/S+T/B) AJD]]-TABL1234[[#This Row],[(A/B + A/S) AJD]]</f>
        <v/>
      </c>
      <c r="Y175" s="41" t="n"/>
      <c r="Z175" s="43" t="n"/>
      <c r="AA175" s="3">
        <f>TABL1234[[#This Row],[(RESV. STORGE) AJD]]/10</f>
        <v/>
      </c>
      <c r="AB175" s="3">
        <f>IF(TRIM(Z175)="",,(Z175-Z174)/1000)</f>
        <v/>
      </c>
      <c r="AC175" s="5" t="n"/>
      <c r="AD175" s="39">
        <f>TABL1234[[#This Row],[( S/S+T/B) AJD]]-(TABL1234[[#This Row],[(A/B + A/S) AJD]]+(TABL1234[[#This Row],[(STORGE DIFF.) AJD]]*1000)+TABL1234[[#This Row],[AJD_Evaporation]])</f>
        <v/>
      </c>
      <c r="AE175" s="41" t="n"/>
      <c r="AF175" s="43" t="n"/>
      <c r="AG175" s="43" t="n"/>
      <c r="AH175" s="6" t="n"/>
      <c r="AI175" s="43" t="n"/>
      <c r="AJ175" s="43">
        <f>TABL1234[[#This Row],[(A/B) AJD]]-TABL1234[[#This Row],[BER_IN]]</f>
        <v/>
      </c>
      <c r="AK175" s="43" t="n"/>
      <c r="AL175" s="43" t="n"/>
      <c r="AM175" s="32" t="n"/>
      <c r="AN175" s="32">
        <f>TABL1234[[#This Row],[ (RESV. STORGE) SER]]/10</f>
        <v/>
      </c>
      <c r="AO175" s="68" t="n"/>
      <c r="AP175" s="68">
        <f>TABL1234[[#This Row],[(A/S) AJD]]-TABL1234[[#This Row],[SER_IN]]</f>
        <v/>
      </c>
    </row>
    <row r="176" ht="18.75" customHeight="1">
      <c r="A176" s="2" t="n">
        <v>46562</v>
      </c>
      <c r="B176" s="44" t="n"/>
      <c r="C176" s="44" t="n"/>
      <c r="D176" s="44" t="n"/>
      <c r="E176" s="28" t="n"/>
      <c r="F176" s="44" t="n"/>
      <c r="G176" s="40" t="n"/>
      <c r="H176" s="28">
        <f>103-F176</f>
        <v/>
      </c>
      <c r="I176" s="40" t="n"/>
      <c r="J176" s="44" t="n"/>
      <c r="K176" s="28">
        <f>TABL1234[[#This Row],[ (T/B) SAR]]+TABL1234[[#This Row],[ (S/S) SAR]]</f>
        <v/>
      </c>
      <c r="L176" s="45" t="n"/>
      <c r="M176" s="46" t="n"/>
      <c r="N176" s="46" t="n"/>
      <c r="O176" s="40" t="n"/>
      <c r="P176" s="3">
        <f>TABL1234[[#This Row],[ (S/S) SAR]]-TABL1234[[#This Row],[(S/S) AJD]]</f>
        <v/>
      </c>
      <c r="Q176" s="40" t="n"/>
      <c r="R176" s="3">
        <f>TABL1234[[#This Row],[ (T/B) SAR]]-TABL1234[[#This Row],[(T/B) AJD]]</f>
        <v/>
      </c>
      <c r="S176" s="3">
        <f>TABL1234[[#This Row],[T/B-CON.]]+TABL1234[[#This Row],[S/S_CON.]]</f>
        <v/>
      </c>
      <c r="T176" s="3">
        <f>TABL1234[[#This Row],[(S/S) AJD]]+TABL1234[[#This Row],[(T/B) AJD]]</f>
        <v/>
      </c>
      <c r="U176" s="44" t="n"/>
      <c r="V176" s="44" t="n"/>
      <c r="W176" s="3">
        <f>TABL1234[[#This Row],[(A/B) AJD]]+TABL1234[[#This Row],[(A/S) AJD]]</f>
        <v/>
      </c>
      <c r="X176" s="3">
        <f>TABL1234[[#This Row],[( S/S+T/B) AJD]]-TABL1234[[#This Row],[(A/B + A/S) AJD]]</f>
        <v/>
      </c>
      <c r="Y176" s="44" t="n"/>
      <c r="Z176" s="45" t="n"/>
      <c r="AA176" s="3">
        <f>TABL1234[[#This Row],[(RESV. STORGE) AJD]]/10</f>
        <v/>
      </c>
      <c r="AB176" s="3">
        <f>IF(TRIM(Z176)="",,(Z176-Z175)/1000)</f>
        <v/>
      </c>
      <c r="AC176" s="5" t="n"/>
      <c r="AD176" s="40">
        <f>TABL1234[[#This Row],[( S/S+T/B) AJD]]-(TABL1234[[#This Row],[(A/B + A/S) AJD]]+(TABL1234[[#This Row],[(STORGE DIFF.) AJD]]*1000)+TABL1234[[#This Row],[AJD_Evaporation]])</f>
        <v/>
      </c>
      <c r="AE176" s="44" t="n"/>
      <c r="AF176" s="45" t="n"/>
      <c r="AG176" s="45" t="n"/>
      <c r="AH176" s="6" t="n"/>
      <c r="AI176" s="45" t="n"/>
      <c r="AJ176" s="45">
        <f>TABL1234[[#This Row],[(A/B) AJD]]-TABL1234[[#This Row],[BER_IN]]</f>
        <v/>
      </c>
      <c r="AK176" s="45" t="n"/>
      <c r="AL176" s="45" t="n"/>
      <c r="AM176" s="32" t="n"/>
      <c r="AN176" s="32">
        <f>TABL1234[[#This Row],[ (RESV. STORGE) SER]]/10</f>
        <v/>
      </c>
      <c r="AO176" s="68" t="n"/>
      <c r="AP176" s="68">
        <f>TABL1234[[#This Row],[(A/S) AJD]]-TABL1234[[#This Row],[SER_IN]]</f>
        <v/>
      </c>
    </row>
    <row r="177" ht="18.75" customHeight="1">
      <c r="A177" s="2" t="n">
        <v>46563</v>
      </c>
      <c r="B177" s="41" t="n"/>
      <c r="C177" s="41" t="n"/>
      <c r="D177" s="41" t="n"/>
      <c r="E177" s="28" t="n"/>
      <c r="F177" s="41" t="n"/>
      <c r="G177" s="39" t="n"/>
      <c r="H177" s="28">
        <f>103-F177</f>
        <v/>
      </c>
      <c r="I177" s="39" t="n"/>
      <c r="J177" s="39" t="n"/>
      <c r="K177" s="28">
        <f>TABL1234[[#This Row],[ (T/B) SAR]]+TABL1234[[#This Row],[ (S/S) SAR]]</f>
        <v/>
      </c>
      <c r="L177" s="41" t="n"/>
      <c r="M177" s="42" t="n"/>
      <c r="N177" s="42" t="n"/>
      <c r="O177" s="39" t="n"/>
      <c r="P177" s="3">
        <f>TABL1234[[#This Row],[ (S/S) SAR]]-TABL1234[[#This Row],[(S/S) AJD]]</f>
        <v/>
      </c>
      <c r="Q177" s="39" t="n"/>
      <c r="R177" s="3">
        <f>TABL1234[[#This Row],[ (T/B) SAR]]-TABL1234[[#This Row],[(T/B) AJD]]</f>
        <v/>
      </c>
      <c r="S177" s="3">
        <f>TABL1234[[#This Row],[T/B-CON.]]+TABL1234[[#This Row],[S/S_CON.]]</f>
        <v/>
      </c>
      <c r="T177" s="3">
        <f>TABL1234[[#This Row],[(S/S) AJD]]+TABL1234[[#This Row],[(T/B) AJD]]</f>
        <v/>
      </c>
      <c r="U177" s="41" t="n"/>
      <c r="V177" s="41" t="n"/>
      <c r="W177" s="3">
        <f>TABL1234[[#This Row],[(A/B) AJD]]+TABL1234[[#This Row],[(A/S) AJD]]</f>
        <v/>
      </c>
      <c r="X177" s="3">
        <f>TABL1234[[#This Row],[( S/S+T/B) AJD]]-TABL1234[[#This Row],[(A/B + A/S) AJD]]</f>
        <v/>
      </c>
      <c r="Y177" s="41" t="n"/>
      <c r="Z177" s="43" t="n"/>
      <c r="AA177" s="3">
        <f>TABL1234[[#This Row],[(RESV. STORGE) AJD]]/10</f>
        <v/>
      </c>
      <c r="AB177" s="3">
        <f>IF(TRIM(Z177)="",,(Z177-Z176)/1000)</f>
        <v/>
      </c>
      <c r="AC177" s="5" t="n"/>
      <c r="AD177" s="39">
        <f>TABL1234[[#This Row],[( S/S+T/B) AJD]]-(TABL1234[[#This Row],[(A/B + A/S) AJD]]+(TABL1234[[#This Row],[(STORGE DIFF.) AJD]]*1000)+TABL1234[[#This Row],[AJD_Evaporation]])</f>
        <v/>
      </c>
      <c r="AE177" s="41" t="n"/>
      <c r="AF177" s="43" t="n"/>
      <c r="AG177" s="43" t="n"/>
      <c r="AH177" s="6" t="n"/>
      <c r="AI177" s="43" t="n"/>
      <c r="AJ177" s="43">
        <f>TABL1234[[#This Row],[(A/B) AJD]]-TABL1234[[#This Row],[BER_IN]]</f>
        <v/>
      </c>
      <c r="AK177" s="43" t="n"/>
      <c r="AL177" s="43" t="n"/>
      <c r="AM177" s="32" t="n"/>
      <c r="AN177" s="32">
        <f>TABL1234[[#This Row],[ (RESV. STORGE) SER]]/10</f>
        <v/>
      </c>
      <c r="AO177" s="68" t="n"/>
      <c r="AP177" s="68">
        <f>TABL1234[[#This Row],[(A/S) AJD]]-TABL1234[[#This Row],[SER_IN]]</f>
        <v/>
      </c>
    </row>
    <row r="178" ht="18.75" customHeight="1">
      <c r="A178" s="2" t="n">
        <v>46564</v>
      </c>
      <c r="B178" s="44" t="n"/>
      <c r="C178" s="44" t="n"/>
      <c r="D178" s="44" t="n"/>
      <c r="E178" s="28" t="n"/>
      <c r="F178" s="44" t="n"/>
      <c r="G178" s="40" t="n"/>
      <c r="H178" s="28">
        <f>103-F178</f>
        <v/>
      </c>
      <c r="I178" s="40" t="n"/>
      <c r="J178" s="44" t="n"/>
      <c r="K178" s="28">
        <f>TABL1234[[#This Row],[ (T/B) SAR]]+TABL1234[[#This Row],[ (S/S) SAR]]</f>
        <v/>
      </c>
      <c r="L178" s="45" t="n"/>
      <c r="M178" s="46" t="n"/>
      <c r="N178" s="46" t="n"/>
      <c r="O178" s="40" t="n"/>
      <c r="P178" s="3">
        <f>TABL1234[[#This Row],[ (S/S) SAR]]-TABL1234[[#This Row],[(S/S) AJD]]</f>
        <v/>
      </c>
      <c r="Q178" s="40" t="n"/>
      <c r="R178" s="3">
        <f>TABL1234[[#This Row],[ (T/B) SAR]]-TABL1234[[#This Row],[(T/B) AJD]]</f>
        <v/>
      </c>
      <c r="S178" s="3">
        <f>TABL1234[[#This Row],[T/B-CON.]]+TABL1234[[#This Row],[S/S_CON.]]</f>
        <v/>
      </c>
      <c r="T178" s="3">
        <f>TABL1234[[#This Row],[(S/S) AJD]]+TABL1234[[#This Row],[(T/B) AJD]]</f>
        <v/>
      </c>
      <c r="U178" s="44" t="n"/>
      <c r="V178" s="44" t="n"/>
      <c r="W178" s="3">
        <f>TABL1234[[#This Row],[(A/B) AJD]]+TABL1234[[#This Row],[(A/S) AJD]]</f>
        <v/>
      </c>
      <c r="X178" s="3">
        <f>TABL1234[[#This Row],[( S/S+T/B) AJD]]-TABL1234[[#This Row],[(A/B + A/S) AJD]]</f>
        <v/>
      </c>
      <c r="Y178" s="44" t="n"/>
      <c r="Z178" s="45" t="n"/>
      <c r="AA178" s="3">
        <f>TABL1234[[#This Row],[(RESV. STORGE) AJD]]/10</f>
        <v/>
      </c>
      <c r="AB178" s="3">
        <f>IF(TRIM(Z178)="",,(Z178-Z177)/1000)</f>
        <v/>
      </c>
      <c r="AC178" s="5" t="n"/>
      <c r="AD178" s="40">
        <f>TABL1234[[#This Row],[( S/S+T/B) AJD]]-(TABL1234[[#This Row],[(A/B + A/S) AJD]]+(TABL1234[[#This Row],[(STORGE DIFF.) AJD]]*1000)+TABL1234[[#This Row],[AJD_Evaporation]])</f>
        <v/>
      </c>
      <c r="AE178" s="44" t="n"/>
      <c r="AF178" s="45" t="n"/>
      <c r="AG178" s="45" t="n"/>
      <c r="AH178" s="6" t="n"/>
      <c r="AI178" s="45" t="n"/>
      <c r="AJ178" s="45">
        <f>TABL1234[[#This Row],[(A/B) AJD]]-TABL1234[[#This Row],[BER_IN]]</f>
        <v/>
      </c>
      <c r="AK178" s="45" t="n"/>
      <c r="AL178" s="45" t="n"/>
      <c r="AM178" s="32" t="n"/>
      <c r="AN178" s="32">
        <f>TABL1234[[#This Row],[ (RESV. STORGE) SER]]/10</f>
        <v/>
      </c>
      <c r="AO178" s="68" t="n"/>
      <c r="AP178" s="68">
        <f>TABL1234[[#This Row],[(A/S) AJD]]-TABL1234[[#This Row],[SER_IN]]</f>
        <v/>
      </c>
    </row>
    <row r="179" ht="18.75" customHeight="1">
      <c r="A179" s="2" t="n">
        <v>46565</v>
      </c>
      <c r="B179" s="41" t="n"/>
      <c r="C179" s="41" t="n"/>
      <c r="D179" s="41" t="n"/>
      <c r="E179" s="28" t="n"/>
      <c r="F179" s="41" t="n"/>
      <c r="G179" s="39" t="n"/>
      <c r="H179" s="28">
        <f>103-F179</f>
        <v/>
      </c>
      <c r="I179" s="39" t="n"/>
      <c r="J179" s="39" t="n"/>
      <c r="K179" s="28">
        <f>TABL1234[[#This Row],[ (T/B) SAR]]+TABL1234[[#This Row],[ (S/S) SAR]]</f>
        <v/>
      </c>
      <c r="L179" s="41" t="n"/>
      <c r="M179" s="42" t="n"/>
      <c r="N179" s="42" t="n"/>
      <c r="O179" s="39" t="n"/>
      <c r="P179" s="3">
        <f>TABL1234[[#This Row],[ (S/S) SAR]]-TABL1234[[#This Row],[(S/S) AJD]]</f>
        <v/>
      </c>
      <c r="Q179" s="39" t="n"/>
      <c r="R179" s="3">
        <f>TABL1234[[#This Row],[ (T/B) SAR]]-TABL1234[[#This Row],[(T/B) AJD]]</f>
        <v/>
      </c>
      <c r="S179" s="3">
        <f>TABL1234[[#This Row],[T/B-CON.]]+TABL1234[[#This Row],[S/S_CON.]]</f>
        <v/>
      </c>
      <c r="T179" s="3">
        <f>TABL1234[[#This Row],[(S/S) AJD]]+TABL1234[[#This Row],[(T/B) AJD]]</f>
        <v/>
      </c>
      <c r="U179" s="41" t="n"/>
      <c r="V179" s="41" t="n"/>
      <c r="W179" s="3">
        <f>TABL1234[[#This Row],[(A/B) AJD]]+TABL1234[[#This Row],[(A/S) AJD]]</f>
        <v/>
      </c>
      <c r="X179" s="3">
        <f>TABL1234[[#This Row],[( S/S+T/B) AJD]]-TABL1234[[#This Row],[(A/B + A/S) AJD]]</f>
        <v/>
      </c>
      <c r="Y179" s="41" t="n"/>
      <c r="Z179" s="43" t="n"/>
      <c r="AA179" s="3">
        <f>TABL1234[[#This Row],[(RESV. STORGE) AJD]]/10</f>
        <v/>
      </c>
      <c r="AB179" s="3">
        <f>IF(TRIM(Z179)="",,(Z179-Z178)/1000)</f>
        <v/>
      </c>
      <c r="AC179" s="5" t="n"/>
      <c r="AD179" s="39">
        <f>TABL1234[[#This Row],[( S/S+T/B) AJD]]-(TABL1234[[#This Row],[(A/B + A/S) AJD]]+(TABL1234[[#This Row],[(STORGE DIFF.) AJD]]*1000)+TABL1234[[#This Row],[AJD_Evaporation]])</f>
        <v/>
      </c>
      <c r="AE179" s="41" t="n"/>
      <c r="AF179" s="43" t="n"/>
      <c r="AG179" s="43" t="n"/>
      <c r="AH179" s="6" t="n"/>
      <c r="AI179" s="43" t="n"/>
      <c r="AJ179" s="43">
        <f>TABL1234[[#This Row],[(A/B) AJD]]-TABL1234[[#This Row],[BER_IN]]</f>
        <v/>
      </c>
      <c r="AK179" s="43" t="n"/>
      <c r="AL179" s="43" t="n"/>
      <c r="AM179" s="32" t="n"/>
      <c r="AN179" s="32">
        <f>TABL1234[[#This Row],[ (RESV. STORGE) SER]]/10</f>
        <v/>
      </c>
      <c r="AO179" s="68" t="n"/>
      <c r="AP179" s="68">
        <f>TABL1234[[#This Row],[(A/S) AJD]]-TABL1234[[#This Row],[SER_IN]]</f>
        <v/>
      </c>
    </row>
    <row r="180" ht="18.75" customHeight="1">
      <c r="A180" s="2" t="n">
        <v>46566</v>
      </c>
      <c r="B180" s="44" t="n"/>
      <c r="C180" s="44" t="n"/>
      <c r="D180" s="44" t="n"/>
      <c r="E180" s="28" t="n"/>
      <c r="F180" s="44" t="n"/>
      <c r="G180" s="40" t="n"/>
      <c r="H180" s="28">
        <f>103-F180</f>
        <v/>
      </c>
      <c r="I180" s="40" t="n"/>
      <c r="J180" s="44" t="n"/>
      <c r="K180" s="28">
        <f>TABL1234[[#This Row],[ (T/B) SAR]]+TABL1234[[#This Row],[ (S/S) SAR]]</f>
        <v/>
      </c>
      <c r="L180" s="45" t="n"/>
      <c r="M180" s="46" t="n"/>
      <c r="N180" s="46" t="n"/>
      <c r="O180" s="40" t="n"/>
      <c r="P180" s="3">
        <f>TABL1234[[#This Row],[ (S/S) SAR]]-TABL1234[[#This Row],[(S/S) AJD]]</f>
        <v/>
      </c>
      <c r="Q180" s="40" t="n"/>
      <c r="R180" s="3">
        <f>TABL1234[[#This Row],[ (T/B) SAR]]-TABL1234[[#This Row],[(T/B) AJD]]</f>
        <v/>
      </c>
      <c r="S180" s="3">
        <f>TABL1234[[#This Row],[T/B-CON.]]+TABL1234[[#This Row],[S/S_CON.]]</f>
        <v/>
      </c>
      <c r="T180" s="3">
        <f>TABL1234[[#This Row],[(S/S) AJD]]+TABL1234[[#This Row],[(T/B) AJD]]</f>
        <v/>
      </c>
      <c r="U180" s="44" t="n"/>
      <c r="V180" s="44" t="n"/>
      <c r="W180" s="3">
        <f>TABL1234[[#This Row],[(A/B) AJD]]+TABL1234[[#This Row],[(A/S) AJD]]</f>
        <v/>
      </c>
      <c r="X180" s="3">
        <f>TABL1234[[#This Row],[( S/S+T/B) AJD]]-TABL1234[[#This Row],[(A/B + A/S) AJD]]</f>
        <v/>
      </c>
      <c r="Y180" s="44" t="n"/>
      <c r="Z180" s="45" t="n"/>
      <c r="AA180" s="3">
        <f>TABL1234[[#This Row],[(RESV. STORGE) AJD]]/10</f>
        <v/>
      </c>
      <c r="AB180" s="3">
        <f>IF(TRIM(Z180)="",,(Z180-Z179)/1000)</f>
        <v/>
      </c>
      <c r="AC180" s="5" t="n"/>
      <c r="AD180" s="40">
        <f>TABL1234[[#This Row],[( S/S+T/B) AJD]]-(TABL1234[[#This Row],[(A/B + A/S) AJD]]+(TABL1234[[#This Row],[(STORGE DIFF.) AJD]]*1000)+TABL1234[[#This Row],[AJD_Evaporation]])</f>
        <v/>
      </c>
      <c r="AE180" s="44" t="n"/>
      <c r="AF180" s="45" t="n"/>
      <c r="AG180" s="45" t="n"/>
      <c r="AH180" s="6" t="n"/>
      <c r="AI180" s="45" t="n"/>
      <c r="AJ180" s="45">
        <f>TABL1234[[#This Row],[(A/B) AJD]]-TABL1234[[#This Row],[BER_IN]]</f>
        <v/>
      </c>
      <c r="AK180" s="45" t="n"/>
      <c r="AL180" s="45" t="n"/>
      <c r="AM180" s="32" t="n"/>
      <c r="AN180" s="32">
        <f>TABL1234[[#This Row],[ (RESV. STORGE) SER]]/10</f>
        <v/>
      </c>
      <c r="AO180" s="68" t="n"/>
      <c r="AP180" s="68">
        <f>TABL1234[[#This Row],[(A/S) AJD]]-TABL1234[[#This Row],[SER_IN]]</f>
        <v/>
      </c>
    </row>
    <row r="181" ht="18.75" customHeight="1">
      <c r="A181" s="2" t="n">
        <v>46567</v>
      </c>
      <c r="B181" s="41" t="n"/>
      <c r="C181" s="41" t="n"/>
      <c r="D181" s="41" t="n"/>
      <c r="E181" s="28" t="n"/>
      <c r="F181" s="41" t="n"/>
      <c r="G181" s="39" t="n"/>
      <c r="H181" s="28">
        <f>103-F181</f>
        <v/>
      </c>
      <c r="I181" s="39" t="n"/>
      <c r="J181" s="39" t="n"/>
      <c r="K181" s="28">
        <f>TABL1234[[#This Row],[ (T/B) SAR]]+TABL1234[[#This Row],[ (S/S) SAR]]</f>
        <v/>
      </c>
      <c r="L181" s="41" t="n"/>
      <c r="M181" s="42" t="n"/>
      <c r="N181" s="42" t="n"/>
      <c r="O181" s="39" t="n"/>
      <c r="P181" s="3">
        <f>TABL1234[[#This Row],[ (S/S) SAR]]-TABL1234[[#This Row],[(S/S) AJD]]</f>
        <v/>
      </c>
      <c r="Q181" s="39" t="n"/>
      <c r="R181" s="3">
        <f>TABL1234[[#This Row],[ (T/B) SAR]]-TABL1234[[#This Row],[(T/B) AJD]]</f>
        <v/>
      </c>
      <c r="S181" s="3">
        <f>TABL1234[[#This Row],[T/B-CON.]]+TABL1234[[#This Row],[S/S_CON.]]</f>
        <v/>
      </c>
      <c r="T181" s="3">
        <f>TABL1234[[#This Row],[(S/S) AJD]]+TABL1234[[#This Row],[(T/B) AJD]]</f>
        <v/>
      </c>
      <c r="U181" s="41" t="n"/>
      <c r="V181" s="41" t="n"/>
      <c r="W181" s="3">
        <f>TABL1234[[#This Row],[(A/B) AJD]]+TABL1234[[#This Row],[(A/S) AJD]]</f>
        <v/>
      </c>
      <c r="X181" s="3">
        <f>TABL1234[[#This Row],[( S/S+T/B) AJD]]-TABL1234[[#This Row],[(A/B + A/S) AJD]]</f>
        <v/>
      </c>
      <c r="Y181" s="41" t="n"/>
      <c r="Z181" s="43" t="n"/>
      <c r="AA181" s="3">
        <f>TABL1234[[#This Row],[(RESV. STORGE) AJD]]/10</f>
        <v/>
      </c>
      <c r="AB181" s="3">
        <f>IF(TRIM(Z181)="",,(Z181-Z180)/1000)</f>
        <v/>
      </c>
      <c r="AC181" s="5" t="n"/>
      <c r="AD181" s="39">
        <f>TABL1234[[#This Row],[( S/S+T/B) AJD]]-(TABL1234[[#This Row],[(A/B + A/S) AJD]]+(TABL1234[[#This Row],[(STORGE DIFF.) AJD]]*1000)+TABL1234[[#This Row],[AJD_Evaporation]])</f>
        <v/>
      </c>
      <c r="AE181" s="41" t="n"/>
      <c r="AF181" s="43" t="n"/>
      <c r="AG181" s="43" t="n"/>
      <c r="AH181" s="6" t="n"/>
      <c r="AI181" s="43" t="n"/>
      <c r="AJ181" s="43">
        <f>TABL1234[[#This Row],[(A/B) AJD]]-TABL1234[[#This Row],[BER_IN]]</f>
        <v/>
      </c>
      <c r="AK181" s="43" t="n"/>
      <c r="AL181" s="43" t="n"/>
      <c r="AM181" s="32" t="n"/>
      <c r="AN181" s="32">
        <f>TABL1234[[#This Row],[ (RESV. STORGE) SER]]/10</f>
        <v/>
      </c>
      <c r="AO181" s="68" t="n"/>
      <c r="AP181" s="68">
        <f>TABL1234[[#This Row],[(A/S) AJD]]-TABL1234[[#This Row],[SER_IN]]</f>
        <v/>
      </c>
    </row>
    <row r="182" ht="18.75" customHeight="1">
      <c r="A182" s="2" t="n">
        <v>46568</v>
      </c>
      <c r="B182" s="44" t="n"/>
      <c r="C182" s="44" t="n"/>
      <c r="D182" s="44" t="n"/>
      <c r="E182" s="28" t="n"/>
      <c r="F182" s="44" t="n"/>
      <c r="G182" s="40" t="n"/>
      <c r="H182" s="28">
        <f>103-F182</f>
        <v/>
      </c>
      <c r="I182" s="40" t="n"/>
      <c r="J182" s="44" t="n"/>
      <c r="K182" s="28">
        <f>TABL1234[[#This Row],[ (T/B) SAR]]+TABL1234[[#This Row],[ (S/S) SAR]]</f>
        <v/>
      </c>
      <c r="L182" s="45" t="n"/>
      <c r="M182" s="46" t="n"/>
      <c r="N182" s="46" t="n"/>
      <c r="O182" s="40" t="n"/>
      <c r="P182" s="3">
        <f>TABL1234[[#This Row],[ (S/S) SAR]]-TABL1234[[#This Row],[(S/S) AJD]]</f>
        <v/>
      </c>
      <c r="Q182" s="40" t="n"/>
      <c r="R182" s="3">
        <f>TABL1234[[#This Row],[ (T/B) SAR]]-TABL1234[[#This Row],[(T/B) AJD]]</f>
        <v/>
      </c>
      <c r="S182" s="3">
        <f>TABL1234[[#This Row],[T/B-CON.]]+TABL1234[[#This Row],[S/S_CON.]]</f>
        <v/>
      </c>
      <c r="T182" s="3">
        <f>TABL1234[[#This Row],[(S/S) AJD]]+TABL1234[[#This Row],[(T/B) AJD]]</f>
        <v/>
      </c>
      <c r="U182" s="44" t="n"/>
      <c r="V182" s="44" t="n"/>
      <c r="W182" s="3">
        <f>TABL1234[[#This Row],[(A/B) AJD]]+TABL1234[[#This Row],[(A/S) AJD]]</f>
        <v/>
      </c>
      <c r="X182" s="3">
        <f>TABL1234[[#This Row],[( S/S+T/B) AJD]]-TABL1234[[#This Row],[(A/B + A/S) AJD]]</f>
        <v/>
      </c>
      <c r="Y182" s="44" t="n"/>
      <c r="Z182" s="45" t="n"/>
      <c r="AA182" s="3">
        <f>TABL1234[[#This Row],[(RESV. STORGE) AJD]]/10</f>
        <v/>
      </c>
      <c r="AB182" s="3">
        <f>IF(TRIM(Z182)="",,(Z182-Z181)/1000)</f>
        <v/>
      </c>
      <c r="AC182" s="5" t="n"/>
      <c r="AD182" s="40">
        <f>TABL1234[[#This Row],[( S/S+T/B) AJD]]-(TABL1234[[#This Row],[(A/B + A/S) AJD]]+(TABL1234[[#This Row],[(STORGE DIFF.) AJD]]*1000)+TABL1234[[#This Row],[AJD_Evaporation]])</f>
        <v/>
      </c>
      <c r="AE182" s="44" t="n"/>
      <c r="AF182" s="45" t="n"/>
      <c r="AG182" s="45" t="n"/>
      <c r="AH182" s="6" t="n"/>
      <c r="AI182" s="45" t="n"/>
      <c r="AJ182" s="45">
        <f>TABL1234[[#This Row],[(A/B) AJD]]-TABL1234[[#This Row],[BER_IN]]</f>
        <v/>
      </c>
      <c r="AK182" s="45" t="n"/>
      <c r="AL182" s="45" t="n"/>
      <c r="AM182" s="32" t="n"/>
      <c r="AN182" s="32">
        <f>TABL1234[[#This Row],[ (RESV. STORGE) SER]]/10</f>
        <v/>
      </c>
      <c r="AO182" s="68" t="n"/>
      <c r="AP182" s="68">
        <f>TABL1234[[#This Row],[(A/S) AJD]]-TABL1234[[#This Row],[SER_IN]]</f>
        <v/>
      </c>
    </row>
    <row r="183" ht="18.75" customHeight="1">
      <c r="A183" s="2" t="n">
        <v>46569</v>
      </c>
      <c r="B183" s="41" t="n"/>
      <c r="C183" s="41" t="n"/>
      <c r="D183" s="41" t="n"/>
      <c r="E183" s="41" t="n"/>
      <c r="F183" s="41" t="n"/>
      <c r="G183" s="39" t="n"/>
      <c r="H183" s="28">
        <f>103-F183</f>
        <v/>
      </c>
      <c r="I183" s="39" t="n"/>
      <c r="J183" s="39" t="n"/>
      <c r="K183" s="28">
        <f>TABL1234[[#This Row],[ (T/B) SAR]]+TABL1234[[#This Row],[ (S/S) SAR]]</f>
        <v/>
      </c>
      <c r="L183" s="41" t="n"/>
      <c r="M183" s="42" t="n"/>
      <c r="N183" s="42" t="n"/>
      <c r="O183" s="39" t="n"/>
      <c r="P183" s="12">
        <f>TABL1234[[#This Row],[ (S/S) SAR]]-TABL1234[[#This Row],[(S/S) AJD]]</f>
        <v/>
      </c>
      <c r="Q183" s="39" t="n"/>
      <c r="R183" s="12">
        <f>TABL1234[[#This Row],[ (T/B) SAR]]-TABL1234[[#This Row],[(T/B) AJD]]</f>
        <v/>
      </c>
      <c r="S183" s="12">
        <f>TABL1234[[#This Row],[T/B-CON.]]+TABL1234[[#This Row],[S/S_CON.]]</f>
        <v/>
      </c>
      <c r="T183" s="12">
        <f>TABL1234[[#This Row],[(S/S) AJD]]+TABL1234[[#This Row],[(T/B) AJD]]</f>
        <v/>
      </c>
      <c r="U183" s="41" t="n"/>
      <c r="V183" s="41" t="n"/>
      <c r="W183" s="12">
        <f>TABL1234[[#This Row],[(A/B) AJD]]+TABL1234[[#This Row],[(A/S) AJD]]</f>
        <v/>
      </c>
      <c r="X183" s="12">
        <f>TABL1234[[#This Row],[( S/S+T/B) AJD]]-TABL1234[[#This Row],[(A/B + A/S) AJD]]</f>
        <v/>
      </c>
      <c r="Y183" s="41" t="n"/>
      <c r="Z183" s="43" t="n"/>
      <c r="AA183" s="3">
        <f>TABL1234[[#This Row],[(RESV. STORGE) AJD]]/10</f>
        <v/>
      </c>
      <c r="AB183" s="3">
        <f>IF(TRIM(Z183)="",,(Z183-Z182)/1000)</f>
        <v/>
      </c>
      <c r="AC183" s="5" t="n"/>
      <c r="AD183" s="39">
        <f>TABL1234[[#This Row],[( S/S+T/B) AJD]]-(TABL1234[[#This Row],[(A/B + A/S) AJD]]+(TABL1234[[#This Row],[(STORGE DIFF.) AJD]]*1000)+TABL1234[[#This Row],[AJD_Evaporation]])</f>
        <v/>
      </c>
      <c r="AE183" s="41" t="n"/>
      <c r="AF183" s="43" t="n"/>
      <c r="AG183" s="43" t="n"/>
      <c r="AH183" s="6" t="n"/>
      <c r="AI183" s="43" t="n"/>
      <c r="AJ183" s="43">
        <f>TABL1234[[#This Row],[(A/B) AJD]]-TABL1234[[#This Row],[BER_IN]]</f>
        <v/>
      </c>
      <c r="AK183" s="43" t="n"/>
      <c r="AL183" s="43" t="n"/>
      <c r="AM183" s="32" t="n"/>
      <c r="AN183" s="32">
        <f>TABL1234[[#This Row],[ (RESV. STORGE) SER]]/10</f>
        <v/>
      </c>
      <c r="AO183" s="68" t="n"/>
      <c r="AP183" s="68">
        <f>TABL1234[[#This Row],[(A/S) AJD]]-TABL1234[[#This Row],[SER_IN]]</f>
        <v/>
      </c>
    </row>
    <row r="184" ht="18.75" customHeight="1">
      <c r="A184" s="2" t="n">
        <v>46570</v>
      </c>
      <c r="B184" s="44" t="n"/>
      <c r="C184" s="44" t="n"/>
      <c r="D184" s="44" t="n"/>
      <c r="E184" s="44" t="n"/>
      <c r="F184" s="44" t="n"/>
      <c r="G184" s="40" t="n"/>
      <c r="H184" s="28">
        <f>103-F184</f>
        <v/>
      </c>
      <c r="I184" s="40" t="n"/>
      <c r="J184" s="44" t="n"/>
      <c r="K184" s="28">
        <f>TABL1234[[#This Row],[ (T/B) SAR]]+TABL1234[[#This Row],[ (S/S) SAR]]</f>
        <v/>
      </c>
      <c r="L184" s="45" t="n"/>
      <c r="M184" s="46" t="n"/>
      <c r="N184" s="46" t="n"/>
      <c r="O184" s="40" t="n"/>
      <c r="P184" s="12">
        <f>TABL1234[[#This Row],[ (S/S) SAR]]-TABL1234[[#This Row],[(S/S) AJD]]</f>
        <v/>
      </c>
      <c r="Q184" s="40" t="n"/>
      <c r="R184" s="12">
        <f>TABL1234[[#This Row],[ (T/B) SAR]]-TABL1234[[#This Row],[(T/B) AJD]]</f>
        <v/>
      </c>
      <c r="S184" s="12">
        <f>TABL1234[[#This Row],[T/B-CON.]]+TABL1234[[#This Row],[S/S_CON.]]</f>
        <v/>
      </c>
      <c r="T184" s="12">
        <f>TABL1234[[#This Row],[(S/S) AJD]]+TABL1234[[#This Row],[(T/B) AJD]]</f>
        <v/>
      </c>
      <c r="U184" s="44" t="n"/>
      <c r="V184" s="44" t="n"/>
      <c r="W184" s="12">
        <f>TABL1234[[#This Row],[(A/B) AJD]]+TABL1234[[#This Row],[(A/S) AJD]]</f>
        <v/>
      </c>
      <c r="X184" s="12">
        <f>TABL1234[[#This Row],[( S/S+T/B) AJD]]-TABL1234[[#This Row],[(A/B + A/S) AJD]]</f>
        <v/>
      </c>
      <c r="Y184" s="44" t="n"/>
      <c r="Z184" s="45" t="n"/>
      <c r="AA184" s="3">
        <f>TABL1234[[#This Row],[(RESV. STORGE) AJD]]/10</f>
        <v/>
      </c>
      <c r="AB184" s="3">
        <f>IF(TRIM(Z184)="",,(Z184-Z183)/1000)</f>
        <v/>
      </c>
      <c r="AC184" s="5" t="n"/>
      <c r="AD184" s="40">
        <f>TABL1234[[#This Row],[( S/S+T/B) AJD]]-(TABL1234[[#This Row],[(A/B + A/S) AJD]]+(TABL1234[[#This Row],[(STORGE DIFF.) AJD]]*1000)+TABL1234[[#This Row],[AJD_Evaporation]])</f>
        <v/>
      </c>
      <c r="AE184" s="44" t="n"/>
      <c r="AF184" s="45" t="n"/>
      <c r="AG184" s="45" t="n"/>
      <c r="AH184" s="6" t="n"/>
      <c r="AI184" s="45" t="n"/>
      <c r="AJ184" s="45">
        <f>TABL1234[[#This Row],[(A/B) AJD]]-TABL1234[[#This Row],[BER_IN]]</f>
        <v/>
      </c>
      <c r="AK184" s="45" t="n"/>
      <c r="AL184" s="45" t="n"/>
      <c r="AM184" s="32" t="n"/>
      <c r="AN184" s="32">
        <f>TABL1234[[#This Row],[ (RESV. STORGE) SER]]/10</f>
        <v/>
      </c>
      <c r="AO184" s="68" t="n"/>
      <c r="AP184" s="68">
        <f>TABL1234[[#This Row],[(A/S) AJD]]-TABL1234[[#This Row],[SER_IN]]</f>
        <v/>
      </c>
    </row>
    <row r="185" ht="18.75" customHeight="1">
      <c r="A185" s="2" t="n">
        <v>46571</v>
      </c>
      <c r="B185" s="41" t="n"/>
      <c r="C185" s="41" t="n"/>
      <c r="D185" s="41" t="n"/>
      <c r="E185" s="41" t="n"/>
      <c r="F185" s="41" t="n"/>
      <c r="G185" s="39" t="n"/>
      <c r="H185" s="28">
        <f>103-F185</f>
        <v/>
      </c>
      <c r="I185" s="39" t="n"/>
      <c r="J185" s="39" t="n"/>
      <c r="K185" s="28">
        <f>TABL1234[[#This Row],[ (T/B) SAR]]+TABL1234[[#This Row],[ (S/S) SAR]]</f>
        <v/>
      </c>
      <c r="L185" s="41" t="n"/>
      <c r="M185" s="42" t="n"/>
      <c r="N185" s="42" t="n"/>
      <c r="O185" s="39" t="n"/>
      <c r="P185" s="12">
        <f>TABL1234[[#This Row],[ (S/S) SAR]]-TABL1234[[#This Row],[(S/S) AJD]]</f>
        <v/>
      </c>
      <c r="Q185" s="39" t="n"/>
      <c r="R185" s="12">
        <f>TABL1234[[#This Row],[ (T/B) SAR]]-TABL1234[[#This Row],[(T/B) AJD]]</f>
        <v/>
      </c>
      <c r="S185" s="12">
        <f>TABL1234[[#This Row],[T/B-CON.]]+TABL1234[[#This Row],[S/S_CON.]]</f>
        <v/>
      </c>
      <c r="T185" s="12">
        <f>TABL1234[[#This Row],[(S/S) AJD]]+TABL1234[[#This Row],[(T/B) AJD]]</f>
        <v/>
      </c>
      <c r="U185" s="41" t="n"/>
      <c r="V185" s="41" t="n"/>
      <c r="W185" s="12">
        <f>TABL1234[[#This Row],[(A/B) AJD]]+TABL1234[[#This Row],[(A/S) AJD]]</f>
        <v/>
      </c>
      <c r="X185" s="12">
        <f>TABL1234[[#This Row],[( S/S+T/B) AJD]]-TABL1234[[#This Row],[(A/B + A/S) AJD]]</f>
        <v/>
      </c>
      <c r="Y185" s="41" t="n"/>
      <c r="Z185" s="43" t="n"/>
      <c r="AA185" s="3">
        <f>TABL1234[[#This Row],[(RESV. STORGE) AJD]]/10</f>
        <v/>
      </c>
      <c r="AB185" s="3">
        <f>IF(TRIM(Z185)="",,(Z185-Z184)/1000)</f>
        <v/>
      </c>
      <c r="AC185" s="5" t="n"/>
      <c r="AD185" s="39">
        <f>TABL1234[[#This Row],[( S/S+T/B) AJD]]-(TABL1234[[#This Row],[(A/B + A/S) AJD]]+(TABL1234[[#This Row],[(STORGE DIFF.) AJD]]*1000)+TABL1234[[#This Row],[AJD_Evaporation]])</f>
        <v/>
      </c>
      <c r="AE185" s="41" t="n"/>
      <c r="AF185" s="43" t="n"/>
      <c r="AG185" s="43" t="n"/>
      <c r="AH185" s="6" t="n"/>
      <c r="AI185" s="43" t="n"/>
      <c r="AJ185" s="43">
        <f>TABL1234[[#This Row],[(A/B) AJD]]-TABL1234[[#This Row],[BER_IN]]</f>
        <v/>
      </c>
      <c r="AK185" s="43" t="n"/>
      <c r="AL185" s="43" t="n"/>
      <c r="AM185" s="32" t="n"/>
      <c r="AN185" s="32">
        <f>TABL1234[[#This Row],[ (RESV. STORGE) SER]]/10</f>
        <v/>
      </c>
      <c r="AO185" s="68" t="n"/>
      <c r="AP185" s="68">
        <f>TABL1234[[#This Row],[(A/S) AJD]]-TABL1234[[#This Row],[SER_IN]]</f>
        <v/>
      </c>
    </row>
    <row r="186" ht="18.75" customHeight="1">
      <c r="A186" s="2" t="n">
        <v>46572</v>
      </c>
      <c r="B186" s="44" t="n"/>
      <c r="C186" s="44" t="n"/>
      <c r="D186" s="44" t="n"/>
      <c r="E186" s="44" t="n"/>
      <c r="F186" s="44" t="n"/>
      <c r="G186" s="40" t="n"/>
      <c r="H186" s="28">
        <f>103-F186</f>
        <v/>
      </c>
      <c r="I186" s="40" t="n"/>
      <c r="J186" s="44" t="n"/>
      <c r="K186" s="28">
        <f>TABL1234[[#This Row],[ (T/B) SAR]]+TABL1234[[#This Row],[ (S/S) SAR]]</f>
        <v/>
      </c>
      <c r="L186" s="45" t="n"/>
      <c r="M186" s="46" t="n"/>
      <c r="N186" s="46" t="n"/>
      <c r="O186" s="40" t="n"/>
      <c r="P186" s="12">
        <f>TABL1234[[#This Row],[ (S/S) SAR]]-TABL1234[[#This Row],[(S/S) AJD]]</f>
        <v/>
      </c>
      <c r="Q186" s="40" t="n"/>
      <c r="R186" s="12">
        <f>TABL1234[[#This Row],[ (T/B) SAR]]-TABL1234[[#This Row],[(T/B) AJD]]</f>
        <v/>
      </c>
      <c r="S186" s="12">
        <f>TABL1234[[#This Row],[T/B-CON.]]+TABL1234[[#This Row],[S/S_CON.]]</f>
        <v/>
      </c>
      <c r="T186" s="12">
        <f>TABL1234[[#This Row],[(S/S) AJD]]+TABL1234[[#This Row],[(T/B) AJD]]</f>
        <v/>
      </c>
      <c r="U186" s="44" t="n"/>
      <c r="V186" s="44" t="n"/>
      <c r="W186" s="12">
        <f>TABL1234[[#This Row],[(A/B) AJD]]+TABL1234[[#This Row],[(A/S) AJD]]</f>
        <v/>
      </c>
      <c r="X186" s="12">
        <f>TABL1234[[#This Row],[( S/S+T/B) AJD]]-TABL1234[[#This Row],[(A/B + A/S) AJD]]</f>
        <v/>
      </c>
      <c r="Y186" s="44" t="n"/>
      <c r="Z186" s="45" t="n"/>
      <c r="AA186" s="3">
        <f>TABL1234[[#This Row],[(RESV. STORGE) AJD]]/10</f>
        <v/>
      </c>
      <c r="AB186" s="3">
        <f>IF(TRIM(Z186)="",,(Z186-Z185)/1000)</f>
        <v/>
      </c>
      <c r="AC186" s="5" t="n"/>
      <c r="AD186" s="40">
        <f>TABL1234[[#This Row],[( S/S+T/B) AJD]]-(TABL1234[[#This Row],[(A/B + A/S) AJD]]+(TABL1234[[#This Row],[(STORGE DIFF.) AJD]]*1000)+TABL1234[[#This Row],[AJD_Evaporation]])</f>
        <v/>
      </c>
      <c r="AE186" s="44" t="n"/>
      <c r="AF186" s="45" t="n"/>
      <c r="AG186" s="45" t="n"/>
      <c r="AH186" s="6" t="n"/>
      <c r="AI186" s="45" t="n"/>
      <c r="AJ186" s="45">
        <f>TABL1234[[#This Row],[(A/B) AJD]]-TABL1234[[#This Row],[BER_IN]]</f>
        <v/>
      </c>
      <c r="AK186" s="45" t="n"/>
      <c r="AL186" s="45" t="n"/>
      <c r="AM186" s="32" t="n"/>
      <c r="AN186" s="32">
        <f>TABL1234[[#This Row],[ (RESV. STORGE) SER]]/10</f>
        <v/>
      </c>
      <c r="AO186" s="68" t="n"/>
      <c r="AP186" s="68">
        <f>TABL1234[[#This Row],[(A/S) AJD]]-TABL1234[[#This Row],[SER_IN]]</f>
        <v/>
      </c>
    </row>
    <row r="187" ht="18.75" customHeight="1">
      <c r="A187" s="2" t="n">
        <v>46573</v>
      </c>
      <c r="B187" s="41" t="n"/>
      <c r="C187" s="41" t="n"/>
      <c r="D187" s="41" t="n"/>
      <c r="E187" s="41" t="n"/>
      <c r="F187" s="41" t="n"/>
      <c r="G187" s="39" t="n"/>
      <c r="H187" s="28">
        <f>103-F187</f>
        <v/>
      </c>
      <c r="I187" s="39" t="n"/>
      <c r="J187" s="39" t="n"/>
      <c r="K187" s="28">
        <f>TABL1234[[#This Row],[ (T/B) SAR]]+TABL1234[[#This Row],[ (S/S) SAR]]</f>
        <v/>
      </c>
      <c r="L187" s="41" t="n"/>
      <c r="M187" s="42" t="n"/>
      <c r="N187" s="42" t="n"/>
      <c r="O187" s="39" t="n"/>
      <c r="P187" s="12">
        <f>TABL1234[[#This Row],[ (S/S) SAR]]-TABL1234[[#This Row],[(S/S) AJD]]</f>
        <v/>
      </c>
      <c r="Q187" s="39" t="n"/>
      <c r="R187" s="12">
        <f>TABL1234[[#This Row],[ (T/B) SAR]]-TABL1234[[#This Row],[(T/B) AJD]]</f>
        <v/>
      </c>
      <c r="S187" s="12">
        <f>TABL1234[[#This Row],[T/B-CON.]]+TABL1234[[#This Row],[S/S_CON.]]</f>
        <v/>
      </c>
      <c r="T187" s="12">
        <f>TABL1234[[#This Row],[(S/S) AJD]]+TABL1234[[#This Row],[(T/B) AJD]]</f>
        <v/>
      </c>
      <c r="U187" s="41" t="n"/>
      <c r="V187" s="41" t="n"/>
      <c r="W187" s="10">
        <f>TABL1234[[#This Row],[(A/B) AJD]]+TABL1234[[#This Row],[(A/S) AJD]]</f>
        <v/>
      </c>
      <c r="X187" s="10">
        <f>TABL1234[[#This Row],[( S/S+T/B) AJD]]-TABL1234[[#This Row],[(A/B + A/S) AJD]]</f>
        <v/>
      </c>
      <c r="Y187" s="41" t="n"/>
      <c r="Z187" s="43" t="n"/>
      <c r="AA187" s="3">
        <f>TABL1234[[#This Row],[(RESV. STORGE) AJD]]/10</f>
        <v/>
      </c>
      <c r="AB187" s="3">
        <f>IF(TRIM(Z187)="",,(Z187-Z186)/1000)</f>
        <v/>
      </c>
      <c r="AC187" s="5" t="n"/>
      <c r="AD187" s="39">
        <f>TABL1234[[#This Row],[( S/S+T/B) AJD]]-(TABL1234[[#This Row],[(A/B + A/S) AJD]]+(TABL1234[[#This Row],[(STORGE DIFF.) AJD]]*1000)+TABL1234[[#This Row],[AJD_Evaporation]])</f>
        <v/>
      </c>
      <c r="AE187" s="41" t="n"/>
      <c r="AF187" s="43" t="n"/>
      <c r="AG187" s="43" t="n"/>
      <c r="AH187" s="6" t="n"/>
      <c r="AI187" s="43" t="n"/>
      <c r="AJ187" s="43">
        <f>TABL1234[[#This Row],[(A/B) AJD]]-TABL1234[[#This Row],[BER_IN]]</f>
        <v/>
      </c>
      <c r="AK187" s="43" t="n"/>
      <c r="AL187" s="43" t="n"/>
      <c r="AM187" s="32" t="n"/>
      <c r="AN187" s="32">
        <f>TABL1234[[#This Row],[ (RESV. STORGE) SER]]/10</f>
        <v/>
      </c>
      <c r="AO187" s="68" t="n"/>
      <c r="AP187" s="68">
        <f>TABL1234[[#This Row],[(A/S) AJD]]-TABL1234[[#This Row],[SER_IN]]</f>
        <v/>
      </c>
    </row>
    <row r="188" ht="18.75" customHeight="1">
      <c r="A188" s="2" t="n">
        <v>46574</v>
      </c>
      <c r="B188" s="44" t="n"/>
      <c r="C188" s="44" t="n"/>
      <c r="D188" s="44" t="n"/>
      <c r="E188" s="44" t="n"/>
      <c r="F188" s="44" t="n"/>
      <c r="G188" s="40" t="n"/>
      <c r="H188" s="28">
        <f>103-F188</f>
        <v/>
      </c>
      <c r="I188" s="40" t="n"/>
      <c r="J188" s="44" t="n"/>
      <c r="K188" s="28">
        <f>TABL1234[[#This Row],[ (T/B) SAR]]+TABL1234[[#This Row],[ (S/S) SAR]]</f>
        <v/>
      </c>
      <c r="L188" s="45" t="n"/>
      <c r="M188" s="46" t="n"/>
      <c r="N188" s="46" t="n"/>
      <c r="O188" s="40" t="n"/>
      <c r="P188" s="12">
        <f>TABL1234[[#This Row],[ (S/S) SAR]]-TABL1234[[#This Row],[(S/S) AJD]]</f>
        <v/>
      </c>
      <c r="Q188" s="40" t="n"/>
      <c r="R188" s="12">
        <f>TABL1234[[#This Row],[ (T/B) SAR]]-TABL1234[[#This Row],[(T/B) AJD]]</f>
        <v/>
      </c>
      <c r="S188" s="12">
        <f>TABL1234[[#This Row],[T/B-CON.]]+TABL1234[[#This Row],[S/S_CON.]]</f>
        <v/>
      </c>
      <c r="T188" s="12">
        <f>TABL1234[[#This Row],[(S/S) AJD]]+TABL1234[[#This Row],[(T/B) AJD]]</f>
        <v/>
      </c>
      <c r="U188" s="44" t="n"/>
      <c r="V188" s="44" t="n"/>
      <c r="W188" s="12">
        <f>TABL1234[[#This Row],[(A/B) AJD]]+TABL1234[[#This Row],[(A/S) AJD]]</f>
        <v/>
      </c>
      <c r="X188" s="12">
        <f>TABL1234[[#This Row],[( S/S+T/B) AJD]]-TABL1234[[#This Row],[(A/B + A/S) AJD]]</f>
        <v/>
      </c>
      <c r="Y188" s="44" t="n"/>
      <c r="Z188" s="45" t="n"/>
      <c r="AA188" s="3">
        <f>TABL1234[[#This Row],[(RESV. STORGE) AJD]]/10</f>
        <v/>
      </c>
      <c r="AB188" s="3">
        <f>IF(TRIM(Z188)="",,(Z188-Z187)/1000)</f>
        <v/>
      </c>
      <c r="AC188" s="5" t="n"/>
      <c r="AD188" s="40">
        <f>TABL1234[[#This Row],[( S/S+T/B) AJD]]-(TABL1234[[#This Row],[(A/B + A/S) AJD]]+(TABL1234[[#This Row],[(STORGE DIFF.) AJD]]*1000)+TABL1234[[#This Row],[AJD_Evaporation]])</f>
        <v/>
      </c>
      <c r="AE188" s="44" t="n"/>
      <c r="AF188" s="45" t="n"/>
      <c r="AG188" s="45" t="n"/>
      <c r="AH188" s="6" t="n"/>
      <c r="AI188" s="45" t="n"/>
      <c r="AJ188" s="45">
        <f>TABL1234[[#This Row],[(A/B) AJD]]-TABL1234[[#This Row],[BER_IN]]</f>
        <v/>
      </c>
      <c r="AK188" s="45" t="n"/>
      <c r="AL188" s="45" t="n"/>
      <c r="AM188" s="32" t="n"/>
      <c r="AN188" s="32">
        <f>TABL1234[[#This Row],[ (RESV. STORGE) SER]]/10</f>
        <v/>
      </c>
      <c r="AO188" s="68" t="n"/>
      <c r="AP188" s="68">
        <f>TABL1234[[#This Row],[(A/S) AJD]]-TABL1234[[#This Row],[SER_IN]]</f>
        <v/>
      </c>
    </row>
    <row r="189" ht="18.75" customHeight="1">
      <c r="A189" s="2" t="n">
        <v>46575</v>
      </c>
      <c r="B189" s="41" t="n"/>
      <c r="C189" s="41" t="n"/>
      <c r="D189" s="41" t="n"/>
      <c r="E189" s="41" t="n"/>
      <c r="F189" s="41" t="n"/>
      <c r="G189" s="39" t="n"/>
      <c r="H189" s="28">
        <f>103-F189</f>
        <v/>
      </c>
      <c r="I189" s="39" t="n"/>
      <c r="J189" s="39" t="n"/>
      <c r="K189" s="28">
        <f>TABL1234[[#This Row],[ (T/B) SAR]]+TABL1234[[#This Row],[ (S/S) SAR]]</f>
        <v/>
      </c>
      <c r="L189" s="41" t="n"/>
      <c r="M189" s="42" t="n"/>
      <c r="N189" s="42" t="n"/>
      <c r="O189" s="39" t="n"/>
      <c r="P189" s="12">
        <f>TABL1234[[#This Row],[ (S/S) SAR]]-TABL1234[[#This Row],[(S/S) AJD]]</f>
        <v/>
      </c>
      <c r="Q189" s="39" t="n"/>
      <c r="R189" s="12">
        <f>TABL1234[[#This Row],[ (T/B) SAR]]-TABL1234[[#This Row],[(T/B) AJD]]</f>
        <v/>
      </c>
      <c r="S189" s="12">
        <f>TABL1234[[#This Row],[T/B-CON.]]+TABL1234[[#This Row],[S/S_CON.]]</f>
        <v/>
      </c>
      <c r="T189" s="12">
        <f>TABL1234[[#This Row],[(S/S) AJD]]+TABL1234[[#This Row],[(T/B) AJD]]</f>
        <v/>
      </c>
      <c r="U189" s="41" t="n"/>
      <c r="V189" s="41" t="n"/>
      <c r="W189" s="12">
        <f>TABL1234[[#This Row],[(A/B) AJD]]+TABL1234[[#This Row],[(A/S) AJD]]</f>
        <v/>
      </c>
      <c r="X189" s="12">
        <f>TABL1234[[#This Row],[( S/S+T/B) AJD]]-TABL1234[[#This Row],[(A/B + A/S) AJD]]</f>
        <v/>
      </c>
      <c r="Y189" s="41" t="n"/>
      <c r="Z189" s="43" t="n"/>
      <c r="AA189" s="3">
        <f>TABL1234[[#This Row],[(RESV. STORGE) AJD]]/10</f>
        <v/>
      </c>
      <c r="AB189" s="3">
        <f>IF(TRIM(Z189)="",,(Z189-Z188)/1000)</f>
        <v/>
      </c>
      <c r="AC189" s="5" t="n"/>
      <c r="AD189" s="39">
        <f>TABL1234[[#This Row],[( S/S+T/B) AJD]]-(TABL1234[[#This Row],[(A/B + A/S) AJD]]+(TABL1234[[#This Row],[(STORGE DIFF.) AJD]]*1000)+TABL1234[[#This Row],[AJD_Evaporation]])</f>
        <v/>
      </c>
      <c r="AE189" s="41" t="n"/>
      <c r="AF189" s="43" t="n"/>
      <c r="AG189" s="43" t="n"/>
      <c r="AH189" s="6" t="n"/>
      <c r="AI189" s="43" t="n"/>
      <c r="AJ189" s="43">
        <f>TABL1234[[#This Row],[(A/B) AJD]]-TABL1234[[#This Row],[BER_IN]]</f>
        <v/>
      </c>
      <c r="AK189" s="43" t="n"/>
      <c r="AL189" s="43" t="n"/>
      <c r="AM189" s="32" t="n"/>
      <c r="AN189" s="32">
        <f>TABL1234[[#This Row],[ (RESV. STORGE) SER]]/10</f>
        <v/>
      </c>
      <c r="AO189" s="68" t="n"/>
      <c r="AP189" s="68">
        <f>TABL1234[[#This Row],[(A/S) AJD]]-TABL1234[[#This Row],[SER_IN]]</f>
        <v/>
      </c>
    </row>
    <row r="190" ht="18.75" customHeight="1">
      <c r="A190" s="2" t="n">
        <v>46576</v>
      </c>
      <c r="B190" s="44" t="n"/>
      <c r="C190" s="44" t="n"/>
      <c r="D190" s="44" t="n"/>
      <c r="E190" s="44" t="n"/>
      <c r="F190" s="44" t="n"/>
      <c r="G190" s="40" t="n"/>
      <c r="H190" s="28">
        <f>103-F190</f>
        <v/>
      </c>
      <c r="I190" s="40" t="n"/>
      <c r="J190" s="44" t="n"/>
      <c r="K190" s="28">
        <f>TABL1234[[#This Row],[ (T/B) SAR]]+TABL1234[[#This Row],[ (S/S) SAR]]</f>
        <v/>
      </c>
      <c r="L190" s="45" t="n"/>
      <c r="M190" s="46" t="n"/>
      <c r="N190" s="46" t="n"/>
      <c r="O190" s="40" t="n"/>
      <c r="P190" s="12">
        <f>TABL1234[[#This Row],[ (S/S) SAR]]-TABL1234[[#This Row],[(S/S) AJD]]</f>
        <v/>
      </c>
      <c r="Q190" s="40" t="n"/>
      <c r="R190" s="12">
        <f>TABL1234[[#This Row],[ (T/B) SAR]]-TABL1234[[#This Row],[(T/B) AJD]]</f>
        <v/>
      </c>
      <c r="S190" s="12">
        <f>TABL1234[[#This Row],[T/B-CON.]]+TABL1234[[#This Row],[S/S_CON.]]</f>
        <v/>
      </c>
      <c r="T190" s="12">
        <f>TABL1234[[#This Row],[(S/S) AJD]]+TABL1234[[#This Row],[(T/B) AJD]]</f>
        <v/>
      </c>
      <c r="U190" s="44" t="n"/>
      <c r="V190" s="44" t="n"/>
      <c r="W190" s="12">
        <f>TABL1234[[#This Row],[(A/B) AJD]]+TABL1234[[#This Row],[(A/S) AJD]]</f>
        <v/>
      </c>
      <c r="X190" s="12">
        <f>TABL1234[[#This Row],[( S/S+T/B) AJD]]-TABL1234[[#This Row],[(A/B + A/S) AJD]]</f>
        <v/>
      </c>
      <c r="Y190" s="44" t="n"/>
      <c r="Z190" s="45" t="n"/>
      <c r="AA190" s="3">
        <f>TABL1234[[#This Row],[(RESV. STORGE) AJD]]/10</f>
        <v/>
      </c>
      <c r="AB190" s="3">
        <f>IF(TRIM(Z190)="",,(Z190-Z189)/1000)</f>
        <v/>
      </c>
      <c r="AC190" s="5" t="n"/>
      <c r="AD190" s="40">
        <f>TABL1234[[#This Row],[( S/S+T/B) AJD]]-(TABL1234[[#This Row],[(A/B + A/S) AJD]]+(TABL1234[[#This Row],[(STORGE DIFF.) AJD]]*1000)+TABL1234[[#This Row],[AJD_Evaporation]])</f>
        <v/>
      </c>
      <c r="AE190" s="44" t="n"/>
      <c r="AF190" s="45" t="n"/>
      <c r="AG190" s="45" t="n"/>
      <c r="AH190" s="6" t="n"/>
      <c r="AI190" s="45" t="n"/>
      <c r="AJ190" s="45">
        <f>TABL1234[[#This Row],[(A/B) AJD]]-TABL1234[[#This Row],[BER_IN]]</f>
        <v/>
      </c>
      <c r="AK190" s="45" t="n"/>
      <c r="AL190" s="45" t="n"/>
      <c r="AM190" s="32" t="n"/>
      <c r="AN190" s="32">
        <f>TABL1234[[#This Row],[ (RESV. STORGE) SER]]/10</f>
        <v/>
      </c>
      <c r="AO190" s="68" t="n"/>
      <c r="AP190" s="68">
        <f>TABL1234[[#This Row],[(A/S) AJD]]-TABL1234[[#This Row],[SER_IN]]</f>
        <v/>
      </c>
    </row>
    <row r="191" ht="18.75" customHeight="1">
      <c r="A191" s="2" t="n">
        <v>46577</v>
      </c>
      <c r="B191" s="41" t="n"/>
      <c r="C191" s="41" t="n"/>
      <c r="D191" s="41" t="n"/>
      <c r="E191" s="41" t="n"/>
      <c r="F191" s="41" t="n"/>
      <c r="G191" s="39" t="n"/>
      <c r="H191" s="28">
        <f>103-F191</f>
        <v/>
      </c>
      <c r="I191" s="39" t="n"/>
      <c r="J191" s="39" t="n"/>
      <c r="K191" s="28">
        <f>TABL1234[[#This Row],[ (T/B) SAR]]+TABL1234[[#This Row],[ (S/S) SAR]]</f>
        <v/>
      </c>
      <c r="L191" s="41" t="n"/>
      <c r="M191" s="42" t="n"/>
      <c r="N191" s="42" t="n"/>
      <c r="O191" s="39" t="n"/>
      <c r="P191" s="12">
        <f>TABL1234[[#This Row],[ (S/S) SAR]]-TABL1234[[#This Row],[(S/S) AJD]]</f>
        <v/>
      </c>
      <c r="Q191" s="39" t="n"/>
      <c r="R191" s="12">
        <f>TABL1234[[#This Row],[ (T/B) SAR]]-TABL1234[[#This Row],[(T/B) AJD]]</f>
        <v/>
      </c>
      <c r="S191" s="12">
        <f>TABL1234[[#This Row],[T/B-CON.]]+TABL1234[[#This Row],[S/S_CON.]]</f>
        <v/>
      </c>
      <c r="T191" s="12">
        <f>TABL1234[[#This Row],[(S/S) AJD]]+TABL1234[[#This Row],[(T/B) AJD]]</f>
        <v/>
      </c>
      <c r="U191" s="41" t="n"/>
      <c r="V191" s="41" t="n"/>
      <c r="W191" s="12">
        <f>TABL1234[[#This Row],[(A/B) AJD]]+TABL1234[[#This Row],[(A/S) AJD]]</f>
        <v/>
      </c>
      <c r="X191" s="12">
        <f>TABL1234[[#This Row],[( S/S+T/B) AJD]]-TABL1234[[#This Row],[(A/B + A/S) AJD]]</f>
        <v/>
      </c>
      <c r="Y191" s="41" t="n"/>
      <c r="Z191" s="43" t="n"/>
      <c r="AA191" s="3">
        <f>TABL1234[[#This Row],[(RESV. STORGE) AJD]]/10</f>
        <v/>
      </c>
      <c r="AB191" s="3">
        <f>IF(TRIM(Z191)="",,(Z191-Z190)/1000)</f>
        <v/>
      </c>
      <c r="AC191" s="5" t="n"/>
      <c r="AD191" s="39">
        <f>TABL1234[[#This Row],[( S/S+T/B) AJD]]-(TABL1234[[#This Row],[(A/B + A/S) AJD]]+(TABL1234[[#This Row],[(STORGE DIFF.) AJD]]*1000)+TABL1234[[#This Row],[AJD_Evaporation]])</f>
        <v/>
      </c>
      <c r="AE191" s="41" t="n"/>
      <c r="AF191" s="43" t="n"/>
      <c r="AG191" s="43" t="n"/>
      <c r="AH191" s="6" t="n"/>
      <c r="AI191" s="43" t="n"/>
      <c r="AJ191" s="43">
        <f>TABL1234[[#This Row],[(A/B) AJD]]-TABL1234[[#This Row],[BER_IN]]</f>
        <v/>
      </c>
      <c r="AK191" s="43" t="n"/>
      <c r="AL191" s="43" t="n"/>
      <c r="AM191" s="32" t="n"/>
      <c r="AN191" s="32">
        <f>TABL1234[[#This Row],[ (RESV. STORGE) SER]]/10</f>
        <v/>
      </c>
      <c r="AO191" s="68" t="n"/>
      <c r="AP191" s="68">
        <f>TABL1234[[#This Row],[(A/S) AJD]]-TABL1234[[#This Row],[SER_IN]]</f>
        <v/>
      </c>
    </row>
    <row r="192" ht="18.75" customHeight="1">
      <c r="A192" s="2" t="n">
        <v>46578</v>
      </c>
      <c r="B192" s="44" t="n"/>
      <c r="C192" s="44" t="n"/>
      <c r="D192" s="44" t="n"/>
      <c r="E192" s="44" t="n"/>
      <c r="F192" s="44" t="n"/>
      <c r="G192" s="40" t="n"/>
      <c r="H192" s="28">
        <f>103-F192</f>
        <v/>
      </c>
      <c r="I192" s="40" t="n"/>
      <c r="J192" s="44" t="n"/>
      <c r="K192" s="28">
        <f>TABL1234[[#This Row],[ (T/B) SAR]]+TABL1234[[#This Row],[ (S/S) SAR]]</f>
        <v/>
      </c>
      <c r="L192" s="45" t="n"/>
      <c r="M192" s="46" t="n"/>
      <c r="N192" s="46" t="n"/>
      <c r="O192" s="40" t="n"/>
      <c r="P192" s="12">
        <f>TABL1234[[#This Row],[ (S/S) SAR]]-TABL1234[[#This Row],[(S/S) AJD]]</f>
        <v/>
      </c>
      <c r="Q192" s="40" t="n"/>
      <c r="R192" s="12">
        <f>TABL1234[[#This Row],[ (T/B) SAR]]-TABL1234[[#This Row],[(T/B) AJD]]</f>
        <v/>
      </c>
      <c r="S192" s="12">
        <f>TABL1234[[#This Row],[T/B-CON.]]+TABL1234[[#This Row],[S/S_CON.]]</f>
        <v/>
      </c>
      <c r="T192" s="12">
        <f>TABL1234[[#This Row],[(S/S) AJD]]+TABL1234[[#This Row],[(T/B) AJD]]</f>
        <v/>
      </c>
      <c r="U192" s="44" t="n"/>
      <c r="V192" s="44" t="n"/>
      <c r="W192" s="12">
        <f>TABL1234[[#This Row],[(A/B) AJD]]+TABL1234[[#This Row],[(A/S) AJD]]</f>
        <v/>
      </c>
      <c r="X192" s="12">
        <f>TABL1234[[#This Row],[( S/S+T/B) AJD]]-TABL1234[[#This Row],[(A/B + A/S) AJD]]</f>
        <v/>
      </c>
      <c r="Y192" s="44" t="n"/>
      <c r="Z192" s="45" t="n"/>
      <c r="AA192" s="3">
        <f>TABL1234[[#This Row],[(RESV. STORGE) AJD]]/10</f>
        <v/>
      </c>
      <c r="AB192" s="3">
        <f>IF(TRIM(Z192)="",,(Z192-Z191)/1000)</f>
        <v/>
      </c>
      <c r="AC192" s="5" t="n"/>
      <c r="AD192" s="40">
        <f>TABL1234[[#This Row],[( S/S+T/B) AJD]]-(TABL1234[[#This Row],[(A/B + A/S) AJD]]+(TABL1234[[#This Row],[(STORGE DIFF.) AJD]]*1000)+TABL1234[[#This Row],[AJD_Evaporation]])</f>
        <v/>
      </c>
      <c r="AE192" s="44" t="n"/>
      <c r="AF192" s="45" t="n"/>
      <c r="AG192" s="45" t="n"/>
      <c r="AH192" s="6" t="n"/>
      <c r="AI192" s="45" t="n"/>
      <c r="AJ192" s="45">
        <f>TABL1234[[#This Row],[(A/B) AJD]]-TABL1234[[#This Row],[BER_IN]]</f>
        <v/>
      </c>
      <c r="AK192" s="45" t="n"/>
      <c r="AL192" s="45" t="n"/>
      <c r="AM192" s="32" t="n"/>
      <c r="AN192" s="32">
        <f>TABL1234[[#This Row],[ (RESV. STORGE) SER]]/10</f>
        <v/>
      </c>
      <c r="AO192" s="68" t="n"/>
      <c r="AP192" s="68">
        <f>TABL1234[[#This Row],[(A/S) AJD]]-TABL1234[[#This Row],[SER_IN]]</f>
        <v/>
      </c>
    </row>
    <row r="193" ht="18.75" customHeight="1">
      <c r="A193" s="2" t="n">
        <v>46579</v>
      </c>
      <c r="B193" s="41" t="n"/>
      <c r="C193" s="41" t="n"/>
      <c r="D193" s="41" t="n"/>
      <c r="E193" s="41" t="n"/>
      <c r="F193" s="41" t="n"/>
      <c r="G193" s="39" t="n"/>
      <c r="H193" s="28">
        <f>103-F193</f>
        <v/>
      </c>
      <c r="I193" s="39" t="n"/>
      <c r="J193" s="39" t="n"/>
      <c r="K193" s="28">
        <f>TABL1234[[#This Row],[ (T/B) SAR]]+TABL1234[[#This Row],[ (S/S) SAR]]</f>
        <v/>
      </c>
      <c r="L193" s="41" t="n"/>
      <c r="M193" s="42" t="n"/>
      <c r="N193" s="42" t="n"/>
      <c r="O193" s="39" t="n"/>
      <c r="P193" s="12">
        <f>TABL1234[[#This Row],[ (S/S) SAR]]-TABL1234[[#This Row],[(S/S) AJD]]</f>
        <v/>
      </c>
      <c r="Q193" s="39" t="n"/>
      <c r="R193" s="12">
        <f>TABL1234[[#This Row],[ (T/B) SAR]]-TABL1234[[#This Row],[(T/B) AJD]]</f>
        <v/>
      </c>
      <c r="S193" s="12">
        <f>TABL1234[[#This Row],[T/B-CON.]]+TABL1234[[#This Row],[S/S_CON.]]</f>
        <v/>
      </c>
      <c r="T193" s="12">
        <f>TABL1234[[#This Row],[(S/S) AJD]]+TABL1234[[#This Row],[(T/B) AJD]]</f>
        <v/>
      </c>
      <c r="U193" s="41" t="n"/>
      <c r="V193" s="41" t="n"/>
      <c r="W193" s="12">
        <f>TABL1234[[#This Row],[(A/B) AJD]]+TABL1234[[#This Row],[(A/S) AJD]]</f>
        <v/>
      </c>
      <c r="X193" s="12">
        <f>TABL1234[[#This Row],[( S/S+T/B) AJD]]-TABL1234[[#This Row],[(A/B + A/S) AJD]]</f>
        <v/>
      </c>
      <c r="Y193" s="41" t="n"/>
      <c r="Z193" s="43" t="n"/>
      <c r="AA193" s="3">
        <f>TABL1234[[#This Row],[(RESV. STORGE) AJD]]/10</f>
        <v/>
      </c>
      <c r="AB193" s="3">
        <f>IF(TRIM(Z193)="",,(Z193-Z192)/1000)</f>
        <v/>
      </c>
      <c r="AC193" s="5" t="n"/>
      <c r="AD193" s="39">
        <f>TABL1234[[#This Row],[( S/S+T/B) AJD]]-(TABL1234[[#This Row],[(A/B + A/S) AJD]]+(TABL1234[[#This Row],[(STORGE DIFF.) AJD]]*1000)+TABL1234[[#This Row],[AJD_Evaporation]])</f>
        <v/>
      </c>
      <c r="AE193" s="41" t="n"/>
      <c r="AF193" s="43" t="n"/>
      <c r="AG193" s="68" t="n"/>
      <c r="AH193" s="6" t="n"/>
      <c r="AI193" s="43" t="n"/>
      <c r="AJ193" s="68">
        <f>TABL1234[[#This Row],[(A/B) AJD]]-TABL1234[[#This Row],[BER_IN]]</f>
        <v/>
      </c>
      <c r="AK193" s="43" t="n"/>
      <c r="AL193" s="43" t="n"/>
      <c r="AM193" s="32" t="n"/>
      <c r="AN193" s="32">
        <f>TABL1234[[#This Row],[ (RESV. STORGE) SER]]/10</f>
        <v/>
      </c>
      <c r="AO193" s="68" t="n"/>
      <c r="AP193" s="68">
        <f>TABL1234[[#This Row],[(A/S) AJD]]-TABL1234[[#This Row],[SER_IN]]</f>
        <v/>
      </c>
    </row>
    <row r="194" ht="18.75" customHeight="1">
      <c r="A194" s="2" t="n">
        <v>46580</v>
      </c>
      <c r="B194" s="44" t="n"/>
      <c r="C194" s="44" t="n"/>
      <c r="D194" s="44" t="n"/>
      <c r="E194" s="44" t="n"/>
      <c r="F194" s="44" t="n"/>
      <c r="G194" s="40" t="n"/>
      <c r="H194" s="28">
        <f>103-F194</f>
        <v/>
      </c>
      <c r="I194" s="40" t="n"/>
      <c r="J194" s="44" t="n"/>
      <c r="K194" s="28">
        <f>TABL1234[[#This Row],[ (T/B) SAR]]+TABL1234[[#This Row],[ (S/S) SAR]]</f>
        <v/>
      </c>
      <c r="L194" s="45" t="n"/>
      <c r="M194" s="46" t="n"/>
      <c r="N194" s="46" t="n"/>
      <c r="O194" s="40" t="n"/>
      <c r="P194" s="12">
        <f>TABL1234[[#This Row],[ (S/S) SAR]]-TABL1234[[#This Row],[(S/S) AJD]]</f>
        <v/>
      </c>
      <c r="Q194" s="40" t="n"/>
      <c r="R194" s="12">
        <f>TABL1234[[#This Row],[ (T/B) SAR]]-TABL1234[[#This Row],[(T/B) AJD]]</f>
        <v/>
      </c>
      <c r="S194" s="12">
        <f>TABL1234[[#This Row],[T/B-CON.]]+TABL1234[[#This Row],[S/S_CON.]]</f>
        <v/>
      </c>
      <c r="T194" s="12">
        <f>TABL1234[[#This Row],[(S/S) AJD]]+TABL1234[[#This Row],[(T/B) AJD]]</f>
        <v/>
      </c>
      <c r="U194" s="44" t="n"/>
      <c r="V194" s="44" t="n"/>
      <c r="W194" s="12">
        <f>TABL1234[[#This Row],[(A/B) AJD]]+TABL1234[[#This Row],[(A/S) AJD]]</f>
        <v/>
      </c>
      <c r="X194" s="12">
        <f>TABL1234[[#This Row],[( S/S+T/B) AJD]]-TABL1234[[#This Row],[(A/B + A/S) AJD]]</f>
        <v/>
      </c>
      <c r="Y194" s="44" t="n"/>
      <c r="Z194" s="45" t="n"/>
      <c r="AA194" s="3">
        <f>TABL1234[[#This Row],[(RESV. STORGE) AJD]]/10</f>
        <v/>
      </c>
      <c r="AB194" s="3">
        <f>IF(TRIM(Z194)="",,(Z194-Z193)/1000)</f>
        <v/>
      </c>
      <c r="AC194" s="5" t="n"/>
      <c r="AD194" s="40">
        <f>TABL1234[[#This Row],[( S/S+T/B) AJD]]-(TABL1234[[#This Row],[(A/B + A/S) AJD]]+(TABL1234[[#This Row],[(STORGE DIFF.) AJD]]*1000)+TABL1234[[#This Row],[AJD_Evaporation]])</f>
        <v/>
      </c>
      <c r="AE194" s="44" t="n"/>
      <c r="AF194" s="45" t="n"/>
      <c r="AG194" s="45" t="n"/>
      <c r="AH194" s="6" t="n"/>
      <c r="AI194" s="45" t="n"/>
      <c r="AJ194" s="45">
        <f>TABL1234[[#This Row],[(A/B) AJD]]-TABL1234[[#This Row],[BER_IN]]</f>
        <v/>
      </c>
      <c r="AK194" s="45" t="n"/>
      <c r="AL194" s="45" t="n"/>
      <c r="AM194" s="32" t="n"/>
      <c r="AN194" s="32">
        <f>TABL1234[[#This Row],[ (RESV. STORGE) SER]]/10</f>
        <v/>
      </c>
      <c r="AO194" s="68" t="n"/>
      <c r="AP194" s="68">
        <f>TABL1234[[#This Row],[(A/S) AJD]]-TABL1234[[#This Row],[SER_IN]]</f>
        <v/>
      </c>
    </row>
    <row r="195" ht="18.75" customHeight="1">
      <c r="A195" s="2" t="n">
        <v>46581</v>
      </c>
      <c r="B195" s="41" t="n"/>
      <c r="C195" s="41" t="n"/>
      <c r="D195" s="41" t="n"/>
      <c r="E195" s="41" t="n"/>
      <c r="F195" s="41" t="n"/>
      <c r="G195" s="39" t="n"/>
      <c r="H195" s="28">
        <f>103-F195</f>
        <v/>
      </c>
      <c r="I195" s="39" t="n"/>
      <c r="J195" s="39" t="n"/>
      <c r="K195" s="28">
        <f>TABL1234[[#This Row],[ (T/B) SAR]]+TABL1234[[#This Row],[ (S/S) SAR]]</f>
        <v/>
      </c>
      <c r="L195" s="41" t="n"/>
      <c r="M195" s="42" t="n"/>
      <c r="N195" s="42" t="n"/>
      <c r="O195" s="39" t="n"/>
      <c r="P195" s="12">
        <f>TABL1234[[#This Row],[ (S/S) SAR]]-TABL1234[[#This Row],[(S/S) AJD]]</f>
        <v/>
      </c>
      <c r="Q195" s="39" t="n"/>
      <c r="R195" s="12">
        <f>TABL1234[[#This Row],[ (T/B) SAR]]-TABL1234[[#This Row],[(T/B) AJD]]</f>
        <v/>
      </c>
      <c r="S195" s="12">
        <f>TABL1234[[#This Row],[T/B-CON.]]+TABL1234[[#This Row],[S/S_CON.]]</f>
        <v/>
      </c>
      <c r="T195" s="12">
        <f>TABL1234[[#This Row],[(S/S) AJD]]+TABL1234[[#This Row],[(T/B) AJD]]</f>
        <v/>
      </c>
      <c r="U195" s="41" t="n"/>
      <c r="V195" s="41" t="n"/>
      <c r="W195" s="12">
        <f>TABL1234[[#This Row],[(A/B) AJD]]+TABL1234[[#This Row],[(A/S) AJD]]</f>
        <v/>
      </c>
      <c r="X195" s="12">
        <f>TABL1234[[#This Row],[( S/S+T/B) AJD]]-TABL1234[[#This Row],[(A/B + A/S) AJD]]</f>
        <v/>
      </c>
      <c r="Y195" s="41" t="n"/>
      <c r="Z195" s="43" t="n"/>
      <c r="AA195" s="3">
        <f>TABL1234[[#This Row],[(RESV. STORGE) AJD]]/10</f>
        <v/>
      </c>
      <c r="AB195" s="3">
        <f>IF(TRIM(Z195)="",,(Z195-Z194)/1000)</f>
        <v/>
      </c>
      <c r="AC195" s="5" t="n"/>
      <c r="AD195" s="39">
        <f>TABL1234[[#This Row],[( S/S+T/B) AJD]]-(TABL1234[[#This Row],[(A/B + A/S) AJD]]+(TABL1234[[#This Row],[(STORGE DIFF.) AJD]]*1000)+TABL1234[[#This Row],[AJD_Evaporation]])</f>
        <v/>
      </c>
      <c r="AE195" s="41" t="n"/>
      <c r="AF195" s="43" t="n"/>
      <c r="AG195" s="43" t="n"/>
      <c r="AH195" s="6" t="n"/>
      <c r="AI195" s="43" t="n"/>
      <c r="AJ195" s="43">
        <f>TABL1234[[#This Row],[(A/B) AJD]]-TABL1234[[#This Row],[BER_IN]]</f>
        <v/>
      </c>
      <c r="AK195" s="43" t="n"/>
      <c r="AL195" s="43" t="n"/>
      <c r="AM195" s="32" t="n"/>
      <c r="AN195" s="32">
        <f>TABL1234[[#This Row],[ (RESV. STORGE) SER]]/10</f>
        <v/>
      </c>
      <c r="AO195" s="68" t="n"/>
      <c r="AP195" s="68">
        <f>TABL1234[[#This Row],[(A/S) AJD]]-TABL1234[[#This Row],[SER_IN]]</f>
        <v/>
      </c>
    </row>
    <row r="196" ht="18.75" customHeight="1">
      <c r="A196" s="2" t="n">
        <v>46582</v>
      </c>
      <c r="B196" s="44" t="n"/>
      <c r="C196" s="44" t="n"/>
      <c r="D196" s="44" t="n"/>
      <c r="E196" s="44" t="n"/>
      <c r="F196" s="44" t="n"/>
      <c r="G196" s="40" t="n"/>
      <c r="H196" s="28">
        <f>103-F196</f>
        <v/>
      </c>
      <c r="I196" s="40" t="n"/>
      <c r="J196" s="44" t="n"/>
      <c r="K196" s="28">
        <f>TABL1234[[#This Row],[ (T/B) SAR]]+TABL1234[[#This Row],[ (S/S) SAR]]</f>
        <v/>
      </c>
      <c r="L196" s="45" t="n"/>
      <c r="M196" s="46" t="n"/>
      <c r="N196" s="46" t="n"/>
      <c r="O196" s="40" t="n"/>
      <c r="P196" s="12">
        <f>TABL1234[[#This Row],[ (S/S) SAR]]-TABL1234[[#This Row],[(S/S) AJD]]</f>
        <v/>
      </c>
      <c r="Q196" s="40" t="n"/>
      <c r="R196" s="12">
        <f>TABL1234[[#This Row],[ (T/B) SAR]]-TABL1234[[#This Row],[(T/B) AJD]]</f>
        <v/>
      </c>
      <c r="S196" s="12">
        <f>TABL1234[[#This Row],[T/B-CON.]]+TABL1234[[#This Row],[S/S_CON.]]</f>
        <v/>
      </c>
      <c r="T196" s="12">
        <f>TABL1234[[#This Row],[(S/S) AJD]]+TABL1234[[#This Row],[(T/B) AJD]]</f>
        <v/>
      </c>
      <c r="U196" s="44" t="n"/>
      <c r="V196" s="44" t="n"/>
      <c r="W196" s="12">
        <f>TABL1234[[#This Row],[(A/B) AJD]]+TABL1234[[#This Row],[(A/S) AJD]]</f>
        <v/>
      </c>
      <c r="X196" s="12">
        <f>TABL1234[[#This Row],[( S/S+T/B) AJD]]-TABL1234[[#This Row],[(A/B + A/S) AJD]]</f>
        <v/>
      </c>
      <c r="Y196" s="44" t="n"/>
      <c r="Z196" s="45" t="n"/>
      <c r="AA196" s="3">
        <f>TABL1234[[#This Row],[(RESV. STORGE) AJD]]/10</f>
        <v/>
      </c>
      <c r="AB196" s="3">
        <f>IF(TRIM(Z196)="",,(Z196-Z195)/1000)</f>
        <v/>
      </c>
      <c r="AC196" s="5" t="n"/>
      <c r="AD196" s="40">
        <f>TABL1234[[#This Row],[( S/S+T/B) AJD]]-(TABL1234[[#This Row],[(A/B + A/S) AJD]]+(TABL1234[[#This Row],[(STORGE DIFF.) AJD]]*1000)+TABL1234[[#This Row],[AJD_Evaporation]])</f>
        <v/>
      </c>
      <c r="AE196" s="44" t="n"/>
      <c r="AF196" s="45" t="n"/>
      <c r="AG196" s="45" t="n"/>
      <c r="AH196" s="6" t="n"/>
      <c r="AI196" s="45" t="n"/>
      <c r="AJ196" s="45">
        <f>TABL1234[[#This Row],[(A/B) AJD]]-TABL1234[[#This Row],[BER_IN]]</f>
        <v/>
      </c>
      <c r="AK196" s="45" t="n"/>
      <c r="AL196" s="45" t="n"/>
      <c r="AM196" s="32" t="n"/>
      <c r="AN196" s="32">
        <f>TABL1234[[#This Row],[ (RESV. STORGE) SER]]/10</f>
        <v/>
      </c>
      <c r="AO196" s="68" t="n"/>
      <c r="AP196" s="68">
        <f>TABL1234[[#This Row],[(A/S) AJD]]-TABL1234[[#This Row],[SER_IN]]</f>
        <v/>
      </c>
    </row>
    <row r="197" ht="18.75" customHeight="1">
      <c r="A197" s="2" t="n">
        <v>46583</v>
      </c>
      <c r="B197" s="41" t="n"/>
      <c r="C197" s="41" t="n"/>
      <c r="D197" s="41" t="n"/>
      <c r="E197" s="41" t="n"/>
      <c r="F197" s="41" t="n"/>
      <c r="G197" s="39" t="n"/>
      <c r="H197" s="28">
        <f>103-F197</f>
        <v/>
      </c>
      <c r="I197" s="39" t="n"/>
      <c r="J197" s="39" t="n"/>
      <c r="K197" s="28">
        <f>TABL1234[[#This Row],[ (T/B) SAR]]+TABL1234[[#This Row],[ (S/S) SAR]]</f>
        <v/>
      </c>
      <c r="L197" s="41" t="n"/>
      <c r="M197" s="42" t="n"/>
      <c r="N197" s="42" t="n"/>
      <c r="O197" s="39" t="n"/>
      <c r="P197" s="12">
        <f>TABL1234[[#This Row],[ (S/S) SAR]]-TABL1234[[#This Row],[(S/S) AJD]]</f>
        <v/>
      </c>
      <c r="Q197" s="39" t="n"/>
      <c r="R197" s="12">
        <f>TABL1234[[#This Row],[ (T/B) SAR]]-TABL1234[[#This Row],[(T/B) AJD]]</f>
        <v/>
      </c>
      <c r="S197" s="12">
        <f>TABL1234[[#This Row],[T/B-CON.]]+TABL1234[[#This Row],[S/S_CON.]]</f>
        <v/>
      </c>
      <c r="T197" s="12">
        <f>TABL1234[[#This Row],[(S/S) AJD]]+TABL1234[[#This Row],[(T/B) AJD]]</f>
        <v/>
      </c>
      <c r="U197" s="41" t="n"/>
      <c r="V197" s="41" t="n"/>
      <c r="W197" s="12">
        <f>TABL1234[[#This Row],[(A/B) AJD]]+TABL1234[[#This Row],[(A/S) AJD]]</f>
        <v/>
      </c>
      <c r="X197" s="12">
        <f>TABL1234[[#This Row],[( S/S+T/B) AJD]]-TABL1234[[#This Row],[(A/B + A/S) AJD]]</f>
        <v/>
      </c>
      <c r="Y197" s="41" t="n"/>
      <c r="Z197" s="43" t="n"/>
      <c r="AA197" s="3">
        <f>TABL1234[[#This Row],[(RESV. STORGE) AJD]]/10</f>
        <v/>
      </c>
      <c r="AB197" s="3">
        <f>IF(TRIM(Z197)="",,(Z197-Z196)/1000)</f>
        <v/>
      </c>
      <c r="AC197" s="5" t="n"/>
      <c r="AD197" s="39">
        <f>TABL1234[[#This Row],[( S/S+T/B) AJD]]-(TABL1234[[#This Row],[(A/B + A/S) AJD]]+(TABL1234[[#This Row],[(STORGE DIFF.) AJD]]*1000)+TABL1234[[#This Row],[AJD_Evaporation]])</f>
        <v/>
      </c>
      <c r="AE197" s="41" t="n"/>
      <c r="AF197" s="43" t="n"/>
      <c r="AG197" s="43" t="n"/>
      <c r="AH197" s="6" t="n"/>
      <c r="AI197" s="43" t="n"/>
      <c r="AJ197" s="43">
        <f>TABL1234[[#This Row],[(A/B) AJD]]-TABL1234[[#This Row],[BER_IN]]</f>
        <v/>
      </c>
      <c r="AK197" s="43" t="n"/>
      <c r="AL197" s="43" t="n"/>
      <c r="AM197" s="32" t="n"/>
      <c r="AN197" s="32">
        <f>TABL1234[[#This Row],[ (RESV. STORGE) SER]]/10</f>
        <v/>
      </c>
      <c r="AO197" s="68" t="n"/>
      <c r="AP197" s="68">
        <f>TABL1234[[#This Row],[(A/S) AJD]]-TABL1234[[#This Row],[SER_IN]]</f>
        <v/>
      </c>
    </row>
    <row r="198" ht="18.75" customHeight="1">
      <c r="A198" s="2" t="n">
        <v>46584</v>
      </c>
      <c r="B198" s="44" t="n"/>
      <c r="C198" s="44" t="n"/>
      <c r="D198" s="44" t="n"/>
      <c r="E198" s="44" t="n"/>
      <c r="F198" s="44" t="n"/>
      <c r="G198" s="40" t="n"/>
      <c r="H198" s="28">
        <f>103-F198</f>
        <v/>
      </c>
      <c r="I198" s="40" t="n"/>
      <c r="J198" s="44" t="n"/>
      <c r="K198" s="28">
        <f>TABL1234[[#This Row],[ (T/B) SAR]]+TABL1234[[#This Row],[ (S/S) SAR]]</f>
        <v/>
      </c>
      <c r="L198" s="45" t="n"/>
      <c r="M198" s="46" t="n"/>
      <c r="N198" s="46" t="n"/>
      <c r="O198" s="40" t="n"/>
      <c r="P198" s="12">
        <f>TABL1234[[#This Row],[ (S/S) SAR]]-TABL1234[[#This Row],[(S/S) AJD]]</f>
        <v/>
      </c>
      <c r="Q198" s="40" t="n"/>
      <c r="R198" s="12">
        <f>TABL1234[[#This Row],[ (T/B) SAR]]-TABL1234[[#This Row],[(T/B) AJD]]</f>
        <v/>
      </c>
      <c r="S198" s="12">
        <f>TABL1234[[#This Row],[T/B-CON.]]+TABL1234[[#This Row],[S/S_CON.]]</f>
        <v/>
      </c>
      <c r="T198" s="12">
        <f>TABL1234[[#This Row],[(S/S) AJD]]+TABL1234[[#This Row],[(T/B) AJD]]</f>
        <v/>
      </c>
      <c r="U198" s="44" t="n"/>
      <c r="V198" s="44" t="n"/>
      <c r="W198" s="12">
        <f>TABL1234[[#This Row],[(A/B) AJD]]+TABL1234[[#This Row],[(A/S) AJD]]</f>
        <v/>
      </c>
      <c r="X198" s="12">
        <f>TABL1234[[#This Row],[( S/S+T/B) AJD]]-TABL1234[[#This Row],[(A/B + A/S) AJD]]</f>
        <v/>
      </c>
      <c r="Y198" s="44" t="n"/>
      <c r="Z198" s="45" t="n"/>
      <c r="AA198" s="3">
        <f>TABL1234[[#This Row],[(RESV. STORGE) AJD]]/10</f>
        <v/>
      </c>
      <c r="AB198" s="3">
        <f>IF(TRIM(Z198)="",,(Z198-Z197)/1000)</f>
        <v/>
      </c>
      <c r="AC198" s="5" t="n"/>
      <c r="AD198" s="40">
        <f>TABL1234[[#This Row],[( S/S+T/B) AJD]]-(TABL1234[[#This Row],[(A/B + A/S) AJD]]+(TABL1234[[#This Row],[(STORGE DIFF.) AJD]]*1000)+TABL1234[[#This Row],[AJD_Evaporation]])</f>
        <v/>
      </c>
      <c r="AE198" s="44" t="n"/>
      <c r="AF198" s="45" t="n"/>
      <c r="AG198" s="45" t="n"/>
      <c r="AH198" s="6" t="n"/>
      <c r="AI198" s="45" t="n"/>
      <c r="AJ198" s="45">
        <f>TABL1234[[#This Row],[(A/B) AJD]]-TABL1234[[#This Row],[BER_IN]]</f>
        <v/>
      </c>
      <c r="AK198" s="45" t="n"/>
      <c r="AL198" s="45" t="n"/>
      <c r="AM198" s="32" t="n"/>
      <c r="AN198" s="32">
        <f>TABL1234[[#This Row],[ (RESV. STORGE) SER]]/10</f>
        <v/>
      </c>
      <c r="AO198" s="68" t="n"/>
      <c r="AP198" s="68">
        <f>TABL1234[[#This Row],[(A/S) AJD]]-TABL1234[[#This Row],[SER_IN]]</f>
        <v/>
      </c>
    </row>
    <row r="199" ht="18.75" customHeight="1">
      <c r="A199" s="2" t="n">
        <v>46585</v>
      </c>
      <c r="B199" s="41" t="n"/>
      <c r="C199" s="41" t="n"/>
      <c r="D199" s="41" t="n"/>
      <c r="E199" s="41" t="n"/>
      <c r="F199" s="41" t="n"/>
      <c r="G199" s="39" t="n"/>
      <c r="H199" s="28">
        <f>103-F199</f>
        <v/>
      </c>
      <c r="I199" s="39" t="n"/>
      <c r="J199" s="39" t="n"/>
      <c r="K199" s="28">
        <f>TABL1234[[#This Row],[ (T/B) SAR]]+TABL1234[[#This Row],[ (S/S) SAR]]</f>
        <v/>
      </c>
      <c r="L199" s="41" t="n"/>
      <c r="M199" s="42" t="n"/>
      <c r="N199" s="42" t="n"/>
      <c r="O199" s="39" t="n"/>
      <c r="P199" s="12">
        <f>TABL1234[[#This Row],[ (S/S) SAR]]-TABL1234[[#This Row],[(S/S) AJD]]</f>
        <v/>
      </c>
      <c r="Q199" s="39" t="n"/>
      <c r="R199" s="12">
        <f>TABL1234[[#This Row],[ (T/B) SAR]]-TABL1234[[#This Row],[(T/B) AJD]]</f>
        <v/>
      </c>
      <c r="S199" s="12">
        <f>TABL1234[[#This Row],[T/B-CON.]]+TABL1234[[#This Row],[S/S_CON.]]</f>
        <v/>
      </c>
      <c r="T199" s="12">
        <f>TABL1234[[#This Row],[(S/S) AJD]]+TABL1234[[#This Row],[(T/B) AJD]]</f>
        <v/>
      </c>
      <c r="U199" s="41" t="n"/>
      <c r="V199" s="41" t="n"/>
      <c r="W199" s="12">
        <f>TABL1234[[#This Row],[(A/B) AJD]]+TABL1234[[#This Row],[(A/S) AJD]]</f>
        <v/>
      </c>
      <c r="X199" s="12">
        <f>TABL1234[[#This Row],[( S/S+T/B) AJD]]-TABL1234[[#This Row],[(A/B + A/S) AJD]]</f>
        <v/>
      </c>
      <c r="Y199" s="41" t="n"/>
      <c r="Z199" s="43" t="n"/>
      <c r="AA199" s="3">
        <f>TABL1234[[#This Row],[(RESV. STORGE) AJD]]/10</f>
        <v/>
      </c>
      <c r="AB199" s="3">
        <f>IF(TRIM(Z199)="",,(Z199-Z198)/1000)</f>
        <v/>
      </c>
      <c r="AC199" s="5" t="n"/>
      <c r="AD199" s="39">
        <f>TABL1234[[#This Row],[( S/S+T/B) AJD]]-(TABL1234[[#This Row],[(A/B + A/S) AJD]]+(TABL1234[[#This Row],[(STORGE DIFF.) AJD]]*1000)+TABL1234[[#This Row],[AJD_Evaporation]])</f>
        <v/>
      </c>
      <c r="AE199" s="41" t="n"/>
      <c r="AF199" s="43" t="n"/>
      <c r="AG199" s="43" t="n"/>
      <c r="AH199" s="6" t="n"/>
      <c r="AI199" s="43" t="n"/>
      <c r="AJ199" s="43">
        <f>TABL1234[[#This Row],[(A/B) AJD]]-TABL1234[[#This Row],[BER_IN]]</f>
        <v/>
      </c>
      <c r="AK199" s="43" t="n"/>
      <c r="AL199" s="43" t="n"/>
      <c r="AM199" s="32" t="n"/>
      <c r="AN199" s="32">
        <f>TABL1234[[#This Row],[ (RESV. STORGE) SER]]/10</f>
        <v/>
      </c>
      <c r="AO199" s="68" t="n"/>
      <c r="AP199" s="68">
        <f>TABL1234[[#This Row],[(A/S) AJD]]-TABL1234[[#This Row],[SER_IN]]</f>
        <v/>
      </c>
    </row>
    <row r="200" ht="18.75" customHeight="1">
      <c r="A200" s="2" t="n">
        <v>46586</v>
      </c>
      <c r="B200" s="44" t="n"/>
      <c r="C200" s="44" t="n"/>
      <c r="D200" s="44" t="n"/>
      <c r="E200" s="44" t="n"/>
      <c r="F200" s="44" t="n"/>
      <c r="G200" s="40" t="n"/>
      <c r="H200" s="28">
        <f>103-F200</f>
        <v/>
      </c>
      <c r="I200" s="40" t="n"/>
      <c r="J200" s="44" t="n"/>
      <c r="K200" s="28">
        <f>TABL1234[[#This Row],[ (T/B) SAR]]+TABL1234[[#This Row],[ (S/S) SAR]]</f>
        <v/>
      </c>
      <c r="L200" s="45" t="n"/>
      <c r="M200" s="46" t="n"/>
      <c r="N200" s="46" t="n"/>
      <c r="O200" s="40" t="n"/>
      <c r="P200" s="12">
        <f>TABL1234[[#This Row],[ (S/S) SAR]]-TABL1234[[#This Row],[(S/S) AJD]]</f>
        <v/>
      </c>
      <c r="Q200" s="40" t="n"/>
      <c r="R200" s="12">
        <f>TABL1234[[#This Row],[ (T/B) SAR]]-TABL1234[[#This Row],[(T/B) AJD]]</f>
        <v/>
      </c>
      <c r="S200" s="12">
        <f>TABL1234[[#This Row],[T/B-CON.]]+TABL1234[[#This Row],[S/S_CON.]]</f>
        <v/>
      </c>
      <c r="T200" s="12">
        <f>TABL1234[[#This Row],[(S/S) AJD]]+TABL1234[[#This Row],[(T/B) AJD]]</f>
        <v/>
      </c>
      <c r="U200" s="44" t="n"/>
      <c r="V200" s="44" t="n"/>
      <c r="W200" s="12">
        <f>TABL1234[[#This Row],[(A/B) AJD]]+TABL1234[[#This Row],[(A/S) AJD]]</f>
        <v/>
      </c>
      <c r="X200" s="12">
        <f>TABL1234[[#This Row],[( S/S+T/B) AJD]]-TABL1234[[#This Row],[(A/B + A/S) AJD]]</f>
        <v/>
      </c>
      <c r="Y200" s="44" t="n"/>
      <c r="Z200" s="45" t="n"/>
      <c r="AA200" s="3">
        <f>TABL1234[[#This Row],[(RESV. STORGE) AJD]]/10</f>
        <v/>
      </c>
      <c r="AB200" s="3">
        <f>IF(TRIM(Z200)="",,(Z200-Z199)/1000)</f>
        <v/>
      </c>
      <c r="AC200" s="5" t="n"/>
      <c r="AD200" s="40">
        <f>TABL1234[[#This Row],[( S/S+T/B) AJD]]-(TABL1234[[#This Row],[(A/B + A/S) AJD]]+(TABL1234[[#This Row],[(STORGE DIFF.) AJD]]*1000)+TABL1234[[#This Row],[AJD_Evaporation]])</f>
        <v/>
      </c>
      <c r="AE200" s="44" t="n"/>
      <c r="AF200" s="45" t="n"/>
      <c r="AG200" s="45" t="n"/>
      <c r="AH200" s="6" t="n"/>
      <c r="AI200" s="45" t="n"/>
      <c r="AJ200" s="45">
        <f>TABL1234[[#This Row],[(A/B) AJD]]-TABL1234[[#This Row],[BER_IN]]</f>
        <v/>
      </c>
      <c r="AK200" s="45" t="n"/>
      <c r="AL200" s="45" t="n"/>
      <c r="AM200" s="32" t="n"/>
      <c r="AN200" s="32">
        <f>TABL1234[[#This Row],[ (RESV. STORGE) SER]]/10</f>
        <v/>
      </c>
      <c r="AO200" s="68" t="n"/>
      <c r="AP200" s="68">
        <f>TABL1234[[#This Row],[(A/S) AJD]]-TABL1234[[#This Row],[SER_IN]]</f>
        <v/>
      </c>
    </row>
    <row r="201" ht="18.75" customHeight="1">
      <c r="A201" s="2" t="n">
        <v>46587</v>
      </c>
      <c r="B201" s="41" t="n"/>
      <c r="C201" s="41" t="n"/>
      <c r="D201" s="41" t="n"/>
      <c r="E201" s="41" t="n"/>
      <c r="F201" s="41" t="n"/>
      <c r="G201" s="39" t="n"/>
      <c r="H201" s="28">
        <f>103-F201</f>
        <v/>
      </c>
      <c r="I201" s="39" t="n"/>
      <c r="J201" s="39" t="n"/>
      <c r="K201" s="28">
        <f>TABL1234[[#This Row],[ (T/B) SAR]]+TABL1234[[#This Row],[ (S/S) SAR]]</f>
        <v/>
      </c>
      <c r="L201" s="41" t="n"/>
      <c r="M201" s="42" t="n"/>
      <c r="N201" s="42" t="n"/>
      <c r="O201" s="39" t="n"/>
      <c r="P201" s="12">
        <f>TABL1234[[#This Row],[ (S/S) SAR]]-TABL1234[[#This Row],[(S/S) AJD]]</f>
        <v/>
      </c>
      <c r="Q201" s="39" t="n"/>
      <c r="R201" s="12">
        <f>TABL1234[[#This Row],[ (T/B) SAR]]-TABL1234[[#This Row],[(T/B) AJD]]</f>
        <v/>
      </c>
      <c r="S201" s="12">
        <f>TABL1234[[#This Row],[T/B-CON.]]+TABL1234[[#This Row],[S/S_CON.]]</f>
        <v/>
      </c>
      <c r="T201" s="12">
        <f>TABL1234[[#This Row],[(S/S) AJD]]+TABL1234[[#This Row],[(T/B) AJD]]</f>
        <v/>
      </c>
      <c r="U201" s="41" t="n"/>
      <c r="V201" s="41" t="n"/>
      <c r="W201" s="12">
        <f>TABL1234[[#This Row],[(A/B) AJD]]+TABL1234[[#This Row],[(A/S) AJD]]</f>
        <v/>
      </c>
      <c r="X201" s="12">
        <f>TABL1234[[#This Row],[( S/S+T/B) AJD]]-TABL1234[[#This Row],[(A/B + A/S) AJD]]</f>
        <v/>
      </c>
      <c r="Y201" s="41" t="n"/>
      <c r="Z201" s="43" t="n"/>
      <c r="AA201" s="3">
        <f>TABL1234[[#This Row],[(RESV. STORGE) AJD]]/10</f>
        <v/>
      </c>
      <c r="AB201" s="3">
        <f>IF(TRIM(Z201)="",,(Z201-Z200)/1000)</f>
        <v/>
      </c>
      <c r="AC201" s="5" t="n"/>
      <c r="AD201" s="39">
        <f>TABL1234[[#This Row],[( S/S+T/B) AJD]]-(TABL1234[[#This Row],[(A/B + A/S) AJD]]+(TABL1234[[#This Row],[(STORGE DIFF.) AJD]]*1000)+TABL1234[[#This Row],[AJD_Evaporation]])</f>
        <v/>
      </c>
      <c r="AE201" s="41" t="n"/>
      <c r="AF201" s="43" t="n"/>
      <c r="AG201" s="43" t="n"/>
      <c r="AH201" s="6" t="n"/>
      <c r="AI201" s="43" t="n"/>
      <c r="AJ201" s="43">
        <f>TABL1234[[#This Row],[(A/B) AJD]]-TABL1234[[#This Row],[BER_IN]]</f>
        <v/>
      </c>
      <c r="AK201" s="43" t="n"/>
      <c r="AL201" s="43" t="n"/>
      <c r="AM201" s="32" t="n"/>
      <c r="AN201" s="32">
        <f>TABL1234[[#This Row],[ (RESV. STORGE) SER]]/10</f>
        <v/>
      </c>
      <c r="AO201" s="68" t="n"/>
      <c r="AP201" s="68">
        <f>TABL1234[[#This Row],[(A/S) AJD]]-TABL1234[[#This Row],[SER_IN]]</f>
        <v/>
      </c>
    </row>
    <row r="202" ht="18.75" customHeight="1">
      <c r="A202" s="2" t="n">
        <v>46588</v>
      </c>
      <c r="B202" s="44" t="n"/>
      <c r="C202" s="44" t="n"/>
      <c r="D202" s="44" t="n"/>
      <c r="E202" s="44" t="n"/>
      <c r="F202" s="44" t="n"/>
      <c r="G202" s="40" t="n"/>
      <c r="H202" s="28">
        <f>103-F202</f>
        <v/>
      </c>
      <c r="I202" s="40" t="n"/>
      <c r="J202" s="44" t="n"/>
      <c r="K202" s="28">
        <f>TABL1234[[#This Row],[ (T/B) SAR]]+TABL1234[[#This Row],[ (S/S) SAR]]</f>
        <v/>
      </c>
      <c r="L202" s="45" t="n"/>
      <c r="M202" s="46" t="n"/>
      <c r="N202" s="46" t="n"/>
      <c r="O202" s="40" t="n"/>
      <c r="P202" s="12">
        <f>TABL1234[[#This Row],[ (S/S) SAR]]-TABL1234[[#This Row],[(S/S) AJD]]</f>
        <v/>
      </c>
      <c r="Q202" s="40" t="n"/>
      <c r="R202" s="12">
        <f>TABL1234[[#This Row],[ (T/B) SAR]]-TABL1234[[#This Row],[(T/B) AJD]]</f>
        <v/>
      </c>
      <c r="S202" s="12">
        <f>TABL1234[[#This Row],[T/B-CON.]]+TABL1234[[#This Row],[S/S_CON.]]</f>
        <v/>
      </c>
      <c r="T202" s="12">
        <f>TABL1234[[#This Row],[(S/S) AJD]]+TABL1234[[#This Row],[(T/B) AJD]]</f>
        <v/>
      </c>
      <c r="U202" s="44" t="n"/>
      <c r="V202" s="44" t="n"/>
      <c r="W202" s="12">
        <f>TABL1234[[#This Row],[(A/B) AJD]]+TABL1234[[#This Row],[(A/S) AJD]]</f>
        <v/>
      </c>
      <c r="X202" s="12">
        <f>TABL1234[[#This Row],[( S/S+T/B) AJD]]-TABL1234[[#This Row],[(A/B + A/S) AJD]]</f>
        <v/>
      </c>
      <c r="Y202" s="44" t="n"/>
      <c r="Z202" s="45" t="n"/>
      <c r="AA202" s="3">
        <f>TABL1234[[#This Row],[(RESV. STORGE) AJD]]/10</f>
        <v/>
      </c>
      <c r="AB202" s="3">
        <f>IF(TRIM(Z202)="",,(Z202-Z201)/1000)</f>
        <v/>
      </c>
      <c r="AC202" s="5" t="n"/>
      <c r="AD202" s="40">
        <f>TABL1234[[#This Row],[( S/S+T/B) AJD]]-(TABL1234[[#This Row],[(A/B + A/S) AJD]]+(TABL1234[[#This Row],[(STORGE DIFF.) AJD]]*1000)+TABL1234[[#This Row],[AJD_Evaporation]])</f>
        <v/>
      </c>
      <c r="AE202" s="44" t="n"/>
      <c r="AF202" s="45" t="n"/>
      <c r="AG202" s="45" t="n"/>
      <c r="AH202" s="6" t="n"/>
      <c r="AI202" s="45" t="n"/>
      <c r="AJ202" s="45">
        <f>TABL1234[[#This Row],[(A/B) AJD]]-TABL1234[[#This Row],[BER_IN]]</f>
        <v/>
      </c>
      <c r="AK202" s="45" t="n"/>
      <c r="AL202" s="45" t="n"/>
      <c r="AM202" s="32" t="n"/>
      <c r="AN202" s="32">
        <f>TABL1234[[#This Row],[ (RESV. STORGE) SER]]/10</f>
        <v/>
      </c>
      <c r="AO202" s="68" t="n"/>
      <c r="AP202" s="68">
        <f>TABL1234[[#This Row],[(A/S) AJD]]-TABL1234[[#This Row],[SER_IN]]</f>
        <v/>
      </c>
    </row>
    <row r="203" ht="18.75" customHeight="1">
      <c r="A203" s="2" t="n">
        <v>46589</v>
      </c>
      <c r="B203" s="41" t="n"/>
      <c r="C203" s="41" t="n"/>
      <c r="D203" s="41" t="n"/>
      <c r="E203" s="41" t="n"/>
      <c r="F203" s="41" t="n"/>
      <c r="G203" s="39" t="n"/>
      <c r="H203" s="28">
        <f>103-F203</f>
        <v/>
      </c>
      <c r="I203" s="39" t="n"/>
      <c r="J203" s="39" t="n"/>
      <c r="K203" s="28">
        <f>TABL1234[[#This Row],[ (T/B) SAR]]+TABL1234[[#This Row],[ (S/S) SAR]]</f>
        <v/>
      </c>
      <c r="L203" s="41" t="n"/>
      <c r="M203" s="42" t="n"/>
      <c r="N203" s="42" t="n"/>
      <c r="O203" s="39" t="n"/>
      <c r="P203" s="12">
        <f>TABL1234[[#This Row],[ (S/S) SAR]]-TABL1234[[#This Row],[(S/S) AJD]]</f>
        <v/>
      </c>
      <c r="Q203" s="39" t="n"/>
      <c r="R203" s="12">
        <f>TABL1234[[#This Row],[ (T/B) SAR]]-TABL1234[[#This Row],[(T/B) AJD]]</f>
        <v/>
      </c>
      <c r="S203" s="12">
        <f>TABL1234[[#This Row],[T/B-CON.]]+TABL1234[[#This Row],[S/S_CON.]]</f>
        <v/>
      </c>
      <c r="T203" s="12">
        <f>TABL1234[[#This Row],[(S/S) AJD]]+TABL1234[[#This Row],[(T/B) AJD]]</f>
        <v/>
      </c>
      <c r="U203" s="41" t="n"/>
      <c r="V203" s="41" t="n"/>
      <c r="W203" s="12">
        <f>TABL1234[[#This Row],[(A/B) AJD]]+TABL1234[[#This Row],[(A/S) AJD]]</f>
        <v/>
      </c>
      <c r="X203" s="12">
        <f>TABL1234[[#This Row],[( S/S+T/B) AJD]]-TABL1234[[#This Row],[(A/B + A/S) AJD]]</f>
        <v/>
      </c>
      <c r="Y203" s="41" t="n"/>
      <c r="Z203" s="43" t="n"/>
      <c r="AA203" s="3">
        <f>TABL1234[[#This Row],[(RESV. STORGE) AJD]]/10</f>
        <v/>
      </c>
      <c r="AB203" s="3">
        <f>IF(TRIM(Z203)="",,(Z203-Z202)/1000)</f>
        <v/>
      </c>
      <c r="AC203" s="5" t="n"/>
      <c r="AD203" s="39">
        <f>TABL1234[[#This Row],[( S/S+T/B) AJD]]-(TABL1234[[#This Row],[(A/B + A/S) AJD]]+(TABL1234[[#This Row],[(STORGE DIFF.) AJD]]*1000)+TABL1234[[#This Row],[AJD_Evaporation]])</f>
        <v/>
      </c>
      <c r="AE203" s="41" t="n"/>
      <c r="AF203" s="43" t="n"/>
      <c r="AG203" s="43" t="n"/>
      <c r="AH203" s="6" t="n"/>
      <c r="AI203" s="43" t="n"/>
      <c r="AJ203" s="43">
        <f>TABL1234[[#This Row],[(A/B) AJD]]-TABL1234[[#This Row],[BER_IN]]</f>
        <v/>
      </c>
      <c r="AK203" s="43" t="n"/>
      <c r="AL203" s="43" t="n"/>
      <c r="AM203" s="32" t="n"/>
      <c r="AN203" s="32">
        <f>TABL1234[[#This Row],[ (RESV. STORGE) SER]]/10</f>
        <v/>
      </c>
      <c r="AO203" s="68" t="n"/>
      <c r="AP203" s="68">
        <f>TABL1234[[#This Row],[(A/S) AJD]]-TABL1234[[#This Row],[SER_IN]]</f>
        <v/>
      </c>
    </row>
    <row r="204" ht="18.75" customHeight="1">
      <c r="A204" s="2" t="n">
        <v>46590</v>
      </c>
      <c r="B204" s="44" t="n"/>
      <c r="C204" s="44" t="n"/>
      <c r="D204" s="44" t="n"/>
      <c r="E204" s="44" t="n"/>
      <c r="F204" s="44" t="n"/>
      <c r="G204" s="40" t="n"/>
      <c r="H204" s="28">
        <f>103-F204</f>
        <v/>
      </c>
      <c r="I204" s="40" t="n"/>
      <c r="J204" s="44" t="n"/>
      <c r="K204" s="28">
        <f>TABL1234[[#This Row],[ (T/B) SAR]]+TABL1234[[#This Row],[ (S/S) SAR]]</f>
        <v/>
      </c>
      <c r="L204" s="45" t="n"/>
      <c r="M204" s="46" t="n"/>
      <c r="N204" s="46" t="n"/>
      <c r="O204" s="40" t="n"/>
      <c r="P204" s="12">
        <f>TABL1234[[#This Row],[ (S/S) SAR]]-TABL1234[[#This Row],[(S/S) AJD]]</f>
        <v/>
      </c>
      <c r="Q204" s="40" t="n"/>
      <c r="R204" s="12">
        <f>TABL1234[[#This Row],[ (T/B) SAR]]-TABL1234[[#This Row],[(T/B) AJD]]</f>
        <v/>
      </c>
      <c r="S204" s="12">
        <f>TABL1234[[#This Row],[T/B-CON.]]+TABL1234[[#This Row],[S/S_CON.]]</f>
        <v/>
      </c>
      <c r="T204" s="12">
        <f>TABL1234[[#This Row],[(S/S) AJD]]+TABL1234[[#This Row],[(T/B) AJD]]</f>
        <v/>
      </c>
      <c r="U204" s="44" t="n"/>
      <c r="V204" s="44" t="n"/>
      <c r="W204" s="12">
        <f>TABL1234[[#This Row],[(A/B) AJD]]+TABL1234[[#This Row],[(A/S) AJD]]</f>
        <v/>
      </c>
      <c r="X204" s="12">
        <f>TABL1234[[#This Row],[( S/S+T/B) AJD]]-TABL1234[[#This Row],[(A/B + A/S) AJD]]</f>
        <v/>
      </c>
      <c r="Y204" s="44" t="n"/>
      <c r="Z204" s="45" t="n"/>
      <c r="AA204" s="3">
        <f>TABL1234[[#This Row],[(RESV. STORGE) AJD]]/10</f>
        <v/>
      </c>
      <c r="AB204" s="3">
        <f>IF(TRIM(Z204)="",,(Z204-Z203)/1000)</f>
        <v/>
      </c>
      <c r="AC204" s="5" t="n"/>
      <c r="AD204" s="40">
        <f>TABL1234[[#This Row],[( S/S+T/B) AJD]]-(TABL1234[[#This Row],[(A/B + A/S) AJD]]+(TABL1234[[#This Row],[(STORGE DIFF.) AJD]]*1000)+TABL1234[[#This Row],[AJD_Evaporation]])</f>
        <v/>
      </c>
      <c r="AE204" s="44" t="n"/>
      <c r="AF204" s="45" t="n"/>
      <c r="AG204" s="45" t="n"/>
      <c r="AH204" s="6" t="n"/>
      <c r="AI204" s="45" t="n"/>
      <c r="AJ204" s="45">
        <f>TABL1234[[#This Row],[(A/B) AJD]]-TABL1234[[#This Row],[BER_IN]]</f>
        <v/>
      </c>
      <c r="AK204" s="45" t="n"/>
      <c r="AL204" s="45" t="n"/>
      <c r="AM204" s="32" t="n"/>
      <c r="AN204" s="32">
        <f>TABL1234[[#This Row],[ (RESV. STORGE) SER]]/10</f>
        <v/>
      </c>
      <c r="AO204" s="68" t="n"/>
      <c r="AP204" s="68">
        <f>TABL1234[[#This Row],[(A/S) AJD]]-TABL1234[[#This Row],[SER_IN]]</f>
        <v/>
      </c>
    </row>
    <row r="205" ht="18.75" customHeight="1">
      <c r="A205" s="2" t="n">
        <v>46591</v>
      </c>
      <c r="B205" s="41" t="n"/>
      <c r="C205" s="41" t="n"/>
      <c r="D205" s="41" t="n"/>
      <c r="E205" s="41" t="n"/>
      <c r="F205" s="41" t="n"/>
      <c r="G205" s="39" t="n"/>
      <c r="H205" s="28">
        <f>103-F205</f>
        <v/>
      </c>
      <c r="I205" s="39" t="n"/>
      <c r="J205" s="39" t="n"/>
      <c r="K205" s="28">
        <f>TABL1234[[#This Row],[ (T/B) SAR]]+TABL1234[[#This Row],[ (S/S) SAR]]</f>
        <v/>
      </c>
      <c r="L205" s="41" t="n"/>
      <c r="M205" s="42" t="n"/>
      <c r="N205" s="42" t="n"/>
      <c r="O205" s="39" t="n"/>
      <c r="P205" s="12">
        <f>TABL1234[[#This Row],[ (S/S) SAR]]-TABL1234[[#This Row],[(S/S) AJD]]</f>
        <v/>
      </c>
      <c r="Q205" s="39" t="n"/>
      <c r="R205" s="12">
        <f>TABL1234[[#This Row],[ (T/B) SAR]]-TABL1234[[#This Row],[(T/B) AJD]]</f>
        <v/>
      </c>
      <c r="S205" s="12">
        <f>TABL1234[[#This Row],[T/B-CON.]]+TABL1234[[#This Row],[S/S_CON.]]</f>
        <v/>
      </c>
      <c r="T205" s="12">
        <f>TABL1234[[#This Row],[(S/S) AJD]]+TABL1234[[#This Row],[(T/B) AJD]]</f>
        <v/>
      </c>
      <c r="U205" s="41" t="n"/>
      <c r="V205" s="41" t="n"/>
      <c r="W205" s="12">
        <f>TABL1234[[#This Row],[(A/B) AJD]]+TABL1234[[#This Row],[(A/S) AJD]]</f>
        <v/>
      </c>
      <c r="X205" s="12">
        <f>TABL1234[[#This Row],[( S/S+T/B) AJD]]-TABL1234[[#This Row],[(A/B + A/S) AJD]]</f>
        <v/>
      </c>
      <c r="Y205" s="41" t="n"/>
      <c r="Z205" s="43" t="n"/>
      <c r="AA205" s="3">
        <f>TABL1234[[#This Row],[(RESV. STORGE) AJD]]/10</f>
        <v/>
      </c>
      <c r="AB205" s="3">
        <f>IF(TRIM(Z205)="",,(Z205-Z204)/1000)</f>
        <v/>
      </c>
      <c r="AC205" s="5" t="n"/>
      <c r="AD205" s="39">
        <f>TABL1234[[#This Row],[( S/S+T/B) AJD]]-(TABL1234[[#This Row],[(A/B + A/S) AJD]]+(TABL1234[[#This Row],[(STORGE DIFF.) AJD]]*1000)+TABL1234[[#This Row],[AJD_Evaporation]])</f>
        <v/>
      </c>
      <c r="AE205" s="41" t="n"/>
      <c r="AF205" s="43" t="n"/>
      <c r="AG205" s="43" t="n"/>
      <c r="AH205" s="6" t="n"/>
      <c r="AI205" s="43" t="n"/>
      <c r="AJ205" s="43">
        <f>TABL1234[[#This Row],[(A/B) AJD]]-TABL1234[[#This Row],[BER_IN]]</f>
        <v/>
      </c>
      <c r="AK205" s="43" t="n"/>
      <c r="AL205" s="43" t="n"/>
      <c r="AM205" s="32" t="n"/>
      <c r="AN205" s="32">
        <f>TABL1234[[#This Row],[ (RESV. STORGE) SER]]/10</f>
        <v/>
      </c>
      <c r="AO205" s="68" t="n"/>
      <c r="AP205" s="68">
        <f>TABL1234[[#This Row],[(A/S) AJD]]-TABL1234[[#This Row],[SER_IN]]</f>
        <v/>
      </c>
    </row>
    <row r="206" ht="18.75" customHeight="1">
      <c r="A206" s="2" t="n">
        <v>46592</v>
      </c>
      <c r="B206" s="44" t="n"/>
      <c r="C206" s="44" t="n"/>
      <c r="D206" s="44" t="n"/>
      <c r="E206" s="44" t="n"/>
      <c r="F206" s="44" t="n"/>
      <c r="G206" s="40" t="n"/>
      <c r="H206" s="28">
        <f>103-F206</f>
        <v/>
      </c>
      <c r="I206" s="40" t="n"/>
      <c r="J206" s="44" t="n"/>
      <c r="K206" s="28">
        <f>TABL1234[[#This Row],[ (T/B) SAR]]+TABL1234[[#This Row],[ (S/S) SAR]]</f>
        <v/>
      </c>
      <c r="L206" s="45" t="n"/>
      <c r="M206" s="46" t="n"/>
      <c r="N206" s="46" t="n"/>
      <c r="O206" s="40" t="n"/>
      <c r="P206" s="12">
        <f>TABL1234[[#This Row],[ (S/S) SAR]]-TABL1234[[#This Row],[(S/S) AJD]]</f>
        <v/>
      </c>
      <c r="Q206" s="45" t="n"/>
      <c r="R206" s="12">
        <f>TABL1234[[#This Row],[ (T/B) SAR]]-TABL1234[[#This Row],[(T/B) AJD]]</f>
        <v/>
      </c>
      <c r="S206" s="12">
        <f>TABL1234[[#This Row],[T/B-CON.]]+TABL1234[[#This Row],[S/S_CON.]]</f>
        <v/>
      </c>
      <c r="T206" s="12">
        <f>TABL1234[[#This Row],[(S/S) AJD]]+TABL1234[[#This Row],[(T/B) AJD]]</f>
        <v/>
      </c>
      <c r="U206" s="44" t="n"/>
      <c r="V206" s="44" t="n"/>
      <c r="W206" s="12">
        <f>TABL1234[[#This Row],[(A/B) AJD]]+TABL1234[[#This Row],[(A/S) AJD]]</f>
        <v/>
      </c>
      <c r="X206" s="12">
        <f>TABL1234[[#This Row],[( S/S+T/B) AJD]]-TABL1234[[#This Row],[(A/B + A/S) AJD]]</f>
        <v/>
      </c>
      <c r="Y206" s="44" t="n"/>
      <c r="Z206" s="45" t="n"/>
      <c r="AA206" s="3">
        <f>TABL1234[[#This Row],[(RESV. STORGE) AJD]]/10</f>
        <v/>
      </c>
      <c r="AB206" s="3">
        <f>IF(TRIM(Z206)="",,(Z206-Z205)/1000)</f>
        <v/>
      </c>
      <c r="AC206" s="5" t="n"/>
      <c r="AD206" s="40">
        <f>TABL1234[[#This Row],[( S/S+T/B) AJD]]-(TABL1234[[#This Row],[(A/B + A/S) AJD]]+(TABL1234[[#This Row],[(STORGE DIFF.) AJD]]*1000)+TABL1234[[#This Row],[AJD_Evaporation]])</f>
        <v/>
      </c>
      <c r="AE206" s="44" t="n"/>
      <c r="AF206" s="45" t="n"/>
      <c r="AG206" s="45" t="n"/>
      <c r="AH206" s="6" t="n"/>
      <c r="AI206" s="45" t="n"/>
      <c r="AJ206" s="45">
        <f>TABL1234[[#This Row],[(A/B) AJD]]-TABL1234[[#This Row],[BER_IN]]</f>
        <v/>
      </c>
      <c r="AK206" s="45" t="n"/>
      <c r="AL206" s="45" t="n"/>
      <c r="AM206" s="32" t="n"/>
      <c r="AN206" s="32">
        <f>TABL1234[[#This Row],[ (RESV. STORGE) SER]]/10</f>
        <v/>
      </c>
      <c r="AO206" s="68" t="n"/>
      <c r="AP206" s="68">
        <f>TABL1234[[#This Row],[(A/S) AJD]]-TABL1234[[#This Row],[SER_IN]]</f>
        <v/>
      </c>
    </row>
    <row r="207" ht="18.75" customHeight="1">
      <c r="A207" s="2" t="n">
        <v>46593</v>
      </c>
      <c r="B207" s="41" t="n"/>
      <c r="C207" s="41" t="n"/>
      <c r="D207" s="41" t="n"/>
      <c r="E207" s="41" t="n"/>
      <c r="F207" s="41" t="n"/>
      <c r="G207" s="39" t="n"/>
      <c r="H207" s="28">
        <f>103-F207</f>
        <v/>
      </c>
      <c r="I207" s="39" t="n"/>
      <c r="J207" s="39" t="n"/>
      <c r="K207" s="28">
        <f>TABL1234[[#This Row],[ (T/B) SAR]]+TABL1234[[#This Row],[ (S/S) SAR]]</f>
        <v/>
      </c>
      <c r="L207" s="41" t="n"/>
      <c r="M207" s="42" t="n"/>
      <c r="N207" s="42" t="n"/>
      <c r="O207" s="39" t="n"/>
      <c r="P207" s="12">
        <f>TABL1234[[#This Row],[ (S/S) SAR]]-TABL1234[[#This Row],[(S/S) AJD]]</f>
        <v/>
      </c>
      <c r="Q207" s="43" t="n"/>
      <c r="R207" s="12">
        <f>TABL1234[[#This Row],[ (T/B) SAR]]-TABL1234[[#This Row],[(T/B) AJD]]</f>
        <v/>
      </c>
      <c r="S207" s="12">
        <f>TABL1234[[#This Row],[T/B-CON.]]+TABL1234[[#This Row],[S/S_CON.]]</f>
        <v/>
      </c>
      <c r="T207" s="12">
        <f>TABL1234[[#This Row],[(S/S) AJD]]+TABL1234[[#This Row],[(T/B) AJD]]</f>
        <v/>
      </c>
      <c r="U207" s="41" t="n"/>
      <c r="V207" s="41" t="n"/>
      <c r="W207" s="12">
        <f>TABL1234[[#This Row],[(A/B) AJD]]+TABL1234[[#This Row],[(A/S) AJD]]</f>
        <v/>
      </c>
      <c r="X207" s="12">
        <f>TABL1234[[#This Row],[( S/S+T/B) AJD]]-TABL1234[[#This Row],[(A/B + A/S) AJD]]</f>
        <v/>
      </c>
      <c r="Y207" s="41" t="n"/>
      <c r="Z207" s="43" t="n"/>
      <c r="AA207" s="3">
        <f>TABL1234[[#This Row],[(RESV. STORGE) AJD]]/10</f>
        <v/>
      </c>
      <c r="AB207" s="3">
        <f>IF(TRIM(Z207)="",,(Z207-Z206)/1000)</f>
        <v/>
      </c>
      <c r="AC207" s="5" t="n"/>
      <c r="AD207" s="39">
        <f>TABL1234[[#This Row],[( S/S+T/B) AJD]]-(TABL1234[[#This Row],[(A/B + A/S) AJD]]+(TABL1234[[#This Row],[(STORGE DIFF.) AJD]]*1000)+TABL1234[[#This Row],[AJD_Evaporation]])</f>
        <v/>
      </c>
      <c r="AE207" s="41" t="n"/>
      <c r="AF207" s="43" t="n"/>
      <c r="AG207" s="43" t="n"/>
      <c r="AH207" s="6" t="n"/>
      <c r="AI207" s="43" t="n"/>
      <c r="AJ207" s="43">
        <f>TABL1234[[#This Row],[(A/B) AJD]]-TABL1234[[#This Row],[BER_IN]]</f>
        <v/>
      </c>
      <c r="AK207" s="43" t="n"/>
      <c r="AL207" s="43" t="n"/>
      <c r="AM207" s="32" t="n"/>
      <c r="AN207" s="32">
        <f>TABL1234[[#This Row],[ (RESV. STORGE) SER]]/10</f>
        <v/>
      </c>
      <c r="AO207" s="68" t="n"/>
      <c r="AP207" s="68">
        <f>TABL1234[[#This Row],[(A/S) AJD]]-TABL1234[[#This Row],[SER_IN]]</f>
        <v/>
      </c>
    </row>
    <row r="208" ht="18.75" customHeight="1">
      <c r="A208" s="2" t="n">
        <v>46594</v>
      </c>
      <c r="B208" s="44" t="n"/>
      <c r="C208" s="44" t="n"/>
      <c r="D208" s="44" t="n"/>
      <c r="E208" s="44" t="n"/>
      <c r="F208" s="44" t="n"/>
      <c r="G208" s="40" t="n"/>
      <c r="H208" s="28">
        <f>103-F208</f>
        <v/>
      </c>
      <c r="I208" s="40" t="n"/>
      <c r="J208" s="44" t="n"/>
      <c r="K208" s="28">
        <f>TABL1234[[#This Row],[ (T/B) SAR]]+TABL1234[[#This Row],[ (S/S) SAR]]</f>
        <v/>
      </c>
      <c r="L208" s="45" t="n"/>
      <c r="M208" s="46" t="n"/>
      <c r="N208" s="46" t="n"/>
      <c r="O208" s="40" t="n"/>
      <c r="P208" s="12">
        <f>TABL1234[[#This Row],[ (S/S) SAR]]-TABL1234[[#This Row],[(S/S) AJD]]</f>
        <v/>
      </c>
      <c r="Q208" s="45" t="n"/>
      <c r="R208" s="12">
        <f>TABL1234[[#This Row],[ (T/B) SAR]]-TABL1234[[#This Row],[(T/B) AJD]]</f>
        <v/>
      </c>
      <c r="S208" s="12">
        <f>TABL1234[[#This Row],[T/B-CON.]]+TABL1234[[#This Row],[S/S_CON.]]</f>
        <v/>
      </c>
      <c r="T208" s="12">
        <f>TABL1234[[#This Row],[(S/S) AJD]]+TABL1234[[#This Row],[(T/B) AJD]]</f>
        <v/>
      </c>
      <c r="U208" s="44" t="n"/>
      <c r="V208" s="44" t="n"/>
      <c r="W208" s="12">
        <f>TABL1234[[#This Row],[(A/B) AJD]]+TABL1234[[#This Row],[(A/S) AJD]]</f>
        <v/>
      </c>
      <c r="X208" s="12">
        <f>TABL1234[[#This Row],[( S/S+T/B) AJD]]-TABL1234[[#This Row],[(A/B + A/S) AJD]]</f>
        <v/>
      </c>
      <c r="Y208" s="44" t="n"/>
      <c r="Z208" s="45" t="n"/>
      <c r="AA208" s="3">
        <f>TABL1234[[#This Row],[(RESV. STORGE) AJD]]/10</f>
        <v/>
      </c>
      <c r="AB208" s="3">
        <f>IF(TRIM(Z208)="",,(Z208-Z207)/1000)</f>
        <v/>
      </c>
      <c r="AC208" s="5" t="n"/>
      <c r="AD208" s="40">
        <f>TABL1234[[#This Row],[( S/S+T/B) AJD]]-(TABL1234[[#This Row],[(A/B + A/S) AJD]]+(TABL1234[[#This Row],[(STORGE DIFF.) AJD]]*1000)+TABL1234[[#This Row],[AJD_Evaporation]])</f>
        <v/>
      </c>
      <c r="AE208" s="44" t="n"/>
      <c r="AF208" s="45" t="n"/>
      <c r="AG208" s="45" t="n"/>
      <c r="AH208" s="6" t="n"/>
      <c r="AI208" s="45" t="n"/>
      <c r="AJ208" s="45">
        <f>TABL1234[[#This Row],[(A/B) AJD]]-TABL1234[[#This Row],[BER_IN]]</f>
        <v/>
      </c>
      <c r="AK208" s="45" t="n"/>
      <c r="AL208" s="45" t="n"/>
      <c r="AM208" s="32" t="n"/>
      <c r="AN208" s="32">
        <f>TABL1234[[#This Row],[ (RESV. STORGE) SER]]/10</f>
        <v/>
      </c>
      <c r="AO208" s="68" t="n"/>
      <c r="AP208" s="68">
        <f>TABL1234[[#This Row],[(A/S) AJD]]-TABL1234[[#This Row],[SER_IN]]</f>
        <v/>
      </c>
    </row>
    <row r="209" ht="18.75" customHeight="1">
      <c r="A209" s="2" t="n">
        <v>46595</v>
      </c>
      <c r="B209" s="41" t="n"/>
      <c r="C209" s="41" t="n"/>
      <c r="D209" s="41" t="n"/>
      <c r="E209" s="41" t="n"/>
      <c r="F209" s="41" t="n"/>
      <c r="G209" s="39" t="n"/>
      <c r="H209" s="28">
        <f>103-F209</f>
        <v/>
      </c>
      <c r="I209" s="39" t="n"/>
      <c r="J209" s="39" t="n"/>
      <c r="K209" s="28">
        <f>TABL1234[[#This Row],[ (T/B) SAR]]+TABL1234[[#This Row],[ (S/S) SAR]]</f>
        <v/>
      </c>
      <c r="L209" s="41" t="n"/>
      <c r="M209" s="42" t="n"/>
      <c r="N209" s="42" t="n"/>
      <c r="O209" s="39" t="n"/>
      <c r="P209" s="12">
        <f>TABL1234[[#This Row],[ (S/S) SAR]]-TABL1234[[#This Row],[(S/S) AJD]]</f>
        <v/>
      </c>
      <c r="Q209" s="39" t="n"/>
      <c r="R209" s="12">
        <f>TABL1234[[#This Row],[ (T/B) SAR]]-TABL1234[[#This Row],[(T/B) AJD]]</f>
        <v/>
      </c>
      <c r="S209" s="12">
        <f>TABL1234[[#This Row],[T/B-CON.]]+TABL1234[[#This Row],[S/S_CON.]]</f>
        <v/>
      </c>
      <c r="T209" s="12">
        <f>TABL1234[[#This Row],[(S/S) AJD]]+TABL1234[[#This Row],[(T/B) AJD]]</f>
        <v/>
      </c>
      <c r="U209" s="41" t="n"/>
      <c r="V209" s="41" t="n"/>
      <c r="W209" s="12">
        <f>TABL1234[[#This Row],[(A/B) AJD]]+TABL1234[[#This Row],[(A/S) AJD]]</f>
        <v/>
      </c>
      <c r="X209" s="12">
        <f>TABL1234[[#This Row],[( S/S+T/B) AJD]]-TABL1234[[#This Row],[(A/B + A/S) AJD]]</f>
        <v/>
      </c>
      <c r="Y209" s="41" t="n"/>
      <c r="Z209" s="43" t="n"/>
      <c r="AA209" s="3">
        <f>TABL1234[[#This Row],[(RESV. STORGE) AJD]]/10</f>
        <v/>
      </c>
      <c r="AB209" s="3">
        <f>IF(TRIM(Z209)="",,(Z209-Z208)/1000)</f>
        <v/>
      </c>
      <c r="AC209" s="5" t="n"/>
      <c r="AD209" s="39">
        <f>TABL1234[[#This Row],[( S/S+T/B) AJD]]-(TABL1234[[#This Row],[(A/B + A/S) AJD]]+(TABL1234[[#This Row],[(STORGE DIFF.) AJD]]*1000)+TABL1234[[#This Row],[AJD_Evaporation]])</f>
        <v/>
      </c>
      <c r="AE209" s="41" t="n"/>
      <c r="AF209" s="43" t="n"/>
      <c r="AG209" s="43" t="n"/>
      <c r="AH209" s="6" t="n"/>
      <c r="AI209" s="43" t="n"/>
      <c r="AJ209" s="43">
        <f>TABL1234[[#This Row],[(A/B) AJD]]-TABL1234[[#This Row],[BER_IN]]</f>
        <v/>
      </c>
      <c r="AK209" s="43" t="n"/>
      <c r="AL209" s="43" t="n"/>
      <c r="AM209" s="32" t="n"/>
      <c r="AN209" s="32">
        <f>TABL1234[[#This Row],[ (RESV. STORGE) SER]]/10</f>
        <v/>
      </c>
      <c r="AO209" s="68" t="n"/>
      <c r="AP209" s="68">
        <f>TABL1234[[#This Row],[(A/S) AJD]]-TABL1234[[#This Row],[SER_IN]]</f>
        <v/>
      </c>
    </row>
    <row r="210" ht="18.75" customHeight="1">
      <c r="A210" s="2" t="n">
        <v>46596</v>
      </c>
      <c r="B210" s="44" t="n"/>
      <c r="C210" s="44" t="n"/>
      <c r="D210" s="44" t="n"/>
      <c r="E210" s="44" t="n"/>
      <c r="F210" s="44" t="n"/>
      <c r="G210" s="40" t="n"/>
      <c r="H210" s="28">
        <f>103-F210</f>
        <v/>
      </c>
      <c r="I210" s="40" t="n"/>
      <c r="J210" s="44" t="n"/>
      <c r="K210" s="28">
        <f>TABL1234[[#This Row],[ (T/B) SAR]]+TABL1234[[#This Row],[ (S/S) SAR]]</f>
        <v/>
      </c>
      <c r="L210" s="45" t="n"/>
      <c r="M210" s="46" t="n"/>
      <c r="N210" s="46" t="n"/>
      <c r="O210" s="40" t="n"/>
      <c r="P210" s="12">
        <f>TABL1234[[#This Row],[ (S/S) SAR]]-TABL1234[[#This Row],[(S/S) AJD]]</f>
        <v/>
      </c>
      <c r="Q210" s="40" t="n"/>
      <c r="R210" s="12">
        <f>TABL1234[[#This Row],[ (T/B) SAR]]-TABL1234[[#This Row],[(T/B) AJD]]</f>
        <v/>
      </c>
      <c r="S210" s="12">
        <f>TABL1234[[#This Row],[T/B-CON.]]+TABL1234[[#This Row],[S/S_CON.]]</f>
        <v/>
      </c>
      <c r="T210" s="12">
        <f>TABL1234[[#This Row],[(S/S) AJD]]+TABL1234[[#This Row],[(T/B) AJD]]</f>
        <v/>
      </c>
      <c r="U210" s="44" t="n"/>
      <c r="V210" s="44" t="n"/>
      <c r="W210" s="12">
        <f>TABL1234[[#This Row],[(A/B) AJD]]+TABL1234[[#This Row],[(A/S) AJD]]</f>
        <v/>
      </c>
      <c r="X210" s="12">
        <f>TABL1234[[#This Row],[( S/S+T/B) AJD]]-TABL1234[[#This Row],[(A/B + A/S) AJD]]</f>
        <v/>
      </c>
      <c r="Y210" s="44" t="n"/>
      <c r="Z210" s="45" t="n"/>
      <c r="AA210" s="3">
        <f>TABL1234[[#This Row],[(RESV. STORGE) AJD]]/10</f>
        <v/>
      </c>
      <c r="AB210" s="3">
        <f>IF(TRIM(Z210)="",,(Z210-Z209)/1000)</f>
        <v/>
      </c>
      <c r="AC210" s="5" t="n"/>
      <c r="AD210" s="40">
        <f>TABL1234[[#This Row],[( S/S+T/B) AJD]]-(TABL1234[[#This Row],[(A/B + A/S) AJD]]+(TABL1234[[#This Row],[(STORGE DIFF.) AJD]]*1000)+TABL1234[[#This Row],[AJD_Evaporation]])</f>
        <v/>
      </c>
      <c r="AE210" s="44" t="n"/>
      <c r="AF210" s="45" t="n"/>
      <c r="AG210" s="45" t="n"/>
      <c r="AH210" s="6" t="n"/>
      <c r="AI210" s="45" t="n"/>
      <c r="AJ210" s="45">
        <f>TABL1234[[#This Row],[(A/B) AJD]]-TABL1234[[#This Row],[BER_IN]]</f>
        <v/>
      </c>
      <c r="AK210" s="45" t="n"/>
      <c r="AL210" s="45" t="n"/>
      <c r="AM210" s="32" t="n"/>
      <c r="AN210" s="32">
        <f>TABL1234[[#This Row],[ (RESV. STORGE) SER]]/10</f>
        <v/>
      </c>
      <c r="AO210" s="68" t="n"/>
      <c r="AP210" s="68">
        <f>TABL1234[[#This Row],[(A/S) AJD]]-TABL1234[[#This Row],[SER_IN]]</f>
        <v/>
      </c>
    </row>
    <row r="211" ht="18.75" customHeight="1">
      <c r="A211" s="2" t="n">
        <v>46597</v>
      </c>
      <c r="B211" s="41" t="n"/>
      <c r="C211" s="41" t="n"/>
      <c r="D211" s="41" t="n"/>
      <c r="E211" s="41" t="n"/>
      <c r="F211" s="41" t="n"/>
      <c r="G211" s="39" t="n"/>
      <c r="H211" s="28">
        <f>103-F211</f>
        <v/>
      </c>
      <c r="I211" s="39" t="n"/>
      <c r="J211" s="39" t="n"/>
      <c r="K211" s="28">
        <f>TABL1234[[#This Row],[ (T/B) SAR]]+TABL1234[[#This Row],[ (S/S) SAR]]</f>
        <v/>
      </c>
      <c r="L211" s="41" t="n"/>
      <c r="M211" s="42" t="n"/>
      <c r="N211" s="42" t="n"/>
      <c r="O211" s="39" t="n"/>
      <c r="P211" s="12">
        <f>TABL1234[[#This Row],[ (S/S) SAR]]-TABL1234[[#This Row],[(S/S) AJD]]</f>
        <v/>
      </c>
      <c r="Q211" s="39" t="n"/>
      <c r="R211" s="12">
        <f>TABL1234[[#This Row],[ (T/B) SAR]]-TABL1234[[#This Row],[(T/B) AJD]]</f>
        <v/>
      </c>
      <c r="S211" s="12">
        <f>TABL1234[[#This Row],[T/B-CON.]]+TABL1234[[#This Row],[S/S_CON.]]</f>
        <v/>
      </c>
      <c r="T211" s="12">
        <f>TABL1234[[#This Row],[(S/S) AJD]]+TABL1234[[#This Row],[(T/B) AJD]]</f>
        <v/>
      </c>
      <c r="U211" s="41" t="n"/>
      <c r="V211" s="41" t="n"/>
      <c r="W211" s="12">
        <f>TABL1234[[#This Row],[(A/B) AJD]]+TABL1234[[#This Row],[(A/S) AJD]]</f>
        <v/>
      </c>
      <c r="X211" s="12">
        <f>TABL1234[[#This Row],[( S/S+T/B) AJD]]-TABL1234[[#This Row],[(A/B + A/S) AJD]]</f>
        <v/>
      </c>
      <c r="Y211" s="41" t="n"/>
      <c r="Z211" s="43" t="n"/>
      <c r="AA211" s="3">
        <f>TABL1234[[#This Row],[(RESV. STORGE) AJD]]/10</f>
        <v/>
      </c>
      <c r="AB211" s="3">
        <f>IF(TRIM(Z211)="",,(Z211-Z210)/1000)</f>
        <v/>
      </c>
      <c r="AC211" s="5" t="n"/>
      <c r="AD211" s="39">
        <f>TABL1234[[#This Row],[( S/S+T/B) AJD]]-(TABL1234[[#This Row],[(A/B + A/S) AJD]]+(TABL1234[[#This Row],[(STORGE DIFF.) AJD]]*1000)+TABL1234[[#This Row],[AJD_Evaporation]])</f>
        <v/>
      </c>
      <c r="AE211" s="41" t="n"/>
      <c r="AF211" s="43" t="n"/>
      <c r="AG211" s="43" t="n"/>
      <c r="AH211" s="6" t="n"/>
      <c r="AI211" s="43" t="n"/>
      <c r="AJ211" s="43">
        <f>TABL1234[[#This Row],[(A/B) AJD]]-TABL1234[[#This Row],[BER_IN]]</f>
        <v/>
      </c>
      <c r="AK211" s="43" t="n"/>
      <c r="AL211" s="43" t="n"/>
      <c r="AM211" s="32" t="n"/>
      <c r="AN211" s="32">
        <f>TABL1234[[#This Row],[ (RESV. STORGE) SER]]/10</f>
        <v/>
      </c>
      <c r="AO211" s="68" t="n"/>
      <c r="AP211" s="68">
        <f>TABL1234[[#This Row],[(A/S) AJD]]-TABL1234[[#This Row],[SER_IN]]</f>
        <v/>
      </c>
    </row>
    <row r="212" ht="18.75" customHeight="1">
      <c r="A212" s="2" t="n">
        <v>46598</v>
      </c>
      <c r="B212" s="44" t="n"/>
      <c r="C212" s="44" t="n"/>
      <c r="D212" s="44" t="n"/>
      <c r="E212" s="44" t="n"/>
      <c r="F212" s="44" t="n"/>
      <c r="G212" s="40" t="n"/>
      <c r="H212" s="28">
        <f>103-F212</f>
        <v/>
      </c>
      <c r="I212" s="40" t="n"/>
      <c r="J212" s="44" t="n"/>
      <c r="K212" s="28">
        <f>TABL1234[[#This Row],[ (T/B) SAR]]+TABL1234[[#This Row],[ (S/S) SAR]]</f>
        <v/>
      </c>
      <c r="L212" s="45" t="n"/>
      <c r="M212" s="46" t="n"/>
      <c r="N212" s="46" t="n"/>
      <c r="O212" s="40" t="n"/>
      <c r="P212" s="12">
        <f>TABL1234[[#This Row],[ (S/S) SAR]]-TABL1234[[#This Row],[(S/S) AJD]]</f>
        <v/>
      </c>
      <c r="Q212" s="40" t="n"/>
      <c r="R212" s="12">
        <f>TABL1234[[#This Row],[ (T/B) SAR]]-TABL1234[[#This Row],[(T/B) AJD]]</f>
        <v/>
      </c>
      <c r="S212" s="12">
        <f>TABL1234[[#This Row],[T/B-CON.]]+TABL1234[[#This Row],[S/S_CON.]]</f>
        <v/>
      </c>
      <c r="T212" s="12">
        <f>TABL1234[[#This Row],[(S/S) AJD]]+TABL1234[[#This Row],[(T/B) AJD]]</f>
        <v/>
      </c>
      <c r="U212" s="44" t="n"/>
      <c r="V212" s="44" t="n"/>
      <c r="W212" s="12">
        <f>TABL1234[[#This Row],[(A/B) AJD]]+TABL1234[[#This Row],[(A/S) AJD]]</f>
        <v/>
      </c>
      <c r="X212" s="12">
        <f>TABL1234[[#This Row],[( S/S+T/B) AJD]]-TABL1234[[#This Row],[(A/B + A/S) AJD]]</f>
        <v/>
      </c>
      <c r="Y212" s="44" t="n"/>
      <c r="Z212" s="45" t="n"/>
      <c r="AA212" s="3">
        <f>TABL1234[[#This Row],[(RESV. STORGE) AJD]]/10</f>
        <v/>
      </c>
      <c r="AB212" s="3">
        <f>IF(TRIM(Z212)="",,(Z212-Z211)/1000)</f>
        <v/>
      </c>
      <c r="AC212" s="5" t="n"/>
      <c r="AD212" s="70">
        <f>TABL1234[[#This Row],[( S/S+T/B) AJD]]-(TABL1234[[#This Row],[(A/B + A/S) AJD]]+(TABL1234[[#This Row],[(STORGE DIFF.) AJD]]*1000)+TABL1234[[#This Row],[AJD_Evaporation]])</f>
        <v/>
      </c>
      <c r="AE212" s="44" t="n"/>
      <c r="AF212" s="45" t="n"/>
      <c r="AG212" s="45" t="n"/>
      <c r="AH212" s="6" t="n"/>
      <c r="AI212" s="45" t="n"/>
      <c r="AJ212" s="90">
        <f>TABL1234[[#This Row],[(A/B) AJD]]-TABL1234[[#This Row],[BER_IN]]</f>
        <v/>
      </c>
      <c r="AK212" s="45" t="n"/>
      <c r="AL212" s="45" t="n"/>
      <c r="AM212" s="32" t="n"/>
      <c r="AN212" s="32">
        <f>TABL1234[[#This Row],[ (RESV. STORGE) SER]]/10</f>
        <v/>
      </c>
      <c r="AO212" s="68" t="n"/>
      <c r="AP212" s="68">
        <f>TABL1234[[#This Row],[(A/S) AJD]]-TABL1234[[#This Row],[SER_IN]]</f>
        <v/>
      </c>
    </row>
    <row r="213" ht="18.75" customHeight="1">
      <c r="A213" s="2" t="n">
        <v>46599</v>
      </c>
      <c r="B213" s="41" t="n"/>
      <c r="C213" s="41" t="n"/>
      <c r="D213" s="41" t="n"/>
      <c r="E213" s="41" t="n"/>
      <c r="F213" s="41" t="n"/>
      <c r="G213" s="39" t="n"/>
      <c r="H213" s="28">
        <f>103-F213</f>
        <v/>
      </c>
      <c r="I213" s="39" t="n"/>
      <c r="J213" s="39" t="n"/>
      <c r="K213" s="28">
        <f>TABL1234[[#This Row],[ (T/B) SAR]]+TABL1234[[#This Row],[ (S/S) SAR]]</f>
        <v/>
      </c>
      <c r="L213" s="41" t="n"/>
      <c r="M213" s="42" t="n"/>
      <c r="N213" s="42" t="n"/>
      <c r="O213" s="39" t="n"/>
      <c r="P213" s="12">
        <f>TABL1234[[#This Row],[ (S/S) SAR]]-TABL1234[[#This Row],[(S/S) AJD]]</f>
        <v/>
      </c>
      <c r="Q213" s="39" t="n"/>
      <c r="R213" s="12">
        <f>TABL1234[[#This Row],[ (T/B) SAR]]-TABL1234[[#This Row],[(T/B) AJD]]</f>
        <v/>
      </c>
      <c r="S213" s="12">
        <f>TABL1234[[#This Row],[T/B-CON.]]+TABL1234[[#This Row],[S/S_CON.]]</f>
        <v/>
      </c>
      <c r="T213" s="12">
        <f>TABL1234[[#This Row],[(S/S) AJD]]+TABL1234[[#This Row],[(T/B) AJD]]</f>
        <v/>
      </c>
      <c r="U213" s="41" t="n"/>
      <c r="V213" s="41" t="n"/>
      <c r="W213" s="12">
        <f>TABL1234[[#This Row],[(A/B) AJD]]+TABL1234[[#This Row],[(A/S) AJD]]</f>
        <v/>
      </c>
      <c r="X213" s="12">
        <f>TABL1234[[#This Row],[( S/S+T/B) AJD]]-TABL1234[[#This Row],[(A/B + A/S) AJD]]</f>
        <v/>
      </c>
      <c r="Y213" s="41" t="n"/>
      <c r="Z213" s="43" t="n"/>
      <c r="AA213" s="3">
        <f>TABL1234[[#This Row],[(RESV. STORGE) AJD]]/10</f>
        <v/>
      </c>
      <c r="AB213" s="3">
        <f>IF(TRIM(Z213)="",,(Z213-Z212)/1000)</f>
        <v/>
      </c>
      <c r="AC213" s="5" t="n"/>
      <c r="AD213" s="39">
        <f>TABL1234[[#This Row],[( S/S+T/B) AJD]]-(TABL1234[[#This Row],[(A/B + A/S) AJD]]+(TABL1234[[#This Row],[(STORGE DIFF.) AJD]]*1000)+TABL1234[[#This Row],[AJD_Evaporation]])</f>
        <v/>
      </c>
      <c r="AE213" s="41" t="n"/>
      <c r="AF213" s="43" t="n"/>
      <c r="AG213" s="43" t="n"/>
      <c r="AH213" s="6" t="n"/>
      <c r="AI213" s="43" t="n"/>
      <c r="AJ213" s="43">
        <f>TABL1234[[#This Row],[(A/B) AJD]]-TABL1234[[#This Row],[BER_IN]]</f>
        <v/>
      </c>
      <c r="AK213" s="43" t="n"/>
      <c r="AL213" s="43" t="n"/>
      <c r="AM213" s="32" t="n"/>
      <c r="AN213" s="32">
        <f>TABL1234[[#This Row],[ (RESV. STORGE) SER]]/10</f>
        <v/>
      </c>
      <c r="AO213" s="68" t="n"/>
      <c r="AP213" s="68">
        <f>TABL1234[[#This Row],[(A/S) AJD]]-TABL1234[[#This Row],[SER_IN]]</f>
        <v/>
      </c>
    </row>
    <row r="214" ht="18.75" customHeight="1">
      <c r="A214" s="2" t="n">
        <v>46600</v>
      </c>
      <c r="B214" s="41" t="n"/>
      <c r="C214" s="41" t="n"/>
      <c r="D214" s="41" t="n"/>
      <c r="E214" s="28" t="n"/>
      <c r="F214" s="41" t="n"/>
      <c r="G214" s="39" t="n"/>
      <c r="H214" s="28">
        <f>103-F214</f>
        <v/>
      </c>
      <c r="I214" s="39" t="n"/>
      <c r="J214" s="39" t="n"/>
      <c r="K214" s="28">
        <f>TABL1234[[#This Row],[ (T/B) SAR]]+TABL1234[[#This Row],[ (S/S) SAR]]</f>
        <v/>
      </c>
      <c r="L214" s="41" t="n"/>
      <c r="M214" s="42" t="n"/>
      <c r="N214" s="42" t="n"/>
      <c r="O214" s="39" t="n"/>
      <c r="P214" s="3">
        <f>TABL1234[[#This Row],[ (S/S) SAR]]-TABL1234[[#This Row],[(S/S) AJD]]</f>
        <v/>
      </c>
      <c r="Q214" s="39" t="n"/>
      <c r="R214" s="3">
        <f>TABL1234[[#This Row],[ (T/B) SAR]]-TABL1234[[#This Row],[(T/B) AJD]]</f>
        <v/>
      </c>
      <c r="S214" s="3">
        <f>TABL1234[[#This Row],[T/B-CON.]]+TABL1234[[#This Row],[S/S_CON.]]</f>
        <v/>
      </c>
      <c r="T214" s="3">
        <f>TABL1234[[#This Row],[(S/S) AJD]]+TABL1234[[#This Row],[(T/B) AJD]]</f>
        <v/>
      </c>
      <c r="U214" s="41" t="n"/>
      <c r="V214" s="41" t="n"/>
      <c r="W214" s="3">
        <f>TABL1234[[#This Row],[(A/B) AJD]]+TABL1234[[#This Row],[(A/S) AJD]]</f>
        <v/>
      </c>
      <c r="X214" s="3">
        <f>TABL1234[[#This Row],[( S/S+T/B) AJD]]-TABL1234[[#This Row],[(A/B + A/S) AJD]]</f>
        <v/>
      </c>
      <c r="Y214" s="41" t="n"/>
      <c r="Z214" s="43" t="n"/>
      <c r="AA214" s="3">
        <f>TABL1234[[#This Row],[(RESV. STORGE) AJD]]/10</f>
        <v/>
      </c>
      <c r="AB214" s="3">
        <f>IF(TRIM(Z214)="",,(Z214-Z213)/1000)</f>
        <v/>
      </c>
      <c r="AC214" s="5" t="n"/>
      <c r="AD214" s="39">
        <f>TABL1234[[#This Row],[( S/S+T/B) AJD]]-(TABL1234[[#This Row],[(A/B + A/S) AJD]]+(TABL1234[[#This Row],[(STORGE DIFF.) AJD]]*1000)+TABL1234[[#This Row],[AJD_Evaporation]])</f>
        <v/>
      </c>
      <c r="AE214" s="41" t="n"/>
      <c r="AF214" s="43" t="n"/>
      <c r="AG214" s="43" t="n"/>
      <c r="AH214" s="6" t="n"/>
      <c r="AI214" s="43" t="n"/>
      <c r="AJ214" s="43">
        <f>TABL1234[[#This Row],[(A/B) AJD]]-TABL1234[[#This Row],[BER_IN]]</f>
        <v/>
      </c>
      <c r="AK214" s="43" t="n"/>
      <c r="AL214" s="43" t="n"/>
      <c r="AM214" s="32" t="n"/>
      <c r="AN214" s="32">
        <f>TABL1234[[#This Row],[ (RESV. STORGE) SER]]/10</f>
        <v/>
      </c>
      <c r="AO214" s="68" t="n"/>
      <c r="AP214" s="68">
        <f>TABL1234[[#This Row],[(A/S) AJD]]-TABL1234[[#This Row],[SER_IN]]</f>
        <v/>
      </c>
    </row>
    <row r="215" ht="18.75" customHeight="1">
      <c r="A215" s="2" t="n">
        <v>46601</v>
      </c>
      <c r="B215" s="44" t="n"/>
      <c r="C215" s="44" t="n"/>
      <c r="D215" s="44" t="n"/>
      <c r="E215" s="28" t="n"/>
      <c r="F215" s="44" t="n"/>
      <c r="G215" s="40" t="n"/>
      <c r="H215" s="28">
        <f>103-F215</f>
        <v/>
      </c>
      <c r="I215" s="40" t="n"/>
      <c r="J215" s="44" t="n"/>
      <c r="K215" s="28">
        <f>TABL1234[[#This Row],[ (T/B) SAR]]+TABL1234[[#This Row],[ (S/S) SAR]]</f>
        <v/>
      </c>
      <c r="L215" s="45" t="n"/>
      <c r="M215" s="46" t="n"/>
      <c r="N215" s="46" t="n"/>
      <c r="O215" s="40" t="n"/>
      <c r="P215" s="3">
        <f>TABL1234[[#This Row],[ (S/S) SAR]]-TABL1234[[#This Row],[(S/S) AJD]]</f>
        <v/>
      </c>
      <c r="Q215" s="40" t="n"/>
      <c r="R215" s="3">
        <f>TABL1234[[#This Row],[ (T/B) SAR]]-TABL1234[[#This Row],[(T/B) AJD]]</f>
        <v/>
      </c>
      <c r="S215" s="3">
        <f>TABL1234[[#This Row],[T/B-CON.]]+TABL1234[[#This Row],[S/S_CON.]]</f>
        <v/>
      </c>
      <c r="T215" s="3">
        <f>TABL1234[[#This Row],[(S/S) AJD]]+TABL1234[[#This Row],[(T/B) AJD]]</f>
        <v/>
      </c>
      <c r="U215" s="44" t="n"/>
      <c r="V215" s="44" t="n"/>
      <c r="W215" s="3">
        <f>TABL1234[[#This Row],[(A/B) AJD]]+TABL1234[[#This Row],[(A/S) AJD]]</f>
        <v/>
      </c>
      <c r="X215" s="3">
        <f>TABL1234[[#This Row],[( S/S+T/B) AJD]]-TABL1234[[#This Row],[(A/B + A/S) AJD]]</f>
        <v/>
      </c>
      <c r="Y215" s="44" t="n"/>
      <c r="Z215" s="45" t="n"/>
      <c r="AA215" s="3">
        <f>TABL1234[[#This Row],[(RESV. STORGE) AJD]]/10</f>
        <v/>
      </c>
      <c r="AB215" s="3">
        <f>IF(TRIM(Z215)="",,(Z215-Z214)/1000)</f>
        <v/>
      </c>
      <c r="AC215" s="5" t="n"/>
      <c r="AD215" s="40">
        <f>TABL1234[[#This Row],[( S/S+T/B) AJD]]-(TABL1234[[#This Row],[(A/B + A/S) AJD]]+(TABL1234[[#This Row],[(STORGE DIFF.) AJD]]*1000)+TABL1234[[#This Row],[AJD_Evaporation]])</f>
        <v/>
      </c>
      <c r="AE215" s="44" t="n"/>
      <c r="AF215" s="45" t="n"/>
      <c r="AG215" s="45" t="n"/>
      <c r="AH215" s="6" t="n"/>
      <c r="AI215" s="45" t="n"/>
      <c r="AJ215" s="45">
        <f>TABL1234[[#This Row],[(A/B) AJD]]-TABL1234[[#This Row],[BER_IN]]</f>
        <v/>
      </c>
      <c r="AK215" s="45" t="n"/>
      <c r="AL215" s="45" t="n"/>
      <c r="AM215" s="32" t="n"/>
      <c r="AN215" s="32">
        <f>TABL1234[[#This Row],[ (RESV. STORGE) SER]]/10</f>
        <v/>
      </c>
      <c r="AO215" s="68" t="n"/>
      <c r="AP215" s="68">
        <f>TABL1234[[#This Row],[(A/S) AJD]]-TABL1234[[#This Row],[SER_IN]]</f>
        <v/>
      </c>
    </row>
    <row r="216" ht="18.75" customHeight="1">
      <c r="A216" s="2" t="n">
        <v>46602</v>
      </c>
      <c r="B216" s="41" t="n"/>
      <c r="C216" s="41" t="n"/>
      <c r="D216" s="41" t="n"/>
      <c r="E216" s="28" t="n"/>
      <c r="F216" s="41" t="n"/>
      <c r="G216" s="39" t="n"/>
      <c r="H216" s="28">
        <f>103-F216</f>
        <v/>
      </c>
      <c r="I216" s="39" t="n"/>
      <c r="J216" s="39" t="n"/>
      <c r="K216" s="28">
        <f>TABL1234[[#This Row],[ (T/B) SAR]]+TABL1234[[#This Row],[ (S/S) SAR]]</f>
        <v/>
      </c>
      <c r="L216" s="41" t="n"/>
      <c r="M216" s="42" t="n"/>
      <c r="N216" s="42" t="n"/>
      <c r="O216" s="39" t="n"/>
      <c r="P216" s="3">
        <f>TABL1234[[#This Row],[ (S/S) SAR]]-TABL1234[[#This Row],[(S/S) AJD]]</f>
        <v/>
      </c>
      <c r="Q216" s="39" t="n"/>
      <c r="R216" s="3">
        <f>TABL1234[[#This Row],[ (T/B) SAR]]-TABL1234[[#This Row],[(T/B) AJD]]</f>
        <v/>
      </c>
      <c r="S216" s="3">
        <f>TABL1234[[#This Row],[T/B-CON.]]+TABL1234[[#This Row],[S/S_CON.]]</f>
        <v/>
      </c>
      <c r="T216" s="3">
        <f>TABL1234[[#This Row],[(S/S) AJD]]+TABL1234[[#This Row],[(T/B) AJD]]</f>
        <v/>
      </c>
      <c r="U216" s="41" t="n"/>
      <c r="V216" s="41" t="n"/>
      <c r="W216" s="3">
        <f>TABL1234[[#This Row],[(A/B) AJD]]+TABL1234[[#This Row],[(A/S) AJD]]</f>
        <v/>
      </c>
      <c r="X216" s="3">
        <f>TABL1234[[#This Row],[( S/S+T/B) AJD]]-TABL1234[[#This Row],[(A/B + A/S) AJD]]</f>
        <v/>
      </c>
      <c r="Y216" s="41" t="n"/>
      <c r="Z216" s="43" t="n"/>
      <c r="AA216" s="3">
        <f>TABL1234[[#This Row],[(RESV. STORGE) AJD]]/10</f>
        <v/>
      </c>
      <c r="AB216" s="3">
        <f>IF(TRIM(Z216)="",,(Z216-Z215)/1000)</f>
        <v/>
      </c>
      <c r="AC216" s="5" t="n"/>
      <c r="AD216" s="39">
        <f>TABL1234[[#This Row],[( S/S+T/B) AJD]]-(TABL1234[[#This Row],[(A/B + A/S) AJD]]+(TABL1234[[#This Row],[(STORGE DIFF.) AJD]]*1000)+TABL1234[[#This Row],[AJD_Evaporation]])</f>
        <v/>
      </c>
      <c r="AE216" s="41" t="n"/>
      <c r="AF216" s="43" t="n"/>
      <c r="AG216" s="43" t="n"/>
      <c r="AH216" s="6" t="n"/>
      <c r="AI216" s="43" t="n"/>
      <c r="AJ216" s="43">
        <f>TABL1234[[#This Row],[(A/B) AJD]]-TABL1234[[#This Row],[BER_IN]]</f>
        <v/>
      </c>
      <c r="AK216" s="43" t="n"/>
      <c r="AL216" s="43" t="n"/>
      <c r="AM216" s="32" t="n"/>
      <c r="AN216" s="32">
        <f>TABL1234[[#This Row],[ (RESV. STORGE) SER]]/10</f>
        <v/>
      </c>
      <c r="AO216" s="68" t="n"/>
      <c r="AP216" s="68">
        <f>TABL1234[[#This Row],[(A/S) AJD]]-TABL1234[[#This Row],[SER_IN]]</f>
        <v/>
      </c>
    </row>
    <row r="217" ht="18.75" customHeight="1">
      <c r="A217" s="2" t="n">
        <v>46603</v>
      </c>
      <c r="B217" s="44" t="n"/>
      <c r="C217" s="44" t="n"/>
      <c r="D217" s="44" t="n"/>
      <c r="E217" s="28" t="n"/>
      <c r="F217" s="44" t="n"/>
      <c r="G217" s="40" t="n"/>
      <c r="H217" s="28">
        <f>103-F217</f>
        <v/>
      </c>
      <c r="I217" s="40" t="n"/>
      <c r="J217" s="44" t="n"/>
      <c r="K217" s="28">
        <f>TABL1234[[#This Row],[ (T/B) SAR]]+TABL1234[[#This Row],[ (S/S) SAR]]</f>
        <v/>
      </c>
      <c r="L217" s="45" t="n"/>
      <c r="M217" s="46" t="n"/>
      <c r="N217" s="46" t="n"/>
      <c r="O217" s="40" t="n"/>
      <c r="P217" s="3">
        <f>TABL1234[[#This Row],[ (S/S) SAR]]-TABL1234[[#This Row],[(S/S) AJD]]</f>
        <v/>
      </c>
      <c r="Q217" s="40" t="n"/>
      <c r="R217" s="3">
        <f>TABL1234[[#This Row],[ (T/B) SAR]]-TABL1234[[#This Row],[(T/B) AJD]]</f>
        <v/>
      </c>
      <c r="S217" s="3">
        <f>TABL1234[[#This Row],[T/B-CON.]]+TABL1234[[#This Row],[S/S_CON.]]</f>
        <v/>
      </c>
      <c r="T217" s="3">
        <f>TABL1234[[#This Row],[(S/S) AJD]]+TABL1234[[#This Row],[(T/B) AJD]]</f>
        <v/>
      </c>
      <c r="U217" s="44" t="n"/>
      <c r="V217" s="44" t="n"/>
      <c r="W217" s="3">
        <f>TABL1234[[#This Row],[(A/B) AJD]]+TABL1234[[#This Row],[(A/S) AJD]]</f>
        <v/>
      </c>
      <c r="X217" s="3">
        <f>TABL1234[[#This Row],[( S/S+T/B) AJD]]-TABL1234[[#This Row],[(A/B + A/S) AJD]]</f>
        <v/>
      </c>
      <c r="Y217" s="44" t="n"/>
      <c r="Z217" s="45" t="n"/>
      <c r="AA217" s="3">
        <f>TABL1234[[#This Row],[(RESV. STORGE) AJD]]/10</f>
        <v/>
      </c>
      <c r="AB217" s="3">
        <f>IF(TRIM(Z217)="",,(Z217-Z216)/1000)</f>
        <v/>
      </c>
      <c r="AC217" s="5" t="n"/>
      <c r="AD217" s="40">
        <f>TABL1234[[#This Row],[( S/S+T/B) AJD]]-(TABL1234[[#This Row],[(A/B + A/S) AJD]]+(TABL1234[[#This Row],[(STORGE DIFF.) AJD]]*1000)+TABL1234[[#This Row],[AJD_Evaporation]])</f>
        <v/>
      </c>
      <c r="AE217" s="44" t="n"/>
      <c r="AF217" s="45" t="n"/>
      <c r="AG217" s="45" t="n"/>
      <c r="AH217" s="6" t="n"/>
      <c r="AI217" s="45" t="n"/>
      <c r="AJ217" s="45">
        <f>TABL1234[[#This Row],[(A/B) AJD]]-TABL1234[[#This Row],[BER_IN]]</f>
        <v/>
      </c>
      <c r="AK217" s="45" t="n"/>
      <c r="AL217" s="45" t="n"/>
      <c r="AM217" s="32" t="n"/>
      <c r="AN217" s="32">
        <f>TABL1234[[#This Row],[ (RESV. STORGE) SER]]/10</f>
        <v/>
      </c>
      <c r="AO217" s="68" t="n"/>
      <c r="AP217" s="68">
        <f>TABL1234[[#This Row],[(A/S) AJD]]-TABL1234[[#This Row],[SER_IN]]</f>
        <v/>
      </c>
    </row>
    <row r="218" ht="18.75" customHeight="1">
      <c r="A218" s="2" t="n">
        <v>46604</v>
      </c>
      <c r="B218" s="41" t="n"/>
      <c r="C218" s="41" t="n"/>
      <c r="D218" s="41" t="n"/>
      <c r="E218" s="28" t="n"/>
      <c r="F218" s="41" t="n"/>
      <c r="G218" s="39" t="n"/>
      <c r="H218" s="28">
        <f>103-F218</f>
        <v/>
      </c>
      <c r="I218" s="39" t="n"/>
      <c r="J218" s="39" t="n"/>
      <c r="K218" s="28">
        <f>TABL1234[[#This Row],[ (T/B) SAR]]+TABL1234[[#This Row],[ (S/S) SAR]]</f>
        <v/>
      </c>
      <c r="L218" s="41" t="n"/>
      <c r="M218" s="42" t="n"/>
      <c r="N218" s="42" t="n"/>
      <c r="O218" s="39" t="n"/>
      <c r="P218" s="3">
        <f>TABL1234[[#This Row],[ (S/S) SAR]]-TABL1234[[#This Row],[(S/S) AJD]]</f>
        <v/>
      </c>
      <c r="Q218" s="39" t="n"/>
      <c r="R218" s="3">
        <f>TABL1234[[#This Row],[ (T/B) SAR]]-TABL1234[[#This Row],[(T/B) AJD]]</f>
        <v/>
      </c>
      <c r="S218" s="3">
        <f>TABL1234[[#This Row],[T/B-CON.]]+TABL1234[[#This Row],[S/S_CON.]]</f>
        <v/>
      </c>
      <c r="T218" s="3">
        <f>TABL1234[[#This Row],[(S/S) AJD]]+TABL1234[[#This Row],[(T/B) AJD]]</f>
        <v/>
      </c>
      <c r="U218" s="41" t="n"/>
      <c r="V218" s="41" t="n"/>
      <c r="W218" s="3">
        <f>TABL1234[[#This Row],[(A/B) AJD]]+TABL1234[[#This Row],[(A/S) AJD]]</f>
        <v/>
      </c>
      <c r="X218" s="3">
        <f>TABL1234[[#This Row],[( S/S+T/B) AJD]]-TABL1234[[#This Row],[(A/B + A/S) AJD]]</f>
        <v/>
      </c>
      <c r="Y218" s="41" t="n"/>
      <c r="Z218" s="43" t="n"/>
      <c r="AA218" s="3">
        <f>TABL1234[[#This Row],[(RESV. STORGE) AJD]]/10</f>
        <v/>
      </c>
      <c r="AB218" s="3">
        <f>IF(TRIM(Z218)="",,(Z218-Z217)/1000)</f>
        <v/>
      </c>
      <c r="AC218" s="5" t="n"/>
      <c r="AD218" s="39">
        <f>TABL1234[[#This Row],[( S/S+T/B) AJD]]-(TABL1234[[#This Row],[(A/B + A/S) AJD]]+(TABL1234[[#This Row],[(STORGE DIFF.) AJD]]*1000)+TABL1234[[#This Row],[AJD_Evaporation]])</f>
        <v/>
      </c>
      <c r="AE218" s="41" t="n"/>
      <c r="AF218" s="43" t="n"/>
      <c r="AG218" s="43" t="n"/>
      <c r="AH218" s="6" t="n"/>
      <c r="AI218" s="43" t="n"/>
      <c r="AJ218" s="43">
        <f>TABL1234[[#This Row],[(A/B) AJD]]-TABL1234[[#This Row],[BER_IN]]</f>
        <v/>
      </c>
      <c r="AK218" s="43" t="n"/>
      <c r="AL218" s="43" t="n"/>
      <c r="AM218" s="32" t="n"/>
      <c r="AN218" s="32">
        <f>TABL1234[[#This Row],[ (RESV. STORGE) SER]]/10</f>
        <v/>
      </c>
      <c r="AO218" s="68" t="n"/>
      <c r="AP218" s="68">
        <f>TABL1234[[#This Row],[(A/S) AJD]]-TABL1234[[#This Row],[SER_IN]]</f>
        <v/>
      </c>
    </row>
    <row r="219" ht="18.75" customHeight="1">
      <c r="A219" s="2" t="n">
        <v>46605</v>
      </c>
      <c r="B219" s="44" t="n"/>
      <c r="C219" s="44" t="n"/>
      <c r="D219" s="44" t="n"/>
      <c r="E219" s="28" t="n"/>
      <c r="F219" s="44" t="n"/>
      <c r="G219" s="40" t="n"/>
      <c r="H219" s="28">
        <f>103-F219</f>
        <v/>
      </c>
      <c r="I219" s="40" t="n"/>
      <c r="J219" s="44" t="n"/>
      <c r="K219" s="28">
        <f>TABL1234[[#This Row],[ (T/B) SAR]]+TABL1234[[#This Row],[ (S/S) SAR]]</f>
        <v/>
      </c>
      <c r="L219" s="45" t="n"/>
      <c r="M219" s="46" t="n"/>
      <c r="N219" s="46" t="n"/>
      <c r="O219" s="40" t="n"/>
      <c r="P219" s="3">
        <f>TABL1234[[#This Row],[ (S/S) SAR]]-TABL1234[[#This Row],[(S/S) AJD]]</f>
        <v/>
      </c>
      <c r="Q219" s="40" t="n"/>
      <c r="R219" s="3">
        <f>TABL1234[[#This Row],[ (T/B) SAR]]-TABL1234[[#This Row],[(T/B) AJD]]</f>
        <v/>
      </c>
      <c r="S219" s="3">
        <f>TABL1234[[#This Row],[T/B-CON.]]+TABL1234[[#This Row],[S/S_CON.]]</f>
        <v/>
      </c>
      <c r="T219" s="3">
        <f>TABL1234[[#This Row],[(S/S) AJD]]+TABL1234[[#This Row],[(T/B) AJD]]</f>
        <v/>
      </c>
      <c r="U219" s="44" t="n"/>
      <c r="V219" s="44" t="n"/>
      <c r="W219" s="3">
        <f>TABL1234[[#This Row],[(A/B) AJD]]+TABL1234[[#This Row],[(A/S) AJD]]</f>
        <v/>
      </c>
      <c r="X219" s="3">
        <f>TABL1234[[#This Row],[( S/S+T/B) AJD]]-TABL1234[[#This Row],[(A/B + A/S) AJD]]</f>
        <v/>
      </c>
      <c r="Y219" s="44" t="n"/>
      <c r="Z219" s="45" t="n"/>
      <c r="AA219" s="3">
        <f>TABL1234[[#This Row],[(RESV. STORGE) AJD]]/10</f>
        <v/>
      </c>
      <c r="AB219" s="3">
        <f>IF(TRIM(Z219)="",,(Z219-Z218)/1000)</f>
        <v/>
      </c>
      <c r="AC219" s="5" t="n"/>
      <c r="AD219" s="40">
        <f>TABL1234[[#This Row],[( S/S+T/B) AJD]]-(TABL1234[[#This Row],[(A/B + A/S) AJD]]+(TABL1234[[#This Row],[(STORGE DIFF.) AJD]]*1000)+TABL1234[[#This Row],[AJD_Evaporation]])</f>
        <v/>
      </c>
      <c r="AE219" s="44" t="n"/>
      <c r="AF219" s="45" t="n"/>
      <c r="AG219" s="45" t="n"/>
      <c r="AH219" s="6" t="n"/>
      <c r="AI219" s="45" t="n"/>
      <c r="AJ219" s="45">
        <f>TABL1234[[#This Row],[(A/B) AJD]]-TABL1234[[#This Row],[BER_IN]]</f>
        <v/>
      </c>
      <c r="AK219" s="45" t="n"/>
      <c r="AL219" s="45" t="n"/>
      <c r="AM219" s="32" t="n"/>
      <c r="AN219" s="32">
        <f>TABL1234[[#This Row],[ (RESV. STORGE) SER]]/10</f>
        <v/>
      </c>
      <c r="AO219" s="68" t="n"/>
      <c r="AP219" s="68">
        <f>TABL1234[[#This Row],[(A/S) AJD]]-TABL1234[[#This Row],[SER_IN]]</f>
        <v/>
      </c>
    </row>
    <row r="220" ht="18.75" customHeight="1">
      <c r="A220" s="2" t="n">
        <v>46606</v>
      </c>
      <c r="B220" s="41" t="n"/>
      <c r="C220" s="41" t="n"/>
      <c r="D220" s="41" t="n"/>
      <c r="E220" s="28" t="n"/>
      <c r="F220" s="41" t="n"/>
      <c r="G220" s="39" t="n"/>
      <c r="H220" s="28">
        <f>103-F220</f>
        <v/>
      </c>
      <c r="I220" s="39" t="n"/>
      <c r="J220" s="39" t="n"/>
      <c r="K220" s="28">
        <f>TABL1234[[#This Row],[ (T/B) SAR]]+TABL1234[[#This Row],[ (S/S) SAR]]</f>
        <v/>
      </c>
      <c r="L220" s="41" t="n"/>
      <c r="M220" s="42" t="n"/>
      <c r="N220" s="42" t="n"/>
      <c r="O220" s="39" t="n"/>
      <c r="P220" s="3">
        <f>TABL1234[[#This Row],[ (S/S) SAR]]-TABL1234[[#This Row],[(S/S) AJD]]</f>
        <v/>
      </c>
      <c r="Q220" s="39" t="n"/>
      <c r="R220" s="3">
        <f>TABL1234[[#This Row],[ (T/B) SAR]]-TABL1234[[#This Row],[(T/B) AJD]]</f>
        <v/>
      </c>
      <c r="S220" s="3">
        <f>TABL1234[[#This Row],[T/B-CON.]]+TABL1234[[#This Row],[S/S_CON.]]</f>
        <v/>
      </c>
      <c r="T220" s="3">
        <f>TABL1234[[#This Row],[(S/S) AJD]]+TABL1234[[#This Row],[(T/B) AJD]]</f>
        <v/>
      </c>
      <c r="U220" s="41" t="n"/>
      <c r="V220" s="41" t="n"/>
      <c r="W220" s="3">
        <f>TABL1234[[#This Row],[(A/B) AJD]]+TABL1234[[#This Row],[(A/S) AJD]]</f>
        <v/>
      </c>
      <c r="X220" s="3">
        <f>TABL1234[[#This Row],[( S/S+T/B) AJD]]-TABL1234[[#This Row],[(A/B + A/S) AJD]]</f>
        <v/>
      </c>
      <c r="Y220" s="41" t="n"/>
      <c r="Z220" s="43" t="n"/>
      <c r="AA220" s="3">
        <f>TABL1234[[#This Row],[(RESV. STORGE) AJD]]/10</f>
        <v/>
      </c>
      <c r="AB220" s="3">
        <f>IF(TRIM(Z220)="",,(Z220-Z219)/1000)</f>
        <v/>
      </c>
      <c r="AC220" s="5" t="n"/>
      <c r="AD220" s="39">
        <f>TABL1234[[#This Row],[( S/S+T/B) AJD]]-(TABL1234[[#This Row],[(A/B + A/S) AJD]]+(TABL1234[[#This Row],[(STORGE DIFF.) AJD]]*1000)+TABL1234[[#This Row],[AJD_Evaporation]])</f>
        <v/>
      </c>
      <c r="AE220" s="41" t="n"/>
      <c r="AF220" s="43" t="n"/>
      <c r="AG220" s="43" t="n"/>
      <c r="AH220" s="6" t="n"/>
      <c r="AI220" s="43" t="n"/>
      <c r="AJ220" s="43">
        <f>TABL1234[[#This Row],[(A/B) AJD]]-TABL1234[[#This Row],[BER_IN]]</f>
        <v/>
      </c>
      <c r="AK220" s="43" t="n"/>
      <c r="AL220" s="43" t="n"/>
      <c r="AM220" s="32" t="n"/>
      <c r="AN220" s="32">
        <f>TABL1234[[#This Row],[ (RESV. STORGE) SER]]/10</f>
        <v/>
      </c>
      <c r="AO220" s="68" t="n"/>
      <c r="AP220" s="68">
        <f>TABL1234[[#This Row],[(A/S) AJD]]-TABL1234[[#This Row],[SER_IN]]</f>
        <v/>
      </c>
    </row>
    <row r="221" ht="18.75" customHeight="1">
      <c r="A221" s="2" t="n">
        <v>46607</v>
      </c>
      <c r="B221" s="44" t="n"/>
      <c r="C221" s="44" t="n"/>
      <c r="D221" s="44" t="n"/>
      <c r="E221" s="28" t="n"/>
      <c r="F221" s="44" t="n"/>
      <c r="G221" s="40" t="n"/>
      <c r="H221" s="28">
        <f>103-F221</f>
        <v/>
      </c>
      <c r="I221" s="40" t="n"/>
      <c r="J221" s="44" t="n"/>
      <c r="K221" s="28">
        <f>TABL1234[[#This Row],[ (T/B) SAR]]+TABL1234[[#This Row],[ (S/S) SAR]]</f>
        <v/>
      </c>
      <c r="L221" s="45" t="n"/>
      <c r="M221" s="46" t="n"/>
      <c r="N221" s="46" t="n"/>
      <c r="O221" s="40" t="n"/>
      <c r="P221" s="3">
        <f>TABL1234[[#This Row],[ (S/S) SAR]]-TABL1234[[#This Row],[(S/S) AJD]]</f>
        <v/>
      </c>
      <c r="Q221" s="40" t="n"/>
      <c r="R221" s="3">
        <f>TABL1234[[#This Row],[ (T/B) SAR]]-TABL1234[[#This Row],[(T/B) AJD]]</f>
        <v/>
      </c>
      <c r="S221" s="3">
        <f>TABL1234[[#This Row],[T/B-CON.]]+TABL1234[[#This Row],[S/S_CON.]]</f>
        <v/>
      </c>
      <c r="T221" s="3">
        <f>TABL1234[[#This Row],[(S/S) AJD]]+TABL1234[[#This Row],[(T/B) AJD]]</f>
        <v/>
      </c>
      <c r="U221" s="44" t="n"/>
      <c r="V221" s="44" t="n"/>
      <c r="W221" s="3">
        <f>TABL1234[[#This Row],[(A/B) AJD]]+TABL1234[[#This Row],[(A/S) AJD]]</f>
        <v/>
      </c>
      <c r="X221" s="3">
        <f>TABL1234[[#This Row],[( S/S+T/B) AJD]]-TABL1234[[#This Row],[(A/B + A/S) AJD]]</f>
        <v/>
      </c>
      <c r="Y221" s="44" t="n"/>
      <c r="Z221" s="45" t="n"/>
      <c r="AA221" s="3">
        <f>TABL1234[[#This Row],[(RESV. STORGE) AJD]]/10</f>
        <v/>
      </c>
      <c r="AB221" s="3">
        <f>IF(TRIM(Z221)="",,(Z221-Z220)/1000)</f>
        <v/>
      </c>
      <c r="AC221" s="5" t="n"/>
      <c r="AD221" s="40">
        <f>TABL1234[[#This Row],[( S/S+T/B) AJD]]-(TABL1234[[#This Row],[(A/B + A/S) AJD]]+(TABL1234[[#This Row],[(STORGE DIFF.) AJD]]*1000)+TABL1234[[#This Row],[AJD_Evaporation]])</f>
        <v/>
      </c>
      <c r="AE221" s="44" t="n"/>
      <c r="AF221" s="45" t="n"/>
      <c r="AG221" s="45" t="n"/>
      <c r="AH221" s="6" t="n"/>
      <c r="AI221" s="45" t="n"/>
      <c r="AJ221" s="45">
        <f>TABL1234[[#This Row],[(A/B) AJD]]-TABL1234[[#This Row],[BER_IN]]</f>
        <v/>
      </c>
      <c r="AK221" s="45" t="n"/>
      <c r="AL221" s="45" t="n"/>
      <c r="AM221" s="32" t="n"/>
      <c r="AN221" s="32">
        <f>TABL1234[[#This Row],[ (RESV. STORGE) SER]]/10</f>
        <v/>
      </c>
      <c r="AO221" s="68" t="n"/>
      <c r="AP221" s="68">
        <f>TABL1234[[#This Row],[(A/S) AJD]]-TABL1234[[#This Row],[SER_IN]]</f>
        <v/>
      </c>
    </row>
    <row r="222" ht="18.75" customHeight="1">
      <c r="A222" s="2" t="n">
        <v>46608</v>
      </c>
      <c r="B222" s="41" t="n"/>
      <c r="C222" s="41" t="n"/>
      <c r="D222" s="41" t="n"/>
      <c r="E222" s="28" t="n"/>
      <c r="F222" s="41" t="n"/>
      <c r="G222" s="39" t="n"/>
      <c r="H222" s="28">
        <f>103-F222</f>
        <v/>
      </c>
      <c r="I222" s="39" t="n"/>
      <c r="J222" s="39" t="n"/>
      <c r="K222" s="28">
        <f>TABL1234[[#This Row],[ (T/B) SAR]]+TABL1234[[#This Row],[ (S/S) SAR]]</f>
        <v/>
      </c>
      <c r="L222" s="41" t="n"/>
      <c r="M222" s="42" t="n"/>
      <c r="N222" s="42" t="n"/>
      <c r="O222" s="39" t="n"/>
      <c r="P222" s="3">
        <f>TABL1234[[#This Row],[ (S/S) SAR]]-TABL1234[[#This Row],[(S/S) AJD]]</f>
        <v/>
      </c>
      <c r="Q222" s="39" t="n"/>
      <c r="R222" s="3">
        <f>TABL1234[[#This Row],[ (T/B) SAR]]-TABL1234[[#This Row],[(T/B) AJD]]</f>
        <v/>
      </c>
      <c r="S222" s="3">
        <f>TABL1234[[#This Row],[T/B-CON.]]+TABL1234[[#This Row],[S/S_CON.]]</f>
        <v/>
      </c>
      <c r="T222" s="3">
        <f>TABL1234[[#This Row],[(S/S) AJD]]+TABL1234[[#This Row],[(T/B) AJD]]</f>
        <v/>
      </c>
      <c r="U222" s="41" t="n"/>
      <c r="V222" s="41" t="n"/>
      <c r="W222" s="3">
        <f>TABL1234[[#This Row],[(A/B) AJD]]+TABL1234[[#This Row],[(A/S) AJD]]</f>
        <v/>
      </c>
      <c r="X222" s="3">
        <f>TABL1234[[#This Row],[( S/S+T/B) AJD]]-TABL1234[[#This Row],[(A/B + A/S) AJD]]</f>
        <v/>
      </c>
      <c r="Y222" s="41" t="n"/>
      <c r="Z222" s="43" t="n"/>
      <c r="AA222" s="3">
        <f>TABL1234[[#This Row],[(RESV. STORGE) AJD]]/10</f>
        <v/>
      </c>
      <c r="AB222" s="3">
        <f>IF(TRIM(Z222)="",,(Z222-Z221)/1000)</f>
        <v/>
      </c>
      <c r="AC222" s="5" t="n"/>
      <c r="AD222" s="39">
        <f>TABL1234[[#This Row],[( S/S+T/B) AJD]]-(TABL1234[[#This Row],[(A/B + A/S) AJD]]+(TABL1234[[#This Row],[(STORGE DIFF.) AJD]]*1000)+TABL1234[[#This Row],[AJD_Evaporation]])</f>
        <v/>
      </c>
      <c r="AE222" s="41" t="n"/>
      <c r="AF222" s="43" t="n"/>
      <c r="AG222" s="43" t="n"/>
      <c r="AH222" s="6" t="n"/>
      <c r="AI222" s="43" t="n"/>
      <c r="AJ222" s="43">
        <f>TABL1234[[#This Row],[(A/B) AJD]]-TABL1234[[#This Row],[BER_IN]]</f>
        <v/>
      </c>
      <c r="AK222" s="43" t="n"/>
      <c r="AL222" s="43" t="n"/>
      <c r="AM222" s="32" t="n"/>
      <c r="AN222" s="32">
        <f>TABL1234[[#This Row],[ (RESV. STORGE) SER]]/10</f>
        <v/>
      </c>
      <c r="AO222" s="68" t="n"/>
      <c r="AP222" s="68">
        <f>TABL1234[[#This Row],[(A/S) AJD]]-TABL1234[[#This Row],[SER_IN]]</f>
        <v/>
      </c>
    </row>
    <row r="223" ht="18.75" customHeight="1">
      <c r="A223" s="2" t="n">
        <v>46609</v>
      </c>
      <c r="B223" s="44" t="n"/>
      <c r="C223" s="44" t="n"/>
      <c r="D223" s="44" t="n"/>
      <c r="E223" s="28" t="n"/>
      <c r="F223" s="44" t="n"/>
      <c r="G223" s="40" t="n"/>
      <c r="H223" s="28">
        <f>103-F223</f>
        <v/>
      </c>
      <c r="I223" s="40" t="n"/>
      <c r="J223" s="44" t="n"/>
      <c r="K223" s="28">
        <f>TABL1234[[#This Row],[ (T/B) SAR]]+TABL1234[[#This Row],[ (S/S) SAR]]</f>
        <v/>
      </c>
      <c r="L223" s="45" t="n"/>
      <c r="M223" s="46" t="n"/>
      <c r="N223" s="46" t="n"/>
      <c r="O223" s="40" t="n"/>
      <c r="P223" s="3">
        <f>TABL1234[[#This Row],[ (S/S) SAR]]-TABL1234[[#This Row],[(S/S) AJD]]</f>
        <v/>
      </c>
      <c r="Q223" s="40" t="n"/>
      <c r="R223" s="3">
        <f>TABL1234[[#This Row],[ (T/B) SAR]]-TABL1234[[#This Row],[(T/B) AJD]]</f>
        <v/>
      </c>
      <c r="S223" s="3">
        <f>TABL1234[[#This Row],[T/B-CON.]]+TABL1234[[#This Row],[S/S_CON.]]</f>
        <v/>
      </c>
      <c r="T223" s="3">
        <f>TABL1234[[#This Row],[(S/S) AJD]]+TABL1234[[#This Row],[(T/B) AJD]]</f>
        <v/>
      </c>
      <c r="U223" s="44" t="n"/>
      <c r="V223" s="44" t="n"/>
      <c r="W223" s="3">
        <f>TABL1234[[#This Row],[(A/B) AJD]]+TABL1234[[#This Row],[(A/S) AJD]]</f>
        <v/>
      </c>
      <c r="X223" s="3">
        <f>TABL1234[[#This Row],[( S/S+T/B) AJD]]-TABL1234[[#This Row],[(A/B + A/S) AJD]]</f>
        <v/>
      </c>
      <c r="Y223" s="44" t="n"/>
      <c r="Z223" s="45" t="n"/>
      <c r="AA223" s="3">
        <f>TABL1234[[#This Row],[(RESV. STORGE) AJD]]/10</f>
        <v/>
      </c>
      <c r="AB223" s="3">
        <f>IF(TRIM(Z223)="",,(Z223-Z222)/1000)</f>
        <v/>
      </c>
      <c r="AC223" s="5" t="n"/>
      <c r="AD223" s="40">
        <f>TABL1234[[#This Row],[( S/S+T/B) AJD]]-(TABL1234[[#This Row],[(A/B + A/S) AJD]]+(TABL1234[[#This Row],[(STORGE DIFF.) AJD]]*1000)+TABL1234[[#This Row],[AJD_Evaporation]])</f>
        <v/>
      </c>
      <c r="AE223" s="44" t="n"/>
      <c r="AF223" s="45" t="n"/>
      <c r="AG223" s="45" t="n"/>
      <c r="AH223" s="6" t="n"/>
      <c r="AI223" s="45" t="n"/>
      <c r="AJ223" s="45">
        <f>TABL1234[[#This Row],[(A/B) AJD]]-TABL1234[[#This Row],[BER_IN]]</f>
        <v/>
      </c>
      <c r="AK223" s="45" t="n"/>
      <c r="AL223" s="45" t="n"/>
      <c r="AM223" s="32" t="n"/>
      <c r="AN223" s="32">
        <f>TABL1234[[#This Row],[ (RESV. STORGE) SER]]/10</f>
        <v/>
      </c>
      <c r="AO223" s="68" t="n"/>
      <c r="AP223" s="68">
        <f>TABL1234[[#This Row],[(A/S) AJD]]-TABL1234[[#This Row],[SER_IN]]</f>
        <v/>
      </c>
    </row>
    <row r="224" ht="18.75" customHeight="1">
      <c r="A224" s="2" t="n">
        <v>46610</v>
      </c>
      <c r="B224" s="41" t="n"/>
      <c r="C224" s="41" t="n"/>
      <c r="D224" s="41" t="n"/>
      <c r="E224" s="28" t="n"/>
      <c r="F224" s="41" t="n"/>
      <c r="G224" s="39" t="n"/>
      <c r="H224" s="28">
        <f>103-F224</f>
        <v/>
      </c>
      <c r="I224" s="39" t="n"/>
      <c r="J224" s="39" t="n"/>
      <c r="K224" s="28">
        <f>TABL1234[[#This Row],[ (T/B) SAR]]+TABL1234[[#This Row],[ (S/S) SAR]]</f>
        <v/>
      </c>
      <c r="L224" s="41" t="n"/>
      <c r="M224" s="42" t="n"/>
      <c r="N224" s="42" t="n"/>
      <c r="O224" s="39" t="n"/>
      <c r="P224" s="3">
        <f>TABL1234[[#This Row],[ (S/S) SAR]]-TABL1234[[#This Row],[(S/S) AJD]]</f>
        <v/>
      </c>
      <c r="Q224" s="39" t="n"/>
      <c r="R224" s="3">
        <f>TABL1234[[#This Row],[ (T/B) SAR]]-TABL1234[[#This Row],[(T/B) AJD]]</f>
        <v/>
      </c>
      <c r="S224" s="3">
        <f>TABL1234[[#This Row],[T/B-CON.]]+TABL1234[[#This Row],[S/S_CON.]]</f>
        <v/>
      </c>
      <c r="T224" s="3">
        <f>TABL1234[[#This Row],[(S/S) AJD]]+TABL1234[[#This Row],[(T/B) AJD]]</f>
        <v/>
      </c>
      <c r="U224" s="41" t="n"/>
      <c r="V224" s="41" t="n"/>
      <c r="W224" s="3">
        <f>TABL1234[[#This Row],[(A/B) AJD]]+TABL1234[[#This Row],[(A/S) AJD]]</f>
        <v/>
      </c>
      <c r="X224" s="3">
        <f>TABL1234[[#This Row],[( S/S+T/B) AJD]]-TABL1234[[#This Row],[(A/B + A/S) AJD]]</f>
        <v/>
      </c>
      <c r="Y224" s="41" t="n"/>
      <c r="Z224" s="43" t="n"/>
      <c r="AA224" s="3">
        <f>TABL1234[[#This Row],[(RESV. STORGE) AJD]]/10</f>
        <v/>
      </c>
      <c r="AB224" s="3">
        <f>IF(TRIM(Z224)="",,(Z224-Z223)/1000)</f>
        <v/>
      </c>
      <c r="AC224" s="5" t="n"/>
      <c r="AD224" s="39">
        <f>TABL1234[[#This Row],[( S/S+T/B) AJD]]-(TABL1234[[#This Row],[(A/B + A/S) AJD]]+(TABL1234[[#This Row],[(STORGE DIFF.) AJD]]*1000)+TABL1234[[#This Row],[AJD_Evaporation]])</f>
        <v/>
      </c>
      <c r="AE224" s="41" t="n"/>
      <c r="AF224" s="43" t="n"/>
      <c r="AG224" s="68" t="n"/>
      <c r="AH224" s="6" t="n"/>
      <c r="AI224" s="43" t="n"/>
      <c r="AJ224" s="68">
        <f>TABL1234[[#This Row],[(A/B) AJD]]-TABL1234[[#This Row],[BER_IN]]</f>
        <v/>
      </c>
      <c r="AK224" s="43" t="n"/>
      <c r="AL224" s="43" t="n"/>
      <c r="AM224" s="32" t="n"/>
      <c r="AN224" s="32">
        <f>TABL1234[[#This Row],[ (RESV. STORGE) SER]]/10</f>
        <v/>
      </c>
      <c r="AO224" s="68" t="n"/>
      <c r="AP224" s="68">
        <f>TABL1234[[#This Row],[(A/S) AJD]]-TABL1234[[#This Row],[SER_IN]]</f>
        <v/>
      </c>
    </row>
    <row r="225" ht="18.75" customHeight="1">
      <c r="A225" s="2" t="n">
        <v>46611</v>
      </c>
      <c r="B225" s="44" t="n"/>
      <c r="C225" s="44" t="n"/>
      <c r="D225" s="44" t="n"/>
      <c r="E225" s="28" t="n"/>
      <c r="F225" s="44" t="n"/>
      <c r="G225" s="40" t="n"/>
      <c r="H225" s="28">
        <f>103-F225</f>
        <v/>
      </c>
      <c r="I225" s="40" t="n"/>
      <c r="J225" s="44" t="n"/>
      <c r="K225" s="28">
        <f>TABL1234[[#This Row],[ (T/B) SAR]]+TABL1234[[#This Row],[ (S/S) SAR]]</f>
        <v/>
      </c>
      <c r="L225" s="45" t="n"/>
      <c r="M225" s="46" t="n"/>
      <c r="N225" s="46" t="n"/>
      <c r="O225" s="40" t="n"/>
      <c r="P225" s="3">
        <f>TABL1234[[#This Row],[ (S/S) SAR]]-TABL1234[[#This Row],[(S/S) AJD]]</f>
        <v/>
      </c>
      <c r="Q225" s="40" t="n"/>
      <c r="R225" s="3">
        <f>TABL1234[[#This Row],[ (T/B) SAR]]-TABL1234[[#This Row],[(T/B) AJD]]</f>
        <v/>
      </c>
      <c r="S225" s="3">
        <f>TABL1234[[#This Row],[T/B-CON.]]+TABL1234[[#This Row],[S/S_CON.]]</f>
        <v/>
      </c>
      <c r="T225" s="3">
        <f>TABL1234[[#This Row],[(S/S) AJD]]+TABL1234[[#This Row],[(T/B) AJD]]</f>
        <v/>
      </c>
      <c r="U225" s="44" t="n"/>
      <c r="V225" s="44" t="n"/>
      <c r="W225" s="3">
        <f>TABL1234[[#This Row],[(A/B) AJD]]+TABL1234[[#This Row],[(A/S) AJD]]</f>
        <v/>
      </c>
      <c r="X225" s="3">
        <f>TABL1234[[#This Row],[( S/S+T/B) AJD]]-TABL1234[[#This Row],[(A/B + A/S) AJD]]</f>
        <v/>
      </c>
      <c r="Y225" s="44" t="n"/>
      <c r="Z225" s="45" t="n"/>
      <c r="AA225" s="3">
        <f>TABL1234[[#This Row],[(RESV. STORGE) AJD]]/10</f>
        <v/>
      </c>
      <c r="AB225" s="3">
        <f>IF(TRIM(Z225)="",,(Z225-Z224)/1000)</f>
        <v/>
      </c>
      <c r="AC225" s="5" t="n"/>
      <c r="AD225" s="40">
        <f>TABL1234[[#This Row],[( S/S+T/B) AJD]]-(TABL1234[[#This Row],[(A/B + A/S) AJD]]+(TABL1234[[#This Row],[(STORGE DIFF.) AJD]]*1000)+TABL1234[[#This Row],[AJD_Evaporation]])</f>
        <v/>
      </c>
      <c r="AE225" s="44" t="n"/>
      <c r="AF225" s="45" t="n"/>
      <c r="AG225" s="45" t="n"/>
      <c r="AH225" s="6" t="n"/>
      <c r="AI225" s="45" t="n"/>
      <c r="AJ225" s="45">
        <f>TABL1234[[#This Row],[(A/B) AJD]]-TABL1234[[#This Row],[BER_IN]]</f>
        <v/>
      </c>
      <c r="AK225" s="45" t="n"/>
      <c r="AL225" s="45" t="n"/>
      <c r="AM225" s="32" t="n"/>
      <c r="AN225" s="32">
        <f>TABL1234[[#This Row],[ (RESV. STORGE) SER]]/10</f>
        <v/>
      </c>
      <c r="AO225" s="68" t="n"/>
      <c r="AP225" s="68">
        <f>TABL1234[[#This Row],[(A/S) AJD]]-TABL1234[[#This Row],[SER_IN]]</f>
        <v/>
      </c>
    </row>
    <row r="226" ht="18.75" customHeight="1">
      <c r="A226" s="2" t="n">
        <v>46612</v>
      </c>
      <c r="B226" s="41" t="n"/>
      <c r="C226" s="41" t="n"/>
      <c r="D226" s="41" t="n"/>
      <c r="E226" s="28" t="n"/>
      <c r="F226" s="41" t="n"/>
      <c r="G226" s="39" t="n"/>
      <c r="H226" s="28">
        <f>103-F226</f>
        <v/>
      </c>
      <c r="I226" s="39" t="n"/>
      <c r="J226" s="39" t="n"/>
      <c r="K226" s="28">
        <f>TABL1234[[#This Row],[ (T/B) SAR]]+TABL1234[[#This Row],[ (S/S) SAR]]</f>
        <v/>
      </c>
      <c r="L226" s="41" t="n"/>
      <c r="M226" s="42" t="n"/>
      <c r="N226" s="42" t="n"/>
      <c r="O226" s="39" t="n"/>
      <c r="P226" s="3">
        <f>TABL1234[[#This Row],[ (S/S) SAR]]-TABL1234[[#This Row],[(S/S) AJD]]</f>
        <v/>
      </c>
      <c r="Q226" s="39" t="n"/>
      <c r="R226" s="3">
        <f>TABL1234[[#This Row],[ (T/B) SAR]]-TABL1234[[#This Row],[(T/B) AJD]]</f>
        <v/>
      </c>
      <c r="S226" s="3">
        <f>TABL1234[[#This Row],[T/B-CON.]]+TABL1234[[#This Row],[S/S_CON.]]</f>
        <v/>
      </c>
      <c r="T226" s="3">
        <f>TABL1234[[#This Row],[(S/S) AJD]]+TABL1234[[#This Row],[(T/B) AJD]]</f>
        <v/>
      </c>
      <c r="U226" s="41" t="n"/>
      <c r="V226" s="41" t="n"/>
      <c r="W226" s="3">
        <f>TABL1234[[#This Row],[(A/B) AJD]]+TABL1234[[#This Row],[(A/S) AJD]]</f>
        <v/>
      </c>
      <c r="X226" s="3">
        <f>TABL1234[[#This Row],[( S/S+T/B) AJD]]-TABL1234[[#This Row],[(A/B + A/S) AJD]]</f>
        <v/>
      </c>
      <c r="Y226" s="41" t="n"/>
      <c r="Z226" s="43" t="n"/>
      <c r="AA226" s="3">
        <f>TABL1234[[#This Row],[(RESV. STORGE) AJD]]/10</f>
        <v/>
      </c>
      <c r="AB226" s="3">
        <f>IF(TRIM(Z226)="",,(Z226-Z225)/1000)</f>
        <v/>
      </c>
      <c r="AC226" s="5" t="n"/>
      <c r="AD226" s="39">
        <f>TABL1234[[#This Row],[( S/S+T/B) AJD]]-(TABL1234[[#This Row],[(A/B + A/S) AJD]]+(TABL1234[[#This Row],[(STORGE DIFF.) AJD]]*1000)+TABL1234[[#This Row],[AJD_Evaporation]])</f>
        <v/>
      </c>
      <c r="AE226" s="41" t="n"/>
      <c r="AF226" s="43" t="n"/>
      <c r="AG226" s="43" t="n"/>
      <c r="AH226" s="6" t="n"/>
      <c r="AI226" s="43" t="n"/>
      <c r="AJ226" s="43">
        <f>TABL1234[[#This Row],[(A/B) AJD]]-TABL1234[[#This Row],[BER_IN]]</f>
        <v/>
      </c>
      <c r="AK226" s="43" t="n"/>
      <c r="AL226" s="43" t="n"/>
      <c r="AM226" s="32" t="n"/>
      <c r="AN226" s="32">
        <f>TABL1234[[#This Row],[ (RESV. STORGE) SER]]/10</f>
        <v/>
      </c>
      <c r="AO226" s="68" t="n"/>
      <c r="AP226" s="68">
        <f>TABL1234[[#This Row],[(A/S) AJD]]-TABL1234[[#This Row],[SER_IN]]</f>
        <v/>
      </c>
    </row>
    <row r="227" ht="18.75" customHeight="1">
      <c r="A227" s="2" t="n">
        <v>46613</v>
      </c>
      <c r="B227" s="44" t="n"/>
      <c r="C227" s="44" t="n"/>
      <c r="D227" s="44" t="n"/>
      <c r="E227" s="28" t="n"/>
      <c r="F227" s="44" t="n"/>
      <c r="G227" s="40" t="n"/>
      <c r="H227" s="28">
        <f>103-F227</f>
        <v/>
      </c>
      <c r="I227" s="40" t="n"/>
      <c r="J227" s="44" t="n"/>
      <c r="K227" s="28">
        <f>TABL1234[[#This Row],[ (T/B) SAR]]+TABL1234[[#This Row],[ (S/S) SAR]]</f>
        <v/>
      </c>
      <c r="L227" s="45" t="n"/>
      <c r="M227" s="46" t="n"/>
      <c r="N227" s="46" t="n"/>
      <c r="O227" s="40" t="n"/>
      <c r="P227" s="3">
        <f>TABL1234[[#This Row],[ (S/S) SAR]]-TABL1234[[#This Row],[(S/S) AJD]]</f>
        <v/>
      </c>
      <c r="Q227" s="40" t="n"/>
      <c r="R227" s="3">
        <f>TABL1234[[#This Row],[ (T/B) SAR]]-TABL1234[[#This Row],[(T/B) AJD]]</f>
        <v/>
      </c>
      <c r="S227" s="3">
        <f>TABL1234[[#This Row],[T/B-CON.]]+TABL1234[[#This Row],[S/S_CON.]]</f>
        <v/>
      </c>
      <c r="T227" s="3">
        <f>TABL1234[[#This Row],[(S/S) AJD]]+TABL1234[[#This Row],[(T/B) AJD]]</f>
        <v/>
      </c>
      <c r="U227" s="44" t="n"/>
      <c r="V227" s="44" t="n"/>
      <c r="W227" s="3">
        <f>TABL1234[[#This Row],[(A/B) AJD]]+TABL1234[[#This Row],[(A/S) AJD]]</f>
        <v/>
      </c>
      <c r="X227" s="3">
        <f>TABL1234[[#This Row],[( S/S+T/B) AJD]]-TABL1234[[#This Row],[(A/B + A/S) AJD]]</f>
        <v/>
      </c>
      <c r="Y227" s="44" t="n"/>
      <c r="Z227" s="45" t="n"/>
      <c r="AA227" s="3">
        <f>TABL1234[[#This Row],[(RESV. STORGE) AJD]]/10</f>
        <v/>
      </c>
      <c r="AB227" s="3">
        <f>IF(TRIM(Z227)="",,(Z227-Z226)/1000)</f>
        <v/>
      </c>
      <c r="AC227" s="5" t="n"/>
      <c r="AD227" s="40">
        <f>TABL1234[[#This Row],[( S/S+T/B) AJD]]-(TABL1234[[#This Row],[(A/B + A/S) AJD]]+(TABL1234[[#This Row],[(STORGE DIFF.) AJD]]*1000)+TABL1234[[#This Row],[AJD_Evaporation]])</f>
        <v/>
      </c>
      <c r="AE227" s="44" t="n"/>
      <c r="AF227" s="45" t="n"/>
      <c r="AG227" s="45" t="n"/>
      <c r="AH227" s="6" t="n"/>
      <c r="AI227" s="45" t="n"/>
      <c r="AJ227" s="45">
        <f>TABL1234[[#This Row],[(A/B) AJD]]-TABL1234[[#This Row],[BER_IN]]</f>
        <v/>
      </c>
      <c r="AK227" s="45" t="n"/>
      <c r="AL227" s="45" t="n"/>
      <c r="AM227" s="32" t="n"/>
      <c r="AN227" s="32">
        <f>TABL1234[[#This Row],[ (RESV. STORGE) SER]]/10</f>
        <v/>
      </c>
      <c r="AO227" s="68" t="n"/>
      <c r="AP227" s="68">
        <f>TABL1234[[#This Row],[(A/S) AJD]]-TABL1234[[#This Row],[SER_IN]]</f>
        <v/>
      </c>
    </row>
    <row r="228" ht="18.75" customHeight="1">
      <c r="A228" s="2" t="n">
        <v>46614</v>
      </c>
      <c r="B228" s="41" t="n"/>
      <c r="C228" s="41" t="n"/>
      <c r="D228" s="41" t="n"/>
      <c r="E228" s="28" t="n"/>
      <c r="F228" s="41" t="n"/>
      <c r="G228" s="39" t="n"/>
      <c r="H228" s="28">
        <f>103-F228</f>
        <v/>
      </c>
      <c r="I228" s="39" t="n"/>
      <c r="J228" s="39" t="n"/>
      <c r="K228" s="28">
        <f>TABL1234[[#This Row],[ (T/B) SAR]]+TABL1234[[#This Row],[ (S/S) SAR]]</f>
        <v/>
      </c>
      <c r="L228" s="41" t="n"/>
      <c r="M228" s="42" t="n"/>
      <c r="N228" s="42" t="n"/>
      <c r="O228" s="39" t="n"/>
      <c r="P228" s="3">
        <f>TABL1234[[#This Row],[ (S/S) SAR]]-TABL1234[[#This Row],[(S/S) AJD]]</f>
        <v/>
      </c>
      <c r="Q228" s="39" t="n"/>
      <c r="R228" s="3">
        <f>TABL1234[[#This Row],[ (T/B) SAR]]-TABL1234[[#This Row],[(T/B) AJD]]</f>
        <v/>
      </c>
      <c r="S228" s="3">
        <f>TABL1234[[#This Row],[T/B-CON.]]+TABL1234[[#This Row],[S/S_CON.]]</f>
        <v/>
      </c>
      <c r="T228" s="3">
        <f>TABL1234[[#This Row],[(S/S) AJD]]+TABL1234[[#This Row],[(T/B) AJD]]</f>
        <v/>
      </c>
      <c r="U228" s="41" t="n"/>
      <c r="V228" s="41" t="n"/>
      <c r="W228" s="3">
        <f>TABL1234[[#This Row],[(A/B) AJD]]+TABL1234[[#This Row],[(A/S) AJD]]</f>
        <v/>
      </c>
      <c r="X228" s="3">
        <f>TABL1234[[#This Row],[( S/S+T/B) AJD]]-TABL1234[[#This Row],[(A/B + A/S) AJD]]</f>
        <v/>
      </c>
      <c r="Y228" s="41" t="n"/>
      <c r="Z228" s="43" t="n"/>
      <c r="AA228" s="3">
        <f>TABL1234[[#This Row],[(RESV. STORGE) AJD]]/10</f>
        <v/>
      </c>
      <c r="AB228" s="3">
        <f>IF(TRIM(Z228)="",,(Z228-Z227)/1000)</f>
        <v/>
      </c>
      <c r="AC228" s="5" t="n"/>
      <c r="AD228" s="39">
        <f>TABL1234[[#This Row],[( S/S+T/B) AJD]]-(TABL1234[[#This Row],[(A/B + A/S) AJD]]+(TABL1234[[#This Row],[(STORGE DIFF.) AJD]]*1000)+TABL1234[[#This Row],[AJD_Evaporation]])</f>
        <v/>
      </c>
      <c r="AE228" s="41" t="n"/>
      <c r="AF228" s="43" t="n"/>
      <c r="AG228" s="43" t="n"/>
      <c r="AH228" s="6" t="n"/>
      <c r="AI228" s="43" t="n"/>
      <c r="AJ228" s="43">
        <f>TABL1234[[#This Row],[(A/B) AJD]]-TABL1234[[#This Row],[BER_IN]]</f>
        <v/>
      </c>
      <c r="AK228" s="43" t="n"/>
      <c r="AL228" s="43" t="n"/>
      <c r="AM228" s="32" t="n"/>
      <c r="AN228" s="32">
        <f>TABL1234[[#This Row],[ (RESV. STORGE) SER]]/10</f>
        <v/>
      </c>
      <c r="AO228" s="68" t="n"/>
      <c r="AP228" s="68">
        <f>TABL1234[[#This Row],[(A/S) AJD]]-TABL1234[[#This Row],[SER_IN]]</f>
        <v/>
      </c>
    </row>
    <row r="229" ht="18.75" customHeight="1">
      <c r="A229" s="2" t="n">
        <v>46615</v>
      </c>
      <c r="B229" s="44" t="n"/>
      <c r="C229" s="44" t="n"/>
      <c r="D229" s="44" t="n"/>
      <c r="E229" s="28" t="n"/>
      <c r="F229" s="44" t="n"/>
      <c r="G229" s="40" t="n"/>
      <c r="H229" s="28">
        <f>103-F229</f>
        <v/>
      </c>
      <c r="I229" s="40" t="n"/>
      <c r="J229" s="44" t="n"/>
      <c r="K229" s="28">
        <f>TABL1234[[#This Row],[ (T/B) SAR]]+TABL1234[[#This Row],[ (S/S) SAR]]</f>
        <v/>
      </c>
      <c r="L229" s="45" t="n"/>
      <c r="M229" s="46" t="n"/>
      <c r="N229" s="46" t="n"/>
      <c r="O229" s="40" t="n"/>
      <c r="P229" s="3">
        <f>TABL1234[[#This Row],[ (S/S) SAR]]-TABL1234[[#This Row],[(S/S) AJD]]</f>
        <v/>
      </c>
      <c r="Q229" s="40" t="n"/>
      <c r="R229" s="3">
        <f>TABL1234[[#This Row],[ (T/B) SAR]]-TABL1234[[#This Row],[(T/B) AJD]]</f>
        <v/>
      </c>
      <c r="S229" s="3">
        <f>TABL1234[[#This Row],[T/B-CON.]]+TABL1234[[#This Row],[S/S_CON.]]</f>
        <v/>
      </c>
      <c r="T229" s="3">
        <f>TABL1234[[#This Row],[(S/S) AJD]]+TABL1234[[#This Row],[(T/B) AJD]]</f>
        <v/>
      </c>
      <c r="U229" s="44" t="n"/>
      <c r="V229" s="44" t="n"/>
      <c r="W229" s="3">
        <f>TABL1234[[#This Row],[(A/B) AJD]]+TABL1234[[#This Row],[(A/S) AJD]]</f>
        <v/>
      </c>
      <c r="X229" s="3">
        <f>TABL1234[[#This Row],[( S/S+T/B) AJD]]-TABL1234[[#This Row],[(A/B + A/S) AJD]]</f>
        <v/>
      </c>
      <c r="Y229" s="44" t="n"/>
      <c r="Z229" s="45" t="n"/>
      <c r="AA229" s="3">
        <f>TABL1234[[#This Row],[(RESV. STORGE) AJD]]/10</f>
        <v/>
      </c>
      <c r="AB229" s="3">
        <f>IF(TRIM(Z229)="",,(Z229-Z228)/1000)</f>
        <v/>
      </c>
      <c r="AC229" s="5" t="n"/>
      <c r="AD229" s="40">
        <f>TABL1234[[#This Row],[( S/S+T/B) AJD]]-(TABL1234[[#This Row],[(A/B + A/S) AJD]]+(TABL1234[[#This Row],[(STORGE DIFF.) AJD]]*1000)+TABL1234[[#This Row],[AJD_Evaporation]])</f>
        <v/>
      </c>
      <c r="AE229" s="44" t="n"/>
      <c r="AF229" s="45" t="n"/>
      <c r="AG229" s="45" t="n"/>
      <c r="AH229" s="6" t="n"/>
      <c r="AI229" s="45" t="n"/>
      <c r="AJ229" s="45">
        <f>TABL1234[[#This Row],[(A/B) AJD]]-TABL1234[[#This Row],[BER_IN]]</f>
        <v/>
      </c>
      <c r="AK229" s="45" t="n"/>
      <c r="AL229" s="45" t="n"/>
      <c r="AM229" s="32" t="n"/>
      <c r="AN229" s="32">
        <f>TABL1234[[#This Row],[ (RESV. STORGE) SER]]/10</f>
        <v/>
      </c>
      <c r="AO229" s="68" t="n"/>
      <c r="AP229" s="68">
        <f>TABL1234[[#This Row],[(A/S) AJD]]-TABL1234[[#This Row],[SER_IN]]</f>
        <v/>
      </c>
    </row>
    <row r="230" ht="18.75" customHeight="1">
      <c r="A230" s="2" t="n">
        <v>46616</v>
      </c>
      <c r="B230" s="41" t="n"/>
      <c r="C230" s="41" t="n"/>
      <c r="D230" s="41" t="n"/>
      <c r="E230" s="28" t="n"/>
      <c r="F230" s="41" t="n"/>
      <c r="G230" s="39" t="n"/>
      <c r="H230" s="28">
        <f>103-F230</f>
        <v/>
      </c>
      <c r="I230" s="39" t="n"/>
      <c r="J230" s="39" t="n"/>
      <c r="K230" s="28">
        <f>TABL1234[[#This Row],[ (T/B) SAR]]+TABL1234[[#This Row],[ (S/S) SAR]]</f>
        <v/>
      </c>
      <c r="L230" s="41" t="n"/>
      <c r="M230" s="42" t="n"/>
      <c r="N230" s="42" t="n"/>
      <c r="O230" s="39" t="n"/>
      <c r="P230" s="3">
        <f>TABL1234[[#This Row],[ (S/S) SAR]]-TABL1234[[#This Row],[(S/S) AJD]]</f>
        <v/>
      </c>
      <c r="Q230" s="39" t="n"/>
      <c r="R230" s="3">
        <f>TABL1234[[#This Row],[ (T/B) SAR]]-TABL1234[[#This Row],[(T/B) AJD]]</f>
        <v/>
      </c>
      <c r="S230" s="3">
        <f>TABL1234[[#This Row],[T/B-CON.]]+TABL1234[[#This Row],[S/S_CON.]]</f>
        <v/>
      </c>
      <c r="T230" s="3">
        <f>TABL1234[[#This Row],[(S/S) AJD]]+TABL1234[[#This Row],[(T/B) AJD]]</f>
        <v/>
      </c>
      <c r="U230" s="41" t="n"/>
      <c r="V230" s="41" t="n"/>
      <c r="W230" s="3">
        <f>TABL1234[[#This Row],[(A/B) AJD]]+TABL1234[[#This Row],[(A/S) AJD]]</f>
        <v/>
      </c>
      <c r="X230" s="3">
        <f>TABL1234[[#This Row],[( S/S+T/B) AJD]]-TABL1234[[#This Row],[(A/B + A/S) AJD]]</f>
        <v/>
      </c>
      <c r="Y230" s="41" t="n"/>
      <c r="Z230" s="43" t="n"/>
      <c r="AA230" s="3">
        <f>TABL1234[[#This Row],[(RESV. STORGE) AJD]]/10</f>
        <v/>
      </c>
      <c r="AB230" s="3">
        <f>IF(TRIM(Z230)="",,(Z230-Z229)/1000)</f>
        <v/>
      </c>
      <c r="AC230" s="5" t="n"/>
      <c r="AD230" s="39">
        <f>TABL1234[[#This Row],[( S/S+T/B) AJD]]-(TABL1234[[#This Row],[(A/B + A/S) AJD]]+(TABL1234[[#This Row],[(STORGE DIFF.) AJD]]*1000)+TABL1234[[#This Row],[AJD_Evaporation]])</f>
        <v/>
      </c>
      <c r="AE230" s="41" t="n"/>
      <c r="AF230" s="43" t="n"/>
      <c r="AG230" s="43" t="n"/>
      <c r="AH230" s="6" t="n"/>
      <c r="AI230" s="43" t="n"/>
      <c r="AJ230" s="43">
        <f>TABL1234[[#This Row],[(A/B) AJD]]-TABL1234[[#This Row],[BER_IN]]</f>
        <v/>
      </c>
      <c r="AK230" s="43" t="n"/>
      <c r="AL230" s="43" t="n"/>
      <c r="AM230" s="32" t="n"/>
      <c r="AN230" s="32">
        <f>TABL1234[[#This Row],[ (RESV. STORGE) SER]]/10</f>
        <v/>
      </c>
      <c r="AO230" s="68" t="n"/>
      <c r="AP230" s="68">
        <f>TABL1234[[#This Row],[(A/S) AJD]]-TABL1234[[#This Row],[SER_IN]]</f>
        <v/>
      </c>
    </row>
    <row r="231" ht="18.75" customHeight="1">
      <c r="A231" s="2" t="n">
        <v>46617</v>
      </c>
      <c r="B231" s="44" t="n"/>
      <c r="C231" s="44" t="n"/>
      <c r="D231" s="44" t="n"/>
      <c r="E231" s="28" t="n"/>
      <c r="F231" s="44" t="n"/>
      <c r="G231" s="40" t="n"/>
      <c r="H231" s="28">
        <f>103-F231</f>
        <v/>
      </c>
      <c r="I231" s="40" t="n"/>
      <c r="J231" s="44" t="n"/>
      <c r="K231" s="28">
        <f>TABL1234[[#This Row],[ (T/B) SAR]]+TABL1234[[#This Row],[ (S/S) SAR]]</f>
        <v/>
      </c>
      <c r="L231" s="45" t="n"/>
      <c r="M231" s="46" t="n"/>
      <c r="N231" s="46" t="n"/>
      <c r="O231" s="40" t="n"/>
      <c r="P231" s="3">
        <f>TABL1234[[#This Row],[ (S/S) SAR]]-TABL1234[[#This Row],[(S/S) AJD]]</f>
        <v/>
      </c>
      <c r="Q231" s="40" t="n"/>
      <c r="R231" s="3">
        <f>TABL1234[[#This Row],[ (T/B) SAR]]-TABL1234[[#This Row],[(T/B) AJD]]</f>
        <v/>
      </c>
      <c r="S231" s="3">
        <f>TABL1234[[#This Row],[T/B-CON.]]+TABL1234[[#This Row],[S/S_CON.]]</f>
        <v/>
      </c>
      <c r="T231" s="3">
        <f>TABL1234[[#This Row],[(S/S) AJD]]+TABL1234[[#This Row],[(T/B) AJD]]</f>
        <v/>
      </c>
      <c r="U231" s="44" t="n"/>
      <c r="V231" s="44" t="n"/>
      <c r="W231" s="3">
        <f>TABL1234[[#This Row],[(A/B) AJD]]+TABL1234[[#This Row],[(A/S) AJD]]</f>
        <v/>
      </c>
      <c r="X231" s="3">
        <f>TABL1234[[#This Row],[( S/S+T/B) AJD]]-TABL1234[[#This Row],[(A/B + A/S) AJD]]</f>
        <v/>
      </c>
      <c r="Y231" s="44" t="n"/>
      <c r="Z231" s="45" t="n"/>
      <c r="AA231" s="3">
        <f>TABL1234[[#This Row],[(RESV. STORGE) AJD]]/10</f>
        <v/>
      </c>
      <c r="AB231" s="3">
        <f>IF(TRIM(Z231)="",,(Z231-Z230)/1000)</f>
        <v/>
      </c>
      <c r="AC231" s="5" t="n"/>
      <c r="AD231" s="40">
        <f>TABL1234[[#This Row],[( S/S+T/B) AJD]]-(TABL1234[[#This Row],[(A/B + A/S) AJD]]+(TABL1234[[#This Row],[(STORGE DIFF.) AJD]]*1000)+TABL1234[[#This Row],[AJD_Evaporation]])</f>
        <v/>
      </c>
      <c r="AE231" s="44" t="n"/>
      <c r="AF231" s="45" t="n"/>
      <c r="AG231" s="45" t="n"/>
      <c r="AH231" s="6" t="n"/>
      <c r="AI231" s="45" t="n"/>
      <c r="AJ231" s="45">
        <f>TABL1234[[#This Row],[(A/B) AJD]]-TABL1234[[#This Row],[BER_IN]]</f>
        <v/>
      </c>
      <c r="AK231" s="45" t="n"/>
      <c r="AL231" s="45" t="n"/>
      <c r="AM231" s="32" t="n"/>
      <c r="AN231" s="32">
        <f>TABL1234[[#This Row],[ (RESV. STORGE) SER]]/10</f>
        <v/>
      </c>
      <c r="AO231" s="68" t="n"/>
      <c r="AP231" s="68">
        <f>TABL1234[[#This Row],[(A/S) AJD]]-TABL1234[[#This Row],[SER_IN]]</f>
        <v/>
      </c>
    </row>
    <row r="232" ht="18.75" customHeight="1">
      <c r="A232" s="2" t="n">
        <v>46618</v>
      </c>
      <c r="B232" s="41" t="n"/>
      <c r="C232" s="41" t="n"/>
      <c r="D232" s="41" t="n"/>
      <c r="E232" s="28" t="n"/>
      <c r="F232" s="41" t="n"/>
      <c r="G232" s="39" t="n"/>
      <c r="H232" s="28">
        <f>103-F232</f>
        <v/>
      </c>
      <c r="I232" s="71" t="n"/>
      <c r="J232" s="39" t="n"/>
      <c r="K232" s="28">
        <f>TABL1234[[#This Row],[ (T/B) SAR]]+TABL1234[[#This Row],[ (S/S) SAR]]</f>
        <v/>
      </c>
      <c r="L232" s="41" t="n"/>
      <c r="M232" s="42" t="n"/>
      <c r="N232" s="42" t="n"/>
      <c r="O232" s="39" t="n"/>
      <c r="P232" s="3">
        <f>TABL1234[[#This Row],[ (S/S) SAR]]-TABL1234[[#This Row],[(S/S) AJD]]</f>
        <v/>
      </c>
      <c r="Q232" s="39" t="n"/>
      <c r="R232" s="3">
        <f>TABL1234[[#This Row],[ (T/B) SAR]]-TABL1234[[#This Row],[(T/B) AJD]]</f>
        <v/>
      </c>
      <c r="S232" s="3">
        <f>TABL1234[[#This Row],[T/B-CON.]]+TABL1234[[#This Row],[S/S_CON.]]</f>
        <v/>
      </c>
      <c r="T232" s="3">
        <f>TABL1234[[#This Row],[(S/S) AJD]]+TABL1234[[#This Row],[(T/B) AJD]]</f>
        <v/>
      </c>
      <c r="U232" s="41" t="n"/>
      <c r="V232" s="41" t="n"/>
      <c r="W232" s="3">
        <f>TABL1234[[#This Row],[(A/B) AJD]]+TABL1234[[#This Row],[(A/S) AJD]]</f>
        <v/>
      </c>
      <c r="X232" s="3">
        <f>TABL1234[[#This Row],[( S/S+T/B) AJD]]-TABL1234[[#This Row],[(A/B + A/S) AJD]]</f>
        <v/>
      </c>
      <c r="Y232" s="41" t="n"/>
      <c r="Z232" s="43" t="n"/>
      <c r="AA232" s="3">
        <f>TABL1234[[#This Row],[(RESV. STORGE) AJD]]/10</f>
        <v/>
      </c>
      <c r="AB232" s="3">
        <f>IF(TRIM(Z232)="",,(Z232-Z231)/1000)</f>
        <v/>
      </c>
      <c r="AC232" s="5" t="n"/>
      <c r="AD232" s="39">
        <f>TABL1234[[#This Row],[( S/S+T/B) AJD]]-(TABL1234[[#This Row],[(A/B + A/S) AJD]]+(TABL1234[[#This Row],[(STORGE DIFF.) AJD]]*1000)+TABL1234[[#This Row],[AJD_Evaporation]])</f>
        <v/>
      </c>
      <c r="AE232" s="41" t="n"/>
      <c r="AF232" s="43" t="n"/>
      <c r="AG232" s="43" t="n"/>
      <c r="AH232" s="6" t="n"/>
      <c r="AI232" s="43" t="n"/>
      <c r="AJ232" s="43">
        <f>TABL1234[[#This Row],[(A/B) AJD]]-TABL1234[[#This Row],[BER_IN]]</f>
        <v/>
      </c>
      <c r="AK232" s="43" t="n"/>
      <c r="AL232" s="43" t="n"/>
      <c r="AM232" s="32" t="n"/>
      <c r="AN232" s="32">
        <f>TABL1234[[#This Row],[ (RESV. STORGE) SER]]/10</f>
        <v/>
      </c>
      <c r="AO232" s="68" t="n"/>
      <c r="AP232" s="68">
        <f>TABL1234[[#This Row],[(A/S) AJD]]-TABL1234[[#This Row],[SER_IN]]</f>
        <v/>
      </c>
    </row>
    <row r="233" ht="18.75" customHeight="1">
      <c r="A233" s="2" t="n">
        <v>46619</v>
      </c>
      <c r="B233" s="44" t="n"/>
      <c r="C233" s="44" t="n"/>
      <c r="D233" s="44" t="n"/>
      <c r="E233" s="28" t="n"/>
      <c r="F233" s="44" t="n"/>
      <c r="G233" s="40" t="n"/>
      <c r="H233" s="28">
        <f>103-F233</f>
        <v/>
      </c>
      <c r="I233" s="40" t="n"/>
      <c r="J233" s="44" t="n"/>
      <c r="K233" s="28">
        <f>TABL1234[[#This Row],[ (T/B) SAR]]+TABL1234[[#This Row],[ (S/S) SAR]]</f>
        <v/>
      </c>
      <c r="L233" s="45" t="n"/>
      <c r="M233" s="46" t="n"/>
      <c r="N233" s="46" t="n"/>
      <c r="O233" s="40" t="n"/>
      <c r="P233" s="3">
        <f>TABL1234[[#This Row],[ (S/S) SAR]]-TABL1234[[#This Row],[(S/S) AJD]]</f>
        <v/>
      </c>
      <c r="Q233" s="40" t="n"/>
      <c r="R233" s="3">
        <f>TABL1234[[#This Row],[ (T/B) SAR]]-TABL1234[[#This Row],[(T/B) AJD]]</f>
        <v/>
      </c>
      <c r="S233" s="3">
        <f>TABL1234[[#This Row],[T/B-CON.]]+TABL1234[[#This Row],[S/S_CON.]]</f>
        <v/>
      </c>
      <c r="T233" s="3">
        <f>TABL1234[[#This Row],[(S/S) AJD]]+TABL1234[[#This Row],[(T/B) AJD]]</f>
        <v/>
      </c>
      <c r="U233" s="44" t="n"/>
      <c r="V233" s="44" t="n"/>
      <c r="W233" s="3">
        <f>TABL1234[[#This Row],[(A/B) AJD]]+TABL1234[[#This Row],[(A/S) AJD]]</f>
        <v/>
      </c>
      <c r="X233" s="3">
        <f>TABL1234[[#This Row],[( S/S+T/B) AJD]]-TABL1234[[#This Row],[(A/B + A/S) AJD]]</f>
        <v/>
      </c>
      <c r="Y233" s="44" t="n"/>
      <c r="Z233" s="45" t="n"/>
      <c r="AA233" s="3">
        <f>TABL1234[[#This Row],[(RESV. STORGE) AJD]]/10</f>
        <v/>
      </c>
      <c r="AB233" s="3">
        <f>IF(TRIM(Z233)="",,(Z233-Z232)/1000)</f>
        <v/>
      </c>
      <c r="AC233" s="5" t="n"/>
      <c r="AD233" s="40">
        <f>TABL1234[[#This Row],[( S/S+T/B) AJD]]-(TABL1234[[#This Row],[(A/B + A/S) AJD]]+(TABL1234[[#This Row],[(STORGE DIFF.) AJD]]*1000)+TABL1234[[#This Row],[AJD_Evaporation]])</f>
        <v/>
      </c>
      <c r="AE233" s="44" t="n"/>
      <c r="AF233" s="45" t="n"/>
      <c r="AG233" s="45" t="n"/>
      <c r="AH233" s="6" t="n"/>
      <c r="AI233" s="45" t="n"/>
      <c r="AJ233" s="45">
        <f>TABL1234[[#This Row],[(A/B) AJD]]-TABL1234[[#This Row],[BER_IN]]</f>
        <v/>
      </c>
      <c r="AK233" s="45" t="n"/>
      <c r="AL233" s="45" t="n"/>
      <c r="AM233" s="32" t="n"/>
      <c r="AN233" s="32">
        <f>TABL1234[[#This Row],[ (RESV. STORGE) SER]]/10</f>
        <v/>
      </c>
      <c r="AO233" s="68" t="n"/>
      <c r="AP233" s="68">
        <f>TABL1234[[#This Row],[(A/S) AJD]]-TABL1234[[#This Row],[SER_IN]]</f>
        <v/>
      </c>
    </row>
    <row r="234" ht="18.75" customHeight="1">
      <c r="A234" s="2" t="n">
        <v>46620</v>
      </c>
      <c r="B234" s="41" t="n"/>
      <c r="C234" s="41" t="n"/>
      <c r="D234" s="41" t="n"/>
      <c r="E234" s="28" t="n"/>
      <c r="F234" s="41" t="n"/>
      <c r="G234" s="39" t="n"/>
      <c r="H234" s="28">
        <f>103-F234</f>
        <v/>
      </c>
      <c r="I234" s="39" t="n"/>
      <c r="J234" s="39" t="n"/>
      <c r="K234" s="28">
        <f>TABL1234[[#This Row],[ (T/B) SAR]]+TABL1234[[#This Row],[ (S/S) SAR]]</f>
        <v/>
      </c>
      <c r="L234" s="41" t="n"/>
      <c r="M234" s="42" t="n"/>
      <c r="N234" s="42" t="n"/>
      <c r="O234" s="39" t="n"/>
      <c r="P234" s="3">
        <f>TABL1234[[#This Row],[ (S/S) SAR]]-TABL1234[[#This Row],[(S/S) AJD]]</f>
        <v/>
      </c>
      <c r="Q234" s="39" t="n"/>
      <c r="R234" s="3">
        <f>TABL1234[[#This Row],[ (T/B) SAR]]-TABL1234[[#This Row],[(T/B) AJD]]</f>
        <v/>
      </c>
      <c r="S234" s="3">
        <f>TABL1234[[#This Row],[T/B-CON.]]+TABL1234[[#This Row],[S/S_CON.]]</f>
        <v/>
      </c>
      <c r="T234" s="3">
        <f>TABL1234[[#This Row],[(S/S) AJD]]+TABL1234[[#This Row],[(T/B) AJD]]</f>
        <v/>
      </c>
      <c r="U234" s="41" t="n"/>
      <c r="V234" s="41" t="n"/>
      <c r="W234" s="3">
        <f>TABL1234[[#This Row],[(A/B) AJD]]+TABL1234[[#This Row],[(A/S) AJD]]</f>
        <v/>
      </c>
      <c r="X234" s="3">
        <f>TABL1234[[#This Row],[( S/S+T/B) AJD]]-TABL1234[[#This Row],[(A/B + A/S) AJD]]</f>
        <v/>
      </c>
      <c r="Y234" s="41" t="n"/>
      <c r="Z234" s="43" t="n"/>
      <c r="AA234" s="3">
        <f>TABL1234[[#This Row],[(RESV. STORGE) AJD]]/10</f>
        <v/>
      </c>
      <c r="AB234" s="3">
        <f>IF(TRIM(Z234)="",,(Z234-Z233)/1000)</f>
        <v/>
      </c>
      <c r="AC234" s="5" t="n"/>
      <c r="AD234" s="39">
        <f>TABL1234[[#This Row],[( S/S+T/B) AJD]]-(TABL1234[[#This Row],[(A/B + A/S) AJD]]+(TABL1234[[#This Row],[(STORGE DIFF.) AJD]]*1000)+TABL1234[[#This Row],[AJD_Evaporation]])</f>
        <v/>
      </c>
      <c r="AE234" s="41" t="n"/>
      <c r="AF234" s="43" t="n"/>
      <c r="AG234" s="43" t="n"/>
      <c r="AH234" s="6" t="n"/>
      <c r="AI234" s="43" t="n"/>
      <c r="AJ234" s="43">
        <f>TABL1234[[#This Row],[(A/B) AJD]]-TABL1234[[#This Row],[BER_IN]]</f>
        <v/>
      </c>
      <c r="AK234" s="43" t="n"/>
      <c r="AL234" s="43" t="n"/>
      <c r="AM234" s="32" t="n"/>
      <c r="AN234" s="32">
        <f>TABL1234[[#This Row],[ (RESV. STORGE) SER]]/10</f>
        <v/>
      </c>
      <c r="AO234" s="68" t="n"/>
      <c r="AP234" s="68">
        <f>TABL1234[[#This Row],[(A/S) AJD]]-TABL1234[[#This Row],[SER_IN]]</f>
        <v/>
      </c>
    </row>
    <row r="235" ht="18.75" customHeight="1">
      <c r="A235" s="2" t="n">
        <v>46621</v>
      </c>
      <c r="B235" s="44" t="n"/>
      <c r="C235" s="44" t="n"/>
      <c r="D235" s="44" t="n"/>
      <c r="E235" s="28" t="n"/>
      <c r="F235" s="44" t="n"/>
      <c r="G235" s="40" t="n"/>
      <c r="H235" s="28">
        <f>103-F235</f>
        <v/>
      </c>
      <c r="I235" s="40" t="n"/>
      <c r="J235" s="44" t="n"/>
      <c r="K235" s="28">
        <f>TABL1234[[#This Row],[ (T/B) SAR]]+TABL1234[[#This Row],[ (S/S) SAR]]</f>
        <v/>
      </c>
      <c r="L235" s="45" t="n"/>
      <c r="M235" s="46" t="n"/>
      <c r="N235" s="46" t="n"/>
      <c r="O235" s="40" t="n"/>
      <c r="P235" s="3">
        <f>TABL1234[[#This Row],[ (S/S) SAR]]-TABL1234[[#This Row],[(S/S) AJD]]</f>
        <v/>
      </c>
      <c r="Q235" s="40" t="n"/>
      <c r="R235" s="3">
        <f>TABL1234[[#This Row],[ (T/B) SAR]]-TABL1234[[#This Row],[(T/B) AJD]]</f>
        <v/>
      </c>
      <c r="S235" s="3">
        <f>TABL1234[[#This Row],[T/B-CON.]]+TABL1234[[#This Row],[S/S_CON.]]</f>
        <v/>
      </c>
      <c r="T235" s="3">
        <f>TABL1234[[#This Row],[(S/S) AJD]]+TABL1234[[#This Row],[(T/B) AJD]]</f>
        <v/>
      </c>
      <c r="U235" s="44" t="n"/>
      <c r="V235" s="44" t="n"/>
      <c r="W235" s="3">
        <f>TABL1234[[#This Row],[(A/B) AJD]]+TABL1234[[#This Row],[(A/S) AJD]]</f>
        <v/>
      </c>
      <c r="X235" s="3">
        <f>TABL1234[[#This Row],[( S/S+T/B) AJD]]-TABL1234[[#This Row],[(A/B + A/S) AJD]]</f>
        <v/>
      </c>
      <c r="Y235" s="44" t="n"/>
      <c r="Z235" s="45" t="n"/>
      <c r="AA235" s="3">
        <f>TABL1234[[#This Row],[(RESV. STORGE) AJD]]/10</f>
        <v/>
      </c>
      <c r="AB235" s="3">
        <f>IF(TRIM(Z235)="",,(Z235-Z234)/1000)</f>
        <v/>
      </c>
      <c r="AC235" s="5" t="n"/>
      <c r="AD235" s="40">
        <f>TABL1234[[#This Row],[( S/S+T/B) AJD]]-(TABL1234[[#This Row],[(A/B + A/S) AJD]]+(TABL1234[[#This Row],[(STORGE DIFF.) AJD]]*1000)+TABL1234[[#This Row],[AJD_Evaporation]])</f>
        <v/>
      </c>
      <c r="AE235" s="44" t="n"/>
      <c r="AF235" s="45" t="n"/>
      <c r="AG235" s="45" t="n"/>
      <c r="AH235" s="6" t="n"/>
      <c r="AI235" s="45" t="n"/>
      <c r="AJ235" s="45">
        <f>TABL1234[[#This Row],[(A/B) AJD]]-TABL1234[[#This Row],[BER_IN]]</f>
        <v/>
      </c>
      <c r="AK235" s="45" t="n"/>
      <c r="AL235" s="45" t="n"/>
      <c r="AM235" s="32" t="n"/>
      <c r="AN235" s="32">
        <f>TABL1234[[#This Row],[ (RESV. STORGE) SER]]/10</f>
        <v/>
      </c>
      <c r="AO235" s="68" t="n"/>
      <c r="AP235" s="68">
        <f>TABL1234[[#This Row],[(A/S) AJD]]-TABL1234[[#This Row],[SER_IN]]</f>
        <v/>
      </c>
    </row>
    <row r="236" ht="18.75" customHeight="1">
      <c r="A236" s="2" t="n">
        <v>46622</v>
      </c>
      <c r="B236" s="41" t="n"/>
      <c r="C236" s="41" t="n"/>
      <c r="D236" s="41" t="n"/>
      <c r="E236" s="28" t="n"/>
      <c r="F236" s="41" t="n"/>
      <c r="G236" s="39" t="n"/>
      <c r="H236" s="28">
        <f>103-F236</f>
        <v/>
      </c>
      <c r="I236" s="39" t="n"/>
      <c r="J236" s="39" t="n"/>
      <c r="K236" s="28">
        <f>TABL1234[[#This Row],[ (T/B) SAR]]+TABL1234[[#This Row],[ (S/S) SAR]]</f>
        <v/>
      </c>
      <c r="L236" s="41" t="n"/>
      <c r="M236" s="42" t="n"/>
      <c r="N236" s="42" t="n"/>
      <c r="O236" s="39" t="n"/>
      <c r="P236" s="3">
        <f>TABL1234[[#This Row],[ (S/S) SAR]]-TABL1234[[#This Row],[(S/S) AJD]]</f>
        <v/>
      </c>
      <c r="Q236" s="39" t="n"/>
      <c r="R236" s="3">
        <f>TABL1234[[#This Row],[ (T/B) SAR]]-TABL1234[[#This Row],[(T/B) AJD]]</f>
        <v/>
      </c>
      <c r="S236" s="3">
        <f>TABL1234[[#This Row],[T/B-CON.]]+TABL1234[[#This Row],[S/S_CON.]]</f>
        <v/>
      </c>
      <c r="T236" s="3">
        <f>TABL1234[[#This Row],[(S/S) AJD]]+TABL1234[[#This Row],[(T/B) AJD]]</f>
        <v/>
      </c>
      <c r="U236" s="41" t="n"/>
      <c r="V236" s="41" t="n"/>
      <c r="W236" s="3">
        <f>TABL1234[[#This Row],[(A/B) AJD]]+TABL1234[[#This Row],[(A/S) AJD]]</f>
        <v/>
      </c>
      <c r="X236" s="3">
        <f>TABL1234[[#This Row],[( S/S+T/B) AJD]]-TABL1234[[#This Row],[(A/B + A/S) AJD]]</f>
        <v/>
      </c>
      <c r="Y236" s="41" t="n"/>
      <c r="Z236" s="43" t="n"/>
      <c r="AA236" s="3">
        <f>TABL1234[[#This Row],[(RESV. STORGE) AJD]]/10</f>
        <v/>
      </c>
      <c r="AB236" s="3">
        <f>IF(TRIM(Z236)="",,(Z236-Z235)/1000)</f>
        <v/>
      </c>
      <c r="AC236" s="5" t="n"/>
      <c r="AD236" s="39">
        <f>TABL1234[[#This Row],[( S/S+T/B) AJD]]-(TABL1234[[#This Row],[(A/B + A/S) AJD]]+(TABL1234[[#This Row],[(STORGE DIFF.) AJD]]*1000)+TABL1234[[#This Row],[AJD_Evaporation]])</f>
        <v/>
      </c>
      <c r="AE236" s="41" t="n"/>
      <c r="AF236" s="43" t="n"/>
      <c r="AG236" s="43" t="n"/>
      <c r="AH236" s="6" t="n"/>
      <c r="AI236" s="43" t="n"/>
      <c r="AJ236" s="43">
        <f>TABL1234[[#This Row],[(A/B) AJD]]-TABL1234[[#This Row],[BER_IN]]</f>
        <v/>
      </c>
      <c r="AK236" s="43" t="n"/>
      <c r="AL236" s="43" t="n"/>
      <c r="AM236" s="32" t="n"/>
      <c r="AN236" s="32">
        <f>TABL1234[[#This Row],[ (RESV. STORGE) SER]]/10</f>
        <v/>
      </c>
      <c r="AO236" s="68" t="n"/>
      <c r="AP236" s="68">
        <f>TABL1234[[#This Row],[(A/S) AJD]]-TABL1234[[#This Row],[SER_IN]]</f>
        <v/>
      </c>
    </row>
    <row r="237" ht="18.75" customHeight="1">
      <c r="A237" s="2" t="n">
        <v>46623</v>
      </c>
      <c r="B237" s="44" t="n"/>
      <c r="C237" s="44" t="n"/>
      <c r="D237" s="44" t="n"/>
      <c r="E237" s="28" t="n"/>
      <c r="F237" s="44" t="n"/>
      <c r="G237" s="40" t="n"/>
      <c r="H237" s="28">
        <f>103-F237</f>
        <v/>
      </c>
      <c r="I237" s="40" t="n"/>
      <c r="J237" s="44" t="n"/>
      <c r="K237" s="28">
        <f>TABL1234[[#This Row],[ (T/B) SAR]]+TABL1234[[#This Row],[ (S/S) SAR]]</f>
        <v/>
      </c>
      <c r="L237" s="45" t="n"/>
      <c r="M237" s="46" t="n"/>
      <c r="N237" s="46" t="n"/>
      <c r="O237" s="40" t="n"/>
      <c r="P237" s="3">
        <f>TABL1234[[#This Row],[ (S/S) SAR]]-TABL1234[[#This Row],[(S/S) AJD]]</f>
        <v/>
      </c>
      <c r="Q237" s="40" t="n"/>
      <c r="R237" s="3">
        <f>TABL1234[[#This Row],[ (T/B) SAR]]-TABL1234[[#This Row],[(T/B) AJD]]</f>
        <v/>
      </c>
      <c r="S237" s="3">
        <f>TABL1234[[#This Row],[T/B-CON.]]+TABL1234[[#This Row],[S/S_CON.]]</f>
        <v/>
      </c>
      <c r="T237" s="3">
        <f>TABL1234[[#This Row],[(S/S) AJD]]+TABL1234[[#This Row],[(T/B) AJD]]</f>
        <v/>
      </c>
      <c r="U237" s="44" t="n"/>
      <c r="V237" s="44" t="n"/>
      <c r="W237" s="3">
        <f>TABL1234[[#This Row],[(A/B) AJD]]+TABL1234[[#This Row],[(A/S) AJD]]</f>
        <v/>
      </c>
      <c r="X237" s="3">
        <f>TABL1234[[#This Row],[( S/S+T/B) AJD]]-TABL1234[[#This Row],[(A/B + A/S) AJD]]</f>
        <v/>
      </c>
      <c r="Y237" s="44" t="n"/>
      <c r="Z237" s="45" t="n"/>
      <c r="AA237" s="3">
        <f>TABL1234[[#This Row],[(RESV. STORGE) AJD]]/10</f>
        <v/>
      </c>
      <c r="AB237" s="3">
        <f>IF(TRIM(Z237)="",,(Z237-Z236)/1000)</f>
        <v/>
      </c>
      <c r="AC237" s="5" t="n"/>
      <c r="AD237" s="40">
        <f>TABL1234[[#This Row],[( S/S+T/B) AJD]]-(TABL1234[[#This Row],[(A/B + A/S) AJD]]+(TABL1234[[#This Row],[(STORGE DIFF.) AJD]]*1000)+TABL1234[[#This Row],[AJD_Evaporation]])</f>
        <v/>
      </c>
      <c r="AE237" s="44" t="n"/>
      <c r="AF237" s="45" t="n"/>
      <c r="AG237" s="45" t="n"/>
      <c r="AH237" s="6" t="n"/>
      <c r="AI237" s="45" t="n"/>
      <c r="AJ237" s="45">
        <f>TABL1234[[#This Row],[(A/B) AJD]]-TABL1234[[#This Row],[BER_IN]]</f>
        <v/>
      </c>
      <c r="AK237" s="45" t="n"/>
      <c r="AL237" s="45" t="n"/>
      <c r="AM237" s="32" t="n"/>
      <c r="AN237" s="32">
        <f>TABL1234[[#This Row],[ (RESV. STORGE) SER]]/10</f>
        <v/>
      </c>
      <c r="AO237" s="68" t="n"/>
      <c r="AP237" s="68">
        <f>TABL1234[[#This Row],[(A/S) AJD]]-TABL1234[[#This Row],[SER_IN]]</f>
        <v/>
      </c>
    </row>
    <row r="238" ht="18.75" customHeight="1">
      <c r="A238" s="2" t="n">
        <v>46624</v>
      </c>
      <c r="B238" s="41" t="n"/>
      <c r="C238" s="41" t="n"/>
      <c r="D238" s="41" t="n"/>
      <c r="E238" s="28" t="n"/>
      <c r="F238" s="41" t="n"/>
      <c r="G238" s="39" t="n"/>
      <c r="H238" s="28">
        <f>103-F238</f>
        <v/>
      </c>
      <c r="I238" s="39" t="n"/>
      <c r="J238" s="39" t="n"/>
      <c r="K238" s="28">
        <f>TABL1234[[#This Row],[ (T/B) SAR]]+TABL1234[[#This Row],[ (S/S) SAR]]</f>
        <v/>
      </c>
      <c r="L238" s="41" t="n"/>
      <c r="M238" s="42" t="n"/>
      <c r="N238" s="42" t="n"/>
      <c r="O238" s="39" t="n"/>
      <c r="P238" s="3">
        <f>TABL1234[[#This Row],[ (S/S) SAR]]-TABL1234[[#This Row],[(S/S) AJD]]</f>
        <v/>
      </c>
      <c r="Q238" s="39" t="n"/>
      <c r="R238" s="3">
        <f>TABL1234[[#This Row],[ (T/B) SAR]]-TABL1234[[#This Row],[(T/B) AJD]]</f>
        <v/>
      </c>
      <c r="S238" s="3">
        <f>TABL1234[[#This Row],[T/B-CON.]]+TABL1234[[#This Row],[S/S_CON.]]</f>
        <v/>
      </c>
      <c r="T238" s="3">
        <f>TABL1234[[#This Row],[(S/S) AJD]]+TABL1234[[#This Row],[(T/B) AJD]]</f>
        <v/>
      </c>
      <c r="U238" s="41" t="n"/>
      <c r="V238" s="41" t="n"/>
      <c r="W238" s="3">
        <f>TABL1234[[#This Row],[(A/B) AJD]]+TABL1234[[#This Row],[(A/S) AJD]]</f>
        <v/>
      </c>
      <c r="X238" s="3">
        <f>TABL1234[[#This Row],[( S/S+T/B) AJD]]-TABL1234[[#This Row],[(A/B + A/S) AJD]]</f>
        <v/>
      </c>
      <c r="Y238" s="41" t="n"/>
      <c r="Z238" s="43" t="n"/>
      <c r="AA238" s="3">
        <f>TABL1234[[#This Row],[(RESV. STORGE) AJD]]/10</f>
        <v/>
      </c>
      <c r="AB238" s="3">
        <f>IF(TRIM(Z238)="",,(Z238-Z237)/1000)</f>
        <v/>
      </c>
      <c r="AC238" s="5" t="n"/>
      <c r="AD238" s="39">
        <f>TABL1234[[#This Row],[( S/S+T/B) AJD]]-(TABL1234[[#This Row],[(A/B + A/S) AJD]]+(TABL1234[[#This Row],[(STORGE DIFF.) AJD]]*1000)+TABL1234[[#This Row],[AJD_Evaporation]])</f>
        <v/>
      </c>
      <c r="AE238" s="41" t="n"/>
      <c r="AF238" s="43" t="n"/>
      <c r="AG238" s="43" t="n"/>
      <c r="AH238" s="6" t="n"/>
      <c r="AI238" s="43" t="n"/>
      <c r="AJ238" s="43">
        <f>TABL1234[[#This Row],[(A/B) AJD]]-TABL1234[[#This Row],[BER_IN]]</f>
        <v/>
      </c>
      <c r="AK238" s="43" t="n"/>
      <c r="AL238" s="43" t="n"/>
      <c r="AM238" s="32" t="n"/>
      <c r="AN238" s="32">
        <f>TABL1234[[#This Row],[ (RESV. STORGE) SER]]/10</f>
        <v/>
      </c>
      <c r="AO238" s="68" t="n"/>
      <c r="AP238" s="68">
        <f>TABL1234[[#This Row],[(A/S) AJD]]-TABL1234[[#This Row],[SER_IN]]</f>
        <v/>
      </c>
    </row>
    <row r="239" ht="18.75" customHeight="1">
      <c r="A239" s="2" t="n">
        <v>46625</v>
      </c>
      <c r="B239" s="44" t="n"/>
      <c r="C239" s="44" t="n"/>
      <c r="D239" s="44" t="n"/>
      <c r="E239" s="28" t="n"/>
      <c r="F239" s="44" t="n"/>
      <c r="G239" s="40" t="n"/>
      <c r="H239" s="28">
        <f>103-F239</f>
        <v/>
      </c>
      <c r="I239" s="40" t="n"/>
      <c r="J239" s="44" t="n"/>
      <c r="K239" s="28">
        <f>TABL1234[[#This Row],[ (T/B) SAR]]+TABL1234[[#This Row],[ (S/S) SAR]]</f>
        <v/>
      </c>
      <c r="L239" s="45" t="n"/>
      <c r="M239" s="46" t="n"/>
      <c r="N239" s="46" t="n"/>
      <c r="O239" s="40" t="n"/>
      <c r="P239" s="3">
        <f>TABL1234[[#This Row],[ (S/S) SAR]]-TABL1234[[#This Row],[(S/S) AJD]]</f>
        <v/>
      </c>
      <c r="Q239" s="40" t="n"/>
      <c r="R239" s="3">
        <f>TABL1234[[#This Row],[ (T/B) SAR]]-TABL1234[[#This Row],[(T/B) AJD]]</f>
        <v/>
      </c>
      <c r="S239" s="3">
        <f>TABL1234[[#This Row],[T/B-CON.]]+TABL1234[[#This Row],[S/S_CON.]]</f>
        <v/>
      </c>
      <c r="T239" s="3">
        <f>TABL1234[[#This Row],[(S/S) AJD]]+TABL1234[[#This Row],[(T/B) AJD]]</f>
        <v/>
      </c>
      <c r="U239" s="44" t="n"/>
      <c r="V239" s="44" t="n"/>
      <c r="W239" s="3">
        <f>TABL1234[[#This Row],[(A/B) AJD]]+TABL1234[[#This Row],[(A/S) AJD]]</f>
        <v/>
      </c>
      <c r="X239" s="3">
        <f>TABL1234[[#This Row],[( S/S+T/B) AJD]]-TABL1234[[#This Row],[(A/B + A/S) AJD]]</f>
        <v/>
      </c>
      <c r="Y239" s="44" t="n"/>
      <c r="Z239" s="45" t="n"/>
      <c r="AA239" s="3">
        <f>TABL1234[[#This Row],[(RESV. STORGE) AJD]]/10</f>
        <v/>
      </c>
      <c r="AB239" s="3">
        <f>IF(TRIM(Z239)="",,(Z239-Z238)/1000)</f>
        <v/>
      </c>
      <c r="AC239" s="5" t="n"/>
      <c r="AD239" s="40">
        <f>TABL1234[[#This Row],[( S/S+T/B) AJD]]-(TABL1234[[#This Row],[(A/B + A/S) AJD]]+(TABL1234[[#This Row],[(STORGE DIFF.) AJD]]*1000)+TABL1234[[#This Row],[AJD_Evaporation]])</f>
        <v/>
      </c>
      <c r="AE239" s="44" t="n"/>
      <c r="AF239" s="45" t="n"/>
      <c r="AG239" s="45" t="n"/>
      <c r="AH239" s="6" t="n"/>
      <c r="AI239" s="45" t="n"/>
      <c r="AJ239" s="45">
        <f>TABL1234[[#This Row],[(A/B) AJD]]-TABL1234[[#This Row],[BER_IN]]</f>
        <v/>
      </c>
      <c r="AK239" s="45" t="n"/>
      <c r="AL239" s="45" t="n"/>
      <c r="AM239" s="32" t="n"/>
      <c r="AN239" s="32">
        <f>TABL1234[[#This Row],[ (RESV. STORGE) SER]]/10</f>
        <v/>
      </c>
      <c r="AO239" s="68" t="n"/>
      <c r="AP239" s="68">
        <f>TABL1234[[#This Row],[(A/S) AJD]]-TABL1234[[#This Row],[SER_IN]]</f>
        <v/>
      </c>
    </row>
    <row r="240" ht="18.75" customHeight="1">
      <c r="A240" s="2" t="n">
        <v>46626</v>
      </c>
      <c r="B240" s="41" t="n"/>
      <c r="C240" s="41" t="n"/>
      <c r="D240" s="41" t="n"/>
      <c r="E240" s="28" t="n"/>
      <c r="F240" s="41" t="n"/>
      <c r="G240" s="39" t="n"/>
      <c r="H240" s="28">
        <f>103-F240</f>
        <v/>
      </c>
      <c r="I240" s="39" t="n"/>
      <c r="J240" s="39" t="n"/>
      <c r="K240" s="28">
        <f>TABL1234[[#This Row],[ (T/B) SAR]]+TABL1234[[#This Row],[ (S/S) SAR]]</f>
        <v/>
      </c>
      <c r="L240" s="41" t="n"/>
      <c r="M240" s="42" t="n"/>
      <c r="N240" s="42" t="n"/>
      <c r="O240" s="39" t="n"/>
      <c r="P240" s="3">
        <f>TABL1234[[#This Row],[ (S/S) SAR]]-TABL1234[[#This Row],[(S/S) AJD]]</f>
        <v/>
      </c>
      <c r="Q240" s="39" t="n"/>
      <c r="R240" s="3">
        <f>TABL1234[[#This Row],[ (T/B) SAR]]-TABL1234[[#This Row],[(T/B) AJD]]</f>
        <v/>
      </c>
      <c r="S240" s="3">
        <f>TABL1234[[#This Row],[T/B-CON.]]+TABL1234[[#This Row],[S/S_CON.]]</f>
        <v/>
      </c>
      <c r="T240" s="3">
        <f>TABL1234[[#This Row],[(S/S) AJD]]+TABL1234[[#This Row],[(T/B) AJD]]</f>
        <v/>
      </c>
      <c r="U240" s="41" t="n"/>
      <c r="V240" s="41" t="n"/>
      <c r="W240" s="3">
        <f>TABL1234[[#This Row],[(A/B) AJD]]+TABL1234[[#This Row],[(A/S) AJD]]</f>
        <v/>
      </c>
      <c r="X240" s="3">
        <f>TABL1234[[#This Row],[( S/S+T/B) AJD]]-TABL1234[[#This Row],[(A/B + A/S) AJD]]</f>
        <v/>
      </c>
      <c r="Y240" s="41" t="n"/>
      <c r="Z240" s="43" t="n"/>
      <c r="AA240" s="3">
        <f>TABL1234[[#This Row],[(RESV. STORGE) AJD]]/10</f>
        <v/>
      </c>
      <c r="AB240" s="3">
        <f>IF(TRIM(Z240)="",,(Z240-Z239)/1000)</f>
        <v/>
      </c>
      <c r="AC240" s="5" t="n"/>
      <c r="AD240" s="39">
        <f>TABL1234[[#This Row],[( S/S+T/B) AJD]]-(TABL1234[[#This Row],[(A/B + A/S) AJD]]+(TABL1234[[#This Row],[(STORGE DIFF.) AJD]]*1000)+TABL1234[[#This Row],[AJD_Evaporation]])</f>
        <v/>
      </c>
      <c r="AE240" s="41" t="n"/>
      <c r="AF240" s="43" t="n"/>
      <c r="AG240" s="43" t="n"/>
      <c r="AH240" s="6" t="n"/>
      <c r="AI240" s="43" t="n"/>
      <c r="AJ240" s="43">
        <f>TABL1234[[#This Row],[(A/B) AJD]]-TABL1234[[#This Row],[BER_IN]]</f>
        <v/>
      </c>
      <c r="AK240" s="43" t="n"/>
      <c r="AL240" s="43" t="n"/>
      <c r="AM240" s="32" t="n"/>
      <c r="AN240" s="32">
        <f>TABL1234[[#This Row],[ (RESV. STORGE) SER]]/10</f>
        <v/>
      </c>
      <c r="AO240" s="68" t="n"/>
      <c r="AP240" s="68">
        <f>TABL1234[[#This Row],[(A/S) AJD]]-TABL1234[[#This Row],[SER_IN]]</f>
        <v/>
      </c>
    </row>
    <row r="241" ht="18.75" customHeight="1">
      <c r="A241" s="2" t="n">
        <v>46627</v>
      </c>
      <c r="B241" s="44" t="n"/>
      <c r="C241" s="44" t="n"/>
      <c r="D241" s="44" t="n"/>
      <c r="E241" s="28" t="n"/>
      <c r="F241" s="44" t="n"/>
      <c r="G241" s="40" t="n"/>
      <c r="H241" s="28">
        <f>103-F241</f>
        <v/>
      </c>
      <c r="I241" s="40" t="n"/>
      <c r="J241" s="44" t="n"/>
      <c r="K241" s="28">
        <f>TABL1234[[#This Row],[ (T/B) SAR]]+TABL1234[[#This Row],[ (S/S) SAR]]</f>
        <v/>
      </c>
      <c r="L241" s="45" t="n"/>
      <c r="M241" s="46" t="n"/>
      <c r="N241" s="46" t="n"/>
      <c r="O241" s="40" t="n"/>
      <c r="P241" s="3">
        <f>TABL1234[[#This Row],[ (S/S) SAR]]-TABL1234[[#This Row],[(S/S) AJD]]</f>
        <v/>
      </c>
      <c r="Q241" s="40" t="n"/>
      <c r="R241" s="3">
        <f>TABL1234[[#This Row],[ (T/B) SAR]]-TABL1234[[#This Row],[(T/B) AJD]]</f>
        <v/>
      </c>
      <c r="S241" s="3">
        <f>TABL1234[[#This Row],[T/B-CON.]]+TABL1234[[#This Row],[S/S_CON.]]</f>
        <v/>
      </c>
      <c r="T241" s="3">
        <f>TABL1234[[#This Row],[(S/S) AJD]]+TABL1234[[#This Row],[(T/B) AJD]]</f>
        <v/>
      </c>
      <c r="U241" s="44" t="n"/>
      <c r="V241" s="44" t="n"/>
      <c r="W241" s="3">
        <f>TABL1234[[#This Row],[(A/B) AJD]]+TABL1234[[#This Row],[(A/S) AJD]]</f>
        <v/>
      </c>
      <c r="X241" s="3">
        <f>TABL1234[[#This Row],[( S/S+T/B) AJD]]-TABL1234[[#This Row],[(A/B + A/S) AJD]]</f>
        <v/>
      </c>
      <c r="Y241" s="44" t="n"/>
      <c r="Z241" s="45" t="n"/>
      <c r="AA241" s="3">
        <f>TABL1234[[#This Row],[(RESV. STORGE) AJD]]/10</f>
        <v/>
      </c>
      <c r="AB241" s="3">
        <f>IF(TRIM(Z241)="",,(Z241-Z240)/1000)</f>
        <v/>
      </c>
      <c r="AC241" s="5" t="n"/>
      <c r="AD241" s="40">
        <f>TABL1234[[#This Row],[( S/S+T/B) AJD]]-(TABL1234[[#This Row],[(A/B + A/S) AJD]]+(TABL1234[[#This Row],[(STORGE DIFF.) AJD]]*1000)+TABL1234[[#This Row],[AJD_Evaporation]])</f>
        <v/>
      </c>
      <c r="AE241" s="44" t="n"/>
      <c r="AF241" s="45" t="n"/>
      <c r="AG241" s="45" t="n"/>
      <c r="AH241" s="6" t="n"/>
      <c r="AI241" s="45" t="n"/>
      <c r="AJ241" s="45">
        <f>TABL1234[[#This Row],[(A/B) AJD]]-TABL1234[[#This Row],[BER_IN]]</f>
        <v/>
      </c>
      <c r="AK241" s="45" t="n"/>
      <c r="AL241" s="45" t="n"/>
      <c r="AM241" s="32" t="n"/>
      <c r="AN241" s="32">
        <f>TABL1234[[#This Row],[ (RESV. STORGE) SER]]/10</f>
        <v/>
      </c>
      <c r="AO241" s="68" t="n"/>
      <c r="AP241" s="68">
        <f>TABL1234[[#This Row],[(A/S) AJD]]-TABL1234[[#This Row],[SER_IN]]</f>
        <v/>
      </c>
    </row>
    <row r="242" ht="18.75" customHeight="1">
      <c r="A242" s="2" t="n">
        <v>46628</v>
      </c>
      <c r="B242" s="41" t="n"/>
      <c r="C242" s="41" t="n"/>
      <c r="D242" s="41" t="n"/>
      <c r="E242" s="28" t="n"/>
      <c r="F242" s="41" t="n"/>
      <c r="G242" s="39" t="n"/>
      <c r="H242" s="28">
        <f>103-F242</f>
        <v/>
      </c>
      <c r="I242" s="39" t="n"/>
      <c r="J242" s="39" t="n"/>
      <c r="K242" s="28">
        <f>TABL1234[[#This Row],[ (T/B) SAR]]+TABL1234[[#This Row],[ (S/S) SAR]]</f>
        <v/>
      </c>
      <c r="L242" s="41" t="n"/>
      <c r="M242" s="42" t="n"/>
      <c r="N242" s="42" t="n"/>
      <c r="O242" s="39" t="n"/>
      <c r="P242" s="3">
        <f>TABL1234[[#This Row],[ (S/S) SAR]]-TABL1234[[#This Row],[(S/S) AJD]]</f>
        <v/>
      </c>
      <c r="Q242" s="39" t="n"/>
      <c r="R242" s="3">
        <f>TABL1234[[#This Row],[ (T/B) SAR]]-TABL1234[[#This Row],[(T/B) AJD]]</f>
        <v/>
      </c>
      <c r="S242" s="3">
        <f>TABL1234[[#This Row],[T/B-CON.]]+TABL1234[[#This Row],[S/S_CON.]]</f>
        <v/>
      </c>
      <c r="T242" s="3">
        <f>TABL1234[[#This Row],[(S/S) AJD]]+TABL1234[[#This Row],[(T/B) AJD]]</f>
        <v/>
      </c>
      <c r="U242" s="41" t="n"/>
      <c r="V242" s="41" t="n"/>
      <c r="W242" s="3">
        <f>TABL1234[[#This Row],[(A/B) AJD]]+TABL1234[[#This Row],[(A/S) AJD]]</f>
        <v/>
      </c>
      <c r="X242" s="3">
        <f>TABL1234[[#This Row],[( S/S+T/B) AJD]]-TABL1234[[#This Row],[(A/B + A/S) AJD]]</f>
        <v/>
      </c>
      <c r="Y242" s="41" t="n"/>
      <c r="Z242" s="43" t="n"/>
      <c r="AA242" s="3">
        <f>TABL1234[[#This Row],[(RESV. STORGE) AJD]]/10</f>
        <v/>
      </c>
      <c r="AB242" s="3">
        <f>IF(TRIM(Z242)="",,(Z242-Z241)/1000)</f>
        <v/>
      </c>
      <c r="AC242" s="5" t="n"/>
      <c r="AD242" s="39">
        <f>TABL1234[[#This Row],[( S/S+T/B) AJD]]-(TABL1234[[#This Row],[(A/B + A/S) AJD]]+(TABL1234[[#This Row],[(STORGE DIFF.) AJD]]*1000)+TABL1234[[#This Row],[AJD_Evaporation]])</f>
        <v/>
      </c>
      <c r="AE242" s="41" t="n"/>
      <c r="AF242" s="43" t="n"/>
      <c r="AG242" s="43" t="n"/>
      <c r="AH242" s="6" t="n"/>
      <c r="AI242" s="43" t="n"/>
      <c r="AJ242" s="43">
        <f>TABL1234[[#This Row],[(A/B) AJD]]-TABL1234[[#This Row],[BER_IN]]</f>
        <v/>
      </c>
      <c r="AK242" s="43" t="n"/>
      <c r="AL242" s="43" t="n"/>
      <c r="AM242" s="32" t="n"/>
      <c r="AN242" s="32">
        <f>TABL1234[[#This Row],[ (RESV. STORGE) SER]]/10</f>
        <v/>
      </c>
      <c r="AO242" s="68" t="n"/>
      <c r="AP242" s="68">
        <f>TABL1234[[#This Row],[(A/S) AJD]]-TABL1234[[#This Row],[SER_IN]]</f>
        <v/>
      </c>
    </row>
    <row r="243" ht="18.75" customHeight="1">
      <c r="A243" s="2" t="n">
        <v>46629</v>
      </c>
      <c r="B243" s="44" t="n"/>
      <c r="C243" s="44" t="n"/>
      <c r="D243" s="44" t="n"/>
      <c r="E243" s="28" t="n"/>
      <c r="F243" s="44" t="n"/>
      <c r="G243" s="40" t="n"/>
      <c r="H243" s="28">
        <f>103-F243</f>
        <v/>
      </c>
      <c r="I243" s="40" t="n"/>
      <c r="J243" s="44" t="n"/>
      <c r="K243" s="28">
        <f>TABL1234[[#This Row],[ (T/B) SAR]]+TABL1234[[#This Row],[ (S/S) SAR]]</f>
        <v/>
      </c>
      <c r="L243" s="45" t="n"/>
      <c r="M243" s="46" t="n"/>
      <c r="N243" s="46" t="n"/>
      <c r="O243" s="40" t="n"/>
      <c r="P243" s="3">
        <f>TABL1234[[#This Row],[ (S/S) SAR]]-TABL1234[[#This Row],[(S/S) AJD]]</f>
        <v/>
      </c>
      <c r="Q243" s="40" t="n"/>
      <c r="R243" s="3">
        <f>TABL1234[[#This Row],[ (T/B) SAR]]-TABL1234[[#This Row],[(T/B) AJD]]</f>
        <v/>
      </c>
      <c r="S243" s="3">
        <f>TABL1234[[#This Row],[T/B-CON.]]+TABL1234[[#This Row],[S/S_CON.]]</f>
        <v/>
      </c>
      <c r="T243" s="3">
        <f>TABL1234[[#This Row],[(S/S) AJD]]+TABL1234[[#This Row],[(T/B) AJD]]</f>
        <v/>
      </c>
      <c r="U243" s="44" t="n"/>
      <c r="V243" s="44" t="n"/>
      <c r="W243" s="3">
        <f>TABL1234[[#This Row],[(A/B) AJD]]+TABL1234[[#This Row],[(A/S) AJD]]</f>
        <v/>
      </c>
      <c r="X243" s="3">
        <f>TABL1234[[#This Row],[( S/S+T/B) AJD]]-TABL1234[[#This Row],[(A/B + A/S) AJD]]</f>
        <v/>
      </c>
      <c r="Y243" s="44" t="n"/>
      <c r="Z243" s="45" t="n"/>
      <c r="AA243" s="3">
        <f>TABL1234[[#This Row],[(RESV. STORGE) AJD]]/10</f>
        <v/>
      </c>
      <c r="AB243" s="3">
        <f>IF(TRIM(Z243)="",,(Z243-Z242)/1000)</f>
        <v/>
      </c>
      <c r="AC243" s="5" t="n"/>
      <c r="AD243" s="70">
        <f>TABL1234[[#This Row],[( S/S+T/B) AJD]]-(TABL1234[[#This Row],[(A/B + A/S) AJD]]+(TABL1234[[#This Row],[(STORGE DIFF.) AJD]]*1000)+TABL1234[[#This Row],[AJD_Evaporation]])</f>
        <v/>
      </c>
      <c r="AE243" s="44" t="n"/>
      <c r="AF243" s="45" t="n"/>
      <c r="AG243" s="45" t="n"/>
      <c r="AH243" s="6" t="n"/>
      <c r="AI243" s="45" t="n"/>
      <c r="AJ243" s="90">
        <f>TABL1234[[#This Row],[(A/B) AJD]]-TABL1234[[#This Row],[BER_IN]]</f>
        <v/>
      </c>
      <c r="AK243" s="45" t="n"/>
      <c r="AL243" s="45" t="n"/>
      <c r="AM243" s="32" t="n"/>
      <c r="AN243" s="32">
        <f>TABL1234[[#This Row],[ (RESV. STORGE) SER]]/10</f>
        <v/>
      </c>
      <c r="AO243" s="68" t="n"/>
      <c r="AP243" s="68">
        <f>TABL1234[[#This Row],[(A/S) AJD]]-TABL1234[[#This Row],[SER_IN]]</f>
        <v/>
      </c>
    </row>
    <row r="244" ht="18.75" customHeight="1">
      <c r="A244" s="2" t="n">
        <v>46630</v>
      </c>
      <c r="B244" s="41" t="n"/>
      <c r="C244" s="41" t="n"/>
      <c r="D244" s="41" t="n"/>
      <c r="E244" s="28" t="n"/>
      <c r="F244" s="41" t="n"/>
      <c r="G244" s="39" t="n"/>
      <c r="H244" s="28">
        <f>103-F244</f>
        <v/>
      </c>
      <c r="I244" s="39" t="n"/>
      <c r="J244" s="39" t="n"/>
      <c r="K244" s="28">
        <f>TABL1234[[#This Row],[ (T/B) SAR]]+TABL1234[[#This Row],[ (S/S) SAR]]</f>
        <v/>
      </c>
      <c r="L244" s="41" t="n"/>
      <c r="M244" s="42" t="n"/>
      <c r="N244" s="42" t="n"/>
      <c r="O244" s="39" t="n"/>
      <c r="P244" s="3">
        <f>TABL1234[[#This Row],[ (S/S) SAR]]-TABL1234[[#This Row],[(S/S) AJD]]</f>
        <v/>
      </c>
      <c r="Q244" s="39" t="n"/>
      <c r="R244" s="3">
        <f>TABL1234[[#This Row],[ (T/B) SAR]]-TABL1234[[#This Row],[(T/B) AJD]]</f>
        <v/>
      </c>
      <c r="S244" s="3">
        <f>TABL1234[[#This Row],[T/B-CON.]]+TABL1234[[#This Row],[S/S_CON.]]</f>
        <v/>
      </c>
      <c r="T244" s="3">
        <f>TABL1234[[#This Row],[(S/S) AJD]]+TABL1234[[#This Row],[(T/B) AJD]]</f>
        <v/>
      </c>
      <c r="U244" s="41" t="n"/>
      <c r="V244" s="41" t="n"/>
      <c r="W244" s="3">
        <f>TABL1234[[#This Row],[(A/B) AJD]]+TABL1234[[#This Row],[(A/S) AJD]]</f>
        <v/>
      </c>
      <c r="X244" s="3">
        <f>TABL1234[[#This Row],[( S/S+T/B) AJD]]-TABL1234[[#This Row],[(A/B + A/S) AJD]]</f>
        <v/>
      </c>
      <c r="Y244" s="41" t="n"/>
      <c r="Z244" s="43" t="n"/>
      <c r="AA244" s="3">
        <f>TABL1234[[#This Row],[(RESV. STORGE) AJD]]/10</f>
        <v/>
      </c>
      <c r="AB244" s="3">
        <f>IF(TRIM(Z244)="",,(Z244-Z243)/1000)</f>
        <v/>
      </c>
      <c r="AC244" s="5" t="n"/>
      <c r="AD244" s="39">
        <f>TABL1234[[#This Row],[( S/S+T/B) AJD]]-(TABL1234[[#This Row],[(A/B + A/S) AJD]]+(TABL1234[[#This Row],[(STORGE DIFF.) AJD]]*1000)+TABL1234[[#This Row],[AJD_Evaporation]])</f>
        <v/>
      </c>
      <c r="AE244" s="41" t="n"/>
      <c r="AF244" s="43" t="n"/>
      <c r="AG244" s="43" t="n"/>
      <c r="AH244" s="6" t="n"/>
      <c r="AI244" s="43" t="n"/>
      <c r="AJ244" s="43">
        <f>TABL1234[[#This Row],[(A/B) AJD]]-TABL1234[[#This Row],[BER_IN]]</f>
        <v/>
      </c>
      <c r="AK244" s="43" t="n"/>
      <c r="AL244" s="43" t="n"/>
      <c r="AM244" s="32" t="n"/>
      <c r="AN244" s="32">
        <f>TABL1234[[#This Row],[ (RESV. STORGE) SER]]/10</f>
        <v/>
      </c>
      <c r="AO244" s="68" t="n"/>
      <c r="AP244" s="68">
        <f>TABL1234[[#This Row],[(A/S) AJD]]-TABL1234[[#This Row],[SER_IN]]</f>
        <v/>
      </c>
    </row>
    <row r="245" ht="18.75" customHeight="1">
      <c r="A245" s="2" t="n">
        <v>46631</v>
      </c>
      <c r="B245" s="41" t="n"/>
      <c r="C245" s="41" t="n"/>
      <c r="D245" s="41" t="n"/>
      <c r="E245" s="35" t="n"/>
      <c r="F245" s="41" t="n"/>
      <c r="G245" s="39" t="n"/>
      <c r="H245" s="34">
        <f>103-F245</f>
        <v/>
      </c>
      <c r="I245" s="39" t="n"/>
      <c r="J245" s="39" t="n"/>
      <c r="K245" s="34">
        <f>TABL1234[[#This Row],[ (T/B) SAR]]+TABL1234[[#This Row],[ (S/S) SAR]]</f>
        <v/>
      </c>
      <c r="L245" s="41" t="n"/>
      <c r="M245" s="42" t="n"/>
      <c r="N245" s="42" t="n"/>
      <c r="O245" s="39" t="n"/>
      <c r="P245" s="14">
        <f>TABL1234[[#This Row],[ (S/S) SAR]]-TABL1234[[#This Row],[(S/S) AJD]]</f>
        <v/>
      </c>
      <c r="Q245" s="39" t="n"/>
      <c r="R245" s="14">
        <f>TABL1234[[#This Row],[ (T/B) SAR]]-TABL1234[[#This Row],[(T/B) AJD]]</f>
        <v/>
      </c>
      <c r="S245" s="14">
        <f>TABL1234[[#This Row],[T/B-CON.]]+TABL1234[[#This Row],[S/S_CON.]]</f>
        <v/>
      </c>
      <c r="T245" s="9">
        <f>TABL1234[[#This Row],[(S/S) AJD]]+TABL1234[[#This Row],[(T/B) AJD]]</f>
        <v/>
      </c>
      <c r="U245" s="41" t="n"/>
      <c r="V245" s="41" t="n"/>
      <c r="W245" s="9">
        <f>TABL1234[[#This Row],[(A/B) AJD]]+TABL1234[[#This Row],[(A/S) AJD]]</f>
        <v/>
      </c>
      <c r="X245" s="9">
        <f>TABL1234[[#This Row],[( S/S+T/B) AJD]]-TABL1234[[#This Row],[(A/B + A/S) AJD]]</f>
        <v/>
      </c>
      <c r="Y245" s="41" t="n"/>
      <c r="Z245" s="43" t="n"/>
      <c r="AA245" s="3">
        <f>TABL1234[[#This Row],[(RESV. STORGE) AJD]]/10</f>
        <v/>
      </c>
      <c r="AB245" s="3">
        <f>IF(TRIM(Z245)="",,(Z245-Z244)/1000)</f>
        <v/>
      </c>
      <c r="AC245" s="5" t="n"/>
      <c r="AD245" s="39">
        <f>TABL1234[[#This Row],[( S/S+T/B) AJD]]-(TABL1234[[#This Row],[(A/B + A/S) AJD]]+(TABL1234[[#This Row],[(STORGE DIFF.) AJD]]*1000)+TABL1234[[#This Row],[AJD_Evaporation]])</f>
        <v/>
      </c>
      <c r="AE245" s="41" t="n"/>
      <c r="AF245" s="43" t="n"/>
      <c r="AG245" s="43" t="n"/>
      <c r="AH245" s="6" t="n"/>
      <c r="AI245" s="43" t="n"/>
      <c r="AJ245" s="43">
        <f>TABL1234[[#This Row],[(A/B) AJD]]-TABL1234[[#This Row],[BER_IN]]</f>
        <v/>
      </c>
      <c r="AK245" s="43" t="n"/>
      <c r="AL245" s="43" t="n"/>
      <c r="AM245" s="32" t="n"/>
      <c r="AN245" s="32">
        <f>TABL1234[[#This Row],[ (RESV. STORGE) SER]]/10</f>
        <v/>
      </c>
      <c r="AO245" s="68" t="n"/>
      <c r="AP245" s="68">
        <f>TABL1234[[#This Row],[(A/S) AJD]]-TABL1234[[#This Row],[SER_IN]]</f>
        <v/>
      </c>
    </row>
    <row r="246" ht="18.75" customHeight="1">
      <c r="A246" s="2" t="n">
        <v>46632</v>
      </c>
      <c r="B246" s="44" t="n"/>
      <c r="C246" s="44" t="n"/>
      <c r="D246" s="44" t="n"/>
      <c r="E246" s="35" t="n"/>
      <c r="F246" s="44" t="n"/>
      <c r="G246" s="40" t="n"/>
      <c r="H246" s="34">
        <f>103-F246</f>
        <v/>
      </c>
      <c r="I246" s="40" t="n"/>
      <c r="J246" s="44" t="n"/>
      <c r="K246" s="34">
        <f>TABL1234[[#This Row],[ (T/B) SAR]]+TABL1234[[#This Row],[ (S/S) SAR]]</f>
        <v/>
      </c>
      <c r="L246" s="45" t="n"/>
      <c r="M246" s="46" t="n"/>
      <c r="N246" s="46" t="n"/>
      <c r="O246" s="40" t="n"/>
      <c r="P246" s="14">
        <f>TABL1234[[#This Row],[ (S/S) SAR]]-TABL1234[[#This Row],[(S/S) AJD]]</f>
        <v/>
      </c>
      <c r="Q246" s="40" t="n"/>
      <c r="R246" s="14">
        <f>TABL1234[[#This Row],[ (T/B) SAR]]-TABL1234[[#This Row],[(T/B) AJD]]</f>
        <v/>
      </c>
      <c r="S246" s="14">
        <f>TABL1234[[#This Row],[T/B-CON.]]+TABL1234[[#This Row],[S/S_CON.]]</f>
        <v/>
      </c>
      <c r="T246" s="9">
        <f>TABL1234[[#This Row],[(S/S) AJD]]+TABL1234[[#This Row],[(T/B) AJD]]</f>
        <v/>
      </c>
      <c r="U246" s="44" t="n"/>
      <c r="V246" s="44" t="n"/>
      <c r="W246" s="9">
        <f>TABL1234[[#This Row],[(A/B) AJD]]+TABL1234[[#This Row],[(A/S) AJD]]</f>
        <v/>
      </c>
      <c r="X246" s="9">
        <f>TABL1234[[#This Row],[( S/S+T/B) AJD]]-TABL1234[[#This Row],[(A/B + A/S) AJD]]</f>
        <v/>
      </c>
      <c r="Y246" s="44" t="n"/>
      <c r="Z246" s="45" t="n"/>
      <c r="AA246" s="3">
        <f>TABL1234[[#This Row],[(RESV. STORGE) AJD]]/10</f>
        <v/>
      </c>
      <c r="AB246" s="3">
        <f>IF(TRIM(Z246)="",,(Z246-Z245)/1000)</f>
        <v/>
      </c>
      <c r="AC246" s="5" t="n"/>
      <c r="AD246" s="40">
        <f>TABL1234[[#This Row],[( S/S+T/B) AJD]]-(TABL1234[[#This Row],[(A/B + A/S) AJD]]+(TABL1234[[#This Row],[(STORGE DIFF.) AJD]]*1000)+TABL1234[[#This Row],[AJD_Evaporation]])</f>
        <v/>
      </c>
      <c r="AE246" s="44" t="n"/>
      <c r="AF246" s="45" t="n"/>
      <c r="AG246" s="45" t="n"/>
      <c r="AH246" s="6" t="n"/>
      <c r="AI246" s="45" t="n"/>
      <c r="AJ246" s="45">
        <f>TABL1234[[#This Row],[(A/B) AJD]]-TABL1234[[#This Row],[BER_IN]]</f>
        <v/>
      </c>
      <c r="AK246" s="45" t="n"/>
      <c r="AL246" s="45" t="n"/>
      <c r="AM246" s="32" t="n"/>
      <c r="AN246" s="32">
        <f>TABL1234[[#This Row],[ (RESV. STORGE) SER]]/10</f>
        <v/>
      </c>
      <c r="AO246" s="68" t="n"/>
      <c r="AP246" s="68">
        <f>TABL1234[[#This Row],[(A/S) AJD]]-TABL1234[[#This Row],[SER_IN]]</f>
        <v/>
      </c>
    </row>
    <row r="247" ht="18.75" customHeight="1">
      <c r="A247" s="2" t="n">
        <v>46633</v>
      </c>
      <c r="B247" s="41" t="n"/>
      <c r="C247" s="41" t="n"/>
      <c r="D247" s="41" t="n"/>
      <c r="E247" s="35" t="n"/>
      <c r="F247" s="41" t="n"/>
      <c r="G247" s="39" t="n"/>
      <c r="H247" s="34">
        <f>103-F247</f>
        <v/>
      </c>
      <c r="I247" s="39" t="n"/>
      <c r="J247" s="39" t="n"/>
      <c r="K247" s="34">
        <f>TABL1234[[#This Row],[ (T/B) SAR]]+TABL1234[[#This Row],[ (S/S) SAR]]</f>
        <v/>
      </c>
      <c r="L247" s="41" t="n"/>
      <c r="M247" s="42" t="n"/>
      <c r="N247" s="42" t="n"/>
      <c r="O247" s="39" t="n"/>
      <c r="P247" s="14">
        <f>TABL1234[[#This Row],[ (S/S) SAR]]-TABL1234[[#This Row],[(S/S) AJD]]</f>
        <v/>
      </c>
      <c r="Q247" s="39" t="n"/>
      <c r="R247" s="14">
        <f>TABL1234[[#This Row],[ (T/B) SAR]]-TABL1234[[#This Row],[(T/B) AJD]]</f>
        <v/>
      </c>
      <c r="S247" s="14">
        <f>TABL1234[[#This Row],[T/B-CON.]]+TABL1234[[#This Row],[S/S_CON.]]</f>
        <v/>
      </c>
      <c r="T247" s="9">
        <f>TABL1234[[#This Row],[(S/S) AJD]]+TABL1234[[#This Row],[(T/B) AJD]]</f>
        <v/>
      </c>
      <c r="U247" s="41" t="n"/>
      <c r="V247" s="41" t="n"/>
      <c r="W247" s="9">
        <f>TABL1234[[#This Row],[(A/B) AJD]]+TABL1234[[#This Row],[(A/S) AJD]]</f>
        <v/>
      </c>
      <c r="X247" s="9">
        <f>TABL1234[[#This Row],[( S/S+T/B) AJD]]-TABL1234[[#This Row],[(A/B + A/S) AJD]]</f>
        <v/>
      </c>
      <c r="Y247" s="41" t="n"/>
      <c r="Z247" s="43" t="n"/>
      <c r="AA247" s="3">
        <f>TABL1234[[#This Row],[(RESV. STORGE) AJD]]/10</f>
        <v/>
      </c>
      <c r="AB247" s="3">
        <f>IF(TRIM(Z247)="",,(Z247-Z246)/1000)</f>
        <v/>
      </c>
      <c r="AC247" s="5" t="n"/>
      <c r="AD247" s="39">
        <f>TABL1234[[#This Row],[( S/S+T/B) AJD]]-(TABL1234[[#This Row],[(A/B + A/S) AJD]]+(TABL1234[[#This Row],[(STORGE DIFF.) AJD]]*1000)+TABL1234[[#This Row],[AJD_Evaporation]])</f>
        <v/>
      </c>
      <c r="AE247" s="41" t="n"/>
      <c r="AF247" s="43" t="n"/>
      <c r="AG247" s="43" t="n"/>
      <c r="AH247" s="6" t="n"/>
      <c r="AI247" s="43" t="n"/>
      <c r="AJ247" s="43">
        <f>TABL1234[[#This Row],[(A/B) AJD]]-TABL1234[[#This Row],[BER_IN]]</f>
        <v/>
      </c>
      <c r="AK247" s="43" t="n"/>
      <c r="AL247" s="43" t="n"/>
      <c r="AM247" s="32" t="n"/>
      <c r="AN247" s="32">
        <f>TABL1234[[#This Row],[ (RESV. STORGE) SER]]/10</f>
        <v/>
      </c>
      <c r="AO247" s="68" t="n"/>
      <c r="AP247" s="68">
        <f>TABL1234[[#This Row],[(A/S) AJD]]-TABL1234[[#This Row],[SER_IN]]</f>
        <v/>
      </c>
    </row>
    <row r="248" ht="18.75" customHeight="1">
      <c r="A248" s="2" t="n">
        <v>46634</v>
      </c>
      <c r="B248" s="44" t="n"/>
      <c r="C248" s="44" t="n"/>
      <c r="D248" s="44" t="n"/>
      <c r="E248" s="35" t="n"/>
      <c r="F248" s="44" t="n"/>
      <c r="G248" s="40" t="n"/>
      <c r="H248" s="34">
        <f>103-F248</f>
        <v/>
      </c>
      <c r="I248" s="40" t="n"/>
      <c r="J248" s="44" t="n"/>
      <c r="K248" s="34">
        <f>TABL1234[[#This Row],[ (T/B) SAR]]+TABL1234[[#This Row],[ (S/S) SAR]]</f>
        <v/>
      </c>
      <c r="L248" s="45" t="n"/>
      <c r="M248" s="46" t="n"/>
      <c r="N248" s="46" t="n"/>
      <c r="O248" s="40" t="n"/>
      <c r="P248" s="14">
        <f>TABL1234[[#This Row],[ (S/S) SAR]]-TABL1234[[#This Row],[(S/S) AJD]]</f>
        <v/>
      </c>
      <c r="Q248" s="40" t="n"/>
      <c r="R248" s="14">
        <f>TABL1234[[#This Row],[ (T/B) SAR]]-TABL1234[[#This Row],[(T/B) AJD]]</f>
        <v/>
      </c>
      <c r="S248" s="14">
        <f>TABL1234[[#This Row],[T/B-CON.]]+TABL1234[[#This Row],[S/S_CON.]]</f>
        <v/>
      </c>
      <c r="T248" s="9">
        <f>TABL1234[[#This Row],[(S/S) AJD]]+TABL1234[[#This Row],[(T/B) AJD]]</f>
        <v/>
      </c>
      <c r="U248" s="44" t="n"/>
      <c r="V248" s="44" t="n"/>
      <c r="W248" s="9">
        <f>TABL1234[[#This Row],[(A/B) AJD]]+TABL1234[[#This Row],[(A/S) AJD]]</f>
        <v/>
      </c>
      <c r="X248" s="9">
        <f>TABL1234[[#This Row],[( S/S+T/B) AJD]]-TABL1234[[#This Row],[(A/B + A/S) AJD]]</f>
        <v/>
      </c>
      <c r="Y248" s="44" t="n"/>
      <c r="Z248" s="45" t="n"/>
      <c r="AA248" s="3">
        <f>TABL1234[[#This Row],[(RESV. STORGE) AJD]]/10</f>
        <v/>
      </c>
      <c r="AB248" s="3">
        <f>IF(TRIM(Z248)="",,(Z248-Z247)/1000)</f>
        <v/>
      </c>
      <c r="AC248" s="5" t="n"/>
      <c r="AD248" s="40">
        <f>TABL1234[[#This Row],[( S/S+T/B) AJD]]-(TABL1234[[#This Row],[(A/B + A/S) AJD]]+(TABL1234[[#This Row],[(STORGE DIFF.) AJD]]*1000)+TABL1234[[#This Row],[AJD_Evaporation]])</f>
        <v/>
      </c>
      <c r="AE248" s="44" t="n"/>
      <c r="AF248" s="45" t="n"/>
      <c r="AG248" s="45" t="n"/>
      <c r="AH248" s="6" t="n"/>
      <c r="AI248" s="45" t="n"/>
      <c r="AJ248" s="45">
        <f>TABL1234[[#This Row],[(A/B) AJD]]-TABL1234[[#This Row],[BER_IN]]</f>
        <v/>
      </c>
      <c r="AK248" s="45" t="n"/>
      <c r="AL248" s="45" t="n"/>
      <c r="AM248" s="32" t="n"/>
      <c r="AN248" s="32">
        <f>TABL1234[[#This Row],[ (RESV. STORGE) SER]]/10</f>
        <v/>
      </c>
      <c r="AO248" s="68" t="n"/>
      <c r="AP248" s="68">
        <f>TABL1234[[#This Row],[(A/S) AJD]]-TABL1234[[#This Row],[SER_IN]]</f>
        <v/>
      </c>
    </row>
    <row r="249" ht="18.75" customHeight="1">
      <c r="A249" s="2" t="n">
        <v>46635</v>
      </c>
      <c r="B249" s="41" t="n"/>
      <c r="C249" s="41" t="n"/>
      <c r="D249" s="41" t="n"/>
      <c r="E249" s="35" t="n"/>
      <c r="F249" s="41" t="n"/>
      <c r="G249" s="39" t="n"/>
      <c r="H249" s="34">
        <f>103-F249</f>
        <v/>
      </c>
      <c r="I249" s="39" t="n"/>
      <c r="J249" s="39" t="n"/>
      <c r="K249" s="34">
        <f>TABL1234[[#This Row],[ (T/B) SAR]]+TABL1234[[#This Row],[ (S/S) SAR]]</f>
        <v/>
      </c>
      <c r="L249" s="41" t="n"/>
      <c r="M249" s="42" t="n"/>
      <c r="N249" s="42" t="n"/>
      <c r="O249" s="39" t="n"/>
      <c r="P249" s="14">
        <f>TABL1234[[#This Row],[ (S/S) SAR]]-TABL1234[[#This Row],[(S/S) AJD]]</f>
        <v/>
      </c>
      <c r="Q249" s="39" t="n"/>
      <c r="R249" s="14">
        <f>TABL1234[[#This Row],[ (T/B) SAR]]-TABL1234[[#This Row],[(T/B) AJD]]</f>
        <v/>
      </c>
      <c r="S249" s="14">
        <f>TABL1234[[#This Row],[T/B-CON.]]+TABL1234[[#This Row],[S/S_CON.]]</f>
        <v/>
      </c>
      <c r="T249" s="9">
        <f>TABL1234[[#This Row],[(S/S) AJD]]+TABL1234[[#This Row],[(T/B) AJD]]</f>
        <v/>
      </c>
      <c r="U249" s="41" t="n"/>
      <c r="V249" s="41" t="n"/>
      <c r="W249" s="9">
        <f>TABL1234[[#This Row],[(A/B) AJD]]+TABL1234[[#This Row],[(A/S) AJD]]</f>
        <v/>
      </c>
      <c r="X249" s="9">
        <f>TABL1234[[#This Row],[( S/S+T/B) AJD]]-TABL1234[[#This Row],[(A/B + A/S) AJD]]</f>
        <v/>
      </c>
      <c r="Y249" s="41" t="n"/>
      <c r="Z249" s="43" t="n"/>
      <c r="AA249" s="3">
        <f>TABL1234[[#This Row],[(RESV. STORGE) AJD]]/10</f>
        <v/>
      </c>
      <c r="AB249" s="3">
        <f>IF(TRIM(Z249)="",,(Z249-Z248)/1000)</f>
        <v/>
      </c>
      <c r="AC249" s="5" t="n"/>
      <c r="AD249" s="39">
        <f>TABL1234[[#This Row],[( S/S+T/B) AJD]]-(TABL1234[[#This Row],[(A/B + A/S) AJD]]+(TABL1234[[#This Row],[(STORGE DIFF.) AJD]]*1000)+TABL1234[[#This Row],[AJD_Evaporation]])</f>
        <v/>
      </c>
      <c r="AE249" s="41" t="n"/>
      <c r="AF249" s="43" t="n"/>
      <c r="AG249" s="43" t="n"/>
      <c r="AH249" s="6" t="n"/>
      <c r="AI249" s="43" t="n"/>
      <c r="AJ249" s="43">
        <f>TABL1234[[#This Row],[(A/B) AJD]]-TABL1234[[#This Row],[BER_IN]]</f>
        <v/>
      </c>
      <c r="AK249" s="43" t="n"/>
      <c r="AL249" s="43" t="n"/>
      <c r="AM249" s="32" t="n"/>
      <c r="AN249" s="32">
        <f>TABL1234[[#This Row],[ (RESV. STORGE) SER]]/10</f>
        <v/>
      </c>
      <c r="AO249" s="68" t="n"/>
      <c r="AP249" s="68">
        <f>TABL1234[[#This Row],[(A/S) AJD]]-TABL1234[[#This Row],[SER_IN]]</f>
        <v/>
      </c>
    </row>
    <row r="250" ht="18.75" customHeight="1">
      <c r="A250" s="2" t="n">
        <v>46636</v>
      </c>
      <c r="B250" s="44" t="n"/>
      <c r="C250" s="44" t="n"/>
      <c r="D250" s="44" t="n"/>
      <c r="E250" s="35" t="n"/>
      <c r="F250" s="44" t="n"/>
      <c r="G250" s="40" t="n"/>
      <c r="H250" s="28">
        <f>103-F250</f>
        <v/>
      </c>
      <c r="I250" s="40" t="n"/>
      <c r="J250" s="44" t="n"/>
      <c r="K250" s="28">
        <f>TABL1234[[#This Row],[ (T/B) SAR]]+TABL1234[[#This Row],[ (S/S) SAR]]</f>
        <v/>
      </c>
      <c r="L250" s="45" t="n"/>
      <c r="M250" s="46" t="n"/>
      <c r="N250" s="46" t="n"/>
      <c r="O250" s="40" t="n"/>
      <c r="P250" s="9">
        <f>TABL1234[[#This Row],[ (S/S) SAR]]-TABL1234[[#This Row],[(S/S) AJD]]</f>
        <v/>
      </c>
      <c r="Q250" s="40" t="n"/>
      <c r="R250" s="9">
        <f>TABL1234[[#This Row],[ (T/B) SAR]]-TABL1234[[#This Row],[(T/B) AJD]]</f>
        <v/>
      </c>
      <c r="S250" s="9">
        <f>TABL1234[[#This Row],[T/B-CON.]]+TABL1234[[#This Row],[S/S_CON.]]</f>
        <v/>
      </c>
      <c r="T250" s="9">
        <f>TABL1234[[#This Row],[(S/S) AJD]]+TABL1234[[#This Row],[(T/B) AJD]]</f>
        <v/>
      </c>
      <c r="U250" s="44" t="n"/>
      <c r="V250" s="44" t="n"/>
      <c r="W250" s="9">
        <f>TABL1234[[#This Row],[(A/B) AJD]]+TABL1234[[#This Row],[(A/S) AJD]]</f>
        <v/>
      </c>
      <c r="X250" s="9">
        <f>TABL1234[[#This Row],[( S/S+T/B) AJD]]-TABL1234[[#This Row],[(A/B + A/S) AJD]]</f>
        <v/>
      </c>
      <c r="Y250" s="44" t="n"/>
      <c r="Z250" s="45" t="n"/>
      <c r="AA250" s="3">
        <f>TABL1234[[#This Row],[(RESV. STORGE) AJD]]/10</f>
        <v/>
      </c>
      <c r="AB250" s="3">
        <f>IF(TRIM(Z250)="",,(Z250-Z249)/1000)</f>
        <v/>
      </c>
      <c r="AC250" s="5" t="n"/>
      <c r="AD250" s="40">
        <f>TABL1234[[#This Row],[( S/S+T/B) AJD]]-(TABL1234[[#This Row],[(A/B + A/S) AJD]]+(TABL1234[[#This Row],[(STORGE DIFF.) AJD]]*1000)+TABL1234[[#This Row],[AJD_Evaporation]])</f>
        <v/>
      </c>
      <c r="AE250" s="44" t="n"/>
      <c r="AF250" s="45" t="n"/>
      <c r="AG250" s="45" t="n"/>
      <c r="AH250" s="6" t="n"/>
      <c r="AI250" s="45" t="n"/>
      <c r="AJ250" s="45">
        <f>TABL1234[[#This Row],[(A/B) AJD]]-TABL1234[[#This Row],[BER_IN]]</f>
        <v/>
      </c>
      <c r="AK250" s="45" t="n"/>
      <c r="AL250" s="45" t="n"/>
      <c r="AM250" s="32" t="n"/>
      <c r="AN250" s="32">
        <f>TABL1234[[#This Row],[ (RESV. STORGE) SER]]/10</f>
        <v/>
      </c>
      <c r="AO250" s="68" t="n"/>
      <c r="AP250" s="68">
        <f>TABL1234[[#This Row],[(A/S) AJD]]-TABL1234[[#This Row],[SER_IN]]</f>
        <v/>
      </c>
    </row>
    <row r="251" ht="18.75" customHeight="1">
      <c r="A251" s="2" t="n">
        <v>46637</v>
      </c>
      <c r="B251" s="41" t="n"/>
      <c r="C251" s="41" t="n"/>
      <c r="D251" s="41" t="n"/>
      <c r="E251" s="35" t="n"/>
      <c r="F251" s="41" t="n"/>
      <c r="G251" s="39" t="n"/>
      <c r="H251" s="28">
        <f>103-F251</f>
        <v/>
      </c>
      <c r="I251" s="39" t="n"/>
      <c r="J251" s="39" t="n"/>
      <c r="K251" s="28">
        <f>TABL1234[[#This Row],[ (T/B) SAR]]+TABL1234[[#This Row],[ (S/S) SAR]]</f>
        <v/>
      </c>
      <c r="L251" s="41" t="n"/>
      <c r="M251" s="42" t="n"/>
      <c r="N251" s="42" t="n"/>
      <c r="O251" s="39" t="n"/>
      <c r="P251" s="9">
        <f>TABL1234[[#This Row],[ (S/S) SAR]]-TABL1234[[#This Row],[(S/S) AJD]]</f>
        <v/>
      </c>
      <c r="Q251" s="39" t="n"/>
      <c r="R251" s="9">
        <f>TABL1234[[#This Row],[ (T/B) SAR]]-TABL1234[[#This Row],[(T/B) AJD]]</f>
        <v/>
      </c>
      <c r="S251" s="9">
        <f>TABL1234[[#This Row],[T/B-CON.]]+TABL1234[[#This Row],[S/S_CON.]]</f>
        <v/>
      </c>
      <c r="T251" s="9">
        <f>TABL1234[[#This Row],[(S/S) AJD]]+TABL1234[[#This Row],[(T/B) AJD]]</f>
        <v/>
      </c>
      <c r="U251" s="41" t="n"/>
      <c r="V251" s="41" t="n"/>
      <c r="W251" s="9">
        <f>TABL1234[[#This Row],[(A/B) AJD]]+TABL1234[[#This Row],[(A/S) AJD]]</f>
        <v/>
      </c>
      <c r="X251" s="9">
        <f>TABL1234[[#This Row],[( S/S+T/B) AJD]]-TABL1234[[#This Row],[(A/B + A/S) AJD]]</f>
        <v/>
      </c>
      <c r="Y251" s="41" t="n"/>
      <c r="Z251" s="43" t="n"/>
      <c r="AA251" s="3">
        <f>TABL1234[[#This Row],[(RESV. STORGE) AJD]]/10</f>
        <v/>
      </c>
      <c r="AB251" s="3">
        <f>IF(TRIM(Z251)="",,(Z251-Z250)/1000)</f>
        <v/>
      </c>
      <c r="AC251" s="5" t="n"/>
      <c r="AD251" s="39">
        <f>TABL1234[[#This Row],[( S/S+T/B) AJD]]-(TABL1234[[#This Row],[(A/B + A/S) AJD]]+(TABL1234[[#This Row],[(STORGE DIFF.) AJD]]*1000)+TABL1234[[#This Row],[AJD_Evaporation]])</f>
        <v/>
      </c>
      <c r="AE251" s="41" t="n"/>
      <c r="AF251" s="43" t="n"/>
      <c r="AG251" s="43" t="n"/>
      <c r="AH251" s="6" t="n"/>
      <c r="AI251" s="43" t="n"/>
      <c r="AJ251" s="43">
        <f>TABL1234[[#This Row],[(A/B) AJD]]-TABL1234[[#This Row],[BER_IN]]</f>
        <v/>
      </c>
      <c r="AK251" s="43" t="n"/>
      <c r="AL251" s="43" t="n"/>
      <c r="AM251" s="32" t="n"/>
      <c r="AN251" s="32">
        <f>TABL1234[[#This Row],[ (RESV. STORGE) SER]]/10</f>
        <v/>
      </c>
      <c r="AO251" s="68" t="n"/>
      <c r="AP251" s="68">
        <f>TABL1234[[#This Row],[(A/S) AJD]]-TABL1234[[#This Row],[SER_IN]]</f>
        <v/>
      </c>
    </row>
    <row r="252" ht="18.75" customHeight="1">
      <c r="A252" s="2" t="n">
        <v>46638</v>
      </c>
      <c r="B252" s="44" t="n"/>
      <c r="C252" s="44" t="n"/>
      <c r="D252" s="44" t="n"/>
      <c r="E252" s="35" t="n"/>
      <c r="F252" s="44" t="n"/>
      <c r="G252" s="40" t="n"/>
      <c r="H252" s="28">
        <f>103-F252</f>
        <v/>
      </c>
      <c r="I252" s="40" t="n"/>
      <c r="J252" s="44" t="n"/>
      <c r="K252" s="28">
        <f>TABL1234[[#This Row],[ (T/B) SAR]]+TABL1234[[#This Row],[ (S/S) SAR]]</f>
        <v/>
      </c>
      <c r="L252" s="45" t="n"/>
      <c r="M252" s="46" t="n"/>
      <c r="N252" s="46" t="n"/>
      <c r="O252" s="40" t="n"/>
      <c r="P252" s="9">
        <f>TABL1234[[#This Row],[ (S/S) SAR]]-TABL1234[[#This Row],[(S/S) AJD]]</f>
        <v/>
      </c>
      <c r="Q252" s="40" t="n"/>
      <c r="R252" s="9">
        <f>TABL1234[[#This Row],[ (T/B) SAR]]-TABL1234[[#This Row],[(T/B) AJD]]</f>
        <v/>
      </c>
      <c r="S252" s="9">
        <f>TABL1234[[#This Row],[T/B-CON.]]+TABL1234[[#This Row],[S/S_CON.]]</f>
        <v/>
      </c>
      <c r="T252" s="9">
        <f>TABL1234[[#This Row],[(S/S) AJD]]+TABL1234[[#This Row],[(T/B) AJD]]</f>
        <v/>
      </c>
      <c r="U252" s="44" t="n"/>
      <c r="V252" s="44" t="n"/>
      <c r="W252" s="9">
        <f>TABL1234[[#This Row],[(A/B) AJD]]+TABL1234[[#This Row],[(A/S) AJD]]</f>
        <v/>
      </c>
      <c r="X252" s="9">
        <f>TABL1234[[#This Row],[( S/S+T/B) AJD]]-TABL1234[[#This Row],[(A/B + A/S) AJD]]</f>
        <v/>
      </c>
      <c r="Y252" s="44" t="n"/>
      <c r="Z252" s="45" t="n"/>
      <c r="AA252" s="3">
        <f>TABL1234[[#This Row],[(RESV. STORGE) AJD]]/10</f>
        <v/>
      </c>
      <c r="AB252" s="3">
        <f>IF(TRIM(Z252)="",,(Z252-Z251)/1000)</f>
        <v/>
      </c>
      <c r="AC252" s="5" t="n"/>
      <c r="AD252" s="40">
        <f>TABL1234[[#This Row],[( S/S+T/B) AJD]]-(TABL1234[[#This Row],[(A/B + A/S) AJD]]+(TABL1234[[#This Row],[(STORGE DIFF.) AJD]]*1000)+TABL1234[[#This Row],[AJD_Evaporation]])</f>
        <v/>
      </c>
      <c r="AE252" s="44" t="n"/>
      <c r="AF252" s="45" t="n"/>
      <c r="AG252" s="45" t="n"/>
      <c r="AH252" s="6" t="n"/>
      <c r="AI252" s="45" t="n"/>
      <c r="AJ252" s="45">
        <f>TABL1234[[#This Row],[(A/B) AJD]]-TABL1234[[#This Row],[BER_IN]]</f>
        <v/>
      </c>
      <c r="AK252" s="45" t="n"/>
      <c r="AL252" s="45" t="n"/>
      <c r="AM252" s="32" t="n"/>
      <c r="AN252" s="32">
        <f>TABL1234[[#This Row],[ (RESV. STORGE) SER]]/10</f>
        <v/>
      </c>
      <c r="AO252" s="68" t="n"/>
      <c r="AP252" s="68">
        <f>TABL1234[[#This Row],[(A/S) AJD]]-TABL1234[[#This Row],[SER_IN]]</f>
        <v/>
      </c>
    </row>
    <row r="253" ht="18.75" customHeight="1">
      <c r="A253" s="2" t="n">
        <v>46639</v>
      </c>
      <c r="B253" s="41" t="n"/>
      <c r="C253" s="41" t="n"/>
      <c r="D253" s="41" t="n"/>
      <c r="E253" s="35" t="n"/>
      <c r="F253" s="41" t="n"/>
      <c r="G253" s="39" t="n"/>
      <c r="H253" s="28">
        <f>103-F253</f>
        <v/>
      </c>
      <c r="I253" s="39" t="n"/>
      <c r="J253" s="39" t="n"/>
      <c r="K253" s="28">
        <f>TABL1234[[#This Row],[ (T/B) SAR]]+TABL1234[[#This Row],[ (S/S) SAR]]</f>
        <v/>
      </c>
      <c r="L253" s="41" t="n"/>
      <c r="M253" s="42" t="n"/>
      <c r="N253" s="42" t="n"/>
      <c r="O253" s="39" t="n"/>
      <c r="P253" s="9">
        <f>TABL1234[[#This Row],[ (S/S) SAR]]-TABL1234[[#This Row],[(S/S) AJD]]</f>
        <v/>
      </c>
      <c r="Q253" s="39" t="n"/>
      <c r="R253" s="9">
        <f>TABL1234[[#This Row],[ (T/B) SAR]]-TABL1234[[#This Row],[(T/B) AJD]]</f>
        <v/>
      </c>
      <c r="S253" s="9">
        <f>TABL1234[[#This Row],[T/B-CON.]]+TABL1234[[#This Row],[S/S_CON.]]</f>
        <v/>
      </c>
      <c r="T253" s="9">
        <f>TABL1234[[#This Row],[(S/S) AJD]]+TABL1234[[#This Row],[(T/B) AJD]]</f>
        <v/>
      </c>
      <c r="U253" s="41" t="n"/>
      <c r="V253" s="41" t="n"/>
      <c r="W253" s="9">
        <f>TABL1234[[#This Row],[(A/B) AJD]]+TABL1234[[#This Row],[(A/S) AJD]]</f>
        <v/>
      </c>
      <c r="X253" s="9">
        <f>TABL1234[[#This Row],[( S/S+T/B) AJD]]-TABL1234[[#This Row],[(A/B + A/S) AJD]]</f>
        <v/>
      </c>
      <c r="Y253" s="41" t="n"/>
      <c r="Z253" s="43" t="n"/>
      <c r="AA253" s="3">
        <f>TABL1234[[#This Row],[(RESV. STORGE) AJD]]/10</f>
        <v/>
      </c>
      <c r="AB253" s="3">
        <f>IF(TRIM(Z253)="",,(Z253-Z252)/1000)</f>
        <v/>
      </c>
      <c r="AC253" s="5" t="n"/>
      <c r="AD253" s="39">
        <f>TABL1234[[#This Row],[( S/S+T/B) AJD]]-(TABL1234[[#This Row],[(A/B + A/S) AJD]]+(TABL1234[[#This Row],[(STORGE DIFF.) AJD]]*1000)+TABL1234[[#This Row],[AJD_Evaporation]])</f>
        <v/>
      </c>
      <c r="AE253" s="41" t="n"/>
      <c r="AF253" s="43" t="n"/>
      <c r="AG253" s="43" t="n"/>
      <c r="AH253" s="6" t="n"/>
      <c r="AI253" s="43" t="n"/>
      <c r="AJ253" s="43">
        <f>TABL1234[[#This Row],[(A/B) AJD]]-TABL1234[[#This Row],[BER_IN]]</f>
        <v/>
      </c>
      <c r="AK253" s="43" t="n"/>
      <c r="AL253" s="43" t="n"/>
      <c r="AM253" s="32" t="n"/>
      <c r="AN253" s="32">
        <f>TABL1234[[#This Row],[ (RESV. STORGE) SER]]/10</f>
        <v/>
      </c>
      <c r="AO253" s="68" t="n"/>
      <c r="AP253" s="68">
        <f>TABL1234[[#This Row],[(A/S) AJD]]-TABL1234[[#This Row],[SER_IN]]</f>
        <v/>
      </c>
    </row>
    <row r="254" ht="18.75" customHeight="1">
      <c r="A254" s="2" t="n">
        <v>46640</v>
      </c>
      <c r="B254" s="44" t="n"/>
      <c r="C254" s="44" t="n"/>
      <c r="D254" s="44" t="n"/>
      <c r="E254" s="35" t="n"/>
      <c r="F254" s="44" t="n"/>
      <c r="G254" s="40" t="n"/>
      <c r="H254" s="28">
        <f>103-F254</f>
        <v/>
      </c>
      <c r="I254" s="40" t="n"/>
      <c r="J254" s="44" t="n"/>
      <c r="K254" s="28">
        <f>TABL1234[[#This Row],[ (T/B) SAR]]+TABL1234[[#This Row],[ (S/S) SAR]]</f>
        <v/>
      </c>
      <c r="L254" s="45" t="n"/>
      <c r="M254" s="46" t="n"/>
      <c r="N254" s="46" t="n"/>
      <c r="O254" s="40" t="n"/>
      <c r="P254" s="9">
        <f>TABL1234[[#This Row],[ (S/S) SAR]]-TABL1234[[#This Row],[(S/S) AJD]]</f>
        <v/>
      </c>
      <c r="Q254" s="40" t="n"/>
      <c r="R254" s="9">
        <f>TABL1234[[#This Row],[ (T/B) SAR]]-TABL1234[[#This Row],[(T/B) AJD]]</f>
        <v/>
      </c>
      <c r="S254" s="9">
        <f>TABL1234[[#This Row],[T/B-CON.]]+TABL1234[[#This Row],[S/S_CON.]]</f>
        <v/>
      </c>
      <c r="T254" s="9">
        <f>TABL1234[[#This Row],[(S/S) AJD]]+TABL1234[[#This Row],[(T/B) AJD]]</f>
        <v/>
      </c>
      <c r="U254" s="44" t="n"/>
      <c r="V254" s="44" t="n"/>
      <c r="W254" s="9">
        <f>TABL1234[[#This Row],[(A/B) AJD]]+TABL1234[[#This Row],[(A/S) AJD]]</f>
        <v/>
      </c>
      <c r="X254" s="9">
        <f>TABL1234[[#This Row],[( S/S+T/B) AJD]]-TABL1234[[#This Row],[(A/B + A/S) AJD]]</f>
        <v/>
      </c>
      <c r="Y254" s="44" t="n"/>
      <c r="Z254" s="45" t="n"/>
      <c r="AA254" s="3">
        <f>TABL1234[[#This Row],[(RESV. STORGE) AJD]]/10</f>
        <v/>
      </c>
      <c r="AB254" s="3">
        <f>IF(TRIM(Z254)="",,(Z254-Z253)/1000)</f>
        <v/>
      </c>
      <c r="AC254" s="5" t="n"/>
      <c r="AD254" s="40">
        <f>TABL1234[[#This Row],[( S/S+T/B) AJD]]-(TABL1234[[#This Row],[(A/B + A/S) AJD]]+(TABL1234[[#This Row],[(STORGE DIFF.) AJD]]*1000)+TABL1234[[#This Row],[AJD_Evaporation]])</f>
        <v/>
      </c>
      <c r="AE254" s="44" t="n"/>
      <c r="AF254" s="45" t="n"/>
      <c r="AG254" s="45" t="n"/>
      <c r="AH254" s="6" t="n"/>
      <c r="AI254" s="45" t="n"/>
      <c r="AJ254" s="45">
        <f>TABL1234[[#This Row],[(A/B) AJD]]-TABL1234[[#This Row],[BER_IN]]</f>
        <v/>
      </c>
      <c r="AK254" s="45" t="n"/>
      <c r="AL254" s="45" t="n"/>
      <c r="AM254" s="32" t="n"/>
      <c r="AN254" s="32">
        <f>TABL1234[[#This Row],[ (RESV. STORGE) SER]]/10</f>
        <v/>
      </c>
      <c r="AO254" s="68" t="n"/>
      <c r="AP254" s="68">
        <f>TABL1234[[#This Row],[(A/S) AJD]]-TABL1234[[#This Row],[SER_IN]]</f>
        <v/>
      </c>
    </row>
    <row r="255" ht="18.75" customHeight="1">
      <c r="A255" s="2" t="n">
        <v>46641</v>
      </c>
      <c r="B255" s="41" t="n"/>
      <c r="C255" s="41" t="n"/>
      <c r="D255" s="41" t="n"/>
      <c r="E255" s="35" t="n"/>
      <c r="F255" s="41" t="n"/>
      <c r="G255" s="39" t="n"/>
      <c r="H255" s="28">
        <f>103-F255</f>
        <v/>
      </c>
      <c r="I255" s="39" t="n"/>
      <c r="J255" s="39" t="n"/>
      <c r="K255" s="28">
        <f>TABL1234[[#This Row],[ (T/B) SAR]]+TABL1234[[#This Row],[ (S/S) SAR]]</f>
        <v/>
      </c>
      <c r="L255" s="41" t="n"/>
      <c r="M255" s="42" t="n"/>
      <c r="N255" s="42" t="n"/>
      <c r="O255" s="39" t="n"/>
      <c r="P255" s="9">
        <f>TABL1234[[#This Row],[ (S/S) SAR]]-TABL1234[[#This Row],[(S/S) AJD]]</f>
        <v/>
      </c>
      <c r="Q255" s="39" t="n"/>
      <c r="R255" s="9">
        <f>TABL1234[[#This Row],[ (T/B) SAR]]-TABL1234[[#This Row],[(T/B) AJD]]</f>
        <v/>
      </c>
      <c r="S255" s="9">
        <f>TABL1234[[#This Row],[T/B-CON.]]+TABL1234[[#This Row],[S/S_CON.]]</f>
        <v/>
      </c>
      <c r="T255" s="9">
        <f>TABL1234[[#This Row],[(S/S) AJD]]+TABL1234[[#This Row],[(T/B) AJD]]</f>
        <v/>
      </c>
      <c r="U255" s="41" t="n"/>
      <c r="V255" s="41" t="n"/>
      <c r="W255" s="9">
        <f>TABL1234[[#This Row],[(A/B) AJD]]+TABL1234[[#This Row],[(A/S) AJD]]</f>
        <v/>
      </c>
      <c r="X255" s="9">
        <f>TABL1234[[#This Row],[( S/S+T/B) AJD]]-TABL1234[[#This Row],[(A/B + A/S) AJD]]</f>
        <v/>
      </c>
      <c r="Y255" s="41" t="n"/>
      <c r="Z255" s="43" t="n"/>
      <c r="AA255" s="3">
        <f>TABL1234[[#This Row],[(RESV. STORGE) AJD]]/10</f>
        <v/>
      </c>
      <c r="AB255" s="3">
        <f>IF(TRIM(Z255)="",,(Z255-Z254)/1000)</f>
        <v/>
      </c>
      <c r="AC255" s="5" t="n"/>
      <c r="AD255" s="39">
        <f>TABL1234[[#This Row],[( S/S+T/B) AJD]]-(TABL1234[[#This Row],[(A/B + A/S) AJD]]+(TABL1234[[#This Row],[(STORGE DIFF.) AJD]]*1000)+TABL1234[[#This Row],[AJD_Evaporation]])</f>
        <v/>
      </c>
      <c r="AE255" s="41" t="n"/>
      <c r="AF255" s="43" t="n"/>
      <c r="AG255" s="43" t="n"/>
      <c r="AH255" s="6" t="n"/>
      <c r="AI255" s="43" t="n"/>
      <c r="AJ255" s="43">
        <f>TABL1234[[#This Row],[(A/B) AJD]]-TABL1234[[#This Row],[BER_IN]]</f>
        <v/>
      </c>
      <c r="AK255" s="43" t="n"/>
      <c r="AL255" s="43" t="n"/>
      <c r="AM255" s="32" t="n"/>
      <c r="AN255" s="32">
        <f>TABL1234[[#This Row],[ (RESV. STORGE) SER]]/10</f>
        <v/>
      </c>
      <c r="AO255" s="68" t="n"/>
      <c r="AP255" s="68">
        <f>TABL1234[[#This Row],[(A/S) AJD]]-TABL1234[[#This Row],[SER_IN]]</f>
        <v/>
      </c>
    </row>
    <row r="256" ht="18.75" customHeight="1">
      <c r="A256" s="2" t="n">
        <v>46642</v>
      </c>
      <c r="B256" s="44" t="n"/>
      <c r="C256" s="44" t="n"/>
      <c r="D256" s="44" t="n"/>
      <c r="E256" s="35" t="n"/>
      <c r="F256" s="44" t="n"/>
      <c r="G256" s="40" t="n"/>
      <c r="H256" s="28">
        <f>103-F256</f>
        <v/>
      </c>
      <c r="I256" s="40" t="n"/>
      <c r="J256" s="44" t="n"/>
      <c r="K256" s="28">
        <f>TABL1234[[#This Row],[ (T/B) SAR]]+TABL1234[[#This Row],[ (S/S) SAR]]</f>
        <v/>
      </c>
      <c r="L256" s="45" t="n"/>
      <c r="M256" s="46" t="n"/>
      <c r="N256" s="46" t="n"/>
      <c r="O256" s="40" t="n"/>
      <c r="P256" s="9">
        <f>TABL1234[[#This Row],[ (S/S) SAR]]-TABL1234[[#This Row],[(S/S) AJD]]</f>
        <v/>
      </c>
      <c r="Q256" s="40" t="n"/>
      <c r="R256" s="9">
        <f>TABL1234[[#This Row],[ (T/B) SAR]]-TABL1234[[#This Row],[(T/B) AJD]]</f>
        <v/>
      </c>
      <c r="S256" s="9">
        <f>TABL1234[[#This Row],[T/B-CON.]]+TABL1234[[#This Row],[S/S_CON.]]</f>
        <v/>
      </c>
      <c r="T256" s="9">
        <f>TABL1234[[#This Row],[(S/S) AJD]]+TABL1234[[#This Row],[(T/B) AJD]]</f>
        <v/>
      </c>
      <c r="U256" s="44" t="n"/>
      <c r="V256" s="44" t="n"/>
      <c r="W256" s="9">
        <f>TABL1234[[#This Row],[(A/B) AJD]]+TABL1234[[#This Row],[(A/S) AJD]]</f>
        <v/>
      </c>
      <c r="X256" s="9">
        <f>TABL1234[[#This Row],[( S/S+T/B) AJD]]-TABL1234[[#This Row],[(A/B + A/S) AJD]]</f>
        <v/>
      </c>
      <c r="Y256" s="44" t="n"/>
      <c r="Z256" s="45" t="n"/>
      <c r="AA256" s="3">
        <f>TABL1234[[#This Row],[(RESV. STORGE) AJD]]/10</f>
        <v/>
      </c>
      <c r="AB256" s="3">
        <f>IF(TRIM(Z256)="",,(Z256-Z255)/1000)</f>
        <v/>
      </c>
      <c r="AC256" s="5" t="n"/>
      <c r="AD256" s="40">
        <f>TABL1234[[#This Row],[( S/S+T/B) AJD]]-(TABL1234[[#This Row],[(A/B + A/S) AJD]]+(TABL1234[[#This Row],[(STORGE DIFF.) AJD]]*1000)+TABL1234[[#This Row],[AJD_Evaporation]])</f>
        <v/>
      </c>
      <c r="AE256" s="44" t="n"/>
      <c r="AF256" s="45" t="n"/>
      <c r="AG256" s="45" t="n"/>
      <c r="AH256" s="6" t="n"/>
      <c r="AI256" s="45" t="n"/>
      <c r="AJ256" s="45">
        <f>TABL1234[[#This Row],[(A/B) AJD]]-TABL1234[[#This Row],[BER_IN]]</f>
        <v/>
      </c>
      <c r="AK256" s="45" t="n"/>
      <c r="AL256" s="45" t="n"/>
      <c r="AM256" s="32" t="n"/>
      <c r="AN256" s="32">
        <f>TABL1234[[#This Row],[ (RESV. STORGE) SER]]/10</f>
        <v/>
      </c>
      <c r="AO256" s="68" t="n"/>
      <c r="AP256" s="68">
        <f>TABL1234[[#This Row],[(A/S) AJD]]-TABL1234[[#This Row],[SER_IN]]</f>
        <v/>
      </c>
    </row>
    <row r="257" ht="18.75" customHeight="1">
      <c r="A257" s="2" t="n">
        <v>46643</v>
      </c>
      <c r="B257" s="41" t="n"/>
      <c r="C257" s="41" t="n"/>
      <c r="D257" s="41" t="n"/>
      <c r="E257" s="35" t="n"/>
      <c r="F257" s="41" t="n"/>
      <c r="G257" s="39" t="n"/>
      <c r="H257" s="28">
        <f>103-F257</f>
        <v/>
      </c>
      <c r="I257" s="39" t="n"/>
      <c r="J257" s="39" t="n"/>
      <c r="K257" s="28">
        <f>TABL1234[[#This Row],[ (T/B) SAR]]+TABL1234[[#This Row],[ (S/S) SAR]]</f>
        <v/>
      </c>
      <c r="L257" s="41" t="n"/>
      <c r="M257" s="42" t="n"/>
      <c r="N257" s="42" t="n"/>
      <c r="O257" s="39" t="n"/>
      <c r="P257" s="9">
        <f>TABL1234[[#This Row],[ (S/S) SAR]]-TABL1234[[#This Row],[(S/S) AJD]]</f>
        <v/>
      </c>
      <c r="Q257" s="39" t="n"/>
      <c r="R257" s="9">
        <f>TABL1234[[#This Row],[ (T/B) SAR]]-TABL1234[[#This Row],[(T/B) AJD]]</f>
        <v/>
      </c>
      <c r="S257" s="9">
        <f>TABL1234[[#This Row],[T/B-CON.]]+TABL1234[[#This Row],[S/S_CON.]]</f>
        <v/>
      </c>
      <c r="T257" s="9">
        <f>TABL1234[[#This Row],[(S/S) AJD]]+TABL1234[[#This Row],[(T/B) AJD]]</f>
        <v/>
      </c>
      <c r="U257" s="41" t="n"/>
      <c r="V257" s="41" t="n"/>
      <c r="W257" s="9">
        <f>TABL1234[[#This Row],[(A/B) AJD]]+TABL1234[[#This Row],[(A/S) AJD]]</f>
        <v/>
      </c>
      <c r="X257" s="9">
        <f>TABL1234[[#This Row],[( S/S+T/B) AJD]]-TABL1234[[#This Row],[(A/B + A/S) AJD]]</f>
        <v/>
      </c>
      <c r="Y257" s="41" t="n"/>
      <c r="Z257" s="43" t="n"/>
      <c r="AA257" s="3">
        <f>TABL1234[[#This Row],[(RESV. STORGE) AJD]]/10</f>
        <v/>
      </c>
      <c r="AB257" s="3">
        <f>IF(TRIM(Z257)="",,(Z257-Z256)/1000)</f>
        <v/>
      </c>
      <c r="AC257" s="5" t="n"/>
      <c r="AD257" s="39">
        <f>TABL1234[[#This Row],[( S/S+T/B) AJD]]-(TABL1234[[#This Row],[(A/B + A/S) AJD]]+(TABL1234[[#This Row],[(STORGE DIFF.) AJD]]*1000)+TABL1234[[#This Row],[AJD_Evaporation]])</f>
        <v/>
      </c>
      <c r="AE257" s="41" t="n"/>
      <c r="AF257" s="43" t="n"/>
      <c r="AG257" s="43" t="n"/>
      <c r="AH257" s="6" t="n"/>
      <c r="AI257" s="43" t="n"/>
      <c r="AJ257" s="43">
        <f>TABL1234[[#This Row],[(A/B) AJD]]-TABL1234[[#This Row],[BER_IN]]</f>
        <v/>
      </c>
      <c r="AK257" s="43" t="n"/>
      <c r="AL257" s="43" t="n"/>
      <c r="AM257" s="32" t="n"/>
      <c r="AN257" s="32">
        <f>TABL1234[[#This Row],[ (RESV. STORGE) SER]]/10</f>
        <v/>
      </c>
      <c r="AO257" s="68" t="n"/>
      <c r="AP257" s="68">
        <f>TABL1234[[#This Row],[(A/S) AJD]]-TABL1234[[#This Row],[SER_IN]]</f>
        <v/>
      </c>
    </row>
    <row r="258" ht="18.75" customHeight="1">
      <c r="A258" s="2" t="n">
        <v>46644</v>
      </c>
      <c r="B258" s="44" t="n"/>
      <c r="C258" s="44" t="n"/>
      <c r="D258" s="44" t="n"/>
      <c r="E258" s="35" t="n"/>
      <c r="F258" s="44" t="n"/>
      <c r="G258" s="40" t="n"/>
      <c r="H258" s="28">
        <f>103-F258</f>
        <v/>
      </c>
      <c r="I258" s="40" t="n"/>
      <c r="J258" s="44" t="n"/>
      <c r="K258" s="28">
        <f>TABL1234[[#This Row],[ (T/B) SAR]]+TABL1234[[#This Row],[ (S/S) SAR]]</f>
        <v/>
      </c>
      <c r="L258" s="45" t="n"/>
      <c r="M258" s="46" t="n"/>
      <c r="N258" s="46" t="n"/>
      <c r="O258" s="40" t="n"/>
      <c r="P258" s="9">
        <f>TABL1234[[#This Row],[ (S/S) SAR]]-TABL1234[[#This Row],[(S/S) AJD]]</f>
        <v/>
      </c>
      <c r="Q258" s="40" t="n"/>
      <c r="R258" s="9">
        <f>TABL1234[[#This Row],[ (T/B) SAR]]-TABL1234[[#This Row],[(T/B) AJD]]</f>
        <v/>
      </c>
      <c r="S258" s="9">
        <f>TABL1234[[#This Row],[T/B-CON.]]+TABL1234[[#This Row],[S/S_CON.]]</f>
        <v/>
      </c>
      <c r="T258" s="9">
        <f>TABL1234[[#This Row],[(S/S) AJD]]+TABL1234[[#This Row],[(T/B) AJD]]</f>
        <v/>
      </c>
      <c r="U258" s="44" t="n"/>
      <c r="V258" s="44" t="n"/>
      <c r="W258" s="9">
        <f>TABL1234[[#This Row],[(A/B) AJD]]+TABL1234[[#This Row],[(A/S) AJD]]</f>
        <v/>
      </c>
      <c r="X258" s="9">
        <f>TABL1234[[#This Row],[( S/S+T/B) AJD]]-TABL1234[[#This Row],[(A/B + A/S) AJD]]</f>
        <v/>
      </c>
      <c r="Y258" s="44" t="n"/>
      <c r="Z258" s="45" t="n"/>
      <c r="AA258" s="3">
        <f>TABL1234[[#This Row],[(RESV. STORGE) AJD]]/10</f>
        <v/>
      </c>
      <c r="AB258" s="3">
        <f>IF(TRIM(Z258)="",,(Z258-Z257)/1000)</f>
        <v/>
      </c>
      <c r="AC258" s="5" t="n"/>
      <c r="AD258" s="40">
        <f>TABL1234[[#This Row],[( S/S+T/B) AJD]]-(TABL1234[[#This Row],[(A/B + A/S) AJD]]+(TABL1234[[#This Row],[(STORGE DIFF.) AJD]]*1000)+TABL1234[[#This Row],[AJD_Evaporation]])</f>
        <v/>
      </c>
      <c r="AE258" s="44" t="n"/>
      <c r="AF258" s="45" t="n"/>
      <c r="AG258" s="45" t="n"/>
      <c r="AH258" s="6" t="n"/>
      <c r="AI258" s="45" t="n"/>
      <c r="AJ258" s="45">
        <f>TABL1234[[#This Row],[(A/B) AJD]]-TABL1234[[#This Row],[BER_IN]]</f>
        <v/>
      </c>
      <c r="AK258" s="45" t="n"/>
      <c r="AL258" s="45" t="n"/>
      <c r="AM258" s="32" t="n"/>
      <c r="AN258" s="32">
        <f>TABL1234[[#This Row],[ (RESV. STORGE) SER]]/10</f>
        <v/>
      </c>
      <c r="AO258" s="68" t="n"/>
      <c r="AP258" s="68">
        <f>TABL1234[[#This Row],[(A/S) AJD]]-TABL1234[[#This Row],[SER_IN]]</f>
        <v/>
      </c>
    </row>
    <row r="259" ht="18.75" customHeight="1">
      <c r="A259" s="2" t="n">
        <v>46645</v>
      </c>
      <c r="B259" s="41" t="n"/>
      <c r="C259" s="41" t="n"/>
      <c r="D259" s="41" t="n"/>
      <c r="E259" s="35" t="n"/>
      <c r="F259" s="41" t="n"/>
      <c r="G259" s="39" t="n"/>
      <c r="H259" s="28">
        <f>103-F259</f>
        <v/>
      </c>
      <c r="I259" s="39" t="n"/>
      <c r="J259" s="39" t="n"/>
      <c r="K259" s="28">
        <f>TABL1234[[#This Row],[ (T/B) SAR]]+TABL1234[[#This Row],[ (S/S) SAR]]</f>
        <v/>
      </c>
      <c r="L259" s="41" t="n"/>
      <c r="M259" s="42" t="n"/>
      <c r="N259" s="42" t="n"/>
      <c r="O259" s="39" t="n"/>
      <c r="P259" s="9">
        <f>TABL1234[[#This Row],[ (S/S) SAR]]-TABL1234[[#This Row],[(S/S) AJD]]</f>
        <v/>
      </c>
      <c r="Q259" s="39" t="n"/>
      <c r="R259" s="9">
        <f>TABL1234[[#This Row],[ (T/B) SAR]]-TABL1234[[#This Row],[(T/B) AJD]]</f>
        <v/>
      </c>
      <c r="S259" s="9">
        <f>TABL1234[[#This Row],[T/B-CON.]]+TABL1234[[#This Row],[S/S_CON.]]</f>
        <v/>
      </c>
      <c r="T259" s="9">
        <f>TABL1234[[#This Row],[(S/S) AJD]]+TABL1234[[#This Row],[(T/B) AJD]]</f>
        <v/>
      </c>
      <c r="U259" s="41" t="n"/>
      <c r="V259" s="41" t="n"/>
      <c r="W259" s="9">
        <f>TABL1234[[#This Row],[(A/B) AJD]]+TABL1234[[#This Row],[(A/S) AJD]]</f>
        <v/>
      </c>
      <c r="X259" s="9">
        <f>TABL1234[[#This Row],[( S/S+T/B) AJD]]-TABL1234[[#This Row],[(A/B + A/S) AJD]]</f>
        <v/>
      </c>
      <c r="Y259" s="41" t="n"/>
      <c r="Z259" s="43" t="n"/>
      <c r="AA259" s="3">
        <f>TABL1234[[#This Row],[(RESV. STORGE) AJD]]/10</f>
        <v/>
      </c>
      <c r="AB259" s="3">
        <f>IF(TRIM(Z259)="",,(Z259-Z258)/1000)</f>
        <v/>
      </c>
      <c r="AC259" s="5" t="n"/>
      <c r="AD259" s="39">
        <f>TABL1234[[#This Row],[( S/S+T/B) AJD]]-(TABL1234[[#This Row],[(A/B + A/S) AJD]]+(TABL1234[[#This Row],[(STORGE DIFF.) AJD]]*1000)+TABL1234[[#This Row],[AJD_Evaporation]])</f>
        <v/>
      </c>
      <c r="AE259" s="41" t="n"/>
      <c r="AF259" s="43" t="n"/>
      <c r="AG259" s="43" t="n"/>
      <c r="AH259" s="6" t="n"/>
      <c r="AI259" s="43" t="n"/>
      <c r="AJ259" s="43">
        <f>TABL1234[[#This Row],[(A/B) AJD]]-TABL1234[[#This Row],[BER_IN]]</f>
        <v/>
      </c>
      <c r="AK259" s="43" t="n"/>
      <c r="AL259" s="43" t="n"/>
      <c r="AM259" s="32" t="n"/>
      <c r="AN259" s="32">
        <f>TABL1234[[#This Row],[ (RESV. STORGE) SER]]/10</f>
        <v/>
      </c>
      <c r="AO259" s="68" t="n"/>
      <c r="AP259" s="68">
        <f>TABL1234[[#This Row],[(A/S) AJD]]-TABL1234[[#This Row],[SER_IN]]</f>
        <v/>
      </c>
    </row>
    <row r="260" ht="18.75" customHeight="1">
      <c r="A260" s="2" t="n">
        <v>46646</v>
      </c>
      <c r="B260" s="44" t="n"/>
      <c r="C260" s="44" t="n"/>
      <c r="D260" s="44" t="n"/>
      <c r="E260" s="35" t="n"/>
      <c r="F260" s="44" t="n"/>
      <c r="G260" s="40" t="n"/>
      <c r="H260" s="28">
        <f>103-F260</f>
        <v/>
      </c>
      <c r="I260" s="40" t="n"/>
      <c r="J260" s="44" t="n"/>
      <c r="K260" s="28">
        <f>TABL1234[[#This Row],[ (T/B) SAR]]+TABL1234[[#This Row],[ (S/S) SAR]]</f>
        <v/>
      </c>
      <c r="L260" s="45" t="n"/>
      <c r="M260" s="46" t="n"/>
      <c r="N260" s="46" t="n"/>
      <c r="O260" s="40" t="n"/>
      <c r="P260" s="9">
        <f>TABL1234[[#This Row],[ (S/S) SAR]]-TABL1234[[#This Row],[(S/S) AJD]]</f>
        <v/>
      </c>
      <c r="Q260" s="40" t="n"/>
      <c r="R260" s="9">
        <f>TABL1234[[#This Row],[ (T/B) SAR]]-TABL1234[[#This Row],[(T/B) AJD]]</f>
        <v/>
      </c>
      <c r="S260" s="9">
        <f>TABL1234[[#This Row],[T/B-CON.]]+TABL1234[[#This Row],[S/S_CON.]]</f>
        <v/>
      </c>
      <c r="T260" s="9">
        <f>TABL1234[[#This Row],[(S/S) AJD]]+TABL1234[[#This Row],[(T/B) AJD]]</f>
        <v/>
      </c>
      <c r="U260" s="44" t="n"/>
      <c r="V260" s="44" t="n"/>
      <c r="W260" s="9">
        <f>TABL1234[[#This Row],[(A/B) AJD]]+TABL1234[[#This Row],[(A/S) AJD]]</f>
        <v/>
      </c>
      <c r="X260" s="9">
        <f>TABL1234[[#This Row],[( S/S+T/B) AJD]]-TABL1234[[#This Row],[(A/B + A/S) AJD]]</f>
        <v/>
      </c>
      <c r="Y260" s="44" t="n"/>
      <c r="Z260" s="45" t="n"/>
      <c r="AA260" s="3">
        <f>TABL1234[[#This Row],[(RESV. STORGE) AJD]]/10</f>
        <v/>
      </c>
      <c r="AB260" s="3">
        <f>IF(TRIM(Z260)="",,(Z260-Z259)/1000)</f>
        <v/>
      </c>
      <c r="AC260" s="5" t="n"/>
      <c r="AD260" s="40">
        <f>TABL1234[[#This Row],[( S/S+T/B) AJD]]-(TABL1234[[#This Row],[(A/B + A/S) AJD]]+(TABL1234[[#This Row],[(STORGE DIFF.) AJD]]*1000)+TABL1234[[#This Row],[AJD_Evaporation]])</f>
        <v/>
      </c>
      <c r="AE260" s="44" t="n"/>
      <c r="AF260" s="45" t="n"/>
      <c r="AG260" s="45" t="n"/>
      <c r="AH260" s="6" t="n"/>
      <c r="AI260" s="45" t="n"/>
      <c r="AJ260" s="45">
        <f>TABL1234[[#This Row],[(A/B) AJD]]-TABL1234[[#This Row],[BER_IN]]</f>
        <v/>
      </c>
      <c r="AK260" s="45" t="n"/>
      <c r="AL260" s="45" t="n"/>
      <c r="AM260" s="32" t="n"/>
      <c r="AN260" s="32">
        <f>TABL1234[[#This Row],[ (RESV. STORGE) SER]]/10</f>
        <v/>
      </c>
      <c r="AO260" s="68" t="n"/>
      <c r="AP260" s="68">
        <f>TABL1234[[#This Row],[(A/S) AJD]]-TABL1234[[#This Row],[SER_IN]]</f>
        <v/>
      </c>
    </row>
    <row r="261" ht="18.75" customHeight="1">
      <c r="A261" s="2" t="n">
        <v>46647</v>
      </c>
      <c r="B261" s="41" t="n"/>
      <c r="C261" s="41" t="n"/>
      <c r="D261" s="41" t="n"/>
      <c r="E261" s="35" t="n"/>
      <c r="F261" s="41" t="n"/>
      <c r="G261" s="39" t="n"/>
      <c r="H261" s="28">
        <f>103-F261</f>
        <v/>
      </c>
      <c r="I261" s="39" t="n"/>
      <c r="J261" s="39" t="n"/>
      <c r="K261" s="28">
        <f>TABL1234[[#This Row],[ (T/B) SAR]]+TABL1234[[#This Row],[ (S/S) SAR]]</f>
        <v/>
      </c>
      <c r="L261" s="41" t="n"/>
      <c r="M261" s="42" t="n"/>
      <c r="N261" s="42" t="n"/>
      <c r="O261" s="39" t="n"/>
      <c r="P261" s="9">
        <f>TABL1234[[#This Row],[ (S/S) SAR]]-TABL1234[[#This Row],[(S/S) AJD]]</f>
        <v/>
      </c>
      <c r="Q261" s="39" t="n"/>
      <c r="R261" s="9">
        <f>TABL1234[[#This Row],[ (T/B) SAR]]-TABL1234[[#This Row],[(T/B) AJD]]</f>
        <v/>
      </c>
      <c r="S261" s="9">
        <f>TABL1234[[#This Row],[T/B-CON.]]+TABL1234[[#This Row],[S/S_CON.]]</f>
        <v/>
      </c>
      <c r="T261" s="9">
        <f>TABL1234[[#This Row],[(S/S) AJD]]+TABL1234[[#This Row],[(T/B) AJD]]</f>
        <v/>
      </c>
      <c r="U261" s="41" t="n"/>
      <c r="V261" s="41" t="n"/>
      <c r="W261" s="9">
        <f>TABL1234[[#This Row],[(A/B) AJD]]+TABL1234[[#This Row],[(A/S) AJD]]</f>
        <v/>
      </c>
      <c r="X261" s="9">
        <f>TABL1234[[#This Row],[( S/S+T/B) AJD]]-TABL1234[[#This Row],[(A/B + A/S) AJD]]</f>
        <v/>
      </c>
      <c r="Y261" s="41" t="n"/>
      <c r="Z261" s="43" t="n"/>
      <c r="AA261" s="3">
        <f>TABL1234[[#This Row],[(RESV. STORGE) AJD]]/10</f>
        <v/>
      </c>
      <c r="AB261" s="3">
        <f>IF(TRIM(Z261)="",,(Z261-Z260)/1000)</f>
        <v/>
      </c>
      <c r="AC261" s="5" t="n"/>
      <c r="AD261" s="39">
        <f>TABL1234[[#This Row],[( S/S+T/B) AJD]]-(TABL1234[[#This Row],[(A/B + A/S) AJD]]+(TABL1234[[#This Row],[(STORGE DIFF.) AJD]]*1000)+TABL1234[[#This Row],[AJD_Evaporation]])</f>
        <v/>
      </c>
      <c r="AE261" s="41" t="n"/>
      <c r="AF261" s="43" t="n"/>
      <c r="AG261" s="43" t="n"/>
      <c r="AH261" s="6" t="n"/>
      <c r="AI261" s="43" t="n"/>
      <c r="AJ261" s="43">
        <f>TABL1234[[#This Row],[(A/B) AJD]]-TABL1234[[#This Row],[BER_IN]]</f>
        <v/>
      </c>
      <c r="AK261" s="43" t="n"/>
      <c r="AL261" s="43" t="n"/>
      <c r="AM261" s="32" t="n"/>
      <c r="AN261" s="32">
        <f>TABL1234[[#This Row],[ (RESV. STORGE) SER]]/10</f>
        <v/>
      </c>
      <c r="AO261" s="68" t="n"/>
      <c r="AP261" s="68">
        <f>TABL1234[[#This Row],[(A/S) AJD]]-TABL1234[[#This Row],[SER_IN]]</f>
        <v/>
      </c>
    </row>
    <row r="262" ht="18.75" customHeight="1">
      <c r="A262" s="2" t="n">
        <v>46648</v>
      </c>
      <c r="B262" s="44" t="n"/>
      <c r="C262" s="44" t="n"/>
      <c r="D262" s="44" t="n"/>
      <c r="E262" s="35" t="n"/>
      <c r="F262" s="44" t="n"/>
      <c r="G262" s="40" t="n"/>
      <c r="H262" s="28">
        <f>103-F262</f>
        <v/>
      </c>
      <c r="I262" s="40" t="n"/>
      <c r="J262" s="44" t="n"/>
      <c r="K262" s="28">
        <f>TABL1234[[#This Row],[ (T/B) SAR]]+TABL1234[[#This Row],[ (S/S) SAR]]</f>
        <v/>
      </c>
      <c r="L262" s="45" t="n"/>
      <c r="M262" s="46" t="n"/>
      <c r="N262" s="46" t="n"/>
      <c r="O262" s="40" t="n"/>
      <c r="P262" s="9">
        <f>TABL1234[[#This Row],[ (S/S) SAR]]-TABL1234[[#This Row],[(S/S) AJD]]</f>
        <v/>
      </c>
      <c r="Q262" s="40" t="n"/>
      <c r="R262" s="9">
        <f>TABL1234[[#This Row],[ (T/B) SAR]]-TABL1234[[#This Row],[(T/B) AJD]]</f>
        <v/>
      </c>
      <c r="S262" s="9">
        <f>TABL1234[[#This Row],[T/B-CON.]]+TABL1234[[#This Row],[S/S_CON.]]</f>
        <v/>
      </c>
      <c r="T262" s="9">
        <f>TABL1234[[#This Row],[(S/S) AJD]]+TABL1234[[#This Row],[(T/B) AJD]]</f>
        <v/>
      </c>
      <c r="U262" s="44" t="n"/>
      <c r="V262" s="44" t="n"/>
      <c r="W262" s="9">
        <f>TABL1234[[#This Row],[(A/B) AJD]]+TABL1234[[#This Row],[(A/S) AJD]]</f>
        <v/>
      </c>
      <c r="X262" s="9">
        <f>TABL1234[[#This Row],[( S/S+T/B) AJD]]-TABL1234[[#This Row],[(A/B + A/S) AJD]]</f>
        <v/>
      </c>
      <c r="Y262" s="44" t="n"/>
      <c r="Z262" s="45" t="n"/>
      <c r="AA262" s="3">
        <f>TABL1234[[#This Row],[(RESV. STORGE) AJD]]/10</f>
        <v/>
      </c>
      <c r="AB262" s="3">
        <f>IF(TRIM(Z262)="",,(Z262-Z261)/1000)</f>
        <v/>
      </c>
      <c r="AC262" s="5" t="n"/>
      <c r="AD262" s="40">
        <f>TABL1234[[#This Row],[( S/S+T/B) AJD]]-(TABL1234[[#This Row],[(A/B + A/S) AJD]]+(TABL1234[[#This Row],[(STORGE DIFF.) AJD]]*1000)+TABL1234[[#This Row],[AJD_Evaporation]])</f>
        <v/>
      </c>
      <c r="AE262" s="44" t="n"/>
      <c r="AF262" s="45" t="n"/>
      <c r="AG262" s="45" t="n"/>
      <c r="AH262" s="6" t="n"/>
      <c r="AI262" s="45" t="n"/>
      <c r="AJ262" s="45">
        <f>TABL1234[[#This Row],[(A/B) AJD]]-TABL1234[[#This Row],[BER_IN]]</f>
        <v/>
      </c>
      <c r="AK262" s="45" t="n"/>
      <c r="AL262" s="45" t="n"/>
      <c r="AM262" s="32" t="n"/>
      <c r="AN262" s="32">
        <f>TABL1234[[#This Row],[ (RESV. STORGE) SER]]/10</f>
        <v/>
      </c>
      <c r="AO262" s="68" t="n"/>
      <c r="AP262" s="68">
        <f>TABL1234[[#This Row],[(A/S) AJD]]-TABL1234[[#This Row],[SER_IN]]</f>
        <v/>
      </c>
    </row>
    <row r="263" ht="18.75" customHeight="1">
      <c r="A263" s="2" t="n">
        <v>46649</v>
      </c>
      <c r="B263" s="41" t="n"/>
      <c r="C263" s="41" t="n"/>
      <c r="D263" s="41" t="n"/>
      <c r="E263" s="35" t="n"/>
      <c r="F263" s="41" t="n"/>
      <c r="G263" s="39" t="n"/>
      <c r="H263" s="28">
        <f>103-F263</f>
        <v/>
      </c>
      <c r="I263" s="39" t="n"/>
      <c r="J263" s="39" t="n"/>
      <c r="K263" s="28">
        <f>TABL1234[[#This Row],[ (T/B) SAR]]+TABL1234[[#This Row],[ (S/S) SAR]]</f>
        <v/>
      </c>
      <c r="L263" s="41" t="n"/>
      <c r="M263" s="42" t="n"/>
      <c r="N263" s="42" t="n"/>
      <c r="O263" s="39" t="n"/>
      <c r="P263" s="9">
        <f>TABL1234[[#This Row],[ (S/S) SAR]]-TABL1234[[#This Row],[(S/S) AJD]]</f>
        <v/>
      </c>
      <c r="Q263" s="39" t="n"/>
      <c r="R263" s="9">
        <f>TABL1234[[#This Row],[ (T/B) SAR]]-TABL1234[[#This Row],[(T/B) AJD]]</f>
        <v/>
      </c>
      <c r="S263" s="9">
        <f>TABL1234[[#This Row],[T/B-CON.]]+TABL1234[[#This Row],[S/S_CON.]]</f>
        <v/>
      </c>
      <c r="T263" s="9">
        <f>TABL1234[[#This Row],[(S/S) AJD]]+TABL1234[[#This Row],[(T/B) AJD]]</f>
        <v/>
      </c>
      <c r="U263" s="41" t="n"/>
      <c r="V263" s="41" t="n"/>
      <c r="W263" s="9">
        <f>TABL1234[[#This Row],[(A/B) AJD]]+TABL1234[[#This Row],[(A/S) AJD]]</f>
        <v/>
      </c>
      <c r="X263" s="9">
        <f>TABL1234[[#This Row],[( S/S+T/B) AJD]]-TABL1234[[#This Row],[(A/B + A/S) AJD]]</f>
        <v/>
      </c>
      <c r="Y263" s="41" t="n"/>
      <c r="Z263" s="43" t="n"/>
      <c r="AA263" s="3">
        <f>TABL1234[[#This Row],[(RESV. STORGE) AJD]]/10</f>
        <v/>
      </c>
      <c r="AB263" s="3">
        <f>IF(TRIM(Z263)="",,(Z263-Z262)/1000)</f>
        <v/>
      </c>
      <c r="AC263" s="5" t="n"/>
      <c r="AD263" s="39">
        <f>TABL1234[[#This Row],[( S/S+T/B) AJD]]-(TABL1234[[#This Row],[(A/B + A/S) AJD]]+(TABL1234[[#This Row],[(STORGE DIFF.) AJD]]*1000)+TABL1234[[#This Row],[AJD_Evaporation]])</f>
        <v/>
      </c>
      <c r="AE263" s="41" t="n"/>
      <c r="AF263" s="43" t="n"/>
      <c r="AG263" s="43" t="n"/>
      <c r="AH263" s="6" t="n"/>
      <c r="AI263" s="43" t="n"/>
      <c r="AJ263" s="43">
        <f>TABL1234[[#This Row],[(A/B) AJD]]-TABL1234[[#This Row],[BER_IN]]</f>
        <v/>
      </c>
      <c r="AK263" s="43" t="n"/>
      <c r="AL263" s="43" t="n"/>
      <c r="AM263" s="32" t="n"/>
      <c r="AN263" s="32">
        <f>TABL1234[[#This Row],[ (RESV. STORGE) SER]]/10</f>
        <v/>
      </c>
      <c r="AO263" s="68" t="n"/>
      <c r="AP263" s="68">
        <f>TABL1234[[#This Row],[(A/S) AJD]]-TABL1234[[#This Row],[SER_IN]]</f>
        <v/>
      </c>
    </row>
    <row r="264" ht="18.75" customHeight="1">
      <c r="A264" s="2" t="n">
        <v>46650</v>
      </c>
      <c r="B264" s="44" t="n"/>
      <c r="C264" s="44" t="n"/>
      <c r="D264" s="44" t="n"/>
      <c r="E264" s="35" t="n"/>
      <c r="F264" s="44" t="n"/>
      <c r="G264" s="40" t="n"/>
      <c r="H264" s="28">
        <f>103-F264</f>
        <v/>
      </c>
      <c r="I264" s="40" t="n"/>
      <c r="J264" s="44" t="n"/>
      <c r="K264" s="28">
        <f>TABL1234[[#This Row],[ (T/B) SAR]]+TABL1234[[#This Row],[ (S/S) SAR]]</f>
        <v/>
      </c>
      <c r="L264" s="45" t="n"/>
      <c r="M264" s="46" t="n"/>
      <c r="N264" s="46" t="n"/>
      <c r="O264" s="40" t="n"/>
      <c r="P264" s="9">
        <f>TABL1234[[#This Row],[ (S/S) SAR]]-TABL1234[[#This Row],[(S/S) AJD]]</f>
        <v/>
      </c>
      <c r="Q264" s="40" t="n"/>
      <c r="R264" s="9">
        <f>TABL1234[[#This Row],[ (T/B) SAR]]-TABL1234[[#This Row],[(T/B) AJD]]</f>
        <v/>
      </c>
      <c r="S264" s="9">
        <f>TABL1234[[#This Row],[T/B-CON.]]+TABL1234[[#This Row],[S/S_CON.]]</f>
        <v/>
      </c>
      <c r="T264" s="9">
        <f>TABL1234[[#This Row],[(S/S) AJD]]+TABL1234[[#This Row],[(T/B) AJD]]</f>
        <v/>
      </c>
      <c r="U264" s="44" t="n"/>
      <c r="V264" s="44" t="n"/>
      <c r="W264" s="9">
        <f>TABL1234[[#This Row],[(A/B) AJD]]+TABL1234[[#This Row],[(A/S) AJD]]</f>
        <v/>
      </c>
      <c r="X264" s="9">
        <f>TABL1234[[#This Row],[( S/S+T/B) AJD]]-TABL1234[[#This Row],[(A/B + A/S) AJD]]</f>
        <v/>
      </c>
      <c r="Y264" s="44" t="n"/>
      <c r="Z264" s="45" t="n"/>
      <c r="AA264" s="3">
        <f>TABL1234[[#This Row],[(RESV. STORGE) AJD]]/10</f>
        <v/>
      </c>
      <c r="AB264" s="3">
        <f>IF(TRIM(Z264)="",,(Z264-Z263)/1000)</f>
        <v/>
      </c>
      <c r="AC264" s="5" t="n"/>
      <c r="AD264" s="40">
        <f>TABL1234[[#This Row],[( S/S+T/B) AJD]]-(TABL1234[[#This Row],[(A/B + A/S) AJD]]+(TABL1234[[#This Row],[(STORGE DIFF.) AJD]]*1000)+TABL1234[[#This Row],[AJD_Evaporation]])</f>
        <v/>
      </c>
      <c r="AE264" s="44" t="n"/>
      <c r="AF264" s="45" t="n"/>
      <c r="AG264" s="45" t="n"/>
      <c r="AH264" s="6" t="n"/>
      <c r="AI264" s="45" t="n"/>
      <c r="AJ264" s="45">
        <f>TABL1234[[#This Row],[(A/B) AJD]]-TABL1234[[#This Row],[BER_IN]]</f>
        <v/>
      </c>
      <c r="AK264" s="45" t="n"/>
      <c r="AL264" s="45" t="n"/>
      <c r="AM264" s="32" t="n"/>
      <c r="AN264" s="32">
        <f>TABL1234[[#This Row],[ (RESV. STORGE) SER]]/10</f>
        <v/>
      </c>
      <c r="AO264" s="68" t="n"/>
      <c r="AP264" s="68">
        <f>TABL1234[[#This Row],[(A/S) AJD]]-TABL1234[[#This Row],[SER_IN]]</f>
        <v/>
      </c>
    </row>
    <row r="265" ht="18.75" customHeight="1">
      <c r="A265" s="2" t="n">
        <v>46651</v>
      </c>
      <c r="B265" s="41" t="n"/>
      <c r="C265" s="41" t="n"/>
      <c r="D265" s="41" t="n"/>
      <c r="E265" s="35" t="n"/>
      <c r="F265" s="41" t="n"/>
      <c r="G265" s="39" t="n"/>
      <c r="H265" s="28">
        <f>103-F265</f>
        <v/>
      </c>
      <c r="I265" s="39" t="n"/>
      <c r="J265" s="39" t="n"/>
      <c r="K265" s="28">
        <f>TABL1234[[#This Row],[ (T/B) SAR]]+TABL1234[[#This Row],[ (S/S) SAR]]</f>
        <v/>
      </c>
      <c r="L265" s="41" t="n"/>
      <c r="M265" s="42" t="n"/>
      <c r="N265" s="42" t="n"/>
      <c r="O265" s="39" t="n"/>
      <c r="P265" s="9">
        <f>TABL1234[[#This Row],[ (S/S) SAR]]-TABL1234[[#This Row],[(S/S) AJD]]</f>
        <v/>
      </c>
      <c r="Q265" s="39" t="n"/>
      <c r="R265" s="9">
        <f>TABL1234[[#This Row],[ (T/B) SAR]]-TABL1234[[#This Row],[(T/B) AJD]]</f>
        <v/>
      </c>
      <c r="S265" s="9">
        <f>TABL1234[[#This Row],[T/B-CON.]]+TABL1234[[#This Row],[S/S_CON.]]</f>
        <v/>
      </c>
      <c r="T265" s="9">
        <f>TABL1234[[#This Row],[(S/S) AJD]]+TABL1234[[#This Row],[(T/B) AJD]]</f>
        <v/>
      </c>
      <c r="U265" s="41" t="n"/>
      <c r="V265" s="41" t="n"/>
      <c r="W265" s="9">
        <f>TABL1234[[#This Row],[(A/B) AJD]]+TABL1234[[#This Row],[(A/S) AJD]]</f>
        <v/>
      </c>
      <c r="X265" s="9">
        <f>TABL1234[[#This Row],[( S/S+T/B) AJD]]-TABL1234[[#This Row],[(A/B + A/S) AJD]]</f>
        <v/>
      </c>
      <c r="Y265" s="41" t="n"/>
      <c r="Z265" s="43" t="n"/>
      <c r="AA265" s="3">
        <f>TABL1234[[#This Row],[(RESV. STORGE) AJD]]/10</f>
        <v/>
      </c>
      <c r="AB265" s="3">
        <f>IF(TRIM(Z265)="",,(Z265-Z264)/1000)</f>
        <v/>
      </c>
      <c r="AC265" s="5" t="n"/>
      <c r="AD265" s="39">
        <f>TABL1234[[#This Row],[( S/S+T/B) AJD]]-(TABL1234[[#This Row],[(A/B + A/S) AJD]]+(TABL1234[[#This Row],[(STORGE DIFF.) AJD]]*1000)+TABL1234[[#This Row],[AJD_Evaporation]])</f>
        <v/>
      </c>
      <c r="AE265" s="41" t="n"/>
      <c r="AF265" s="43" t="n"/>
      <c r="AG265" s="43" t="n"/>
      <c r="AH265" s="6" t="n"/>
      <c r="AI265" s="43" t="n"/>
      <c r="AJ265" s="43">
        <f>TABL1234[[#This Row],[(A/B) AJD]]-TABL1234[[#This Row],[BER_IN]]</f>
        <v/>
      </c>
      <c r="AK265" s="43" t="n"/>
      <c r="AL265" s="43" t="n"/>
      <c r="AM265" s="32" t="n"/>
      <c r="AN265" s="32">
        <f>TABL1234[[#This Row],[ (RESV. STORGE) SER]]/10</f>
        <v/>
      </c>
      <c r="AO265" s="68" t="n"/>
      <c r="AP265" s="68">
        <f>TABL1234[[#This Row],[(A/S) AJD]]-TABL1234[[#This Row],[SER_IN]]</f>
        <v/>
      </c>
    </row>
    <row r="266" ht="18.75" customHeight="1">
      <c r="A266" s="2" t="n">
        <v>46652</v>
      </c>
      <c r="B266" s="44" t="n"/>
      <c r="C266" s="44" t="n"/>
      <c r="D266" s="44" t="n"/>
      <c r="E266" s="35" t="n"/>
      <c r="F266" s="44" t="n"/>
      <c r="G266" s="40" t="n"/>
      <c r="H266" s="28">
        <f>103-F266</f>
        <v/>
      </c>
      <c r="I266" s="40" t="n"/>
      <c r="J266" s="44" t="n"/>
      <c r="K266" s="28">
        <f>TABL1234[[#This Row],[ (T/B) SAR]]+TABL1234[[#This Row],[ (S/S) SAR]]</f>
        <v/>
      </c>
      <c r="L266" s="45" t="n"/>
      <c r="M266" s="46" t="n"/>
      <c r="N266" s="46" t="n"/>
      <c r="O266" s="40" t="n"/>
      <c r="P266" s="9">
        <f>TABL1234[[#This Row],[ (S/S) SAR]]-TABL1234[[#This Row],[(S/S) AJD]]</f>
        <v/>
      </c>
      <c r="Q266" s="40" t="n"/>
      <c r="R266" s="9">
        <f>TABL1234[[#This Row],[ (T/B) SAR]]-TABL1234[[#This Row],[(T/B) AJD]]</f>
        <v/>
      </c>
      <c r="S266" s="9">
        <f>TABL1234[[#This Row],[T/B-CON.]]+TABL1234[[#This Row],[S/S_CON.]]</f>
        <v/>
      </c>
      <c r="T266" s="9">
        <f>TABL1234[[#This Row],[(S/S) AJD]]+TABL1234[[#This Row],[(T/B) AJD]]</f>
        <v/>
      </c>
      <c r="U266" s="44" t="n"/>
      <c r="V266" s="44" t="n"/>
      <c r="W266" s="9">
        <f>TABL1234[[#This Row],[(A/B) AJD]]+TABL1234[[#This Row],[(A/S) AJD]]</f>
        <v/>
      </c>
      <c r="X266" s="9">
        <f>TABL1234[[#This Row],[( S/S+T/B) AJD]]-TABL1234[[#This Row],[(A/B + A/S) AJD]]</f>
        <v/>
      </c>
      <c r="Y266" s="44" t="n"/>
      <c r="Z266" s="45" t="n"/>
      <c r="AA266" s="3">
        <f>TABL1234[[#This Row],[(RESV. STORGE) AJD]]/10</f>
        <v/>
      </c>
      <c r="AB266" s="3">
        <f>IF(TRIM(Z266)="",,(Z266-Z265)/1000)</f>
        <v/>
      </c>
      <c r="AC266" s="5" t="n"/>
      <c r="AD266" s="40">
        <f>TABL1234[[#This Row],[( S/S+T/B) AJD]]-(TABL1234[[#This Row],[(A/B + A/S) AJD]]+(TABL1234[[#This Row],[(STORGE DIFF.) AJD]]*1000)+TABL1234[[#This Row],[AJD_Evaporation]])</f>
        <v/>
      </c>
      <c r="AE266" s="44" t="n"/>
      <c r="AF266" s="45" t="n"/>
      <c r="AG266" s="45" t="n"/>
      <c r="AH266" s="6" t="n"/>
      <c r="AI266" s="45" t="n"/>
      <c r="AJ266" s="45">
        <f>TABL1234[[#This Row],[(A/B) AJD]]-TABL1234[[#This Row],[BER_IN]]</f>
        <v/>
      </c>
      <c r="AK266" s="45" t="n"/>
      <c r="AL266" s="45" t="n"/>
      <c r="AM266" s="32" t="n"/>
      <c r="AN266" s="32">
        <f>TABL1234[[#This Row],[ (RESV. STORGE) SER]]/10</f>
        <v/>
      </c>
      <c r="AO266" s="68" t="n"/>
      <c r="AP266" s="68">
        <f>TABL1234[[#This Row],[(A/S) AJD]]-TABL1234[[#This Row],[SER_IN]]</f>
        <v/>
      </c>
    </row>
    <row r="267" ht="18.75" customHeight="1">
      <c r="A267" s="2" t="n">
        <v>46653</v>
      </c>
      <c r="B267" s="41" t="n"/>
      <c r="C267" s="41" t="n"/>
      <c r="D267" s="41" t="n"/>
      <c r="E267" s="35" t="n"/>
      <c r="F267" s="41" t="n"/>
      <c r="G267" s="39" t="n"/>
      <c r="H267" s="28">
        <f>103-F267</f>
        <v/>
      </c>
      <c r="I267" s="39" t="n"/>
      <c r="J267" s="39" t="n"/>
      <c r="K267" s="28">
        <f>TABL1234[[#This Row],[ (T/B) SAR]]+TABL1234[[#This Row],[ (S/S) SAR]]</f>
        <v/>
      </c>
      <c r="L267" s="41" t="n"/>
      <c r="M267" s="42" t="n"/>
      <c r="N267" s="42" t="n"/>
      <c r="O267" s="39" t="n"/>
      <c r="P267" s="9">
        <f>TABL1234[[#This Row],[ (S/S) SAR]]-TABL1234[[#This Row],[(S/S) AJD]]</f>
        <v/>
      </c>
      <c r="Q267" s="39" t="n"/>
      <c r="R267" s="9">
        <f>TABL1234[[#This Row],[ (T/B) SAR]]-TABL1234[[#This Row],[(T/B) AJD]]</f>
        <v/>
      </c>
      <c r="S267" s="9">
        <f>TABL1234[[#This Row],[T/B-CON.]]+TABL1234[[#This Row],[S/S_CON.]]</f>
        <v/>
      </c>
      <c r="T267" s="9">
        <f>TABL1234[[#This Row],[(S/S) AJD]]+TABL1234[[#This Row],[(T/B) AJD]]</f>
        <v/>
      </c>
      <c r="U267" s="41" t="n"/>
      <c r="V267" s="41" t="n"/>
      <c r="W267" s="9">
        <f>TABL1234[[#This Row],[(A/B) AJD]]+TABL1234[[#This Row],[(A/S) AJD]]</f>
        <v/>
      </c>
      <c r="X267" s="9">
        <f>TABL1234[[#This Row],[( S/S+T/B) AJD]]-TABL1234[[#This Row],[(A/B + A/S) AJD]]</f>
        <v/>
      </c>
      <c r="Y267" s="41" t="n"/>
      <c r="Z267" s="43" t="n"/>
      <c r="AA267" s="3">
        <f>TABL1234[[#This Row],[(RESV. STORGE) AJD]]/10</f>
        <v/>
      </c>
      <c r="AB267" s="3">
        <f>IF(TRIM(Z267)="",,(Z267-Z266)/1000)</f>
        <v/>
      </c>
      <c r="AC267" s="5" t="n"/>
      <c r="AD267" s="39">
        <f>TABL1234[[#This Row],[( S/S+T/B) AJD]]-(TABL1234[[#This Row],[(A/B + A/S) AJD]]+(TABL1234[[#This Row],[(STORGE DIFF.) AJD]]*1000)+TABL1234[[#This Row],[AJD_Evaporation]])</f>
        <v/>
      </c>
      <c r="AE267" s="41" t="n"/>
      <c r="AF267" s="43" t="n"/>
      <c r="AG267" s="43" t="n"/>
      <c r="AH267" s="6" t="n"/>
      <c r="AI267" s="43" t="n"/>
      <c r="AJ267" s="43">
        <f>TABL1234[[#This Row],[(A/B) AJD]]-TABL1234[[#This Row],[BER_IN]]</f>
        <v/>
      </c>
      <c r="AK267" s="43" t="n"/>
      <c r="AL267" s="43" t="n"/>
      <c r="AM267" s="32" t="n"/>
      <c r="AN267" s="32">
        <f>TABL1234[[#This Row],[ (RESV. STORGE) SER]]/10</f>
        <v/>
      </c>
      <c r="AO267" s="68" t="n"/>
      <c r="AP267" s="68">
        <f>TABL1234[[#This Row],[(A/S) AJD]]-TABL1234[[#This Row],[SER_IN]]</f>
        <v/>
      </c>
    </row>
    <row r="268" ht="18.75" customHeight="1">
      <c r="A268" s="2" t="n">
        <v>46654</v>
      </c>
      <c r="B268" s="44" t="n"/>
      <c r="C268" s="44" t="n"/>
      <c r="D268" s="44" t="n"/>
      <c r="E268" s="35" t="n"/>
      <c r="F268" s="44" t="n"/>
      <c r="G268" s="40" t="n"/>
      <c r="H268" s="28">
        <f>103-F268</f>
        <v/>
      </c>
      <c r="I268" s="40" t="n"/>
      <c r="J268" s="44" t="n"/>
      <c r="K268" s="28">
        <f>TABL1234[[#This Row],[ (T/B) SAR]]+TABL1234[[#This Row],[ (S/S) SAR]]</f>
        <v/>
      </c>
      <c r="L268" s="45" t="n"/>
      <c r="M268" s="46" t="n"/>
      <c r="N268" s="46" t="n"/>
      <c r="O268" s="40" t="n"/>
      <c r="P268" s="9">
        <f>TABL1234[[#This Row],[ (S/S) SAR]]-TABL1234[[#This Row],[(S/S) AJD]]</f>
        <v/>
      </c>
      <c r="Q268" s="40" t="n"/>
      <c r="R268" s="9">
        <f>TABL1234[[#This Row],[ (T/B) SAR]]-TABL1234[[#This Row],[(T/B) AJD]]</f>
        <v/>
      </c>
      <c r="S268" s="9">
        <f>TABL1234[[#This Row],[T/B-CON.]]+TABL1234[[#This Row],[S/S_CON.]]</f>
        <v/>
      </c>
      <c r="T268" s="9">
        <f>TABL1234[[#This Row],[(S/S) AJD]]+TABL1234[[#This Row],[(T/B) AJD]]</f>
        <v/>
      </c>
      <c r="U268" s="44" t="n"/>
      <c r="V268" s="44" t="n"/>
      <c r="W268" s="9">
        <f>TABL1234[[#This Row],[(A/B) AJD]]+TABL1234[[#This Row],[(A/S) AJD]]</f>
        <v/>
      </c>
      <c r="X268" s="9">
        <f>TABL1234[[#This Row],[( S/S+T/B) AJD]]-TABL1234[[#This Row],[(A/B + A/S) AJD]]</f>
        <v/>
      </c>
      <c r="Y268" s="44" t="n"/>
      <c r="Z268" s="45" t="n"/>
      <c r="AA268" s="3">
        <f>TABL1234[[#This Row],[(RESV. STORGE) AJD]]/10</f>
        <v/>
      </c>
      <c r="AB268" s="3">
        <f>IF(TRIM(Z268)="",,(Z268-Z267)/1000)</f>
        <v/>
      </c>
      <c r="AC268" s="5" t="n"/>
      <c r="AD268" s="40">
        <f>TABL1234[[#This Row],[( S/S+T/B) AJD]]-(TABL1234[[#This Row],[(A/B + A/S) AJD]]+(TABL1234[[#This Row],[(STORGE DIFF.) AJD]]*1000)+TABL1234[[#This Row],[AJD_Evaporation]])</f>
        <v/>
      </c>
      <c r="AE268" s="44" t="n"/>
      <c r="AF268" s="45" t="n"/>
      <c r="AG268" s="45" t="n"/>
      <c r="AH268" s="6" t="n"/>
      <c r="AI268" s="45" t="n"/>
      <c r="AJ268" s="45">
        <f>TABL1234[[#This Row],[(A/B) AJD]]-TABL1234[[#This Row],[BER_IN]]</f>
        <v/>
      </c>
      <c r="AK268" s="45" t="n"/>
      <c r="AL268" s="45" t="n"/>
      <c r="AM268" s="32" t="n"/>
      <c r="AN268" s="32">
        <f>TABL1234[[#This Row],[ (RESV. STORGE) SER]]/10</f>
        <v/>
      </c>
      <c r="AO268" s="68" t="n"/>
      <c r="AP268" s="68">
        <f>TABL1234[[#This Row],[(A/S) AJD]]-TABL1234[[#This Row],[SER_IN]]</f>
        <v/>
      </c>
    </row>
    <row r="269" ht="18.75" customHeight="1">
      <c r="A269" s="2" t="n">
        <v>46655</v>
      </c>
      <c r="B269" s="41" t="n"/>
      <c r="C269" s="41" t="n"/>
      <c r="D269" s="41" t="n"/>
      <c r="E269" s="35" t="n"/>
      <c r="F269" s="41" t="n"/>
      <c r="G269" s="39" t="n"/>
      <c r="H269" s="28">
        <f>103-F269</f>
        <v/>
      </c>
      <c r="I269" s="39" t="n"/>
      <c r="J269" s="39" t="n"/>
      <c r="K269" s="28">
        <f>TABL1234[[#This Row],[ (T/B) SAR]]+TABL1234[[#This Row],[ (S/S) SAR]]</f>
        <v/>
      </c>
      <c r="L269" s="41" t="n"/>
      <c r="M269" s="42" t="n"/>
      <c r="N269" s="42" t="n"/>
      <c r="O269" s="39" t="n"/>
      <c r="P269" s="9">
        <f>TABL1234[[#This Row],[ (S/S) SAR]]-TABL1234[[#This Row],[(S/S) AJD]]</f>
        <v/>
      </c>
      <c r="Q269" s="39" t="n"/>
      <c r="R269" s="9">
        <f>TABL1234[[#This Row],[ (T/B) SAR]]-TABL1234[[#This Row],[(T/B) AJD]]</f>
        <v/>
      </c>
      <c r="S269" s="9">
        <f>TABL1234[[#This Row],[T/B-CON.]]+TABL1234[[#This Row],[S/S_CON.]]</f>
        <v/>
      </c>
      <c r="T269" s="9">
        <f>TABL1234[[#This Row],[(S/S) AJD]]+TABL1234[[#This Row],[(T/B) AJD]]</f>
        <v/>
      </c>
      <c r="U269" s="41" t="n"/>
      <c r="V269" s="41" t="n"/>
      <c r="W269" s="9">
        <f>TABL1234[[#This Row],[(A/B) AJD]]+TABL1234[[#This Row],[(A/S) AJD]]</f>
        <v/>
      </c>
      <c r="X269" s="9">
        <f>TABL1234[[#This Row],[( S/S+T/B) AJD]]-TABL1234[[#This Row],[(A/B + A/S) AJD]]</f>
        <v/>
      </c>
      <c r="Y269" s="41" t="n"/>
      <c r="Z269" s="43" t="n"/>
      <c r="AA269" s="3">
        <f>TABL1234[[#This Row],[(RESV. STORGE) AJD]]/10</f>
        <v/>
      </c>
      <c r="AB269" s="3">
        <f>IF(TRIM(Z269)="",,(Z269-Z268)/1000)</f>
        <v/>
      </c>
      <c r="AC269" s="5" t="n"/>
      <c r="AD269" s="39">
        <f>TABL1234[[#This Row],[( S/S+T/B) AJD]]-(TABL1234[[#This Row],[(A/B + A/S) AJD]]+(TABL1234[[#This Row],[(STORGE DIFF.) AJD]]*1000)+TABL1234[[#This Row],[AJD_Evaporation]])</f>
        <v/>
      </c>
      <c r="AE269" s="41" t="n"/>
      <c r="AF269" s="43" t="n"/>
      <c r="AG269" s="43" t="n"/>
      <c r="AH269" s="6" t="n"/>
      <c r="AI269" s="43" t="n"/>
      <c r="AJ269" s="43">
        <f>TABL1234[[#This Row],[(A/B) AJD]]-TABL1234[[#This Row],[BER_IN]]</f>
        <v/>
      </c>
      <c r="AK269" s="43" t="n"/>
      <c r="AL269" s="43" t="n"/>
      <c r="AM269" s="32" t="n"/>
      <c r="AN269" s="32">
        <f>TABL1234[[#This Row],[ (RESV. STORGE) SER]]/10</f>
        <v/>
      </c>
      <c r="AO269" s="68" t="n"/>
      <c r="AP269" s="68">
        <f>TABL1234[[#This Row],[(A/S) AJD]]-TABL1234[[#This Row],[SER_IN]]</f>
        <v/>
      </c>
    </row>
    <row r="270" ht="18.75" customHeight="1">
      <c r="A270" s="2" t="n">
        <v>46656</v>
      </c>
      <c r="B270" s="44" t="n"/>
      <c r="C270" s="44" t="n"/>
      <c r="D270" s="44" t="n"/>
      <c r="E270" s="35" t="n"/>
      <c r="F270" s="44" t="n"/>
      <c r="G270" s="40" t="n"/>
      <c r="H270" s="28">
        <f>103-F270</f>
        <v/>
      </c>
      <c r="I270" s="40" t="n"/>
      <c r="J270" s="44" t="n"/>
      <c r="K270" s="28">
        <f>TABL1234[[#This Row],[ (T/B) SAR]]+TABL1234[[#This Row],[ (S/S) SAR]]</f>
        <v/>
      </c>
      <c r="L270" s="45" t="n"/>
      <c r="M270" s="46" t="n"/>
      <c r="N270" s="46" t="n"/>
      <c r="O270" s="40" t="n"/>
      <c r="P270" s="9">
        <f>TABL1234[[#This Row],[ (S/S) SAR]]-TABL1234[[#This Row],[(S/S) AJD]]</f>
        <v/>
      </c>
      <c r="Q270" s="40" t="n"/>
      <c r="R270" s="9">
        <f>TABL1234[[#This Row],[ (T/B) SAR]]-TABL1234[[#This Row],[(T/B) AJD]]</f>
        <v/>
      </c>
      <c r="S270" s="9">
        <f>TABL1234[[#This Row],[T/B-CON.]]+TABL1234[[#This Row],[S/S_CON.]]</f>
        <v/>
      </c>
      <c r="T270" s="9">
        <f>TABL1234[[#This Row],[(S/S) AJD]]+TABL1234[[#This Row],[(T/B) AJD]]</f>
        <v/>
      </c>
      <c r="U270" s="44" t="n"/>
      <c r="V270" s="44" t="n"/>
      <c r="W270" s="9">
        <f>TABL1234[[#This Row],[(A/B) AJD]]+TABL1234[[#This Row],[(A/S) AJD]]</f>
        <v/>
      </c>
      <c r="X270" s="9">
        <f>TABL1234[[#This Row],[( S/S+T/B) AJD]]-TABL1234[[#This Row],[(A/B + A/S) AJD]]</f>
        <v/>
      </c>
      <c r="Y270" s="44" t="n"/>
      <c r="Z270" s="45" t="n"/>
      <c r="AA270" s="3">
        <f>TABL1234[[#This Row],[(RESV. STORGE) AJD]]/10</f>
        <v/>
      </c>
      <c r="AB270" s="3">
        <f>IF(TRIM(Z270)="",,(Z270-Z269)/1000)</f>
        <v/>
      </c>
      <c r="AC270" s="5" t="n"/>
      <c r="AD270" s="40">
        <f>TABL1234[[#This Row],[( S/S+T/B) AJD]]-(TABL1234[[#This Row],[(A/B + A/S) AJD]]+(TABL1234[[#This Row],[(STORGE DIFF.) AJD]]*1000)+TABL1234[[#This Row],[AJD_Evaporation]])</f>
        <v/>
      </c>
      <c r="AE270" s="44" t="n"/>
      <c r="AF270" s="45" t="n"/>
      <c r="AG270" s="45" t="n"/>
      <c r="AH270" s="6" t="n"/>
      <c r="AI270" s="45" t="n"/>
      <c r="AJ270" s="45">
        <f>TABL1234[[#This Row],[(A/B) AJD]]-TABL1234[[#This Row],[BER_IN]]</f>
        <v/>
      </c>
      <c r="AK270" s="45" t="n"/>
      <c r="AL270" s="45" t="n"/>
      <c r="AM270" s="32" t="n"/>
      <c r="AN270" s="32">
        <f>TABL1234[[#This Row],[ (RESV. STORGE) SER]]/10</f>
        <v/>
      </c>
      <c r="AO270" s="68" t="n"/>
      <c r="AP270" s="68">
        <f>TABL1234[[#This Row],[(A/S) AJD]]-TABL1234[[#This Row],[SER_IN]]</f>
        <v/>
      </c>
    </row>
    <row r="271" ht="18.75" customHeight="1">
      <c r="A271" s="2" t="n">
        <v>46657</v>
      </c>
      <c r="B271" s="28" t="n"/>
      <c r="C271" s="28" t="n"/>
      <c r="D271" s="28" t="n"/>
      <c r="E271" s="35" t="n"/>
      <c r="F271" s="41" t="n"/>
      <c r="G271" s="39" t="n"/>
      <c r="H271" s="28">
        <f>103-F271</f>
        <v/>
      </c>
      <c r="I271" s="28" t="n"/>
      <c r="J271" s="28" t="n"/>
      <c r="K271" s="28">
        <f>TABL1234[[#This Row],[ (T/B) SAR]]+TABL1234[[#This Row],[ (S/S) SAR]]</f>
        <v/>
      </c>
      <c r="L271" s="41" t="n"/>
      <c r="M271" s="42" t="n"/>
      <c r="N271" s="42" t="n"/>
      <c r="O271" s="39" t="n"/>
      <c r="P271" s="9">
        <f>TABL1234[[#This Row],[ (S/S) SAR]]-TABL1234[[#This Row],[(S/S) AJD]]</f>
        <v/>
      </c>
      <c r="Q271" s="9" t="n"/>
      <c r="R271" s="9">
        <f>TABL1234[[#This Row],[ (T/B) SAR]]-TABL1234[[#This Row],[(T/B) AJD]]</f>
        <v/>
      </c>
      <c r="S271" s="9">
        <f>TABL1234[[#This Row],[T/B-CON.]]+TABL1234[[#This Row],[S/S_CON.]]</f>
        <v/>
      </c>
      <c r="T271" s="9">
        <f>TABL1234[[#This Row],[(S/S) AJD]]+TABL1234[[#This Row],[(T/B) AJD]]</f>
        <v/>
      </c>
      <c r="U271" s="41" t="n"/>
      <c r="V271" s="41" t="n"/>
      <c r="W271" s="9">
        <f>TABL1234[[#This Row],[(A/B) AJD]]+TABL1234[[#This Row],[(A/S) AJD]]</f>
        <v/>
      </c>
      <c r="X271" s="9">
        <f>TABL1234[[#This Row],[( S/S+T/B) AJD]]-TABL1234[[#This Row],[(A/B + A/S) AJD]]</f>
        <v/>
      </c>
      <c r="Y271" s="41" t="n"/>
      <c r="Z271" s="43" t="n"/>
      <c r="AA271" s="3">
        <f>TABL1234[[#This Row],[(RESV. STORGE) AJD]]/10</f>
        <v/>
      </c>
      <c r="AB271" s="3">
        <f>IF(TRIM(Z271)="",,(Z271-Z270)/1000)</f>
        <v/>
      </c>
      <c r="AC271" s="5" t="n"/>
      <c r="AD271" s="39">
        <f>TABL1234[[#This Row],[( S/S+T/B) AJD]]-(TABL1234[[#This Row],[(A/B + A/S) AJD]]+(TABL1234[[#This Row],[(STORGE DIFF.) AJD]]*1000)+TABL1234[[#This Row],[AJD_Evaporation]])</f>
        <v/>
      </c>
      <c r="AE271" s="41" t="n"/>
      <c r="AF271" s="43" t="n"/>
      <c r="AG271" s="43" t="n"/>
      <c r="AH271" s="6" t="n"/>
      <c r="AI271" s="43" t="n"/>
      <c r="AJ271" s="43">
        <f>TABL1234[[#This Row],[(A/B) AJD]]-TABL1234[[#This Row],[BER_IN]]</f>
        <v/>
      </c>
      <c r="AK271" s="43" t="n"/>
      <c r="AL271" s="43" t="n"/>
      <c r="AM271" s="32" t="n"/>
      <c r="AN271" s="32">
        <f>TABL1234[[#This Row],[ (RESV. STORGE) SER]]/10</f>
        <v/>
      </c>
      <c r="AO271" s="68" t="n"/>
      <c r="AP271" s="68">
        <f>TABL1234[[#This Row],[(A/S) AJD]]-TABL1234[[#This Row],[SER_IN]]</f>
        <v/>
      </c>
    </row>
    <row r="272" ht="18.75" customHeight="1">
      <c r="A272" s="2" t="n">
        <v>46658</v>
      </c>
      <c r="B272" s="28" t="n"/>
      <c r="C272" s="28" t="n"/>
      <c r="D272" s="28" t="n"/>
      <c r="E272" s="35" t="n"/>
      <c r="F272" s="44" t="n"/>
      <c r="G272" s="40" t="n"/>
      <c r="H272" s="28">
        <f>103-F272</f>
        <v/>
      </c>
      <c r="I272" s="28" t="n"/>
      <c r="J272" s="28" t="n"/>
      <c r="K272" s="28">
        <f>TABL1234[[#This Row],[ (T/B) SAR]]+TABL1234[[#This Row],[ (S/S) SAR]]</f>
        <v/>
      </c>
      <c r="L272" s="45" t="n"/>
      <c r="M272" s="46" t="n"/>
      <c r="N272" s="46" t="n"/>
      <c r="O272" s="9" t="n"/>
      <c r="P272" s="9">
        <f>TABL1234[[#This Row],[ (S/S) SAR]]-TABL1234[[#This Row],[(S/S) AJD]]</f>
        <v/>
      </c>
      <c r="Q272" s="9" t="n"/>
      <c r="R272" s="9">
        <f>TABL1234[[#This Row],[ (T/B) SAR]]-TABL1234[[#This Row],[(T/B) AJD]]</f>
        <v/>
      </c>
      <c r="S272" s="9">
        <f>TABL1234[[#This Row],[T/B-CON.]]+TABL1234[[#This Row],[S/S_CON.]]</f>
        <v/>
      </c>
      <c r="T272" s="9">
        <f>TABL1234[[#This Row],[(S/S) AJD]]+TABL1234[[#This Row],[(T/B) AJD]]</f>
        <v/>
      </c>
      <c r="U272" s="9" t="n"/>
      <c r="V272" s="9" t="n"/>
      <c r="W272" s="9">
        <f>TABL1234[[#This Row],[(A/B) AJD]]+TABL1234[[#This Row],[(A/S) AJD]]</f>
        <v/>
      </c>
      <c r="X272" s="9">
        <f>TABL1234[[#This Row],[( S/S+T/B) AJD]]-TABL1234[[#This Row],[(A/B + A/S) AJD]]</f>
        <v/>
      </c>
      <c r="Y272" s="18" t="n"/>
      <c r="Z272" s="9" t="n"/>
      <c r="AA272" s="3">
        <f>TABL1234[[#This Row],[(RESV. STORGE) AJD]]/10</f>
        <v/>
      </c>
      <c r="AB272" s="3">
        <f>IF(TRIM(Z272)="",,(Z272-Z271)/1000)</f>
        <v/>
      </c>
      <c r="AC272" s="5" t="n"/>
      <c r="AD272" s="40">
        <f>TABL1234[[#This Row],[( S/S+T/B) AJD]]-(TABL1234[[#This Row],[(A/B + A/S) AJD]]+(TABL1234[[#This Row],[(STORGE DIFF.) AJD]]*1000)+TABL1234[[#This Row],[AJD_Evaporation]])</f>
        <v/>
      </c>
      <c r="AE272" s="44" t="n"/>
      <c r="AF272" s="45" t="n"/>
      <c r="AG272" s="45" t="n"/>
      <c r="AH272" s="6" t="n"/>
      <c r="AI272" s="6" t="n"/>
      <c r="AJ272" s="33">
        <f>TABL1234[[#This Row],[(A/B) AJD]]-TABL1234[[#This Row],[BER_IN]]</f>
        <v/>
      </c>
      <c r="AK272" s="6" t="n"/>
      <c r="AL272" s="6" t="n"/>
      <c r="AM272" s="32" t="n"/>
      <c r="AN272" s="32">
        <f>TABL1234[[#This Row],[ (RESV. STORGE) SER]]/10</f>
        <v/>
      </c>
      <c r="AO272" s="68" t="n"/>
      <c r="AP272" s="68">
        <f>TABL1234[[#This Row],[(A/S) AJD]]-TABL1234[[#This Row],[SER_IN]]</f>
        <v/>
      </c>
    </row>
    <row r="273" ht="18.75" customHeight="1">
      <c r="A273" s="2" t="n">
        <v>46659</v>
      </c>
      <c r="B273" s="28" t="n"/>
      <c r="C273" s="28" t="n"/>
      <c r="D273" s="28" t="n"/>
      <c r="E273" s="35" t="n"/>
      <c r="F273" s="28" t="n"/>
      <c r="G273" s="28" t="n"/>
      <c r="H273" s="28">
        <f>103-F273</f>
        <v/>
      </c>
      <c r="I273" s="28" t="n"/>
      <c r="J273" s="28" t="n"/>
      <c r="K273" s="28">
        <f>TABL1234[[#This Row],[ (T/B) SAR]]+TABL1234[[#This Row],[ (S/S) SAR]]</f>
        <v/>
      </c>
      <c r="L273" s="28" t="n"/>
      <c r="M273" s="29" t="n"/>
      <c r="N273" s="30" t="n"/>
      <c r="O273" s="9" t="n"/>
      <c r="P273" s="9">
        <f>TABL1234[[#This Row],[ (S/S) SAR]]-TABL1234[[#This Row],[(S/S) AJD]]</f>
        <v/>
      </c>
      <c r="Q273" s="9" t="n"/>
      <c r="R273" s="9">
        <f>TABL1234[[#This Row],[ (T/B) SAR]]-TABL1234[[#This Row],[(T/B) AJD]]</f>
        <v/>
      </c>
      <c r="S273" s="9">
        <f>TABL1234[[#This Row],[T/B-CON.]]+TABL1234[[#This Row],[S/S_CON.]]</f>
        <v/>
      </c>
      <c r="T273" s="9">
        <f>TABL1234[[#This Row],[(S/S) AJD]]+TABL1234[[#This Row],[(T/B) AJD]]</f>
        <v/>
      </c>
      <c r="U273" s="9" t="n"/>
      <c r="V273" s="9" t="n"/>
      <c r="W273" s="9">
        <f>TABL1234[[#This Row],[(A/B) AJD]]+TABL1234[[#This Row],[(A/S) AJD]]</f>
        <v/>
      </c>
      <c r="X273" s="9">
        <f>TABL1234[[#This Row],[( S/S+T/B) AJD]]-TABL1234[[#This Row],[(A/B + A/S) AJD]]</f>
        <v/>
      </c>
      <c r="Y273" s="18" t="n"/>
      <c r="Z273" s="9" t="n"/>
      <c r="AA273" s="3">
        <f>TABL1234[[#This Row],[(RESV. STORGE) AJD]]/10</f>
        <v/>
      </c>
      <c r="AB273" s="3">
        <f>IF(TRIM(Z273)="",,(Z273-Z272)/1000)</f>
        <v/>
      </c>
      <c r="AC273" s="5" t="n"/>
      <c r="AD273" s="39">
        <f>TABL1234[[#This Row],[( S/S+T/B) AJD]]-(TABL1234[[#This Row],[(A/B + A/S) AJD]]+(TABL1234[[#This Row],[(STORGE DIFF.) AJD]]*1000)+TABL1234[[#This Row],[AJD_Evaporation]])</f>
        <v/>
      </c>
      <c r="AE273" s="41" t="n"/>
      <c r="AF273" s="43" t="n"/>
      <c r="AG273" s="43" t="n"/>
      <c r="AH273" s="6" t="n"/>
      <c r="AI273" s="6" t="n"/>
      <c r="AJ273" s="33">
        <f>TABL1234[[#This Row],[(A/B) AJD]]-TABL1234[[#This Row],[BER_IN]]</f>
        <v/>
      </c>
      <c r="AK273" s="6" t="n"/>
      <c r="AL273" s="6" t="n"/>
      <c r="AM273" s="32" t="n"/>
      <c r="AN273" s="32">
        <f>TABL1234[[#This Row],[ (RESV. STORGE) SER]]/10</f>
        <v/>
      </c>
      <c r="AO273" s="68" t="n"/>
      <c r="AP273" s="68">
        <f>TABL1234[[#This Row],[(A/S) AJD]]-TABL1234[[#This Row],[SER_IN]]</f>
        <v/>
      </c>
    </row>
    <row r="274" ht="18.75" customHeight="1">
      <c r="A274" s="2" t="n">
        <v>46660</v>
      </c>
      <c r="B274" s="28" t="n"/>
      <c r="C274" s="28" t="n"/>
      <c r="D274" s="28" t="n"/>
      <c r="E274" s="35" t="n"/>
      <c r="F274" s="28" t="n"/>
      <c r="G274" s="28" t="n"/>
      <c r="H274" s="28">
        <f>103-F274</f>
        <v/>
      </c>
      <c r="I274" s="28" t="n"/>
      <c r="J274" s="28" t="n"/>
      <c r="K274" s="28">
        <f>TABL1234[[#This Row],[ (T/B) SAR]]+TABL1234[[#This Row],[ (S/S) SAR]]</f>
        <v/>
      </c>
      <c r="L274" s="28" t="n"/>
      <c r="M274" s="29" t="n"/>
      <c r="N274" s="30" t="n"/>
      <c r="O274" s="9" t="n"/>
      <c r="P274" s="9">
        <f>TABL1234[[#This Row],[ (S/S) SAR]]-TABL1234[[#This Row],[(S/S) AJD]]</f>
        <v/>
      </c>
      <c r="Q274" s="9" t="n"/>
      <c r="R274" s="9">
        <f>TABL1234[[#This Row],[ (T/B) SAR]]-TABL1234[[#This Row],[(T/B) AJD]]</f>
        <v/>
      </c>
      <c r="S274" s="9">
        <f>TABL1234[[#This Row],[T/B-CON.]]+TABL1234[[#This Row],[S/S_CON.]]</f>
        <v/>
      </c>
      <c r="T274" s="9">
        <f>TABL1234[[#This Row],[(S/S) AJD]]+TABL1234[[#This Row],[(T/B) AJD]]</f>
        <v/>
      </c>
      <c r="U274" s="9" t="n"/>
      <c r="V274" s="9" t="n"/>
      <c r="W274" s="9">
        <f>TABL1234[[#This Row],[(A/B) AJD]]+TABL1234[[#This Row],[(A/S) AJD]]</f>
        <v/>
      </c>
      <c r="X274" s="9">
        <f>TABL1234[[#This Row],[( S/S+T/B) AJD]]-TABL1234[[#This Row],[(A/B + A/S) AJD]]</f>
        <v/>
      </c>
      <c r="Y274" s="18" t="n"/>
      <c r="Z274" s="9" t="n"/>
      <c r="AA274" s="3">
        <f>TABL1234[[#This Row],[(RESV. STORGE) AJD]]/10</f>
        <v/>
      </c>
      <c r="AB274" s="3">
        <f>IF(TRIM(Z274)="",,(Z274-Z273)/1000)</f>
        <v/>
      </c>
      <c r="AC274" s="5" t="n"/>
      <c r="AD274" s="6">
        <f>TABL1234[[#This Row],[( S/S+T/B) AJD]]-(TABL1234[[#This Row],[(A/B + A/S) AJD]]+(TABL1234[[#This Row],[(STORGE DIFF.) AJD]]*1000)+TABL1234[[#This Row],[AJD_Evaporation]])</f>
        <v/>
      </c>
      <c r="AE274" s="33" t="n"/>
      <c r="AF274" s="6" t="n"/>
      <c r="AG274" s="6" t="n"/>
      <c r="AH274" s="6" t="n"/>
      <c r="AI274" s="6" t="n"/>
      <c r="AJ274" s="33">
        <f>TABL1234[[#This Row],[(A/B) AJD]]-TABL1234[[#This Row],[BER_IN]]</f>
        <v/>
      </c>
      <c r="AK274" s="6" t="n"/>
      <c r="AL274" s="6" t="n"/>
      <c r="AM274" s="32" t="n"/>
      <c r="AN274" s="32">
        <f>TABL1234[[#This Row],[ (RESV. STORGE) SER]]/10</f>
        <v/>
      </c>
      <c r="AO274" s="68" t="n"/>
      <c r="AP274" s="68">
        <f>TABL1234[[#This Row],[(A/S) AJD]]-TABL1234[[#This Row],[SER_IN]]</f>
        <v/>
      </c>
    </row>
    <row r="275" ht="18.75" customHeight="1">
      <c r="A275" s="2" t="n">
        <v>46661</v>
      </c>
      <c r="B275" s="28" t="n"/>
      <c r="C275" s="28" t="n"/>
      <c r="D275" s="28" t="n"/>
      <c r="E275" s="28" t="n"/>
      <c r="F275" s="28" t="n"/>
      <c r="G275" s="28" t="n"/>
      <c r="H275" s="28">
        <f>103-F275</f>
        <v/>
      </c>
      <c r="I275" s="28" t="n"/>
      <c r="J275" s="28" t="n"/>
      <c r="K275" s="28">
        <f>TABL1234[[#This Row],[ (T/B) SAR]]+TABL1234[[#This Row],[ (S/S) SAR]]</f>
        <v/>
      </c>
      <c r="L275" s="28" t="n"/>
      <c r="M275" s="29" t="n"/>
      <c r="N275" s="30" t="n"/>
      <c r="O275" s="14" t="n"/>
      <c r="P275" s="9">
        <f>TABL1234[[#This Row],[ (S/S) SAR]]-TABL1234[[#This Row],[(S/S) AJD]]</f>
        <v/>
      </c>
      <c r="Q275" s="14" t="n"/>
      <c r="R275" s="9">
        <f>TABL1234[[#This Row],[ (T/B) SAR]]-TABL1234[[#This Row],[(T/B) AJD]]</f>
        <v/>
      </c>
      <c r="S275" s="9">
        <f>TABL1234[[#This Row],[T/B-CON.]]+TABL1234[[#This Row],[S/S_CON.]]</f>
        <v/>
      </c>
      <c r="T275" s="9">
        <f>TABL1234[[#This Row],[(S/S) AJD]]+TABL1234[[#This Row],[(T/B) AJD]]</f>
        <v/>
      </c>
      <c r="U275" s="14" t="n"/>
      <c r="V275" s="14" t="n"/>
      <c r="W275" s="9">
        <f>TABL1234[[#This Row],[(A/B) AJD]]+TABL1234[[#This Row],[(A/S) AJD]]</f>
        <v/>
      </c>
      <c r="X275" s="9">
        <f>TABL1234[[#This Row],[( S/S+T/B) AJD]]-TABL1234[[#This Row],[(A/B + A/S) AJD]]</f>
        <v/>
      </c>
      <c r="Y275" s="18" t="n"/>
      <c r="Z275" s="9" t="n"/>
      <c r="AA275" s="3">
        <f>TABL1234[[#This Row],[(RESV. STORGE) AJD]]/10</f>
        <v/>
      </c>
      <c r="AB275" s="3">
        <f>IF(TRIM(Z275)="",,(Z275-Z274)/1000)</f>
        <v/>
      </c>
      <c r="AC275" s="5" t="n"/>
      <c r="AD275" s="6">
        <f>TABL1234[[#This Row],[( S/S+T/B) AJD]]-(TABL1234[[#This Row],[(A/B + A/S) AJD]]+(TABL1234[[#This Row],[(STORGE DIFF.) AJD]]*1000)+TABL1234[[#This Row],[AJD_Evaporation]])</f>
        <v/>
      </c>
      <c r="AE275" s="33" t="n"/>
      <c r="AF275" s="6" t="n"/>
      <c r="AG275" s="6" t="n"/>
      <c r="AH275" s="6" t="n"/>
      <c r="AI275" s="6" t="n"/>
      <c r="AJ275" s="33">
        <f>TABL1234[[#This Row],[(A/B) AJD]]-TABL1234[[#This Row],[BER_IN]]</f>
        <v/>
      </c>
      <c r="AK275" s="6" t="n"/>
      <c r="AL275" s="6" t="n"/>
      <c r="AM275" s="32" t="n"/>
      <c r="AN275" s="32">
        <f>TABL1234[[#This Row],[ (RESV. STORGE) SER]]/10</f>
        <v/>
      </c>
      <c r="AO275" s="68" t="n"/>
      <c r="AP275" s="68">
        <f>TABL1234[[#This Row],[(A/S) AJD]]-TABL1234[[#This Row],[SER_IN]]</f>
        <v/>
      </c>
    </row>
    <row r="276" ht="18.75" customHeight="1">
      <c r="A276" s="2" t="n">
        <v>46662</v>
      </c>
      <c r="B276" s="28" t="n"/>
      <c r="C276" s="28" t="n"/>
      <c r="D276" s="28" t="n"/>
      <c r="E276" s="28" t="n"/>
      <c r="F276" s="28" t="n"/>
      <c r="G276" s="28" t="n"/>
      <c r="H276" s="28">
        <f>103-F276</f>
        <v/>
      </c>
      <c r="I276" s="28" t="n"/>
      <c r="J276" s="28" t="n"/>
      <c r="K276" s="28">
        <f>TABL1234[[#This Row],[ (T/B) SAR]]+TABL1234[[#This Row],[ (S/S) SAR]]</f>
        <v/>
      </c>
      <c r="L276" s="28" t="n"/>
      <c r="M276" s="29" t="n"/>
      <c r="N276" s="30" t="n"/>
      <c r="O276" s="14" t="n"/>
      <c r="P276" s="9">
        <f>TABL1234[[#This Row],[ (S/S) SAR]]-TABL1234[[#This Row],[(S/S) AJD]]</f>
        <v/>
      </c>
      <c r="Q276" s="14" t="n"/>
      <c r="R276" s="9">
        <f>TABL1234[[#This Row],[ (T/B) SAR]]-TABL1234[[#This Row],[(T/B) AJD]]</f>
        <v/>
      </c>
      <c r="S276" s="9">
        <f>TABL1234[[#This Row],[T/B-CON.]]+TABL1234[[#This Row],[S/S_CON.]]</f>
        <v/>
      </c>
      <c r="T276" s="9">
        <f>TABL1234[[#This Row],[(S/S) AJD]]+TABL1234[[#This Row],[(T/B) AJD]]</f>
        <v/>
      </c>
      <c r="U276" s="14" t="n"/>
      <c r="V276" s="14" t="n"/>
      <c r="W276" s="9">
        <f>TABL1234[[#This Row],[(A/B) AJD]]+TABL1234[[#This Row],[(A/S) AJD]]</f>
        <v/>
      </c>
      <c r="X276" s="9">
        <f>TABL1234[[#This Row],[( S/S+T/B) AJD]]-TABL1234[[#This Row],[(A/B + A/S) AJD]]</f>
        <v/>
      </c>
      <c r="Y276" s="18" t="n"/>
      <c r="Z276" s="9" t="n"/>
      <c r="AA276" s="3">
        <f>TABL1234[[#This Row],[(RESV. STORGE) AJD]]/10</f>
        <v/>
      </c>
      <c r="AB276" s="3">
        <f>IF(TRIM(Z276)="",,(Z276-Z275)/1000)</f>
        <v/>
      </c>
      <c r="AC276" s="5" t="n"/>
      <c r="AD276" s="6">
        <f>TABL1234[[#This Row],[( S/S+T/B) AJD]]-(TABL1234[[#This Row],[(A/B + A/S) AJD]]+(TABL1234[[#This Row],[(STORGE DIFF.) AJD]]*1000)+TABL1234[[#This Row],[AJD_Evaporation]])</f>
        <v/>
      </c>
      <c r="AE276" s="33" t="n"/>
      <c r="AF276" s="6" t="n"/>
      <c r="AG276" s="6" t="n"/>
      <c r="AH276" s="6" t="n"/>
      <c r="AI276" s="6" t="n"/>
      <c r="AJ276" s="33">
        <f>TABL1234[[#This Row],[(A/B) AJD]]-TABL1234[[#This Row],[BER_IN]]</f>
        <v/>
      </c>
      <c r="AK276" s="6" t="n"/>
      <c r="AL276" s="6" t="n"/>
      <c r="AM276" s="32" t="n"/>
      <c r="AN276" s="32">
        <f>TABL1234[[#This Row],[ (RESV. STORGE) SER]]/10</f>
        <v/>
      </c>
      <c r="AO276" s="68" t="n"/>
      <c r="AP276" s="68">
        <f>TABL1234[[#This Row],[(A/S) AJD]]-TABL1234[[#This Row],[SER_IN]]</f>
        <v/>
      </c>
    </row>
    <row r="277" ht="18.75" customHeight="1">
      <c r="A277" s="2" t="n">
        <v>46663</v>
      </c>
      <c r="B277" s="28" t="n"/>
      <c r="C277" s="28" t="n"/>
      <c r="D277" s="35" t="n"/>
      <c r="E277" s="28" t="n"/>
      <c r="F277" s="28" t="n"/>
      <c r="G277" s="28" t="n"/>
      <c r="H277" s="28">
        <f>103-F277</f>
        <v/>
      </c>
      <c r="I277" s="28" t="n"/>
      <c r="J277" s="28" t="n"/>
      <c r="K277" s="28">
        <f>TABL1234[[#This Row],[ (T/B) SAR]]+TABL1234[[#This Row],[ (S/S) SAR]]</f>
        <v/>
      </c>
      <c r="L277" s="28" t="n"/>
      <c r="M277" s="29" t="n"/>
      <c r="N277" s="30" t="n"/>
      <c r="O277" s="14" t="n"/>
      <c r="P277" s="9">
        <f>TABL1234[[#This Row],[ (S/S) SAR]]-TABL1234[[#This Row],[(S/S) AJD]]</f>
        <v/>
      </c>
      <c r="Q277" s="14" t="n"/>
      <c r="R277" s="9">
        <f>TABL1234[[#This Row],[ (T/B) SAR]]-TABL1234[[#This Row],[(T/B) AJD]]</f>
        <v/>
      </c>
      <c r="S277" s="9">
        <f>TABL1234[[#This Row],[T/B-CON.]]+TABL1234[[#This Row],[S/S_CON.]]</f>
        <v/>
      </c>
      <c r="T277" s="9">
        <f>TABL1234[[#This Row],[(S/S) AJD]]+TABL1234[[#This Row],[(T/B) AJD]]</f>
        <v/>
      </c>
      <c r="U277" s="14" t="n"/>
      <c r="V277" s="14" t="n"/>
      <c r="W277" s="9">
        <f>TABL1234[[#This Row],[(A/B) AJD]]+TABL1234[[#This Row],[(A/S) AJD]]</f>
        <v/>
      </c>
      <c r="X277" s="9">
        <f>TABL1234[[#This Row],[( S/S+T/B) AJD]]-TABL1234[[#This Row],[(A/B + A/S) AJD]]</f>
        <v/>
      </c>
      <c r="Y277" s="18" t="n"/>
      <c r="Z277" s="9" t="n"/>
      <c r="AA277" s="3">
        <f>TABL1234[[#This Row],[(RESV. STORGE) AJD]]/10</f>
        <v/>
      </c>
      <c r="AB277" s="3">
        <f>IF(TRIM(Z277)="",,(Z277-Z276)/1000)</f>
        <v/>
      </c>
      <c r="AC277" s="5" t="n"/>
      <c r="AD277" s="6">
        <f>TABL1234[[#This Row],[( S/S+T/B) AJD]]-(TABL1234[[#This Row],[(A/B + A/S) AJD]]+(TABL1234[[#This Row],[(STORGE DIFF.) AJD]]*1000)+TABL1234[[#This Row],[AJD_Evaporation]])</f>
        <v/>
      </c>
      <c r="AE277" s="33" t="n"/>
      <c r="AF277" s="6" t="n"/>
      <c r="AG277" s="6" t="n"/>
      <c r="AH277" s="6" t="n"/>
      <c r="AI277" s="6" t="n"/>
      <c r="AJ277" s="33">
        <f>TABL1234[[#This Row],[(A/B) AJD]]-TABL1234[[#This Row],[BER_IN]]</f>
        <v/>
      </c>
      <c r="AK277" s="6" t="n"/>
      <c r="AL277" s="6" t="n"/>
      <c r="AM277" s="32" t="n"/>
      <c r="AN277" s="32">
        <f>TABL1234[[#This Row],[ (RESV. STORGE) SER]]/10</f>
        <v/>
      </c>
      <c r="AO277" s="68" t="n"/>
      <c r="AP277" s="68">
        <f>TABL1234[[#This Row],[(A/S) AJD]]-TABL1234[[#This Row],[SER_IN]]</f>
        <v/>
      </c>
    </row>
    <row r="278" ht="18.75" customHeight="1">
      <c r="A278" s="2" t="n">
        <v>46664</v>
      </c>
      <c r="B278" s="28" t="n"/>
      <c r="C278" s="28" t="n"/>
      <c r="D278" s="35" t="n"/>
      <c r="E278" s="28" t="n"/>
      <c r="F278" s="28" t="n"/>
      <c r="G278" s="28" t="n"/>
      <c r="H278" s="28">
        <f>103-F278</f>
        <v/>
      </c>
      <c r="I278" s="28" t="n"/>
      <c r="J278" s="28" t="n"/>
      <c r="K278" s="28">
        <f>TABL1234[[#This Row],[ (T/B) SAR]]+TABL1234[[#This Row],[ (S/S) SAR]]</f>
        <v/>
      </c>
      <c r="L278" s="28" t="n"/>
      <c r="M278" s="29" t="n"/>
      <c r="N278" s="30" t="n"/>
      <c r="O278" s="14" t="n"/>
      <c r="P278" s="9">
        <f>TABL1234[[#This Row],[ (S/S) SAR]]-TABL1234[[#This Row],[(S/S) AJD]]</f>
        <v/>
      </c>
      <c r="Q278" s="14" t="n"/>
      <c r="R278" s="9">
        <f>TABL1234[[#This Row],[ (T/B) SAR]]-TABL1234[[#This Row],[(T/B) AJD]]</f>
        <v/>
      </c>
      <c r="S278" s="9">
        <f>TABL1234[[#This Row],[T/B-CON.]]+TABL1234[[#This Row],[S/S_CON.]]</f>
        <v/>
      </c>
      <c r="T278" s="9">
        <f>TABL1234[[#This Row],[(S/S) AJD]]+TABL1234[[#This Row],[(T/B) AJD]]</f>
        <v/>
      </c>
      <c r="U278" s="14" t="n"/>
      <c r="V278" s="14" t="n"/>
      <c r="W278" s="9">
        <f>TABL1234[[#This Row],[(A/B) AJD]]+TABL1234[[#This Row],[(A/S) AJD]]</f>
        <v/>
      </c>
      <c r="X278" s="9">
        <f>TABL1234[[#This Row],[( S/S+T/B) AJD]]-TABL1234[[#This Row],[(A/B + A/S) AJD]]</f>
        <v/>
      </c>
      <c r="Y278" s="18" t="n"/>
      <c r="Z278" s="9" t="n"/>
      <c r="AA278" s="3">
        <f>TABL1234[[#This Row],[(RESV. STORGE) AJD]]/10</f>
        <v/>
      </c>
      <c r="AB278" s="3">
        <f>IF(TRIM(Z278)="",,(Z278-Z277)/1000)</f>
        <v/>
      </c>
      <c r="AC278" s="5" t="n"/>
      <c r="AD278" s="6">
        <f>TABL1234[[#This Row],[( S/S+T/B) AJD]]-(TABL1234[[#This Row],[(A/B + A/S) AJD]]+(TABL1234[[#This Row],[(STORGE DIFF.) AJD]]*1000)+TABL1234[[#This Row],[AJD_Evaporation]])</f>
        <v/>
      </c>
      <c r="AE278" s="33" t="n"/>
      <c r="AF278" s="6" t="n"/>
      <c r="AG278" s="6" t="n"/>
      <c r="AH278" s="6" t="n"/>
      <c r="AI278" s="6" t="n"/>
      <c r="AJ278" s="33">
        <f>TABL1234[[#This Row],[(A/B) AJD]]-TABL1234[[#This Row],[BER_IN]]</f>
        <v/>
      </c>
      <c r="AK278" s="6" t="n"/>
      <c r="AL278" s="6" t="n"/>
      <c r="AM278" s="32" t="n"/>
      <c r="AN278" s="32">
        <f>TABL1234[[#This Row],[ (RESV. STORGE) SER]]/10</f>
        <v/>
      </c>
      <c r="AO278" s="68" t="n"/>
      <c r="AP278" s="68">
        <f>TABL1234[[#This Row],[(A/S) AJD]]-TABL1234[[#This Row],[SER_IN]]</f>
        <v/>
      </c>
    </row>
    <row r="279" ht="18.75" customHeight="1">
      <c r="A279" s="2" t="n">
        <v>46665</v>
      </c>
      <c r="B279" s="28" t="n"/>
      <c r="C279" s="28" t="n"/>
      <c r="D279" s="35" t="n"/>
      <c r="E279" s="28" t="n"/>
      <c r="F279" s="28" t="n"/>
      <c r="G279" s="28" t="n"/>
      <c r="H279" s="28">
        <f>103-F279</f>
        <v/>
      </c>
      <c r="I279" s="28" t="n"/>
      <c r="J279" s="28" t="n"/>
      <c r="K279" s="28">
        <f>TABL1234[[#This Row],[ (T/B) SAR]]+TABL1234[[#This Row],[ (S/S) SAR]]</f>
        <v/>
      </c>
      <c r="L279" s="28" t="n"/>
      <c r="M279" s="29" t="n"/>
      <c r="N279" s="30" t="n"/>
      <c r="O279" s="14" t="n"/>
      <c r="P279" s="9">
        <f>TABL1234[[#This Row],[ (S/S) SAR]]-TABL1234[[#This Row],[(S/S) AJD]]</f>
        <v/>
      </c>
      <c r="Q279" s="14" t="n"/>
      <c r="R279" s="9">
        <f>TABL1234[[#This Row],[ (T/B) SAR]]-TABL1234[[#This Row],[(T/B) AJD]]</f>
        <v/>
      </c>
      <c r="S279" s="9">
        <f>TABL1234[[#This Row],[T/B-CON.]]+TABL1234[[#This Row],[S/S_CON.]]</f>
        <v/>
      </c>
      <c r="T279" s="9">
        <f>TABL1234[[#This Row],[(S/S) AJD]]+TABL1234[[#This Row],[(T/B) AJD]]</f>
        <v/>
      </c>
      <c r="U279" s="14" t="n"/>
      <c r="V279" s="14" t="n"/>
      <c r="W279" s="9">
        <f>TABL1234[[#This Row],[(A/B) AJD]]+TABL1234[[#This Row],[(A/S) AJD]]</f>
        <v/>
      </c>
      <c r="X279" s="9">
        <f>TABL1234[[#This Row],[( S/S+T/B) AJD]]-TABL1234[[#This Row],[(A/B + A/S) AJD]]</f>
        <v/>
      </c>
      <c r="Y279" s="18" t="n"/>
      <c r="Z279" s="9" t="n"/>
      <c r="AA279" s="3">
        <f>TABL1234[[#This Row],[(RESV. STORGE) AJD]]/10</f>
        <v/>
      </c>
      <c r="AB279" s="3">
        <f>IF(TRIM(Z279)="",,(Z279-Z278)/1000)</f>
        <v/>
      </c>
      <c r="AC279" s="5" t="n"/>
      <c r="AD279" s="6">
        <f>TABL1234[[#This Row],[( S/S+T/B) AJD]]-(TABL1234[[#This Row],[(A/B + A/S) AJD]]+(TABL1234[[#This Row],[(STORGE DIFF.) AJD]]*1000)+TABL1234[[#This Row],[AJD_Evaporation]])</f>
        <v/>
      </c>
      <c r="AE279" s="33" t="n"/>
      <c r="AF279" s="6" t="n"/>
      <c r="AG279" s="6" t="n"/>
      <c r="AH279" s="6" t="n"/>
      <c r="AI279" s="6" t="n"/>
      <c r="AJ279" s="33">
        <f>TABL1234[[#This Row],[(A/B) AJD]]-TABL1234[[#This Row],[BER_IN]]</f>
        <v/>
      </c>
      <c r="AK279" s="6" t="n"/>
      <c r="AL279" s="6" t="n"/>
      <c r="AM279" s="32" t="n"/>
      <c r="AN279" s="32">
        <f>TABL1234[[#This Row],[ (RESV. STORGE) SER]]/10</f>
        <v/>
      </c>
      <c r="AO279" s="68" t="n"/>
      <c r="AP279" s="68">
        <f>TABL1234[[#This Row],[(A/S) AJD]]-TABL1234[[#This Row],[SER_IN]]</f>
        <v/>
      </c>
    </row>
    <row r="280" ht="18.75" customHeight="1">
      <c r="A280" s="2" t="n">
        <v>46666</v>
      </c>
      <c r="B280" s="28" t="n"/>
      <c r="C280" s="28" t="n"/>
      <c r="D280" s="35" t="n"/>
      <c r="E280" s="28" t="n"/>
      <c r="F280" s="28" t="n"/>
      <c r="G280" s="28" t="n"/>
      <c r="H280" s="28">
        <f>103-F280</f>
        <v/>
      </c>
      <c r="I280" s="28" t="n"/>
      <c r="J280" s="28" t="n"/>
      <c r="K280" s="28">
        <f>TABL1234[[#This Row],[ (T/B) SAR]]+TABL1234[[#This Row],[ (S/S) SAR]]</f>
        <v/>
      </c>
      <c r="L280" s="28" t="n"/>
      <c r="M280" s="29" t="n"/>
      <c r="N280" s="30" t="n"/>
      <c r="O280" s="14" t="n"/>
      <c r="P280" s="9">
        <f>TABL1234[[#This Row],[ (S/S) SAR]]-TABL1234[[#This Row],[(S/S) AJD]]</f>
        <v/>
      </c>
      <c r="Q280" s="14" t="n"/>
      <c r="R280" s="9">
        <f>TABL1234[[#This Row],[ (T/B) SAR]]-TABL1234[[#This Row],[(T/B) AJD]]</f>
        <v/>
      </c>
      <c r="S280" s="9">
        <f>TABL1234[[#This Row],[T/B-CON.]]+TABL1234[[#This Row],[S/S_CON.]]</f>
        <v/>
      </c>
      <c r="T280" s="9">
        <f>TABL1234[[#This Row],[(S/S) AJD]]+TABL1234[[#This Row],[(T/B) AJD]]</f>
        <v/>
      </c>
      <c r="U280" s="14" t="n"/>
      <c r="V280" s="14" t="n"/>
      <c r="W280" s="9">
        <f>TABL1234[[#This Row],[(A/B) AJD]]+TABL1234[[#This Row],[(A/S) AJD]]</f>
        <v/>
      </c>
      <c r="X280" s="9">
        <f>TABL1234[[#This Row],[( S/S+T/B) AJD]]-TABL1234[[#This Row],[(A/B + A/S) AJD]]</f>
        <v/>
      </c>
      <c r="Y280" s="18" t="n"/>
      <c r="Z280" s="9" t="n"/>
      <c r="AA280" s="3">
        <f>TABL1234[[#This Row],[(RESV. STORGE) AJD]]/10</f>
        <v/>
      </c>
      <c r="AB280" s="3">
        <f>IF(TRIM(Z280)="",,(Z280-Z279)/1000)</f>
        <v/>
      </c>
      <c r="AC280" s="5" t="n"/>
      <c r="AD280" s="6">
        <f>TABL1234[[#This Row],[( S/S+T/B) AJD]]-(TABL1234[[#This Row],[(A/B + A/S) AJD]]+(TABL1234[[#This Row],[(STORGE DIFF.) AJD]]*1000)+TABL1234[[#This Row],[AJD_Evaporation]])</f>
        <v/>
      </c>
      <c r="AE280" s="33" t="n"/>
      <c r="AF280" s="6" t="n"/>
      <c r="AG280" s="6" t="n"/>
      <c r="AH280" s="6" t="n"/>
      <c r="AI280" s="6" t="n"/>
      <c r="AJ280" s="33">
        <f>TABL1234[[#This Row],[(A/B) AJD]]-TABL1234[[#This Row],[BER_IN]]</f>
        <v/>
      </c>
      <c r="AK280" s="6" t="n"/>
      <c r="AL280" s="6" t="n"/>
      <c r="AM280" s="32" t="n"/>
      <c r="AN280" s="32">
        <f>TABL1234[[#This Row],[ (RESV. STORGE) SER]]/10</f>
        <v/>
      </c>
      <c r="AO280" s="68" t="n"/>
      <c r="AP280" s="68">
        <f>TABL1234[[#This Row],[(A/S) AJD]]-TABL1234[[#This Row],[SER_IN]]</f>
        <v/>
      </c>
    </row>
    <row r="281" ht="18.75" customHeight="1">
      <c r="A281" s="2" t="n">
        <v>46667</v>
      </c>
      <c r="B281" s="28" t="n"/>
      <c r="C281" s="28" t="n"/>
      <c r="D281" s="35" t="n"/>
      <c r="E281" s="28" t="n"/>
      <c r="F281" s="28" t="n"/>
      <c r="G281" s="28" t="n"/>
      <c r="H281" s="28">
        <f>103-F281</f>
        <v/>
      </c>
      <c r="I281" s="28" t="n"/>
      <c r="J281" s="28" t="n"/>
      <c r="K281" s="28">
        <f>TABL1234[[#This Row],[ (T/B) SAR]]+TABL1234[[#This Row],[ (S/S) SAR]]</f>
        <v/>
      </c>
      <c r="L281" s="28" t="n"/>
      <c r="M281" s="29" t="n"/>
      <c r="N281" s="30" t="n"/>
      <c r="O281" s="14" t="n"/>
      <c r="P281" s="9">
        <f>TABL1234[[#This Row],[ (S/S) SAR]]-TABL1234[[#This Row],[(S/S) AJD]]</f>
        <v/>
      </c>
      <c r="Q281" s="14" t="n"/>
      <c r="R281" s="9">
        <f>TABL1234[[#This Row],[ (T/B) SAR]]-TABL1234[[#This Row],[(T/B) AJD]]</f>
        <v/>
      </c>
      <c r="S281" s="9">
        <f>TABL1234[[#This Row],[T/B-CON.]]+TABL1234[[#This Row],[S/S_CON.]]</f>
        <v/>
      </c>
      <c r="T281" s="9">
        <f>TABL1234[[#This Row],[(S/S) AJD]]+TABL1234[[#This Row],[(T/B) AJD]]</f>
        <v/>
      </c>
      <c r="U281" s="14" t="n"/>
      <c r="V281" s="14" t="n"/>
      <c r="W281" s="9">
        <f>TABL1234[[#This Row],[(A/B) AJD]]+TABL1234[[#This Row],[(A/S) AJD]]</f>
        <v/>
      </c>
      <c r="X281" s="9">
        <f>TABL1234[[#This Row],[( S/S+T/B) AJD]]-TABL1234[[#This Row],[(A/B + A/S) AJD]]</f>
        <v/>
      </c>
      <c r="Y281" s="18" t="n"/>
      <c r="Z281" s="9" t="n"/>
      <c r="AA281" s="3">
        <f>TABL1234[[#This Row],[(RESV. STORGE) AJD]]/10</f>
        <v/>
      </c>
      <c r="AB281" s="3">
        <f>IF(TRIM(Z281)="",,(Z281-Z280)/1000)</f>
        <v/>
      </c>
      <c r="AC281" s="5" t="n"/>
      <c r="AD281" s="6">
        <f>TABL1234[[#This Row],[( S/S+T/B) AJD]]-(TABL1234[[#This Row],[(A/B + A/S) AJD]]+(TABL1234[[#This Row],[(STORGE DIFF.) AJD]]*1000)+TABL1234[[#This Row],[AJD_Evaporation]])</f>
        <v/>
      </c>
      <c r="AE281" s="33" t="n"/>
      <c r="AF281" s="6" t="n"/>
      <c r="AG281" s="6" t="n"/>
      <c r="AH281" s="6" t="n"/>
      <c r="AI281" s="6" t="n"/>
      <c r="AJ281" s="33">
        <f>TABL1234[[#This Row],[(A/B) AJD]]-TABL1234[[#This Row],[BER_IN]]</f>
        <v/>
      </c>
      <c r="AK281" s="6" t="n"/>
      <c r="AL281" s="6" t="n"/>
      <c r="AM281" s="32" t="n"/>
      <c r="AN281" s="32">
        <f>TABL1234[[#This Row],[ (RESV. STORGE) SER]]/10</f>
        <v/>
      </c>
      <c r="AO281" s="68" t="n"/>
      <c r="AP281" s="68">
        <f>TABL1234[[#This Row],[(A/S) AJD]]-TABL1234[[#This Row],[SER_IN]]</f>
        <v/>
      </c>
    </row>
    <row r="282" ht="18.75" customHeight="1">
      <c r="A282" s="2" t="n">
        <v>46668</v>
      </c>
      <c r="B282" s="28" t="n"/>
      <c r="C282" s="28" t="n"/>
      <c r="D282" s="35" t="n"/>
      <c r="E282" s="28" t="n"/>
      <c r="F282" s="28" t="n"/>
      <c r="G282" s="28" t="n"/>
      <c r="H282" s="28">
        <f>103-F282</f>
        <v/>
      </c>
      <c r="I282" s="28" t="n"/>
      <c r="J282" s="28" t="n"/>
      <c r="K282" s="28">
        <f>TABL1234[[#This Row],[ (T/B) SAR]]+TABL1234[[#This Row],[ (S/S) SAR]]</f>
        <v/>
      </c>
      <c r="L282" s="28" t="n"/>
      <c r="M282" s="29" t="n"/>
      <c r="N282" s="30" t="n"/>
      <c r="O282" s="14" t="n"/>
      <c r="P282" s="9">
        <f>TABL1234[[#This Row],[ (S/S) SAR]]-TABL1234[[#This Row],[(S/S) AJD]]</f>
        <v/>
      </c>
      <c r="Q282" s="14" t="n"/>
      <c r="R282" s="9">
        <f>TABL1234[[#This Row],[ (T/B) SAR]]-TABL1234[[#This Row],[(T/B) AJD]]</f>
        <v/>
      </c>
      <c r="S282" s="9">
        <f>TABL1234[[#This Row],[T/B-CON.]]+TABL1234[[#This Row],[S/S_CON.]]</f>
        <v/>
      </c>
      <c r="T282" s="9">
        <f>TABL1234[[#This Row],[(S/S) AJD]]+TABL1234[[#This Row],[(T/B) AJD]]</f>
        <v/>
      </c>
      <c r="U282" s="14" t="n"/>
      <c r="V282" s="14" t="n"/>
      <c r="W282" s="9">
        <f>TABL1234[[#This Row],[(A/B) AJD]]+TABL1234[[#This Row],[(A/S) AJD]]</f>
        <v/>
      </c>
      <c r="X282" s="9">
        <f>TABL1234[[#This Row],[( S/S+T/B) AJD]]-TABL1234[[#This Row],[(A/B + A/S) AJD]]</f>
        <v/>
      </c>
      <c r="Y282" s="18" t="n"/>
      <c r="Z282" s="9" t="n"/>
      <c r="AA282" s="3">
        <f>TABL1234[[#This Row],[(RESV. STORGE) AJD]]/10</f>
        <v/>
      </c>
      <c r="AB282" s="3">
        <f>IF(TRIM(Z282)="",,(Z282-Z281)/1000)</f>
        <v/>
      </c>
      <c r="AC282" s="5" t="n"/>
      <c r="AD282" s="6">
        <f>TABL1234[[#This Row],[( S/S+T/B) AJD]]-(TABL1234[[#This Row],[(A/B + A/S) AJD]]+(TABL1234[[#This Row],[(STORGE DIFF.) AJD]]*1000)+TABL1234[[#This Row],[AJD_Evaporation]])</f>
        <v/>
      </c>
      <c r="AE282" s="33" t="n"/>
      <c r="AF282" s="6" t="n"/>
      <c r="AG282" s="6" t="n"/>
      <c r="AH282" s="6" t="n"/>
      <c r="AI282" s="6" t="n"/>
      <c r="AJ282" s="33">
        <f>TABL1234[[#This Row],[(A/B) AJD]]-TABL1234[[#This Row],[BER_IN]]</f>
        <v/>
      </c>
      <c r="AK282" s="6" t="n"/>
      <c r="AL282" s="6" t="n"/>
      <c r="AM282" s="32" t="n"/>
      <c r="AN282" s="32">
        <f>TABL1234[[#This Row],[ (RESV. STORGE) SER]]/10</f>
        <v/>
      </c>
      <c r="AO282" s="68" t="n"/>
      <c r="AP282" s="68">
        <f>TABL1234[[#This Row],[(A/S) AJD]]-TABL1234[[#This Row],[SER_IN]]</f>
        <v/>
      </c>
    </row>
    <row r="283" ht="18.75" customHeight="1">
      <c r="A283" s="2" t="n">
        <v>46669</v>
      </c>
      <c r="B283" s="28" t="n"/>
      <c r="C283" s="28" t="n"/>
      <c r="D283" s="35" t="n"/>
      <c r="E283" s="28" t="n"/>
      <c r="F283" s="28" t="n"/>
      <c r="G283" s="28" t="n"/>
      <c r="H283" s="28">
        <f>103-F283</f>
        <v/>
      </c>
      <c r="I283" s="28" t="n"/>
      <c r="J283" s="28" t="n"/>
      <c r="K283" s="28">
        <f>TABL1234[[#This Row],[ (T/B) SAR]]+TABL1234[[#This Row],[ (S/S) SAR]]</f>
        <v/>
      </c>
      <c r="L283" s="28" t="n"/>
      <c r="M283" s="29" t="n"/>
      <c r="N283" s="30" t="n"/>
      <c r="O283" s="14" t="n"/>
      <c r="P283" s="9">
        <f>TABL1234[[#This Row],[ (S/S) SAR]]-TABL1234[[#This Row],[(S/S) AJD]]</f>
        <v/>
      </c>
      <c r="Q283" s="14" t="n"/>
      <c r="R283" s="9">
        <f>TABL1234[[#This Row],[ (T/B) SAR]]-TABL1234[[#This Row],[(T/B) AJD]]</f>
        <v/>
      </c>
      <c r="S283" s="9">
        <f>TABL1234[[#This Row],[T/B-CON.]]+TABL1234[[#This Row],[S/S_CON.]]</f>
        <v/>
      </c>
      <c r="T283" s="9">
        <f>TABL1234[[#This Row],[(S/S) AJD]]+TABL1234[[#This Row],[(T/B) AJD]]</f>
        <v/>
      </c>
      <c r="U283" s="14" t="n"/>
      <c r="V283" s="14" t="n"/>
      <c r="W283" s="9">
        <f>TABL1234[[#This Row],[(A/B) AJD]]+TABL1234[[#This Row],[(A/S) AJD]]</f>
        <v/>
      </c>
      <c r="X283" s="9">
        <f>TABL1234[[#This Row],[( S/S+T/B) AJD]]-TABL1234[[#This Row],[(A/B + A/S) AJD]]</f>
        <v/>
      </c>
      <c r="Y283" s="18" t="n"/>
      <c r="Z283" s="9" t="n"/>
      <c r="AA283" s="3">
        <f>TABL1234[[#This Row],[(RESV. STORGE) AJD]]/10</f>
        <v/>
      </c>
      <c r="AB283" s="3">
        <f>IF(TRIM(Z283)="",,(Z283-Z282)/1000)</f>
        <v/>
      </c>
      <c r="AC283" s="5" t="n"/>
      <c r="AD283" s="6">
        <f>TABL1234[[#This Row],[( S/S+T/B) AJD]]-(TABL1234[[#This Row],[(A/B + A/S) AJD]]+(TABL1234[[#This Row],[(STORGE DIFF.) AJD]]*1000)+TABL1234[[#This Row],[AJD_Evaporation]])</f>
        <v/>
      </c>
      <c r="AE283" s="33" t="n"/>
      <c r="AF283" s="6" t="n"/>
      <c r="AG283" s="6" t="n"/>
      <c r="AH283" s="6" t="n"/>
      <c r="AI283" s="6" t="n"/>
      <c r="AJ283" s="33">
        <f>TABL1234[[#This Row],[(A/B) AJD]]-TABL1234[[#This Row],[BER_IN]]</f>
        <v/>
      </c>
      <c r="AK283" s="6" t="n"/>
      <c r="AL283" s="6" t="n"/>
      <c r="AM283" s="32" t="n"/>
      <c r="AN283" s="32">
        <f>TABL1234[[#This Row],[ (RESV. STORGE) SER]]/10</f>
        <v/>
      </c>
      <c r="AO283" s="68" t="n"/>
      <c r="AP283" s="68">
        <f>TABL1234[[#This Row],[(A/S) AJD]]-TABL1234[[#This Row],[SER_IN]]</f>
        <v/>
      </c>
    </row>
    <row r="284" ht="18.75" customHeight="1">
      <c r="A284" s="2" t="n">
        <v>46670</v>
      </c>
      <c r="B284" s="28" t="n"/>
      <c r="C284" s="28" t="n"/>
      <c r="D284" s="35" t="n"/>
      <c r="E284" s="28" t="n"/>
      <c r="F284" s="28" t="n"/>
      <c r="G284" s="28" t="n"/>
      <c r="H284" s="28">
        <f>103-F284</f>
        <v/>
      </c>
      <c r="I284" s="28" t="n"/>
      <c r="J284" s="28" t="n"/>
      <c r="K284" s="28">
        <f>TABL1234[[#This Row],[ (T/B) SAR]]+TABL1234[[#This Row],[ (S/S) SAR]]</f>
        <v/>
      </c>
      <c r="L284" s="28" t="n"/>
      <c r="M284" s="29" t="n"/>
      <c r="N284" s="30" t="n"/>
      <c r="O284" s="14" t="n"/>
      <c r="P284" s="9">
        <f>TABL1234[[#This Row],[ (S/S) SAR]]-TABL1234[[#This Row],[(S/S) AJD]]</f>
        <v/>
      </c>
      <c r="Q284" s="14" t="n"/>
      <c r="R284" s="9">
        <f>TABL1234[[#This Row],[ (T/B) SAR]]-TABL1234[[#This Row],[(T/B) AJD]]</f>
        <v/>
      </c>
      <c r="S284" s="9">
        <f>TABL1234[[#This Row],[T/B-CON.]]+TABL1234[[#This Row],[S/S_CON.]]</f>
        <v/>
      </c>
      <c r="T284" s="9">
        <f>TABL1234[[#This Row],[(S/S) AJD]]+TABL1234[[#This Row],[(T/B) AJD]]</f>
        <v/>
      </c>
      <c r="U284" s="14" t="n"/>
      <c r="V284" s="14" t="n"/>
      <c r="W284" s="9">
        <f>TABL1234[[#This Row],[(A/B) AJD]]+TABL1234[[#This Row],[(A/S) AJD]]</f>
        <v/>
      </c>
      <c r="X284" s="9">
        <f>TABL1234[[#This Row],[( S/S+T/B) AJD]]-TABL1234[[#This Row],[(A/B + A/S) AJD]]</f>
        <v/>
      </c>
      <c r="Y284" s="18" t="n"/>
      <c r="Z284" s="9" t="n"/>
      <c r="AA284" s="3">
        <f>TABL1234[[#This Row],[(RESV. STORGE) AJD]]/10</f>
        <v/>
      </c>
      <c r="AB284" s="3">
        <f>IF(TRIM(Z284)="",,(Z284-Z283)/1000)</f>
        <v/>
      </c>
      <c r="AC284" s="5" t="n"/>
      <c r="AD284" s="6">
        <f>TABL1234[[#This Row],[( S/S+T/B) AJD]]-(TABL1234[[#This Row],[(A/B + A/S) AJD]]+(TABL1234[[#This Row],[(STORGE DIFF.) AJD]]*1000)+TABL1234[[#This Row],[AJD_Evaporation]])</f>
        <v/>
      </c>
      <c r="AE284" s="33" t="n"/>
      <c r="AF284" s="6" t="n"/>
      <c r="AG284" s="6" t="n"/>
      <c r="AH284" s="6" t="n"/>
      <c r="AI284" s="6" t="n"/>
      <c r="AJ284" s="33">
        <f>TABL1234[[#This Row],[(A/B) AJD]]-TABL1234[[#This Row],[BER_IN]]</f>
        <v/>
      </c>
      <c r="AK284" s="6" t="n"/>
      <c r="AL284" s="6" t="n"/>
      <c r="AM284" s="32" t="n"/>
      <c r="AN284" s="32">
        <f>TABL1234[[#This Row],[ (RESV. STORGE) SER]]/10</f>
        <v/>
      </c>
      <c r="AO284" s="68" t="n"/>
      <c r="AP284" s="68">
        <f>TABL1234[[#This Row],[(A/S) AJD]]-TABL1234[[#This Row],[SER_IN]]</f>
        <v/>
      </c>
    </row>
    <row r="285" ht="18.75" customHeight="1">
      <c r="A285" s="2" t="n">
        <v>46671</v>
      </c>
      <c r="B285" s="28" t="n"/>
      <c r="C285" s="28" t="n"/>
      <c r="D285" s="35" t="n"/>
      <c r="E285" s="28" t="n"/>
      <c r="F285" s="28" t="n"/>
      <c r="G285" s="28" t="n"/>
      <c r="H285" s="28">
        <f>103-F285</f>
        <v/>
      </c>
      <c r="I285" s="28" t="n"/>
      <c r="J285" s="28" t="n"/>
      <c r="K285" s="28">
        <f>TABL1234[[#This Row],[ (T/B) SAR]]+TABL1234[[#This Row],[ (S/S) SAR]]</f>
        <v/>
      </c>
      <c r="L285" s="28" t="n"/>
      <c r="M285" s="29" t="n"/>
      <c r="N285" s="30" t="n"/>
      <c r="O285" s="14" t="n"/>
      <c r="P285" s="9">
        <f>TABL1234[[#This Row],[ (S/S) SAR]]-TABL1234[[#This Row],[(S/S) AJD]]</f>
        <v/>
      </c>
      <c r="Q285" s="14" t="n"/>
      <c r="R285" s="9">
        <f>TABL1234[[#This Row],[ (T/B) SAR]]-TABL1234[[#This Row],[(T/B) AJD]]</f>
        <v/>
      </c>
      <c r="S285" s="9">
        <f>TABL1234[[#This Row],[T/B-CON.]]+TABL1234[[#This Row],[S/S_CON.]]</f>
        <v/>
      </c>
      <c r="T285" s="9">
        <f>TABL1234[[#This Row],[(S/S) AJD]]+TABL1234[[#This Row],[(T/B) AJD]]</f>
        <v/>
      </c>
      <c r="U285" s="14" t="n"/>
      <c r="V285" s="14" t="n"/>
      <c r="W285" s="9">
        <f>TABL1234[[#This Row],[(A/B) AJD]]+TABL1234[[#This Row],[(A/S) AJD]]</f>
        <v/>
      </c>
      <c r="X285" s="9">
        <f>TABL1234[[#This Row],[( S/S+T/B) AJD]]-TABL1234[[#This Row],[(A/B + A/S) AJD]]</f>
        <v/>
      </c>
      <c r="Y285" s="18" t="n"/>
      <c r="Z285" s="9" t="n"/>
      <c r="AA285" s="3">
        <f>TABL1234[[#This Row],[(RESV. STORGE) AJD]]/10</f>
        <v/>
      </c>
      <c r="AB285" s="3">
        <f>IF(TRIM(Z285)="",,(Z285-Z284)/1000)</f>
        <v/>
      </c>
      <c r="AC285" s="5" t="n"/>
      <c r="AD285" s="6">
        <f>TABL1234[[#This Row],[( S/S+T/B) AJD]]-(TABL1234[[#This Row],[(A/B + A/S) AJD]]+(TABL1234[[#This Row],[(STORGE DIFF.) AJD]]*1000)+TABL1234[[#This Row],[AJD_Evaporation]])</f>
        <v/>
      </c>
      <c r="AE285" s="33" t="n"/>
      <c r="AF285" s="6" t="n"/>
      <c r="AG285" s="6" t="n"/>
      <c r="AH285" s="6" t="n"/>
      <c r="AI285" s="6" t="n"/>
      <c r="AJ285" s="33">
        <f>TABL1234[[#This Row],[(A/B) AJD]]-TABL1234[[#This Row],[BER_IN]]</f>
        <v/>
      </c>
      <c r="AK285" s="6" t="n"/>
      <c r="AL285" s="6" t="n"/>
      <c r="AM285" s="32" t="n"/>
      <c r="AN285" s="32">
        <f>TABL1234[[#This Row],[ (RESV. STORGE) SER]]/10</f>
        <v/>
      </c>
      <c r="AO285" s="68" t="n"/>
      <c r="AP285" s="68">
        <f>TABL1234[[#This Row],[(A/S) AJD]]-TABL1234[[#This Row],[SER_IN]]</f>
        <v/>
      </c>
    </row>
    <row r="286" ht="18.75" customHeight="1">
      <c r="A286" s="2" t="n">
        <v>46672</v>
      </c>
      <c r="B286" s="28" t="n"/>
      <c r="C286" s="28" t="n"/>
      <c r="D286" s="35" t="n"/>
      <c r="E286" s="28" t="n"/>
      <c r="F286" s="28" t="n"/>
      <c r="G286" s="28" t="n"/>
      <c r="H286" s="28">
        <f>103-F286</f>
        <v/>
      </c>
      <c r="I286" s="28" t="n"/>
      <c r="J286" s="28" t="n"/>
      <c r="K286" s="28">
        <f>TABL1234[[#This Row],[ (T/B) SAR]]+TABL1234[[#This Row],[ (S/S) SAR]]</f>
        <v/>
      </c>
      <c r="L286" s="28" t="n"/>
      <c r="M286" s="29" t="n"/>
      <c r="N286" s="30" t="n"/>
      <c r="O286" s="14" t="n"/>
      <c r="P286" s="9">
        <f>TABL1234[[#This Row],[ (S/S) SAR]]-TABL1234[[#This Row],[(S/S) AJD]]</f>
        <v/>
      </c>
      <c r="Q286" s="14" t="n"/>
      <c r="R286" s="9">
        <f>TABL1234[[#This Row],[ (T/B) SAR]]-TABL1234[[#This Row],[(T/B) AJD]]</f>
        <v/>
      </c>
      <c r="S286" s="9">
        <f>TABL1234[[#This Row],[T/B-CON.]]+TABL1234[[#This Row],[S/S_CON.]]</f>
        <v/>
      </c>
      <c r="T286" s="9">
        <f>TABL1234[[#This Row],[(S/S) AJD]]+TABL1234[[#This Row],[(T/B) AJD]]</f>
        <v/>
      </c>
      <c r="U286" s="14" t="n"/>
      <c r="V286" s="14" t="n"/>
      <c r="W286" s="9">
        <f>TABL1234[[#This Row],[(A/B) AJD]]+TABL1234[[#This Row],[(A/S) AJD]]</f>
        <v/>
      </c>
      <c r="X286" s="9">
        <f>TABL1234[[#This Row],[( S/S+T/B) AJD]]-TABL1234[[#This Row],[(A/B + A/S) AJD]]</f>
        <v/>
      </c>
      <c r="Y286" s="18" t="n"/>
      <c r="Z286" s="9" t="n"/>
      <c r="AA286" s="3">
        <f>TABL1234[[#This Row],[(RESV. STORGE) AJD]]/10</f>
        <v/>
      </c>
      <c r="AB286" s="3">
        <f>IF(TRIM(Z286)="",,(Z286-Z285)/1000)</f>
        <v/>
      </c>
      <c r="AC286" s="5" t="n"/>
      <c r="AD286" s="6">
        <f>TABL1234[[#This Row],[( S/S+T/B) AJD]]-(TABL1234[[#This Row],[(A/B + A/S) AJD]]+(TABL1234[[#This Row],[(STORGE DIFF.) AJD]]*1000)+TABL1234[[#This Row],[AJD_Evaporation]])</f>
        <v/>
      </c>
      <c r="AE286" s="33" t="n"/>
      <c r="AF286" s="6" t="n"/>
      <c r="AG286" s="6" t="n"/>
      <c r="AH286" s="6" t="n"/>
      <c r="AI286" s="6" t="n"/>
      <c r="AJ286" s="33">
        <f>TABL1234[[#This Row],[(A/B) AJD]]-TABL1234[[#This Row],[BER_IN]]</f>
        <v/>
      </c>
      <c r="AK286" s="6" t="n"/>
      <c r="AL286" s="6" t="n"/>
      <c r="AM286" s="32" t="n"/>
      <c r="AN286" s="32">
        <f>TABL1234[[#This Row],[ (RESV. STORGE) SER]]/10</f>
        <v/>
      </c>
      <c r="AO286" s="68" t="n"/>
      <c r="AP286" s="68">
        <f>TABL1234[[#This Row],[(A/S) AJD]]-TABL1234[[#This Row],[SER_IN]]</f>
        <v/>
      </c>
    </row>
    <row r="287" ht="18.75" customHeight="1">
      <c r="A287" s="2" t="n">
        <v>46673</v>
      </c>
      <c r="B287" s="28" t="n"/>
      <c r="C287" s="28" t="n"/>
      <c r="D287" s="35" t="n"/>
      <c r="E287" s="28" t="n"/>
      <c r="F287" s="28" t="n"/>
      <c r="G287" s="28" t="n"/>
      <c r="H287" s="28">
        <f>103-F287</f>
        <v/>
      </c>
      <c r="I287" s="28" t="n"/>
      <c r="J287" s="28" t="n"/>
      <c r="K287" s="28">
        <f>TABL1234[[#This Row],[ (T/B) SAR]]+TABL1234[[#This Row],[ (S/S) SAR]]</f>
        <v/>
      </c>
      <c r="L287" s="28" t="n"/>
      <c r="M287" s="29" t="n"/>
      <c r="N287" s="30" t="n"/>
      <c r="O287" s="14" t="n"/>
      <c r="P287" s="9">
        <f>TABL1234[[#This Row],[ (S/S) SAR]]-TABL1234[[#This Row],[(S/S) AJD]]</f>
        <v/>
      </c>
      <c r="Q287" s="14" t="n"/>
      <c r="R287" s="9">
        <f>TABL1234[[#This Row],[ (T/B) SAR]]-TABL1234[[#This Row],[(T/B) AJD]]</f>
        <v/>
      </c>
      <c r="S287" s="9">
        <f>TABL1234[[#This Row],[T/B-CON.]]+TABL1234[[#This Row],[S/S_CON.]]</f>
        <v/>
      </c>
      <c r="T287" s="9">
        <f>TABL1234[[#This Row],[(S/S) AJD]]+TABL1234[[#This Row],[(T/B) AJD]]</f>
        <v/>
      </c>
      <c r="U287" s="14" t="n"/>
      <c r="V287" s="14" t="n"/>
      <c r="W287" s="9">
        <f>TABL1234[[#This Row],[(A/B) AJD]]+TABL1234[[#This Row],[(A/S) AJD]]</f>
        <v/>
      </c>
      <c r="X287" s="9">
        <f>TABL1234[[#This Row],[( S/S+T/B) AJD]]-TABL1234[[#This Row],[(A/B + A/S) AJD]]</f>
        <v/>
      </c>
      <c r="Y287" s="18" t="n"/>
      <c r="Z287" s="9" t="n"/>
      <c r="AA287" s="3">
        <f>TABL1234[[#This Row],[(RESV. STORGE) AJD]]/10</f>
        <v/>
      </c>
      <c r="AB287" s="3">
        <f>IF(TRIM(Z287)="",,(Z287-Z286)/1000)</f>
        <v/>
      </c>
      <c r="AC287" s="5" t="n"/>
      <c r="AD287" s="6">
        <f>TABL1234[[#This Row],[( S/S+T/B) AJD]]-(TABL1234[[#This Row],[(A/B + A/S) AJD]]+(TABL1234[[#This Row],[(STORGE DIFF.) AJD]]*1000)+TABL1234[[#This Row],[AJD_Evaporation]])</f>
        <v/>
      </c>
      <c r="AE287" s="33" t="n"/>
      <c r="AF287" s="6" t="n"/>
      <c r="AG287" s="6" t="n"/>
      <c r="AH287" s="6" t="n"/>
      <c r="AI287" s="6" t="n"/>
      <c r="AJ287" s="33">
        <f>TABL1234[[#This Row],[(A/B) AJD]]-TABL1234[[#This Row],[BER_IN]]</f>
        <v/>
      </c>
      <c r="AK287" s="6" t="n"/>
      <c r="AL287" s="6" t="n"/>
      <c r="AM287" s="32" t="n"/>
      <c r="AN287" s="32">
        <f>TABL1234[[#This Row],[ (RESV. STORGE) SER]]/10</f>
        <v/>
      </c>
      <c r="AO287" s="68" t="n"/>
      <c r="AP287" s="68">
        <f>TABL1234[[#This Row],[(A/S) AJD]]-TABL1234[[#This Row],[SER_IN]]</f>
        <v/>
      </c>
    </row>
    <row r="288" ht="18.75" customHeight="1">
      <c r="A288" s="2" t="n">
        <v>46674</v>
      </c>
      <c r="B288" s="28" t="n"/>
      <c r="C288" s="28" t="n"/>
      <c r="D288" s="35" t="n"/>
      <c r="E288" s="28" t="n"/>
      <c r="F288" s="28" t="n"/>
      <c r="G288" s="28" t="n"/>
      <c r="H288" s="28">
        <f>103-F288</f>
        <v/>
      </c>
      <c r="I288" s="28" t="n"/>
      <c r="J288" s="28" t="n"/>
      <c r="K288" s="28">
        <f>TABL1234[[#This Row],[ (T/B) SAR]]+TABL1234[[#This Row],[ (S/S) SAR]]</f>
        <v/>
      </c>
      <c r="L288" s="28" t="n"/>
      <c r="M288" s="29" t="n"/>
      <c r="N288" s="30" t="n"/>
      <c r="O288" s="14" t="n"/>
      <c r="P288" s="9">
        <f>TABL1234[[#This Row],[ (S/S) SAR]]-TABL1234[[#This Row],[(S/S) AJD]]</f>
        <v/>
      </c>
      <c r="Q288" s="14" t="n"/>
      <c r="R288" s="9">
        <f>TABL1234[[#This Row],[ (T/B) SAR]]-TABL1234[[#This Row],[(T/B) AJD]]</f>
        <v/>
      </c>
      <c r="S288" s="9">
        <f>TABL1234[[#This Row],[T/B-CON.]]+TABL1234[[#This Row],[S/S_CON.]]</f>
        <v/>
      </c>
      <c r="T288" s="9">
        <f>TABL1234[[#This Row],[(S/S) AJD]]+TABL1234[[#This Row],[(T/B) AJD]]</f>
        <v/>
      </c>
      <c r="U288" s="14" t="n"/>
      <c r="V288" s="14" t="n"/>
      <c r="W288" s="9">
        <f>TABL1234[[#This Row],[(A/B) AJD]]+TABL1234[[#This Row],[(A/S) AJD]]</f>
        <v/>
      </c>
      <c r="X288" s="9">
        <f>TABL1234[[#This Row],[( S/S+T/B) AJD]]-TABL1234[[#This Row],[(A/B + A/S) AJD]]</f>
        <v/>
      </c>
      <c r="Y288" s="18" t="n"/>
      <c r="Z288" s="9" t="n"/>
      <c r="AA288" s="3">
        <f>TABL1234[[#This Row],[(RESV. STORGE) AJD]]/10</f>
        <v/>
      </c>
      <c r="AB288" s="3">
        <f>IF(TRIM(Z288)="",,(Z288-Z287)/1000)</f>
        <v/>
      </c>
      <c r="AC288" s="5" t="n"/>
      <c r="AD288" s="6">
        <f>TABL1234[[#This Row],[( S/S+T/B) AJD]]-(TABL1234[[#This Row],[(A/B + A/S) AJD]]+(TABL1234[[#This Row],[(STORGE DIFF.) AJD]]*1000)+TABL1234[[#This Row],[AJD_Evaporation]])</f>
        <v/>
      </c>
      <c r="AE288" s="33" t="n"/>
      <c r="AF288" s="6" t="n"/>
      <c r="AG288" s="6" t="n"/>
      <c r="AH288" s="6" t="n"/>
      <c r="AI288" s="6" t="n"/>
      <c r="AJ288" s="33">
        <f>TABL1234[[#This Row],[(A/B) AJD]]-TABL1234[[#This Row],[BER_IN]]</f>
        <v/>
      </c>
      <c r="AK288" s="6" t="n"/>
      <c r="AL288" s="6" t="n"/>
      <c r="AM288" s="32" t="n"/>
      <c r="AN288" s="32">
        <f>TABL1234[[#This Row],[ (RESV. STORGE) SER]]/10</f>
        <v/>
      </c>
      <c r="AO288" s="68" t="n"/>
      <c r="AP288" s="68">
        <f>TABL1234[[#This Row],[(A/S) AJD]]-TABL1234[[#This Row],[SER_IN]]</f>
        <v/>
      </c>
    </row>
    <row r="289" ht="18.75" customHeight="1">
      <c r="A289" s="2" t="n">
        <v>46675</v>
      </c>
      <c r="B289" s="28" t="n"/>
      <c r="C289" s="28" t="n"/>
      <c r="D289" s="35" t="n"/>
      <c r="E289" s="28" t="n"/>
      <c r="F289" s="28" t="n"/>
      <c r="G289" s="28" t="n"/>
      <c r="H289" s="28">
        <f>103-F289</f>
        <v/>
      </c>
      <c r="I289" s="28" t="n"/>
      <c r="J289" s="28" t="n"/>
      <c r="K289" s="28">
        <f>TABL1234[[#This Row],[ (T/B) SAR]]+TABL1234[[#This Row],[ (S/S) SAR]]</f>
        <v/>
      </c>
      <c r="L289" s="28" t="n"/>
      <c r="M289" s="29" t="n"/>
      <c r="N289" s="30" t="n"/>
      <c r="O289" s="14" t="n"/>
      <c r="P289" s="9">
        <f>TABL1234[[#This Row],[ (S/S) SAR]]-TABL1234[[#This Row],[(S/S) AJD]]</f>
        <v/>
      </c>
      <c r="Q289" s="14" t="n"/>
      <c r="R289" s="9">
        <f>TABL1234[[#This Row],[ (T/B) SAR]]-TABL1234[[#This Row],[(T/B) AJD]]</f>
        <v/>
      </c>
      <c r="S289" s="9">
        <f>TABL1234[[#This Row],[T/B-CON.]]+TABL1234[[#This Row],[S/S_CON.]]</f>
        <v/>
      </c>
      <c r="T289" s="9">
        <f>TABL1234[[#This Row],[(S/S) AJD]]+TABL1234[[#This Row],[(T/B) AJD]]</f>
        <v/>
      </c>
      <c r="U289" s="14" t="n"/>
      <c r="V289" s="14" t="n"/>
      <c r="W289" s="9">
        <f>TABL1234[[#This Row],[(A/B) AJD]]+TABL1234[[#This Row],[(A/S) AJD]]</f>
        <v/>
      </c>
      <c r="X289" s="9">
        <f>TABL1234[[#This Row],[( S/S+T/B) AJD]]-TABL1234[[#This Row],[(A/B + A/S) AJD]]</f>
        <v/>
      </c>
      <c r="Y289" s="18" t="n"/>
      <c r="Z289" s="9" t="n"/>
      <c r="AA289" s="3">
        <f>TABL1234[[#This Row],[(RESV. STORGE) AJD]]/10</f>
        <v/>
      </c>
      <c r="AB289" s="3">
        <f>IF(TRIM(Z289)="",,(Z289-Z288)/1000)</f>
        <v/>
      </c>
      <c r="AC289" s="5" t="n"/>
      <c r="AD289" s="6">
        <f>TABL1234[[#This Row],[( S/S+T/B) AJD]]-(TABL1234[[#This Row],[(A/B + A/S) AJD]]+(TABL1234[[#This Row],[(STORGE DIFF.) AJD]]*1000)+TABL1234[[#This Row],[AJD_Evaporation]])</f>
        <v/>
      </c>
      <c r="AE289" s="33" t="n"/>
      <c r="AF289" s="6" t="n"/>
      <c r="AG289" s="6" t="n"/>
      <c r="AH289" s="6" t="n"/>
      <c r="AI289" s="6" t="n"/>
      <c r="AJ289" s="33">
        <f>TABL1234[[#This Row],[(A/B) AJD]]-TABL1234[[#This Row],[BER_IN]]</f>
        <v/>
      </c>
      <c r="AK289" s="6" t="n"/>
      <c r="AL289" s="6" t="n"/>
      <c r="AM289" s="32" t="n"/>
      <c r="AN289" s="32">
        <f>TABL1234[[#This Row],[ (RESV. STORGE) SER]]/10</f>
        <v/>
      </c>
      <c r="AO289" s="68" t="n"/>
      <c r="AP289" s="68">
        <f>TABL1234[[#This Row],[(A/S) AJD]]-TABL1234[[#This Row],[SER_IN]]</f>
        <v/>
      </c>
    </row>
    <row r="290" ht="18.75" customHeight="1">
      <c r="A290" s="2" t="n">
        <v>46676</v>
      </c>
      <c r="B290" s="28" t="n"/>
      <c r="C290" s="28" t="n"/>
      <c r="D290" s="35" t="n"/>
      <c r="E290" s="28" t="n"/>
      <c r="F290" s="28" t="n"/>
      <c r="G290" s="28" t="n"/>
      <c r="H290" s="28">
        <f>103-F290</f>
        <v/>
      </c>
      <c r="I290" s="28" t="n"/>
      <c r="J290" s="28" t="n"/>
      <c r="K290" s="28">
        <f>TABL1234[[#This Row],[ (T/B) SAR]]+TABL1234[[#This Row],[ (S/S) SAR]]</f>
        <v/>
      </c>
      <c r="L290" s="28" t="n"/>
      <c r="M290" s="29" t="n"/>
      <c r="N290" s="30" t="n"/>
      <c r="O290" s="14" t="n"/>
      <c r="P290" s="9">
        <f>TABL1234[[#This Row],[ (S/S) SAR]]-TABL1234[[#This Row],[(S/S) AJD]]</f>
        <v/>
      </c>
      <c r="Q290" s="14" t="n"/>
      <c r="R290" s="9">
        <f>TABL1234[[#This Row],[ (T/B) SAR]]-TABL1234[[#This Row],[(T/B) AJD]]</f>
        <v/>
      </c>
      <c r="S290" s="9">
        <f>TABL1234[[#This Row],[T/B-CON.]]+TABL1234[[#This Row],[S/S_CON.]]</f>
        <v/>
      </c>
      <c r="T290" s="9">
        <f>TABL1234[[#This Row],[(S/S) AJD]]+TABL1234[[#This Row],[(T/B) AJD]]</f>
        <v/>
      </c>
      <c r="U290" s="14" t="n"/>
      <c r="V290" s="14" t="n"/>
      <c r="W290" s="9">
        <f>TABL1234[[#This Row],[(A/B) AJD]]+TABL1234[[#This Row],[(A/S) AJD]]</f>
        <v/>
      </c>
      <c r="X290" s="9">
        <f>TABL1234[[#This Row],[( S/S+T/B) AJD]]-TABL1234[[#This Row],[(A/B + A/S) AJD]]</f>
        <v/>
      </c>
      <c r="Y290" s="18" t="n"/>
      <c r="Z290" s="9" t="n"/>
      <c r="AA290" s="3">
        <f>TABL1234[[#This Row],[(RESV. STORGE) AJD]]/10</f>
        <v/>
      </c>
      <c r="AB290" s="3">
        <f>IF(TRIM(Z290)="",,(Z290-Z289)/1000)</f>
        <v/>
      </c>
      <c r="AC290" s="5" t="n"/>
      <c r="AD290" s="6">
        <f>TABL1234[[#This Row],[( S/S+T/B) AJD]]-(TABL1234[[#This Row],[(A/B + A/S) AJD]]+(TABL1234[[#This Row],[(STORGE DIFF.) AJD]]*1000)+TABL1234[[#This Row],[AJD_Evaporation]])</f>
        <v/>
      </c>
      <c r="AE290" s="33" t="n"/>
      <c r="AF290" s="6" t="n"/>
      <c r="AG290" s="6" t="n"/>
      <c r="AH290" s="6" t="n"/>
      <c r="AI290" s="6" t="n"/>
      <c r="AJ290" s="33">
        <f>TABL1234[[#This Row],[(A/B) AJD]]-TABL1234[[#This Row],[BER_IN]]</f>
        <v/>
      </c>
      <c r="AK290" s="6" t="n"/>
      <c r="AL290" s="6" t="n"/>
      <c r="AM290" s="32" t="n"/>
      <c r="AN290" s="32">
        <f>TABL1234[[#This Row],[ (RESV. STORGE) SER]]/10</f>
        <v/>
      </c>
      <c r="AO290" s="68" t="n"/>
      <c r="AP290" s="68">
        <f>TABL1234[[#This Row],[(A/S) AJD]]-TABL1234[[#This Row],[SER_IN]]</f>
        <v/>
      </c>
    </row>
    <row r="291" ht="18.75" customHeight="1">
      <c r="A291" s="2" t="n">
        <v>46677</v>
      </c>
      <c r="B291" s="28" t="n"/>
      <c r="C291" s="28" t="n"/>
      <c r="D291" s="28" t="n"/>
      <c r="E291" s="28" t="n"/>
      <c r="F291" s="28" t="n"/>
      <c r="G291" s="28" t="n"/>
      <c r="H291" s="28">
        <f>103-F291</f>
        <v/>
      </c>
      <c r="I291" s="28" t="n"/>
      <c r="J291" s="28" t="n"/>
      <c r="K291" s="28">
        <f>TABL1234[[#This Row],[ (T/B) SAR]]+TABL1234[[#This Row],[ (S/S) SAR]]</f>
        <v/>
      </c>
      <c r="L291" s="28" t="n"/>
      <c r="M291" s="29" t="n"/>
      <c r="N291" s="30" t="n"/>
      <c r="O291" s="14" t="n"/>
      <c r="P291" s="9">
        <f>TABL1234[[#This Row],[ (S/S) SAR]]-TABL1234[[#This Row],[(S/S) AJD]]</f>
        <v/>
      </c>
      <c r="Q291" s="14" t="n"/>
      <c r="R291" s="9">
        <f>TABL1234[[#This Row],[ (T/B) SAR]]-TABL1234[[#This Row],[(T/B) AJD]]</f>
        <v/>
      </c>
      <c r="S291" s="9">
        <f>TABL1234[[#This Row],[T/B-CON.]]+TABL1234[[#This Row],[S/S_CON.]]</f>
        <v/>
      </c>
      <c r="T291" s="9">
        <f>TABL1234[[#This Row],[(S/S) AJD]]+TABL1234[[#This Row],[(T/B) AJD]]</f>
        <v/>
      </c>
      <c r="U291" s="14" t="n"/>
      <c r="V291" s="14" t="n"/>
      <c r="W291" s="9">
        <f>TABL1234[[#This Row],[(A/B) AJD]]+TABL1234[[#This Row],[(A/S) AJD]]</f>
        <v/>
      </c>
      <c r="X291" s="9">
        <f>TABL1234[[#This Row],[( S/S+T/B) AJD]]-TABL1234[[#This Row],[(A/B + A/S) AJD]]</f>
        <v/>
      </c>
      <c r="Y291" s="18" t="n"/>
      <c r="Z291" s="9" t="n"/>
      <c r="AA291" s="3">
        <f>TABL1234[[#This Row],[(RESV. STORGE) AJD]]/10</f>
        <v/>
      </c>
      <c r="AB291" s="3">
        <f>IF(TRIM(Z291)="",,(Z291-Z290)/1000)</f>
        <v/>
      </c>
      <c r="AC291" s="5" t="n"/>
      <c r="AD291" s="6">
        <f>TABL1234[[#This Row],[( S/S+T/B) AJD]]-(TABL1234[[#This Row],[(A/B + A/S) AJD]]+(TABL1234[[#This Row],[(STORGE DIFF.) AJD]]*1000)+TABL1234[[#This Row],[AJD_Evaporation]])</f>
        <v/>
      </c>
      <c r="AE291" s="33" t="n"/>
      <c r="AF291" s="6" t="n"/>
      <c r="AG291" s="6" t="n"/>
      <c r="AH291" s="6" t="n"/>
      <c r="AI291" s="6" t="n"/>
      <c r="AJ291" s="33">
        <f>TABL1234[[#This Row],[(A/B) AJD]]-TABL1234[[#This Row],[BER_IN]]</f>
        <v/>
      </c>
      <c r="AK291" s="6" t="n"/>
      <c r="AL291" s="6" t="n"/>
      <c r="AM291" s="32" t="n"/>
      <c r="AN291" s="32">
        <f>TABL1234[[#This Row],[ (RESV. STORGE) SER]]/10</f>
        <v/>
      </c>
      <c r="AO291" s="68" t="n"/>
      <c r="AP291" s="68">
        <f>TABL1234[[#This Row],[(A/S) AJD]]-TABL1234[[#This Row],[SER_IN]]</f>
        <v/>
      </c>
    </row>
    <row r="292" ht="18.75" customHeight="1">
      <c r="A292" s="2" t="n">
        <v>46678</v>
      </c>
      <c r="B292" s="28" t="n"/>
      <c r="C292" s="28" t="n"/>
      <c r="D292" s="28" t="n"/>
      <c r="E292" s="28" t="n"/>
      <c r="F292" s="28" t="n"/>
      <c r="G292" s="28" t="n"/>
      <c r="H292" s="28">
        <f>103-F292</f>
        <v/>
      </c>
      <c r="I292" s="28" t="n"/>
      <c r="J292" s="28" t="n"/>
      <c r="K292" s="28">
        <f>TABL1234[[#This Row],[ (T/B) SAR]]+TABL1234[[#This Row],[ (S/S) SAR]]</f>
        <v/>
      </c>
      <c r="L292" s="28" t="n"/>
      <c r="M292" s="29" t="n"/>
      <c r="N292" s="30" t="n"/>
      <c r="O292" s="9" t="n"/>
      <c r="P292" s="9">
        <f>TABL1234[[#This Row],[ (S/S) SAR]]-TABL1234[[#This Row],[(S/S) AJD]]</f>
        <v/>
      </c>
      <c r="Q292" s="9" t="n"/>
      <c r="R292" s="9">
        <f>TABL1234[[#This Row],[ (T/B) SAR]]-TABL1234[[#This Row],[(T/B) AJD]]</f>
        <v/>
      </c>
      <c r="S292" s="9">
        <f>TABL1234[[#This Row],[T/B-CON.]]+TABL1234[[#This Row],[S/S_CON.]]</f>
        <v/>
      </c>
      <c r="T292" s="9">
        <f>TABL1234[[#This Row],[(S/S) AJD]]+TABL1234[[#This Row],[(T/B) AJD]]</f>
        <v/>
      </c>
      <c r="U292" s="9" t="n"/>
      <c r="V292" s="9" t="n"/>
      <c r="W292" s="9">
        <f>TABL1234[[#This Row],[(A/B) AJD]]+TABL1234[[#This Row],[(A/S) AJD]]</f>
        <v/>
      </c>
      <c r="X292" s="9">
        <f>TABL1234[[#This Row],[( S/S+T/B) AJD]]-TABL1234[[#This Row],[(A/B + A/S) AJD]]</f>
        <v/>
      </c>
      <c r="Y292" s="18" t="n"/>
      <c r="Z292" s="9" t="n"/>
      <c r="AA292" s="3">
        <f>TABL1234[[#This Row],[(RESV. STORGE) AJD]]/10</f>
        <v/>
      </c>
      <c r="AB292" s="3">
        <f>IF(TRIM(Z292)="",,(Z292-Z291)/1000)</f>
        <v/>
      </c>
      <c r="AC292" s="5" t="n"/>
      <c r="AD292" s="6">
        <f>TABL1234[[#This Row],[( S/S+T/B) AJD]]-(TABL1234[[#This Row],[(A/B + A/S) AJD]]+(TABL1234[[#This Row],[(STORGE DIFF.) AJD]]*1000)+TABL1234[[#This Row],[AJD_Evaporation]])</f>
        <v/>
      </c>
      <c r="AE292" s="33" t="n"/>
      <c r="AF292" s="6" t="n"/>
      <c r="AG292" s="6" t="n"/>
      <c r="AH292" s="6" t="n"/>
      <c r="AI292" s="6" t="n"/>
      <c r="AJ292" s="33">
        <f>TABL1234[[#This Row],[(A/B) AJD]]-TABL1234[[#This Row],[BER_IN]]</f>
        <v/>
      </c>
      <c r="AK292" s="6" t="n"/>
      <c r="AL292" s="6" t="n"/>
      <c r="AM292" s="32" t="n"/>
      <c r="AN292" s="32">
        <f>TABL1234[[#This Row],[ (RESV. STORGE) SER]]/10</f>
        <v/>
      </c>
      <c r="AO292" s="68" t="n"/>
      <c r="AP292" s="68">
        <f>TABL1234[[#This Row],[(A/S) AJD]]-TABL1234[[#This Row],[SER_IN]]</f>
        <v/>
      </c>
    </row>
    <row r="293" ht="18.75" customHeight="1">
      <c r="A293" s="2" t="n">
        <v>46679</v>
      </c>
      <c r="B293" s="28" t="n"/>
      <c r="C293" s="28" t="n"/>
      <c r="D293" s="28" t="n"/>
      <c r="E293" s="28" t="n"/>
      <c r="F293" s="28" t="n"/>
      <c r="G293" s="28" t="n"/>
      <c r="H293" s="28">
        <f>103-F293</f>
        <v/>
      </c>
      <c r="I293" s="28" t="n"/>
      <c r="J293" s="28" t="n"/>
      <c r="K293" s="28">
        <f>TABL1234[[#This Row],[ (T/B) SAR]]+TABL1234[[#This Row],[ (S/S) SAR]]</f>
        <v/>
      </c>
      <c r="L293" s="28" t="n"/>
      <c r="M293" s="29" t="n"/>
      <c r="N293" s="30" t="n"/>
      <c r="O293" s="9" t="n"/>
      <c r="P293" s="9">
        <f>TABL1234[[#This Row],[ (S/S) SAR]]-TABL1234[[#This Row],[(S/S) AJD]]</f>
        <v/>
      </c>
      <c r="Q293" s="9" t="n"/>
      <c r="R293" s="9">
        <f>TABL1234[[#This Row],[ (T/B) SAR]]-TABL1234[[#This Row],[(T/B) AJD]]</f>
        <v/>
      </c>
      <c r="S293" s="9">
        <f>TABL1234[[#This Row],[T/B-CON.]]+TABL1234[[#This Row],[S/S_CON.]]</f>
        <v/>
      </c>
      <c r="T293" s="9">
        <f>TABL1234[[#This Row],[(S/S) AJD]]+TABL1234[[#This Row],[(T/B) AJD]]</f>
        <v/>
      </c>
      <c r="U293" s="9" t="n"/>
      <c r="V293" s="9" t="n"/>
      <c r="W293" s="9">
        <f>TABL1234[[#This Row],[(A/B) AJD]]+TABL1234[[#This Row],[(A/S) AJD]]</f>
        <v/>
      </c>
      <c r="X293" s="9">
        <f>TABL1234[[#This Row],[( S/S+T/B) AJD]]-TABL1234[[#This Row],[(A/B + A/S) AJD]]</f>
        <v/>
      </c>
      <c r="Y293" s="18" t="n"/>
      <c r="Z293" s="9" t="n"/>
      <c r="AA293" s="3">
        <f>TABL1234[[#This Row],[(RESV. STORGE) AJD]]/10</f>
        <v/>
      </c>
      <c r="AB293" s="3">
        <f>IF(TRIM(Z293)="",,(Z293-Z292)/1000)</f>
        <v/>
      </c>
      <c r="AC293" s="5" t="n"/>
      <c r="AD293" s="6">
        <f>TABL1234[[#This Row],[( S/S+T/B) AJD]]-(TABL1234[[#This Row],[(A/B + A/S) AJD]]+(TABL1234[[#This Row],[(STORGE DIFF.) AJD]]*1000)+TABL1234[[#This Row],[AJD_Evaporation]])</f>
        <v/>
      </c>
      <c r="AE293" s="33" t="n"/>
      <c r="AF293" s="6" t="n"/>
      <c r="AG293" s="6" t="n"/>
      <c r="AH293" s="6" t="n"/>
      <c r="AI293" s="6" t="n"/>
      <c r="AJ293" s="33">
        <f>TABL1234[[#This Row],[(A/B) AJD]]-TABL1234[[#This Row],[BER_IN]]</f>
        <v/>
      </c>
      <c r="AK293" s="6" t="n"/>
      <c r="AL293" s="6" t="n"/>
      <c r="AM293" s="32" t="n"/>
      <c r="AN293" s="32">
        <f>TABL1234[[#This Row],[ (RESV. STORGE) SER]]/10</f>
        <v/>
      </c>
      <c r="AO293" s="68" t="n"/>
      <c r="AP293" s="68">
        <f>TABL1234[[#This Row],[(A/S) AJD]]-TABL1234[[#This Row],[SER_IN]]</f>
        <v/>
      </c>
    </row>
    <row r="294" ht="18.75" customHeight="1">
      <c r="A294" s="2" t="n">
        <v>46680</v>
      </c>
      <c r="B294" s="28" t="n"/>
      <c r="C294" s="28" t="n"/>
      <c r="D294" s="28" t="n"/>
      <c r="E294" s="28" t="n"/>
      <c r="F294" s="28" t="n"/>
      <c r="G294" s="28" t="n"/>
      <c r="H294" s="28">
        <f>103-F294</f>
        <v/>
      </c>
      <c r="I294" s="28" t="n"/>
      <c r="J294" s="28" t="n"/>
      <c r="K294" s="28">
        <f>TABL1234[[#This Row],[ (T/B) SAR]]+TABL1234[[#This Row],[ (S/S) SAR]]</f>
        <v/>
      </c>
      <c r="L294" s="28" t="n"/>
      <c r="M294" s="29" t="n"/>
      <c r="N294" s="30" t="n"/>
      <c r="O294" s="9" t="n"/>
      <c r="P294" s="9">
        <f>TABL1234[[#This Row],[ (S/S) SAR]]-TABL1234[[#This Row],[(S/S) AJD]]</f>
        <v/>
      </c>
      <c r="Q294" s="9" t="n"/>
      <c r="R294" s="9">
        <f>TABL1234[[#This Row],[ (T/B) SAR]]-TABL1234[[#This Row],[(T/B) AJD]]</f>
        <v/>
      </c>
      <c r="S294" s="9">
        <f>TABL1234[[#This Row],[T/B-CON.]]+TABL1234[[#This Row],[S/S_CON.]]</f>
        <v/>
      </c>
      <c r="T294" s="9">
        <f>TABL1234[[#This Row],[(S/S) AJD]]+TABL1234[[#This Row],[(T/B) AJD]]</f>
        <v/>
      </c>
      <c r="U294" s="9" t="n"/>
      <c r="V294" s="9" t="n"/>
      <c r="W294" s="9">
        <f>TABL1234[[#This Row],[(A/B) AJD]]+TABL1234[[#This Row],[(A/S) AJD]]</f>
        <v/>
      </c>
      <c r="X294" s="9">
        <f>TABL1234[[#This Row],[( S/S+T/B) AJD]]-TABL1234[[#This Row],[(A/B + A/S) AJD]]</f>
        <v/>
      </c>
      <c r="Y294" s="18" t="n"/>
      <c r="Z294" s="9" t="n"/>
      <c r="AA294" s="3">
        <f>TABL1234[[#This Row],[(RESV. STORGE) AJD]]/10</f>
        <v/>
      </c>
      <c r="AB294" s="3">
        <f>IF(TRIM(Z294)="",,(Z294-Z293)/1000)</f>
        <v/>
      </c>
      <c r="AC294" s="5" t="n"/>
      <c r="AD294" s="6">
        <f>TABL1234[[#This Row],[( S/S+T/B) AJD]]-(TABL1234[[#This Row],[(A/B + A/S) AJD]]+(TABL1234[[#This Row],[(STORGE DIFF.) AJD]]*1000)+TABL1234[[#This Row],[AJD_Evaporation]])</f>
        <v/>
      </c>
      <c r="AE294" s="33" t="n"/>
      <c r="AF294" s="6" t="n"/>
      <c r="AG294" s="6" t="n"/>
      <c r="AH294" s="6" t="n"/>
      <c r="AI294" s="6" t="n"/>
      <c r="AJ294" s="33">
        <f>TABL1234[[#This Row],[(A/B) AJD]]-TABL1234[[#This Row],[BER_IN]]</f>
        <v/>
      </c>
      <c r="AK294" s="6" t="n"/>
      <c r="AL294" s="6" t="n"/>
      <c r="AM294" s="32" t="n"/>
      <c r="AN294" s="32">
        <f>TABL1234[[#This Row],[ (RESV. STORGE) SER]]/10</f>
        <v/>
      </c>
      <c r="AO294" s="68" t="n"/>
      <c r="AP294" s="68">
        <f>TABL1234[[#This Row],[(A/S) AJD]]-TABL1234[[#This Row],[SER_IN]]</f>
        <v/>
      </c>
    </row>
    <row r="295" ht="18.75" customHeight="1">
      <c r="A295" s="2" t="n">
        <v>46681</v>
      </c>
      <c r="B295" s="28" t="n"/>
      <c r="C295" s="28" t="n"/>
      <c r="D295" s="28" t="n"/>
      <c r="E295" s="28" t="n"/>
      <c r="F295" s="28" t="n"/>
      <c r="G295" s="28" t="n"/>
      <c r="H295" s="28">
        <f>103-F295</f>
        <v/>
      </c>
      <c r="I295" s="28" t="n"/>
      <c r="J295" s="28" t="n"/>
      <c r="K295" s="28">
        <f>TABL1234[[#This Row],[ (T/B) SAR]]+TABL1234[[#This Row],[ (S/S) SAR]]</f>
        <v/>
      </c>
      <c r="L295" s="28" t="n"/>
      <c r="M295" s="29" t="n"/>
      <c r="N295" s="30" t="n"/>
      <c r="O295" s="9" t="n"/>
      <c r="P295" s="9">
        <f>TABL1234[[#This Row],[ (S/S) SAR]]-TABL1234[[#This Row],[(S/S) AJD]]</f>
        <v/>
      </c>
      <c r="Q295" s="9" t="n"/>
      <c r="R295" s="9">
        <f>TABL1234[[#This Row],[ (T/B) SAR]]-TABL1234[[#This Row],[(T/B) AJD]]</f>
        <v/>
      </c>
      <c r="S295" s="9">
        <f>TABL1234[[#This Row],[T/B-CON.]]+TABL1234[[#This Row],[S/S_CON.]]</f>
        <v/>
      </c>
      <c r="T295" s="9">
        <f>TABL1234[[#This Row],[(S/S) AJD]]+TABL1234[[#This Row],[(T/B) AJD]]</f>
        <v/>
      </c>
      <c r="U295" s="9" t="n"/>
      <c r="V295" s="9" t="n"/>
      <c r="W295" s="9">
        <f>TABL1234[[#This Row],[(A/B) AJD]]+TABL1234[[#This Row],[(A/S) AJD]]</f>
        <v/>
      </c>
      <c r="X295" s="9">
        <f>TABL1234[[#This Row],[( S/S+T/B) AJD]]-TABL1234[[#This Row],[(A/B + A/S) AJD]]</f>
        <v/>
      </c>
      <c r="Y295" s="18" t="n"/>
      <c r="Z295" s="9" t="n"/>
      <c r="AA295" s="3">
        <f>TABL1234[[#This Row],[(RESV. STORGE) AJD]]/10</f>
        <v/>
      </c>
      <c r="AB295" s="3">
        <f>IF(TRIM(Z295)="",,(Z295-Z294)/1000)</f>
        <v/>
      </c>
      <c r="AC295" s="5" t="n"/>
      <c r="AD295" s="6">
        <f>TABL1234[[#This Row],[( S/S+T/B) AJD]]-(TABL1234[[#This Row],[(A/B + A/S) AJD]]+(TABL1234[[#This Row],[(STORGE DIFF.) AJD]]*1000)+TABL1234[[#This Row],[AJD_Evaporation]])</f>
        <v/>
      </c>
      <c r="AE295" s="33" t="n"/>
      <c r="AF295" s="6" t="n"/>
      <c r="AG295" s="6" t="n"/>
      <c r="AH295" s="6" t="n"/>
      <c r="AI295" s="6" t="n"/>
      <c r="AJ295" s="33">
        <f>TABL1234[[#This Row],[(A/B) AJD]]-TABL1234[[#This Row],[BER_IN]]</f>
        <v/>
      </c>
      <c r="AK295" s="6" t="n"/>
      <c r="AL295" s="6" t="n"/>
      <c r="AM295" s="32" t="n"/>
      <c r="AN295" s="32">
        <f>TABL1234[[#This Row],[ (RESV. STORGE) SER]]/10</f>
        <v/>
      </c>
      <c r="AO295" s="68" t="n"/>
      <c r="AP295" s="68">
        <f>TABL1234[[#This Row],[(A/S) AJD]]-TABL1234[[#This Row],[SER_IN]]</f>
        <v/>
      </c>
    </row>
    <row r="296" ht="18.75" customHeight="1">
      <c r="A296" s="2" t="n">
        <v>46682</v>
      </c>
      <c r="B296" s="28" t="n"/>
      <c r="C296" s="28" t="n"/>
      <c r="D296" s="28" t="n"/>
      <c r="E296" s="28" t="n"/>
      <c r="F296" s="28" t="n"/>
      <c r="G296" s="28" t="n"/>
      <c r="H296" s="28">
        <f>103-F296</f>
        <v/>
      </c>
      <c r="I296" s="28" t="n"/>
      <c r="J296" s="28" t="n"/>
      <c r="K296" s="28">
        <f>TABL1234[[#This Row],[ (T/B) SAR]]+TABL1234[[#This Row],[ (S/S) SAR]]</f>
        <v/>
      </c>
      <c r="L296" s="28" t="n"/>
      <c r="M296" s="29" t="n"/>
      <c r="N296" s="30" t="n"/>
      <c r="O296" s="9" t="n"/>
      <c r="P296" s="9">
        <f>TABL1234[[#This Row],[ (S/S) SAR]]-TABL1234[[#This Row],[(S/S) AJD]]</f>
        <v/>
      </c>
      <c r="Q296" s="9" t="n"/>
      <c r="R296" s="9">
        <f>TABL1234[[#This Row],[ (T/B) SAR]]-TABL1234[[#This Row],[(T/B) AJD]]</f>
        <v/>
      </c>
      <c r="S296" s="9">
        <f>TABL1234[[#This Row],[T/B-CON.]]+TABL1234[[#This Row],[S/S_CON.]]</f>
        <v/>
      </c>
      <c r="T296" s="9">
        <f>TABL1234[[#This Row],[(S/S) AJD]]+TABL1234[[#This Row],[(T/B) AJD]]</f>
        <v/>
      </c>
      <c r="U296" s="9" t="n"/>
      <c r="V296" s="9" t="n"/>
      <c r="W296" s="9">
        <f>TABL1234[[#This Row],[(A/B) AJD]]+TABL1234[[#This Row],[(A/S) AJD]]</f>
        <v/>
      </c>
      <c r="X296" s="9">
        <f>TABL1234[[#This Row],[( S/S+T/B) AJD]]-TABL1234[[#This Row],[(A/B + A/S) AJD]]</f>
        <v/>
      </c>
      <c r="Y296" s="18" t="n"/>
      <c r="Z296" s="9" t="n"/>
      <c r="AA296" s="3">
        <f>TABL1234[[#This Row],[(RESV. STORGE) AJD]]/10</f>
        <v/>
      </c>
      <c r="AB296" s="3">
        <f>IF(TRIM(Z296)="",,(Z296-Z295)/1000)</f>
        <v/>
      </c>
      <c r="AC296" s="5" t="n"/>
      <c r="AD296" s="6">
        <f>TABL1234[[#This Row],[( S/S+T/B) AJD]]-(TABL1234[[#This Row],[(A/B + A/S) AJD]]+(TABL1234[[#This Row],[(STORGE DIFF.) AJD]]*1000)+TABL1234[[#This Row],[AJD_Evaporation]])</f>
        <v/>
      </c>
      <c r="AE296" s="33" t="n"/>
      <c r="AF296" s="6" t="n"/>
      <c r="AG296" s="6" t="n"/>
      <c r="AH296" s="6" t="n"/>
      <c r="AI296" s="6" t="n"/>
      <c r="AJ296" s="33">
        <f>TABL1234[[#This Row],[(A/B) AJD]]-TABL1234[[#This Row],[BER_IN]]</f>
        <v/>
      </c>
      <c r="AK296" s="6" t="n"/>
      <c r="AL296" s="6" t="n"/>
      <c r="AM296" s="32" t="n"/>
      <c r="AN296" s="32">
        <f>TABL1234[[#This Row],[ (RESV. STORGE) SER]]/10</f>
        <v/>
      </c>
      <c r="AO296" s="68" t="n"/>
      <c r="AP296" s="68">
        <f>TABL1234[[#This Row],[(A/S) AJD]]-TABL1234[[#This Row],[SER_IN]]</f>
        <v/>
      </c>
    </row>
    <row r="297" ht="18.75" customHeight="1">
      <c r="A297" s="2" t="n">
        <v>46683</v>
      </c>
      <c r="B297" s="28" t="n"/>
      <c r="C297" s="28" t="n"/>
      <c r="D297" s="28" t="n"/>
      <c r="E297" s="28" t="n"/>
      <c r="F297" s="28" t="n"/>
      <c r="G297" s="28" t="n"/>
      <c r="H297" s="28">
        <f>103-F297</f>
        <v/>
      </c>
      <c r="I297" s="28" t="n"/>
      <c r="J297" s="28" t="n"/>
      <c r="K297" s="28">
        <f>TABL1234[[#This Row],[ (T/B) SAR]]+TABL1234[[#This Row],[ (S/S) SAR]]</f>
        <v/>
      </c>
      <c r="L297" s="28" t="n"/>
      <c r="M297" s="29" t="n"/>
      <c r="N297" s="30" t="n"/>
      <c r="O297" s="9" t="n"/>
      <c r="P297" s="9">
        <f>TABL1234[[#This Row],[ (S/S) SAR]]-TABL1234[[#This Row],[(S/S) AJD]]</f>
        <v/>
      </c>
      <c r="Q297" s="9" t="n"/>
      <c r="R297" s="9">
        <f>TABL1234[[#This Row],[ (T/B) SAR]]-TABL1234[[#This Row],[(T/B) AJD]]</f>
        <v/>
      </c>
      <c r="S297" s="9">
        <f>TABL1234[[#This Row],[T/B-CON.]]+TABL1234[[#This Row],[S/S_CON.]]</f>
        <v/>
      </c>
      <c r="T297" s="9">
        <f>TABL1234[[#This Row],[(S/S) AJD]]+TABL1234[[#This Row],[(T/B) AJD]]</f>
        <v/>
      </c>
      <c r="U297" s="9" t="n"/>
      <c r="V297" s="9" t="n"/>
      <c r="W297" s="9">
        <f>TABL1234[[#This Row],[(A/B) AJD]]+TABL1234[[#This Row],[(A/S) AJD]]</f>
        <v/>
      </c>
      <c r="X297" s="9">
        <f>TABL1234[[#This Row],[( S/S+T/B) AJD]]-TABL1234[[#This Row],[(A/B + A/S) AJD]]</f>
        <v/>
      </c>
      <c r="Y297" s="18" t="n"/>
      <c r="Z297" s="9" t="n"/>
      <c r="AA297" s="3">
        <f>TABL1234[[#This Row],[(RESV. STORGE) AJD]]/10</f>
        <v/>
      </c>
      <c r="AB297" s="3">
        <f>IF(TRIM(Z297)="",,(Z297-Z296)/1000)</f>
        <v/>
      </c>
      <c r="AC297" s="5" t="n"/>
      <c r="AD297" s="6">
        <f>TABL1234[[#This Row],[( S/S+T/B) AJD]]-(TABL1234[[#This Row],[(A/B + A/S) AJD]]+(TABL1234[[#This Row],[(STORGE DIFF.) AJD]]*1000)+TABL1234[[#This Row],[AJD_Evaporation]])</f>
        <v/>
      </c>
      <c r="AE297" s="33" t="n"/>
      <c r="AF297" s="6" t="n"/>
      <c r="AG297" s="6" t="n"/>
      <c r="AH297" s="6" t="n"/>
      <c r="AI297" s="6" t="n"/>
      <c r="AJ297" s="33">
        <f>TABL1234[[#This Row],[(A/B) AJD]]-TABL1234[[#This Row],[BER_IN]]</f>
        <v/>
      </c>
      <c r="AK297" s="6" t="n"/>
      <c r="AL297" s="6" t="n"/>
      <c r="AM297" s="32" t="n"/>
      <c r="AN297" s="32">
        <f>TABL1234[[#This Row],[ (RESV. STORGE) SER]]/10</f>
        <v/>
      </c>
      <c r="AO297" s="68" t="n"/>
      <c r="AP297" s="68">
        <f>TABL1234[[#This Row],[(A/S) AJD]]-TABL1234[[#This Row],[SER_IN]]</f>
        <v/>
      </c>
    </row>
    <row r="298" ht="18.75" customHeight="1">
      <c r="A298" s="2" t="n">
        <v>46684</v>
      </c>
      <c r="B298" s="28" t="n"/>
      <c r="C298" s="28" t="n"/>
      <c r="D298" s="28" t="n"/>
      <c r="E298" s="28" t="n"/>
      <c r="F298" s="28" t="n"/>
      <c r="G298" s="28" t="n"/>
      <c r="H298" s="28">
        <f>103-F298</f>
        <v/>
      </c>
      <c r="I298" s="28" t="n"/>
      <c r="J298" s="28" t="n"/>
      <c r="K298" s="28">
        <f>TABL1234[[#This Row],[ (T/B) SAR]]+TABL1234[[#This Row],[ (S/S) SAR]]</f>
        <v/>
      </c>
      <c r="L298" s="28" t="n"/>
      <c r="M298" s="29" t="n"/>
      <c r="N298" s="30" t="n"/>
      <c r="O298" s="9" t="n"/>
      <c r="P298" s="9">
        <f>TABL1234[[#This Row],[ (S/S) SAR]]-TABL1234[[#This Row],[(S/S) AJD]]</f>
        <v/>
      </c>
      <c r="Q298" s="9" t="n"/>
      <c r="R298" s="9">
        <f>TABL1234[[#This Row],[ (T/B) SAR]]-TABL1234[[#This Row],[(T/B) AJD]]</f>
        <v/>
      </c>
      <c r="S298" s="9">
        <f>TABL1234[[#This Row],[T/B-CON.]]+TABL1234[[#This Row],[S/S_CON.]]</f>
        <v/>
      </c>
      <c r="T298" s="9">
        <f>TABL1234[[#This Row],[(S/S) AJD]]+TABL1234[[#This Row],[(T/B) AJD]]</f>
        <v/>
      </c>
      <c r="U298" s="9" t="n"/>
      <c r="V298" s="9" t="n"/>
      <c r="W298" s="9">
        <f>TABL1234[[#This Row],[(A/B) AJD]]+TABL1234[[#This Row],[(A/S) AJD]]</f>
        <v/>
      </c>
      <c r="X298" s="9">
        <f>TABL1234[[#This Row],[( S/S+T/B) AJD]]-TABL1234[[#This Row],[(A/B + A/S) AJD]]</f>
        <v/>
      </c>
      <c r="Y298" s="18" t="n"/>
      <c r="Z298" s="9" t="n"/>
      <c r="AA298" s="3">
        <f>TABL1234[[#This Row],[(RESV. STORGE) AJD]]/10</f>
        <v/>
      </c>
      <c r="AB298" s="3">
        <f>IF(TRIM(Z298)="",,(Z298-Z297)/1000)</f>
        <v/>
      </c>
      <c r="AC298" s="5" t="n"/>
      <c r="AD298" s="6">
        <f>TABL1234[[#This Row],[( S/S+T/B) AJD]]-(TABL1234[[#This Row],[(A/B + A/S) AJD]]+(TABL1234[[#This Row],[(STORGE DIFF.) AJD]]*1000)+TABL1234[[#This Row],[AJD_Evaporation]])</f>
        <v/>
      </c>
      <c r="AE298" s="33" t="n"/>
      <c r="AF298" s="6" t="n"/>
      <c r="AG298" s="6" t="n"/>
      <c r="AH298" s="6" t="n"/>
      <c r="AI298" s="6" t="n"/>
      <c r="AJ298" s="33">
        <f>TABL1234[[#This Row],[(A/B) AJD]]-TABL1234[[#This Row],[BER_IN]]</f>
        <v/>
      </c>
      <c r="AK298" s="6" t="n"/>
      <c r="AL298" s="6" t="n"/>
      <c r="AM298" s="32" t="n"/>
      <c r="AN298" s="32">
        <f>TABL1234[[#This Row],[ (RESV. STORGE) SER]]/10</f>
        <v/>
      </c>
      <c r="AO298" s="68" t="n"/>
      <c r="AP298" s="68">
        <f>TABL1234[[#This Row],[(A/S) AJD]]-TABL1234[[#This Row],[SER_IN]]</f>
        <v/>
      </c>
    </row>
    <row r="299" ht="18.75" customHeight="1">
      <c r="A299" s="2" t="n">
        <v>46685</v>
      </c>
      <c r="B299" s="28" t="n"/>
      <c r="C299" s="28" t="n"/>
      <c r="D299" s="28" t="n"/>
      <c r="E299" s="28" t="n"/>
      <c r="F299" s="28" t="n"/>
      <c r="G299" s="28" t="n"/>
      <c r="H299" s="28">
        <f>103-F299</f>
        <v/>
      </c>
      <c r="I299" s="28" t="n"/>
      <c r="J299" s="28" t="n"/>
      <c r="K299" s="28">
        <f>TABL1234[[#This Row],[ (T/B) SAR]]+TABL1234[[#This Row],[ (S/S) SAR]]</f>
        <v/>
      </c>
      <c r="L299" s="28" t="n"/>
      <c r="M299" s="29" t="n"/>
      <c r="N299" s="30" t="n"/>
      <c r="O299" s="9" t="n"/>
      <c r="P299" s="9">
        <f>TABL1234[[#This Row],[ (S/S) SAR]]-TABL1234[[#This Row],[(S/S) AJD]]</f>
        <v/>
      </c>
      <c r="Q299" s="9" t="n"/>
      <c r="R299" s="9">
        <f>TABL1234[[#This Row],[ (T/B) SAR]]-TABL1234[[#This Row],[(T/B) AJD]]</f>
        <v/>
      </c>
      <c r="S299" s="9">
        <f>TABL1234[[#This Row],[T/B-CON.]]+TABL1234[[#This Row],[S/S_CON.]]</f>
        <v/>
      </c>
      <c r="T299" s="9">
        <f>TABL1234[[#This Row],[(S/S) AJD]]+TABL1234[[#This Row],[(T/B) AJD]]</f>
        <v/>
      </c>
      <c r="U299" s="9" t="n"/>
      <c r="V299" s="9" t="n"/>
      <c r="W299" s="9">
        <f>TABL1234[[#This Row],[(A/B) AJD]]+TABL1234[[#This Row],[(A/S) AJD]]</f>
        <v/>
      </c>
      <c r="X299" s="9">
        <f>TABL1234[[#This Row],[( S/S+T/B) AJD]]-TABL1234[[#This Row],[(A/B + A/S) AJD]]</f>
        <v/>
      </c>
      <c r="Y299" s="18" t="n"/>
      <c r="Z299" s="9" t="n"/>
      <c r="AA299" s="3">
        <f>TABL1234[[#This Row],[(RESV. STORGE) AJD]]/10</f>
        <v/>
      </c>
      <c r="AB299" s="3">
        <f>IF(TRIM(Z299)="",,(Z299-Z298)/1000)</f>
        <v/>
      </c>
      <c r="AC299" s="5" t="n"/>
      <c r="AD299" s="6">
        <f>TABL1234[[#This Row],[( S/S+T/B) AJD]]-(TABL1234[[#This Row],[(A/B + A/S) AJD]]+(TABL1234[[#This Row],[(STORGE DIFF.) AJD]]*1000)+TABL1234[[#This Row],[AJD_Evaporation]])</f>
        <v/>
      </c>
      <c r="AE299" s="33" t="n"/>
      <c r="AF299" s="6" t="n"/>
      <c r="AG299" s="6" t="n"/>
      <c r="AH299" s="6" t="n"/>
      <c r="AI299" s="6" t="n"/>
      <c r="AJ299" s="33">
        <f>TABL1234[[#This Row],[(A/B) AJD]]-TABL1234[[#This Row],[BER_IN]]</f>
        <v/>
      </c>
      <c r="AK299" s="6" t="n"/>
      <c r="AL299" s="6" t="n"/>
      <c r="AM299" s="32" t="n"/>
      <c r="AN299" s="32">
        <f>TABL1234[[#This Row],[ (RESV. STORGE) SER]]/10</f>
        <v/>
      </c>
      <c r="AO299" s="68" t="n"/>
      <c r="AP299" s="68">
        <f>TABL1234[[#This Row],[(A/S) AJD]]-TABL1234[[#This Row],[SER_IN]]</f>
        <v/>
      </c>
    </row>
    <row r="300" ht="18.75" customHeight="1">
      <c r="A300" s="2" t="n">
        <v>46686</v>
      </c>
      <c r="B300" s="28" t="n"/>
      <c r="C300" s="28" t="n"/>
      <c r="D300" s="28" t="n"/>
      <c r="E300" s="28" t="n"/>
      <c r="F300" s="28" t="n"/>
      <c r="G300" s="28" t="n"/>
      <c r="H300" s="28">
        <f>103-F300</f>
        <v/>
      </c>
      <c r="I300" s="28" t="n"/>
      <c r="J300" s="28" t="n"/>
      <c r="K300" s="28">
        <f>TABL1234[[#This Row],[ (T/B) SAR]]+TABL1234[[#This Row],[ (S/S) SAR]]</f>
        <v/>
      </c>
      <c r="L300" s="28" t="n"/>
      <c r="M300" s="29" t="n"/>
      <c r="N300" s="30" t="n"/>
      <c r="O300" s="9" t="n"/>
      <c r="P300" s="9">
        <f>TABL1234[[#This Row],[ (S/S) SAR]]-TABL1234[[#This Row],[(S/S) AJD]]</f>
        <v/>
      </c>
      <c r="Q300" s="9" t="n"/>
      <c r="R300" s="9">
        <f>TABL1234[[#This Row],[ (T/B) SAR]]-TABL1234[[#This Row],[(T/B) AJD]]</f>
        <v/>
      </c>
      <c r="S300" s="9">
        <f>TABL1234[[#This Row],[T/B-CON.]]+TABL1234[[#This Row],[S/S_CON.]]</f>
        <v/>
      </c>
      <c r="T300" s="9">
        <f>TABL1234[[#This Row],[(S/S) AJD]]+TABL1234[[#This Row],[(T/B) AJD]]</f>
        <v/>
      </c>
      <c r="U300" s="9" t="n"/>
      <c r="V300" s="9" t="n"/>
      <c r="W300" s="9">
        <f>TABL1234[[#This Row],[(A/B) AJD]]+TABL1234[[#This Row],[(A/S) AJD]]</f>
        <v/>
      </c>
      <c r="X300" s="9">
        <f>TABL1234[[#This Row],[( S/S+T/B) AJD]]-TABL1234[[#This Row],[(A/B + A/S) AJD]]</f>
        <v/>
      </c>
      <c r="Y300" s="18" t="n"/>
      <c r="Z300" s="9" t="n"/>
      <c r="AA300" s="3">
        <f>TABL1234[[#This Row],[(RESV. STORGE) AJD]]/10</f>
        <v/>
      </c>
      <c r="AB300" s="3">
        <f>IF(TRIM(Z300)="",,(Z300-Z299)/1000)</f>
        <v/>
      </c>
      <c r="AC300" s="5" t="n"/>
      <c r="AD300" s="6">
        <f>TABL1234[[#This Row],[( S/S+T/B) AJD]]-(TABL1234[[#This Row],[(A/B + A/S) AJD]]+(TABL1234[[#This Row],[(STORGE DIFF.) AJD]]*1000)+TABL1234[[#This Row],[AJD_Evaporation]])</f>
        <v/>
      </c>
      <c r="AE300" s="33" t="n"/>
      <c r="AF300" s="6" t="n"/>
      <c r="AG300" s="6" t="n"/>
      <c r="AH300" s="6" t="n"/>
      <c r="AI300" s="6" t="n"/>
      <c r="AJ300" s="33">
        <f>TABL1234[[#This Row],[(A/B) AJD]]-TABL1234[[#This Row],[BER_IN]]</f>
        <v/>
      </c>
      <c r="AK300" s="6" t="n"/>
      <c r="AL300" s="6" t="n"/>
      <c r="AM300" s="32" t="n"/>
      <c r="AN300" s="32">
        <f>TABL1234[[#This Row],[ (RESV. STORGE) SER]]/10</f>
        <v/>
      </c>
      <c r="AO300" s="68" t="n"/>
      <c r="AP300" s="68">
        <f>TABL1234[[#This Row],[(A/S) AJD]]-TABL1234[[#This Row],[SER_IN]]</f>
        <v/>
      </c>
    </row>
    <row r="301" ht="18.75" customHeight="1">
      <c r="A301" s="2" t="n">
        <v>46687</v>
      </c>
      <c r="B301" s="28" t="n"/>
      <c r="C301" s="28" t="n"/>
      <c r="D301" s="28" t="n"/>
      <c r="E301" s="28" t="n"/>
      <c r="F301" s="28" t="n"/>
      <c r="G301" s="28" t="n"/>
      <c r="H301" s="28">
        <f>103-F301</f>
        <v/>
      </c>
      <c r="I301" s="28" t="n"/>
      <c r="J301" s="28" t="n"/>
      <c r="K301" s="28">
        <f>TABL1234[[#This Row],[ (T/B) SAR]]+TABL1234[[#This Row],[ (S/S) SAR]]</f>
        <v/>
      </c>
      <c r="L301" s="28" t="n"/>
      <c r="M301" s="29" t="n"/>
      <c r="N301" s="30" t="n"/>
      <c r="O301" s="9" t="n"/>
      <c r="P301" s="9">
        <f>TABL1234[[#This Row],[ (S/S) SAR]]-TABL1234[[#This Row],[(S/S) AJD]]</f>
        <v/>
      </c>
      <c r="Q301" s="9" t="n"/>
      <c r="R301" s="9">
        <f>TABL1234[[#This Row],[ (T/B) SAR]]-TABL1234[[#This Row],[(T/B) AJD]]</f>
        <v/>
      </c>
      <c r="S301" s="9">
        <f>TABL1234[[#This Row],[T/B-CON.]]+TABL1234[[#This Row],[S/S_CON.]]</f>
        <v/>
      </c>
      <c r="T301" s="9">
        <f>TABL1234[[#This Row],[(S/S) AJD]]+TABL1234[[#This Row],[(T/B) AJD]]</f>
        <v/>
      </c>
      <c r="U301" s="9" t="n"/>
      <c r="V301" s="9" t="n"/>
      <c r="W301" s="9">
        <f>TABL1234[[#This Row],[(A/B) AJD]]+TABL1234[[#This Row],[(A/S) AJD]]</f>
        <v/>
      </c>
      <c r="X301" s="9">
        <f>TABL1234[[#This Row],[( S/S+T/B) AJD]]-TABL1234[[#This Row],[(A/B + A/S) AJD]]</f>
        <v/>
      </c>
      <c r="Y301" s="18" t="n"/>
      <c r="Z301" s="9" t="n"/>
      <c r="AA301" s="3">
        <f>TABL1234[[#This Row],[(RESV. STORGE) AJD]]/10</f>
        <v/>
      </c>
      <c r="AB301" s="3">
        <f>IF(TRIM(Z301)="",,(Z301-Z300)/1000)</f>
        <v/>
      </c>
      <c r="AC301" s="5" t="n"/>
      <c r="AD301" s="6">
        <f>TABL1234[[#This Row],[( S/S+T/B) AJD]]-(TABL1234[[#This Row],[(A/B + A/S) AJD]]+(TABL1234[[#This Row],[(STORGE DIFF.) AJD]]*1000)+TABL1234[[#This Row],[AJD_Evaporation]])</f>
        <v/>
      </c>
      <c r="AE301" s="33" t="n"/>
      <c r="AF301" s="6" t="n"/>
      <c r="AG301" s="6" t="n"/>
      <c r="AH301" s="6" t="n"/>
      <c r="AI301" s="6" t="n"/>
      <c r="AJ301" s="33">
        <f>TABL1234[[#This Row],[(A/B) AJD]]-TABL1234[[#This Row],[BER_IN]]</f>
        <v/>
      </c>
      <c r="AK301" s="6" t="n"/>
      <c r="AL301" s="6" t="n"/>
      <c r="AM301" s="32" t="n"/>
      <c r="AN301" s="32">
        <f>TABL1234[[#This Row],[ (RESV. STORGE) SER]]/10</f>
        <v/>
      </c>
      <c r="AO301" s="68" t="n"/>
      <c r="AP301" s="68">
        <f>TABL1234[[#This Row],[(A/S) AJD]]-TABL1234[[#This Row],[SER_IN]]</f>
        <v/>
      </c>
    </row>
    <row r="302" ht="18.75" customHeight="1">
      <c r="A302" s="2" t="n">
        <v>46688</v>
      </c>
      <c r="B302" s="28" t="n"/>
      <c r="C302" s="28" t="n"/>
      <c r="D302" s="28" t="n"/>
      <c r="E302" s="28" t="n"/>
      <c r="F302" s="28" t="n"/>
      <c r="G302" s="28" t="n"/>
      <c r="H302" s="28">
        <f>103-F302</f>
        <v/>
      </c>
      <c r="I302" s="28" t="n"/>
      <c r="J302" s="28" t="n"/>
      <c r="K302" s="28">
        <f>TABL1234[[#This Row],[ (T/B) SAR]]+TABL1234[[#This Row],[ (S/S) SAR]]</f>
        <v/>
      </c>
      <c r="L302" s="28" t="n"/>
      <c r="M302" s="29" t="n"/>
      <c r="N302" s="30" t="n"/>
      <c r="O302" s="9" t="n"/>
      <c r="P302" s="9">
        <f>TABL1234[[#This Row],[ (S/S) SAR]]-TABL1234[[#This Row],[(S/S) AJD]]</f>
        <v/>
      </c>
      <c r="Q302" s="9" t="n"/>
      <c r="R302" s="9">
        <f>TABL1234[[#This Row],[ (T/B) SAR]]-TABL1234[[#This Row],[(T/B) AJD]]</f>
        <v/>
      </c>
      <c r="S302" s="9">
        <f>TABL1234[[#This Row],[T/B-CON.]]+TABL1234[[#This Row],[S/S_CON.]]</f>
        <v/>
      </c>
      <c r="T302" s="9">
        <f>TABL1234[[#This Row],[(S/S) AJD]]+TABL1234[[#This Row],[(T/B) AJD]]</f>
        <v/>
      </c>
      <c r="U302" s="9" t="n"/>
      <c r="V302" s="9" t="n"/>
      <c r="W302" s="9">
        <f>TABL1234[[#This Row],[(A/B) AJD]]+TABL1234[[#This Row],[(A/S) AJD]]</f>
        <v/>
      </c>
      <c r="X302" s="9">
        <f>TABL1234[[#This Row],[( S/S+T/B) AJD]]-TABL1234[[#This Row],[(A/B + A/S) AJD]]</f>
        <v/>
      </c>
      <c r="Y302" s="18" t="n"/>
      <c r="Z302" s="9" t="n"/>
      <c r="AA302" s="3">
        <f>TABL1234[[#This Row],[(RESV. STORGE) AJD]]/10</f>
        <v/>
      </c>
      <c r="AB302" s="3">
        <f>IF(TRIM(Z302)="",,(Z302-Z301)/1000)</f>
        <v/>
      </c>
      <c r="AC302" s="5" t="n"/>
      <c r="AD302" s="6">
        <f>TABL1234[[#This Row],[( S/S+T/B) AJD]]-(TABL1234[[#This Row],[(A/B + A/S) AJD]]+(TABL1234[[#This Row],[(STORGE DIFF.) AJD]]*1000)+TABL1234[[#This Row],[AJD_Evaporation]])</f>
        <v/>
      </c>
      <c r="AE302" s="33" t="n"/>
      <c r="AF302" s="6" t="n"/>
      <c r="AG302" s="6" t="n"/>
      <c r="AH302" s="6" t="n"/>
      <c r="AI302" s="6" t="n"/>
      <c r="AJ302" s="33">
        <f>TABL1234[[#This Row],[(A/B) AJD]]-TABL1234[[#This Row],[BER_IN]]</f>
        <v/>
      </c>
      <c r="AK302" s="6" t="n"/>
      <c r="AL302" s="6" t="n"/>
      <c r="AM302" s="32" t="n"/>
      <c r="AN302" s="32">
        <f>TABL1234[[#This Row],[ (RESV. STORGE) SER]]/10</f>
        <v/>
      </c>
      <c r="AO302" s="68" t="n"/>
      <c r="AP302" s="68">
        <f>TABL1234[[#This Row],[(A/S) AJD]]-TABL1234[[#This Row],[SER_IN]]</f>
        <v/>
      </c>
    </row>
    <row r="303" ht="18.75" customHeight="1">
      <c r="A303" s="2" t="n">
        <v>46689</v>
      </c>
      <c r="B303" s="28" t="n"/>
      <c r="C303" s="28" t="n"/>
      <c r="D303" s="28" t="n"/>
      <c r="E303" s="28" t="n"/>
      <c r="F303" s="28" t="n"/>
      <c r="G303" s="28" t="n"/>
      <c r="H303" s="28">
        <f>103-F303</f>
        <v/>
      </c>
      <c r="I303" s="28" t="n"/>
      <c r="J303" s="28" t="n"/>
      <c r="K303" s="28">
        <f>TABL1234[[#This Row],[ (T/B) SAR]]+TABL1234[[#This Row],[ (S/S) SAR]]</f>
        <v/>
      </c>
      <c r="L303" s="28" t="n"/>
      <c r="M303" s="29" t="n"/>
      <c r="N303" s="30" t="n"/>
      <c r="O303" s="9" t="n"/>
      <c r="P303" s="9">
        <f>TABL1234[[#This Row],[ (S/S) SAR]]-TABL1234[[#This Row],[(S/S) AJD]]</f>
        <v/>
      </c>
      <c r="Q303" s="9" t="n"/>
      <c r="R303" s="9">
        <f>TABL1234[[#This Row],[ (T/B) SAR]]-TABL1234[[#This Row],[(T/B) AJD]]</f>
        <v/>
      </c>
      <c r="S303" s="9">
        <f>TABL1234[[#This Row],[T/B-CON.]]+TABL1234[[#This Row],[S/S_CON.]]</f>
        <v/>
      </c>
      <c r="T303" s="9">
        <f>TABL1234[[#This Row],[(S/S) AJD]]+TABL1234[[#This Row],[(T/B) AJD]]</f>
        <v/>
      </c>
      <c r="U303" s="9" t="n"/>
      <c r="V303" s="9" t="n"/>
      <c r="W303" s="9">
        <f>TABL1234[[#This Row],[(A/B) AJD]]+TABL1234[[#This Row],[(A/S) AJD]]</f>
        <v/>
      </c>
      <c r="X303" s="9">
        <f>TABL1234[[#This Row],[( S/S+T/B) AJD]]-TABL1234[[#This Row],[(A/B + A/S) AJD]]</f>
        <v/>
      </c>
      <c r="Y303" s="18" t="n"/>
      <c r="Z303" s="9" t="n"/>
      <c r="AA303" s="3">
        <f>TABL1234[[#This Row],[(RESV. STORGE) AJD]]/10</f>
        <v/>
      </c>
      <c r="AB303" s="3">
        <f>IF(TRIM(Z303)="",,(Z303-Z302)/1000)</f>
        <v/>
      </c>
      <c r="AC303" s="5" t="n"/>
      <c r="AD303" s="6">
        <f>TABL1234[[#This Row],[( S/S+T/B) AJD]]-(TABL1234[[#This Row],[(A/B + A/S) AJD]]+(TABL1234[[#This Row],[(STORGE DIFF.) AJD]]*1000)+TABL1234[[#This Row],[AJD_Evaporation]])</f>
        <v/>
      </c>
      <c r="AE303" s="33" t="n"/>
      <c r="AF303" s="6" t="n"/>
      <c r="AG303" s="6" t="n"/>
      <c r="AH303" s="6" t="n"/>
      <c r="AI303" s="6" t="n"/>
      <c r="AJ303" s="33">
        <f>TABL1234[[#This Row],[(A/B) AJD]]-TABL1234[[#This Row],[BER_IN]]</f>
        <v/>
      </c>
      <c r="AK303" s="6" t="n"/>
      <c r="AL303" s="6" t="n"/>
      <c r="AM303" s="32" t="n"/>
      <c r="AN303" s="32">
        <f>TABL1234[[#This Row],[ (RESV. STORGE) SER]]/10</f>
        <v/>
      </c>
      <c r="AO303" s="68" t="n"/>
      <c r="AP303" s="68">
        <f>TABL1234[[#This Row],[(A/S) AJD]]-TABL1234[[#This Row],[SER_IN]]</f>
        <v/>
      </c>
    </row>
    <row r="304" ht="18.75" customHeight="1">
      <c r="A304" s="2" t="n">
        <v>46690</v>
      </c>
      <c r="B304" s="28" t="n"/>
      <c r="C304" s="28" t="n"/>
      <c r="D304" s="28" t="n"/>
      <c r="E304" s="28" t="n"/>
      <c r="F304" s="28" t="n"/>
      <c r="G304" s="28" t="n"/>
      <c r="H304" s="28">
        <f>103-F304</f>
        <v/>
      </c>
      <c r="I304" s="28" t="n"/>
      <c r="J304" s="28" t="n"/>
      <c r="K304" s="28">
        <f>TABL1234[[#This Row],[ (T/B) SAR]]+TABL1234[[#This Row],[ (S/S) SAR]]</f>
        <v/>
      </c>
      <c r="L304" s="28" t="n"/>
      <c r="M304" s="29" t="n"/>
      <c r="N304" s="30" t="n"/>
      <c r="O304" s="9" t="n"/>
      <c r="P304" s="9">
        <f>TABL1234[[#This Row],[ (S/S) SAR]]-TABL1234[[#This Row],[(S/S) AJD]]</f>
        <v/>
      </c>
      <c r="Q304" s="9" t="n"/>
      <c r="R304" s="9">
        <f>TABL1234[[#This Row],[ (T/B) SAR]]-TABL1234[[#This Row],[(T/B) AJD]]</f>
        <v/>
      </c>
      <c r="S304" s="9">
        <f>TABL1234[[#This Row],[T/B-CON.]]+TABL1234[[#This Row],[S/S_CON.]]</f>
        <v/>
      </c>
      <c r="T304" s="9">
        <f>TABL1234[[#This Row],[(S/S) AJD]]+TABL1234[[#This Row],[(T/B) AJD]]</f>
        <v/>
      </c>
      <c r="U304" s="9" t="n"/>
      <c r="V304" s="9" t="n"/>
      <c r="W304" s="9">
        <f>TABL1234[[#This Row],[(A/B) AJD]]+TABL1234[[#This Row],[(A/S) AJD]]</f>
        <v/>
      </c>
      <c r="X304" s="9">
        <f>TABL1234[[#This Row],[( S/S+T/B) AJD]]-TABL1234[[#This Row],[(A/B + A/S) AJD]]</f>
        <v/>
      </c>
      <c r="Y304" s="18" t="n"/>
      <c r="Z304" s="9" t="n"/>
      <c r="AA304" s="3">
        <f>TABL1234[[#This Row],[(RESV. STORGE) AJD]]/10</f>
        <v/>
      </c>
      <c r="AB304" s="3">
        <f>IF(TRIM(Z304)="",,(Z304-Z303)/1000)</f>
        <v/>
      </c>
      <c r="AC304" s="5" t="n"/>
      <c r="AD304" s="6">
        <f>TABL1234[[#This Row],[( S/S+T/B) AJD]]-(TABL1234[[#This Row],[(A/B + A/S) AJD]]+(TABL1234[[#This Row],[(STORGE DIFF.) AJD]]*1000)+TABL1234[[#This Row],[AJD_Evaporation]])</f>
        <v/>
      </c>
      <c r="AE304" s="33" t="n"/>
      <c r="AF304" s="6" t="n"/>
      <c r="AG304" s="6" t="n"/>
      <c r="AH304" s="6" t="n"/>
      <c r="AI304" s="6" t="n"/>
      <c r="AJ304" s="33">
        <f>TABL1234[[#This Row],[(A/B) AJD]]-TABL1234[[#This Row],[BER_IN]]</f>
        <v/>
      </c>
      <c r="AK304" s="6" t="n"/>
      <c r="AL304" s="6" t="n"/>
      <c r="AM304" s="32" t="n"/>
      <c r="AN304" s="32">
        <f>TABL1234[[#This Row],[ (RESV. STORGE) SER]]/10</f>
        <v/>
      </c>
      <c r="AO304" s="68" t="n"/>
      <c r="AP304" s="68">
        <f>TABL1234[[#This Row],[(A/S) AJD]]-TABL1234[[#This Row],[SER_IN]]</f>
        <v/>
      </c>
    </row>
    <row r="305" ht="18.75" customHeight="1">
      <c r="A305" s="2" t="n">
        <v>46691</v>
      </c>
      <c r="B305" s="28" t="n"/>
      <c r="C305" s="28" t="n"/>
      <c r="D305" s="28" t="n"/>
      <c r="E305" s="28" t="n"/>
      <c r="F305" s="28" t="n"/>
      <c r="G305" s="28" t="n"/>
      <c r="H305" s="28">
        <f>103-F305</f>
        <v/>
      </c>
      <c r="I305" s="28" t="n"/>
      <c r="J305" s="28" t="n"/>
      <c r="K305" s="28">
        <f>TABL1234[[#This Row],[ (T/B) SAR]]+TABL1234[[#This Row],[ (S/S) SAR]]</f>
        <v/>
      </c>
      <c r="L305" s="28" t="n"/>
      <c r="M305" s="29" t="n"/>
      <c r="N305" s="30" t="n"/>
      <c r="O305" s="9" t="n"/>
      <c r="P305" s="9">
        <f>TABL1234[[#This Row],[ (S/S) SAR]]-TABL1234[[#This Row],[(S/S) AJD]]</f>
        <v/>
      </c>
      <c r="Q305" s="9" t="n"/>
      <c r="R305" s="9">
        <f>TABL1234[[#This Row],[ (T/B) SAR]]-TABL1234[[#This Row],[(T/B) AJD]]</f>
        <v/>
      </c>
      <c r="S305" s="9">
        <f>TABL1234[[#This Row],[T/B-CON.]]+TABL1234[[#This Row],[S/S_CON.]]</f>
        <v/>
      </c>
      <c r="T305" s="9">
        <f>TABL1234[[#This Row],[(S/S) AJD]]+TABL1234[[#This Row],[(T/B) AJD]]</f>
        <v/>
      </c>
      <c r="U305" s="9" t="n"/>
      <c r="V305" s="9" t="n"/>
      <c r="W305" s="9">
        <f>TABL1234[[#This Row],[(A/B) AJD]]+TABL1234[[#This Row],[(A/S) AJD]]</f>
        <v/>
      </c>
      <c r="X305" s="9">
        <f>TABL1234[[#This Row],[( S/S+T/B) AJD]]-TABL1234[[#This Row],[(A/B + A/S) AJD]]</f>
        <v/>
      </c>
      <c r="Y305" s="18" t="n"/>
      <c r="Z305" s="9" t="n"/>
      <c r="AA305" s="3">
        <f>TABL1234[[#This Row],[(RESV. STORGE) AJD]]/10</f>
        <v/>
      </c>
      <c r="AB305" s="3">
        <f>IF(TRIM(Z305)="",,(Z305-Z304)/1000)</f>
        <v/>
      </c>
      <c r="AC305" s="5" t="n"/>
      <c r="AD305" s="6">
        <f>TABL1234[[#This Row],[( S/S+T/B) AJD]]-(TABL1234[[#This Row],[(A/B + A/S) AJD]]+(TABL1234[[#This Row],[(STORGE DIFF.) AJD]]*1000)+TABL1234[[#This Row],[AJD_Evaporation]])</f>
        <v/>
      </c>
      <c r="AE305" s="33" t="n"/>
      <c r="AF305" s="6" t="n"/>
      <c r="AG305" s="6" t="n"/>
      <c r="AH305" s="6" t="n"/>
      <c r="AI305" s="6" t="n"/>
      <c r="AJ305" s="33">
        <f>TABL1234[[#This Row],[(A/B) AJD]]-TABL1234[[#This Row],[BER_IN]]</f>
        <v/>
      </c>
      <c r="AK305" s="6" t="n"/>
      <c r="AL305" s="6" t="n"/>
      <c r="AM305" s="32" t="n"/>
      <c r="AN305" s="32">
        <f>TABL1234[[#This Row],[ (RESV. STORGE) SER]]/10</f>
        <v/>
      </c>
      <c r="AO305" s="68" t="n"/>
      <c r="AP305" s="68">
        <f>TABL1234[[#This Row],[(A/S) AJD]]-TABL1234[[#This Row],[SER_IN]]</f>
        <v/>
      </c>
    </row>
    <row r="306" ht="18.75" customHeight="1">
      <c r="A306" s="2" t="n">
        <v>46692</v>
      </c>
      <c r="B306" s="28" t="n"/>
      <c r="C306" s="28" t="n"/>
      <c r="D306" s="28" t="n"/>
      <c r="E306" s="28" t="n"/>
      <c r="F306" s="28" t="n"/>
      <c r="G306" s="28" t="n"/>
      <c r="H306" s="28">
        <f>103-F306</f>
        <v/>
      </c>
      <c r="I306" s="28" t="n"/>
      <c r="J306" s="28" t="n"/>
      <c r="K306" s="28">
        <f>TABL1234[[#This Row],[ (T/B) SAR]]+TABL1234[[#This Row],[ (S/S) SAR]]</f>
        <v/>
      </c>
      <c r="L306" s="28" t="n"/>
      <c r="M306" s="29" t="n"/>
      <c r="N306" s="30" t="n"/>
      <c r="O306" s="39" t="n"/>
      <c r="P306" s="9">
        <f>TABL1234[[#This Row],[ (S/S) SAR]]-TABL1234[[#This Row],[(S/S) AJD]]</f>
        <v/>
      </c>
      <c r="Q306" s="9" t="n"/>
      <c r="R306" s="9">
        <f>TABL1234[[#This Row],[ (T/B) SAR]]-TABL1234[[#This Row],[(T/B) AJD]]</f>
        <v/>
      </c>
      <c r="S306" s="9">
        <f>TABL1234[[#This Row],[T/B-CON.]]+TABL1234[[#This Row],[S/S_CON.]]</f>
        <v/>
      </c>
      <c r="T306" s="9">
        <f>TABL1234[[#This Row],[(S/S) AJD]]+TABL1234[[#This Row],[(T/B) AJD]]</f>
        <v/>
      </c>
      <c r="U306" s="9" t="n"/>
      <c r="V306" s="9" t="n"/>
      <c r="W306" s="9">
        <f>TABL1234[[#This Row],[(A/B) AJD]]+TABL1234[[#This Row],[(A/S) AJD]]</f>
        <v/>
      </c>
      <c r="X306" s="9">
        <f>TABL1234[[#This Row],[( S/S+T/B) AJD]]-TABL1234[[#This Row],[(A/B + A/S) AJD]]</f>
        <v/>
      </c>
      <c r="Y306" s="18" t="n"/>
      <c r="Z306" s="9" t="n"/>
      <c r="AA306" s="3">
        <f>TABL1234[[#This Row],[(RESV. STORGE) AJD]]/10</f>
        <v/>
      </c>
      <c r="AB306" s="3">
        <f>IF(TRIM(Z306)="",,(Z306-Z305)/1000)</f>
        <v/>
      </c>
      <c r="AC306" s="5" t="n"/>
      <c r="AD306" s="6">
        <f>TABL1234[[#This Row],[( S/S+T/B) AJD]]-(TABL1234[[#This Row],[(A/B + A/S) AJD]]+(TABL1234[[#This Row],[(STORGE DIFF.) AJD]]*1000)+TABL1234[[#This Row],[AJD_Evaporation]])</f>
        <v/>
      </c>
      <c r="AE306" s="33" t="n"/>
      <c r="AF306" s="6" t="n"/>
      <c r="AG306" s="6" t="n"/>
      <c r="AH306" s="6" t="n"/>
      <c r="AI306" s="6" t="n"/>
      <c r="AJ306" s="33">
        <f>TABL1234[[#This Row],[(A/B) AJD]]-TABL1234[[#This Row],[BER_IN]]</f>
        <v/>
      </c>
      <c r="AK306" s="6" t="n"/>
      <c r="AL306" s="6" t="n"/>
      <c r="AM306" s="32" t="n"/>
      <c r="AN306" s="32">
        <f>TABL1234[[#This Row],[ (RESV. STORGE) SER]]/10</f>
        <v/>
      </c>
      <c r="AO306" s="68" t="n"/>
      <c r="AP306" s="68">
        <f>TABL1234[[#This Row],[(A/S) AJD]]-TABL1234[[#This Row],[SER_IN]]</f>
        <v/>
      </c>
    </row>
    <row r="307" ht="18.75" customHeight="1">
      <c r="A307" s="2" t="n">
        <v>46693</v>
      </c>
      <c r="B307" s="28" t="n"/>
      <c r="C307" s="28" t="n"/>
      <c r="D307" s="28" t="n"/>
      <c r="E307" s="28" t="n"/>
      <c r="F307" s="28" t="n"/>
      <c r="G307" s="28" t="n"/>
      <c r="H307" s="28">
        <f>103-F307</f>
        <v/>
      </c>
      <c r="I307" s="28" t="n"/>
      <c r="J307" s="28" t="n"/>
      <c r="K307" s="28">
        <f>TABL1234[[#This Row],[ (T/B) SAR]]+TABL1234[[#This Row],[ (S/S) SAR]]</f>
        <v/>
      </c>
      <c r="L307" s="28" t="n"/>
      <c r="M307" s="29" t="n"/>
      <c r="N307" s="30" t="n"/>
      <c r="O307" s="40" t="n"/>
      <c r="P307" s="9">
        <f>TABL1234[[#This Row],[ (S/S) SAR]]-TABL1234[[#This Row],[(S/S) AJD]]</f>
        <v/>
      </c>
      <c r="Q307" s="9" t="n"/>
      <c r="R307" s="9">
        <f>TABL1234[[#This Row],[ (T/B) SAR]]-TABL1234[[#This Row],[(T/B) AJD]]</f>
        <v/>
      </c>
      <c r="S307" s="9">
        <f>TABL1234[[#This Row],[T/B-CON.]]+TABL1234[[#This Row],[S/S_CON.]]</f>
        <v/>
      </c>
      <c r="T307" s="9">
        <f>TABL1234[[#This Row],[(S/S) AJD]]+TABL1234[[#This Row],[(T/B) AJD]]</f>
        <v/>
      </c>
      <c r="U307" s="9" t="n"/>
      <c r="V307" s="9" t="n"/>
      <c r="W307" s="9">
        <f>TABL1234[[#This Row],[(A/B) AJD]]+TABL1234[[#This Row],[(A/S) AJD]]</f>
        <v/>
      </c>
      <c r="X307" s="9">
        <f>TABL1234[[#This Row],[( S/S+T/B) AJD]]-TABL1234[[#This Row],[(A/B + A/S) AJD]]</f>
        <v/>
      </c>
      <c r="Y307" s="18" t="n"/>
      <c r="Z307" s="9" t="n"/>
      <c r="AA307" s="3">
        <f>TABL1234[[#This Row],[(RESV. STORGE) AJD]]/10</f>
        <v/>
      </c>
      <c r="AB307" s="3">
        <f>IF(TRIM(Z307)="",,(Z307-Z306)/1000)</f>
        <v/>
      </c>
      <c r="AC307" s="5" t="n"/>
      <c r="AD307" s="6">
        <f>TABL1234[[#This Row],[( S/S+T/B) AJD]]-(TABL1234[[#This Row],[(A/B + A/S) AJD]]+(TABL1234[[#This Row],[(STORGE DIFF.) AJD]]*1000)+TABL1234[[#This Row],[AJD_Evaporation]])</f>
        <v/>
      </c>
      <c r="AE307" s="33" t="n"/>
      <c r="AF307" s="6" t="n"/>
      <c r="AG307" s="6" t="n"/>
      <c r="AH307" s="6" t="n"/>
      <c r="AI307" s="6" t="n"/>
      <c r="AJ307" s="33">
        <f>TABL1234[[#This Row],[(A/B) AJD]]-TABL1234[[#This Row],[BER_IN]]</f>
        <v/>
      </c>
      <c r="AK307" s="6" t="n"/>
      <c r="AL307" s="6" t="n"/>
      <c r="AM307" s="32" t="n"/>
      <c r="AN307" s="32">
        <f>TABL1234[[#This Row],[ (RESV. STORGE) SER]]/10</f>
        <v/>
      </c>
      <c r="AO307" s="68" t="n"/>
      <c r="AP307" s="68">
        <f>TABL1234[[#This Row],[(A/S) AJD]]-TABL1234[[#This Row],[SER_IN]]</f>
        <v/>
      </c>
    </row>
    <row r="308" ht="18.75" customHeight="1">
      <c r="A308" s="2" t="n">
        <v>46694</v>
      </c>
      <c r="B308" s="28" t="n"/>
      <c r="C308" s="28" t="n"/>
      <c r="D308" s="28" t="n"/>
      <c r="E308" s="28" t="n"/>
      <c r="F308" s="28" t="n"/>
      <c r="G308" s="28" t="n"/>
      <c r="H308" s="28">
        <f>103-F308</f>
        <v/>
      </c>
      <c r="I308" s="28" t="n"/>
      <c r="J308" s="28" t="n"/>
      <c r="K308" s="28">
        <f>TABL1234[[#This Row],[ (T/B) SAR]]+TABL1234[[#This Row],[ (S/S) SAR]]</f>
        <v/>
      </c>
      <c r="L308" s="28" t="n"/>
      <c r="M308" s="29" t="n"/>
      <c r="N308" s="30" t="n"/>
      <c r="O308" s="39" t="n"/>
      <c r="P308" s="9">
        <f>TABL1234[[#This Row],[ (S/S) SAR]]-TABL1234[[#This Row],[(S/S) AJD]]</f>
        <v/>
      </c>
      <c r="Q308" s="9" t="n"/>
      <c r="R308" s="9">
        <f>TABL1234[[#This Row],[ (T/B) SAR]]-TABL1234[[#This Row],[(T/B) AJD]]</f>
        <v/>
      </c>
      <c r="S308" s="9">
        <f>TABL1234[[#This Row],[T/B-CON.]]+TABL1234[[#This Row],[S/S_CON.]]</f>
        <v/>
      </c>
      <c r="T308" s="9">
        <f>TABL1234[[#This Row],[(S/S) AJD]]+TABL1234[[#This Row],[(T/B) AJD]]</f>
        <v/>
      </c>
      <c r="U308" s="9" t="n"/>
      <c r="V308" s="9" t="n"/>
      <c r="W308" s="9">
        <f>TABL1234[[#This Row],[(A/B) AJD]]+TABL1234[[#This Row],[(A/S) AJD]]</f>
        <v/>
      </c>
      <c r="X308" s="9">
        <f>TABL1234[[#This Row],[( S/S+T/B) AJD]]-TABL1234[[#This Row],[(A/B + A/S) AJD]]</f>
        <v/>
      </c>
      <c r="Y308" s="18" t="n"/>
      <c r="Z308" s="9" t="n"/>
      <c r="AA308" s="3">
        <f>TABL1234[[#This Row],[(RESV. STORGE) AJD]]/10</f>
        <v/>
      </c>
      <c r="AB308" s="3">
        <f>IF(TRIM(Z308)="",,(Z308-Z307)/1000)</f>
        <v/>
      </c>
      <c r="AC308" s="5" t="n"/>
      <c r="AD308" s="6">
        <f>TABL1234[[#This Row],[( S/S+T/B) AJD]]-(TABL1234[[#This Row],[(A/B + A/S) AJD]]+(TABL1234[[#This Row],[(STORGE DIFF.) AJD]]*1000)+TABL1234[[#This Row],[AJD_Evaporation]])</f>
        <v/>
      </c>
      <c r="AE308" s="33" t="n"/>
      <c r="AF308" s="6" t="n"/>
      <c r="AG308" s="6" t="n"/>
      <c r="AH308" s="6" t="n"/>
      <c r="AI308" s="6" t="n"/>
      <c r="AJ308" s="33">
        <f>TABL1234[[#This Row],[(A/B) AJD]]-TABL1234[[#This Row],[BER_IN]]</f>
        <v/>
      </c>
      <c r="AK308" s="6" t="n"/>
      <c r="AL308" s="6" t="n"/>
      <c r="AM308" s="32" t="n"/>
      <c r="AN308" s="32">
        <f>TABL1234[[#This Row],[ (RESV. STORGE) SER]]/10</f>
        <v/>
      </c>
      <c r="AO308" s="68" t="n"/>
      <c r="AP308" s="68">
        <f>TABL1234[[#This Row],[(A/S) AJD]]-TABL1234[[#This Row],[SER_IN]]</f>
        <v/>
      </c>
    </row>
    <row r="309" ht="18.75" customHeight="1">
      <c r="A309" s="2" t="n">
        <v>46695</v>
      </c>
      <c r="B309" s="28" t="n"/>
      <c r="C309" s="28" t="n"/>
      <c r="D309" s="28" t="n"/>
      <c r="E309" s="28" t="n"/>
      <c r="F309" s="28" t="n"/>
      <c r="G309" s="28" t="n"/>
      <c r="H309" s="28">
        <f>103-F309</f>
        <v/>
      </c>
      <c r="I309" s="28" t="n"/>
      <c r="J309" s="28" t="n"/>
      <c r="K309" s="28">
        <f>TABL1234[[#This Row],[ (T/B) SAR]]+TABL1234[[#This Row],[ (S/S) SAR]]</f>
        <v/>
      </c>
      <c r="L309" s="28" t="n"/>
      <c r="M309" s="29" t="n"/>
      <c r="N309" s="30" t="n"/>
      <c r="O309" s="40" t="n"/>
      <c r="P309" s="9">
        <f>TABL1234[[#This Row],[ (S/S) SAR]]-TABL1234[[#This Row],[(S/S) AJD]]</f>
        <v/>
      </c>
      <c r="Q309" s="9" t="n"/>
      <c r="R309" s="9">
        <f>TABL1234[[#This Row],[ (T/B) SAR]]-TABL1234[[#This Row],[(T/B) AJD]]</f>
        <v/>
      </c>
      <c r="S309" s="9">
        <f>TABL1234[[#This Row],[T/B-CON.]]+TABL1234[[#This Row],[S/S_CON.]]</f>
        <v/>
      </c>
      <c r="T309" s="9">
        <f>TABL1234[[#This Row],[(S/S) AJD]]+TABL1234[[#This Row],[(T/B) AJD]]</f>
        <v/>
      </c>
      <c r="U309" s="9" t="n"/>
      <c r="V309" s="9" t="n"/>
      <c r="W309" s="9">
        <f>TABL1234[[#This Row],[(A/B) AJD]]+TABL1234[[#This Row],[(A/S) AJD]]</f>
        <v/>
      </c>
      <c r="X309" s="9">
        <f>TABL1234[[#This Row],[( S/S+T/B) AJD]]-TABL1234[[#This Row],[(A/B + A/S) AJD]]</f>
        <v/>
      </c>
      <c r="Y309" s="18" t="n"/>
      <c r="Z309" s="9" t="n"/>
      <c r="AA309" s="3">
        <f>TABL1234[[#This Row],[(RESV. STORGE) AJD]]/10</f>
        <v/>
      </c>
      <c r="AB309" s="3">
        <f>IF(TRIM(Z309)="",,(Z309-Z308)/1000)</f>
        <v/>
      </c>
      <c r="AC309" s="5" t="n"/>
      <c r="AD309" s="6">
        <f>TABL1234[[#This Row],[( S/S+T/B) AJD]]-(TABL1234[[#This Row],[(A/B + A/S) AJD]]+(TABL1234[[#This Row],[(STORGE DIFF.) AJD]]*1000)+TABL1234[[#This Row],[AJD_Evaporation]])</f>
        <v/>
      </c>
      <c r="AE309" s="33" t="n"/>
      <c r="AF309" s="6" t="n"/>
      <c r="AG309" s="6" t="n"/>
      <c r="AH309" s="6" t="n"/>
      <c r="AI309" s="6" t="n"/>
      <c r="AJ309" s="33">
        <f>TABL1234[[#This Row],[(A/B) AJD]]-TABL1234[[#This Row],[BER_IN]]</f>
        <v/>
      </c>
      <c r="AK309" s="6" t="n"/>
      <c r="AL309" s="6" t="n"/>
      <c r="AM309" s="32" t="n"/>
      <c r="AN309" s="32">
        <f>TABL1234[[#This Row],[ (RESV. STORGE) SER]]/10</f>
        <v/>
      </c>
      <c r="AO309" s="68" t="n"/>
      <c r="AP309" s="68">
        <f>TABL1234[[#This Row],[(A/S) AJD]]-TABL1234[[#This Row],[SER_IN]]</f>
        <v/>
      </c>
    </row>
    <row r="310" ht="18.75" customHeight="1">
      <c r="A310" s="2" t="n">
        <v>46696</v>
      </c>
      <c r="B310" s="28" t="n"/>
      <c r="C310" s="28" t="n"/>
      <c r="D310" s="28" t="n"/>
      <c r="E310" s="28" t="n"/>
      <c r="F310" s="28" t="n"/>
      <c r="G310" s="28" t="n"/>
      <c r="H310" s="28">
        <f>103-F310</f>
        <v/>
      </c>
      <c r="I310" s="28" t="n"/>
      <c r="J310" s="28" t="n"/>
      <c r="K310" s="28">
        <f>TABL1234[[#This Row],[ (T/B) SAR]]+TABL1234[[#This Row],[ (S/S) SAR]]</f>
        <v/>
      </c>
      <c r="L310" s="28" t="n"/>
      <c r="M310" s="29" t="n"/>
      <c r="N310" s="30" t="n"/>
      <c r="O310" s="39" t="n"/>
      <c r="P310" s="9">
        <f>TABL1234[[#This Row],[ (S/S) SAR]]-TABL1234[[#This Row],[(S/S) AJD]]</f>
        <v/>
      </c>
      <c r="Q310" s="9" t="n"/>
      <c r="R310" s="9">
        <f>TABL1234[[#This Row],[ (T/B) SAR]]-TABL1234[[#This Row],[(T/B) AJD]]</f>
        <v/>
      </c>
      <c r="S310" s="9">
        <f>TABL1234[[#This Row],[T/B-CON.]]+TABL1234[[#This Row],[S/S_CON.]]</f>
        <v/>
      </c>
      <c r="T310" s="9">
        <f>TABL1234[[#This Row],[(S/S) AJD]]+TABL1234[[#This Row],[(T/B) AJD]]</f>
        <v/>
      </c>
      <c r="U310" s="9" t="n"/>
      <c r="V310" s="9" t="n"/>
      <c r="W310" s="9">
        <f>TABL1234[[#This Row],[(A/B) AJD]]+TABL1234[[#This Row],[(A/S) AJD]]</f>
        <v/>
      </c>
      <c r="X310" s="9">
        <f>TABL1234[[#This Row],[( S/S+T/B) AJD]]-TABL1234[[#This Row],[(A/B + A/S) AJD]]</f>
        <v/>
      </c>
      <c r="Y310" s="18" t="n"/>
      <c r="Z310" s="9" t="n"/>
      <c r="AA310" s="3">
        <f>TABL1234[[#This Row],[(RESV. STORGE) AJD]]/10</f>
        <v/>
      </c>
      <c r="AB310" s="3">
        <f>IF(TRIM(Z310)="",,(Z310-Z309)/1000)</f>
        <v/>
      </c>
      <c r="AC310" s="5" t="n"/>
      <c r="AD310" s="6">
        <f>TABL1234[[#This Row],[( S/S+T/B) AJD]]-(TABL1234[[#This Row],[(A/B + A/S) AJD]]+(TABL1234[[#This Row],[(STORGE DIFF.) AJD]]*1000)+TABL1234[[#This Row],[AJD_Evaporation]])</f>
        <v/>
      </c>
      <c r="AE310" s="33" t="n"/>
      <c r="AF310" s="6" t="n"/>
      <c r="AG310" s="6" t="n"/>
      <c r="AH310" s="6" t="n"/>
      <c r="AI310" s="6" t="n"/>
      <c r="AJ310" s="33">
        <f>TABL1234[[#This Row],[(A/B) AJD]]-TABL1234[[#This Row],[BER_IN]]</f>
        <v/>
      </c>
      <c r="AK310" s="6" t="n"/>
      <c r="AL310" s="6" t="n"/>
      <c r="AM310" s="32" t="n"/>
      <c r="AN310" s="32">
        <f>TABL1234[[#This Row],[ (RESV. STORGE) SER]]/10</f>
        <v/>
      </c>
      <c r="AO310" s="68" t="n"/>
      <c r="AP310" s="68">
        <f>TABL1234[[#This Row],[(A/S) AJD]]-TABL1234[[#This Row],[SER_IN]]</f>
        <v/>
      </c>
    </row>
    <row r="311" ht="18.75" customHeight="1">
      <c r="A311" s="2" t="n">
        <v>46697</v>
      </c>
      <c r="B311" s="28" t="n"/>
      <c r="C311" s="28" t="n"/>
      <c r="D311" s="28" t="n"/>
      <c r="E311" s="28" t="n"/>
      <c r="F311" s="28" t="n"/>
      <c r="G311" s="28" t="n"/>
      <c r="H311" s="28">
        <f>103-F311</f>
        <v/>
      </c>
      <c r="I311" s="28" t="n"/>
      <c r="J311" s="28" t="n"/>
      <c r="K311" s="28">
        <f>TABL1234[[#This Row],[ (T/B) SAR]]+TABL1234[[#This Row],[ (S/S) SAR]]</f>
        <v/>
      </c>
      <c r="L311" s="28" t="n"/>
      <c r="M311" s="29" t="n"/>
      <c r="N311" s="30" t="n"/>
      <c r="O311" s="40" t="n"/>
      <c r="P311" s="9">
        <f>TABL1234[[#This Row],[ (S/S) SAR]]-TABL1234[[#This Row],[(S/S) AJD]]</f>
        <v/>
      </c>
      <c r="Q311" s="9" t="n"/>
      <c r="R311" s="9">
        <f>TABL1234[[#This Row],[ (T/B) SAR]]-TABL1234[[#This Row],[(T/B) AJD]]</f>
        <v/>
      </c>
      <c r="S311" s="9">
        <f>TABL1234[[#This Row],[T/B-CON.]]+TABL1234[[#This Row],[S/S_CON.]]</f>
        <v/>
      </c>
      <c r="T311" s="9">
        <f>TABL1234[[#This Row],[(S/S) AJD]]+TABL1234[[#This Row],[(T/B) AJD]]</f>
        <v/>
      </c>
      <c r="U311" s="9" t="n"/>
      <c r="V311" s="9" t="n"/>
      <c r="W311" s="9">
        <f>TABL1234[[#This Row],[(A/B) AJD]]+TABL1234[[#This Row],[(A/S) AJD]]</f>
        <v/>
      </c>
      <c r="X311" s="9">
        <f>TABL1234[[#This Row],[( S/S+T/B) AJD]]-TABL1234[[#This Row],[(A/B + A/S) AJD]]</f>
        <v/>
      </c>
      <c r="Y311" s="18" t="n"/>
      <c r="Z311" s="9" t="n"/>
      <c r="AA311" s="3">
        <f>TABL1234[[#This Row],[(RESV. STORGE) AJD]]/10</f>
        <v/>
      </c>
      <c r="AB311" s="3">
        <f>IF(TRIM(Z311)="",,(Z311-Z310)/1000)</f>
        <v/>
      </c>
      <c r="AC311" s="5" t="n"/>
      <c r="AD311" s="6">
        <f>TABL1234[[#This Row],[( S/S+T/B) AJD]]-(TABL1234[[#This Row],[(A/B + A/S) AJD]]+(TABL1234[[#This Row],[(STORGE DIFF.) AJD]]*1000)+TABL1234[[#This Row],[AJD_Evaporation]])</f>
        <v/>
      </c>
      <c r="AE311" s="33" t="n"/>
      <c r="AF311" s="6" t="n"/>
      <c r="AG311" s="6" t="n"/>
      <c r="AH311" s="6" t="n"/>
      <c r="AI311" s="6" t="n"/>
      <c r="AJ311" s="33">
        <f>TABL1234[[#This Row],[(A/B) AJD]]-TABL1234[[#This Row],[BER_IN]]</f>
        <v/>
      </c>
      <c r="AK311" s="6" t="n"/>
      <c r="AL311" s="6" t="n"/>
      <c r="AM311" s="32" t="n"/>
      <c r="AN311" s="32">
        <f>TABL1234[[#This Row],[ (RESV. STORGE) SER]]/10</f>
        <v/>
      </c>
      <c r="AO311" s="68" t="n"/>
      <c r="AP311" s="68">
        <f>TABL1234[[#This Row],[(A/S) AJD]]-TABL1234[[#This Row],[SER_IN]]</f>
        <v/>
      </c>
    </row>
    <row r="312" ht="18.75" customHeight="1">
      <c r="A312" s="2" t="n">
        <v>46698</v>
      </c>
      <c r="B312" s="28" t="n"/>
      <c r="C312" s="28" t="n"/>
      <c r="D312" s="28" t="n"/>
      <c r="E312" s="28" t="n"/>
      <c r="F312" s="28" t="n"/>
      <c r="G312" s="28" t="n"/>
      <c r="H312" s="28">
        <f>103-F312</f>
        <v/>
      </c>
      <c r="I312" s="28" t="n"/>
      <c r="J312" s="28" t="n"/>
      <c r="K312" s="28">
        <f>TABL1234[[#This Row],[ (T/B) SAR]]+TABL1234[[#This Row],[ (S/S) SAR]]</f>
        <v/>
      </c>
      <c r="L312" s="28" t="n"/>
      <c r="M312" s="29" t="n"/>
      <c r="N312" s="30" t="n"/>
      <c r="O312" s="39" t="n"/>
      <c r="P312" s="9">
        <f>TABL1234[[#This Row],[ (S/S) SAR]]-TABL1234[[#This Row],[(S/S) AJD]]</f>
        <v/>
      </c>
      <c r="Q312" s="9" t="n"/>
      <c r="R312" s="9">
        <f>TABL1234[[#This Row],[ (T/B) SAR]]-TABL1234[[#This Row],[(T/B) AJD]]</f>
        <v/>
      </c>
      <c r="S312" s="9">
        <f>TABL1234[[#This Row],[T/B-CON.]]+TABL1234[[#This Row],[S/S_CON.]]</f>
        <v/>
      </c>
      <c r="T312" s="9">
        <f>TABL1234[[#This Row],[(S/S) AJD]]+TABL1234[[#This Row],[(T/B) AJD]]</f>
        <v/>
      </c>
      <c r="U312" s="9" t="n"/>
      <c r="V312" s="9" t="n"/>
      <c r="W312" s="9">
        <f>TABL1234[[#This Row],[(A/B) AJD]]+TABL1234[[#This Row],[(A/S) AJD]]</f>
        <v/>
      </c>
      <c r="X312" s="9">
        <f>TABL1234[[#This Row],[( S/S+T/B) AJD]]-TABL1234[[#This Row],[(A/B + A/S) AJD]]</f>
        <v/>
      </c>
      <c r="Y312" s="18" t="n"/>
      <c r="Z312" s="9" t="n"/>
      <c r="AA312" s="3">
        <f>TABL1234[[#This Row],[(RESV. STORGE) AJD]]/10</f>
        <v/>
      </c>
      <c r="AB312" s="3">
        <f>IF(TRIM(Z312)="",,(Z312-Z311)/1000)</f>
        <v/>
      </c>
      <c r="AC312" s="5" t="n"/>
      <c r="AD312" s="6">
        <f>TABL1234[[#This Row],[( S/S+T/B) AJD]]-(TABL1234[[#This Row],[(A/B + A/S) AJD]]+(TABL1234[[#This Row],[(STORGE DIFF.) AJD]]*1000)+TABL1234[[#This Row],[AJD_Evaporation]])</f>
        <v/>
      </c>
      <c r="AE312" s="33" t="n"/>
      <c r="AF312" s="6" t="n"/>
      <c r="AG312" s="6" t="n"/>
      <c r="AH312" s="6" t="n"/>
      <c r="AI312" s="6" t="n"/>
      <c r="AJ312" s="33">
        <f>TABL1234[[#This Row],[(A/B) AJD]]-TABL1234[[#This Row],[BER_IN]]</f>
        <v/>
      </c>
      <c r="AK312" s="6" t="n"/>
      <c r="AL312" s="6" t="n"/>
      <c r="AM312" s="32" t="n"/>
      <c r="AN312" s="32">
        <f>TABL1234[[#This Row],[ (RESV. STORGE) SER]]/10</f>
        <v/>
      </c>
      <c r="AO312" s="68" t="n"/>
      <c r="AP312" s="68">
        <f>TABL1234[[#This Row],[(A/S) AJD]]-TABL1234[[#This Row],[SER_IN]]</f>
        <v/>
      </c>
    </row>
    <row r="313" ht="18.75" customHeight="1">
      <c r="A313" s="2" t="n">
        <v>46699</v>
      </c>
      <c r="B313" s="28" t="n"/>
      <c r="C313" s="28" t="n"/>
      <c r="D313" s="28" t="n"/>
      <c r="E313" s="28" t="n"/>
      <c r="F313" s="28" t="n"/>
      <c r="G313" s="28" t="n"/>
      <c r="H313" s="28">
        <f>103-F313</f>
        <v/>
      </c>
      <c r="I313" s="28" t="n"/>
      <c r="J313" s="28" t="n"/>
      <c r="K313" s="28">
        <f>TABL1234[[#This Row],[ (T/B) SAR]]+TABL1234[[#This Row],[ (S/S) SAR]]</f>
        <v/>
      </c>
      <c r="L313" s="28" t="n"/>
      <c r="M313" s="29" t="n"/>
      <c r="N313" s="30" t="n"/>
      <c r="O313" s="40" t="n"/>
      <c r="P313" s="9">
        <f>TABL1234[[#This Row],[ (S/S) SAR]]-TABL1234[[#This Row],[(S/S) AJD]]</f>
        <v/>
      </c>
      <c r="Q313" s="9" t="n"/>
      <c r="R313" s="9">
        <f>TABL1234[[#This Row],[ (T/B) SAR]]-TABL1234[[#This Row],[(T/B) AJD]]</f>
        <v/>
      </c>
      <c r="S313" s="9">
        <f>TABL1234[[#This Row],[T/B-CON.]]+TABL1234[[#This Row],[S/S_CON.]]</f>
        <v/>
      </c>
      <c r="T313" s="9">
        <f>TABL1234[[#This Row],[(S/S) AJD]]+TABL1234[[#This Row],[(T/B) AJD]]</f>
        <v/>
      </c>
      <c r="U313" s="9" t="n"/>
      <c r="V313" s="9" t="n"/>
      <c r="W313" s="9">
        <f>TABL1234[[#This Row],[(A/B) AJD]]+TABL1234[[#This Row],[(A/S) AJD]]</f>
        <v/>
      </c>
      <c r="X313" s="9">
        <f>TABL1234[[#This Row],[( S/S+T/B) AJD]]-TABL1234[[#This Row],[(A/B + A/S) AJD]]</f>
        <v/>
      </c>
      <c r="Y313" s="18" t="n"/>
      <c r="Z313" s="9" t="n"/>
      <c r="AA313" s="3">
        <f>TABL1234[[#This Row],[(RESV. STORGE) AJD]]/10</f>
        <v/>
      </c>
      <c r="AB313" s="3">
        <f>IF(TRIM(Z313)="",,(Z313-Z312)/1000)</f>
        <v/>
      </c>
      <c r="AC313" s="5" t="n"/>
      <c r="AD313" s="6">
        <f>TABL1234[[#This Row],[( S/S+T/B) AJD]]-(TABL1234[[#This Row],[(A/B + A/S) AJD]]+(TABL1234[[#This Row],[(STORGE DIFF.) AJD]]*1000)+TABL1234[[#This Row],[AJD_Evaporation]])</f>
        <v/>
      </c>
      <c r="AE313" s="33" t="n"/>
      <c r="AF313" s="6" t="n"/>
      <c r="AG313" s="6" t="n"/>
      <c r="AH313" s="6" t="n"/>
      <c r="AI313" s="6" t="n"/>
      <c r="AJ313" s="33">
        <f>TABL1234[[#This Row],[(A/B) AJD]]-TABL1234[[#This Row],[BER_IN]]</f>
        <v/>
      </c>
      <c r="AK313" s="6" t="n"/>
      <c r="AL313" s="6" t="n"/>
      <c r="AM313" s="32" t="n"/>
      <c r="AN313" s="32">
        <f>TABL1234[[#This Row],[ (RESV. STORGE) SER]]/10</f>
        <v/>
      </c>
      <c r="AO313" s="68" t="n"/>
      <c r="AP313" s="68">
        <f>TABL1234[[#This Row],[(A/S) AJD]]-TABL1234[[#This Row],[SER_IN]]</f>
        <v/>
      </c>
    </row>
    <row r="314" ht="18.75" customHeight="1">
      <c r="A314" s="2" t="n">
        <v>46700</v>
      </c>
      <c r="B314" s="28" t="n"/>
      <c r="C314" s="28" t="n"/>
      <c r="D314" s="28" t="n"/>
      <c r="E314" s="28" t="n"/>
      <c r="F314" s="28" t="n"/>
      <c r="G314" s="28" t="n"/>
      <c r="H314" s="28">
        <f>103-F314</f>
        <v/>
      </c>
      <c r="I314" s="28" t="n"/>
      <c r="J314" s="28" t="n"/>
      <c r="K314" s="28">
        <f>TABL1234[[#This Row],[ (T/B) SAR]]+TABL1234[[#This Row],[ (S/S) SAR]]</f>
        <v/>
      </c>
      <c r="L314" s="28" t="n"/>
      <c r="M314" s="29" t="n"/>
      <c r="N314" s="30" t="n"/>
      <c r="O314" s="39" t="n"/>
      <c r="P314" s="9">
        <f>TABL1234[[#This Row],[ (S/S) SAR]]-TABL1234[[#This Row],[(S/S) AJD]]</f>
        <v/>
      </c>
      <c r="Q314" s="9" t="n"/>
      <c r="R314" s="9">
        <f>TABL1234[[#This Row],[ (T/B) SAR]]-TABL1234[[#This Row],[(T/B) AJD]]</f>
        <v/>
      </c>
      <c r="S314" s="9">
        <f>TABL1234[[#This Row],[T/B-CON.]]+TABL1234[[#This Row],[S/S_CON.]]</f>
        <v/>
      </c>
      <c r="T314" s="9">
        <f>TABL1234[[#This Row],[(S/S) AJD]]+TABL1234[[#This Row],[(T/B) AJD]]</f>
        <v/>
      </c>
      <c r="U314" s="9" t="n"/>
      <c r="V314" s="9" t="n"/>
      <c r="W314" s="9">
        <f>TABL1234[[#This Row],[(A/B) AJD]]+TABL1234[[#This Row],[(A/S) AJD]]</f>
        <v/>
      </c>
      <c r="X314" s="9">
        <f>TABL1234[[#This Row],[( S/S+T/B) AJD]]-TABL1234[[#This Row],[(A/B + A/S) AJD]]</f>
        <v/>
      </c>
      <c r="Y314" s="18" t="n"/>
      <c r="Z314" s="9" t="n"/>
      <c r="AA314" s="3">
        <f>TABL1234[[#This Row],[(RESV. STORGE) AJD]]/10</f>
        <v/>
      </c>
      <c r="AB314" s="3">
        <f>IF(TRIM(Z314)="",,(Z314-Z313)/1000)</f>
        <v/>
      </c>
      <c r="AC314" s="5" t="n"/>
      <c r="AD314" s="6">
        <f>TABL1234[[#This Row],[( S/S+T/B) AJD]]-(TABL1234[[#This Row],[(A/B + A/S) AJD]]+(TABL1234[[#This Row],[(STORGE DIFF.) AJD]]*1000)+TABL1234[[#This Row],[AJD_Evaporation]])</f>
        <v/>
      </c>
      <c r="AE314" s="33" t="n"/>
      <c r="AF314" s="6" t="n"/>
      <c r="AG314" s="6" t="n"/>
      <c r="AH314" s="6" t="n"/>
      <c r="AI314" s="6" t="n"/>
      <c r="AJ314" s="33">
        <f>TABL1234[[#This Row],[(A/B) AJD]]-TABL1234[[#This Row],[BER_IN]]</f>
        <v/>
      </c>
      <c r="AK314" s="6" t="n"/>
      <c r="AL314" s="6" t="n"/>
      <c r="AM314" s="32" t="n"/>
      <c r="AN314" s="32">
        <f>TABL1234[[#This Row],[ (RESV. STORGE) SER]]/10</f>
        <v/>
      </c>
      <c r="AO314" s="68" t="n"/>
      <c r="AP314" s="68">
        <f>TABL1234[[#This Row],[(A/S) AJD]]-TABL1234[[#This Row],[SER_IN]]</f>
        <v/>
      </c>
    </row>
    <row r="315" ht="18.75" customHeight="1">
      <c r="A315" s="2" t="n">
        <v>46701</v>
      </c>
      <c r="B315" s="28" t="n"/>
      <c r="C315" s="28" t="n"/>
      <c r="D315" s="28" t="n"/>
      <c r="E315" s="28" t="n"/>
      <c r="F315" s="28" t="n"/>
      <c r="G315" s="28" t="n"/>
      <c r="H315" s="28">
        <f>103-F315</f>
        <v/>
      </c>
      <c r="I315" s="28" t="n"/>
      <c r="J315" s="28" t="n"/>
      <c r="K315" s="28">
        <f>TABL1234[[#This Row],[ (T/B) SAR]]+TABL1234[[#This Row],[ (S/S) SAR]]</f>
        <v/>
      </c>
      <c r="L315" s="28" t="n"/>
      <c r="M315" s="29" t="n"/>
      <c r="N315" s="30" t="n"/>
      <c r="O315" s="40" t="n"/>
      <c r="P315" s="9">
        <f>TABL1234[[#This Row],[ (S/S) SAR]]-TABL1234[[#This Row],[(S/S) AJD]]</f>
        <v/>
      </c>
      <c r="Q315" s="9" t="n"/>
      <c r="R315" s="9">
        <f>TABL1234[[#This Row],[ (T/B) SAR]]-TABL1234[[#This Row],[(T/B) AJD]]</f>
        <v/>
      </c>
      <c r="S315" s="9">
        <f>TABL1234[[#This Row],[T/B-CON.]]+TABL1234[[#This Row],[S/S_CON.]]</f>
        <v/>
      </c>
      <c r="T315" s="9">
        <f>TABL1234[[#This Row],[(S/S) AJD]]+TABL1234[[#This Row],[(T/B) AJD]]</f>
        <v/>
      </c>
      <c r="U315" s="9" t="n"/>
      <c r="V315" s="9" t="n"/>
      <c r="W315" s="9">
        <f>TABL1234[[#This Row],[(A/B) AJD]]+TABL1234[[#This Row],[(A/S) AJD]]</f>
        <v/>
      </c>
      <c r="X315" s="9">
        <f>TABL1234[[#This Row],[( S/S+T/B) AJD]]-TABL1234[[#This Row],[(A/B + A/S) AJD]]</f>
        <v/>
      </c>
      <c r="Y315" s="18" t="n"/>
      <c r="Z315" s="9" t="n"/>
      <c r="AA315" s="3">
        <f>TABL1234[[#This Row],[(RESV. STORGE) AJD]]/10</f>
        <v/>
      </c>
      <c r="AB315" s="3">
        <f>IF(TRIM(Z315)="",,(Z315-Z314)/1000)</f>
        <v/>
      </c>
      <c r="AC315" s="5" t="n"/>
      <c r="AD315" s="6">
        <f>TABL1234[[#This Row],[( S/S+T/B) AJD]]-(TABL1234[[#This Row],[(A/B + A/S) AJD]]+(TABL1234[[#This Row],[(STORGE DIFF.) AJD]]*1000)+TABL1234[[#This Row],[AJD_Evaporation]])</f>
        <v/>
      </c>
      <c r="AE315" s="33" t="n"/>
      <c r="AF315" s="6" t="n"/>
      <c r="AG315" s="6" t="n"/>
      <c r="AH315" s="6" t="n"/>
      <c r="AI315" s="6" t="n"/>
      <c r="AJ315" s="33">
        <f>TABL1234[[#This Row],[(A/B) AJD]]-TABL1234[[#This Row],[BER_IN]]</f>
        <v/>
      </c>
      <c r="AK315" s="6" t="n"/>
      <c r="AL315" s="6" t="n"/>
      <c r="AM315" s="32" t="n"/>
      <c r="AN315" s="32">
        <f>TABL1234[[#This Row],[ (RESV. STORGE) SER]]/10</f>
        <v/>
      </c>
      <c r="AO315" s="68" t="n"/>
      <c r="AP315" s="68">
        <f>TABL1234[[#This Row],[(A/S) AJD]]-TABL1234[[#This Row],[SER_IN]]</f>
        <v/>
      </c>
    </row>
    <row r="316" ht="18.75" customHeight="1">
      <c r="A316" s="2" t="n">
        <v>46702</v>
      </c>
      <c r="B316" s="28" t="n"/>
      <c r="C316" s="28" t="n"/>
      <c r="D316" s="28" t="n"/>
      <c r="E316" s="28" t="n"/>
      <c r="F316" s="28" t="n"/>
      <c r="G316" s="28" t="n"/>
      <c r="H316" s="28">
        <f>103-F316</f>
        <v/>
      </c>
      <c r="I316" s="28" t="n"/>
      <c r="J316" s="28" t="n"/>
      <c r="K316" s="28">
        <f>TABL1234[[#This Row],[ (T/B) SAR]]+TABL1234[[#This Row],[ (S/S) SAR]]</f>
        <v/>
      </c>
      <c r="L316" s="28" t="n"/>
      <c r="M316" s="29" t="n"/>
      <c r="N316" s="30" t="n"/>
      <c r="O316" s="39" t="n"/>
      <c r="P316" s="9">
        <f>TABL1234[[#This Row],[ (S/S) SAR]]-TABL1234[[#This Row],[(S/S) AJD]]</f>
        <v/>
      </c>
      <c r="Q316" s="9" t="n"/>
      <c r="R316" s="9">
        <f>TABL1234[[#This Row],[ (T/B) SAR]]-TABL1234[[#This Row],[(T/B) AJD]]</f>
        <v/>
      </c>
      <c r="S316" s="9">
        <f>TABL1234[[#This Row],[T/B-CON.]]+TABL1234[[#This Row],[S/S_CON.]]</f>
        <v/>
      </c>
      <c r="T316" s="9">
        <f>TABL1234[[#This Row],[(S/S) AJD]]+TABL1234[[#This Row],[(T/B) AJD]]</f>
        <v/>
      </c>
      <c r="U316" s="9" t="n"/>
      <c r="V316" s="9" t="n"/>
      <c r="W316" s="9">
        <f>TABL1234[[#This Row],[(A/B) AJD]]+TABL1234[[#This Row],[(A/S) AJD]]</f>
        <v/>
      </c>
      <c r="X316" s="9">
        <f>TABL1234[[#This Row],[( S/S+T/B) AJD]]-TABL1234[[#This Row],[(A/B + A/S) AJD]]</f>
        <v/>
      </c>
      <c r="Y316" s="18" t="n"/>
      <c r="Z316" s="9" t="n"/>
      <c r="AA316" s="3">
        <f>TABL1234[[#This Row],[(RESV. STORGE) AJD]]/10</f>
        <v/>
      </c>
      <c r="AB316" s="3">
        <f>IF(TRIM(Z316)="",,(Z316-Z315)/1000)</f>
        <v/>
      </c>
      <c r="AC316" s="5" t="n"/>
      <c r="AD316" s="6">
        <f>TABL1234[[#This Row],[( S/S+T/B) AJD]]-(TABL1234[[#This Row],[(A/B + A/S) AJD]]+(TABL1234[[#This Row],[(STORGE DIFF.) AJD]]*1000)+TABL1234[[#This Row],[AJD_Evaporation]])</f>
        <v/>
      </c>
      <c r="AE316" s="33" t="n"/>
      <c r="AF316" s="6" t="n"/>
      <c r="AG316" s="6" t="n"/>
      <c r="AH316" s="6" t="n"/>
      <c r="AI316" s="6" t="n"/>
      <c r="AJ316" s="33">
        <f>TABL1234[[#This Row],[(A/B) AJD]]-TABL1234[[#This Row],[BER_IN]]</f>
        <v/>
      </c>
      <c r="AK316" s="6" t="n"/>
      <c r="AL316" s="6" t="n"/>
      <c r="AM316" s="32" t="n"/>
      <c r="AN316" s="32">
        <f>TABL1234[[#This Row],[ (RESV. STORGE) SER]]/10</f>
        <v/>
      </c>
      <c r="AO316" s="68" t="n"/>
      <c r="AP316" s="68">
        <f>TABL1234[[#This Row],[(A/S) AJD]]-TABL1234[[#This Row],[SER_IN]]</f>
        <v/>
      </c>
    </row>
    <row r="317" ht="18.75" customHeight="1">
      <c r="A317" s="2" t="n">
        <v>46703</v>
      </c>
      <c r="B317" s="28" t="n"/>
      <c r="C317" s="28" t="n"/>
      <c r="D317" s="28" t="n"/>
      <c r="E317" s="28" t="n"/>
      <c r="F317" s="28" t="n"/>
      <c r="G317" s="28" t="n"/>
      <c r="H317" s="28">
        <f>103-F317</f>
        <v/>
      </c>
      <c r="I317" s="28" t="n"/>
      <c r="J317" s="28" t="n"/>
      <c r="K317" s="28">
        <f>TABL1234[[#This Row],[ (T/B) SAR]]+TABL1234[[#This Row],[ (S/S) SAR]]</f>
        <v/>
      </c>
      <c r="L317" s="28" t="n"/>
      <c r="M317" s="29" t="n"/>
      <c r="N317" s="30" t="n"/>
      <c r="O317" s="40" t="n"/>
      <c r="P317" s="9">
        <f>TABL1234[[#This Row],[ (S/S) SAR]]-TABL1234[[#This Row],[(S/S) AJD]]</f>
        <v/>
      </c>
      <c r="Q317" s="9" t="n"/>
      <c r="R317" s="9">
        <f>TABL1234[[#This Row],[ (T/B) SAR]]-TABL1234[[#This Row],[(T/B) AJD]]</f>
        <v/>
      </c>
      <c r="S317" s="9">
        <f>TABL1234[[#This Row],[T/B-CON.]]+TABL1234[[#This Row],[S/S_CON.]]</f>
        <v/>
      </c>
      <c r="T317" s="9">
        <f>TABL1234[[#This Row],[(S/S) AJD]]+TABL1234[[#This Row],[(T/B) AJD]]</f>
        <v/>
      </c>
      <c r="U317" s="9" t="n"/>
      <c r="V317" s="9" t="n"/>
      <c r="W317" s="9">
        <f>TABL1234[[#This Row],[(A/B) AJD]]+TABL1234[[#This Row],[(A/S) AJD]]</f>
        <v/>
      </c>
      <c r="X317" s="9">
        <f>TABL1234[[#This Row],[( S/S+T/B) AJD]]-TABL1234[[#This Row],[(A/B + A/S) AJD]]</f>
        <v/>
      </c>
      <c r="Y317" s="18" t="n"/>
      <c r="Z317" s="9" t="n"/>
      <c r="AA317" s="3">
        <f>TABL1234[[#This Row],[(RESV. STORGE) AJD]]/10</f>
        <v/>
      </c>
      <c r="AB317" s="3">
        <f>IF(TRIM(Z317)="",,(Z317-Z316)/1000)</f>
        <v/>
      </c>
      <c r="AC317" s="5" t="n"/>
      <c r="AD317" s="6">
        <f>TABL1234[[#This Row],[( S/S+T/B) AJD]]-(TABL1234[[#This Row],[(A/B + A/S) AJD]]+(TABL1234[[#This Row],[(STORGE DIFF.) AJD]]*1000)+TABL1234[[#This Row],[AJD_Evaporation]])</f>
        <v/>
      </c>
      <c r="AE317" s="33" t="n"/>
      <c r="AF317" s="6" t="n"/>
      <c r="AG317" s="6" t="n"/>
      <c r="AH317" s="6" t="n"/>
      <c r="AI317" s="6" t="n"/>
      <c r="AJ317" s="33">
        <f>TABL1234[[#This Row],[(A/B) AJD]]-TABL1234[[#This Row],[BER_IN]]</f>
        <v/>
      </c>
      <c r="AK317" s="6" t="n"/>
      <c r="AL317" s="6" t="n"/>
      <c r="AM317" s="32" t="n"/>
      <c r="AN317" s="32">
        <f>TABL1234[[#This Row],[ (RESV. STORGE) SER]]/10</f>
        <v/>
      </c>
      <c r="AO317" s="68" t="n"/>
      <c r="AP317" s="68">
        <f>TABL1234[[#This Row],[(A/S) AJD]]-TABL1234[[#This Row],[SER_IN]]</f>
        <v/>
      </c>
    </row>
    <row r="318" ht="18.75" customHeight="1">
      <c r="A318" s="2" t="n">
        <v>46704</v>
      </c>
      <c r="B318" s="28" t="n"/>
      <c r="C318" s="28" t="n"/>
      <c r="D318" s="28" t="n"/>
      <c r="E318" s="28" t="n"/>
      <c r="F318" s="28" t="n"/>
      <c r="G318" s="28" t="n"/>
      <c r="H318" s="28">
        <f>103-F318</f>
        <v/>
      </c>
      <c r="I318" s="28" t="n"/>
      <c r="J318" s="28" t="n"/>
      <c r="K318" s="28">
        <f>TABL1234[[#This Row],[ (T/B) SAR]]+TABL1234[[#This Row],[ (S/S) SAR]]</f>
        <v/>
      </c>
      <c r="L318" s="28" t="n"/>
      <c r="M318" s="29" t="n"/>
      <c r="N318" s="30" t="n"/>
      <c r="O318" s="39" t="n"/>
      <c r="P318" s="9">
        <f>TABL1234[[#This Row],[ (S/S) SAR]]-TABL1234[[#This Row],[(S/S) AJD]]</f>
        <v/>
      </c>
      <c r="Q318" s="9" t="n"/>
      <c r="R318" s="9">
        <f>TABL1234[[#This Row],[ (T/B) SAR]]-TABL1234[[#This Row],[(T/B) AJD]]</f>
        <v/>
      </c>
      <c r="S318" s="9">
        <f>TABL1234[[#This Row],[T/B-CON.]]+TABL1234[[#This Row],[S/S_CON.]]</f>
        <v/>
      </c>
      <c r="T318" s="9">
        <f>TABL1234[[#This Row],[(S/S) AJD]]+TABL1234[[#This Row],[(T/B) AJD]]</f>
        <v/>
      </c>
      <c r="U318" s="9" t="n"/>
      <c r="V318" s="9" t="n"/>
      <c r="W318" s="9">
        <f>TABL1234[[#This Row],[(A/B) AJD]]+TABL1234[[#This Row],[(A/S) AJD]]</f>
        <v/>
      </c>
      <c r="X318" s="9">
        <f>TABL1234[[#This Row],[( S/S+T/B) AJD]]-TABL1234[[#This Row],[(A/B + A/S) AJD]]</f>
        <v/>
      </c>
      <c r="Y318" s="18" t="n"/>
      <c r="Z318" s="9" t="n"/>
      <c r="AA318" s="3">
        <f>TABL1234[[#This Row],[(RESV. STORGE) AJD]]/10</f>
        <v/>
      </c>
      <c r="AB318" s="3">
        <f>IF(TRIM(Z318)="",,(Z318-Z317)/1000)</f>
        <v/>
      </c>
      <c r="AC318" s="5" t="n"/>
      <c r="AD318" s="6">
        <f>TABL1234[[#This Row],[( S/S+T/B) AJD]]-(TABL1234[[#This Row],[(A/B + A/S) AJD]]+(TABL1234[[#This Row],[(STORGE DIFF.) AJD]]*1000)+TABL1234[[#This Row],[AJD_Evaporation]])</f>
        <v/>
      </c>
      <c r="AE318" s="33" t="n"/>
      <c r="AF318" s="6" t="n"/>
      <c r="AG318" s="6" t="n"/>
      <c r="AH318" s="6" t="n"/>
      <c r="AI318" s="6" t="n"/>
      <c r="AJ318" s="33">
        <f>TABL1234[[#This Row],[(A/B) AJD]]-TABL1234[[#This Row],[BER_IN]]</f>
        <v/>
      </c>
      <c r="AK318" s="6" t="n"/>
      <c r="AL318" s="6" t="n"/>
      <c r="AM318" s="32" t="n"/>
      <c r="AN318" s="32">
        <f>TABL1234[[#This Row],[ (RESV. STORGE) SER]]/10</f>
        <v/>
      </c>
      <c r="AO318" s="68" t="n"/>
      <c r="AP318" s="68">
        <f>TABL1234[[#This Row],[(A/S) AJD]]-TABL1234[[#This Row],[SER_IN]]</f>
        <v/>
      </c>
    </row>
    <row r="319" ht="18.75" customHeight="1">
      <c r="A319" s="2" t="n">
        <v>46705</v>
      </c>
      <c r="B319" s="28" t="n"/>
      <c r="C319" s="28" t="n"/>
      <c r="D319" s="28" t="n"/>
      <c r="E319" s="28" t="n"/>
      <c r="F319" s="28" t="n"/>
      <c r="G319" s="28" t="n"/>
      <c r="H319" s="28">
        <f>103-F319</f>
        <v/>
      </c>
      <c r="I319" s="28" t="n"/>
      <c r="J319" s="28" t="n"/>
      <c r="K319" s="28">
        <f>TABL1234[[#This Row],[ (T/B) SAR]]+TABL1234[[#This Row],[ (S/S) SAR]]</f>
        <v/>
      </c>
      <c r="L319" s="28" t="n"/>
      <c r="M319" s="29" t="n"/>
      <c r="N319" s="30" t="n"/>
      <c r="O319" s="40" t="n"/>
      <c r="P319" s="9">
        <f>TABL1234[[#This Row],[ (S/S) SAR]]-TABL1234[[#This Row],[(S/S) AJD]]</f>
        <v/>
      </c>
      <c r="Q319" s="9" t="n"/>
      <c r="R319" s="9">
        <f>TABL1234[[#This Row],[ (T/B) SAR]]-TABL1234[[#This Row],[(T/B) AJD]]</f>
        <v/>
      </c>
      <c r="S319" s="9">
        <f>TABL1234[[#This Row],[T/B-CON.]]+TABL1234[[#This Row],[S/S_CON.]]</f>
        <v/>
      </c>
      <c r="T319" s="9">
        <f>TABL1234[[#This Row],[(S/S) AJD]]+TABL1234[[#This Row],[(T/B) AJD]]</f>
        <v/>
      </c>
      <c r="U319" s="9" t="n"/>
      <c r="V319" s="9" t="n"/>
      <c r="W319" s="9">
        <f>TABL1234[[#This Row],[(A/B) AJD]]+TABL1234[[#This Row],[(A/S) AJD]]</f>
        <v/>
      </c>
      <c r="X319" s="9">
        <f>TABL1234[[#This Row],[( S/S+T/B) AJD]]-TABL1234[[#This Row],[(A/B + A/S) AJD]]</f>
        <v/>
      </c>
      <c r="Y319" s="18" t="n"/>
      <c r="Z319" s="9" t="n"/>
      <c r="AA319" s="3">
        <f>TABL1234[[#This Row],[(RESV. STORGE) AJD]]/10</f>
        <v/>
      </c>
      <c r="AB319" s="3">
        <f>IF(TRIM(Z319)="",,(Z319-Z318)/1000)</f>
        <v/>
      </c>
      <c r="AC319" s="5" t="n"/>
      <c r="AD319" s="6">
        <f>TABL1234[[#This Row],[( S/S+T/B) AJD]]-(TABL1234[[#This Row],[(A/B + A/S) AJD]]+(TABL1234[[#This Row],[(STORGE DIFF.) AJD]]*1000)+TABL1234[[#This Row],[AJD_Evaporation]])</f>
        <v/>
      </c>
      <c r="AE319" s="33" t="n"/>
      <c r="AF319" s="6" t="n"/>
      <c r="AG319" s="6" t="n"/>
      <c r="AH319" s="6" t="n"/>
      <c r="AI319" s="6" t="n"/>
      <c r="AJ319" s="33">
        <f>TABL1234[[#This Row],[(A/B) AJD]]-TABL1234[[#This Row],[BER_IN]]</f>
        <v/>
      </c>
      <c r="AK319" s="6" t="n"/>
      <c r="AL319" s="6" t="n"/>
      <c r="AM319" s="32" t="n"/>
      <c r="AN319" s="32">
        <f>TABL1234[[#This Row],[ (RESV. STORGE) SER]]/10</f>
        <v/>
      </c>
      <c r="AO319" s="68" t="n"/>
      <c r="AP319" s="68">
        <f>TABL1234[[#This Row],[(A/S) AJD]]-TABL1234[[#This Row],[SER_IN]]</f>
        <v/>
      </c>
    </row>
    <row r="320" ht="18.75" customHeight="1">
      <c r="A320" s="2" t="n">
        <v>46706</v>
      </c>
      <c r="B320" s="28" t="n"/>
      <c r="C320" s="28" t="n"/>
      <c r="D320" s="28" t="n"/>
      <c r="E320" s="28" t="n"/>
      <c r="F320" s="28" t="n"/>
      <c r="G320" s="28" t="n"/>
      <c r="H320" s="28">
        <f>103-F320</f>
        <v/>
      </c>
      <c r="I320" s="28" t="n"/>
      <c r="J320" s="28" t="n"/>
      <c r="K320" s="28">
        <f>TABL1234[[#This Row],[ (T/B) SAR]]+TABL1234[[#This Row],[ (S/S) SAR]]</f>
        <v/>
      </c>
      <c r="L320" s="28" t="n"/>
      <c r="M320" s="29" t="n"/>
      <c r="N320" s="30" t="n"/>
      <c r="O320" s="39" t="n"/>
      <c r="P320" s="9">
        <f>TABL1234[[#This Row],[ (S/S) SAR]]-TABL1234[[#This Row],[(S/S) AJD]]</f>
        <v/>
      </c>
      <c r="Q320" s="9" t="n"/>
      <c r="R320" s="9">
        <f>TABL1234[[#This Row],[ (T/B) SAR]]-TABL1234[[#This Row],[(T/B) AJD]]</f>
        <v/>
      </c>
      <c r="S320" s="9">
        <f>TABL1234[[#This Row],[T/B-CON.]]+TABL1234[[#This Row],[S/S_CON.]]</f>
        <v/>
      </c>
      <c r="T320" s="9">
        <f>TABL1234[[#This Row],[(S/S) AJD]]+TABL1234[[#This Row],[(T/B) AJD]]</f>
        <v/>
      </c>
      <c r="U320" s="9" t="n"/>
      <c r="V320" s="9" t="n"/>
      <c r="W320" s="9">
        <f>TABL1234[[#This Row],[(A/B) AJD]]+TABL1234[[#This Row],[(A/S) AJD]]</f>
        <v/>
      </c>
      <c r="X320" s="9">
        <f>TABL1234[[#This Row],[( S/S+T/B) AJD]]-TABL1234[[#This Row],[(A/B + A/S) AJD]]</f>
        <v/>
      </c>
      <c r="Y320" s="18" t="n"/>
      <c r="Z320" s="9" t="n"/>
      <c r="AA320" s="3">
        <f>TABL1234[[#This Row],[(RESV. STORGE) AJD]]/10</f>
        <v/>
      </c>
      <c r="AB320" s="3">
        <f>IF(TRIM(Z320)="",,(Z320-Z319)/1000)</f>
        <v/>
      </c>
      <c r="AC320" s="5" t="n"/>
      <c r="AD320" s="6">
        <f>TABL1234[[#This Row],[( S/S+T/B) AJD]]-(TABL1234[[#This Row],[(A/B + A/S) AJD]]+(TABL1234[[#This Row],[(STORGE DIFF.) AJD]]*1000)+TABL1234[[#This Row],[AJD_Evaporation]])</f>
        <v/>
      </c>
      <c r="AE320" s="33" t="n"/>
      <c r="AF320" s="6" t="n"/>
      <c r="AG320" s="6" t="n"/>
      <c r="AH320" s="6" t="n"/>
      <c r="AI320" s="6" t="n"/>
      <c r="AJ320" s="33">
        <f>TABL1234[[#This Row],[(A/B) AJD]]-TABL1234[[#This Row],[BER_IN]]</f>
        <v/>
      </c>
      <c r="AK320" s="6" t="n"/>
      <c r="AL320" s="6" t="n"/>
      <c r="AM320" s="32" t="n"/>
      <c r="AN320" s="32">
        <f>TABL1234[[#This Row],[ (RESV. STORGE) SER]]/10</f>
        <v/>
      </c>
      <c r="AO320" s="68" t="n"/>
      <c r="AP320" s="68">
        <f>TABL1234[[#This Row],[(A/S) AJD]]-TABL1234[[#This Row],[SER_IN]]</f>
        <v/>
      </c>
    </row>
    <row r="321" ht="18.75" customHeight="1">
      <c r="A321" s="2" t="n">
        <v>46707</v>
      </c>
      <c r="B321" s="28" t="n"/>
      <c r="C321" s="28" t="n"/>
      <c r="D321" s="28" t="n"/>
      <c r="E321" s="28" t="n"/>
      <c r="F321" s="28" t="n"/>
      <c r="G321" s="28" t="n"/>
      <c r="H321" s="28">
        <f>103-F321</f>
        <v/>
      </c>
      <c r="I321" s="28" t="n"/>
      <c r="J321" s="28" t="n"/>
      <c r="K321" s="28">
        <f>TABL1234[[#This Row],[ (T/B) SAR]]+TABL1234[[#This Row],[ (S/S) SAR]]</f>
        <v/>
      </c>
      <c r="L321" s="28" t="n"/>
      <c r="M321" s="29" t="n"/>
      <c r="N321" s="30" t="n"/>
      <c r="O321" s="40" t="n"/>
      <c r="P321" s="9">
        <f>TABL1234[[#This Row],[ (S/S) SAR]]-TABL1234[[#This Row],[(S/S) AJD]]</f>
        <v/>
      </c>
      <c r="Q321" s="9" t="n"/>
      <c r="R321" s="9">
        <f>TABL1234[[#This Row],[ (T/B) SAR]]-TABL1234[[#This Row],[(T/B) AJD]]</f>
        <v/>
      </c>
      <c r="S321" s="9">
        <f>TABL1234[[#This Row],[T/B-CON.]]+TABL1234[[#This Row],[S/S_CON.]]</f>
        <v/>
      </c>
      <c r="T321" s="9">
        <f>TABL1234[[#This Row],[(S/S) AJD]]+TABL1234[[#This Row],[(T/B) AJD]]</f>
        <v/>
      </c>
      <c r="U321" s="9" t="n"/>
      <c r="V321" s="9" t="n"/>
      <c r="W321" s="9">
        <f>TABL1234[[#This Row],[(A/B) AJD]]+TABL1234[[#This Row],[(A/S) AJD]]</f>
        <v/>
      </c>
      <c r="X321" s="9">
        <f>TABL1234[[#This Row],[( S/S+T/B) AJD]]-TABL1234[[#This Row],[(A/B + A/S) AJD]]</f>
        <v/>
      </c>
      <c r="Y321" s="18" t="n"/>
      <c r="Z321" s="9" t="n"/>
      <c r="AA321" s="3">
        <f>TABL1234[[#This Row],[(RESV. STORGE) AJD]]/10</f>
        <v/>
      </c>
      <c r="AB321" s="3">
        <f>IF(TRIM(Z321)="",,(Z321-Z320)/1000)</f>
        <v/>
      </c>
      <c r="AC321" s="5" t="n"/>
      <c r="AD321" s="6">
        <f>TABL1234[[#This Row],[( S/S+T/B) AJD]]-(TABL1234[[#This Row],[(A/B + A/S) AJD]]+(TABL1234[[#This Row],[(STORGE DIFF.) AJD]]*1000)+TABL1234[[#This Row],[AJD_Evaporation]])</f>
        <v/>
      </c>
      <c r="AE321" s="33" t="n"/>
      <c r="AF321" s="6" t="n"/>
      <c r="AG321" s="6" t="n"/>
      <c r="AH321" s="6" t="n"/>
      <c r="AI321" s="6" t="n"/>
      <c r="AJ321" s="33">
        <f>TABL1234[[#This Row],[(A/B) AJD]]-TABL1234[[#This Row],[BER_IN]]</f>
        <v/>
      </c>
      <c r="AK321" s="6" t="n"/>
      <c r="AL321" s="6" t="n"/>
      <c r="AM321" s="32" t="n"/>
      <c r="AN321" s="32">
        <f>TABL1234[[#This Row],[ (RESV. STORGE) SER]]/10</f>
        <v/>
      </c>
      <c r="AO321" s="68" t="n"/>
      <c r="AP321" s="68">
        <f>TABL1234[[#This Row],[(A/S) AJD]]-TABL1234[[#This Row],[SER_IN]]</f>
        <v/>
      </c>
    </row>
    <row r="322" ht="18.75" customHeight="1">
      <c r="A322" s="2" t="n">
        <v>46708</v>
      </c>
      <c r="B322" s="28" t="n"/>
      <c r="C322" s="28" t="n"/>
      <c r="D322" s="28" t="n"/>
      <c r="E322" s="28" t="n"/>
      <c r="F322" s="28" t="n"/>
      <c r="G322" s="28" t="n"/>
      <c r="H322" s="28">
        <f>103-F322</f>
        <v/>
      </c>
      <c r="I322" s="28" t="n"/>
      <c r="J322" s="28" t="n"/>
      <c r="K322" s="28">
        <f>TABL1234[[#This Row],[ (T/B) SAR]]+TABL1234[[#This Row],[ (S/S) SAR]]</f>
        <v/>
      </c>
      <c r="L322" s="28" t="n"/>
      <c r="M322" s="29" t="n"/>
      <c r="N322" s="30" t="n"/>
      <c r="O322" s="39" t="n"/>
      <c r="P322" s="9">
        <f>TABL1234[[#This Row],[ (S/S) SAR]]-TABL1234[[#This Row],[(S/S) AJD]]</f>
        <v/>
      </c>
      <c r="Q322" s="9" t="n"/>
      <c r="R322" s="9">
        <f>TABL1234[[#This Row],[ (T/B) SAR]]-TABL1234[[#This Row],[(T/B) AJD]]</f>
        <v/>
      </c>
      <c r="S322" s="9">
        <f>TABL1234[[#This Row],[T/B-CON.]]+TABL1234[[#This Row],[S/S_CON.]]</f>
        <v/>
      </c>
      <c r="T322" s="9">
        <f>TABL1234[[#This Row],[(S/S) AJD]]+TABL1234[[#This Row],[(T/B) AJD]]</f>
        <v/>
      </c>
      <c r="U322" s="9" t="n"/>
      <c r="V322" s="9" t="n"/>
      <c r="W322" s="9">
        <f>TABL1234[[#This Row],[(A/B) AJD]]+TABL1234[[#This Row],[(A/S) AJD]]</f>
        <v/>
      </c>
      <c r="X322" s="9">
        <f>TABL1234[[#This Row],[( S/S+T/B) AJD]]-TABL1234[[#This Row],[(A/B + A/S) AJD]]</f>
        <v/>
      </c>
      <c r="Y322" s="18" t="n"/>
      <c r="Z322" s="9" t="n"/>
      <c r="AA322" s="3">
        <f>TABL1234[[#This Row],[(RESV. STORGE) AJD]]/10</f>
        <v/>
      </c>
      <c r="AB322" s="3">
        <f>IF(TRIM(Z322)="",,(Z322-Z321)/1000)</f>
        <v/>
      </c>
      <c r="AC322" s="5" t="n"/>
      <c r="AD322" s="6">
        <f>TABL1234[[#This Row],[( S/S+T/B) AJD]]-(TABL1234[[#This Row],[(A/B + A/S) AJD]]+(TABL1234[[#This Row],[(STORGE DIFF.) AJD]]*1000)+TABL1234[[#This Row],[AJD_Evaporation]])</f>
        <v/>
      </c>
      <c r="AE322" s="33" t="n"/>
      <c r="AF322" s="6" t="n"/>
      <c r="AG322" s="6" t="n"/>
      <c r="AH322" s="6" t="n"/>
      <c r="AI322" s="6" t="n"/>
      <c r="AJ322" s="33">
        <f>TABL1234[[#This Row],[(A/B) AJD]]-TABL1234[[#This Row],[BER_IN]]</f>
        <v/>
      </c>
      <c r="AK322" s="6" t="n"/>
      <c r="AL322" s="6" t="n"/>
      <c r="AM322" s="32" t="n"/>
      <c r="AN322" s="32">
        <f>TABL1234[[#This Row],[ (RESV. STORGE) SER]]/10</f>
        <v/>
      </c>
      <c r="AO322" s="68" t="n"/>
      <c r="AP322" s="68">
        <f>TABL1234[[#This Row],[(A/S) AJD]]-TABL1234[[#This Row],[SER_IN]]</f>
        <v/>
      </c>
    </row>
    <row r="323" ht="18.75" customHeight="1">
      <c r="A323" s="2" t="n">
        <v>46709</v>
      </c>
      <c r="B323" s="28" t="n"/>
      <c r="C323" s="28" t="n"/>
      <c r="D323" s="28" t="n"/>
      <c r="E323" s="28" t="n"/>
      <c r="F323" s="28" t="n"/>
      <c r="G323" s="28" t="n"/>
      <c r="H323" s="28">
        <f>103-F323</f>
        <v/>
      </c>
      <c r="I323" s="28" t="n"/>
      <c r="J323" s="28" t="n"/>
      <c r="K323" s="28">
        <f>TABL1234[[#This Row],[ (T/B) SAR]]+TABL1234[[#This Row],[ (S/S) SAR]]</f>
        <v/>
      </c>
      <c r="L323" s="28" t="n"/>
      <c r="M323" s="29" t="n"/>
      <c r="N323" s="30" t="n"/>
      <c r="O323" s="40" t="n"/>
      <c r="P323" s="9">
        <f>TABL1234[[#This Row],[ (S/S) SAR]]-TABL1234[[#This Row],[(S/S) AJD]]</f>
        <v/>
      </c>
      <c r="Q323" s="9" t="n"/>
      <c r="R323" s="9">
        <f>TABL1234[[#This Row],[ (T/B) SAR]]-TABL1234[[#This Row],[(T/B) AJD]]</f>
        <v/>
      </c>
      <c r="S323" s="9">
        <f>TABL1234[[#This Row],[T/B-CON.]]+TABL1234[[#This Row],[S/S_CON.]]</f>
        <v/>
      </c>
      <c r="T323" s="9">
        <f>TABL1234[[#This Row],[(S/S) AJD]]+TABL1234[[#This Row],[(T/B) AJD]]</f>
        <v/>
      </c>
      <c r="U323" s="9" t="n"/>
      <c r="V323" s="9" t="n"/>
      <c r="W323" s="9">
        <f>TABL1234[[#This Row],[(A/B) AJD]]+TABL1234[[#This Row],[(A/S) AJD]]</f>
        <v/>
      </c>
      <c r="X323" s="9">
        <f>TABL1234[[#This Row],[( S/S+T/B) AJD]]-TABL1234[[#This Row],[(A/B + A/S) AJD]]</f>
        <v/>
      </c>
      <c r="Y323" s="18" t="n"/>
      <c r="Z323" s="9" t="n"/>
      <c r="AA323" s="3">
        <f>TABL1234[[#This Row],[(RESV. STORGE) AJD]]/10</f>
        <v/>
      </c>
      <c r="AB323" s="3">
        <f>IF(TRIM(Z323)="",,(Z323-Z322)/1000)</f>
        <v/>
      </c>
      <c r="AC323" s="5" t="n"/>
      <c r="AD323" s="6">
        <f>TABL1234[[#This Row],[( S/S+T/B) AJD]]-(TABL1234[[#This Row],[(A/B + A/S) AJD]]+(TABL1234[[#This Row],[(STORGE DIFF.) AJD]]*1000)+TABL1234[[#This Row],[AJD_Evaporation]])</f>
        <v/>
      </c>
      <c r="AE323" s="33" t="n"/>
      <c r="AF323" s="6" t="n"/>
      <c r="AG323" s="6" t="n"/>
      <c r="AH323" s="6" t="n"/>
      <c r="AI323" s="6" t="n"/>
      <c r="AJ323" s="33">
        <f>TABL1234[[#This Row],[(A/B) AJD]]-TABL1234[[#This Row],[BER_IN]]</f>
        <v/>
      </c>
      <c r="AK323" s="6" t="n"/>
      <c r="AL323" s="6" t="n"/>
      <c r="AM323" s="32" t="n"/>
      <c r="AN323" s="32">
        <f>TABL1234[[#This Row],[ (RESV. STORGE) SER]]/10</f>
        <v/>
      </c>
      <c r="AO323" s="68" t="n"/>
      <c r="AP323" s="68">
        <f>TABL1234[[#This Row],[(A/S) AJD]]-TABL1234[[#This Row],[SER_IN]]</f>
        <v/>
      </c>
    </row>
    <row r="324" ht="18.75" customHeight="1">
      <c r="A324" s="2" t="n">
        <v>46710</v>
      </c>
      <c r="B324" s="28" t="n"/>
      <c r="C324" s="28" t="n"/>
      <c r="D324" s="28" t="n"/>
      <c r="E324" s="28" t="n"/>
      <c r="F324" s="28" t="n"/>
      <c r="G324" s="28" t="n"/>
      <c r="H324" s="28">
        <f>103-F324</f>
        <v/>
      </c>
      <c r="I324" s="28" t="n"/>
      <c r="J324" s="28" t="n"/>
      <c r="K324" s="28">
        <f>TABL1234[[#This Row],[ (T/B) SAR]]+TABL1234[[#This Row],[ (S/S) SAR]]</f>
        <v/>
      </c>
      <c r="L324" s="28" t="n"/>
      <c r="M324" s="29" t="n"/>
      <c r="N324" s="30" t="n"/>
      <c r="O324" s="39" t="n"/>
      <c r="P324" s="9">
        <f>TABL1234[[#This Row],[ (S/S) SAR]]-TABL1234[[#This Row],[(S/S) AJD]]</f>
        <v/>
      </c>
      <c r="Q324" s="9" t="n"/>
      <c r="R324" s="9">
        <f>TABL1234[[#This Row],[ (T/B) SAR]]-TABL1234[[#This Row],[(T/B) AJD]]</f>
        <v/>
      </c>
      <c r="S324" s="9">
        <f>TABL1234[[#This Row],[T/B-CON.]]+TABL1234[[#This Row],[S/S_CON.]]</f>
        <v/>
      </c>
      <c r="T324" s="9">
        <f>TABL1234[[#This Row],[(S/S) AJD]]+TABL1234[[#This Row],[(T/B) AJD]]</f>
        <v/>
      </c>
      <c r="U324" s="9" t="n"/>
      <c r="V324" s="9" t="n"/>
      <c r="W324" s="9">
        <f>TABL1234[[#This Row],[(A/B) AJD]]+TABL1234[[#This Row],[(A/S) AJD]]</f>
        <v/>
      </c>
      <c r="X324" s="9">
        <f>TABL1234[[#This Row],[( S/S+T/B) AJD]]-TABL1234[[#This Row],[(A/B + A/S) AJD]]</f>
        <v/>
      </c>
      <c r="Y324" s="18" t="n"/>
      <c r="Z324" s="9" t="n"/>
      <c r="AA324" s="3">
        <f>TABL1234[[#This Row],[(RESV. STORGE) AJD]]/10</f>
        <v/>
      </c>
      <c r="AB324" s="3">
        <f>IF(TRIM(Z324)="",,(Z324-Z323)/1000)</f>
        <v/>
      </c>
      <c r="AC324" s="5" t="n"/>
      <c r="AD324" s="6">
        <f>TABL1234[[#This Row],[( S/S+T/B) AJD]]-(TABL1234[[#This Row],[(A/B + A/S) AJD]]+(TABL1234[[#This Row],[(STORGE DIFF.) AJD]]*1000)+TABL1234[[#This Row],[AJD_Evaporation]])</f>
        <v/>
      </c>
      <c r="AE324" s="33" t="n"/>
      <c r="AF324" s="6" t="n"/>
      <c r="AG324" s="6" t="n"/>
      <c r="AH324" s="6" t="n"/>
      <c r="AI324" s="6" t="n"/>
      <c r="AJ324" s="33">
        <f>TABL1234[[#This Row],[(A/B) AJD]]-TABL1234[[#This Row],[BER_IN]]</f>
        <v/>
      </c>
      <c r="AK324" s="6" t="n"/>
      <c r="AL324" s="6" t="n"/>
      <c r="AM324" s="32" t="n"/>
      <c r="AN324" s="32">
        <f>TABL1234[[#This Row],[ (RESV. STORGE) SER]]/10</f>
        <v/>
      </c>
      <c r="AO324" s="68" t="n"/>
      <c r="AP324" s="68">
        <f>TABL1234[[#This Row],[(A/S) AJD]]-TABL1234[[#This Row],[SER_IN]]</f>
        <v/>
      </c>
    </row>
    <row r="325" ht="18.75" customHeight="1">
      <c r="A325" s="2" t="n">
        <v>46711</v>
      </c>
      <c r="B325" s="28" t="n"/>
      <c r="C325" s="28" t="n"/>
      <c r="D325" s="28" t="n"/>
      <c r="E325" s="28" t="n"/>
      <c r="F325" s="28" t="n"/>
      <c r="G325" s="28" t="n"/>
      <c r="H325" s="28">
        <f>103-F325</f>
        <v/>
      </c>
      <c r="I325" s="28" t="n"/>
      <c r="J325" s="28" t="n"/>
      <c r="K325" s="28">
        <f>TABL1234[[#This Row],[ (T/B) SAR]]+TABL1234[[#This Row],[ (S/S) SAR]]</f>
        <v/>
      </c>
      <c r="L325" s="28" t="n"/>
      <c r="M325" s="29" t="n"/>
      <c r="N325" s="30" t="n"/>
      <c r="O325" s="40" t="n"/>
      <c r="P325" s="9">
        <f>TABL1234[[#This Row],[ (S/S) SAR]]-TABL1234[[#This Row],[(S/S) AJD]]</f>
        <v/>
      </c>
      <c r="Q325" s="9" t="n"/>
      <c r="R325" s="9">
        <f>TABL1234[[#This Row],[ (T/B) SAR]]-TABL1234[[#This Row],[(T/B) AJD]]</f>
        <v/>
      </c>
      <c r="S325" s="9">
        <f>TABL1234[[#This Row],[T/B-CON.]]+TABL1234[[#This Row],[S/S_CON.]]</f>
        <v/>
      </c>
      <c r="T325" s="9">
        <f>TABL1234[[#This Row],[(S/S) AJD]]+TABL1234[[#This Row],[(T/B) AJD]]</f>
        <v/>
      </c>
      <c r="U325" s="9" t="n"/>
      <c r="V325" s="9" t="n"/>
      <c r="W325" s="9">
        <f>TABL1234[[#This Row],[(A/B) AJD]]+TABL1234[[#This Row],[(A/S) AJD]]</f>
        <v/>
      </c>
      <c r="X325" s="9">
        <f>TABL1234[[#This Row],[( S/S+T/B) AJD]]-TABL1234[[#This Row],[(A/B + A/S) AJD]]</f>
        <v/>
      </c>
      <c r="Y325" s="18" t="n"/>
      <c r="Z325" s="9" t="n"/>
      <c r="AA325" s="3">
        <f>TABL1234[[#This Row],[(RESV. STORGE) AJD]]/10</f>
        <v/>
      </c>
      <c r="AB325" s="3">
        <f>IF(TRIM(Z325)="",,(Z325-Z324)/1000)</f>
        <v/>
      </c>
      <c r="AC325" s="5" t="n"/>
      <c r="AD325" s="6">
        <f>TABL1234[[#This Row],[( S/S+T/B) AJD]]-(TABL1234[[#This Row],[(A/B + A/S) AJD]]+(TABL1234[[#This Row],[(STORGE DIFF.) AJD]]*1000)+TABL1234[[#This Row],[AJD_Evaporation]])</f>
        <v/>
      </c>
      <c r="AE325" s="33" t="n"/>
      <c r="AF325" s="6" t="n"/>
      <c r="AG325" s="6" t="n"/>
      <c r="AH325" s="6" t="n"/>
      <c r="AI325" s="6" t="n"/>
      <c r="AJ325" s="33">
        <f>TABL1234[[#This Row],[(A/B) AJD]]-TABL1234[[#This Row],[BER_IN]]</f>
        <v/>
      </c>
      <c r="AK325" s="6" t="n"/>
      <c r="AL325" s="6" t="n"/>
      <c r="AM325" s="32" t="n"/>
      <c r="AN325" s="32">
        <f>TABL1234[[#This Row],[ (RESV. STORGE) SER]]/10</f>
        <v/>
      </c>
      <c r="AO325" s="68" t="n"/>
      <c r="AP325" s="68">
        <f>TABL1234[[#This Row],[(A/S) AJD]]-TABL1234[[#This Row],[SER_IN]]</f>
        <v/>
      </c>
    </row>
    <row r="326" ht="18.75" customHeight="1">
      <c r="A326" s="2" t="n">
        <v>46712</v>
      </c>
      <c r="B326" s="28" t="n"/>
      <c r="C326" s="28" t="n"/>
      <c r="D326" s="28" t="n"/>
      <c r="E326" s="28" t="n"/>
      <c r="F326" s="28" t="n"/>
      <c r="G326" s="28" t="n"/>
      <c r="H326" s="28">
        <f>103-F326</f>
        <v/>
      </c>
      <c r="I326" s="28" t="n"/>
      <c r="J326" s="28" t="n"/>
      <c r="K326" s="28">
        <f>TABL1234[[#This Row],[ (T/B) SAR]]+TABL1234[[#This Row],[ (S/S) SAR]]</f>
        <v/>
      </c>
      <c r="L326" s="28" t="n"/>
      <c r="M326" s="29" t="n"/>
      <c r="N326" s="30" t="n"/>
      <c r="O326" s="39" t="n"/>
      <c r="P326" s="9">
        <f>TABL1234[[#This Row],[ (S/S) SAR]]-TABL1234[[#This Row],[(S/S) AJD]]</f>
        <v/>
      </c>
      <c r="Q326" s="9" t="n"/>
      <c r="R326" s="9">
        <f>TABL1234[[#This Row],[ (T/B) SAR]]-TABL1234[[#This Row],[(T/B) AJD]]</f>
        <v/>
      </c>
      <c r="S326" s="9">
        <f>TABL1234[[#This Row],[T/B-CON.]]+TABL1234[[#This Row],[S/S_CON.]]</f>
        <v/>
      </c>
      <c r="T326" s="9">
        <f>TABL1234[[#This Row],[(S/S) AJD]]+TABL1234[[#This Row],[(T/B) AJD]]</f>
        <v/>
      </c>
      <c r="U326" s="9" t="n"/>
      <c r="V326" s="9" t="n"/>
      <c r="W326" s="9">
        <f>TABL1234[[#This Row],[(A/B) AJD]]+TABL1234[[#This Row],[(A/S) AJD]]</f>
        <v/>
      </c>
      <c r="X326" s="9">
        <f>TABL1234[[#This Row],[( S/S+T/B) AJD]]-TABL1234[[#This Row],[(A/B + A/S) AJD]]</f>
        <v/>
      </c>
      <c r="Y326" s="18" t="n"/>
      <c r="Z326" s="9" t="n"/>
      <c r="AA326" s="3">
        <f>TABL1234[[#This Row],[(RESV. STORGE) AJD]]/10</f>
        <v/>
      </c>
      <c r="AB326" s="3">
        <f>IF(TRIM(Z326)="",,(Z326-Z325)/1000)</f>
        <v/>
      </c>
      <c r="AC326" s="5" t="n"/>
      <c r="AD326" s="6">
        <f>TABL1234[[#This Row],[( S/S+T/B) AJD]]-(TABL1234[[#This Row],[(A/B + A/S) AJD]]+(TABL1234[[#This Row],[(STORGE DIFF.) AJD]]*1000)+TABL1234[[#This Row],[AJD_Evaporation]])</f>
        <v/>
      </c>
      <c r="AE326" s="33" t="n"/>
      <c r="AF326" s="6" t="n"/>
      <c r="AG326" s="6" t="n"/>
      <c r="AH326" s="6" t="n"/>
      <c r="AI326" s="6" t="n"/>
      <c r="AJ326" s="33">
        <f>TABL1234[[#This Row],[(A/B) AJD]]-TABL1234[[#This Row],[BER_IN]]</f>
        <v/>
      </c>
      <c r="AK326" s="6" t="n"/>
      <c r="AL326" s="6" t="n"/>
      <c r="AM326" s="32" t="n"/>
      <c r="AN326" s="32">
        <f>TABL1234[[#This Row],[ (RESV. STORGE) SER]]/10</f>
        <v/>
      </c>
      <c r="AO326" s="68" t="n"/>
      <c r="AP326" s="68">
        <f>TABL1234[[#This Row],[(A/S) AJD]]-TABL1234[[#This Row],[SER_IN]]</f>
        <v/>
      </c>
    </row>
    <row r="327" ht="18.75" customHeight="1">
      <c r="A327" s="2" t="n">
        <v>46713</v>
      </c>
      <c r="B327" s="28" t="n"/>
      <c r="C327" s="28" t="n"/>
      <c r="D327" s="28" t="n"/>
      <c r="E327" s="28" t="n"/>
      <c r="F327" s="28" t="n"/>
      <c r="G327" s="28" t="n"/>
      <c r="H327" s="28">
        <f>103-F327</f>
        <v/>
      </c>
      <c r="I327" s="28" t="n"/>
      <c r="J327" s="28" t="n"/>
      <c r="K327" s="28">
        <f>TABL1234[[#This Row],[ (T/B) SAR]]+TABL1234[[#This Row],[ (S/S) SAR]]</f>
        <v/>
      </c>
      <c r="L327" s="28" t="n"/>
      <c r="M327" s="29" t="n"/>
      <c r="N327" s="30" t="n"/>
      <c r="O327" s="40" t="n"/>
      <c r="P327" s="9">
        <f>TABL1234[[#This Row],[ (S/S) SAR]]-TABL1234[[#This Row],[(S/S) AJD]]</f>
        <v/>
      </c>
      <c r="Q327" s="9" t="n"/>
      <c r="R327" s="9">
        <f>TABL1234[[#This Row],[ (T/B) SAR]]-TABL1234[[#This Row],[(T/B) AJD]]</f>
        <v/>
      </c>
      <c r="S327" s="9">
        <f>TABL1234[[#This Row],[T/B-CON.]]+TABL1234[[#This Row],[S/S_CON.]]</f>
        <v/>
      </c>
      <c r="T327" s="9">
        <f>TABL1234[[#This Row],[(S/S) AJD]]+TABL1234[[#This Row],[(T/B) AJD]]</f>
        <v/>
      </c>
      <c r="U327" s="9" t="n"/>
      <c r="V327" s="9" t="n"/>
      <c r="W327" s="9">
        <f>TABL1234[[#This Row],[(A/B) AJD]]+TABL1234[[#This Row],[(A/S) AJD]]</f>
        <v/>
      </c>
      <c r="X327" s="9">
        <f>TABL1234[[#This Row],[( S/S+T/B) AJD]]-TABL1234[[#This Row],[(A/B + A/S) AJD]]</f>
        <v/>
      </c>
      <c r="Y327" s="18" t="n"/>
      <c r="Z327" s="9" t="n"/>
      <c r="AA327" s="3">
        <f>TABL1234[[#This Row],[(RESV. STORGE) AJD]]/10</f>
        <v/>
      </c>
      <c r="AB327" s="3">
        <f>IF(TRIM(Z327)="",,(Z327-Z326)/1000)</f>
        <v/>
      </c>
      <c r="AC327" s="5" t="n"/>
      <c r="AD327" s="6">
        <f>TABL1234[[#This Row],[( S/S+T/B) AJD]]-(TABL1234[[#This Row],[(A/B + A/S) AJD]]+(TABL1234[[#This Row],[(STORGE DIFF.) AJD]]*1000)+TABL1234[[#This Row],[AJD_Evaporation]])</f>
        <v/>
      </c>
      <c r="AE327" s="33" t="n"/>
      <c r="AF327" s="6" t="n"/>
      <c r="AG327" s="6" t="n"/>
      <c r="AH327" s="6" t="n"/>
      <c r="AI327" s="6" t="n"/>
      <c r="AJ327" s="33">
        <f>TABL1234[[#This Row],[(A/B) AJD]]-TABL1234[[#This Row],[BER_IN]]</f>
        <v/>
      </c>
      <c r="AK327" s="6" t="n"/>
      <c r="AL327" s="6" t="n"/>
      <c r="AM327" s="32" t="n"/>
      <c r="AN327" s="32">
        <f>TABL1234[[#This Row],[ (RESV. STORGE) SER]]/10</f>
        <v/>
      </c>
      <c r="AO327" s="68" t="n"/>
      <c r="AP327" s="68">
        <f>TABL1234[[#This Row],[(A/S) AJD]]-TABL1234[[#This Row],[SER_IN]]</f>
        <v/>
      </c>
    </row>
    <row r="328" ht="18.75" customHeight="1">
      <c r="A328" s="2" t="n">
        <v>46714</v>
      </c>
      <c r="B328" s="28" t="n"/>
      <c r="C328" s="28" t="n"/>
      <c r="D328" s="28" t="n"/>
      <c r="E328" s="28" t="n"/>
      <c r="F328" s="28" t="n"/>
      <c r="G328" s="28" t="n"/>
      <c r="H328" s="28">
        <f>103-F328</f>
        <v/>
      </c>
      <c r="I328" s="28" t="n"/>
      <c r="J328" s="28" t="n"/>
      <c r="K328" s="28">
        <f>TABL1234[[#This Row],[ (T/B) SAR]]+TABL1234[[#This Row],[ (S/S) SAR]]</f>
        <v/>
      </c>
      <c r="L328" s="28" t="n"/>
      <c r="M328" s="29" t="n"/>
      <c r="N328" s="30" t="n"/>
      <c r="O328" s="39" t="n"/>
      <c r="P328" s="9">
        <f>TABL1234[[#This Row],[ (S/S) SAR]]-TABL1234[[#This Row],[(S/S) AJD]]</f>
        <v/>
      </c>
      <c r="Q328" s="9" t="n"/>
      <c r="R328" s="9">
        <f>TABL1234[[#This Row],[ (T/B) SAR]]-TABL1234[[#This Row],[(T/B) AJD]]</f>
        <v/>
      </c>
      <c r="S328" s="9">
        <f>TABL1234[[#This Row],[T/B-CON.]]+TABL1234[[#This Row],[S/S_CON.]]</f>
        <v/>
      </c>
      <c r="T328" s="9">
        <f>TABL1234[[#This Row],[(S/S) AJD]]+TABL1234[[#This Row],[(T/B) AJD]]</f>
        <v/>
      </c>
      <c r="U328" s="9" t="n"/>
      <c r="V328" s="9" t="n"/>
      <c r="W328" s="9">
        <f>TABL1234[[#This Row],[(A/B) AJD]]+TABL1234[[#This Row],[(A/S) AJD]]</f>
        <v/>
      </c>
      <c r="X328" s="9">
        <f>TABL1234[[#This Row],[( S/S+T/B) AJD]]-TABL1234[[#This Row],[(A/B + A/S) AJD]]</f>
        <v/>
      </c>
      <c r="Y328" s="18" t="n"/>
      <c r="Z328" s="9" t="n"/>
      <c r="AA328" s="3">
        <f>TABL1234[[#This Row],[(RESV. STORGE) AJD]]/10</f>
        <v/>
      </c>
      <c r="AB328" s="3">
        <f>IF(TRIM(Z328)="",,(Z328-Z327)/1000)</f>
        <v/>
      </c>
      <c r="AC328" s="5" t="n"/>
      <c r="AD328" s="6">
        <f>TABL1234[[#This Row],[( S/S+T/B) AJD]]-(TABL1234[[#This Row],[(A/B + A/S) AJD]]+(TABL1234[[#This Row],[(STORGE DIFF.) AJD]]*1000)+TABL1234[[#This Row],[AJD_Evaporation]])</f>
        <v/>
      </c>
      <c r="AE328" s="33" t="n"/>
      <c r="AF328" s="6" t="n"/>
      <c r="AG328" s="6" t="n"/>
      <c r="AH328" s="6" t="n"/>
      <c r="AI328" s="6" t="n"/>
      <c r="AJ328" s="33">
        <f>TABL1234[[#This Row],[(A/B) AJD]]-TABL1234[[#This Row],[BER_IN]]</f>
        <v/>
      </c>
      <c r="AK328" s="6" t="n"/>
      <c r="AL328" s="6" t="n"/>
      <c r="AM328" s="32" t="n"/>
      <c r="AN328" s="32">
        <f>TABL1234[[#This Row],[ (RESV. STORGE) SER]]/10</f>
        <v/>
      </c>
      <c r="AO328" s="68" t="n"/>
      <c r="AP328" s="68">
        <f>TABL1234[[#This Row],[(A/S) AJD]]-TABL1234[[#This Row],[SER_IN]]</f>
        <v/>
      </c>
    </row>
    <row r="329" ht="18.75" customHeight="1">
      <c r="A329" s="2" t="n">
        <v>46715</v>
      </c>
      <c r="B329" s="28" t="n"/>
      <c r="C329" s="28" t="n"/>
      <c r="D329" s="28" t="n"/>
      <c r="E329" s="28" t="n"/>
      <c r="F329" s="28" t="n"/>
      <c r="G329" s="28" t="n"/>
      <c r="H329" s="28">
        <f>103-F329</f>
        <v/>
      </c>
      <c r="I329" s="28" t="n"/>
      <c r="J329" s="28" t="n"/>
      <c r="K329" s="28">
        <f>TABL1234[[#This Row],[ (T/B) SAR]]+TABL1234[[#This Row],[ (S/S) SAR]]</f>
        <v/>
      </c>
      <c r="L329" s="28" t="n"/>
      <c r="M329" s="29" t="n"/>
      <c r="N329" s="30" t="n"/>
      <c r="O329" s="40" t="n"/>
      <c r="P329" s="9">
        <f>TABL1234[[#This Row],[ (S/S) SAR]]-TABL1234[[#This Row],[(S/S) AJD]]</f>
        <v/>
      </c>
      <c r="Q329" s="9" t="n"/>
      <c r="R329" s="9">
        <f>TABL1234[[#This Row],[ (T/B) SAR]]-TABL1234[[#This Row],[(T/B) AJD]]</f>
        <v/>
      </c>
      <c r="S329" s="9">
        <f>TABL1234[[#This Row],[T/B-CON.]]+TABL1234[[#This Row],[S/S_CON.]]</f>
        <v/>
      </c>
      <c r="T329" s="9">
        <f>TABL1234[[#This Row],[(S/S) AJD]]+TABL1234[[#This Row],[(T/B) AJD]]</f>
        <v/>
      </c>
      <c r="U329" s="9" t="n"/>
      <c r="V329" s="9" t="n"/>
      <c r="W329" s="9">
        <f>TABL1234[[#This Row],[(A/B) AJD]]+TABL1234[[#This Row],[(A/S) AJD]]</f>
        <v/>
      </c>
      <c r="X329" s="9">
        <f>TABL1234[[#This Row],[( S/S+T/B) AJD]]-TABL1234[[#This Row],[(A/B + A/S) AJD]]</f>
        <v/>
      </c>
      <c r="Y329" s="18" t="n"/>
      <c r="Z329" s="9" t="n"/>
      <c r="AA329" s="3">
        <f>TABL1234[[#This Row],[(RESV. STORGE) AJD]]/10</f>
        <v/>
      </c>
      <c r="AB329" s="3">
        <f>IF(TRIM(Z329)="",,(Z329-Z328)/1000)</f>
        <v/>
      </c>
      <c r="AC329" s="5" t="n"/>
      <c r="AD329" s="6">
        <f>TABL1234[[#This Row],[( S/S+T/B) AJD]]-(TABL1234[[#This Row],[(A/B + A/S) AJD]]+(TABL1234[[#This Row],[(STORGE DIFF.) AJD]]*1000)+TABL1234[[#This Row],[AJD_Evaporation]])</f>
        <v/>
      </c>
      <c r="AE329" s="33" t="n"/>
      <c r="AF329" s="6" t="n"/>
      <c r="AG329" s="6" t="n"/>
      <c r="AH329" s="6" t="n"/>
      <c r="AI329" s="6" t="n"/>
      <c r="AJ329" s="33">
        <f>TABL1234[[#This Row],[(A/B) AJD]]-TABL1234[[#This Row],[BER_IN]]</f>
        <v/>
      </c>
      <c r="AK329" s="6" t="n"/>
      <c r="AL329" s="6" t="n"/>
      <c r="AM329" s="32" t="n"/>
      <c r="AN329" s="32">
        <f>TABL1234[[#This Row],[ (RESV. STORGE) SER]]/10</f>
        <v/>
      </c>
      <c r="AO329" s="68" t="n"/>
      <c r="AP329" s="68">
        <f>TABL1234[[#This Row],[(A/S) AJD]]-TABL1234[[#This Row],[SER_IN]]</f>
        <v/>
      </c>
    </row>
    <row r="330" ht="18.75" customHeight="1">
      <c r="A330" s="2" t="n">
        <v>46716</v>
      </c>
      <c r="B330" s="28" t="n"/>
      <c r="C330" s="28" t="n"/>
      <c r="D330" s="28" t="n"/>
      <c r="E330" s="28" t="n"/>
      <c r="F330" s="28" t="n"/>
      <c r="G330" s="28" t="n"/>
      <c r="H330" s="28">
        <f>103-F330</f>
        <v/>
      </c>
      <c r="I330" s="28" t="n"/>
      <c r="J330" s="28" t="n"/>
      <c r="K330" s="28">
        <f>TABL1234[[#This Row],[ (T/B) SAR]]+TABL1234[[#This Row],[ (S/S) SAR]]</f>
        <v/>
      </c>
      <c r="L330" s="28" t="n"/>
      <c r="M330" s="29" t="n"/>
      <c r="N330" s="30" t="n"/>
      <c r="O330" s="39" t="n"/>
      <c r="P330" s="9">
        <f>TABL1234[[#This Row],[ (S/S) SAR]]-TABL1234[[#This Row],[(S/S) AJD]]</f>
        <v/>
      </c>
      <c r="Q330" s="9" t="n"/>
      <c r="R330" s="9">
        <f>TABL1234[[#This Row],[ (T/B) SAR]]-TABL1234[[#This Row],[(T/B) AJD]]</f>
        <v/>
      </c>
      <c r="S330" s="9">
        <f>TABL1234[[#This Row],[T/B-CON.]]+TABL1234[[#This Row],[S/S_CON.]]</f>
        <v/>
      </c>
      <c r="T330" s="9">
        <f>TABL1234[[#This Row],[(S/S) AJD]]+TABL1234[[#This Row],[(T/B) AJD]]</f>
        <v/>
      </c>
      <c r="U330" s="9" t="n"/>
      <c r="V330" s="9" t="n"/>
      <c r="W330" s="9">
        <f>TABL1234[[#This Row],[(A/B) AJD]]+TABL1234[[#This Row],[(A/S) AJD]]</f>
        <v/>
      </c>
      <c r="X330" s="9">
        <f>TABL1234[[#This Row],[( S/S+T/B) AJD]]-TABL1234[[#This Row],[(A/B + A/S) AJD]]</f>
        <v/>
      </c>
      <c r="Y330" s="18" t="n"/>
      <c r="Z330" s="9" t="n"/>
      <c r="AA330" s="3">
        <f>TABL1234[[#This Row],[(RESV. STORGE) AJD]]/10</f>
        <v/>
      </c>
      <c r="AB330" s="3">
        <f>IF(TRIM(Z330)="",,(Z330-Z329)/1000)</f>
        <v/>
      </c>
      <c r="AC330" s="5" t="n"/>
      <c r="AD330" s="6">
        <f>TABL1234[[#This Row],[( S/S+T/B) AJD]]-(TABL1234[[#This Row],[(A/B + A/S) AJD]]+(TABL1234[[#This Row],[(STORGE DIFF.) AJD]]*1000)+TABL1234[[#This Row],[AJD_Evaporation]])</f>
        <v/>
      </c>
      <c r="AE330" s="33" t="n"/>
      <c r="AF330" s="6" t="n"/>
      <c r="AG330" s="6" t="n"/>
      <c r="AH330" s="6" t="n"/>
      <c r="AI330" s="6" t="n"/>
      <c r="AJ330" s="33">
        <f>TABL1234[[#This Row],[(A/B) AJD]]-TABL1234[[#This Row],[BER_IN]]</f>
        <v/>
      </c>
      <c r="AK330" s="6" t="n"/>
      <c r="AL330" s="6" t="n"/>
      <c r="AM330" s="32" t="n"/>
      <c r="AN330" s="32">
        <f>TABL1234[[#This Row],[ (RESV. STORGE) SER]]/10</f>
        <v/>
      </c>
      <c r="AO330" s="68" t="n"/>
      <c r="AP330" s="68">
        <f>TABL1234[[#This Row],[(A/S) AJD]]-TABL1234[[#This Row],[SER_IN]]</f>
        <v/>
      </c>
    </row>
    <row r="331" ht="18.75" customHeight="1">
      <c r="A331" s="2" t="n">
        <v>46717</v>
      </c>
      <c r="B331" s="28" t="n"/>
      <c r="C331" s="28" t="n"/>
      <c r="D331" s="28" t="n"/>
      <c r="E331" s="28" t="n"/>
      <c r="F331" s="28" t="n"/>
      <c r="G331" s="28" t="n"/>
      <c r="H331" s="28">
        <f>103-F331</f>
        <v/>
      </c>
      <c r="I331" s="28" t="n"/>
      <c r="J331" s="28" t="n"/>
      <c r="K331" s="28">
        <f>TABL1234[[#This Row],[ (T/B) SAR]]+TABL1234[[#This Row],[ (S/S) SAR]]</f>
        <v/>
      </c>
      <c r="L331" s="28" t="n"/>
      <c r="M331" s="29" t="n"/>
      <c r="N331" s="30" t="n"/>
      <c r="O331" s="40" t="n"/>
      <c r="P331" s="9">
        <f>TABL1234[[#This Row],[ (S/S) SAR]]-TABL1234[[#This Row],[(S/S) AJD]]</f>
        <v/>
      </c>
      <c r="Q331" s="9" t="n"/>
      <c r="R331" s="9">
        <f>TABL1234[[#This Row],[ (T/B) SAR]]-TABL1234[[#This Row],[(T/B) AJD]]</f>
        <v/>
      </c>
      <c r="S331" s="9">
        <f>TABL1234[[#This Row],[T/B-CON.]]+TABL1234[[#This Row],[S/S_CON.]]</f>
        <v/>
      </c>
      <c r="T331" s="9">
        <f>TABL1234[[#This Row],[(S/S) AJD]]+TABL1234[[#This Row],[(T/B) AJD]]</f>
        <v/>
      </c>
      <c r="U331" s="9" t="n"/>
      <c r="V331" s="9" t="n"/>
      <c r="W331" s="9">
        <f>TABL1234[[#This Row],[(A/B) AJD]]+TABL1234[[#This Row],[(A/S) AJD]]</f>
        <v/>
      </c>
      <c r="X331" s="9">
        <f>TABL1234[[#This Row],[( S/S+T/B) AJD]]-TABL1234[[#This Row],[(A/B + A/S) AJD]]</f>
        <v/>
      </c>
      <c r="Y331" s="18" t="n"/>
      <c r="Z331" s="9" t="n"/>
      <c r="AA331" s="3">
        <f>TABL1234[[#This Row],[(RESV. STORGE) AJD]]/10</f>
        <v/>
      </c>
      <c r="AB331" s="3">
        <f>IF(TRIM(Z331)="",,(Z331-Z330)/1000)</f>
        <v/>
      </c>
      <c r="AC331" s="5" t="n"/>
      <c r="AD331" s="6">
        <f>TABL1234[[#This Row],[( S/S+T/B) AJD]]-(TABL1234[[#This Row],[(A/B + A/S) AJD]]+(TABL1234[[#This Row],[(STORGE DIFF.) AJD]]*1000)+TABL1234[[#This Row],[AJD_Evaporation]])</f>
        <v/>
      </c>
      <c r="AE331" s="33" t="n"/>
      <c r="AF331" s="6" t="n"/>
      <c r="AG331" s="6" t="n"/>
      <c r="AH331" s="6" t="n"/>
      <c r="AI331" s="6" t="n"/>
      <c r="AJ331" s="33">
        <f>TABL1234[[#This Row],[(A/B) AJD]]-TABL1234[[#This Row],[BER_IN]]</f>
        <v/>
      </c>
      <c r="AK331" s="6" t="n"/>
      <c r="AL331" s="6" t="n"/>
      <c r="AM331" s="32" t="n"/>
      <c r="AN331" s="32">
        <f>TABL1234[[#This Row],[ (RESV. STORGE) SER]]/10</f>
        <v/>
      </c>
      <c r="AO331" s="68" t="n"/>
      <c r="AP331" s="68">
        <f>TABL1234[[#This Row],[(A/S) AJD]]-TABL1234[[#This Row],[SER_IN]]</f>
        <v/>
      </c>
    </row>
    <row r="332" ht="18.75" customHeight="1">
      <c r="A332" s="2" t="n">
        <v>46718</v>
      </c>
      <c r="B332" s="28" t="n"/>
      <c r="C332" s="28" t="n"/>
      <c r="D332" s="28" t="n"/>
      <c r="E332" s="28" t="n"/>
      <c r="F332" s="28" t="n"/>
      <c r="G332" s="28" t="n"/>
      <c r="H332" s="28">
        <f>103-F332</f>
        <v/>
      </c>
      <c r="I332" s="28" t="n"/>
      <c r="J332" s="28" t="n"/>
      <c r="K332" s="28">
        <f>TABL1234[[#This Row],[ (T/B) SAR]]+TABL1234[[#This Row],[ (S/S) SAR]]</f>
        <v/>
      </c>
      <c r="L332" s="28" t="n"/>
      <c r="M332" s="29" t="n"/>
      <c r="N332" s="30" t="n"/>
      <c r="O332" s="39" t="n"/>
      <c r="P332" s="9">
        <f>TABL1234[[#This Row],[ (S/S) SAR]]-TABL1234[[#This Row],[(S/S) AJD]]</f>
        <v/>
      </c>
      <c r="Q332" s="9" t="n"/>
      <c r="R332" s="9">
        <f>TABL1234[[#This Row],[ (T/B) SAR]]-TABL1234[[#This Row],[(T/B) AJD]]</f>
        <v/>
      </c>
      <c r="S332" s="9">
        <f>TABL1234[[#This Row],[T/B-CON.]]+TABL1234[[#This Row],[S/S_CON.]]</f>
        <v/>
      </c>
      <c r="T332" s="9">
        <f>TABL1234[[#This Row],[(S/S) AJD]]+TABL1234[[#This Row],[(T/B) AJD]]</f>
        <v/>
      </c>
      <c r="U332" s="9" t="n"/>
      <c r="V332" s="9" t="n"/>
      <c r="W332" s="9">
        <f>TABL1234[[#This Row],[(A/B) AJD]]+TABL1234[[#This Row],[(A/S) AJD]]</f>
        <v/>
      </c>
      <c r="X332" s="9">
        <f>TABL1234[[#This Row],[( S/S+T/B) AJD]]-TABL1234[[#This Row],[(A/B + A/S) AJD]]</f>
        <v/>
      </c>
      <c r="Y332" s="18" t="n"/>
      <c r="Z332" s="9" t="n"/>
      <c r="AA332" s="3">
        <f>TABL1234[[#This Row],[(RESV. STORGE) AJD]]/10</f>
        <v/>
      </c>
      <c r="AB332" s="3">
        <f>IF(TRIM(Z332)="",,(Z332-Z331)/1000)</f>
        <v/>
      </c>
      <c r="AC332" s="5" t="n"/>
      <c r="AD332" s="6">
        <f>TABL1234[[#This Row],[( S/S+T/B) AJD]]-(TABL1234[[#This Row],[(A/B + A/S) AJD]]+(TABL1234[[#This Row],[(STORGE DIFF.) AJD]]*1000)+TABL1234[[#This Row],[AJD_Evaporation]])</f>
        <v/>
      </c>
      <c r="AE332" s="33" t="n"/>
      <c r="AF332" s="6" t="n"/>
      <c r="AG332" s="6" t="n"/>
      <c r="AH332" s="6" t="n"/>
      <c r="AI332" s="6" t="n"/>
      <c r="AJ332" s="33">
        <f>TABL1234[[#This Row],[(A/B) AJD]]-TABL1234[[#This Row],[BER_IN]]</f>
        <v/>
      </c>
      <c r="AK332" s="6" t="n"/>
      <c r="AL332" s="6" t="n"/>
      <c r="AM332" s="32" t="n"/>
      <c r="AN332" s="32">
        <f>TABL1234[[#This Row],[ (RESV. STORGE) SER]]/10</f>
        <v/>
      </c>
      <c r="AO332" s="68" t="n"/>
      <c r="AP332" s="68">
        <f>TABL1234[[#This Row],[(A/S) AJD]]-TABL1234[[#This Row],[SER_IN]]</f>
        <v/>
      </c>
    </row>
    <row r="333" ht="18.75" customHeight="1">
      <c r="A333" s="2" t="n">
        <v>46719</v>
      </c>
      <c r="B333" s="28" t="n"/>
      <c r="C333" s="28" t="n"/>
      <c r="D333" s="28" t="n"/>
      <c r="E333" s="28" t="n"/>
      <c r="F333" s="28" t="n"/>
      <c r="G333" s="28" t="n"/>
      <c r="H333" s="28">
        <f>103-F333</f>
        <v/>
      </c>
      <c r="I333" s="28" t="n"/>
      <c r="J333" s="28" t="n"/>
      <c r="K333" s="28">
        <f>TABL1234[[#This Row],[ (T/B) SAR]]+TABL1234[[#This Row],[ (S/S) SAR]]</f>
        <v/>
      </c>
      <c r="L333" s="28" t="n"/>
      <c r="M333" s="29" t="n"/>
      <c r="N333" s="30" t="n"/>
      <c r="O333" s="40" t="n"/>
      <c r="P333" s="9">
        <f>TABL1234[[#This Row],[ (S/S) SAR]]-TABL1234[[#This Row],[(S/S) AJD]]</f>
        <v/>
      </c>
      <c r="Q333" s="9" t="n"/>
      <c r="R333" s="9">
        <f>TABL1234[[#This Row],[ (T/B) SAR]]-TABL1234[[#This Row],[(T/B) AJD]]</f>
        <v/>
      </c>
      <c r="S333" s="9">
        <f>TABL1234[[#This Row],[T/B-CON.]]+TABL1234[[#This Row],[S/S_CON.]]</f>
        <v/>
      </c>
      <c r="T333" s="9">
        <f>TABL1234[[#This Row],[(S/S) AJD]]+TABL1234[[#This Row],[(T/B) AJD]]</f>
        <v/>
      </c>
      <c r="U333" s="9" t="n"/>
      <c r="V333" s="9" t="n"/>
      <c r="W333" s="9">
        <f>TABL1234[[#This Row],[(A/B) AJD]]+TABL1234[[#This Row],[(A/S) AJD]]</f>
        <v/>
      </c>
      <c r="X333" s="9">
        <f>TABL1234[[#This Row],[( S/S+T/B) AJD]]-TABL1234[[#This Row],[(A/B + A/S) AJD]]</f>
        <v/>
      </c>
      <c r="Y333" s="18" t="n"/>
      <c r="Z333" s="9" t="n"/>
      <c r="AA333" s="3">
        <f>TABL1234[[#This Row],[(RESV. STORGE) AJD]]/10</f>
        <v/>
      </c>
      <c r="AB333" s="3">
        <f>IF(TRIM(Z333)="",,(Z333-Z332)/1000)</f>
        <v/>
      </c>
      <c r="AC333" s="5" t="n"/>
      <c r="AD333" s="6">
        <f>TABL1234[[#This Row],[( S/S+T/B) AJD]]-(TABL1234[[#This Row],[(A/B + A/S) AJD]]+(TABL1234[[#This Row],[(STORGE DIFF.) AJD]]*1000)+TABL1234[[#This Row],[AJD_Evaporation]])</f>
        <v/>
      </c>
      <c r="AE333" s="33" t="n"/>
      <c r="AF333" s="6" t="n"/>
      <c r="AG333" s="6" t="n"/>
      <c r="AH333" s="6" t="n"/>
      <c r="AI333" s="6" t="n"/>
      <c r="AJ333" s="33">
        <f>TABL1234[[#This Row],[(A/B) AJD]]-TABL1234[[#This Row],[BER_IN]]</f>
        <v/>
      </c>
      <c r="AK333" s="6" t="n"/>
      <c r="AL333" s="6" t="n"/>
      <c r="AM333" s="32" t="n"/>
      <c r="AN333" s="32">
        <f>TABL1234[[#This Row],[ (RESV. STORGE) SER]]/10</f>
        <v/>
      </c>
      <c r="AO333" s="68" t="n"/>
      <c r="AP333" s="68">
        <f>TABL1234[[#This Row],[(A/S) AJD]]-TABL1234[[#This Row],[SER_IN]]</f>
        <v/>
      </c>
    </row>
    <row r="334" ht="18.75" customHeight="1">
      <c r="A334" s="2" t="n">
        <v>46720</v>
      </c>
      <c r="B334" s="28" t="n"/>
      <c r="C334" s="28" t="n"/>
      <c r="D334" s="28" t="n"/>
      <c r="E334" s="28" t="n"/>
      <c r="F334" s="28" t="n"/>
      <c r="G334" s="28" t="n"/>
      <c r="H334" s="28">
        <f>103-F334</f>
        <v/>
      </c>
      <c r="I334" s="28" t="n"/>
      <c r="J334" s="28" t="n"/>
      <c r="K334" s="28">
        <f>TABL1234[[#This Row],[ (T/B) SAR]]+TABL1234[[#This Row],[ (S/S) SAR]]</f>
        <v/>
      </c>
      <c r="L334" s="28" t="n"/>
      <c r="M334" s="29" t="n"/>
      <c r="N334" s="30" t="n"/>
      <c r="O334" s="39" t="n"/>
      <c r="P334" s="9">
        <f>TABL1234[[#This Row],[ (S/S) SAR]]-TABL1234[[#This Row],[(S/S) AJD]]</f>
        <v/>
      </c>
      <c r="Q334" s="9" t="n"/>
      <c r="R334" s="9">
        <f>TABL1234[[#This Row],[ (T/B) SAR]]-TABL1234[[#This Row],[(T/B) AJD]]</f>
        <v/>
      </c>
      <c r="S334" s="9">
        <f>TABL1234[[#This Row],[T/B-CON.]]+TABL1234[[#This Row],[S/S_CON.]]</f>
        <v/>
      </c>
      <c r="T334" s="9">
        <f>TABL1234[[#This Row],[(S/S) AJD]]+TABL1234[[#This Row],[(T/B) AJD]]</f>
        <v/>
      </c>
      <c r="U334" s="9" t="n"/>
      <c r="V334" s="9" t="n"/>
      <c r="W334" s="9">
        <f>TABL1234[[#This Row],[(A/B) AJD]]+TABL1234[[#This Row],[(A/S) AJD]]</f>
        <v/>
      </c>
      <c r="X334" s="9">
        <f>TABL1234[[#This Row],[( S/S+T/B) AJD]]-TABL1234[[#This Row],[(A/B + A/S) AJD]]</f>
        <v/>
      </c>
      <c r="Y334" s="18" t="n"/>
      <c r="Z334" s="9" t="n"/>
      <c r="AA334" s="3">
        <f>TABL1234[[#This Row],[(RESV. STORGE) AJD]]/10</f>
        <v/>
      </c>
      <c r="AB334" s="3">
        <f>IF(TRIM(Z334)="",,(Z334-Z333)/1000)</f>
        <v/>
      </c>
      <c r="AC334" s="5" t="n"/>
      <c r="AD334" s="6">
        <f>TABL1234[[#This Row],[( S/S+T/B) AJD]]-(TABL1234[[#This Row],[(A/B + A/S) AJD]]+(TABL1234[[#This Row],[(STORGE DIFF.) AJD]]*1000)+TABL1234[[#This Row],[AJD_Evaporation]])</f>
        <v/>
      </c>
      <c r="AE334" s="33" t="n"/>
      <c r="AF334" s="6" t="n"/>
      <c r="AG334" s="6" t="n"/>
      <c r="AH334" s="6" t="n"/>
      <c r="AI334" s="6" t="n"/>
      <c r="AJ334" s="33">
        <f>TABL1234[[#This Row],[(A/B) AJD]]-TABL1234[[#This Row],[BER_IN]]</f>
        <v/>
      </c>
      <c r="AK334" s="6" t="n"/>
      <c r="AL334" s="6" t="n"/>
      <c r="AM334" s="32" t="n"/>
      <c r="AN334" s="32">
        <f>TABL1234[[#This Row],[ (RESV. STORGE) SER]]/10</f>
        <v/>
      </c>
      <c r="AO334" s="68" t="n"/>
      <c r="AP334" s="68">
        <f>TABL1234[[#This Row],[(A/S) AJD]]-TABL1234[[#This Row],[SER_IN]]</f>
        <v/>
      </c>
    </row>
    <row r="335" ht="18.75" customHeight="1">
      <c r="A335" s="2" t="n">
        <v>46721</v>
      </c>
      <c r="B335" s="28" t="n"/>
      <c r="C335" s="28" t="n"/>
      <c r="D335" s="28" t="n"/>
      <c r="E335" s="28" t="n"/>
      <c r="F335" s="28" t="n"/>
      <c r="G335" s="28" t="n"/>
      <c r="H335" s="28">
        <f>103-F335</f>
        <v/>
      </c>
      <c r="I335" s="28" t="n"/>
      <c r="J335" s="28" t="n"/>
      <c r="K335" s="28">
        <f>TABL1234[[#This Row],[ (T/B) SAR]]+TABL1234[[#This Row],[ (S/S) SAR]]</f>
        <v/>
      </c>
      <c r="L335" s="28" t="n"/>
      <c r="M335" s="29" t="n"/>
      <c r="N335" s="30" t="n"/>
      <c r="O335" s="40" t="n"/>
      <c r="P335" s="9">
        <f>TABL1234[[#This Row],[ (S/S) SAR]]-TABL1234[[#This Row],[(S/S) AJD]]</f>
        <v/>
      </c>
      <c r="Q335" s="9" t="n"/>
      <c r="R335" s="9">
        <f>TABL1234[[#This Row],[ (T/B) SAR]]-TABL1234[[#This Row],[(T/B) AJD]]</f>
        <v/>
      </c>
      <c r="S335" s="9">
        <f>TABL1234[[#This Row],[T/B-CON.]]+TABL1234[[#This Row],[S/S_CON.]]</f>
        <v/>
      </c>
      <c r="T335" s="9">
        <f>TABL1234[[#This Row],[(S/S) AJD]]+TABL1234[[#This Row],[(T/B) AJD]]</f>
        <v/>
      </c>
      <c r="U335" s="9" t="n"/>
      <c r="V335" s="9" t="n"/>
      <c r="W335" s="9">
        <f>TABL1234[[#This Row],[(A/B) AJD]]+TABL1234[[#This Row],[(A/S) AJD]]</f>
        <v/>
      </c>
      <c r="X335" s="9">
        <f>TABL1234[[#This Row],[( S/S+T/B) AJD]]-TABL1234[[#This Row],[(A/B + A/S) AJD]]</f>
        <v/>
      </c>
      <c r="Y335" s="18" t="n"/>
      <c r="Z335" s="9" t="n"/>
      <c r="AA335" s="3">
        <f>TABL1234[[#This Row],[(RESV. STORGE) AJD]]/10</f>
        <v/>
      </c>
      <c r="AB335" s="3">
        <f>IF(TRIM(Z335)="",,(Z335-Z334)/1000)</f>
        <v/>
      </c>
      <c r="AC335" s="5" t="n"/>
      <c r="AD335" s="6">
        <f>TABL1234[[#This Row],[( S/S+T/B) AJD]]-(TABL1234[[#This Row],[(A/B + A/S) AJD]]+(TABL1234[[#This Row],[(STORGE DIFF.) AJD]]*1000)+TABL1234[[#This Row],[AJD_Evaporation]])</f>
        <v/>
      </c>
      <c r="AE335" s="33" t="n"/>
      <c r="AF335" s="6" t="n"/>
      <c r="AG335" s="6" t="n"/>
      <c r="AH335" s="6" t="n"/>
      <c r="AI335" s="6" t="n"/>
      <c r="AJ335" s="33">
        <f>TABL1234[[#This Row],[(A/B) AJD]]-TABL1234[[#This Row],[BER_IN]]</f>
        <v/>
      </c>
      <c r="AK335" s="6" t="n"/>
      <c r="AL335" s="6" t="n"/>
      <c r="AM335" s="32" t="n"/>
      <c r="AN335" s="32">
        <f>TABL1234[[#This Row],[ (RESV. STORGE) SER]]/10</f>
        <v/>
      </c>
      <c r="AO335" s="68" t="n"/>
      <c r="AP335" s="68">
        <f>TABL1234[[#This Row],[(A/S) AJD]]-TABL1234[[#This Row],[SER_IN]]</f>
        <v/>
      </c>
    </row>
    <row r="336" ht="18.75" customHeight="1">
      <c r="A336" s="2" t="n">
        <v>46722</v>
      </c>
      <c r="B336" s="41" t="n"/>
      <c r="C336" s="41" t="n"/>
      <c r="D336" s="41" t="n"/>
      <c r="E336" s="41" t="n"/>
      <c r="F336" s="41" t="n"/>
      <c r="G336" s="39" t="n"/>
      <c r="H336" s="41">
        <f>103-F336</f>
        <v/>
      </c>
      <c r="I336" s="39" t="n"/>
      <c r="J336" s="39" t="n"/>
      <c r="K336" s="28">
        <f>TABL1234[[#This Row],[ (T/B) SAR]]+TABL1234[[#This Row],[ (S/S) SAR]]</f>
        <v/>
      </c>
      <c r="L336" s="41" t="n"/>
      <c r="M336" s="42" t="n"/>
      <c r="N336" s="42" t="n"/>
      <c r="O336" s="39" t="n"/>
      <c r="P336" s="9">
        <f>TABL1234[[#This Row],[ (S/S) SAR]]-TABL1234[[#This Row],[(S/S) AJD]]</f>
        <v/>
      </c>
      <c r="Q336" s="39" t="n"/>
      <c r="R336" s="9">
        <f>TABL1234[[#This Row],[ (T/B) SAR]]-TABL1234[[#This Row],[(T/B) AJD]]</f>
        <v/>
      </c>
      <c r="S336" s="9">
        <f>TABL1234[[#This Row],[T/B-CON.]]+TABL1234[[#This Row],[S/S_CON.]]</f>
        <v/>
      </c>
      <c r="T336" s="9">
        <f>TABL1234[[#This Row],[(S/S) AJD]]+TABL1234[[#This Row],[(T/B) AJD]]</f>
        <v/>
      </c>
      <c r="U336" s="41" t="n"/>
      <c r="V336" s="41" t="n"/>
      <c r="W336" s="9">
        <f>TABL1234[[#This Row],[(A/B) AJD]]+TABL1234[[#This Row],[(A/S) AJD]]</f>
        <v/>
      </c>
      <c r="X336" s="9">
        <f>TABL1234[[#This Row],[( S/S+T/B) AJD]]-TABL1234[[#This Row],[(A/B + A/S) AJD]]</f>
        <v/>
      </c>
      <c r="Y336" s="41" t="n"/>
      <c r="Z336" s="43" t="n"/>
      <c r="AA336" s="3">
        <f>TABL1234[[#This Row],[(RESV. STORGE) AJD]]/10</f>
        <v/>
      </c>
      <c r="AB336" s="3">
        <f>IF(TRIM(Z336)="",,(Z336-Z335)/1000)</f>
        <v/>
      </c>
      <c r="AC336" s="5" t="n"/>
      <c r="AD336" s="39">
        <f>TABL1234[[#This Row],[( S/S+T/B) AJD]]-(TABL1234[[#This Row],[(A/B + A/S) AJD]]+(TABL1234[[#This Row],[(STORGE DIFF.) AJD]]*1000)+TABL1234[[#This Row],[AJD_Evaporation]])</f>
        <v/>
      </c>
      <c r="AE336" s="41" t="n"/>
      <c r="AF336" s="43" t="n"/>
      <c r="AG336" s="43" t="n"/>
      <c r="AH336" s="6" t="n"/>
      <c r="AI336" s="43" t="n"/>
      <c r="AJ336" s="43">
        <f>TABL1234[[#This Row],[(A/B) AJD]]-TABL1234[[#This Row],[BER_IN]]</f>
        <v/>
      </c>
      <c r="AK336" s="43" t="n"/>
      <c r="AL336" s="43" t="n"/>
      <c r="AM336" s="32" t="n"/>
      <c r="AN336" s="32">
        <f>TABL1234[[#This Row],[ (RESV. STORGE) SER]]/10</f>
        <v/>
      </c>
      <c r="AO336" s="68" t="n"/>
      <c r="AP336" s="68">
        <f>TABL1234[[#This Row],[(A/S) AJD]]-TABL1234[[#This Row],[SER_IN]]</f>
        <v/>
      </c>
    </row>
    <row r="337" ht="18.75" customHeight="1">
      <c r="A337" s="2" t="n">
        <v>46723</v>
      </c>
      <c r="B337" s="44" t="n"/>
      <c r="C337" s="44" t="n"/>
      <c r="D337" s="44" t="n"/>
      <c r="E337" s="44" t="n"/>
      <c r="F337" s="44" t="n"/>
      <c r="G337" s="40" t="n"/>
      <c r="H337" s="44">
        <f>103-F337</f>
        <v/>
      </c>
      <c r="I337" s="40" t="n"/>
      <c r="J337" s="44" t="n"/>
      <c r="K337" s="28">
        <f>TABL1234[[#This Row],[ (T/B) SAR]]+TABL1234[[#This Row],[ (S/S) SAR]]</f>
        <v/>
      </c>
      <c r="L337" s="45" t="n"/>
      <c r="M337" s="46" t="n"/>
      <c r="N337" s="46" t="n"/>
      <c r="O337" s="40" t="n"/>
      <c r="P337" s="9">
        <f>TABL1234[[#This Row],[ (S/S) SAR]]-TABL1234[[#This Row],[(S/S) AJD]]</f>
        <v/>
      </c>
      <c r="Q337" s="40" t="n"/>
      <c r="R337" s="9">
        <f>TABL1234[[#This Row],[ (T/B) SAR]]-TABL1234[[#This Row],[(T/B) AJD]]</f>
        <v/>
      </c>
      <c r="S337" s="9">
        <f>TABL1234[[#This Row],[T/B-CON.]]+TABL1234[[#This Row],[S/S_CON.]]</f>
        <v/>
      </c>
      <c r="T337" s="9">
        <f>TABL1234[[#This Row],[(S/S) AJD]]+TABL1234[[#This Row],[(T/B) AJD]]</f>
        <v/>
      </c>
      <c r="U337" s="44" t="n"/>
      <c r="V337" s="44" t="n"/>
      <c r="W337" s="9">
        <f>TABL1234[[#This Row],[(A/B) AJD]]+TABL1234[[#This Row],[(A/S) AJD]]</f>
        <v/>
      </c>
      <c r="X337" s="9">
        <f>TABL1234[[#This Row],[( S/S+T/B) AJD]]-TABL1234[[#This Row],[(A/B + A/S) AJD]]</f>
        <v/>
      </c>
      <c r="Y337" s="44" t="n"/>
      <c r="Z337" s="45" t="n"/>
      <c r="AA337" s="3">
        <f>TABL1234[[#This Row],[(RESV. STORGE) AJD]]/10</f>
        <v/>
      </c>
      <c r="AB337" s="3">
        <f>IF(TRIM(Z337)="",,(Z337-Z336)/1000)</f>
        <v/>
      </c>
      <c r="AC337" s="5" t="n"/>
      <c r="AD337" s="40">
        <f>TABL1234[[#This Row],[( S/S+T/B) AJD]]-(TABL1234[[#This Row],[(A/B + A/S) AJD]]+(TABL1234[[#This Row],[(STORGE DIFF.) AJD]]*1000)+TABL1234[[#This Row],[AJD_Evaporation]])</f>
        <v/>
      </c>
      <c r="AE337" s="44" t="n"/>
      <c r="AF337" s="45" t="n"/>
      <c r="AG337" s="45" t="n"/>
      <c r="AH337" s="6" t="n"/>
      <c r="AI337" s="45" t="n"/>
      <c r="AJ337" s="45">
        <f>TABL1234[[#This Row],[(A/B) AJD]]-TABL1234[[#This Row],[BER_IN]]</f>
        <v/>
      </c>
      <c r="AK337" s="45" t="n"/>
      <c r="AL337" s="45" t="n"/>
      <c r="AM337" s="32" t="n"/>
      <c r="AN337" s="32">
        <f>TABL1234[[#This Row],[ (RESV. STORGE) SER]]/10</f>
        <v/>
      </c>
      <c r="AO337" s="68" t="n"/>
      <c r="AP337" s="68">
        <f>TABL1234[[#This Row],[(A/S) AJD]]-TABL1234[[#This Row],[SER_IN]]</f>
        <v/>
      </c>
    </row>
    <row r="338" ht="18.75" customHeight="1">
      <c r="A338" s="2" t="n">
        <v>46724</v>
      </c>
      <c r="B338" s="41" t="n"/>
      <c r="C338" s="41" t="n"/>
      <c r="D338" s="41" t="n"/>
      <c r="E338" s="41" t="n"/>
      <c r="F338" s="41" t="n"/>
      <c r="G338" s="39" t="n"/>
      <c r="H338" s="41">
        <f>103-F338</f>
        <v/>
      </c>
      <c r="I338" s="39" t="n"/>
      <c r="J338" s="39" t="n"/>
      <c r="K338" s="28">
        <f>TABL1234[[#This Row],[ (T/B) SAR]]+TABL1234[[#This Row],[ (S/S) SAR]]</f>
        <v/>
      </c>
      <c r="L338" s="41" t="n"/>
      <c r="M338" s="42" t="n"/>
      <c r="N338" s="42" t="n"/>
      <c r="O338" s="39" t="n"/>
      <c r="P338" s="9">
        <f>TABL1234[[#This Row],[ (S/S) SAR]]-TABL1234[[#This Row],[(S/S) AJD]]</f>
        <v/>
      </c>
      <c r="Q338" s="39" t="n"/>
      <c r="R338" s="9">
        <f>TABL1234[[#This Row],[ (T/B) SAR]]-TABL1234[[#This Row],[(T/B) AJD]]</f>
        <v/>
      </c>
      <c r="S338" s="9">
        <f>TABL1234[[#This Row],[T/B-CON.]]+TABL1234[[#This Row],[S/S_CON.]]</f>
        <v/>
      </c>
      <c r="T338" s="9">
        <f>TABL1234[[#This Row],[(S/S) AJD]]+TABL1234[[#This Row],[(T/B) AJD]]</f>
        <v/>
      </c>
      <c r="U338" s="41" t="n"/>
      <c r="V338" s="41" t="n"/>
      <c r="W338" s="9">
        <f>TABL1234[[#This Row],[(A/B) AJD]]+TABL1234[[#This Row],[(A/S) AJD]]</f>
        <v/>
      </c>
      <c r="X338" s="9">
        <f>TABL1234[[#This Row],[( S/S+T/B) AJD]]-TABL1234[[#This Row],[(A/B + A/S) AJD]]</f>
        <v/>
      </c>
      <c r="Y338" s="41" t="n"/>
      <c r="Z338" s="43" t="n"/>
      <c r="AA338" s="3">
        <f>TABL1234[[#This Row],[(RESV. STORGE) AJD]]/10</f>
        <v/>
      </c>
      <c r="AB338" s="3">
        <f>IF(TRIM(Z338)="",,(Z338-Z337)/1000)</f>
        <v/>
      </c>
      <c r="AC338" s="5" t="n"/>
      <c r="AD338" s="39">
        <f>TABL1234[[#This Row],[( S/S+T/B) AJD]]-(TABL1234[[#This Row],[(A/B + A/S) AJD]]+(TABL1234[[#This Row],[(STORGE DIFF.) AJD]]*1000)+TABL1234[[#This Row],[AJD_Evaporation]])</f>
        <v/>
      </c>
      <c r="AE338" s="41" t="n"/>
      <c r="AF338" s="43" t="n"/>
      <c r="AG338" s="43" t="n"/>
      <c r="AH338" s="6" t="n"/>
      <c r="AI338" s="43" t="n"/>
      <c r="AJ338" s="43">
        <f>TABL1234[[#This Row],[(A/B) AJD]]-TABL1234[[#This Row],[BER_IN]]</f>
        <v/>
      </c>
      <c r="AK338" s="43" t="n"/>
      <c r="AL338" s="43" t="n"/>
      <c r="AM338" s="32" t="n"/>
      <c r="AN338" s="32">
        <f>TABL1234[[#This Row],[ (RESV. STORGE) SER]]/10</f>
        <v/>
      </c>
      <c r="AO338" s="68" t="n"/>
      <c r="AP338" s="68">
        <f>TABL1234[[#This Row],[(A/S) AJD]]-TABL1234[[#This Row],[SER_IN]]</f>
        <v/>
      </c>
    </row>
    <row r="339" ht="18.75" customHeight="1">
      <c r="A339" s="2" t="n">
        <v>46725</v>
      </c>
      <c r="B339" s="44" t="n"/>
      <c r="C339" s="44" t="n"/>
      <c r="D339" s="44" t="n"/>
      <c r="E339" s="44" t="n"/>
      <c r="F339" s="44" t="n"/>
      <c r="G339" s="40" t="n"/>
      <c r="H339" s="44">
        <f>103-F339</f>
        <v/>
      </c>
      <c r="I339" s="40" t="n"/>
      <c r="J339" s="44" t="n"/>
      <c r="K339" s="28">
        <f>TABL1234[[#This Row],[ (T/B) SAR]]+TABL1234[[#This Row],[ (S/S) SAR]]</f>
        <v/>
      </c>
      <c r="L339" s="45" t="n"/>
      <c r="M339" s="46" t="n"/>
      <c r="N339" s="46" t="n"/>
      <c r="O339" s="40" t="n"/>
      <c r="P339" s="9">
        <f>TABL1234[[#This Row],[ (S/S) SAR]]-TABL1234[[#This Row],[(S/S) AJD]]</f>
        <v/>
      </c>
      <c r="Q339" s="40" t="n"/>
      <c r="R339" s="9">
        <f>TABL1234[[#This Row],[ (T/B) SAR]]-TABL1234[[#This Row],[(T/B) AJD]]</f>
        <v/>
      </c>
      <c r="S339" s="9">
        <f>TABL1234[[#This Row],[T/B-CON.]]+TABL1234[[#This Row],[S/S_CON.]]</f>
        <v/>
      </c>
      <c r="T339" s="9">
        <f>TABL1234[[#This Row],[(S/S) AJD]]+TABL1234[[#This Row],[(T/B) AJD]]</f>
        <v/>
      </c>
      <c r="U339" s="44" t="n"/>
      <c r="V339" s="47" t="n"/>
      <c r="W339" s="9">
        <f>TABL1234[[#This Row],[(A/B) AJD]]+TABL1234[[#This Row],[(A/S) AJD]]</f>
        <v/>
      </c>
      <c r="X339" s="9">
        <f>TABL1234[[#This Row],[( S/S+T/B) AJD]]-TABL1234[[#This Row],[(A/B + A/S) AJD]]</f>
        <v/>
      </c>
      <c r="Y339" s="44" t="n"/>
      <c r="Z339" s="45" t="n"/>
      <c r="AA339" s="3">
        <f>TABL1234[[#This Row],[(RESV. STORGE) AJD]]/10</f>
        <v/>
      </c>
      <c r="AB339" s="3">
        <f>IF(TRIM(Z339)="",,(Z339-Z338)/1000)</f>
        <v/>
      </c>
      <c r="AC339" s="5" t="n"/>
      <c r="AD339" s="40">
        <f>TABL1234[[#This Row],[( S/S+T/B) AJD]]-(TABL1234[[#This Row],[(A/B + A/S) AJD]]+(TABL1234[[#This Row],[(STORGE DIFF.) AJD]]*1000)+TABL1234[[#This Row],[AJD_Evaporation]])</f>
        <v/>
      </c>
      <c r="AE339" s="44" t="n"/>
      <c r="AF339" s="45" t="n"/>
      <c r="AG339" s="45" t="n"/>
      <c r="AH339" s="6" t="n"/>
      <c r="AI339" s="45" t="n"/>
      <c r="AJ339" s="45">
        <f>TABL1234[[#This Row],[(A/B) AJD]]-TABL1234[[#This Row],[BER_IN]]</f>
        <v/>
      </c>
      <c r="AK339" s="45" t="n"/>
      <c r="AL339" s="45" t="n"/>
      <c r="AM339" s="32" t="n"/>
      <c r="AN339" s="32">
        <f>TABL1234[[#This Row],[ (RESV. STORGE) SER]]/10</f>
        <v/>
      </c>
      <c r="AO339" s="68" t="n"/>
      <c r="AP339" s="68">
        <f>TABL1234[[#This Row],[(A/S) AJD]]-TABL1234[[#This Row],[SER_IN]]</f>
        <v/>
      </c>
    </row>
    <row r="340" ht="18.75" customHeight="1">
      <c r="A340" s="2" t="n">
        <v>46726</v>
      </c>
      <c r="B340" s="41" t="n"/>
      <c r="C340" s="41" t="n"/>
      <c r="D340" s="41" t="n"/>
      <c r="E340" s="41" t="n"/>
      <c r="F340" s="41" t="n"/>
      <c r="G340" s="39" t="n"/>
      <c r="H340" s="41">
        <f>103-F340</f>
        <v/>
      </c>
      <c r="I340" s="39" t="n"/>
      <c r="J340" s="39" t="n"/>
      <c r="K340" s="28">
        <f>TABL1234[[#This Row],[ (T/B) SAR]]+TABL1234[[#This Row],[ (S/S) SAR]]</f>
        <v/>
      </c>
      <c r="L340" s="41" t="n"/>
      <c r="M340" s="42" t="n"/>
      <c r="N340" s="42" t="n"/>
      <c r="O340" s="39" t="n"/>
      <c r="P340" s="9">
        <f>TABL1234[[#This Row],[ (S/S) SAR]]-TABL1234[[#This Row],[(S/S) AJD]]</f>
        <v/>
      </c>
      <c r="Q340" s="39" t="n"/>
      <c r="R340" s="9">
        <f>TABL1234[[#This Row],[ (T/B) SAR]]-TABL1234[[#This Row],[(T/B) AJD]]</f>
        <v/>
      </c>
      <c r="S340" s="9">
        <f>TABL1234[[#This Row],[T/B-CON.]]+TABL1234[[#This Row],[S/S_CON.]]</f>
        <v/>
      </c>
      <c r="T340" s="9">
        <f>TABL1234[[#This Row],[(S/S) AJD]]+TABL1234[[#This Row],[(T/B) AJD]]</f>
        <v/>
      </c>
      <c r="U340" s="41" t="n"/>
      <c r="V340" s="41" t="n"/>
      <c r="W340" s="9">
        <f>TABL1234[[#This Row],[(A/B) AJD]]+TABL1234[[#This Row],[(A/S) AJD]]</f>
        <v/>
      </c>
      <c r="X340" s="9">
        <f>TABL1234[[#This Row],[( S/S+T/B) AJD]]-TABL1234[[#This Row],[(A/B + A/S) AJD]]</f>
        <v/>
      </c>
      <c r="Y340" s="41" t="n"/>
      <c r="Z340" s="43" t="n"/>
      <c r="AA340" s="3">
        <f>TABL1234[[#This Row],[(RESV. STORGE) AJD]]/10</f>
        <v/>
      </c>
      <c r="AB340" s="3">
        <f>IF(TRIM(Z340)="",,(Z340-Z339)/1000)</f>
        <v/>
      </c>
      <c r="AC340" s="5" t="n"/>
      <c r="AD340" s="39">
        <f>TABL1234[[#This Row],[( S/S+T/B) AJD]]-(TABL1234[[#This Row],[(A/B + A/S) AJD]]+(TABL1234[[#This Row],[(STORGE DIFF.) AJD]]*1000)+TABL1234[[#This Row],[AJD_Evaporation]])</f>
        <v/>
      </c>
      <c r="AE340" s="41" t="n"/>
      <c r="AF340" s="43" t="n"/>
      <c r="AG340" s="43" t="n"/>
      <c r="AH340" s="6" t="n"/>
      <c r="AI340" s="43" t="n"/>
      <c r="AJ340" s="43">
        <f>TABL1234[[#This Row],[(A/B) AJD]]-TABL1234[[#This Row],[BER_IN]]</f>
        <v/>
      </c>
      <c r="AK340" s="43" t="n"/>
      <c r="AL340" s="43" t="n"/>
      <c r="AM340" s="32" t="n"/>
      <c r="AN340" s="32">
        <f>TABL1234[[#This Row],[ (RESV. STORGE) SER]]/10</f>
        <v/>
      </c>
      <c r="AO340" s="68" t="n"/>
      <c r="AP340" s="68">
        <f>TABL1234[[#This Row],[(A/S) AJD]]-TABL1234[[#This Row],[SER_IN]]</f>
        <v/>
      </c>
    </row>
    <row r="341" ht="18.75" customHeight="1">
      <c r="A341" s="2" t="n">
        <v>46727</v>
      </c>
      <c r="B341" s="44" t="n"/>
      <c r="C341" s="44" t="n"/>
      <c r="D341" s="44" t="n"/>
      <c r="E341" s="44" t="n"/>
      <c r="F341" s="44" t="n"/>
      <c r="G341" s="40" t="n"/>
      <c r="H341" s="44">
        <f>103-F341</f>
        <v/>
      </c>
      <c r="I341" s="40" t="n"/>
      <c r="J341" s="44" t="n"/>
      <c r="K341" s="28">
        <f>TABL1234[[#This Row],[ (T/B) SAR]]+TABL1234[[#This Row],[ (S/S) SAR]]</f>
        <v/>
      </c>
      <c r="L341" s="45" t="n"/>
      <c r="M341" s="46" t="n"/>
      <c r="N341" s="46" t="n"/>
      <c r="O341" s="40" t="n"/>
      <c r="P341" s="9">
        <f>TABL1234[[#This Row],[ (S/S) SAR]]-TABL1234[[#This Row],[(S/S) AJD]]</f>
        <v/>
      </c>
      <c r="Q341" s="40" t="n"/>
      <c r="R341" s="9">
        <f>TABL1234[[#This Row],[ (T/B) SAR]]-TABL1234[[#This Row],[(T/B) AJD]]</f>
        <v/>
      </c>
      <c r="S341" s="9">
        <f>TABL1234[[#This Row],[T/B-CON.]]+TABL1234[[#This Row],[S/S_CON.]]</f>
        <v/>
      </c>
      <c r="T341" s="9">
        <f>TABL1234[[#This Row],[(S/S) AJD]]+TABL1234[[#This Row],[(T/B) AJD]]</f>
        <v/>
      </c>
      <c r="U341" s="44" t="n"/>
      <c r="V341" s="44" t="n"/>
      <c r="W341" s="9">
        <f>TABL1234[[#This Row],[(A/B) AJD]]+TABL1234[[#This Row],[(A/S) AJD]]</f>
        <v/>
      </c>
      <c r="X341" s="9">
        <f>TABL1234[[#This Row],[( S/S+T/B) AJD]]-TABL1234[[#This Row],[(A/B + A/S) AJD]]</f>
        <v/>
      </c>
      <c r="Y341" s="44" t="n"/>
      <c r="Z341" s="45" t="n"/>
      <c r="AA341" s="3">
        <f>TABL1234[[#This Row],[(RESV. STORGE) AJD]]/10</f>
        <v/>
      </c>
      <c r="AB341" s="3">
        <f>IF(TRIM(Z341)="",,(Z341-Z340)/1000)</f>
        <v/>
      </c>
      <c r="AC341" s="5" t="n"/>
      <c r="AD341" s="40">
        <f>TABL1234[[#This Row],[( S/S+T/B) AJD]]-(TABL1234[[#This Row],[(A/B + A/S) AJD]]+(TABL1234[[#This Row],[(STORGE DIFF.) AJD]]*1000)+TABL1234[[#This Row],[AJD_Evaporation]])</f>
        <v/>
      </c>
      <c r="AE341" s="44" t="n"/>
      <c r="AF341" s="45" t="n"/>
      <c r="AG341" s="45" t="n"/>
      <c r="AH341" s="6" t="n"/>
      <c r="AI341" s="45" t="n"/>
      <c r="AJ341" s="45">
        <f>TABL1234[[#This Row],[(A/B) AJD]]-TABL1234[[#This Row],[BER_IN]]</f>
        <v/>
      </c>
      <c r="AK341" s="45" t="n"/>
      <c r="AL341" s="45" t="n"/>
      <c r="AM341" s="32" t="n"/>
      <c r="AN341" s="32">
        <f>TABL1234[[#This Row],[ (RESV. STORGE) SER]]/10</f>
        <v/>
      </c>
      <c r="AO341" s="68" t="n"/>
      <c r="AP341" s="68">
        <f>TABL1234[[#This Row],[(A/S) AJD]]-TABL1234[[#This Row],[SER_IN]]</f>
        <v/>
      </c>
    </row>
    <row r="342" ht="18.75" customHeight="1">
      <c r="A342" s="2" t="n">
        <v>46728</v>
      </c>
      <c r="B342" s="41" t="n"/>
      <c r="C342" s="41" t="n"/>
      <c r="D342" s="41" t="n"/>
      <c r="E342" s="41" t="n"/>
      <c r="F342" s="41" t="n"/>
      <c r="G342" s="39" t="n"/>
      <c r="H342" s="41">
        <f>103-F342</f>
        <v/>
      </c>
      <c r="I342" s="39" t="n"/>
      <c r="J342" s="39" t="n"/>
      <c r="K342" s="28">
        <f>TABL1234[[#This Row],[ (T/B) SAR]]+TABL1234[[#This Row],[ (S/S) SAR]]</f>
        <v/>
      </c>
      <c r="L342" s="41" t="n"/>
      <c r="M342" s="42" t="n"/>
      <c r="N342" s="42" t="n"/>
      <c r="O342" s="39" t="n"/>
      <c r="P342" s="9">
        <f>TABL1234[[#This Row],[ (S/S) SAR]]-TABL1234[[#This Row],[(S/S) AJD]]</f>
        <v/>
      </c>
      <c r="Q342" s="39" t="n"/>
      <c r="R342" s="9">
        <f>TABL1234[[#This Row],[ (T/B) SAR]]-TABL1234[[#This Row],[(T/B) AJD]]</f>
        <v/>
      </c>
      <c r="S342" s="9">
        <f>TABL1234[[#This Row],[T/B-CON.]]+TABL1234[[#This Row],[S/S_CON.]]</f>
        <v/>
      </c>
      <c r="T342" s="9">
        <f>TABL1234[[#This Row],[(S/S) AJD]]+TABL1234[[#This Row],[(T/B) AJD]]</f>
        <v/>
      </c>
      <c r="U342" s="41" t="n"/>
      <c r="V342" s="41" t="n"/>
      <c r="W342" s="9">
        <f>TABL1234[[#This Row],[(A/B) AJD]]+TABL1234[[#This Row],[(A/S) AJD]]</f>
        <v/>
      </c>
      <c r="X342" s="9">
        <f>TABL1234[[#This Row],[( S/S+T/B) AJD]]-TABL1234[[#This Row],[(A/B + A/S) AJD]]</f>
        <v/>
      </c>
      <c r="Y342" s="41" t="n"/>
      <c r="Z342" s="43" t="n"/>
      <c r="AA342" s="3">
        <f>TABL1234[[#This Row],[(RESV. STORGE) AJD]]/10</f>
        <v/>
      </c>
      <c r="AB342" s="3">
        <f>IF(TRIM(Z342)="",,(Z342-Z341)/1000)</f>
        <v/>
      </c>
      <c r="AC342" s="5" t="n"/>
      <c r="AD342" s="39">
        <f>TABL1234[[#This Row],[( S/S+T/B) AJD]]-(TABL1234[[#This Row],[(A/B + A/S) AJD]]+(TABL1234[[#This Row],[(STORGE DIFF.) AJD]]*1000)+TABL1234[[#This Row],[AJD_Evaporation]])</f>
        <v/>
      </c>
      <c r="AE342" s="41" t="n"/>
      <c r="AF342" s="43" t="n"/>
      <c r="AG342" s="43" t="n"/>
      <c r="AH342" s="6" t="n"/>
      <c r="AI342" s="43" t="n"/>
      <c r="AJ342" s="43">
        <f>TABL1234[[#This Row],[(A/B) AJD]]-TABL1234[[#This Row],[BER_IN]]</f>
        <v/>
      </c>
      <c r="AK342" s="43" t="n"/>
      <c r="AL342" s="43" t="n"/>
      <c r="AM342" s="32" t="n"/>
      <c r="AN342" s="32">
        <f>TABL1234[[#This Row],[ (RESV. STORGE) SER]]/10</f>
        <v/>
      </c>
      <c r="AO342" s="68" t="n"/>
      <c r="AP342" s="68">
        <f>TABL1234[[#This Row],[(A/S) AJD]]-TABL1234[[#This Row],[SER_IN]]</f>
        <v/>
      </c>
    </row>
    <row r="343" ht="18.75" customHeight="1">
      <c r="A343" s="2" t="n">
        <v>46729</v>
      </c>
      <c r="B343" s="44" t="n"/>
      <c r="C343" s="44" t="n"/>
      <c r="D343" s="44" t="n"/>
      <c r="E343" s="44" t="n"/>
      <c r="F343" s="44" t="n"/>
      <c r="G343" s="40" t="n"/>
      <c r="H343" s="44">
        <f>103-F343</f>
        <v/>
      </c>
      <c r="I343" s="40" t="n"/>
      <c r="J343" s="44" t="n"/>
      <c r="K343" s="28">
        <f>TABL1234[[#This Row],[ (T/B) SAR]]+TABL1234[[#This Row],[ (S/S) SAR]]</f>
        <v/>
      </c>
      <c r="L343" s="45" t="n"/>
      <c r="M343" s="46" t="n"/>
      <c r="N343" s="46" t="n"/>
      <c r="O343" s="40" t="n"/>
      <c r="P343" s="9">
        <f>TABL1234[[#This Row],[ (S/S) SAR]]-TABL1234[[#This Row],[(S/S) AJD]]</f>
        <v/>
      </c>
      <c r="Q343" s="40" t="n"/>
      <c r="R343" s="9">
        <f>TABL1234[[#This Row],[ (T/B) SAR]]-TABL1234[[#This Row],[(T/B) AJD]]</f>
        <v/>
      </c>
      <c r="S343" s="9">
        <f>TABL1234[[#This Row],[T/B-CON.]]+TABL1234[[#This Row],[S/S_CON.]]</f>
        <v/>
      </c>
      <c r="T343" s="9">
        <f>TABL1234[[#This Row],[(S/S) AJD]]+TABL1234[[#This Row],[(T/B) AJD]]</f>
        <v/>
      </c>
      <c r="U343" s="44" t="n"/>
      <c r="V343" s="44" t="n"/>
      <c r="W343" s="9">
        <f>TABL1234[[#This Row],[(A/B) AJD]]+TABL1234[[#This Row],[(A/S) AJD]]</f>
        <v/>
      </c>
      <c r="X343" s="9">
        <f>TABL1234[[#This Row],[( S/S+T/B) AJD]]-TABL1234[[#This Row],[(A/B + A/S) AJD]]</f>
        <v/>
      </c>
      <c r="Y343" s="44" t="n"/>
      <c r="Z343" s="45" t="n"/>
      <c r="AA343" s="3">
        <f>TABL1234[[#This Row],[(RESV. STORGE) AJD]]/10</f>
        <v/>
      </c>
      <c r="AB343" s="3">
        <f>IF(TRIM(Z343)="",,(Z343-Z342)/1000)</f>
        <v/>
      </c>
      <c r="AC343" s="5" t="n"/>
      <c r="AD343" s="40">
        <f>TABL1234[[#This Row],[( S/S+T/B) AJD]]-(TABL1234[[#This Row],[(A/B + A/S) AJD]]+(TABL1234[[#This Row],[(STORGE DIFF.) AJD]]*1000)+TABL1234[[#This Row],[AJD_Evaporation]])</f>
        <v/>
      </c>
      <c r="AE343" s="44" t="n"/>
      <c r="AF343" s="45" t="n"/>
      <c r="AG343" s="45" t="n"/>
      <c r="AH343" s="6" t="n"/>
      <c r="AI343" s="45" t="n"/>
      <c r="AJ343" s="45">
        <f>TABL1234[[#This Row],[(A/B) AJD]]-TABL1234[[#This Row],[BER_IN]]</f>
        <v/>
      </c>
      <c r="AK343" s="45" t="n"/>
      <c r="AL343" s="45" t="n"/>
      <c r="AM343" s="32" t="n"/>
      <c r="AN343" s="32">
        <f>TABL1234[[#This Row],[ (RESV. STORGE) SER]]/10</f>
        <v/>
      </c>
      <c r="AO343" s="68" t="n"/>
      <c r="AP343" s="68">
        <f>TABL1234[[#This Row],[(A/S) AJD]]-TABL1234[[#This Row],[SER_IN]]</f>
        <v/>
      </c>
    </row>
    <row r="344" ht="18.75" customHeight="1">
      <c r="A344" s="2" t="n">
        <v>46730</v>
      </c>
      <c r="B344" s="41" t="n"/>
      <c r="C344" s="41" t="n"/>
      <c r="D344" s="41" t="n"/>
      <c r="E344" s="41" t="n"/>
      <c r="F344" s="41" t="n"/>
      <c r="G344" s="39" t="n"/>
      <c r="H344" s="41">
        <f>103-F344</f>
        <v/>
      </c>
      <c r="I344" s="39" t="n"/>
      <c r="J344" s="39" t="n"/>
      <c r="K344" s="28">
        <f>TABL1234[[#This Row],[ (T/B) SAR]]+TABL1234[[#This Row],[ (S/S) SAR]]</f>
        <v/>
      </c>
      <c r="L344" s="41" t="n"/>
      <c r="M344" s="42" t="n"/>
      <c r="N344" s="42" t="n"/>
      <c r="O344" s="39" t="n"/>
      <c r="P344" s="9">
        <f>TABL1234[[#This Row],[ (S/S) SAR]]-TABL1234[[#This Row],[(S/S) AJD]]</f>
        <v/>
      </c>
      <c r="Q344" s="39" t="n"/>
      <c r="R344" s="9">
        <f>TABL1234[[#This Row],[ (T/B) SAR]]-TABL1234[[#This Row],[(T/B) AJD]]</f>
        <v/>
      </c>
      <c r="S344" s="9">
        <f>TABL1234[[#This Row],[T/B-CON.]]+TABL1234[[#This Row],[S/S_CON.]]</f>
        <v/>
      </c>
      <c r="T344" s="9">
        <f>TABL1234[[#This Row],[(S/S) AJD]]+TABL1234[[#This Row],[(T/B) AJD]]</f>
        <v/>
      </c>
      <c r="U344" s="41" t="n"/>
      <c r="V344" s="41" t="n"/>
      <c r="W344" s="9">
        <f>TABL1234[[#This Row],[(A/B) AJD]]+TABL1234[[#This Row],[(A/S) AJD]]</f>
        <v/>
      </c>
      <c r="X344" s="9">
        <f>TABL1234[[#This Row],[( S/S+T/B) AJD]]-TABL1234[[#This Row],[(A/B + A/S) AJD]]</f>
        <v/>
      </c>
      <c r="Y344" s="41" t="n"/>
      <c r="Z344" s="43" t="n"/>
      <c r="AA344" s="3">
        <f>TABL1234[[#This Row],[(RESV. STORGE) AJD]]/10</f>
        <v/>
      </c>
      <c r="AB344" s="3">
        <f>IF(TRIM(Z344)="",,(Z344-Z343)/1000)</f>
        <v/>
      </c>
      <c r="AC344" s="5" t="n"/>
      <c r="AD344" s="39">
        <f>TABL1234[[#This Row],[( S/S+T/B) AJD]]-(TABL1234[[#This Row],[(A/B + A/S) AJD]]+(TABL1234[[#This Row],[(STORGE DIFF.) AJD]]*1000)+TABL1234[[#This Row],[AJD_Evaporation]])</f>
        <v/>
      </c>
      <c r="AE344" s="41" t="n"/>
      <c r="AF344" s="43" t="n"/>
      <c r="AG344" s="43" t="n"/>
      <c r="AH344" s="6" t="n"/>
      <c r="AI344" s="43" t="n"/>
      <c r="AJ344" s="43">
        <f>TABL1234[[#This Row],[(A/B) AJD]]-TABL1234[[#This Row],[BER_IN]]</f>
        <v/>
      </c>
      <c r="AK344" s="43" t="n"/>
      <c r="AL344" s="43" t="n"/>
      <c r="AM344" s="32" t="n"/>
      <c r="AN344" s="32">
        <f>TABL1234[[#This Row],[ (RESV. STORGE) SER]]/10</f>
        <v/>
      </c>
      <c r="AO344" s="68" t="n"/>
      <c r="AP344" s="68">
        <f>TABL1234[[#This Row],[(A/S) AJD]]-TABL1234[[#This Row],[SER_IN]]</f>
        <v/>
      </c>
    </row>
    <row r="345" ht="18.75" customHeight="1">
      <c r="A345" s="2" t="n">
        <v>46731</v>
      </c>
      <c r="B345" s="44" t="n"/>
      <c r="C345" s="44" t="n"/>
      <c r="D345" s="44" t="n"/>
      <c r="E345" s="44" t="n"/>
      <c r="F345" s="44" t="n"/>
      <c r="G345" s="40" t="n"/>
      <c r="H345" s="44">
        <f>103-F345</f>
        <v/>
      </c>
      <c r="I345" s="40" t="n"/>
      <c r="J345" s="44" t="n"/>
      <c r="K345" s="28">
        <f>TABL1234[[#This Row],[ (T/B) SAR]]+TABL1234[[#This Row],[ (S/S) SAR]]</f>
        <v/>
      </c>
      <c r="L345" s="45" t="n"/>
      <c r="M345" s="46" t="n"/>
      <c r="N345" s="46" t="n"/>
      <c r="O345" s="40" t="n"/>
      <c r="P345" s="9">
        <f>TABL1234[[#This Row],[ (S/S) SAR]]-TABL1234[[#This Row],[(S/S) AJD]]</f>
        <v/>
      </c>
      <c r="Q345" s="40" t="n"/>
      <c r="R345" s="9">
        <f>TABL1234[[#This Row],[ (T/B) SAR]]-TABL1234[[#This Row],[(T/B) AJD]]</f>
        <v/>
      </c>
      <c r="S345" s="9">
        <f>TABL1234[[#This Row],[T/B-CON.]]+TABL1234[[#This Row],[S/S_CON.]]</f>
        <v/>
      </c>
      <c r="T345" s="9">
        <f>TABL1234[[#This Row],[(S/S) AJD]]+TABL1234[[#This Row],[(T/B) AJD]]</f>
        <v/>
      </c>
      <c r="U345" s="44" t="n"/>
      <c r="V345" s="44" t="n"/>
      <c r="W345" s="9">
        <f>TABL1234[[#This Row],[(A/B) AJD]]+TABL1234[[#This Row],[(A/S) AJD]]</f>
        <v/>
      </c>
      <c r="X345" s="9">
        <f>TABL1234[[#This Row],[( S/S+T/B) AJD]]-TABL1234[[#This Row],[(A/B + A/S) AJD]]</f>
        <v/>
      </c>
      <c r="Y345" s="44" t="n"/>
      <c r="Z345" s="45" t="n"/>
      <c r="AA345" s="3">
        <f>TABL1234[[#This Row],[(RESV. STORGE) AJD]]/10</f>
        <v/>
      </c>
      <c r="AB345" s="3">
        <f>IF(TRIM(Z345)="",,(Z345-Z344)/1000)</f>
        <v/>
      </c>
      <c r="AC345" s="5" t="n"/>
      <c r="AD345" s="40">
        <f>TABL1234[[#This Row],[( S/S+T/B) AJD]]-(TABL1234[[#This Row],[(A/B + A/S) AJD]]+(TABL1234[[#This Row],[(STORGE DIFF.) AJD]]*1000)+TABL1234[[#This Row],[AJD_Evaporation]])</f>
        <v/>
      </c>
      <c r="AE345" s="44" t="n"/>
      <c r="AF345" s="45" t="n"/>
      <c r="AG345" s="45" t="n"/>
      <c r="AH345" s="6" t="n"/>
      <c r="AI345" s="45" t="n"/>
      <c r="AJ345" s="45">
        <f>TABL1234[[#This Row],[(A/B) AJD]]-TABL1234[[#This Row],[BER_IN]]</f>
        <v/>
      </c>
      <c r="AK345" s="45" t="n"/>
      <c r="AL345" s="45" t="n"/>
      <c r="AM345" s="32" t="n"/>
      <c r="AN345" s="32">
        <f>TABL1234[[#This Row],[ (RESV. STORGE) SER]]/10</f>
        <v/>
      </c>
      <c r="AO345" s="68" t="n"/>
      <c r="AP345" s="68">
        <f>TABL1234[[#This Row],[(A/S) AJD]]-TABL1234[[#This Row],[SER_IN]]</f>
        <v/>
      </c>
    </row>
    <row r="346" ht="18.75" customHeight="1">
      <c r="A346" s="2" t="n">
        <v>46732</v>
      </c>
      <c r="B346" s="41" t="n"/>
      <c r="C346" s="41" t="n"/>
      <c r="D346" s="41" t="n"/>
      <c r="E346" s="41" t="n"/>
      <c r="F346" s="41" t="n"/>
      <c r="G346" s="39" t="n"/>
      <c r="H346" s="41">
        <f>103-F346</f>
        <v/>
      </c>
      <c r="I346" s="39" t="n"/>
      <c r="J346" s="39" t="n"/>
      <c r="K346" s="28">
        <f>TABL1234[[#This Row],[ (T/B) SAR]]+TABL1234[[#This Row],[ (S/S) SAR]]</f>
        <v/>
      </c>
      <c r="L346" s="41" t="n"/>
      <c r="M346" s="42" t="n"/>
      <c r="N346" s="42" t="n"/>
      <c r="O346" s="39" t="n"/>
      <c r="P346" s="9">
        <f>TABL1234[[#This Row],[ (S/S) SAR]]-TABL1234[[#This Row],[(S/S) AJD]]</f>
        <v/>
      </c>
      <c r="Q346" s="39" t="n"/>
      <c r="R346" s="9">
        <f>TABL1234[[#This Row],[ (T/B) SAR]]-TABL1234[[#This Row],[(T/B) AJD]]</f>
        <v/>
      </c>
      <c r="S346" s="9">
        <f>TABL1234[[#This Row],[T/B-CON.]]+TABL1234[[#This Row],[S/S_CON.]]</f>
        <v/>
      </c>
      <c r="T346" s="9">
        <f>TABL1234[[#This Row],[(S/S) AJD]]+TABL1234[[#This Row],[(T/B) AJD]]</f>
        <v/>
      </c>
      <c r="U346" s="41" t="n"/>
      <c r="V346" s="41" t="n"/>
      <c r="W346" s="9">
        <f>TABL1234[[#This Row],[(A/B) AJD]]+TABL1234[[#This Row],[(A/S) AJD]]</f>
        <v/>
      </c>
      <c r="X346" s="9">
        <f>TABL1234[[#This Row],[( S/S+T/B) AJD]]-TABL1234[[#This Row],[(A/B + A/S) AJD]]</f>
        <v/>
      </c>
      <c r="Y346" s="41" t="n"/>
      <c r="Z346" s="43" t="n"/>
      <c r="AA346" s="3">
        <f>TABL1234[[#This Row],[(RESV. STORGE) AJD]]/10</f>
        <v/>
      </c>
      <c r="AB346" s="3">
        <f>IF(TRIM(Z346)="",,(Z346-Z345)/1000)</f>
        <v/>
      </c>
      <c r="AC346" s="5" t="n"/>
      <c r="AD346" s="39">
        <f>TABL1234[[#This Row],[( S/S+T/B) AJD]]-(TABL1234[[#This Row],[(A/B + A/S) AJD]]+(TABL1234[[#This Row],[(STORGE DIFF.) AJD]]*1000)+TABL1234[[#This Row],[AJD_Evaporation]])</f>
        <v/>
      </c>
      <c r="AE346" s="41" t="n"/>
      <c r="AF346" s="43" t="n"/>
      <c r="AG346" s="48" t="n"/>
      <c r="AH346" s="6" t="n"/>
      <c r="AI346" s="43" t="n"/>
      <c r="AJ346" s="48">
        <f>TABL1234[[#This Row],[(A/B) AJD]]-TABL1234[[#This Row],[BER_IN]]</f>
        <v/>
      </c>
      <c r="AK346" s="43" t="n"/>
      <c r="AL346" s="43" t="n"/>
      <c r="AM346" s="32" t="n"/>
      <c r="AN346" s="32">
        <f>TABL1234[[#This Row],[ (RESV. STORGE) SER]]/10</f>
        <v/>
      </c>
      <c r="AO346" s="68" t="n"/>
      <c r="AP346" s="68">
        <f>TABL1234[[#This Row],[(A/S) AJD]]-TABL1234[[#This Row],[SER_IN]]</f>
        <v/>
      </c>
    </row>
    <row r="347" ht="18.75" customHeight="1">
      <c r="A347" s="2" t="n">
        <v>46733</v>
      </c>
      <c r="B347" s="44" t="n"/>
      <c r="C347" s="44" t="n"/>
      <c r="D347" s="44" t="n"/>
      <c r="E347" s="44" t="n"/>
      <c r="F347" s="44" t="n"/>
      <c r="G347" s="40" t="n"/>
      <c r="H347" s="44">
        <f>103-F347</f>
        <v/>
      </c>
      <c r="I347" s="40" t="n"/>
      <c r="J347" s="44" t="n"/>
      <c r="K347" s="28">
        <f>TABL1234[[#This Row],[ (T/B) SAR]]+TABL1234[[#This Row],[ (S/S) SAR]]</f>
        <v/>
      </c>
      <c r="L347" s="45" t="n"/>
      <c r="M347" s="46" t="n"/>
      <c r="N347" s="46" t="n"/>
      <c r="O347" s="40" t="n"/>
      <c r="P347" s="9">
        <f>TABL1234[[#This Row],[ (S/S) SAR]]-TABL1234[[#This Row],[(S/S) AJD]]</f>
        <v/>
      </c>
      <c r="Q347" s="40" t="n"/>
      <c r="R347" s="9">
        <f>TABL1234[[#This Row],[ (T/B) SAR]]-TABL1234[[#This Row],[(T/B) AJD]]</f>
        <v/>
      </c>
      <c r="S347" s="9">
        <f>TABL1234[[#This Row],[T/B-CON.]]+TABL1234[[#This Row],[S/S_CON.]]</f>
        <v/>
      </c>
      <c r="T347" s="9">
        <f>TABL1234[[#This Row],[(S/S) AJD]]+TABL1234[[#This Row],[(T/B) AJD]]</f>
        <v/>
      </c>
      <c r="U347" s="44" t="n"/>
      <c r="V347" s="44" t="n"/>
      <c r="W347" s="9">
        <f>TABL1234[[#This Row],[(A/B) AJD]]+TABL1234[[#This Row],[(A/S) AJD]]</f>
        <v/>
      </c>
      <c r="X347" s="9">
        <f>TABL1234[[#This Row],[( S/S+T/B) AJD]]-TABL1234[[#This Row],[(A/B + A/S) AJD]]</f>
        <v/>
      </c>
      <c r="Y347" s="44" t="n"/>
      <c r="Z347" s="45" t="n"/>
      <c r="AA347" s="3">
        <f>TABL1234[[#This Row],[(RESV. STORGE) AJD]]/10</f>
        <v/>
      </c>
      <c r="AB347" s="3">
        <f>IF(TRIM(Z347)="",,(Z347-Z346)/1000)</f>
        <v/>
      </c>
      <c r="AC347" s="5" t="n"/>
      <c r="AD347" s="40">
        <f>TABL1234[[#This Row],[( S/S+T/B) AJD]]-(TABL1234[[#This Row],[(A/B + A/S) AJD]]+(TABL1234[[#This Row],[(STORGE DIFF.) AJD]]*1000)+TABL1234[[#This Row],[AJD_Evaporation]])</f>
        <v/>
      </c>
      <c r="AE347" s="44" t="n"/>
      <c r="AF347" s="45" t="n"/>
      <c r="AG347" s="45" t="n"/>
      <c r="AH347" s="6" t="n"/>
      <c r="AI347" s="45" t="n"/>
      <c r="AJ347" s="45">
        <f>TABL1234[[#This Row],[(A/B) AJD]]-TABL1234[[#This Row],[BER_IN]]</f>
        <v/>
      </c>
      <c r="AK347" s="45" t="n"/>
      <c r="AL347" s="45" t="n"/>
      <c r="AM347" s="32" t="n"/>
      <c r="AN347" s="32">
        <f>TABL1234[[#This Row],[ (RESV. STORGE) SER]]/10</f>
        <v/>
      </c>
      <c r="AO347" s="68" t="n"/>
      <c r="AP347" s="68">
        <f>TABL1234[[#This Row],[(A/S) AJD]]-TABL1234[[#This Row],[SER_IN]]</f>
        <v/>
      </c>
    </row>
    <row r="348" ht="18.75" customHeight="1">
      <c r="A348" s="2" t="n">
        <v>46734</v>
      </c>
      <c r="B348" s="41" t="n"/>
      <c r="C348" s="41" t="n"/>
      <c r="D348" s="41" t="n"/>
      <c r="E348" s="41" t="n"/>
      <c r="F348" s="41" t="n"/>
      <c r="G348" s="39" t="n"/>
      <c r="H348" s="41">
        <f>103-F348</f>
        <v/>
      </c>
      <c r="I348" s="39" t="n"/>
      <c r="J348" s="39" t="n"/>
      <c r="K348" s="28">
        <f>TABL1234[[#This Row],[ (T/B) SAR]]+TABL1234[[#This Row],[ (S/S) SAR]]</f>
        <v/>
      </c>
      <c r="L348" s="41" t="n"/>
      <c r="M348" s="42" t="n"/>
      <c r="N348" s="42" t="n"/>
      <c r="O348" s="39" t="n"/>
      <c r="P348" s="9">
        <f>TABL1234[[#This Row],[ (S/S) SAR]]-TABL1234[[#This Row],[(S/S) AJD]]</f>
        <v/>
      </c>
      <c r="Q348" s="39" t="n"/>
      <c r="R348" s="9">
        <f>TABL1234[[#This Row],[ (T/B) SAR]]-TABL1234[[#This Row],[(T/B) AJD]]</f>
        <v/>
      </c>
      <c r="S348" s="9">
        <f>TABL1234[[#This Row],[T/B-CON.]]+TABL1234[[#This Row],[S/S_CON.]]</f>
        <v/>
      </c>
      <c r="T348" s="9">
        <f>TABL1234[[#This Row],[(S/S) AJD]]+TABL1234[[#This Row],[(T/B) AJD]]</f>
        <v/>
      </c>
      <c r="U348" s="41" t="n"/>
      <c r="V348" s="41" t="n"/>
      <c r="W348" s="9">
        <f>TABL1234[[#This Row],[(A/B) AJD]]+TABL1234[[#This Row],[(A/S) AJD]]</f>
        <v/>
      </c>
      <c r="X348" s="9">
        <f>TABL1234[[#This Row],[( S/S+T/B) AJD]]-TABL1234[[#This Row],[(A/B + A/S) AJD]]</f>
        <v/>
      </c>
      <c r="Y348" s="41" t="n"/>
      <c r="Z348" s="43" t="n"/>
      <c r="AA348" s="3">
        <f>TABL1234[[#This Row],[(RESV. STORGE) AJD]]/10</f>
        <v/>
      </c>
      <c r="AB348" s="3">
        <f>IF(TRIM(Z348)="",,(Z348-Z347)/1000)</f>
        <v/>
      </c>
      <c r="AC348" s="5" t="n"/>
      <c r="AD348" s="39">
        <f>TABL1234[[#This Row],[( S/S+T/B) AJD]]-(TABL1234[[#This Row],[(A/B + A/S) AJD]]+(TABL1234[[#This Row],[(STORGE DIFF.) AJD]]*1000)+TABL1234[[#This Row],[AJD_Evaporation]])</f>
        <v/>
      </c>
      <c r="AE348" s="41" t="n"/>
      <c r="AF348" s="43" t="n"/>
      <c r="AG348" s="43" t="n"/>
      <c r="AH348" s="6" t="n"/>
      <c r="AI348" s="43" t="n"/>
      <c r="AJ348" s="43">
        <f>TABL1234[[#This Row],[(A/B) AJD]]-TABL1234[[#This Row],[BER_IN]]</f>
        <v/>
      </c>
      <c r="AK348" s="43" t="n"/>
      <c r="AL348" s="43" t="n"/>
      <c r="AM348" s="32" t="n"/>
      <c r="AN348" s="32">
        <f>TABL1234[[#This Row],[ (RESV. STORGE) SER]]/10</f>
        <v/>
      </c>
      <c r="AO348" s="68" t="n"/>
      <c r="AP348" s="68">
        <f>TABL1234[[#This Row],[(A/S) AJD]]-TABL1234[[#This Row],[SER_IN]]</f>
        <v/>
      </c>
    </row>
    <row r="349" ht="18.75" customHeight="1">
      <c r="A349" s="2" t="n">
        <v>46735</v>
      </c>
      <c r="B349" s="44" t="n"/>
      <c r="C349" s="44" t="n"/>
      <c r="D349" s="44" t="n"/>
      <c r="E349" s="44" t="n"/>
      <c r="F349" s="44" t="n"/>
      <c r="G349" s="40" t="n"/>
      <c r="H349" s="44">
        <f>103-F349</f>
        <v/>
      </c>
      <c r="I349" s="40" t="n"/>
      <c r="J349" s="44" t="n"/>
      <c r="K349" s="28">
        <f>TABL1234[[#This Row],[ (T/B) SAR]]+TABL1234[[#This Row],[ (S/S) SAR]]</f>
        <v/>
      </c>
      <c r="L349" s="45" t="n"/>
      <c r="M349" s="46" t="n"/>
      <c r="N349" s="46" t="n"/>
      <c r="O349" s="40" t="n"/>
      <c r="P349" s="9">
        <f>TABL1234[[#This Row],[ (S/S) SAR]]-TABL1234[[#This Row],[(S/S) AJD]]</f>
        <v/>
      </c>
      <c r="Q349" s="40" t="n"/>
      <c r="R349" s="9">
        <f>TABL1234[[#This Row],[ (T/B) SAR]]-TABL1234[[#This Row],[(T/B) AJD]]</f>
        <v/>
      </c>
      <c r="S349" s="9">
        <f>TABL1234[[#This Row],[T/B-CON.]]+TABL1234[[#This Row],[S/S_CON.]]</f>
        <v/>
      </c>
      <c r="T349" s="9">
        <f>TABL1234[[#This Row],[(S/S) AJD]]+TABL1234[[#This Row],[(T/B) AJD]]</f>
        <v/>
      </c>
      <c r="U349" s="44" t="n"/>
      <c r="V349" s="44" t="n"/>
      <c r="W349" s="9">
        <f>TABL1234[[#This Row],[(A/B) AJD]]+TABL1234[[#This Row],[(A/S) AJD]]</f>
        <v/>
      </c>
      <c r="X349" s="9">
        <f>TABL1234[[#This Row],[( S/S+T/B) AJD]]-TABL1234[[#This Row],[(A/B + A/S) AJD]]</f>
        <v/>
      </c>
      <c r="Y349" s="44" t="n"/>
      <c r="Z349" s="45" t="n"/>
      <c r="AA349" s="3">
        <f>TABL1234[[#This Row],[(RESV. STORGE) AJD]]/10</f>
        <v/>
      </c>
      <c r="AB349" s="3">
        <f>IF(TRIM(Z349)="",,(Z349-Z348)/1000)</f>
        <v/>
      </c>
      <c r="AC349" s="5" t="n"/>
      <c r="AD349" s="40">
        <f>TABL1234[[#This Row],[( S/S+T/B) AJD]]-(TABL1234[[#This Row],[(A/B + A/S) AJD]]+(TABL1234[[#This Row],[(STORGE DIFF.) AJD]]*1000)+TABL1234[[#This Row],[AJD_Evaporation]])</f>
        <v/>
      </c>
      <c r="AE349" s="44" t="n"/>
      <c r="AF349" s="45" t="n"/>
      <c r="AG349" s="45" t="n"/>
      <c r="AH349" s="6" t="n"/>
      <c r="AI349" s="45" t="n"/>
      <c r="AJ349" s="45">
        <f>TABL1234[[#This Row],[(A/B) AJD]]-TABL1234[[#This Row],[BER_IN]]</f>
        <v/>
      </c>
      <c r="AK349" s="45" t="n"/>
      <c r="AL349" s="45" t="n"/>
      <c r="AM349" s="32" t="n"/>
      <c r="AN349" s="32">
        <f>TABL1234[[#This Row],[ (RESV. STORGE) SER]]/10</f>
        <v/>
      </c>
      <c r="AO349" s="68" t="n"/>
      <c r="AP349" s="68">
        <f>TABL1234[[#This Row],[(A/S) AJD]]-TABL1234[[#This Row],[SER_IN]]</f>
        <v/>
      </c>
    </row>
    <row r="350" ht="18.75" customHeight="1">
      <c r="A350" s="2" t="n">
        <v>46736</v>
      </c>
      <c r="B350" s="41" t="n"/>
      <c r="C350" s="41" t="n"/>
      <c r="D350" s="41" t="n"/>
      <c r="E350" s="41" t="n"/>
      <c r="F350" s="41" t="n"/>
      <c r="G350" s="39" t="n"/>
      <c r="H350" s="41">
        <f>103-F350</f>
        <v/>
      </c>
      <c r="I350" s="39" t="n"/>
      <c r="J350" s="39" t="n"/>
      <c r="K350" s="28">
        <f>TABL1234[[#This Row],[ (T/B) SAR]]+TABL1234[[#This Row],[ (S/S) SAR]]</f>
        <v/>
      </c>
      <c r="L350" s="41" t="n"/>
      <c r="M350" s="42" t="n"/>
      <c r="N350" s="42" t="n"/>
      <c r="O350" s="39" t="n"/>
      <c r="P350" s="9">
        <f>TABL1234[[#This Row],[ (S/S) SAR]]-TABL1234[[#This Row],[(S/S) AJD]]</f>
        <v/>
      </c>
      <c r="Q350" s="39" t="n"/>
      <c r="R350" s="9">
        <f>TABL1234[[#This Row],[ (T/B) SAR]]-TABL1234[[#This Row],[(T/B) AJD]]</f>
        <v/>
      </c>
      <c r="S350" s="9">
        <f>TABL1234[[#This Row],[T/B-CON.]]+TABL1234[[#This Row],[S/S_CON.]]</f>
        <v/>
      </c>
      <c r="T350" s="9">
        <f>TABL1234[[#This Row],[(S/S) AJD]]+TABL1234[[#This Row],[(T/B) AJD]]</f>
        <v/>
      </c>
      <c r="U350" s="41" t="n"/>
      <c r="V350" s="41" t="n"/>
      <c r="W350" s="9">
        <f>TABL1234[[#This Row],[(A/B) AJD]]+TABL1234[[#This Row],[(A/S) AJD]]</f>
        <v/>
      </c>
      <c r="X350" s="9">
        <f>TABL1234[[#This Row],[( S/S+T/B) AJD]]-TABL1234[[#This Row],[(A/B + A/S) AJD]]</f>
        <v/>
      </c>
      <c r="Y350" s="41" t="n"/>
      <c r="Z350" s="43" t="n"/>
      <c r="AA350" s="3">
        <f>TABL1234[[#This Row],[(RESV. STORGE) AJD]]/10</f>
        <v/>
      </c>
      <c r="AB350" s="3">
        <f>IF(TRIM(Z350)="",,(Z350-Z349)/1000)</f>
        <v/>
      </c>
      <c r="AC350" s="5" t="n"/>
      <c r="AD350" s="39">
        <f>TABL1234[[#This Row],[( S/S+T/B) AJD]]-(TABL1234[[#This Row],[(A/B + A/S) AJD]]+(TABL1234[[#This Row],[(STORGE DIFF.) AJD]]*1000)+TABL1234[[#This Row],[AJD_Evaporation]])</f>
        <v/>
      </c>
      <c r="AE350" s="41" t="n"/>
      <c r="AF350" s="43" t="n"/>
      <c r="AG350" s="43" t="n"/>
      <c r="AH350" s="6" t="n"/>
      <c r="AI350" s="43" t="n"/>
      <c r="AJ350" s="43">
        <f>TABL1234[[#This Row],[(A/B) AJD]]-TABL1234[[#This Row],[BER_IN]]</f>
        <v/>
      </c>
      <c r="AK350" s="43" t="n"/>
      <c r="AL350" s="43" t="n"/>
      <c r="AM350" s="32" t="n"/>
      <c r="AN350" s="32">
        <f>TABL1234[[#This Row],[ (RESV. STORGE) SER]]/10</f>
        <v/>
      </c>
      <c r="AO350" s="68" t="n"/>
      <c r="AP350" s="68">
        <f>TABL1234[[#This Row],[(A/S) AJD]]-TABL1234[[#This Row],[SER_IN]]</f>
        <v/>
      </c>
    </row>
    <row r="351" ht="18.75" customHeight="1">
      <c r="A351" s="2" t="n">
        <v>46737</v>
      </c>
      <c r="B351" s="44" t="n"/>
      <c r="C351" s="44" t="n"/>
      <c r="D351" s="44" t="n"/>
      <c r="E351" s="44" t="n"/>
      <c r="F351" s="44" t="n"/>
      <c r="G351" s="40" t="n"/>
      <c r="H351" s="44">
        <f>103-F351</f>
        <v/>
      </c>
      <c r="I351" s="40" t="n"/>
      <c r="J351" s="44" t="n"/>
      <c r="K351" s="28">
        <f>TABL1234[[#This Row],[ (T/B) SAR]]+TABL1234[[#This Row],[ (S/S) SAR]]</f>
        <v/>
      </c>
      <c r="L351" s="45" t="n"/>
      <c r="M351" s="46" t="n"/>
      <c r="N351" s="46" t="n"/>
      <c r="O351" s="40" t="n"/>
      <c r="P351" s="9">
        <f>TABL1234[[#This Row],[ (S/S) SAR]]-TABL1234[[#This Row],[(S/S) AJD]]</f>
        <v/>
      </c>
      <c r="Q351" s="40" t="n"/>
      <c r="R351" s="9">
        <f>TABL1234[[#This Row],[ (T/B) SAR]]-TABL1234[[#This Row],[(T/B) AJD]]</f>
        <v/>
      </c>
      <c r="S351" s="9">
        <f>TABL1234[[#This Row],[T/B-CON.]]+TABL1234[[#This Row],[S/S_CON.]]</f>
        <v/>
      </c>
      <c r="T351" s="9">
        <f>TABL1234[[#This Row],[(S/S) AJD]]+TABL1234[[#This Row],[(T/B) AJD]]</f>
        <v/>
      </c>
      <c r="U351" s="44" t="n"/>
      <c r="V351" s="44" t="n"/>
      <c r="W351" s="9">
        <f>TABL1234[[#This Row],[(A/B) AJD]]+TABL1234[[#This Row],[(A/S) AJD]]</f>
        <v/>
      </c>
      <c r="X351" s="9">
        <f>TABL1234[[#This Row],[( S/S+T/B) AJD]]-TABL1234[[#This Row],[(A/B + A/S) AJD]]</f>
        <v/>
      </c>
      <c r="Y351" s="44" t="n"/>
      <c r="Z351" s="45" t="n"/>
      <c r="AA351" s="3">
        <f>TABL1234[[#This Row],[(RESV. STORGE) AJD]]/10</f>
        <v/>
      </c>
      <c r="AB351" s="3">
        <f>IF(TRIM(Z351)="",,(Z351-Z350)/1000)</f>
        <v/>
      </c>
      <c r="AC351" s="5" t="n"/>
      <c r="AD351" s="40">
        <f>TABL1234[[#This Row],[( S/S+T/B) AJD]]-(TABL1234[[#This Row],[(A/B + A/S) AJD]]+(TABL1234[[#This Row],[(STORGE DIFF.) AJD]]*1000)+TABL1234[[#This Row],[AJD_Evaporation]])</f>
        <v/>
      </c>
      <c r="AE351" s="44" t="n"/>
      <c r="AF351" s="45" t="n"/>
      <c r="AG351" s="45" t="n"/>
      <c r="AH351" s="6" t="n"/>
      <c r="AI351" s="45" t="n"/>
      <c r="AJ351" s="45">
        <f>TABL1234[[#This Row],[(A/B) AJD]]-TABL1234[[#This Row],[BER_IN]]</f>
        <v/>
      </c>
      <c r="AK351" s="45" t="n"/>
      <c r="AL351" s="45" t="n"/>
      <c r="AM351" s="32" t="n"/>
      <c r="AN351" s="32">
        <f>TABL1234[[#This Row],[ (RESV. STORGE) SER]]/10</f>
        <v/>
      </c>
      <c r="AO351" s="68" t="n"/>
      <c r="AP351" s="68">
        <f>TABL1234[[#This Row],[(A/S) AJD]]-TABL1234[[#This Row],[SER_IN]]</f>
        <v/>
      </c>
    </row>
    <row r="352" ht="18.75" customHeight="1">
      <c r="A352" s="2" t="n">
        <v>46738</v>
      </c>
      <c r="B352" s="41" t="n"/>
      <c r="C352" s="41" t="n"/>
      <c r="D352" s="41" t="n"/>
      <c r="E352" s="41" t="n"/>
      <c r="F352" s="41" t="n"/>
      <c r="G352" s="39" t="n"/>
      <c r="H352" s="41">
        <f>103-F352</f>
        <v/>
      </c>
      <c r="I352" s="39" t="n"/>
      <c r="J352" s="39" t="n"/>
      <c r="K352" s="28">
        <f>TABL1234[[#This Row],[ (T/B) SAR]]+TABL1234[[#This Row],[ (S/S) SAR]]</f>
        <v/>
      </c>
      <c r="L352" s="41" t="n"/>
      <c r="M352" s="42" t="n"/>
      <c r="N352" s="42" t="n"/>
      <c r="O352" s="39" t="n"/>
      <c r="P352" s="9">
        <f>TABL1234[[#This Row],[ (S/S) SAR]]-TABL1234[[#This Row],[(S/S) AJD]]</f>
        <v/>
      </c>
      <c r="Q352" s="39" t="n"/>
      <c r="R352" s="9">
        <f>TABL1234[[#This Row],[ (T/B) SAR]]-TABL1234[[#This Row],[(T/B) AJD]]</f>
        <v/>
      </c>
      <c r="S352" s="9">
        <f>TABL1234[[#This Row],[T/B-CON.]]+TABL1234[[#This Row],[S/S_CON.]]</f>
        <v/>
      </c>
      <c r="T352" s="9">
        <f>TABL1234[[#This Row],[(S/S) AJD]]+TABL1234[[#This Row],[(T/B) AJD]]</f>
        <v/>
      </c>
      <c r="U352" s="41" t="n"/>
      <c r="V352" s="41" t="n"/>
      <c r="W352" s="9">
        <f>TABL1234[[#This Row],[(A/B) AJD]]+TABL1234[[#This Row],[(A/S) AJD]]</f>
        <v/>
      </c>
      <c r="X352" s="9">
        <f>TABL1234[[#This Row],[( S/S+T/B) AJD]]-TABL1234[[#This Row],[(A/B + A/S) AJD]]</f>
        <v/>
      </c>
      <c r="Y352" s="41" t="n"/>
      <c r="Z352" s="43" t="n"/>
      <c r="AA352" s="3">
        <f>TABL1234[[#This Row],[(RESV. STORGE) AJD]]/10</f>
        <v/>
      </c>
      <c r="AB352" s="3">
        <f>IF(TRIM(Z352)="",,(Z352-Z351)/1000)</f>
        <v/>
      </c>
      <c r="AC352" s="5" t="n"/>
      <c r="AD352" s="39">
        <f>TABL1234[[#This Row],[( S/S+T/B) AJD]]-(TABL1234[[#This Row],[(A/B + A/S) AJD]]+(TABL1234[[#This Row],[(STORGE DIFF.) AJD]]*1000)+TABL1234[[#This Row],[AJD_Evaporation]])</f>
        <v/>
      </c>
      <c r="AE352" s="41" t="n"/>
      <c r="AF352" s="43" t="n"/>
      <c r="AG352" s="43" t="n"/>
      <c r="AH352" s="6" t="n"/>
      <c r="AI352" s="43" t="n"/>
      <c r="AJ352" s="43">
        <f>TABL1234[[#This Row],[(A/B) AJD]]-TABL1234[[#This Row],[BER_IN]]</f>
        <v/>
      </c>
      <c r="AK352" s="43" t="n"/>
      <c r="AL352" s="43" t="n"/>
      <c r="AM352" s="32" t="n"/>
      <c r="AN352" s="32">
        <f>TABL1234[[#This Row],[ (RESV. STORGE) SER]]/10</f>
        <v/>
      </c>
      <c r="AO352" s="68" t="n"/>
      <c r="AP352" s="68">
        <f>TABL1234[[#This Row],[(A/S) AJD]]-TABL1234[[#This Row],[SER_IN]]</f>
        <v/>
      </c>
    </row>
    <row r="353" ht="18.75" customHeight="1">
      <c r="A353" s="2" t="n">
        <v>46739</v>
      </c>
      <c r="B353" s="44" t="n"/>
      <c r="C353" s="44" t="n"/>
      <c r="D353" s="44" t="n"/>
      <c r="E353" s="44" t="n"/>
      <c r="F353" s="44" t="n"/>
      <c r="G353" s="40" t="n"/>
      <c r="H353" s="44">
        <f>103-F353</f>
        <v/>
      </c>
      <c r="I353" s="40" t="n"/>
      <c r="J353" s="44" t="n"/>
      <c r="K353" s="28">
        <f>TABL1234[[#This Row],[ (T/B) SAR]]+TABL1234[[#This Row],[ (S/S) SAR]]</f>
        <v/>
      </c>
      <c r="L353" s="45" t="n"/>
      <c r="M353" s="46" t="n"/>
      <c r="N353" s="46" t="n"/>
      <c r="O353" s="40" t="n"/>
      <c r="P353" s="9">
        <f>TABL1234[[#This Row],[ (S/S) SAR]]-TABL1234[[#This Row],[(S/S) AJD]]</f>
        <v/>
      </c>
      <c r="Q353" s="40" t="n"/>
      <c r="R353" s="9">
        <f>TABL1234[[#This Row],[ (T/B) SAR]]-TABL1234[[#This Row],[(T/B) AJD]]</f>
        <v/>
      </c>
      <c r="S353" s="9">
        <f>TABL1234[[#This Row],[T/B-CON.]]+TABL1234[[#This Row],[S/S_CON.]]</f>
        <v/>
      </c>
      <c r="T353" s="9">
        <f>TABL1234[[#This Row],[(S/S) AJD]]+TABL1234[[#This Row],[(T/B) AJD]]</f>
        <v/>
      </c>
      <c r="U353" s="44" t="n"/>
      <c r="V353" s="44" t="n"/>
      <c r="W353" s="9">
        <f>TABL1234[[#This Row],[(A/B) AJD]]+TABL1234[[#This Row],[(A/S) AJD]]</f>
        <v/>
      </c>
      <c r="X353" s="9">
        <f>TABL1234[[#This Row],[( S/S+T/B) AJD]]-TABL1234[[#This Row],[(A/B + A/S) AJD]]</f>
        <v/>
      </c>
      <c r="Y353" s="44" t="n"/>
      <c r="Z353" s="45" t="n"/>
      <c r="AA353" s="3">
        <f>TABL1234[[#This Row],[(RESV. STORGE) AJD]]/10</f>
        <v/>
      </c>
      <c r="AB353" s="3">
        <f>IF(TRIM(Z353)="",,(Z353-Z352)/1000)</f>
        <v/>
      </c>
      <c r="AC353" s="5" t="n"/>
      <c r="AD353" s="40">
        <f>TABL1234[[#This Row],[( S/S+T/B) AJD]]-(TABL1234[[#This Row],[(A/B + A/S) AJD]]+(TABL1234[[#This Row],[(STORGE DIFF.) AJD]]*1000)+TABL1234[[#This Row],[AJD_Evaporation]])</f>
        <v/>
      </c>
      <c r="AE353" s="44" t="n"/>
      <c r="AF353" s="45" t="n"/>
      <c r="AG353" s="45" t="n"/>
      <c r="AH353" s="6" t="n"/>
      <c r="AI353" s="45" t="n"/>
      <c r="AJ353" s="45">
        <f>TABL1234[[#This Row],[(A/B) AJD]]-TABL1234[[#This Row],[BER_IN]]</f>
        <v/>
      </c>
      <c r="AK353" s="45" t="n"/>
      <c r="AL353" s="45" t="n"/>
      <c r="AM353" s="32" t="n"/>
      <c r="AN353" s="32">
        <f>TABL1234[[#This Row],[ (RESV. STORGE) SER]]/10</f>
        <v/>
      </c>
      <c r="AO353" s="68" t="n"/>
      <c r="AP353" s="68">
        <f>TABL1234[[#This Row],[(A/S) AJD]]-TABL1234[[#This Row],[SER_IN]]</f>
        <v/>
      </c>
    </row>
    <row r="354" ht="18.75" customHeight="1">
      <c r="A354" s="2" t="n">
        <v>46740</v>
      </c>
      <c r="B354" s="41" t="n"/>
      <c r="C354" s="41" t="n"/>
      <c r="D354" s="41" t="n"/>
      <c r="E354" s="41" t="n"/>
      <c r="F354" s="41" t="n"/>
      <c r="G354" s="39" t="n"/>
      <c r="H354" s="41">
        <f>103-F354</f>
        <v/>
      </c>
      <c r="I354" s="39" t="n"/>
      <c r="J354" s="39" t="n"/>
      <c r="K354" s="28">
        <f>TABL1234[[#This Row],[ (T/B) SAR]]+TABL1234[[#This Row],[ (S/S) SAR]]</f>
        <v/>
      </c>
      <c r="L354" s="41" t="n"/>
      <c r="M354" s="42" t="n"/>
      <c r="N354" s="42" t="n"/>
      <c r="O354" s="39" t="n"/>
      <c r="P354" s="9">
        <f>TABL1234[[#This Row],[ (S/S) SAR]]-TABL1234[[#This Row],[(S/S) AJD]]</f>
        <v/>
      </c>
      <c r="Q354" s="39" t="n"/>
      <c r="R354" s="9">
        <f>TABL1234[[#This Row],[ (T/B) SAR]]-TABL1234[[#This Row],[(T/B) AJD]]</f>
        <v/>
      </c>
      <c r="S354" s="9">
        <f>TABL1234[[#This Row],[T/B-CON.]]+TABL1234[[#This Row],[S/S_CON.]]</f>
        <v/>
      </c>
      <c r="T354" s="9">
        <f>TABL1234[[#This Row],[(S/S) AJD]]+TABL1234[[#This Row],[(T/B) AJD]]</f>
        <v/>
      </c>
      <c r="U354" s="41" t="n"/>
      <c r="V354" s="41" t="n"/>
      <c r="W354" s="9">
        <f>TABL1234[[#This Row],[(A/B) AJD]]+TABL1234[[#This Row],[(A/S) AJD]]</f>
        <v/>
      </c>
      <c r="X354" s="9">
        <f>TABL1234[[#This Row],[( S/S+T/B) AJD]]-TABL1234[[#This Row],[(A/B + A/S) AJD]]</f>
        <v/>
      </c>
      <c r="Y354" s="41" t="n"/>
      <c r="Z354" s="43" t="n"/>
      <c r="AA354" s="3">
        <f>TABL1234[[#This Row],[(RESV. STORGE) AJD]]/10</f>
        <v/>
      </c>
      <c r="AB354" s="3">
        <f>IF(TRIM(Z354)="",,(Z354-Z353)/1000)</f>
        <v/>
      </c>
      <c r="AC354" s="5" t="n"/>
      <c r="AD354" s="39">
        <f>TABL1234[[#This Row],[( S/S+T/B) AJD]]-(TABL1234[[#This Row],[(A/B + A/S) AJD]]+(TABL1234[[#This Row],[(STORGE DIFF.) AJD]]*1000)+TABL1234[[#This Row],[AJD_Evaporation]])</f>
        <v/>
      </c>
      <c r="AE354" s="41" t="n"/>
      <c r="AF354" s="43" t="n"/>
      <c r="AG354" s="43" t="n"/>
      <c r="AH354" s="6" t="n"/>
      <c r="AI354" s="43" t="n"/>
      <c r="AJ354" s="43">
        <f>TABL1234[[#This Row],[(A/B) AJD]]-TABL1234[[#This Row],[BER_IN]]</f>
        <v/>
      </c>
      <c r="AK354" s="43" t="n"/>
      <c r="AL354" s="43" t="n"/>
      <c r="AM354" s="32" t="n"/>
      <c r="AN354" s="32">
        <f>TABL1234[[#This Row],[ (RESV. STORGE) SER]]/10</f>
        <v/>
      </c>
      <c r="AO354" s="68" t="n"/>
      <c r="AP354" s="68">
        <f>TABL1234[[#This Row],[(A/S) AJD]]-TABL1234[[#This Row],[SER_IN]]</f>
        <v/>
      </c>
    </row>
    <row r="355" ht="18.75" customHeight="1">
      <c r="A355" s="2" t="n">
        <v>46741</v>
      </c>
      <c r="B355" s="44" t="n"/>
      <c r="C355" s="44" t="n"/>
      <c r="D355" s="44" t="n"/>
      <c r="E355" s="44" t="n"/>
      <c r="F355" s="44" t="n"/>
      <c r="G355" s="40" t="n"/>
      <c r="H355" s="44">
        <f>103-F355</f>
        <v/>
      </c>
      <c r="I355" s="40" t="n"/>
      <c r="J355" s="44" t="n"/>
      <c r="K355" s="28">
        <f>TABL1234[[#This Row],[ (T/B) SAR]]+TABL1234[[#This Row],[ (S/S) SAR]]</f>
        <v/>
      </c>
      <c r="L355" s="45" t="n"/>
      <c r="M355" s="46" t="n"/>
      <c r="N355" s="46" t="n"/>
      <c r="O355" s="40" t="n"/>
      <c r="P355" s="9">
        <f>TABL1234[[#This Row],[ (S/S) SAR]]-TABL1234[[#This Row],[(S/S) AJD]]</f>
        <v/>
      </c>
      <c r="Q355" s="40" t="n"/>
      <c r="R355" s="9">
        <f>TABL1234[[#This Row],[ (T/B) SAR]]-TABL1234[[#This Row],[(T/B) AJD]]</f>
        <v/>
      </c>
      <c r="S355" s="9">
        <f>TABL1234[[#This Row],[T/B-CON.]]+TABL1234[[#This Row],[S/S_CON.]]</f>
        <v/>
      </c>
      <c r="T355" s="9">
        <f>TABL1234[[#This Row],[(S/S) AJD]]+TABL1234[[#This Row],[(T/B) AJD]]</f>
        <v/>
      </c>
      <c r="U355" s="44" t="n"/>
      <c r="V355" s="44" t="n"/>
      <c r="W355" s="9">
        <f>TABL1234[[#This Row],[(A/B) AJD]]+TABL1234[[#This Row],[(A/S) AJD]]</f>
        <v/>
      </c>
      <c r="X355" s="9">
        <f>TABL1234[[#This Row],[( S/S+T/B) AJD]]-TABL1234[[#This Row],[(A/B + A/S) AJD]]</f>
        <v/>
      </c>
      <c r="Y355" s="44" t="n"/>
      <c r="Z355" s="45" t="n"/>
      <c r="AA355" s="3">
        <f>TABL1234[[#This Row],[(RESV. STORGE) AJD]]/10</f>
        <v/>
      </c>
      <c r="AB355" s="3">
        <f>IF(TRIM(Z355)="",,(Z355-Z354)/1000)</f>
        <v/>
      </c>
      <c r="AC355" s="5" t="n"/>
      <c r="AD355" s="40">
        <f>TABL1234[[#This Row],[( S/S+T/B) AJD]]-(TABL1234[[#This Row],[(A/B + A/S) AJD]]+(TABL1234[[#This Row],[(STORGE DIFF.) AJD]]*1000)+TABL1234[[#This Row],[AJD_Evaporation]])</f>
        <v/>
      </c>
      <c r="AE355" s="44" t="n"/>
      <c r="AF355" s="45" t="n"/>
      <c r="AG355" s="45" t="n"/>
      <c r="AH355" s="6" t="n"/>
      <c r="AI355" s="45" t="n"/>
      <c r="AJ355" s="45">
        <f>TABL1234[[#This Row],[(A/B) AJD]]-TABL1234[[#This Row],[BER_IN]]</f>
        <v/>
      </c>
      <c r="AK355" s="45" t="n"/>
      <c r="AL355" s="45" t="n"/>
      <c r="AM355" s="32" t="n"/>
      <c r="AN355" s="32">
        <f>TABL1234[[#This Row],[ (RESV. STORGE) SER]]/10</f>
        <v/>
      </c>
      <c r="AO355" s="68" t="n"/>
      <c r="AP355" s="68">
        <f>TABL1234[[#This Row],[(A/S) AJD]]-TABL1234[[#This Row],[SER_IN]]</f>
        <v/>
      </c>
    </row>
    <row r="356" ht="18.75" customHeight="1">
      <c r="A356" s="2" t="n">
        <v>46742</v>
      </c>
      <c r="B356" s="41" t="n"/>
      <c r="C356" s="41" t="n"/>
      <c r="D356" s="41" t="n"/>
      <c r="E356" s="41" t="n"/>
      <c r="F356" s="41" t="n"/>
      <c r="G356" s="39" t="n"/>
      <c r="H356" s="41">
        <f>103-F356</f>
        <v/>
      </c>
      <c r="I356" s="39" t="n"/>
      <c r="J356" s="39" t="n"/>
      <c r="K356" s="28">
        <f>TABL1234[[#This Row],[ (T/B) SAR]]+TABL1234[[#This Row],[ (S/S) SAR]]</f>
        <v/>
      </c>
      <c r="L356" s="41" t="n"/>
      <c r="M356" s="42" t="n"/>
      <c r="N356" s="42" t="n"/>
      <c r="O356" s="39" t="n"/>
      <c r="P356" s="9">
        <f>TABL1234[[#This Row],[ (S/S) SAR]]-TABL1234[[#This Row],[(S/S) AJD]]</f>
        <v/>
      </c>
      <c r="Q356" s="39" t="n"/>
      <c r="R356" s="9">
        <f>TABL1234[[#This Row],[ (T/B) SAR]]-TABL1234[[#This Row],[(T/B) AJD]]</f>
        <v/>
      </c>
      <c r="S356" s="9">
        <f>TABL1234[[#This Row],[T/B-CON.]]+TABL1234[[#This Row],[S/S_CON.]]</f>
        <v/>
      </c>
      <c r="T356" s="9">
        <f>TABL1234[[#This Row],[(S/S) AJD]]+TABL1234[[#This Row],[(T/B) AJD]]</f>
        <v/>
      </c>
      <c r="U356" s="41" t="n"/>
      <c r="V356" s="41" t="n"/>
      <c r="W356" s="9">
        <f>TABL1234[[#This Row],[(A/B) AJD]]+TABL1234[[#This Row],[(A/S) AJD]]</f>
        <v/>
      </c>
      <c r="X356" s="9">
        <f>TABL1234[[#This Row],[( S/S+T/B) AJD]]-TABL1234[[#This Row],[(A/B + A/S) AJD]]</f>
        <v/>
      </c>
      <c r="Y356" s="41" t="n"/>
      <c r="Z356" s="43" t="n"/>
      <c r="AA356" s="3">
        <f>TABL1234[[#This Row],[(RESV. STORGE) AJD]]/10</f>
        <v/>
      </c>
      <c r="AB356" s="3">
        <f>IF(TRIM(Z356)="",,(Z356-Z355)/1000)</f>
        <v/>
      </c>
      <c r="AC356" s="5" t="n"/>
      <c r="AD356" s="39">
        <f>TABL1234[[#This Row],[( S/S+T/B) AJD]]-(TABL1234[[#This Row],[(A/B + A/S) AJD]]+(TABL1234[[#This Row],[(STORGE DIFF.) AJD]]*1000)+TABL1234[[#This Row],[AJD_Evaporation]])</f>
        <v/>
      </c>
      <c r="AE356" s="41" t="n"/>
      <c r="AF356" s="43" t="n"/>
      <c r="AG356" s="43" t="n"/>
      <c r="AH356" s="6" t="n"/>
      <c r="AI356" s="43" t="n"/>
      <c r="AJ356" s="43">
        <f>TABL1234[[#This Row],[(A/B) AJD]]-TABL1234[[#This Row],[BER_IN]]</f>
        <v/>
      </c>
      <c r="AK356" s="43" t="n"/>
      <c r="AL356" s="43" t="n"/>
      <c r="AM356" s="32" t="n"/>
      <c r="AN356" s="32">
        <f>TABL1234[[#This Row],[ (RESV. STORGE) SER]]/10</f>
        <v/>
      </c>
      <c r="AO356" s="68" t="n"/>
      <c r="AP356" s="68">
        <f>TABL1234[[#This Row],[(A/S) AJD]]-TABL1234[[#This Row],[SER_IN]]</f>
        <v/>
      </c>
    </row>
    <row r="357" ht="18.75" customHeight="1">
      <c r="A357" s="2" t="n">
        <v>46743</v>
      </c>
      <c r="B357" s="44" t="n"/>
      <c r="C357" s="44" t="n"/>
      <c r="D357" s="44" t="n"/>
      <c r="E357" s="44" t="n"/>
      <c r="F357" s="44" t="n"/>
      <c r="G357" s="40" t="n"/>
      <c r="H357" s="44">
        <f>103-F357</f>
        <v/>
      </c>
      <c r="I357" s="40" t="n"/>
      <c r="J357" s="44" t="n"/>
      <c r="K357" s="28">
        <f>TABL1234[[#This Row],[ (T/B) SAR]]+TABL1234[[#This Row],[ (S/S) SAR]]</f>
        <v/>
      </c>
      <c r="L357" s="45" t="n"/>
      <c r="M357" s="46" t="n"/>
      <c r="N357" s="46" t="n"/>
      <c r="O357" s="40" t="n"/>
      <c r="P357" s="9">
        <f>TABL1234[[#This Row],[ (S/S) SAR]]-TABL1234[[#This Row],[(S/S) AJD]]</f>
        <v/>
      </c>
      <c r="Q357" s="40" t="n"/>
      <c r="R357" s="9">
        <f>TABL1234[[#This Row],[ (T/B) SAR]]-TABL1234[[#This Row],[(T/B) AJD]]</f>
        <v/>
      </c>
      <c r="S357" s="9">
        <f>TABL1234[[#This Row],[T/B-CON.]]+TABL1234[[#This Row],[S/S_CON.]]</f>
        <v/>
      </c>
      <c r="T357" s="9">
        <f>TABL1234[[#This Row],[(S/S) AJD]]+TABL1234[[#This Row],[(T/B) AJD]]</f>
        <v/>
      </c>
      <c r="U357" s="44" t="n"/>
      <c r="V357" s="44" t="n"/>
      <c r="W357" s="9">
        <f>TABL1234[[#This Row],[(A/B) AJD]]+TABL1234[[#This Row],[(A/S) AJD]]</f>
        <v/>
      </c>
      <c r="X357" s="9">
        <f>TABL1234[[#This Row],[( S/S+T/B) AJD]]-TABL1234[[#This Row],[(A/B + A/S) AJD]]</f>
        <v/>
      </c>
      <c r="Y357" s="44" t="n"/>
      <c r="Z357" s="45" t="n"/>
      <c r="AA357" s="3">
        <f>TABL1234[[#This Row],[(RESV. STORGE) AJD]]/10</f>
        <v/>
      </c>
      <c r="AB357" s="3">
        <f>IF(TRIM(Z357)="",,(Z357-Z356)/1000)</f>
        <v/>
      </c>
      <c r="AC357" s="5" t="n"/>
      <c r="AD357" s="40">
        <f>TABL1234[[#This Row],[( S/S+T/B) AJD]]-(TABL1234[[#This Row],[(A/B + A/S) AJD]]+(TABL1234[[#This Row],[(STORGE DIFF.) AJD]]*1000)+TABL1234[[#This Row],[AJD_Evaporation]])</f>
        <v/>
      </c>
      <c r="AE357" s="44" t="n"/>
      <c r="AF357" s="45" t="n"/>
      <c r="AG357" s="45" t="n"/>
      <c r="AH357" s="6" t="n"/>
      <c r="AI357" s="45" t="n"/>
      <c r="AJ357" s="45">
        <f>TABL1234[[#This Row],[(A/B) AJD]]-TABL1234[[#This Row],[BER_IN]]</f>
        <v/>
      </c>
      <c r="AK357" s="45" t="n"/>
      <c r="AL357" s="45" t="n"/>
      <c r="AM357" s="32" t="n"/>
      <c r="AN357" s="32">
        <f>TABL1234[[#This Row],[ (RESV. STORGE) SER]]/10</f>
        <v/>
      </c>
      <c r="AO357" s="68" t="n"/>
      <c r="AP357" s="68">
        <f>TABL1234[[#This Row],[(A/S) AJD]]-TABL1234[[#This Row],[SER_IN]]</f>
        <v/>
      </c>
    </row>
    <row r="358" ht="18.75" customHeight="1">
      <c r="A358" s="2" t="n">
        <v>46744</v>
      </c>
      <c r="B358" s="41" t="n"/>
      <c r="C358" s="41" t="n"/>
      <c r="D358" s="41" t="n"/>
      <c r="E358" s="41" t="n"/>
      <c r="F358" s="41" t="n"/>
      <c r="G358" s="39" t="n"/>
      <c r="H358" s="41">
        <f>103-F358</f>
        <v/>
      </c>
      <c r="I358" s="39" t="n"/>
      <c r="J358" s="39" t="n"/>
      <c r="K358" s="28">
        <f>TABL1234[[#This Row],[ (T/B) SAR]]+TABL1234[[#This Row],[ (S/S) SAR]]</f>
        <v/>
      </c>
      <c r="L358" s="41" t="n"/>
      <c r="M358" s="42" t="n"/>
      <c r="N358" s="42" t="n"/>
      <c r="O358" s="39" t="n"/>
      <c r="P358" s="9">
        <f>TABL1234[[#This Row],[ (S/S) SAR]]-TABL1234[[#This Row],[(S/S) AJD]]</f>
        <v/>
      </c>
      <c r="Q358" s="39" t="n"/>
      <c r="R358" s="9">
        <f>TABL1234[[#This Row],[ (T/B) SAR]]-TABL1234[[#This Row],[(T/B) AJD]]</f>
        <v/>
      </c>
      <c r="S358" s="9">
        <f>TABL1234[[#This Row],[T/B-CON.]]+TABL1234[[#This Row],[S/S_CON.]]</f>
        <v/>
      </c>
      <c r="T358" s="9">
        <f>TABL1234[[#This Row],[(S/S) AJD]]+TABL1234[[#This Row],[(T/B) AJD]]</f>
        <v/>
      </c>
      <c r="U358" s="41" t="n"/>
      <c r="V358" s="41" t="n"/>
      <c r="W358" s="9">
        <f>TABL1234[[#This Row],[(A/B) AJD]]+TABL1234[[#This Row],[(A/S) AJD]]</f>
        <v/>
      </c>
      <c r="X358" s="9">
        <f>TABL1234[[#This Row],[( S/S+T/B) AJD]]-TABL1234[[#This Row],[(A/B + A/S) AJD]]</f>
        <v/>
      </c>
      <c r="Y358" s="41" t="n"/>
      <c r="Z358" s="43" t="n"/>
      <c r="AA358" s="3">
        <f>TABL1234[[#This Row],[(RESV. STORGE) AJD]]/10</f>
        <v/>
      </c>
      <c r="AB358" s="3">
        <f>IF(TRIM(Z358)="",,(Z358-Z357)/1000)</f>
        <v/>
      </c>
      <c r="AC358" s="5" t="n"/>
      <c r="AD358" s="39">
        <f>TABL1234[[#This Row],[( S/S+T/B) AJD]]-(TABL1234[[#This Row],[(A/B + A/S) AJD]]+(TABL1234[[#This Row],[(STORGE DIFF.) AJD]]*1000)+TABL1234[[#This Row],[AJD_Evaporation]])</f>
        <v/>
      </c>
      <c r="AE358" s="41" t="n"/>
      <c r="AF358" s="43" t="n"/>
      <c r="AG358" s="43" t="n"/>
      <c r="AH358" s="6" t="n"/>
      <c r="AI358" s="43" t="n"/>
      <c r="AJ358" s="43">
        <f>TABL1234[[#This Row],[(A/B) AJD]]-TABL1234[[#This Row],[BER_IN]]</f>
        <v/>
      </c>
      <c r="AK358" s="43" t="n"/>
      <c r="AL358" s="43" t="n"/>
      <c r="AM358" s="32" t="n"/>
      <c r="AN358" s="32">
        <f>TABL1234[[#This Row],[ (RESV. STORGE) SER]]/10</f>
        <v/>
      </c>
      <c r="AO358" s="68" t="n"/>
      <c r="AP358" s="68">
        <f>TABL1234[[#This Row],[(A/S) AJD]]-TABL1234[[#This Row],[SER_IN]]</f>
        <v/>
      </c>
    </row>
    <row r="359" ht="18.75" customHeight="1">
      <c r="A359" s="2" t="n">
        <v>46745</v>
      </c>
      <c r="B359" s="44" t="n"/>
      <c r="C359" s="44" t="n"/>
      <c r="D359" s="44" t="n"/>
      <c r="E359" s="44" t="n"/>
      <c r="F359" s="44" t="n"/>
      <c r="G359" s="40" t="n"/>
      <c r="H359" s="44">
        <f>103-F359</f>
        <v/>
      </c>
      <c r="I359" s="40" t="n"/>
      <c r="J359" s="44" t="n"/>
      <c r="K359" s="28">
        <f>TABL1234[[#This Row],[ (T/B) SAR]]+TABL1234[[#This Row],[ (S/S) SAR]]</f>
        <v/>
      </c>
      <c r="L359" s="45" t="n"/>
      <c r="M359" s="46" t="n"/>
      <c r="N359" s="46" t="n"/>
      <c r="O359" s="40" t="n"/>
      <c r="P359" s="9">
        <f>TABL1234[[#This Row],[ (S/S) SAR]]-TABL1234[[#This Row],[(S/S) AJD]]</f>
        <v/>
      </c>
      <c r="Q359" s="40" t="n"/>
      <c r="R359" s="9">
        <f>TABL1234[[#This Row],[ (T/B) SAR]]-TABL1234[[#This Row],[(T/B) AJD]]</f>
        <v/>
      </c>
      <c r="S359" s="9">
        <f>TABL1234[[#This Row],[T/B-CON.]]+TABL1234[[#This Row],[S/S_CON.]]</f>
        <v/>
      </c>
      <c r="T359" s="9">
        <f>TABL1234[[#This Row],[(S/S) AJD]]+TABL1234[[#This Row],[(T/B) AJD]]</f>
        <v/>
      </c>
      <c r="U359" s="44" t="n"/>
      <c r="V359" s="44" t="n"/>
      <c r="W359" s="9">
        <f>TABL1234[[#This Row],[(A/B) AJD]]+TABL1234[[#This Row],[(A/S) AJD]]</f>
        <v/>
      </c>
      <c r="X359" s="9">
        <f>TABL1234[[#This Row],[( S/S+T/B) AJD]]-TABL1234[[#This Row],[(A/B + A/S) AJD]]</f>
        <v/>
      </c>
      <c r="Y359" s="44" t="n"/>
      <c r="Z359" s="45" t="n"/>
      <c r="AA359" s="3">
        <f>TABL1234[[#This Row],[(RESV. STORGE) AJD]]/10</f>
        <v/>
      </c>
      <c r="AB359" s="3">
        <f>IF(TRIM(Z359)="",,(Z359-Z358)/1000)</f>
        <v/>
      </c>
      <c r="AC359" s="5" t="n"/>
      <c r="AD359" s="40">
        <f>TABL1234[[#This Row],[( S/S+T/B) AJD]]-(TABL1234[[#This Row],[(A/B + A/S) AJD]]+(TABL1234[[#This Row],[(STORGE DIFF.) AJD]]*1000)+TABL1234[[#This Row],[AJD_Evaporation]])</f>
        <v/>
      </c>
      <c r="AE359" s="44" t="n"/>
      <c r="AF359" s="45" t="n"/>
      <c r="AG359" s="45" t="n"/>
      <c r="AH359" s="6" t="n"/>
      <c r="AI359" s="45" t="n"/>
      <c r="AJ359" s="45">
        <f>TABL1234[[#This Row],[(A/B) AJD]]-TABL1234[[#This Row],[BER_IN]]</f>
        <v/>
      </c>
      <c r="AK359" s="45" t="n"/>
      <c r="AL359" s="45" t="n"/>
      <c r="AM359" s="32" t="n"/>
      <c r="AN359" s="32">
        <f>TABL1234[[#This Row],[ (RESV. STORGE) SER]]/10</f>
        <v/>
      </c>
      <c r="AO359" s="68" t="n"/>
      <c r="AP359" s="68">
        <f>TABL1234[[#This Row],[(A/S) AJD]]-TABL1234[[#This Row],[SER_IN]]</f>
        <v/>
      </c>
    </row>
    <row r="360" ht="18.75" customHeight="1">
      <c r="A360" s="2" t="n">
        <v>46746</v>
      </c>
      <c r="B360" s="41" t="n"/>
      <c r="C360" s="41" t="n"/>
      <c r="D360" s="41" t="n"/>
      <c r="E360" s="41" t="n"/>
      <c r="F360" s="41" t="n"/>
      <c r="G360" s="39" t="n"/>
      <c r="H360" s="41">
        <f>103-F360</f>
        <v/>
      </c>
      <c r="I360" s="39" t="n"/>
      <c r="J360" s="39" t="n"/>
      <c r="K360" s="28">
        <f>TABL1234[[#This Row],[ (T/B) SAR]]+TABL1234[[#This Row],[ (S/S) SAR]]</f>
        <v/>
      </c>
      <c r="L360" s="41" t="n"/>
      <c r="M360" s="42" t="n"/>
      <c r="N360" s="42" t="n"/>
      <c r="O360" s="39" t="n"/>
      <c r="P360" s="9">
        <f>TABL1234[[#This Row],[ (S/S) SAR]]-TABL1234[[#This Row],[(S/S) AJD]]</f>
        <v/>
      </c>
      <c r="Q360" s="39" t="n"/>
      <c r="R360" s="9">
        <f>TABL1234[[#This Row],[ (T/B) SAR]]-TABL1234[[#This Row],[(T/B) AJD]]</f>
        <v/>
      </c>
      <c r="S360" s="9">
        <f>TABL1234[[#This Row],[T/B-CON.]]+TABL1234[[#This Row],[S/S_CON.]]</f>
        <v/>
      </c>
      <c r="T360" s="9">
        <f>TABL1234[[#This Row],[(S/S) AJD]]+TABL1234[[#This Row],[(T/B) AJD]]</f>
        <v/>
      </c>
      <c r="U360" s="41" t="n"/>
      <c r="V360" s="41" t="n"/>
      <c r="W360" s="9">
        <f>TABL1234[[#This Row],[(A/B) AJD]]+TABL1234[[#This Row],[(A/S) AJD]]</f>
        <v/>
      </c>
      <c r="X360" s="9">
        <f>TABL1234[[#This Row],[( S/S+T/B) AJD]]-TABL1234[[#This Row],[(A/B + A/S) AJD]]</f>
        <v/>
      </c>
      <c r="Y360" s="41" t="n"/>
      <c r="Z360" s="43" t="n"/>
      <c r="AA360" s="3">
        <f>TABL1234[[#This Row],[(RESV. STORGE) AJD]]/10</f>
        <v/>
      </c>
      <c r="AB360" s="3">
        <f>IF(TRIM(Z360)="",,(Z360-Z359)/1000)</f>
        <v/>
      </c>
      <c r="AC360" s="5" t="n"/>
      <c r="AD360" s="39">
        <f>TABL1234[[#This Row],[( S/S+T/B) AJD]]-(TABL1234[[#This Row],[(A/B + A/S) AJD]]+(TABL1234[[#This Row],[(STORGE DIFF.) AJD]]*1000)+TABL1234[[#This Row],[AJD_Evaporation]])</f>
        <v/>
      </c>
      <c r="AE360" s="41" t="n"/>
      <c r="AF360" s="43" t="n"/>
      <c r="AG360" s="43" t="n"/>
      <c r="AH360" s="6" t="n"/>
      <c r="AI360" s="43" t="n"/>
      <c r="AJ360" s="43">
        <f>TABL1234[[#This Row],[(A/B) AJD]]-TABL1234[[#This Row],[BER_IN]]</f>
        <v/>
      </c>
      <c r="AK360" s="43" t="n"/>
      <c r="AL360" s="43" t="n"/>
      <c r="AM360" s="32" t="n"/>
      <c r="AN360" s="32">
        <f>TABL1234[[#This Row],[ (RESV. STORGE) SER]]/10</f>
        <v/>
      </c>
      <c r="AO360" s="68" t="n"/>
      <c r="AP360" s="68">
        <f>TABL1234[[#This Row],[(A/S) AJD]]-TABL1234[[#This Row],[SER_IN]]</f>
        <v/>
      </c>
    </row>
    <row r="361" ht="18.75" customHeight="1">
      <c r="A361" s="2" t="n">
        <v>46747</v>
      </c>
      <c r="B361" s="44" t="n"/>
      <c r="C361" s="44" t="n"/>
      <c r="D361" s="44" t="n"/>
      <c r="E361" s="44" t="n"/>
      <c r="F361" s="44" t="n"/>
      <c r="G361" s="40" t="n"/>
      <c r="H361" s="44">
        <f>103-F361</f>
        <v/>
      </c>
      <c r="I361" s="40" t="n"/>
      <c r="J361" s="44" t="n"/>
      <c r="K361" s="28">
        <f>TABL1234[[#This Row],[ (T/B) SAR]]+TABL1234[[#This Row],[ (S/S) SAR]]</f>
        <v/>
      </c>
      <c r="L361" s="45" t="n"/>
      <c r="M361" s="46" t="n"/>
      <c r="N361" s="46" t="n"/>
      <c r="O361" s="40" t="n"/>
      <c r="P361" s="9">
        <f>TABL1234[[#This Row],[ (S/S) SAR]]-TABL1234[[#This Row],[(S/S) AJD]]</f>
        <v/>
      </c>
      <c r="Q361" s="40" t="n"/>
      <c r="R361" s="9">
        <f>TABL1234[[#This Row],[ (T/B) SAR]]-TABL1234[[#This Row],[(T/B) AJD]]</f>
        <v/>
      </c>
      <c r="S361" s="9">
        <f>TABL1234[[#This Row],[T/B-CON.]]+TABL1234[[#This Row],[S/S_CON.]]</f>
        <v/>
      </c>
      <c r="T361" s="9">
        <f>TABL1234[[#This Row],[(S/S) AJD]]+TABL1234[[#This Row],[(T/B) AJD]]</f>
        <v/>
      </c>
      <c r="U361" s="44" t="n"/>
      <c r="V361" s="44" t="n"/>
      <c r="W361" s="9">
        <f>TABL1234[[#This Row],[(A/B) AJD]]+TABL1234[[#This Row],[(A/S) AJD]]</f>
        <v/>
      </c>
      <c r="X361" s="9">
        <f>TABL1234[[#This Row],[( S/S+T/B) AJD]]-TABL1234[[#This Row],[(A/B + A/S) AJD]]</f>
        <v/>
      </c>
      <c r="Y361" s="44" t="n"/>
      <c r="Z361" s="45" t="n"/>
      <c r="AA361" s="3">
        <f>TABL1234[[#This Row],[(RESV. STORGE) AJD]]/10</f>
        <v/>
      </c>
      <c r="AB361" s="3">
        <f>IF(TRIM(Z361)="",,(Z361-Z360)/1000)</f>
        <v/>
      </c>
      <c r="AC361" s="5" t="n"/>
      <c r="AD361" s="40">
        <f>TABL1234[[#This Row],[( S/S+T/B) AJD]]-(TABL1234[[#This Row],[(A/B + A/S) AJD]]+(TABL1234[[#This Row],[(STORGE DIFF.) AJD]]*1000)+TABL1234[[#This Row],[AJD_Evaporation]])</f>
        <v/>
      </c>
      <c r="AE361" s="44" t="n"/>
      <c r="AF361" s="45" t="n"/>
      <c r="AG361" s="45" t="n"/>
      <c r="AH361" s="6" t="n"/>
      <c r="AI361" s="45" t="n"/>
      <c r="AJ361" s="45">
        <f>TABL1234[[#This Row],[(A/B) AJD]]-TABL1234[[#This Row],[BER_IN]]</f>
        <v/>
      </c>
      <c r="AK361" s="45" t="n"/>
      <c r="AL361" s="45" t="n"/>
      <c r="AM361" s="32" t="n"/>
      <c r="AN361" s="32">
        <f>TABL1234[[#This Row],[ (RESV. STORGE) SER]]/10</f>
        <v/>
      </c>
      <c r="AO361" s="68" t="n"/>
      <c r="AP361" s="68">
        <f>TABL1234[[#This Row],[(A/S) AJD]]-TABL1234[[#This Row],[SER_IN]]</f>
        <v/>
      </c>
    </row>
    <row r="362" ht="18.75" customHeight="1">
      <c r="A362" s="2" t="n">
        <v>46748</v>
      </c>
      <c r="B362" s="41" t="n"/>
      <c r="C362" s="41" t="n"/>
      <c r="D362" s="41" t="n"/>
      <c r="E362" s="41" t="n"/>
      <c r="F362" s="41" t="n"/>
      <c r="G362" s="39" t="n"/>
      <c r="H362" s="41">
        <f>103-F362</f>
        <v/>
      </c>
      <c r="I362" s="39" t="n"/>
      <c r="J362" s="39" t="n"/>
      <c r="K362" s="28">
        <f>TABL1234[[#This Row],[ (T/B) SAR]]+TABL1234[[#This Row],[ (S/S) SAR]]</f>
        <v/>
      </c>
      <c r="L362" s="41" t="n"/>
      <c r="M362" s="42" t="n"/>
      <c r="N362" s="42" t="n"/>
      <c r="O362" s="39" t="n"/>
      <c r="P362" s="9">
        <f>TABL1234[[#This Row],[ (S/S) SAR]]-TABL1234[[#This Row],[(S/S) AJD]]</f>
        <v/>
      </c>
      <c r="Q362" s="39" t="n"/>
      <c r="R362" s="9">
        <f>TABL1234[[#This Row],[ (T/B) SAR]]-TABL1234[[#This Row],[(T/B) AJD]]</f>
        <v/>
      </c>
      <c r="S362" s="9">
        <f>TABL1234[[#This Row],[T/B-CON.]]+TABL1234[[#This Row],[S/S_CON.]]</f>
        <v/>
      </c>
      <c r="T362" s="9">
        <f>TABL1234[[#This Row],[(S/S) AJD]]+TABL1234[[#This Row],[(T/B) AJD]]</f>
        <v/>
      </c>
      <c r="U362" s="41" t="n"/>
      <c r="V362" s="41" t="n"/>
      <c r="W362" s="9">
        <f>TABL1234[[#This Row],[(A/B) AJD]]+TABL1234[[#This Row],[(A/S) AJD]]</f>
        <v/>
      </c>
      <c r="X362" s="9">
        <f>TABL1234[[#This Row],[( S/S+T/B) AJD]]-TABL1234[[#This Row],[(A/B + A/S) AJD]]</f>
        <v/>
      </c>
      <c r="Y362" s="41" t="n"/>
      <c r="Z362" s="43" t="n"/>
      <c r="AA362" s="3">
        <f>TABL1234[[#This Row],[(RESV. STORGE) AJD]]/10</f>
        <v/>
      </c>
      <c r="AB362" s="3">
        <f>IF(TRIM(Z362)="",,(Z362-Z361)/1000)</f>
        <v/>
      </c>
      <c r="AC362" s="5" t="n"/>
      <c r="AD362" s="39">
        <f>TABL1234[[#This Row],[( S/S+T/B) AJD]]-(TABL1234[[#This Row],[(A/B + A/S) AJD]]+(TABL1234[[#This Row],[(STORGE DIFF.) AJD]]*1000)+TABL1234[[#This Row],[AJD_Evaporation]])</f>
        <v/>
      </c>
      <c r="AE362" s="41" t="n"/>
      <c r="AF362" s="43" t="n"/>
      <c r="AG362" s="43" t="n"/>
      <c r="AH362" s="6" t="n"/>
      <c r="AI362" s="43" t="n"/>
      <c r="AJ362" s="43">
        <f>TABL1234[[#This Row],[(A/B) AJD]]-TABL1234[[#This Row],[BER_IN]]</f>
        <v/>
      </c>
      <c r="AK362" s="43" t="n"/>
      <c r="AL362" s="43" t="n"/>
      <c r="AM362" s="32" t="n"/>
      <c r="AN362" s="32">
        <f>TABL1234[[#This Row],[ (RESV. STORGE) SER]]/10</f>
        <v/>
      </c>
      <c r="AO362" s="68" t="n"/>
      <c r="AP362" s="68">
        <f>TABL1234[[#This Row],[(A/S) AJD]]-TABL1234[[#This Row],[SER_IN]]</f>
        <v/>
      </c>
    </row>
    <row r="363" ht="18.75" customHeight="1">
      <c r="A363" s="2" t="n">
        <v>46749</v>
      </c>
      <c r="B363" s="44" t="n"/>
      <c r="C363" s="44" t="n"/>
      <c r="D363" s="44" t="n"/>
      <c r="E363" s="44" t="n"/>
      <c r="F363" s="44" t="n"/>
      <c r="G363" s="40" t="n"/>
      <c r="H363" s="44">
        <f>103-F363</f>
        <v/>
      </c>
      <c r="I363" s="40" t="n"/>
      <c r="J363" s="44" t="n"/>
      <c r="K363" s="28">
        <f>TABL1234[[#This Row],[ (T/B) SAR]]+TABL1234[[#This Row],[ (S/S) SAR]]</f>
        <v/>
      </c>
      <c r="L363" s="45" t="n"/>
      <c r="M363" s="46" t="n"/>
      <c r="N363" s="46" t="n"/>
      <c r="O363" s="40" t="n"/>
      <c r="P363" s="9">
        <f>TABL1234[[#This Row],[ (S/S) SAR]]-TABL1234[[#This Row],[(S/S) AJD]]</f>
        <v/>
      </c>
      <c r="Q363" s="40" t="n"/>
      <c r="R363" s="9">
        <f>TABL1234[[#This Row],[ (T/B) SAR]]-TABL1234[[#This Row],[(T/B) AJD]]</f>
        <v/>
      </c>
      <c r="S363" s="9">
        <f>TABL1234[[#This Row],[T/B-CON.]]+TABL1234[[#This Row],[S/S_CON.]]</f>
        <v/>
      </c>
      <c r="T363" s="9">
        <f>TABL1234[[#This Row],[(S/S) AJD]]+TABL1234[[#This Row],[(T/B) AJD]]</f>
        <v/>
      </c>
      <c r="U363" s="44" t="n"/>
      <c r="V363" s="44" t="n"/>
      <c r="W363" s="9">
        <f>TABL1234[[#This Row],[(A/B) AJD]]+TABL1234[[#This Row],[(A/S) AJD]]</f>
        <v/>
      </c>
      <c r="X363" s="9">
        <f>TABL1234[[#This Row],[( S/S+T/B) AJD]]-TABL1234[[#This Row],[(A/B + A/S) AJD]]</f>
        <v/>
      </c>
      <c r="Y363" s="44" t="n"/>
      <c r="Z363" s="45" t="n"/>
      <c r="AA363" s="3">
        <f>TABL1234[[#This Row],[(RESV. STORGE) AJD]]/10</f>
        <v/>
      </c>
      <c r="AB363" s="3">
        <f>IF(TRIM(Z363)="",,(Z363-Z362)/1000)</f>
        <v/>
      </c>
      <c r="AC363" s="5" t="n"/>
      <c r="AD363" s="40">
        <f>TABL1234[[#This Row],[( S/S+T/B) AJD]]-(TABL1234[[#This Row],[(A/B + A/S) AJD]]+(TABL1234[[#This Row],[(STORGE DIFF.) AJD]]*1000)+TABL1234[[#This Row],[AJD_Evaporation]])</f>
        <v/>
      </c>
      <c r="AE363" s="44" t="n"/>
      <c r="AF363" s="45" t="n"/>
      <c r="AG363" s="45" t="n"/>
      <c r="AH363" s="6" t="n"/>
      <c r="AI363" s="45" t="n"/>
      <c r="AJ363" s="45">
        <f>TABL1234[[#This Row],[(A/B) AJD]]-TABL1234[[#This Row],[BER_IN]]</f>
        <v/>
      </c>
      <c r="AK363" s="45" t="n"/>
      <c r="AL363" s="45" t="n"/>
      <c r="AM363" s="32" t="n"/>
      <c r="AN363" s="32">
        <f>TABL1234[[#This Row],[ (RESV. STORGE) SER]]/10</f>
        <v/>
      </c>
      <c r="AO363" s="68" t="n"/>
      <c r="AP363" s="68">
        <f>TABL1234[[#This Row],[(A/S) AJD]]-TABL1234[[#This Row],[SER_IN]]</f>
        <v/>
      </c>
    </row>
    <row r="364" ht="18.75" customHeight="1">
      <c r="A364" s="2" t="n">
        <v>46750</v>
      </c>
      <c r="B364" s="41" t="n"/>
      <c r="C364" s="41" t="n"/>
      <c r="D364" s="41" t="n"/>
      <c r="E364" s="41" t="n"/>
      <c r="F364" s="41" t="n"/>
      <c r="G364" s="39" t="n"/>
      <c r="H364" s="41">
        <f>103-F364</f>
        <v/>
      </c>
      <c r="I364" s="39" t="n"/>
      <c r="J364" s="39" t="n"/>
      <c r="K364" s="28">
        <f>TABL1234[[#This Row],[ (T/B) SAR]]+TABL1234[[#This Row],[ (S/S) SAR]]</f>
        <v/>
      </c>
      <c r="L364" s="41" t="n"/>
      <c r="M364" s="42" t="n"/>
      <c r="N364" s="42" t="n"/>
      <c r="O364" s="39" t="n"/>
      <c r="P364" s="9">
        <f>TABL1234[[#This Row],[ (S/S) SAR]]-TABL1234[[#This Row],[(S/S) AJD]]</f>
        <v/>
      </c>
      <c r="Q364" s="39" t="n"/>
      <c r="R364" s="9">
        <f>TABL1234[[#This Row],[ (T/B) SAR]]-TABL1234[[#This Row],[(T/B) AJD]]</f>
        <v/>
      </c>
      <c r="S364" s="9">
        <f>TABL1234[[#This Row],[T/B-CON.]]+TABL1234[[#This Row],[S/S_CON.]]</f>
        <v/>
      </c>
      <c r="T364" s="9">
        <f>TABL1234[[#This Row],[(S/S) AJD]]+TABL1234[[#This Row],[(T/B) AJD]]</f>
        <v/>
      </c>
      <c r="U364" s="41" t="n"/>
      <c r="V364" s="41" t="n"/>
      <c r="W364" s="9">
        <f>TABL1234[[#This Row],[(A/B) AJD]]+TABL1234[[#This Row],[(A/S) AJD]]</f>
        <v/>
      </c>
      <c r="X364" s="9">
        <f>TABL1234[[#This Row],[( S/S+T/B) AJD]]-TABL1234[[#This Row],[(A/B + A/S) AJD]]</f>
        <v/>
      </c>
      <c r="Y364" s="41" t="n"/>
      <c r="Z364" s="43" t="n"/>
      <c r="AA364" s="3">
        <f>TABL1234[[#This Row],[(RESV. STORGE) AJD]]/10</f>
        <v/>
      </c>
      <c r="AB364" s="3">
        <f>IF(TRIM(Z364)="",,(Z364-Z363)/1000)</f>
        <v/>
      </c>
      <c r="AC364" s="5" t="n"/>
      <c r="AD364" s="39">
        <f>TABL1234[[#This Row],[( S/S+T/B) AJD]]-(TABL1234[[#This Row],[(A/B + A/S) AJD]]+(TABL1234[[#This Row],[(STORGE DIFF.) AJD]]*1000)+TABL1234[[#This Row],[AJD_Evaporation]])</f>
        <v/>
      </c>
      <c r="AE364" s="41" t="n"/>
      <c r="AF364" s="43" t="n"/>
      <c r="AG364" s="43" t="n"/>
      <c r="AH364" s="6" t="n"/>
      <c r="AI364" s="43" t="n"/>
      <c r="AJ364" s="43">
        <f>TABL1234[[#This Row],[(A/B) AJD]]-TABL1234[[#This Row],[BER_IN]]</f>
        <v/>
      </c>
      <c r="AK364" s="43" t="n"/>
      <c r="AL364" s="43" t="n"/>
      <c r="AM364" s="32" t="n"/>
      <c r="AN364" s="32">
        <f>TABL1234[[#This Row],[ (RESV. STORGE) SER]]/10</f>
        <v/>
      </c>
      <c r="AO364" s="68" t="n"/>
      <c r="AP364" s="68">
        <f>TABL1234[[#This Row],[(A/S) AJD]]-TABL1234[[#This Row],[SER_IN]]</f>
        <v/>
      </c>
    </row>
    <row r="365" ht="18.75" customHeight="1">
      <c r="A365" s="2" t="n">
        <v>46751</v>
      </c>
      <c r="B365" s="44" t="n"/>
      <c r="C365" s="44" t="n"/>
      <c r="D365" s="44" t="n"/>
      <c r="E365" s="44" t="n"/>
      <c r="F365" s="44" t="n"/>
      <c r="G365" s="40" t="n"/>
      <c r="H365" s="44">
        <f>103-F365</f>
        <v/>
      </c>
      <c r="I365" s="40" t="n"/>
      <c r="J365" s="44" t="n"/>
      <c r="K365" s="28">
        <f>TABL1234[[#This Row],[ (T/B) SAR]]+TABL1234[[#This Row],[ (S/S) SAR]]</f>
        <v/>
      </c>
      <c r="L365" s="45" t="n"/>
      <c r="M365" s="46" t="n"/>
      <c r="N365" s="46" t="n"/>
      <c r="O365" s="40" t="n"/>
      <c r="P365" s="9">
        <f>TABL1234[[#This Row],[ (S/S) SAR]]-TABL1234[[#This Row],[(S/S) AJD]]</f>
        <v/>
      </c>
      <c r="Q365" s="40" t="n"/>
      <c r="R365" s="9">
        <f>TABL1234[[#This Row],[ (T/B) SAR]]-TABL1234[[#This Row],[(T/B) AJD]]</f>
        <v/>
      </c>
      <c r="S365" s="9">
        <f>TABL1234[[#This Row],[T/B-CON.]]+TABL1234[[#This Row],[S/S_CON.]]</f>
        <v/>
      </c>
      <c r="T365" s="9">
        <f>TABL1234[[#This Row],[(S/S) AJD]]+TABL1234[[#This Row],[(T/B) AJD]]</f>
        <v/>
      </c>
      <c r="U365" s="44" t="n"/>
      <c r="V365" s="44" t="n"/>
      <c r="W365" s="9">
        <f>TABL1234[[#This Row],[(A/B) AJD]]+TABL1234[[#This Row],[(A/S) AJD]]</f>
        <v/>
      </c>
      <c r="X365" s="9">
        <f>TABL1234[[#This Row],[( S/S+T/B) AJD]]-TABL1234[[#This Row],[(A/B + A/S) AJD]]</f>
        <v/>
      </c>
      <c r="Y365" s="44" t="n"/>
      <c r="Z365" s="45" t="n"/>
      <c r="AA365" s="3">
        <f>TABL1234[[#This Row],[(RESV. STORGE) AJD]]/10</f>
        <v/>
      </c>
      <c r="AB365" s="3">
        <f>IF(TRIM(Z365)="",,(Z365-Z364)/1000)</f>
        <v/>
      </c>
      <c r="AC365" s="5" t="n"/>
      <c r="AD365" s="50">
        <f>TABL1234[[#This Row],[( S/S+T/B) AJD]]-(TABL1234[[#This Row],[(A/B + A/S) AJD]]+(TABL1234[[#This Row],[(STORGE DIFF.) AJD]]*1000)+TABL1234[[#This Row],[AJD_Evaporation]])</f>
        <v/>
      </c>
      <c r="AE365" s="44" t="n"/>
      <c r="AF365" s="45" t="n"/>
      <c r="AG365" s="45" t="n"/>
      <c r="AH365" s="6" t="n"/>
      <c r="AI365" s="45" t="n"/>
      <c r="AJ365" s="91">
        <f>TABL1234[[#This Row],[(A/B) AJD]]-TABL1234[[#This Row],[BER_IN]]</f>
        <v/>
      </c>
      <c r="AK365" s="45" t="n"/>
      <c r="AL365" s="45" t="n"/>
      <c r="AM365" s="32" t="n"/>
      <c r="AN365" s="32">
        <f>TABL1234[[#This Row],[ (RESV. STORGE) SER]]/10</f>
        <v/>
      </c>
      <c r="AO365" s="68" t="n"/>
      <c r="AP365" s="68">
        <f>TABL1234[[#This Row],[(A/S) AJD]]-TABL1234[[#This Row],[SER_IN]]</f>
        <v/>
      </c>
    </row>
    <row r="366" ht="18.75" customHeight="1">
      <c r="A366" s="2" t="n">
        <v>46752</v>
      </c>
      <c r="B366" s="41" t="n"/>
      <c r="C366" s="41" t="n"/>
      <c r="D366" s="41" t="n"/>
      <c r="E366" s="41" t="n"/>
      <c r="F366" s="41" t="n"/>
      <c r="G366" s="39" t="n"/>
      <c r="H366" s="41">
        <f>103-F366</f>
        <v/>
      </c>
      <c r="I366" s="39" t="n"/>
      <c r="J366" s="39" t="n"/>
      <c r="K366" s="51">
        <f>TABL1234[[#This Row],[ (T/B) SAR]]+TABL1234[[#This Row],[ (S/S) SAR]]</f>
        <v/>
      </c>
      <c r="L366" s="41" t="n"/>
      <c r="M366" s="42" t="n"/>
      <c r="N366" s="42" t="n"/>
      <c r="O366" s="39" t="n"/>
      <c r="P366" s="19">
        <f>TABL1234[[#This Row],[ (S/S) SAR]]-TABL1234[[#This Row],[(S/S) AJD]]</f>
        <v/>
      </c>
      <c r="Q366" s="39" t="n"/>
      <c r="R366" s="19">
        <f>TABL1234[[#This Row],[ (T/B) SAR]]-TABL1234[[#This Row],[(T/B) AJD]]</f>
        <v/>
      </c>
      <c r="S366" s="19">
        <f>TABL1234[[#This Row],[T/B-CON.]]+TABL1234[[#This Row],[S/S_CON.]]</f>
        <v/>
      </c>
      <c r="T366" s="19">
        <f>TABL1234[[#This Row],[(S/S) AJD]]+TABL1234[[#This Row],[(T/B) AJD]]</f>
        <v/>
      </c>
      <c r="U366" s="41" t="n"/>
      <c r="V366" s="41" t="n"/>
      <c r="W366" s="19">
        <f>TABL1234[[#This Row],[(A/B) AJD]]+TABL1234[[#This Row],[(A/S) AJD]]</f>
        <v/>
      </c>
      <c r="X366" s="19">
        <f>TABL1234[[#This Row],[( S/S+T/B) AJD]]-TABL1234[[#This Row],[(A/B + A/S) AJD]]</f>
        <v/>
      </c>
      <c r="Y366" s="41" t="n"/>
      <c r="Z366" s="43" t="n"/>
      <c r="AA366" s="3">
        <f>TABL1234[[#This Row],[(RESV. STORGE) AJD]]/10</f>
        <v/>
      </c>
      <c r="AB366" s="3">
        <f>IF(TRIM(Z366)="",,(Z366-Z365)/1000)</f>
        <v/>
      </c>
      <c r="AC366" s="5" t="n"/>
      <c r="AD366" s="50">
        <f>TABL1234[[#This Row],[( S/S+T/B) AJD]]-(TABL1234[[#This Row],[(A/B + A/S) AJD]]+(TABL1234[[#This Row],[(STORGE DIFF.) AJD]]*1000)+TABL1234[[#This Row],[AJD_Evaporation]])</f>
        <v/>
      </c>
      <c r="AE366" s="41" t="n"/>
      <c r="AF366" s="43" t="n"/>
      <c r="AG366" s="43" t="n"/>
      <c r="AH366" s="21" t="n"/>
      <c r="AI366" s="43" t="n"/>
      <c r="AJ366" s="43">
        <f>TABL1234[[#This Row],[(A/B) AJD]]-TABL1234[[#This Row],[BER_IN]]</f>
        <v/>
      </c>
      <c r="AK366" s="43" t="n"/>
      <c r="AL366" s="43" t="n"/>
      <c r="AM366" s="32" t="n"/>
      <c r="AN366" s="32">
        <f>TABL1234[[#This Row],[ (RESV. STORGE) SER]]/10</f>
        <v/>
      </c>
      <c r="AO366" s="82" t="n"/>
      <c r="AP366" s="82">
        <f>TABL1234[[#This Row],[(A/S) AJD]]-TABL1234[[#This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P368"/>
  <sheetViews>
    <sheetView rightToLeft="1" topLeftCell="AF1" workbookViewId="0">
      <selection activeCell="AS2" sqref="AS2"/>
    </sheetView>
  </sheetViews>
  <sheetFormatPr baseColWidth="8" defaultRowHeight="15"/>
  <cols>
    <col width="12.5" customWidth="1" min="1" max="1"/>
    <col width="7.875" customWidth="1" style="56" min="2" max="2"/>
    <col width="8.125" customWidth="1" style="56" min="3" max="3"/>
    <col width="7.75" customWidth="1" style="56" min="4" max="4"/>
    <col width="8.25" customWidth="1" style="56" min="5" max="5"/>
    <col width="8.125" customWidth="1" style="56" min="6" max="6"/>
    <col width="8" customWidth="1" style="56" min="7" max="7"/>
    <col width="7.25" customWidth="1" style="56" min="8" max="8"/>
    <col width="9.375" customWidth="1" style="56" min="9" max="9"/>
    <col width="10.625" customWidth="1" style="56" min="10" max="11"/>
    <col width="11.375" customWidth="1" style="56" min="12" max="12"/>
    <col width="10.625" customWidth="1" style="57" min="13" max="13"/>
    <col width="8.25" customWidth="1" style="58" min="14" max="14"/>
    <col width="10.375" customWidth="1" style="7" min="15" max="15"/>
    <col width="7.875" customWidth="1" style="7" min="16" max="16"/>
    <col width="8.875" customWidth="1" style="7" min="17" max="17"/>
    <col width="10.5" customWidth="1" style="7" min="18" max="19"/>
    <col width="9.75" customWidth="1" style="7" min="20" max="20"/>
    <col width="7" customWidth="1" style="7" min="21" max="21"/>
    <col width="6.875" customWidth="1" style="7" min="22" max="22"/>
    <col width="8.5" customWidth="1" style="7" min="23" max="23"/>
    <col width="11.125" customWidth="1" style="7" min="24" max="24"/>
    <col width="10.875" customWidth="1" style="7" min="25" max="25"/>
    <col width="9.125" customWidth="1" style="7" min="26" max="27"/>
    <col width="9.625" customWidth="1" style="7" min="28" max="28"/>
    <col width="11.625" customWidth="1" style="7" min="29" max="29"/>
    <col width="15.75" customWidth="1" style="7" min="30" max="30"/>
    <col width="9.625" customWidth="1" style="7" min="31" max="32"/>
    <col width="11.25" customWidth="1" style="7" min="33" max="33"/>
    <col width="9.625" customWidth="1" style="7" min="34" max="34"/>
    <col width="14.25" customWidth="1" style="7" min="35" max="35"/>
    <col width="9.625" customWidth="1" style="7" min="36" max="37"/>
    <col width="14.5" customWidth="1" style="7" min="38" max="38"/>
    <col width="9.625" customWidth="1" style="7" min="39" max="39"/>
    <col width="11.625" customWidth="1" style="7" min="40" max="40"/>
  </cols>
  <sheetData>
    <row r="1" ht="55.5" customFormat="1" customHeight="1" s="27">
      <c r="A1" s="22" t="inlineStr">
        <is>
          <t xml:space="preserve"> اليوم</t>
        </is>
      </c>
      <c r="B1" s="23" t="inlineStr">
        <is>
          <t>آبار منتجة TAZ</t>
        </is>
      </c>
      <c r="C1" s="23" t="inlineStr">
        <is>
          <t>الانتاج 1000 (م3) TAZ</t>
        </is>
      </c>
      <c r="D1" s="23" t="inlineStr">
        <is>
          <t>آبار عاملة TAZ</t>
        </is>
      </c>
      <c r="E1" s="23" t="inlineStr">
        <is>
          <t>آبار احتياطية</t>
        </is>
      </c>
      <c r="F1" s="24" t="inlineStr">
        <is>
          <t>آبار منتجة SAR</t>
        </is>
      </c>
      <c r="G1" s="24" t="inlineStr">
        <is>
          <t>إنتاج آبار  SAR</t>
        </is>
      </c>
      <c r="H1" s="24" t="inlineStr">
        <is>
          <t>آبار احتياطية  SAR</t>
        </is>
      </c>
      <c r="I1" s="24" t="inlineStr">
        <is>
          <t xml:space="preserve"> (T/B) SAR</t>
        </is>
      </c>
      <c r="J1" s="24" t="inlineStr">
        <is>
          <t xml:space="preserve"> (S/S) SAR</t>
        </is>
      </c>
      <c r="K1" s="24" t="inlineStr">
        <is>
          <t>(S/S+TB)SAR</t>
        </is>
      </c>
      <c r="L1" s="25" t="inlineStr">
        <is>
          <t>TAZ/SAR</t>
        </is>
      </c>
      <c r="M1" s="25" t="inlineStr">
        <is>
          <t xml:space="preserve"> % ECV SAR</t>
        </is>
      </c>
      <c r="N1" s="25" t="inlineStr">
        <is>
          <t>ECV (bar) SAR</t>
        </is>
      </c>
      <c r="O1" s="26" t="inlineStr">
        <is>
          <t>(S/S) AJD</t>
        </is>
      </c>
      <c r="P1" s="26" t="inlineStr">
        <is>
          <t>S/S_CON.</t>
        </is>
      </c>
      <c r="Q1" s="26" t="inlineStr">
        <is>
          <t>(T/B) AJD</t>
        </is>
      </c>
      <c r="R1" s="26" t="inlineStr">
        <is>
          <t>T/B-CON.</t>
        </is>
      </c>
      <c r="S1" s="26" t="inlineStr">
        <is>
          <t>(S/S-T/B)-CON.</t>
        </is>
      </c>
      <c r="T1" s="26" t="inlineStr">
        <is>
          <t>( S/S+T/B) AJD</t>
        </is>
      </c>
      <c r="U1" s="26" t="inlineStr">
        <is>
          <t>(A/B) AJD</t>
        </is>
      </c>
      <c r="V1" s="26" t="inlineStr">
        <is>
          <t>(A/S) AJD</t>
        </is>
      </c>
      <c r="W1" s="26" t="inlineStr">
        <is>
          <t>(A/B + A/S) AJD</t>
        </is>
      </c>
      <c r="X1" s="26" t="inlineStr">
        <is>
          <t>(IN-OUT) AJD</t>
        </is>
      </c>
      <c r="Y1" s="26" t="inlineStr">
        <is>
          <t>(RES. LEVEL) AJD</t>
        </is>
      </c>
      <c r="Z1" s="26" t="inlineStr">
        <is>
          <t>(RESV. STORGE) AJD</t>
        </is>
      </c>
      <c r="AA1" s="26" t="inlineStr">
        <is>
          <t>AJD_STORG.* 10</t>
        </is>
      </c>
      <c r="AB1" s="26" t="inlineStr">
        <is>
          <t>(STORGE DIFF.) AJD</t>
        </is>
      </c>
      <c r="AC1" s="26" t="inlineStr">
        <is>
          <t>AJD_Evaporation</t>
        </is>
      </c>
      <c r="AD1" s="26" t="inlineStr">
        <is>
          <t>AJD_LOSES</t>
        </is>
      </c>
      <c r="AE1" s="1" t="inlineStr">
        <is>
          <t>BER_IN</t>
        </is>
      </c>
      <c r="AF1" s="1" t="inlineStr">
        <is>
          <t>(RES. LEVEL) BER</t>
        </is>
      </c>
      <c r="AG1" s="1" t="inlineStr">
        <is>
          <t xml:space="preserve"> (RESV. STORGE) BER</t>
        </is>
      </c>
      <c r="AH1" s="1" t="inlineStr">
        <is>
          <t>BER_STORG. * 10</t>
        </is>
      </c>
      <c r="AI1" s="1" t="inlineStr">
        <is>
          <t>BER_Evap.</t>
        </is>
      </c>
      <c r="AJ1" s="1" t="inlineStr">
        <is>
          <t>A/B_CON.</t>
        </is>
      </c>
      <c r="AK1" s="26" t="inlineStr">
        <is>
          <t>SER_IN</t>
        </is>
      </c>
      <c r="AL1" s="26" t="inlineStr">
        <is>
          <t xml:space="preserve">(RES. LEVEL) SER </t>
        </is>
      </c>
      <c r="AM1" s="26" t="inlineStr">
        <is>
          <t xml:space="preserve"> (RESV. STORGE) SER</t>
        </is>
      </c>
      <c r="AN1" s="26" t="inlineStr">
        <is>
          <t>SER_STORG.* 10</t>
        </is>
      </c>
      <c r="AO1" s="26" t="inlineStr">
        <is>
          <t>SER_Evap.</t>
        </is>
      </c>
      <c r="AP1" s="26" t="inlineStr">
        <is>
          <t>A/S_CON.</t>
        </is>
      </c>
    </row>
    <row r="2">
      <c r="A2" s="2" t="n">
        <v>46753</v>
      </c>
      <c r="B2" s="28" t="n"/>
      <c r="C2" s="28" t="n"/>
      <c r="D2" s="28" t="n"/>
      <c r="E2" s="28" t="n"/>
      <c r="F2" s="28" t="n"/>
      <c r="G2" s="28" t="n"/>
      <c r="H2" s="28" t="n"/>
      <c r="I2" s="28" t="n"/>
      <c r="J2" s="28" t="n"/>
      <c r="K2" s="28">
        <f>TABL12345[[#This Row],[ (T/B) SAR]]+TABL12345[[#This Row],[ (S/S) SAR]]</f>
        <v/>
      </c>
      <c r="L2" s="28" t="n"/>
      <c r="M2" s="29" t="n"/>
      <c r="N2" s="30" t="n"/>
      <c r="O2" s="3" t="n"/>
      <c r="P2" s="3">
        <f>TABL12345[[#This Row],[ (S/S) SAR]]-TABL12345[[#This Row],[(S/S) AJD]]</f>
        <v/>
      </c>
      <c r="Q2" s="3" t="n"/>
      <c r="R2" s="3">
        <f>TABL12345[[#This Row],[ (T/B) SAR]]-TABL12345[[#This Row],[(T/B) AJD]]</f>
        <v/>
      </c>
      <c r="S2" s="3">
        <f>TABL12345[[#This Row],[S/S_CON.]]+TABL12345[[#This Row],[T/B-CON.]]</f>
        <v/>
      </c>
      <c r="T2" s="3">
        <f>O2+Q2</f>
        <v/>
      </c>
      <c r="U2" s="3" t="n"/>
      <c r="V2" s="3" t="n"/>
      <c r="W2" s="3">
        <f>U2+V2</f>
        <v/>
      </c>
      <c r="X2" s="3">
        <f>T2-W2</f>
        <v/>
      </c>
      <c r="Y2" s="4" t="n"/>
      <c r="Z2" s="3" t="n"/>
      <c r="AA2" s="3">
        <f>TABL12345[[#This Row],[(RESV. STORGE) AJD]]/10</f>
        <v/>
      </c>
      <c r="AB2" s="3">
        <f>(Z2-'my_job - 2027'!Z366)/1000</f>
        <v/>
      </c>
      <c r="AC2" s="5" t="n"/>
      <c r="AD2" s="5">
        <f>(TABL12345[[#This Row],[( S/S+T/B) AJD]]*1000)-((TABL12345[[#This Row],[(STORGE DIFF.) AJD]]*1000)+TABL12345[[#This Row],[AJD_Evaporation]]+(TABL12345[[#This Row],[(A/B + A/S) AJD]]*1000))</f>
        <v/>
      </c>
      <c r="AE2" s="5" t="n"/>
      <c r="AF2" s="31" t="n"/>
      <c r="AG2" s="5" t="n"/>
      <c r="AH2" s="5">
        <f>TABL12345[[#This Row],[ (RESV. STORGE) BER]]/10</f>
        <v/>
      </c>
      <c r="AI2" s="5" t="n"/>
      <c r="AJ2" s="5">
        <f>TABL12345[[#This Row],[(A/B) AJD]]-TABL12345[[#This Row],[BER_IN]]</f>
        <v/>
      </c>
      <c r="AK2" s="5" t="n"/>
      <c r="AL2" s="31" t="n"/>
      <c r="AM2" s="5" t="n"/>
      <c r="AN2" s="5">
        <f>TABL12345[[#This Row],[ (RESV. STORGE) SER]]/10</f>
        <v/>
      </c>
      <c r="AO2" s="5" t="n"/>
      <c r="AP2" s="32">
        <f>TABL12345[[#This Row],[(A/S) AJD]]-TABL12345[[#This Row],[SER_IN]]</f>
        <v/>
      </c>
    </row>
    <row r="3" ht="18.75" customHeight="1">
      <c r="A3" s="2" t="n">
        <v>46754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TABL12345[[#This Row],[ (T/B) SAR]]+TABL12345[[#This Row],[ (S/S) SAR]]</f>
        <v/>
      </c>
      <c r="L3" s="45" t="n"/>
      <c r="M3" s="46" t="n"/>
      <c r="N3" s="46" t="n"/>
      <c r="O3" s="40" t="n"/>
      <c r="P3" s="3">
        <f>TABL12345[[#This Row],[ (S/S) SAR]]-TABL12345[[#This Row],[(S/S) AJD]]</f>
        <v/>
      </c>
      <c r="Q3" s="40" t="n"/>
      <c r="R3" s="3">
        <f>TABL12345[[#This Row],[ (T/B) SAR]]-TABL12345[[#This Row],[(T/B) AJD]]</f>
        <v/>
      </c>
      <c r="S3" s="3">
        <f>TABL12345[[#This Row],[S/S_CON.]]+TABL12345[[#This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TABL12345[[#This Row],[(RESV. STORGE) AJD]]/10</f>
        <v/>
      </c>
      <c r="AB3" s="3">
        <f>IF(TRIM(Z3)="",,(Z3-Z2)/1000)</f>
        <v/>
      </c>
      <c r="AC3" s="5" t="n"/>
      <c r="AD3" s="40">
        <f>(TABL12345[[#This Row],[( S/S+T/B) AJD]]*1000)-((TABL12345[[#This Row],[(STORGE DIFF.) AJD]]*1000)+TABL12345[[#This Row],[AJD_Evaporation]]+(TABL12345[[#This Row],[(A/B + A/S) AJD]]*1000))</f>
        <v/>
      </c>
      <c r="AE3" s="44" t="n"/>
      <c r="AF3" s="45" t="n"/>
      <c r="AG3" s="45" t="n"/>
      <c r="AH3" s="6">
        <f>TABL12345[[#This Row],[ (RESV. STORGE) BER]]/10</f>
        <v/>
      </c>
      <c r="AI3" s="44" t="n"/>
      <c r="AJ3" s="45">
        <f>TABL12345[[#This Row],[(A/B) AJD]]-TABL12345[[#This Row],[BER_IN]]</f>
        <v/>
      </c>
      <c r="AK3" s="45" t="n"/>
      <c r="AL3" s="45" t="n"/>
      <c r="AM3" s="32" t="n"/>
      <c r="AN3" s="32">
        <f>TABL12345[[#This Row],[ (RESV. STORGE) SER]]/10</f>
        <v/>
      </c>
      <c r="AO3" s="68" t="n"/>
      <c r="AP3" s="68">
        <f>TABL12345[[#This Row],[(A/S) AJD]]-TABL12345[[#This Row],[SER_IN]]</f>
        <v/>
      </c>
    </row>
    <row r="4" ht="18.75" customHeight="1">
      <c r="A4" s="2" t="n">
        <v>46755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TABL12345[[#This Row],[ (T/B) SAR]]+TABL12345[[#This Row],[ (S/S) SAR]]</f>
        <v/>
      </c>
      <c r="L4" s="41" t="n"/>
      <c r="M4" s="42" t="n"/>
      <c r="N4" s="42" t="n"/>
      <c r="O4" s="39" t="n"/>
      <c r="P4" s="3">
        <f>TABL12345[[#This Row],[ (S/S) SAR]]-TABL12345[[#This Row],[(S/S) AJD]]</f>
        <v/>
      </c>
      <c r="Q4" s="39" t="n"/>
      <c r="R4" s="3">
        <f>TABL12345[[#This Row],[ (T/B) SAR]]-TABL12345[[#This Row],[(T/B) AJD]]</f>
        <v/>
      </c>
      <c r="S4" s="3">
        <f>TABL12345[[#This Row],[S/S_CON.]]+TABL12345[[#This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TABL12345[[#This Row],[(RESV. STORGE) AJD]]/10</f>
        <v/>
      </c>
      <c r="AB4" s="3">
        <f>IF(TRIM(Z4)="",,(Z4-Z3)/1000)</f>
        <v/>
      </c>
      <c r="AC4" s="5" t="n"/>
      <c r="AD4" s="39">
        <f>(TABL12345[[#This Row],[( S/S+T/B) AJD]]*1000)-((TABL12345[[#This Row],[(STORGE DIFF.) AJD]]*1000)+TABL12345[[#This Row],[AJD_Evaporation]]+(TABL12345[[#This Row],[(A/B + A/S) AJD]]*1000))</f>
        <v/>
      </c>
      <c r="AE4" s="41" t="n"/>
      <c r="AF4" s="43" t="n"/>
      <c r="AG4" s="43" t="n"/>
      <c r="AH4" s="6">
        <f>TABL12345[[#This Row],[ (RESV. STORGE) BER]]/10</f>
        <v/>
      </c>
      <c r="AI4" s="41" t="n"/>
      <c r="AJ4" s="43">
        <f>TABL12345[[#This Row],[(A/B) AJD]]-TABL12345[[#This Row],[BER_IN]]</f>
        <v/>
      </c>
      <c r="AK4" s="43" t="n"/>
      <c r="AL4" s="43" t="n"/>
      <c r="AM4" s="32" t="n"/>
      <c r="AN4" s="32">
        <f>TABL12345[[#This Row],[ (RESV. STORGE) SER]]/10</f>
        <v/>
      </c>
      <c r="AO4" s="68" t="n"/>
      <c r="AP4" s="68">
        <f>TABL12345[[#This Row],[(A/S) AJD]]-TABL12345[[#This Row],[SER_IN]]</f>
        <v/>
      </c>
    </row>
    <row r="5" ht="18.75" customHeight="1">
      <c r="A5" s="2" t="n">
        <v>46756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TABL12345[[#This Row],[ (T/B) SAR]]+TABL12345[[#This Row],[ (S/S) SAR]]</f>
        <v/>
      </c>
      <c r="L5" s="45" t="n"/>
      <c r="M5" s="46" t="n"/>
      <c r="N5" s="46" t="n"/>
      <c r="O5" s="40" t="n"/>
      <c r="P5" s="3">
        <f>TABL12345[[#This Row],[ (S/S) SAR]]-TABL12345[[#This Row],[(S/S) AJD]]</f>
        <v/>
      </c>
      <c r="Q5" s="40" t="n"/>
      <c r="R5" s="3">
        <f>TABL12345[[#This Row],[ (T/B) SAR]]-TABL12345[[#This Row],[(T/B) AJD]]</f>
        <v/>
      </c>
      <c r="S5" s="3">
        <f>TABL12345[[#This Row],[S/S_CON.]]+TABL12345[[#This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TABL12345[[#This Row],[(RESV. STORGE) AJD]]/10</f>
        <v/>
      </c>
      <c r="AB5" s="3">
        <f>IF(TRIM(Z5)="",,(Z5-Z4)/1000)</f>
        <v/>
      </c>
      <c r="AC5" s="5" t="n"/>
      <c r="AD5" s="40">
        <f>(TABL12345[[#This Row],[( S/S+T/B) AJD]]*1000)-((TABL12345[[#This Row],[(STORGE DIFF.) AJD]]*1000)+TABL12345[[#This Row],[AJD_Evaporation]]+(TABL12345[[#This Row],[(A/B + A/S) AJD]]*1000))</f>
        <v/>
      </c>
      <c r="AE5" s="44" t="n"/>
      <c r="AF5" s="45" t="n"/>
      <c r="AG5" s="45" t="n"/>
      <c r="AH5" s="6">
        <f>TABL12345[[#This Row],[ (RESV. STORGE) BER]]/10</f>
        <v/>
      </c>
      <c r="AI5" s="44" t="n"/>
      <c r="AJ5" s="45">
        <f>TABL12345[[#This Row],[(A/B) AJD]]-TABL12345[[#This Row],[BER_IN]]</f>
        <v/>
      </c>
      <c r="AK5" s="45" t="n"/>
      <c r="AL5" s="45" t="n"/>
      <c r="AM5" s="32" t="n"/>
      <c r="AN5" s="32">
        <f>TABL12345[[#This Row],[ (RESV. STORGE) SER]]/10</f>
        <v/>
      </c>
      <c r="AO5" s="68" t="n"/>
      <c r="AP5" s="68">
        <f>TABL12345[[#This Row],[(A/S) AJD]]-TABL12345[[#This Row],[SER_IN]]</f>
        <v/>
      </c>
    </row>
    <row r="6" ht="18.75" customHeight="1">
      <c r="A6" s="2" t="n">
        <v>46757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TABL12345[[#This Row],[ (T/B) SAR]]+TABL12345[[#This Row],[ (S/S) SAR]]</f>
        <v/>
      </c>
      <c r="L6" s="41" t="n"/>
      <c r="M6" s="42" t="n"/>
      <c r="N6" s="42" t="n"/>
      <c r="O6" s="39" t="n"/>
      <c r="P6" s="3">
        <f>TABL12345[[#This Row],[ (S/S) SAR]]-TABL12345[[#This Row],[(S/S) AJD]]</f>
        <v/>
      </c>
      <c r="Q6" s="39" t="n"/>
      <c r="R6" s="3">
        <f>TABL12345[[#This Row],[ (T/B) SAR]]-TABL12345[[#This Row],[(T/B) AJD]]</f>
        <v/>
      </c>
      <c r="S6" s="3">
        <f>TABL12345[[#This Row],[S/S_CON.]]+TABL12345[[#This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TABL12345[[#This Row],[(RESV. STORGE) AJD]]/10</f>
        <v/>
      </c>
      <c r="AB6" s="3">
        <f>IF(TRIM(Z6)="",,(Z6-Z5)/1000)</f>
        <v/>
      </c>
      <c r="AC6" s="5" t="n"/>
      <c r="AD6" s="39">
        <f>(TABL12345[[#This Row],[( S/S+T/B) AJD]]*1000)-((TABL12345[[#This Row],[(STORGE DIFF.) AJD]]*1000)+TABL12345[[#This Row],[AJD_Evaporation]]+(TABL12345[[#This Row],[(A/B + A/S) AJD]]*1000))</f>
        <v/>
      </c>
      <c r="AE6" s="41" t="n"/>
      <c r="AF6" s="43" t="n"/>
      <c r="AG6" s="43" t="n"/>
      <c r="AH6" s="6">
        <f>TABL12345[[#This Row],[ (RESV. STORGE) BER]]/10</f>
        <v/>
      </c>
      <c r="AI6" s="41" t="n"/>
      <c r="AJ6" s="43">
        <f>TABL12345[[#This Row],[(A/B) AJD]]-TABL12345[[#This Row],[BER_IN]]</f>
        <v/>
      </c>
      <c r="AK6" s="43" t="n"/>
      <c r="AL6" s="43" t="n"/>
      <c r="AM6" s="32" t="n"/>
      <c r="AN6" s="32">
        <f>TABL12345[[#This Row],[ (RESV. STORGE) SER]]/10</f>
        <v/>
      </c>
      <c r="AO6" s="68" t="n"/>
      <c r="AP6" s="68">
        <f>TABL12345[[#This Row],[(A/S) AJD]]-TABL12345[[#This Row],[SER_IN]]</f>
        <v/>
      </c>
    </row>
    <row r="7" ht="18.75" customHeight="1">
      <c r="A7" s="2" t="n">
        <v>46758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TABL12345[[#This Row],[ (T/B) SAR]]+TABL12345[[#This Row],[ (S/S) SAR]]</f>
        <v/>
      </c>
      <c r="L7" s="45" t="n"/>
      <c r="M7" s="46" t="n"/>
      <c r="N7" s="46" t="n"/>
      <c r="O7" s="40" t="n"/>
      <c r="P7" s="3">
        <f>TABL12345[[#This Row],[ (S/S) SAR]]-TABL12345[[#This Row],[(S/S) AJD]]</f>
        <v/>
      </c>
      <c r="Q7" s="40" t="n"/>
      <c r="R7" s="3">
        <f>TABL12345[[#This Row],[ (T/B) SAR]]-TABL12345[[#This Row],[(T/B) AJD]]</f>
        <v/>
      </c>
      <c r="S7" s="3">
        <f>TABL12345[[#This Row],[S/S_CON.]]+TABL12345[[#This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TABL12345[[#This Row],[(RESV. STORGE) AJD]]/10</f>
        <v/>
      </c>
      <c r="AB7" s="3">
        <f>IF(TRIM(Z7)="",,(Z7-Z6)/1000)</f>
        <v/>
      </c>
      <c r="AC7" s="5" t="n"/>
      <c r="AD7" s="40">
        <f>(TABL12345[[#This Row],[( S/S+T/B) AJD]]*1000)-((TABL12345[[#This Row],[(STORGE DIFF.) AJD]]*1000)+TABL12345[[#This Row],[AJD_Evaporation]]+(TABL12345[[#This Row],[(A/B + A/S) AJD]]*1000))</f>
        <v/>
      </c>
      <c r="AE7" s="44" t="n"/>
      <c r="AF7" s="45" t="n"/>
      <c r="AG7" s="45" t="n"/>
      <c r="AH7" s="6">
        <f>TABL12345[[#This Row],[ (RESV. STORGE) BER]]/10</f>
        <v/>
      </c>
      <c r="AI7" s="44" t="n"/>
      <c r="AJ7" s="45">
        <f>TABL12345[[#This Row],[(A/B) AJD]]-TABL12345[[#This Row],[BER_IN]]</f>
        <v/>
      </c>
      <c r="AK7" s="45" t="n"/>
      <c r="AL7" s="45" t="n"/>
      <c r="AM7" s="32" t="n"/>
      <c r="AN7" s="32">
        <f>TABL12345[[#This Row],[ (RESV. STORGE) SER]]/10</f>
        <v/>
      </c>
      <c r="AO7" s="68" t="n"/>
      <c r="AP7" s="68">
        <f>TABL12345[[#This Row],[(A/S) AJD]]-TABL12345[[#This Row],[SER_IN]]</f>
        <v/>
      </c>
    </row>
    <row r="8" ht="18.75" customHeight="1">
      <c r="A8" s="2" t="n">
        <v>46759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TABL12345[[#This Row],[ (T/B) SAR]]+TABL12345[[#This Row],[ (S/S) SAR]]</f>
        <v/>
      </c>
      <c r="L8" s="41" t="n"/>
      <c r="M8" s="42" t="n"/>
      <c r="N8" s="42" t="n"/>
      <c r="O8" s="39" t="n"/>
      <c r="P8" s="3">
        <f>TABL12345[[#This Row],[ (S/S) SAR]]-TABL12345[[#This Row],[(S/S) AJD]]</f>
        <v/>
      </c>
      <c r="Q8" s="39" t="n"/>
      <c r="R8" s="3">
        <f>TABL12345[[#This Row],[ (T/B) SAR]]-TABL12345[[#This Row],[(T/B) AJD]]</f>
        <v/>
      </c>
      <c r="S8" s="3">
        <f>TABL12345[[#This Row],[S/S_CON.]]+TABL12345[[#This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TABL12345[[#This Row],[(RESV. STORGE) AJD]]/10</f>
        <v/>
      </c>
      <c r="AB8" s="3">
        <f>IF(TRIM(Z8)="",,(Z8-Z7)/1000)</f>
        <v/>
      </c>
      <c r="AC8" s="5" t="n"/>
      <c r="AD8" s="39">
        <f>(TABL12345[[#This Row],[( S/S+T/B) AJD]]*1000)-((TABL12345[[#This Row],[(STORGE DIFF.) AJD]]*1000)+TABL12345[[#This Row],[AJD_Evaporation]]+(TABL12345[[#This Row],[(A/B + A/S) AJD]]*1000))</f>
        <v/>
      </c>
      <c r="AE8" s="41" t="n"/>
      <c r="AF8" s="43" t="n"/>
      <c r="AG8" s="43" t="n"/>
      <c r="AH8" s="6">
        <f>TABL12345[[#This Row],[ (RESV. STORGE) BER]]/10</f>
        <v/>
      </c>
      <c r="AI8" s="41" t="n"/>
      <c r="AJ8" s="43">
        <f>TABL12345[[#This Row],[(A/B) AJD]]-TABL12345[[#This Row],[BER_IN]]</f>
        <v/>
      </c>
      <c r="AK8" s="43" t="n"/>
      <c r="AL8" s="43" t="n"/>
      <c r="AM8" s="32" t="n"/>
      <c r="AN8" s="32">
        <f>TABL12345[[#This Row],[ (RESV. STORGE) SER]]/10</f>
        <v/>
      </c>
      <c r="AO8" s="68" t="n"/>
      <c r="AP8" s="68">
        <f>TABL12345[[#This Row],[(A/S) AJD]]-TABL12345[[#This Row],[SER_IN]]</f>
        <v/>
      </c>
    </row>
    <row r="9" ht="18.75" customHeight="1">
      <c r="A9" s="2" t="n">
        <v>46760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TABL12345[[#This Row],[ (T/B) SAR]]+TABL12345[[#This Row],[ (S/S) SAR]]</f>
        <v/>
      </c>
      <c r="L9" s="45" t="n"/>
      <c r="M9" s="46" t="n"/>
      <c r="N9" s="46" t="n"/>
      <c r="O9" s="40" t="n"/>
      <c r="P9" s="3">
        <f>TABL12345[[#This Row],[ (S/S) SAR]]-TABL12345[[#This Row],[(S/S) AJD]]</f>
        <v/>
      </c>
      <c r="Q9" s="40" t="n"/>
      <c r="R9" s="3">
        <f>TABL12345[[#This Row],[ (T/B) SAR]]-TABL12345[[#This Row],[(T/B) AJD]]</f>
        <v/>
      </c>
      <c r="S9" s="3">
        <f>TABL12345[[#This Row],[S/S_CON.]]+TABL12345[[#This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TABL12345[[#This Row],[(RESV. STORGE) AJD]]/10</f>
        <v/>
      </c>
      <c r="AB9" s="3">
        <f>IF(TRIM(Z9)="",,(Z9-Z8)/1000)</f>
        <v/>
      </c>
      <c r="AC9" s="5" t="n"/>
      <c r="AD9" s="40">
        <f>(TABL12345[[#This Row],[( S/S+T/B) AJD]]*1000)-((TABL12345[[#This Row],[(STORGE DIFF.) AJD]]*1000)+TABL12345[[#This Row],[AJD_Evaporation]]+(TABL12345[[#This Row],[(A/B + A/S) AJD]]*1000))</f>
        <v/>
      </c>
      <c r="AE9" s="44" t="n"/>
      <c r="AF9" s="45" t="n"/>
      <c r="AG9" s="45" t="n"/>
      <c r="AH9" s="6">
        <f>TABL12345[[#This Row],[ (RESV. STORGE) BER]]/10</f>
        <v/>
      </c>
      <c r="AI9" s="44" t="n"/>
      <c r="AJ9" s="45">
        <f>TABL12345[[#This Row],[(A/B) AJD]]-TABL12345[[#This Row],[BER_IN]]</f>
        <v/>
      </c>
      <c r="AK9" s="45" t="n"/>
      <c r="AL9" s="45" t="n"/>
      <c r="AM9" s="32" t="n"/>
      <c r="AN9" s="32">
        <f>TABL12345[[#This Row],[ (RESV. STORGE) SER]]/10</f>
        <v/>
      </c>
      <c r="AO9" s="68" t="n"/>
      <c r="AP9" s="68">
        <f>TABL12345[[#This Row],[(A/S) AJD]]-TABL12345[[#This Row],[SER_IN]]</f>
        <v/>
      </c>
    </row>
    <row r="10" ht="18.75" customHeight="1">
      <c r="A10" s="2" t="n">
        <v>46761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TABL12345[[#This Row],[ (T/B) SAR]]+TABL12345[[#This Row],[ (S/S) SAR]]</f>
        <v/>
      </c>
      <c r="L10" s="41" t="n"/>
      <c r="M10" s="42" t="n"/>
      <c r="N10" s="42" t="n"/>
      <c r="O10" s="39" t="n"/>
      <c r="P10" s="3">
        <f>TABL12345[[#This Row],[ (S/S) SAR]]-TABL12345[[#This Row],[(S/S) AJD]]</f>
        <v/>
      </c>
      <c r="Q10" s="39" t="n"/>
      <c r="R10" s="3">
        <f>TABL12345[[#This Row],[ (T/B) SAR]]-TABL12345[[#This Row],[(T/B) AJD]]</f>
        <v/>
      </c>
      <c r="S10" s="3">
        <f>TABL12345[[#This Row],[S/S_CON.]]+TABL12345[[#This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TABL12345[[#This Row],[(RESV. STORGE) AJD]]/10</f>
        <v/>
      </c>
      <c r="AB10" s="3">
        <f>IF(TRIM(Z10)="",,(Z10-Z9)/1000)</f>
        <v/>
      </c>
      <c r="AC10" s="5" t="n"/>
      <c r="AD10" s="39">
        <f>(TABL12345[[#This Row],[( S/S+T/B) AJD]]*1000)-((TABL12345[[#This Row],[(STORGE DIFF.) AJD]]*1000)+TABL12345[[#This Row],[AJD_Evaporation]]+(TABL12345[[#This Row],[(A/B + A/S) AJD]]*1000))</f>
        <v/>
      </c>
      <c r="AE10" s="41" t="n"/>
      <c r="AF10" s="43" t="n"/>
      <c r="AG10" s="43" t="n"/>
      <c r="AH10" s="6">
        <f>TABL12345[[#This Row],[ (RESV. STORGE) BER]]/10</f>
        <v/>
      </c>
      <c r="AI10" s="41" t="n"/>
      <c r="AJ10" s="43">
        <f>TABL12345[[#This Row],[(A/B) AJD]]-TABL12345[[#This Row],[BER_IN]]</f>
        <v/>
      </c>
      <c r="AK10" s="43" t="n"/>
      <c r="AL10" s="43" t="n"/>
      <c r="AM10" s="32" t="n"/>
      <c r="AN10" s="32">
        <f>TABL12345[[#This Row],[ (RESV. STORGE) SER]]/10</f>
        <v/>
      </c>
      <c r="AO10" s="68" t="n"/>
      <c r="AP10" s="68">
        <f>TABL12345[[#This Row],[(A/S) AJD]]-TABL12345[[#This Row],[SER_IN]]</f>
        <v/>
      </c>
    </row>
    <row r="11" ht="18.75" customHeight="1">
      <c r="A11" s="2" t="n">
        <v>46762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TABL12345[[#This Row],[ (T/B) SAR]]+TABL12345[[#This Row],[ (S/S) SAR]]</f>
        <v/>
      </c>
      <c r="L11" s="45" t="n"/>
      <c r="M11" s="46" t="n"/>
      <c r="N11" s="46" t="n"/>
      <c r="O11" s="40" t="n"/>
      <c r="P11" s="3">
        <f>TABL12345[[#This Row],[ (S/S) SAR]]-TABL12345[[#This Row],[(S/S) AJD]]</f>
        <v/>
      </c>
      <c r="Q11" s="40" t="n"/>
      <c r="R11" s="3">
        <f>TABL12345[[#This Row],[ (T/B) SAR]]-TABL12345[[#This Row],[(T/B) AJD]]</f>
        <v/>
      </c>
      <c r="S11" s="3">
        <f>TABL12345[[#This Row],[S/S_CON.]]+TABL12345[[#This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TABL12345[[#This Row],[(RESV. STORGE) AJD]]/10</f>
        <v/>
      </c>
      <c r="AB11" s="3">
        <f>IF(TRIM(Z11)="",,(Z11-Z10)/1000)</f>
        <v/>
      </c>
      <c r="AC11" s="5" t="n"/>
      <c r="AD11" s="40">
        <f>(TABL12345[[#This Row],[( S/S+T/B) AJD]]*1000)-((TABL12345[[#This Row],[(STORGE DIFF.) AJD]]*1000)+TABL12345[[#This Row],[AJD_Evaporation]]+(TABL12345[[#This Row],[(A/B + A/S) AJD]]*1000))</f>
        <v/>
      </c>
      <c r="AE11" s="44" t="n"/>
      <c r="AF11" s="45" t="n"/>
      <c r="AG11" s="45" t="n"/>
      <c r="AH11" s="6">
        <f>TABL12345[[#This Row],[ (RESV. STORGE) BER]]/10</f>
        <v/>
      </c>
      <c r="AI11" s="44" t="n"/>
      <c r="AJ11" s="45">
        <f>TABL12345[[#This Row],[(A/B) AJD]]-TABL12345[[#This Row],[BER_IN]]</f>
        <v/>
      </c>
      <c r="AK11" s="45" t="n"/>
      <c r="AL11" s="45" t="n"/>
      <c r="AM11" s="32" t="n"/>
      <c r="AN11" s="32">
        <f>TABL12345[[#This Row],[ (RESV. STORGE) SER]]/10</f>
        <v/>
      </c>
      <c r="AO11" s="68" t="n"/>
      <c r="AP11" s="68">
        <f>TABL12345[[#This Row],[(A/S) AJD]]-TABL12345[[#This Row],[SER_IN]]</f>
        <v/>
      </c>
    </row>
    <row r="12" ht="18.75" customHeight="1">
      <c r="A12" s="2" t="n">
        <v>46763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TABL12345[[#This Row],[ (T/B) SAR]]+TABL12345[[#This Row],[ (S/S) SAR]]</f>
        <v/>
      </c>
      <c r="L12" s="41" t="n"/>
      <c r="M12" s="42" t="n"/>
      <c r="N12" s="42" t="n"/>
      <c r="O12" s="39" t="n"/>
      <c r="P12" s="3">
        <f>TABL12345[[#This Row],[ (S/S) SAR]]-TABL12345[[#This Row],[(S/S) AJD]]</f>
        <v/>
      </c>
      <c r="Q12" s="39" t="n"/>
      <c r="R12" s="3">
        <f>TABL12345[[#This Row],[ (T/B) SAR]]-TABL12345[[#This Row],[(T/B) AJD]]</f>
        <v/>
      </c>
      <c r="S12" s="3">
        <f>TABL12345[[#This Row],[S/S_CON.]]+TABL12345[[#This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TABL12345[[#This Row],[(RESV. STORGE) AJD]]/10</f>
        <v/>
      </c>
      <c r="AB12" s="3">
        <f>IF(TRIM(Z12)="",,(Z12-Z11)/1000)</f>
        <v/>
      </c>
      <c r="AC12" s="5" t="n"/>
      <c r="AD12" s="39">
        <f>(TABL12345[[#This Row],[( S/S+T/B) AJD]]*1000)-((TABL12345[[#This Row],[(STORGE DIFF.) AJD]]*1000)+TABL12345[[#This Row],[AJD_Evaporation]]+(TABL12345[[#This Row],[(A/B + A/S) AJD]]*1000))</f>
        <v/>
      </c>
      <c r="AE12" s="41" t="n"/>
      <c r="AF12" s="43" t="n"/>
      <c r="AG12" s="68" t="n"/>
      <c r="AH12" s="6">
        <f>TABL12345[[#This Row],[ (RESV. STORGE) BER]]/10</f>
        <v/>
      </c>
      <c r="AI12" s="41" t="n"/>
      <c r="AJ12" s="68">
        <f>TABL12345[[#This Row],[(A/B) AJD]]-TABL12345[[#This Row],[BER_IN]]</f>
        <v/>
      </c>
      <c r="AK12" s="43" t="n"/>
      <c r="AL12" s="43" t="n"/>
      <c r="AM12" s="32" t="n"/>
      <c r="AN12" s="32">
        <f>TABL12345[[#This Row],[ (RESV. STORGE) SER]]/10</f>
        <v/>
      </c>
      <c r="AO12" s="68" t="n"/>
      <c r="AP12" s="68">
        <f>TABL12345[[#This Row],[(A/S) AJD]]-TABL12345[[#This Row],[SER_IN]]</f>
        <v/>
      </c>
    </row>
    <row r="13" ht="18.75" customHeight="1">
      <c r="A13" s="2" t="n">
        <v>46764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TABL12345[[#This Row],[ (T/B) SAR]]+TABL12345[[#This Row],[ (S/S) SAR]]</f>
        <v/>
      </c>
      <c r="L13" s="45" t="n"/>
      <c r="M13" s="46" t="n"/>
      <c r="N13" s="46" t="n"/>
      <c r="O13" s="40" t="n"/>
      <c r="P13" s="3">
        <f>TABL12345[[#This Row],[ (S/S) SAR]]-TABL12345[[#This Row],[(S/S) AJD]]</f>
        <v/>
      </c>
      <c r="Q13" s="40" t="n"/>
      <c r="R13" s="3">
        <f>TABL12345[[#This Row],[ (T/B) SAR]]-TABL12345[[#This Row],[(T/B) AJD]]</f>
        <v/>
      </c>
      <c r="S13" s="3">
        <f>TABL12345[[#This Row],[S/S_CON.]]+TABL12345[[#This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TABL12345[[#This Row],[(RESV. STORGE) AJD]]/10</f>
        <v/>
      </c>
      <c r="AB13" s="3">
        <f>IF(TRIM(Z13)="",,(Z13-Z12)/1000)</f>
        <v/>
      </c>
      <c r="AC13" s="5" t="n"/>
      <c r="AD13" s="40">
        <f>(TABL12345[[#This Row],[( S/S+T/B) AJD]]*1000)-((TABL12345[[#This Row],[(STORGE DIFF.) AJD]]*1000)+TABL12345[[#This Row],[AJD_Evaporation]]+(TABL12345[[#This Row],[(A/B + A/S) AJD]]*1000))</f>
        <v/>
      </c>
      <c r="AE13" s="44" t="n"/>
      <c r="AF13" s="45" t="n"/>
      <c r="AG13" s="45" t="n"/>
      <c r="AH13" s="6">
        <f>TABL12345[[#This Row],[ (RESV. STORGE) BER]]/10</f>
        <v/>
      </c>
      <c r="AI13" s="44" t="n"/>
      <c r="AJ13" s="45">
        <f>TABL12345[[#This Row],[(A/B) AJD]]-TABL12345[[#This Row],[BER_IN]]</f>
        <v/>
      </c>
      <c r="AK13" s="45" t="n"/>
      <c r="AL13" s="45" t="n"/>
      <c r="AM13" s="32" t="n"/>
      <c r="AN13" s="32">
        <f>TABL12345[[#This Row],[ (RESV. STORGE) SER]]/10</f>
        <v/>
      </c>
      <c r="AO13" s="68" t="n"/>
      <c r="AP13" s="68">
        <f>TABL12345[[#This Row],[(A/S) AJD]]-TABL12345[[#This Row],[SER_IN]]</f>
        <v/>
      </c>
    </row>
    <row r="14" ht="18.75" customHeight="1">
      <c r="A14" s="2" t="n">
        <v>46765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TABL12345[[#This Row],[ (T/B) SAR]]+TABL12345[[#This Row],[ (S/S) SAR]]</f>
        <v/>
      </c>
      <c r="L14" s="41" t="n"/>
      <c r="M14" s="42" t="n"/>
      <c r="N14" s="42" t="n"/>
      <c r="O14" s="39" t="n"/>
      <c r="P14" s="3">
        <f>TABL12345[[#This Row],[ (S/S) SAR]]-TABL12345[[#This Row],[(S/S) AJD]]</f>
        <v/>
      </c>
      <c r="Q14" s="39" t="n"/>
      <c r="R14" s="3">
        <f>TABL12345[[#This Row],[ (T/B) SAR]]-TABL12345[[#This Row],[(T/B) AJD]]</f>
        <v/>
      </c>
      <c r="S14" s="3">
        <f>TABL12345[[#This Row],[S/S_CON.]]+TABL12345[[#This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TABL12345[[#This Row],[(RESV. STORGE) AJD]]/10</f>
        <v/>
      </c>
      <c r="AB14" s="3">
        <f>IF(TRIM(Z14)="",,(Z14-Z13)/1000)</f>
        <v/>
      </c>
      <c r="AC14" s="5" t="n"/>
      <c r="AD14" s="39">
        <f>(TABL12345[[#This Row],[( S/S+T/B) AJD]]*1000)-((TABL12345[[#This Row],[(STORGE DIFF.) AJD]]*1000)+TABL12345[[#This Row],[AJD_Evaporation]]+(TABL12345[[#This Row],[(A/B + A/S) AJD]]*1000))</f>
        <v/>
      </c>
      <c r="AE14" s="41" t="n"/>
      <c r="AF14" s="43" t="n"/>
      <c r="AG14" s="43" t="n"/>
      <c r="AH14" s="6">
        <f>TABL12345[[#This Row],[ (RESV. STORGE) BER]]/10</f>
        <v/>
      </c>
      <c r="AI14" s="41" t="n"/>
      <c r="AJ14" s="43">
        <f>TABL12345[[#This Row],[(A/B) AJD]]-TABL12345[[#This Row],[BER_IN]]</f>
        <v/>
      </c>
      <c r="AK14" s="43" t="n"/>
      <c r="AL14" s="43" t="n"/>
      <c r="AM14" s="32" t="n"/>
      <c r="AN14" s="32">
        <f>TABL12345[[#This Row],[ (RESV. STORGE) SER]]/10</f>
        <v/>
      </c>
      <c r="AO14" s="68" t="n"/>
      <c r="AP14" s="68">
        <f>TABL12345[[#This Row],[(A/S) AJD]]-TABL12345[[#This Row],[SER_IN]]</f>
        <v/>
      </c>
    </row>
    <row r="15" ht="18.75" customHeight="1">
      <c r="A15" s="2" t="n">
        <v>46766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TABL12345[[#This Row],[ (T/B) SAR]]+TABL12345[[#This Row],[ (S/S) SAR]]</f>
        <v/>
      </c>
      <c r="L15" s="45" t="n"/>
      <c r="M15" s="46" t="n"/>
      <c r="N15" s="46" t="n"/>
      <c r="O15" s="40" t="n"/>
      <c r="P15" s="3">
        <f>TABL12345[[#This Row],[ (S/S) SAR]]-TABL12345[[#This Row],[(S/S) AJD]]</f>
        <v/>
      </c>
      <c r="Q15" s="40" t="n"/>
      <c r="R15" s="3">
        <f>TABL12345[[#This Row],[ (T/B) SAR]]-TABL12345[[#This Row],[(T/B) AJD]]</f>
        <v/>
      </c>
      <c r="S15" s="3">
        <f>TABL12345[[#This Row],[S/S_CON.]]+TABL12345[[#This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TABL12345[[#This Row],[(RESV. STORGE) AJD]]/10</f>
        <v/>
      </c>
      <c r="AB15" s="3">
        <f>IF(TRIM(Z15)="",,(Z15-Z14)/1000)</f>
        <v/>
      </c>
      <c r="AC15" s="5" t="n"/>
      <c r="AD15" s="40">
        <f>(TABL12345[[#This Row],[( S/S+T/B) AJD]]*1000)-((TABL12345[[#This Row],[(STORGE DIFF.) AJD]]*1000)+TABL12345[[#This Row],[AJD_Evaporation]]+(TABL12345[[#This Row],[(A/B + A/S) AJD]]*1000))</f>
        <v/>
      </c>
      <c r="AE15" s="44" t="n"/>
      <c r="AF15" s="45" t="n"/>
      <c r="AG15" s="45" t="n"/>
      <c r="AH15" s="6">
        <f>TABL12345[[#This Row],[ (RESV. STORGE) BER]]/10</f>
        <v/>
      </c>
      <c r="AI15" s="44" t="n"/>
      <c r="AJ15" s="45">
        <f>TABL12345[[#This Row],[(A/B) AJD]]-TABL12345[[#This Row],[BER_IN]]</f>
        <v/>
      </c>
      <c r="AK15" s="45" t="n"/>
      <c r="AL15" s="45" t="n"/>
      <c r="AM15" s="32" t="n"/>
      <c r="AN15" s="32">
        <f>TABL12345[[#This Row],[ (RESV. STORGE) SER]]/10</f>
        <v/>
      </c>
      <c r="AO15" s="68" t="n"/>
      <c r="AP15" s="68">
        <f>TABL12345[[#This Row],[(A/S) AJD]]-TABL12345[[#This Row],[SER_IN]]</f>
        <v/>
      </c>
    </row>
    <row r="16" ht="18.75" customHeight="1">
      <c r="A16" s="2" t="n">
        <v>46767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TABL12345[[#This Row],[ (T/B) SAR]]+TABL12345[[#This Row],[ (S/S) SAR]]</f>
        <v/>
      </c>
      <c r="L16" s="41" t="n"/>
      <c r="M16" s="42" t="n"/>
      <c r="N16" s="42" t="n"/>
      <c r="O16" s="39" t="n"/>
      <c r="P16" s="3">
        <f>TABL12345[[#This Row],[ (S/S) SAR]]-TABL12345[[#This Row],[(S/S) AJD]]</f>
        <v/>
      </c>
      <c r="Q16" s="39" t="n"/>
      <c r="R16" s="3">
        <f>TABL12345[[#This Row],[ (T/B) SAR]]-TABL12345[[#This Row],[(T/B) AJD]]</f>
        <v/>
      </c>
      <c r="S16" s="3">
        <f>TABL12345[[#This Row],[S/S_CON.]]+TABL12345[[#This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TABL12345[[#This Row],[(RESV. STORGE) AJD]]/10</f>
        <v/>
      </c>
      <c r="AB16" s="3">
        <f>IF(TRIM(Z16)="",,(Z16-Z15)/1000)</f>
        <v/>
      </c>
      <c r="AC16" s="5" t="n"/>
      <c r="AD16" s="39">
        <f>(TABL12345[[#This Row],[( S/S+T/B) AJD]]*1000)-((TABL12345[[#This Row],[(STORGE DIFF.) AJD]]*1000)+TABL12345[[#This Row],[AJD_Evaporation]]+(TABL12345[[#This Row],[(A/B + A/S) AJD]]*1000))</f>
        <v/>
      </c>
      <c r="AE16" s="41" t="n"/>
      <c r="AF16" s="43" t="n"/>
      <c r="AG16" s="43" t="n"/>
      <c r="AH16" s="6">
        <f>TABL12345[[#This Row],[ (RESV. STORGE) BER]]/10</f>
        <v/>
      </c>
      <c r="AI16" s="41" t="n"/>
      <c r="AJ16" s="43">
        <f>TABL12345[[#This Row],[(A/B) AJD]]-TABL12345[[#This Row],[BER_IN]]</f>
        <v/>
      </c>
      <c r="AK16" s="43" t="n"/>
      <c r="AL16" s="43" t="n"/>
      <c r="AM16" s="32" t="n"/>
      <c r="AN16" s="32">
        <f>TABL12345[[#This Row],[ (RESV. STORGE) SER]]/10</f>
        <v/>
      </c>
      <c r="AO16" s="68" t="n"/>
      <c r="AP16" s="68">
        <f>TABL12345[[#This Row],[(A/S) AJD]]-TABL12345[[#This Row],[SER_IN]]</f>
        <v/>
      </c>
    </row>
    <row r="17" ht="18.75" customHeight="1">
      <c r="A17" s="2" t="n">
        <v>46768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TABL12345[[#This Row],[ (T/B) SAR]]+TABL12345[[#This Row],[ (S/S) SAR]]</f>
        <v/>
      </c>
      <c r="L17" s="45" t="n"/>
      <c r="M17" s="46" t="n"/>
      <c r="N17" s="46" t="n"/>
      <c r="O17" s="40" t="n"/>
      <c r="P17" s="3">
        <f>TABL12345[[#This Row],[ (S/S) SAR]]-TABL12345[[#This Row],[(S/S) AJD]]</f>
        <v/>
      </c>
      <c r="Q17" s="40" t="n"/>
      <c r="R17" s="3">
        <f>TABL12345[[#This Row],[ (T/B) SAR]]-TABL12345[[#This Row],[(T/B) AJD]]</f>
        <v/>
      </c>
      <c r="S17" s="3">
        <f>TABL12345[[#This Row],[S/S_CON.]]+TABL12345[[#This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TABL12345[[#This Row],[(RESV. STORGE) AJD]]/10</f>
        <v/>
      </c>
      <c r="AB17" s="3">
        <f>IF(TRIM(Z17)="",,(Z17-Z16)/1000)</f>
        <v/>
      </c>
      <c r="AC17" s="5" t="n"/>
      <c r="AD17" s="40">
        <f>(TABL12345[[#This Row],[( S/S+T/B) AJD]]*1000)-((TABL12345[[#This Row],[(STORGE DIFF.) AJD]]*1000)+TABL12345[[#This Row],[AJD_Evaporation]]+(TABL12345[[#This Row],[(A/B + A/S) AJD]]*1000))</f>
        <v/>
      </c>
      <c r="AE17" s="44" t="n"/>
      <c r="AF17" s="45" t="n"/>
      <c r="AG17" s="45" t="n"/>
      <c r="AH17" s="6">
        <f>TABL12345[[#This Row],[ (RESV. STORGE) BER]]/10</f>
        <v/>
      </c>
      <c r="AI17" s="44" t="n"/>
      <c r="AJ17" s="45">
        <f>TABL12345[[#This Row],[(A/B) AJD]]-TABL12345[[#This Row],[BER_IN]]</f>
        <v/>
      </c>
      <c r="AK17" s="45" t="n"/>
      <c r="AL17" s="45" t="n"/>
      <c r="AM17" s="32" t="n"/>
      <c r="AN17" s="32">
        <f>TABL12345[[#This Row],[ (RESV. STORGE) SER]]/10</f>
        <v/>
      </c>
      <c r="AO17" s="68" t="n"/>
      <c r="AP17" s="68">
        <f>TABL12345[[#This Row],[(A/S) AJD]]-TABL12345[[#This Row],[SER_IN]]</f>
        <v/>
      </c>
    </row>
    <row r="18" ht="18.75" customHeight="1">
      <c r="A18" s="2" t="n">
        <v>46769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TABL12345[[#This Row],[ (T/B) SAR]]+TABL12345[[#This Row],[ (S/S) SAR]]</f>
        <v/>
      </c>
      <c r="L18" s="41" t="n"/>
      <c r="M18" s="42" t="n"/>
      <c r="N18" s="42" t="n"/>
      <c r="O18" s="39" t="n"/>
      <c r="P18" s="3">
        <f>TABL12345[[#This Row],[ (S/S) SAR]]-TABL12345[[#This Row],[(S/S) AJD]]</f>
        <v/>
      </c>
      <c r="Q18" s="39" t="n"/>
      <c r="R18" s="3">
        <f>TABL12345[[#This Row],[ (T/B) SAR]]-TABL12345[[#This Row],[(T/B) AJD]]</f>
        <v/>
      </c>
      <c r="S18" s="3">
        <f>TABL12345[[#This Row],[S/S_CON.]]+TABL12345[[#This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TABL12345[[#This Row],[(RESV. STORGE) AJD]]/10</f>
        <v/>
      </c>
      <c r="AB18" s="3">
        <f>IF(TRIM(Z18)="",,(Z18-Z17)/1000)</f>
        <v/>
      </c>
      <c r="AC18" s="5" t="n"/>
      <c r="AD18" s="39">
        <f>(TABL12345[[#This Row],[( S/S+T/B) AJD]]*1000)-((TABL12345[[#This Row],[(STORGE DIFF.) AJD]]*1000)+TABL12345[[#This Row],[AJD_Evaporation]]+(TABL12345[[#This Row],[(A/B + A/S) AJD]]*1000))</f>
        <v/>
      </c>
      <c r="AE18" s="41" t="n"/>
      <c r="AF18" s="43" t="n"/>
      <c r="AG18" s="43" t="n"/>
      <c r="AH18" s="6">
        <f>TABL12345[[#This Row],[ (RESV. STORGE) BER]]/10</f>
        <v/>
      </c>
      <c r="AI18" s="41" t="n"/>
      <c r="AJ18" s="43">
        <f>TABL12345[[#This Row],[(A/B) AJD]]-TABL12345[[#This Row],[BER_IN]]</f>
        <v/>
      </c>
      <c r="AK18" s="43" t="n"/>
      <c r="AL18" s="43" t="n"/>
      <c r="AM18" s="32" t="n"/>
      <c r="AN18" s="32">
        <f>TABL12345[[#This Row],[ (RESV. STORGE) SER]]/10</f>
        <v/>
      </c>
      <c r="AO18" s="68" t="n"/>
      <c r="AP18" s="68">
        <f>TABL12345[[#This Row],[(A/S) AJD]]-TABL12345[[#This Row],[SER_IN]]</f>
        <v/>
      </c>
    </row>
    <row r="19" ht="18.75" customHeight="1">
      <c r="A19" s="2" t="n">
        <v>46770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TABL12345[[#This Row],[ (T/B) SAR]]+TABL12345[[#This Row],[ (S/S) SAR]]</f>
        <v/>
      </c>
      <c r="L19" s="45" t="n"/>
      <c r="M19" s="46" t="n"/>
      <c r="N19" s="46" t="n"/>
      <c r="O19" s="40" t="n"/>
      <c r="P19" s="3">
        <f>TABL12345[[#This Row],[ (S/S) SAR]]-TABL12345[[#This Row],[(S/S) AJD]]</f>
        <v/>
      </c>
      <c r="Q19" s="40" t="n"/>
      <c r="R19" s="3">
        <f>TABL12345[[#This Row],[ (T/B) SAR]]-TABL12345[[#This Row],[(T/B) AJD]]</f>
        <v/>
      </c>
      <c r="S19" s="3">
        <f>TABL12345[[#This Row],[S/S_CON.]]+TABL12345[[#This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TABL12345[[#This Row],[(RESV. STORGE) AJD]]/10</f>
        <v/>
      </c>
      <c r="AB19" s="3">
        <f>IF(TRIM(Z19)="",,(Z19-Z18)/1000)</f>
        <v/>
      </c>
      <c r="AC19" s="5" t="n"/>
      <c r="AD19" s="40">
        <f>(TABL12345[[#This Row],[( S/S+T/B) AJD]]*1000)-((TABL12345[[#This Row],[(STORGE DIFF.) AJD]]*1000)+TABL12345[[#This Row],[AJD_Evaporation]]+(TABL12345[[#This Row],[(A/B + A/S) AJD]]*1000))</f>
        <v/>
      </c>
      <c r="AE19" s="44" t="n"/>
      <c r="AF19" s="45" t="n"/>
      <c r="AG19" s="45" t="n"/>
      <c r="AH19" s="6">
        <f>TABL12345[[#This Row],[ (RESV. STORGE) BER]]/10</f>
        <v/>
      </c>
      <c r="AI19" s="44" t="n"/>
      <c r="AJ19" s="45">
        <f>TABL12345[[#This Row],[(A/B) AJD]]-TABL12345[[#This Row],[BER_IN]]</f>
        <v/>
      </c>
      <c r="AK19" s="45" t="n"/>
      <c r="AL19" s="45" t="n"/>
      <c r="AM19" s="32" t="n"/>
      <c r="AN19" s="32">
        <f>TABL12345[[#This Row],[ (RESV. STORGE) SER]]/10</f>
        <v/>
      </c>
      <c r="AO19" s="68" t="n"/>
      <c r="AP19" s="68">
        <f>TABL12345[[#This Row],[(A/S) AJD]]-TABL12345[[#This Row],[SER_IN]]</f>
        <v/>
      </c>
    </row>
    <row r="20" ht="18.75" customHeight="1">
      <c r="A20" s="2" t="n">
        <v>46771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TABL12345[[#This Row],[ (T/B) SAR]]+TABL12345[[#This Row],[ (S/S) SAR]]</f>
        <v/>
      </c>
      <c r="L20" s="41" t="n"/>
      <c r="M20" s="42" t="n"/>
      <c r="N20" s="42" t="n"/>
      <c r="O20" s="39" t="n"/>
      <c r="P20" s="3">
        <f>TABL12345[[#This Row],[ (S/S) SAR]]-TABL12345[[#This Row],[(S/S) AJD]]</f>
        <v/>
      </c>
      <c r="Q20" s="39" t="n"/>
      <c r="R20" s="3">
        <f>TABL12345[[#This Row],[ (T/B) SAR]]-TABL12345[[#This Row],[(T/B) AJD]]</f>
        <v/>
      </c>
      <c r="S20" s="3">
        <f>TABL12345[[#This Row],[S/S_CON.]]+TABL12345[[#This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TABL12345[[#This Row],[(RESV. STORGE) AJD]]/10</f>
        <v/>
      </c>
      <c r="AB20" s="3">
        <f>IF(TRIM(Z20)="",,(Z20-Z19)/1000)</f>
        <v/>
      </c>
      <c r="AC20" s="5" t="n"/>
      <c r="AD20" s="39">
        <f>(TABL12345[[#This Row],[( S/S+T/B) AJD]]*1000)-((TABL12345[[#This Row],[(STORGE DIFF.) AJD]]*1000)+TABL12345[[#This Row],[AJD_Evaporation]]+(TABL12345[[#This Row],[(A/B + A/S) AJD]]*1000))</f>
        <v/>
      </c>
      <c r="AE20" s="41" t="n"/>
      <c r="AF20" s="43" t="n"/>
      <c r="AG20" s="43" t="n"/>
      <c r="AH20" s="6">
        <f>TABL12345[[#This Row],[ (RESV. STORGE) BER]]/10</f>
        <v/>
      </c>
      <c r="AI20" s="41" t="n"/>
      <c r="AJ20" s="43">
        <f>TABL12345[[#This Row],[(A/B) AJD]]-TABL12345[[#This Row],[BER_IN]]</f>
        <v/>
      </c>
      <c r="AK20" s="43" t="n"/>
      <c r="AL20" s="43" t="n"/>
      <c r="AM20" s="32" t="n"/>
      <c r="AN20" s="32">
        <f>TABL12345[[#This Row],[ (RESV. STORGE) SER]]/10</f>
        <v/>
      </c>
      <c r="AO20" s="68" t="n"/>
      <c r="AP20" s="68">
        <f>TABL12345[[#This Row],[(A/S) AJD]]-TABL12345[[#This Row],[SER_IN]]</f>
        <v/>
      </c>
    </row>
    <row r="21" ht="18.75" customHeight="1">
      <c r="A21" s="2" t="n">
        <v>46772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TABL12345[[#This Row],[ (T/B) SAR]]+TABL12345[[#This Row],[ (S/S) SAR]]</f>
        <v/>
      </c>
      <c r="L21" s="45" t="n"/>
      <c r="M21" s="46" t="n"/>
      <c r="N21" s="46" t="n"/>
      <c r="O21" s="40" t="n"/>
      <c r="P21" s="3">
        <f>TABL12345[[#This Row],[ (S/S) SAR]]-TABL12345[[#This Row],[(S/S) AJD]]</f>
        <v/>
      </c>
      <c r="Q21" s="40" t="n"/>
      <c r="R21" s="3">
        <f>TABL12345[[#This Row],[ (T/B) SAR]]-TABL12345[[#This Row],[(T/B) AJD]]</f>
        <v/>
      </c>
      <c r="S21" s="3">
        <f>TABL12345[[#This Row],[S/S_CON.]]+TABL12345[[#This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TABL12345[[#This Row],[(RESV. STORGE) AJD]]/10</f>
        <v/>
      </c>
      <c r="AB21" s="3">
        <f>IF(TRIM(Z21)="",,(Z21-Z20)/1000)</f>
        <v/>
      </c>
      <c r="AC21" s="5" t="n"/>
      <c r="AD21" s="40">
        <f>(TABL12345[[#This Row],[( S/S+T/B) AJD]]*1000)-((TABL12345[[#This Row],[(STORGE DIFF.) AJD]]*1000)+TABL12345[[#This Row],[AJD_Evaporation]]+(TABL12345[[#This Row],[(A/B + A/S) AJD]]*1000))</f>
        <v/>
      </c>
      <c r="AE21" s="44" t="n"/>
      <c r="AF21" s="45" t="n"/>
      <c r="AG21" s="45" t="n"/>
      <c r="AH21" s="6">
        <f>TABL12345[[#This Row],[ (RESV. STORGE) BER]]/10</f>
        <v/>
      </c>
      <c r="AI21" s="44" t="n"/>
      <c r="AJ21" s="45">
        <f>TABL12345[[#This Row],[(A/B) AJD]]-TABL12345[[#This Row],[BER_IN]]</f>
        <v/>
      </c>
      <c r="AK21" s="45" t="n"/>
      <c r="AL21" s="45" t="n"/>
      <c r="AM21" s="32" t="n"/>
      <c r="AN21" s="32">
        <f>TABL12345[[#This Row],[ (RESV. STORGE) SER]]/10</f>
        <v/>
      </c>
      <c r="AO21" s="68" t="n"/>
      <c r="AP21" s="68">
        <f>TABL12345[[#This Row],[(A/S) AJD]]-TABL12345[[#This Row],[SER_IN]]</f>
        <v/>
      </c>
    </row>
    <row r="22" ht="18.75" customHeight="1">
      <c r="A22" s="2" t="n">
        <v>46773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TABL12345[[#This Row],[ (T/B) SAR]]+TABL12345[[#This Row],[ (S/S) SAR]]</f>
        <v/>
      </c>
      <c r="L22" s="41" t="n"/>
      <c r="M22" s="42" t="n"/>
      <c r="N22" s="42" t="n"/>
      <c r="O22" s="39" t="n"/>
      <c r="P22" s="3">
        <f>TABL12345[[#This Row],[ (S/S) SAR]]-TABL12345[[#This Row],[(S/S) AJD]]</f>
        <v/>
      </c>
      <c r="Q22" s="39" t="n"/>
      <c r="R22" s="3">
        <f>TABL12345[[#This Row],[ (T/B) SAR]]-TABL12345[[#This Row],[(T/B) AJD]]</f>
        <v/>
      </c>
      <c r="S22" s="3">
        <f>TABL12345[[#This Row],[S/S_CON.]]+TABL12345[[#This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TABL12345[[#This Row],[(RESV. STORGE) AJD]]/10</f>
        <v/>
      </c>
      <c r="AB22" s="3">
        <f>IF(TRIM(Z22)="",,(Z22-Z21)/1000)</f>
        <v/>
      </c>
      <c r="AC22" s="5" t="n"/>
      <c r="AD22" s="39">
        <f>(TABL12345[[#This Row],[( S/S+T/B) AJD]]*1000)-((TABL12345[[#This Row],[(STORGE DIFF.) AJD]]*1000)+TABL12345[[#This Row],[AJD_Evaporation]]+(TABL12345[[#This Row],[(A/B + A/S) AJD]]*1000))</f>
        <v/>
      </c>
      <c r="AE22" s="41" t="n"/>
      <c r="AF22" s="43" t="n"/>
      <c r="AG22" s="43" t="n"/>
      <c r="AH22" s="6">
        <f>TABL12345[[#This Row],[ (RESV. STORGE) BER]]/10</f>
        <v/>
      </c>
      <c r="AI22" s="41" t="n"/>
      <c r="AJ22" s="43">
        <f>TABL12345[[#This Row],[(A/B) AJD]]-TABL12345[[#This Row],[BER_IN]]</f>
        <v/>
      </c>
      <c r="AK22" s="43" t="n"/>
      <c r="AL22" s="43" t="n"/>
      <c r="AM22" s="32" t="n"/>
      <c r="AN22" s="32">
        <f>TABL12345[[#This Row],[ (RESV. STORGE) SER]]/10</f>
        <v/>
      </c>
      <c r="AO22" s="68" t="n"/>
      <c r="AP22" s="68">
        <f>TABL12345[[#This Row],[(A/S) AJD]]-TABL12345[[#This Row],[SER_IN]]</f>
        <v/>
      </c>
    </row>
    <row r="23" ht="18.75" customHeight="1">
      <c r="A23" s="2" t="n">
        <v>46774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TABL12345[[#This Row],[ (T/B) SAR]]+TABL12345[[#This Row],[ (S/S) SAR]]</f>
        <v/>
      </c>
      <c r="L23" s="45" t="n"/>
      <c r="M23" s="46" t="n"/>
      <c r="N23" s="46" t="n"/>
      <c r="O23" s="40" t="n"/>
      <c r="P23" s="3">
        <f>TABL12345[[#This Row],[ (S/S) SAR]]-TABL12345[[#This Row],[(S/S) AJD]]</f>
        <v/>
      </c>
      <c r="Q23" s="40" t="n"/>
      <c r="R23" s="3">
        <f>TABL12345[[#This Row],[ (T/B) SAR]]-TABL12345[[#This Row],[(T/B) AJD]]</f>
        <v/>
      </c>
      <c r="S23" s="3">
        <f>TABL12345[[#This Row],[S/S_CON.]]+TABL12345[[#This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TABL12345[[#This Row],[(RESV. STORGE) AJD]]/10</f>
        <v/>
      </c>
      <c r="AB23" s="3">
        <f>IF(TRIM(Z23)="",,(Z23-Z22)/1000)</f>
        <v/>
      </c>
      <c r="AC23" s="5" t="n"/>
      <c r="AD23" s="40">
        <f>(TABL12345[[#This Row],[( S/S+T/B) AJD]]*1000)-((TABL12345[[#This Row],[(STORGE DIFF.) AJD]]*1000)+TABL12345[[#This Row],[AJD_Evaporation]]+(TABL12345[[#This Row],[(A/B + A/S) AJD]]*1000))</f>
        <v/>
      </c>
      <c r="AE23" s="44" t="n"/>
      <c r="AF23" s="45" t="n"/>
      <c r="AG23" s="45" t="n"/>
      <c r="AH23" s="6">
        <f>TABL12345[[#This Row],[ (RESV. STORGE) BER]]/10</f>
        <v/>
      </c>
      <c r="AI23" s="44" t="n"/>
      <c r="AJ23" s="45">
        <f>TABL12345[[#This Row],[(A/B) AJD]]-TABL12345[[#This Row],[BER_IN]]</f>
        <v/>
      </c>
      <c r="AK23" s="45" t="n"/>
      <c r="AL23" s="45" t="n"/>
      <c r="AM23" s="32" t="n"/>
      <c r="AN23" s="32">
        <f>TABL12345[[#This Row],[ (RESV. STORGE) SER]]/10</f>
        <v/>
      </c>
      <c r="AO23" s="68" t="n"/>
      <c r="AP23" s="68">
        <f>TABL12345[[#This Row],[(A/S) AJD]]-TABL12345[[#This Row],[SER_IN]]</f>
        <v/>
      </c>
    </row>
    <row r="24" ht="18.75" customHeight="1">
      <c r="A24" s="2" t="n">
        <v>46775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TABL12345[[#This Row],[ (T/B) SAR]]+TABL12345[[#This Row],[ (S/S) SAR]]</f>
        <v/>
      </c>
      <c r="L24" s="41" t="n"/>
      <c r="M24" s="42" t="n"/>
      <c r="N24" s="42" t="n"/>
      <c r="O24" s="39" t="n"/>
      <c r="P24" s="3">
        <f>TABL12345[[#This Row],[ (S/S) SAR]]-TABL12345[[#This Row],[(S/S) AJD]]</f>
        <v/>
      </c>
      <c r="Q24" s="39" t="n"/>
      <c r="R24" s="3">
        <f>TABL12345[[#This Row],[ (T/B) SAR]]-TABL12345[[#This Row],[(T/B) AJD]]</f>
        <v/>
      </c>
      <c r="S24" s="3">
        <f>TABL12345[[#This Row],[S/S_CON.]]+TABL12345[[#This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TABL12345[[#This Row],[(RESV. STORGE) AJD]]/10</f>
        <v/>
      </c>
      <c r="AB24" s="3">
        <f>IF(TRIM(Z24)="",,(Z24-Z23)/1000)</f>
        <v/>
      </c>
      <c r="AC24" s="5" t="n"/>
      <c r="AD24" s="39">
        <f>(TABL12345[[#This Row],[( S/S+T/B) AJD]]*1000)-((TABL12345[[#This Row],[(STORGE DIFF.) AJD]]*1000)+TABL12345[[#This Row],[AJD_Evaporation]]+(TABL12345[[#This Row],[(A/B + A/S) AJD]]*1000))</f>
        <v/>
      </c>
      <c r="AE24" s="41" t="n"/>
      <c r="AF24" s="43" t="n"/>
      <c r="AG24" s="43" t="n"/>
      <c r="AH24" s="6">
        <f>TABL12345[[#This Row],[ (RESV. STORGE) BER]]/10</f>
        <v/>
      </c>
      <c r="AI24" s="41" t="n"/>
      <c r="AJ24" s="43">
        <f>TABL12345[[#This Row],[(A/B) AJD]]-TABL12345[[#This Row],[BER_IN]]</f>
        <v/>
      </c>
      <c r="AK24" s="43" t="n"/>
      <c r="AL24" s="43" t="n"/>
      <c r="AM24" s="32" t="n"/>
      <c r="AN24" s="32">
        <f>TABL12345[[#This Row],[ (RESV. STORGE) SER]]/10</f>
        <v/>
      </c>
      <c r="AO24" s="68" t="n"/>
      <c r="AP24" s="68">
        <f>TABL12345[[#This Row],[(A/S) AJD]]-TABL12345[[#This Row],[SER_IN]]</f>
        <v/>
      </c>
    </row>
    <row r="25" ht="18.75" customHeight="1">
      <c r="A25" s="2" t="n">
        <v>46776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TABL12345[[#This Row],[ (T/B) SAR]]+TABL12345[[#This Row],[ (S/S) SAR]]</f>
        <v/>
      </c>
      <c r="L25" s="45" t="n"/>
      <c r="M25" s="46" t="n"/>
      <c r="N25" s="46" t="n"/>
      <c r="O25" s="40" t="n"/>
      <c r="P25" s="3">
        <f>TABL12345[[#This Row],[ (S/S) SAR]]-TABL12345[[#This Row],[(S/S) AJD]]</f>
        <v/>
      </c>
      <c r="Q25" s="40" t="n"/>
      <c r="R25" s="3">
        <f>TABL12345[[#This Row],[ (T/B) SAR]]-TABL12345[[#This Row],[(T/B) AJD]]</f>
        <v/>
      </c>
      <c r="S25" s="3">
        <f>TABL12345[[#This Row],[S/S_CON.]]+TABL12345[[#This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TABL12345[[#This Row],[(RESV. STORGE) AJD]]/10</f>
        <v/>
      </c>
      <c r="AB25" s="3">
        <f>IF(TRIM(Z25)="",,(Z25-Z24)/1000)</f>
        <v/>
      </c>
      <c r="AC25" s="5" t="n"/>
      <c r="AD25" s="40">
        <f>(TABL12345[[#This Row],[( S/S+T/B) AJD]]*1000)-((TABL12345[[#This Row],[(STORGE DIFF.) AJD]]*1000)+TABL12345[[#This Row],[AJD_Evaporation]]+(TABL12345[[#This Row],[(A/B + A/S) AJD]]*1000))</f>
        <v/>
      </c>
      <c r="AE25" s="44" t="n"/>
      <c r="AF25" s="45" t="n"/>
      <c r="AG25" s="45" t="n"/>
      <c r="AH25" s="6">
        <f>TABL12345[[#This Row],[ (RESV. STORGE) BER]]/10</f>
        <v/>
      </c>
      <c r="AI25" s="44" t="n"/>
      <c r="AJ25" s="45">
        <f>TABL12345[[#This Row],[(A/B) AJD]]-TABL12345[[#This Row],[BER_IN]]</f>
        <v/>
      </c>
      <c r="AK25" s="45" t="n"/>
      <c r="AL25" s="45" t="n"/>
      <c r="AM25" s="32" t="n"/>
      <c r="AN25" s="32">
        <f>TABL12345[[#This Row],[ (RESV. STORGE) SER]]/10</f>
        <v/>
      </c>
      <c r="AO25" s="68" t="n"/>
      <c r="AP25" s="68">
        <f>TABL12345[[#This Row],[(A/S) AJD]]-TABL12345[[#This Row],[SER_IN]]</f>
        <v/>
      </c>
    </row>
    <row r="26" ht="18.75" customHeight="1">
      <c r="A26" s="2" t="n">
        <v>46777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TABL12345[[#This Row],[ (T/B) SAR]]+TABL12345[[#This Row],[ (S/S) SAR]]</f>
        <v/>
      </c>
      <c r="L26" s="41" t="n"/>
      <c r="M26" s="42" t="n"/>
      <c r="N26" s="42" t="n"/>
      <c r="O26" s="39" t="n"/>
      <c r="P26" s="3">
        <f>TABL12345[[#This Row],[ (S/S) SAR]]-TABL12345[[#This Row],[(S/S) AJD]]</f>
        <v/>
      </c>
      <c r="Q26" s="39" t="n"/>
      <c r="R26" s="3">
        <f>TABL12345[[#This Row],[ (T/B) SAR]]-TABL12345[[#This Row],[(T/B) AJD]]</f>
        <v/>
      </c>
      <c r="S26" s="3">
        <f>TABL12345[[#This Row],[S/S_CON.]]+TABL12345[[#This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TABL12345[[#This Row],[(RESV. STORGE) AJD]]/10</f>
        <v/>
      </c>
      <c r="AB26" s="3">
        <f>IF(TRIM(Z26)="",,(Z26-Z25)/1000)</f>
        <v/>
      </c>
      <c r="AC26" s="5" t="n"/>
      <c r="AD26" s="39">
        <f>(TABL12345[[#This Row],[( S/S+T/B) AJD]]*1000)-((TABL12345[[#This Row],[(STORGE DIFF.) AJD]]*1000)+TABL12345[[#This Row],[AJD_Evaporation]]+(TABL12345[[#This Row],[(A/B + A/S) AJD]]*1000))</f>
        <v/>
      </c>
      <c r="AE26" s="41" t="n"/>
      <c r="AF26" s="43" t="n"/>
      <c r="AG26" s="43" t="n"/>
      <c r="AH26" s="6">
        <f>TABL12345[[#This Row],[ (RESV. STORGE) BER]]/10</f>
        <v/>
      </c>
      <c r="AI26" s="41" t="n"/>
      <c r="AJ26" s="43">
        <f>TABL12345[[#This Row],[(A/B) AJD]]-TABL12345[[#This Row],[BER_IN]]</f>
        <v/>
      </c>
      <c r="AK26" s="43" t="n"/>
      <c r="AL26" s="43" t="n"/>
      <c r="AM26" s="32" t="n"/>
      <c r="AN26" s="32">
        <f>TABL12345[[#This Row],[ (RESV. STORGE) SER]]/10</f>
        <v/>
      </c>
      <c r="AO26" s="68" t="n"/>
      <c r="AP26" s="68">
        <f>TABL12345[[#This Row],[(A/S) AJD]]-TABL12345[[#This Row],[SER_IN]]</f>
        <v/>
      </c>
    </row>
    <row r="27" ht="18.75" customHeight="1">
      <c r="A27" s="2" t="n">
        <v>46778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TABL12345[[#This Row],[ (T/B) SAR]]+TABL12345[[#This Row],[ (S/S) SAR]]</f>
        <v/>
      </c>
      <c r="L27" s="45" t="n"/>
      <c r="M27" s="46" t="n"/>
      <c r="N27" s="46" t="n"/>
      <c r="O27" s="40" t="n"/>
      <c r="P27" s="3">
        <f>TABL12345[[#This Row],[ (S/S) SAR]]-TABL12345[[#This Row],[(S/S) AJD]]</f>
        <v/>
      </c>
      <c r="Q27" s="40" t="n"/>
      <c r="R27" s="3">
        <f>TABL12345[[#This Row],[ (T/B) SAR]]-TABL12345[[#This Row],[(T/B) AJD]]</f>
        <v/>
      </c>
      <c r="S27" s="3">
        <f>TABL12345[[#This Row],[S/S_CON.]]+TABL12345[[#This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TABL12345[[#This Row],[(RESV. STORGE) AJD]]/10</f>
        <v/>
      </c>
      <c r="AB27" s="3">
        <f>IF(TRIM(Z27)="",,(Z27-Z26)/1000)</f>
        <v/>
      </c>
      <c r="AC27" s="5" t="n"/>
      <c r="AD27" s="40">
        <f>(TABL12345[[#This Row],[( S/S+T/B) AJD]]*1000)-((TABL12345[[#This Row],[(STORGE DIFF.) AJD]]*1000)+TABL12345[[#This Row],[AJD_Evaporation]]+(TABL12345[[#This Row],[(A/B + A/S) AJD]]*1000))</f>
        <v/>
      </c>
      <c r="AE27" s="44" t="n"/>
      <c r="AF27" s="45" t="n"/>
      <c r="AG27" s="45" t="n"/>
      <c r="AH27" s="6">
        <f>TABL12345[[#This Row],[ (RESV. STORGE) BER]]/10</f>
        <v/>
      </c>
      <c r="AI27" s="44" t="n"/>
      <c r="AJ27" s="45">
        <f>TABL12345[[#This Row],[(A/B) AJD]]-TABL12345[[#This Row],[BER_IN]]</f>
        <v/>
      </c>
      <c r="AK27" s="45" t="n"/>
      <c r="AL27" s="45" t="n"/>
      <c r="AM27" s="32" t="n"/>
      <c r="AN27" s="32">
        <f>TABL12345[[#This Row],[ (RESV. STORGE) SER]]/10</f>
        <v/>
      </c>
      <c r="AO27" s="68" t="n"/>
      <c r="AP27" s="68">
        <f>TABL12345[[#This Row],[(A/S) AJD]]-TABL12345[[#This Row],[SER_IN]]</f>
        <v/>
      </c>
    </row>
    <row r="28" ht="18.75" customHeight="1">
      <c r="A28" s="2" t="n">
        <v>46779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TABL12345[[#This Row],[ (T/B) SAR]]+TABL12345[[#This Row],[ (S/S) SAR]]</f>
        <v/>
      </c>
      <c r="L28" s="41" t="n"/>
      <c r="M28" s="42" t="n"/>
      <c r="N28" s="42" t="n"/>
      <c r="O28" s="39" t="n"/>
      <c r="P28" s="3">
        <f>TABL12345[[#This Row],[ (S/S) SAR]]-TABL12345[[#This Row],[(S/S) AJD]]</f>
        <v/>
      </c>
      <c r="Q28" s="39" t="n"/>
      <c r="R28" s="3">
        <f>TABL12345[[#This Row],[ (T/B) SAR]]-TABL12345[[#This Row],[(T/B) AJD]]</f>
        <v/>
      </c>
      <c r="S28" s="3">
        <f>TABL12345[[#This Row],[S/S_CON.]]+TABL12345[[#This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TABL12345[[#This Row],[(RESV. STORGE) AJD]]/10</f>
        <v/>
      </c>
      <c r="AB28" s="3">
        <f>IF(TRIM(Z28)="",,(Z28-Z27)/1000)</f>
        <v/>
      </c>
      <c r="AC28" s="5" t="n"/>
      <c r="AD28" s="39">
        <f>(TABL12345[[#This Row],[( S/S+T/B) AJD]]*1000)-((TABL12345[[#This Row],[(STORGE DIFF.) AJD]]*1000)+TABL12345[[#This Row],[AJD_Evaporation]]+(TABL12345[[#This Row],[(A/B + A/S) AJD]]*1000))</f>
        <v/>
      </c>
      <c r="AE28" s="41" t="n"/>
      <c r="AF28" s="43" t="n"/>
      <c r="AG28" s="43" t="n"/>
      <c r="AH28" s="6">
        <f>TABL12345[[#This Row],[ (RESV. STORGE) BER]]/10</f>
        <v/>
      </c>
      <c r="AI28" s="41" t="n"/>
      <c r="AJ28" s="43">
        <f>TABL12345[[#This Row],[(A/B) AJD]]-TABL12345[[#This Row],[BER_IN]]</f>
        <v/>
      </c>
      <c r="AK28" s="43" t="n"/>
      <c r="AL28" s="43" t="n"/>
      <c r="AM28" s="32" t="n"/>
      <c r="AN28" s="32">
        <f>TABL12345[[#This Row],[ (RESV. STORGE) SER]]/10</f>
        <v/>
      </c>
      <c r="AO28" s="68" t="n"/>
      <c r="AP28" s="68">
        <f>TABL12345[[#This Row],[(A/S) AJD]]-TABL12345[[#This Row],[SER_IN]]</f>
        <v/>
      </c>
    </row>
    <row r="29" ht="18.75" customHeight="1">
      <c r="A29" s="2" t="n">
        <v>46780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TABL12345[[#This Row],[ (T/B) SAR]]+TABL12345[[#This Row],[ (S/S) SAR]]</f>
        <v/>
      </c>
      <c r="L29" s="45" t="n"/>
      <c r="M29" s="46" t="n"/>
      <c r="N29" s="46" t="n"/>
      <c r="O29" s="40" t="n"/>
      <c r="P29" s="3">
        <f>TABL12345[[#This Row],[ (S/S) SAR]]-TABL12345[[#This Row],[(S/S) AJD]]</f>
        <v/>
      </c>
      <c r="Q29" s="40" t="n"/>
      <c r="R29" s="3">
        <f>TABL12345[[#This Row],[ (T/B) SAR]]-TABL12345[[#This Row],[(T/B) AJD]]</f>
        <v/>
      </c>
      <c r="S29" s="3">
        <f>TABL12345[[#This Row],[S/S_CON.]]+TABL12345[[#This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TABL12345[[#This Row],[(RESV. STORGE) AJD]]/10</f>
        <v/>
      </c>
      <c r="AB29" s="3">
        <f>IF(TRIM(Z29)="",,(Z29-Z28)/1000)</f>
        <v/>
      </c>
      <c r="AC29" s="5" t="n"/>
      <c r="AD29" s="40">
        <f>(TABL12345[[#This Row],[( S/S+T/B) AJD]]*1000)-((TABL12345[[#This Row],[(STORGE DIFF.) AJD]]*1000)+TABL12345[[#This Row],[AJD_Evaporation]]+(TABL12345[[#This Row],[(A/B + A/S) AJD]]*1000))</f>
        <v/>
      </c>
      <c r="AE29" s="44" t="n"/>
      <c r="AF29" s="45" t="n"/>
      <c r="AG29" s="45" t="n"/>
      <c r="AH29" s="6">
        <f>TABL12345[[#This Row],[ (RESV. STORGE) BER]]/10</f>
        <v/>
      </c>
      <c r="AI29" s="44" t="n"/>
      <c r="AJ29" s="45">
        <f>TABL12345[[#This Row],[(A/B) AJD]]-TABL12345[[#This Row],[BER_IN]]</f>
        <v/>
      </c>
      <c r="AK29" s="45" t="n"/>
      <c r="AL29" s="45" t="n"/>
      <c r="AM29" s="32" t="n"/>
      <c r="AN29" s="32">
        <f>TABL12345[[#This Row],[ (RESV. STORGE) SER]]/10</f>
        <v/>
      </c>
      <c r="AO29" s="68" t="n"/>
      <c r="AP29" s="68">
        <f>TABL12345[[#This Row],[(A/S) AJD]]-TABL12345[[#This Row],[SER_IN]]</f>
        <v/>
      </c>
    </row>
    <row r="30" ht="18.75" customHeight="1">
      <c r="A30" s="2" t="n">
        <v>46781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TABL12345[[#This Row],[ (T/B) SAR]]+TABL12345[[#This Row],[ (S/S) SAR]]</f>
        <v/>
      </c>
      <c r="L30" s="41" t="n"/>
      <c r="M30" s="42" t="n"/>
      <c r="N30" s="42" t="n"/>
      <c r="O30" s="39" t="n"/>
      <c r="P30" s="3">
        <f>TABL12345[[#This Row],[ (S/S) SAR]]-TABL12345[[#This Row],[(S/S) AJD]]</f>
        <v/>
      </c>
      <c r="Q30" s="39" t="n"/>
      <c r="R30" s="3">
        <f>TABL12345[[#This Row],[ (T/B) SAR]]-TABL12345[[#This Row],[(T/B) AJD]]</f>
        <v/>
      </c>
      <c r="S30" s="3">
        <f>TABL12345[[#This Row],[S/S_CON.]]+TABL12345[[#This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TABL12345[[#This Row],[(RESV. STORGE) AJD]]/10</f>
        <v/>
      </c>
      <c r="AB30" s="3">
        <f>IF(TRIM(Z30)="",,(Z30-Z29)/1000)</f>
        <v/>
      </c>
      <c r="AC30" s="5" t="n"/>
      <c r="AD30" s="39">
        <f>(TABL12345[[#This Row],[( S/S+T/B) AJD]]*1000)-((TABL12345[[#This Row],[(STORGE DIFF.) AJD]]*1000)+TABL12345[[#This Row],[AJD_Evaporation]]+(TABL12345[[#This Row],[(A/B + A/S) AJD]]*1000))</f>
        <v/>
      </c>
      <c r="AE30" s="41" t="n"/>
      <c r="AF30" s="43" t="n"/>
      <c r="AG30" s="43" t="n"/>
      <c r="AH30" s="6">
        <f>TABL12345[[#This Row],[ (RESV. STORGE) BER]]/10</f>
        <v/>
      </c>
      <c r="AI30" s="41" t="n"/>
      <c r="AJ30" s="43">
        <f>TABL12345[[#This Row],[(A/B) AJD]]-TABL12345[[#This Row],[BER_IN]]</f>
        <v/>
      </c>
      <c r="AK30" s="43" t="n"/>
      <c r="AL30" s="43" t="n"/>
      <c r="AM30" s="32" t="n"/>
      <c r="AN30" s="32">
        <f>TABL12345[[#This Row],[ (RESV. STORGE) SER]]/10</f>
        <v/>
      </c>
      <c r="AO30" s="68" t="n"/>
      <c r="AP30" s="68">
        <f>TABL12345[[#This Row],[(A/S) AJD]]-TABL12345[[#This Row],[SER_IN]]</f>
        <v/>
      </c>
    </row>
    <row r="31" ht="18.75" customHeight="1">
      <c r="A31" s="2" t="n">
        <v>46782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TABL12345[[#This Row],[ (T/B) SAR]]+TABL12345[[#This Row],[ (S/S) SAR]]</f>
        <v/>
      </c>
      <c r="L31" s="45" t="n"/>
      <c r="M31" s="46" t="n"/>
      <c r="N31" s="46" t="n"/>
      <c r="O31" s="40" t="n"/>
      <c r="P31" s="3">
        <f>TABL12345[[#This Row],[ (S/S) SAR]]-TABL12345[[#This Row],[(S/S) AJD]]</f>
        <v/>
      </c>
      <c r="Q31" s="40" t="n"/>
      <c r="R31" s="3">
        <f>TABL12345[[#This Row],[ (T/B) SAR]]-TABL12345[[#This Row],[(T/B) AJD]]</f>
        <v/>
      </c>
      <c r="S31" s="3">
        <f>TABL12345[[#This Row],[S/S_CON.]]+TABL12345[[#This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TABL12345[[#This Row],[(RESV. STORGE) AJD]]/10</f>
        <v/>
      </c>
      <c r="AB31" s="3">
        <f>IF(TRIM(Z31)="",,(Z31-Z30)/1000)</f>
        <v/>
      </c>
      <c r="AC31" s="5" t="n"/>
      <c r="AD31" s="70">
        <f>(TABL12345[[#This Row],[( S/S+T/B) AJD]]*1000)-((TABL12345[[#This Row],[(STORGE DIFF.) AJD]]*1000)+TABL12345[[#This Row],[AJD_Evaporation]]+(TABL12345[[#This Row],[(A/B + A/S) AJD]]*1000))</f>
        <v/>
      </c>
      <c r="AE31" s="44" t="n"/>
      <c r="AF31" s="45" t="n"/>
      <c r="AG31" s="45" t="n"/>
      <c r="AH31" s="6">
        <f>TABL12345[[#This Row],[ (RESV. STORGE) BER]]/10</f>
        <v/>
      </c>
      <c r="AI31" s="44" t="n"/>
      <c r="AJ31" s="90">
        <f>TABL12345[[#This Row],[(A/B) AJD]]-TABL12345[[#This Row],[BER_IN]]</f>
        <v/>
      </c>
      <c r="AK31" s="45" t="n"/>
      <c r="AL31" s="45" t="n"/>
      <c r="AM31" s="32" t="n"/>
      <c r="AN31" s="32">
        <f>TABL12345[[#This Row],[ (RESV. STORGE) SER]]/10</f>
        <v/>
      </c>
      <c r="AO31" s="68" t="n"/>
      <c r="AP31" s="68">
        <f>TABL12345[[#This Row],[(A/S) AJD]]-TABL12345[[#This Row],[SER_IN]]</f>
        <v/>
      </c>
    </row>
    <row r="32" ht="18.75" customHeight="1">
      <c r="A32" s="2" t="n">
        <v>46783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TABL12345[[#This Row],[ (T/B) SAR]]+TABL12345[[#This Row],[ (S/S) SAR]]</f>
        <v/>
      </c>
      <c r="L32" s="41" t="n"/>
      <c r="M32" s="42" t="n"/>
      <c r="N32" s="42" t="n"/>
      <c r="O32" s="39" t="n"/>
      <c r="P32" s="3">
        <f>TABL12345[[#This Row],[ (S/S) SAR]]-TABL12345[[#This Row],[(S/S) AJD]]</f>
        <v/>
      </c>
      <c r="Q32" s="39" t="n"/>
      <c r="R32" s="3">
        <f>TABL12345[[#This Row],[ (T/B) SAR]]-TABL12345[[#This Row],[(T/B) AJD]]</f>
        <v/>
      </c>
      <c r="S32" s="3">
        <f>TABL12345[[#This Row],[S/S_CON.]]+TABL12345[[#This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TABL12345[[#This Row],[(RESV. STORGE) AJD]]/10</f>
        <v/>
      </c>
      <c r="AB32" s="3">
        <f>IF(TRIM(Z32)="",,(Z32-Z31)/1000)</f>
        <v/>
      </c>
      <c r="AC32" s="5" t="n"/>
      <c r="AD32" s="39">
        <f>(TABL12345[[#This Row],[( S/S+T/B) AJD]]*1000)-((TABL12345[[#This Row],[(STORGE DIFF.) AJD]]*1000)+TABL12345[[#This Row],[AJD_Evaporation]]+(TABL12345[[#This Row],[(A/B + A/S) AJD]]*1000))</f>
        <v/>
      </c>
      <c r="AE32" s="41" t="n"/>
      <c r="AF32" s="43" t="n"/>
      <c r="AG32" s="43" t="n"/>
      <c r="AH32" s="6">
        <f>TABL12345[[#This Row],[ (RESV. STORGE) BER]]/10</f>
        <v/>
      </c>
      <c r="AI32" s="41" t="n"/>
      <c r="AJ32" s="43">
        <f>TABL12345[[#This Row],[(A/B) AJD]]-TABL12345[[#This Row],[BER_IN]]</f>
        <v/>
      </c>
      <c r="AK32" s="43" t="n"/>
      <c r="AL32" s="43" t="n"/>
      <c r="AM32" s="32" t="n"/>
      <c r="AN32" s="32">
        <f>TABL12345[[#This Row],[ (RESV. STORGE) SER]]/10</f>
        <v/>
      </c>
      <c r="AO32" s="68" t="n"/>
      <c r="AP32" s="68">
        <f>TABL12345[[#This Row],[(A/S) AJD]]-TABL12345[[#This Row],[SER_IN]]</f>
        <v/>
      </c>
    </row>
    <row r="33" ht="18.75" customHeight="1">
      <c r="A33" s="2" t="n">
        <v>46784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TABL12345[[#This Row],[ (T/B) SAR]]+TABL12345[[#This Row],[ (S/S) SAR]]</f>
        <v/>
      </c>
      <c r="L33" s="41" t="n"/>
      <c r="M33" s="42" t="n"/>
      <c r="N33" s="42" t="n"/>
      <c r="O33" s="39" t="n"/>
      <c r="P33" s="3">
        <f>TABL12345[[#This Row],[ (S/S) SAR]]-TABL12345[[#This Row],[(S/S) AJD]]</f>
        <v/>
      </c>
      <c r="Q33" s="39" t="n"/>
      <c r="R33" s="3">
        <f>TABL12345[[#This Row],[ (T/B) SAR]]-TABL12345[[#This Row],[(T/B) AJD]]</f>
        <v/>
      </c>
      <c r="S33" s="3">
        <f>TABL12345[[#This Row],[S/S_CON.]]+TABL12345[[#This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TABL12345[[#This Row],[(RESV. STORGE) AJD]]/10</f>
        <v/>
      </c>
      <c r="AB33" s="3">
        <f>IF(TRIM(Z33)="",,(Z33-Z32)/1000)</f>
        <v/>
      </c>
      <c r="AC33" s="5" t="n"/>
      <c r="AD33" s="39">
        <f>(TABL12345[[#This Row],[( S/S+T/B) AJD]]*1000)-((TABL12345[[#This Row],[(STORGE DIFF.) AJD]]*1000)+TABL12345[[#This Row],[AJD_Evaporation]]+(TABL12345[[#This Row],[(A/B + A/S) AJD]]*1000))</f>
        <v/>
      </c>
      <c r="AE33" s="41" t="n"/>
      <c r="AF33" s="43" t="n"/>
      <c r="AG33" s="43" t="n"/>
      <c r="AH33" s="6">
        <f>TABL12345[[#This Row],[ (RESV. STORGE) BER]]/10</f>
        <v/>
      </c>
      <c r="AI33" s="41" t="n"/>
      <c r="AJ33" s="43">
        <f>TABL12345[[#This Row],[(A/B) AJD]]-TABL12345[[#This Row],[BER_IN]]</f>
        <v/>
      </c>
      <c r="AK33" s="43" t="n"/>
      <c r="AL33" s="43" t="n"/>
      <c r="AM33" s="32" t="n"/>
      <c r="AN33" s="32">
        <f>TABL12345[[#This Row],[ (RESV. STORGE) SER]]/10</f>
        <v/>
      </c>
      <c r="AO33" s="68" t="n"/>
      <c r="AP33" s="68">
        <f>TABL12345[[#This Row],[(A/S) AJD]]-TABL12345[[#This Row],[SER_IN]]</f>
        <v/>
      </c>
    </row>
    <row r="34" ht="18.75" customHeight="1">
      <c r="A34" s="2" t="n">
        <v>46785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TABL12345[[#This Row],[ (T/B) SAR]]+TABL12345[[#This Row],[ (S/S) SAR]]</f>
        <v/>
      </c>
      <c r="L34" s="45" t="n"/>
      <c r="M34" s="46" t="n"/>
      <c r="N34" s="46" t="n"/>
      <c r="O34" s="40" t="n"/>
      <c r="P34" s="3">
        <f>TABL12345[[#This Row],[ (S/S) SAR]]-TABL12345[[#This Row],[(S/S) AJD]]</f>
        <v/>
      </c>
      <c r="Q34" s="40" t="n"/>
      <c r="R34" s="3">
        <f>TABL12345[[#This Row],[ (T/B) SAR]]-TABL12345[[#This Row],[(T/B) AJD]]</f>
        <v/>
      </c>
      <c r="S34" s="3">
        <f>TABL12345[[#This Row],[S/S_CON.]]+TABL12345[[#This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TABL12345[[#This Row],[(RESV. STORGE) AJD]]/10</f>
        <v/>
      </c>
      <c r="AB34" s="3">
        <f>IF(TRIM(Z34)="",,(Z34-Z33)/1000)</f>
        <v/>
      </c>
      <c r="AC34" s="5" t="n"/>
      <c r="AD34" s="40">
        <f>(TABL12345[[#This Row],[( S/S+T/B) AJD]]*1000)-((TABL12345[[#This Row],[(STORGE DIFF.) AJD]]*1000)+TABL12345[[#This Row],[AJD_Evaporation]]+(TABL12345[[#This Row],[(A/B + A/S) AJD]]*1000))</f>
        <v/>
      </c>
      <c r="AE34" s="44" t="n"/>
      <c r="AF34" s="45" t="n"/>
      <c r="AG34" s="45" t="n"/>
      <c r="AH34" s="6">
        <f>TABL12345[[#This Row],[ (RESV. STORGE) BER]]/10</f>
        <v/>
      </c>
      <c r="AI34" s="44" t="n"/>
      <c r="AJ34" s="45">
        <f>TABL12345[[#This Row],[(A/B) AJD]]-TABL12345[[#This Row],[BER_IN]]</f>
        <v/>
      </c>
      <c r="AK34" s="45" t="n"/>
      <c r="AL34" s="45" t="n"/>
      <c r="AM34" s="32" t="n"/>
      <c r="AN34" s="32">
        <f>TABL12345[[#This Row],[ (RESV. STORGE) SER]]/10</f>
        <v/>
      </c>
      <c r="AO34" s="68" t="n"/>
      <c r="AP34" s="68">
        <f>TABL12345[[#This Row],[(A/S) AJD]]-TABL12345[[#This Row],[SER_IN]]</f>
        <v/>
      </c>
    </row>
    <row r="35" ht="18.75" customHeight="1">
      <c r="A35" s="2" t="n">
        <v>46786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TABL12345[[#This Row],[ (T/B) SAR]]+TABL12345[[#This Row],[ (S/S) SAR]]</f>
        <v/>
      </c>
      <c r="L35" s="41" t="n"/>
      <c r="M35" s="42" t="n"/>
      <c r="N35" s="42" t="n"/>
      <c r="O35" s="39" t="n"/>
      <c r="P35" s="3">
        <f>TABL12345[[#This Row],[ (S/S) SAR]]-TABL12345[[#This Row],[(S/S) AJD]]</f>
        <v/>
      </c>
      <c r="Q35" s="39" t="n"/>
      <c r="R35" s="3">
        <f>TABL12345[[#This Row],[ (T/B) SAR]]-TABL12345[[#This Row],[(T/B) AJD]]</f>
        <v/>
      </c>
      <c r="S35" s="3">
        <f>TABL12345[[#This Row],[S/S_CON.]]+TABL12345[[#This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TABL12345[[#This Row],[(RESV. STORGE) AJD]]/10</f>
        <v/>
      </c>
      <c r="AB35" s="3">
        <f>IF(TRIM(Z35)="",,(Z35-Z34)/1000)</f>
        <v/>
      </c>
      <c r="AC35" s="5" t="n"/>
      <c r="AD35" s="39">
        <f>(TABL12345[[#This Row],[( S/S+T/B) AJD]]*1000)-((TABL12345[[#This Row],[(STORGE DIFF.) AJD]]*1000)+TABL12345[[#This Row],[AJD_Evaporation]]+(TABL12345[[#This Row],[(A/B + A/S) AJD]]*1000))</f>
        <v/>
      </c>
      <c r="AE35" s="41" t="n"/>
      <c r="AF35" s="43" t="n"/>
      <c r="AG35" s="43" t="n"/>
      <c r="AH35" s="6">
        <f>TABL12345[[#This Row],[ (RESV. STORGE) BER]]/10</f>
        <v/>
      </c>
      <c r="AI35" s="41" t="n"/>
      <c r="AJ35" s="43">
        <f>TABL12345[[#This Row],[(A/B) AJD]]-TABL12345[[#This Row],[BER_IN]]</f>
        <v/>
      </c>
      <c r="AK35" s="43" t="n"/>
      <c r="AL35" s="43" t="n"/>
      <c r="AM35" s="32" t="n"/>
      <c r="AN35" s="32">
        <f>TABL12345[[#This Row],[ (RESV. STORGE) SER]]/10</f>
        <v/>
      </c>
      <c r="AO35" s="68" t="n"/>
      <c r="AP35" s="68">
        <f>TABL12345[[#This Row],[(A/S) AJD]]-TABL12345[[#This Row],[SER_IN]]</f>
        <v/>
      </c>
    </row>
    <row r="36" ht="18.75" customHeight="1">
      <c r="A36" s="2" t="n">
        <v>46787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TABL12345[[#This Row],[ (T/B) SAR]]+TABL12345[[#This Row],[ (S/S) SAR]]</f>
        <v/>
      </c>
      <c r="L36" s="45" t="n"/>
      <c r="M36" s="46" t="n"/>
      <c r="N36" s="46" t="n"/>
      <c r="O36" s="40" t="n"/>
      <c r="P36" s="3">
        <f>TABL12345[[#This Row],[ (S/S) SAR]]-TABL12345[[#This Row],[(S/S) AJD]]</f>
        <v/>
      </c>
      <c r="Q36" s="40" t="n"/>
      <c r="R36" s="3">
        <f>TABL12345[[#This Row],[ (T/B) SAR]]-TABL12345[[#This Row],[(T/B) AJD]]</f>
        <v/>
      </c>
      <c r="S36" s="3">
        <f>TABL12345[[#This Row],[S/S_CON.]]+TABL12345[[#This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TABL12345[[#This Row],[(RESV. STORGE) AJD]]/10</f>
        <v/>
      </c>
      <c r="AB36" s="3">
        <f>IF(TRIM(Z36)="",,(Z36-Z35)/1000)</f>
        <v/>
      </c>
      <c r="AC36" s="5" t="n"/>
      <c r="AD36" s="40">
        <f>(TABL12345[[#This Row],[( S/S+T/B) AJD]]*1000)-((TABL12345[[#This Row],[(STORGE DIFF.) AJD]]*1000)+TABL12345[[#This Row],[AJD_Evaporation]]+(TABL12345[[#This Row],[(A/B + A/S) AJD]]*1000))</f>
        <v/>
      </c>
      <c r="AE36" s="44" t="n"/>
      <c r="AF36" s="45" t="n"/>
      <c r="AG36" s="45" t="n"/>
      <c r="AH36" s="6">
        <f>TABL12345[[#This Row],[ (RESV. STORGE) BER]]/10</f>
        <v/>
      </c>
      <c r="AI36" s="44" t="n"/>
      <c r="AJ36" s="45">
        <f>TABL12345[[#This Row],[(A/B) AJD]]-TABL12345[[#This Row],[BER_IN]]</f>
        <v/>
      </c>
      <c r="AK36" s="45" t="n"/>
      <c r="AL36" s="45" t="n"/>
      <c r="AM36" s="32" t="n"/>
      <c r="AN36" s="32">
        <f>TABL12345[[#This Row],[ (RESV. STORGE) SER]]/10</f>
        <v/>
      </c>
      <c r="AO36" s="68" t="n"/>
      <c r="AP36" s="68">
        <f>TABL12345[[#This Row],[(A/S) AJD]]-TABL12345[[#This Row],[SER_IN]]</f>
        <v/>
      </c>
    </row>
    <row r="37" ht="18.75" customHeight="1">
      <c r="A37" s="2" t="n">
        <v>46788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TABL12345[[#This Row],[ (T/B) SAR]]+TABL12345[[#This Row],[ (S/S) SAR]]</f>
        <v/>
      </c>
      <c r="L37" s="41" t="n"/>
      <c r="M37" s="42" t="n"/>
      <c r="N37" s="42" t="n"/>
      <c r="O37" s="39" t="n"/>
      <c r="P37" s="3">
        <f>TABL12345[[#This Row],[ (S/S) SAR]]-TABL12345[[#This Row],[(S/S) AJD]]</f>
        <v/>
      </c>
      <c r="Q37" s="39" t="n"/>
      <c r="R37" s="3">
        <f>TABL12345[[#This Row],[ (T/B) SAR]]-TABL12345[[#This Row],[(T/B) AJD]]</f>
        <v/>
      </c>
      <c r="S37" s="3">
        <f>TABL12345[[#This Row],[S/S_CON.]]+TABL12345[[#This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TABL12345[[#This Row],[(RESV. STORGE) AJD]]/10</f>
        <v/>
      </c>
      <c r="AB37" s="3">
        <f>IF(TRIM(Z37)="",,(Z37-Z36)/1000)</f>
        <v/>
      </c>
      <c r="AC37" s="5" t="n"/>
      <c r="AD37" s="39">
        <f>(TABL12345[[#This Row],[( S/S+T/B) AJD]]*1000)-((TABL12345[[#This Row],[(STORGE DIFF.) AJD]]*1000)+TABL12345[[#This Row],[AJD_Evaporation]]+(TABL12345[[#This Row],[(A/B + A/S) AJD]]*1000))</f>
        <v/>
      </c>
      <c r="AE37" s="41" t="n"/>
      <c r="AF37" s="43" t="n"/>
      <c r="AG37" s="43" t="n"/>
      <c r="AH37" s="6">
        <f>TABL12345[[#This Row],[ (RESV. STORGE) BER]]/10</f>
        <v/>
      </c>
      <c r="AI37" s="41" t="n"/>
      <c r="AJ37" s="43">
        <f>TABL12345[[#This Row],[(A/B) AJD]]-TABL12345[[#This Row],[BER_IN]]</f>
        <v/>
      </c>
      <c r="AK37" s="43" t="n"/>
      <c r="AL37" s="43" t="n"/>
      <c r="AM37" s="32" t="n"/>
      <c r="AN37" s="32">
        <f>TABL12345[[#This Row],[ (RESV. STORGE) SER]]/10</f>
        <v/>
      </c>
      <c r="AO37" s="68" t="n"/>
      <c r="AP37" s="68">
        <f>TABL12345[[#This Row],[(A/S) AJD]]-TABL12345[[#This Row],[SER_IN]]</f>
        <v/>
      </c>
    </row>
    <row r="38" ht="18.75" customHeight="1">
      <c r="A38" s="2" t="n">
        <v>46789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TABL12345[[#This Row],[ (T/B) SAR]]+TABL12345[[#This Row],[ (S/S) SAR]]</f>
        <v/>
      </c>
      <c r="L38" s="45" t="n"/>
      <c r="M38" s="46" t="n"/>
      <c r="N38" s="46" t="n"/>
      <c r="O38" s="40" t="n"/>
      <c r="P38" s="3">
        <f>TABL12345[[#This Row],[ (S/S) SAR]]-TABL12345[[#This Row],[(S/S) AJD]]</f>
        <v/>
      </c>
      <c r="Q38" s="40" t="n"/>
      <c r="R38" s="3">
        <f>TABL12345[[#This Row],[ (T/B) SAR]]-TABL12345[[#This Row],[(T/B) AJD]]</f>
        <v/>
      </c>
      <c r="S38" s="3">
        <f>TABL12345[[#This Row],[S/S_CON.]]+TABL12345[[#This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TABL12345[[#This Row],[(RESV. STORGE) AJD]]/10</f>
        <v/>
      </c>
      <c r="AB38" s="3">
        <f>IF(TRIM(Z38)="",,(Z38-Z37)/1000)</f>
        <v/>
      </c>
      <c r="AC38" s="5" t="n"/>
      <c r="AD38" s="40">
        <f>(TABL12345[[#This Row],[( S/S+T/B) AJD]]*1000)-((TABL12345[[#This Row],[(STORGE DIFF.) AJD]]*1000)+TABL12345[[#This Row],[AJD_Evaporation]]+(TABL12345[[#This Row],[(A/B + A/S) AJD]]*1000))</f>
        <v/>
      </c>
      <c r="AE38" s="44" t="n"/>
      <c r="AF38" s="45" t="n"/>
      <c r="AG38" s="45" t="n"/>
      <c r="AH38" s="6">
        <f>TABL12345[[#This Row],[ (RESV. STORGE) BER]]/10</f>
        <v/>
      </c>
      <c r="AI38" s="44" t="n"/>
      <c r="AJ38" s="45">
        <f>TABL12345[[#This Row],[(A/B) AJD]]-TABL12345[[#This Row],[BER_IN]]</f>
        <v/>
      </c>
      <c r="AK38" s="45" t="n"/>
      <c r="AL38" s="45" t="n"/>
      <c r="AM38" s="32" t="n"/>
      <c r="AN38" s="32">
        <f>TABL12345[[#This Row],[ (RESV. STORGE) SER]]/10</f>
        <v/>
      </c>
      <c r="AO38" s="68" t="n"/>
      <c r="AP38" s="68">
        <f>TABL12345[[#This Row],[(A/S) AJD]]-TABL12345[[#This Row],[SER_IN]]</f>
        <v/>
      </c>
    </row>
    <row r="39" ht="18.75" customHeight="1">
      <c r="A39" s="2" t="n">
        <v>46790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TABL12345[[#This Row],[ (T/B) SAR]]+TABL12345[[#This Row],[ (S/S) SAR]]</f>
        <v/>
      </c>
      <c r="L39" s="41" t="n"/>
      <c r="M39" s="42" t="n"/>
      <c r="N39" s="42" t="n"/>
      <c r="O39" s="39" t="n"/>
      <c r="P39" s="3">
        <f>TABL12345[[#This Row],[ (S/S) SAR]]-TABL12345[[#This Row],[(S/S) AJD]]</f>
        <v/>
      </c>
      <c r="Q39" s="39" t="n"/>
      <c r="R39" s="3">
        <f>TABL12345[[#This Row],[ (T/B) SAR]]-TABL12345[[#This Row],[(T/B) AJD]]</f>
        <v/>
      </c>
      <c r="S39" s="3">
        <f>TABL12345[[#This Row],[S/S_CON.]]+TABL12345[[#This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TABL12345[[#This Row],[(RESV. STORGE) AJD]]/10</f>
        <v/>
      </c>
      <c r="AB39" s="3">
        <f>IF(TRIM(Z39)="",,(Z39-Z38)/1000)</f>
        <v/>
      </c>
      <c r="AC39" s="5" t="n"/>
      <c r="AD39" s="39">
        <f>(TABL12345[[#This Row],[( S/S+T/B) AJD]]*1000)-((TABL12345[[#This Row],[(STORGE DIFF.) AJD]]*1000)+TABL12345[[#This Row],[AJD_Evaporation]]+(TABL12345[[#This Row],[(A/B + A/S) AJD]]*1000))</f>
        <v/>
      </c>
      <c r="AE39" s="41" t="n"/>
      <c r="AF39" s="43" t="n"/>
      <c r="AG39" s="43" t="n"/>
      <c r="AH39" s="6">
        <f>TABL12345[[#This Row],[ (RESV. STORGE) BER]]/10</f>
        <v/>
      </c>
      <c r="AI39" s="41" t="n"/>
      <c r="AJ39" s="43">
        <f>TABL12345[[#This Row],[(A/B) AJD]]-TABL12345[[#This Row],[BER_IN]]</f>
        <v/>
      </c>
      <c r="AK39" s="43" t="n"/>
      <c r="AL39" s="43" t="n"/>
      <c r="AM39" s="32" t="n"/>
      <c r="AN39" s="32">
        <f>TABL12345[[#This Row],[ (RESV. STORGE) SER]]/10</f>
        <v/>
      </c>
      <c r="AO39" s="68" t="n"/>
      <c r="AP39" s="68">
        <f>TABL12345[[#This Row],[(A/S) AJD]]-TABL12345[[#This Row],[SER_IN]]</f>
        <v/>
      </c>
    </row>
    <row r="40" ht="18.75" customHeight="1">
      <c r="A40" s="2" t="n">
        <v>46791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TABL12345[[#This Row],[ (T/B) SAR]]+TABL12345[[#This Row],[ (S/S) SAR]]</f>
        <v/>
      </c>
      <c r="L40" s="45" t="n"/>
      <c r="M40" s="46" t="n"/>
      <c r="N40" s="46" t="n"/>
      <c r="O40" s="40" t="n"/>
      <c r="P40" s="3">
        <f>TABL12345[[#This Row],[ (S/S) SAR]]-TABL12345[[#This Row],[(S/S) AJD]]</f>
        <v/>
      </c>
      <c r="Q40" s="40" t="n"/>
      <c r="R40" s="3">
        <f>TABL12345[[#This Row],[ (T/B) SAR]]-TABL12345[[#This Row],[(T/B) AJD]]</f>
        <v/>
      </c>
      <c r="S40" s="3">
        <f>TABL12345[[#This Row],[S/S_CON.]]+TABL12345[[#This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TABL12345[[#This Row],[(RESV. STORGE) AJD]]/10</f>
        <v/>
      </c>
      <c r="AB40" s="3">
        <f>IF(TRIM(Z40)="",,(Z40-Z39)/1000)</f>
        <v/>
      </c>
      <c r="AC40" s="5" t="n"/>
      <c r="AD40" s="40">
        <f>(TABL12345[[#This Row],[( S/S+T/B) AJD]]*1000)-((TABL12345[[#This Row],[(STORGE DIFF.) AJD]]*1000)+TABL12345[[#This Row],[AJD_Evaporation]]+(TABL12345[[#This Row],[(A/B + A/S) AJD]]*1000))</f>
        <v/>
      </c>
      <c r="AE40" s="44" t="n"/>
      <c r="AF40" s="45" t="n"/>
      <c r="AG40" s="45" t="n"/>
      <c r="AH40" s="6">
        <f>TABL12345[[#This Row],[ (RESV. STORGE) BER]]/10</f>
        <v/>
      </c>
      <c r="AI40" s="44" t="n"/>
      <c r="AJ40" s="45">
        <f>TABL12345[[#This Row],[(A/B) AJD]]-TABL12345[[#This Row],[BER_IN]]</f>
        <v/>
      </c>
      <c r="AK40" s="45" t="n"/>
      <c r="AL40" s="45" t="n"/>
      <c r="AM40" s="32" t="n"/>
      <c r="AN40" s="32">
        <f>TABL12345[[#This Row],[ (RESV. STORGE) SER]]/10</f>
        <v/>
      </c>
      <c r="AO40" s="68" t="n"/>
      <c r="AP40" s="68">
        <f>TABL12345[[#This Row],[(A/S) AJD]]-TABL12345[[#This Row],[SER_IN]]</f>
        <v/>
      </c>
    </row>
    <row r="41" ht="18.75" customHeight="1">
      <c r="A41" s="2" t="n">
        <v>46792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TABL12345[[#This Row],[ (T/B) SAR]]+TABL12345[[#This Row],[ (S/S) SAR]]</f>
        <v/>
      </c>
      <c r="L41" s="41" t="n"/>
      <c r="M41" s="42" t="n"/>
      <c r="N41" s="42" t="n"/>
      <c r="O41" s="39" t="n"/>
      <c r="P41" s="3">
        <f>TABL12345[[#This Row],[ (S/S) SAR]]-TABL12345[[#This Row],[(S/S) AJD]]</f>
        <v/>
      </c>
      <c r="Q41" s="39" t="n"/>
      <c r="R41" s="3">
        <f>TABL12345[[#This Row],[ (T/B) SAR]]-TABL12345[[#This Row],[(T/B) AJD]]</f>
        <v/>
      </c>
      <c r="S41" s="3">
        <f>TABL12345[[#This Row],[S/S_CON.]]+TABL12345[[#This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TABL12345[[#This Row],[(RESV. STORGE) AJD]]/10</f>
        <v/>
      </c>
      <c r="AB41" s="3">
        <f>IF(TRIM(Z41)="",,(Z41-Z40)/1000)</f>
        <v/>
      </c>
      <c r="AC41" s="5" t="n"/>
      <c r="AD41" s="39">
        <f>(TABL12345[[#This Row],[( S/S+T/B) AJD]]*1000)-((TABL12345[[#This Row],[(STORGE DIFF.) AJD]]*1000)+TABL12345[[#This Row],[AJD_Evaporation]]+(TABL12345[[#This Row],[(A/B + A/S) AJD]]*1000))</f>
        <v/>
      </c>
      <c r="AE41" s="41" t="n"/>
      <c r="AF41" s="43" t="n"/>
      <c r="AG41" s="43" t="n"/>
      <c r="AH41" s="6">
        <f>TABL12345[[#This Row],[ (RESV. STORGE) BER]]/10</f>
        <v/>
      </c>
      <c r="AI41" s="41" t="n"/>
      <c r="AJ41" s="43">
        <f>TABL12345[[#This Row],[(A/B) AJD]]-TABL12345[[#This Row],[BER_IN]]</f>
        <v/>
      </c>
      <c r="AK41" s="43" t="n"/>
      <c r="AL41" s="43" t="n"/>
      <c r="AM41" s="32" t="n"/>
      <c r="AN41" s="32">
        <f>TABL12345[[#This Row],[ (RESV. STORGE) SER]]/10</f>
        <v/>
      </c>
      <c r="AO41" s="68" t="n"/>
      <c r="AP41" s="68">
        <f>TABL12345[[#This Row],[(A/S) AJD]]-TABL12345[[#This Row],[SER_IN]]</f>
        <v/>
      </c>
    </row>
    <row r="42" ht="18.75" customHeight="1">
      <c r="A42" s="2" t="n">
        <v>46793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TABL12345[[#This Row],[ (T/B) SAR]]+TABL12345[[#This Row],[ (S/S) SAR]]</f>
        <v/>
      </c>
      <c r="L42" s="45" t="n"/>
      <c r="M42" s="46" t="n"/>
      <c r="N42" s="46" t="n"/>
      <c r="O42" s="40" t="n"/>
      <c r="P42" s="3">
        <f>TABL12345[[#This Row],[ (S/S) SAR]]-TABL12345[[#This Row],[(S/S) AJD]]</f>
        <v/>
      </c>
      <c r="Q42" s="40" t="n"/>
      <c r="R42" s="3">
        <f>TABL12345[[#This Row],[ (T/B) SAR]]-TABL12345[[#This Row],[(T/B) AJD]]</f>
        <v/>
      </c>
      <c r="S42" s="3">
        <f>TABL12345[[#This Row],[S/S_CON.]]+TABL12345[[#This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TABL12345[[#This Row],[(RESV. STORGE) AJD]]/10</f>
        <v/>
      </c>
      <c r="AB42" s="3">
        <f>IF(TRIM(Z42)="",,(Z42-Z41)/1000)</f>
        <v/>
      </c>
      <c r="AC42" s="5" t="n"/>
      <c r="AD42" s="40">
        <f>(TABL12345[[#This Row],[( S/S+T/B) AJD]]*1000)-((TABL12345[[#This Row],[(STORGE DIFF.) AJD]]*1000)+TABL12345[[#This Row],[AJD_Evaporation]]+(TABL12345[[#This Row],[(A/B + A/S) AJD]]*1000))</f>
        <v/>
      </c>
      <c r="AE42" s="44" t="n"/>
      <c r="AF42" s="45" t="n"/>
      <c r="AG42" s="45" t="n"/>
      <c r="AH42" s="6">
        <f>TABL12345[[#This Row],[ (RESV. STORGE) BER]]/10</f>
        <v/>
      </c>
      <c r="AI42" s="44" t="n"/>
      <c r="AJ42" s="45">
        <f>TABL12345[[#This Row],[(A/B) AJD]]-TABL12345[[#This Row],[BER_IN]]</f>
        <v/>
      </c>
      <c r="AK42" s="45" t="n"/>
      <c r="AL42" s="45" t="n"/>
      <c r="AM42" s="32" t="n"/>
      <c r="AN42" s="32">
        <f>TABL12345[[#This Row],[ (RESV. STORGE) SER]]/10</f>
        <v/>
      </c>
      <c r="AO42" s="68" t="n"/>
      <c r="AP42" s="68">
        <f>TABL12345[[#This Row],[(A/S) AJD]]-TABL12345[[#This Row],[SER_IN]]</f>
        <v/>
      </c>
    </row>
    <row r="43" ht="18.75" customHeight="1">
      <c r="A43" s="2" t="n">
        <v>46794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TABL12345[[#This Row],[ (T/B) SAR]]+TABL12345[[#This Row],[ (S/S) SAR]]</f>
        <v/>
      </c>
      <c r="L43" s="41" t="n"/>
      <c r="M43" s="42" t="n"/>
      <c r="N43" s="42" t="n"/>
      <c r="O43" s="39" t="n"/>
      <c r="P43" s="3">
        <f>TABL12345[[#This Row],[ (S/S) SAR]]-TABL12345[[#This Row],[(S/S) AJD]]</f>
        <v/>
      </c>
      <c r="Q43" s="39" t="n"/>
      <c r="R43" s="3">
        <f>TABL12345[[#This Row],[ (T/B) SAR]]-TABL12345[[#This Row],[(T/B) AJD]]</f>
        <v/>
      </c>
      <c r="S43" s="3">
        <f>TABL12345[[#This Row],[S/S_CON.]]+TABL12345[[#This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TABL12345[[#This Row],[(RESV. STORGE) AJD]]/10</f>
        <v/>
      </c>
      <c r="AB43" s="3">
        <f>IF(TRIM(Z43)="",,(Z43-Z42)/1000)</f>
        <v/>
      </c>
      <c r="AC43" s="5" t="n"/>
      <c r="AD43" s="39">
        <f>(TABL12345[[#This Row],[( S/S+T/B) AJD]]*1000)-((TABL12345[[#This Row],[(STORGE DIFF.) AJD]]*1000)+TABL12345[[#This Row],[AJD_Evaporation]]+(TABL12345[[#This Row],[(A/B + A/S) AJD]]*1000))</f>
        <v/>
      </c>
      <c r="AE43" s="41" t="n"/>
      <c r="AF43" s="43" t="n"/>
      <c r="AG43" s="43" t="n"/>
      <c r="AH43" s="6">
        <f>TABL12345[[#This Row],[ (RESV. STORGE) BER]]/10</f>
        <v/>
      </c>
      <c r="AI43" s="41" t="n"/>
      <c r="AJ43" s="43">
        <f>TABL12345[[#This Row],[(A/B) AJD]]-TABL12345[[#This Row],[BER_IN]]</f>
        <v/>
      </c>
      <c r="AK43" s="43" t="n"/>
      <c r="AL43" s="43" t="n"/>
      <c r="AM43" s="32" t="n"/>
      <c r="AN43" s="32">
        <f>TABL12345[[#This Row],[ (RESV. STORGE) SER]]/10</f>
        <v/>
      </c>
      <c r="AO43" s="68" t="n"/>
      <c r="AP43" s="68">
        <f>TABL12345[[#This Row],[(A/S) AJD]]-TABL12345[[#This Row],[SER_IN]]</f>
        <v/>
      </c>
    </row>
    <row r="44" ht="18.75" customHeight="1">
      <c r="A44" s="2" t="n">
        <v>46795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TABL12345[[#This Row],[ (T/B) SAR]]+TABL12345[[#This Row],[ (S/S) SAR]]</f>
        <v/>
      </c>
      <c r="L44" s="45" t="n"/>
      <c r="M44" s="46" t="n"/>
      <c r="N44" s="46" t="n"/>
      <c r="O44" s="40" t="n"/>
      <c r="P44" s="3">
        <f>TABL12345[[#This Row],[ (S/S) SAR]]-TABL12345[[#This Row],[(S/S) AJD]]</f>
        <v/>
      </c>
      <c r="Q44" s="40" t="n"/>
      <c r="R44" s="3">
        <f>TABL12345[[#This Row],[ (T/B) SAR]]-TABL12345[[#This Row],[(T/B) AJD]]</f>
        <v/>
      </c>
      <c r="S44" s="3">
        <f>TABL12345[[#This Row],[S/S_CON.]]+TABL12345[[#This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TABL12345[[#This Row],[(RESV. STORGE) AJD]]/10</f>
        <v/>
      </c>
      <c r="AB44" s="3">
        <f>IF(TRIM(Z44)="",,(Z44-Z43)/1000)</f>
        <v/>
      </c>
      <c r="AC44" s="5" t="n"/>
      <c r="AD44" s="40">
        <f>(TABL12345[[#This Row],[( S/S+T/B) AJD]]*1000)-((TABL12345[[#This Row],[(STORGE DIFF.) AJD]]*1000)+TABL12345[[#This Row],[AJD_Evaporation]]+(TABL12345[[#This Row],[(A/B + A/S) AJD]]*1000))</f>
        <v/>
      </c>
      <c r="AE44" s="44" t="n"/>
      <c r="AF44" s="45" t="n"/>
      <c r="AG44" s="45" t="n"/>
      <c r="AH44" s="6">
        <f>TABL12345[[#This Row],[ (RESV. STORGE) BER]]/10</f>
        <v/>
      </c>
      <c r="AI44" s="44" t="n"/>
      <c r="AJ44" s="45">
        <f>TABL12345[[#This Row],[(A/B) AJD]]-TABL12345[[#This Row],[BER_IN]]</f>
        <v/>
      </c>
      <c r="AK44" s="45" t="n"/>
      <c r="AL44" s="45" t="n"/>
      <c r="AM44" s="32" t="n"/>
      <c r="AN44" s="32">
        <f>TABL12345[[#This Row],[ (RESV. STORGE) SER]]/10</f>
        <v/>
      </c>
      <c r="AO44" s="68" t="n"/>
      <c r="AP44" s="68">
        <f>TABL12345[[#This Row],[(A/S) AJD]]-TABL12345[[#This Row],[SER_IN]]</f>
        <v/>
      </c>
    </row>
    <row r="45" ht="18.75" customHeight="1">
      <c r="A45" s="2" t="n">
        <v>46796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TABL12345[[#This Row],[ (T/B) SAR]]+TABL12345[[#This Row],[ (S/S) SAR]]</f>
        <v/>
      </c>
      <c r="L45" s="41" t="n"/>
      <c r="M45" s="42" t="n"/>
      <c r="N45" s="42" t="n"/>
      <c r="O45" s="39" t="n"/>
      <c r="P45" s="3">
        <f>TABL12345[[#This Row],[ (S/S) SAR]]-TABL12345[[#This Row],[(S/S) AJD]]</f>
        <v/>
      </c>
      <c r="Q45" s="39" t="n"/>
      <c r="R45" s="3">
        <f>TABL12345[[#This Row],[ (T/B) SAR]]-TABL12345[[#This Row],[(T/B) AJD]]</f>
        <v/>
      </c>
      <c r="S45" s="3">
        <f>TABL12345[[#This Row],[S/S_CON.]]+TABL12345[[#This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TABL12345[[#This Row],[(RESV. STORGE) AJD]]/10</f>
        <v/>
      </c>
      <c r="AB45" s="3">
        <f>IF(TRIM(Z45)="",,(Z45-Z44)/1000)</f>
        <v/>
      </c>
      <c r="AC45" s="5" t="n"/>
      <c r="AD45" s="39">
        <f>(TABL12345[[#This Row],[( S/S+T/B) AJD]]*1000)-((TABL12345[[#This Row],[(STORGE DIFF.) AJD]]*1000)+TABL12345[[#This Row],[AJD_Evaporation]]+(TABL12345[[#This Row],[(A/B + A/S) AJD]]*1000))</f>
        <v/>
      </c>
      <c r="AE45" s="41" t="n"/>
      <c r="AF45" s="43" t="n"/>
      <c r="AG45" s="43" t="n"/>
      <c r="AH45" s="6">
        <f>TABL12345[[#This Row],[ (RESV. STORGE) BER]]/10</f>
        <v/>
      </c>
      <c r="AI45" s="41" t="n"/>
      <c r="AJ45" s="43">
        <f>TABL12345[[#This Row],[(A/B) AJD]]-TABL12345[[#This Row],[BER_IN]]</f>
        <v/>
      </c>
      <c r="AK45" s="43" t="n"/>
      <c r="AL45" s="43" t="n"/>
      <c r="AM45" s="32" t="n"/>
      <c r="AN45" s="32">
        <f>TABL12345[[#This Row],[ (RESV. STORGE) SER]]/10</f>
        <v/>
      </c>
      <c r="AO45" s="68" t="n"/>
      <c r="AP45" s="68">
        <f>TABL12345[[#This Row],[(A/S) AJD]]-TABL12345[[#This Row],[SER_IN]]</f>
        <v/>
      </c>
    </row>
    <row r="46" ht="18.75" customHeight="1">
      <c r="A46" s="2" t="n">
        <v>46797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TABL12345[[#This Row],[ (T/B) SAR]]+TABL12345[[#This Row],[ (S/S) SAR]]</f>
        <v/>
      </c>
      <c r="L46" s="45" t="n"/>
      <c r="M46" s="46" t="n"/>
      <c r="N46" s="46" t="n"/>
      <c r="O46" s="40" t="n"/>
      <c r="P46" s="3">
        <f>TABL12345[[#This Row],[ (S/S) SAR]]-TABL12345[[#This Row],[(S/S) AJD]]</f>
        <v/>
      </c>
      <c r="Q46" s="40" t="n"/>
      <c r="R46" s="3">
        <f>TABL12345[[#This Row],[ (T/B) SAR]]-TABL12345[[#This Row],[(T/B) AJD]]</f>
        <v/>
      </c>
      <c r="S46" s="3">
        <f>TABL12345[[#This Row],[S/S_CON.]]+TABL12345[[#This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TABL12345[[#This Row],[(RESV. STORGE) AJD]]/10</f>
        <v/>
      </c>
      <c r="AB46" s="3">
        <f>IF(TRIM(Z46)="",,(Z46-Z45)/1000)</f>
        <v/>
      </c>
      <c r="AC46" s="5" t="n"/>
      <c r="AD46" s="40">
        <f>(TABL12345[[#This Row],[( S/S+T/B) AJD]]*1000)-((TABL12345[[#This Row],[(STORGE DIFF.) AJD]]*1000)+TABL12345[[#This Row],[AJD_Evaporation]]+(TABL12345[[#This Row],[(A/B + A/S) AJD]]*1000))</f>
        <v/>
      </c>
      <c r="AE46" s="44" t="n"/>
      <c r="AF46" s="45" t="n"/>
      <c r="AG46" s="45" t="n"/>
      <c r="AH46" s="6">
        <f>TABL12345[[#This Row],[ (RESV. STORGE) BER]]/10</f>
        <v/>
      </c>
      <c r="AI46" s="44" t="n"/>
      <c r="AJ46" s="45">
        <f>TABL12345[[#This Row],[(A/B) AJD]]-TABL12345[[#This Row],[BER_IN]]</f>
        <v/>
      </c>
      <c r="AK46" s="45" t="n"/>
      <c r="AL46" s="45" t="n"/>
      <c r="AM46" s="32" t="n"/>
      <c r="AN46" s="32">
        <f>TABL12345[[#This Row],[ (RESV. STORGE) SER]]/10</f>
        <v/>
      </c>
      <c r="AO46" s="68" t="n"/>
      <c r="AP46" s="68">
        <f>TABL12345[[#This Row],[(A/S) AJD]]-TABL12345[[#This Row],[SER_IN]]</f>
        <v/>
      </c>
    </row>
    <row r="47" ht="18.75" customHeight="1">
      <c r="A47" s="2" t="n">
        <v>46798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TABL12345[[#This Row],[ (T/B) SAR]]+TABL12345[[#This Row],[ (S/S) SAR]]</f>
        <v/>
      </c>
      <c r="L47" s="41" t="n"/>
      <c r="M47" s="42" t="n"/>
      <c r="N47" s="42" t="n"/>
      <c r="O47" s="39" t="n"/>
      <c r="P47" s="3">
        <f>TABL12345[[#This Row],[ (S/S) SAR]]-TABL12345[[#This Row],[(S/S) AJD]]</f>
        <v/>
      </c>
      <c r="Q47" s="39" t="n"/>
      <c r="R47" s="3">
        <f>TABL12345[[#This Row],[ (T/B) SAR]]-TABL12345[[#This Row],[(T/B) AJD]]</f>
        <v/>
      </c>
      <c r="S47" s="3">
        <f>TABL12345[[#This Row],[S/S_CON.]]+TABL12345[[#This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TABL12345[[#This Row],[(RESV. STORGE) AJD]]/10</f>
        <v/>
      </c>
      <c r="AB47" s="3">
        <f>IF(TRIM(Z47)="",,(Z47-Z46)/1000)</f>
        <v/>
      </c>
      <c r="AC47" s="5" t="n"/>
      <c r="AD47" s="39">
        <f>(TABL12345[[#This Row],[( S/S+T/B) AJD]]*1000)-((TABL12345[[#This Row],[(STORGE DIFF.) AJD]]*1000)+TABL12345[[#This Row],[AJD_Evaporation]]+(TABL12345[[#This Row],[(A/B + A/S) AJD]]*1000))</f>
        <v/>
      </c>
      <c r="AE47" s="41" t="n"/>
      <c r="AF47" s="43" t="n"/>
      <c r="AG47" s="43" t="n"/>
      <c r="AH47" s="6">
        <f>TABL12345[[#This Row],[ (RESV. STORGE) BER]]/10</f>
        <v/>
      </c>
      <c r="AI47" s="41" t="n"/>
      <c r="AJ47" s="43">
        <f>TABL12345[[#This Row],[(A/B) AJD]]-TABL12345[[#This Row],[BER_IN]]</f>
        <v/>
      </c>
      <c r="AK47" s="43" t="n"/>
      <c r="AL47" s="43" t="n"/>
      <c r="AM47" s="32" t="n"/>
      <c r="AN47" s="32">
        <f>TABL12345[[#This Row],[ (RESV. STORGE) SER]]/10</f>
        <v/>
      </c>
      <c r="AO47" s="68" t="n"/>
      <c r="AP47" s="68">
        <f>TABL12345[[#This Row],[(A/S) AJD]]-TABL12345[[#This Row],[SER_IN]]</f>
        <v/>
      </c>
    </row>
    <row r="48" ht="18.75" customHeight="1">
      <c r="A48" s="2" t="n">
        <v>46799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TABL12345[[#This Row],[ (T/B) SAR]]+TABL12345[[#This Row],[ (S/S) SAR]]</f>
        <v/>
      </c>
      <c r="L48" s="45" t="n"/>
      <c r="M48" s="46" t="n"/>
      <c r="N48" s="46" t="n"/>
      <c r="O48" s="40" t="n"/>
      <c r="P48" s="3">
        <f>TABL12345[[#This Row],[ (S/S) SAR]]-TABL12345[[#This Row],[(S/S) AJD]]</f>
        <v/>
      </c>
      <c r="Q48" s="40" t="n"/>
      <c r="R48" s="3">
        <f>TABL12345[[#This Row],[ (T/B) SAR]]-TABL12345[[#This Row],[(T/B) AJD]]</f>
        <v/>
      </c>
      <c r="S48" s="3">
        <f>TABL12345[[#This Row],[S/S_CON.]]+TABL12345[[#This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TABL12345[[#This Row],[(RESV. STORGE) AJD]]/10</f>
        <v/>
      </c>
      <c r="AB48" s="3">
        <f>IF(TRIM(Z48)="",,(Z48-Z47)/1000)</f>
        <v/>
      </c>
      <c r="AC48" s="5" t="n"/>
      <c r="AD48" s="40">
        <f>(TABL12345[[#This Row],[( S/S+T/B) AJD]]*1000)-((TABL12345[[#This Row],[(STORGE DIFF.) AJD]]*1000)+TABL12345[[#This Row],[AJD_Evaporation]]+(TABL12345[[#This Row],[(A/B + A/S) AJD]]*1000))</f>
        <v/>
      </c>
      <c r="AE48" s="44" t="n"/>
      <c r="AF48" s="45" t="n"/>
      <c r="AG48" s="45" t="n"/>
      <c r="AH48" s="6">
        <f>TABL12345[[#This Row],[ (RESV. STORGE) BER]]/10</f>
        <v/>
      </c>
      <c r="AI48" s="44" t="n"/>
      <c r="AJ48" s="45">
        <f>TABL12345[[#This Row],[(A/B) AJD]]-TABL12345[[#This Row],[BER_IN]]</f>
        <v/>
      </c>
      <c r="AK48" s="45" t="n"/>
      <c r="AL48" s="45" t="n"/>
      <c r="AM48" s="32" t="n"/>
      <c r="AN48" s="32">
        <f>TABL12345[[#This Row],[ (RESV. STORGE) SER]]/10</f>
        <v/>
      </c>
      <c r="AO48" s="68" t="n"/>
      <c r="AP48" s="68">
        <f>TABL12345[[#This Row],[(A/S) AJD]]-TABL12345[[#This Row],[SER_IN]]</f>
        <v/>
      </c>
    </row>
    <row r="49" ht="18.75" customHeight="1">
      <c r="A49" s="2" t="n">
        <v>46800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TABL12345[[#This Row],[ (T/B) SAR]]+TABL12345[[#This Row],[ (S/S) SAR]]</f>
        <v/>
      </c>
      <c r="L49" s="41" t="n"/>
      <c r="M49" s="42" t="n"/>
      <c r="N49" s="42" t="n"/>
      <c r="O49" s="39" t="n"/>
      <c r="P49" s="3">
        <f>TABL12345[[#This Row],[ (S/S) SAR]]-TABL12345[[#This Row],[(S/S) AJD]]</f>
        <v/>
      </c>
      <c r="Q49" s="39" t="n"/>
      <c r="R49" s="3">
        <f>TABL12345[[#This Row],[ (T/B) SAR]]-TABL12345[[#This Row],[(T/B) AJD]]</f>
        <v/>
      </c>
      <c r="S49" s="3">
        <f>TABL12345[[#This Row],[S/S_CON.]]+TABL12345[[#This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TABL12345[[#This Row],[(RESV. STORGE) AJD]]/10</f>
        <v/>
      </c>
      <c r="AB49" s="3">
        <f>IF(TRIM(Z49)="",,(Z49-Z48)/1000)</f>
        <v/>
      </c>
      <c r="AC49" s="5" t="n"/>
      <c r="AD49" s="39">
        <f>(TABL12345[[#This Row],[( S/S+T/B) AJD]]*1000)-((TABL12345[[#This Row],[(STORGE DIFF.) AJD]]*1000)+TABL12345[[#This Row],[AJD_Evaporation]]+(TABL12345[[#This Row],[(A/B + A/S) AJD]]*1000))</f>
        <v/>
      </c>
      <c r="AE49" s="41" t="n"/>
      <c r="AF49" s="43" t="n"/>
      <c r="AG49" s="43" t="n"/>
      <c r="AH49" s="6">
        <f>TABL12345[[#This Row],[ (RESV. STORGE) BER]]/10</f>
        <v/>
      </c>
      <c r="AI49" s="41" t="n"/>
      <c r="AJ49" s="43">
        <f>TABL12345[[#This Row],[(A/B) AJD]]-TABL12345[[#This Row],[BER_IN]]</f>
        <v/>
      </c>
      <c r="AK49" s="43" t="n"/>
      <c r="AL49" s="43" t="n"/>
      <c r="AM49" s="32" t="n"/>
      <c r="AN49" s="32">
        <f>TABL12345[[#This Row],[ (RESV. STORGE) SER]]/10</f>
        <v/>
      </c>
      <c r="AO49" s="68" t="n"/>
      <c r="AP49" s="68">
        <f>TABL12345[[#This Row],[(A/S) AJD]]-TABL12345[[#This Row],[SER_IN]]</f>
        <v/>
      </c>
    </row>
    <row r="50" ht="18.75" customHeight="1">
      <c r="A50" s="2" t="n">
        <v>46801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TABL12345[[#This Row],[ (T/B) SAR]]+TABL12345[[#This Row],[ (S/S) SAR]]</f>
        <v/>
      </c>
      <c r="L50" s="45" t="n"/>
      <c r="M50" s="46" t="n"/>
      <c r="N50" s="46" t="n"/>
      <c r="O50" s="40" t="n"/>
      <c r="P50" s="3">
        <f>TABL12345[[#This Row],[ (S/S) SAR]]-TABL12345[[#This Row],[(S/S) AJD]]</f>
        <v/>
      </c>
      <c r="Q50" s="40" t="n"/>
      <c r="R50" s="3">
        <f>TABL12345[[#This Row],[ (T/B) SAR]]-TABL12345[[#This Row],[(T/B) AJD]]</f>
        <v/>
      </c>
      <c r="S50" s="3">
        <f>TABL12345[[#This Row],[S/S_CON.]]+TABL12345[[#This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TABL12345[[#This Row],[(RESV. STORGE) AJD]]/10</f>
        <v/>
      </c>
      <c r="AB50" s="3">
        <f>IF(TRIM(Z50)="",,(Z50-Z49)/1000)</f>
        <v/>
      </c>
      <c r="AC50" s="5" t="n"/>
      <c r="AD50" s="40">
        <f>(TABL12345[[#This Row],[( S/S+T/B) AJD]]*1000)-((TABL12345[[#This Row],[(STORGE DIFF.) AJD]]*1000)+TABL12345[[#This Row],[AJD_Evaporation]]+(TABL12345[[#This Row],[(A/B + A/S) AJD]]*1000))</f>
        <v/>
      </c>
      <c r="AE50" s="44" t="n"/>
      <c r="AF50" s="45" t="n"/>
      <c r="AG50" s="45" t="n"/>
      <c r="AH50" s="6">
        <f>TABL12345[[#This Row],[ (RESV. STORGE) BER]]/10</f>
        <v/>
      </c>
      <c r="AI50" s="44" t="n"/>
      <c r="AJ50" s="45">
        <f>TABL12345[[#This Row],[(A/B) AJD]]-TABL12345[[#This Row],[BER_IN]]</f>
        <v/>
      </c>
      <c r="AK50" s="45" t="n"/>
      <c r="AL50" s="45" t="n"/>
      <c r="AM50" s="32" t="n"/>
      <c r="AN50" s="32">
        <f>TABL12345[[#This Row],[ (RESV. STORGE) SER]]/10</f>
        <v/>
      </c>
      <c r="AO50" s="68" t="n"/>
      <c r="AP50" s="68">
        <f>TABL12345[[#This Row],[(A/S) AJD]]-TABL12345[[#This Row],[SER_IN]]</f>
        <v/>
      </c>
    </row>
    <row r="51" ht="18.75" customHeight="1">
      <c r="A51" s="2" t="n">
        <v>46802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TABL12345[[#This Row],[ (T/B) SAR]]+TABL12345[[#This Row],[ (S/S) SAR]]</f>
        <v/>
      </c>
      <c r="L51" s="41" t="n"/>
      <c r="M51" s="42" t="n"/>
      <c r="N51" s="42" t="n"/>
      <c r="O51" s="39" t="n"/>
      <c r="P51" s="3">
        <f>TABL12345[[#This Row],[ (S/S) SAR]]-TABL12345[[#This Row],[(S/S) AJD]]</f>
        <v/>
      </c>
      <c r="Q51" s="39" t="n"/>
      <c r="R51" s="3">
        <f>TABL12345[[#This Row],[ (T/B) SAR]]-TABL12345[[#This Row],[(T/B) AJD]]</f>
        <v/>
      </c>
      <c r="S51" s="3">
        <f>TABL12345[[#This Row],[S/S_CON.]]+TABL12345[[#This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TABL12345[[#This Row],[(RESV. STORGE) AJD]]/10</f>
        <v/>
      </c>
      <c r="AB51" s="3">
        <f>IF(TRIM(Z51)="",,(Z51-Z50)/1000)</f>
        <v/>
      </c>
      <c r="AC51" s="5" t="n"/>
      <c r="AD51" s="39">
        <f>(TABL12345[[#This Row],[( S/S+T/B) AJD]]*1000)-((TABL12345[[#This Row],[(STORGE DIFF.) AJD]]*1000)+TABL12345[[#This Row],[AJD_Evaporation]]+(TABL12345[[#This Row],[(A/B + A/S) AJD]]*1000))</f>
        <v/>
      </c>
      <c r="AE51" s="41" t="n"/>
      <c r="AF51" s="43" t="n"/>
      <c r="AG51" s="43" t="n"/>
      <c r="AH51" s="6">
        <f>TABL12345[[#This Row],[ (RESV. STORGE) BER]]/10</f>
        <v/>
      </c>
      <c r="AI51" s="41" t="n"/>
      <c r="AJ51" s="43">
        <f>TABL12345[[#This Row],[(A/B) AJD]]-TABL12345[[#This Row],[BER_IN]]</f>
        <v/>
      </c>
      <c r="AK51" s="43" t="n"/>
      <c r="AL51" s="43" t="n"/>
      <c r="AM51" s="32" t="n"/>
      <c r="AN51" s="32">
        <f>TABL12345[[#This Row],[ (RESV. STORGE) SER]]/10</f>
        <v/>
      </c>
      <c r="AO51" s="68" t="n"/>
      <c r="AP51" s="68">
        <f>TABL12345[[#This Row],[(A/S) AJD]]-TABL12345[[#This Row],[SER_IN]]</f>
        <v/>
      </c>
    </row>
    <row r="52" ht="18.75" customHeight="1">
      <c r="A52" s="2" t="n">
        <v>46803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TABL12345[[#This Row],[ (T/B) SAR]]+TABL12345[[#This Row],[ (S/S) SAR]]</f>
        <v/>
      </c>
      <c r="L52" s="45" t="n"/>
      <c r="M52" s="46" t="n"/>
      <c r="N52" s="46" t="n"/>
      <c r="O52" s="40" t="n"/>
      <c r="P52" s="3">
        <f>TABL12345[[#This Row],[ (S/S) SAR]]-TABL12345[[#This Row],[(S/S) AJD]]</f>
        <v/>
      </c>
      <c r="Q52" s="40" t="n"/>
      <c r="R52" s="3">
        <f>TABL12345[[#This Row],[ (T/B) SAR]]-TABL12345[[#This Row],[(T/B) AJD]]</f>
        <v/>
      </c>
      <c r="S52" s="3">
        <f>TABL12345[[#This Row],[S/S_CON.]]+TABL12345[[#This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TABL12345[[#This Row],[(RESV. STORGE) AJD]]/10</f>
        <v/>
      </c>
      <c r="AB52" s="3">
        <f>IF(TRIM(Z52)="",,(Z52-Z51)/1000)</f>
        <v/>
      </c>
      <c r="AC52" s="5" t="n"/>
      <c r="AD52" s="40">
        <f>(TABL12345[[#This Row],[( S/S+T/B) AJD]]*1000)-((TABL12345[[#This Row],[(STORGE DIFF.) AJD]]*1000)+TABL12345[[#This Row],[AJD_Evaporation]]+(TABL12345[[#This Row],[(A/B + A/S) AJD]]*1000))</f>
        <v/>
      </c>
      <c r="AE52" s="44" t="n"/>
      <c r="AF52" s="45" t="n"/>
      <c r="AG52" s="45" t="n"/>
      <c r="AH52" s="6">
        <f>TABL12345[[#This Row],[ (RESV. STORGE) BER]]/10</f>
        <v/>
      </c>
      <c r="AI52" s="44" t="n"/>
      <c r="AJ52" s="45">
        <f>TABL12345[[#This Row],[(A/B) AJD]]-TABL12345[[#This Row],[BER_IN]]</f>
        <v/>
      </c>
      <c r="AK52" s="45" t="n"/>
      <c r="AL52" s="45" t="n"/>
      <c r="AM52" s="32" t="n"/>
      <c r="AN52" s="32">
        <f>TABL12345[[#This Row],[ (RESV. STORGE) SER]]/10</f>
        <v/>
      </c>
      <c r="AO52" s="68" t="n"/>
      <c r="AP52" s="68">
        <f>TABL12345[[#This Row],[(A/S) AJD]]-TABL12345[[#This Row],[SER_IN]]</f>
        <v/>
      </c>
    </row>
    <row r="53" ht="18.75" customHeight="1">
      <c r="A53" s="2" t="n">
        <v>46804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TABL12345[[#This Row],[ (T/B) SAR]]+TABL12345[[#This Row],[ (S/S) SAR]]</f>
        <v/>
      </c>
      <c r="L53" s="41" t="n"/>
      <c r="M53" s="42" t="n"/>
      <c r="N53" s="42" t="n"/>
      <c r="O53" s="39" t="n"/>
      <c r="P53" s="3">
        <f>TABL12345[[#This Row],[ (S/S) SAR]]-TABL12345[[#This Row],[(S/S) AJD]]</f>
        <v/>
      </c>
      <c r="Q53" s="39" t="n"/>
      <c r="R53" s="3">
        <f>TABL12345[[#This Row],[ (T/B) SAR]]-TABL12345[[#This Row],[(T/B) AJD]]</f>
        <v/>
      </c>
      <c r="S53" s="3">
        <f>TABL12345[[#This Row],[S/S_CON.]]+TABL12345[[#This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TABL12345[[#This Row],[(RESV. STORGE) AJD]]/10</f>
        <v/>
      </c>
      <c r="AB53" s="3">
        <f>IF(TRIM(Z53)="",,(Z53-Z52)/1000)</f>
        <v/>
      </c>
      <c r="AC53" s="5" t="n"/>
      <c r="AD53" s="39">
        <f>(TABL12345[[#This Row],[( S/S+T/B) AJD]]*1000)-((TABL12345[[#This Row],[(STORGE DIFF.) AJD]]*1000)+TABL12345[[#This Row],[AJD_Evaporation]]+(TABL12345[[#This Row],[(A/B + A/S) AJD]]*1000))</f>
        <v/>
      </c>
      <c r="AE53" s="41" t="n"/>
      <c r="AF53" s="43" t="n"/>
      <c r="AG53" s="43" t="n"/>
      <c r="AH53" s="6">
        <f>TABL12345[[#This Row],[ (RESV. STORGE) BER]]/10</f>
        <v/>
      </c>
      <c r="AI53" s="41" t="n"/>
      <c r="AJ53" s="43">
        <f>TABL12345[[#This Row],[(A/B) AJD]]-TABL12345[[#This Row],[BER_IN]]</f>
        <v/>
      </c>
      <c r="AK53" s="43" t="n"/>
      <c r="AL53" s="43" t="n"/>
      <c r="AM53" s="32" t="n"/>
      <c r="AN53" s="32">
        <f>TABL12345[[#This Row],[ (RESV. STORGE) SER]]/10</f>
        <v/>
      </c>
      <c r="AO53" s="68" t="n"/>
      <c r="AP53" s="68">
        <f>TABL12345[[#This Row],[(A/S) AJD]]-TABL12345[[#This Row],[SER_IN]]</f>
        <v/>
      </c>
    </row>
    <row r="54" ht="18.75" customHeight="1">
      <c r="A54" s="2" t="n">
        <v>46805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TABL12345[[#This Row],[ (T/B) SAR]]+TABL12345[[#This Row],[ (S/S) SAR]]</f>
        <v/>
      </c>
      <c r="L54" s="45" t="n"/>
      <c r="M54" s="46" t="n"/>
      <c r="N54" s="46" t="n"/>
      <c r="O54" s="40" t="n"/>
      <c r="P54" s="3">
        <f>TABL12345[[#This Row],[ (S/S) SAR]]-TABL12345[[#This Row],[(S/S) AJD]]</f>
        <v/>
      </c>
      <c r="Q54" s="40" t="n"/>
      <c r="R54" s="3">
        <f>TABL12345[[#This Row],[ (T/B) SAR]]-TABL12345[[#This Row],[(T/B) AJD]]</f>
        <v/>
      </c>
      <c r="S54" s="3">
        <f>TABL12345[[#This Row],[S/S_CON.]]+TABL12345[[#This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TABL12345[[#This Row],[(RESV. STORGE) AJD]]/10</f>
        <v/>
      </c>
      <c r="AB54" s="3">
        <f>IF(TRIM(Z54)="",,(Z54-Z53)/1000)</f>
        <v/>
      </c>
      <c r="AC54" s="5" t="n"/>
      <c r="AD54" s="40">
        <f>(TABL12345[[#This Row],[( S/S+T/B) AJD]]*1000)-((TABL12345[[#This Row],[(STORGE DIFF.) AJD]]*1000)+TABL12345[[#This Row],[AJD_Evaporation]]+(TABL12345[[#This Row],[(A/B + A/S) AJD]]*1000))</f>
        <v/>
      </c>
      <c r="AE54" s="44" t="n"/>
      <c r="AF54" s="45" t="n"/>
      <c r="AG54" s="45" t="n"/>
      <c r="AH54" s="6">
        <f>TABL12345[[#This Row],[ (RESV. STORGE) BER]]/10</f>
        <v/>
      </c>
      <c r="AI54" s="44" t="n"/>
      <c r="AJ54" s="45">
        <f>TABL12345[[#This Row],[(A/B) AJD]]-TABL12345[[#This Row],[BER_IN]]</f>
        <v/>
      </c>
      <c r="AK54" s="45" t="n"/>
      <c r="AL54" s="45" t="n"/>
      <c r="AM54" s="32" t="n"/>
      <c r="AN54" s="32">
        <f>TABL12345[[#This Row],[ (RESV. STORGE) SER]]/10</f>
        <v/>
      </c>
      <c r="AO54" s="68" t="n"/>
      <c r="AP54" s="68">
        <f>TABL12345[[#This Row],[(A/S) AJD]]-TABL12345[[#This Row],[SER_IN]]</f>
        <v/>
      </c>
    </row>
    <row r="55" ht="18.75" customHeight="1">
      <c r="A55" s="2" t="n">
        <v>46806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TABL12345[[#This Row],[ (T/B) SAR]]+TABL12345[[#This Row],[ (S/S) SAR]]</f>
        <v/>
      </c>
      <c r="L55" s="41" t="n"/>
      <c r="M55" s="42" t="n"/>
      <c r="N55" s="42" t="n"/>
      <c r="O55" s="39" t="n"/>
      <c r="P55" s="3">
        <f>TABL12345[[#This Row],[ (S/S) SAR]]-TABL12345[[#This Row],[(S/S) AJD]]</f>
        <v/>
      </c>
      <c r="Q55" s="39" t="n"/>
      <c r="R55" s="3">
        <f>TABL12345[[#This Row],[ (T/B) SAR]]-TABL12345[[#This Row],[(T/B) AJD]]</f>
        <v/>
      </c>
      <c r="S55" s="3">
        <f>TABL12345[[#This Row],[S/S_CON.]]+TABL12345[[#This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TABL12345[[#This Row],[(RESV. STORGE) AJD]]/10</f>
        <v/>
      </c>
      <c r="AB55" s="3">
        <f>IF(TRIM(Z55)="",,(Z55-Z54)/1000)</f>
        <v/>
      </c>
      <c r="AC55" s="5" t="n"/>
      <c r="AD55" s="39">
        <f>(TABL12345[[#This Row],[( S/S+T/B) AJD]]*1000)-((TABL12345[[#This Row],[(STORGE DIFF.) AJD]]*1000)+TABL12345[[#This Row],[AJD_Evaporation]]+(TABL12345[[#This Row],[(A/B + A/S) AJD]]*1000))</f>
        <v/>
      </c>
      <c r="AE55" s="41" t="n"/>
      <c r="AF55" s="43" t="n"/>
      <c r="AG55" s="43" t="n"/>
      <c r="AH55" s="6">
        <f>TABL12345[[#This Row],[ (RESV. STORGE) BER]]/10</f>
        <v/>
      </c>
      <c r="AI55" s="41" t="n"/>
      <c r="AJ55" s="43">
        <f>TABL12345[[#This Row],[(A/B) AJD]]-TABL12345[[#This Row],[BER_IN]]</f>
        <v/>
      </c>
      <c r="AK55" s="43" t="n"/>
      <c r="AL55" s="43" t="n"/>
      <c r="AM55" s="32" t="n"/>
      <c r="AN55" s="32">
        <f>TABL12345[[#This Row],[ (RESV. STORGE) SER]]/10</f>
        <v/>
      </c>
      <c r="AO55" s="68" t="n"/>
      <c r="AP55" s="68">
        <f>TABL12345[[#This Row],[(A/S) AJD]]-TABL12345[[#This Row],[SER_IN]]</f>
        <v/>
      </c>
    </row>
    <row r="56" ht="18.75" customHeight="1">
      <c r="A56" s="2" t="n">
        <v>46807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TABL12345[[#This Row],[ (T/B) SAR]]+TABL12345[[#This Row],[ (S/S) SAR]]</f>
        <v/>
      </c>
      <c r="L56" s="45" t="n"/>
      <c r="M56" s="46" t="n"/>
      <c r="N56" s="46" t="n"/>
      <c r="O56" s="40" t="n"/>
      <c r="P56" s="3">
        <f>TABL12345[[#This Row],[ (S/S) SAR]]-TABL12345[[#This Row],[(S/S) AJD]]</f>
        <v/>
      </c>
      <c r="Q56" s="40" t="n"/>
      <c r="R56" s="3">
        <f>TABL12345[[#This Row],[ (T/B) SAR]]-TABL12345[[#This Row],[(T/B) AJD]]</f>
        <v/>
      </c>
      <c r="S56" s="3">
        <f>TABL12345[[#This Row],[S/S_CON.]]+TABL12345[[#This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TABL12345[[#This Row],[(RESV. STORGE) AJD]]/10</f>
        <v/>
      </c>
      <c r="AB56" s="3">
        <f>IF(TRIM(Z56)="",,(Z56-Z55)/1000)</f>
        <v/>
      </c>
      <c r="AC56" s="5" t="n"/>
      <c r="AD56" s="40">
        <f>(TABL12345[[#This Row],[( S/S+T/B) AJD]]*1000)-((TABL12345[[#This Row],[(STORGE DIFF.) AJD]]*1000)+TABL12345[[#This Row],[AJD_Evaporation]]+(TABL12345[[#This Row],[(A/B + A/S) AJD]]*1000))</f>
        <v/>
      </c>
      <c r="AE56" s="44" t="n"/>
      <c r="AF56" s="45" t="n"/>
      <c r="AG56" s="45" t="n"/>
      <c r="AH56" s="6">
        <f>TABL12345[[#This Row],[ (RESV. STORGE) BER]]/10</f>
        <v/>
      </c>
      <c r="AI56" s="44" t="n"/>
      <c r="AJ56" s="45">
        <f>TABL12345[[#This Row],[(A/B) AJD]]-TABL12345[[#This Row],[BER_IN]]</f>
        <v/>
      </c>
      <c r="AK56" s="45" t="n"/>
      <c r="AL56" s="45" t="n"/>
      <c r="AM56" s="32" t="n"/>
      <c r="AN56" s="32">
        <f>TABL12345[[#This Row],[ (RESV. STORGE) SER]]/10</f>
        <v/>
      </c>
      <c r="AO56" s="68" t="n"/>
      <c r="AP56" s="68">
        <f>TABL12345[[#This Row],[(A/S) AJD]]-TABL12345[[#This Row],[SER_IN]]</f>
        <v/>
      </c>
    </row>
    <row r="57" ht="18.75" customHeight="1">
      <c r="A57" s="2" t="n">
        <v>46808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TABL12345[[#This Row],[ (T/B) SAR]]+TABL12345[[#This Row],[ (S/S) SAR]]</f>
        <v/>
      </c>
      <c r="L57" s="41" t="n"/>
      <c r="M57" s="42" t="n"/>
      <c r="N57" s="42" t="n"/>
      <c r="O57" s="39" t="n"/>
      <c r="P57" s="3">
        <f>TABL12345[[#This Row],[ (S/S) SAR]]-TABL12345[[#This Row],[(S/S) AJD]]</f>
        <v/>
      </c>
      <c r="Q57" s="39" t="n"/>
      <c r="R57" s="3">
        <f>TABL12345[[#This Row],[ (T/B) SAR]]-TABL12345[[#This Row],[(T/B) AJD]]</f>
        <v/>
      </c>
      <c r="S57" s="3">
        <f>TABL12345[[#This Row],[S/S_CON.]]+TABL12345[[#This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TABL12345[[#This Row],[(RESV. STORGE) AJD]]/10</f>
        <v/>
      </c>
      <c r="AB57" s="3">
        <f>IF(TRIM(Z57)="",,(Z57-Z56)/1000)</f>
        <v/>
      </c>
      <c r="AC57" s="5" t="n"/>
      <c r="AD57" s="39">
        <f>(TABL12345[[#This Row],[( S/S+T/B) AJD]]*1000)-((TABL12345[[#This Row],[(STORGE DIFF.) AJD]]*1000)+TABL12345[[#This Row],[AJD_Evaporation]]+(TABL12345[[#This Row],[(A/B + A/S) AJD]]*1000))</f>
        <v/>
      </c>
      <c r="AE57" s="41" t="n"/>
      <c r="AF57" s="43" t="n"/>
      <c r="AG57" s="43" t="n"/>
      <c r="AH57" s="6">
        <f>TABL12345[[#This Row],[ (RESV. STORGE) BER]]/10</f>
        <v/>
      </c>
      <c r="AI57" s="41" t="n"/>
      <c r="AJ57" s="43">
        <f>TABL12345[[#This Row],[(A/B) AJD]]-TABL12345[[#This Row],[BER_IN]]</f>
        <v/>
      </c>
      <c r="AK57" s="43" t="n"/>
      <c r="AL57" s="43" t="n"/>
      <c r="AM57" s="32" t="n"/>
      <c r="AN57" s="32">
        <f>TABL12345[[#This Row],[ (RESV. STORGE) SER]]/10</f>
        <v/>
      </c>
      <c r="AO57" s="68" t="n"/>
      <c r="AP57" s="68">
        <f>TABL12345[[#This Row],[(A/S) AJD]]-TABL12345[[#This Row],[SER_IN]]</f>
        <v/>
      </c>
    </row>
    <row r="58" ht="18.75" customHeight="1">
      <c r="A58" s="2" t="n">
        <v>46809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TABL12345[[#This Row],[ (T/B) SAR]]+TABL12345[[#This Row],[ (S/S) SAR]]</f>
        <v/>
      </c>
      <c r="L58" s="45" t="n"/>
      <c r="M58" s="46" t="n"/>
      <c r="N58" s="46" t="n"/>
      <c r="O58" s="40" t="n"/>
      <c r="P58" s="3">
        <f>TABL12345[[#This Row],[ (S/S) SAR]]-TABL12345[[#This Row],[(S/S) AJD]]</f>
        <v/>
      </c>
      <c r="Q58" s="40" t="n"/>
      <c r="R58" s="3">
        <f>TABL12345[[#This Row],[ (T/B) SAR]]-TABL12345[[#This Row],[(T/B) AJD]]</f>
        <v/>
      </c>
      <c r="S58" s="3">
        <f>TABL12345[[#This Row],[S/S_CON.]]+TABL12345[[#This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TABL12345[[#This Row],[(RESV. STORGE) AJD]]/10</f>
        <v/>
      </c>
      <c r="AB58" s="3">
        <f>IF(TRIM(Z58)="",,(Z58-Z57)/1000)</f>
        <v/>
      </c>
      <c r="AC58" s="5" t="n"/>
      <c r="AD58" s="40">
        <f>(TABL12345[[#This Row],[( S/S+T/B) AJD]]*1000)-((TABL12345[[#This Row],[(STORGE DIFF.) AJD]]*1000)+TABL12345[[#This Row],[AJD_Evaporation]]+(TABL12345[[#This Row],[(A/B + A/S) AJD]]*1000))</f>
        <v/>
      </c>
      <c r="AE58" s="44" t="n"/>
      <c r="AF58" s="45" t="n"/>
      <c r="AG58" s="45" t="n"/>
      <c r="AH58" s="6">
        <f>TABL12345[[#This Row],[ (RESV. STORGE) BER]]/10</f>
        <v/>
      </c>
      <c r="AI58" s="44" t="n"/>
      <c r="AJ58" s="45">
        <f>TABL12345[[#This Row],[(A/B) AJD]]-TABL12345[[#This Row],[BER_IN]]</f>
        <v/>
      </c>
      <c r="AK58" s="45" t="n"/>
      <c r="AL58" s="45" t="n"/>
      <c r="AM58" s="32" t="n"/>
      <c r="AN58" s="32">
        <f>TABL12345[[#This Row],[ (RESV. STORGE) SER]]/10</f>
        <v/>
      </c>
      <c r="AO58" s="68" t="n"/>
      <c r="AP58" s="68">
        <f>TABL12345[[#This Row],[(A/S) AJD]]-TABL12345[[#This Row],[SER_IN]]</f>
        <v/>
      </c>
    </row>
    <row r="59" ht="18.75" customHeight="1">
      <c r="A59" s="2" t="n">
        <v>46810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TABL12345[[#This Row],[ (T/B) SAR]]+TABL12345[[#This Row],[ (S/S) SAR]]</f>
        <v/>
      </c>
      <c r="L59" s="41" t="n"/>
      <c r="M59" s="42" t="n"/>
      <c r="N59" s="42" t="n"/>
      <c r="O59" s="39" t="n"/>
      <c r="P59" s="3">
        <f>TABL12345[[#This Row],[ (S/S) SAR]]-TABL12345[[#This Row],[(S/S) AJD]]</f>
        <v/>
      </c>
      <c r="Q59" s="39" t="n"/>
      <c r="R59" s="3">
        <f>TABL12345[[#This Row],[ (T/B) SAR]]-TABL12345[[#This Row],[(T/B) AJD]]</f>
        <v/>
      </c>
      <c r="S59" s="3">
        <f>TABL12345[[#This Row],[S/S_CON.]]+TABL12345[[#This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TABL12345[[#This Row],[(RESV. STORGE) AJD]]/10</f>
        <v/>
      </c>
      <c r="AB59" s="3">
        <f>IF(TRIM(Z59)="",,(Z59-Z58)/1000)</f>
        <v/>
      </c>
      <c r="AC59" s="5" t="n"/>
      <c r="AD59" s="39">
        <f>(TABL12345[[#This Row],[( S/S+T/B) AJD]]*1000)-((TABL12345[[#This Row],[(STORGE DIFF.) AJD]]*1000)+TABL12345[[#This Row],[AJD_Evaporation]]+(TABL12345[[#This Row],[(A/B + A/S) AJD]]*1000))</f>
        <v/>
      </c>
      <c r="AE59" s="41" t="n"/>
      <c r="AF59" s="43" t="n"/>
      <c r="AG59" s="43" t="n"/>
      <c r="AH59" s="6">
        <f>TABL12345[[#This Row],[ (RESV. STORGE) BER]]/10</f>
        <v/>
      </c>
      <c r="AI59" s="41" t="n"/>
      <c r="AJ59" s="43">
        <f>TABL12345[[#This Row],[(A/B) AJD]]-TABL12345[[#This Row],[BER_IN]]</f>
        <v/>
      </c>
      <c r="AK59" s="43" t="n"/>
      <c r="AL59" s="43" t="n"/>
      <c r="AM59" s="32" t="n"/>
      <c r="AN59" s="32">
        <f>TABL12345[[#This Row],[ (RESV. STORGE) SER]]/10</f>
        <v/>
      </c>
      <c r="AO59" s="68" t="n"/>
      <c r="AP59" s="68">
        <f>TABL12345[[#This Row],[(A/S) AJD]]-TABL12345[[#This Row],[SER_IN]]</f>
        <v/>
      </c>
    </row>
    <row r="60" ht="18.75" customHeight="1">
      <c r="A60" s="2" t="n">
        <v>46811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TABL12345[[#This Row],[ (T/B) SAR]]+TABL12345[[#This Row],[ (S/S) SAR]]</f>
        <v/>
      </c>
      <c r="L60" s="45" t="n"/>
      <c r="M60" s="46" t="n"/>
      <c r="N60" s="46" t="n"/>
      <c r="O60" s="40" t="n"/>
      <c r="P60" s="3">
        <f>TABL12345[[#This Row],[ (S/S) SAR]]-TABL12345[[#This Row],[(S/S) AJD]]</f>
        <v/>
      </c>
      <c r="Q60" s="40" t="n"/>
      <c r="R60" s="3">
        <f>TABL12345[[#This Row],[ (T/B) SAR]]-TABL12345[[#This Row],[(T/B) AJD]]</f>
        <v/>
      </c>
      <c r="S60" s="3">
        <f>TABL12345[[#This Row],[S/S_CON.]]+TABL12345[[#This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TABL12345[[#This Row],[(RESV. STORGE) AJD]]/10</f>
        <v/>
      </c>
      <c r="AB60" s="3">
        <f>IF(TRIM(Z60)="",,(Z60-Z59)/1000)</f>
        <v/>
      </c>
      <c r="AC60" s="5" t="n"/>
      <c r="AD60" s="40">
        <f>(TABL12345[[#This Row],[( S/S+T/B) AJD]]*1000)-((TABL12345[[#This Row],[(STORGE DIFF.) AJD]]*1000)+TABL12345[[#This Row],[AJD_Evaporation]]+(TABL12345[[#This Row],[(A/B + A/S) AJD]]*1000))</f>
        <v/>
      </c>
      <c r="AE60" s="44" t="n"/>
      <c r="AF60" s="45" t="n"/>
      <c r="AG60" s="45" t="n"/>
      <c r="AH60" s="6">
        <f>TABL12345[[#This Row],[ (RESV. STORGE) BER]]/10</f>
        <v/>
      </c>
      <c r="AI60" s="44" t="n"/>
      <c r="AJ60" s="45">
        <f>TABL12345[[#This Row],[(A/B) AJD]]-TABL12345[[#This Row],[BER_IN]]</f>
        <v/>
      </c>
      <c r="AK60" s="45" t="n"/>
      <c r="AL60" s="45" t="n"/>
      <c r="AM60" s="32" t="n"/>
      <c r="AN60" s="32">
        <f>TABL12345[[#This Row],[ (RESV. STORGE) SER]]/10</f>
        <v/>
      </c>
      <c r="AO60" s="68" t="n"/>
      <c r="AP60" s="68">
        <f>TABL12345[[#This Row],[(A/S) AJD]]-TABL12345[[#This Row],[SER_IN]]</f>
        <v/>
      </c>
    </row>
    <row r="61" ht="18.75" customHeight="1">
      <c r="A61" s="2" t="n">
        <v>46812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TABL12345[[#This Row],[ (T/B) SAR]]+TABL12345[[#This Row],[ (S/S) SAR]]</f>
        <v/>
      </c>
      <c r="L61" s="41" t="n"/>
      <c r="M61" s="42" t="n"/>
      <c r="N61" s="42" t="n"/>
      <c r="O61" s="39" t="n"/>
      <c r="P61" s="3">
        <f>TABL12345[[#This Row],[ (S/S) SAR]]-TABL12345[[#This Row],[(S/S) AJD]]</f>
        <v/>
      </c>
      <c r="Q61" s="39" t="n"/>
      <c r="R61" s="3">
        <f>TABL12345[[#This Row],[ (T/B) SAR]]-TABL12345[[#This Row],[(T/B) AJD]]</f>
        <v/>
      </c>
      <c r="S61" s="3">
        <f>TABL12345[[#This Row],[S/S_CON.]]+TABL12345[[#This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TABL12345[[#This Row],[(RESV. STORGE) AJD]]/10</f>
        <v/>
      </c>
      <c r="AB61" s="3">
        <f>IF(TRIM(Z61)="",,(Z61-Z60)/1000)</f>
        <v/>
      </c>
      <c r="AC61" s="5" t="n"/>
      <c r="AD61" s="39">
        <f>(TABL12345[[#This Row],[( S/S+T/B) AJD]]*1000)-((TABL12345[[#This Row],[(STORGE DIFF.) AJD]]*1000)+TABL12345[[#This Row],[AJD_Evaporation]]+(TABL12345[[#This Row],[(A/B + A/S) AJD]]*1000))</f>
        <v/>
      </c>
      <c r="AE61" s="41" t="n"/>
      <c r="AF61" s="43" t="n"/>
      <c r="AG61" s="43" t="n"/>
      <c r="AH61" s="6">
        <f>TABL12345[[#This Row],[ (RESV. STORGE) BER]]/10</f>
        <v/>
      </c>
      <c r="AI61" s="41" t="n"/>
      <c r="AJ61" s="43">
        <f>TABL12345[[#This Row],[(A/B) AJD]]-TABL12345[[#This Row],[BER_IN]]</f>
        <v/>
      </c>
      <c r="AK61" s="43" t="n"/>
      <c r="AL61" s="43" t="n"/>
      <c r="AM61" s="32" t="n"/>
      <c r="AN61" s="32">
        <f>TABL12345[[#This Row],[ (RESV. STORGE) SER]]/10</f>
        <v/>
      </c>
      <c r="AO61" s="68" t="n"/>
      <c r="AP61" s="68">
        <f>TABL12345[[#This Row],[(A/S) AJD]]-TABL12345[[#This Row],[SER_IN]]</f>
        <v/>
      </c>
    </row>
    <row r="62" ht="18.75" customHeight="1">
      <c r="A62" s="2" t="n">
        <v>46813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TABL12345[[#This Row],[ (T/B) SAR]]+TABL12345[[#This Row],[ (S/S) SAR]]</f>
        <v/>
      </c>
      <c r="L62" s="45" t="n"/>
      <c r="M62" s="46" t="n"/>
      <c r="N62" s="46" t="n"/>
      <c r="O62" s="40" t="n"/>
      <c r="P62" s="3">
        <f>TABL12345[[#This Row],[ (S/S) SAR]]-TABL12345[[#This Row],[(S/S) AJD]]</f>
        <v/>
      </c>
      <c r="Q62" s="40" t="n"/>
      <c r="R62" s="3">
        <f>TABL12345[[#This Row],[ (T/B) SAR]]-TABL12345[[#This Row],[(T/B) AJD]]</f>
        <v/>
      </c>
      <c r="S62" s="3">
        <f>TABL12345[[#This Row],[S/S_CON.]]+TABL12345[[#This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TABL12345[[#This Row],[(RESV. STORGE) AJD]]/10</f>
        <v/>
      </c>
      <c r="AB62" s="3">
        <f>IF(TRIM(Z62)="",,(Z62-Z61)/1000)</f>
        <v/>
      </c>
      <c r="AC62" s="5" t="n"/>
      <c r="AD62" s="40">
        <f>(TABL12345[[#This Row],[( S/S+T/B) AJD]]*1000)-((TABL12345[[#This Row],[(STORGE DIFF.) AJD]]*1000)+TABL12345[[#This Row],[AJD_Evaporation]]+(TABL12345[[#This Row],[(A/B + A/S) AJD]]*1000))</f>
        <v/>
      </c>
      <c r="AE62" s="44" t="n"/>
      <c r="AF62" s="45" t="n"/>
      <c r="AG62" s="45" t="n"/>
      <c r="AH62" s="6">
        <f>TABL12345[[#This Row],[ (RESV. STORGE) BER]]/10</f>
        <v/>
      </c>
      <c r="AI62" s="44" t="n"/>
      <c r="AJ62" s="45">
        <f>TABL12345[[#This Row],[(A/B) AJD]]-TABL12345[[#This Row],[BER_IN]]</f>
        <v/>
      </c>
      <c r="AK62" s="45" t="n"/>
      <c r="AL62" s="45" t="n"/>
      <c r="AM62" s="32" t="n"/>
      <c r="AN62" s="32">
        <f>TABL12345[[#This Row],[ (RESV. STORGE) SER]]/10</f>
        <v/>
      </c>
      <c r="AO62" s="68" t="n"/>
      <c r="AP62" s="68">
        <f>TABL12345[[#This Row],[(A/S) AJD]]-TABL12345[[#This Row],[SER_IN]]</f>
        <v/>
      </c>
    </row>
    <row r="63" ht="18.75" customHeight="1">
      <c r="A63" s="2" t="n">
        <v>46814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TABL12345[[#This Row],[ (T/B) SAR]]+TABL12345[[#This Row],[ (S/S) SAR]]</f>
        <v/>
      </c>
      <c r="L63" s="41" t="n"/>
      <c r="M63" s="42" t="n"/>
      <c r="N63" s="42" t="n"/>
      <c r="O63" s="39" t="n"/>
      <c r="P63" s="3">
        <f>TABL12345[[#This Row],[ (S/S) SAR]]-TABL12345[[#This Row],[(S/S) AJD]]</f>
        <v/>
      </c>
      <c r="Q63" s="39" t="n"/>
      <c r="R63" s="3">
        <f>TABL12345[[#This Row],[ (T/B) SAR]]-TABL12345[[#This Row],[(T/B) AJD]]</f>
        <v/>
      </c>
      <c r="S63" s="3">
        <f>TABL12345[[#This Row],[S/S_CON.]]+TABL12345[[#This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TABL12345[[#This Row],[(RESV. STORGE) AJD]]/10</f>
        <v/>
      </c>
      <c r="AB63" s="3">
        <f>IF(TRIM(Z63)="",,(Z63-Z62)/1000)</f>
        <v/>
      </c>
      <c r="AC63" s="5" t="n"/>
      <c r="AD63" s="39">
        <f>(TABL12345[[#This Row],[( S/S+T/B) AJD]]*1000)-((TABL12345[[#This Row],[(STORGE DIFF.) AJD]]*1000)+TABL12345[[#This Row],[AJD_Evaporation]]+(TABL12345[[#This Row],[(A/B + A/S) AJD]]*1000))</f>
        <v/>
      </c>
      <c r="AE63" s="41" t="n"/>
      <c r="AF63" s="43" t="n"/>
      <c r="AG63" s="43" t="n"/>
      <c r="AH63" s="6">
        <f>TABL12345[[#This Row],[ (RESV. STORGE) BER]]/10</f>
        <v/>
      </c>
      <c r="AI63" s="41" t="n"/>
      <c r="AJ63" s="43">
        <f>TABL12345[[#This Row],[(A/B) AJD]]-TABL12345[[#This Row],[BER_IN]]</f>
        <v/>
      </c>
      <c r="AK63" s="43" t="n"/>
      <c r="AL63" s="43" t="n"/>
      <c r="AM63" s="32" t="n"/>
      <c r="AN63" s="32">
        <f>TABL12345[[#This Row],[ (RESV. STORGE) SER]]/10</f>
        <v/>
      </c>
      <c r="AO63" s="68" t="n"/>
      <c r="AP63" s="68">
        <f>TABL12345[[#This Row],[(A/S) AJD]]-TABL12345[[#This Row],[SER_IN]]</f>
        <v/>
      </c>
    </row>
    <row r="64" ht="18.75" customHeight="1">
      <c r="A64" s="2" t="n">
        <v>46815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TABL12345[[#This Row],[ (T/B) SAR]]+TABL12345[[#This Row],[ (S/S) SAR]]</f>
        <v/>
      </c>
      <c r="L64" s="45" t="n"/>
      <c r="M64" s="46" t="n"/>
      <c r="N64" s="46" t="n"/>
      <c r="O64" s="40" t="n"/>
      <c r="P64" s="3">
        <f>TABL12345[[#This Row],[ (S/S) SAR]]-TABL12345[[#This Row],[(S/S) AJD]]</f>
        <v/>
      </c>
      <c r="Q64" s="40" t="n"/>
      <c r="R64" s="3">
        <f>TABL12345[[#This Row],[ (T/B) SAR]]-TABL12345[[#This Row],[(T/B) AJD]]</f>
        <v/>
      </c>
      <c r="S64" s="3">
        <f>TABL12345[[#This Row],[S/S_CON.]]+TABL12345[[#This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TABL12345[[#This Row],[(RESV. STORGE) AJD]]/10</f>
        <v/>
      </c>
      <c r="AB64" s="3">
        <f>IF(TRIM(Z64)="",,(Z64-Z63)/1000)</f>
        <v/>
      </c>
      <c r="AC64" s="5" t="n"/>
      <c r="AD64" s="40">
        <f>(TABL12345[[#This Row],[( S/S+T/B) AJD]]*1000)-((TABL12345[[#This Row],[(STORGE DIFF.) AJD]]*1000)+TABL12345[[#This Row],[AJD_Evaporation]]+(TABL12345[[#This Row],[(A/B + A/S) AJD]]*1000))</f>
        <v/>
      </c>
      <c r="AE64" s="44" t="n"/>
      <c r="AF64" s="45" t="n"/>
      <c r="AG64" s="45" t="n"/>
      <c r="AH64" s="6">
        <f>TABL12345[[#This Row],[ (RESV. STORGE) BER]]/10</f>
        <v/>
      </c>
      <c r="AI64" s="44" t="n"/>
      <c r="AJ64" s="45">
        <f>TABL12345[[#This Row],[(A/B) AJD]]-TABL12345[[#This Row],[BER_IN]]</f>
        <v/>
      </c>
      <c r="AK64" s="45" t="n"/>
      <c r="AL64" s="45" t="n"/>
      <c r="AM64" s="32" t="n"/>
      <c r="AN64" s="32">
        <f>TABL12345[[#This Row],[ (RESV. STORGE) SER]]/10</f>
        <v/>
      </c>
      <c r="AO64" s="68" t="n"/>
      <c r="AP64" s="68">
        <f>TABL12345[[#This Row],[(A/S) AJD]]-TABL12345[[#This Row],[SER_IN]]</f>
        <v/>
      </c>
    </row>
    <row r="65" ht="18.75" customHeight="1">
      <c r="A65" s="2" t="n">
        <v>46816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TABL12345[[#This Row],[ (T/B) SAR]]+TABL12345[[#This Row],[ (S/S) SAR]]</f>
        <v/>
      </c>
      <c r="L65" s="41" t="n"/>
      <c r="M65" s="42" t="n"/>
      <c r="N65" s="42" t="n"/>
      <c r="O65" s="39" t="n"/>
      <c r="P65" s="3">
        <f>TABL12345[[#This Row],[ (S/S) SAR]]-TABL12345[[#This Row],[(S/S) AJD]]</f>
        <v/>
      </c>
      <c r="Q65" s="39" t="n"/>
      <c r="R65" s="3">
        <f>TABL12345[[#This Row],[ (T/B) SAR]]-TABL12345[[#This Row],[(T/B) AJD]]</f>
        <v/>
      </c>
      <c r="S65" s="3">
        <f>TABL12345[[#This Row],[S/S_CON.]]+TABL12345[[#This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TABL12345[[#This Row],[(RESV. STORGE) AJD]]/10</f>
        <v/>
      </c>
      <c r="AB65" s="3">
        <f>IF(TRIM(Z65)="",,(Z65-Z64)/1000)</f>
        <v/>
      </c>
      <c r="AC65" s="5" t="n"/>
      <c r="AD65" s="39">
        <f>(TABL12345[[#This Row],[( S/S+T/B) AJD]]*1000)-((TABL12345[[#This Row],[(STORGE DIFF.) AJD]]*1000)+TABL12345[[#This Row],[AJD_Evaporation]]+(TABL12345[[#This Row],[(A/B + A/S) AJD]]*1000))</f>
        <v/>
      </c>
      <c r="AE65" s="41" t="n"/>
      <c r="AF65" s="43" t="n"/>
      <c r="AG65" s="43" t="n"/>
      <c r="AH65" s="6">
        <f>TABL12345[[#This Row],[ (RESV. STORGE) BER]]/10</f>
        <v/>
      </c>
      <c r="AI65" s="41" t="n"/>
      <c r="AJ65" s="43">
        <f>TABL12345[[#This Row],[(A/B) AJD]]-TABL12345[[#This Row],[BER_IN]]</f>
        <v/>
      </c>
      <c r="AK65" s="43" t="n"/>
      <c r="AL65" s="43" t="n"/>
      <c r="AM65" s="32" t="n"/>
      <c r="AN65" s="32">
        <f>TABL12345[[#This Row],[ (RESV. STORGE) SER]]/10</f>
        <v/>
      </c>
      <c r="AO65" s="68" t="n"/>
      <c r="AP65" s="68">
        <f>TABL12345[[#This Row],[(A/S) AJD]]-TABL12345[[#This Row],[SER_IN]]</f>
        <v/>
      </c>
    </row>
    <row r="66" ht="18.75" customHeight="1">
      <c r="A66" s="2" t="n">
        <v>46817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TABL12345[[#This Row],[ (T/B) SAR]]+TABL12345[[#This Row],[ (S/S) SAR]]</f>
        <v/>
      </c>
      <c r="L66" s="45" t="n"/>
      <c r="M66" s="46" t="n"/>
      <c r="N66" s="46" t="n"/>
      <c r="O66" s="40" t="n"/>
      <c r="P66" s="3">
        <f>TABL12345[[#This Row],[ (S/S) SAR]]-TABL12345[[#This Row],[(S/S) AJD]]</f>
        <v/>
      </c>
      <c r="Q66" s="40" t="n"/>
      <c r="R66" s="3">
        <f>TABL12345[[#This Row],[ (T/B) SAR]]-TABL12345[[#This Row],[(T/B) AJD]]</f>
        <v/>
      </c>
      <c r="S66" s="3">
        <f>TABL12345[[#This Row],[S/S_CON.]]+TABL12345[[#This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TABL12345[[#This Row],[(RESV. STORGE) AJD]]/10</f>
        <v/>
      </c>
      <c r="AB66" s="3">
        <f>IF(TRIM(Z66)="",,(Z66-Z65)/1000)</f>
        <v/>
      </c>
      <c r="AC66" s="5" t="n"/>
      <c r="AD66" s="40">
        <f>(TABL12345[[#This Row],[( S/S+T/B) AJD]]*1000)-((TABL12345[[#This Row],[(STORGE DIFF.) AJD]]*1000)+TABL12345[[#This Row],[AJD_Evaporation]]+(TABL12345[[#This Row],[(A/B + A/S) AJD]]*1000))</f>
        <v/>
      </c>
      <c r="AE66" s="44" t="n"/>
      <c r="AF66" s="45" t="n"/>
      <c r="AG66" s="45" t="n"/>
      <c r="AH66" s="6">
        <f>TABL12345[[#This Row],[ (RESV. STORGE) BER]]/10</f>
        <v/>
      </c>
      <c r="AI66" s="44" t="n"/>
      <c r="AJ66" s="45">
        <f>TABL12345[[#This Row],[(A/B) AJD]]-TABL12345[[#This Row],[BER_IN]]</f>
        <v/>
      </c>
      <c r="AK66" s="45" t="n"/>
      <c r="AL66" s="45" t="n"/>
      <c r="AM66" s="32" t="n"/>
      <c r="AN66" s="32">
        <f>TABL12345[[#This Row],[ (RESV. STORGE) SER]]/10</f>
        <v/>
      </c>
      <c r="AO66" s="68" t="n"/>
      <c r="AP66" s="68">
        <f>TABL12345[[#This Row],[(A/S) AJD]]-TABL12345[[#This Row],[SER_IN]]</f>
        <v/>
      </c>
    </row>
    <row r="67" ht="18.75" customHeight="1">
      <c r="A67" s="2" t="n">
        <v>46818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TABL12345[[#This Row],[ (T/B) SAR]]+TABL12345[[#This Row],[ (S/S) SAR]]</f>
        <v/>
      </c>
      <c r="L67" s="41" t="n"/>
      <c r="M67" s="42" t="n"/>
      <c r="N67" s="42" t="n"/>
      <c r="O67" s="39" t="n"/>
      <c r="P67" s="3">
        <f>TABL12345[[#This Row],[ (S/S) SAR]]-TABL12345[[#This Row],[(S/S) AJD]]</f>
        <v/>
      </c>
      <c r="Q67" s="39" t="n"/>
      <c r="R67" s="3">
        <f>TABL12345[[#This Row],[ (T/B) SAR]]-TABL12345[[#This Row],[(T/B) AJD]]</f>
        <v/>
      </c>
      <c r="S67" s="3">
        <f>TABL12345[[#This Row],[S/S_CON.]]+TABL12345[[#This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TABL12345[[#This Row],[(RESV. STORGE) AJD]]/10</f>
        <v/>
      </c>
      <c r="AB67" s="3">
        <f>IF(TRIM(Z67)="",,(Z67-Z66)/1000)</f>
        <v/>
      </c>
      <c r="AC67" s="5" t="n"/>
      <c r="AD67" s="39">
        <f>(TABL12345[[#This Row],[( S/S+T/B) AJD]]*1000)-((TABL12345[[#This Row],[(STORGE DIFF.) AJD]]*1000)+TABL12345[[#This Row],[AJD_Evaporation]]+(TABL12345[[#This Row],[(A/B + A/S) AJD]]*1000))</f>
        <v/>
      </c>
      <c r="AE67" s="41" t="n"/>
      <c r="AF67" s="43" t="n"/>
      <c r="AG67" s="43" t="n"/>
      <c r="AH67" s="6">
        <f>TABL12345[[#This Row],[ (RESV. STORGE) BER]]/10</f>
        <v/>
      </c>
      <c r="AI67" s="41" t="n"/>
      <c r="AJ67" s="43">
        <f>TABL12345[[#This Row],[(A/B) AJD]]-TABL12345[[#This Row],[BER_IN]]</f>
        <v/>
      </c>
      <c r="AK67" s="43" t="n"/>
      <c r="AL67" s="43" t="n"/>
      <c r="AM67" s="32" t="n"/>
      <c r="AN67" s="32">
        <f>TABL12345[[#This Row],[ (RESV. STORGE) SER]]/10</f>
        <v/>
      </c>
      <c r="AO67" s="68" t="n"/>
      <c r="AP67" s="68">
        <f>TABL12345[[#This Row],[(A/S) AJD]]-TABL12345[[#This Row],[SER_IN]]</f>
        <v/>
      </c>
    </row>
    <row r="68" ht="18.75" customHeight="1">
      <c r="A68" s="2" t="n">
        <v>46819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TABL12345[[#This Row],[ (T/B) SAR]]+TABL12345[[#This Row],[ (S/S) SAR]]</f>
        <v/>
      </c>
      <c r="L68" s="45" t="n"/>
      <c r="M68" s="46" t="n"/>
      <c r="N68" s="46" t="n"/>
      <c r="O68" s="40" t="n"/>
      <c r="P68" s="3">
        <f>TABL12345[[#This Row],[ (S/S) SAR]]-TABL12345[[#This Row],[(S/S) AJD]]</f>
        <v/>
      </c>
      <c r="Q68" s="40" t="n"/>
      <c r="R68" s="3">
        <f>TABL12345[[#This Row],[ (T/B) SAR]]-TABL12345[[#This Row],[(T/B) AJD]]</f>
        <v/>
      </c>
      <c r="S68" s="3">
        <f>TABL12345[[#This Row],[S/S_CON.]]+TABL12345[[#This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TABL12345[[#This Row],[(RESV. STORGE) AJD]]/10</f>
        <v/>
      </c>
      <c r="AB68" s="3">
        <f>IF(TRIM(Z68)="",,(Z68-Z67)/1000)</f>
        <v/>
      </c>
      <c r="AC68" s="5" t="n"/>
      <c r="AD68" s="40">
        <f>(TABL12345[[#This Row],[( S/S+T/B) AJD]]*1000)-((TABL12345[[#This Row],[(STORGE DIFF.) AJD]]*1000)+TABL12345[[#This Row],[AJD_Evaporation]]+(TABL12345[[#This Row],[(A/B + A/S) AJD]]*1000))</f>
        <v/>
      </c>
      <c r="AE68" s="44" t="n"/>
      <c r="AF68" s="45" t="n"/>
      <c r="AG68" s="45" t="n"/>
      <c r="AH68" s="6">
        <f>TABL12345[[#This Row],[ (RESV. STORGE) BER]]/10</f>
        <v/>
      </c>
      <c r="AI68" s="44" t="n"/>
      <c r="AJ68" s="45">
        <f>TABL12345[[#This Row],[(A/B) AJD]]-TABL12345[[#This Row],[BER_IN]]</f>
        <v/>
      </c>
      <c r="AK68" s="45" t="n"/>
      <c r="AL68" s="45" t="n"/>
      <c r="AM68" s="32" t="n"/>
      <c r="AN68" s="32">
        <f>TABL12345[[#This Row],[ (RESV. STORGE) SER]]/10</f>
        <v/>
      </c>
      <c r="AO68" s="68" t="n"/>
      <c r="AP68" s="68">
        <f>TABL12345[[#This Row],[(A/S) AJD]]-TABL12345[[#This Row],[SER_IN]]</f>
        <v/>
      </c>
    </row>
    <row r="69" ht="18.75" customHeight="1">
      <c r="A69" s="2" t="n">
        <v>46820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TABL12345[[#This Row],[ (T/B) SAR]]+TABL12345[[#This Row],[ (S/S) SAR]]</f>
        <v/>
      </c>
      <c r="L69" s="41" t="n"/>
      <c r="M69" s="42" t="n"/>
      <c r="N69" s="42" t="n"/>
      <c r="O69" s="39" t="n"/>
      <c r="P69" s="3">
        <f>TABL12345[[#This Row],[ (S/S) SAR]]-TABL12345[[#This Row],[(S/S) AJD]]</f>
        <v/>
      </c>
      <c r="Q69" s="39" t="n"/>
      <c r="R69" s="3">
        <f>TABL12345[[#This Row],[ (T/B) SAR]]-TABL12345[[#This Row],[(T/B) AJD]]</f>
        <v/>
      </c>
      <c r="S69" s="3">
        <f>TABL12345[[#This Row],[S/S_CON.]]+TABL12345[[#This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TABL12345[[#This Row],[(RESV. STORGE) AJD]]/10</f>
        <v/>
      </c>
      <c r="AB69" s="3">
        <f>IF(TRIM(Z69)="",,(Z69-Z68)/1000)</f>
        <v/>
      </c>
      <c r="AC69" s="5" t="n"/>
      <c r="AD69" s="39">
        <f>(TABL12345[[#This Row],[( S/S+T/B) AJD]]*1000)-((TABL12345[[#This Row],[(STORGE DIFF.) AJD]]*1000)+TABL12345[[#This Row],[AJD_Evaporation]]+(TABL12345[[#This Row],[(A/B + A/S) AJD]]*1000))</f>
        <v/>
      </c>
      <c r="AE69" s="41" t="n"/>
      <c r="AF69" s="43" t="n"/>
      <c r="AG69" s="43" t="n"/>
      <c r="AH69" s="6">
        <f>TABL12345[[#This Row],[ (RESV. STORGE) BER]]/10</f>
        <v/>
      </c>
      <c r="AI69" s="41" t="n"/>
      <c r="AJ69" s="43">
        <f>TABL12345[[#This Row],[(A/B) AJD]]-TABL12345[[#This Row],[BER_IN]]</f>
        <v/>
      </c>
      <c r="AK69" s="43" t="n"/>
      <c r="AL69" s="43" t="n"/>
      <c r="AM69" s="32" t="n"/>
      <c r="AN69" s="32">
        <f>TABL12345[[#This Row],[ (RESV. STORGE) SER]]/10</f>
        <v/>
      </c>
      <c r="AO69" s="68" t="n"/>
      <c r="AP69" s="68">
        <f>TABL12345[[#This Row],[(A/S) AJD]]-TABL12345[[#This Row],[SER_IN]]</f>
        <v/>
      </c>
    </row>
    <row r="70" ht="18.75" customHeight="1">
      <c r="A70" s="2" t="n">
        <v>46821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TABL12345[[#This Row],[ (T/B) SAR]]+TABL12345[[#This Row],[ (S/S) SAR]]</f>
        <v/>
      </c>
      <c r="L70" s="45" t="n"/>
      <c r="M70" s="46" t="n"/>
      <c r="N70" s="46" t="n"/>
      <c r="O70" s="40" t="n"/>
      <c r="P70" s="3">
        <f>TABL12345[[#This Row],[ (S/S) SAR]]-TABL12345[[#This Row],[(S/S) AJD]]</f>
        <v/>
      </c>
      <c r="Q70" s="40" t="n"/>
      <c r="R70" s="3">
        <f>TABL12345[[#This Row],[ (T/B) SAR]]-TABL12345[[#This Row],[(T/B) AJD]]</f>
        <v/>
      </c>
      <c r="S70" s="3">
        <f>TABL12345[[#This Row],[S/S_CON.]]+TABL12345[[#This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TABL12345[[#This Row],[(RESV. STORGE) AJD]]/10</f>
        <v/>
      </c>
      <c r="AB70" s="3">
        <f>IF(TRIM(Z70)="",,(Z70-Z69)/1000)</f>
        <v/>
      </c>
      <c r="AC70" s="5" t="n"/>
      <c r="AD70" s="40">
        <f>(TABL12345[[#This Row],[( S/S+T/B) AJD]]*1000)-((TABL12345[[#This Row],[(STORGE DIFF.) AJD]]*1000)+TABL12345[[#This Row],[AJD_Evaporation]]+(TABL12345[[#This Row],[(A/B + A/S) AJD]]*1000))</f>
        <v/>
      </c>
      <c r="AE70" s="44" t="n"/>
      <c r="AF70" s="45" t="n"/>
      <c r="AG70" s="45" t="n"/>
      <c r="AH70" s="6">
        <f>TABL12345[[#This Row],[ (RESV. STORGE) BER]]/10</f>
        <v/>
      </c>
      <c r="AI70" s="44" t="n"/>
      <c r="AJ70" s="45">
        <f>TABL12345[[#This Row],[(A/B) AJD]]-TABL12345[[#This Row],[BER_IN]]</f>
        <v/>
      </c>
      <c r="AK70" s="45" t="n"/>
      <c r="AL70" s="45" t="n"/>
      <c r="AM70" s="32" t="n"/>
      <c r="AN70" s="32">
        <f>TABL12345[[#This Row],[ (RESV. STORGE) SER]]/10</f>
        <v/>
      </c>
      <c r="AO70" s="68" t="n"/>
      <c r="AP70" s="68">
        <f>TABL12345[[#This Row],[(A/S) AJD]]-TABL12345[[#This Row],[SER_IN]]</f>
        <v/>
      </c>
    </row>
    <row r="71" ht="18.75" customHeight="1">
      <c r="A71" s="2" t="n">
        <v>46822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TABL12345[[#This Row],[ (T/B) SAR]]+TABL12345[[#This Row],[ (S/S) SAR]]</f>
        <v/>
      </c>
      <c r="L71" s="41" t="n"/>
      <c r="M71" s="42" t="n"/>
      <c r="N71" s="42" t="n"/>
      <c r="O71" s="39" t="n"/>
      <c r="P71" s="3">
        <f>TABL12345[[#This Row],[ (S/S) SAR]]-TABL12345[[#This Row],[(S/S) AJD]]</f>
        <v/>
      </c>
      <c r="Q71" s="39" t="n"/>
      <c r="R71" s="3">
        <f>TABL12345[[#This Row],[ (T/B) SAR]]-TABL12345[[#This Row],[(T/B) AJD]]</f>
        <v/>
      </c>
      <c r="S71" s="3">
        <f>TABL12345[[#This Row],[S/S_CON.]]+TABL12345[[#This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TABL12345[[#This Row],[(RESV. STORGE) AJD]]/10</f>
        <v/>
      </c>
      <c r="AB71" s="3">
        <f>IF(TRIM(Z71)="",,(Z71-Z70)/1000)</f>
        <v/>
      </c>
      <c r="AC71" s="5" t="n"/>
      <c r="AD71" s="39">
        <f>(TABL12345[[#This Row],[( S/S+T/B) AJD]]*1000)-((TABL12345[[#This Row],[(STORGE DIFF.) AJD]]*1000)+TABL12345[[#This Row],[AJD_Evaporation]]+(TABL12345[[#This Row],[(A/B + A/S) AJD]]*1000))</f>
        <v/>
      </c>
      <c r="AE71" s="41" t="n"/>
      <c r="AF71" s="43" t="n"/>
      <c r="AG71" s="68" t="n"/>
      <c r="AH71" s="6">
        <f>TABL12345[[#This Row],[ (RESV. STORGE) BER]]/10</f>
        <v/>
      </c>
      <c r="AI71" s="41" t="n"/>
      <c r="AJ71" s="68">
        <f>TABL12345[[#This Row],[(A/B) AJD]]-TABL12345[[#This Row],[BER_IN]]</f>
        <v/>
      </c>
      <c r="AK71" s="43" t="n"/>
      <c r="AL71" s="43" t="n"/>
      <c r="AM71" s="32" t="n"/>
      <c r="AN71" s="32">
        <f>TABL12345[[#This Row],[ (RESV. STORGE) SER]]/10</f>
        <v/>
      </c>
      <c r="AO71" s="68" t="n"/>
      <c r="AP71" s="68">
        <f>TABL12345[[#This Row],[(A/S) AJD]]-TABL12345[[#This Row],[SER_IN]]</f>
        <v/>
      </c>
    </row>
    <row r="72" ht="18.75" customHeight="1">
      <c r="A72" s="2" t="n">
        <v>46823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TABL12345[[#This Row],[ (T/B) SAR]]+TABL12345[[#This Row],[ (S/S) SAR]]</f>
        <v/>
      </c>
      <c r="L72" s="45" t="n"/>
      <c r="M72" s="46" t="n"/>
      <c r="N72" s="46" t="n"/>
      <c r="O72" s="40" t="n"/>
      <c r="P72" s="3">
        <f>TABL12345[[#This Row],[ (S/S) SAR]]-TABL12345[[#This Row],[(S/S) AJD]]</f>
        <v/>
      </c>
      <c r="Q72" s="40" t="n"/>
      <c r="R72" s="3">
        <f>TABL12345[[#This Row],[ (T/B) SAR]]-TABL12345[[#This Row],[(T/B) AJD]]</f>
        <v/>
      </c>
      <c r="S72" s="3">
        <f>TABL12345[[#This Row],[S/S_CON.]]+TABL12345[[#This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TABL12345[[#This Row],[(RESV. STORGE) AJD]]/10</f>
        <v/>
      </c>
      <c r="AB72" s="3">
        <f>IF(TRIM(Z72)="",,(Z72-Z71)/1000)</f>
        <v/>
      </c>
      <c r="AC72" s="5" t="n"/>
      <c r="AD72" s="40">
        <f>(TABL12345[[#This Row],[( S/S+T/B) AJD]]*1000)-((TABL12345[[#This Row],[(STORGE DIFF.) AJD]]*1000)+TABL12345[[#This Row],[AJD_Evaporation]]+(TABL12345[[#This Row],[(A/B + A/S) AJD]]*1000))</f>
        <v/>
      </c>
      <c r="AE72" s="44" t="n"/>
      <c r="AF72" s="45" t="n"/>
      <c r="AG72" s="45" t="n"/>
      <c r="AH72" s="6">
        <f>TABL12345[[#This Row],[ (RESV. STORGE) BER]]/10</f>
        <v/>
      </c>
      <c r="AI72" s="44" t="n"/>
      <c r="AJ72" s="45">
        <f>TABL12345[[#This Row],[(A/B) AJD]]-TABL12345[[#This Row],[BER_IN]]</f>
        <v/>
      </c>
      <c r="AK72" s="45" t="n"/>
      <c r="AL72" s="45" t="n"/>
      <c r="AM72" s="32" t="n"/>
      <c r="AN72" s="32">
        <f>TABL12345[[#This Row],[ (RESV. STORGE) SER]]/10</f>
        <v/>
      </c>
      <c r="AO72" s="68" t="n"/>
      <c r="AP72" s="68">
        <f>TABL12345[[#This Row],[(A/S) AJD]]-TABL12345[[#This Row],[SER_IN]]</f>
        <v/>
      </c>
    </row>
    <row r="73" ht="18.75" customHeight="1">
      <c r="A73" s="2" t="n">
        <v>46824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TABL12345[[#This Row],[ (T/B) SAR]]+TABL12345[[#This Row],[ (S/S) SAR]]</f>
        <v/>
      </c>
      <c r="L73" s="41" t="n"/>
      <c r="M73" s="42" t="n"/>
      <c r="N73" s="42" t="n"/>
      <c r="O73" s="39" t="n"/>
      <c r="P73" s="3">
        <f>TABL12345[[#This Row],[ (S/S) SAR]]-TABL12345[[#This Row],[(S/S) AJD]]</f>
        <v/>
      </c>
      <c r="Q73" s="39" t="n"/>
      <c r="R73" s="3">
        <f>TABL12345[[#This Row],[ (T/B) SAR]]-TABL12345[[#This Row],[(T/B) AJD]]</f>
        <v/>
      </c>
      <c r="S73" s="3">
        <f>TABL12345[[#This Row],[S/S_CON.]]+TABL12345[[#This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TABL12345[[#This Row],[(RESV. STORGE) AJD]]/10</f>
        <v/>
      </c>
      <c r="AB73" s="3">
        <f>IF(TRIM(Z73)="",,(Z73-Z72)/1000)</f>
        <v/>
      </c>
      <c r="AC73" s="5" t="n"/>
      <c r="AD73" s="39">
        <f>(TABL12345[[#This Row],[( S/S+T/B) AJD]]*1000)-((TABL12345[[#This Row],[(STORGE DIFF.) AJD]]*1000)+TABL12345[[#This Row],[AJD_Evaporation]]+(TABL12345[[#This Row],[(A/B + A/S) AJD]]*1000))</f>
        <v/>
      </c>
      <c r="AE73" s="41" t="n"/>
      <c r="AF73" s="43" t="n"/>
      <c r="AG73" s="43" t="n"/>
      <c r="AH73" s="6">
        <f>TABL12345[[#This Row],[ (RESV. STORGE) BER]]/10</f>
        <v/>
      </c>
      <c r="AI73" s="41" t="n"/>
      <c r="AJ73" s="43">
        <f>TABL12345[[#This Row],[(A/B) AJD]]-TABL12345[[#This Row],[BER_IN]]</f>
        <v/>
      </c>
      <c r="AK73" s="43" t="n"/>
      <c r="AL73" s="43" t="n"/>
      <c r="AM73" s="32" t="n"/>
      <c r="AN73" s="32">
        <f>TABL12345[[#This Row],[ (RESV. STORGE) SER]]/10</f>
        <v/>
      </c>
      <c r="AO73" s="68" t="n"/>
      <c r="AP73" s="68">
        <f>TABL12345[[#This Row],[(A/S) AJD]]-TABL12345[[#This Row],[SER_IN]]</f>
        <v/>
      </c>
    </row>
    <row r="74" ht="18.75" customHeight="1">
      <c r="A74" s="2" t="n">
        <v>46825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TABL12345[[#This Row],[ (T/B) SAR]]+TABL12345[[#This Row],[ (S/S) SAR]]</f>
        <v/>
      </c>
      <c r="L74" s="45" t="n"/>
      <c r="M74" s="46" t="n"/>
      <c r="N74" s="46" t="n"/>
      <c r="O74" s="40" t="n"/>
      <c r="P74" s="3">
        <f>TABL12345[[#This Row],[ (S/S) SAR]]-TABL12345[[#This Row],[(S/S) AJD]]</f>
        <v/>
      </c>
      <c r="Q74" s="40" t="n"/>
      <c r="R74" s="3">
        <f>TABL12345[[#This Row],[ (T/B) SAR]]-TABL12345[[#This Row],[(T/B) AJD]]</f>
        <v/>
      </c>
      <c r="S74" s="3">
        <f>TABL12345[[#This Row],[S/S_CON.]]+TABL12345[[#This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TABL12345[[#This Row],[(RESV. STORGE) AJD]]/10</f>
        <v/>
      </c>
      <c r="AB74" s="3">
        <f>IF(TRIM(Z74)="",,(Z74-Z73)/1000)</f>
        <v/>
      </c>
      <c r="AC74" s="5" t="n"/>
      <c r="AD74" s="40">
        <f>(TABL12345[[#This Row],[( S/S+T/B) AJD]]*1000)-((TABL12345[[#This Row],[(STORGE DIFF.) AJD]]*1000)+TABL12345[[#This Row],[AJD_Evaporation]]+(TABL12345[[#This Row],[(A/B + A/S) AJD]]*1000))</f>
        <v/>
      </c>
      <c r="AE74" s="44" t="n"/>
      <c r="AF74" s="45" t="n"/>
      <c r="AG74" s="45" t="n"/>
      <c r="AH74" s="6">
        <f>TABL12345[[#This Row],[ (RESV. STORGE) BER]]/10</f>
        <v/>
      </c>
      <c r="AI74" s="44" t="n"/>
      <c r="AJ74" s="45">
        <f>TABL12345[[#This Row],[(A/B) AJD]]-TABL12345[[#This Row],[BER_IN]]</f>
        <v/>
      </c>
      <c r="AK74" s="45" t="n"/>
      <c r="AL74" s="45" t="n"/>
      <c r="AM74" s="32" t="n"/>
      <c r="AN74" s="32">
        <f>TABL12345[[#This Row],[ (RESV. STORGE) SER]]/10</f>
        <v/>
      </c>
      <c r="AO74" s="68" t="n"/>
      <c r="AP74" s="68">
        <f>TABL12345[[#This Row],[(A/S) AJD]]-TABL12345[[#This Row],[SER_IN]]</f>
        <v/>
      </c>
    </row>
    <row r="75" ht="18.75" customHeight="1">
      <c r="A75" s="2" t="n">
        <v>46826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TABL12345[[#This Row],[ (T/B) SAR]]+TABL12345[[#This Row],[ (S/S) SAR]]</f>
        <v/>
      </c>
      <c r="L75" s="41" t="n"/>
      <c r="M75" s="42" t="n"/>
      <c r="N75" s="42" t="n"/>
      <c r="O75" s="39" t="n"/>
      <c r="P75" s="3">
        <f>TABL12345[[#This Row],[ (S/S) SAR]]-TABL12345[[#This Row],[(S/S) AJD]]</f>
        <v/>
      </c>
      <c r="Q75" s="39" t="n"/>
      <c r="R75" s="3">
        <f>TABL12345[[#This Row],[ (T/B) SAR]]-TABL12345[[#This Row],[(T/B) AJD]]</f>
        <v/>
      </c>
      <c r="S75" s="3">
        <f>TABL12345[[#This Row],[S/S_CON.]]+TABL12345[[#This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TABL12345[[#This Row],[(RESV. STORGE) AJD]]/10</f>
        <v/>
      </c>
      <c r="AB75" s="3">
        <f>IF(TRIM(Z75)="",,(Z75-Z74)/1000)</f>
        <v/>
      </c>
      <c r="AC75" s="5" t="n"/>
      <c r="AD75" s="39">
        <f>(TABL12345[[#This Row],[( S/S+T/B) AJD]]*1000)-((TABL12345[[#This Row],[(STORGE DIFF.) AJD]]*1000)+TABL12345[[#This Row],[AJD_Evaporation]]+(TABL12345[[#This Row],[(A/B + A/S) AJD]]*1000))</f>
        <v/>
      </c>
      <c r="AE75" s="41" t="n"/>
      <c r="AF75" s="43" t="n"/>
      <c r="AG75" s="43" t="n"/>
      <c r="AH75" s="6">
        <f>TABL12345[[#This Row],[ (RESV. STORGE) BER]]/10</f>
        <v/>
      </c>
      <c r="AI75" s="41" t="n"/>
      <c r="AJ75" s="43">
        <f>TABL12345[[#This Row],[(A/B) AJD]]-TABL12345[[#This Row],[BER_IN]]</f>
        <v/>
      </c>
      <c r="AK75" s="43" t="n"/>
      <c r="AL75" s="43" t="n"/>
      <c r="AM75" s="32" t="n"/>
      <c r="AN75" s="32">
        <f>TABL12345[[#This Row],[ (RESV. STORGE) SER]]/10</f>
        <v/>
      </c>
      <c r="AO75" s="68" t="n"/>
      <c r="AP75" s="68">
        <f>TABL12345[[#This Row],[(A/S) AJD]]-TABL12345[[#This Row],[SER_IN]]</f>
        <v/>
      </c>
    </row>
    <row r="76" ht="18.75" customHeight="1">
      <c r="A76" s="2" t="n">
        <v>46827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TABL12345[[#This Row],[ (T/B) SAR]]+TABL12345[[#This Row],[ (S/S) SAR]]</f>
        <v/>
      </c>
      <c r="L76" s="45" t="n"/>
      <c r="M76" s="46" t="n"/>
      <c r="N76" s="46" t="n"/>
      <c r="O76" s="40" t="n"/>
      <c r="P76" s="3">
        <f>TABL12345[[#This Row],[ (S/S) SAR]]-TABL12345[[#This Row],[(S/S) AJD]]</f>
        <v/>
      </c>
      <c r="Q76" s="40" t="n"/>
      <c r="R76" s="3">
        <f>TABL12345[[#This Row],[ (T/B) SAR]]-TABL12345[[#This Row],[(T/B) AJD]]</f>
        <v/>
      </c>
      <c r="S76" s="3">
        <f>TABL12345[[#This Row],[S/S_CON.]]+TABL12345[[#This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TABL12345[[#This Row],[(RESV. STORGE) AJD]]/10</f>
        <v/>
      </c>
      <c r="AB76" s="3">
        <f>IF(TRIM(Z76)="",,(Z76-Z75)/1000)</f>
        <v/>
      </c>
      <c r="AC76" s="5" t="n"/>
      <c r="AD76" s="40">
        <f>(TABL12345[[#This Row],[( S/S+T/B) AJD]]*1000)-((TABL12345[[#This Row],[(STORGE DIFF.) AJD]]*1000)+TABL12345[[#This Row],[AJD_Evaporation]]+(TABL12345[[#This Row],[(A/B + A/S) AJD]]*1000))</f>
        <v/>
      </c>
      <c r="AE76" s="44" t="n"/>
      <c r="AF76" s="45" t="n"/>
      <c r="AG76" s="45" t="n"/>
      <c r="AH76" s="6">
        <f>TABL12345[[#This Row],[ (RESV. STORGE) BER]]/10</f>
        <v/>
      </c>
      <c r="AI76" s="44" t="n"/>
      <c r="AJ76" s="45">
        <f>TABL12345[[#This Row],[(A/B) AJD]]-TABL12345[[#This Row],[BER_IN]]</f>
        <v/>
      </c>
      <c r="AK76" s="45" t="n"/>
      <c r="AL76" s="45" t="n"/>
      <c r="AM76" s="32" t="n"/>
      <c r="AN76" s="32">
        <f>TABL12345[[#This Row],[ (RESV. STORGE) SER]]/10</f>
        <v/>
      </c>
      <c r="AO76" s="68" t="n"/>
      <c r="AP76" s="68">
        <f>TABL12345[[#This Row],[(A/S) AJD]]-TABL12345[[#This Row],[SER_IN]]</f>
        <v/>
      </c>
    </row>
    <row r="77" ht="18.75" customHeight="1">
      <c r="A77" s="2" t="n">
        <v>46828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TABL12345[[#This Row],[ (T/B) SAR]]+TABL12345[[#This Row],[ (S/S) SAR]]</f>
        <v/>
      </c>
      <c r="L77" s="41" t="n"/>
      <c r="M77" s="42" t="n"/>
      <c r="N77" s="42" t="n"/>
      <c r="O77" s="39" t="n"/>
      <c r="P77" s="3">
        <f>TABL12345[[#This Row],[ (S/S) SAR]]-TABL12345[[#This Row],[(S/S) AJD]]</f>
        <v/>
      </c>
      <c r="Q77" s="39" t="n"/>
      <c r="R77" s="3">
        <f>TABL12345[[#This Row],[ (T/B) SAR]]-TABL12345[[#This Row],[(T/B) AJD]]</f>
        <v/>
      </c>
      <c r="S77" s="3">
        <f>TABL12345[[#This Row],[S/S_CON.]]+TABL12345[[#This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TABL12345[[#This Row],[(RESV. STORGE) AJD]]/10</f>
        <v/>
      </c>
      <c r="AB77" s="3">
        <f>IF(TRIM(Z77)="",,(Z77-Z76)/1000)</f>
        <v/>
      </c>
      <c r="AC77" s="5" t="n"/>
      <c r="AD77" s="39">
        <f>(TABL12345[[#This Row],[( S/S+T/B) AJD]]*1000)-((TABL12345[[#This Row],[(STORGE DIFF.) AJD]]*1000)+TABL12345[[#This Row],[AJD_Evaporation]]+(TABL12345[[#This Row],[(A/B + A/S) AJD]]*1000))</f>
        <v/>
      </c>
      <c r="AE77" s="41" t="n"/>
      <c r="AF77" s="43" t="n"/>
      <c r="AG77" s="43" t="n"/>
      <c r="AH77" s="6">
        <f>TABL12345[[#This Row],[ (RESV. STORGE) BER]]/10</f>
        <v/>
      </c>
      <c r="AI77" s="41" t="n"/>
      <c r="AJ77" s="43">
        <f>TABL12345[[#This Row],[(A/B) AJD]]-TABL12345[[#This Row],[BER_IN]]</f>
        <v/>
      </c>
      <c r="AK77" s="43" t="n"/>
      <c r="AL77" s="43" t="n"/>
      <c r="AM77" s="32" t="n"/>
      <c r="AN77" s="32">
        <f>TABL12345[[#This Row],[ (RESV. STORGE) SER]]/10</f>
        <v/>
      </c>
      <c r="AO77" s="68" t="n"/>
      <c r="AP77" s="68">
        <f>TABL12345[[#This Row],[(A/S) AJD]]-TABL12345[[#This Row],[SER_IN]]</f>
        <v/>
      </c>
    </row>
    <row r="78" ht="18.75" customHeight="1">
      <c r="A78" s="2" t="n">
        <v>46829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TABL12345[[#This Row],[ (T/B) SAR]]+TABL12345[[#This Row],[ (S/S) SAR]]</f>
        <v/>
      </c>
      <c r="L78" s="45" t="n"/>
      <c r="M78" s="46" t="n"/>
      <c r="N78" s="46" t="n"/>
      <c r="O78" s="40" t="n"/>
      <c r="P78" s="3">
        <f>TABL12345[[#This Row],[ (S/S) SAR]]-TABL12345[[#This Row],[(S/S) AJD]]</f>
        <v/>
      </c>
      <c r="Q78" s="40" t="n"/>
      <c r="R78" s="3">
        <f>TABL12345[[#This Row],[ (T/B) SAR]]-TABL12345[[#This Row],[(T/B) AJD]]</f>
        <v/>
      </c>
      <c r="S78" s="3">
        <f>TABL12345[[#This Row],[S/S_CON.]]+TABL12345[[#This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TABL12345[[#This Row],[(RESV. STORGE) AJD]]/10</f>
        <v/>
      </c>
      <c r="AB78" s="3">
        <f>IF(TRIM(Z78)="",,(Z78-Z77)/1000)</f>
        <v/>
      </c>
      <c r="AC78" s="5" t="n"/>
      <c r="AD78" s="40">
        <f>(TABL12345[[#This Row],[( S/S+T/B) AJD]]*1000)-((TABL12345[[#This Row],[(STORGE DIFF.) AJD]]*1000)+TABL12345[[#This Row],[AJD_Evaporation]]+(TABL12345[[#This Row],[(A/B + A/S) AJD]]*1000))</f>
        <v/>
      </c>
      <c r="AE78" s="44" t="n"/>
      <c r="AF78" s="45" t="n"/>
      <c r="AG78" s="45" t="n"/>
      <c r="AH78" s="6">
        <f>TABL12345[[#This Row],[ (RESV. STORGE) BER]]/10</f>
        <v/>
      </c>
      <c r="AI78" s="44" t="n"/>
      <c r="AJ78" s="45">
        <f>TABL12345[[#This Row],[(A/B) AJD]]-TABL12345[[#This Row],[BER_IN]]</f>
        <v/>
      </c>
      <c r="AK78" s="45" t="n"/>
      <c r="AL78" s="45" t="n"/>
      <c r="AM78" s="32" t="n"/>
      <c r="AN78" s="32">
        <f>TABL12345[[#This Row],[ (RESV. STORGE) SER]]/10</f>
        <v/>
      </c>
      <c r="AO78" s="68" t="n"/>
      <c r="AP78" s="68">
        <f>TABL12345[[#This Row],[(A/S) AJD]]-TABL12345[[#This Row],[SER_IN]]</f>
        <v/>
      </c>
    </row>
    <row r="79" ht="18.75" customHeight="1">
      <c r="A79" s="2" t="n">
        <v>46830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TABL12345[[#This Row],[ (T/B) SAR]]+TABL12345[[#This Row],[ (S/S) SAR]]</f>
        <v/>
      </c>
      <c r="L79" s="41" t="n"/>
      <c r="M79" s="42" t="n"/>
      <c r="N79" s="42" t="n"/>
      <c r="O79" s="39" t="n"/>
      <c r="P79" s="3">
        <f>TABL12345[[#This Row],[ (S/S) SAR]]-TABL12345[[#This Row],[(S/S) AJD]]</f>
        <v/>
      </c>
      <c r="Q79" s="39" t="n"/>
      <c r="R79" s="3">
        <f>TABL12345[[#This Row],[ (T/B) SAR]]-TABL12345[[#This Row],[(T/B) AJD]]</f>
        <v/>
      </c>
      <c r="S79" s="3">
        <f>TABL12345[[#This Row],[S/S_CON.]]+TABL12345[[#This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TABL12345[[#This Row],[(RESV. STORGE) AJD]]/10</f>
        <v/>
      </c>
      <c r="AB79" s="3">
        <f>IF(TRIM(Z79)="",,(Z79-Z78)/1000)</f>
        <v/>
      </c>
      <c r="AC79" s="5" t="n"/>
      <c r="AD79" s="39">
        <f>(TABL12345[[#This Row],[( S/S+T/B) AJD]]*1000)-((TABL12345[[#This Row],[(STORGE DIFF.) AJD]]*1000)+TABL12345[[#This Row],[AJD_Evaporation]]+(TABL12345[[#This Row],[(A/B + A/S) AJD]]*1000))</f>
        <v/>
      </c>
      <c r="AE79" s="41" t="n"/>
      <c r="AF79" s="43" t="n"/>
      <c r="AG79" s="43" t="n"/>
      <c r="AH79" s="6">
        <f>TABL12345[[#This Row],[ (RESV. STORGE) BER]]/10</f>
        <v/>
      </c>
      <c r="AI79" s="41" t="n"/>
      <c r="AJ79" s="43">
        <f>TABL12345[[#This Row],[(A/B) AJD]]-TABL12345[[#This Row],[BER_IN]]</f>
        <v/>
      </c>
      <c r="AK79" s="43" t="n"/>
      <c r="AL79" s="43" t="n"/>
      <c r="AM79" s="32" t="n"/>
      <c r="AN79" s="32">
        <f>TABL12345[[#This Row],[ (RESV. STORGE) SER]]/10</f>
        <v/>
      </c>
      <c r="AO79" s="68" t="n"/>
      <c r="AP79" s="68">
        <f>TABL12345[[#This Row],[(A/S) AJD]]-TABL12345[[#This Row],[SER_IN]]</f>
        <v/>
      </c>
    </row>
    <row r="80" ht="18.75" customHeight="1">
      <c r="A80" s="2" t="n">
        <v>46831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TABL12345[[#This Row],[ (T/B) SAR]]+TABL12345[[#This Row],[ (S/S) SAR]]</f>
        <v/>
      </c>
      <c r="L80" s="45" t="n"/>
      <c r="M80" s="46" t="n"/>
      <c r="N80" s="46" t="n"/>
      <c r="O80" s="40" t="n"/>
      <c r="P80" s="3">
        <f>TABL12345[[#This Row],[ (S/S) SAR]]-TABL12345[[#This Row],[(S/S) AJD]]</f>
        <v/>
      </c>
      <c r="Q80" s="40" t="n"/>
      <c r="R80" s="3">
        <f>TABL12345[[#This Row],[ (T/B) SAR]]-TABL12345[[#This Row],[(T/B) AJD]]</f>
        <v/>
      </c>
      <c r="S80" s="3">
        <f>TABL12345[[#This Row],[S/S_CON.]]+TABL12345[[#This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TABL12345[[#This Row],[(RESV. STORGE) AJD]]/10</f>
        <v/>
      </c>
      <c r="AB80" s="3">
        <f>IF(TRIM(Z80)="",,(Z80-Z79)/1000)</f>
        <v/>
      </c>
      <c r="AC80" s="5" t="n"/>
      <c r="AD80" s="40">
        <f>(TABL12345[[#This Row],[( S/S+T/B) AJD]]*1000)-((TABL12345[[#This Row],[(STORGE DIFF.) AJD]]*1000)+TABL12345[[#This Row],[AJD_Evaporation]]+(TABL12345[[#This Row],[(A/B + A/S) AJD]]*1000))</f>
        <v/>
      </c>
      <c r="AE80" s="44" t="n"/>
      <c r="AF80" s="45" t="n"/>
      <c r="AG80" s="45" t="n"/>
      <c r="AH80" s="6">
        <f>TABL12345[[#This Row],[ (RESV. STORGE) BER]]/10</f>
        <v/>
      </c>
      <c r="AI80" s="44" t="n"/>
      <c r="AJ80" s="45">
        <f>TABL12345[[#This Row],[(A/B) AJD]]-TABL12345[[#This Row],[BER_IN]]</f>
        <v/>
      </c>
      <c r="AK80" s="45" t="n"/>
      <c r="AL80" s="45" t="n"/>
      <c r="AM80" s="32" t="n"/>
      <c r="AN80" s="32">
        <f>TABL12345[[#This Row],[ (RESV. STORGE) SER]]/10</f>
        <v/>
      </c>
      <c r="AO80" s="68" t="n"/>
      <c r="AP80" s="68">
        <f>TABL12345[[#This Row],[(A/S) AJD]]-TABL12345[[#This Row],[SER_IN]]</f>
        <v/>
      </c>
    </row>
    <row r="81" ht="18.75" customHeight="1">
      <c r="A81" s="2" t="n">
        <v>46832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TABL12345[[#This Row],[ (T/B) SAR]]+TABL12345[[#This Row],[ (S/S) SAR]]</f>
        <v/>
      </c>
      <c r="L81" s="41" t="n"/>
      <c r="M81" s="42" t="n"/>
      <c r="N81" s="42" t="n"/>
      <c r="O81" s="39" t="n"/>
      <c r="P81" s="3">
        <f>TABL12345[[#This Row],[ (S/S) SAR]]-TABL12345[[#This Row],[(S/S) AJD]]</f>
        <v/>
      </c>
      <c r="Q81" s="39" t="n"/>
      <c r="R81" s="3">
        <f>TABL12345[[#This Row],[ (T/B) SAR]]-TABL12345[[#This Row],[(T/B) AJD]]</f>
        <v/>
      </c>
      <c r="S81" s="3">
        <f>TABL12345[[#This Row],[S/S_CON.]]+TABL12345[[#This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TABL12345[[#This Row],[(RESV. STORGE) AJD]]/10</f>
        <v/>
      </c>
      <c r="AB81" s="3">
        <f>IF(TRIM(Z81)="",,(Z81-Z80)/1000)</f>
        <v/>
      </c>
      <c r="AC81" s="5" t="n"/>
      <c r="AD81" s="39">
        <f>(TABL12345[[#This Row],[( S/S+T/B) AJD]]*1000)-((TABL12345[[#This Row],[(STORGE DIFF.) AJD]]*1000)+TABL12345[[#This Row],[AJD_Evaporation]]+(TABL12345[[#This Row],[(A/B + A/S) AJD]]*1000))</f>
        <v/>
      </c>
      <c r="AE81" s="41" t="n"/>
      <c r="AF81" s="43" t="n"/>
      <c r="AG81" s="43" t="n"/>
      <c r="AH81" s="6">
        <f>TABL12345[[#This Row],[ (RESV. STORGE) BER]]/10</f>
        <v/>
      </c>
      <c r="AI81" s="41" t="n"/>
      <c r="AJ81" s="43">
        <f>TABL12345[[#This Row],[(A/B) AJD]]-TABL12345[[#This Row],[BER_IN]]</f>
        <v/>
      </c>
      <c r="AK81" s="43" t="n"/>
      <c r="AL81" s="43" t="n"/>
      <c r="AM81" s="32" t="n"/>
      <c r="AN81" s="32">
        <f>TABL12345[[#This Row],[ (RESV. STORGE) SER]]/10</f>
        <v/>
      </c>
      <c r="AO81" s="68" t="n"/>
      <c r="AP81" s="68">
        <f>TABL12345[[#This Row],[(A/S) AJD]]-TABL12345[[#This Row],[SER_IN]]</f>
        <v/>
      </c>
    </row>
    <row r="82" ht="18.75" customHeight="1">
      <c r="A82" s="2" t="n">
        <v>46833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TABL12345[[#This Row],[ (T/B) SAR]]+TABL12345[[#This Row],[ (S/S) SAR]]</f>
        <v/>
      </c>
      <c r="L82" s="45" t="n"/>
      <c r="M82" s="46" t="n"/>
      <c r="N82" s="46" t="n"/>
      <c r="O82" s="40" t="n"/>
      <c r="P82" s="3">
        <f>TABL12345[[#This Row],[ (S/S) SAR]]-TABL12345[[#This Row],[(S/S) AJD]]</f>
        <v/>
      </c>
      <c r="Q82" s="40" t="n"/>
      <c r="R82" s="3">
        <f>TABL12345[[#This Row],[ (T/B) SAR]]-TABL12345[[#This Row],[(T/B) AJD]]</f>
        <v/>
      </c>
      <c r="S82" s="3">
        <f>TABL12345[[#This Row],[S/S_CON.]]+TABL12345[[#This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TABL12345[[#This Row],[(RESV. STORGE) AJD]]/10</f>
        <v/>
      </c>
      <c r="AB82" s="3">
        <f>IF(TRIM(Z82)="",,(Z82-Z81)/1000)</f>
        <v/>
      </c>
      <c r="AC82" s="5" t="n"/>
      <c r="AD82" s="40">
        <f>(TABL12345[[#This Row],[( S/S+T/B) AJD]]*1000)-((TABL12345[[#This Row],[(STORGE DIFF.) AJD]]*1000)+TABL12345[[#This Row],[AJD_Evaporation]]+(TABL12345[[#This Row],[(A/B + A/S) AJD]]*1000))</f>
        <v/>
      </c>
      <c r="AE82" s="44" t="n"/>
      <c r="AF82" s="45" t="n"/>
      <c r="AG82" s="45" t="n"/>
      <c r="AH82" s="6">
        <f>TABL12345[[#This Row],[ (RESV. STORGE) BER]]/10</f>
        <v/>
      </c>
      <c r="AI82" s="44" t="n"/>
      <c r="AJ82" s="45">
        <f>TABL12345[[#This Row],[(A/B) AJD]]-TABL12345[[#This Row],[BER_IN]]</f>
        <v/>
      </c>
      <c r="AK82" s="45" t="n"/>
      <c r="AL82" s="45" t="n"/>
      <c r="AM82" s="32" t="n"/>
      <c r="AN82" s="32">
        <f>TABL12345[[#This Row],[ (RESV. STORGE) SER]]/10</f>
        <v/>
      </c>
      <c r="AO82" s="68" t="n"/>
      <c r="AP82" s="68">
        <f>TABL12345[[#This Row],[(A/S) AJD]]-TABL12345[[#This Row],[SER_IN]]</f>
        <v/>
      </c>
    </row>
    <row r="83" ht="18.75" customHeight="1">
      <c r="A83" s="2" t="n">
        <v>46834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TABL12345[[#This Row],[ (T/B) SAR]]+TABL12345[[#This Row],[ (S/S) SAR]]</f>
        <v/>
      </c>
      <c r="L83" s="41" t="n"/>
      <c r="M83" s="42" t="n"/>
      <c r="N83" s="42" t="n"/>
      <c r="O83" s="39" t="n"/>
      <c r="P83" s="3">
        <f>TABL12345[[#This Row],[ (S/S) SAR]]-TABL12345[[#This Row],[(S/S) AJD]]</f>
        <v/>
      </c>
      <c r="Q83" s="39" t="n"/>
      <c r="R83" s="3">
        <f>TABL12345[[#This Row],[ (T/B) SAR]]-TABL12345[[#This Row],[(T/B) AJD]]</f>
        <v/>
      </c>
      <c r="S83" s="3">
        <f>TABL12345[[#This Row],[S/S_CON.]]+TABL12345[[#This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TABL12345[[#This Row],[(RESV. STORGE) AJD]]/10</f>
        <v/>
      </c>
      <c r="AB83" s="3">
        <f>IF(TRIM(Z83)="",,(Z83-Z82)/1000)</f>
        <v/>
      </c>
      <c r="AC83" s="5" t="n"/>
      <c r="AD83" s="39">
        <f>(TABL12345[[#This Row],[( S/S+T/B) AJD]]*1000)-((TABL12345[[#This Row],[(STORGE DIFF.) AJD]]*1000)+TABL12345[[#This Row],[AJD_Evaporation]]+(TABL12345[[#This Row],[(A/B + A/S) AJD]]*1000))</f>
        <v/>
      </c>
      <c r="AE83" s="41" t="n"/>
      <c r="AF83" s="43" t="n"/>
      <c r="AG83" s="43" t="n"/>
      <c r="AH83" s="6">
        <f>TABL12345[[#This Row],[ (RESV. STORGE) BER]]/10</f>
        <v/>
      </c>
      <c r="AI83" s="41" t="n"/>
      <c r="AJ83" s="43">
        <f>TABL12345[[#This Row],[(A/B) AJD]]-TABL12345[[#This Row],[BER_IN]]</f>
        <v/>
      </c>
      <c r="AK83" s="43" t="n"/>
      <c r="AL83" s="43" t="n"/>
      <c r="AM83" s="32" t="n"/>
      <c r="AN83" s="32">
        <f>TABL12345[[#This Row],[ (RESV. STORGE) SER]]/10</f>
        <v/>
      </c>
      <c r="AO83" s="68" t="n"/>
      <c r="AP83" s="68">
        <f>TABL12345[[#This Row],[(A/S) AJD]]-TABL12345[[#This Row],[SER_IN]]</f>
        <v/>
      </c>
    </row>
    <row r="84" ht="18.75" customHeight="1">
      <c r="A84" s="2" t="n">
        <v>46835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TABL12345[[#This Row],[ (T/B) SAR]]+TABL12345[[#This Row],[ (S/S) SAR]]</f>
        <v/>
      </c>
      <c r="L84" s="45" t="n"/>
      <c r="M84" s="46" t="n"/>
      <c r="N84" s="46" t="n"/>
      <c r="O84" s="40" t="n"/>
      <c r="P84" s="3">
        <f>TABL12345[[#This Row],[ (S/S) SAR]]-TABL12345[[#This Row],[(S/S) AJD]]</f>
        <v/>
      </c>
      <c r="Q84" s="40" t="n"/>
      <c r="R84" s="3">
        <f>TABL12345[[#This Row],[ (T/B) SAR]]-TABL12345[[#This Row],[(T/B) AJD]]</f>
        <v/>
      </c>
      <c r="S84" s="3">
        <f>TABL12345[[#This Row],[S/S_CON.]]+TABL12345[[#This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TABL12345[[#This Row],[(RESV. STORGE) AJD]]/10</f>
        <v/>
      </c>
      <c r="AB84" s="3">
        <f>IF(TRIM(Z84)="",,(Z84-Z83)/1000)</f>
        <v/>
      </c>
      <c r="AC84" s="5" t="n"/>
      <c r="AD84" s="40">
        <f>(TABL12345[[#This Row],[( S/S+T/B) AJD]]*1000)-((TABL12345[[#This Row],[(STORGE DIFF.) AJD]]*1000)+TABL12345[[#This Row],[AJD_Evaporation]]+(TABL12345[[#This Row],[(A/B + A/S) AJD]]*1000))</f>
        <v/>
      </c>
      <c r="AE84" s="44" t="n"/>
      <c r="AF84" s="45" t="n"/>
      <c r="AG84" s="45" t="n"/>
      <c r="AH84" s="6">
        <f>TABL12345[[#This Row],[ (RESV. STORGE) BER]]/10</f>
        <v/>
      </c>
      <c r="AI84" s="44" t="n"/>
      <c r="AJ84" s="45">
        <f>TABL12345[[#This Row],[(A/B) AJD]]-TABL12345[[#This Row],[BER_IN]]</f>
        <v/>
      </c>
      <c r="AK84" s="45" t="n"/>
      <c r="AL84" s="45" t="n"/>
      <c r="AM84" s="32" t="n"/>
      <c r="AN84" s="32">
        <f>TABL12345[[#This Row],[ (RESV. STORGE) SER]]/10</f>
        <v/>
      </c>
      <c r="AO84" s="68" t="n"/>
      <c r="AP84" s="68">
        <f>TABL12345[[#This Row],[(A/S) AJD]]-TABL12345[[#This Row],[SER_IN]]</f>
        <v/>
      </c>
    </row>
    <row r="85" ht="18.75" customHeight="1">
      <c r="A85" s="2" t="n">
        <v>46836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TABL12345[[#This Row],[ (T/B) SAR]]+TABL12345[[#This Row],[ (S/S) SAR]]</f>
        <v/>
      </c>
      <c r="L85" s="41" t="n"/>
      <c r="M85" s="42" t="n"/>
      <c r="N85" s="42" t="n"/>
      <c r="O85" s="39" t="n"/>
      <c r="P85" s="3">
        <f>TABL12345[[#This Row],[ (S/S) SAR]]-TABL12345[[#This Row],[(S/S) AJD]]</f>
        <v/>
      </c>
      <c r="Q85" s="39" t="n"/>
      <c r="R85" s="3">
        <f>TABL12345[[#This Row],[ (T/B) SAR]]-TABL12345[[#This Row],[(T/B) AJD]]</f>
        <v/>
      </c>
      <c r="S85" s="3">
        <f>TABL12345[[#This Row],[S/S_CON.]]+TABL12345[[#This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TABL12345[[#This Row],[(RESV. STORGE) AJD]]/10</f>
        <v/>
      </c>
      <c r="AB85" s="3">
        <f>IF(TRIM(Z85)="",,(Z85-Z84)/1000)</f>
        <v/>
      </c>
      <c r="AC85" s="5" t="n"/>
      <c r="AD85" s="39">
        <f>(TABL12345[[#This Row],[( S/S+T/B) AJD]]*1000)-((TABL12345[[#This Row],[(STORGE DIFF.) AJD]]*1000)+TABL12345[[#This Row],[AJD_Evaporation]]+(TABL12345[[#This Row],[(A/B + A/S) AJD]]*1000))</f>
        <v/>
      </c>
      <c r="AE85" s="41" t="n"/>
      <c r="AF85" s="43" t="n"/>
      <c r="AG85" s="43" t="n"/>
      <c r="AH85" s="6">
        <f>TABL12345[[#This Row],[ (RESV. STORGE) BER]]/10</f>
        <v/>
      </c>
      <c r="AI85" s="41" t="n"/>
      <c r="AJ85" s="43">
        <f>TABL12345[[#This Row],[(A/B) AJD]]-TABL12345[[#This Row],[BER_IN]]</f>
        <v/>
      </c>
      <c r="AK85" s="43" t="n"/>
      <c r="AL85" s="43" t="n"/>
      <c r="AM85" s="32" t="n"/>
      <c r="AN85" s="32">
        <f>TABL12345[[#This Row],[ (RESV. STORGE) SER]]/10</f>
        <v/>
      </c>
      <c r="AO85" s="68" t="n"/>
      <c r="AP85" s="68">
        <f>TABL12345[[#This Row],[(A/S) AJD]]-TABL12345[[#This Row],[SER_IN]]</f>
        <v/>
      </c>
    </row>
    <row r="86" ht="18.75" customHeight="1">
      <c r="A86" s="2" t="n">
        <v>46837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TABL12345[[#This Row],[ (T/B) SAR]]+TABL12345[[#This Row],[ (S/S) SAR]]</f>
        <v/>
      </c>
      <c r="L86" s="45" t="n"/>
      <c r="M86" s="46" t="n"/>
      <c r="N86" s="46" t="n"/>
      <c r="O86" s="40" t="n"/>
      <c r="P86" s="3">
        <f>TABL12345[[#This Row],[ (S/S) SAR]]-TABL12345[[#This Row],[(S/S) AJD]]</f>
        <v/>
      </c>
      <c r="Q86" s="40" t="n"/>
      <c r="R86" s="3">
        <f>TABL12345[[#This Row],[ (T/B) SAR]]-TABL12345[[#This Row],[(T/B) AJD]]</f>
        <v/>
      </c>
      <c r="S86" s="3">
        <f>TABL12345[[#This Row],[S/S_CON.]]+TABL12345[[#This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TABL12345[[#This Row],[(RESV. STORGE) AJD]]/10</f>
        <v/>
      </c>
      <c r="AB86" s="3">
        <f>IF(TRIM(Z86)="",,(Z86-Z85)/1000)</f>
        <v/>
      </c>
      <c r="AC86" s="5" t="n"/>
      <c r="AD86" s="40">
        <f>(TABL12345[[#This Row],[( S/S+T/B) AJD]]*1000)-((TABL12345[[#This Row],[(STORGE DIFF.) AJD]]*1000)+TABL12345[[#This Row],[AJD_Evaporation]]+(TABL12345[[#This Row],[(A/B + A/S) AJD]]*1000))</f>
        <v/>
      </c>
      <c r="AE86" s="44" t="n"/>
      <c r="AF86" s="45" t="n"/>
      <c r="AG86" s="45" t="n"/>
      <c r="AH86" s="6">
        <f>TABL12345[[#This Row],[ (RESV. STORGE) BER]]/10</f>
        <v/>
      </c>
      <c r="AI86" s="44" t="n"/>
      <c r="AJ86" s="45">
        <f>TABL12345[[#This Row],[(A/B) AJD]]-TABL12345[[#This Row],[BER_IN]]</f>
        <v/>
      </c>
      <c r="AK86" s="45" t="n"/>
      <c r="AL86" s="45" t="n"/>
      <c r="AM86" s="32" t="n"/>
      <c r="AN86" s="32">
        <f>TABL12345[[#This Row],[ (RESV. STORGE) SER]]/10</f>
        <v/>
      </c>
      <c r="AO86" s="68" t="n"/>
      <c r="AP86" s="68">
        <f>TABL12345[[#This Row],[(A/S) AJD]]-TABL12345[[#This Row],[SER_IN]]</f>
        <v/>
      </c>
    </row>
    <row r="87" ht="18.75" customHeight="1">
      <c r="A87" s="2" t="n">
        <v>46838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TABL12345[[#This Row],[ (T/B) SAR]]+TABL12345[[#This Row],[ (S/S) SAR]]</f>
        <v/>
      </c>
      <c r="L87" s="41" t="n"/>
      <c r="M87" s="42" t="n"/>
      <c r="N87" s="42" t="n"/>
      <c r="O87" s="39" t="n"/>
      <c r="P87" s="3">
        <f>TABL12345[[#This Row],[ (S/S) SAR]]-TABL12345[[#This Row],[(S/S) AJD]]</f>
        <v/>
      </c>
      <c r="Q87" s="39" t="n"/>
      <c r="R87" s="3">
        <f>TABL12345[[#This Row],[ (T/B) SAR]]-TABL12345[[#This Row],[(T/B) AJD]]</f>
        <v/>
      </c>
      <c r="S87" s="3">
        <f>TABL12345[[#This Row],[S/S_CON.]]+TABL12345[[#This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TABL12345[[#This Row],[(RESV. STORGE) AJD]]/10</f>
        <v/>
      </c>
      <c r="AB87" s="3">
        <f>IF(TRIM(Z87)="",,(Z87-Z86)/1000)</f>
        <v/>
      </c>
      <c r="AC87" s="5" t="n"/>
      <c r="AD87" s="39">
        <f>(TABL12345[[#This Row],[( S/S+T/B) AJD]]*1000)-((TABL12345[[#This Row],[(STORGE DIFF.) AJD]]*1000)+TABL12345[[#This Row],[AJD_Evaporation]]+(TABL12345[[#This Row],[(A/B + A/S) AJD]]*1000))</f>
        <v/>
      </c>
      <c r="AE87" s="41" t="n"/>
      <c r="AF87" s="43" t="n"/>
      <c r="AG87" s="43" t="n"/>
      <c r="AH87" s="6">
        <f>TABL12345[[#This Row],[ (RESV. STORGE) BER]]/10</f>
        <v/>
      </c>
      <c r="AI87" s="41" t="n"/>
      <c r="AJ87" s="43">
        <f>TABL12345[[#This Row],[(A/B) AJD]]-TABL12345[[#This Row],[BER_IN]]</f>
        <v/>
      </c>
      <c r="AK87" s="43" t="n"/>
      <c r="AL87" s="43" t="n"/>
      <c r="AM87" s="32" t="n"/>
      <c r="AN87" s="32">
        <f>TABL12345[[#This Row],[ (RESV. STORGE) SER]]/10</f>
        <v/>
      </c>
      <c r="AO87" s="68" t="n"/>
      <c r="AP87" s="68">
        <f>TABL12345[[#This Row],[(A/S) AJD]]-TABL12345[[#This Row],[SER_IN]]</f>
        <v/>
      </c>
    </row>
    <row r="88" ht="18.75" customHeight="1">
      <c r="A88" s="2" t="n">
        <v>46839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TABL12345[[#This Row],[ (T/B) SAR]]+TABL12345[[#This Row],[ (S/S) SAR]]</f>
        <v/>
      </c>
      <c r="L88" s="45" t="n"/>
      <c r="M88" s="46" t="n"/>
      <c r="N88" s="46" t="n"/>
      <c r="O88" s="40" t="n"/>
      <c r="P88" s="3">
        <f>TABL12345[[#This Row],[ (S/S) SAR]]-TABL12345[[#This Row],[(S/S) AJD]]</f>
        <v/>
      </c>
      <c r="Q88" s="40" t="n"/>
      <c r="R88" s="3">
        <f>TABL12345[[#This Row],[ (T/B) SAR]]-TABL12345[[#This Row],[(T/B) AJD]]</f>
        <v/>
      </c>
      <c r="S88" s="3">
        <f>TABL12345[[#This Row],[S/S_CON.]]+TABL12345[[#This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TABL12345[[#This Row],[(RESV. STORGE) AJD]]/10</f>
        <v/>
      </c>
      <c r="AB88" s="3">
        <f>IF(TRIM(Z88)="",,(Z88-Z87)/1000)</f>
        <v/>
      </c>
      <c r="AC88" s="5" t="n"/>
      <c r="AD88" s="40">
        <f>(TABL12345[[#This Row],[( S/S+T/B) AJD]]*1000)-((TABL12345[[#This Row],[(STORGE DIFF.) AJD]]*1000)+TABL12345[[#This Row],[AJD_Evaporation]]+(TABL12345[[#This Row],[(A/B + A/S) AJD]]*1000))</f>
        <v/>
      </c>
      <c r="AE88" s="44" t="n"/>
      <c r="AF88" s="45" t="n"/>
      <c r="AG88" s="45" t="n"/>
      <c r="AH88" s="6">
        <f>TABL12345[[#This Row],[ (RESV. STORGE) BER]]/10</f>
        <v/>
      </c>
      <c r="AI88" s="44" t="n"/>
      <c r="AJ88" s="45">
        <f>TABL12345[[#This Row],[(A/B) AJD]]-TABL12345[[#This Row],[BER_IN]]</f>
        <v/>
      </c>
      <c r="AK88" s="45" t="n"/>
      <c r="AL88" s="45" t="n"/>
      <c r="AM88" s="32" t="n"/>
      <c r="AN88" s="32">
        <f>TABL12345[[#This Row],[ (RESV. STORGE) SER]]/10</f>
        <v/>
      </c>
      <c r="AO88" s="68" t="n"/>
      <c r="AP88" s="68">
        <f>TABL12345[[#This Row],[(A/S) AJD]]-TABL12345[[#This Row],[SER_IN]]</f>
        <v/>
      </c>
    </row>
    <row r="89" ht="18.75" customHeight="1">
      <c r="A89" s="2" t="n">
        <v>46840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TABL12345[[#This Row],[ (T/B) SAR]]+TABL12345[[#This Row],[ (S/S) SAR]]</f>
        <v/>
      </c>
      <c r="L89" s="41" t="n"/>
      <c r="M89" s="42" t="n"/>
      <c r="N89" s="42" t="n"/>
      <c r="O89" s="39" t="n"/>
      <c r="P89" s="3">
        <f>TABL12345[[#This Row],[ (S/S) SAR]]-TABL12345[[#This Row],[(S/S) AJD]]</f>
        <v/>
      </c>
      <c r="Q89" s="39" t="n"/>
      <c r="R89" s="3">
        <f>TABL12345[[#This Row],[ (T/B) SAR]]-TABL12345[[#This Row],[(T/B) AJD]]</f>
        <v/>
      </c>
      <c r="S89" s="3">
        <f>TABL12345[[#This Row],[S/S_CON.]]+TABL12345[[#This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TABL12345[[#This Row],[(RESV. STORGE) AJD]]/10</f>
        <v/>
      </c>
      <c r="AB89" s="3">
        <f>IF(TRIM(Z89)="",,(Z89-Z88)/1000)</f>
        <v/>
      </c>
      <c r="AC89" s="5" t="n"/>
      <c r="AD89" s="39">
        <f>(TABL12345[[#This Row],[( S/S+T/B) AJD]]*1000)-((TABL12345[[#This Row],[(STORGE DIFF.) AJD]]*1000)+TABL12345[[#This Row],[AJD_Evaporation]]+(TABL12345[[#This Row],[(A/B + A/S) AJD]]*1000))</f>
        <v/>
      </c>
      <c r="AE89" s="41" t="n"/>
      <c r="AF89" s="43" t="n"/>
      <c r="AG89" s="43" t="n"/>
      <c r="AH89" s="6">
        <f>TABL12345[[#This Row],[ (RESV. STORGE) BER]]/10</f>
        <v/>
      </c>
      <c r="AI89" s="41" t="n"/>
      <c r="AJ89" s="43">
        <f>TABL12345[[#This Row],[(A/B) AJD]]-TABL12345[[#This Row],[BER_IN]]</f>
        <v/>
      </c>
      <c r="AK89" s="43" t="n"/>
      <c r="AL89" s="43" t="n"/>
      <c r="AM89" s="32" t="n"/>
      <c r="AN89" s="32">
        <f>TABL12345[[#This Row],[ (RESV. STORGE) SER]]/10</f>
        <v/>
      </c>
      <c r="AO89" s="68" t="n"/>
      <c r="AP89" s="68">
        <f>TABL12345[[#This Row],[(A/S) AJD]]-TABL12345[[#This Row],[SER_IN]]</f>
        <v/>
      </c>
    </row>
    <row r="90" ht="18.75" customHeight="1">
      <c r="A90" s="2" t="n">
        <v>46841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TABL12345[[#This Row],[ (T/B) SAR]]+TABL12345[[#This Row],[ (S/S) SAR]]</f>
        <v/>
      </c>
      <c r="L90" s="45" t="n"/>
      <c r="M90" s="46" t="n"/>
      <c r="N90" s="46" t="n"/>
      <c r="O90" s="40" t="n"/>
      <c r="P90" s="3">
        <f>TABL12345[[#This Row],[ (S/S) SAR]]-TABL12345[[#This Row],[(S/S) AJD]]</f>
        <v/>
      </c>
      <c r="Q90" s="40" t="n"/>
      <c r="R90" s="3">
        <f>TABL12345[[#This Row],[ (T/B) SAR]]-TABL12345[[#This Row],[(T/B) AJD]]</f>
        <v/>
      </c>
      <c r="S90" s="3">
        <f>TABL12345[[#This Row],[S/S_CON.]]+TABL12345[[#This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TABL12345[[#This Row],[(RESV. STORGE) AJD]]/10</f>
        <v/>
      </c>
      <c r="AB90" s="3">
        <f>IF(TRIM(Z90)="",,(Z90-Z89)/1000)</f>
        <v/>
      </c>
      <c r="AC90" s="5" t="n"/>
      <c r="AD90" s="70">
        <f>(TABL12345[[#This Row],[( S/S+T/B) AJD]]*1000)-((TABL12345[[#This Row],[(STORGE DIFF.) AJD]]*1000)+TABL12345[[#This Row],[AJD_Evaporation]]+(TABL12345[[#This Row],[(A/B + A/S) AJD]]*1000))</f>
        <v/>
      </c>
      <c r="AE90" s="44" t="n"/>
      <c r="AF90" s="45" t="n"/>
      <c r="AG90" s="45" t="n"/>
      <c r="AH90" s="6">
        <f>TABL12345[[#This Row],[ (RESV. STORGE) BER]]/10</f>
        <v/>
      </c>
      <c r="AI90" s="44" t="n"/>
      <c r="AJ90" s="90">
        <f>TABL12345[[#This Row],[(A/B) AJD]]-TABL12345[[#This Row],[BER_IN]]</f>
        <v/>
      </c>
      <c r="AK90" s="45" t="n"/>
      <c r="AL90" s="45" t="n"/>
      <c r="AM90" s="32" t="n"/>
      <c r="AN90" s="32">
        <f>TABL12345[[#This Row],[ (RESV. STORGE) SER]]/10</f>
        <v/>
      </c>
      <c r="AO90" s="68" t="n"/>
      <c r="AP90" s="68">
        <f>TABL12345[[#This Row],[(A/S) AJD]]-TABL12345[[#This Row],[SER_IN]]</f>
        <v/>
      </c>
    </row>
    <row r="91" ht="18.75" customHeight="1">
      <c r="A91" s="2" t="n">
        <v>46842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TABL12345[[#This Row],[ (T/B) SAR]]+TABL12345[[#This Row],[ (S/S) SAR]]</f>
        <v/>
      </c>
      <c r="L91" s="41" t="n"/>
      <c r="M91" s="42" t="n"/>
      <c r="N91" s="42" t="n"/>
      <c r="O91" s="39" t="n"/>
      <c r="P91" s="3">
        <f>TABL12345[[#This Row],[ (S/S) SAR]]-TABL12345[[#This Row],[(S/S) AJD]]</f>
        <v/>
      </c>
      <c r="Q91" s="39" t="n"/>
      <c r="R91" s="3">
        <f>TABL12345[[#This Row],[ (T/B) SAR]]-TABL12345[[#This Row],[(T/B) AJD]]</f>
        <v/>
      </c>
      <c r="S91" s="3">
        <f>TABL12345[[#This Row],[S/S_CON.]]+TABL12345[[#This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TABL12345[[#This Row],[(RESV. STORGE) AJD]]/10</f>
        <v/>
      </c>
      <c r="AB91" s="3">
        <f>IF(TRIM(Z91)="",,(Z91-Z90)/1000)</f>
        <v/>
      </c>
      <c r="AC91" s="5" t="n"/>
      <c r="AD91" s="39">
        <f>(TABL12345[[#This Row],[( S/S+T/B) AJD]]*1000)-((TABL12345[[#This Row],[(STORGE DIFF.) AJD]]*1000)+TABL12345[[#This Row],[AJD_Evaporation]]+(TABL12345[[#This Row],[(A/B + A/S) AJD]]*1000))</f>
        <v/>
      </c>
      <c r="AE91" s="41" t="n"/>
      <c r="AF91" s="43" t="n"/>
      <c r="AG91" s="43" t="n"/>
      <c r="AH91" s="6">
        <f>TABL12345[[#This Row],[ (RESV. STORGE) BER]]/10</f>
        <v/>
      </c>
      <c r="AI91" s="41" t="n"/>
      <c r="AJ91" s="43">
        <f>TABL12345[[#This Row],[(A/B) AJD]]-TABL12345[[#This Row],[BER_IN]]</f>
        <v/>
      </c>
      <c r="AK91" s="43" t="n"/>
      <c r="AL91" s="43" t="n"/>
      <c r="AM91" s="32" t="n"/>
      <c r="AN91" s="32">
        <f>TABL12345[[#This Row],[ (RESV. STORGE) SER]]/10</f>
        <v/>
      </c>
      <c r="AO91" s="68" t="n"/>
      <c r="AP91" s="68">
        <f>TABL12345[[#This Row],[(A/S) AJD]]-TABL12345[[#This Row],[SER_IN]]</f>
        <v/>
      </c>
    </row>
    <row r="92" ht="18.75" customHeight="1">
      <c r="A92" s="2" t="n">
        <v>46843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TABL12345[[#This Row],[ (T/B) SAR]]+TABL12345[[#This Row],[ (S/S) SAR]]</f>
        <v/>
      </c>
      <c r="L92" s="41" t="n"/>
      <c r="M92" s="42" t="n"/>
      <c r="N92" s="42" t="n"/>
      <c r="O92" s="39" t="n"/>
      <c r="P92" s="3">
        <f>TABL12345[[#This Row],[ (S/S) SAR]]-TABL12345[[#This Row],[(S/S) AJD]]</f>
        <v/>
      </c>
      <c r="Q92" s="39" t="n"/>
      <c r="R92" s="3">
        <f>TABL12345[[#This Row],[ (T/B) SAR]]-TABL12345[[#This Row],[(T/B) AJD]]</f>
        <v/>
      </c>
      <c r="S92" s="3">
        <f>TABL12345[[#This Row],[S/S_CON.]]+TABL12345[[#This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TABL12345[[#This Row],[(RESV. STORGE) AJD]]/10</f>
        <v/>
      </c>
      <c r="AB92" s="3">
        <f>IF(TRIM(Z92)="",,(Z92-Z91)/1000)</f>
        <v/>
      </c>
      <c r="AC92" s="5" t="n"/>
      <c r="AD92" s="39">
        <f>(TABL12345[[#This Row],[( S/S+T/B) AJD]]*1000)-((TABL12345[[#This Row],[(STORGE DIFF.) AJD]]*1000)+TABL12345[[#This Row],[AJD_Evaporation]]+(TABL12345[[#This Row],[(A/B + A/S) AJD]]*1000))</f>
        <v/>
      </c>
      <c r="AE92" s="41" t="n"/>
      <c r="AF92" s="43" t="n"/>
      <c r="AG92" s="43" t="n"/>
      <c r="AH92" s="6">
        <f>TABL12345[[#This Row],[ (RESV. STORGE) BER]]/10</f>
        <v/>
      </c>
      <c r="AI92" s="41" t="n"/>
      <c r="AJ92" s="43">
        <f>TABL12345[[#This Row],[(A/B) AJD]]-TABL12345[[#This Row],[BER_IN]]</f>
        <v/>
      </c>
      <c r="AK92" s="43" t="n"/>
      <c r="AL92" s="43" t="n"/>
      <c r="AM92" s="32" t="n"/>
      <c r="AN92" s="32">
        <f>TABL12345[[#This Row],[ (RESV. STORGE) SER]]/10</f>
        <v/>
      </c>
      <c r="AO92" s="68" t="n"/>
      <c r="AP92" s="68">
        <f>TABL12345[[#This Row],[(A/S) AJD]]-TABL12345[[#This Row],[SER_IN]]</f>
        <v/>
      </c>
    </row>
    <row r="93" ht="18.75" customHeight="1">
      <c r="A93" s="2" t="n">
        <v>46844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TABL12345[[#This Row],[ (T/B) SAR]]+TABL12345[[#This Row],[ (S/S) SAR]]</f>
        <v/>
      </c>
      <c r="L93" s="45" t="n"/>
      <c r="M93" s="46" t="n"/>
      <c r="N93" s="46" t="n"/>
      <c r="O93" s="40" t="n"/>
      <c r="P93" s="3">
        <f>TABL12345[[#This Row],[ (S/S) SAR]]-TABL12345[[#This Row],[(S/S) AJD]]</f>
        <v/>
      </c>
      <c r="Q93" s="40" t="n"/>
      <c r="R93" s="3">
        <f>TABL12345[[#This Row],[ (T/B) SAR]]-TABL12345[[#This Row],[(T/B) AJD]]</f>
        <v/>
      </c>
      <c r="S93" s="3">
        <f>TABL12345[[#This Row],[S/S_CON.]]+TABL12345[[#This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TABL12345[[#This Row],[(RESV. STORGE) AJD]]/10</f>
        <v/>
      </c>
      <c r="AB93" s="3">
        <f>IF(TRIM(Z93)="",,(Z93-Z92)/1000)</f>
        <v/>
      </c>
      <c r="AC93" s="5" t="n"/>
      <c r="AD93" s="40">
        <f>(TABL12345[[#This Row],[( S/S+T/B) AJD]]*1000)-((TABL12345[[#This Row],[(STORGE DIFF.) AJD]]*1000)+TABL12345[[#This Row],[AJD_Evaporation]]+(TABL12345[[#This Row],[(A/B + A/S) AJD]]*1000))</f>
        <v/>
      </c>
      <c r="AE93" s="44" t="n"/>
      <c r="AF93" s="45" t="n"/>
      <c r="AG93" s="45" t="n"/>
      <c r="AH93" s="6">
        <f>TABL12345[[#This Row],[ (RESV. STORGE) BER]]/10</f>
        <v/>
      </c>
      <c r="AI93" s="44" t="n"/>
      <c r="AJ93" s="45">
        <f>TABL12345[[#This Row],[(A/B) AJD]]-TABL12345[[#This Row],[BER_IN]]</f>
        <v/>
      </c>
      <c r="AK93" s="45" t="n"/>
      <c r="AL93" s="45" t="n"/>
      <c r="AM93" s="32" t="n"/>
      <c r="AN93" s="32">
        <f>TABL12345[[#This Row],[ (RESV. STORGE) SER]]/10</f>
        <v/>
      </c>
      <c r="AO93" s="68" t="n"/>
      <c r="AP93" s="68">
        <f>TABL12345[[#This Row],[(A/S) AJD]]-TABL12345[[#This Row],[SER_IN]]</f>
        <v/>
      </c>
    </row>
    <row r="94" ht="18.75" customHeight="1">
      <c r="A94" s="2" t="n">
        <v>46845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TABL12345[[#This Row],[ (T/B) SAR]]+TABL12345[[#This Row],[ (S/S) SAR]]</f>
        <v/>
      </c>
      <c r="L94" s="41" t="n"/>
      <c r="M94" s="42" t="n"/>
      <c r="N94" s="42" t="n"/>
      <c r="O94" s="39" t="n"/>
      <c r="P94" s="3">
        <f>TABL12345[[#This Row],[ (S/S) SAR]]-TABL12345[[#This Row],[(S/S) AJD]]</f>
        <v/>
      </c>
      <c r="Q94" s="39" t="n"/>
      <c r="R94" s="3">
        <f>TABL12345[[#This Row],[ (T/B) SAR]]-TABL12345[[#This Row],[(T/B) AJD]]</f>
        <v/>
      </c>
      <c r="S94" s="3">
        <f>TABL12345[[#This Row],[S/S_CON.]]+TABL12345[[#This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TABL12345[[#This Row],[(RESV. STORGE) AJD]]/10</f>
        <v/>
      </c>
      <c r="AB94" s="3">
        <f>IF(TRIM(Z94)="",,(Z94-Z93)/1000)</f>
        <v/>
      </c>
      <c r="AC94" s="5" t="n"/>
      <c r="AD94" s="39">
        <f>(TABL12345[[#This Row],[( S/S+T/B) AJD]]*1000)-((TABL12345[[#This Row],[(STORGE DIFF.) AJD]]*1000)+TABL12345[[#This Row],[AJD_Evaporation]]+(TABL12345[[#This Row],[(A/B + A/S) AJD]]*1000))</f>
        <v/>
      </c>
      <c r="AE94" s="41" t="n"/>
      <c r="AF94" s="43" t="n"/>
      <c r="AG94" s="43" t="n"/>
      <c r="AH94" s="6">
        <f>TABL12345[[#This Row],[ (RESV. STORGE) BER]]/10</f>
        <v/>
      </c>
      <c r="AI94" s="41" t="n"/>
      <c r="AJ94" s="43">
        <f>TABL12345[[#This Row],[(A/B) AJD]]-TABL12345[[#This Row],[BER_IN]]</f>
        <v/>
      </c>
      <c r="AK94" s="43" t="n"/>
      <c r="AL94" s="43" t="n"/>
      <c r="AM94" s="32" t="n"/>
      <c r="AN94" s="32">
        <f>TABL12345[[#This Row],[ (RESV. STORGE) SER]]/10</f>
        <v/>
      </c>
      <c r="AO94" s="68" t="n"/>
      <c r="AP94" s="68">
        <f>TABL12345[[#This Row],[(A/S) AJD]]-TABL12345[[#This Row],[SER_IN]]</f>
        <v/>
      </c>
    </row>
    <row r="95" ht="18.75" customHeight="1">
      <c r="A95" s="2" t="n">
        <v>46846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TABL12345[[#This Row],[ (T/B) SAR]]+TABL12345[[#This Row],[ (S/S) SAR]]</f>
        <v/>
      </c>
      <c r="L95" s="45" t="n"/>
      <c r="M95" s="46" t="n"/>
      <c r="N95" s="46" t="n"/>
      <c r="O95" s="40" t="n"/>
      <c r="P95" s="3">
        <f>TABL12345[[#This Row],[ (S/S) SAR]]-TABL12345[[#This Row],[(S/S) AJD]]</f>
        <v/>
      </c>
      <c r="Q95" s="40" t="n"/>
      <c r="R95" s="3">
        <f>TABL12345[[#This Row],[ (T/B) SAR]]-TABL12345[[#This Row],[(T/B) AJD]]</f>
        <v/>
      </c>
      <c r="S95" s="3">
        <f>TABL12345[[#This Row],[S/S_CON.]]+TABL12345[[#This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TABL12345[[#This Row],[(RESV. STORGE) AJD]]/10</f>
        <v/>
      </c>
      <c r="AB95" s="3">
        <f>IF(TRIM(Z95)="",,(Z95-Z94)/1000)</f>
        <v/>
      </c>
      <c r="AC95" s="5" t="n"/>
      <c r="AD95" s="40">
        <f>(TABL12345[[#This Row],[( S/S+T/B) AJD]]*1000)-((TABL12345[[#This Row],[(STORGE DIFF.) AJD]]*1000)+TABL12345[[#This Row],[AJD_Evaporation]]+(TABL12345[[#This Row],[(A/B + A/S) AJD]]*1000))</f>
        <v/>
      </c>
      <c r="AE95" s="44" t="n"/>
      <c r="AF95" s="45" t="n"/>
      <c r="AG95" s="45" t="n"/>
      <c r="AH95" s="6">
        <f>TABL12345[[#This Row],[ (RESV. STORGE) BER]]/10</f>
        <v/>
      </c>
      <c r="AI95" s="44" t="n"/>
      <c r="AJ95" s="45">
        <f>TABL12345[[#This Row],[(A/B) AJD]]-TABL12345[[#This Row],[BER_IN]]</f>
        <v/>
      </c>
      <c r="AK95" s="45" t="n"/>
      <c r="AL95" s="45" t="n"/>
      <c r="AM95" s="32" t="n"/>
      <c r="AN95" s="32">
        <f>TABL12345[[#This Row],[ (RESV. STORGE) SER]]/10</f>
        <v/>
      </c>
      <c r="AO95" s="68" t="n"/>
      <c r="AP95" s="68">
        <f>TABL12345[[#This Row],[(A/S) AJD]]-TABL12345[[#This Row],[SER_IN]]</f>
        <v/>
      </c>
    </row>
    <row r="96" ht="18.75" customHeight="1">
      <c r="A96" s="2" t="n">
        <v>46847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TABL12345[[#This Row],[ (T/B) SAR]]+TABL12345[[#This Row],[ (S/S) SAR]]</f>
        <v/>
      </c>
      <c r="L96" s="41" t="n"/>
      <c r="M96" s="42" t="n"/>
      <c r="N96" s="42" t="n"/>
      <c r="O96" s="39" t="n"/>
      <c r="P96" s="3">
        <f>TABL12345[[#This Row],[ (S/S) SAR]]-TABL12345[[#This Row],[(S/S) AJD]]</f>
        <v/>
      </c>
      <c r="Q96" s="39" t="n"/>
      <c r="R96" s="3">
        <f>TABL12345[[#This Row],[ (T/B) SAR]]-TABL12345[[#This Row],[(T/B) AJD]]</f>
        <v/>
      </c>
      <c r="S96" s="3">
        <f>TABL12345[[#This Row],[S/S_CON.]]+TABL12345[[#This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TABL12345[[#This Row],[(RESV. STORGE) AJD]]/10</f>
        <v/>
      </c>
      <c r="AB96" s="3">
        <f>IF(TRIM(Z96)="",,(Z96-Z95)/1000)</f>
        <v/>
      </c>
      <c r="AC96" s="5" t="n"/>
      <c r="AD96" s="39">
        <f>(TABL12345[[#This Row],[( S/S+T/B) AJD]]*1000)-((TABL12345[[#This Row],[(STORGE DIFF.) AJD]]*1000)+TABL12345[[#This Row],[AJD_Evaporation]]+(TABL12345[[#This Row],[(A/B + A/S) AJD]]*1000))</f>
        <v/>
      </c>
      <c r="AE96" s="41" t="n"/>
      <c r="AF96" s="43" t="n"/>
      <c r="AG96" s="43" t="n"/>
      <c r="AH96" s="6">
        <f>TABL12345[[#This Row],[ (RESV. STORGE) BER]]/10</f>
        <v/>
      </c>
      <c r="AI96" s="41" t="n"/>
      <c r="AJ96" s="43">
        <f>TABL12345[[#This Row],[(A/B) AJD]]-TABL12345[[#This Row],[BER_IN]]</f>
        <v/>
      </c>
      <c r="AK96" s="43" t="n"/>
      <c r="AL96" s="43" t="n"/>
      <c r="AM96" s="32" t="n"/>
      <c r="AN96" s="32">
        <f>TABL12345[[#This Row],[ (RESV. STORGE) SER]]/10</f>
        <v/>
      </c>
      <c r="AO96" s="68" t="n"/>
      <c r="AP96" s="68">
        <f>TABL12345[[#This Row],[(A/S) AJD]]-TABL12345[[#This Row],[SER_IN]]</f>
        <v/>
      </c>
    </row>
    <row r="97" ht="18.75" customHeight="1">
      <c r="A97" s="2" t="n">
        <v>46848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TABL12345[[#This Row],[ (T/B) SAR]]+TABL12345[[#This Row],[ (S/S) SAR]]</f>
        <v/>
      </c>
      <c r="L97" s="45" t="n"/>
      <c r="M97" s="46" t="n"/>
      <c r="N97" s="46" t="n"/>
      <c r="O97" s="40" t="n"/>
      <c r="P97" s="3">
        <f>TABL12345[[#This Row],[ (S/S) SAR]]-TABL12345[[#This Row],[(S/S) AJD]]</f>
        <v/>
      </c>
      <c r="Q97" s="40" t="n"/>
      <c r="R97" s="3">
        <f>TABL12345[[#This Row],[ (T/B) SAR]]-TABL12345[[#This Row],[(T/B) AJD]]</f>
        <v/>
      </c>
      <c r="S97" s="3">
        <f>TABL12345[[#This Row],[S/S_CON.]]+TABL12345[[#This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TABL12345[[#This Row],[(RESV. STORGE) AJD]]/10</f>
        <v/>
      </c>
      <c r="AB97" s="3">
        <f>IF(TRIM(Z97)="",,(Z97-Z96)/1000)</f>
        <v/>
      </c>
      <c r="AC97" s="5" t="n"/>
      <c r="AD97" s="40">
        <f>(TABL12345[[#This Row],[( S/S+T/B) AJD]]*1000)-((TABL12345[[#This Row],[(STORGE DIFF.) AJD]]*1000)+TABL12345[[#This Row],[AJD_Evaporation]]+(TABL12345[[#This Row],[(A/B + A/S) AJD]]*1000))</f>
        <v/>
      </c>
      <c r="AE97" s="44" t="n"/>
      <c r="AF97" s="45" t="n"/>
      <c r="AG97" s="45" t="n"/>
      <c r="AH97" s="6">
        <f>TABL12345[[#This Row],[ (RESV. STORGE) BER]]/10</f>
        <v/>
      </c>
      <c r="AI97" s="44" t="n"/>
      <c r="AJ97" s="45">
        <f>TABL12345[[#This Row],[(A/B) AJD]]-TABL12345[[#This Row],[BER_IN]]</f>
        <v/>
      </c>
      <c r="AK97" s="45" t="n"/>
      <c r="AL97" s="45" t="n"/>
      <c r="AM97" s="32" t="n"/>
      <c r="AN97" s="32">
        <f>TABL12345[[#This Row],[ (RESV. STORGE) SER]]/10</f>
        <v/>
      </c>
      <c r="AO97" s="68" t="n"/>
      <c r="AP97" s="68">
        <f>TABL12345[[#This Row],[(A/S) AJD]]-TABL12345[[#This Row],[SER_IN]]</f>
        <v/>
      </c>
    </row>
    <row r="98" ht="18.75" customHeight="1">
      <c r="A98" s="2" t="n">
        <v>46849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TABL12345[[#This Row],[ (T/B) SAR]]+TABL12345[[#This Row],[ (S/S) SAR]]</f>
        <v/>
      </c>
      <c r="L98" s="41" t="n"/>
      <c r="M98" s="42" t="n"/>
      <c r="N98" s="42" t="n"/>
      <c r="O98" s="39" t="n"/>
      <c r="P98" s="3">
        <f>TABL12345[[#This Row],[ (S/S) SAR]]-TABL12345[[#This Row],[(S/S) AJD]]</f>
        <v/>
      </c>
      <c r="Q98" s="39" t="n"/>
      <c r="R98" s="3">
        <f>TABL12345[[#This Row],[ (T/B) SAR]]-TABL12345[[#This Row],[(T/B) AJD]]</f>
        <v/>
      </c>
      <c r="S98" s="3">
        <f>TABL12345[[#This Row],[S/S_CON.]]+TABL12345[[#This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TABL12345[[#This Row],[(RESV. STORGE) AJD]]/10</f>
        <v/>
      </c>
      <c r="AB98" s="3">
        <f>IF(TRIM(Z98)="",,(Z98-Z97)/1000)</f>
        <v/>
      </c>
      <c r="AC98" s="5" t="n"/>
      <c r="AD98" s="39">
        <f>(TABL12345[[#This Row],[( S/S+T/B) AJD]]*1000)-((TABL12345[[#This Row],[(STORGE DIFF.) AJD]]*1000)+TABL12345[[#This Row],[AJD_Evaporation]]+(TABL12345[[#This Row],[(A/B + A/S) AJD]]*1000))</f>
        <v/>
      </c>
      <c r="AE98" s="41" t="n"/>
      <c r="AF98" s="43" t="n"/>
      <c r="AG98" s="43" t="n"/>
      <c r="AH98" s="6">
        <f>TABL12345[[#This Row],[ (RESV. STORGE) BER]]/10</f>
        <v/>
      </c>
      <c r="AI98" s="41" t="n"/>
      <c r="AJ98" s="43">
        <f>TABL12345[[#This Row],[(A/B) AJD]]-TABL12345[[#This Row],[BER_IN]]</f>
        <v/>
      </c>
      <c r="AK98" s="43" t="n"/>
      <c r="AL98" s="43" t="n"/>
      <c r="AM98" s="32" t="n"/>
      <c r="AN98" s="32">
        <f>TABL12345[[#This Row],[ (RESV. STORGE) SER]]/10</f>
        <v/>
      </c>
      <c r="AO98" s="68" t="n"/>
      <c r="AP98" s="68">
        <f>TABL12345[[#This Row],[(A/S) AJD]]-TABL12345[[#This Row],[SER_IN]]</f>
        <v/>
      </c>
    </row>
    <row r="99" ht="18.75" customHeight="1">
      <c r="A99" s="2" t="n">
        <v>46850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TABL12345[[#This Row],[ (T/B) SAR]]+TABL12345[[#This Row],[ (S/S) SAR]]</f>
        <v/>
      </c>
      <c r="L99" s="45" t="n"/>
      <c r="M99" s="46" t="n"/>
      <c r="N99" s="46" t="n"/>
      <c r="O99" s="40" t="n"/>
      <c r="P99" s="3">
        <f>TABL12345[[#This Row],[ (S/S) SAR]]-TABL12345[[#This Row],[(S/S) AJD]]</f>
        <v/>
      </c>
      <c r="Q99" s="40" t="n"/>
      <c r="R99" s="3">
        <f>TABL12345[[#This Row],[ (T/B) SAR]]-TABL12345[[#This Row],[(T/B) AJD]]</f>
        <v/>
      </c>
      <c r="S99" s="3">
        <f>TABL12345[[#This Row],[S/S_CON.]]+TABL12345[[#This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TABL12345[[#This Row],[(RESV. STORGE) AJD]]/10</f>
        <v/>
      </c>
      <c r="AB99" s="3">
        <f>IF(TRIM(Z99)="",,(Z99-Z98)/1000)</f>
        <v/>
      </c>
      <c r="AC99" s="5" t="n"/>
      <c r="AD99" s="40">
        <f>(TABL12345[[#This Row],[( S/S+T/B) AJD]]*1000)-((TABL12345[[#This Row],[(STORGE DIFF.) AJD]]*1000)+TABL12345[[#This Row],[AJD_Evaporation]]+(TABL12345[[#This Row],[(A/B + A/S) AJD]]*1000))</f>
        <v/>
      </c>
      <c r="AE99" s="44" t="n"/>
      <c r="AF99" s="45" t="n"/>
      <c r="AG99" s="45" t="n"/>
      <c r="AH99" s="6">
        <f>TABL12345[[#This Row],[ (RESV. STORGE) BER]]/10</f>
        <v/>
      </c>
      <c r="AI99" s="44" t="n"/>
      <c r="AJ99" s="45">
        <f>TABL12345[[#This Row],[(A/B) AJD]]-TABL12345[[#This Row],[BER_IN]]</f>
        <v/>
      </c>
      <c r="AK99" s="45" t="n"/>
      <c r="AL99" s="45" t="n"/>
      <c r="AM99" s="32" t="n"/>
      <c r="AN99" s="32">
        <f>TABL12345[[#This Row],[ (RESV. STORGE) SER]]/10</f>
        <v/>
      </c>
      <c r="AO99" s="68" t="n"/>
      <c r="AP99" s="68">
        <f>TABL12345[[#This Row],[(A/S) AJD]]-TABL12345[[#This Row],[SER_IN]]</f>
        <v/>
      </c>
    </row>
    <row r="100" ht="18.75" customHeight="1">
      <c r="A100" s="2" t="n">
        <v>46851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TABL12345[[#This Row],[ (T/B) SAR]]+TABL12345[[#This Row],[ (S/S) SAR]]</f>
        <v/>
      </c>
      <c r="L100" s="41" t="n"/>
      <c r="M100" s="42" t="n"/>
      <c r="N100" s="42" t="n"/>
      <c r="O100" s="39" t="n"/>
      <c r="P100" s="3">
        <f>TABL12345[[#This Row],[ (S/S) SAR]]-TABL12345[[#This Row],[(S/S) AJD]]</f>
        <v/>
      </c>
      <c r="Q100" s="39" t="n"/>
      <c r="R100" s="3">
        <f>TABL12345[[#This Row],[ (T/B) SAR]]-TABL12345[[#This Row],[(T/B) AJD]]</f>
        <v/>
      </c>
      <c r="S100" s="3">
        <f>TABL12345[[#This Row],[S/S_CON.]]+TABL12345[[#This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TABL12345[[#This Row],[(RESV. STORGE) AJD]]/10</f>
        <v/>
      </c>
      <c r="AB100" s="3">
        <f>IF(TRIM(Z100)="",,(Z100-Z99)/1000)</f>
        <v/>
      </c>
      <c r="AC100" s="5" t="n"/>
      <c r="AD100" s="39">
        <f>(TABL12345[[#This Row],[( S/S+T/B) AJD]]*1000)-((TABL12345[[#This Row],[(STORGE DIFF.) AJD]]*1000)+TABL12345[[#This Row],[AJD_Evaporation]]+(TABL12345[[#This Row],[(A/B + A/S) AJD]]*1000))</f>
        <v/>
      </c>
      <c r="AE100" s="41" t="n"/>
      <c r="AF100" s="43" t="n"/>
      <c r="AG100" s="43" t="n"/>
      <c r="AH100" s="6">
        <f>TABL12345[[#This Row],[ (RESV. STORGE) BER]]/10</f>
        <v/>
      </c>
      <c r="AI100" s="41" t="n"/>
      <c r="AJ100" s="43">
        <f>TABL12345[[#This Row],[(A/B) AJD]]-TABL12345[[#This Row],[BER_IN]]</f>
        <v/>
      </c>
      <c r="AK100" s="43" t="n"/>
      <c r="AL100" s="43" t="n"/>
      <c r="AM100" s="32" t="n"/>
      <c r="AN100" s="32">
        <f>TABL12345[[#This Row],[ (RESV. STORGE) SER]]/10</f>
        <v/>
      </c>
      <c r="AO100" s="68" t="n"/>
      <c r="AP100" s="68">
        <f>TABL12345[[#This Row],[(A/S) AJD]]-TABL12345[[#This Row],[SER_IN]]</f>
        <v/>
      </c>
    </row>
    <row r="101" ht="18.75" customHeight="1">
      <c r="A101" s="2" t="n">
        <v>46852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TABL12345[[#This Row],[ (T/B) SAR]]+TABL12345[[#This Row],[ (S/S) SAR]]</f>
        <v/>
      </c>
      <c r="L101" s="45" t="n"/>
      <c r="M101" s="46" t="n"/>
      <c r="N101" s="46" t="n"/>
      <c r="O101" s="40" t="n"/>
      <c r="P101" s="3">
        <f>TABL12345[[#This Row],[ (S/S) SAR]]-TABL12345[[#This Row],[(S/S) AJD]]</f>
        <v/>
      </c>
      <c r="Q101" s="40" t="n"/>
      <c r="R101" s="3">
        <f>TABL12345[[#This Row],[ (T/B) SAR]]-TABL12345[[#This Row],[(T/B) AJD]]</f>
        <v/>
      </c>
      <c r="S101" s="3">
        <f>TABL12345[[#This Row],[S/S_CON.]]+TABL12345[[#This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TABL12345[[#This Row],[(RESV. STORGE) AJD]]/10</f>
        <v/>
      </c>
      <c r="AB101" s="3">
        <f>IF(TRIM(Z101)="",,(Z101-Z100)/1000)</f>
        <v/>
      </c>
      <c r="AC101" s="5" t="n"/>
      <c r="AD101" s="40">
        <f>(TABL12345[[#This Row],[( S/S+T/B) AJD]]*1000)-((TABL12345[[#This Row],[(STORGE DIFF.) AJD]]*1000)+TABL12345[[#This Row],[AJD_Evaporation]]+(TABL12345[[#This Row],[(A/B + A/S) AJD]]*1000))</f>
        <v/>
      </c>
      <c r="AE101" s="44" t="n"/>
      <c r="AF101" s="45" t="n"/>
      <c r="AG101" s="45" t="n"/>
      <c r="AH101" s="6">
        <f>TABL12345[[#This Row],[ (RESV. STORGE) BER]]/10</f>
        <v/>
      </c>
      <c r="AI101" s="44" t="n"/>
      <c r="AJ101" s="45">
        <f>TABL12345[[#This Row],[(A/B) AJD]]-TABL12345[[#This Row],[BER_IN]]</f>
        <v/>
      </c>
      <c r="AK101" s="45" t="n"/>
      <c r="AL101" s="45" t="n"/>
      <c r="AM101" s="32" t="n"/>
      <c r="AN101" s="32">
        <f>TABL12345[[#This Row],[ (RESV. STORGE) SER]]/10</f>
        <v/>
      </c>
      <c r="AO101" s="68" t="n"/>
      <c r="AP101" s="68">
        <f>TABL12345[[#This Row],[(A/S) AJD]]-TABL12345[[#This Row],[SER_IN]]</f>
        <v/>
      </c>
    </row>
    <row r="102" ht="18.75" customHeight="1">
      <c r="A102" s="2" t="n">
        <v>46853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TABL12345[[#This Row],[ (T/B) SAR]]+TABL12345[[#This Row],[ (S/S) SAR]]</f>
        <v/>
      </c>
      <c r="L102" s="41" t="n"/>
      <c r="M102" s="42" t="n"/>
      <c r="N102" s="42" t="n"/>
      <c r="O102" s="39" t="n"/>
      <c r="P102" s="3">
        <f>TABL12345[[#This Row],[ (S/S) SAR]]-TABL12345[[#This Row],[(S/S) AJD]]</f>
        <v/>
      </c>
      <c r="Q102" s="39" t="n"/>
      <c r="R102" s="3">
        <f>TABL12345[[#This Row],[ (T/B) SAR]]-TABL12345[[#This Row],[(T/B) AJD]]</f>
        <v/>
      </c>
      <c r="S102" s="3">
        <f>TABL12345[[#This Row],[S/S_CON.]]+TABL12345[[#This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TABL12345[[#This Row],[(RESV. STORGE) AJD]]/10</f>
        <v/>
      </c>
      <c r="AB102" s="3">
        <f>IF(TRIM(Z102)="",,(Z102-Z101)/1000)</f>
        <v/>
      </c>
      <c r="AC102" s="5" t="n"/>
      <c r="AD102" s="39">
        <f>(TABL12345[[#This Row],[( S/S+T/B) AJD]]*1000)-((TABL12345[[#This Row],[(STORGE DIFF.) AJD]]*1000)+TABL12345[[#This Row],[AJD_Evaporation]]+(TABL12345[[#This Row],[(A/B + A/S) AJD]]*1000))</f>
        <v/>
      </c>
      <c r="AE102" s="41" t="n"/>
      <c r="AF102" s="43" t="n"/>
      <c r="AG102" s="43" t="n"/>
      <c r="AH102" s="6">
        <f>TABL12345[[#This Row],[ (RESV. STORGE) BER]]/10</f>
        <v/>
      </c>
      <c r="AI102" s="41" t="n"/>
      <c r="AJ102" s="43">
        <f>TABL12345[[#This Row],[(A/B) AJD]]-TABL12345[[#This Row],[BER_IN]]</f>
        <v/>
      </c>
      <c r="AK102" s="43" t="n"/>
      <c r="AL102" s="43" t="n"/>
      <c r="AM102" s="32" t="n"/>
      <c r="AN102" s="32">
        <f>TABL12345[[#This Row],[ (RESV. STORGE) SER]]/10</f>
        <v/>
      </c>
      <c r="AO102" s="68" t="n"/>
      <c r="AP102" s="68">
        <f>TABL12345[[#This Row],[(A/S) AJD]]-TABL12345[[#This Row],[SER_IN]]</f>
        <v/>
      </c>
    </row>
    <row r="103" ht="18.75" customHeight="1">
      <c r="A103" s="2" t="n">
        <v>46854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TABL12345[[#This Row],[ (T/B) SAR]]+TABL12345[[#This Row],[ (S/S) SAR]]</f>
        <v/>
      </c>
      <c r="L103" s="45" t="n"/>
      <c r="M103" s="46" t="n"/>
      <c r="N103" s="46" t="n"/>
      <c r="O103" s="40" t="n"/>
      <c r="P103" s="3">
        <f>TABL12345[[#This Row],[ (S/S) SAR]]-TABL12345[[#This Row],[(S/S) AJD]]</f>
        <v/>
      </c>
      <c r="Q103" s="40" t="n"/>
      <c r="R103" s="3">
        <f>TABL12345[[#This Row],[ (T/B) SAR]]-TABL12345[[#This Row],[(T/B) AJD]]</f>
        <v/>
      </c>
      <c r="S103" s="3">
        <f>TABL12345[[#This Row],[S/S_CON.]]+TABL12345[[#This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TABL12345[[#This Row],[(RESV. STORGE) AJD]]/10</f>
        <v/>
      </c>
      <c r="AB103" s="3">
        <f>IF(TRIM(Z103)="",,(Z103-Z102)/1000)</f>
        <v/>
      </c>
      <c r="AC103" s="5" t="n"/>
      <c r="AD103" s="40">
        <f>(TABL12345[[#This Row],[( S/S+T/B) AJD]]*1000)-((TABL12345[[#This Row],[(STORGE DIFF.) AJD]]*1000)+TABL12345[[#This Row],[AJD_Evaporation]]+(TABL12345[[#This Row],[(A/B + A/S) AJD]]*1000))</f>
        <v/>
      </c>
      <c r="AE103" s="44" t="n"/>
      <c r="AF103" s="45" t="n"/>
      <c r="AG103" s="45" t="n"/>
      <c r="AH103" s="6">
        <f>TABL12345[[#This Row],[ (RESV. STORGE) BER]]/10</f>
        <v/>
      </c>
      <c r="AI103" s="44" t="n"/>
      <c r="AJ103" s="45">
        <f>TABL12345[[#This Row],[(A/B) AJD]]-TABL12345[[#This Row],[BER_IN]]</f>
        <v/>
      </c>
      <c r="AK103" s="45" t="n"/>
      <c r="AL103" s="45" t="n"/>
      <c r="AM103" s="32" t="n"/>
      <c r="AN103" s="32">
        <f>TABL12345[[#This Row],[ (RESV. STORGE) SER]]/10</f>
        <v/>
      </c>
      <c r="AO103" s="68" t="n"/>
      <c r="AP103" s="68">
        <f>TABL12345[[#This Row],[(A/S) AJD]]-TABL12345[[#This Row],[SER_IN]]</f>
        <v/>
      </c>
    </row>
    <row r="104" ht="18.75" customHeight="1">
      <c r="A104" s="2" t="n">
        <v>46855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TABL12345[[#This Row],[ (T/B) SAR]]+TABL12345[[#This Row],[ (S/S) SAR]]</f>
        <v/>
      </c>
      <c r="L104" s="41" t="n"/>
      <c r="M104" s="42" t="n"/>
      <c r="N104" s="42" t="n"/>
      <c r="O104" s="39" t="n"/>
      <c r="P104" s="3">
        <f>TABL12345[[#This Row],[ (S/S) SAR]]-TABL12345[[#This Row],[(S/S) AJD]]</f>
        <v/>
      </c>
      <c r="Q104" s="39" t="n"/>
      <c r="R104" s="3">
        <f>TABL12345[[#This Row],[ (T/B) SAR]]-TABL12345[[#This Row],[(T/B) AJD]]</f>
        <v/>
      </c>
      <c r="S104" s="3">
        <f>TABL12345[[#This Row],[S/S_CON.]]+TABL12345[[#This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TABL12345[[#This Row],[(RESV. STORGE) AJD]]/10</f>
        <v/>
      </c>
      <c r="AB104" s="3">
        <f>IF(TRIM(Z104)="",,(Z104-Z103)/1000)</f>
        <v/>
      </c>
      <c r="AC104" s="5" t="n"/>
      <c r="AD104" s="39">
        <f>(TABL12345[[#This Row],[( S/S+T/B) AJD]]*1000)-((TABL12345[[#This Row],[(STORGE DIFF.) AJD]]*1000)+TABL12345[[#This Row],[AJD_Evaporation]]+(TABL12345[[#This Row],[(A/B + A/S) AJD]]*1000))</f>
        <v/>
      </c>
      <c r="AE104" s="41" t="n"/>
      <c r="AF104" s="43" t="n"/>
      <c r="AG104" s="43" t="n"/>
      <c r="AH104" s="6">
        <f>TABL12345[[#This Row],[ (RESV. STORGE) BER]]/10</f>
        <v/>
      </c>
      <c r="AI104" s="41" t="n"/>
      <c r="AJ104" s="43">
        <f>TABL12345[[#This Row],[(A/B) AJD]]-TABL12345[[#This Row],[BER_IN]]</f>
        <v/>
      </c>
      <c r="AK104" s="43" t="n"/>
      <c r="AL104" s="43" t="n"/>
      <c r="AM104" s="32" t="n"/>
      <c r="AN104" s="32">
        <f>TABL12345[[#This Row],[ (RESV. STORGE) SER]]/10</f>
        <v/>
      </c>
      <c r="AO104" s="68" t="n"/>
      <c r="AP104" s="68">
        <f>TABL12345[[#This Row],[(A/S) AJD]]-TABL12345[[#This Row],[SER_IN]]</f>
        <v/>
      </c>
    </row>
    <row r="105" ht="18.75" customHeight="1">
      <c r="A105" s="2" t="n">
        <v>46856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TABL12345[[#This Row],[ (T/B) SAR]]+TABL12345[[#This Row],[ (S/S) SAR]]</f>
        <v/>
      </c>
      <c r="L105" s="45" t="n"/>
      <c r="M105" s="46" t="n"/>
      <c r="N105" s="46" t="n"/>
      <c r="O105" s="40" t="n"/>
      <c r="P105" s="3">
        <f>TABL12345[[#This Row],[ (S/S) SAR]]-TABL12345[[#This Row],[(S/S) AJD]]</f>
        <v/>
      </c>
      <c r="Q105" s="40" t="n"/>
      <c r="R105" s="3">
        <f>TABL12345[[#This Row],[ (T/B) SAR]]-TABL12345[[#This Row],[(T/B) AJD]]</f>
        <v/>
      </c>
      <c r="S105" s="3">
        <f>TABL12345[[#This Row],[S/S_CON.]]+TABL12345[[#This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TABL12345[[#This Row],[(RESV. STORGE) AJD]]/10</f>
        <v/>
      </c>
      <c r="AB105" s="3">
        <f>IF(TRIM(Z105)="",,(Z105-Z104)/1000)</f>
        <v/>
      </c>
      <c r="AC105" s="5" t="n"/>
      <c r="AD105" s="40">
        <f>(TABL12345[[#This Row],[( S/S+T/B) AJD]]*1000)-((TABL12345[[#This Row],[(STORGE DIFF.) AJD]]*1000)+TABL12345[[#This Row],[AJD_Evaporation]]+(TABL12345[[#This Row],[(A/B + A/S) AJD]]*1000))</f>
        <v/>
      </c>
      <c r="AE105" s="44" t="n"/>
      <c r="AF105" s="45" t="n"/>
      <c r="AG105" s="45" t="n"/>
      <c r="AH105" s="6">
        <f>TABL12345[[#This Row],[ (RESV. STORGE) BER]]/10</f>
        <v/>
      </c>
      <c r="AI105" s="44" t="n"/>
      <c r="AJ105" s="45">
        <f>TABL12345[[#This Row],[(A/B) AJD]]-TABL12345[[#This Row],[BER_IN]]</f>
        <v/>
      </c>
      <c r="AK105" s="45" t="n"/>
      <c r="AL105" s="45" t="n"/>
      <c r="AM105" s="32" t="n"/>
      <c r="AN105" s="32">
        <f>TABL12345[[#This Row],[ (RESV. STORGE) SER]]/10</f>
        <v/>
      </c>
      <c r="AO105" s="68" t="n"/>
      <c r="AP105" s="68">
        <f>TABL12345[[#This Row],[(A/S) AJD]]-TABL12345[[#This Row],[SER_IN]]</f>
        <v/>
      </c>
    </row>
    <row r="106" ht="18.75" customHeight="1">
      <c r="A106" s="2" t="n">
        <v>46857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TABL12345[[#This Row],[ (T/B) SAR]]+TABL12345[[#This Row],[ (S/S) SAR]]</f>
        <v/>
      </c>
      <c r="L106" s="41" t="n"/>
      <c r="M106" s="42" t="n"/>
      <c r="N106" s="42" t="n"/>
      <c r="O106" s="39" t="n"/>
      <c r="P106" s="3">
        <f>TABL12345[[#This Row],[ (S/S) SAR]]-TABL12345[[#This Row],[(S/S) AJD]]</f>
        <v/>
      </c>
      <c r="Q106" s="39" t="n"/>
      <c r="R106" s="3">
        <f>TABL12345[[#This Row],[ (T/B) SAR]]-TABL12345[[#This Row],[(T/B) AJD]]</f>
        <v/>
      </c>
      <c r="S106" s="3">
        <f>TABL12345[[#This Row],[S/S_CON.]]+TABL12345[[#This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TABL12345[[#This Row],[(RESV. STORGE) AJD]]/10</f>
        <v/>
      </c>
      <c r="AB106" s="3">
        <f>IF(TRIM(Z106)="",,(Z106-Z105)/1000)</f>
        <v/>
      </c>
      <c r="AC106" s="5" t="n"/>
      <c r="AD106" s="39">
        <f>(TABL12345[[#This Row],[( S/S+T/B) AJD]]*1000)-((TABL12345[[#This Row],[(STORGE DIFF.) AJD]]*1000)+TABL12345[[#This Row],[AJD_Evaporation]]+(TABL12345[[#This Row],[(A/B + A/S) AJD]]*1000))</f>
        <v/>
      </c>
      <c r="AE106" s="41" t="n"/>
      <c r="AF106" s="43" t="n"/>
      <c r="AG106" s="43" t="n"/>
      <c r="AH106" s="6">
        <f>TABL12345[[#This Row],[ (RESV. STORGE) BER]]/10</f>
        <v/>
      </c>
      <c r="AI106" s="41" t="n"/>
      <c r="AJ106" s="43">
        <f>TABL12345[[#This Row],[(A/B) AJD]]-TABL12345[[#This Row],[BER_IN]]</f>
        <v/>
      </c>
      <c r="AK106" s="43" t="n"/>
      <c r="AL106" s="43" t="n"/>
      <c r="AM106" s="32" t="n"/>
      <c r="AN106" s="32">
        <f>TABL12345[[#This Row],[ (RESV. STORGE) SER]]/10</f>
        <v/>
      </c>
      <c r="AO106" s="68" t="n"/>
      <c r="AP106" s="68">
        <f>TABL12345[[#This Row],[(A/S) AJD]]-TABL12345[[#This Row],[SER_IN]]</f>
        <v/>
      </c>
    </row>
    <row r="107" ht="18.75" customHeight="1">
      <c r="A107" s="2" t="n">
        <v>46858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TABL12345[[#This Row],[ (T/B) SAR]]+TABL12345[[#This Row],[ (S/S) SAR]]</f>
        <v/>
      </c>
      <c r="L107" s="45" t="n"/>
      <c r="M107" s="46" t="n"/>
      <c r="N107" s="46" t="n"/>
      <c r="O107" s="40" t="n"/>
      <c r="P107" s="3">
        <f>TABL12345[[#This Row],[ (S/S) SAR]]-TABL12345[[#This Row],[(S/S) AJD]]</f>
        <v/>
      </c>
      <c r="Q107" s="40" t="n"/>
      <c r="R107" s="3">
        <f>TABL12345[[#This Row],[ (T/B) SAR]]-TABL12345[[#This Row],[(T/B) AJD]]</f>
        <v/>
      </c>
      <c r="S107" s="3">
        <f>TABL12345[[#This Row],[S/S_CON.]]+TABL12345[[#This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TABL12345[[#This Row],[(RESV. STORGE) AJD]]/10</f>
        <v/>
      </c>
      <c r="AB107" s="3">
        <f>IF(TRIM(Z107)="",,(Z107-Z106)/1000)</f>
        <v/>
      </c>
      <c r="AC107" s="5" t="n"/>
      <c r="AD107" s="40">
        <f>(TABL12345[[#This Row],[( S/S+T/B) AJD]]*1000)-((TABL12345[[#This Row],[(STORGE DIFF.) AJD]]*1000)+TABL12345[[#This Row],[AJD_Evaporation]]+(TABL12345[[#This Row],[(A/B + A/S) AJD]]*1000))</f>
        <v/>
      </c>
      <c r="AE107" s="44" t="n"/>
      <c r="AF107" s="45" t="n"/>
      <c r="AG107" s="45" t="n"/>
      <c r="AH107" s="6">
        <f>TABL12345[[#This Row],[ (RESV. STORGE) BER]]/10</f>
        <v/>
      </c>
      <c r="AI107" s="44" t="n"/>
      <c r="AJ107" s="45">
        <f>TABL12345[[#This Row],[(A/B) AJD]]-TABL12345[[#This Row],[BER_IN]]</f>
        <v/>
      </c>
      <c r="AK107" s="45" t="n"/>
      <c r="AL107" s="45" t="n"/>
      <c r="AM107" s="32" t="n"/>
      <c r="AN107" s="32">
        <f>TABL12345[[#This Row],[ (RESV. STORGE) SER]]/10</f>
        <v/>
      </c>
      <c r="AO107" s="68" t="n"/>
      <c r="AP107" s="68">
        <f>TABL12345[[#This Row],[(A/S) AJD]]-TABL12345[[#This Row],[SER_IN]]</f>
        <v/>
      </c>
    </row>
    <row r="108" ht="18.75" customHeight="1">
      <c r="A108" s="2" t="n">
        <v>46859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TABL12345[[#This Row],[ (T/B) SAR]]+TABL12345[[#This Row],[ (S/S) SAR]]</f>
        <v/>
      </c>
      <c r="L108" s="41" t="n"/>
      <c r="M108" s="42" t="n"/>
      <c r="N108" s="42" t="n"/>
      <c r="O108" s="39" t="n"/>
      <c r="P108" s="3">
        <f>TABL12345[[#This Row],[ (S/S) SAR]]-TABL12345[[#This Row],[(S/S) AJD]]</f>
        <v/>
      </c>
      <c r="Q108" s="39" t="n"/>
      <c r="R108" s="3">
        <f>TABL12345[[#This Row],[ (T/B) SAR]]-TABL12345[[#This Row],[(T/B) AJD]]</f>
        <v/>
      </c>
      <c r="S108" s="3">
        <f>TABL12345[[#This Row],[S/S_CON.]]+TABL12345[[#This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TABL12345[[#This Row],[(RESV. STORGE) AJD]]/10</f>
        <v/>
      </c>
      <c r="AB108" s="3">
        <f>IF(TRIM(Z108)="",,(Z108-Z107)/1000)</f>
        <v/>
      </c>
      <c r="AC108" s="5" t="n"/>
      <c r="AD108" s="39">
        <f>(TABL12345[[#This Row],[( S/S+T/B) AJD]]*1000)-((TABL12345[[#This Row],[(STORGE DIFF.) AJD]]*1000)+TABL12345[[#This Row],[AJD_Evaporation]]+(TABL12345[[#This Row],[(A/B + A/S) AJD]]*1000))</f>
        <v/>
      </c>
      <c r="AE108" s="41" t="n"/>
      <c r="AF108" s="43" t="n"/>
      <c r="AG108" s="43" t="n"/>
      <c r="AH108" s="6">
        <f>TABL12345[[#This Row],[ (RESV. STORGE) BER]]/10</f>
        <v/>
      </c>
      <c r="AI108" s="41" t="n"/>
      <c r="AJ108" s="43">
        <f>TABL12345[[#This Row],[(A/B) AJD]]-TABL12345[[#This Row],[BER_IN]]</f>
        <v/>
      </c>
      <c r="AK108" s="43" t="n"/>
      <c r="AL108" s="43" t="n"/>
      <c r="AM108" s="32" t="n"/>
      <c r="AN108" s="32">
        <f>TABL12345[[#This Row],[ (RESV. STORGE) SER]]/10</f>
        <v/>
      </c>
      <c r="AO108" s="68" t="n"/>
      <c r="AP108" s="68">
        <f>TABL12345[[#This Row],[(A/S) AJD]]-TABL12345[[#This Row],[SER_IN]]</f>
        <v/>
      </c>
    </row>
    <row r="109" ht="18.75" customHeight="1">
      <c r="A109" s="2" t="n">
        <v>46860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TABL12345[[#This Row],[ (T/B) SAR]]+TABL12345[[#This Row],[ (S/S) SAR]]</f>
        <v/>
      </c>
      <c r="L109" s="45" t="n"/>
      <c r="M109" s="46" t="n"/>
      <c r="N109" s="46" t="n"/>
      <c r="O109" s="40" t="n"/>
      <c r="P109" s="3">
        <f>TABL12345[[#This Row],[ (S/S) SAR]]-TABL12345[[#This Row],[(S/S) AJD]]</f>
        <v/>
      </c>
      <c r="Q109" s="40" t="n"/>
      <c r="R109" s="3">
        <f>TABL12345[[#This Row],[ (T/B) SAR]]-TABL12345[[#This Row],[(T/B) AJD]]</f>
        <v/>
      </c>
      <c r="S109" s="3">
        <f>TABL12345[[#This Row],[S/S_CON.]]+TABL12345[[#This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TABL12345[[#This Row],[(RESV. STORGE) AJD]]/10</f>
        <v/>
      </c>
      <c r="AB109" s="3">
        <f>IF(TRIM(Z109)="",,(Z109-Z108)/1000)</f>
        <v/>
      </c>
      <c r="AC109" s="5" t="n"/>
      <c r="AD109" s="40">
        <f>(TABL12345[[#This Row],[( S/S+T/B) AJD]]*1000)-((TABL12345[[#This Row],[(STORGE DIFF.) AJD]]*1000)+TABL12345[[#This Row],[AJD_Evaporation]]+(TABL12345[[#This Row],[(A/B + A/S) AJD]]*1000))</f>
        <v/>
      </c>
      <c r="AE109" s="44" t="n"/>
      <c r="AF109" s="45" t="n"/>
      <c r="AG109" s="45" t="n"/>
      <c r="AH109" s="6">
        <f>TABL12345[[#This Row],[ (RESV. STORGE) BER]]/10</f>
        <v/>
      </c>
      <c r="AI109" s="44" t="n"/>
      <c r="AJ109" s="45">
        <f>TABL12345[[#This Row],[(A/B) AJD]]-TABL12345[[#This Row],[BER_IN]]</f>
        <v/>
      </c>
      <c r="AK109" s="45" t="n"/>
      <c r="AL109" s="45" t="n"/>
      <c r="AM109" s="32" t="n"/>
      <c r="AN109" s="32">
        <f>TABL12345[[#This Row],[ (RESV. STORGE) SER]]/10</f>
        <v/>
      </c>
      <c r="AO109" s="68" t="n"/>
      <c r="AP109" s="68">
        <f>TABL12345[[#This Row],[(A/S) AJD]]-TABL12345[[#This Row],[SER_IN]]</f>
        <v/>
      </c>
    </row>
    <row r="110" ht="18.75" customHeight="1">
      <c r="A110" s="2" t="n">
        <v>46861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TABL12345[[#This Row],[ (T/B) SAR]]+TABL12345[[#This Row],[ (S/S) SAR]]</f>
        <v/>
      </c>
      <c r="L110" s="41" t="n"/>
      <c r="M110" s="42" t="n"/>
      <c r="N110" s="42" t="n"/>
      <c r="O110" s="39" t="n"/>
      <c r="P110" s="3">
        <f>TABL12345[[#This Row],[ (S/S) SAR]]-TABL12345[[#This Row],[(S/S) AJD]]</f>
        <v/>
      </c>
      <c r="Q110" s="39" t="n"/>
      <c r="R110" s="3">
        <f>TABL12345[[#This Row],[ (T/B) SAR]]-TABL12345[[#This Row],[(T/B) AJD]]</f>
        <v/>
      </c>
      <c r="S110" s="3">
        <f>TABL12345[[#This Row],[S/S_CON.]]+TABL12345[[#This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TABL12345[[#This Row],[(RESV. STORGE) AJD]]/10</f>
        <v/>
      </c>
      <c r="AB110" s="3">
        <f>IF(TRIM(Z110)="",,(Z110-Z109)/1000)</f>
        <v/>
      </c>
      <c r="AC110" s="5" t="n"/>
      <c r="AD110" s="39">
        <f>(TABL12345[[#This Row],[( S/S+T/B) AJD]]*1000)-((TABL12345[[#This Row],[(STORGE DIFF.) AJD]]*1000)+TABL12345[[#This Row],[AJD_Evaporation]]+(TABL12345[[#This Row],[(A/B + A/S) AJD]]*1000))</f>
        <v/>
      </c>
      <c r="AE110" s="41" t="n"/>
      <c r="AF110" s="43" t="n"/>
      <c r="AG110" s="43" t="n"/>
      <c r="AH110" s="6">
        <f>TABL12345[[#This Row],[ (RESV. STORGE) BER]]/10</f>
        <v/>
      </c>
      <c r="AI110" s="41" t="n"/>
      <c r="AJ110" s="43">
        <f>TABL12345[[#This Row],[(A/B) AJD]]-TABL12345[[#This Row],[BER_IN]]</f>
        <v/>
      </c>
      <c r="AK110" s="43" t="n"/>
      <c r="AL110" s="43" t="n"/>
      <c r="AM110" s="32" t="n"/>
      <c r="AN110" s="32">
        <f>TABL12345[[#This Row],[ (RESV. STORGE) SER]]/10</f>
        <v/>
      </c>
      <c r="AO110" s="68" t="n"/>
      <c r="AP110" s="68">
        <f>TABL12345[[#This Row],[(A/S) AJD]]-TABL12345[[#This Row],[SER_IN]]</f>
        <v/>
      </c>
    </row>
    <row r="111" ht="18.75" customHeight="1">
      <c r="A111" s="2" t="n">
        <v>46862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TABL12345[[#This Row],[ (T/B) SAR]]+TABL12345[[#This Row],[ (S/S) SAR]]</f>
        <v/>
      </c>
      <c r="L111" s="45" t="n"/>
      <c r="M111" s="46" t="n"/>
      <c r="N111" s="46" t="n"/>
      <c r="O111" s="40" t="n"/>
      <c r="P111" s="3">
        <f>TABL12345[[#This Row],[ (S/S) SAR]]-TABL12345[[#This Row],[(S/S) AJD]]</f>
        <v/>
      </c>
      <c r="Q111" s="40" t="n"/>
      <c r="R111" s="3">
        <f>TABL12345[[#This Row],[ (T/B) SAR]]-TABL12345[[#This Row],[(T/B) AJD]]</f>
        <v/>
      </c>
      <c r="S111" s="3">
        <f>TABL12345[[#This Row],[S/S_CON.]]+TABL12345[[#This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TABL12345[[#This Row],[(RESV. STORGE) AJD]]/10</f>
        <v/>
      </c>
      <c r="AB111" s="3">
        <f>IF(TRIM(Z111)="",,(Z111-Z110)/1000)</f>
        <v/>
      </c>
      <c r="AC111" s="5" t="n"/>
      <c r="AD111" s="40">
        <f>(TABL12345[[#This Row],[( S/S+T/B) AJD]]*1000)-((TABL12345[[#This Row],[(STORGE DIFF.) AJD]]*1000)+TABL12345[[#This Row],[AJD_Evaporation]]+(TABL12345[[#This Row],[(A/B + A/S) AJD]]*1000))</f>
        <v/>
      </c>
      <c r="AE111" s="44" t="n"/>
      <c r="AF111" s="45" t="n"/>
      <c r="AG111" s="45" t="n"/>
      <c r="AH111" s="6">
        <f>TABL12345[[#This Row],[ (RESV. STORGE) BER]]/10</f>
        <v/>
      </c>
      <c r="AI111" s="44" t="n"/>
      <c r="AJ111" s="45">
        <f>TABL12345[[#This Row],[(A/B) AJD]]-TABL12345[[#This Row],[BER_IN]]</f>
        <v/>
      </c>
      <c r="AK111" s="45" t="n"/>
      <c r="AL111" s="45" t="n"/>
      <c r="AM111" s="32" t="n"/>
      <c r="AN111" s="32">
        <f>TABL12345[[#This Row],[ (RESV. STORGE) SER]]/10</f>
        <v/>
      </c>
      <c r="AO111" s="68" t="n"/>
      <c r="AP111" s="68">
        <f>TABL12345[[#This Row],[(A/S) AJD]]-TABL12345[[#This Row],[SER_IN]]</f>
        <v/>
      </c>
    </row>
    <row r="112" ht="18.75" customHeight="1">
      <c r="A112" s="2" t="n">
        <v>46863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TABL12345[[#This Row],[ (T/B) SAR]]+TABL12345[[#This Row],[ (S/S) SAR]]</f>
        <v/>
      </c>
      <c r="L112" s="41" t="n"/>
      <c r="M112" s="42" t="n"/>
      <c r="N112" s="42" t="n"/>
      <c r="O112" s="39" t="n"/>
      <c r="P112" s="3">
        <f>TABL12345[[#This Row],[ (S/S) SAR]]-TABL12345[[#This Row],[(S/S) AJD]]</f>
        <v/>
      </c>
      <c r="Q112" s="39" t="n"/>
      <c r="R112" s="3">
        <f>TABL12345[[#This Row],[ (T/B) SAR]]-TABL12345[[#This Row],[(T/B) AJD]]</f>
        <v/>
      </c>
      <c r="S112" s="3">
        <f>TABL12345[[#This Row],[S/S_CON.]]+TABL12345[[#This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TABL12345[[#This Row],[(RESV. STORGE) AJD]]/10</f>
        <v/>
      </c>
      <c r="AB112" s="3">
        <f>IF(TRIM(Z112)="",,(Z112-Z111)/1000)</f>
        <v/>
      </c>
      <c r="AC112" s="5" t="n"/>
      <c r="AD112" s="39">
        <f>(TABL12345[[#This Row],[( S/S+T/B) AJD]]*1000)-((TABL12345[[#This Row],[(STORGE DIFF.) AJD]]*1000)+TABL12345[[#This Row],[AJD_Evaporation]]+(TABL12345[[#This Row],[(A/B + A/S) AJD]]*1000))</f>
        <v/>
      </c>
      <c r="AE112" s="41" t="n"/>
      <c r="AF112" s="43" t="n"/>
      <c r="AG112" s="43" t="n"/>
      <c r="AH112" s="6">
        <f>TABL12345[[#This Row],[ (RESV. STORGE) BER]]/10</f>
        <v/>
      </c>
      <c r="AI112" s="41" t="n"/>
      <c r="AJ112" s="43">
        <f>TABL12345[[#This Row],[(A/B) AJD]]-TABL12345[[#This Row],[BER_IN]]</f>
        <v/>
      </c>
      <c r="AK112" s="43" t="n"/>
      <c r="AL112" s="43" t="n"/>
      <c r="AM112" s="32" t="n"/>
      <c r="AN112" s="32">
        <f>TABL12345[[#This Row],[ (RESV. STORGE) SER]]/10</f>
        <v/>
      </c>
      <c r="AO112" s="68" t="n"/>
      <c r="AP112" s="68">
        <f>TABL12345[[#This Row],[(A/S) AJD]]-TABL12345[[#This Row],[SER_IN]]</f>
        <v/>
      </c>
    </row>
    <row r="113" ht="18.75" customHeight="1">
      <c r="A113" s="2" t="n">
        <v>46864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TABL12345[[#This Row],[ (T/B) SAR]]+TABL12345[[#This Row],[ (S/S) SAR]]</f>
        <v/>
      </c>
      <c r="L113" s="45" t="n"/>
      <c r="M113" s="46" t="n"/>
      <c r="N113" s="46" t="n"/>
      <c r="O113" s="40" t="n"/>
      <c r="P113" s="3">
        <f>TABL12345[[#This Row],[ (S/S) SAR]]-TABL12345[[#This Row],[(S/S) AJD]]</f>
        <v/>
      </c>
      <c r="Q113" s="40" t="n"/>
      <c r="R113" s="3">
        <f>TABL12345[[#This Row],[ (T/B) SAR]]-TABL12345[[#This Row],[(T/B) AJD]]</f>
        <v/>
      </c>
      <c r="S113" s="3">
        <f>TABL12345[[#This Row],[S/S_CON.]]+TABL12345[[#This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TABL12345[[#This Row],[(RESV. STORGE) AJD]]/10</f>
        <v/>
      </c>
      <c r="AB113" s="3">
        <f>IF(TRIM(Z113)="",,(Z113-Z112)/1000)</f>
        <v/>
      </c>
      <c r="AC113" s="5" t="n"/>
      <c r="AD113" s="40">
        <f>(TABL12345[[#This Row],[( S/S+T/B) AJD]]*1000)-((TABL12345[[#This Row],[(STORGE DIFF.) AJD]]*1000)+TABL12345[[#This Row],[AJD_Evaporation]]+(TABL12345[[#This Row],[(A/B + A/S) AJD]]*1000))</f>
        <v/>
      </c>
      <c r="AE113" s="44" t="n"/>
      <c r="AF113" s="45" t="n"/>
      <c r="AG113" s="45" t="n"/>
      <c r="AH113" s="6">
        <f>TABL12345[[#This Row],[ (RESV. STORGE) BER]]/10</f>
        <v/>
      </c>
      <c r="AI113" s="44" t="n"/>
      <c r="AJ113" s="45">
        <f>TABL12345[[#This Row],[(A/B) AJD]]-TABL12345[[#This Row],[BER_IN]]</f>
        <v/>
      </c>
      <c r="AK113" s="45" t="n"/>
      <c r="AL113" s="45" t="n"/>
      <c r="AM113" s="32" t="n"/>
      <c r="AN113" s="32">
        <f>TABL12345[[#This Row],[ (RESV. STORGE) SER]]/10</f>
        <v/>
      </c>
      <c r="AO113" s="68" t="n"/>
      <c r="AP113" s="68">
        <f>TABL12345[[#This Row],[(A/S) AJD]]-TABL12345[[#This Row],[SER_IN]]</f>
        <v/>
      </c>
    </row>
    <row r="114" ht="18.75" customHeight="1">
      <c r="A114" s="2" t="n">
        <v>46865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TABL12345[[#This Row],[ (T/B) SAR]]+TABL12345[[#This Row],[ (S/S) SAR]]</f>
        <v/>
      </c>
      <c r="L114" s="41" t="n"/>
      <c r="M114" s="42" t="n"/>
      <c r="N114" s="42" t="n"/>
      <c r="O114" s="39" t="n"/>
      <c r="P114" s="3">
        <f>TABL12345[[#This Row],[ (S/S) SAR]]-TABL12345[[#This Row],[(S/S) AJD]]</f>
        <v/>
      </c>
      <c r="Q114" s="39" t="n"/>
      <c r="R114" s="3">
        <f>TABL12345[[#This Row],[ (T/B) SAR]]-TABL12345[[#This Row],[(T/B) AJD]]</f>
        <v/>
      </c>
      <c r="S114" s="3">
        <f>TABL12345[[#This Row],[S/S_CON.]]+TABL12345[[#This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TABL12345[[#This Row],[(RESV. STORGE) AJD]]/10</f>
        <v/>
      </c>
      <c r="AB114" s="3">
        <f>IF(TRIM(Z114)="",,(Z114-Z113)/1000)</f>
        <v/>
      </c>
      <c r="AC114" s="5" t="n"/>
      <c r="AD114" s="39">
        <f>(TABL12345[[#This Row],[( S/S+T/B) AJD]]*1000)-((TABL12345[[#This Row],[(STORGE DIFF.) AJD]]*1000)+TABL12345[[#This Row],[AJD_Evaporation]]+(TABL12345[[#This Row],[(A/B + A/S) AJD]]*1000))</f>
        <v/>
      </c>
      <c r="AE114" s="41" t="n"/>
      <c r="AF114" s="43" t="n"/>
      <c r="AG114" s="43" t="n"/>
      <c r="AH114" s="6">
        <f>TABL12345[[#This Row],[ (RESV. STORGE) BER]]/10</f>
        <v/>
      </c>
      <c r="AI114" s="41" t="n"/>
      <c r="AJ114" s="43">
        <f>TABL12345[[#This Row],[(A/B) AJD]]-TABL12345[[#This Row],[BER_IN]]</f>
        <v/>
      </c>
      <c r="AK114" s="43" t="n"/>
      <c r="AL114" s="43" t="n"/>
      <c r="AM114" s="32" t="n"/>
      <c r="AN114" s="32">
        <f>TABL12345[[#This Row],[ (RESV. STORGE) SER]]/10</f>
        <v/>
      </c>
      <c r="AO114" s="68" t="n"/>
      <c r="AP114" s="68">
        <f>TABL12345[[#This Row],[(A/S) AJD]]-TABL12345[[#This Row],[SER_IN]]</f>
        <v/>
      </c>
    </row>
    <row r="115" ht="18.75" customHeight="1">
      <c r="A115" s="2" t="n">
        <v>46866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TABL12345[[#This Row],[ (T/B) SAR]]+TABL12345[[#This Row],[ (S/S) SAR]]</f>
        <v/>
      </c>
      <c r="L115" s="45" t="n"/>
      <c r="M115" s="46" t="n"/>
      <c r="N115" s="46" t="n"/>
      <c r="O115" s="40" t="n"/>
      <c r="P115" s="3">
        <f>TABL12345[[#This Row],[ (S/S) SAR]]-TABL12345[[#This Row],[(S/S) AJD]]</f>
        <v/>
      </c>
      <c r="Q115" s="40" t="n"/>
      <c r="R115" s="3">
        <f>TABL12345[[#This Row],[ (T/B) SAR]]-TABL12345[[#This Row],[(T/B) AJD]]</f>
        <v/>
      </c>
      <c r="S115" s="3">
        <f>TABL12345[[#This Row],[S/S_CON.]]+TABL12345[[#This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TABL12345[[#This Row],[(RESV. STORGE) AJD]]/10</f>
        <v/>
      </c>
      <c r="AB115" s="3">
        <f>IF(TRIM(Z115)="",,(Z115-Z114)/1000)</f>
        <v/>
      </c>
      <c r="AC115" s="5" t="n"/>
      <c r="AD115" s="40">
        <f>(TABL12345[[#This Row],[( S/S+T/B) AJD]]*1000)-((TABL12345[[#This Row],[(STORGE DIFF.) AJD]]*1000)+TABL12345[[#This Row],[AJD_Evaporation]]+(TABL12345[[#This Row],[(A/B + A/S) AJD]]*1000))</f>
        <v/>
      </c>
      <c r="AE115" s="44" t="n"/>
      <c r="AF115" s="45" t="n"/>
      <c r="AG115" s="45" t="n"/>
      <c r="AH115" s="6">
        <f>TABL12345[[#This Row],[ (RESV. STORGE) BER]]/10</f>
        <v/>
      </c>
      <c r="AI115" s="44" t="n"/>
      <c r="AJ115" s="45">
        <f>TABL12345[[#This Row],[(A/B) AJD]]-TABL12345[[#This Row],[BER_IN]]</f>
        <v/>
      </c>
      <c r="AK115" s="45" t="n"/>
      <c r="AL115" s="45" t="n"/>
      <c r="AM115" s="32" t="n"/>
      <c r="AN115" s="32">
        <f>TABL12345[[#This Row],[ (RESV. STORGE) SER]]/10</f>
        <v/>
      </c>
      <c r="AO115" s="68" t="n"/>
      <c r="AP115" s="68">
        <f>TABL12345[[#This Row],[(A/S) AJD]]-TABL12345[[#This Row],[SER_IN]]</f>
        <v/>
      </c>
    </row>
    <row r="116" ht="18.75" customHeight="1">
      <c r="A116" s="2" t="n">
        <v>46867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TABL12345[[#This Row],[ (T/B) SAR]]+TABL12345[[#This Row],[ (S/S) SAR]]</f>
        <v/>
      </c>
      <c r="L116" s="41" t="n"/>
      <c r="M116" s="42" t="n"/>
      <c r="N116" s="42" t="n"/>
      <c r="O116" s="39" t="n"/>
      <c r="P116" s="3">
        <f>TABL12345[[#This Row],[ (S/S) SAR]]-TABL12345[[#This Row],[(S/S) AJD]]</f>
        <v/>
      </c>
      <c r="Q116" s="39" t="n"/>
      <c r="R116" s="3">
        <f>TABL12345[[#This Row],[ (T/B) SAR]]-TABL12345[[#This Row],[(T/B) AJD]]</f>
        <v/>
      </c>
      <c r="S116" s="3">
        <f>TABL12345[[#This Row],[S/S_CON.]]+TABL12345[[#This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TABL12345[[#This Row],[(RESV. STORGE) AJD]]/10</f>
        <v/>
      </c>
      <c r="AB116" s="3">
        <f>IF(TRIM(Z116)="",,(Z116-Z115)/1000)</f>
        <v/>
      </c>
      <c r="AC116" s="5" t="n"/>
      <c r="AD116" s="39">
        <f>(TABL12345[[#This Row],[( S/S+T/B) AJD]]*1000)-((TABL12345[[#This Row],[(STORGE DIFF.) AJD]]*1000)+TABL12345[[#This Row],[AJD_Evaporation]]+(TABL12345[[#This Row],[(A/B + A/S) AJD]]*1000))</f>
        <v/>
      </c>
      <c r="AE116" s="41" t="n"/>
      <c r="AF116" s="43" t="n"/>
      <c r="AG116" s="43" t="n"/>
      <c r="AH116" s="6">
        <f>TABL12345[[#This Row],[ (RESV. STORGE) BER]]/10</f>
        <v/>
      </c>
      <c r="AI116" s="41" t="n"/>
      <c r="AJ116" s="43">
        <f>TABL12345[[#This Row],[(A/B) AJD]]-TABL12345[[#This Row],[BER_IN]]</f>
        <v/>
      </c>
      <c r="AK116" s="43" t="n"/>
      <c r="AL116" s="43" t="n"/>
      <c r="AM116" s="32" t="n"/>
      <c r="AN116" s="32">
        <f>TABL12345[[#This Row],[ (RESV. STORGE) SER]]/10</f>
        <v/>
      </c>
      <c r="AO116" s="68" t="n"/>
      <c r="AP116" s="68">
        <f>TABL12345[[#This Row],[(A/S) AJD]]-TABL12345[[#This Row],[SER_IN]]</f>
        <v/>
      </c>
    </row>
    <row r="117" ht="18.75" customHeight="1">
      <c r="A117" s="2" t="n">
        <v>46868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TABL12345[[#This Row],[ (T/B) SAR]]+TABL12345[[#This Row],[ (S/S) SAR]]</f>
        <v/>
      </c>
      <c r="L117" s="45" t="n"/>
      <c r="M117" s="46" t="n"/>
      <c r="N117" s="46" t="n"/>
      <c r="O117" s="40" t="n"/>
      <c r="P117" s="3">
        <f>TABL12345[[#This Row],[ (S/S) SAR]]-TABL12345[[#This Row],[(S/S) AJD]]</f>
        <v/>
      </c>
      <c r="Q117" s="40" t="n"/>
      <c r="R117" s="3">
        <f>TABL12345[[#This Row],[ (T/B) SAR]]-TABL12345[[#This Row],[(T/B) AJD]]</f>
        <v/>
      </c>
      <c r="S117" s="3">
        <f>TABL12345[[#This Row],[S/S_CON.]]+TABL12345[[#This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TABL12345[[#This Row],[(RESV. STORGE) AJD]]/10</f>
        <v/>
      </c>
      <c r="AB117" s="3">
        <f>IF(TRIM(Z117)="",,(Z117-Z116)/1000)</f>
        <v/>
      </c>
      <c r="AC117" s="5" t="n"/>
      <c r="AD117" s="40">
        <f>(TABL12345[[#This Row],[( S/S+T/B) AJD]]*1000)-((TABL12345[[#This Row],[(STORGE DIFF.) AJD]]*1000)+TABL12345[[#This Row],[AJD_Evaporation]]+(TABL12345[[#This Row],[(A/B + A/S) AJD]]*1000))</f>
        <v/>
      </c>
      <c r="AE117" s="44" t="n"/>
      <c r="AF117" s="45" t="n"/>
      <c r="AG117" s="45" t="n"/>
      <c r="AH117" s="6">
        <f>TABL12345[[#This Row],[ (RESV. STORGE) BER]]/10</f>
        <v/>
      </c>
      <c r="AI117" s="44" t="n"/>
      <c r="AJ117" s="45">
        <f>TABL12345[[#This Row],[(A/B) AJD]]-TABL12345[[#This Row],[BER_IN]]</f>
        <v/>
      </c>
      <c r="AK117" s="45" t="n"/>
      <c r="AL117" s="45" t="n"/>
      <c r="AM117" s="32" t="n"/>
      <c r="AN117" s="32">
        <f>TABL12345[[#This Row],[ (RESV. STORGE) SER]]/10</f>
        <v/>
      </c>
      <c r="AO117" s="68" t="n"/>
      <c r="AP117" s="68">
        <f>TABL12345[[#This Row],[(A/S) AJD]]-TABL12345[[#This Row],[SER_IN]]</f>
        <v/>
      </c>
    </row>
    <row r="118" ht="18.75" customHeight="1">
      <c r="A118" s="2" t="n">
        <v>46869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TABL12345[[#This Row],[ (T/B) SAR]]+TABL12345[[#This Row],[ (S/S) SAR]]</f>
        <v/>
      </c>
      <c r="L118" s="41" t="n"/>
      <c r="M118" s="42" t="n"/>
      <c r="N118" s="42" t="n"/>
      <c r="O118" s="39" t="n"/>
      <c r="P118" s="3">
        <f>TABL12345[[#This Row],[ (S/S) SAR]]-TABL12345[[#This Row],[(S/S) AJD]]</f>
        <v/>
      </c>
      <c r="Q118" s="39" t="n"/>
      <c r="R118" s="3">
        <f>TABL12345[[#This Row],[ (T/B) SAR]]-TABL12345[[#This Row],[(T/B) AJD]]</f>
        <v/>
      </c>
      <c r="S118" s="3">
        <f>TABL12345[[#This Row],[S/S_CON.]]+TABL12345[[#This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TABL12345[[#This Row],[(RESV. STORGE) AJD]]/10</f>
        <v/>
      </c>
      <c r="AB118" s="3">
        <f>IF(TRIM(Z118)="",,(Z118-Z117)/1000)</f>
        <v/>
      </c>
      <c r="AC118" s="5" t="n"/>
      <c r="AD118" s="39">
        <f>(TABL12345[[#This Row],[( S/S+T/B) AJD]]*1000)-((TABL12345[[#This Row],[(STORGE DIFF.) AJD]]*1000)+TABL12345[[#This Row],[AJD_Evaporation]]+(TABL12345[[#This Row],[(A/B + A/S) AJD]]*1000))</f>
        <v/>
      </c>
      <c r="AE118" s="41" t="n"/>
      <c r="AF118" s="43" t="n"/>
      <c r="AG118" s="43" t="n"/>
      <c r="AH118" s="6">
        <f>TABL12345[[#This Row],[ (RESV. STORGE) BER]]/10</f>
        <v/>
      </c>
      <c r="AI118" s="41" t="n"/>
      <c r="AJ118" s="43">
        <f>TABL12345[[#This Row],[(A/B) AJD]]-TABL12345[[#This Row],[BER_IN]]</f>
        <v/>
      </c>
      <c r="AK118" s="43" t="n"/>
      <c r="AL118" s="43" t="n"/>
      <c r="AM118" s="32" t="n"/>
      <c r="AN118" s="32">
        <f>TABL12345[[#This Row],[ (RESV. STORGE) SER]]/10</f>
        <v/>
      </c>
      <c r="AO118" s="68" t="n"/>
      <c r="AP118" s="68">
        <f>TABL12345[[#This Row],[(A/S) AJD]]-TABL12345[[#This Row],[SER_IN]]</f>
        <v/>
      </c>
    </row>
    <row r="119" ht="18.75" customHeight="1">
      <c r="A119" s="2" t="n">
        <v>46870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TABL12345[[#This Row],[ (T/B) SAR]]+TABL12345[[#This Row],[ (S/S) SAR]]</f>
        <v/>
      </c>
      <c r="L119" s="45" t="n"/>
      <c r="M119" s="46" t="n"/>
      <c r="N119" s="46" t="n"/>
      <c r="O119" s="40" t="n"/>
      <c r="P119" s="3">
        <f>TABL12345[[#This Row],[ (S/S) SAR]]-TABL12345[[#This Row],[(S/S) AJD]]</f>
        <v/>
      </c>
      <c r="Q119" s="40" t="n"/>
      <c r="R119" s="3">
        <f>TABL12345[[#This Row],[ (T/B) SAR]]-TABL12345[[#This Row],[(T/B) AJD]]</f>
        <v/>
      </c>
      <c r="S119" s="3">
        <f>TABL12345[[#This Row],[S/S_CON.]]+TABL12345[[#This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TABL12345[[#This Row],[(RESV. STORGE) AJD]]/10</f>
        <v/>
      </c>
      <c r="AB119" s="3">
        <f>IF(TRIM(Z119)="",,(Z119-Z118)/1000)</f>
        <v/>
      </c>
      <c r="AC119" s="5" t="n"/>
      <c r="AD119" s="40">
        <f>(TABL12345[[#This Row],[( S/S+T/B) AJD]]*1000)-((TABL12345[[#This Row],[(STORGE DIFF.) AJD]]*1000)+TABL12345[[#This Row],[AJD_Evaporation]]+(TABL12345[[#This Row],[(A/B + A/S) AJD]]*1000))</f>
        <v/>
      </c>
      <c r="AE119" s="44" t="n"/>
      <c r="AF119" s="45" t="n"/>
      <c r="AG119" s="45" t="n"/>
      <c r="AH119" s="6">
        <f>TABL12345[[#This Row],[ (RESV. STORGE) BER]]/10</f>
        <v/>
      </c>
      <c r="AI119" s="44" t="n"/>
      <c r="AJ119" s="45">
        <f>TABL12345[[#This Row],[(A/B) AJD]]-TABL12345[[#This Row],[BER_IN]]</f>
        <v/>
      </c>
      <c r="AK119" s="45" t="n"/>
      <c r="AL119" s="45" t="n"/>
      <c r="AM119" s="32" t="n"/>
      <c r="AN119" s="32">
        <f>TABL12345[[#This Row],[ (RESV. STORGE) SER]]/10</f>
        <v/>
      </c>
      <c r="AO119" s="68" t="n"/>
      <c r="AP119" s="68">
        <f>TABL12345[[#This Row],[(A/S) AJD]]-TABL12345[[#This Row],[SER_IN]]</f>
        <v/>
      </c>
    </row>
    <row r="120" ht="18.75" customHeight="1">
      <c r="A120" s="2" t="n">
        <v>46871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TABL12345[[#This Row],[ (T/B) SAR]]+TABL12345[[#This Row],[ (S/S) SAR]]</f>
        <v/>
      </c>
      <c r="L120" s="41" t="n"/>
      <c r="M120" s="42" t="n"/>
      <c r="N120" s="42" t="n"/>
      <c r="O120" s="39" t="n"/>
      <c r="P120" s="3">
        <f>TABL12345[[#This Row],[ (S/S) SAR]]-TABL12345[[#This Row],[(S/S) AJD]]</f>
        <v/>
      </c>
      <c r="Q120" s="39" t="n"/>
      <c r="R120" s="3">
        <f>TABL12345[[#This Row],[ (T/B) SAR]]-TABL12345[[#This Row],[(T/B) AJD]]</f>
        <v/>
      </c>
      <c r="S120" s="3">
        <f>TABL12345[[#This Row],[S/S_CON.]]+TABL12345[[#This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TABL12345[[#This Row],[(RESV. STORGE) AJD]]/10</f>
        <v/>
      </c>
      <c r="AB120" s="3">
        <f>IF(TRIM(Z120)="",,(Z120-Z119)/1000)</f>
        <v/>
      </c>
      <c r="AC120" s="5" t="n"/>
      <c r="AD120" s="39">
        <f>(TABL12345[[#This Row],[( S/S+T/B) AJD]]*1000)-((TABL12345[[#This Row],[(STORGE DIFF.) AJD]]*1000)+TABL12345[[#This Row],[AJD_Evaporation]]+(TABL12345[[#This Row],[(A/B + A/S) AJD]]*1000))</f>
        <v/>
      </c>
      <c r="AE120" s="41" t="n"/>
      <c r="AF120" s="43" t="n"/>
      <c r="AG120" s="43" t="n"/>
      <c r="AH120" s="6">
        <f>TABL12345[[#This Row],[ (RESV. STORGE) BER]]/10</f>
        <v/>
      </c>
      <c r="AI120" s="41" t="n"/>
      <c r="AJ120" s="43">
        <f>TABL12345[[#This Row],[(A/B) AJD]]-TABL12345[[#This Row],[BER_IN]]</f>
        <v/>
      </c>
      <c r="AK120" s="43" t="n"/>
      <c r="AL120" s="43" t="n"/>
      <c r="AM120" s="32" t="n"/>
      <c r="AN120" s="32">
        <f>TABL12345[[#This Row],[ (RESV. STORGE) SER]]/10</f>
        <v/>
      </c>
      <c r="AO120" s="68" t="n"/>
      <c r="AP120" s="68">
        <f>TABL12345[[#This Row],[(A/S) AJD]]-TABL12345[[#This Row],[SER_IN]]</f>
        <v/>
      </c>
    </row>
    <row r="121" ht="18.75" customHeight="1">
      <c r="A121" s="2" t="n">
        <v>46872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TABL12345[[#This Row],[ (T/B) SAR]]+TABL12345[[#This Row],[ (S/S) SAR]]</f>
        <v/>
      </c>
      <c r="L121" s="45" t="n"/>
      <c r="M121" s="46" t="n"/>
      <c r="N121" s="46" t="n"/>
      <c r="O121" s="40" t="n"/>
      <c r="P121" s="3">
        <f>TABL12345[[#This Row],[ (S/S) SAR]]-TABL12345[[#This Row],[(S/S) AJD]]</f>
        <v/>
      </c>
      <c r="Q121" s="40" t="n"/>
      <c r="R121" s="3">
        <f>TABL12345[[#This Row],[ (T/B) SAR]]-TABL12345[[#This Row],[(T/B) AJD]]</f>
        <v/>
      </c>
      <c r="S121" s="3">
        <f>TABL12345[[#This Row],[S/S_CON.]]+TABL12345[[#This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TABL12345[[#This Row],[(RESV. STORGE) AJD]]/10</f>
        <v/>
      </c>
      <c r="AB121" s="3">
        <f>IF(TRIM(Z121)="",,(Z121-Z120)/1000)</f>
        <v/>
      </c>
      <c r="AC121" s="5" t="n"/>
      <c r="AD121" s="40">
        <f>(TABL12345[[#This Row],[( S/S+T/B) AJD]]*1000)-((TABL12345[[#This Row],[(STORGE DIFF.) AJD]]*1000)+TABL12345[[#This Row],[AJD_Evaporation]]+(TABL12345[[#This Row],[(A/B + A/S) AJD]]*1000))</f>
        <v/>
      </c>
      <c r="AE121" s="44" t="n"/>
      <c r="AF121" s="45" t="n"/>
      <c r="AG121" s="45" t="n"/>
      <c r="AH121" s="6">
        <f>TABL12345[[#This Row],[ (RESV. STORGE) BER]]/10</f>
        <v/>
      </c>
      <c r="AI121" s="44" t="n"/>
      <c r="AJ121" s="45">
        <f>TABL12345[[#This Row],[(A/B) AJD]]-TABL12345[[#This Row],[BER_IN]]</f>
        <v/>
      </c>
      <c r="AK121" s="45" t="n"/>
      <c r="AL121" s="45" t="n"/>
      <c r="AM121" s="32" t="n"/>
      <c r="AN121" s="32">
        <f>TABL12345[[#This Row],[ (RESV. STORGE) SER]]/10</f>
        <v/>
      </c>
      <c r="AO121" s="68" t="n"/>
      <c r="AP121" s="68">
        <f>TABL12345[[#This Row],[(A/S) AJD]]-TABL12345[[#This Row],[SER_IN]]</f>
        <v/>
      </c>
    </row>
    <row r="122" ht="18.75" customHeight="1">
      <c r="A122" s="2" t="n">
        <v>46873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TABL12345[[#This Row],[ (T/B) SAR]]+TABL12345[[#This Row],[ (S/S) SAR]]</f>
        <v/>
      </c>
      <c r="L122" s="41" t="n"/>
      <c r="M122" s="42" t="n"/>
      <c r="N122" s="42" t="n"/>
      <c r="O122" s="39" t="n"/>
      <c r="P122" s="3">
        <f>TABL12345[[#This Row],[ (S/S) SAR]]-TABL12345[[#This Row],[(S/S) AJD]]</f>
        <v/>
      </c>
      <c r="Q122" s="39" t="n"/>
      <c r="R122" s="3">
        <f>TABL12345[[#This Row],[ (T/B) SAR]]-TABL12345[[#This Row],[(T/B) AJD]]</f>
        <v/>
      </c>
      <c r="S122" s="3">
        <f>TABL12345[[#This Row],[S/S_CON.]]+TABL12345[[#This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TABL12345[[#This Row],[(RESV. STORGE) AJD]]/10</f>
        <v/>
      </c>
      <c r="AB122" s="3">
        <f>IF(TRIM(Z122)="",,(Z122-Z121)/1000)</f>
        <v/>
      </c>
      <c r="AC122" s="5" t="n"/>
      <c r="AD122" s="39">
        <f>(TABL12345[[#This Row],[( S/S+T/B) AJD]]*1000)-((TABL12345[[#This Row],[(STORGE DIFF.) AJD]]*1000)+TABL12345[[#This Row],[AJD_Evaporation]]+(TABL12345[[#This Row],[(A/B + A/S) AJD]]*1000))</f>
        <v/>
      </c>
      <c r="AE122" s="41" t="n"/>
      <c r="AF122" s="43" t="n"/>
      <c r="AG122" s="43" t="n"/>
      <c r="AH122" s="6">
        <f>TABL12345[[#This Row],[ (RESV. STORGE) BER]]/10</f>
        <v/>
      </c>
      <c r="AI122" s="41" t="n"/>
      <c r="AJ122" s="43">
        <f>TABL12345[[#This Row],[(A/B) AJD]]-TABL12345[[#This Row],[BER_IN]]</f>
        <v/>
      </c>
      <c r="AK122" s="43" t="n"/>
      <c r="AL122" s="43" t="n"/>
      <c r="AM122" s="32" t="n"/>
      <c r="AN122" s="32">
        <f>TABL12345[[#This Row],[ (RESV. STORGE) SER]]/10</f>
        <v/>
      </c>
      <c r="AO122" s="68" t="n"/>
      <c r="AP122" s="68">
        <f>TABL12345[[#This Row],[(A/S) AJD]]-TABL12345[[#This Row],[SER_IN]]</f>
        <v/>
      </c>
    </row>
    <row r="123" ht="18.75" customHeight="1">
      <c r="A123" s="2" t="n">
        <v>46874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TABL12345[[#This Row],[ (T/B) SAR]]+TABL12345[[#This Row],[ (S/S) SAR]]</f>
        <v/>
      </c>
      <c r="L123" s="45" t="n"/>
      <c r="M123" s="46" t="n"/>
      <c r="N123" s="46" t="n"/>
      <c r="O123" s="40" t="n"/>
      <c r="P123" s="3">
        <f>TABL12345[[#This Row],[ (S/S) SAR]]-TABL12345[[#This Row],[(S/S) AJD]]</f>
        <v/>
      </c>
      <c r="Q123" s="40" t="n"/>
      <c r="R123" s="3">
        <f>TABL12345[[#This Row],[ (T/B) SAR]]-TABL12345[[#This Row],[(T/B) AJD]]</f>
        <v/>
      </c>
      <c r="S123" s="3">
        <f>TABL12345[[#This Row],[S/S_CON.]]+TABL12345[[#This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TABL12345[[#This Row],[(RESV. STORGE) AJD]]/10</f>
        <v/>
      </c>
      <c r="AB123" s="3">
        <f>IF(TRIM(Z123)="",,(Z123-Z122)/1000)</f>
        <v/>
      </c>
      <c r="AC123" s="5" t="n"/>
      <c r="AD123" s="40">
        <f>(TABL12345[[#This Row],[( S/S+T/B) AJD]]*1000)-((TABL12345[[#This Row],[(STORGE DIFF.) AJD]]*1000)+TABL12345[[#This Row],[AJD_Evaporation]]+(TABL12345[[#This Row],[(A/B + A/S) AJD]]*1000))</f>
        <v/>
      </c>
      <c r="AE123" s="44" t="n"/>
      <c r="AF123" s="45" t="n"/>
      <c r="AG123" s="45" t="n"/>
      <c r="AH123" s="6">
        <f>TABL12345[[#This Row],[ (RESV. STORGE) BER]]/10</f>
        <v/>
      </c>
      <c r="AI123" s="44" t="n"/>
      <c r="AJ123" s="45">
        <f>TABL12345[[#This Row],[(A/B) AJD]]-TABL12345[[#This Row],[BER_IN]]</f>
        <v/>
      </c>
      <c r="AK123" s="45" t="n"/>
      <c r="AL123" s="45" t="n"/>
      <c r="AM123" s="32" t="n"/>
      <c r="AN123" s="32">
        <f>TABL12345[[#This Row],[ (RESV. STORGE) SER]]/10</f>
        <v/>
      </c>
      <c r="AO123" s="68" t="n"/>
      <c r="AP123" s="68">
        <f>TABL12345[[#This Row],[(A/S) AJD]]-TABL12345[[#This Row],[SER_IN]]</f>
        <v/>
      </c>
    </row>
    <row r="124" ht="18.75" customHeight="1">
      <c r="A124" s="2" t="n">
        <v>46875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TABL12345[[#This Row],[ (T/B) SAR]]+TABL12345[[#This Row],[ (S/S) SAR]]</f>
        <v/>
      </c>
      <c r="L124" s="41" t="n"/>
      <c r="M124" s="42" t="n"/>
      <c r="N124" s="42" t="n"/>
      <c r="O124" s="39" t="n"/>
      <c r="P124" s="3">
        <f>TABL12345[[#This Row],[ (S/S) SAR]]-TABL12345[[#This Row],[(S/S) AJD]]</f>
        <v/>
      </c>
      <c r="Q124" s="39" t="n"/>
      <c r="R124" s="3">
        <f>TABL12345[[#This Row],[ (T/B) SAR]]-TABL12345[[#This Row],[(T/B) AJD]]</f>
        <v/>
      </c>
      <c r="S124" s="3">
        <f>TABL12345[[#This Row],[S/S_CON.]]+TABL12345[[#This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TABL12345[[#This Row],[(RESV. STORGE) AJD]]/10</f>
        <v/>
      </c>
      <c r="AB124" s="3">
        <f>IF(TRIM(Z124)="",,(Z124-Z123)/1000)</f>
        <v/>
      </c>
      <c r="AC124" s="5" t="n"/>
      <c r="AD124" s="39">
        <f>(TABL12345[[#This Row],[( S/S+T/B) AJD]]*1000)-((TABL12345[[#This Row],[(STORGE DIFF.) AJD]]*1000)+TABL12345[[#This Row],[AJD_Evaporation]]+(TABL12345[[#This Row],[(A/B + A/S) AJD]]*1000))</f>
        <v/>
      </c>
      <c r="AE124" s="41" t="n"/>
      <c r="AF124" s="43" t="n"/>
      <c r="AG124" s="43" t="n"/>
      <c r="AH124" s="6">
        <f>TABL12345[[#This Row],[ (RESV. STORGE) BER]]/10</f>
        <v/>
      </c>
      <c r="AI124" s="41" t="n"/>
      <c r="AJ124" s="43">
        <f>TABL12345[[#This Row],[(A/B) AJD]]-TABL12345[[#This Row],[BER_IN]]</f>
        <v/>
      </c>
      <c r="AK124" s="43" t="n"/>
      <c r="AL124" s="43" t="n"/>
      <c r="AM124" s="32" t="n"/>
      <c r="AN124" s="32">
        <f>TABL12345[[#This Row],[ (RESV. STORGE) SER]]/10</f>
        <v/>
      </c>
      <c r="AO124" s="68" t="n"/>
      <c r="AP124" s="68">
        <f>TABL12345[[#This Row],[(A/S) AJD]]-TABL12345[[#This Row],[SER_IN]]</f>
        <v/>
      </c>
    </row>
    <row r="125" ht="18.75" customHeight="1">
      <c r="A125" s="2" t="n">
        <v>46876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TABL12345[[#This Row],[ (T/B) SAR]]+TABL12345[[#This Row],[ (S/S) SAR]]</f>
        <v/>
      </c>
      <c r="L125" s="45" t="n"/>
      <c r="M125" s="46" t="n"/>
      <c r="N125" s="46" t="n"/>
      <c r="O125" s="40" t="n"/>
      <c r="P125" s="3">
        <f>TABL12345[[#This Row],[ (S/S) SAR]]-TABL12345[[#This Row],[(S/S) AJD]]</f>
        <v/>
      </c>
      <c r="Q125" s="40" t="n"/>
      <c r="R125" s="3">
        <f>TABL12345[[#This Row],[ (T/B) SAR]]-TABL12345[[#This Row],[(T/B) AJD]]</f>
        <v/>
      </c>
      <c r="S125" s="3">
        <f>TABL12345[[#This Row],[S/S_CON.]]+TABL12345[[#This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TABL12345[[#This Row],[(RESV. STORGE) AJD]]/10</f>
        <v/>
      </c>
      <c r="AB125" s="3">
        <f>IF(TRIM(Z125)="",,(Z125-Z124)/1000)</f>
        <v/>
      </c>
      <c r="AC125" s="5" t="n"/>
      <c r="AD125" s="40">
        <f>(TABL12345[[#This Row],[( S/S+T/B) AJD]]*1000)-((TABL12345[[#This Row],[(STORGE DIFF.) AJD]]*1000)+TABL12345[[#This Row],[AJD_Evaporation]]+(TABL12345[[#This Row],[(A/B + A/S) AJD]]*1000))</f>
        <v/>
      </c>
      <c r="AE125" s="44" t="n"/>
      <c r="AF125" s="45" t="n"/>
      <c r="AG125" s="45" t="n"/>
      <c r="AH125" s="6">
        <f>TABL12345[[#This Row],[ (RESV. STORGE) BER]]/10</f>
        <v/>
      </c>
      <c r="AI125" s="44" t="n"/>
      <c r="AJ125" s="45">
        <f>TABL12345[[#This Row],[(A/B) AJD]]-TABL12345[[#This Row],[BER_IN]]</f>
        <v/>
      </c>
      <c r="AK125" s="45" t="n"/>
      <c r="AL125" s="45" t="n"/>
      <c r="AM125" s="32" t="n"/>
      <c r="AN125" s="32">
        <f>TABL12345[[#This Row],[ (RESV. STORGE) SER]]/10</f>
        <v/>
      </c>
      <c r="AO125" s="68" t="n"/>
      <c r="AP125" s="68">
        <f>TABL12345[[#This Row],[(A/S) AJD]]-TABL12345[[#This Row],[SER_IN]]</f>
        <v/>
      </c>
    </row>
    <row r="126" ht="18.75" customHeight="1">
      <c r="A126" s="2" t="n">
        <v>46877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TABL12345[[#This Row],[ (T/B) SAR]]+TABL12345[[#This Row],[ (S/S) SAR]]</f>
        <v/>
      </c>
      <c r="L126" s="41" t="n"/>
      <c r="M126" s="42" t="n"/>
      <c r="N126" s="42" t="n"/>
      <c r="O126" s="39" t="n"/>
      <c r="P126" s="3">
        <f>TABL12345[[#This Row],[ (S/S) SAR]]-TABL12345[[#This Row],[(S/S) AJD]]</f>
        <v/>
      </c>
      <c r="Q126" s="39" t="n"/>
      <c r="R126" s="3">
        <f>TABL12345[[#This Row],[ (T/B) SAR]]-TABL12345[[#This Row],[(T/B) AJD]]</f>
        <v/>
      </c>
      <c r="S126" s="3">
        <f>TABL12345[[#This Row],[S/S_CON.]]+TABL12345[[#This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TABL12345[[#This Row],[(RESV. STORGE) AJD]]/10</f>
        <v/>
      </c>
      <c r="AB126" s="3">
        <f>IF(TRIM(Z126)="",,(Z126-Z125)/1000)</f>
        <v/>
      </c>
      <c r="AC126" s="5" t="n"/>
      <c r="AD126" s="39">
        <f>(TABL12345[[#This Row],[( S/S+T/B) AJD]]*1000)-((TABL12345[[#This Row],[(STORGE DIFF.) AJD]]*1000)+TABL12345[[#This Row],[AJD_Evaporation]]+(TABL12345[[#This Row],[(A/B + A/S) AJD]]*1000))</f>
        <v/>
      </c>
      <c r="AE126" s="41" t="n"/>
      <c r="AF126" s="43" t="n"/>
      <c r="AG126" s="43" t="n"/>
      <c r="AH126" s="6">
        <f>TABL12345[[#This Row],[ (RESV. STORGE) BER]]/10</f>
        <v/>
      </c>
      <c r="AI126" s="41" t="n"/>
      <c r="AJ126" s="43">
        <f>TABL12345[[#This Row],[(A/B) AJD]]-TABL12345[[#This Row],[BER_IN]]</f>
        <v/>
      </c>
      <c r="AK126" s="43" t="n"/>
      <c r="AL126" s="43" t="n"/>
      <c r="AM126" s="32" t="n"/>
      <c r="AN126" s="32">
        <f>TABL12345[[#This Row],[ (RESV. STORGE) SER]]/10</f>
        <v/>
      </c>
      <c r="AO126" s="68" t="n"/>
      <c r="AP126" s="68">
        <f>TABL12345[[#This Row],[(A/S) AJD]]-TABL12345[[#This Row],[SER_IN]]</f>
        <v/>
      </c>
    </row>
    <row r="127" ht="18.75" customHeight="1">
      <c r="A127" s="2" t="n">
        <v>46878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TABL12345[[#This Row],[ (T/B) SAR]]+TABL12345[[#This Row],[ (S/S) SAR]]</f>
        <v/>
      </c>
      <c r="L127" s="45" t="n"/>
      <c r="M127" s="46" t="n"/>
      <c r="N127" s="46" t="n"/>
      <c r="O127" s="40" t="n"/>
      <c r="P127" s="3">
        <f>TABL12345[[#This Row],[ (S/S) SAR]]-TABL12345[[#This Row],[(S/S) AJD]]</f>
        <v/>
      </c>
      <c r="Q127" s="40" t="n"/>
      <c r="R127" s="3">
        <f>TABL12345[[#This Row],[ (T/B) SAR]]-TABL12345[[#This Row],[(T/B) AJD]]</f>
        <v/>
      </c>
      <c r="S127" s="3">
        <f>TABL12345[[#This Row],[S/S_CON.]]+TABL12345[[#This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TABL12345[[#This Row],[(RESV. STORGE) AJD]]/10</f>
        <v/>
      </c>
      <c r="AB127" s="3">
        <f>IF(TRIM(Z127)="",,(Z127-Z126)/1000)</f>
        <v/>
      </c>
      <c r="AC127" s="5" t="n"/>
      <c r="AD127" s="40">
        <f>(TABL12345[[#This Row],[( S/S+T/B) AJD]]*1000)-((TABL12345[[#This Row],[(STORGE DIFF.) AJD]]*1000)+TABL12345[[#This Row],[AJD_Evaporation]]+(TABL12345[[#This Row],[(A/B + A/S) AJD]]*1000))</f>
        <v/>
      </c>
      <c r="AE127" s="44" t="n"/>
      <c r="AF127" s="45" t="n"/>
      <c r="AG127" s="45" t="n"/>
      <c r="AH127" s="6">
        <f>TABL12345[[#This Row],[ (RESV. STORGE) BER]]/10</f>
        <v/>
      </c>
      <c r="AI127" s="44" t="n"/>
      <c r="AJ127" s="45">
        <f>TABL12345[[#This Row],[(A/B) AJD]]-TABL12345[[#This Row],[BER_IN]]</f>
        <v/>
      </c>
      <c r="AK127" s="45" t="n"/>
      <c r="AL127" s="45" t="n"/>
      <c r="AM127" s="32" t="n"/>
      <c r="AN127" s="32">
        <f>TABL12345[[#This Row],[ (RESV. STORGE) SER]]/10</f>
        <v/>
      </c>
      <c r="AO127" s="68" t="n"/>
      <c r="AP127" s="68">
        <f>TABL12345[[#This Row],[(A/S) AJD]]-TABL12345[[#This Row],[SER_IN]]</f>
        <v/>
      </c>
    </row>
    <row r="128" ht="18.75" customHeight="1">
      <c r="A128" s="2" t="n">
        <v>46879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TABL12345[[#This Row],[ (T/B) SAR]]+TABL12345[[#This Row],[ (S/S) SAR]]</f>
        <v/>
      </c>
      <c r="L128" s="41" t="n"/>
      <c r="M128" s="42" t="n"/>
      <c r="N128" s="42" t="n"/>
      <c r="O128" s="39" t="n"/>
      <c r="P128" s="3">
        <f>TABL12345[[#This Row],[ (S/S) SAR]]-TABL12345[[#This Row],[(S/S) AJD]]</f>
        <v/>
      </c>
      <c r="Q128" s="39" t="n"/>
      <c r="R128" s="3">
        <f>TABL12345[[#This Row],[ (T/B) SAR]]-TABL12345[[#This Row],[(T/B) AJD]]</f>
        <v/>
      </c>
      <c r="S128" s="3">
        <f>TABL12345[[#This Row],[S/S_CON.]]+TABL12345[[#This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TABL12345[[#This Row],[(RESV. STORGE) AJD]]/10</f>
        <v/>
      </c>
      <c r="AB128" s="3">
        <f>IF(TRIM(Z128)="",,(Z128-Z127)/1000)</f>
        <v/>
      </c>
      <c r="AC128" s="5" t="n"/>
      <c r="AD128" s="39">
        <f>(TABL12345[[#This Row],[( S/S+T/B) AJD]]*1000)-((TABL12345[[#This Row],[(STORGE DIFF.) AJD]]*1000)+TABL12345[[#This Row],[AJD_Evaporation]]+(TABL12345[[#This Row],[(A/B + A/S) AJD]]*1000))</f>
        <v/>
      </c>
      <c r="AE128" s="41" t="n"/>
      <c r="AF128" s="43" t="n"/>
      <c r="AG128" s="43" t="n"/>
      <c r="AH128" s="6">
        <f>TABL12345[[#This Row],[ (RESV. STORGE) BER]]/10</f>
        <v/>
      </c>
      <c r="AI128" s="41" t="n"/>
      <c r="AJ128" s="43">
        <f>TABL12345[[#This Row],[(A/B) AJD]]-TABL12345[[#This Row],[BER_IN]]</f>
        <v/>
      </c>
      <c r="AK128" s="43" t="n"/>
      <c r="AL128" s="43" t="n"/>
      <c r="AM128" s="32" t="n"/>
      <c r="AN128" s="32">
        <f>TABL12345[[#This Row],[ (RESV. STORGE) SER]]/10</f>
        <v/>
      </c>
      <c r="AO128" s="68" t="n"/>
      <c r="AP128" s="68">
        <f>TABL12345[[#This Row],[(A/S) AJD]]-TABL12345[[#This Row],[SER_IN]]</f>
        <v/>
      </c>
    </row>
    <row r="129" ht="18.75" customHeight="1">
      <c r="A129" s="2" t="n">
        <v>46880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TABL12345[[#This Row],[ (T/B) SAR]]+TABL12345[[#This Row],[ (S/S) SAR]]</f>
        <v/>
      </c>
      <c r="L129" s="45" t="n"/>
      <c r="M129" s="46" t="n"/>
      <c r="N129" s="46" t="n"/>
      <c r="O129" s="40" t="n"/>
      <c r="P129" s="3">
        <f>TABL12345[[#This Row],[ (S/S) SAR]]-TABL12345[[#This Row],[(S/S) AJD]]</f>
        <v/>
      </c>
      <c r="Q129" s="40" t="n"/>
      <c r="R129" s="3">
        <f>TABL12345[[#This Row],[ (T/B) SAR]]-TABL12345[[#This Row],[(T/B) AJD]]</f>
        <v/>
      </c>
      <c r="S129" s="3">
        <f>TABL12345[[#This Row],[S/S_CON.]]+TABL12345[[#This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TABL12345[[#This Row],[(RESV. STORGE) AJD]]/10</f>
        <v/>
      </c>
      <c r="AB129" s="3">
        <f>IF(TRIM(Z129)="",,(Z129-Z128)/1000)</f>
        <v/>
      </c>
      <c r="AC129" s="5" t="n"/>
      <c r="AD129" s="40">
        <f>(TABL12345[[#This Row],[( S/S+T/B) AJD]]*1000)-((TABL12345[[#This Row],[(STORGE DIFF.) AJD]]*1000)+TABL12345[[#This Row],[AJD_Evaporation]]+(TABL12345[[#This Row],[(A/B + A/S) AJD]]*1000))</f>
        <v/>
      </c>
      <c r="AE129" s="44" t="n"/>
      <c r="AF129" s="45" t="n"/>
      <c r="AG129" s="45" t="n"/>
      <c r="AH129" s="6">
        <f>TABL12345[[#This Row],[ (RESV. STORGE) BER]]/10</f>
        <v/>
      </c>
      <c r="AI129" s="44" t="n"/>
      <c r="AJ129" s="45">
        <f>TABL12345[[#This Row],[(A/B) AJD]]-TABL12345[[#This Row],[BER_IN]]</f>
        <v/>
      </c>
      <c r="AK129" s="45" t="n"/>
      <c r="AL129" s="45" t="n"/>
      <c r="AM129" s="32" t="n"/>
      <c r="AN129" s="32">
        <f>TABL12345[[#This Row],[ (RESV. STORGE) SER]]/10</f>
        <v/>
      </c>
      <c r="AO129" s="68" t="n"/>
      <c r="AP129" s="68">
        <f>TABL12345[[#This Row],[(A/S) AJD]]-TABL12345[[#This Row],[SER_IN]]</f>
        <v/>
      </c>
    </row>
    <row r="130" ht="18.75" customHeight="1">
      <c r="A130" s="2" t="n">
        <v>46881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TABL12345[[#This Row],[ (T/B) SAR]]+TABL12345[[#This Row],[ (S/S) SAR]]</f>
        <v/>
      </c>
      <c r="L130" s="41" t="n"/>
      <c r="M130" s="42" t="n"/>
      <c r="N130" s="42" t="n"/>
      <c r="O130" s="39" t="n"/>
      <c r="P130" s="3">
        <f>TABL12345[[#This Row],[ (S/S) SAR]]-TABL12345[[#This Row],[(S/S) AJD]]</f>
        <v/>
      </c>
      <c r="Q130" s="39" t="n"/>
      <c r="R130" s="3">
        <f>TABL12345[[#This Row],[ (T/B) SAR]]-TABL12345[[#This Row],[(T/B) AJD]]</f>
        <v/>
      </c>
      <c r="S130" s="3">
        <f>TABL12345[[#This Row],[S/S_CON.]]+TABL12345[[#This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TABL12345[[#This Row],[(RESV. STORGE) AJD]]/10</f>
        <v/>
      </c>
      <c r="AB130" s="3">
        <f>IF(TRIM(Z130)="",,(Z130-Z129)/1000)</f>
        <v/>
      </c>
      <c r="AC130" s="5" t="n"/>
      <c r="AD130" s="39">
        <f>(TABL12345[[#This Row],[( S/S+T/B) AJD]]*1000)-((TABL12345[[#This Row],[(STORGE DIFF.) AJD]]*1000)+TABL12345[[#This Row],[AJD_Evaporation]]+(TABL12345[[#This Row],[(A/B + A/S) AJD]]*1000))</f>
        <v/>
      </c>
      <c r="AE130" s="41" t="n"/>
      <c r="AF130" s="43" t="n"/>
      <c r="AG130" s="43" t="n"/>
      <c r="AH130" s="6">
        <f>TABL12345[[#This Row],[ (RESV. STORGE) BER]]/10</f>
        <v/>
      </c>
      <c r="AI130" s="41" t="n"/>
      <c r="AJ130" s="43">
        <f>TABL12345[[#This Row],[(A/B) AJD]]-TABL12345[[#This Row],[BER_IN]]</f>
        <v/>
      </c>
      <c r="AK130" s="43" t="n"/>
      <c r="AL130" s="43" t="n"/>
      <c r="AM130" s="32" t="n"/>
      <c r="AN130" s="32">
        <f>TABL12345[[#This Row],[ (RESV. STORGE) SER]]/10</f>
        <v/>
      </c>
      <c r="AO130" s="68" t="n"/>
      <c r="AP130" s="68">
        <f>TABL12345[[#This Row],[(A/S) AJD]]-TABL12345[[#This Row],[SER_IN]]</f>
        <v/>
      </c>
    </row>
    <row r="131" ht="18.75" customHeight="1">
      <c r="A131" s="2" t="n">
        <v>46882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TABL12345[[#This Row],[ (T/B) SAR]]+TABL12345[[#This Row],[ (S/S) SAR]]</f>
        <v/>
      </c>
      <c r="L131" s="45" t="n"/>
      <c r="M131" s="46" t="n"/>
      <c r="N131" s="46" t="n"/>
      <c r="O131" s="40" t="n"/>
      <c r="P131" s="3">
        <f>TABL12345[[#This Row],[ (S/S) SAR]]-TABL12345[[#This Row],[(S/S) AJD]]</f>
        <v/>
      </c>
      <c r="Q131" s="40" t="n"/>
      <c r="R131" s="3">
        <f>TABL12345[[#This Row],[ (T/B) SAR]]-TABL12345[[#This Row],[(T/B) AJD]]</f>
        <v/>
      </c>
      <c r="S131" s="3">
        <f>TABL12345[[#This Row],[S/S_CON.]]+TABL12345[[#This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TABL12345[[#This Row],[(RESV. STORGE) AJD]]/10</f>
        <v/>
      </c>
      <c r="AB131" s="3">
        <f>IF(TRIM(Z131)="",,(Z131-Z130)/1000)</f>
        <v/>
      </c>
      <c r="AC131" s="5" t="n"/>
      <c r="AD131" s="40">
        <f>(TABL12345[[#This Row],[( S/S+T/B) AJD]]*1000)-((TABL12345[[#This Row],[(STORGE DIFF.) AJD]]*1000)+TABL12345[[#This Row],[AJD_Evaporation]]+(TABL12345[[#This Row],[(A/B + A/S) AJD]]*1000))</f>
        <v/>
      </c>
      <c r="AE131" s="44" t="n"/>
      <c r="AF131" s="45" t="n"/>
      <c r="AG131" s="45" t="n"/>
      <c r="AH131" s="6">
        <f>TABL12345[[#This Row],[ (RESV. STORGE) BER]]/10</f>
        <v/>
      </c>
      <c r="AI131" s="44" t="n"/>
      <c r="AJ131" s="45">
        <f>TABL12345[[#This Row],[(A/B) AJD]]-TABL12345[[#This Row],[BER_IN]]</f>
        <v/>
      </c>
      <c r="AK131" s="45" t="n"/>
      <c r="AL131" s="45" t="n"/>
      <c r="AM131" s="32" t="n"/>
      <c r="AN131" s="32">
        <f>TABL12345[[#This Row],[ (RESV. STORGE) SER]]/10</f>
        <v/>
      </c>
      <c r="AO131" s="68" t="n"/>
      <c r="AP131" s="68">
        <f>TABL12345[[#This Row],[(A/S) AJD]]-TABL12345[[#This Row],[SER_IN]]</f>
        <v/>
      </c>
    </row>
    <row r="132" ht="18.75" customHeight="1">
      <c r="A132" s="2" t="n">
        <v>46883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TABL12345[[#This Row],[ (T/B) SAR]]+TABL12345[[#This Row],[ (S/S) SAR]]</f>
        <v/>
      </c>
      <c r="L132" s="41" t="n"/>
      <c r="M132" s="42" t="n"/>
      <c r="N132" s="42" t="n"/>
      <c r="O132" s="39" t="n"/>
      <c r="P132" s="3">
        <f>TABL12345[[#This Row],[ (S/S) SAR]]-TABL12345[[#This Row],[(S/S) AJD]]</f>
        <v/>
      </c>
      <c r="Q132" s="39" t="n"/>
      <c r="R132" s="3">
        <f>TABL12345[[#This Row],[ (T/B) SAR]]-TABL12345[[#This Row],[(T/B) AJD]]</f>
        <v/>
      </c>
      <c r="S132" s="3">
        <f>TABL12345[[#This Row],[S/S_CON.]]+TABL12345[[#This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TABL12345[[#This Row],[(RESV. STORGE) AJD]]/10</f>
        <v/>
      </c>
      <c r="AB132" s="3">
        <f>IF(TRIM(Z132)="",,(Z132-Z131)/1000)</f>
        <v/>
      </c>
      <c r="AC132" s="5" t="n"/>
      <c r="AD132" s="39">
        <f>(TABL12345[[#This Row],[( S/S+T/B) AJD]]*1000)-((TABL12345[[#This Row],[(STORGE DIFF.) AJD]]*1000)+TABL12345[[#This Row],[AJD_Evaporation]]+(TABL12345[[#This Row],[(A/B + A/S) AJD]]*1000))</f>
        <v/>
      </c>
      <c r="AE132" s="41" t="n"/>
      <c r="AF132" s="43" t="n"/>
      <c r="AG132" s="68" t="n"/>
      <c r="AH132" s="6">
        <f>TABL12345[[#This Row],[ (RESV. STORGE) BER]]/10</f>
        <v/>
      </c>
      <c r="AI132" s="41" t="n"/>
      <c r="AJ132" s="68">
        <f>TABL12345[[#This Row],[(A/B) AJD]]-TABL12345[[#This Row],[BER_IN]]</f>
        <v/>
      </c>
      <c r="AK132" s="43" t="n"/>
      <c r="AL132" s="43" t="n"/>
      <c r="AM132" s="32" t="n"/>
      <c r="AN132" s="32">
        <f>TABL12345[[#This Row],[ (RESV. STORGE) SER]]/10</f>
        <v/>
      </c>
      <c r="AO132" s="68" t="n"/>
      <c r="AP132" s="68">
        <f>TABL12345[[#This Row],[(A/S) AJD]]-TABL12345[[#This Row],[SER_IN]]</f>
        <v/>
      </c>
    </row>
    <row r="133" ht="18.75" customHeight="1">
      <c r="A133" s="2" t="n">
        <v>46884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TABL12345[[#This Row],[ (T/B) SAR]]+TABL12345[[#This Row],[ (S/S) SAR]]</f>
        <v/>
      </c>
      <c r="L133" s="45" t="n"/>
      <c r="M133" s="46" t="n"/>
      <c r="N133" s="46" t="n"/>
      <c r="O133" s="40" t="n"/>
      <c r="P133" s="3">
        <f>TABL12345[[#This Row],[ (S/S) SAR]]-TABL12345[[#This Row],[(S/S) AJD]]</f>
        <v/>
      </c>
      <c r="Q133" s="40" t="n"/>
      <c r="R133" s="3">
        <f>TABL12345[[#This Row],[ (T/B) SAR]]-TABL12345[[#This Row],[(T/B) AJD]]</f>
        <v/>
      </c>
      <c r="S133" s="3">
        <f>TABL12345[[#This Row],[S/S_CON.]]+TABL12345[[#This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TABL12345[[#This Row],[(RESV. STORGE) AJD]]/10</f>
        <v/>
      </c>
      <c r="AB133" s="3">
        <f>IF(TRIM(Z133)="",,(Z133-Z132)/1000)</f>
        <v/>
      </c>
      <c r="AC133" s="5" t="n"/>
      <c r="AD133" s="40">
        <f>(TABL12345[[#This Row],[( S/S+T/B) AJD]]*1000)-((TABL12345[[#This Row],[(STORGE DIFF.) AJD]]*1000)+TABL12345[[#This Row],[AJD_Evaporation]]+(TABL12345[[#This Row],[(A/B + A/S) AJD]]*1000))</f>
        <v/>
      </c>
      <c r="AE133" s="44" t="n"/>
      <c r="AF133" s="45" t="n"/>
      <c r="AG133" s="45" t="n"/>
      <c r="AH133" s="6">
        <f>TABL12345[[#This Row],[ (RESV. STORGE) BER]]/10</f>
        <v/>
      </c>
      <c r="AI133" s="44" t="n"/>
      <c r="AJ133" s="45">
        <f>TABL12345[[#This Row],[(A/B) AJD]]-TABL12345[[#This Row],[BER_IN]]</f>
        <v/>
      </c>
      <c r="AK133" s="45" t="n"/>
      <c r="AL133" s="45" t="n"/>
      <c r="AM133" s="32" t="n"/>
      <c r="AN133" s="32">
        <f>TABL12345[[#This Row],[ (RESV. STORGE) SER]]/10</f>
        <v/>
      </c>
      <c r="AO133" s="68" t="n"/>
      <c r="AP133" s="68">
        <f>TABL12345[[#This Row],[(A/S) AJD]]-TABL12345[[#This Row],[SER_IN]]</f>
        <v/>
      </c>
    </row>
    <row r="134" ht="18.75" customHeight="1">
      <c r="A134" s="2" t="n">
        <v>46885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TABL12345[[#This Row],[ (T/B) SAR]]+TABL12345[[#This Row],[ (S/S) SAR]]</f>
        <v/>
      </c>
      <c r="L134" s="41" t="n"/>
      <c r="M134" s="42" t="n"/>
      <c r="N134" s="42" t="n"/>
      <c r="O134" s="39" t="n"/>
      <c r="P134" s="3">
        <f>TABL12345[[#This Row],[ (S/S) SAR]]-TABL12345[[#This Row],[(S/S) AJD]]</f>
        <v/>
      </c>
      <c r="Q134" s="39" t="n"/>
      <c r="R134" s="3">
        <f>TABL12345[[#This Row],[ (T/B) SAR]]-TABL12345[[#This Row],[(T/B) AJD]]</f>
        <v/>
      </c>
      <c r="S134" s="3">
        <f>TABL12345[[#This Row],[S/S_CON.]]+TABL12345[[#This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TABL12345[[#This Row],[(RESV. STORGE) AJD]]/10</f>
        <v/>
      </c>
      <c r="AB134" s="3">
        <f>IF(TRIM(Z134)="",,(Z134-Z133)/1000)</f>
        <v/>
      </c>
      <c r="AC134" s="5" t="n"/>
      <c r="AD134" s="39">
        <f>(TABL12345[[#This Row],[( S/S+T/B) AJD]]*1000)-((TABL12345[[#This Row],[(STORGE DIFF.) AJD]]*1000)+TABL12345[[#This Row],[AJD_Evaporation]]+(TABL12345[[#This Row],[(A/B + A/S) AJD]]*1000))</f>
        <v/>
      </c>
      <c r="AE134" s="41" t="n"/>
      <c r="AF134" s="43" t="n"/>
      <c r="AG134" s="43" t="n"/>
      <c r="AH134" s="6">
        <f>TABL12345[[#This Row],[ (RESV. STORGE) BER]]/10</f>
        <v/>
      </c>
      <c r="AI134" s="41" t="n"/>
      <c r="AJ134" s="43">
        <f>TABL12345[[#This Row],[(A/B) AJD]]-TABL12345[[#This Row],[BER_IN]]</f>
        <v/>
      </c>
      <c r="AK134" s="43" t="n"/>
      <c r="AL134" s="43" t="n"/>
      <c r="AM134" s="32" t="n"/>
      <c r="AN134" s="32">
        <f>TABL12345[[#This Row],[ (RESV. STORGE) SER]]/10</f>
        <v/>
      </c>
      <c r="AO134" s="68" t="n"/>
      <c r="AP134" s="68">
        <f>TABL12345[[#This Row],[(A/S) AJD]]-TABL12345[[#This Row],[SER_IN]]</f>
        <v/>
      </c>
    </row>
    <row r="135" ht="18.75" customHeight="1">
      <c r="A135" s="2" t="n">
        <v>46886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TABL12345[[#This Row],[ (T/B) SAR]]+TABL12345[[#This Row],[ (S/S) SAR]]</f>
        <v/>
      </c>
      <c r="L135" s="45" t="n"/>
      <c r="M135" s="46" t="n"/>
      <c r="N135" s="46" t="n"/>
      <c r="O135" s="40" t="n"/>
      <c r="P135" s="3">
        <f>TABL12345[[#This Row],[ (S/S) SAR]]-TABL12345[[#This Row],[(S/S) AJD]]</f>
        <v/>
      </c>
      <c r="Q135" s="40" t="n"/>
      <c r="R135" s="3">
        <f>TABL12345[[#This Row],[ (T/B) SAR]]-TABL12345[[#This Row],[(T/B) AJD]]</f>
        <v/>
      </c>
      <c r="S135" s="3">
        <f>TABL12345[[#This Row],[S/S_CON.]]+TABL12345[[#This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TABL12345[[#This Row],[(RESV. STORGE) AJD]]/10</f>
        <v/>
      </c>
      <c r="AB135" s="3">
        <f>IF(TRIM(Z135)="",,(Z135-Z134)/1000)</f>
        <v/>
      </c>
      <c r="AC135" s="5" t="n"/>
      <c r="AD135" s="40">
        <f>(TABL12345[[#This Row],[( S/S+T/B) AJD]]*1000)-((TABL12345[[#This Row],[(STORGE DIFF.) AJD]]*1000)+TABL12345[[#This Row],[AJD_Evaporation]]+(TABL12345[[#This Row],[(A/B + A/S) AJD]]*1000))</f>
        <v/>
      </c>
      <c r="AE135" s="44" t="n"/>
      <c r="AF135" s="45" t="n"/>
      <c r="AG135" s="45" t="n"/>
      <c r="AH135" s="6">
        <f>TABL12345[[#This Row],[ (RESV. STORGE) BER]]/10</f>
        <v/>
      </c>
      <c r="AI135" s="44" t="n"/>
      <c r="AJ135" s="45">
        <f>TABL12345[[#This Row],[(A/B) AJD]]-TABL12345[[#This Row],[BER_IN]]</f>
        <v/>
      </c>
      <c r="AK135" s="45" t="n"/>
      <c r="AL135" s="45" t="n"/>
      <c r="AM135" s="32" t="n"/>
      <c r="AN135" s="32">
        <f>TABL12345[[#This Row],[ (RESV. STORGE) SER]]/10</f>
        <v/>
      </c>
      <c r="AO135" s="68" t="n"/>
      <c r="AP135" s="68">
        <f>TABL12345[[#This Row],[(A/S) AJD]]-TABL12345[[#This Row],[SER_IN]]</f>
        <v/>
      </c>
    </row>
    <row r="136" ht="18.75" customHeight="1">
      <c r="A136" s="2" t="n">
        <v>46887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TABL12345[[#This Row],[ (T/B) SAR]]+TABL12345[[#This Row],[ (S/S) SAR]]</f>
        <v/>
      </c>
      <c r="L136" s="41" t="n"/>
      <c r="M136" s="42" t="n"/>
      <c r="N136" s="42" t="n"/>
      <c r="O136" s="39" t="n"/>
      <c r="P136" s="3">
        <f>TABL12345[[#This Row],[ (S/S) SAR]]-TABL12345[[#This Row],[(S/S) AJD]]</f>
        <v/>
      </c>
      <c r="Q136" s="39" t="n"/>
      <c r="R136" s="3">
        <f>TABL12345[[#This Row],[ (T/B) SAR]]-TABL12345[[#This Row],[(T/B) AJD]]</f>
        <v/>
      </c>
      <c r="S136" s="3">
        <f>TABL12345[[#This Row],[S/S_CON.]]+TABL12345[[#This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TABL12345[[#This Row],[(RESV. STORGE) AJD]]/10</f>
        <v/>
      </c>
      <c r="AB136" s="3">
        <f>IF(TRIM(Z136)="",,(Z136-Z135)/1000)</f>
        <v/>
      </c>
      <c r="AC136" s="5" t="n"/>
      <c r="AD136" s="39">
        <f>(TABL12345[[#This Row],[( S/S+T/B) AJD]]*1000)-((TABL12345[[#This Row],[(STORGE DIFF.) AJD]]*1000)+TABL12345[[#This Row],[AJD_Evaporation]]+(TABL12345[[#This Row],[(A/B + A/S) AJD]]*1000))</f>
        <v/>
      </c>
      <c r="AE136" s="41" t="n"/>
      <c r="AF136" s="43" t="n"/>
      <c r="AG136" s="43" t="n"/>
      <c r="AH136" s="6">
        <f>TABL12345[[#This Row],[ (RESV. STORGE) BER]]/10</f>
        <v/>
      </c>
      <c r="AI136" s="41" t="n"/>
      <c r="AJ136" s="43">
        <f>TABL12345[[#This Row],[(A/B) AJD]]-TABL12345[[#This Row],[BER_IN]]</f>
        <v/>
      </c>
      <c r="AK136" s="43" t="n"/>
      <c r="AL136" s="43" t="n"/>
      <c r="AM136" s="32" t="n"/>
      <c r="AN136" s="32">
        <f>TABL12345[[#This Row],[ (RESV. STORGE) SER]]/10</f>
        <v/>
      </c>
      <c r="AO136" s="68" t="n"/>
      <c r="AP136" s="68">
        <f>TABL12345[[#This Row],[(A/S) AJD]]-TABL12345[[#This Row],[SER_IN]]</f>
        <v/>
      </c>
    </row>
    <row r="137" ht="18.75" customHeight="1">
      <c r="A137" s="2" t="n">
        <v>46888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TABL12345[[#This Row],[ (T/B) SAR]]+TABL12345[[#This Row],[ (S/S) SAR]]</f>
        <v/>
      </c>
      <c r="L137" s="45" t="n"/>
      <c r="M137" s="46" t="n"/>
      <c r="N137" s="46" t="n"/>
      <c r="O137" s="40" t="n"/>
      <c r="P137" s="3">
        <f>TABL12345[[#This Row],[ (S/S) SAR]]-TABL12345[[#This Row],[(S/S) AJD]]</f>
        <v/>
      </c>
      <c r="Q137" s="40" t="n"/>
      <c r="R137" s="3">
        <f>TABL12345[[#This Row],[ (T/B) SAR]]-TABL12345[[#This Row],[(T/B) AJD]]</f>
        <v/>
      </c>
      <c r="S137" s="3">
        <f>TABL12345[[#This Row],[S/S_CON.]]+TABL12345[[#This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TABL12345[[#This Row],[(RESV. STORGE) AJD]]/10</f>
        <v/>
      </c>
      <c r="AB137" s="3">
        <f>IF(TRIM(Z137)="",,(Z137-Z136)/1000)</f>
        <v/>
      </c>
      <c r="AC137" s="5" t="n"/>
      <c r="AD137" s="40">
        <f>(TABL12345[[#This Row],[( S/S+T/B) AJD]]*1000)-((TABL12345[[#This Row],[(STORGE DIFF.) AJD]]*1000)+TABL12345[[#This Row],[AJD_Evaporation]]+(TABL12345[[#This Row],[(A/B + A/S) AJD]]*1000))</f>
        <v/>
      </c>
      <c r="AE137" s="44" t="n"/>
      <c r="AF137" s="45" t="n"/>
      <c r="AG137" s="45" t="n"/>
      <c r="AH137" s="6">
        <f>TABL12345[[#This Row],[ (RESV. STORGE) BER]]/10</f>
        <v/>
      </c>
      <c r="AI137" s="44" t="n"/>
      <c r="AJ137" s="45">
        <f>TABL12345[[#This Row],[(A/B) AJD]]-TABL12345[[#This Row],[BER_IN]]</f>
        <v/>
      </c>
      <c r="AK137" s="45" t="n"/>
      <c r="AL137" s="45" t="n"/>
      <c r="AM137" s="32" t="n"/>
      <c r="AN137" s="32">
        <f>TABL12345[[#This Row],[ (RESV. STORGE) SER]]/10</f>
        <v/>
      </c>
      <c r="AO137" s="68" t="n"/>
      <c r="AP137" s="68">
        <f>TABL12345[[#This Row],[(A/S) AJD]]-TABL12345[[#This Row],[SER_IN]]</f>
        <v/>
      </c>
    </row>
    <row r="138" ht="18.75" customHeight="1">
      <c r="A138" s="2" t="n">
        <v>46889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TABL12345[[#This Row],[ (T/B) SAR]]+TABL12345[[#This Row],[ (S/S) SAR]]</f>
        <v/>
      </c>
      <c r="L138" s="41" t="n"/>
      <c r="M138" s="42" t="n"/>
      <c r="N138" s="42" t="n"/>
      <c r="O138" s="39" t="n"/>
      <c r="P138" s="3">
        <f>TABL12345[[#This Row],[ (S/S) SAR]]-TABL12345[[#This Row],[(S/S) AJD]]</f>
        <v/>
      </c>
      <c r="Q138" s="39" t="n"/>
      <c r="R138" s="3">
        <f>TABL12345[[#This Row],[ (T/B) SAR]]-TABL12345[[#This Row],[(T/B) AJD]]</f>
        <v/>
      </c>
      <c r="S138" s="3">
        <f>TABL12345[[#This Row],[S/S_CON.]]+TABL12345[[#This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TABL12345[[#This Row],[(RESV. STORGE) AJD]]/10</f>
        <v/>
      </c>
      <c r="AB138" s="3">
        <f>IF(TRIM(Z138)="",,(Z138-Z137)/1000)</f>
        <v/>
      </c>
      <c r="AC138" s="5" t="n"/>
      <c r="AD138" s="39">
        <f>(TABL12345[[#This Row],[( S/S+T/B) AJD]]*1000)-((TABL12345[[#This Row],[(STORGE DIFF.) AJD]]*1000)+TABL12345[[#This Row],[AJD_Evaporation]]+(TABL12345[[#This Row],[(A/B + A/S) AJD]]*1000))</f>
        <v/>
      </c>
      <c r="AE138" s="41" t="n"/>
      <c r="AF138" s="43" t="n"/>
      <c r="AG138" s="43" t="n"/>
      <c r="AH138" s="6">
        <f>TABL12345[[#This Row],[ (RESV. STORGE) BER]]/10</f>
        <v/>
      </c>
      <c r="AI138" s="41" t="n"/>
      <c r="AJ138" s="43">
        <f>TABL12345[[#This Row],[(A/B) AJD]]-TABL12345[[#This Row],[BER_IN]]</f>
        <v/>
      </c>
      <c r="AK138" s="43" t="n"/>
      <c r="AL138" s="43" t="n"/>
      <c r="AM138" s="32" t="n"/>
      <c r="AN138" s="32">
        <f>TABL12345[[#This Row],[ (RESV. STORGE) SER]]/10</f>
        <v/>
      </c>
      <c r="AO138" s="68" t="n"/>
      <c r="AP138" s="68">
        <f>TABL12345[[#This Row],[(A/S) AJD]]-TABL12345[[#This Row],[SER_IN]]</f>
        <v/>
      </c>
    </row>
    <row r="139" ht="18.75" customHeight="1">
      <c r="A139" s="2" t="n">
        <v>46890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TABL12345[[#This Row],[ (T/B) SAR]]+TABL12345[[#This Row],[ (S/S) SAR]]</f>
        <v/>
      </c>
      <c r="L139" s="45" t="n"/>
      <c r="M139" s="46" t="n"/>
      <c r="N139" s="46" t="n"/>
      <c r="O139" s="40" t="n"/>
      <c r="P139" s="3">
        <f>TABL12345[[#This Row],[ (S/S) SAR]]-TABL12345[[#This Row],[(S/S) AJD]]</f>
        <v/>
      </c>
      <c r="Q139" s="40" t="n"/>
      <c r="R139" s="3">
        <f>TABL12345[[#This Row],[ (T/B) SAR]]-TABL12345[[#This Row],[(T/B) AJD]]</f>
        <v/>
      </c>
      <c r="S139" s="3">
        <f>TABL12345[[#This Row],[S/S_CON.]]+TABL12345[[#This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TABL12345[[#This Row],[(RESV. STORGE) AJD]]/10</f>
        <v/>
      </c>
      <c r="AB139" s="3">
        <f>IF(TRIM(Z139)="",,(Z139-Z138)/1000)</f>
        <v/>
      </c>
      <c r="AC139" s="5" t="n"/>
      <c r="AD139" s="40">
        <f>(TABL12345[[#This Row],[( S/S+T/B) AJD]]*1000)-((TABL12345[[#This Row],[(STORGE DIFF.) AJD]]*1000)+TABL12345[[#This Row],[AJD_Evaporation]]+(TABL12345[[#This Row],[(A/B + A/S) AJD]]*1000))</f>
        <v/>
      </c>
      <c r="AE139" s="44" t="n"/>
      <c r="AF139" s="45" t="n"/>
      <c r="AG139" s="45" t="n"/>
      <c r="AH139" s="6">
        <f>TABL12345[[#This Row],[ (RESV. STORGE) BER]]/10</f>
        <v/>
      </c>
      <c r="AI139" s="44" t="n"/>
      <c r="AJ139" s="45">
        <f>TABL12345[[#This Row],[(A/B) AJD]]-TABL12345[[#This Row],[BER_IN]]</f>
        <v/>
      </c>
      <c r="AK139" s="45" t="n"/>
      <c r="AL139" s="45" t="n"/>
      <c r="AM139" s="32" t="n"/>
      <c r="AN139" s="32">
        <f>TABL12345[[#This Row],[ (RESV. STORGE) SER]]/10</f>
        <v/>
      </c>
      <c r="AO139" s="68" t="n"/>
      <c r="AP139" s="68">
        <f>TABL12345[[#This Row],[(A/S) AJD]]-TABL12345[[#This Row],[SER_IN]]</f>
        <v/>
      </c>
    </row>
    <row r="140" ht="18.75" customHeight="1">
      <c r="A140" s="2" t="n">
        <v>46891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TABL12345[[#This Row],[ (T/B) SAR]]+TABL12345[[#This Row],[ (S/S) SAR]]</f>
        <v/>
      </c>
      <c r="L140" s="41" t="n"/>
      <c r="M140" s="42" t="n"/>
      <c r="N140" s="42" t="n"/>
      <c r="O140" s="39" t="n"/>
      <c r="P140" s="3">
        <f>TABL12345[[#This Row],[ (S/S) SAR]]-TABL12345[[#This Row],[(S/S) AJD]]</f>
        <v/>
      </c>
      <c r="Q140" s="39" t="n"/>
      <c r="R140" s="3">
        <f>TABL12345[[#This Row],[ (T/B) SAR]]-TABL12345[[#This Row],[(T/B) AJD]]</f>
        <v/>
      </c>
      <c r="S140" s="3">
        <f>TABL12345[[#This Row],[S/S_CON.]]+TABL12345[[#This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TABL12345[[#This Row],[(RESV. STORGE) AJD]]/10</f>
        <v/>
      </c>
      <c r="AB140" s="3">
        <f>IF(TRIM(Z140)="",,(Z140-Z139)/1000)</f>
        <v/>
      </c>
      <c r="AC140" s="5" t="n"/>
      <c r="AD140" s="39">
        <f>(TABL12345[[#This Row],[( S/S+T/B) AJD]]*1000)-((TABL12345[[#This Row],[(STORGE DIFF.) AJD]]*1000)+TABL12345[[#This Row],[AJD_Evaporation]]+(TABL12345[[#This Row],[(A/B + A/S) AJD]]*1000))</f>
        <v/>
      </c>
      <c r="AE140" s="41" t="n"/>
      <c r="AF140" s="43" t="n"/>
      <c r="AG140" s="43" t="n"/>
      <c r="AH140" s="6">
        <f>TABL12345[[#This Row],[ (RESV. STORGE) BER]]/10</f>
        <v/>
      </c>
      <c r="AI140" s="41" t="n"/>
      <c r="AJ140" s="43">
        <f>TABL12345[[#This Row],[(A/B) AJD]]-TABL12345[[#This Row],[BER_IN]]</f>
        <v/>
      </c>
      <c r="AK140" s="43" t="n"/>
      <c r="AL140" s="43" t="n"/>
      <c r="AM140" s="32" t="n"/>
      <c r="AN140" s="32">
        <f>TABL12345[[#This Row],[ (RESV. STORGE) SER]]/10</f>
        <v/>
      </c>
      <c r="AO140" s="68" t="n"/>
      <c r="AP140" s="68">
        <f>TABL12345[[#This Row],[(A/S) AJD]]-TABL12345[[#This Row],[SER_IN]]</f>
        <v/>
      </c>
    </row>
    <row r="141" ht="18.75" customHeight="1">
      <c r="A141" s="2" t="n">
        <v>46892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TABL12345[[#This Row],[ (T/B) SAR]]+TABL12345[[#This Row],[ (S/S) SAR]]</f>
        <v/>
      </c>
      <c r="L141" s="45" t="n"/>
      <c r="M141" s="46" t="n"/>
      <c r="N141" s="46" t="n"/>
      <c r="O141" s="40" t="n"/>
      <c r="P141" s="3">
        <f>TABL12345[[#This Row],[ (S/S) SAR]]-TABL12345[[#This Row],[(S/S) AJD]]</f>
        <v/>
      </c>
      <c r="Q141" s="40" t="n"/>
      <c r="R141" s="3">
        <f>TABL12345[[#This Row],[ (T/B) SAR]]-TABL12345[[#This Row],[(T/B) AJD]]</f>
        <v/>
      </c>
      <c r="S141" s="3">
        <f>TABL12345[[#This Row],[S/S_CON.]]+TABL12345[[#This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TABL12345[[#This Row],[(RESV. STORGE) AJD]]/10</f>
        <v/>
      </c>
      <c r="AB141" s="3">
        <f>IF(TRIM(Z141)="",,(Z141-Z140)/1000)</f>
        <v/>
      </c>
      <c r="AC141" s="5" t="n"/>
      <c r="AD141" s="40">
        <f>(TABL12345[[#This Row],[( S/S+T/B) AJD]]*1000)-((TABL12345[[#This Row],[(STORGE DIFF.) AJD]]*1000)+TABL12345[[#This Row],[AJD_Evaporation]]+(TABL12345[[#This Row],[(A/B + A/S) AJD]]*1000))</f>
        <v/>
      </c>
      <c r="AE141" s="44" t="n"/>
      <c r="AF141" s="45" t="n"/>
      <c r="AG141" s="45" t="n"/>
      <c r="AH141" s="6">
        <f>TABL12345[[#This Row],[ (RESV. STORGE) BER]]/10</f>
        <v/>
      </c>
      <c r="AI141" s="44" t="n"/>
      <c r="AJ141" s="45">
        <f>TABL12345[[#This Row],[(A/B) AJD]]-TABL12345[[#This Row],[BER_IN]]</f>
        <v/>
      </c>
      <c r="AK141" s="45" t="n"/>
      <c r="AL141" s="45" t="n"/>
      <c r="AM141" s="32" t="n"/>
      <c r="AN141" s="32">
        <f>TABL12345[[#This Row],[ (RESV. STORGE) SER]]/10</f>
        <v/>
      </c>
      <c r="AO141" s="68" t="n"/>
      <c r="AP141" s="68">
        <f>TABL12345[[#This Row],[(A/S) AJD]]-TABL12345[[#This Row],[SER_IN]]</f>
        <v/>
      </c>
    </row>
    <row r="142" ht="18.75" customHeight="1">
      <c r="A142" s="2" t="n">
        <v>46893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TABL12345[[#This Row],[ (T/B) SAR]]+TABL12345[[#This Row],[ (S/S) SAR]]</f>
        <v/>
      </c>
      <c r="L142" s="41" t="n"/>
      <c r="M142" s="42" t="n"/>
      <c r="N142" s="42" t="n"/>
      <c r="O142" s="39" t="n"/>
      <c r="P142" s="3">
        <f>TABL12345[[#This Row],[ (S/S) SAR]]-TABL12345[[#This Row],[(S/S) AJD]]</f>
        <v/>
      </c>
      <c r="Q142" s="39" t="n"/>
      <c r="R142" s="3">
        <f>TABL12345[[#This Row],[ (T/B) SAR]]-TABL12345[[#This Row],[(T/B) AJD]]</f>
        <v/>
      </c>
      <c r="S142" s="3">
        <f>TABL12345[[#This Row],[S/S_CON.]]+TABL12345[[#This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TABL12345[[#This Row],[(RESV. STORGE) AJD]]/10</f>
        <v/>
      </c>
      <c r="AB142" s="3">
        <f>IF(TRIM(Z142)="",,(Z142-Z141)/1000)</f>
        <v/>
      </c>
      <c r="AC142" s="5" t="n"/>
      <c r="AD142" s="39">
        <f>(TABL12345[[#This Row],[( S/S+T/B) AJD]]*1000)-((TABL12345[[#This Row],[(STORGE DIFF.) AJD]]*1000)+TABL12345[[#This Row],[AJD_Evaporation]]+(TABL12345[[#This Row],[(A/B + A/S) AJD]]*1000))</f>
        <v/>
      </c>
      <c r="AE142" s="41" t="n"/>
      <c r="AF142" s="43" t="n"/>
      <c r="AG142" s="43" t="n"/>
      <c r="AH142" s="6">
        <f>TABL12345[[#This Row],[ (RESV. STORGE) BER]]/10</f>
        <v/>
      </c>
      <c r="AI142" s="41" t="n"/>
      <c r="AJ142" s="43">
        <f>TABL12345[[#This Row],[(A/B) AJD]]-TABL12345[[#This Row],[BER_IN]]</f>
        <v/>
      </c>
      <c r="AK142" s="43" t="n"/>
      <c r="AL142" s="43" t="n"/>
      <c r="AM142" s="32" t="n"/>
      <c r="AN142" s="32">
        <f>TABL12345[[#This Row],[ (RESV. STORGE) SER]]/10</f>
        <v/>
      </c>
      <c r="AO142" s="68" t="n"/>
      <c r="AP142" s="68">
        <f>TABL12345[[#This Row],[(A/S) AJD]]-TABL12345[[#This Row],[SER_IN]]</f>
        <v/>
      </c>
    </row>
    <row r="143" ht="18.75" customHeight="1">
      <c r="A143" s="2" t="n">
        <v>46894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TABL12345[[#This Row],[ (T/B) SAR]]+TABL12345[[#This Row],[ (S/S) SAR]]</f>
        <v/>
      </c>
      <c r="L143" s="45" t="n"/>
      <c r="M143" s="46" t="n"/>
      <c r="N143" s="46" t="n"/>
      <c r="O143" s="40" t="n"/>
      <c r="P143" s="3">
        <f>TABL12345[[#This Row],[ (S/S) SAR]]-TABL12345[[#This Row],[(S/S) AJD]]</f>
        <v/>
      </c>
      <c r="Q143" s="40" t="n"/>
      <c r="R143" s="3">
        <f>TABL12345[[#This Row],[ (T/B) SAR]]-TABL12345[[#This Row],[(T/B) AJD]]</f>
        <v/>
      </c>
      <c r="S143" s="3">
        <f>TABL12345[[#This Row],[S/S_CON.]]+TABL12345[[#This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TABL12345[[#This Row],[(RESV. STORGE) AJD]]/10</f>
        <v/>
      </c>
      <c r="AB143" s="3">
        <f>IF(TRIM(Z143)="",,(Z143-Z142)/1000)</f>
        <v/>
      </c>
      <c r="AC143" s="5" t="n"/>
      <c r="AD143" s="40">
        <f>(TABL12345[[#This Row],[( S/S+T/B) AJD]]*1000)-((TABL12345[[#This Row],[(STORGE DIFF.) AJD]]*1000)+TABL12345[[#This Row],[AJD_Evaporation]]+(TABL12345[[#This Row],[(A/B + A/S) AJD]]*1000))</f>
        <v/>
      </c>
      <c r="AE143" s="44" t="n"/>
      <c r="AF143" s="45" t="n"/>
      <c r="AG143" s="45" t="n"/>
      <c r="AH143" s="6">
        <f>TABL12345[[#This Row],[ (RESV. STORGE) BER]]/10</f>
        <v/>
      </c>
      <c r="AI143" s="44" t="n"/>
      <c r="AJ143" s="45">
        <f>TABL12345[[#This Row],[(A/B) AJD]]-TABL12345[[#This Row],[BER_IN]]</f>
        <v/>
      </c>
      <c r="AK143" s="45" t="n"/>
      <c r="AL143" s="45" t="n"/>
      <c r="AM143" s="32" t="n"/>
      <c r="AN143" s="32">
        <f>TABL12345[[#This Row],[ (RESV. STORGE) SER]]/10</f>
        <v/>
      </c>
      <c r="AO143" s="68" t="n"/>
      <c r="AP143" s="68">
        <f>TABL12345[[#This Row],[(A/S) AJD]]-TABL12345[[#This Row],[SER_IN]]</f>
        <v/>
      </c>
    </row>
    <row r="144" ht="18.75" customHeight="1">
      <c r="A144" s="2" t="n">
        <v>46895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TABL12345[[#This Row],[ (T/B) SAR]]+TABL12345[[#This Row],[ (S/S) SAR]]</f>
        <v/>
      </c>
      <c r="L144" s="41" t="n"/>
      <c r="M144" s="42" t="n"/>
      <c r="N144" s="42" t="n"/>
      <c r="O144" s="39" t="n"/>
      <c r="P144" s="3">
        <f>TABL12345[[#This Row],[ (S/S) SAR]]-TABL12345[[#This Row],[(S/S) AJD]]</f>
        <v/>
      </c>
      <c r="Q144" s="39" t="n"/>
      <c r="R144" s="3">
        <f>TABL12345[[#This Row],[ (T/B) SAR]]-TABL12345[[#This Row],[(T/B) AJD]]</f>
        <v/>
      </c>
      <c r="S144" s="3">
        <f>TABL12345[[#This Row],[S/S_CON.]]+TABL12345[[#This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TABL12345[[#This Row],[(RESV. STORGE) AJD]]/10</f>
        <v/>
      </c>
      <c r="AB144" s="3">
        <f>IF(TRIM(Z144)="",,(Z144-Z143)/1000)</f>
        <v/>
      </c>
      <c r="AC144" s="5" t="n"/>
      <c r="AD144" s="39">
        <f>(TABL12345[[#This Row],[( S/S+T/B) AJD]]*1000)-((TABL12345[[#This Row],[(STORGE DIFF.) AJD]]*1000)+TABL12345[[#This Row],[AJD_Evaporation]]+(TABL12345[[#This Row],[(A/B + A/S) AJD]]*1000))</f>
        <v/>
      </c>
      <c r="AE144" s="41" t="n"/>
      <c r="AF144" s="43" t="n"/>
      <c r="AG144" s="43" t="n"/>
      <c r="AH144" s="6">
        <f>TABL12345[[#This Row],[ (RESV. STORGE) BER]]/10</f>
        <v/>
      </c>
      <c r="AI144" s="41" t="n"/>
      <c r="AJ144" s="43">
        <f>TABL12345[[#This Row],[(A/B) AJD]]-TABL12345[[#This Row],[BER_IN]]</f>
        <v/>
      </c>
      <c r="AK144" s="43" t="n"/>
      <c r="AL144" s="43" t="n"/>
      <c r="AM144" s="32" t="n"/>
      <c r="AN144" s="32">
        <f>TABL12345[[#This Row],[ (RESV. STORGE) SER]]/10</f>
        <v/>
      </c>
      <c r="AO144" s="68" t="n"/>
      <c r="AP144" s="68">
        <f>TABL12345[[#This Row],[(A/S) AJD]]-TABL12345[[#This Row],[SER_IN]]</f>
        <v/>
      </c>
    </row>
    <row r="145" ht="18.75" customHeight="1">
      <c r="A145" s="2" t="n">
        <v>46896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TABL12345[[#This Row],[ (T/B) SAR]]+TABL12345[[#This Row],[ (S/S) SAR]]</f>
        <v/>
      </c>
      <c r="L145" s="45" t="n"/>
      <c r="M145" s="46" t="n"/>
      <c r="N145" s="46" t="n"/>
      <c r="O145" s="40" t="n"/>
      <c r="P145" s="3">
        <f>TABL12345[[#This Row],[ (S/S) SAR]]-TABL12345[[#This Row],[(S/S) AJD]]</f>
        <v/>
      </c>
      <c r="Q145" s="40" t="n"/>
      <c r="R145" s="3">
        <f>TABL12345[[#This Row],[ (T/B) SAR]]-TABL12345[[#This Row],[(T/B) AJD]]</f>
        <v/>
      </c>
      <c r="S145" s="3">
        <f>TABL12345[[#This Row],[S/S_CON.]]+TABL12345[[#This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TABL12345[[#This Row],[(RESV. STORGE) AJD]]/10</f>
        <v/>
      </c>
      <c r="AB145" s="3">
        <f>IF(TRIM(Z145)="",,(Z145-Z144)/1000)</f>
        <v/>
      </c>
      <c r="AC145" s="5" t="n"/>
      <c r="AD145" s="40">
        <f>(TABL12345[[#This Row],[( S/S+T/B) AJD]]*1000)-((TABL12345[[#This Row],[(STORGE DIFF.) AJD]]*1000)+TABL12345[[#This Row],[AJD_Evaporation]]+(TABL12345[[#This Row],[(A/B + A/S) AJD]]*1000))</f>
        <v/>
      </c>
      <c r="AE145" s="44" t="n"/>
      <c r="AF145" s="45" t="n"/>
      <c r="AG145" s="45" t="n"/>
      <c r="AH145" s="6">
        <f>TABL12345[[#This Row],[ (RESV. STORGE) BER]]/10</f>
        <v/>
      </c>
      <c r="AI145" s="44" t="n"/>
      <c r="AJ145" s="45">
        <f>TABL12345[[#This Row],[(A/B) AJD]]-TABL12345[[#This Row],[BER_IN]]</f>
        <v/>
      </c>
      <c r="AK145" s="45" t="n"/>
      <c r="AL145" s="45" t="n"/>
      <c r="AM145" s="32" t="n"/>
      <c r="AN145" s="32">
        <f>TABL12345[[#This Row],[ (RESV. STORGE) SER]]/10</f>
        <v/>
      </c>
      <c r="AO145" s="68" t="n"/>
      <c r="AP145" s="68">
        <f>TABL12345[[#This Row],[(A/S) AJD]]-TABL12345[[#This Row],[SER_IN]]</f>
        <v/>
      </c>
    </row>
    <row r="146" ht="18.75" customHeight="1">
      <c r="A146" s="2" t="n">
        <v>46897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TABL12345[[#This Row],[ (T/B) SAR]]+TABL12345[[#This Row],[ (S/S) SAR]]</f>
        <v/>
      </c>
      <c r="L146" s="41" t="n"/>
      <c r="M146" s="42" t="n"/>
      <c r="N146" s="42" t="n"/>
      <c r="O146" s="39" t="n"/>
      <c r="P146" s="3">
        <f>TABL12345[[#This Row],[ (S/S) SAR]]-TABL12345[[#This Row],[(S/S) AJD]]</f>
        <v/>
      </c>
      <c r="Q146" s="39" t="n"/>
      <c r="R146" s="3">
        <f>TABL12345[[#This Row],[ (T/B) SAR]]-TABL12345[[#This Row],[(T/B) AJD]]</f>
        <v/>
      </c>
      <c r="S146" s="3">
        <f>TABL12345[[#This Row],[S/S_CON.]]+TABL12345[[#This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TABL12345[[#This Row],[(RESV. STORGE) AJD]]/10</f>
        <v/>
      </c>
      <c r="AB146" s="3">
        <f>IF(TRIM(Z146)="",,(Z146-Z145)/1000)</f>
        <v/>
      </c>
      <c r="AC146" s="5" t="n"/>
      <c r="AD146" s="39">
        <f>(TABL12345[[#This Row],[( S/S+T/B) AJD]]*1000)-((TABL12345[[#This Row],[(STORGE DIFF.) AJD]]*1000)+TABL12345[[#This Row],[AJD_Evaporation]]+(TABL12345[[#This Row],[(A/B + A/S) AJD]]*1000))</f>
        <v/>
      </c>
      <c r="AE146" s="41" t="n"/>
      <c r="AF146" s="43" t="n"/>
      <c r="AG146" s="43" t="n"/>
      <c r="AH146" s="6">
        <f>TABL12345[[#This Row],[ (RESV. STORGE) BER]]/10</f>
        <v/>
      </c>
      <c r="AI146" s="41" t="n"/>
      <c r="AJ146" s="43">
        <f>TABL12345[[#This Row],[(A/B) AJD]]-TABL12345[[#This Row],[BER_IN]]</f>
        <v/>
      </c>
      <c r="AK146" s="43" t="n"/>
      <c r="AL146" s="43" t="n"/>
      <c r="AM146" s="32" t="n"/>
      <c r="AN146" s="32">
        <f>TABL12345[[#This Row],[ (RESV. STORGE) SER]]/10</f>
        <v/>
      </c>
      <c r="AO146" s="68" t="n"/>
      <c r="AP146" s="68">
        <f>TABL12345[[#This Row],[(A/S) AJD]]-TABL12345[[#This Row],[SER_IN]]</f>
        <v/>
      </c>
    </row>
    <row r="147" ht="18.75" customHeight="1">
      <c r="A147" s="2" t="n">
        <v>46898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TABL12345[[#This Row],[ (T/B) SAR]]+TABL12345[[#This Row],[ (S/S) SAR]]</f>
        <v/>
      </c>
      <c r="L147" s="45" t="n"/>
      <c r="M147" s="46" t="n"/>
      <c r="N147" s="46" t="n"/>
      <c r="O147" s="40" t="n"/>
      <c r="P147" s="3">
        <f>TABL12345[[#This Row],[ (S/S) SAR]]-TABL12345[[#This Row],[(S/S) AJD]]</f>
        <v/>
      </c>
      <c r="Q147" s="40" t="n"/>
      <c r="R147" s="3">
        <f>TABL12345[[#This Row],[ (T/B) SAR]]-TABL12345[[#This Row],[(T/B) AJD]]</f>
        <v/>
      </c>
      <c r="S147" s="3">
        <f>TABL12345[[#This Row],[S/S_CON.]]+TABL12345[[#This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TABL12345[[#This Row],[(RESV. STORGE) AJD]]/10</f>
        <v/>
      </c>
      <c r="AB147" s="3">
        <f>IF(TRIM(Z147)="",,(Z147-Z146)/1000)</f>
        <v/>
      </c>
      <c r="AC147" s="5" t="n"/>
      <c r="AD147" s="40">
        <f>(TABL12345[[#This Row],[( S/S+T/B) AJD]]*1000)-((TABL12345[[#This Row],[(STORGE DIFF.) AJD]]*1000)+TABL12345[[#This Row],[AJD_Evaporation]]+(TABL12345[[#This Row],[(A/B + A/S) AJD]]*1000))</f>
        <v/>
      </c>
      <c r="AE147" s="44" t="n"/>
      <c r="AF147" s="45" t="n"/>
      <c r="AG147" s="45" t="n"/>
      <c r="AH147" s="6">
        <f>TABL12345[[#This Row],[ (RESV. STORGE) BER]]/10</f>
        <v/>
      </c>
      <c r="AI147" s="44" t="n"/>
      <c r="AJ147" s="45">
        <f>TABL12345[[#This Row],[(A/B) AJD]]-TABL12345[[#This Row],[BER_IN]]</f>
        <v/>
      </c>
      <c r="AK147" s="45" t="n"/>
      <c r="AL147" s="45" t="n"/>
      <c r="AM147" s="32" t="n"/>
      <c r="AN147" s="32">
        <f>TABL12345[[#This Row],[ (RESV. STORGE) SER]]/10</f>
        <v/>
      </c>
      <c r="AO147" s="68" t="n"/>
      <c r="AP147" s="68">
        <f>TABL12345[[#This Row],[(A/S) AJD]]-TABL12345[[#This Row],[SER_IN]]</f>
        <v/>
      </c>
    </row>
    <row r="148" ht="18.75" customHeight="1">
      <c r="A148" s="2" t="n">
        <v>46899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TABL12345[[#This Row],[ (T/B) SAR]]+TABL12345[[#This Row],[ (S/S) SAR]]</f>
        <v/>
      </c>
      <c r="L148" s="41" t="n"/>
      <c r="M148" s="42" t="n"/>
      <c r="N148" s="42" t="n"/>
      <c r="O148" s="39" t="n"/>
      <c r="P148" s="3">
        <f>TABL12345[[#This Row],[ (S/S) SAR]]-TABL12345[[#This Row],[(S/S) AJD]]</f>
        <v/>
      </c>
      <c r="Q148" s="39" t="n"/>
      <c r="R148" s="3">
        <f>TABL12345[[#This Row],[ (T/B) SAR]]-TABL12345[[#This Row],[(T/B) AJD]]</f>
        <v/>
      </c>
      <c r="S148" s="3">
        <f>TABL12345[[#This Row],[S/S_CON.]]+TABL12345[[#This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TABL12345[[#This Row],[(RESV. STORGE) AJD]]/10</f>
        <v/>
      </c>
      <c r="AB148" s="3">
        <f>IF(TRIM(Z148)="",,(Z148-Z147)/1000)</f>
        <v/>
      </c>
      <c r="AC148" s="5" t="n"/>
      <c r="AD148" s="39">
        <f>(TABL12345[[#This Row],[( S/S+T/B) AJD]]*1000)-((TABL12345[[#This Row],[(STORGE DIFF.) AJD]]*1000)+TABL12345[[#This Row],[AJD_Evaporation]]+(TABL12345[[#This Row],[(A/B + A/S) AJD]]*1000))</f>
        <v/>
      </c>
      <c r="AE148" s="41" t="n"/>
      <c r="AF148" s="43" t="n"/>
      <c r="AG148" s="43" t="n"/>
      <c r="AH148" s="6">
        <f>TABL12345[[#This Row],[ (RESV. STORGE) BER]]/10</f>
        <v/>
      </c>
      <c r="AI148" s="41" t="n"/>
      <c r="AJ148" s="43">
        <f>TABL12345[[#This Row],[(A/B) AJD]]-TABL12345[[#This Row],[BER_IN]]</f>
        <v/>
      </c>
      <c r="AK148" s="43" t="n"/>
      <c r="AL148" s="43" t="n"/>
      <c r="AM148" s="32" t="n"/>
      <c r="AN148" s="32">
        <f>TABL12345[[#This Row],[ (RESV. STORGE) SER]]/10</f>
        <v/>
      </c>
      <c r="AO148" s="68" t="n"/>
      <c r="AP148" s="68">
        <f>TABL12345[[#This Row],[(A/S) AJD]]-TABL12345[[#This Row],[SER_IN]]</f>
        <v/>
      </c>
    </row>
    <row r="149" ht="18.75" customHeight="1">
      <c r="A149" s="2" t="n">
        <v>46900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TABL12345[[#This Row],[ (T/B) SAR]]+TABL12345[[#This Row],[ (S/S) SAR]]</f>
        <v/>
      </c>
      <c r="L149" s="45" t="n"/>
      <c r="M149" s="46" t="n"/>
      <c r="N149" s="46" t="n"/>
      <c r="O149" s="40" t="n"/>
      <c r="P149" s="3">
        <f>TABL12345[[#This Row],[ (S/S) SAR]]-TABL12345[[#This Row],[(S/S) AJD]]</f>
        <v/>
      </c>
      <c r="Q149" s="40" t="n"/>
      <c r="R149" s="3">
        <f>TABL12345[[#This Row],[ (T/B) SAR]]-TABL12345[[#This Row],[(T/B) AJD]]</f>
        <v/>
      </c>
      <c r="S149" s="3">
        <f>TABL12345[[#This Row],[S/S_CON.]]+TABL12345[[#This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TABL12345[[#This Row],[(RESV. STORGE) AJD]]/10</f>
        <v/>
      </c>
      <c r="AB149" s="3">
        <f>IF(TRIM(Z149)="",,(Z149-Z148)/1000)</f>
        <v/>
      </c>
      <c r="AC149" s="5" t="n"/>
      <c r="AD149" s="40">
        <f>(TABL12345[[#This Row],[( S/S+T/B) AJD]]*1000)-((TABL12345[[#This Row],[(STORGE DIFF.) AJD]]*1000)+TABL12345[[#This Row],[AJD_Evaporation]]+(TABL12345[[#This Row],[(A/B + A/S) AJD]]*1000))</f>
        <v/>
      </c>
      <c r="AE149" s="44" t="n"/>
      <c r="AF149" s="45" t="n"/>
      <c r="AG149" s="45" t="n"/>
      <c r="AH149" s="6">
        <f>TABL12345[[#This Row],[ (RESV. STORGE) BER]]/10</f>
        <v/>
      </c>
      <c r="AI149" s="44" t="n"/>
      <c r="AJ149" s="45">
        <f>TABL12345[[#This Row],[(A/B) AJD]]-TABL12345[[#This Row],[BER_IN]]</f>
        <v/>
      </c>
      <c r="AK149" s="45" t="n"/>
      <c r="AL149" s="45" t="n"/>
      <c r="AM149" s="32" t="n"/>
      <c r="AN149" s="32">
        <f>TABL12345[[#This Row],[ (RESV. STORGE) SER]]/10</f>
        <v/>
      </c>
      <c r="AO149" s="68" t="n"/>
      <c r="AP149" s="68">
        <f>TABL12345[[#This Row],[(A/S) AJD]]-TABL12345[[#This Row],[SER_IN]]</f>
        <v/>
      </c>
    </row>
    <row r="150" ht="18.75" customHeight="1">
      <c r="A150" s="2" t="n">
        <v>46901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TABL12345[[#This Row],[ (T/B) SAR]]+TABL12345[[#This Row],[ (S/S) SAR]]</f>
        <v/>
      </c>
      <c r="L150" s="41" t="n"/>
      <c r="M150" s="42" t="n"/>
      <c r="N150" s="42" t="n"/>
      <c r="O150" s="39" t="n"/>
      <c r="P150" s="3">
        <f>TABL12345[[#This Row],[ (S/S) SAR]]-TABL12345[[#This Row],[(S/S) AJD]]</f>
        <v/>
      </c>
      <c r="Q150" s="39" t="n"/>
      <c r="R150" s="3">
        <f>TABL12345[[#This Row],[ (T/B) SAR]]-TABL12345[[#This Row],[(T/B) AJD]]</f>
        <v/>
      </c>
      <c r="S150" s="3">
        <f>TABL12345[[#This Row],[S/S_CON.]]+TABL12345[[#This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TABL12345[[#This Row],[(RESV. STORGE) AJD]]/10</f>
        <v/>
      </c>
      <c r="AB150" s="3">
        <f>IF(TRIM(Z150)="",,(Z150-Z149)/1000)</f>
        <v/>
      </c>
      <c r="AC150" s="5" t="n"/>
      <c r="AD150" s="39">
        <f>(TABL12345[[#This Row],[( S/S+T/B) AJD]]*1000)-((TABL12345[[#This Row],[(STORGE DIFF.) AJD]]*1000)+TABL12345[[#This Row],[AJD_Evaporation]]+(TABL12345[[#This Row],[(A/B + A/S) AJD]]*1000))</f>
        <v/>
      </c>
      <c r="AE150" s="41" t="n"/>
      <c r="AF150" s="43" t="n"/>
      <c r="AG150" s="43" t="n"/>
      <c r="AH150" s="6">
        <f>TABL12345[[#This Row],[ (RESV. STORGE) BER]]/10</f>
        <v/>
      </c>
      <c r="AI150" s="41" t="n"/>
      <c r="AJ150" s="43">
        <f>TABL12345[[#This Row],[(A/B) AJD]]-TABL12345[[#This Row],[BER_IN]]</f>
        <v/>
      </c>
      <c r="AK150" s="43" t="n"/>
      <c r="AL150" s="43" t="n"/>
      <c r="AM150" s="32" t="n"/>
      <c r="AN150" s="32">
        <f>TABL12345[[#This Row],[ (RESV. STORGE) SER]]/10</f>
        <v/>
      </c>
      <c r="AO150" s="68" t="n"/>
      <c r="AP150" s="68">
        <f>TABL12345[[#This Row],[(A/S) AJD]]-TABL12345[[#This Row],[SER_IN]]</f>
        <v/>
      </c>
    </row>
    <row r="151" ht="18.75" customHeight="1">
      <c r="A151" s="2" t="n">
        <v>46902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TABL12345[[#This Row],[ (T/B) SAR]]+TABL12345[[#This Row],[ (S/S) SAR]]</f>
        <v/>
      </c>
      <c r="L151" s="45" t="n"/>
      <c r="M151" s="46" t="n"/>
      <c r="N151" s="46" t="n"/>
      <c r="O151" s="40" t="n"/>
      <c r="P151" s="3">
        <f>TABL12345[[#This Row],[ (S/S) SAR]]-TABL12345[[#This Row],[(S/S) AJD]]</f>
        <v/>
      </c>
      <c r="Q151" s="40" t="n"/>
      <c r="R151" s="3">
        <f>TABL12345[[#This Row],[ (T/B) SAR]]-TABL12345[[#This Row],[(T/B) AJD]]</f>
        <v/>
      </c>
      <c r="S151" s="3">
        <f>TABL12345[[#This Row],[S/S_CON.]]+TABL12345[[#This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TABL12345[[#This Row],[(RESV. STORGE) AJD]]/10</f>
        <v/>
      </c>
      <c r="AB151" s="3">
        <f>IF(TRIM(Z151)="",,(Z151-Z150)/1000)</f>
        <v/>
      </c>
      <c r="AC151" s="5" t="n"/>
      <c r="AD151" s="70">
        <f>(TABL12345[[#This Row],[( S/S+T/B) AJD]]*1000)-((TABL12345[[#This Row],[(STORGE DIFF.) AJD]]*1000)+TABL12345[[#This Row],[AJD_Evaporation]]+(TABL12345[[#This Row],[(A/B + A/S) AJD]]*1000))</f>
        <v/>
      </c>
      <c r="AE151" s="44" t="n"/>
      <c r="AF151" s="45" t="n"/>
      <c r="AG151" s="45" t="n"/>
      <c r="AH151" s="6">
        <f>TABL12345[[#This Row],[ (RESV. STORGE) BER]]/10</f>
        <v/>
      </c>
      <c r="AI151" s="44" t="n"/>
      <c r="AJ151" s="90">
        <f>TABL12345[[#This Row],[(A/B) AJD]]-TABL12345[[#This Row],[BER_IN]]</f>
        <v/>
      </c>
      <c r="AK151" s="45" t="n"/>
      <c r="AL151" s="45" t="n"/>
      <c r="AM151" s="32" t="n"/>
      <c r="AN151" s="32">
        <f>TABL12345[[#This Row],[ (RESV. STORGE) SER]]/10</f>
        <v/>
      </c>
      <c r="AO151" s="68" t="n"/>
      <c r="AP151" s="68">
        <f>TABL12345[[#This Row],[(A/S) AJD]]-TABL12345[[#This Row],[SER_IN]]</f>
        <v/>
      </c>
    </row>
    <row r="152" ht="18.75" customHeight="1">
      <c r="A152" s="2" t="n">
        <v>46903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TABL12345[[#This Row],[ (T/B) SAR]]+TABL12345[[#This Row],[ (S/S) SAR]]</f>
        <v/>
      </c>
      <c r="L152" s="41" t="n"/>
      <c r="M152" s="42" t="n"/>
      <c r="N152" s="42" t="n"/>
      <c r="O152" s="39" t="n"/>
      <c r="P152" s="3">
        <f>TABL12345[[#This Row],[ (S/S) SAR]]-TABL12345[[#This Row],[(S/S) AJD]]</f>
        <v/>
      </c>
      <c r="Q152" s="39" t="n"/>
      <c r="R152" s="3">
        <f>TABL12345[[#This Row],[ (T/B) SAR]]-TABL12345[[#This Row],[(T/B) AJD]]</f>
        <v/>
      </c>
      <c r="S152" s="3">
        <f>TABL12345[[#This Row],[S/S_CON.]]+TABL12345[[#This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TABL12345[[#This Row],[(RESV. STORGE) AJD]]/10</f>
        <v/>
      </c>
      <c r="AB152" s="3">
        <f>IF(TRIM(Z152)="",,(Z152-Z151)/1000)</f>
        <v/>
      </c>
      <c r="AC152" s="5" t="n"/>
      <c r="AD152" s="39">
        <f>(TABL12345[[#This Row],[( S/S+T/B) AJD]]*1000)-((TABL12345[[#This Row],[(STORGE DIFF.) AJD]]*1000)+TABL12345[[#This Row],[AJD_Evaporation]]+(TABL12345[[#This Row],[(A/B + A/S) AJD]]*1000))</f>
        <v/>
      </c>
      <c r="AE152" s="41" t="n"/>
      <c r="AF152" s="43" t="n"/>
      <c r="AG152" s="43" t="n"/>
      <c r="AH152" s="6">
        <f>TABL12345[[#This Row],[ (RESV. STORGE) BER]]/10</f>
        <v/>
      </c>
      <c r="AI152" s="41" t="n"/>
      <c r="AJ152" s="43">
        <f>TABL12345[[#This Row],[(A/B) AJD]]-TABL12345[[#This Row],[BER_IN]]</f>
        <v/>
      </c>
      <c r="AK152" s="43" t="n"/>
      <c r="AL152" s="43" t="n"/>
      <c r="AM152" s="32" t="n"/>
      <c r="AN152" s="32">
        <f>TABL12345[[#This Row],[ (RESV. STORGE) SER]]/10</f>
        <v/>
      </c>
      <c r="AO152" s="68" t="n"/>
      <c r="AP152" s="68">
        <f>TABL12345[[#This Row],[(A/S) AJD]]-TABL12345[[#This Row],[SER_IN]]</f>
        <v/>
      </c>
    </row>
    <row r="153" ht="18.75" customHeight="1">
      <c r="A153" s="2" t="n">
        <v>46904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TABL12345[[#This Row],[ (T/B) SAR]]+TABL12345[[#This Row],[ (S/S) SAR]]</f>
        <v/>
      </c>
      <c r="L153" s="41" t="n"/>
      <c r="M153" s="42" t="n"/>
      <c r="N153" s="42" t="n"/>
      <c r="O153" s="39" t="n"/>
      <c r="P153" s="10">
        <f>TABL12345[[#This Row],[ (S/S) SAR]]-TABL12345[[#This Row],[(S/S) AJD]]</f>
        <v/>
      </c>
      <c r="Q153" s="39" t="n"/>
      <c r="R153" s="10">
        <f>TABL12345[[#This Row],[ (T/B) SAR]]-TABL12345[[#This Row],[(T/B) AJD]]</f>
        <v/>
      </c>
      <c r="S153" s="10">
        <f>TABL12345[[#This Row],[S/S_CON.]]+TABL12345[[#This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TABL12345[[#This Row],[(RESV. STORGE) AJD]]/10</f>
        <v/>
      </c>
      <c r="AB153" s="3">
        <f>IF(TRIM(Z153)="",,(Z153-Z152)/1000)</f>
        <v/>
      </c>
      <c r="AC153" s="5" t="n"/>
      <c r="AD153" s="39">
        <f>(TABL12345[[#This Row],[( S/S+T/B) AJD]]*1000)-((TABL12345[[#This Row],[(STORGE DIFF.) AJD]]*1000)+TABL12345[[#This Row],[AJD_Evaporation]]+(TABL12345[[#This Row],[(A/B + A/S) AJD]]*1000))</f>
        <v/>
      </c>
      <c r="AE153" s="41" t="n"/>
      <c r="AF153" s="43" t="n"/>
      <c r="AG153" s="43" t="n"/>
      <c r="AH153" s="6">
        <f>TABL12345[[#This Row],[ (RESV. STORGE) BER]]/10</f>
        <v/>
      </c>
      <c r="AI153" s="41" t="n"/>
      <c r="AJ153" s="43">
        <f>TABL12345[[#This Row],[(A/B) AJD]]-TABL12345[[#This Row],[BER_IN]]</f>
        <v/>
      </c>
      <c r="AK153" s="43" t="n"/>
      <c r="AL153" s="43" t="n"/>
      <c r="AM153" s="32" t="n"/>
      <c r="AN153" s="32">
        <f>TABL12345[[#This Row],[ (RESV. STORGE) SER]]/10</f>
        <v/>
      </c>
      <c r="AO153" s="68" t="n"/>
      <c r="AP153" s="68">
        <f>TABL12345[[#This Row],[(A/S) AJD]]-TABL12345[[#This Row],[SER_IN]]</f>
        <v/>
      </c>
    </row>
    <row r="154" ht="18.75" customHeight="1">
      <c r="A154" s="2" t="n">
        <v>46905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TABL12345[[#This Row],[ (T/B) SAR]]+TABL12345[[#This Row],[ (S/S) SAR]]</f>
        <v/>
      </c>
      <c r="L154" s="45" t="n"/>
      <c r="M154" s="46" t="n"/>
      <c r="N154" s="46" t="n"/>
      <c r="O154" s="40" t="n"/>
      <c r="P154" s="10">
        <f>TABL12345[[#This Row],[ (S/S) SAR]]-TABL12345[[#This Row],[(S/S) AJD]]</f>
        <v/>
      </c>
      <c r="Q154" s="40" t="n"/>
      <c r="R154" s="10">
        <f>TABL12345[[#This Row],[ (T/B) SAR]]-TABL12345[[#This Row],[(T/B) AJD]]</f>
        <v/>
      </c>
      <c r="S154" s="10">
        <f>TABL12345[[#This Row],[S/S_CON.]]+TABL12345[[#This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TABL12345[[#This Row],[(RESV. STORGE) AJD]]/10</f>
        <v/>
      </c>
      <c r="AB154" s="3">
        <f>IF(TRIM(Z154)="",,(Z154-Z153)/1000)</f>
        <v/>
      </c>
      <c r="AC154" s="5" t="n"/>
      <c r="AD154" s="40">
        <f>(TABL12345[[#This Row],[( S/S+T/B) AJD]]*1000)-((TABL12345[[#This Row],[(STORGE DIFF.) AJD]]*1000)+TABL12345[[#This Row],[AJD_Evaporation]]+(TABL12345[[#This Row],[(A/B + A/S) AJD]]*1000))</f>
        <v/>
      </c>
      <c r="AE154" s="44" t="n"/>
      <c r="AF154" s="45" t="n"/>
      <c r="AG154" s="45" t="n"/>
      <c r="AH154" s="6">
        <f>TABL12345[[#This Row],[ (RESV. STORGE) BER]]/10</f>
        <v/>
      </c>
      <c r="AI154" s="44" t="n"/>
      <c r="AJ154" s="45">
        <f>TABL12345[[#This Row],[(A/B) AJD]]-TABL12345[[#This Row],[BER_IN]]</f>
        <v/>
      </c>
      <c r="AK154" s="45" t="n"/>
      <c r="AL154" s="45" t="n"/>
      <c r="AM154" s="32" t="n"/>
      <c r="AN154" s="32">
        <f>TABL12345[[#This Row],[ (RESV. STORGE) SER]]/10</f>
        <v/>
      </c>
      <c r="AO154" s="68" t="n"/>
      <c r="AP154" s="68">
        <f>TABL12345[[#This Row],[(A/S) AJD]]-TABL12345[[#This Row],[SER_IN]]</f>
        <v/>
      </c>
    </row>
    <row r="155" ht="18.75" customHeight="1">
      <c r="A155" s="2" t="n">
        <v>46906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TABL12345[[#This Row],[ (T/B) SAR]]+TABL12345[[#This Row],[ (S/S) SAR]]</f>
        <v/>
      </c>
      <c r="L155" s="41" t="n"/>
      <c r="M155" s="42" t="n"/>
      <c r="N155" s="42" t="n"/>
      <c r="O155" s="39" t="n"/>
      <c r="P155" s="10">
        <f>TABL12345[[#This Row],[ (S/S) SAR]]-TABL12345[[#This Row],[(S/S) AJD]]</f>
        <v/>
      </c>
      <c r="Q155" s="39" t="n"/>
      <c r="R155" s="10">
        <f>TABL12345[[#This Row],[ (T/B) SAR]]-TABL12345[[#This Row],[(T/B) AJD]]</f>
        <v/>
      </c>
      <c r="S155" s="10">
        <f>TABL12345[[#This Row],[S/S_CON.]]+TABL12345[[#This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TABL12345[[#This Row],[(RESV. STORGE) AJD]]/10</f>
        <v/>
      </c>
      <c r="AB155" s="3">
        <f>IF(TRIM(Z155)="",,(Z155-Z154)/1000)</f>
        <v/>
      </c>
      <c r="AC155" s="5" t="n"/>
      <c r="AD155" s="39">
        <f>(TABL12345[[#This Row],[( S/S+T/B) AJD]]*1000)-((TABL12345[[#This Row],[(STORGE DIFF.) AJD]]*1000)+TABL12345[[#This Row],[AJD_Evaporation]]+(TABL12345[[#This Row],[(A/B + A/S) AJD]]*1000))</f>
        <v/>
      </c>
      <c r="AE155" s="41" t="n"/>
      <c r="AF155" s="43" t="n"/>
      <c r="AG155" s="43" t="n"/>
      <c r="AH155" s="6">
        <f>TABL12345[[#This Row],[ (RESV. STORGE) BER]]/10</f>
        <v/>
      </c>
      <c r="AI155" s="41" t="n"/>
      <c r="AJ155" s="43">
        <f>TABL12345[[#This Row],[(A/B) AJD]]-TABL12345[[#This Row],[BER_IN]]</f>
        <v/>
      </c>
      <c r="AK155" s="43" t="n"/>
      <c r="AL155" s="43" t="n"/>
      <c r="AM155" s="32" t="n"/>
      <c r="AN155" s="32">
        <f>TABL12345[[#This Row],[ (RESV. STORGE) SER]]/10</f>
        <v/>
      </c>
      <c r="AO155" s="68" t="n"/>
      <c r="AP155" s="68">
        <f>TABL12345[[#This Row],[(A/S) AJD]]-TABL12345[[#This Row],[SER_IN]]</f>
        <v/>
      </c>
    </row>
    <row r="156" ht="18.75" customHeight="1">
      <c r="A156" s="2" t="n">
        <v>46907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TABL12345[[#This Row],[ (T/B) SAR]]+TABL12345[[#This Row],[ (S/S) SAR]]</f>
        <v/>
      </c>
      <c r="L156" s="45" t="n"/>
      <c r="M156" s="46" t="n"/>
      <c r="N156" s="46" t="n"/>
      <c r="O156" s="40" t="n"/>
      <c r="P156" s="10">
        <f>TABL12345[[#This Row],[ (S/S) SAR]]-TABL12345[[#This Row],[(S/S) AJD]]</f>
        <v/>
      </c>
      <c r="Q156" s="40" t="n"/>
      <c r="R156" s="10">
        <f>TABL12345[[#This Row],[ (T/B) SAR]]-TABL12345[[#This Row],[(T/B) AJD]]</f>
        <v/>
      </c>
      <c r="S156" s="10">
        <f>TABL12345[[#This Row],[S/S_CON.]]+TABL12345[[#This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TABL12345[[#This Row],[(RESV. STORGE) AJD]]/10</f>
        <v/>
      </c>
      <c r="AB156" s="3">
        <f>IF(TRIM(Z156)="",,(Z156-Z155)/1000)</f>
        <v/>
      </c>
      <c r="AC156" s="5" t="n"/>
      <c r="AD156" s="40">
        <f>(TABL12345[[#This Row],[( S/S+T/B) AJD]]*1000)-((TABL12345[[#This Row],[(STORGE DIFF.) AJD]]*1000)+TABL12345[[#This Row],[AJD_Evaporation]]+(TABL12345[[#This Row],[(A/B + A/S) AJD]]*1000))</f>
        <v/>
      </c>
      <c r="AE156" s="44" t="n"/>
      <c r="AF156" s="45" t="n"/>
      <c r="AG156" s="45" t="n"/>
      <c r="AH156" s="6">
        <f>TABL12345[[#This Row],[ (RESV. STORGE) BER]]/10</f>
        <v/>
      </c>
      <c r="AI156" s="44" t="n"/>
      <c r="AJ156" s="45">
        <f>TABL12345[[#This Row],[(A/B) AJD]]-TABL12345[[#This Row],[BER_IN]]</f>
        <v/>
      </c>
      <c r="AK156" s="45" t="n"/>
      <c r="AL156" s="45" t="n"/>
      <c r="AM156" s="32" t="n"/>
      <c r="AN156" s="32">
        <f>TABL12345[[#This Row],[ (RESV. STORGE) SER]]/10</f>
        <v/>
      </c>
      <c r="AO156" s="68" t="n"/>
      <c r="AP156" s="68">
        <f>TABL12345[[#This Row],[(A/S) AJD]]-TABL12345[[#This Row],[SER_IN]]</f>
        <v/>
      </c>
    </row>
    <row r="157" ht="18.75" customHeight="1">
      <c r="A157" s="2" t="n">
        <v>46908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TABL12345[[#This Row],[ (T/B) SAR]]+TABL12345[[#This Row],[ (S/S) SAR]]</f>
        <v/>
      </c>
      <c r="L157" s="41" t="n"/>
      <c r="M157" s="42" t="n"/>
      <c r="N157" s="42" t="n"/>
      <c r="O157" s="39" t="n"/>
      <c r="P157" s="10">
        <f>TABL12345[[#This Row],[ (S/S) SAR]]-TABL12345[[#This Row],[(S/S) AJD]]</f>
        <v/>
      </c>
      <c r="Q157" s="39" t="n"/>
      <c r="R157" s="10">
        <f>TABL12345[[#This Row],[ (T/B) SAR]]-TABL12345[[#This Row],[(T/B) AJD]]</f>
        <v/>
      </c>
      <c r="S157" s="10">
        <f>TABL12345[[#This Row],[S/S_CON.]]+TABL12345[[#This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TABL12345[[#This Row],[(RESV. STORGE) AJD]]/10</f>
        <v/>
      </c>
      <c r="AB157" s="3">
        <f>IF(TRIM(Z157)="",,(Z157-Z156)/1000)</f>
        <v/>
      </c>
      <c r="AC157" s="5" t="n"/>
      <c r="AD157" s="39">
        <f>(TABL12345[[#This Row],[( S/S+T/B) AJD]]*1000)-((TABL12345[[#This Row],[(STORGE DIFF.) AJD]]*1000)+TABL12345[[#This Row],[AJD_Evaporation]]+(TABL12345[[#This Row],[(A/B + A/S) AJD]]*1000))</f>
        <v/>
      </c>
      <c r="AE157" s="41" t="n"/>
      <c r="AF157" s="43" t="n"/>
      <c r="AG157" s="43" t="n"/>
      <c r="AH157" s="6">
        <f>TABL12345[[#This Row],[ (RESV. STORGE) BER]]/10</f>
        <v/>
      </c>
      <c r="AI157" s="41" t="n"/>
      <c r="AJ157" s="43">
        <f>TABL12345[[#This Row],[(A/B) AJD]]-TABL12345[[#This Row],[BER_IN]]</f>
        <v/>
      </c>
      <c r="AK157" s="43" t="n"/>
      <c r="AL157" s="43" t="n"/>
      <c r="AM157" s="32" t="n"/>
      <c r="AN157" s="32">
        <f>TABL12345[[#This Row],[ (RESV. STORGE) SER]]/10</f>
        <v/>
      </c>
      <c r="AO157" s="68" t="n"/>
      <c r="AP157" s="68">
        <f>TABL12345[[#This Row],[(A/S) AJD]]-TABL12345[[#This Row],[SER_IN]]</f>
        <v/>
      </c>
    </row>
    <row r="158" ht="18.75" customHeight="1">
      <c r="A158" s="2" t="n">
        <v>46909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TABL12345[[#This Row],[ (T/B) SAR]]+TABL12345[[#This Row],[ (S/S) SAR]]</f>
        <v/>
      </c>
      <c r="L158" s="45" t="n"/>
      <c r="M158" s="46" t="n"/>
      <c r="N158" s="46" t="n"/>
      <c r="O158" s="40" t="n"/>
      <c r="P158" s="10">
        <f>TABL12345[[#This Row],[ (S/S) SAR]]-TABL12345[[#This Row],[(S/S) AJD]]</f>
        <v/>
      </c>
      <c r="Q158" s="40" t="n"/>
      <c r="R158" s="10">
        <f>TABL12345[[#This Row],[ (T/B) SAR]]-TABL12345[[#This Row],[(T/B) AJD]]</f>
        <v/>
      </c>
      <c r="S158" s="10">
        <f>TABL12345[[#This Row],[S/S_CON.]]+TABL12345[[#This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TABL12345[[#This Row],[(RESV. STORGE) AJD]]/10</f>
        <v/>
      </c>
      <c r="AB158" s="3">
        <f>IF(TRIM(Z158)="",,(Z158-Z157)/1000)</f>
        <v/>
      </c>
      <c r="AC158" s="5" t="n"/>
      <c r="AD158" s="40">
        <f>(TABL12345[[#This Row],[( S/S+T/B) AJD]]*1000)-((TABL12345[[#This Row],[(STORGE DIFF.) AJD]]*1000)+TABL12345[[#This Row],[AJD_Evaporation]]+(TABL12345[[#This Row],[(A/B + A/S) AJD]]*1000))</f>
        <v/>
      </c>
      <c r="AE158" s="44" t="n"/>
      <c r="AF158" s="45" t="n"/>
      <c r="AG158" s="45" t="n"/>
      <c r="AH158" s="6">
        <f>TABL12345[[#This Row],[ (RESV. STORGE) BER]]/10</f>
        <v/>
      </c>
      <c r="AI158" s="44" t="n"/>
      <c r="AJ158" s="45">
        <f>TABL12345[[#This Row],[(A/B) AJD]]-TABL12345[[#This Row],[BER_IN]]</f>
        <v/>
      </c>
      <c r="AK158" s="45" t="n"/>
      <c r="AL158" s="45" t="n"/>
      <c r="AM158" s="32" t="n"/>
      <c r="AN158" s="32">
        <f>TABL12345[[#This Row],[ (RESV. STORGE) SER]]/10</f>
        <v/>
      </c>
      <c r="AO158" s="68" t="n"/>
      <c r="AP158" s="68">
        <f>TABL12345[[#This Row],[(A/S) AJD]]-TABL12345[[#This Row],[SER_IN]]</f>
        <v/>
      </c>
    </row>
    <row r="159" ht="18.75" customHeight="1">
      <c r="A159" s="2" t="n">
        <v>46910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TABL12345[[#This Row],[ (T/B) SAR]]+TABL12345[[#This Row],[ (S/S) SAR]]</f>
        <v/>
      </c>
      <c r="L159" s="41" t="n"/>
      <c r="M159" s="42" t="n"/>
      <c r="N159" s="42" t="n"/>
      <c r="O159" s="39" t="n"/>
      <c r="P159" s="10">
        <f>TABL12345[[#This Row],[ (S/S) SAR]]-TABL12345[[#This Row],[(S/S) AJD]]</f>
        <v/>
      </c>
      <c r="Q159" s="39" t="n"/>
      <c r="R159" s="10">
        <f>TABL12345[[#This Row],[ (T/B) SAR]]-TABL12345[[#This Row],[(T/B) AJD]]</f>
        <v/>
      </c>
      <c r="S159" s="10">
        <f>TABL12345[[#This Row],[S/S_CON.]]+TABL12345[[#This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TABL12345[[#This Row],[(RESV. STORGE) AJD]]/10</f>
        <v/>
      </c>
      <c r="AB159" s="3">
        <f>IF(TRIM(Z159)="",,(Z159-Z158)/1000)</f>
        <v/>
      </c>
      <c r="AC159" s="5" t="n"/>
      <c r="AD159" s="39">
        <f>(TABL12345[[#This Row],[( S/S+T/B) AJD]]*1000)-((TABL12345[[#This Row],[(STORGE DIFF.) AJD]]*1000)+TABL12345[[#This Row],[AJD_Evaporation]]+(TABL12345[[#This Row],[(A/B + A/S) AJD]]*1000))</f>
        <v/>
      </c>
      <c r="AE159" s="41" t="n"/>
      <c r="AF159" s="43" t="n"/>
      <c r="AG159" s="43" t="n"/>
      <c r="AH159" s="6">
        <f>TABL12345[[#This Row],[ (RESV. STORGE) BER]]/10</f>
        <v/>
      </c>
      <c r="AI159" s="41" t="n"/>
      <c r="AJ159" s="43">
        <f>TABL12345[[#This Row],[(A/B) AJD]]-TABL12345[[#This Row],[BER_IN]]</f>
        <v/>
      </c>
      <c r="AK159" s="43" t="n"/>
      <c r="AL159" s="43" t="n"/>
      <c r="AM159" s="32" t="n"/>
      <c r="AN159" s="32">
        <f>TABL12345[[#This Row],[ (RESV. STORGE) SER]]/10</f>
        <v/>
      </c>
      <c r="AO159" s="68" t="n"/>
      <c r="AP159" s="68">
        <f>TABL12345[[#This Row],[(A/S) AJD]]-TABL12345[[#This Row],[SER_IN]]</f>
        <v/>
      </c>
    </row>
    <row r="160" ht="18.75" customHeight="1">
      <c r="A160" s="2" t="n">
        <v>46911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TABL12345[[#This Row],[ (T/B) SAR]]+TABL12345[[#This Row],[ (S/S) SAR]]</f>
        <v/>
      </c>
      <c r="L160" s="45" t="n"/>
      <c r="M160" s="46" t="n"/>
      <c r="N160" s="46" t="n"/>
      <c r="O160" s="40" t="n"/>
      <c r="P160" s="10">
        <f>TABL12345[[#This Row],[ (S/S) SAR]]-TABL12345[[#This Row],[(S/S) AJD]]</f>
        <v/>
      </c>
      <c r="Q160" s="40" t="n"/>
      <c r="R160" s="10">
        <f>TABL12345[[#This Row],[ (T/B) SAR]]-TABL12345[[#This Row],[(T/B) AJD]]</f>
        <v/>
      </c>
      <c r="S160" s="10">
        <f>TABL12345[[#This Row],[S/S_CON.]]+TABL12345[[#This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TABL12345[[#This Row],[(RESV. STORGE) AJD]]/10</f>
        <v/>
      </c>
      <c r="AB160" s="3">
        <f>IF(TRIM(Z160)="",,(Z160-Z159)/1000)</f>
        <v/>
      </c>
      <c r="AC160" s="5" t="n"/>
      <c r="AD160" s="40">
        <f>(TABL12345[[#This Row],[( S/S+T/B) AJD]]*1000)-((TABL12345[[#This Row],[(STORGE DIFF.) AJD]]*1000)+TABL12345[[#This Row],[AJD_Evaporation]]+(TABL12345[[#This Row],[(A/B + A/S) AJD]]*1000))</f>
        <v/>
      </c>
      <c r="AE160" s="44" t="n"/>
      <c r="AF160" s="45" t="n"/>
      <c r="AG160" s="45" t="n"/>
      <c r="AH160" s="6">
        <f>TABL12345[[#This Row],[ (RESV. STORGE) BER]]/10</f>
        <v/>
      </c>
      <c r="AI160" s="44" t="n"/>
      <c r="AJ160" s="45">
        <f>TABL12345[[#This Row],[(A/B) AJD]]-TABL12345[[#This Row],[BER_IN]]</f>
        <v/>
      </c>
      <c r="AK160" s="45" t="n"/>
      <c r="AL160" s="45" t="n"/>
      <c r="AM160" s="32" t="n"/>
      <c r="AN160" s="32">
        <f>TABL12345[[#This Row],[ (RESV. STORGE) SER]]/10</f>
        <v/>
      </c>
      <c r="AO160" s="68" t="n"/>
      <c r="AP160" s="68">
        <f>TABL12345[[#This Row],[(A/S) AJD]]-TABL12345[[#This Row],[SER_IN]]</f>
        <v/>
      </c>
    </row>
    <row r="161" ht="18.75" customHeight="1">
      <c r="A161" s="2" t="n">
        <v>46912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TABL12345[[#This Row],[ (T/B) SAR]]+TABL12345[[#This Row],[ (S/S) SAR]]</f>
        <v/>
      </c>
      <c r="L161" s="41" t="n"/>
      <c r="M161" s="42" t="n"/>
      <c r="N161" s="42" t="n"/>
      <c r="O161" s="39" t="n"/>
      <c r="P161" s="10">
        <f>TABL12345[[#This Row],[ (S/S) SAR]]-TABL12345[[#This Row],[(S/S) AJD]]</f>
        <v/>
      </c>
      <c r="Q161" s="39" t="n"/>
      <c r="R161" s="10">
        <f>TABL12345[[#This Row],[ (T/B) SAR]]-TABL12345[[#This Row],[(T/B) AJD]]</f>
        <v/>
      </c>
      <c r="S161" s="10">
        <f>TABL12345[[#This Row],[S/S_CON.]]+TABL12345[[#This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TABL12345[[#This Row],[(RESV. STORGE) AJD]]/10</f>
        <v/>
      </c>
      <c r="AB161" s="3">
        <f>IF(TRIM(Z161)="",,(Z161-Z160)/1000)</f>
        <v/>
      </c>
      <c r="AC161" s="5" t="n"/>
      <c r="AD161" s="39">
        <f>(TABL12345[[#This Row],[( S/S+T/B) AJD]]*1000)-((TABL12345[[#This Row],[(STORGE DIFF.) AJD]]*1000)+TABL12345[[#This Row],[AJD_Evaporation]]+(TABL12345[[#This Row],[(A/B + A/S) AJD]]*1000))</f>
        <v/>
      </c>
      <c r="AE161" s="41" t="n"/>
      <c r="AF161" s="43" t="n"/>
      <c r="AG161" s="43" t="n"/>
      <c r="AH161" s="6">
        <f>TABL12345[[#This Row],[ (RESV. STORGE) BER]]/10</f>
        <v/>
      </c>
      <c r="AI161" s="41" t="n"/>
      <c r="AJ161" s="43">
        <f>TABL12345[[#This Row],[(A/B) AJD]]-TABL12345[[#This Row],[BER_IN]]</f>
        <v/>
      </c>
      <c r="AK161" s="43" t="n"/>
      <c r="AL161" s="43" t="n"/>
      <c r="AM161" s="32" t="n"/>
      <c r="AN161" s="32">
        <f>TABL12345[[#This Row],[ (RESV. STORGE) SER]]/10</f>
        <v/>
      </c>
      <c r="AO161" s="68" t="n"/>
      <c r="AP161" s="68">
        <f>TABL12345[[#This Row],[(A/S) AJD]]-TABL12345[[#This Row],[SER_IN]]</f>
        <v/>
      </c>
    </row>
    <row r="162" ht="18.75" customHeight="1">
      <c r="A162" s="2" t="n">
        <v>46913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TABL12345[[#This Row],[ (T/B) SAR]]+TABL12345[[#This Row],[ (S/S) SAR]]</f>
        <v/>
      </c>
      <c r="L162" s="45" t="n"/>
      <c r="M162" s="46" t="n"/>
      <c r="N162" s="46" t="n"/>
      <c r="O162" s="40" t="n"/>
      <c r="P162" s="10">
        <f>TABL12345[[#This Row],[ (S/S) SAR]]-TABL12345[[#This Row],[(S/S) AJD]]</f>
        <v/>
      </c>
      <c r="Q162" s="40" t="n"/>
      <c r="R162" s="10">
        <f>TABL12345[[#This Row],[ (T/B) SAR]]-TABL12345[[#This Row],[(T/B) AJD]]</f>
        <v/>
      </c>
      <c r="S162" s="10">
        <f>TABL12345[[#This Row],[S/S_CON.]]+TABL12345[[#This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TABL12345[[#This Row],[(RESV. STORGE) AJD]]/10</f>
        <v/>
      </c>
      <c r="AB162" s="3">
        <f>IF(TRIM(Z162)="",,(Z162-Z161)/1000)</f>
        <v/>
      </c>
      <c r="AC162" s="5" t="n"/>
      <c r="AD162" s="40">
        <f>(TABL12345[[#This Row],[( S/S+T/B) AJD]]*1000)-((TABL12345[[#This Row],[(STORGE DIFF.) AJD]]*1000)+TABL12345[[#This Row],[AJD_Evaporation]]+(TABL12345[[#This Row],[(A/B + A/S) AJD]]*1000))</f>
        <v/>
      </c>
      <c r="AE162" s="44" t="n"/>
      <c r="AF162" s="45" t="n"/>
      <c r="AG162" s="45" t="n"/>
      <c r="AH162" s="6">
        <f>TABL12345[[#This Row],[ (RESV. STORGE) BER]]/10</f>
        <v/>
      </c>
      <c r="AI162" s="44" t="n"/>
      <c r="AJ162" s="45">
        <f>TABL12345[[#This Row],[(A/B) AJD]]-TABL12345[[#This Row],[BER_IN]]</f>
        <v/>
      </c>
      <c r="AK162" s="45" t="n"/>
      <c r="AL162" s="45" t="n"/>
      <c r="AM162" s="32" t="n"/>
      <c r="AN162" s="32">
        <f>TABL12345[[#This Row],[ (RESV. STORGE) SER]]/10</f>
        <v/>
      </c>
      <c r="AO162" s="68" t="n"/>
      <c r="AP162" s="68">
        <f>TABL12345[[#This Row],[(A/S) AJD]]-TABL12345[[#This Row],[SER_IN]]</f>
        <v/>
      </c>
    </row>
    <row r="163" ht="18.75" customHeight="1">
      <c r="A163" s="2" t="n">
        <v>46914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TABL12345[[#This Row],[ (T/B) SAR]]+TABL12345[[#This Row],[ (S/S) SAR]]</f>
        <v/>
      </c>
      <c r="L163" s="41" t="n"/>
      <c r="M163" s="42" t="n"/>
      <c r="N163" s="42" t="n"/>
      <c r="O163" s="39" t="n"/>
      <c r="P163" s="10">
        <f>TABL12345[[#This Row],[ (S/S) SAR]]-TABL12345[[#This Row],[(S/S) AJD]]</f>
        <v/>
      </c>
      <c r="Q163" s="39" t="n"/>
      <c r="R163" s="10">
        <f>TABL12345[[#This Row],[ (T/B) SAR]]-TABL12345[[#This Row],[(T/B) AJD]]</f>
        <v/>
      </c>
      <c r="S163" s="10">
        <f>TABL12345[[#This Row],[S/S_CON.]]+TABL12345[[#This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TABL12345[[#This Row],[(RESV. STORGE) AJD]]/10</f>
        <v/>
      </c>
      <c r="AB163" s="3">
        <f>IF(TRIM(Z163)="",,(Z163-Z162)/1000)</f>
        <v/>
      </c>
      <c r="AC163" s="5" t="n"/>
      <c r="AD163" s="39">
        <f>(TABL12345[[#This Row],[( S/S+T/B) AJD]]*1000)-((TABL12345[[#This Row],[(STORGE DIFF.) AJD]]*1000)+TABL12345[[#This Row],[AJD_Evaporation]]+(TABL12345[[#This Row],[(A/B + A/S) AJD]]*1000))</f>
        <v/>
      </c>
      <c r="AE163" s="41" t="n"/>
      <c r="AF163" s="43" t="n"/>
      <c r="AG163" s="43" t="n"/>
      <c r="AH163" s="6">
        <f>TABL12345[[#This Row],[ (RESV. STORGE) BER]]/10</f>
        <v/>
      </c>
      <c r="AI163" s="41" t="n"/>
      <c r="AJ163" s="43">
        <f>TABL12345[[#This Row],[(A/B) AJD]]-TABL12345[[#This Row],[BER_IN]]</f>
        <v/>
      </c>
      <c r="AK163" s="43" t="n"/>
      <c r="AL163" s="43" t="n"/>
      <c r="AM163" s="32" t="n"/>
      <c r="AN163" s="32">
        <f>TABL12345[[#This Row],[ (RESV. STORGE) SER]]/10</f>
        <v/>
      </c>
      <c r="AO163" s="68" t="n"/>
      <c r="AP163" s="68">
        <f>TABL12345[[#This Row],[(A/S) AJD]]-TABL12345[[#This Row],[SER_IN]]</f>
        <v/>
      </c>
    </row>
    <row r="164" ht="18.75" customHeight="1">
      <c r="A164" s="2" t="n">
        <v>46915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TABL12345[[#This Row],[ (T/B) SAR]]+TABL12345[[#This Row],[ (S/S) SAR]]</f>
        <v/>
      </c>
      <c r="L164" s="45" t="n"/>
      <c r="M164" s="46" t="n"/>
      <c r="N164" s="46" t="n"/>
      <c r="O164" s="40" t="n"/>
      <c r="P164" s="10">
        <f>TABL12345[[#This Row],[ (S/S) SAR]]-TABL12345[[#This Row],[(S/S) AJD]]</f>
        <v/>
      </c>
      <c r="Q164" s="40" t="n"/>
      <c r="R164" s="10">
        <f>TABL12345[[#This Row],[ (T/B) SAR]]-TABL12345[[#This Row],[(T/B) AJD]]</f>
        <v/>
      </c>
      <c r="S164" s="10">
        <f>TABL12345[[#This Row],[S/S_CON.]]+TABL12345[[#This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TABL12345[[#This Row],[(RESV. STORGE) AJD]]/10</f>
        <v/>
      </c>
      <c r="AB164" s="3">
        <f>IF(TRIM(Z164)="",,(Z164-Z163)/1000)</f>
        <v/>
      </c>
      <c r="AC164" s="5" t="n"/>
      <c r="AD164" s="40">
        <f>(TABL12345[[#This Row],[( S/S+T/B) AJD]]*1000)-((TABL12345[[#This Row],[(STORGE DIFF.) AJD]]*1000)+TABL12345[[#This Row],[AJD_Evaporation]]+(TABL12345[[#This Row],[(A/B + A/S) AJD]]*1000))</f>
        <v/>
      </c>
      <c r="AE164" s="44" t="n"/>
      <c r="AF164" s="45" t="n"/>
      <c r="AG164" s="45" t="n"/>
      <c r="AH164" s="6">
        <f>TABL12345[[#This Row],[ (RESV. STORGE) BER]]/10</f>
        <v/>
      </c>
      <c r="AI164" s="44" t="n"/>
      <c r="AJ164" s="45">
        <f>TABL12345[[#This Row],[(A/B) AJD]]-TABL12345[[#This Row],[BER_IN]]</f>
        <v/>
      </c>
      <c r="AK164" s="45" t="n"/>
      <c r="AL164" s="45" t="n"/>
      <c r="AM164" s="32" t="n"/>
      <c r="AN164" s="32">
        <f>TABL12345[[#This Row],[ (RESV. STORGE) SER]]/10</f>
        <v/>
      </c>
      <c r="AO164" s="68" t="n"/>
      <c r="AP164" s="68">
        <f>TABL12345[[#This Row],[(A/S) AJD]]-TABL12345[[#This Row],[SER_IN]]</f>
        <v/>
      </c>
    </row>
    <row r="165" ht="18.75" customHeight="1">
      <c r="A165" s="2" t="n">
        <v>46916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TABL12345[[#This Row],[ (T/B) SAR]]+TABL12345[[#This Row],[ (S/S) SAR]]</f>
        <v/>
      </c>
      <c r="L165" s="41" t="n"/>
      <c r="M165" s="42" t="n"/>
      <c r="N165" s="42" t="n"/>
      <c r="O165" s="39" t="n"/>
      <c r="P165" s="10">
        <f>TABL12345[[#This Row],[ (S/S) SAR]]-TABL12345[[#This Row],[(S/S) AJD]]</f>
        <v/>
      </c>
      <c r="Q165" s="39" t="n"/>
      <c r="R165" s="10">
        <f>TABL12345[[#This Row],[ (T/B) SAR]]-TABL12345[[#This Row],[(T/B) AJD]]</f>
        <v/>
      </c>
      <c r="S165" s="10">
        <f>TABL12345[[#This Row],[S/S_CON.]]+TABL12345[[#This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TABL12345[[#This Row],[(RESV. STORGE) AJD]]/10</f>
        <v/>
      </c>
      <c r="AB165" s="3">
        <f>IF(TRIM(Z165)="",,(Z165-Z164)/1000)</f>
        <v/>
      </c>
      <c r="AC165" s="5" t="n"/>
      <c r="AD165" s="39">
        <f>(TABL12345[[#This Row],[( S/S+T/B) AJD]]*1000)-((TABL12345[[#This Row],[(STORGE DIFF.) AJD]]*1000)+TABL12345[[#This Row],[AJD_Evaporation]]+(TABL12345[[#This Row],[(A/B + A/S) AJD]]*1000))</f>
        <v/>
      </c>
      <c r="AE165" s="41" t="n"/>
      <c r="AF165" s="43" t="n"/>
      <c r="AG165" s="43" t="n"/>
      <c r="AH165" s="6">
        <f>TABL12345[[#This Row],[ (RESV. STORGE) BER]]/10</f>
        <v/>
      </c>
      <c r="AI165" s="41" t="n"/>
      <c r="AJ165" s="43">
        <f>TABL12345[[#This Row],[(A/B) AJD]]-TABL12345[[#This Row],[BER_IN]]</f>
        <v/>
      </c>
      <c r="AK165" s="43" t="n"/>
      <c r="AL165" s="43" t="n"/>
      <c r="AM165" s="32" t="n"/>
      <c r="AN165" s="32">
        <f>TABL12345[[#This Row],[ (RESV. STORGE) SER]]/10</f>
        <v/>
      </c>
      <c r="AO165" s="68" t="n"/>
      <c r="AP165" s="68">
        <f>TABL12345[[#This Row],[(A/S) AJD]]-TABL12345[[#This Row],[SER_IN]]</f>
        <v/>
      </c>
    </row>
    <row r="166" ht="18.75" customHeight="1">
      <c r="A166" s="2" t="n">
        <v>46917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TABL12345[[#This Row],[ (T/B) SAR]]+TABL12345[[#This Row],[ (S/S) SAR]]</f>
        <v/>
      </c>
      <c r="L166" s="45" t="n"/>
      <c r="M166" s="46" t="n"/>
      <c r="N166" s="46" t="n"/>
      <c r="O166" s="40" t="n"/>
      <c r="P166" s="10">
        <f>TABL12345[[#This Row],[ (S/S) SAR]]-TABL12345[[#This Row],[(S/S) AJD]]</f>
        <v/>
      </c>
      <c r="Q166" s="40" t="n"/>
      <c r="R166" s="10">
        <f>TABL12345[[#This Row],[ (T/B) SAR]]-TABL12345[[#This Row],[(T/B) AJD]]</f>
        <v/>
      </c>
      <c r="S166" s="10">
        <f>TABL12345[[#This Row],[S/S_CON.]]+TABL12345[[#This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TABL12345[[#This Row],[(RESV. STORGE) AJD]]/10</f>
        <v/>
      </c>
      <c r="AB166" s="3">
        <f>IF(TRIM(Z166)="",,(Z166-Z165)/1000)</f>
        <v/>
      </c>
      <c r="AC166" s="5" t="n"/>
      <c r="AD166" s="40">
        <f>(TABL12345[[#This Row],[( S/S+T/B) AJD]]*1000)-((TABL12345[[#This Row],[(STORGE DIFF.) AJD]]*1000)+TABL12345[[#This Row],[AJD_Evaporation]]+(TABL12345[[#This Row],[(A/B + A/S) AJD]]*1000))</f>
        <v/>
      </c>
      <c r="AE166" s="44" t="n"/>
      <c r="AF166" s="45" t="n"/>
      <c r="AG166" s="45" t="n"/>
      <c r="AH166" s="6">
        <f>TABL12345[[#This Row],[ (RESV. STORGE) BER]]/10</f>
        <v/>
      </c>
      <c r="AI166" s="44" t="n"/>
      <c r="AJ166" s="45">
        <f>TABL12345[[#This Row],[(A/B) AJD]]-TABL12345[[#This Row],[BER_IN]]</f>
        <v/>
      </c>
      <c r="AK166" s="45" t="n"/>
      <c r="AL166" s="45" t="n"/>
      <c r="AM166" s="32" t="n"/>
      <c r="AN166" s="32">
        <f>TABL12345[[#This Row],[ (RESV. STORGE) SER]]/10</f>
        <v/>
      </c>
      <c r="AO166" s="68" t="n"/>
      <c r="AP166" s="68">
        <f>TABL12345[[#This Row],[(A/S) AJD]]-TABL12345[[#This Row],[SER_IN]]</f>
        <v/>
      </c>
    </row>
    <row r="167" ht="18.75" customHeight="1">
      <c r="A167" s="2" t="n">
        <v>46918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TABL12345[[#This Row],[ (T/B) SAR]]+TABL12345[[#This Row],[ (S/S) SAR]]</f>
        <v/>
      </c>
      <c r="L167" s="41" t="n"/>
      <c r="M167" s="42" t="n"/>
      <c r="N167" s="42" t="n"/>
      <c r="O167" s="39" t="n"/>
      <c r="P167" s="10">
        <f>TABL12345[[#This Row],[ (S/S) SAR]]-TABL12345[[#This Row],[(S/S) AJD]]</f>
        <v/>
      </c>
      <c r="Q167" s="39" t="n"/>
      <c r="R167" s="10">
        <f>TABL12345[[#This Row],[ (T/B) SAR]]-TABL12345[[#This Row],[(T/B) AJD]]</f>
        <v/>
      </c>
      <c r="S167" s="10">
        <f>TABL12345[[#This Row],[S/S_CON.]]+TABL12345[[#This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TABL12345[[#This Row],[(RESV. STORGE) AJD]]/10</f>
        <v/>
      </c>
      <c r="AB167" s="3">
        <f>IF(TRIM(Z167)="",,(Z167-Z166)/1000)</f>
        <v/>
      </c>
      <c r="AC167" s="5" t="n"/>
      <c r="AD167" s="39">
        <f>(TABL12345[[#This Row],[( S/S+T/B) AJD]]*1000)-((TABL12345[[#This Row],[(STORGE DIFF.) AJD]]*1000)+TABL12345[[#This Row],[AJD_Evaporation]]+(TABL12345[[#This Row],[(A/B + A/S) AJD]]*1000))</f>
        <v/>
      </c>
      <c r="AE167" s="41" t="n"/>
      <c r="AF167" s="43" t="n"/>
      <c r="AG167" s="43" t="n"/>
      <c r="AH167" s="6">
        <f>TABL12345[[#This Row],[ (RESV. STORGE) BER]]/10</f>
        <v/>
      </c>
      <c r="AI167" s="41" t="n"/>
      <c r="AJ167" s="43">
        <f>TABL12345[[#This Row],[(A/B) AJD]]-TABL12345[[#This Row],[BER_IN]]</f>
        <v/>
      </c>
      <c r="AK167" s="43" t="n"/>
      <c r="AL167" s="43" t="n"/>
      <c r="AM167" s="32" t="n"/>
      <c r="AN167" s="32">
        <f>TABL12345[[#This Row],[ (RESV. STORGE) SER]]/10</f>
        <v/>
      </c>
      <c r="AO167" s="68" t="n"/>
      <c r="AP167" s="68">
        <f>TABL12345[[#This Row],[(A/S) AJD]]-TABL12345[[#This Row],[SER_IN]]</f>
        <v/>
      </c>
    </row>
    <row r="168" ht="18.75" customHeight="1">
      <c r="A168" s="2" t="n">
        <v>46919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TABL12345[[#This Row],[ (T/B) SAR]]+TABL12345[[#This Row],[ (S/S) SAR]]</f>
        <v/>
      </c>
      <c r="L168" s="45" t="n"/>
      <c r="M168" s="46" t="n"/>
      <c r="N168" s="46" t="n"/>
      <c r="O168" s="40" t="n"/>
      <c r="P168" s="10">
        <f>TABL12345[[#This Row],[ (S/S) SAR]]-TABL12345[[#This Row],[(S/S) AJD]]</f>
        <v/>
      </c>
      <c r="Q168" s="40" t="n"/>
      <c r="R168" s="10">
        <f>TABL12345[[#This Row],[ (T/B) SAR]]-TABL12345[[#This Row],[(T/B) AJD]]</f>
        <v/>
      </c>
      <c r="S168" s="10">
        <f>TABL12345[[#This Row],[S/S_CON.]]+TABL12345[[#This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TABL12345[[#This Row],[(RESV. STORGE) AJD]]/10</f>
        <v/>
      </c>
      <c r="AB168" s="3">
        <f>IF(TRIM(Z168)="",,(Z168-Z167)/1000)</f>
        <v/>
      </c>
      <c r="AC168" s="5" t="n"/>
      <c r="AD168" s="40">
        <f>(TABL12345[[#This Row],[( S/S+T/B) AJD]]*1000)-((TABL12345[[#This Row],[(STORGE DIFF.) AJD]]*1000)+TABL12345[[#This Row],[AJD_Evaporation]]+(TABL12345[[#This Row],[(A/B + A/S) AJD]]*1000))</f>
        <v/>
      </c>
      <c r="AE168" s="44" t="n"/>
      <c r="AF168" s="45" t="n"/>
      <c r="AG168" s="45" t="n"/>
      <c r="AH168" s="6">
        <f>TABL12345[[#This Row],[ (RESV. STORGE) BER]]/10</f>
        <v/>
      </c>
      <c r="AI168" s="44" t="n"/>
      <c r="AJ168" s="45">
        <f>TABL12345[[#This Row],[(A/B) AJD]]-TABL12345[[#This Row],[BER_IN]]</f>
        <v/>
      </c>
      <c r="AK168" s="45" t="n"/>
      <c r="AL168" s="45" t="n"/>
      <c r="AM168" s="32" t="n"/>
      <c r="AN168" s="32">
        <f>TABL12345[[#This Row],[ (RESV. STORGE) SER]]/10</f>
        <v/>
      </c>
      <c r="AO168" s="68" t="n"/>
      <c r="AP168" s="68">
        <f>TABL12345[[#This Row],[(A/S) AJD]]-TABL12345[[#This Row],[SER_IN]]</f>
        <v/>
      </c>
    </row>
    <row r="169" ht="18.75" customHeight="1">
      <c r="A169" s="2" t="n">
        <v>46920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TABL12345[[#This Row],[ (T/B) SAR]]+TABL12345[[#This Row],[ (S/S) SAR]]</f>
        <v/>
      </c>
      <c r="L169" s="41" t="n"/>
      <c r="M169" s="42" t="n"/>
      <c r="N169" s="42" t="n"/>
      <c r="O169" s="39" t="n"/>
      <c r="P169" s="10">
        <f>TABL12345[[#This Row],[ (S/S) SAR]]-TABL12345[[#This Row],[(S/S) AJD]]</f>
        <v/>
      </c>
      <c r="Q169" s="39" t="n"/>
      <c r="R169" s="10">
        <f>TABL12345[[#This Row],[ (T/B) SAR]]-TABL12345[[#This Row],[(T/B) AJD]]</f>
        <v/>
      </c>
      <c r="S169" s="10">
        <f>TABL12345[[#This Row],[S/S_CON.]]+TABL12345[[#This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TABL12345[[#This Row],[(RESV. STORGE) AJD]]/10</f>
        <v/>
      </c>
      <c r="AB169" s="3">
        <f>IF(TRIM(Z169)="",,(Z169-Z168)/1000)</f>
        <v/>
      </c>
      <c r="AC169" s="5" t="n"/>
      <c r="AD169" s="39">
        <f>(TABL12345[[#This Row],[( S/S+T/B) AJD]]*1000)-((TABL12345[[#This Row],[(STORGE DIFF.) AJD]]*1000)+TABL12345[[#This Row],[AJD_Evaporation]]+(TABL12345[[#This Row],[(A/B + A/S) AJD]]*1000))</f>
        <v/>
      </c>
      <c r="AE169" s="41" t="n"/>
      <c r="AF169" s="43" t="n"/>
      <c r="AG169" s="43" t="n"/>
      <c r="AH169" s="6">
        <f>TABL12345[[#This Row],[ (RESV. STORGE) BER]]/10</f>
        <v/>
      </c>
      <c r="AI169" s="41" t="n"/>
      <c r="AJ169" s="43">
        <f>TABL12345[[#This Row],[(A/B) AJD]]-TABL12345[[#This Row],[BER_IN]]</f>
        <v/>
      </c>
      <c r="AK169" s="43" t="n"/>
      <c r="AL169" s="43" t="n"/>
      <c r="AM169" s="32" t="n"/>
      <c r="AN169" s="32">
        <f>TABL12345[[#This Row],[ (RESV. STORGE) SER]]/10</f>
        <v/>
      </c>
      <c r="AO169" s="68" t="n"/>
      <c r="AP169" s="68">
        <f>TABL12345[[#This Row],[(A/S) AJD]]-TABL12345[[#This Row],[SER_IN]]</f>
        <v/>
      </c>
    </row>
    <row r="170" ht="18.75" customHeight="1">
      <c r="A170" s="2" t="n">
        <v>46921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TABL12345[[#This Row],[ (T/B) SAR]]+TABL12345[[#This Row],[ (S/S) SAR]]</f>
        <v/>
      </c>
      <c r="L170" s="45" t="n"/>
      <c r="M170" s="46" t="n"/>
      <c r="N170" s="46" t="n"/>
      <c r="O170" s="40" t="n"/>
      <c r="P170" s="3">
        <f>TABL12345[[#This Row],[ (S/S) SAR]]-TABL12345[[#This Row],[(S/S) AJD]]</f>
        <v/>
      </c>
      <c r="Q170" s="40" t="n"/>
      <c r="R170" s="3">
        <f>TABL12345[[#This Row],[ (T/B) SAR]]-TABL12345[[#This Row],[(T/B) AJD]]</f>
        <v/>
      </c>
      <c r="S170" s="3">
        <f>TABL12345[[#This Row],[S/S_CON.]]+TABL12345[[#This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TABL12345[[#This Row],[(RESV. STORGE) AJD]]/10</f>
        <v/>
      </c>
      <c r="AB170" s="3">
        <f>IF(TRIM(Z170)="",,(Z170-Z169)/1000)</f>
        <v/>
      </c>
      <c r="AC170" s="5" t="n"/>
      <c r="AD170" s="40">
        <f>(TABL12345[[#This Row],[( S/S+T/B) AJD]]*1000)-((TABL12345[[#This Row],[(STORGE DIFF.) AJD]]*1000)+TABL12345[[#This Row],[AJD_Evaporation]]+(TABL12345[[#This Row],[(A/B + A/S) AJD]]*1000))</f>
        <v/>
      </c>
      <c r="AE170" s="44" t="n"/>
      <c r="AF170" s="45" t="n"/>
      <c r="AG170" s="45" t="n"/>
      <c r="AH170" s="6">
        <f>TABL12345[[#This Row],[ (RESV. STORGE) BER]]/10</f>
        <v/>
      </c>
      <c r="AI170" s="44" t="n"/>
      <c r="AJ170" s="45">
        <f>TABL12345[[#This Row],[(A/B) AJD]]-TABL12345[[#This Row],[BER_IN]]</f>
        <v/>
      </c>
      <c r="AK170" s="45" t="n"/>
      <c r="AL170" s="45" t="n"/>
      <c r="AM170" s="32" t="n"/>
      <c r="AN170" s="32">
        <f>TABL12345[[#This Row],[ (RESV. STORGE) SER]]/10</f>
        <v/>
      </c>
      <c r="AO170" s="68" t="n"/>
      <c r="AP170" s="68">
        <f>TABL12345[[#This Row],[(A/S) AJD]]-TABL12345[[#This Row],[SER_IN]]</f>
        <v/>
      </c>
    </row>
    <row r="171" ht="18.75" customHeight="1">
      <c r="A171" s="2" t="n">
        <v>46922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TABL12345[[#This Row],[ (T/B) SAR]]+TABL12345[[#This Row],[ (S/S) SAR]]</f>
        <v/>
      </c>
      <c r="L171" s="41" t="n"/>
      <c r="M171" s="42" t="n"/>
      <c r="N171" s="42" t="n"/>
      <c r="O171" s="39" t="n"/>
      <c r="P171" s="3">
        <f>TABL12345[[#This Row],[ (S/S) SAR]]-TABL12345[[#This Row],[(S/S) AJD]]</f>
        <v/>
      </c>
      <c r="Q171" s="39" t="n"/>
      <c r="R171" s="3">
        <f>TABL12345[[#This Row],[ (T/B) SAR]]-TABL12345[[#This Row],[(T/B) AJD]]</f>
        <v/>
      </c>
      <c r="S171" s="3">
        <f>TABL12345[[#This Row],[S/S_CON.]]+TABL12345[[#This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TABL12345[[#This Row],[(RESV. STORGE) AJD]]/10</f>
        <v/>
      </c>
      <c r="AB171" s="3">
        <f>IF(TRIM(Z171)="",,(Z171-Z170)/1000)</f>
        <v/>
      </c>
      <c r="AC171" s="5" t="n"/>
      <c r="AD171" s="39">
        <f>(TABL12345[[#This Row],[( S/S+T/B) AJD]]*1000)-((TABL12345[[#This Row],[(STORGE DIFF.) AJD]]*1000)+TABL12345[[#This Row],[AJD_Evaporation]]+(TABL12345[[#This Row],[(A/B + A/S) AJD]]*1000))</f>
        <v/>
      </c>
      <c r="AE171" s="41" t="n"/>
      <c r="AF171" s="43" t="n"/>
      <c r="AG171" s="43" t="n"/>
      <c r="AH171" s="6">
        <f>TABL12345[[#This Row],[ (RESV. STORGE) BER]]/10</f>
        <v/>
      </c>
      <c r="AI171" s="41" t="n"/>
      <c r="AJ171" s="43">
        <f>TABL12345[[#This Row],[(A/B) AJD]]-TABL12345[[#This Row],[BER_IN]]</f>
        <v/>
      </c>
      <c r="AK171" s="43" t="n"/>
      <c r="AL171" s="43" t="n"/>
      <c r="AM171" s="32" t="n"/>
      <c r="AN171" s="32">
        <f>TABL12345[[#This Row],[ (RESV. STORGE) SER]]/10</f>
        <v/>
      </c>
      <c r="AO171" s="68" t="n"/>
      <c r="AP171" s="68">
        <f>TABL12345[[#This Row],[(A/S) AJD]]-TABL12345[[#This Row],[SER_IN]]</f>
        <v/>
      </c>
    </row>
    <row r="172" ht="18.75" customHeight="1">
      <c r="A172" s="2" t="n">
        <v>46923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TABL12345[[#This Row],[ (T/B) SAR]]+TABL12345[[#This Row],[ (S/S) SAR]]</f>
        <v/>
      </c>
      <c r="L172" s="44" t="n"/>
      <c r="M172" s="46" t="n"/>
      <c r="N172" s="46" t="n"/>
      <c r="O172" s="40" t="n"/>
      <c r="P172" s="3">
        <f>TABL12345[[#This Row],[ (S/S) SAR]]-TABL12345[[#This Row],[(S/S) AJD]]</f>
        <v/>
      </c>
      <c r="Q172" s="40" t="n"/>
      <c r="R172" s="3">
        <f>TABL12345[[#This Row],[ (T/B) SAR]]-TABL12345[[#This Row],[(T/B) AJD]]</f>
        <v/>
      </c>
      <c r="S172" s="3">
        <f>TABL12345[[#This Row],[S/S_CON.]]+TABL12345[[#This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TABL12345[[#This Row],[(RESV. STORGE) AJD]]/10</f>
        <v/>
      </c>
      <c r="AB172" s="3">
        <f>IF(TRIM(Z172)="",,(Z172-Z171)/1000)</f>
        <v/>
      </c>
      <c r="AC172" s="5" t="n"/>
      <c r="AD172" s="40">
        <f>(TABL12345[[#This Row],[( S/S+T/B) AJD]]*1000)-((TABL12345[[#This Row],[(STORGE DIFF.) AJD]]*1000)+TABL12345[[#This Row],[AJD_Evaporation]]+(TABL12345[[#This Row],[(A/B + A/S) AJD]]*1000))</f>
        <v/>
      </c>
      <c r="AE172" s="44" t="n"/>
      <c r="AF172" s="45" t="n"/>
      <c r="AG172" s="45" t="n"/>
      <c r="AH172" s="6">
        <f>TABL12345[[#This Row],[ (RESV. STORGE) BER]]/10</f>
        <v/>
      </c>
      <c r="AI172" s="44" t="n"/>
      <c r="AJ172" s="45">
        <f>TABL12345[[#This Row],[(A/B) AJD]]-TABL12345[[#This Row],[BER_IN]]</f>
        <v/>
      </c>
      <c r="AK172" s="45" t="n"/>
      <c r="AL172" s="45" t="n"/>
      <c r="AM172" s="32" t="n"/>
      <c r="AN172" s="32">
        <f>TABL12345[[#This Row],[ (RESV. STORGE) SER]]/10</f>
        <v/>
      </c>
      <c r="AO172" s="68" t="n"/>
      <c r="AP172" s="68">
        <f>TABL12345[[#This Row],[(A/S) AJD]]-TABL12345[[#This Row],[SER_IN]]</f>
        <v/>
      </c>
    </row>
    <row r="173" ht="18.75" customHeight="1">
      <c r="A173" s="2" t="n">
        <v>46924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TABL12345[[#This Row],[ (T/B) SAR]]+TABL12345[[#This Row],[ (S/S) SAR]]</f>
        <v/>
      </c>
      <c r="L173" s="41" t="n"/>
      <c r="M173" s="42" t="n"/>
      <c r="N173" s="42" t="n"/>
      <c r="O173" s="39" t="n"/>
      <c r="P173" s="3">
        <f>TABL12345[[#This Row],[ (S/S) SAR]]-TABL12345[[#This Row],[(S/S) AJD]]</f>
        <v/>
      </c>
      <c r="Q173" s="39" t="n"/>
      <c r="R173" s="3">
        <f>TABL12345[[#This Row],[ (T/B) SAR]]-TABL12345[[#This Row],[(T/B) AJD]]</f>
        <v/>
      </c>
      <c r="S173" s="3">
        <f>TABL12345[[#This Row],[S/S_CON.]]+TABL12345[[#This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TABL12345[[#This Row],[(RESV. STORGE) AJD]]/10</f>
        <v/>
      </c>
      <c r="AB173" s="3">
        <f>IF(TRIM(Z173)="",,(Z173-Z172)/1000)</f>
        <v/>
      </c>
      <c r="AC173" s="5" t="n"/>
      <c r="AD173" s="39">
        <f>(TABL12345[[#This Row],[( S/S+T/B) AJD]]*1000)-((TABL12345[[#This Row],[(STORGE DIFF.) AJD]]*1000)+TABL12345[[#This Row],[AJD_Evaporation]]+(TABL12345[[#This Row],[(A/B + A/S) AJD]]*1000))</f>
        <v/>
      </c>
      <c r="AE173" s="41" t="n"/>
      <c r="AF173" s="43" t="n"/>
      <c r="AG173" s="43" t="n"/>
      <c r="AH173" s="6">
        <f>TABL12345[[#This Row],[ (RESV. STORGE) BER]]/10</f>
        <v/>
      </c>
      <c r="AI173" s="41" t="n"/>
      <c r="AJ173" s="43">
        <f>TABL12345[[#This Row],[(A/B) AJD]]-TABL12345[[#This Row],[BER_IN]]</f>
        <v/>
      </c>
      <c r="AK173" s="43" t="n"/>
      <c r="AL173" s="43" t="n"/>
      <c r="AM173" s="32" t="n"/>
      <c r="AN173" s="32">
        <f>TABL12345[[#This Row],[ (RESV. STORGE) SER]]/10</f>
        <v/>
      </c>
      <c r="AO173" s="68" t="n"/>
      <c r="AP173" s="68">
        <f>TABL12345[[#This Row],[(A/S) AJD]]-TABL12345[[#This Row],[SER_IN]]</f>
        <v/>
      </c>
    </row>
    <row r="174" ht="18.75" customHeight="1">
      <c r="A174" s="2" t="n">
        <v>46925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TABL12345[[#This Row],[ (T/B) SAR]]+TABL12345[[#This Row],[ (S/S) SAR]]</f>
        <v/>
      </c>
      <c r="L174" s="45" t="n"/>
      <c r="M174" s="46" t="n"/>
      <c r="N174" s="46" t="n"/>
      <c r="O174" s="40" t="n"/>
      <c r="P174" s="3">
        <f>TABL12345[[#This Row],[ (S/S) SAR]]-TABL12345[[#This Row],[(S/S) AJD]]</f>
        <v/>
      </c>
      <c r="Q174" s="40" t="n"/>
      <c r="R174" s="3">
        <f>TABL12345[[#This Row],[ (T/B) SAR]]-TABL12345[[#This Row],[(T/B) AJD]]</f>
        <v/>
      </c>
      <c r="S174" s="3">
        <f>TABL12345[[#This Row],[S/S_CON.]]+TABL12345[[#This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TABL12345[[#This Row],[(RESV. STORGE) AJD]]/10</f>
        <v/>
      </c>
      <c r="AB174" s="3">
        <f>IF(TRIM(Z174)="",,(Z174-Z173)/1000)</f>
        <v/>
      </c>
      <c r="AC174" s="5" t="n"/>
      <c r="AD174" s="40">
        <f>(TABL12345[[#This Row],[( S/S+T/B) AJD]]*1000)-((TABL12345[[#This Row],[(STORGE DIFF.) AJD]]*1000)+TABL12345[[#This Row],[AJD_Evaporation]]+(TABL12345[[#This Row],[(A/B + A/S) AJD]]*1000))</f>
        <v/>
      </c>
      <c r="AE174" s="44" t="n"/>
      <c r="AF174" s="45" t="n"/>
      <c r="AG174" s="45" t="n"/>
      <c r="AH174" s="6">
        <f>TABL12345[[#This Row],[ (RESV. STORGE) BER]]/10</f>
        <v/>
      </c>
      <c r="AI174" s="44" t="n"/>
      <c r="AJ174" s="45">
        <f>TABL12345[[#This Row],[(A/B) AJD]]-TABL12345[[#This Row],[BER_IN]]</f>
        <v/>
      </c>
      <c r="AK174" s="45" t="n"/>
      <c r="AL174" s="45" t="n"/>
      <c r="AM174" s="32" t="n"/>
      <c r="AN174" s="32">
        <f>TABL12345[[#This Row],[ (RESV. STORGE) SER]]/10</f>
        <v/>
      </c>
      <c r="AO174" s="68" t="n"/>
      <c r="AP174" s="68">
        <f>TABL12345[[#This Row],[(A/S) AJD]]-TABL12345[[#This Row],[SER_IN]]</f>
        <v/>
      </c>
    </row>
    <row r="175" ht="18.75" customHeight="1">
      <c r="A175" s="2" t="n">
        <v>46926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TABL12345[[#This Row],[ (T/B) SAR]]+TABL12345[[#This Row],[ (S/S) SAR]]</f>
        <v/>
      </c>
      <c r="L175" s="41" t="n"/>
      <c r="M175" s="42" t="n"/>
      <c r="N175" s="42" t="n"/>
      <c r="O175" s="39" t="n"/>
      <c r="P175" s="3">
        <f>TABL12345[[#This Row],[ (S/S) SAR]]-TABL12345[[#This Row],[(S/S) AJD]]</f>
        <v/>
      </c>
      <c r="Q175" s="39" t="n"/>
      <c r="R175" s="3">
        <f>TABL12345[[#This Row],[ (T/B) SAR]]-TABL12345[[#This Row],[(T/B) AJD]]</f>
        <v/>
      </c>
      <c r="S175" s="3">
        <f>TABL12345[[#This Row],[S/S_CON.]]+TABL12345[[#This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TABL12345[[#This Row],[(RESV. STORGE) AJD]]/10</f>
        <v/>
      </c>
      <c r="AB175" s="3">
        <f>IF(TRIM(Z175)="",,(Z175-Z174)/1000)</f>
        <v/>
      </c>
      <c r="AC175" s="5" t="n"/>
      <c r="AD175" s="39">
        <f>(TABL12345[[#This Row],[( S/S+T/B) AJD]]*1000)-((TABL12345[[#This Row],[(STORGE DIFF.) AJD]]*1000)+TABL12345[[#This Row],[AJD_Evaporation]]+(TABL12345[[#This Row],[(A/B + A/S) AJD]]*1000))</f>
        <v/>
      </c>
      <c r="AE175" s="41" t="n"/>
      <c r="AF175" s="43" t="n"/>
      <c r="AG175" s="43" t="n"/>
      <c r="AH175" s="6">
        <f>TABL12345[[#This Row],[ (RESV. STORGE) BER]]/10</f>
        <v/>
      </c>
      <c r="AI175" s="41" t="n"/>
      <c r="AJ175" s="43">
        <f>TABL12345[[#This Row],[(A/B) AJD]]-TABL12345[[#This Row],[BER_IN]]</f>
        <v/>
      </c>
      <c r="AK175" s="43" t="n"/>
      <c r="AL175" s="43" t="n"/>
      <c r="AM175" s="32" t="n"/>
      <c r="AN175" s="32">
        <f>TABL12345[[#This Row],[ (RESV. STORGE) SER]]/10</f>
        <v/>
      </c>
      <c r="AO175" s="68" t="n"/>
      <c r="AP175" s="68">
        <f>TABL12345[[#This Row],[(A/S) AJD]]-TABL12345[[#This Row],[SER_IN]]</f>
        <v/>
      </c>
    </row>
    <row r="176" ht="18.75" customHeight="1">
      <c r="A176" s="2" t="n">
        <v>46927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TABL12345[[#This Row],[ (T/B) SAR]]+TABL12345[[#This Row],[ (S/S) SAR]]</f>
        <v/>
      </c>
      <c r="L176" s="45" t="n"/>
      <c r="M176" s="46" t="n"/>
      <c r="N176" s="46" t="n"/>
      <c r="O176" s="40" t="n"/>
      <c r="P176" s="3">
        <f>TABL12345[[#This Row],[ (S/S) SAR]]-TABL12345[[#This Row],[(S/S) AJD]]</f>
        <v/>
      </c>
      <c r="Q176" s="40" t="n"/>
      <c r="R176" s="3">
        <f>TABL12345[[#This Row],[ (T/B) SAR]]-TABL12345[[#This Row],[(T/B) AJD]]</f>
        <v/>
      </c>
      <c r="S176" s="3">
        <f>TABL12345[[#This Row],[S/S_CON.]]+TABL12345[[#This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TABL12345[[#This Row],[(RESV. STORGE) AJD]]/10</f>
        <v/>
      </c>
      <c r="AB176" s="3">
        <f>IF(TRIM(Z176)="",,(Z176-Z175)/1000)</f>
        <v/>
      </c>
      <c r="AC176" s="5" t="n"/>
      <c r="AD176" s="40">
        <f>(TABL12345[[#This Row],[( S/S+T/B) AJD]]*1000)-((TABL12345[[#This Row],[(STORGE DIFF.) AJD]]*1000)+TABL12345[[#This Row],[AJD_Evaporation]]+(TABL12345[[#This Row],[(A/B + A/S) AJD]]*1000))</f>
        <v/>
      </c>
      <c r="AE176" s="44" t="n"/>
      <c r="AF176" s="45" t="n"/>
      <c r="AG176" s="45" t="n"/>
      <c r="AH176" s="6">
        <f>TABL12345[[#This Row],[ (RESV. STORGE) BER]]/10</f>
        <v/>
      </c>
      <c r="AI176" s="44" t="n"/>
      <c r="AJ176" s="45">
        <f>TABL12345[[#This Row],[(A/B) AJD]]-TABL12345[[#This Row],[BER_IN]]</f>
        <v/>
      </c>
      <c r="AK176" s="45" t="n"/>
      <c r="AL176" s="45" t="n"/>
      <c r="AM176" s="32" t="n"/>
      <c r="AN176" s="32">
        <f>TABL12345[[#This Row],[ (RESV. STORGE) SER]]/10</f>
        <v/>
      </c>
      <c r="AO176" s="68" t="n"/>
      <c r="AP176" s="68">
        <f>TABL12345[[#This Row],[(A/S) AJD]]-TABL12345[[#This Row],[SER_IN]]</f>
        <v/>
      </c>
    </row>
    <row r="177" ht="18.75" customHeight="1">
      <c r="A177" s="2" t="n">
        <v>46928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TABL12345[[#This Row],[ (T/B) SAR]]+TABL12345[[#This Row],[ (S/S) SAR]]</f>
        <v/>
      </c>
      <c r="L177" s="41" t="n"/>
      <c r="M177" s="42" t="n"/>
      <c r="N177" s="42" t="n"/>
      <c r="O177" s="39" t="n"/>
      <c r="P177" s="3">
        <f>TABL12345[[#This Row],[ (S/S) SAR]]-TABL12345[[#This Row],[(S/S) AJD]]</f>
        <v/>
      </c>
      <c r="Q177" s="39" t="n"/>
      <c r="R177" s="3">
        <f>TABL12345[[#This Row],[ (T/B) SAR]]-TABL12345[[#This Row],[(T/B) AJD]]</f>
        <v/>
      </c>
      <c r="S177" s="3">
        <f>TABL12345[[#This Row],[S/S_CON.]]+TABL12345[[#This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TABL12345[[#This Row],[(RESV. STORGE) AJD]]/10</f>
        <v/>
      </c>
      <c r="AB177" s="3">
        <f>IF(TRIM(Z177)="",,(Z177-Z176)/1000)</f>
        <v/>
      </c>
      <c r="AC177" s="5" t="n"/>
      <c r="AD177" s="39">
        <f>(TABL12345[[#This Row],[( S/S+T/B) AJD]]*1000)-((TABL12345[[#This Row],[(STORGE DIFF.) AJD]]*1000)+TABL12345[[#This Row],[AJD_Evaporation]]+(TABL12345[[#This Row],[(A/B + A/S) AJD]]*1000))</f>
        <v/>
      </c>
      <c r="AE177" s="41" t="n"/>
      <c r="AF177" s="43" t="n"/>
      <c r="AG177" s="43" t="n"/>
      <c r="AH177" s="6">
        <f>TABL12345[[#This Row],[ (RESV. STORGE) BER]]/10</f>
        <v/>
      </c>
      <c r="AI177" s="41" t="n"/>
      <c r="AJ177" s="43">
        <f>TABL12345[[#This Row],[(A/B) AJD]]-TABL12345[[#This Row],[BER_IN]]</f>
        <v/>
      </c>
      <c r="AK177" s="43" t="n"/>
      <c r="AL177" s="43" t="n"/>
      <c r="AM177" s="32" t="n"/>
      <c r="AN177" s="32">
        <f>TABL12345[[#This Row],[ (RESV. STORGE) SER]]/10</f>
        <v/>
      </c>
      <c r="AO177" s="68" t="n"/>
      <c r="AP177" s="68">
        <f>TABL12345[[#This Row],[(A/S) AJD]]-TABL12345[[#This Row],[SER_IN]]</f>
        <v/>
      </c>
    </row>
    <row r="178" ht="18.75" customHeight="1">
      <c r="A178" s="2" t="n">
        <v>46929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TABL12345[[#This Row],[ (T/B) SAR]]+TABL12345[[#This Row],[ (S/S) SAR]]</f>
        <v/>
      </c>
      <c r="L178" s="45" t="n"/>
      <c r="M178" s="46" t="n"/>
      <c r="N178" s="46" t="n"/>
      <c r="O178" s="40" t="n"/>
      <c r="P178" s="3">
        <f>TABL12345[[#This Row],[ (S/S) SAR]]-TABL12345[[#This Row],[(S/S) AJD]]</f>
        <v/>
      </c>
      <c r="Q178" s="40" t="n"/>
      <c r="R178" s="3">
        <f>TABL12345[[#This Row],[ (T/B) SAR]]-TABL12345[[#This Row],[(T/B) AJD]]</f>
        <v/>
      </c>
      <c r="S178" s="3">
        <f>TABL12345[[#This Row],[S/S_CON.]]+TABL12345[[#This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TABL12345[[#This Row],[(RESV. STORGE) AJD]]/10</f>
        <v/>
      </c>
      <c r="AB178" s="3">
        <f>IF(TRIM(Z178)="",,(Z178-Z177)/1000)</f>
        <v/>
      </c>
      <c r="AC178" s="5" t="n"/>
      <c r="AD178" s="40">
        <f>(TABL12345[[#This Row],[( S/S+T/B) AJD]]*1000)-((TABL12345[[#This Row],[(STORGE DIFF.) AJD]]*1000)+TABL12345[[#This Row],[AJD_Evaporation]]+(TABL12345[[#This Row],[(A/B + A/S) AJD]]*1000))</f>
        <v/>
      </c>
      <c r="AE178" s="44" t="n"/>
      <c r="AF178" s="45" t="n"/>
      <c r="AG178" s="45" t="n"/>
      <c r="AH178" s="6">
        <f>TABL12345[[#This Row],[ (RESV. STORGE) BER]]/10</f>
        <v/>
      </c>
      <c r="AI178" s="44" t="n"/>
      <c r="AJ178" s="45">
        <f>TABL12345[[#This Row],[(A/B) AJD]]-TABL12345[[#This Row],[BER_IN]]</f>
        <v/>
      </c>
      <c r="AK178" s="45" t="n"/>
      <c r="AL178" s="45" t="n"/>
      <c r="AM178" s="32" t="n"/>
      <c r="AN178" s="32">
        <f>TABL12345[[#This Row],[ (RESV. STORGE) SER]]/10</f>
        <v/>
      </c>
      <c r="AO178" s="68" t="n"/>
      <c r="AP178" s="68">
        <f>TABL12345[[#This Row],[(A/S) AJD]]-TABL12345[[#This Row],[SER_IN]]</f>
        <v/>
      </c>
    </row>
    <row r="179" ht="18.75" customHeight="1">
      <c r="A179" s="2" t="n">
        <v>46930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TABL12345[[#This Row],[ (T/B) SAR]]+TABL12345[[#This Row],[ (S/S) SAR]]</f>
        <v/>
      </c>
      <c r="L179" s="41" t="n"/>
      <c r="M179" s="42" t="n"/>
      <c r="N179" s="42" t="n"/>
      <c r="O179" s="39" t="n"/>
      <c r="P179" s="3">
        <f>TABL12345[[#This Row],[ (S/S) SAR]]-TABL12345[[#This Row],[(S/S) AJD]]</f>
        <v/>
      </c>
      <c r="Q179" s="39" t="n"/>
      <c r="R179" s="3">
        <f>TABL12345[[#This Row],[ (T/B) SAR]]-TABL12345[[#This Row],[(T/B) AJD]]</f>
        <v/>
      </c>
      <c r="S179" s="3">
        <f>TABL12345[[#This Row],[S/S_CON.]]+TABL12345[[#This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TABL12345[[#This Row],[(RESV. STORGE) AJD]]/10</f>
        <v/>
      </c>
      <c r="AB179" s="3">
        <f>IF(TRIM(Z179)="",,(Z179-Z178)/1000)</f>
        <v/>
      </c>
      <c r="AC179" s="5" t="n"/>
      <c r="AD179" s="39">
        <f>(TABL12345[[#This Row],[( S/S+T/B) AJD]]*1000)-((TABL12345[[#This Row],[(STORGE DIFF.) AJD]]*1000)+TABL12345[[#This Row],[AJD_Evaporation]]+(TABL12345[[#This Row],[(A/B + A/S) AJD]]*1000))</f>
        <v/>
      </c>
      <c r="AE179" s="41" t="n"/>
      <c r="AF179" s="43" t="n"/>
      <c r="AG179" s="43" t="n"/>
      <c r="AH179" s="6">
        <f>TABL12345[[#This Row],[ (RESV. STORGE) BER]]/10</f>
        <v/>
      </c>
      <c r="AI179" s="41" t="n"/>
      <c r="AJ179" s="43">
        <f>TABL12345[[#This Row],[(A/B) AJD]]-TABL12345[[#This Row],[BER_IN]]</f>
        <v/>
      </c>
      <c r="AK179" s="43" t="n"/>
      <c r="AL179" s="43" t="n"/>
      <c r="AM179" s="32" t="n"/>
      <c r="AN179" s="32">
        <f>TABL12345[[#This Row],[ (RESV. STORGE) SER]]/10</f>
        <v/>
      </c>
      <c r="AO179" s="68" t="n"/>
      <c r="AP179" s="68">
        <f>TABL12345[[#This Row],[(A/S) AJD]]-TABL12345[[#This Row],[SER_IN]]</f>
        <v/>
      </c>
    </row>
    <row r="180" ht="18.75" customHeight="1">
      <c r="A180" s="2" t="n">
        <v>46931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TABL12345[[#This Row],[ (T/B) SAR]]+TABL12345[[#This Row],[ (S/S) SAR]]</f>
        <v/>
      </c>
      <c r="L180" s="45" t="n"/>
      <c r="M180" s="46" t="n"/>
      <c r="N180" s="46" t="n"/>
      <c r="O180" s="40" t="n"/>
      <c r="P180" s="3">
        <f>TABL12345[[#This Row],[ (S/S) SAR]]-TABL12345[[#This Row],[(S/S) AJD]]</f>
        <v/>
      </c>
      <c r="Q180" s="40" t="n"/>
      <c r="R180" s="3">
        <f>TABL12345[[#This Row],[ (T/B) SAR]]-TABL12345[[#This Row],[(T/B) AJD]]</f>
        <v/>
      </c>
      <c r="S180" s="3">
        <f>TABL12345[[#This Row],[S/S_CON.]]+TABL12345[[#This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TABL12345[[#This Row],[(RESV. STORGE) AJD]]/10</f>
        <v/>
      </c>
      <c r="AB180" s="3">
        <f>IF(TRIM(Z180)="",,(Z180-Z179)/1000)</f>
        <v/>
      </c>
      <c r="AC180" s="5" t="n"/>
      <c r="AD180" s="40">
        <f>(TABL12345[[#This Row],[( S/S+T/B) AJD]]*1000)-((TABL12345[[#This Row],[(STORGE DIFF.) AJD]]*1000)+TABL12345[[#This Row],[AJD_Evaporation]]+(TABL12345[[#This Row],[(A/B + A/S) AJD]]*1000))</f>
        <v/>
      </c>
      <c r="AE180" s="44" t="n"/>
      <c r="AF180" s="45" t="n"/>
      <c r="AG180" s="45" t="n"/>
      <c r="AH180" s="6">
        <f>TABL12345[[#This Row],[ (RESV. STORGE) BER]]/10</f>
        <v/>
      </c>
      <c r="AI180" s="44" t="n"/>
      <c r="AJ180" s="45">
        <f>TABL12345[[#This Row],[(A/B) AJD]]-TABL12345[[#This Row],[BER_IN]]</f>
        <v/>
      </c>
      <c r="AK180" s="45" t="n"/>
      <c r="AL180" s="45" t="n"/>
      <c r="AM180" s="32" t="n"/>
      <c r="AN180" s="32">
        <f>TABL12345[[#This Row],[ (RESV. STORGE) SER]]/10</f>
        <v/>
      </c>
      <c r="AO180" s="68" t="n"/>
      <c r="AP180" s="68">
        <f>TABL12345[[#This Row],[(A/S) AJD]]-TABL12345[[#This Row],[SER_IN]]</f>
        <v/>
      </c>
    </row>
    <row r="181" ht="18.75" customHeight="1">
      <c r="A181" s="2" t="n">
        <v>46932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TABL12345[[#This Row],[ (T/B) SAR]]+TABL12345[[#This Row],[ (S/S) SAR]]</f>
        <v/>
      </c>
      <c r="L181" s="41" t="n"/>
      <c r="M181" s="42" t="n"/>
      <c r="N181" s="42" t="n"/>
      <c r="O181" s="39" t="n"/>
      <c r="P181" s="3">
        <f>TABL12345[[#This Row],[ (S/S) SAR]]-TABL12345[[#This Row],[(S/S) AJD]]</f>
        <v/>
      </c>
      <c r="Q181" s="39" t="n"/>
      <c r="R181" s="3">
        <f>TABL12345[[#This Row],[ (T/B) SAR]]-TABL12345[[#This Row],[(T/B) AJD]]</f>
        <v/>
      </c>
      <c r="S181" s="3">
        <f>TABL12345[[#This Row],[S/S_CON.]]+TABL12345[[#This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TABL12345[[#This Row],[(RESV. STORGE) AJD]]/10</f>
        <v/>
      </c>
      <c r="AB181" s="3">
        <f>IF(TRIM(Z181)="",,(Z181-Z180)/1000)</f>
        <v/>
      </c>
      <c r="AC181" s="5" t="n"/>
      <c r="AD181" s="39">
        <f>(TABL12345[[#This Row],[( S/S+T/B) AJD]]*1000)-((TABL12345[[#This Row],[(STORGE DIFF.) AJD]]*1000)+TABL12345[[#This Row],[AJD_Evaporation]]+(TABL12345[[#This Row],[(A/B + A/S) AJD]]*1000))</f>
        <v/>
      </c>
      <c r="AE181" s="41" t="n"/>
      <c r="AF181" s="43" t="n"/>
      <c r="AG181" s="43" t="n"/>
      <c r="AH181" s="6">
        <f>TABL12345[[#This Row],[ (RESV. STORGE) BER]]/10</f>
        <v/>
      </c>
      <c r="AI181" s="41" t="n"/>
      <c r="AJ181" s="43">
        <f>TABL12345[[#This Row],[(A/B) AJD]]-TABL12345[[#This Row],[BER_IN]]</f>
        <v/>
      </c>
      <c r="AK181" s="43" t="n"/>
      <c r="AL181" s="43" t="n"/>
      <c r="AM181" s="32" t="n"/>
      <c r="AN181" s="32">
        <f>TABL12345[[#This Row],[ (RESV. STORGE) SER]]/10</f>
        <v/>
      </c>
      <c r="AO181" s="68" t="n"/>
      <c r="AP181" s="68">
        <f>TABL12345[[#This Row],[(A/S) AJD]]-TABL12345[[#This Row],[SER_IN]]</f>
        <v/>
      </c>
    </row>
    <row r="182" ht="18.75" customHeight="1">
      <c r="A182" s="2" t="n">
        <v>46933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TABL12345[[#This Row],[ (T/B) SAR]]+TABL12345[[#This Row],[ (S/S) SAR]]</f>
        <v/>
      </c>
      <c r="L182" s="45" t="n"/>
      <c r="M182" s="46" t="n"/>
      <c r="N182" s="46" t="n"/>
      <c r="O182" s="40" t="n"/>
      <c r="P182" s="3">
        <f>TABL12345[[#This Row],[ (S/S) SAR]]-TABL12345[[#This Row],[(S/S) AJD]]</f>
        <v/>
      </c>
      <c r="Q182" s="40" t="n"/>
      <c r="R182" s="3">
        <f>TABL12345[[#This Row],[ (T/B) SAR]]-TABL12345[[#This Row],[(T/B) AJD]]</f>
        <v/>
      </c>
      <c r="S182" s="3">
        <f>TABL12345[[#This Row],[S/S_CON.]]+TABL12345[[#This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TABL12345[[#This Row],[(RESV. STORGE) AJD]]/10</f>
        <v/>
      </c>
      <c r="AB182" s="3">
        <f>IF(TRIM(Z182)="",,(Z182-Z181)/1000)</f>
        <v/>
      </c>
      <c r="AC182" s="5" t="n"/>
      <c r="AD182" s="40">
        <f>(TABL12345[[#This Row],[( S/S+T/B) AJD]]*1000)-((TABL12345[[#This Row],[(STORGE DIFF.) AJD]]*1000)+TABL12345[[#This Row],[AJD_Evaporation]]+(TABL12345[[#This Row],[(A/B + A/S) AJD]]*1000))</f>
        <v/>
      </c>
      <c r="AE182" s="44" t="n"/>
      <c r="AF182" s="45" t="n"/>
      <c r="AG182" s="45" t="n"/>
      <c r="AH182" s="6">
        <f>TABL12345[[#This Row],[ (RESV. STORGE) BER]]/10</f>
        <v/>
      </c>
      <c r="AI182" s="44" t="n"/>
      <c r="AJ182" s="45">
        <f>TABL12345[[#This Row],[(A/B) AJD]]-TABL12345[[#This Row],[BER_IN]]</f>
        <v/>
      </c>
      <c r="AK182" s="45" t="n"/>
      <c r="AL182" s="45" t="n"/>
      <c r="AM182" s="32" t="n"/>
      <c r="AN182" s="32">
        <f>TABL12345[[#This Row],[ (RESV. STORGE) SER]]/10</f>
        <v/>
      </c>
      <c r="AO182" s="68" t="n"/>
      <c r="AP182" s="68">
        <f>TABL12345[[#This Row],[(A/S) AJD]]-TABL12345[[#This Row],[SER_IN]]</f>
        <v/>
      </c>
    </row>
    <row r="183" ht="18.75" customHeight="1">
      <c r="A183" s="2" t="n">
        <v>46934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TABL12345[[#This Row],[ (T/B) SAR]]+TABL12345[[#This Row],[ (S/S) SAR]]</f>
        <v/>
      </c>
      <c r="L183" s="41" t="n"/>
      <c r="M183" s="42" t="n"/>
      <c r="N183" s="42" t="n"/>
      <c r="O183" s="39" t="n"/>
      <c r="P183" s="12">
        <f>TABL12345[[#This Row],[ (S/S) SAR]]-TABL12345[[#This Row],[(S/S) AJD]]</f>
        <v/>
      </c>
      <c r="Q183" s="39" t="n"/>
      <c r="R183" s="12">
        <f>TABL12345[[#This Row],[ (T/B) SAR]]-TABL12345[[#This Row],[(T/B) AJD]]</f>
        <v/>
      </c>
      <c r="S183" s="12">
        <f>TABL12345[[#This Row],[S/S_CON.]]+TABL12345[[#This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TABL12345[[#This Row],[(RESV. STORGE) AJD]]/10</f>
        <v/>
      </c>
      <c r="AB183" s="3">
        <f>IF(TRIM(Z183)="",,(Z183-Z182)/1000)</f>
        <v/>
      </c>
      <c r="AC183" s="5" t="n"/>
      <c r="AD183" s="39">
        <f>(TABL12345[[#This Row],[( S/S+T/B) AJD]]*1000)-((TABL12345[[#This Row],[(STORGE DIFF.) AJD]]*1000)+TABL12345[[#This Row],[AJD_Evaporation]]+(TABL12345[[#This Row],[(A/B + A/S) AJD]]*1000))</f>
        <v/>
      </c>
      <c r="AE183" s="41" t="n"/>
      <c r="AF183" s="43" t="n"/>
      <c r="AG183" s="43" t="n"/>
      <c r="AH183" s="6">
        <f>TABL12345[[#This Row],[ (RESV. STORGE) BER]]/10</f>
        <v/>
      </c>
      <c r="AI183" s="41" t="n"/>
      <c r="AJ183" s="43">
        <f>TABL12345[[#This Row],[(A/B) AJD]]-TABL12345[[#This Row],[BER_IN]]</f>
        <v/>
      </c>
      <c r="AK183" s="43" t="n"/>
      <c r="AL183" s="43" t="n"/>
      <c r="AM183" s="32" t="n"/>
      <c r="AN183" s="32">
        <f>TABL12345[[#This Row],[ (RESV. STORGE) SER]]/10</f>
        <v/>
      </c>
      <c r="AO183" s="68" t="n"/>
      <c r="AP183" s="68">
        <f>TABL12345[[#This Row],[(A/S) AJD]]-TABL12345[[#This Row],[SER_IN]]</f>
        <v/>
      </c>
    </row>
    <row r="184" ht="18.75" customHeight="1">
      <c r="A184" s="2" t="n">
        <v>46935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TABL12345[[#This Row],[ (T/B) SAR]]+TABL12345[[#This Row],[ (S/S) SAR]]</f>
        <v/>
      </c>
      <c r="L184" s="45" t="n"/>
      <c r="M184" s="46" t="n"/>
      <c r="N184" s="46" t="n"/>
      <c r="O184" s="40" t="n"/>
      <c r="P184" s="12">
        <f>TABL12345[[#This Row],[ (S/S) SAR]]-TABL12345[[#This Row],[(S/S) AJD]]</f>
        <v/>
      </c>
      <c r="Q184" s="40" t="n"/>
      <c r="R184" s="12">
        <f>TABL12345[[#This Row],[ (T/B) SAR]]-TABL12345[[#This Row],[(T/B) AJD]]</f>
        <v/>
      </c>
      <c r="S184" s="12">
        <f>TABL12345[[#This Row],[S/S_CON.]]+TABL12345[[#This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TABL12345[[#This Row],[(RESV. STORGE) AJD]]/10</f>
        <v/>
      </c>
      <c r="AB184" s="3">
        <f>IF(TRIM(Z184)="",,(Z184-Z183)/1000)</f>
        <v/>
      </c>
      <c r="AC184" s="5" t="n"/>
      <c r="AD184" s="40">
        <f>(TABL12345[[#This Row],[( S/S+T/B) AJD]]*1000)-((TABL12345[[#This Row],[(STORGE DIFF.) AJD]]*1000)+TABL12345[[#This Row],[AJD_Evaporation]]+(TABL12345[[#This Row],[(A/B + A/S) AJD]]*1000))</f>
        <v/>
      </c>
      <c r="AE184" s="44" t="n"/>
      <c r="AF184" s="45" t="n"/>
      <c r="AG184" s="45" t="n"/>
      <c r="AH184" s="6">
        <f>TABL12345[[#This Row],[ (RESV. STORGE) BER]]/10</f>
        <v/>
      </c>
      <c r="AI184" s="44" t="n"/>
      <c r="AJ184" s="45">
        <f>TABL12345[[#This Row],[(A/B) AJD]]-TABL12345[[#This Row],[BER_IN]]</f>
        <v/>
      </c>
      <c r="AK184" s="45" t="n"/>
      <c r="AL184" s="45" t="n"/>
      <c r="AM184" s="32" t="n"/>
      <c r="AN184" s="32">
        <f>TABL12345[[#This Row],[ (RESV. STORGE) SER]]/10</f>
        <v/>
      </c>
      <c r="AO184" s="68" t="n"/>
      <c r="AP184" s="68">
        <f>TABL12345[[#This Row],[(A/S) AJD]]-TABL12345[[#This Row],[SER_IN]]</f>
        <v/>
      </c>
    </row>
    <row r="185" ht="18.75" customHeight="1">
      <c r="A185" s="2" t="n">
        <v>46936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TABL12345[[#This Row],[ (T/B) SAR]]+TABL12345[[#This Row],[ (S/S) SAR]]</f>
        <v/>
      </c>
      <c r="L185" s="41" t="n"/>
      <c r="M185" s="42" t="n"/>
      <c r="N185" s="42" t="n"/>
      <c r="O185" s="39" t="n"/>
      <c r="P185" s="12">
        <f>TABL12345[[#This Row],[ (S/S) SAR]]-TABL12345[[#This Row],[(S/S) AJD]]</f>
        <v/>
      </c>
      <c r="Q185" s="39" t="n"/>
      <c r="R185" s="12">
        <f>TABL12345[[#This Row],[ (T/B) SAR]]-TABL12345[[#This Row],[(T/B) AJD]]</f>
        <v/>
      </c>
      <c r="S185" s="12">
        <f>TABL12345[[#This Row],[S/S_CON.]]+TABL12345[[#This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TABL12345[[#This Row],[(RESV. STORGE) AJD]]/10</f>
        <v/>
      </c>
      <c r="AB185" s="3">
        <f>IF(TRIM(Z185)="",,(Z185-Z184)/1000)</f>
        <v/>
      </c>
      <c r="AC185" s="5" t="n"/>
      <c r="AD185" s="39">
        <f>(TABL12345[[#This Row],[( S/S+T/B) AJD]]*1000)-((TABL12345[[#This Row],[(STORGE DIFF.) AJD]]*1000)+TABL12345[[#This Row],[AJD_Evaporation]]+(TABL12345[[#This Row],[(A/B + A/S) AJD]]*1000))</f>
        <v/>
      </c>
      <c r="AE185" s="41" t="n"/>
      <c r="AF185" s="43" t="n"/>
      <c r="AG185" s="43" t="n"/>
      <c r="AH185" s="6">
        <f>TABL12345[[#This Row],[ (RESV. STORGE) BER]]/10</f>
        <v/>
      </c>
      <c r="AI185" s="41" t="n"/>
      <c r="AJ185" s="43">
        <f>TABL12345[[#This Row],[(A/B) AJD]]-TABL12345[[#This Row],[BER_IN]]</f>
        <v/>
      </c>
      <c r="AK185" s="43" t="n"/>
      <c r="AL185" s="43" t="n"/>
      <c r="AM185" s="32" t="n"/>
      <c r="AN185" s="32">
        <f>TABL12345[[#This Row],[ (RESV. STORGE) SER]]/10</f>
        <v/>
      </c>
      <c r="AO185" s="68" t="n"/>
      <c r="AP185" s="68">
        <f>TABL12345[[#This Row],[(A/S) AJD]]-TABL12345[[#This Row],[SER_IN]]</f>
        <v/>
      </c>
    </row>
    <row r="186" ht="18.75" customHeight="1">
      <c r="A186" s="2" t="n">
        <v>46937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TABL12345[[#This Row],[ (T/B) SAR]]+TABL12345[[#This Row],[ (S/S) SAR]]</f>
        <v/>
      </c>
      <c r="L186" s="45" t="n"/>
      <c r="M186" s="46" t="n"/>
      <c r="N186" s="46" t="n"/>
      <c r="O186" s="40" t="n"/>
      <c r="P186" s="12">
        <f>TABL12345[[#This Row],[ (S/S) SAR]]-TABL12345[[#This Row],[(S/S) AJD]]</f>
        <v/>
      </c>
      <c r="Q186" s="40" t="n"/>
      <c r="R186" s="12">
        <f>TABL12345[[#This Row],[ (T/B) SAR]]-TABL12345[[#This Row],[(T/B) AJD]]</f>
        <v/>
      </c>
      <c r="S186" s="12">
        <f>TABL12345[[#This Row],[S/S_CON.]]+TABL12345[[#This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TABL12345[[#This Row],[(RESV. STORGE) AJD]]/10</f>
        <v/>
      </c>
      <c r="AB186" s="3">
        <f>IF(TRIM(Z186)="",,(Z186-Z185)/1000)</f>
        <v/>
      </c>
      <c r="AC186" s="5" t="n"/>
      <c r="AD186" s="40">
        <f>(TABL12345[[#This Row],[( S/S+T/B) AJD]]*1000)-((TABL12345[[#This Row],[(STORGE DIFF.) AJD]]*1000)+TABL12345[[#This Row],[AJD_Evaporation]]+(TABL12345[[#This Row],[(A/B + A/S) AJD]]*1000))</f>
        <v/>
      </c>
      <c r="AE186" s="44" t="n"/>
      <c r="AF186" s="45" t="n"/>
      <c r="AG186" s="45" t="n"/>
      <c r="AH186" s="6">
        <f>TABL12345[[#This Row],[ (RESV. STORGE) BER]]/10</f>
        <v/>
      </c>
      <c r="AI186" s="44" t="n"/>
      <c r="AJ186" s="45">
        <f>TABL12345[[#This Row],[(A/B) AJD]]-TABL12345[[#This Row],[BER_IN]]</f>
        <v/>
      </c>
      <c r="AK186" s="45" t="n"/>
      <c r="AL186" s="45" t="n"/>
      <c r="AM186" s="32" t="n"/>
      <c r="AN186" s="32">
        <f>TABL12345[[#This Row],[ (RESV. STORGE) SER]]/10</f>
        <v/>
      </c>
      <c r="AO186" s="68" t="n"/>
      <c r="AP186" s="68">
        <f>TABL12345[[#This Row],[(A/S) AJD]]-TABL12345[[#This Row],[SER_IN]]</f>
        <v/>
      </c>
    </row>
    <row r="187" ht="18.75" customHeight="1">
      <c r="A187" s="2" t="n">
        <v>46938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TABL12345[[#This Row],[ (T/B) SAR]]+TABL12345[[#This Row],[ (S/S) SAR]]</f>
        <v/>
      </c>
      <c r="L187" s="41" t="n"/>
      <c r="M187" s="42" t="n"/>
      <c r="N187" s="42" t="n"/>
      <c r="O187" s="39" t="n"/>
      <c r="P187" s="12">
        <f>TABL12345[[#This Row],[ (S/S) SAR]]-TABL12345[[#This Row],[(S/S) AJD]]</f>
        <v/>
      </c>
      <c r="Q187" s="39" t="n"/>
      <c r="R187" s="12">
        <f>TABL12345[[#This Row],[ (T/B) SAR]]-TABL12345[[#This Row],[(T/B) AJD]]</f>
        <v/>
      </c>
      <c r="S187" s="12">
        <f>TABL12345[[#This Row],[S/S_CON.]]+TABL12345[[#This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TABL12345[[#This Row],[(RESV. STORGE) AJD]]/10</f>
        <v/>
      </c>
      <c r="AB187" s="3">
        <f>IF(TRIM(Z187)="",,(Z187-Z186)/1000)</f>
        <v/>
      </c>
      <c r="AC187" s="5" t="n"/>
      <c r="AD187" s="39">
        <f>(TABL12345[[#This Row],[( S/S+T/B) AJD]]*1000)-((TABL12345[[#This Row],[(STORGE DIFF.) AJD]]*1000)+TABL12345[[#This Row],[AJD_Evaporation]]+(TABL12345[[#This Row],[(A/B + A/S) AJD]]*1000))</f>
        <v/>
      </c>
      <c r="AE187" s="41" t="n"/>
      <c r="AF187" s="43" t="n"/>
      <c r="AG187" s="43" t="n"/>
      <c r="AH187" s="6">
        <f>TABL12345[[#This Row],[ (RESV. STORGE) BER]]/10</f>
        <v/>
      </c>
      <c r="AI187" s="41" t="n"/>
      <c r="AJ187" s="43">
        <f>TABL12345[[#This Row],[(A/B) AJD]]-TABL12345[[#This Row],[BER_IN]]</f>
        <v/>
      </c>
      <c r="AK187" s="43" t="n"/>
      <c r="AL187" s="43" t="n"/>
      <c r="AM187" s="32" t="n"/>
      <c r="AN187" s="32">
        <f>TABL12345[[#This Row],[ (RESV. STORGE) SER]]/10</f>
        <v/>
      </c>
      <c r="AO187" s="68" t="n"/>
      <c r="AP187" s="68">
        <f>TABL12345[[#This Row],[(A/S) AJD]]-TABL12345[[#This Row],[SER_IN]]</f>
        <v/>
      </c>
    </row>
    <row r="188" ht="18.75" customHeight="1">
      <c r="A188" s="2" t="n">
        <v>46939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TABL12345[[#This Row],[ (T/B) SAR]]+TABL12345[[#This Row],[ (S/S) SAR]]</f>
        <v/>
      </c>
      <c r="L188" s="45" t="n"/>
      <c r="M188" s="46" t="n"/>
      <c r="N188" s="46" t="n"/>
      <c r="O188" s="40" t="n"/>
      <c r="P188" s="12">
        <f>TABL12345[[#This Row],[ (S/S) SAR]]-TABL12345[[#This Row],[(S/S) AJD]]</f>
        <v/>
      </c>
      <c r="Q188" s="40" t="n"/>
      <c r="R188" s="12">
        <f>TABL12345[[#This Row],[ (T/B) SAR]]-TABL12345[[#This Row],[(T/B) AJD]]</f>
        <v/>
      </c>
      <c r="S188" s="12">
        <f>TABL12345[[#This Row],[S/S_CON.]]+TABL12345[[#This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TABL12345[[#This Row],[(RESV. STORGE) AJD]]/10</f>
        <v/>
      </c>
      <c r="AB188" s="3">
        <f>IF(TRIM(Z188)="",,(Z188-Z187)/1000)</f>
        <v/>
      </c>
      <c r="AC188" s="5" t="n"/>
      <c r="AD188" s="40">
        <f>(TABL12345[[#This Row],[( S/S+T/B) AJD]]*1000)-((TABL12345[[#This Row],[(STORGE DIFF.) AJD]]*1000)+TABL12345[[#This Row],[AJD_Evaporation]]+(TABL12345[[#This Row],[(A/B + A/S) AJD]]*1000))</f>
        <v/>
      </c>
      <c r="AE188" s="44" t="n"/>
      <c r="AF188" s="45" t="n"/>
      <c r="AG188" s="45" t="n"/>
      <c r="AH188" s="6">
        <f>TABL12345[[#This Row],[ (RESV. STORGE) BER]]/10</f>
        <v/>
      </c>
      <c r="AI188" s="44" t="n"/>
      <c r="AJ188" s="45">
        <f>TABL12345[[#This Row],[(A/B) AJD]]-TABL12345[[#This Row],[BER_IN]]</f>
        <v/>
      </c>
      <c r="AK188" s="45" t="n"/>
      <c r="AL188" s="45" t="n"/>
      <c r="AM188" s="32" t="n"/>
      <c r="AN188" s="32">
        <f>TABL12345[[#This Row],[ (RESV. STORGE) SER]]/10</f>
        <v/>
      </c>
      <c r="AO188" s="68" t="n"/>
      <c r="AP188" s="68">
        <f>TABL12345[[#This Row],[(A/S) AJD]]-TABL12345[[#This Row],[SER_IN]]</f>
        <v/>
      </c>
    </row>
    <row r="189" ht="18.75" customHeight="1">
      <c r="A189" s="2" t="n">
        <v>46940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TABL12345[[#This Row],[ (T/B) SAR]]+TABL12345[[#This Row],[ (S/S) SAR]]</f>
        <v/>
      </c>
      <c r="L189" s="41" t="n"/>
      <c r="M189" s="42" t="n"/>
      <c r="N189" s="42" t="n"/>
      <c r="O189" s="39" t="n"/>
      <c r="P189" s="12">
        <f>TABL12345[[#This Row],[ (S/S) SAR]]-TABL12345[[#This Row],[(S/S) AJD]]</f>
        <v/>
      </c>
      <c r="Q189" s="39" t="n"/>
      <c r="R189" s="12">
        <f>TABL12345[[#This Row],[ (T/B) SAR]]-TABL12345[[#This Row],[(T/B) AJD]]</f>
        <v/>
      </c>
      <c r="S189" s="12">
        <f>TABL12345[[#This Row],[S/S_CON.]]+TABL12345[[#This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TABL12345[[#This Row],[(RESV. STORGE) AJD]]/10</f>
        <v/>
      </c>
      <c r="AB189" s="3">
        <f>IF(TRIM(Z189)="",,(Z189-Z188)/1000)</f>
        <v/>
      </c>
      <c r="AC189" s="5" t="n"/>
      <c r="AD189" s="39">
        <f>(TABL12345[[#This Row],[( S/S+T/B) AJD]]*1000)-((TABL12345[[#This Row],[(STORGE DIFF.) AJD]]*1000)+TABL12345[[#This Row],[AJD_Evaporation]]+(TABL12345[[#This Row],[(A/B + A/S) AJD]]*1000))</f>
        <v/>
      </c>
      <c r="AE189" s="41" t="n"/>
      <c r="AF189" s="43" t="n"/>
      <c r="AG189" s="43" t="n"/>
      <c r="AH189" s="6">
        <f>TABL12345[[#This Row],[ (RESV. STORGE) BER]]/10</f>
        <v/>
      </c>
      <c r="AI189" s="41" t="n"/>
      <c r="AJ189" s="43">
        <f>TABL12345[[#This Row],[(A/B) AJD]]-TABL12345[[#This Row],[BER_IN]]</f>
        <v/>
      </c>
      <c r="AK189" s="43" t="n"/>
      <c r="AL189" s="43" t="n"/>
      <c r="AM189" s="32" t="n"/>
      <c r="AN189" s="32">
        <f>TABL12345[[#This Row],[ (RESV. STORGE) SER]]/10</f>
        <v/>
      </c>
      <c r="AO189" s="68" t="n"/>
      <c r="AP189" s="68">
        <f>TABL12345[[#This Row],[(A/S) AJD]]-TABL12345[[#This Row],[SER_IN]]</f>
        <v/>
      </c>
    </row>
    <row r="190" ht="18.75" customHeight="1">
      <c r="A190" s="2" t="n">
        <v>46941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TABL12345[[#This Row],[ (T/B) SAR]]+TABL12345[[#This Row],[ (S/S) SAR]]</f>
        <v/>
      </c>
      <c r="L190" s="45" t="n"/>
      <c r="M190" s="46" t="n"/>
      <c r="N190" s="46" t="n"/>
      <c r="O190" s="40" t="n"/>
      <c r="P190" s="12">
        <f>TABL12345[[#This Row],[ (S/S) SAR]]-TABL12345[[#This Row],[(S/S) AJD]]</f>
        <v/>
      </c>
      <c r="Q190" s="40" t="n"/>
      <c r="R190" s="12">
        <f>TABL12345[[#This Row],[ (T/B) SAR]]-TABL12345[[#This Row],[(T/B) AJD]]</f>
        <v/>
      </c>
      <c r="S190" s="12">
        <f>TABL12345[[#This Row],[S/S_CON.]]+TABL12345[[#This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TABL12345[[#This Row],[(RESV. STORGE) AJD]]/10</f>
        <v/>
      </c>
      <c r="AB190" s="3">
        <f>IF(TRIM(Z190)="",,(Z190-Z189)/1000)</f>
        <v/>
      </c>
      <c r="AC190" s="5" t="n"/>
      <c r="AD190" s="40">
        <f>(TABL12345[[#This Row],[( S/S+T/B) AJD]]*1000)-((TABL12345[[#This Row],[(STORGE DIFF.) AJD]]*1000)+TABL12345[[#This Row],[AJD_Evaporation]]+(TABL12345[[#This Row],[(A/B + A/S) AJD]]*1000))</f>
        <v/>
      </c>
      <c r="AE190" s="44" t="n"/>
      <c r="AF190" s="45" t="n"/>
      <c r="AG190" s="45" t="n"/>
      <c r="AH190" s="6">
        <f>TABL12345[[#This Row],[ (RESV. STORGE) BER]]/10</f>
        <v/>
      </c>
      <c r="AI190" s="44" t="n"/>
      <c r="AJ190" s="45">
        <f>TABL12345[[#This Row],[(A/B) AJD]]-TABL12345[[#This Row],[BER_IN]]</f>
        <v/>
      </c>
      <c r="AK190" s="45" t="n"/>
      <c r="AL190" s="45" t="n"/>
      <c r="AM190" s="32" t="n"/>
      <c r="AN190" s="32">
        <f>TABL12345[[#This Row],[ (RESV. STORGE) SER]]/10</f>
        <v/>
      </c>
      <c r="AO190" s="68" t="n"/>
      <c r="AP190" s="68">
        <f>TABL12345[[#This Row],[(A/S) AJD]]-TABL12345[[#This Row],[SER_IN]]</f>
        <v/>
      </c>
    </row>
    <row r="191" ht="18.75" customHeight="1">
      <c r="A191" s="2" t="n">
        <v>46942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TABL12345[[#This Row],[ (T/B) SAR]]+TABL12345[[#This Row],[ (S/S) SAR]]</f>
        <v/>
      </c>
      <c r="L191" s="41" t="n"/>
      <c r="M191" s="42" t="n"/>
      <c r="N191" s="42" t="n"/>
      <c r="O191" s="39" t="n"/>
      <c r="P191" s="12">
        <f>TABL12345[[#This Row],[ (S/S) SAR]]-TABL12345[[#This Row],[(S/S) AJD]]</f>
        <v/>
      </c>
      <c r="Q191" s="39" t="n"/>
      <c r="R191" s="12">
        <f>TABL12345[[#This Row],[ (T/B) SAR]]-TABL12345[[#This Row],[(T/B) AJD]]</f>
        <v/>
      </c>
      <c r="S191" s="12">
        <f>TABL12345[[#This Row],[S/S_CON.]]+TABL12345[[#This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TABL12345[[#This Row],[(RESV. STORGE) AJD]]/10</f>
        <v/>
      </c>
      <c r="AB191" s="3">
        <f>IF(TRIM(Z191)="",,(Z191-Z190)/1000)</f>
        <v/>
      </c>
      <c r="AC191" s="5" t="n"/>
      <c r="AD191" s="39">
        <f>(TABL12345[[#This Row],[( S/S+T/B) AJD]]*1000)-((TABL12345[[#This Row],[(STORGE DIFF.) AJD]]*1000)+TABL12345[[#This Row],[AJD_Evaporation]]+(TABL12345[[#This Row],[(A/B + A/S) AJD]]*1000))</f>
        <v/>
      </c>
      <c r="AE191" s="41" t="n"/>
      <c r="AF191" s="43" t="n"/>
      <c r="AG191" s="43" t="n"/>
      <c r="AH191" s="6">
        <f>TABL12345[[#This Row],[ (RESV. STORGE) BER]]/10</f>
        <v/>
      </c>
      <c r="AI191" s="41" t="n"/>
      <c r="AJ191" s="43">
        <f>TABL12345[[#This Row],[(A/B) AJD]]-TABL12345[[#This Row],[BER_IN]]</f>
        <v/>
      </c>
      <c r="AK191" s="43" t="n"/>
      <c r="AL191" s="43" t="n"/>
      <c r="AM191" s="32" t="n"/>
      <c r="AN191" s="32">
        <f>TABL12345[[#This Row],[ (RESV. STORGE) SER]]/10</f>
        <v/>
      </c>
      <c r="AO191" s="68" t="n"/>
      <c r="AP191" s="68">
        <f>TABL12345[[#This Row],[(A/S) AJD]]-TABL12345[[#This Row],[SER_IN]]</f>
        <v/>
      </c>
    </row>
    <row r="192" ht="18.75" customHeight="1">
      <c r="A192" s="2" t="n">
        <v>46943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TABL12345[[#This Row],[ (T/B) SAR]]+TABL12345[[#This Row],[ (S/S) SAR]]</f>
        <v/>
      </c>
      <c r="L192" s="45" t="n"/>
      <c r="M192" s="46" t="n"/>
      <c r="N192" s="46" t="n"/>
      <c r="O192" s="40" t="n"/>
      <c r="P192" s="12">
        <f>TABL12345[[#This Row],[ (S/S) SAR]]-TABL12345[[#This Row],[(S/S) AJD]]</f>
        <v/>
      </c>
      <c r="Q192" s="40" t="n"/>
      <c r="R192" s="12">
        <f>TABL12345[[#This Row],[ (T/B) SAR]]-TABL12345[[#This Row],[(T/B) AJD]]</f>
        <v/>
      </c>
      <c r="S192" s="12">
        <f>TABL12345[[#This Row],[S/S_CON.]]+TABL12345[[#This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TABL12345[[#This Row],[(RESV. STORGE) AJD]]/10</f>
        <v/>
      </c>
      <c r="AB192" s="3">
        <f>IF(TRIM(Z192)="",,(Z192-Z191)/1000)</f>
        <v/>
      </c>
      <c r="AC192" s="5" t="n"/>
      <c r="AD192" s="40">
        <f>(TABL12345[[#This Row],[( S/S+T/B) AJD]]*1000)-((TABL12345[[#This Row],[(STORGE DIFF.) AJD]]*1000)+TABL12345[[#This Row],[AJD_Evaporation]]+(TABL12345[[#This Row],[(A/B + A/S) AJD]]*1000))</f>
        <v/>
      </c>
      <c r="AE192" s="44" t="n"/>
      <c r="AF192" s="45" t="n"/>
      <c r="AG192" s="45" t="n"/>
      <c r="AH192" s="6">
        <f>TABL12345[[#This Row],[ (RESV. STORGE) BER]]/10</f>
        <v/>
      </c>
      <c r="AI192" s="44" t="n"/>
      <c r="AJ192" s="45">
        <f>TABL12345[[#This Row],[(A/B) AJD]]-TABL12345[[#This Row],[BER_IN]]</f>
        <v/>
      </c>
      <c r="AK192" s="45" t="n"/>
      <c r="AL192" s="45" t="n"/>
      <c r="AM192" s="32" t="n"/>
      <c r="AN192" s="32">
        <f>TABL12345[[#This Row],[ (RESV. STORGE) SER]]/10</f>
        <v/>
      </c>
      <c r="AO192" s="68" t="n"/>
      <c r="AP192" s="68">
        <f>TABL12345[[#This Row],[(A/S) AJD]]-TABL12345[[#This Row],[SER_IN]]</f>
        <v/>
      </c>
    </row>
    <row r="193" ht="18.75" customHeight="1">
      <c r="A193" s="2" t="n">
        <v>46944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TABL12345[[#This Row],[ (T/B) SAR]]+TABL12345[[#This Row],[ (S/S) SAR]]</f>
        <v/>
      </c>
      <c r="L193" s="41" t="n"/>
      <c r="M193" s="42" t="n"/>
      <c r="N193" s="42" t="n"/>
      <c r="O193" s="39" t="n"/>
      <c r="P193" s="12">
        <f>TABL12345[[#This Row],[ (S/S) SAR]]-TABL12345[[#This Row],[(S/S) AJD]]</f>
        <v/>
      </c>
      <c r="Q193" s="39" t="n"/>
      <c r="R193" s="12">
        <f>TABL12345[[#This Row],[ (T/B) SAR]]-TABL12345[[#This Row],[(T/B) AJD]]</f>
        <v/>
      </c>
      <c r="S193" s="12">
        <f>TABL12345[[#This Row],[S/S_CON.]]+TABL12345[[#This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TABL12345[[#This Row],[(RESV. STORGE) AJD]]/10</f>
        <v/>
      </c>
      <c r="AB193" s="3">
        <f>IF(TRIM(Z193)="",,(Z193-Z192)/1000)</f>
        <v/>
      </c>
      <c r="AC193" s="5" t="n"/>
      <c r="AD193" s="39">
        <f>(TABL12345[[#This Row],[( S/S+T/B) AJD]]*1000)-((TABL12345[[#This Row],[(STORGE DIFF.) AJD]]*1000)+TABL12345[[#This Row],[AJD_Evaporation]]+(TABL12345[[#This Row],[(A/B + A/S) AJD]]*1000))</f>
        <v/>
      </c>
      <c r="AE193" s="41" t="n"/>
      <c r="AF193" s="43" t="n"/>
      <c r="AG193" s="68" t="n"/>
      <c r="AH193" s="6">
        <f>TABL12345[[#This Row],[ (RESV. STORGE) BER]]/10</f>
        <v/>
      </c>
      <c r="AI193" s="41" t="n"/>
      <c r="AJ193" s="68">
        <f>TABL12345[[#This Row],[(A/B) AJD]]-TABL12345[[#This Row],[BER_IN]]</f>
        <v/>
      </c>
      <c r="AK193" s="43" t="n"/>
      <c r="AL193" s="43" t="n"/>
      <c r="AM193" s="32" t="n"/>
      <c r="AN193" s="32">
        <f>TABL12345[[#This Row],[ (RESV. STORGE) SER]]/10</f>
        <v/>
      </c>
      <c r="AO193" s="68" t="n"/>
      <c r="AP193" s="68">
        <f>TABL12345[[#This Row],[(A/S) AJD]]-TABL12345[[#This Row],[SER_IN]]</f>
        <v/>
      </c>
    </row>
    <row r="194" ht="18.75" customHeight="1">
      <c r="A194" s="2" t="n">
        <v>46945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TABL12345[[#This Row],[ (T/B) SAR]]+TABL12345[[#This Row],[ (S/S) SAR]]</f>
        <v/>
      </c>
      <c r="L194" s="45" t="n"/>
      <c r="M194" s="46" t="n"/>
      <c r="N194" s="46" t="n"/>
      <c r="O194" s="40" t="n"/>
      <c r="P194" s="12">
        <f>TABL12345[[#This Row],[ (S/S) SAR]]-TABL12345[[#This Row],[(S/S) AJD]]</f>
        <v/>
      </c>
      <c r="Q194" s="40" t="n"/>
      <c r="R194" s="12">
        <f>TABL12345[[#This Row],[ (T/B) SAR]]-TABL12345[[#This Row],[(T/B) AJD]]</f>
        <v/>
      </c>
      <c r="S194" s="12">
        <f>TABL12345[[#This Row],[S/S_CON.]]+TABL12345[[#This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TABL12345[[#This Row],[(RESV. STORGE) AJD]]/10</f>
        <v/>
      </c>
      <c r="AB194" s="3">
        <f>IF(TRIM(Z194)="",,(Z194-Z193)/1000)</f>
        <v/>
      </c>
      <c r="AC194" s="5" t="n"/>
      <c r="AD194" s="40">
        <f>(TABL12345[[#This Row],[( S/S+T/B) AJD]]*1000)-((TABL12345[[#This Row],[(STORGE DIFF.) AJD]]*1000)+TABL12345[[#This Row],[AJD_Evaporation]]+(TABL12345[[#This Row],[(A/B + A/S) AJD]]*1000))</f>
        <v/>
      </c>
      <c r="AE194" s="44" t="n"/>
      <c r="AF194" s="45" t="n"/>
      <c r="AG194" s="45" t="n"/>
      <c r="AH194" s="6">
        <f>TABL12345[[#This Row],[ (RESV. STORGE) BER]]/10</f>
        <v/>
      </c>
      <c r="AI194" s="44" t="n"/>
      <c r="AJ194" s="45">
        <f>TABL12345[[#This Row],[(A/B) AJD]]-TABL12345[[#This Row],[BER_IN]]</f>
        <v/>
      </c>
      <c r="AK194" s="45" t="n"/>
      <c r="AL194" s="45" t="n"/>
      <c r="AM194" s="32" t="n"/>
      <c r="AN194" s="32">
        <f>TABL12345[[#This Row],[ (RESV. STORGE) SER]]/10</f>
        <v/>
      </c>
      <c r="AO194" s="68" t="n"/>
      <c r="AP194" s="68">
        <f>TABL12345[[#This Row],[(A/S) AJD]]-TABL12345[[#This Row],[SER_IN]]</f>
        <v/>
      </c>
    </row>
    <row r="195" ht="18.75" customHeight="1">
      <c r="A195" s="2" t="n">
        <v>46946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TABL12345[[#This Row],[ (T/B) SAR]]+TABL12345[[#This Row],[ (S/S) SAR]]</f>
        <v/>
      </c>
      <c r="L195" s="41" t="n"/>
      <c r="M195" s="42" t="n"/>
      <c r="N195" s="42" t="n"/>
      <c r="O195" s="39" t="n"/>
      <c r="P195" s="12">
        <f>TABL12345[[#This Row],[ (S/S) SAR]]-TABL12345[[#This Row],[(S/S) AJD]]</f>
        <v/>
      </c>
      <c r="Q195" s="39" t="n"/>
      <c r="R195" s="12">
        <f>TABL12345[[#This Row],[ (T/B) SAR]]-TABL12345[[#This Row],[(T/B) AJD]]</f>
        <v/>
      </c>
      <c r="S195" s="12">
        <f>TABL12345[[#This Row],[S/S_CON.]]+TABL12345[[#This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TABL12345[[#This Row],[(RESV. STORGE) AJD]]/10</f>
        <v/>
      </c>
      <c r="AB195" s="3">
        <f>IF(TRIM(Z195)="",,(Z195-Z194)/1000)</f>
        <v/>
      </c>
      <c r="AC195" s="5" t="n"/>
      <c r="AD195" s="39">
        <f>(TABL12345[[#This Row],[( S/S+T/B) AJD]]*1000)-((TABL12345[[#This Row],[(STORGE DIFF.) AJD]]*1000)+TABL12345[[#This Row],[AJD_Evaporation]]+(TABL12345[[#This Row],[(A/B + A/S) AJD]]*1000))</f>
        <v/>
      </c>
      <c r="AE195" s="41" t="n"/>
      <c r="AF195" s="43" t="n"/>
      <c r="AG195" s="43" t="n"/>
      <c r="AH195" s="6">
        <f>TABL12345[[#This Row],[ (RESV. STORGE) BER]]/10</f>
        <v/>
      </c>
      <c r="AI195" s="41" t="n"/>
      <c r="AJ195" s="43">
        <f>TABL12345[[#This Row],[(A/B) AJD]]-TABL12345[[#This Row],[BER_IN]]</f>
        <v/>
      </c>
      <c r="AK195" s="43" t="n"/>
      <c r="AL195" s="43" t="n"/>
      <c r="AM195" s="32" t="n"/>
      <c r="AN195" s="32">
        <f>TABL12345[[#This Row],[ (RESV. STORGE) SER]]/10</f>
        <v/>
      </c>
      <c r="AO195" s="68" t="n"/>
      <c r="AP195" s="68">
        <f>TABL12345[[#This Row],[(A/S) AJD]]-TABL12345[[#This Row],[SER_IN]]</f>
        <v/>
      </c>
    </row>
    <row r="196" ht="18.75" customHeight="1">
      <c r="A196" s="2" t="n">
        <v>46947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TABL12345[[#This Row],[ (T/B) SAR]]+TABL12345[[#This Row],[ (S/S) SAR]]</f>
        <v/>
      </c>
      <c r="L196" s="45" t="n"/>
      <c r="M196" s="46" t="n"/>
      <c r="N196" s="46" t="n"/>
      <c r="O196" s="40" t="n"/>
      <c r="P196" s="12">
        <f>TABL12345[[#This Row],[ (S/S) SAR]]-TABL12345[[#This Row],[(S/S) AJD]]</f>
        <v/>
      </c>
      <c r="Q196" s="40" t="n"/>
      <c r="R196" s="12">
        <f>TABL12345[[#This Row],[ (T/B) SAR]]-TABL12345[[#This Row],[(T/B) AJD]]</f>
        <v/>
      </c>
      <c r="S196" s="12">
        <f>TABL12345[[#This Row],[S/S_CON.]]+TABL12345[[#This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TABL12345[[#This Row],[(RESV. STORGE) AJD]]/10</f>
        <v/>
      </c>
      <c r="AB196" s="3">
        <f>IF(TRIM(Z196)="",,(Z196-Z195)/1000)</f>
        <v/>
      </c>
      <c r="AC196" s="5" t="n"/>
      <c r="AD196" s="40">
        <f>(TABL12345[[#This Row],[( S/S+T/B) AJD]]*1000)-((TABL12345[[#This Row],[(STORGE DIFF.) AJD]]*1000)+TABL12345[[#This Row],[AJD_Evaporation]]+(TABL12345[[#This Row],[(A/B + A/S) AJD]]*1000))</f>
        <v/>
      </c>
      <c r="AE196" s="44" t="n"/>
      <c r="AF196" s="45" t="n"/>
      <c r="AG196" s="45" t="n"/>
      <c r="AH196" s="6">
        <f>TABL12345[[#This Row],[ (RESV. STORGE) BER]]/10</f>
        <v/>
      </c>
      <c r="AI196" s="44" t="n"/>
      <c r="AJ196" s="45">
        <f>TABL12345[[#This Row],[(A/B) AJD]]-TABL12345[[#This Row],[BER_IN]]</f>
        <v/>
      </c>
      <c r="AK196" s="45" t="n"/>
      <c r="AL196" s="45" t="n"/>
      <c r="AM196" s="32" t="n"/>
      <c r="AN196" s="32">
        <f>TABL12345[[#This Row],[ (RESV. STORGE) SER]]/10</f>
        <v/>
      </c>
      <c r="AO196" s="68" t="n"/>
      <c r="AP196" s="68">
        <f>TABL12345[[#This Row],[(A/S) AJD]]-TABL12345[[#This Row],[SER_IN]]</f>
        <v/>
      </c>
    </row>
    <row r="197" ht="18.75" customHeight="1">
      <c r="A197" s="2" t="n">
        <v>46948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TABL12345[[#This Row],[ (T/B) SAR]]+TABL12345[[#This Row],[ (S/S) SAR]]</f>
        <v/>
      </c>
      <c r="L197" s="41" t="n"/>
      <c r="M197" s="42" t="n"/>
      <c r="N197" s="42" t="n"/>
      <c r="O197" s="39" t="n"/>
      <c r="P197" s="12">
        <f>TABL12345[[#This Row],[ (S/S) SAR]]-TABL12345[[#This Row],[(S/S) AJD]]</f>
        <v/>
      </c>
      <c r="Q197" s="39" t="n"/>
      <c r="R197" s="12">
        <f>TABL12345[[#This Row],[ (T/B) SAR]]-TABL12345[[#This Row],[(T/B) AJD]]</f>
        <v/>
      </c>
      <c r="S197" s="12">
        <f>TABL12345[[#This Row],[S/S_CON.]]+TABL12345[[#This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TABL12345[[#This Row],[(RESV. STORGE) AJD]]/10</f>
        <v/>
      </c>
      <c r="AB197" s="3">
        <f>IF(TRIM(Z197)="",,(Z197-Z196)/1000)</f>
        <v/>
      </c>
      <c r="AC197" s="5" t="n"/>
      <c r="AD197" s="39">
        <f>(TABL12345[[#This Row],[( S/S+T/B) AJD]]*1000)-((TABL12345[[#This Row],[(STORGE DIFF.) AJD]]*1000)+TABL12345[[#This Row],[AJD_Evaporation]]+(TABL12345[[#This Row],[(A/B + A/S) AJD]]*1000))</f>
        <v/>
      </c>
      <c r="AE197" s="41" t="n"/>
      <c r="AF197" s="43" t="n"/>
      <c r="AG197" s="43" t="n"/>
      <c r="AH197" s="6">
        <f>TABL12345[[#This Row],[ (RESV. STORGE) BER]]/10</f>
        <v/>
      </c>
      <c r="AI197" s="41" t="n"/>
      <c r="AJ197" s="43">
        <f>TABL12345[[#This Row],[(A/B) AJD]]-TABL12345[[#This Row],[BER_IN]]</f>
        <v/>
      </c>
      <c r="AK197" s="43" t="n"/>
      <c r="AL197" s="43" t="n"/>
      <c r="AM197" s="32" t="n"/>
      <c r="AN197" s="32">
        <f>TABL12345[[#This Row],[ (RESV. STORGE) SER]]/10</f>
        <v/>
      </c>
      <c r="AO197" s="68" t="n"/>
      <c r="AP197" s="68">
        <f>TABL12345[[#This Row],[(A/S) AJD]]-TABL12345[[#This Row],[SER_IN]]</f>
        <v/>
      </c>
    </row>
    <row r="198" ht="18.75" customHeight="1">
      <c r="A198" s="2" t="n">
        <v>46949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TABL12345[[#This Row],[ (T/B) SAR]]+TABL12345[[#This Row],[ (S/S) SAR]]</f>
        <v/>
      </c>
      <c r="L198" s="45" t="n"/>
      <c r="M198" s="46" t="n"/>
      <c r="N198" s="46" t="n"/>
      <c r="O198" s="40" t="n"/>
      <c r="P198" s="12">
        <f>TABL12345[[#This Row],[ (S/S) SAR]]-TABL12345[[#This Row],[(S/S) AJD]]</f>
        <v/>
      </c>
      <c r="Q198" s="40" t="n"/>
      <c r="R198" s="12">
        <f>TABL12345[[#This Row],[ (T/B) SAR]]-TABL12345[[#This Row],[(T/B) AJD]]</f>
        <v/>
      </c>
      <c r="S198" s="12">
        <f>TABL12345[[#This Row],[S/S_CON.]]+TABL12345[[#This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TABL12345[[#This Row],[(RESV. STORGE) AJD]]/10</f>
        <v/>
      </c>
      <c r="AB198" s="3">
        <f>IF(TRIM(Z198)="",,(Z198-Z197)/1000)</f>
        <v/>
      </c>
      <c r="AC198" s="5" t="n"/>
      <c r="AD198" s="40">
        <f>(TABL12345[[#This Row],[( S/S+T/B) AJD]]*1000)-((TABL12345[[#This Row],[(STORGE DIFF.) AJD]]*1000)+TABL12345[[#This Row],[AJD_Evaporation]]+(TABL12345[[#This Row],[(A/B + A/S) AJD]]*1000))</f>
        <v/>
      </c>
      <c r="AE198" s="44" t="n"/>
      <c r="AF198" s="45" t="n"/>
      <c r="AG198" s="45" t="n"/>
      <c r="AH198" s="6">
        <f>TABL12345[[#This Row],[ (RESV. STORGE) BER]]/10</f>
        <v/>
      </c>
      <c r="AI198" s="44" t="n"/>
      <c r="AJ198" s="45">
        <f>TABL12345[[#This Row],[(A/B) AJD]]-TABL12345[[#This Row],[BER_IN]]</f>
        <v/>
      </c>
      <c r="AK198" s="45" t="n"/>
      <c r="AL198" s="45" t="n"/>
      <c r="AM198" s="32" t="n"/>
      <c r="AN198" s="32">
        <f>TABL12345[[#This Row],[ (RESV. STORGE) SER]]/10</f>
        <v/>
      </c>
      <c r="AO198" s="68" t="n"/>
      <c r="AP198" s="68">
        <f>TABL12345[[#This Row],[(A/S) AJD]]-TABL12345[[#This Row],[SER_IN]]</f>
        <v/>
      </c>
    </row>
    <row r="199" ht="18.75" customHeight="1">
      <c r="A199" s="2" t="n">
        <v>46950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TABL12345[[#This Row],[ (T/B) SAR]]+TABL12345[[#This Row],[ (S/S) SAR]]</f>
        <v/>
      </c>
      <c r="L199" s="41" t="n"/>
      <c r="M199" s="42" t="n"/>
      <c r="N199" s="42" t="n"/>
      <c r="O199" s="39" t="n"/>
      <c r="P199" s="12">
        <f>TABL12345[[#This Row],[ (S/S) SAR]]-TABL12345[[#This Row],[(S/S) AJD]]</f>
        <v/>
      </c>
      <c r="Q199" s="39" t="n"/>
      <c r="R199" s="12">
        <f>TABL12345[[#This Row],[ (T/B) SAR]]-TABL12345[[#This Row],[(T/B) AJD]]</f>
        <v/>
      </c>
      <c r="S199" s="12">
        <f>TABL12345[[#This Row],[S/S_CON.]]+TABL12345[[#This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TABL12345[[#This Row],[(RESV. STORGE) AJD]]/10</f>
        <v/>
      </c>
      <c r="AB199" s="3">
        <f>IF(TRIM(Z199)="",,(Z199-Z198)/1000)</f>
        <v/>
      </c>
      <c r="AC199" s="5" t="n"/>
      <c r="AD199" s="39">
        <f>(TABL12345[[#This Row],[( S/S+T/B) AJD]]*1000)-((TABL12345[[#This Row],[(STORGE DIFF.) AJD]]*1000)+TABL12345[[#This Row],[AJD_Evaporation]]+(TABL12345[[#This Row],[(A/B + A/S) AJD]]*1000))</f>
        <v/>
      </c>
      <c r="AE199" s="41" t="n"/>
      <c r="AF199" s="43" t="n"/>
      <c r="AG199" s="43" t="n"/>
      <c r="AH199" s="6">
        <f>TABL12345[[#This Row],[ (RESV. STORGE) BER]]/10</f>
        <v/>
      </c>
      <c r="AI199" s="41" t="n"/>
      <c r="AJ199" s="43">
        <f>TABL12345[[#This Row],[(A/B) AJD]]-TABL12345[[#This Row],[BER_IN]]</f>
        <v/>
      </c>
      <c r="AK199" s="43" t="n"/>
      <c r="AL199" s="43" t="n"/>
      <c r="AM199" s="32" t="n"/>
      <c r="AN199" s="32">
        <f>TABL12345[[#This Row],[ (RESV. STORGE) SER]]/10</f>
        <v/>
      </c>
      <c r="AO199" s="68" t="n"/>
      <c r="AP199" s="68">
        <f>TABL12345[[#This Row],[(A/S) AJD]]-TABL12345[[#This Row],[SER_IN]]</f>
        <v/>
      </c>
    </row>
    <row r="200" ht="18.75" customHeight="1">
      <c r="A200" s="2" t="n">
        <v>46951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TABL12345[[#This Row],[ (T/B) SAR]]+TABL12345[[#This Row],[ (S/S) SAR]]</f>
        <v/>
      </c>
      <c r="L200" s="45" t="n"/>
      <c r="M200" s="46" t="n"/>
      <c r="N200" s="46" t="n"/>
      <c r="O200" s="40" t="n"/>
      <c r="P200" s="12">
        <f>TABL12345[[#This Row],[ (S/S) SAR]]-TABL12345[[#This Row],[(S/S) AJD]]</f>
        <v/>
      </c>
      <c r="Q200" s="40" t="n"/>
      <c r="R200" s="12">
        <f>TABL12345[[#This Row],[ (T/B) SAR]]-TABL12345[[#This Row],[(T/B) AJD]]</f>
        <v/>
      </c>
      <c r="S200" s="12">
        <f>TABL12345[[#This Row],[S/S_CON.]]+TABL12345[[#This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TABL12345[[#This Row],[(RESV. STORGE) AJD]]/10</f>
        <v/>
      </c>
      <c r="AB200" s="3">
        <f>IF(TRIM(Z200)="",,(Z200-Z199)/1000)</f>
        <v/>
      </c>
      <c r="AC200" s="5" t="n"/>
      <c r="AD200" s="40">
        <f>(TABL12345[[#This Row],[( S/S+T/B) AJD]]*1000)-((TABL12345[[#This Row],[(STORGE DIFF.) AJD]]*1000)+TABL12345[[#This Row],[AJD_Evaporation]]+(TABL12345[[#This Row],[(A/B + A/S) AJD]]*1000))</f>
        <v/>
      </c>
      <c r="AE200" s="44" t="n"/>
      <c r="AF200" s="45" t="n"/>
      <c r="AG200" s="45" t="n"/>
      <c r="AH200" s="6">
        <f>TABL12345[[#This Row],[ (RESV. STORGE) BER]]/10</f>
        <v/>
      </c>
      <c r="AI200" s="44" t="n"/>
      <c r="AJ200" s="45">
        <f>TABL12345[[#This Row],[(A/B) AJD]]-TABL12345[[#This Row],[BER_IN]]</f>
        <v/>
      </c>
      <c r="AK200" s="45" t="n"/>
      <c r="AL200" s="45" t="n"/>
      <c r="AM200" s="32" t="n"/>
      <c r="AN200" s="32">
        <f>TABL12345[[#This Row],[ (RESV. STORGE) SER]]/10</f>
        <v/>
      </c>
      <c r="AO200" s="68" t="n"/>
      <c r="AP200" s="68">
        <f>TABL12345[[#This Row],[(A/S) AJD]]-TABL12345[[#This Row],[SER_IN]]</f>
        <v/>
      </c>
    </row>
    <row r="201" ht="18.75" customHeight="1">
      <c r="A201" s="2" t="n">
        <v>46952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TABL12345[[#This Row],[ (T/B) SAR]]+TABL12345[[#This Row],[ (S/S) SAR]]</f>
        <v/>
      </c>
      <c r="L201" s="41" t="n"/>
      <c r="M201" s="42" t="n"/>
      <c r="N201" s="42" t="n"/>
      <c r="O201" s="39" t="n"/>
      <c r="P201" s="12">
        <f>TABL12345[[#This Row],[ (S/S) SAR]]-TABL12345[[#This Row],[(S/S) AJD]]</f>
        <v/>
      </c>
      <c r="Q201" s="39" t="n"/>
      <c r="R201" s="12">
        <f>TABL12345[[#This Row],[ (T/B) SAR]]-TABL12345[[#This Row],[(T/B) AJD]]</f>
        <v/>
      </c>
      <c r="S201" s="12">
        <f>TABL12345[[#This Row],[S/S_CON.]]+TABL12345[[#This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TABL12345[[#This Row],[(RESV. STORGE) AJD]]/10</f>
        <v/>
      </c>
      <c r="AB201" s="3">
        <f>IF(TRIM(Z201)="",,(Z201-Z200)/1000)</f>
        <v/>
      </c>
      <c r="AC201" s="5" t="n"/>
      <c r="AD201" s="39">
        <f>(TABL12345[[#This Row],[( S/S+T/B) AJD]]*1000)-((TABL12345[[#This Row],[(STORGE DIFF.) AJD]]*1000)+TABL12345[[#This Row],[AJD_Evaporation]]+(TABL12345[[#This Row],[(A/B + A/S) AJD]]*1000))</f>
        <v/>
      </c>
      <c r="AE201" s="41" t="n"/>
      <c r="AF201" s="43" t="n"/>
      <c r="AG201" s="43" t="n"/>
      <c r="AH201" s="6">
        <f>TABL12345[[#This Row],[ (RESV. STORGE) BER]]/10</f>
        <v/>
      </c>
      <c r="AI201" s="41" t="n"/>
      <c r="AJ201" s="43">
        <f>TABL12345[[#This Row],[(A/B) AJD]]-TABL12345[[#This Row],[BER_IN]]</f>
        <v/>
      </c>
      <c r="AK201" s="43" t="n"/>
      <c r="AL201" s="43" t="n"/>
      <c r="AM201" s="32" t="n"/>
      <c r="AN201" s="32">
        <f>TABL12345[[#This Row],[ (RESV. STORGE) SER]]/10</f>
        <v/>
      </c>
      <c r="AO201" s="68" t="n"/>
      <c r="AP201" s="68">
        <f>TABL12345[[#This Row],[(A/S) AJD]]-TABL12345[[#This Row],[SER_IN]]</f>
        <v/>
      </c>
    </row>
    <row r="202" ht="18.75" customHeight="1">
      <c r="A202" s="2" t="n">
        <v>46953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TABL12345[[#This Row],[ (T/B) SAR]]+TABL12345[[#This Row],[ (S/S) SAR]]</f>
        <v/>
      </c>
      <c r="L202" s="45" t="n"/>
      <c r="M202" s="46" t="n"/>
      <c r="N202" s="46" t="n"/>
      <c r="O202" s="40" t="n"/>
      <c r="P202" s="12">
        <f>TABL12345[[#This Row],[ (S/S) SAR]]-TABL12345[[#This Row],[(S/S) AJD]]</f>
        <v/>
      </c>
      <c r="Q202" s="40" t="n"/>
      <c r="R202" s="12">
        <f>TABL12345[[#This Row],[ (T/B) SAR]]-TABL12345[[#This Row],[(T/B) AJD]]</f>
        <v/>
      </c>
      <c r="S202" s="12">
        <f>TABL12345[[#This Row],[S/S_CON.]]+TABL12345[[#This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TABL12345[[#This Row],[(RESV. STORGE) AJD]]/10</f>
        <v/>
      </c>
      <c r="AB202" s="3">
        <f>IF(TRIM(Z202)="",,(Z202-Z201)/1000)</f>
        <v/>
      </c>
      <c r="AC202" s="5" t="n"/>
      <c r="AD202" s="40">
        <f>(TABL12345[[#This Row],[( S/S+T/B) AJD]]*1000)-((TABL12345[[#This Row],[(STORGE DIFF.) AJD]]*1000)+TABL12345[[#This Row],[AJD_Evaporation]]+(TABL12345[[#This Row],[(A/B + A/S) AJD]]*1000))</f>
        <v/>
      </c>
      <c r="AE202" s="44" t="n"/>
      <c r="AF202" s="45" t="n"/>
      <c r="AG202" s="45" t="n"/>
      <c r="AH202" s="6">
        <f>TABL12345[[#This Row],[ (RESV. STORGE) BER]]/10</f>
        <v/>
      </c>
      <c r="AI202" s="44" t="n"/>
      <c r="AJ202" s="45">
        <f>TABL12345[[#This Row],[(A/B) AJD]]-TABL12345[[#This Row],[BER_IN]]</f>
        <v/>
      </c>
      <c r="AK202" s="45" t="n"/>
      <c r="AL202" s="45" t="n"/>
      <c r="AM202" s="32" t="n"/>
      <c r="AN202" s="32">
        <f>TABL12345[[#This Row],[ (RESV. STORGE) SER]]/10</f>
        <v/>
      </c>
      <c r="AO202" s="68" t="n"/>
      <c r="AP202" s="68">
        <f>TABL12345[[#This Row],[(A/S) AJD]]-TABL12345[[#This Row],[SER_IN]]</f>
        <v/>
      </c>
    </row>
    <row r="203" ht="18.75" customHeight="1">
      <c r="A203" s="2" t="n">
        <v>46954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TABL12345[[#This Row],[ (T/B) SAR]]+TABL12345[[#This Row],[ (S/S) SAR]]</f>
        <v/>
      </c>
      <c r="L203" s="41" t="n"/>
      <c r="M203" s="42" t="n"/>
      <c r="N203" s="42" t="n"/>
      <c r="O203" s="39" t="n"/>
      <c r="P203" s="12">
        <f>TABL12345[[#This Row],[ (S/S) SAR]]-TABL12345[[#This Row],[(S/S) AJD]]</f>
        <v/>
      </c>
      <c r="Q203" s="39" t="n"/>
      <c r="R203" s="12">
        <f>TABL12345[[#This Row],[ (T/B) SAR]]-TABL12345[[#This Row],[(T/B) AJD]]</f>
        <v/>
      </c>
      <c r="S203" s="12">
        <f>TABL12345[[#This Row],[S/S_CON.]]+TABL12345[[#This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TABL12345[[#This Row],[(RESV. STORGE) AJD]]/10</f>
        <v/>
      </c>
      <c r="AB203" s="3">
        <f>IF(TRIM(Z203)="",,(Z203-Z202)/1000)</f>
        <v/>
      </c>
      <c r="AC203" s="5" t="n"/>
      <c r="AD203" s="39">
        <f>(TABL12345[[#This Row],[( S/S+T/B) AJD]]*1000)-((TABL12345[[#This Row],[(STORGE DIFF.) AJD]]*1000)+TABL12345[[#This Row],[AJD_Evaporation]]+(TABL12345[[#This Row],[(A/B + A/S) AJD]]*1000))</f>
        <v/>
      </c>
      <c r="AE203" s="41" t="n"/>
      <c r="AF203" s="43" t="n"/>
      <c r="AG203" s="43" t="n"/>
      <c r="AH203" s="6">
        <f>TABL12345[[#This Row],[ (RESV. STORGE) BER]]/10</f>
        <v/>
      </c>
      <c r="AI203" s="41" t="n"/>
      <c r="AJ203" s="43">
        <f>TABL12345[[#This Row],[(A/B) AJD]]-TABL12345[[#This Row],[BER_IN]]</f>
        <v/>
      </c>
      <c r="AK203" s="43" t="n"/>
      <c r="AL203" s="43" t="n"/>
      <c r="AM203" s="32" t="n"/>
      <c r="AN203" s="32">
        <f>TABL12345[[#This Row],[ (RESV. STORGE) SER]]/10</f>
        <v/>
      </c>
      <c r="AO203" s="68" t="n"/>
      <c r="AP203" s="68">
        <f>TABL12345[[#This Row],[(A/S) AJD]]-TABL12345[[#This Row],[SER_IN]]</f>
        <v/>
      </c>
    </row>
    <row r="204" ht="18.75" customHeight="1">
      <c r="A204" s="2" t="n">
        <v>46955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TABL12345[[#This Row],[ (T/B) SAR]]+TABL12345[[#This Row],[ (S/S) SAR]]</f>
        <v/>
      </c>
      <c r="L204" s="45" t="n"/>
      <c r="M204" s="46" t="n"/>
      <c r="N204" s="46" t="n"/>
      <c r="O204" s="40" t="n"/>
      <c r="P204" s="12">
        <f>TABL12345[[#This Row],[ (S/S) SAR]]-TABL12345[[#This Row],[(S/S) AJD]]</f>
        <v/>
      </c>
      <c r="Q204" s="40" t="n"/>
      <c r="R204" s="12">
        <f>TABL12345[[#This Row],[ (T/B) SAR]]-TABL12345[[#This Row],[(T/B) AJD]]</f>
        <v/>
      </c>
      <c r="S204" s="12">
        <f>TABL12345[[#This Row],[S/S_CON.]]+TABL12345[[#This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TABL12345[[#This Row],[(RESV. STORGE) AJD]]/10</f>
        <v/>
      </c>
      <c r="AB204" s="3">
        <f>IF(TRIM(Z204)="",,(Z204-Z203)/1000)</f>
        <v/>
      </c>
      <c r="AC204" s="5" t="n"/>
      <c r="AD204" s="40">
        <f>(TABL12345[[#This Row],[( S/S+T/B) AJD]]*1000)-((TABL12345[[#This Row],[(STORGE DIFF.) AJD]]*1000)+TABL12345[[#This Row],[AJD_Evaporation]]+(TABL12345[[#This Row],[(A/B + A/S) AJD]]*1000))</f>
        <v/>
      </c>
      <c r="AE204" s="44" t="n"/>
      <c r="AF204" s="45" t="n"/>
      <c r="AG204" s="45" t="n"/>
      <c r="AH204" s="6">
        <f>TABL12345[[#This Row],[ (RESV. STORGE) BER]]/10</f>
        <v/>
      </c>
      <c r="AI204" s="44" t="n"/>
      <c r="AJ204" s="45">
        <f>TABL12345[[#This Row],[(A/B) AJD]]-TABL12345[[#This Row],[BER_IN]]</f>
        <v/>
      </c>
      <c r="AK204" s="45" t="n"/>
      <c r="AL204" s="45" t="n"/>
      <c r="AM204" s="32" t="n"/>
      <c r="AN204" s="32">
        <f>TABL12345[[#This Row],[ (RESV. STORGE) SER]]/10</f>
        <v/>
      </c>
      <c r="AO204" s="68" t="n"/>
      <c r="AP204" s="68">
        <f>TABL12345[[#This Row],[(A/S) AJD]]-TABL12345[[#This Row],[SER_IN]]</f>
        <v/>
      </c>
    </row>
    <row r="205" ht="18.75" customHeight="1">
      <c r="A205" s="2" t="n">
        <v>46956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TABL12345[[#This Row],[ (T/B) SAR]]+TABL12345[[#This Row],[ (S/S) SAR]]</f>
        <v/>
      </c>
      <c r="L205" s="41" t="n"/>
      <c r="M205" s="42" t="n"/>
      <c r="N205" s="42" t="n"/>
      <c r="O205" s="39" t="n"/>
      <c r="P205" s="12">
        <f>TABL12345[[#This Row],[ (S/S) SAR]]-TABL12345[[#This Row],[(S/S) AJD]]</f>
        <v/>
      </c>
      <c r="Q205" s="39" t="n"/>
      <c r="R205" s="12">
        <f>TABL12345[[#This Row],[ (T/B) SAR]]-TABL12345[[#This Row],[(T/B) AJD]]</f>
        <v/>
      </c>
      <c r="S205" s="12">
        <f>TABL12345[[#This Row],[S/S_CON.]]+TABL12345[[#This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TABL12345[[#This Row],[(RESV. STORGE) AJD]]/10</f>
        <v/>
      </c>
      <c r="AB205" s="3">
        <f>IF(TRIM(Z205)="",,(Z205-Z204)/1000)</f>
        <v/>
      </c>
      <c r="AC205" s="5" t="n"/>
      <c r="AD205" s="39">
        <f>(TABL12345[[#This Row],[( S/S+T/B) AJD]]*1000)-((TABL12345[[#This Row],[(STORGE DIFF.) AJD]]*1000)+TABL12345[[#This Row],[AJD_Evaporation]]+(TABL12345[[#This Row],[(A/B + A/S) AJD]]*1000))</f>
        <v/>
      </c>
      <c r="AE205" s="41" t="n"/>
      <c r="AF205" s="43" t="n"/>
      <c r="AG205" s="43" t="n"/>
      <c r="AH205" s="6">
        <f>TABL12345[[#This Row],[ (RESV. STORGE) BER]]/10</f>
        <v/>
      </c>
      <c r="AI205" s="41" t="n"/>
      <c r="AJ205" s="43">
        <f>TABL12345[[#This Row],[(A/B) AJD]]-TABL12345[[#This Row],[BER_IN]]</f>
        <v/>
      </c>
      <c r="AK205" s="43" t="n"/>
      <c r="AL205" s="43" t="n"/>
      <c r="AM205" s="32" t="n"/>
      <c r="AN205" s="32">
        <f>TABL12345[[#This Row],[ (RESV. STORGE) SER]]/10</f>
        <v/>
      </c>
      <c r="AO205" s="68" t="n"/>
      <c r="AP205" s="68">
        <f>TABL12345[[#This Row],[(A/S) AJD]]-TABL12345[[#This Row],[SER_IN]]</f>
        <v/>
      </c>
    </row>
    <row r="206" ht="18.75" customHeight="1">
      <c r="A206" s="2" t="n">
        <v>46957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TABL12345[[#This Row],[ (T/B) SAR]]+TABL12345[[#This Row],[ (S/S) SAR]]</f>
        <v/>
      </c>
      <c r="L206" s="45" t="n"/>
      <c r="M206" s="46" t="n"/>
      <c r="N206" s="46" t="n"/>
      <c r="O206" s="40" t="n"/>
      <c r="P206" s="12">
        <f>TABL12345[[#This Row],[ (S/S) SAR]]-TABL12345[[#This Row],[(S/S) AJD]]</f>
        <v/>
      </c>
      <c r="Q206" s="45" t="n"/>
      <c r="R206" s="12">
        <f>TABL12345[[#This Row],[ (T/B) SAR]]-TABL12345[[#This Row],[(T/B) AJD]]</f>
        <v/>
      </c>
      <c r="S206" s="12">
        <f>TABL12345[[#This Row],[S/S_CON.]]+TABL12345[[#This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TABL12345[[#This Row],[(RESV. STORGE) AJD]]/10</f>
        <v/>
      </c>
      <c r="AB206" s="3">
        <f>IF(TRIM(Z206)="",,(Z206-Z205)/1000)</f>
        <v/>
      </c>
      <c r="AC206" s="5" t="n"/>
      <c r="AD206" s="40">
        <f>(TABL12345[[#This Row],[( S/S+T/B) AJD]]*1000)-((TABL12345[[#This Row],[(STORGE DIFF.) AJD]]*1000)+TABL12345[[#This Row],[AJD_Evaporation]]+(TABL12345[[#This Row],[(A/B + A/S) AJD]]*1000))</f>
        <v/>
      </c>
      <c r="AE206" s="44" t="n"/>
      <c r="AF206" s="45" t="n"/>
      <c r="AG206" s="45" t="n"/>
      <c r="AH206" s="6">
        <f>TABL12345[[#This Row],[ (RESV. STORGE) BER]]/10</f>
        <v/>
      </c>
      <c r="AI206" s="44" t="n"/>
      <c r="AJ206" s="45">
        <f>TABL12345[[#This Row],[(A/B) AJD]]-TABL12345[[#This Row],[BER_IN]]</f>
        <v/>
      </c>
      <c r="AK206" s="45" t="n"/>
      <c r="AL206" s="45" t="n"/>
      <c r="AM206" s="32" t="n"/>
      <c r="AN206" s="32">
        <f>TABL12345[[#This Row],[ (RESV. STORGE) SER]]/10</f>
        <v/>
      </c>
      <c r="AO206" s="68" t="n"/>
      <c r="AP206" s="68">
        <f>TABL12345[[#This Row],[(A/S) AJD]]-TABL12345[[#This Row],[SER_IN]]</f>
        <v/>
      </c>
    </row>
    <row r="207" ht="18.75" customHeight="1">
      <c r="A207" s="2" t="n">
        <v>46958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TABL12345[[#This Row],[ (T/B) SAR]]+TABL12345[[#This Row],[ (S/S) SAR]]</f>
        <v/>
      </c>
      <c r="L207" s="41" t="n"/>
      <c r="M207" s="42" t="n"/>
      <c r="N207" s="42" t="n"/>
      <c r="O207" s="39" t="n"/>
      <c r="P207" s="12">
        <f>TABL12345[[#This Row],[ (S/S) SAR]]-TABL12345[[#This Row],[(S/S) AJD]]</f>
        <v/>
      </c>
      <c r="Q207" s="43" t="n"/>
      <c r="R207" s="12">
        <f>TABL12345[[#This Row],[ (T/B) SAR]]-TABL12345[[#This Row],[(T/B) AJD]]</f>
        <v/>
      </c>
      <c r="S207" s="12">
        <f>TABL12345[[#This Row],[S/S_CON.]]+TABL12345[[#This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TABL12345[[#This Row],[(RESV. STORGE) AJD]]/10</f>
        <v/>
      </c>
      <c r="AB207" s="3">
        <f>IF(TRIM(Z207)="",,(Z207-Z206)/1000)</f>
        <v/>
      </c>
      <c r="AC207" s="5" t="n"/>
      <c r="AD207" s="39">
        <f>(TABL12345[[#This Row],[( S/S+T/B) AJD]]*1000)-((TABL12345[[#This Row],[(STORGE DIFF.) AJD]]*1000)+TABL12345[[#This Row],[AJD_Evaporation]]+(TABL12345[[#This Row],[(A/B + A/S) AJD]]*1000))</f>
        <v/>
      </c>
      <c r="AE207" s="41" t="n"/>
      <c r="AF207" s="43" t="n"/>
      <c r="AG207" s="43" t="n"/>
      <c r="AH207" s="6">
        <f>TABL12345[[#This Row],[ (RESV. STORGE) BER]]/10</f>
        <v/>
      </c>
      <c r="AI207" s="41" t="n"/>
      <c r="AJ207" s="43">
        <f>TABL12345[[#This Row],[(A/B) AJD]]-TABL12345[[#This Row],[BER_IN]]</f>
        <v/>
      </c>
      <c r="AK207" s="43" t="n"/>
      <c r="AL207" s="43" t="n"/>
      <c r="AM207" s="32" t="n"/>
      <c r="AN207" s="32">
        <f>TABL12345[[#This Row],[ (RESV. STORGE) SER]]/10</f>
        <v/>
      </c>
      <c r="AO207" s="68" t="n"/>
      <c r="AP207" s="68">
        <f>TABL12345[[#This Row],[(A/S) AJD]]-TABL12345[[#This Row],[SER_IN]]</f>
        <v/>
      </c>
    </row>
    <row r="208" ht="18.75" customHeight="1">
      <c r="A208" s="2" t="n">
        <v>46959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TABL12345[[#This Row],[ (T/B) SAR]]+TABL12345[[#This Row],[ (S/S) SAR]]</f>
        <v/>
      </c>
      <c r="L208" s="45" t="n"/>
      <c r="M208" s="46" t="n"/>
      <c r="N208" s="46" t="n"/>
      <c r="O208" s="40" t="n"/>
      <c r="P208" s="12">
        <f>TABL12345[[#This Row],[ (S/S) SAR]]-TABL12345[[#This Row],[(S/S) AJD]]</f>
        <v/>
      </c>
      <c r="Q208" s="45" t="n"/>
      <c r="R208" s="12">
        <f>TABL12345[[#This Row],[ (T/B) SAR]]-TABL12345[[#This Row],[(T/B) AJD]]</f>
        <v/>
      </c>
      <c r="S208" s="12">
        <f>TABL12345[[#This Row],[S/S_CON.]]+TABL12345[[#This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TABL12345[[#This Row],[(RESV. STORGE) AJD]]/10</f>
        <v/>
      </c>
      <c r="AB208" s="3">
        <f>IF(TRIM(Z208)="",,(Z208-Z207)/1000)</f>
        <v/>
      </c>
      <c r="AC208" s="5" t="n"/>
      <c r="AD208" s="40">
        <f>(TABL12345[[#This Row],[( S/S+T/B) AJD]]*1000)-((TABL12345[[#This Row],[(STORGE DIFF.) AJD]]*1000)+TABL12345[[#This Row],[AJD_Evaporation]]+(TABL12345[[#This Row],[(A/B + A/S) AJD]]*1000))</f>
        <v/>
      </c>
      <c r="AE208" s="44" t="n"/>
      <c r="AF208" s="45" t="n"/>
      <c r="AG208" s="45" t="n"/>
      <c r="AH208" s="6">
        <f>TABL12345[[#This Row],[ (RESV. STORGE) BER]]/10</f>
        <v/>
      </c>
      <c r="AI208" s="44" t="n"/>
      <c r="AJ208" s="45">
        <f>TABL12345[[#This Row],[(A/B) AJD]]-TABL12345[[#This Row],[BER_IN]]</f>
        <v/>
      </c>
      <c r="AK208" s="45" t="n"/>
      <c r="AL208" s="45" t="n"/>
      <c r="AM208" s="32" t="n"/>
      <c r="AN208" s="32">
        <f>TABL12345[[#This Row],[ (RESV. STORGE) SER]]/10</f>
        <v/>
      </c>
      <c r="AO208" s="68" t="n"/>
      <c r="AP208" s="68">
        <f>TABL12345[[#This Row],[(A/S) AJD]]-TABL12345[[#This Row],[SER_IN]]</f>
        <v/>
      </c>
    </row>
    <row r="209" ht="18.75" customHeight="1">
      <c r="A209" s="2" t="n">
        <v>46960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TABL12345[[#This Row],[ (T/B) SAR]]+TABL12345[[#This Row],[ (S/S) SAR]]</f>
        <v/>
      </c>
      <c r="L209" s="41" t="n"/>
      <c r="M209" s="42" t="n"/>
      <c r="N209" s="42" t="n"/>
      <c r="O209" s="39" t="n"/>
      <c r="P209" s="12">
        <f>TABL12345[[#This Row],[ (S/S) SAR]]-TABL12345[[#This Row],[(S/S) AJD]]</f>
        <v/>
      </c>
      <c r="Q209" s="39" t="n"/>
      <c r="R209" s="12">
        <f>TABL12345[[#This Row],[ (T/B) SAR]]-TABL12345[[#This Row],[(T/B) AJD]]</f>
        <v/>
      </c>
      <c r="S209" s="12">
        <f>TABL12345[[#This Row],[S/S_CON.]]+TABL12345[[#This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TABL12345[[#This Row],[(RESV. STORGE) AJD]]/10</f>
        <v/>
      </c>
      <c r="AB209" s="3">
        <f>IF(TRIM(Z209)="",,(Z209-Z208)/1000)</f>
        <v/>
      </c>
      <c r="AC209" s="5" t="n"/>
      <c r="AD209" s="39">
        <f>(TABL12345[[#This Row],[( S/S+T/B) AJD]]*1000)-((TABL12345[[#This Row],[(STORGE DIFF.) AJD]]*1000)+TABL12345[[#This Row],[AJD_Evaporation]]+(TABL12345[[#This Row],[(A/B + A/S) AJD]]*1000))</f>
        <v/>
      </c>
      <c r="AE209" s="41" t="n"/>
      <c r="AF209" s="43" t="n"/>
      <c r="AG209" s="43" t="n"/>
      <c r="AH209" s="6">
        <f>TABL12345[[#This Row],[ (RESV. STORGE) BER]]/10</f>
        <v/>
      </c>
      <c r="AI209" s="41" t="n"/>
      <c r="AJ209" s="43">
        <f>TABL12345[[#This Row],[(A/B) AJD]]-TABL12345[[#This Row],[BER_IN]]</f>
        <v/>
      </c>
      <c r="AK209" s="43" t="n"/>
      <c r="AL209" s="43" t="n"/>
      <c r="AM209" s="32" t="n"/>
      <c r="AN209" s="32">
        <f>TABL12345[[#This Row],[ (RESV. STORGE) SER]]/10</f>
        <v/>
      </c>
      <c r="AO209" s="68" t="n"/>
      <c r="AP209" s="68">
        <f>TABL12345[[#This Row],[(A/S) AJD]]-TABL12345[[#This Row],[SER_IN]]</f>
        <v/>
      </c>
    </row>
    <row r="210" ht="18.75" customHeight="1">
      <c r="A210" s="2" t="n">
        <v>46961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TABL12345[[#This Row],[ (T/B) SAR]]+TABL12345[[#This Row],[ (S/S) SAR]]</f>
        <v/>
      </c>
      <c r="L210" s="45" t="n"/>
      <c r="M210" s="46" t="n"/>
      <c r="N210" s="46" t="n"/>
      <c r="O210" s="40" t="n"/>
      <c r="P210" s="12">
        <f>TABL12345[[#This Row],[ (S/S) SAR]]-TABL12345[[#This Row],[(S/S) AJD]]</f>
        <v/>
      </c>
      <c r="Q210" s="40" t="n"/>
      <c r="R210" s="12">
        <f>TABL12345[[#This Row],[ (T/B) SAR]]-TABL12345[[#This Row],[(T/B) AJD]]</f>
        <v/>
      </c>
      <c r="S210" s="12">
        <f>TABL12345[[#This Row],[S/S_CON.]]+TABL12345[[#This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TABL12345[[#This Row],[(RESV. STORGE) AJD]]/10</f>
        <v/>
      </c>
      <c r="AB210" s="3">
        <f>IF(TRIM(Z210)="",,(Z210-Z209)/1000)</f>
        <v/>
      </c>
      <c r="AC210" s="5" t="n"/>
      <c r="AD210" s="40">
        <f>(TABL12345[[#This Row],[( S/S+T/B) AJD]]*1000)-((TABL12345[[#This Row],[(STORGE DIFF.) AJD]]*1000)+TABL12345[[#This Row],[AJD_Evaporation]]+(TABL12345[[#This Row],[(A/B + A/S) AJD]]*1000))</f>
        <v/>
      </c>
      <c r="AE210" s="44" t="n"/>
      <c r="AF210" s="45" t="n"/>
      <c r="AG210" s="45" t="n"/>
      <c r="AH210" s="6">
        <f>TABL12345[[#This Row],[ (RESV. STORGE) BER]]/10</f>
        <v/>
      </c>
      <c r="AI210" s="44" t="n"/>
      <c r="AJ210" s="45">
        <f>TABL12345[[#This Row],[(A/B) AJD]]-TABL12345[[#This Row],[BER_IN]]</f>
        <v/>
      </c>
      <c r="AK210" s="45" t="n"/>
      <c r="AL210" s="45" t="n"/>
      <c r="AM210" s="32" t="n"/>
      <c r="AN210" s="32">
        <f>TABL12345[[#This Row],[ (RESV. STORGE) SER]]/10</f>
        <v/>
      </c>
      <c r="AO210" s="68" t="n"/>
      <c r="AP210" s="68">
        <f>TABL12345[[#This Row],[(A/S) AJD]]-TABL12345[[#This Row],[SER_IN]]</f>
        <v/>
      </c>
    </row>
    <row r="211" ht="18.75" customHeight="1">
      <c r="A211" s="2" t="n">
        <v>46962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TABL12345[[#This Row],[ (T/B) SAR]]+TABL12345[[#This Row],[ (S/S) SAR]]</f>
        <v/>
      </c>
      <c r="L211" s="41" t="n"/>
      <c r="M211" s="42" t="n"/>
      <c r="N211" s="42" t="n"/>
      <c r="O211" s="39" t="n"/>
      <c r="P211" s="12">
        <f>TABL12345[[#This Row],[ (S/S) SAR]]-TABL12345[[#This Row],[(S/S) AJD]]</f>
        <v/>
      </c>
      <c r="Q211" s="39" t="n"/>
      <c r="R211" s="12">
        <f>TABL12345[[#This Row],[ (T/B) SAR]]-TABL12345[[#This Row],[(T/B) AJD]]</f>
        <v/>
      </c>
      <c r="S211" s="12">
        <f>TABL12345[[#This Row],[S/S_CON.]]+TABL12345[[#This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TABL12345[[#This Row],[(RESV. STORGE) AJD]]/10</f>
        <v/>
      </c>
      <c r="AB211" s="3">
        <f>IF(TRIM(Z211)="",,(Z211-Z210)/1000)</f>
        <v/>
      </c>
      <c r="AC211" s="5" t="n"/>
      <c r="AD211" s="39">
        <f>(TABL12345[[#This Row],[( S/S+T/B) AJD]]*1000)-((TABL12345[[#This Row],[(STORGE DIFF.) AJD]]*1000)+TABL12345[[#This Row],[AJD_Evaporation]]+(TABL12345[[#This Row],[(A/B + A/S) AJD]]*1000))</f>
        <v/>
      </c>
      <c r="AE211" s="41" t="n"/>
      <c r="AF211" s="43" t="n"/>
      <c r="AG211" s="43" t="n"/>
      <c r="AH211" s="6">
        <f>TABL12345[[#This Row],[ (RESV. STORGE) BER]]/10</f>
        <v/>
      </c>
      <c r="AI211" s="41" t="n"/>
      <c r="AJ211" s="43">
        <f>TABL12345[[#This Row],[(A/B) AJD]]-TABL12345[[#This Row],[BER_IN]]</f>
        <v/>
      </c>
      <c r="AK211" s="43" t="n"/>
      <c r="AL211" s="43" t="n"/>
      <c r="AM211" s="32" t="n"/>
      <c r="AN211" s="32">
        <f>TABL12345[[#This Row],[ (RESV. STORGE) SER]]/10</f>
        <v/>
      </c>
      <c r="AO211" s="68" t="n"/>
      <c r="AP211" s="68">
        <f>TABL12345[[#This Row],[(A/S) AJD]]-TABL12345[[#This Row],[SER_IN]]</f>
        <v/>
      </c>
    </row>
    <row r="212" ht="18.75" customHeight="1">
      <c r="A212" s="2" t="n">
        <v>46963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TABL12345[[#This Row],[ (T/B) SAR]]+TABL12345[[#This Row],[ (S/S) SAR]]</f>
        <v/>
      </c>
      <c r="L212" s="45" t="n"/>
      <c r="M212" s="46" t="n"/>
      <c r="N212" s="46" t="n"/>
      <c r="O212" s="40" t="n"/>
      <c r="P212" s="12">
        <f>TABL12345[[#This Row],[ (S/S) SAR]]-TABL12345[[#This Row],[(S/S) AJD]]</f>
        <v/>
      </c>
      <c r="Q212" s="40" t="n"/>
      <c r="R212" s="12">
        <f>TABL12345[[#This Row],[ (T/B) SAR]]-TABL12345[[#This Row],[(T/B) AJD]]</f>
        <v/>
      </c>
      <c r="S212" s="12">
        <f>TABL12345[[#This Row],[S/S_CON.]]+TABL12345[[#This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TABL12345[[#This Row],[(RESV. STORGE) AJD]]/10</f>
        <v/>
      </c>
      <c r="AB212" s="3">
        <f>IF(TRIM(Z212)="",,(Z212-Z211)/1000)</f>
        <v/>
      </c>
      <c r="AC212" s="5" t="n"/>
      <c r="AD212" s="70">
        <f>(TABL12345[[#This Row],[( S/S+T/B) AJD]]*1000)-((TABL12345[[#This Row],[(STORGE DIFF.) AJD]]*1000)+TABL12345[[#This Row],[AJD_Evaporation]]+(TABL12345[[#This Row],[(A/B + A/S) AJD]]*1000))</f>
        <v/>
      </c>
      <c r="AE212" s="44" t="n"/>
      <c r="AF212" s="45" t="n"/>
      <c r="AG212" s="45" t="n"/>
      <c r="AH212" s="6">
        <f>TABL12345[[#This Row],[ (RESV. STORGE) BER]]/10</f>
        <v/>
      </c>
      <c r="AI212" s="44" t="n"/>
      <c r="AJ212" s="90">
        <f>TABL12345[[#This Row],[(A/B) AJD]]-TABL12345[[#This Row],[BER_IN]]</f>
        <v/>
      </c>
      <c r="AK212" s="45" t="n"/>
      <c r="AL212" s="45" t="n"/>
      <c r="AM212" s="32" t="n"/>
      <c r="AN212" s="32">
        <f>TABL12345[[#This Row],[ (RESV. STORGE) SER]]/10</f>
        <v/>
      </c>
      <c r="AO212" s="68" t="n"/>
      <c r="AP212" s="68">
        <f>TABL12345[[#This Row],[(A/S) AJD]]-TABL12345[[#This Row],[SER_IN]]</f>
        <v/>
      </c>
    </row>
    <row r="213" ht="18.75" customHeight="1">
      <c r="A213" s="2" t="n">
        <v>46964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TABL12345[[#This Row],[ (T/B) SAR]]+TABL12345[[#This Row],[ (S/S) SAR]]</f>
        <v/>
      </c>
      <c r="L213" s="41" t="n"/>
      <c r="M213" s="42" t="n"/>
      <c r="N213" s="42" t="n"/>
      <c r="O213" s="39" t="n"/>
      <c r="P213" s="12">
        <f>TABL12345[[#This Row],[ (S/S) SAR]]-TABL12345[[#This Row],[(S/S) AJD]]</f>
        <v/>
      </c>
      <c r="Q213" s="39" t="n"/>
      <c r="R213" s="12">
        <f>TABL12345[[#This Row],[ (T/B) SAR]]-TABL12345[[#This Row],[(T/B) AJD]]</f>
        <v/>
      </c>
      <c r="S213" s="12">
        <f>TABL12345[[#This Row],[S/S_CON.]]+TABL12345[[#This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TABL12345[[#This Row],[(RESV. STORGE) AJD]]/10</f>
        <v/>
      </c>
      <c r="AB213" s="3">
        <f>IF(TRIM(Z213)="",,(Z213-Z212)/1000)</f>
        <v/>
      </c>
      <c r="AC213" s="5" t="n"/>
      <c r="AD213" s="39">
        <f>(TABL12345[[#This Row],[( S/S+T/B) AJD]]*1000)-((TABL12345[[#This Row],[(STORGE DIFF.) AJD]]*1000)+TABL12345[[#This Row],[AJD_Evaporation]]+(TABL12345[[#This Row],[(A/B + A/S) AJD]]*1000))</f>
        <v/>
      </c>
      <c r="AE213" s="41" t="n"/>
      <c r="AF213" s="43" t="n"/>
      <c r="AG213" s="43" t="n"/>
      <c r="AH213" s="6">
        <f>TABL12345[[#This Row],[ (RESV. STORGE) BER]]/10</f>
        <v/>
      </c>
      <c r="AI213" s="41" t="n"/>
      <c r="AJ213" s="43">
        <f>TABL12345[[#This Row],[(A/B) AJD]]-TABL12345[[#This Row],[BER_IN]]</f>
        <v/>
      </c>
      <c r="AK213" s="43" t="n"/>
      <c r="AL213" s="43" t="n"/>
      <c r="AM213" s="32" t="n"/>
      <c r="AN213" s="32">
        <f>TABL12345[[#This Row],[ (RESV. STORGE) SER]]/10</f>
        <v/>
      </c>
      <c r="AO213" s="68" t="n"/>
      <c r="AP213" s="68">
        <f>TABL12345[[#This Row],[(A/S) AJD]]-TABL12345[[#This Row],[SER_IN]]</f>
        <v/>
      </c>
    </row>
    <row r="214" ht="18.75" customHeight="1">
      <c r="A214" s="2" t="n">
        <v>46965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TABL12345[[#This Row],[ (T/B) SAR]]+TABL12345[[#This Row],[ (S/S) SAR]]</f>
        <v/>
      </c>
      <c r="L214" s="41" t="n"/>
      <c r="M214" s="42" t="n"/>
      <c r="N214" s="42" t="n"/>
      <c r="O214" s="39" t="n"/>
      <c r="P214" s="3">
        <f>TABL12345[[#This Row],[ (S/S) SAR]]-TABL12345[[#This Row],[(S/S) AJD]]</f>
        <v/>
      </c>
      <c r="Q214" s="39" t="n"/>
      <c r="R214" s="3">
        <f>TABL12345[[#This Row],[ (T/B) SAR]]-TABL12345[[#This Row],[(T/B) AJD]]</f>
        <v/>
      </c>
      <c r="S214" s="3">
        <f>TABL12345[[#This Row],[S/S_CON.]]+TABL12345[[#This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TABL12345[[#This Row],[(RESV. STORGE) AJD]]/10</f>
        <v/>
      </c>
      <c r="AB214" s="3">
        <f>IF(TRIM(Z214)="",,(Z214-Z213)/1000)</f>
        <v/>
      </c>
      <c r="AC214" s="5" t="n"/>
      <c r="AD214" s="39">
        <f>(TABL12345[[#This Row],[( S/S+T/B) AJD]]*1000)-((TABL12345[[#This Row],[(STORGE DIFF.) AJD]]*1000)+TABL12345[[#This Row],[AJD_Evaporation]]+(TABL12345[[#This Row],[(A/B + A/S) AJD]]*1000))</f>
        <v/>
      </c>
      <c r="AE214" s="41" t="n"/>
      <c r="AF214" s="43" t="n"/>
      <c r="AG214" s="43" t="n"/>
      <c r="AH214" s="6">
        <f>TABL12345[[#This Row],[ (RESV. STORGE) BER]]/10</f>
        <v/>
      </c>
      <c r="AI214" s="41" t="n"/>
      <c r="AJ214" s="43">
        <f>TABL12345[[#This Row],[(A/B) AJD]]-TABL12345[[#This Row],[BER_IN]]</f>
        <v/>
      </c>
      <c r="AK214" s="43" t="n"/>
      <c r="AL214" s="43" t="n"/>
      <c r="AM214" s="32" t="n"/>
      <c r="AN214" s="32">
        <f>TABL12345[[#This Row],[ (RESV. STORGE) SER]]/10</f>
        <v/>
      </c>
      <c r="AO214" s="68" t="n"/>
      <c r="AP214" s="68">
        <f>TABL12345[[#This Row],[(A/S) AJD]]-TABL12345[[#This Row],[SER_IN]]</f>
        <v/>
      </c>
    </row>
    <row r="215" ht="18.75" customHeight="1">
      <c r="A215" s="2" t="n">
        <v>46966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TABL12345[[#This Row],[ (T/B) SAR]]+TABL12345[[#This Row],[ (S/S) SAR]]</f>
        <v/>
      </c>
      <c r="L215" s="45" t="n"/>
      <c r="M215" s="46" t="n"/>
      <c r="N215" s="46" t="n"/>
      <c r="O215" s="40" t="n"/>
      <c r="P215" s="3">
        <f>TABL12345[[#This Row],[ (S/S) SAR]]-TABL12345[[#This Row],[(S/S) AJD]]</f>
        <v/>
      </c>
      <c r="Q215" s="40" t="n"/>
      <c r="R215" s="3">
        <f>TABL12345[[#This Row],[ (T/B) SAR]]-TABL12345[[#This Row],[(T/B) AJD]]</f>
        <v/>
      </c>
      <c r="S215" s="3">
        <f>TABL12345[[#This Row],[S/S_CON.]]+TABL12345[[#This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TABL12345[[#This Row],[(RESV. STORGE) AJD]]/10</f>
        <v/>
      </c>
      <c r="AB215" s="3">
        <f>IF(TRIM(Z215)="",,(Z215-Z214)/1000)</f>
        <v/>
      </c>
      <c r="AC215" s="5" t="n"/>
      <c r="AD215" s="40">
        <f>(TABL12345[[#This Row],[( S/S+T/B) AJD]]*1000)-((TABL12345[[#This Row],[(STORGE DIFF.) AJD]]*1000)+TABL12345[[#This Row],[AJD_Evaporation]]+(TABL12345[[#This Row],[(A/B + A/S) AJD]]*1000))</f>
        <v/>
      </c>
      <c r="AE215" s="44" t="n"/>
      <c r="AF215" s="45" t="n"/>
      <c r="AG215" s="45" t="n"/>
      <c r="AH215" s="6">
        <f>TABL12345[[#This Row],[ (RESV. STORGE) BER]]/10</f>
        <v/>
      </c>
      <c r="AI215" s="44" t="n"/>
      <c r="AJ215" s="45">
        <f>TABL12345[[#This Row],[(A/B) AJD]]-TABL12345[[#This Row],[BER_IN]]</f>
        <v/>
      </c>
      <c r="AK215" s="45" t="n"/>
      <c r="AL215" s="45" t="n"/>
      <c r="AM215" s="32" t="n"/>
      <c r="AN215" s="32">
        <f>TABL12345[[#This Row],[ (RESV. STORGE) SER]]/10</f>
        <v/>
      </c>
      <c r="AO215" s="68" t="n"/>
      <c r="AP215" s="68">
        <f>TABL12345[[#This Row],[(A/S) AJD]]-TABL12345[[#This Row],[SER_IN]]</f>
        <v/>
      </c>
    </row>
    <row r="216" ht="18.75" customHeight="1">
      <c r="A216" s="2" t="n">
        <v>46967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TABL12345[[#This Row],[ (T/B) SAR]]+TABL12345[[#This Row],[ (S/S) SAR]]</f>
        <v/>
      </c>
      <c r="L216" s="41" t="n"/>
      <c r="M216" s="42" t="n"/>
      <c r="N216" s="42" t="n"/>
      <c r="O216" s="39" t="n"/>
      <c r="P216" s="3">
        <f>TABL12345[[#This Row],[ (S/S) SAR]]-TABL12345[[#This Row],[(S/S) AJD]]</f>
        <v/>
      </c>
      <c r="Q216" s="39" t="n"/>
      <c r="R216" s="3">
        <f>TABL12345[[#This Row],[ (T/B) SAR]]-TABL12345[[#This Row],[(T/B) AJD]]</f>
        <v/>
      </c>
      <c r="S216" s="3">
        <f>TABL12345[[#This Row],[S/S_CON.]]+TABL12345[[#This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TABL12345[[#This Row],[(RESV. STORGE) AJD]]/10</f>
        <v/>
      </c>
      <c r="AB216" s="3">
        <f>IF(TRIM(Z216)="",,(Z216-Z215)/1000)</f>
        <v/>
      </c>
      <c r="AC216" s="5" t="n"/>
      <c r="AD216" s="39">
        <f>(TABL12345[[#This Row],[( S/S+T/B) AJD]]*1000)-((TABL12345[[#This Row],[(STORGE DIFF.) AJD]]*1000)+TABL12345[[#This Row],[AJD_Evaporation]]+(TABL12345[[#This Row],[(A/B + A/S) AJD]]*1000))</f>
        <v/>
      </c>
      <c r="AE216" s="41" t="n"/>
      <c r="AF216" s="43" t="n"/>
      <c r="AG216" s="43" t="n"/>
      <c r="AH216" s="6">
        <f>TABL12345[[#This Row],[ (RESV. STORGE) BER]]/10</f>
        <v/>
      </c>
      <c r="AI216" s="41" t="n"/>
      <c r="AJ216" s="43">
        <f>TABL12345[[#This Row],[(A/B) AJD]]-TABL12345[[#This Row],[BER_IN]]</f>
        <v/>
      </c>
      <c r="AK216" s="43" t="n"/>
      <c r="AL216" s="43" t="n"/>
      <c r="AM216" s="32" t="n"/>
      <c r="AN216" s="32">
        <f>TABL12345[[#This Row],[ (RESV. STORGE) SER]]/10</f>
        <v/>
      </c>
      <c r="AO216" s="68" t="n"/>
      <c r="AP216" s="68">
        <f>TABL12345[[#This Row],[(A/S) AJD]]-TABL12345[[#This Row],[SER_IN]]</f>
        <v/>
      </c>
    </row>
    <row r="217" ht="18.75" customHeight="1">
      <c r="A217" s="2" t="n">
        <v>46968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TABL12345[[#This Row],[ (T/B) SAR]]+TABL12345[[#This Row],[ (S/S) SAR]]</f>
        <v/>
      </c>
      <c r="L217" s="45" t="n"/>
      <c r="M217" s="46" t="n"/>
      <c r="N217" s="46" t="n"/>
      <c r="O217" s="40" t="n"/>
      <c r="P217" s="3">
        <f>TABL12345[[#This Row],[ (S/S) SAR]]-TABL12345[[#This Row],[(S/S) AJD]]</f>
        <v/>
      </c>
      <c r="Q217" s="40" t="n"/>
      <c r="R217" s="3">
        <f>TABL12345[[#This Row],[ (T/B) SAR]]-TABL12345[[#This Row],[(T/B) AJD]]</f>
        <v/>
      </c>
      <c r="S217" s="3">
        <f>TABL12345[[#This Row],[S/S_CON.]]+TABL12345[[#This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TABL12345[[#This Row],[(RESV. STORGE) AJD]]/10</f>
        <v/>
      </c>
      <c r="AB217" s="3">
        <f>IF(TRIM(Z217)="",,(Z217-Z216)/1000)</f>
        <v/>
      </c>
      <c r="AC217" s="5" t="n"/>
      <c r="AD217" s="40">
        <f>(TABL12345[[#This Row],[( S/S+T/B) AJD]]*1000)-((TABL12345[[#This Row],[(STORGE DIFF.) AJD]]*1000)+TABL12345[[#This Row],[AJD_Evaporation]]+(TABL12345[[#This Row],[(A/B + A/S) AJD]]*1000))</f>
        <v/>
      </c>
      <c r="AE217" s="44" t="n"/>
      <c r="AF217" s="45" t="n"/>
      <c r="AG217" s="45" t="n"/>
      <c r="AH217" s="6">
        <f>TABL12345[[#This Row],[ (RESV. STORGE) BER]]/10</f>
        <v/>
      </c>
      <c r="AI217" s="44" t="n"/>
      <c r="AJ217" s="45">
        <f>TABL12345[[#This Row],[(A/B) AJD]]-TABL12345[[#This Row],[BER_IN]]</f>
        <v/>
      </c>
      <c r="AK217" s="45" t="n"/>
      <c r="AL217" s="45" t="n"/>
      <c r="AM217" s="32" t="n"/>
      <c r="AN217" s="32">
        <f>TABL12345[[#This Row],[ (RESV. STORGE) SER]]/10</f>
        <v/>
      </c>
      <c r="AO217" s="68" t="n"/>
      <c r="AP217" s="68">
        <f>TABL12345[[#This Row],[(A/S) AJD]]-TABL12345[[#This Row],[SER_IN]]</f>
        <v/>
      </c>
    </row>
    <row r="218" ht="18.75" customHeight="1">
      <c r="A218" s="2" t="n">
        <v>46969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TABL12345[[#This Row],[ (T/B) SAR]]+TABL12345[[#This Row],[ (S/S) SAR]]</f>
        <v/>
      </c>
      <c r="L218" s="41" t="n"/>
      <c r="M218" s="42" t="n"/>
      <c r="N218" s="42" t="n"/>
      <c r="O218" s="39" t="n"/>
      <c r="P218" s="3">
        <f>TABL12345[[#This Row],[ (S/S) SAR]]-TABL12345[[#This Row],[(S/S) AJD]]</f>
        <v/>
      </c>
      <c r="Q218" s="39" t="n"/>
      <c r="R218" s="3">
        <f>TABL12345[[#This Row],[ (T/B) SAR]]-TABL12345[[#This Row],[(T/B) AJD]]</f>
        <v/>
      </c>
      <c r="S218" s="3">
        <f>TABL12345[[#This Row],[S/S_CON.]]+TABL12345[[#This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TABL12345[[#This Row],[(RESV. STORGE) AJD]]/10</f>
        <v/>
      </c>
      <c r="AB218" s="3">
        <f>IF(TRIM(Z218)="",,(Z218-Z217)/1000)</f>
        <v/>
      </c>
      <c r="AC218" s="5" t="n"/>
      <c r="AD218" s="39">
        <f>(TABL12345[[#This Row],[( S/S+T/B) AJD]]*1000)-((TABL12345[[#This Row],[(STORGE DIFF.) AJD]]*1000)+TABL12345[[#This Row],[AJD_Evaporation]]+(TABL12345[[#This Row],[(A/B + A/S) AJD]]*1000))</f>
        <v/>
      </c>
      <c r="AE218" s="41" t="n"/>
      <c r="AF218" s="43" t="n"/>
      <c r="AG218" s="43" t="n"/>
      <c r="AH218" s="6">
        <f>TABL12345[[#This Row],[ (RESV. STORGE) BER]]/10</f>
        <v/>
      </c>
      <c r="AI218" s="41" t="n"/>
      <c r="AJ218" s="43">
        <f>TABL12345[[#This Row],[(A/B) AJD]]-TABL12345[[#This Row],[BER_IN]]</f>
        <v/>
      </c>
      <c r="AK218" s="43" t="n"/>
      <c r="AL218" s="43" t="n"/>
      <c r="AM218" s="32" t="n"/>
      <c r="AN218" s="32">
        <f>TABL12345[[#This Row],[ (RESV. STORGE) SER]]/10</f>
        <v/>
      </c>
      <c r="AO218" s="68" t="n"/>
      <c r="AP218" s="68">
        <f>TABL12345[[#This Row],[(A/S) AJD]]-TABL12345[[#This Row],[SER_IN]]</f>
        <v/>
      </c>
    </row>
    <row r="219" ht="18.75" customHeight="1">
      <c r="A219" s="2" t="n">
        <v>46970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TABL12345[[#This Row],[ (T/B) SAR]]+TABL12345[[#This Row],[ (S/S) SAR]]</f>
        <v/>
      </c>
      <c r="L219" s="45" t="n"/>
      <c r="M219" s="46" t="n"/>
      <c r="N219" s="46" t="n"/>
      <c r="O219" s="40" t="n"/>
      <c r="P219" s="3">
        <f>TABL12345[[#This Row],[ (S/S) SAR]]-TABL12345[[#This Row],[(S/S) AJD]]</f>
        <v/>
      </c>
      <c r="Q219" s="40" t="n"/>
      <c r="R219" s="3">
        <f>TABL12345[[#This Row],[ (T/B) SAR]]-TABL12345[[#This Row],[(T/B) AJD]]</f>
        <v/>
      </c>
      <c r="S219" s="3">
        <f>TABL12345[[#This Row],[S/S_CON.]]+TABL12345[[#This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TABL12345[[#This Row],[(RESV. STORGE) AJD]]/10</f>
        <v/>
      </c>
      <c r="AB219" s="3">
        <f>IF(TRIM(Z219)="",,(Z219-Z218)/1000)</f>
        <v/>
      </c>
      <c r="AC219" s="5" t="n"/>
      <c r="AD219" s="40">
        <f>(TABL12345[[#This Row],[( S/S+T/B) AJD]]*1000)-((TABL12345[[#This Row],[(STORGE DIFF.) AJD]]*1000)+TABL12345[[#This Row],[AJD_Evaporation]]+(TABL12345[[#This Row],[(A/B + A/S) AJD]]*1000))</f>
        <v/>
      </c>
      <c r="AE219" s="44" t="n"/>
      <c r="AF219" s="45" t="n"/>
      <c r="AG219" s="45" t="n"/>
      <c r="AH219" s="6">
        <f>TABL12345[[#This Row],[ (RESV. STORGE) BER]]/10</f>
        <v/>
      </c>
      <c r="AI219" s="44" t="n"/>
      <c r="AJ219" s="45">
        <f>TABL12345[[#This Row],[(A/B) AJD]]-TABL12345[[#This Row],[BER_IN]]</f>
        <v/>
      </c>
      <c r="AK219" s="45" t="n"/>
      <c r="AL219" s="45" t="n"/>
      <c r="AM219" s="32" t="n"/>
      <c r="AN219" s="32">
        <f>TABL12345[[#This Row],[ (RESV. STORGE) SER]]/10</f>
        <v/>
      </c>
      <c r="AO219" s="68" t="n"/>
      <c r="AP219" s="68">
        <f>TABL12345[[#This Row],[(A/S) AJD]]-TABL12345[[#This Row],[SER_IN]]</f>
        <v/>
      </c>
    </row>
    <row r="220" ht="18.75" customHeight="1">
      <c r="A220" s="2" t="n">
        <v>46971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TABL12345[[#This Row],[ (T/B) SAR]]+TABL12345[[#This Row],[ (S/S) SAR]]</f>
        <v/>
      </c>
      <c r="L220" s="41" t="n"/>
      <c r="M220" s="42" t="n"/>
      <c r="N220" s="42" t="n"/>
      <c r="O220" s="39" t="n"/>
      <c r="P220" s="3">
        <f>TABL12345[[#This Row],[ (S/S) SAR]]-TABL12345[[#This Row],[(S/S) AJD]]</f>
        <v/>
      </c>
      <c r="Q220" s="39" t="n"/>
      <c r="R220" s="3">
        <f>TABL12345[[#This Row],[ (T/B) SAR]]-TABL12345[[#This Row],[(T/B) AJD]]</f>
        <v/>
      </c>
      <c r="S220" s="3">
        <f>TABL12345[[#This Row],[S/S_CON.]]+TABL12345[[#This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TABL12345[[#This Row],[(RESV. STORGE) AJD]]/10</f>
        <v/>
      </c>
      <c r="AB220" s="3">
        <f>IF(TRIM(Z220)="",,(Z220-Z219)/1000)</f>
        <v/>
      </c>
      <c r="AC220" s="5" t="n"/>
      <c r="AD220" s="39">
        <f>(TABL12345[[#This Row],[( S/S+T/B) AJD]]*1000)-((TABL12345[[#This Row],[(STORGE DIFF.) AJD]]*1000)+TABL12345[[#This Row],[AJD_Evaporation]]+(TABL12345[[#This Row],[(A/B + A/S) AJD]]*1000))</f>
        <v/>
      </c>
      <c r="AE220" s="41" t="n"/>
      <c r="AF220" s="43" t="n"/>
      <c r="AG220" s="43" t="n"/>
      <c r="AH220" s="6">
        <f>TABL12345[[#This Row],[ (RESV. STORGE) BER]]/10</f>
        <v/>
      </c>
      <c r="AI220" s="41" t="n"/>
      <c r="AJ220" s="43">
        <f>TABL12345[[#This Row],[(A/B) AJD]]-TABL12345[[#This Row],[BER_IN]]</f>
        <v/>
      </c>
      <c r="AK220" s="43" t="n"/>
      <c r="AL220" s="43" t="n"/>
      <c r="AM220" s="32" t="n"/>
      <c r="AN220" s="32">
        <f>TABL12345[[#This Row],[ (RESV. STORGE) SER]]/10</f>
        <v/>
      </c>
      <c r="AO220" s="68" t="n"/>
      <c r="AP220" s="68">
        <f>TABL12345[[#This Row],[(A/S) AJD]]-TABL12345[[#This Row],[SER_IN]]</f>
        <v/>
      </c>
    </row>
    <row r="221" ht="18.75" customHeight="1">
      <c r="A221" s="2" t="n">
        <v>46972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TABL12345[[#This Row],[ (T/B) SAR]]+TABL12345[[#This Row],[ (S/S) SAR]]</f>
        <v/>
      </c>
      <c r="L221" s="45" t="n"/>
      <c r="M221" s="46" t="n"/>
      <c r="N221" s="46" t="n"/>
      <c r="O221" s="40" t="n"/>
      <c r="P221" s="3">
        <f>TABL12345[[#This Row],[ (S/S) SAR]]-TABL12345[[#This Row],[(S/S) AJD]]</f>
        <v/>
      </c>
      <c r="Q221" s="40" t="n"/>
      <c r="R221" s="3">
        <f>TABL12345[[#This Row],[ (T/B) SAR]]-TABL12345[[#This Row],[(T/B) AJD]]</f>
        <v/>
      </c>
      <c r="S221" s="3">
        <f>TABL12345[[#This Row],[S/S_CON.]]+TABL12345[[#This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TABL12345[[#This Row],[(RESV. STORGE) AJD]]/10</f>
        <v/>
      </c>
      <c r="AB221" s="3">
        <f>IF(TRIM(Z221)="",,(Z221-Z220)/1000)</f>
        <v/>
      </c>
      <c r="AC221" s="5" t="n"/>
      <c r="AD221" s="40">
        <f>(TABL12345[[#This Row],[( S/S+T/B) AJD]]*1000)-((TABL12345[[#This Row],[(STORGE DIFF.) AJD]]*1000)+TABL12345[[#This Row],[AJD_Evaporation]]+(TABL12345[[#This Row],[(A/B + A/S) AJD]]*1000))</f>
        <v/>
      </c>
      <c r="AE221" s="44" t="n"/>
      <c r="AF221" s="45" t="n"/>
      <c r="AG221" s="45" t="n"/>
      <c r="AH221" s="6">
        <f>TABL12345[[#This Row],[ (RESV. STORGE) BER]]/10</f>
        <v/>
      </c>
      <c r="AI221" s="44" t="n"/>
      <c r="AJ221" s="45">
        <f>TABL12345[[#This Row],[(A/B) AJD]]-TABL12345[[#This Row],[BER_IN]]</f>
        <v/>
      </c>
      <c r="AK221" s="45" t="n"/>
      <c r="AL221" s="45" t="n"/>
      <c r="AM221" s="32" t="n"/>
      <c r="AN221" s="32">
        <f>TABL12345[[#This Row],[ (RESV. STORGE) SER]]/10</f>
        <v/>
      </c>
      <c r="AO221" s="68" t="n"/>
      <c r="AP221" s="68">
        <f>TABL12345[[#This Row],[(A/S) AJD]]-TABL12345[[#This Row],[SER_IN]]</f>
        <v/>
      </c>
    </row>
    <row r="222" ht="18.75" customHeight="1">
      <c r="A222" s="2" t="n">
        <v>46973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TABL12345[[#This Row],[ (T/B) SAR]]+TABL12345[[#This Row],[ (S/S) SAR]]</f>
        <v/>
      </c>
      <c r="L222" s="41" t="n"/>
      <c r="M222" s="42" t="n"/>
      <c r="N222" s="42" t="n"/>
      <c r="O222" s="39" t="n"/>
      <c r="P222" s="3">
        <f>TABL12345[[#This Row],[ (S/S) SAR]]-TABL12345[[#This Row],[(S/S) AJD]]</f>
        <v/>
      </c>
      <c r="Q222" s="39" t="n"/>
      <c r="R222" s="3">
        <f>TABL12345[[#This Row],[ (T/B) SAR]]-TABL12345[[#This Row],[(T/B) AJD]]</f>
        <v/>
      </c>
      <c r="S222" s="3">
        <f>TABL12345[[#This Row],[S/S_CON.]]+TABL12345[[#This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TABL12345[[#This Row],[(RESV. STORGE) AJD]]/10</f>
        <v/>
      </c>
      <c r="AB222" s="3">
        <f>IF(TRIM(Z222)="",,(Z222-Z221)/1000)</f>
        <v/>
      </c>
      <c r="AC222" s="5" t="n"/>
      <c r="AD222" s="39">
        <f>(TABL12345[[#This Row],[( S/S+T/B) AJD]]*1000)-((TABL12345[[#This Row],[(STORGE DIFF.) AJD]]*1000)+TABL12345[[#This Row],[AJD_Evaporation]]+(TABL12345[[#This Row],[(A/B + A/S) AJD]]*1000))</f>
        <v/>
      </c>
      <c r="AE222" s="41" t="n"/>
      <c r="AF222" s="43" t="n"/>
      <c r="AG222" s="43" t="n"/>
      <c r="AH222" s="6">
        <f>TABL12345[[#This Row],[ (RESV. STORGE) BER]]/10</f>
        <v/>
      </c>
      <c r="AI222" s="41" t="n"/>
      <c r="AJ222" s="43">
        <f>TABL12345[[#This Row],[(A/B) AJD]]-TABL12345[[#This Row],[BER_IN]]</f>
        <v/>
      </c>
      <c r="AK222" s="43" t="n"/>
      <c r="AL222" s="43" t="n"/>
      <c r="AM222" s="32" t="n"/>
      <c r="AN222" s="32">
        <f>TABL12345[[#This Row],[ (RESV. STORGE) SER]]/10</f>
        <v/>
      </c>
      <c r="AO222" s="68" t="n"/>
      <c r="AP222" s="68">
        <f>TABL12345[[#This Row],[(A/S) AJD]]-TABL12345[[#This Row],[SER_IN]]</f>
        <v/>
      </c>
    </row>
    <row r="223" ht="18.75" customHeight="1">
      <c r="A223" s="2" t="n">
        <v>46974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TABL12345[[#This Row],[ (T/B) SAR]]+TABL12345[[#This Row],[ (S/S) SAR]]</f>
        <v/>
      </c>
      <c r="L223" s="45" t="n"/>
      <c r="M223" s="46" t="n"/>
      <c r="N223" s="46" t="n"/>
      <c r="O223" s="40" t="n"/>
      <c r="P223" s="3">
        <f>TABL12345[[#This Row],[ (S/S) SAR]]-TABL12345[[#This Row],[(S/S) AJD]]</f>
        <v/>
      </c>
      <c r="Q223" s="40" t="n"/>
      <c r="R223" s="3">
        <f>TABL12345[[#This Row],[ (T/B) SAR]]-TABL12345[[#This Row],[(T/B) AJD]]</f>
        <v/>
      </c>
      <c r="S223" s="3">
        <f>TABL12345[[#This Row],[S/S_CON.]]+TABL12345[[#This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TABL12345[[#This Row],[(RESV. STORGE) AJD]]/10</f>
        <v/>
      </c>
      <c r="AB223" s="3">
        <f>IF(TRIM(Z223)="",,(Z223-Z222)/1000)</f>
        <v/>
      </c>
      <c r="AC223" s="5" t="n"/>
      <c r="AD223" s="40">
        <f>(TABL12345[[#This Row],[( S/S+T/B) AJD]]*1000)-((TABL12345[[#This Row],[(STORGE DIFF.) AJD]]*1000)+TABL12345[[#This Row],[AJD_Evaporation]]+(TABL12345[[#This Row],[(A/B + A/S) AJD]]*1000))</f>
        <v/>
      </c>
      <c r="AE223" s="44" t="n"/>
      <c r="AF223" s="45" t="n"/>
      <c r="AG223" s="45" t="n"/>
      <c r="AH223" s="6">
        <f>TABL12345[[#This Row],[ (RESV. STORGE) BER]]/10</f>
        <v/>
      </c>
      <c r="AI223" s="44" t="n"/>
      <c r="AJ223" s="45">
        <f>TABL12345[[#This Row],[(A/B) AJD]]-TABL12345[[#This Row],[BER_IN]]</f>
        <v/>
      </c>
      <c r="AK223" s="45" t="n"/>
      <c r="AL223" s="45" t="n"/>
      <c r="AM223" s="32" t="n"/>
      <c r="AN223" s="32">
        <f>TABL12345[[#This Row],[ (RESV. STORGE) SER]]/10</f>
        <v/>
      </c>
      <c r="AO223" s="68" t="n"/>
      <c r="AP223" s="68">
        <f>TABL12345[[#This Row],[(A/S) AJD]]-TABL12345[[#This Row],[SER_IN]]</f>
        <v/>
      </c>
    </row>
    <row r="224" ht="18.75" customHeight="1">
      <c r="A224" s="2" t="n">
        <v>46975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TABL12345[[#This Row],[ (T/B) SAR]]+TABL12345[[#This Row],[ (S/S) SAR]]</f>
        <v/>
      </c>
      <c r="L224" s="41" t="n"/>
      <c r="M224" s="42" t="n"/>
      <c r="N224" s="42" t="n"/>
      <c r="O224" s="39" t="n"/>
      <c r="P224" s="3">
        <f>TABL12345[[#This Row],[ (S/S) SAR]]-TABL12345[[#This Row],[(S/S) AJD]]</f>
        <v/>
      </c>
      <c r="Q224" s="39" t="n"/>
      <c r="R224" s="3">
        <f>TABL12345[[#This Row],[ (T/B) SAR]]-TABL12345[[#This Row],[(T/B) AJD]]</f>
        <v/>
      </c>
      <c r="S224" s="3">
        <f>TABL12345[[#This Row],[S/S_CON.]]+TABL12345[[#This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TABL12345[[#This Row],[(RESV. STORGE) AJD]]/10</f>
        <v/>
      </c>
      <c r="AB224" s="3">
        <f>IF(TRIM(Z224)="",,(Z224-Z223)/1000)</f>
        <v/>
      </c>
      <c r="AC224" s="5" t="n"/>
      <c r="AD224" s="39">
        <f>(TABL12345[[#This Row],[( S/S+T/B) AJD]]*1000)-((TABL12345[[#This Row],[(STORGE DIFF.) AJD]]*1000)+TABL12345[[#This Row],[AJD_Evaporation]]+(TABL12345[[#This Row],[(A/B + A/S) AJD]]*1000))</f>
        <v/>
      </c>
      <c r="AE224" s="41" t="n"/>
      <c r="AF224" s="43" t="n"/>
      <c r="AG224" s="68" t="n"/>
      <c r="AH224" s="6">
        <f>TABL12345[[#This Row],[ (RESV. STORGE) BER]]/10</f>
        <v/>
      </c>
      <c r="AI224" s="41" t="n"/>
      <c r="AJ224" s="68">
        <f>TABL12345[[#This Row],[(A/B) AJD]]-TABL12345[[#This Row],[BER_IN]]</f>
        <v/>
      </c>
      <c r="AK224" s="43" t="n"/>
      <c r="AL224" s="43" t="n"/>
      <c r="AM224" s="32" t="n"/>
      <c r="AN224" s="32">
        <f>TABL12345[[#This Row],[ (RESV. STORGE) SER]]/10</f>
        <v/>
      </c>
      <c r="AO224" s="68" t="n"/>
      <c r="AP224" s="68">
        <f>TABL12345[[#This Row],[(A/S) AJD]]-TABL12345[[#This Row],[SER_IN]]</f>
        <v/>
      </c>
    </row>
    <row r="225" ht="18.75" customHeight="1">
      <c r="A225" s="2" t="n">
        <v>46976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TABL12345[[#This Row],[ (T/B) SAR]]+TABL12345[[#This Row],[ (S/S) SAR]]</f>
        <v/>
      </c>
      <c r="L225" s="45" t="n"/>
      <c r="M225" s="46" t="n"/>
      <c r="N225" s="46" t="n"/>
      <c r="O225" s="40" t="n"/>
      <c r="P225" s="3">
        <f>TABL12345[[#This Row],[ (S/S) SAR]]-TABL12345[[#This Row],[(S/S) AJD]]</f>
        <v/>
      </c>
      <c r="Q225" s="40" t="n"/>
      <c r="R225" s="3">
        <f>TABL12345[[#This Row],[ (T/B) SAR]]-TABL12345[[#This Row],[(T/B) AJD]]</f>
        <v/>
      </c>
      <c r="S225" s="3">
        <f>TABL12345[[#This Row],[S/S_CON.]]+TABL12345[[#This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TABL12345[[#This Row],[(RESV. STORGE) AJD]]/10</f>
        <v/>
      </c>
      <c r="AB225" s="3">
        <f>IF(TRIM(Z225)="",,(Z225-Z224)/1000)</f>
        <v/>
      </c>
      <c r="AC225" s="5" t="n"/>
      <c r="AD225" s="40">
        <f>(TABL12345[[#This Row],[( S/S+T/B) AJD]]*1000)-((TABL12345[[#This Row],[(STORGE DIFF.) AJD]]*1000)+TABL12345[[#This Row],[AJD_Evaporation]]+(TABL12345[[#This Row],[(A/B + A/S) AJD]]*1000))</f>
        <v/>
      </c>
      <c r="AE225" s="44" t="n"/>
      <c r="AF225" s="45" t="n"/>
      <c r="AG225" s="45" t="n"/>
      <c r="AH225" s="6">
        <f>TABL12345[[#This Row],[ (RESV. STORGE) BER]]/10</f>
        <v/>
      </c>
      <c r="AI225" s="44" t="n"/>
      <c r="AJ225" s="45">
        <f>TABL12345[[#This Row],[(A/B) AJD]]-TABL12345[[#This Row],[BER_IN]]</f>
        <v/>
      </c>
      <c r="AK225" s="45" t="n"/>
      <c r="AL225" s="45" t="n"/>
      <c r="AM225" s="32" t="n"/>
      <c r="AN225" s="32">
        <f>TABL12345[[#This Row],[ (RESV. STORGE) SER]]/10</f>
        <v/>
      </c>
      <c r="AO225" s="68" t="n"/>
      <c r="AP225" s="68">
        <f>TABL12345[[#This Row],[(A/S) AJD]]-TABL12345[[#This Row],[SER_IN]]</f>
        <v/>
      </c>
    </row>
    <row r="226" ht="18.75" customHeight="1">
      <c r="A226" s="2" t="n">
        <v>46977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TABL12345[[#This Row],[ (T/B) SAR]]+TABL12345[[#This Row],[ (S/S) SAR]]</f>
        <v/>
      </c>
      <c r="L226" s="41" t="n"/>
      <c r="M226" s="42" t="n"/>
      <c r="N226" s="42" t="n"/>
      <c r="O226" s="39" t="n"/>
      <c r="P226" s="3">
        <f>TABL12345[[#This Row],[ (S/S) SAR]]-TABL12345[[#This Row],[(S/S) AJD]]</f>
        <v/>
      </c>
      <c r="Q226" s="39" t="n"/>
      <c r="R226" s="3">
        <f>TABL12345[[#This Row],[ (T/B) SAR]]-TABL12345[[#This Row],[(T/B) AJD]]</f>
        <v/>
      </c>
      <c r="S226" s="3">
        <f>TABL12345[[#This Row],[S/S_CON.]]+TABL12345[[#This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TABL12345[[#This Row],[(RESV. STORGE) AJD]]/10</f>
        <v/>
      </c>
      <c r="AB226" s="3">
        <f>IF(TRIM(Z226)="",,(Z226-Z225)/1000)</f>
        <v/>
      </c>
      <c r="AC226" s="5" t="n"/>
      <c r="AD226" s="39">
        <f>(TABL12345[[#This Row],[( S/S+T/B) AJD]]*1000)-((TABL12345[[#This Row],[(STORGE DIFF.) AJD]]*1000)+TABL12345[[#This Row],[AJD_Evaporation]]+(TABL12345[[#This Row],[(A/B + A/S) AJD]]*1000))</f>
        <v/>
      </c>
      <c r="AE226" s="41" t="n"/>
      <c r="AF226" s="43" t="n"/>
      <c r="AG226" s="43" t="n"/>
      <c r="AH226" s="6">
        <f>TABL12345[[#This Row],[ (RESV. STORGE) BER]]/10</f>
        <v/>
      </c>
      <c r="AI226" s="41" t="n"/>
      <c r="AJ226" s="43">
        <f>TABL12345[[#This Row],[(A/B) AJD]]-TABL12345[[#This Row],[BER_IN]]</f>
        <v/>
      </c>
      <c r="AK226" s="43" t="n"/>
      <c r="AL226" s="43" t="n"/>
      <c r="AM226" s="32" t="n"/>
      <c r="AN226" s="32">
        <f>TABL12345[[#This Row],[ (RESV. STORGE) SER]]/10</f>
        <v/>
      </c>
      <c r="AO226" s="68" t="n"/>
      <c r="AP226" s="68">
        <f>TABL12345[[#This Row],[(A/S) AJD]]-TABL12345[[#This Row],[SER_IN]]</f>
        <v/>
      </c>
    </row>
    <row r="227" ht="18.75" customHeight="1">
      <c r="A227" s="2" t="n">
        <v>46978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TABL12345[[#This Row],[ (T/B) SAR]]+TABL12345[[#This Row],[ (S/S) SAR]]</f>
        <v/>
      </c>
      <c r="L227" s="45" t="n"/>
      <c r="M227" s="46" t="n"/>
      <c r="N227" s="46" t="n"/>
      <c r="O227" s="40" t="n"/>
      <c r="P227" s="3">
        <f>TABL12345[[#This Row],[ (S/S) SAR]]-TABL12345[[#This Row],[(S/S) AJD]]</f>
        <v/>
      </c>
      <c r="Q227" s="40" t="n"/>
      <c r="R227" s="3">
        <f>TABL12345[[#This Row],[ (T/B) SAR]]-TABL12345[[#This Row],[(T/B) AJD]]</f>
        <v/>
      </c>
      <c r="S227" s="3">
        <f>TABL12345[[#This Row],[S/S_CON.]]+TABL12345[[#This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TABL12345[[#This Row],[(RESV. STORGE) AJD]]/10</f>
        <v/>
      </c>
      <c r="AB227" s="3">
        <f>IF(TRIM(Z227)="",,(Z227-Z226)/1000)</f>
        <v/>
      </c>
      <c r="AC227" s="5" t="n"/>
      <c r="AD227" s="40">
        <f>(TABL12345[[#This Row],[( S/S+T/B) AJD]]*1000)-((TABL12345[[#This Row],[(STORGE DIFF.) AJD]]*1000)+TABL12345[[#This Row],[AJD_Evaporation]]+(TABL12345[[#This Row],[(A/B + A/S) AJD]]*1000))</f>
        <v/>
      </c>
      <c r="AE227" s="44" t="n"/>
      <c r="AF227" s="45" t="n"/>
      <c r="AG227" s="45" t="n"/>
      <c r="AH227" s="6">
        <f>TABL12345[[#This Row],[ (RESV. STORGE) BER]]/10</f>
        <v/>
      </c>
      <c r="AI227" s="44" t="n"/>
      <c r="AJ227" s="45">
        <f>TABL12345[[#This Row],[(A/B) AJD]]-TABL12345[[#This Row],[BER_IN]]</f>
        <v/>
      </c>
      <c r="AK227" s="45" t="n"/>
      <c r="AL227" s="45" t="n"/>
      <c r="AM227" s="32" t="n"/>
      <c r="AN227" s="32">
        <f>TABL12345[[#This Row],[ (RESV. STORGE) SER]]/10</f>
        <v/>
      </c>
      <c r="AO227" s="68" t="n"/>
      <c r="AP227" s="68">
        <f>TABL12345[[#This Row],[(A/S) AJD]]-TABL12345[[#This Row],[SER_IN]]</f>
        <v/>
      </c>
    </row>
    <row r="228" ht="18.75" customHeight="1">
      <c r="A228" s="2" t="n">
        <v>46979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TABL12345[[#This Row],[ (T/B) SAR]]+TABL12345[[#This Row],[ (S/S) SAR]]</f>
        <v/>
      </c>
      <c r="L228" s="41" t="n"/>
      <c r="M228" s="42" t="n"/>
      <c r="N228" s="42" t="n"/>
      <c r="O228" s="39" t="n"/>
      <c r="P228" s="3">
        <f>TABL12345[[#This Row],[ (S/S) SAR]]-TABL12345[[#This Row],[(S/S) AJD]]</f>
        <v/>
      </c>
      <c r="Q228" s="39" t="n"/>
      <c r="R228" s="3">
        <f>TABL12345[[#This Row],[ (T/B) SAR]]-TABL12345[[#This Row],[(T/B) AJD]]</f>
        <v/>
      </c>
      <c r="S228" s="3">
        <f>TABL12345[[#This Row],[S/S_CON.]]+TABL12345[[#This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TABL12345[[#This Row],[(RESV. STORGE) AJD]]/10</f>
        <v/>
      </c>
      <c r="AB228" s="3">
        <f>IF(TRIM(Z228)="",,(Z228-Z227)/1000)</f>
        <v/>
      </c>
      <c r="AC228" s="5" t="n"/>
      <c r="AD228" s="39">
        <f>(TABL12345[[#This Row],[( S/S+T/B) AJD]]*1000)-((TABL12345[[#This Row],[(STORGE DIFF.) AJD]]*1000)+TABL12345[[#This Row],[AJD_Evaporation]]+(TABL12345[[#This Row],[(A/B + A/S) AJD]]*1000))</f>
        <v/>
      </c>
      <c r="AE228" s="41" t="n"/>
      <c r="AF228" s="43" t="n"/>
      <c r="AG228" s="43" t="n"/>
      <c r="AH228" s="6">
        <f>TABL12345[[#This Row],[ (RESV. STORGE) BER]]/10</f>
        <v/>
      </c>
      <c r="AI228" s="41" t="n"/>
      <c r="AJ228" s="43">
        <f>TABL12345[[#This Row],[(A/B) AJD]]-TABL12345[[#This Row],[BER_IN]]</f>
        <v/>
      </c>
      <c r="AK228" s="43" t="n"/>
      <c r="AL228" s="43" t="n"/>
      <c r="AM228" s="32" t="n"/>
      <c r="AN228" s="32">
        <f>TABL12345[[#This Row],[ (RESV. STORGE) SER]]/10</f>
        <v/>
      </c>
      <c r="AO228" s="68" t="n"/>
      <c r="AP228" s="68">
        <f>TABL12345[[#This Row],[(A/S) AJD]]-TABL12345[[#This Row],[SER_IN]]</f>
        <v/>
      </c>
    </row>
    <row r="229" ht="18.75" customHeight="1">
      <c r="A229" s="2" t="n">
        <v>46980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TABL12345[[#This Row],[ (T/B) SAR]]+TABL12345[[#This Row],[ (S/S) SAR]]</f>
        <v/>
      </c>
      <c r="L229" s="45" t="n"/>
      <c r="M229" s="46" t="n"/>
      <c r="N229" s="46" t="n"/>
      <c r="O229" s="40" t="n"/>
      <c r="P229" s="3">
        <f>TABL12345[[#This Row],[ (S/S) SAR]]-TABL12345[[#This Row],[(S/S) AJD]]</f>
        <v/>
      </c>
      <c r="Q229" s="40" t="n"/>
      <c r="R229" s="3">
        <f>TABL12345[[#This Row],[ (T/B) SAR]]-TABL12345[[#This Row],[(T/B) AJD]]</f>
        <v/>
      </c>
      <c r="S229" s="3">
        <f>TABL12345[[#This Row],[S/S_CON.]]+TABL12345[[#This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TABL12345[[#This Row],[(RESV. STORGE) AJD]]/10</f>
        <v/>
      </c>
      <c r="AB229" s="3">
        <f>IF(TRIM(Z229)="",,(Z229-Z228)/1000)</f>
        <v/>
      </c>
      <c r="AC229" s="5" t="n"/>
      <c r="AD229" s="40">
        <f>(TABL12345[[#This Row],[( S/S+T/B) AJD]]*1000)-((TABL12345[[#This Row],[(STORGE DIFF.) AJD]]*1000)+TABL12345[[#This Row],[AJD_Evaporation]]+(TABL12345[[#This Row],[(A/B + A/S) AJD]]*1000))</f>
        <v/>
      </c>
      <c r="AE229" s="44" t="n"/>
      <c r="AF229" s="45" t="n"/>
      <c r="AG229" s="45" t="n"/>
      <c r="AH229" s="6">
        <f>TABL12345[[#This Row],[ (RESV. STORGE) BER]]/10</f>
        <v/>
      </c>
      <c r="AI229" s="44" t="n"/>
      <c r="AJ229" s="45">
        <f>TABL12345[[#This Row],[(A/B) AJD]]-TABL12345[[#This Row],[BER_IN]]</f>
        <v/>
      </c>
      <c r="AK229" s="45" t="n"/>
      <c r="AL229" s="45" t="n"/>
      <c r="AM229" s="32" t="n"/>
      <c r="AN229" s="32">
        <f>TABL12345[[#This Row],[ (RESV. STORGE) SER]]/10</f>
        <v/>
      </c>
      <c r="AO229" s="68" t="n"/>
      <c r="AP229" s="68">
        <f>TABL12345[[#This Row],[(A/S) AJD]]-TABL12345[[#This Row],[SER_IN]]</f>
        <v/>
      </c>
    </row>
    <row r="230" ht="18.75" customHeight="1">
      <c r="A230" s="2" t="n">
        <v>46981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TABL12345[[#This Row],[ (T/B) SAR]]+TABL12345[[#This Row],[ (S/S) SAR]]</f>
        <v/>
      </c>
      <c r="L230" s="41" t="n"/>
      <c r="M230" s="42" t="n"/>
      <c r="N230" s="42" t="n"/>
      <c r="O230" s="39" t="n"/>
      <c r="P230" s="3">
        <f>TABL12345[[#This Row],[ (S/S) SAR]]-TABL12345[[#This Row],[(S/S) AJD]]</f>
        <v/>
      </c>
      <c r="Q230" s="39" t="n"/>
      <c r="R230" s="3">
        <f>TABL12345[[#This Row],[ (T/B) SAR]]-TABL12345[[#This Row],[(T/B) AJD]]</f>
        <v/>
      </c>
      <c r="S230" s="3">
        <f>TABL12345[[#This Row],[S/S_CON.]]+TABL12345[[#This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TABL12345[[#This Row],[(RESV. STORGE) AJD]]/10</f>
        <v/>
      </c>
      <c r="AB230" s="3">
        <f>IF(TRIM(Z230)="",,(Z230-Z229)/1000)</f>
        <v/>
      </c>
      <c r="AC230" s="5" t="n"/>
      <c r="AD230" s="39">
        <f>(TABL12345[[#This Row],[( S/S+T/B) AJD]]*1000)-((TABL12345[[#This Row],[(STORGE DIFF.) AJD]]*1000)+TABL12345[[#This Row],[AJD_Evaporation]]+(TABL12345[[#This Row],[(A/B + A/S) AJD]]*1000))</f>
        <v/>
      </c>
      <c r="AE230" s="41" t="n"/>
      <c r="AF230" s="43" t="n"/>
      <c r="AG230" s="43" t="n"/>
      <c r="AH230" s="6">
        <f>TABL12345[[#This Row],[ (RESV. STORGE) BER]]/10</f>
        <v/>
      </c>
      <c r="AI230" s="41" t="n"/>
      <c r="AJ230" s="43">
        <f>TABL12345[[#This Row],[(A/B) AJD]]-TABL12345[[#This Row],[BER_IN]]</f>
        <v/>
      </c>
      <c r="AK230" s="43" t="n"/>
      <c r="AL230" s="43" t="n"/>
      <c r="AM230" s="32" t="n"/>
      <c r="AN230" s="32">
        <f>TABL12345[[#This Row],[ (RESV. STORGE) SER]]/10</f>
        <v/>
      </c>
      <c r="AO230" s="68" t="n"/>
      <c r="AP230" s="68">
        <f>TABL12345[[#This Row],[(A/S) AJD]]-TABL12345[[#This Row],[SER_IN]]</f>
        <v/>
      </c>
    </row>
    <row r="231" ht="18.75" customHeight="1">
      <c r="A231" s="2" t="n">
        <v>46982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TABL12345[[#This Row],[ (T/B) SAR]]+TABL12345[[#This Row],[ (S/S) SAR]]</f>
        <v/>
      </c>
      <c r="L231" s="45" t="n"/>
      <c r="M231" s="46" t="n"/>
      <c r="N231" s="46" t="n"/>
      <c r="O231" s="40" t="n"/>
      <c r="P231" s="3">
        <f>TABL12345[[#This Row],[ (S/S) SAR]]-TABL12345[[#This Row],[(S/S) AJD]]</f>
        <v/>
      </c>
      <c r="Q231" s="40" t="n"/>
      <c r="R231" s="3">
        <f>TABL12345[[#This Row],[ (T/B) SAR]]-TABL12345[[#This Row],[(T/B) AJD]]</f>
        <v/>
      </c>
      <c r="S231" s="3">
        <f>TABL12345[[#This Row],[S/S_CON.]]+TABL12345[[#This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TABL12345[[#This Row],[(RESV. STORGE) AJD]]/10</f>
        <v/>
      </c>
      <c r="AB231" s="3">
        <f>IF(TRIM(Z231)="",,(Z231-Z230)/1000)</f>
        <v/>
      </c>
      <c r="AC231" s="5" t="n"/>
      <c r="AD231" s="40">
        <f>(TABL12345[[#This Row],[( S/S+T/B) AJD]]*1000)-((TABL12345[[#This Row],[(STORGE DIFF.) AJD]]*1000)+TABL12345[[#This Row],[AJD_Evaporation]]+(TABL12345[[#This Row],[(A/B + A/S) AJD]]*1000))</f>
        <v/>
      </c>
      <c r="AE231" s="44" t="n"/>
      <c r="AF231" s="45" t="n"/>
      <c r="AG231" s="45" t="n"/>
      <c r="AH231" s="6">
        <f>TABL12345[[#This Row],[ (RESV. STORGE) BER]]/10</f>
        <v/>
      </c>
      <c r="AI231" s="44" t="n"/>
      <c r="AJ231" s="45">
        <f>TABL12345[[#This Row],[(A/B) AJD]]-TABL12345[[#This Row],[BER_IN]]</f>
        <v/>
      </c>
      <c r="AK231" s="45" t="n"/>
      <c r="AL231" s="45" t="n"/>
      <c r="AM231" s="32" t="n"/>
      <c r="AN231" s="32">
        <f>TABL12345[[#This Row],[ (RESV. STORGE) SER]]/10</f>
        <v/>
      </c>
      <c r="AO231" s="68" t="n"/>
      <c r="AP231" s="68">
        <f>TABL12345[[#This Row],[(A/S) AJD]]-TABL12345[[#This Row],[SER_IN]]</f>
        <v/>
      </c>
    </row>
    <row r="232" ht="18.75" customHeight="1">
      <c r="A232" s="2" t="n">
        <v>46983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TABL12345[[#This Row],[ (T/B) SAR]]+TABL12345[[#This Row],[ (S/S) SAR]]</f>
        <v/>
      </c>
      <c r="L232" s="41" t="n"/>
      <c r="M232" s="42" t="n"/>
      <c r="N232" s="42" t="n"/>
      <c r="O232" s="39" t="n"/>
      <c r="P232" s="3">
        <f>TABL12345[[#This Row],[ (S/S) SAR]]-TABL12345[[#This Row],[(S/S) AJD]]</f>
        <v/>
      </c>
      <c r="Q232" s="39" t="n"/>
      <c r="R232" s="3">
        <f>TABL12345[[#This Row],[ (T/B) SAR]]-TABL12345[[#This Row],[(T/B) AJD]]</f>
        <v/>
      </c>
      <c r="S232" s="3">
        <f>TABL12345[[#This Row],[S/S_CON.]]+TABL12345[[#This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TABL12345[[#This Row],[(RESV. STORGE) AJD]]/10</f>
        <v/>
      </c>
      <c r="AB232" s="3">
        <f>IF(TRIM(Z232)="",,(Z232-Z231)/1000)</f>
        <v/>
      </c>
      <c r="AC232" s="5" t="n"/>
      <c r="AD232" s="39">
        <f>(TABL12345[[#This Row],[( S/S+T/B) AJD]]*1000)-((TABL12345[[#This Row],[(STORGE DIFF.) AJD]]*1000)+TABL12345[[#This Row],[AJD_Evaporation]]+(TABL12345[[#This Row],[(A/B + A/S) AJD]]*1000))</f>
        <v/>
      </c>
      <c r="AE232" s="41" t="n"/>
      <c r="AF232" s="43" t="n"/>
      <c r="AG232" s="43" t="n"/>
      <c r="AH232" s="6">
        <f>TABL12345[[#This Row],[ (RESV. STORGE) BER]]/10</f>
        <v/>
      </c>
      <c r="AI232" s="41" t="n"/>
      <c r="AJ232" s="43">
        <f>TABL12345[[#This Row],[(A/B) AJD]]-TABL12345[[#This Row],[BER_IN]]</f>
        <v/>
      </c>
      <c r="AK232" s="43" t="n"/>
      <c r="AL232" s="43" t="n"/>
      <c r="AM232" s="32" t="n"/>
      <c r="AN232" s="32">
        <f>TABL12345[[#This Row],[ (RESV. STORGE) SER]]/10</f>
        <v/>
      </c>
      <c r="AO232" s="68" t="n"/>
      <c r="AP232" s="68">
        <f>TABL12345[[#This Row],[(A/S) AJD]]-TABL12345[[#This Row],[SER_IN]]</f>
        <v/>
      </c>
    </row>
    <row r="233" ht="18.75" customHeight="1">
      <c r="A233" s="2" t="n">
        <v>46984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TABL12345[[#This Row],[ (T/B) SAR]]+TABL12345[[#This Row],[ (S/S) SAR]]</f>
        <v/>
      </c>
      <c r="L233" s="45" t="n"/>
      <c r="M233" s="46" t="n"/>
      <c r="N233" s="46" t="n"/>
      <c r="O233" s="40" t="n"/>
      <c r="P233" s="3">
        <f>TABL12345[[#This Row],[ (S/S) SAR]]-TABL12345[[#This Row],[(S/S) AJD]]</f>
        <v/>
      </c>
      <c r="Q233" s="40" t="n"/>
      <c r="R233" s="3">
        <f>TABL12345[[#This Row],[ (T/B) SAR]]-TABL12345[[#This Row],[(T/B) AJD]]</f>
        <v/>
      </c>
      <c r="S233" s="3">
        <f>TABL12345[[#This Row],[S/S_CON.]]+TABL12345[[#This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TABL12345[[#This Row],[(RESV. STORGE) AJD]]/10</f>
        <v/>
      </c>
      <c r="AB233" s="3">
        <f>IF(TRIM(Z233)="",,(Z233-Z232)/1000)</f>
        <v/>
      </c>
      <c r="AC233" s="5" t="n"/>
      <c r="AD233" s="40">
        <f>(TABL12345[[#This Row],[( S/S+T/B) AJD]]*1000)-((TABL12345[[#This Row],[(STORGE DIFF.) AJD]]*1000)+TABL12345[[#This Row],[AJD_Evaporation]]+(TABL12345[[#This Row],[(A/B + A/S) AJD]]*1000))</f>
        <v/>
      </c>
      <c r="AE233" s="44" t="n"/>
      <c r="AF233" s="45" t="n"/>
      <c r="AG233" s="45" t="n"/>
      <c r="AH233" s="6">
        <f>TABL12345[[#This Row],[ (RESV. STORGE) BER]]/10</f>
        <v/>
      </c>
      <c r="AI233" s="44" t="n"/>
      <c r="AJ233" s="45">
        <f>TABL12345[[#This Row],[(A/B) AJD]]-TABL12345[[#This Row],[BER_IN]]</f>
        <v/>
      </c>
      <c r="AK233" s="45" t="n"/>
      <c r="AL233" s="45" t="n"/>
      <c r="AM233" s="32" t="n"/>
      <c r="AN233" s="32">
        <f>TABL12345[[#This Row],[ (RESV. STORGE) SER]]/10</f>
        <v/>
      </c>
      <c r="AO233" s="68" t="n"/>
      <c r="AP233" s="68">
        <f>TABL12345[[#This Row],[(A/S) AJD]]-TABL12345[[#This Row],[SER_IN]]</f>
        <v/>
      </c>
    </row>
    <row r="234" ht="18.75" customHeight="1">
      <c r="A234" s="2" t="n">
        <v>46985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TABL12345[[#This Row],[ (T/B) SAR]]+TABL12345[[#This Row],[ (S/S) SAR]]</f>
        <v/>
      </c>
      <c r="L234" s="41" t="n"/>
      <c r="M234" s="42" t="n"/>
      <c r="N234" s="42" t="n"/>
      <c r="O234" s="39" t="n"/>
      <c r="P234" s="3">
        <f>TABL12345[[#This Row],[ (S/S) SAR]]-TABL12345[[#This Row],[(S/S) AJD]]</f>
        <v/>
      </c>
      <c r="Q234" s="39" t="n"/>
      <c r="R234" s="3">
        <f>TABL12345[[#This Row],[ (T/B) SAR]]-TABL12345[[#This Row],[(T/B) AJD]]</f>
        <v/>
      </c>
      <c r="S234" s="3">
        <f>TABL12345[[#This Row],[S/S_CON.]]+TABL12345[[#This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TABL12345[[#This Row],[(RESV. STORGE) AJD]]/10</f>
        <v/>
      </c>
      <c r="AB234" s="3">
        <f>IF(TRIM(Z234)="",,(Z234-Z233)/1000)</f>
        <v/>
      </c>
      <c r="AC234" s="5" t="n"/>
      <c r="AD234" s="39">
        <f>(TABL12345[[#This Row],[( S/S+T/B) AJD]]*1000)-((TABL12345[[#This Row],[(STORGE DIFF.) AJD]]*1000)+TABL12345[[#This Row],[AJD_Evaporation]]+(TABL12345[[#This Row],[(A/B + A/S) AJD]]*1000))</f>
        <v/>
      </c>
      <c r="AE234" s="41" t="n"/>
      <c r="AF234" s="43" t="n"/>
      <c r="AG234" s="43" t="n"/>
      <c r="AH234" s="6">
        <f>TABL12345[[#This Row],[ (RESV. STORGE) BER]]/10</f>
        <v/>
      </c>
      <c r="AI234" s="41" t="n"/>
      <c r="AJ234" s="43">
        <f>TABL12345[[#This Row],[(A/B) AJD]]-TABL12345[[#This Row],[BER_IN]]</f>
        <v/>
      </c>
      <c r="AK234" s="43" t="n"/>
      <c r="AL234" s="43" t="n"/>
      <c r="AM234" s="32" t="n"/>
      <c r="AN234" s="32">
        <f>TABL12345[[#This Row],[ (RESV. STORGE) SER]]/10</f>
        <v/>
      </c>
      <c r="AO234" s="68" t="n"/>
      <c r="AP234" s="68">
        <f>TABL12345[[#This Row],[(A/S) AJD]]-TABL12345[[#This Row],[SER_IN]]</f>
        <v/>
      </c>
    </row>
    <row r="235" ht="18.75" customHeight="1">
      <c r="A235" s="2" t="n">
        <v>46986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TABL12345[[#This Row],[ (T/B) SAR]]+TABL12345[[#This Row],[ (S/S) SAR]]</f>
        <v/>
      </c>
      <c r="L235" s="45" t="n"/>
      <c r="M235" s="46" t="n"/>
      <c r="N235" s="46" t="n"/>
      <c r="O235" s="40" t="n"/>
      <c r="P235" s="3">
        <f>TABL12345[[#This Row],[ (S/S) SAR]]-TABL12345[[#This Row],[(S/S) AJD]]</f>
        <v/>
      </c>
      <c r="Q235" s="40" t="n"/>
      <c r="R235" s="3">
        <f>TABL12345[[#This Row],[ (T/B) SAR]]-TABL12345[[#This Row],[(T/B) AJD]]</f>
        <v/>
      </c>
      <c r="S235" s="3">
        <f>TABL12345[[#This Row],[S/S_CON.]]+TABL12345[[#This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TABL12345[[#This Row],[(RESV. STORGE) AJD]]/10</f>
        <v/>
      </c>
      <c r="AB235" s="3">
        <f>IF(TRIM(Z235)="",,(Z235-Z234)/1000)</f>
        <v/>
      </c>
      <c r="AC235" s="5" t="n"/>
      <c r="AD235" s="40">
        <f>(TABL12345[[#This Row],[( S/S+T/B) AJD]]*1000)-((TABL12345[[#This Row],[(STORGE DIFF.) AJD]]*1000)+TABL12345[[#This Row],[AJD_Evaporation]]+(TABL12345[[#This Row],[(A/B + A/S) AJD]]*1000))</f>
        <v/>
      </c>
      <c r="AE235" s="44" t="n"/>
      <c r="AF235" s="45" t="n"/>
      <c r="AG235" s="45" t="n"/>
      <c r="AH235" s="6">
        <f>TABL12345[[#This Row],[ (RESV. STORGE) BER]]/10</f>
        <v/>
      </c>
      <c r="AI235" s="44" t="n"/>
      <c r="AJ235" s="45">
        <f>TABL12345[[#This Row],[(A/B) AJD]]-TABL12345[[#This Row],[BER_IN]]</f>
        <v/>
      </c>
      <c r="AK235" s="45" t="n"/>
      <c r="AL235" s="45" t="n"/>
      <c r="AM235" s="32" t="n"/>
      <c r="AN235" s="32">
        <f>TABL12345[[#This Row],[ (RESV. STORGE) SER]]/10</f>
        <v/>
      </c>
      <c r="AO235" s="68" t="n"/>
      <c r="AP235" s="68">
        <f>TABL12345[[#This Row],[(A/S) AJD]]-TABL12345[[#This Row],[SER_IN]]</f>
        <v/>
      </c>
    </row>
    <row r="236" ht="18.75" customHeight="1">
      <c r="A236" s="2" t="n">
        <v>46987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TABL12345[[#This Row],[ (T/B) SAR]]+TABL12345[[#This Row],[ (S/S) SAR]]</f>
        <v/>
      </c>
      <c r="L236" s="41" t="n"/>
      <c r="M236" s="42" t="n"/>
      <c r="N236" s="42" t="n"/>
      <c r="O236" s="39" t="n"/>
      <c r="P236" s="3">
        <f>TABL12345[[#This Row],[ (S/S) SAR]]-TABL12345[[#This Row],[(S/S) AJD]]</f>
        <v/>
      </c>
      <c r="Q236" s="39" t="n"/>
      <c r="R236" s="3">
        <f>TABL12345[[#This Row],[ (T/B) SAR]]-TABL12345[[#This Row],[(T/B) AJD]]</f>
        <v/>
      </c>
      <c r="S236" s="3">
        <f>TABL12345[[#This Row],[S/S_CON.]]+TABL12345[[#This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TABL12345[[#This Row],[(RESV. STORGE) AJD]]/10</f>
        <v/>
      </c>
      <c r="AB236" s="3">
        <f>IF(TRIM(Z236)="",,(Z236-Z235)/1000)</f>
        <v/>
      </c>
      <c r="AC236" s="5" t="n"/>
      <c r="AD236" s="39">
        <f>(TABL12345[[#This Row],[( S/S+T/B) AJD]]*1000)-((TABL12345[[#This Row],[(STORGE DIFF.) AJD]]*1000)+TABL12345[[#This Row],[AJD_Evaporation]]+(TABL12345[[#This Row],[(A/B + A/S) AJD]]*1000))</f>
        <v/>
      </c>
      <c r="AE236" s="41" t="n"/>
      <c r="AF236" s="43" t="n"/>
      <c r="AG236" s="43" t="n"/>
      <c r="AH236" s="6">
        <f>TABL12345[[#This Row],[ (RESV. STORGE) BER]]/10</f>
        <v/>
      </c>
      <c r="AI236" s="41" t="n"/>
      <c r="AJ236" s="43">
        <f>TABL12345[[#This Row],[(A/B) AJD]]-TABL12345[[#This Row],[BER_IN]]</f>
        <v/>
      </c>
      <c r="AK236" s="43" t="n"/>
      <c r="AL236" s="43" t="n"/>
      <c r="AM236" s="32" t="n"/>
      <c r="AN236" s="32">
        <f>TABL12345[[#This Row],[ (RESV. STORGE) SER]]/10</f>
        <v/>
      </c>
      <c r="AO236" s="68" t="n"/>
      <c r="AP236" s="68">
        <f>TABL12345[[#This Row],[(A/S) AJD]]-TABL12345[[#This Row],[SER_IN]]</f>
        <v/>
      </c>
    </row>
    <row r="237" ht="18.75" customHeight="1">
      <c r="A237" s="2" t="n">
        <v>46988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TABL12345[[#This Row],[ (T/B) SAR]]+TABL12345[[#This Row],[ (S/S) SAR]]</f>
        <v/>
      </c>
      <c r="L237" s="45" t="n"/>
      <c r="M237" s="46" t="n"/>
      <c r="N237" s="46" t="n"/>
      <c r="O237" s="40" t="n"/>
      <c r="P237" s="3">
        <f>TABL12345[[#This Row],[ (S/S) SAR]]-TABL12345[[#This Row],[(S/S) AJD]]</f>
        <v/>
      </c>
      <c r="Q237" s="40" t="n"/>
      <c r="R237" s="3">
        <f>TABL12345[[#This Row],[ (T/B) SAR]]-TABL12345[[#This Row],[(T/B) AJD]]</f>
        <v/>
      </c>
      <c r="S237" s="3">
        <f>TABL12345[[#This Row],[S/S_CON.]]+TABL12345[[#This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TABL12345[[#This Row],[(RESV. STORGE) AJD]]/10</f>
        <v/>
      </c>
      <c r="AB237" s="3">
        <f>IF(TRIM(Z237)="",,(Z237-Z236)/1000)</f>
        <v/>
      </c>
      <c r="AC237" s="5" t="n"/>
      <c r="AD237" s="40">
        <f>(TABL12345[[#This Row],[( S/S+T/B) AJD]]*1000)-((TABL12345[[#This Row],[(STORGE DIFF.) AJD]]*1000)+TABL12345[[#This Row],[AJD_Evaporation]]+(TABL12345[[#This Row],[(A/B + A/S) AJD]]*1000))</f>
        <v/>
      </c>
      <c r="AE237" s="44" t="n"/>
      <c r="AF237" s="45" t="n"/>
      <c r="AG237" s="45" t="n"/>
      <c r="AH237" s="6">
        <f>TABL12345[[#This Row],[ (RESV. STORGE) BER]]/10</f>
        <v/>
      </c>
      <c r="AI237" s="44" t="n"/>
      <c r="AJ237" s="45">
        <f>TABL12345[[#This Row],[(A/B) AJD]]-TABL12345[[#This Row],[BER_IN]]</f>
        <v/>
      </c>
      <c r="AK237" s="45" t="n"/>
      <c r="AL237" s="45" t="n"/>
      <c r="AM237" s="32" t="n"/>
      <c r="AN237" s="32">
        <f>TABL12345[[#This Row],[ (RESV. STORGE) SER]]/10</f>
        <v/>
      </c>
      <c r="AO237" s="68" t="n"/>
      <c r="AP237" s="68">
        <f>TABL12345[[#This Row],[(A/S) AJD]]-TABL12345[[#This Row],[SER_IN]]</f>
        <v/>
      </c>
    </row>
    <row r="238" ht="18.75" customHeight="1">
      <c r="A238" s="2" t="n">
        <v>46989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TABL12345[[#This Row],[ (T/B) SAR]]+TABL12345[[#This Row],[ (S/S) SAR]]</f>
        <v/>
      </c>
      <c r="L238" s="41" t="n"/>
      <c r="M238" s="42" t="n"/>
      <c r="N238" s="42" t="n"/>
      <c r="O238" s="39" t="n"/>
      <c r="P238" s="3">
        <f>TABL12345[[#This Row],[ (S/S) SAR]]-TABL12345[[#This Row],[(S/S) AJD]]</f>
        <v/>
      </c>
      <c r="Q238" s="39" t="n"/>
      <c r="R238" s="3">
        <f>TABL12345[[#This Row],[ (T/B) SAR]]-TABL12345[[#This Row],[(T/B) AJD]]</f>
        <v/>
      </c>
      <c r="S238" s="3">
        <f>TABL12345[[#This Row],[S/S_CON.]]+TABL12345[[#This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TABL12345[[#This Row],[(RESV. STORGE) AJD]]/10</f>
        <v/>
      </c>
      <c r="AB238" s="3">
        <f>IF(TRIM(Z238)="",,(Z238-Z237)/1000)</f>
        <v/>
      </c>
      <c r="AC238" s="5" t="n"/>
      <c r="AD238" s="39">
        <f>(TABL12345[[#This Row],[( S/S+T/B) AJD]]*1000)-((TABL12345[[#This Row],[(STORGE DIFF.) AJD]]*1000)+TABL12345[[#This Row],[AJD_Evaporation]]+(TABL12345[[#This Row],[(A/B + A/S) AJD]]*1000))</f>
        <v/>
      </c>
      <c r="AE238" s="41" t="n"/>
      <c r="AF238" s="43" t="n"/>
      <c r="AG238" s="43" t="n"/>
      <c r="AH238" s="6">
        <f>TABL12345[[#This Row],[ (RESV. STORGE) BER]]/10</f>
        <v/>
      </c>
      <c r="AI238" s="41" t="n"/>
      <c r="AJ238" s="43">
        <f>TABL12345[[#This Row],[(A/B) AJD]]-TABL12345[[#This Row],[BER_IN]]</f>
        <v/>
      </c>
      <c r="AK238" s="43" t="n"/>
      <c r="AL238" s="43" t="n"/>
      <c r="AM238" s="32" t="n"/>
      <c r="AN238" s="32">
        <f>TABL12345[[#This Row],[ (RESV. STORGE) SER]]/10</f>
        <v/>
      </c>
      <c r="AO238" s="68" t="n"/>
      <c r="AP238" s="68">
        <f>TABL12345[[#This Row],[(A/S) AJD]]-TABL12345[[#This Row],[SER_IN]]</f>
        <v/>
      </c>
    </row>
    <row r="239" ht="18.75" customHeight="1">
      <c r="A239" s="2" t="n">
        <v>46990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TABL12345[[#This Row],[ (T/B) SAR]]+TABL12345[[#This Row],[ (S/S) SAR]]</f>
        <v/>
      </c>
      <c r="L239" s="45" t="n"/>
      <c r="M239" s="46" t="n"/>
      <c r="N239" s="46" t="n"/>
      <c r="O239" s="40" t="n"/>
      <c r="P239" s="3">
        <f>TABL12345[[#This Row],[ (S/S) SAR]]-TABL12345[[#This Row],[(S/S) AJD]]</f>
        <v/>
      </c>
      <c r="Q239" s="40" t="n"/>
      <c r="R239" s="3">
        <f>TABL12345[[#This Row],[ (T/B) SAR]]-TABL12345[[#This Row],[(T/B) AJD]]</f>
        <v/>
      </c>
      <c r="S239" s="3">
        <f>TABL12345[[#This Row],[S/S_CON.]]+TABL12345[[#This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TABL12345[[#This Row],[(RESV. STORGE) AJD]]/10</f>
        <v/>
      </c>
      <c r="AB239" s="3">
        <f>IF(TRIM(Z239)="",,(Z239-Z238)/1000)</f>
        <v/>
      </c>
      <c r="AC239" s="5" t="n"/>
      <c r="AD239" s="40">
        <f>(TABL12345[[#This Row],[( S/S+T/B) AJD]]*1000)-((TABL12345[[#This Row],[(STORGE DIFF.) AJD]]*1000)+TABL12345[[#This Row],[AJD_Evaporation]]+(TABL12345[[#This Row],[(A/B + A/S) AJD]]*1000))</f>
        <v/>
      </c>
      <c r="AE239" s="44" t="n"/>
      <c r="AF239" s="45" t="n"/>
      <c r="AG239" s="45" t="n"/>
      <c r="AH239" s="6">
        <f>TABL12345[[#This Row],[ (RESV. STORGE) BER]]/10</f>
        <v/>
      </c>
      <c r="AI239" s="44" t="n"/>
      <c r="AJ239" s="45">
        <f>TABL12345[[#This Row],[(A/B) AJD]]-TABL12345[[#This Row],[BER_IN]]</f>
        <v/>
      </c>
      <c r="AK239" s="45" t="n"/>
      <c r="AL239" s="45" t="n"/>
      <c r="AM239" s="32" t="n"/>
      <c r="AN239" s="32">
        <f>TABL12345[[#This Row],[ (RESV. STORGE) SER]]/10</f>
        <v/>
      </c>
      <c r="AO239" s="68" t="n"/>
      <c r="AP239" s="68">
        <f>TABL12345[[#This Row],[(A/S) AJD]]-TABL12345[[#This Row],[SER_IN]]</f>
        <v/>
      </c>
    </row>
    <row r="240" ht="18.75" customHeight="1">
      <c r="A240" s="2" t="n">
        <v>46991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TABL12345[[#This Row],[ (T/B) SAR]]+TABL12345[[#This Row],[ (S/S) SAR]]</f>
        <v/>
      </c>
      <c r="L240" s="41" t="n"/>
      <c r="M240" s="42" t="n"/>
      <c r="N240" s="42" t="n"/>
      <c r="O240" s="39" t="n"/>
      <c r="P240" s="3">
        <f>TABL12345[[#This Row],[ (S/S) SAR]]-TABL12345[[#This Row],[(S/S) AJD]]</f>
        <v/>
      </c>
      <c r="Q240" s="39" t="n"/>
      <c r="R240" s="3">
        <f>TABL12345[[#This Row],[ (T/B) SAR]]-TABL12345[[#This Row],[(T/B) AJD]]</f>
        <v/>
      </c>
      <c r="S240" s="3">
        <f>TABL12345[[#This Row],[S/S_CON.]]+TABL12345[[#This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TABL12345[[#This Row],[(RESV. STORGE) AJD]]/10</f>
        <v/>
      </c>
      <c r="AB240" s="3">
        <f>IF(TRIM(Z240)="",,(Z240-Z239)/1000)</f>
        <v/>
      </c>
      <c r="AC240" s="5" t="n"/>
      <c r="AD240" s="39">
        <f>(TABL12345[[#This Row],[( S/S+T/B) AJD]]*1000)-((TABL12345[[#This Row],[(STORGE DIFF.) AJD]]*1000)+TABL12345[[#This Row],[AJD_Evaporation]]+(TABL12345[[#This Row],[(A/B + A/S) AJD]]*1000))</f>
        <v/>
      </c>
      <c r="AE240" s="41" t="n"/>
      <c r="AF240" s="43" t="n"/>
      <c r="AG240" s="43" t="n"/>
      <c r="AH240" s="6">
        <f>TABL12345[[#This Row],[ (RESV. STORGE) BER]]/10</f>
        <v/>
      </c>
      <c r="AI240" s="41" t="n"/>
      <c r="AJ240" s="43">
        <f>TABL12345[[#This Row],[(A/B) AJD]]-TABL12345[[#This Row],[BER_IN]]</f>
        <v/>
      </c>
      <c r="AK240" s="43" t="n"/>
      <c r="AL240" s="43" t="n"/>
      <c r="AM240" s="32" t="n"/>
      <c r="AN240" s="32">
        <f>TABL12345[[#This Row],[ (RESV. STORGE) SER]]/10</f>
        <v/>
      </c>
      <c r="AO240" s="68" t="n"/>
      <c r="AP240" s="68">
        <f>TABL12345[[#This Row],[(A/S) AJD]]-TABL12345[[#This Row],[SER_IN]]</f>
        <v/>
      </c>
    </row>
    <row r="241" ht="18.75" customHeight="1">
      <c r="A241" s="2" t="n">
        <v>46992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TABL12345[[#This Row],[ (T/B) SAR]]+TABL12345[[#This Row],[ (S/S) SAR]]</f>
        <v/>
      </c>
      <c r="L241" s="45" t="n"/>
      <c r="M241" s="46" t="n"/>
      <c r="N241" s="46" t="n"/>
      <c r="O241" s="40" t="n"/>
      <c r="P241" s="3">
        <f>TABL12345[[#This Row],[ (S/S) SAR]]-TABL12345[[#This Row],[(S/S) AJD]]</f>
        <v/>
      </c>
      <c r="Q241" s="40" t="n"/>
      <c r="R241" s="3">
        <f>TABL12345[[#This Row],[ (T/B) SAR]]-TABL12345[[#This Row],[(T/B) AJD]]</f>
        <v/>
      </c>
      <c r="S241" s="3">
        <f>TABL12345[[#This Row],[S/S_CON.]]+TABL12345[[#This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TABL12345[[#This Row],[(RESV. STORGE) AJD]]/10</f>
        <v/>
      </c>
      <c r="AB241" s="3">
        <f>IF(TRIM(Z241)="",,(Z241-Z240)/1000)</f>
        <v/>
      </c>
      <c r="AC241" s="5" t="n"/>
      <c r="AD241" s="40">
        <f>(TABL12345[[#This Row],[( S/S+T/B) AJD]]*1000)-((TABL12345[[#This Row],[(STORGE DIFF.) AJD]]*1000)+TABL12345[[#This Row],[AJD_Evaporation]]+(TABL12345[[#This Row],[(A/B + A/S) AJD]]*1000))</f>
        <v/>
      </c>
      <c r="AE241" s="44" t="n"/>
      <c r="AF241" s="45" t="n"/>
      <c r="AG241" s="45" t="n"/>
      <c r="AH241" s="6">
        <f>TABL12345[[#This Row],[ (RESV. STORGE) BER]]/10</f>
        <v/>
      </c>
      <c r="AI241" s="44" t="n"/>
      <c r="AJ241" s="45">
        <f>TABL12345[[#This Row],[(A/B) AJD]]-TABL12345[[#This Row],[BER_IN]]</f>
        <v/>
      </c>
      <c r="AK241" s="45" t="n"/>
      <c r="AL241" s="45" t="n"/>
      <c r="AM241" s="32" t="n"/>
      <c r="AN241" s="32">
        <f>TABL12345[[#This Row],[ (RESV. STORGE) SER]]/10</f>
        <v/>
      </c>
      <c r="AO241" s="68" t="n"/>
      <c r="AP241" s="68">
        <f>TABL12345[[#This Row],[(A/S) AJD]]-TABL12345[[#This Row],[SER_IN]]</f>
        <v/>
      </c>
    </row>
    <row r="242" ht="18.75" customHeight="1">
      <c r="A242" s="2" t="n">
        <v>46993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TABL12345[[#This Row],[ (T/B) SAR]]+TABL12345[[#This Row],[ (S/S) SAR]]</f>
        <v/>
      </c>
      <c r="L242" s="41" t="n"/>
      <c r="M242" s="42" t="n"/>
      <c r="N242" s="42" t="n"/>
      <c r="O242" s="39" t="n"/>
      <c r="P242" s="3">
        <f>TABL12345[[#This Row],[ (S/S) SAR]]-TABL12345[[#This Row],[(S/S) AJD]]</f>
        <v/>
      </c>
      <c r="Q242" s="39" t="n"/>
      <c r="R242" s="3">
        <f>TABL12345[[#This Row],[ (T/B) SAR]]-TABL12345[[#This Row],[(T/B) AJD]]</f>
        <v/>
      </c>
      <c r="S242" s="3">
        <f>TABL12345[[#This Row],[S/S_CON.]]+TABL12345[[#This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TABL12345[[#This Row],[(RESV. STORGE) AJD]]/10</f>
        <v/>
      </c>
      <c r="AB242" s="3">
        <f>IF(TRIM(Z242)="",,(Z242-Z241)/1000)</f>
        <v/>
      </c>
      <c r="AC242" s="5" t="n"/>
      <c r="AD242" s="39">
        <f>(TABL12345[[#This Row],[( S/S+T/B) AJD]]*1000)-((TABL12345[[#This Row],[(STORGE DIFF.) AJD]]*1000)+TABL12345[[#This Row],[AJD_Evaporation]]+(TABL12345[[#This Row],[(A/B + A/S) AJD]]*1000))</f>
        <v/>
      </c>
      <c r="AE242" s="41" t="n"/>
      <c r="AF242" s="43" t="n"/>
      <c r="AG242" s="43" t="n"/>
      <c r="AH242" s="6">
        <f>TABL12345[[#This Row],[ (RESV. STORGE) BER]]/10</f>
        <v/>
      </c>
      <c r="AI242" s="41" t="n"/>
      <c r="AJ242" s="43">
        <f>TABL12345[[#This Row],[(A/B) AJD]]-TABL12345[[#This Row],[BER_IN]]</f>
        <v/>
      </c>
      <c r="AK242" s="43" t="n"/>
      <c r="AL242" s="43" t="n"/>
      <c r="AM242" s="32" t="n"/>
      <c r="AN242" s="32">
        <f>TABL12345[[#This Row],[ (RESV. STORGE) SER]]/10</f>
        <v/>
      </c>
      <c r="AO242" s="68" t="n"/>
      <c r="AP242" s="68">
        <f>TABL12345[[#This Row],[(A/S) AJD]]-TABL12345[[#This Row],[SER_IN]]</f>
        <v/>
      </c>
    </row>
    <row r="243" ht="18.75" customHeight="1">
      <c r="A243" s="2" t="n">
        <v>46994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TABL12345[[#This Row],[ (T/B) SAR]]+TABL12345[[#This Row],[ (S/S) SAR]]</f>
        <v/>
      </c>
      <c r="L243" s="45" t="n"/>
      <c r="M243" s="46" t="n"/>
      <c r="N243" s="46" t="n"/>
      <c r="O243" s="40" t="n"/>
      <c r="P243" s="3">
        <f>TABL12345[[#This Row],[ (S/S) SAR]]-TABL12345[[#This Row],[(S/S) AJD]]</f>
        <v/>
      </c>
      <c r="Q243" s="40" t="n"/>
      <c r="R243" s="3">
        <f>TABL12345[[#This Row],[ (T/B) SAR]]-TABL12345[[#This Row],[(T/B) AJD]]</f>
        <v/>
      </c>
      <c r="S243" s="3">
        <f>TABL12345[[#This Row],[S/S_CON.]]+TABL12345[[#This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TABL12345[[#This Row],[(RESV. STORGE) AJD]]/10</f>
        <v/>
      </c>
      <c r="AB243" s="3">
        <f>IF(TRIM(Z243)="",,(Z243-Z242)/1000)</f>
        <v/>
      </c>
      <c r="AC243" s="5" t="n"/>
      <c r="AD243" s="70">
        <f>(TABL12345[[#This Row],[( S/S+T/B) AJD]]*1000)-((TABL12345[[#This Row],[(STORGE DIFF.) AJD]]*1000)+TABL12345[[#This Row],[AJD_Evaporation]]+(TABL12345[[#This Row],[(A/B + A/S) AJD]]*1000))</f>
        <v/>
      </c>
      <c r="AE243" s="44" t="n"/>
      <c r="AF243" s="45" t="n"/>
      <c r="AG243" s="45" t="n"/>
      <c r="AH243" s="6">
        <f>TABL12345[[#This Row],[ (RESV. STORGE) BER]]/10</f>
        <v/>
      </c>
      <c r="AI243" s="44" t="n"/>
      <c r="AJ243" s="90">
        <f>TABL12345[[#This Row],[(A/B) AJD]]-TABL12345[[#This Row],[BER_IN]]</f>
        <v/>
      </c>
      <c r="AK243" s="45" t="n"/>
      <c r="AL243" s="45" t="n"/>
      <c r="AM243" s="32" t="n"/>
      <c r="AN243" s="32">
        <f>TABL12345[[#This Row],[ (RESV. STORGE) SER]]/10</f>
        <v/>
      </c>
      <c r="AO243" s="68" t="n"/>
      <c r="AP243" s="68">
        <f>TABL12345[[#This Row],[(A/S) AJD]]-TABL12345[[#This Row],[SER_IN]]</f>
        <v/>
      </c>
    </row>
    <row r="244" ht="18.75" customHeight="1">
      <c r="A244" s="2" t="n">
        <v>46995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TABL12345[[#This Row],[ (T/B) SAR]]+TABL12345[[#This Row],[ (S/S) SAR]]</f>
        <v/>
      </c>
      <c r="L244" s="41" t="n"/>
      <c r="M244" s="42" t="n"/>
      <c r="N244" s="42" t="n"/>
      <c r="O244" s="39" t="n"/>
      <c r="P244" s="3">
        <f>TABL12345[[#This Row],[ (S/S) SAR]]-TABL12345[[#This Row],[(S/S) AJD]]</f>
        <v/>
      </c>
      <c r="Q244" s="39" t="n"/>
      <c r="R244" s="3">
        <f>TABL12345[[#This Row],[ (T/B) SAR]]-TABL12345[[#This Row],[(T/B) AJD]]</f>
        <v/>
      </c>
      <c r="S244" s="3">
        <f>TABL12345[[#This Row],[S/S_CON.]]+TABL12345[[#This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TABL12345[[#This Row],[(RESV. STORGE) AJD]]/10</f>
        <v/>
      </c>
      <c r="AB244" s="3">
        <f>IF(TRIM(Z244)="",,(Z244-Z243)/1000)</f>
        <v/>
      </c>
      <c r="AC244" s="5" t="n"/>
      <c r="AD244" s="39">
        <f>(TABL12345[[#This Row],[( S/S+T/B) AJD]]*1000)-((TABL12345[[#This Row],[(STORGE DIFF.) AJD]]*1000)+TABL12345[[#This Row],[AJD_Evaporation]]+(TABL12345[[#This Row],[(A/B + A/S) AJD]]*1000))</f>
        <v/>
      </c>
      <c r="AE244" s="41" t="n"/>
      <c r="AF244" s="43" t="n"/>
      <c r="AG244" s="43" t="n"/>
      <c r="AH244" s="6">
        <f>TABL12345[[#This Row],[ (RESV. STORGE) BER]]/10</f>
        <v/>
      </c>
      <c r="AI244" s="41" t="n"/>
      <c r="AJ244" s="43">
        <f>TABL12345[[#This Row],[(A/B) AJD]]-TABL12345[[#This Row],[BER_IN]]</f>
        <v/>
      </c>
      <c r="AK244" s="43" t="n"/>
      <c r="AL244" s="43" t="n"/>
      <c r="AM244" s="32" t="n"/>
      <c r="AN244" s="32">
        <f>TABL12345[[#This Row],[ (RESV. STORGE) SER]]/10</f>
        <v/>
      </c>
      <c r="AO244" s="68" t="n"/>
      <c r="AP244" s="68">
        <f>TABL12345[[#This Row],[(A/S) AJD]]-TABL12345[[#This Row],[SER_IN]]</f>
        <v/>
      </c>
    </row>
    <row r="245" ht="18.75" customHeight="1">
      <c r="A245" s="2" t="n">
        <v>46996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TABL12345[[#This Row],[ (T/B) SAR]]+TABL12345[[#This Row],[ (S/S) SAR]]</f>
        <v/>
      </c>
      <c r="L245" s="41" t="n"/>
      <c r="M245" s="42" t="n"/>
      <c r="N245" s="42" t="n"/>
      <c r="O245" s="39" t="n"/>
      <c r="P245" s="14">
        <f>TABL12345[[#This Row],[ (S/S) SAR]]-TABL12345[[#This Row],[(S/S) AJD]]</f>
        <v/>
      </c>
      <c r="Q245" s="39" t="n"/>
      <c r="R245" s="14">
        <f>TABL12345[[#This Row],[ (T/B) SAR]]-TABL12345[[#This Row],[(T/B) AJD]]</f>
        <v/>
      </c>
      <c r="S245" s="14">
        <f>TABL12345[[#This Row],[S/S_CON.]]+TABL12345[[#This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TABL12345[[#This Row],[(RESV. STORGE) AJD]]/10</f>
        <v/>
      </c>
      <c r="AB245" s="3">
        <f>IF(TRIM(Z245)="",,(Z245-Z244)/1000)</f>
        <v/>
      </c>
      <c r="AC245" s="5" t="n"/>
      <c r="AD245" s="39">
        <f>(TABL12345[[#This Row],[( S/S+T/B) AJD]]*1000)-((TABL12345[[#This Row],[(STORGE DIFF.) AJD]]*1000)+TABL12345[[#This Row],[AJD_Evaporation]]+(TABL12345[[#This Row],[(A/B + A/S) AJD]]*1000))</f>
        <v/>
      </c>
      <c r="AE245" s="41" t="n"/>
      <c r="AF245" s="43" t="n"/>
      <c r="AG245" s="43" t="n"/>
      <c r="AH245" s="6">
        <f>TABL12345[[#This Row],[ (RESV. STORGE) BER]]/10</f>
        <v/>
      </c>
      <c r="AI245" s="41" t="n"/>
      <c r="AJ245" s="43">
        <f>TABL12345[[#This Row],[(A/B) AJD]]-TABL12345[[#This Row],[BER_IN]]</f>
        <v/>
      </c>
      <c r="AK245" s="43" t="n"/>
      <c r="AL245" s="43" t="n"/>
      <c r="AM245" s="32" t="n"/>
      <c r="AN245" s="32">
        <f>TABL12345[[#This Row],[ (RESV. STORGE) SER]]/10</f>
        <v/>
      </c>
      <c r="AO245" s="68" t="n"/>
      <c r="AP245" s="68">
        <f>TABL12345[[#This Row],[(A/S) AJD]]-TABL12345[[#This Row],[SER_IN]]</f>
        <v/>
      </c>
    </row>
    <row r="246" ht="18.75" customHeight="1">
      <c r="A246" s="2" t="n">
        <v>46997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TABL12345[[#This Row],[ (T/B) SAR]]+TABL12345[[#This Row],[ (S/S) SAR]]</f>
        <v/>
      </c>
      <c r="L246" s="45" t="n"/>
      <c r="M246" s="46" t="n"/>
      <c r="N246" s="46" t="n"/>
      <c r="O246" s="40" t="n"/>
      <c r="P246" s="14">
        <f>TABL12345[[#This Row],[ (S/S) SAR]]-TABL12345[[#This Row],[(S/S) AJD]]</f>
        <v/>
      </c>
      <c r="Q246" s="40" t="n"/>
      <c r="R246" s="14">
        <f>TABL12345[[#This Row],[ (T/B) SAR]]-TABL12345[[#This Row],[(T/B) AJD]]</f>
        <v/>
      </c>
      <c r="S246" s="14">
        <f>TABL12345[[#This Row],[S/S_CON.]]+TABL12345[[#This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TABL12345[[#This Row],[(RESV. STORGE) AJD]]/10</f>
        <v/>
      </c>
      <c r="AB246" s="3">
        <f>IF(TRIM(Z246)="",,(Z246-Z245)/1000)</f>
        <v/>
      </c>
      <c r="AC246" s="5" t="n"/>
      <c r="AD246" s="40">
        <f>(TABL12345[[#This Row],[( S/S+T/B) AJD]]*1000)-((TABL12345[[#This Row],[(STORGE DIFF.) AJD]]*1000)+TABL12345[[#This Row],[AJD_Evaporation]]+(TABL12345[[#This Row],[(A/B + A/S) AJD]]*1000))</f>
        <v/>
      </c>
      <c r="AE246" s="44" t="n"/>
      <c r="AF246" s="45" t="n"/>
      <c r="AG246" s="45" t="n"/>
      <c r="AH246" s="6">
        <f>TABL12345[[#This Row],[ (RESV. STORGE) BER]]/10</f>
        <v/>
      </c>
      <c r="AI246" s="44" t="n"/>
      <c r="AJ246" s="45">
        <f>TABL12345[[#This Row],[(A/B) AJD]]-TABL12345[[#This Row],[BER_IN]]</f>
        <v/>
      </c>
      <c r="AK246" s="45" t="n"/>
      <c r="AL246" s="45" t="n"/>
      <c r="AM246" s="32" t="n"/>
      <c r="AN246" s="32">
        <f>TABL12345[[#This Row],[ (RESV. STORGE) SER]]/10</f>
        <v/>
      </c>
      <c r="AO246" s="68" t="n"/>
      <c r="AP246" s="68">
        <f>TABL12345[[#This Row],[(A/S) AJD]]-TABL12345[[#This Row],[SER_IN]]</f>
        <v/>
      </c>
    </row>
    <row r="247" ht="18.75" customHeight="1">
      <c r="A247" s="2" t="n">
        <v>46998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TABL12345[[#This Row],[ (T/B) SAR]]+TABL12345[[#This Row],[ (S/S) SAR]]</f>
        <v/>
      </c>
      <c r="L247" s="41" t="n"/>
      <c r="M247" s="42" t="n"/>
      <c r="N247" s="42" t="n"/>
      <c r="O247" s="39" t="n"/>
      <c r="P247" s="14">
        <f>TABL12345[[#This Row],[ (S/S) SAR]]-TABL12345[[#This Row],[(S/S) AJD]]</f>
        <v/>
      </c>
      <c r="Q247" s="39" t="n"/>
      <c r="R247" s="14">
        <f>TABL12345[[#This Row],[ (T/B) SAR]]-TABL12345[[#This Row],[(T/B) AJD]]</f>
        <v/>
      </c>
      <c r="S247" s="14">
        <f>TABL12345[[#This Row],[S/S_CON.]]+TABL12345[[#This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TABL12345[[#This Row],[(RESV. STORGE) AJD]]/10</f>
        <v/>
      </c>
      <c r="AB247" s="3">
        <f>IF(TRIM(Z247)="",,(Z247-Z246)/1000)</f>
        <v/>
      </c>
      <c r="AC247" s="5" t="n"/>
      <c r="AD247" s="39">
        <f>(TABL12345[[#This Row],[( S/S+T/B) AJD]]*1000)-((TABL12345[[#This Row],[(STORGE DIFF.) AJD]]*1000)+TABL12345[[#This Row],[AJD_Evaporation]]+(TABL12345[[#This Row],[(A/B + A/S) AJD]]*1000))</f>
        <v/>
      </c>
      <c r="AE247" s="41" t="n"/>
      <c r="AF247" s="43" t="n"/>
      <c r="AG247" s="43" t="n"/>
      <c r="AH247" s="6">
        <f>TABL12345[[#This Row],[ (RESV. STORGE) BER]]/10</f>
        <v/>
      </c>
      <c r="AI247" s="41" t="n"/>
      <c r="AJ247" s="43">
        <f>TABL12345[[#This Row],[(A/B) AJD]]-TABL12345[[#This Row],[BER_IN]]</f>
        <v/>
      </c>
      <c r="AK247" s="43" t="n"/>
      <c r="AL247" s="43" t="n"/>
      <c r="AM247" s="32" t="n"/>
      <c r="AN247" s="32">
        <f>TABL12345[[#This Row],[ (RESV. STORGE) SER]]/10</f>
        <v/>
      </c>
      <c r="AO247" s="68" t="n"/>
      <c r="AP247" s="68">
        <f>TABL12345[[#This Row],[(A/S) AJD]]-TABL12345[[#This Row],[SER_IN]]</f>
        <v/>
      </c>
    </row>
    <row r="248" ht="18.75" customHeight="1">
      <c r="A248" s="2" t="n">
        <v>46999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TABL12345[[#This Row],[ (T/B) SAR]]+TABL12345[[#This Row],[ (S/S) SAR]]</f>
        <v/>
      </c>
      <c r="L248" s="45" t="n"/>
      <c r="M248" s="46" t="n"/>
      <c r="N248" s="46" t="n"/>
      <c r="O248" s="40" t="n"/>
      <c r="P248" s="14">
        <f>TABL12345[[#This Row],[ (S/S) SAR]]-TABL12345[[#This Row],[(S/S) AJD]]</f>
        <v/>
      </c>
      <c r="Q248" s="40" t="n"/>
      <c r="R248" s="14">
        <f>TABL12345[[#This Row],[ (T/B) SAR]]-TABL12345[[#This Row],[(T/B) AJD]]</f>
        <v/>
      </c>
      <c r="S248" s="14">
        <f>TABL12345[[#This Row],[S/S_CON.]]+TABL12345[[#This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TABL12345[[#This Row],[(RESV. STORGE) AJD]]/10</f>
        <v/>
      </c>
      <c r="AB248" s="3">
        <f>IF(TRIM(Z248)="",,(Z248-Z247)/1000)</f>
        <v/>
      </c>
      <c r="AC248" s="5" t="n"/>
      <c r="AD248" s="40">
        <f>(TABL12345[[#This Row],[( S/S+T/B) AJD]]*1000)-((TABL12345[[#This Row],[(STORGE DIFF.) AJD]]*1000)+TABL12345[[#This Row],[AJD_Evaporation]]+(TABL12345[[#This Row],[(A/B + A/S) AJD]]*1000))</f>
        <v/>
      </c>
      <c r="AE248" s="44" t="n"/>
      <c r="AF248" s="45" t="n"/>
      <c r="AG248" s="45" t="n"/>
      <c r="AH248" s="6">
        <f>TABL12345[[#This Row],[ (RESV. STORGE) BER]]/10</f>
        <v/>
      </c>
      <c r="AI248" s="44" t="n"/>
      <c r="AJ248" s="45">
        <f>TABL12345[[#This Row],[(A/B) AJD]]-TABL12345[[#This Row],[BER_IN]]</f>
        <v/>
      </c>
      <c r="AK248" s="45" t="n"/>
      <c r="AL248" s="45" t="n"/>
      <c r="AM248" s="32" t="n"/>
      <c r="AN248" s="32">
        <f>TABL12345[[#This Row],[ (RESV. STORGE) SER]]/10</f>
        <v/>
      </c>
      <c r="AO248" s="68" t="n"/>
      <c r="AP248" s="68">
        <f>TABL12345[[#This Row],[(A/S) AJD]]-TABL12345[[#This Row],[SER_IN]]</f>
        <v/>
      </c>
    </row>
    <row r="249" ht="18.75" customHeight="1">
      <c r="A249" s="2" t="n">
        <v>47000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TABL12345[[#This Row],[ (T/B) SAR]]+TABL12345[[#This Row],[ (S/S) SAR]]</f>
        <v/>
      </c>
      <c r="L249" s="41" t="n"/>
      <c r="M249" s="42" t="n"/>
      <c r="N249" s="42" t="n"/>
      <c r="O249" s="39" t="n"/>
      <c r="P249" s="14">
        <f>TABL12345[[#This Row],[ (S/S) SAR]]-TABL12345[[#This Row],[(S/S) AJD]]</f>
        <v/>
      </c>
      <c r="Q249" s="39" t="n"/>
      <c r="R249" s="14">
        <f>TABL12345[[#This Row],[ (T/B) SAR]]-TABL12345[[#This Row],[(T/B) AJD]]</f>
        <v/>
      </c>
      <c r="S249" s="14">
        <f>TABL12345[[#This Row],[S/S_CON.]]+TABL12345[[#This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TABL12345[[#This Row],[(RESV. STORGE) AJD]]/10</f>
        <v/>
      </c>
      <c r="AB249" s="3">
        <f>IF(TRIM(Z249)="",,(Z249-Z248)/1000)</f>
        <v/>
      </c>
      <c r="AC249" s="5" t="n"/>
      <c r="AD249" s="39">
        <f>(TABL12345[[#This Row],[( S/S+T/B) AJD]]*1000)-((TABL12345[[#This Row],[(STORGE DIFF.) AJD]]*1000)+TABL12345[[#This Row],[AJD_Evaporation]]+(TABL12345[[#This Row],[(A/B + A/S) AJD]]*1000))</f>
        <v/>
      </c>
      <c r="AE249" s="41" t="n"/>
      <c r="AF249" s="43" t="n"/>
      <c r="AG249" s="43" t="n"/>
      <c r="AH249" s="6">
        <f>TABL12345[[#This Row],[ (RESV. STORGE) BER]]/10</f>
        <v/>
      </c>
      <c r="AI249" s="41" t="n"/>
      <c r="AJ249" s="43">
        <f>TABL12345[[#This Row],[(A/B) AJD]]-TABL12345[[#This Row],[BER_IN]]</f>
        <v/>
      </c>
      <c r="AK249" s="43" t="n"/>
      <c r="AL249" s="43" t="n"/>
      <c r="AM249" s="32" t="n"/>
      <c r="AN249" s="32">
        <f>TABL12345[[#This Row],[ (RESV. STORGE) SER]]/10</f>
        <v/>
      </c>
      <c r="AO249" s="68" t="n"/>
      <c r="AP249" s="68">
        <f>TABL12345[[#This Row],[(A/S) AJD]]-TABL12345[[#This Row],[SER_IN]]</f>
        <v/>
      </c>
    </row>
    <row r="250" ht="18.75" customHeight="1">
      <c r="A250" s="2" t="n">
        <v>47001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TABL12345[[#This Row],[ (T/B) SAR]]+TABL12345[[#This Row],[ (S/S) SAR]]</f>
        <v/>
      </c>
      <c r="L250" s="45" t="n"/>
      <c r="M250" s="46" t="n"/>
      <c r="N250" s="46" t="n"/>
      <c r="O250" s="40" t="n"/>
      <c r="P250" s="9">
        <f>TABL12345[[#This Row],[ (S/S) SAR]]-TABL12345[[#This Row],[(S/S) AJD]]</f>
        <v/>
      </c>
      <c r="Q250" s="40" t="n"/>
      <c r="R250" s="9">
        <f>TABL12345[[#This Row],[ (T/B) SAR]]-TABL12345[[#This Row],[(T/B) AJD]]</f>
        <v/>
      </c>
      <c r="S250" s="9">
        <f>TABL12345[[#This Row],[S/S_CON.]]+TABL12345[[#This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TABL12345[[#This Row],[(RESV. STORGE) AJD]]/10</f>
        <v/>
      </c>
      <c r="AB250" s="3">
        <f>IF(TRIM(Z250)="",,(Z250-Z249)/1000)</f>
        <v/>
      </c>
      <c r="AC250" s="5" t="n"/>
      <c r="AD250" s="40">
        <f>(TABL12345[[#This Row],[( S/S+T/B) AJD]]*1000)-((TABL12345[[#This Row],[(STORGE DIFF.) AJD]]*1000)+TABL12345[[#This Row],[AJD_Evaporation]]+(TABL12345[[#This Row],[(A/B + A/S) AJD]]*1000))</f>
        <v/>
      </c>
      <c r="AE250" s="44" t="n"/>
      <c r="AF250" s="45" t="n"/>
      <c r="AG250" s="45" t="n"/>
      <c r="AH250" s="6">
        <f>TABL12345[[#This Row],[ (RESV. STORGE) BER]]/10</f>
        <v/>
      </c>
      <c r="AI250" s="44" t="n"/>
      <c r="AJ250" s="45">
        <f>TABL12345[[#This Row],[(A/B) AJD]]-TABL12345[[#This Row],[BER_IN]]</f>
        <v/>
      </c>
      <c r="AK250" s="45" t="n"/>
      <c r="AL250" s="45" t="n"/>
      <c r="AM250" s="32" t="n"/>
      <c r="AN250" s="32">
        <f>TABL12345[[#This Row],[ (RESV. STORGE) SER]]/10</f>
        <v/>
      </c>
      <c r="AO250" s="68" t="n"/>
      <c r="AP250" s="68">
        <f>TABL12345[[#This Row],[(A/S) AJD]]-TABL12345[[#This Row],[SER_IN]]</f>
        <v/>
      </c>
    </row>
    <row r="251" ht="18.75" customHeight="1">
      <c r="A251" s="2" t="n">
        <v>47002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TABL12345[[#This Row],[ (T/B) SAR]]+TABL12345[[#This Row],[ (S/S) SAR]]</f>
        <v/>
      </c>
      <c r="L251" s="41" t="n"/>
      <c r="M251" s="42" t="n"/>
      <c r="N251" s="42" t="n"/>
      <c r="O251" s="39" t="n"/>
      <c r="P251" s="9">
        <f>TABL12345[[#This Row],[ (S/S) SAR]]-TABL12345[[#This Row],[(S/S) AJD]]</f>
        <v/>
      </c>
      <c r="Q251" s="39" t="n"/>
      <c r="R251" s="9">
        <f>TABL12345[[#This Row],[ (T/B) SAR]]-TABL12345[[#This Row],[(T/B) AJD]]</f>
        <v/>
      </c>
      <c r="S251" s="9">
        <f>TABL12345[[#This Row],[S/S_CON.]]+TABL12345[[#This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TABL12345[[#This Row],[(RESV. STORGE) AJD]]/10</f>
        <v/>
      </c>
      <c r="AB251" s="3">
        <f>IF(TRIM(Z251)="",,(Z251-Z250)/1000)</f>
        <v/>
      </c>
      <c r="AC251" s="5" t="n"/>
      <c r="AD251" s="39">
        <f>(TABL12345[[#This Row],[( S/S+T/B) AJD]]*1000)-((TABL12345[[#This Row],[(STORGE DIFF.) AJD]]*1000)+TABL12345[[#This Row],[AJD_Evaporation]]+(TABL12345[[#This Row],[(A/B + A/S) AJD]]*1000))</f>
        <v/>
      </c>
      <c r="AE251" s="41" t="n"/>
      <c r="AF251" s="43" t="n"/>
      <c r="AG251" s="43" t="n"/>
      <c r="AH251" s="6">
        <f>TABL12345[[#This Row],[ (RESV. STORGE) BER]]/10</f>
        <v/>
      </c>
      <c r="AI251" s="41" t="n"/>
      <c r="AJ251" s="43">
        <f>TABL12345[[#This Row],[(A/B) AJD]]-TABL12345[[#This Row],[BER_IN]]</f>
        <v/>
      </c>
      <c r="AK251" s="43" t="n"/>
      <c r="AL251" s="43" t="n"/>
      <c r="AM251" s="32" t="n"/>
      <c r="AN251" s="32">
        <f>TABL12345[[#This Row],[ (RESV. STORGE) SER]]/10</f>
        <v/>
      </c>
      <c r="AO251" s="68" t="n"/>
      <c r="AP251" s="68">
        <f>TABL12345[[#This Row],[(A/S) AJD]]-TABL12345[[#This Row],[SER_IN]]</f>
        <v/>
      </c>
    </row>
    <row r="252" ht="18.75" customHeight="1">
      <c r="A252" s="2" t="n">
        <v>47003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TABL12345[[#This Row],[ (T/B) SAR]]+TABL12345[[#This Row],[ (S/S) SAR]]</f>
        <v/>
      </c>
      <c r="L252" s="45" t="n"/>
      <c r="M252" s="46" t="n"/>
      <c r="N252" s="46" t="n"/>
      <c r="O252" s="40" t="n"/>
      <c r="P252" s="9">
        <f>TABL12345[[#This Row],[ (S/S) SAR]]-TABL12345[[#This Row],[(S/S) AJD]]</f>
        <v/>
      </c>
      <c r="Q252" s="40" t="n"/>
      <c r="R252" s="9">
        <f>TABL12345[[#This Row],[ (T/B) SAR]]-TABL12345[[#This Row],[(T/B) AJD]]</f>
        <v/>
      </c>
      <c r="S252" s="9">
        <f>TABL12345[[#This Row],[S/S_CON.]]+TABL12345[[#This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TABL12345[[#This Row],[(RESV. STORGE) AJD]]/10</f>
        <v/>
      </c>
      <c r="AB252" s="3">
        <f>IF(TRIM(Z252)="",,(Z252-Z251)/1000)</f>
        <v/>
      </c>
      <c r="AC252" s="5" t="n"/>
      <c r="AD252" s="40">
        <f>(TABL12345[[#This Row],[( S/S+T/B) AJD]]*1000)-((TABL12345[[#This Row],[(STORGE DIFF.) AJD]]*1000)+TABL12345[[#This Row],[AJD_Evaporation]]+(TABL12345[[#This Row],[(A/B + A/S) AJD]]*1000))</f>
        <v/>
      </c>
      <c r="AE252" s="44" t="n"/>
      <c r="AF252" s="45" t="n"/>
      <c r="AG252" s="45" t="n"/>
      <c r="AH252" s="6">
        <f>TABL12345[[#This Row],[ (RESV. STORGE) BER]]/10</f>
        <v/>
      </c>
      <c r="AI252" s="44" t="n"/>
      <c r="AJ252" s="45">
        <f>TABL12345[[#This Row],[(A/B) AJD]]-TABL12345[[#This Row],[BER_IN]]</f>
        <v/>
      </c>
      <c r="AK252" s="45" t="n"/>
      <c r="AL252" s="45" t="n"/>
      <c r="AM252" s="32" t="n"/>
      <c r="AN252" s="32">
        <f>TABL12345[[#This Row],[ (RESV. STORGE) SER]]/10</f>
        <v/>
      </c>
      <c r="AO252" s="68" t="n"/>
      <c r="AP252" s="68">
        <f>TABL12345[[#This Row],[(A/S) AJD]]-TABL12345[[#This Row],[SER_IN]]</f>
        <v/>
      </c>
    </row>
    <row r="253" ht="18.75" customHeight="1">
      <c r="A253" s="2" t="n">
        <v>47004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TABL12345[[#This Row],[ (T/B) SAR]]+TABL12345[[#This Row],[ (S/S) SAR]]</f>
        <v/>
      </c>
      <c r="L253" s="41" t="n"/>
      <c r="M253" s="42" t="n"/>
      <c r="N253" s="42" t="n"/>
      <c r="O253" s="39" t="n"/>
      <c r="P253" s="9">
        <f>TABL12345[[#This Row],[ (S/S) SAR]]-TABL12345[[#This Row],[(S/S) AJD]]</f>
        <v/>
      </c>
      <c r="Q253" s="39" t="n"/>
      <c r="R253" s="9">
        <f>TABL12345[[#This Row],[ (T/B) SAR]]-TABL12345[[#This Row],[(T/B) AJD]]</f>
        <v/>
      </c>
      <c r="S253" s="9">
        <f>TABL12345[[#This Row],[S/S_CON.]]+TABL12345[[#This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TABL12345[[#This Row],[(RESV. STORGE) AJD]]/10</f>
        <v/>
      </c>
      <c r="AB253" s="3">
        <f>IF(TRIM(Z253)="",,(Z253-Z252)/1000)</f>
        <v/>
      </c>
      <c r="AC253" s="5" t="n"/>
      <c r="AD253" s="39">
        <f>(TABL12345[[#This Row],[( S/S+T/B) AJD]]*1000)-((TABL12345[[#This Row],[(STORGE DIFF.) AJD]]*1000)+TABL12345[[#This Row],[AJD_Evaporation]]+(TABL12345[[#This Row],[(A/B + A/S) AJD]]*1000))</f>
        <v/>
      </c>
      <c r="AE253" s="41" t="n"/>
      <c r="AF253" s="43" t="n"/>
      <c r="AG253" s="43" t="n"/>
      <c r="AH253" s="6">
        <f>TABL12345[[#This Row],[ (RESV. STORGE) BER]]/10</f>
        <v/>
      </c>
      <c r="AI253" s="41" t="n"/>
      <c r="AJ253" s="43">
        <f>TABL12345[[#This Row],[(A/B) AJD]]-TABL12345[[#This Row],[BER_IN]]</f>
        <v/>
      </c>
      <c r="AK253" s="43" t="n"/>
      <c r="AL253" s="43" t="n"/>
      <c r="AM253" s="32" t="n"/>
      <c r="AN253" s="32">
        <f>TABL12345[[#This Row],[ (RESV. STORGE) SER]]/10</f>
        <v/>
      </c>
      <c r="AO253" s="68" t="n"/>
      <c r="AP253" s="68">
        <f>TABL12345[[#This Row],[(A/S) AJD]]-TABL12345[[#This Row],[SER_IN]]</f>
        <v/>
      </c>
    </row>
    <row r="254" ht="18.75" customHeight="1">
      <c r="A254" s="2" t="n">
        <v>47005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TABL12345[[#This Row],[ (T/B) SAR]]+TABL12345[[#This Row],[ (S/S) SAR]]</f>
        <v/>
      </c>
      <c r="L254" s="45" t="n"/>
      <c r="M254" s="46" t="n"/>
      <c r="N254" s="46" t="n"/>
      <c r="O254" s="40" t="n"/>
      <c r="P254" s="9">
        <f>TABL12345[[#This Row],[ (S/S) SAR]]-TABL12345[[#This Row],[(S/S) AJD]]</f>
        <v/>
      </c>
      <c r="Q254" s="40" t="n"/>
      <c r="R254" s="9">
        <f>TABL12345[[#This Row],[ (T/B) SAR]]-TABL12345[[#This Row],[(T/B) AJD]]</f>
        <v/>
      </c>
      <c r="S254" s="9">
        <f>TABL12345[[#This Row],[S/S_CON.]]+TABL12345[[#This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TABL12345[[#This Row],[(RESV. STORGE) AJD]]/10</f>
        <v/>
      </c>
      <c r="AB254" s="3">
        <f>IF(TRIM(Z254)="",,(Z254-Z253)/1000)</f>
        <v/>
      </c>
      <c r="AC254" s="5" t="n"/>
      <c r="AD254" s="40">
        <f>(TABL12345[[#This Row],[( S/S+T/B) AJD]]*1000)-((TABL12345[[#This Row],[(STORGE DIFF.) AJD]]*1000)+TABL12345[[#This Row],[AJD_Evaporation]]+(TABL12345[[#This Row],[(A/B + A/S) AJD]]*1000))</f>
        <v/>
      </c>
      <c r="AE254" s="44" t="n"/>
      <c r="AF254" s="45" t="n"/>
      <c r="AG254" s="45" t="n"/>
      <c r="AH254" s="6">
        <f>TABL12345[[#This Row],[ (RESV. STORGE) BER]]/10</f>
        <v/>
      </c>
      <c r="AI254" s="44" t="n"/>
      <c r="AJ254" s="45">
        <f>TABL12345[[#This Row],[(A/B) AJD]]-TABL12345[[#This Row],[BER_IN]]</f>
        <v/>
      </c>
      <c r="AK254" s="45" t="n"/>
      <c r="AL254" s="45" t="n"/>
      <c r="AM254" s="32" t="n"/>
      <c r="AN254" s="32">
        <f>TABL12345[[#This Row],[ (RESV. STORGE) SER]]/10</f>
        <v/>
      </c>
      <c r="AO254" s="68" t="n"/>
      <c r="AP254" s="68">
        <f>TABL12345[[#This Row],[(A/S) AJD]]-TABL12345[[#This Row],[SER_IN]]</f>
        <v/>
      </c>
    </row>
    <row r="255" ht="18.75" customHeight="1">
      <c r="A255" s="2" t="n">
        <v>47006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TABL12345[[#This Row],[ (T/B) SAR]]+TABL12345[[#This Row],[ (S/S) SAR]]</f>
        <v/>
      </c>
      <c r="L255" s="41" t="n"/>
      <c r="M255" s="42" t="n"/>
      <c r="N255" s="42" t="n"/>
      <c r="O255" s="39" t="n"/>
      <c r="P255" s="9">
        <f>TABL12345[[#This Row],[ (S/S) SAR]]-TABL12345[[#This Row],[(S/S) AJD]]</f>
        <v/>
      </c>
      <c r="Q255" s="39" t="n"/>
      <c r="R255" s="9">
        <f>TABL12345[[#This Row],[ (T/B) SAR]]-TABL12345[[#This Row],[(T/B) AJD]]</f>
        <v/>
      </c>
      <c r="S255" s="9">
        <f>TABL12345[[#This Row],[S/S_CON.]]+TABL12345[[#This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TABL12345[[#This Row],[(RESV. STORGE) AJD]]/10</f>
        <v/>
      </c>
      <c r="AB255" s="3">
        <f>IF(TRIM(Z255)="",,(Z255-Z254)/1000)</f>
        <v/>
      </c>
      <c r="AC255" s="5" t="n"/>
      <c r="AD255" s="39">
        <f>(TABL12345[[#This Row],[( S/S+T/B) AJD]]*1000)-((TABL12345[[#This Row],[(STORGE DIFF.) AJD]]*1000)+TABL12345[[#This Row],[AJD_Evaporation]]+(TABL12345[[#This Row],[(A/B + A/S) AJD]]*1000))</f>
        <v/>
      </c>
      <c r="AE255" s="41" t="n"/>
      <c r="AF255" s="43" t="n"/>
      <c r="AG255" s="43" t="n"/>
      <c r="AH255" s="6">
        <f>TABL12345[[#This Row],[ (RESV. STORGE) BER]]/10</f>
        <v/>
      </c>
      <c r="AI255" s="41" t="n"/>
      <c r="AJ255" s="43">
        <f>TABL12345[[#This Row],[(A/B) AJD]]-TABL12345[[#This Row],[BER_IN]]</f>
        <v/>
      </c>
      <c r="AK255" s="43" t="n"/>
      <c r="AL255" s="43" t="n"/>
      <c r="AM255" s="32" t="n"/>
      <c r="AN255" s="32">
        <f>TABL12345[[#This Row],[ (RESV. STORGE) SER]]/10</f>
        <v/>
      </c>
      <c r="AO255" s="68" t="n"/>
      <c r="AP255" s="68">
        <f>TABL12345[[#This Row],[(A/S) AJD]]-TABL12345[[#This Row],[SER_IN]]</f>
        <v/>
      </c>
    </row>
    <row r="256" ht="18.75" customHeight="1">
      <c r="A256" s="2" t="n">
        <v>47007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TABL12345[[#This Row],[ (T/B) SAR]]+TABL12345[[#This Row],[ (S/S) SAR]]</f>
        <v/>
      </c>
      <c r="L256" s="45" t="n"/>
      <c r="M256" s="46" t="n"/>
      <c r="N256" s="46" t="n"/>
      <c r="O256" s="40" t="n"/>
      <c r="P256" s="9">
        <f>TABL12345[[#This Row],[ (S/S) SAR]]-TABL12345[[#This Row],[(S/S) AJD]]</f>
        <v/>
      </c>
      <c r="Q256" s="40" t="n"/>
      <c r="R256" s="9">
        <f>TABL12345[[#This Row],[ (T/B) SAR]]-TABL12345[[#This Row],[(T/B) AJD]]</f>
        <v/>
      </c>
      <c r="S256" s="9">
        <f>TABL12345[[#This Row],[S/S_CON.]]+TABL12345[[#This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TABL12345[[#This Row],[(RESV. STORGE) AJD]]/10</f>
        <v/>
      </c>
      <c r="AB256" s="3">
        <f>IF(TRIM(Z256)="",,(Z256-Z255)/1000)</f>
        <v/>
      </c>
      <c r="AC256" s="5" t="n"/>
      <c r="AD256" s="40">
        <f>(TABL12345[[#This Row],[( S/S+T/B) AJD]]*1000)-((TABL12345[[#This Row],[(STORGE DIFF.) AJD]]*1000)+TABL12345[[#This Row],[AJD_Evaporation]]+(TABL12345[[#This Row],[(A/B + A/S) AJD]]*1000))</f>
        <v/>
      </c>
      <c r="AE256" s="44" t="n"/>
      <c r="AF256" s="45" t="n"/>
      <c r="AG256" s="45" t="n"/>
      <c r="AH256" s="6">
        <f>TABL12345[[#This Row],[ (RESV. STORGE) BER]]/10</f>
        <v/>
      </c>
      <c r="AI256" s="44" t="n"/>
      <c r="AJ256" s="45">
        <f>TABL12345[[#This Row],[(A/B) AJD]]-TABL12345[[#This Row],[BER_IN]]</f>
        <v/>
      </c>
      <c r="AK256" s="45" t="n"/>
      <c r="AL256" s="45" t="n"/>
      <c r="AM256" s="32" t="n"/>
      <c r="AN256" s="32">
        <f>TABL12345[[#This Row],[ (RESV. STORGE) SER]]/10</f>
        <v/>
      </c>
      <c r="AO256" s="68" t="n"/>
      <c r="AP256" s="68">
        <f>TABL12345[[#This Row],[(A/S) AJD]]-TABL12345[[#This Row],[SER_IN]]</f>
        <v/>
      </c>
    </row>
    <row r="257" ht="18.75" customHeight="1">
      <c r="A257" s="2" t="n">
        <v>47008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TABL12345[[#This Row],[ (T/B) SAR]]+TABL12345[[#This Row],[ (S/S) SAR]]</f>
        <v/>
      </c>
      <c r="L257" s="41" t="n"/>
      <c r="M257" s="42" t="n"/>
      <c r="N257" s="42" t="n"/>
      <c r="O257" s="39" t="n"/>
      <c r="P257" s="9">
        <f>TABL12345[[#This Row],[ (S/S) SAR]]-TABL12345[[#This Row],[(S/S) AJD]]</f>
        <v/>
      </c>
      <c r="Q257" s="39" t="n"/>
      <c r="R257" s="9">
        <f>TABL12345[[#This Row],[ (T/B) SAR]]-TABL12345[[#This Row],[(T/B) AJD]]</f>
        <v/>
      </c>
      <c r="S257" s="9">
        <f>TABL12345[[#This Row],[S/S_CON.]]+TABL12345[[#This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TABL12345[[#This Row],[(RESV. STORGE) AJD]]/10</f>
        <v/>
      </c>
      <c r="AB257" s="3">
        <f>IF(TRIM(Z257)="",,(Z257-Z256)/1000)</f>
        <v/>
      </c>
      <c r="AC257" s="5" t="n"/>
      <c r="AD257" s="39">
        <f>(TABL12345[[#This Row],[( S/S+T/B) AJD]]*1000)-((TABL12345[[#This Row],[(STORGE DIFF.) AJD]]*1000)+TABL12345[[#This Row],[AJD_Evaporation]]+(TABL12345[[#This Row],[(A/B + A/S) AJD]]*1000))</f>
        <v/>
      </c>
      <c r="AE257" s="41" t="n"/>
      <c r="AF257" s="43" t="n"/>
      <c r="AG257" s="43" t="n"/>
      <c r="AH257" s="6">
        <f>TABL12345[[#This Row],[ (RESV. STORGE) BER]]/10</f>
        <v/>
      </c>
      <c r="AI257" s="41" t="n"/>
      <c r="AJ257" s="43">
        <f>TABL12345[[#This Row],[(A/B) AJD]]-TABL12345[[#This Row],[BER_IN]]</f>
        <v/>
      </c>
      <c r="AK257" s="43" t="n"/>
      <c r="AL257" s="43" t="n"/>
      <c r="AM257" s="32" t="n"/>
      <c r="AN257" s="32">
        <f>TABL12345[[#This Row],[ (RESV. STORGE) SER]]/10</f>
        <v/>
      </c>
      <c r="AO257" s="68" t="n"/>
      <c r="AP257" s="68">
        <f>TABL12345[[#This Row],[(A/S) AJD]]-TABL12345[[#This Row],[SER_IN]]</f>
        <v/>
      </c>
    </row>
    <row r="258" ht="18.75" customHeight="1">
      <c r="A258" s="2" t="n">
        <v>47009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TABL12345[[#This Row],[ (T/B) SAR]]+TABL12345[[#This Row],[ (S/S) SAR]]</f>
        <v/>
      </c>
      <c r="L258" s="45" t="n"/>
      <c r="M258" s="46" t="n"/>
      <c r="N258" s="46" t="n"/>
      <c r="O258" s="40" t="n"/>
      <c r="P258" s="9">
        <f>TABL12345[[#This Row],[ (S/S) SAR]]-TABL12345[[#This Row],[(S/S) AJD]]</f>
        <v/>
      </c>
      <c r="Q258" s="40" t="n"/>
      <c r="R258" s="9">
        <f>TABL12345[[#This Row],[ (T/B) SAR]]-TABL12345[[#This Row],[(T/B) AJD]]</f>
        <v/>
      </c>
      <c r="S258" s="9">
        <f>TABL12345[[#This Row],[S/S_CON.]]+TABL12345[[#This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TABL12345[[#This Row],[(RESV. STORGE) AJD]]/10</f>
        <v/>
      </c>
      <c r="AB258" s="3">
        <f>IF(TRIM(Z258)="",,(Z258-Z257)/1000)</f>
        <v/>
      </c>
      <c r="AC258" s="5" t="n"/>
      <c r="AD258" s="40">
        <f>(TABL12345[[#This Row],[( S/S+T/B) AJD]]*1000)-((TABL12345[[#This Row],[(STORGE DIFF.) AJD]]*1000)+TABL12345[[#This Row],[AJD_Evaporation]]+(TABL12345[[#This Row],[(A/B + A/S) AJD]]*1000))</f>
        <v/>
      </c>
      <c r="AE258" s="44" t="n"/>
      <c r="AF258" s="45" t="n"/>
      <c r="AG258" s="45" t="n"/>
      <c r="AH258" s="6">
        <f>TABL12345[[#This Row],[ (RESV. STORGE) BER]]/10</f>
        <v/>
      </c>
      <c r="AI258" s="44" t="n"/>
      <c r="AJ258" s="45">
        <f>TABL12345[[#This Row],[(A/B) AJD]]-TABL12345[[#This Row],[BER_IN]]</f>
        <v/>
      </c>
      <c r="AK258" s="45" t="n"/>
      <c r="AL258" s="45" t="n"/>
      <c r="AM258" s="32" t="n"/>
      <c r="AN258" s="32">
        <f>TABL12345[[#This Row],[ (RESV. STORGE) SER]]/10</f>
        <v/>
      </c>
      <c r="AO258" s="68" t="n"/>
      <c r="AP258" s="68">
        <f>TABL12345[[#This Row],[(A/S) AJD]]-TABL12345[[#This Row],[SER_IN]]</f>
        <v/>
      </c>
    </row>
    <row r="259" ht="18.75" customHeight="1">
      <c r="A259" s="2" t="n">
        <v>47010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TABL12345[[#This Row],[ (T/B) SAR]]+TABL12345[[#This Row],[ (S/S) SAR]]</f>
        <v/>
      </c>
      <c r="L259" s="41" t="n"/>
      <c r="M259" s="42" t="n"/>
      <c r="N259" s="42" t="n"/>
      <c r="O259" s="39" t="n"/>
      <c r="P259" s="9">
        <f>TABL12345[[#This Row],[ (S/S) SAR]]-TABL12345[[#This Row],[(S/S) AJD]]</f>
        <v/>
      </c>
      <c r="Q259" s="39" t="n"/>
      <c r="R259" s="9">
        <f>TABL12345[[#This Row],[ (T/B) SAR]]-TABL12345[[#This Row],[(T/B) AJD]]</f>
        <v/>
      </c>
      <c r="S259" s="9">
        <f>TABL12345[[#This Row],[S/S_CON.]]+TABL12345[[#This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TABL12345[[#This Row],[(RESV. STORGE) AJD]]/10</f>
        <v/>
      </c>
      <c r="AB259" s="3">
        <f>IF(TRIM(Z259)="",,(Z259-Z258)/1000)</f>
        <v/>
      </c>
      <c r="AC259" s="5" t="n"/>
      <c r="AD259" s="39">
        <f>(TABL12345[[#This Row],[( S/S+T/B) AJD]]*1000)-((TABL12345[[#This Row],[(STORGE DIFF.) AJD]]*1000)+TABL12345[[#This Row],[AJD_Evaporation]]+(TABL12345[[#This Row],[(A/B + A/S) AJD]]*1000))</f>
        <v/>
      </c>
      <c r="AE259" s="41" t="n"/>
      <c r="AF259" s="43" t="n"/>
      <c r="AG259" s="43" t="n"/>
      <c r="AH259" s="6">
        <f>TABL12345[[#This Row],[ (RESV. STORGE) BER]]/10</f>
        <v/>
      </c>
      <c r="AI259" s="41" t="n"/>
      <c r="AJ259" s="43">
        <f>TABL12345[[#This Row],[(A/B) AJD]]-TABL12345[[#This Row],[BER_IN]]</f>
        <v/>
      </c>
      <c r="AK259" s="43" t="n"/>
      <c r="AL259" s="43" t="n"/>
      <c r="AM259" s="32" t="n"/>
      <c r="AN259" s="32">
        <f>TABL12345[[#This Row],[ (RESV. STORGE) SER]]/10</f>
        <v/>
      </c>
      <c r="AO259" s="68" t="n"/>
      <c r="AP259" s="68">
        <f>TABL12345[[#This Row],[(A/S) AJD]]-TABL12345[[#This Row],[SER_IN]]</f>
        <v/>
      </c>
    </row>
    <row r="260" ht="18.75" customHeight="1">
      <c r="A260" s="2" t="n">
        <v>47011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TABL12345[[#This Row],[ (T/B) SAR]]+TABL12345[[#This Row],[ (S/S) SAR]]</f>
        <v/>
      </c>
      <c r="L260" s="45" t="n"/>
      <c r="M260" s="46" t="n"/>
      <c r="N260" s="46" t="n"/>
      <c r="O260" s="40" t="n"/>
      <c r="P260" s="9">
        <f>TABL12345[[#This Row],[ (S/S) SAR]]-TABL12345[[#This Row],[(S/S) AJD]]</f>
        <v/>
      </c>
      <c r="Q260" s="40" t="n"/>
      <c r="R260" s="9">
        <f>TABL12345[[#This Row],[ (T/B) SAR]]-TABL12345[[#This Row],[(T/B) AJD]]</f>
        <v/>
      </c>
      <c r="S260" s="9">
        <f>TABL12345[[#This Row],[S/S_CON.]]+TABL12345[[#This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TABL12345[[#This Row],[(RESV. STORGE) AJD]]/10</f>
        <v/>
      </c>
      <c r="AB260" s="3">
        <f>IF(TRIM(Z260)="",,(Z260-Z259)/1000)</f>
        <v/>
      </c>
      <c r="AC260" s="5" t="n"/>
      <c r="AD260" s="40">
        <f>(TABL12345[[#This Row],[( S/S+T/B) AJD]]*1000)-((TABL12345[[#This Row],[(STORGE DIFF.) AJD]]*1000)+TABL12345[[#This Row],[AJD_Evaporation]]+(TABL12345[[#This Row],[(A/B + A/S) AJD]]*1000))</f>
        <v/>
      </c>
      <c r="AE260" s="44" t="n"/>
      <c r="AF260" s="45" t="n"/>
      <c r="AG260" s="45" t="n"/>
      <c r="AH260" s="6">
        <f>TABL12345[[#This Row],[ (RESV. STORGE) BER]]/10</f>
        <v/>
      </c>
      <c r="AI260" s="44" t="n"/>
      <c r="AJ260" s="45">
        <f>TABL12345[[#This Row],[(A/B) AJD]]-TABL12345[[#This Row],[BER_IN]]</f>
        <v/>
      </c>
      <c r="AK260" s="45" t="n"/>
      <c r="AL260" s="45" t="n"/>
      <c r="AM260" s="32" t="n"/>
      <c r="AN260" s="32">
        <f>TABL12345[[#This Row],[ (RESV. STORGE) SER]]/10</f>
        <v/>
      </c>
      <c r="AO260" s="68" t="n"/>
      <c r="AP260" s="68">
        <f>TABL12345[[#This Row],[(A/S) AJD]]-TABL12345[[#This Row],[SER_IN]]</f>
        <v/>
      </c>
    </row>
    <row r="261" ht="18.75" customHeight="1">
      <c r="A261" s="2" t="n">
        <v>47012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TABL12345[[#This Row],[ (T/B) SAR]]+TABL12345[[#This Row],[ (S/S) SAR]]</f>
        <v/>
      </c>
      <c r="L261" s="41" t="n"/>
      <c r="M261" s="42" t="n"/>
      <c r="N261" s="42" t="n"/>
      <c r="O261" s="39" t="n"/>
      <c r="P261" s="9">
        <f>TABL12345[[#This Row],[ (S/S) SAR]]-TABL12345[[#This Row],[(S/S) AJD]]</f>
        <v/>
      </c>
      <c r="Q261" s="39" t="n"/>
      <c r="R261" s="9">
        <f>TABL12345[[#This Row],[ (T/B) SAR]]-TABL12345[[#This Row],[(T/B) AJD]]</f>
        <v/>
      </c>
      <c r="S261" s="9">
        <f>TABL12345[[#This Row],[S/S_CON.]]+TABL12345[[#This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TABL12345[[#This Row],[(RESV. STORGE) AJD]]/10</f>
        <v/>
      </c>
      <c r="AB261" s="3">
        <f>IF(TRIM(Z261)="",,(Z261-Z260)/1000)</f>
        <v/>
      </c>
      <c r="AC261" s="5" t="n"/>
      <c r="AD261" s="39">
        <f>(TABL12345[[#This Row],[( S/S+T/B) AJD]]*1000)-((TABL12345[[#This Row],[(STORGE DIFF.) AJD]]*1000)+TABL12345[[#This Row],[AJD_Evaporation]]+(TABL12345[[#This Row],[(A/B + A/S) AJD]]*1000))</f>
        <v/>
      </c>
      <c r="AE261" s="41" t="n"/>
      <c r="AF261" s="43" t="n"/>
      <c r="AG261" s="43" t="n"/>
      <c r="AH261" s="6">
        <f>TABL12345[[#This Row],[ (RESV. STORGE) BER]]/10</f>
        <v/>
      </c>
      <c r="AI261" s="41" t="n"/>
      <c r="AJ261" s="43">
        <f>TABL12345[[#This Row],[(A/B) AJD]]-TABL12345[[#This Row],[BER_IN]]</f>
        <v/>
      </c>
      <c r="AK261" s="43" t="n"/>
      <c r="AL261" s="43" t="n"/>
      <c r="AM261" s="32" t="n"/>
      <c r="AN261" s="32">
        <f>TABL12345[[#This Row],[ (RESV. STORGE) SER]]/10</f>
        <v/>
      </c>
      <c r="AO261" s="68" t="n"/>
      <c r="AP261" s="68">
        <f>TABL12345[[#This Row],[(A/S) AJD]]-TABL12345[[#This Row],[SER_IN]]</f>
        <v/>
      </c>
    </row>
    <row r="262" ht="18.75" customHeight="1">
      <c r="A262" s="2" t="n">
        <v>47013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TABL12345[[#This Row],[ (T/B) SAR]]+TABL12345[[#This Row],[ (S/S) SAR]]</f>
        <v/>
      </c>
      <c r="L262" s="45" t="n"/>
      <c r="M262" s="46" t="n"/>
      <c r="N262" s="46" t="n"/>
      <c r="O262" s="40" t="n"/>
      <c r="P262" s="9">
        <f>TABL12345[[#This Row],[ (S/S) SAR]]-TABL12345[[#This Row],[(S/S) AJD]]</f>
        <v/>
      </c>
      <c r="Q262" s="40" t="n"/>
      <c r="R262" s="9">
        <f>TABL12345[[#This Row],[ (T/B) SAR]]-TABL12345[[#This Row],[(T/B) AJD]]</f>
        <v/>
      </c>
      <c r="S262" s="9">
        <f>TABL12345[[#This Row],[S/S_CON.]]+TABL12345[[#This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TABL12345[[#This Row],[(RESV. STORGE) AJD]]/10</f>
        <v/>
      </c>
      <c r="AB262" s="3">
        <f>IF(TRIM(Z262)="",,(Z262-Z261)/1000)</f>
        <v/>
      </c>
      <c r="AC262" s="5" t="n"/>
      <c r="AD262" s="40">
        <f>(TABL12345[[#This Row],[( S/S+T/B) AJD]]*1000)-((TABL12345[[#This Row],[(STORGE DIFF.) AJD]]*1000)+TABL12345[[#This Row],[AJD_Evaporation]]+(TABL12345[[#This Row],[(A/B + A/S) AJD]]*1000))</f>
        <v/>
      </c>
      <c r="AE262" s="44" t="n"/>
      <c r="AF262" s="45" t="n"/>
      <c r="AG262" s="45" t="n"/>
      <c r="AH262" s="6">
        <f>TABL12345[[#This Row],[ (RESV. STORGE) BER]]/10</f>
        <v/>
      </c>
      <c r="AI262" s="44" t="n"/>
      <c r="AJ262" s="45">
        <f>TABL12345[[#This Row],[(A/B) AJD]]-TABL12345[[#This Row],[BER_IN]]</f>
        <v/>
      </c>
      <c r="AK262" s="45" t="n"/>
      <c r="AL262" s="45" t="n"/>
      <c r="AM262" s="32" t="n"/>
      <c r="AN262" s="32">
        <f>TABL12345[[#This Row],[ (RESV. STORGE) SER]]/10</f>
        <v/>
      </c>
      <c r="AO262" s="68" t="n"/>
      <c r="AP262" s="68">
        <f>TABL12345[[#This Row],[(A/S) AJD]]-TABL12345[[#This Row],[SER_IN]]</f>
        <v/>
      </c>
    </row>
    <row r="263" ht="18.75" customHeight="1">
      <c r="A263" s="2" t="n">
        <v>47014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TABL12345[[#This Row],[ (T/B) SAR]]+TABL12345[[#This Row],[ (S/S) SAR]]</f>
        <v/>
      </c>
      <c r="L263" s="41" t="n"/>
      <c r="M263" s="42" t="n"/>
      <c r="N263" s="42" t="n"/>
      <c r="O263" s="39" t="n"/>
      <c r="P263" s="9">
        <f>TABL12345[[#This Row],[ (S/S) SAR]]-TABL12345[[#This Row],[(S/S) AJD]]</f>
        <v/>
      </c>
      <c r="Q263" s="39" t="n"/>
      <c r="R263" s="9">
        <f>TABL12345[[#This Row],[ (T/B) SAR]]-TABL12345[[#This Row],[(T/B) AJD]]</f>
        <v/>
      </c>
      <c r="S263" s="9">
        <f>TABL12345[[#This Row],[S/S_CON.]]+TABL12345[[#This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TABL12345[[#This Row],[(RESV. STORGE) AJD]]/10</f>
        <v/>
      </c>
      <c r="AB263" s="3">
        <f>IF(TRIM(Z263)="",,(Z263-Z262)/1000)</f>
        <v/>
      </c>
      <c r="AC263" s="5" t="n"/>
      <c r="AD263" s="39">
        <f>(TABL12345[[#This Row],[( S/S+T/B) AJD]]*1000)-((TABL12345[[#This Row],[(STORGE DIFF.) AJD]]*1000)+TABL12345[[#This Row],[AJD_Evaporation]]+(TABL12345[[#This Row],[(A/B + A/S) AJD]]*1000))</f>
        <v/>
      </c>
      <c r="AE263" s="41" t="n"/>
      <c r="AF263" s="43" t="n"/>
      <c r="AG263" s="43" t="n"/>
      <c r="AH263" s="6">
        <f>TABL12345[[#This Row],[ (RESV. STORGE) BER]]/10</f>
        <v/>
      </c>
      <c r="AI263" s="41" t="n"/>
      <c r="AJ263" s="43">
        <f>TABL12345[[#This Row],[(A/B) AJD]]-TABL12345[[#This Row],[BER_IN]]</f>
        <v/>
      </c>
      <c r="AK263" s="43" t="n"/>
      <c r="AL263" s="43" t="n"/>
      <c r="AM263" s="32" t="n"/>
      <c r="AN263" s="32">
        <f>TABL12345[[#This Row],[ (RESV. STORGE) SER]]/10</f>
        <v/>
      </c>
      <c r="AO263" s="68" t="n"/>
      <c r="AP263" s="68">
        <f>TABL12345[[#This Row],[(A/S) AJD]]-TABL12345[[#This Row],[SER_IN]]</f>
        <v/>
      </c>
    </row>
    <row r="264" ht="18.75" customHeight="1">
      <c r="A264" s="2" t="n">
        <v>47015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TABL12345[[#This Row],[ (T/B) SAR]]+TABL12345[[#This Row],[ (S/S) SAR]]</f>
        <v/>
      </c>
      <c r="L264" s="45" t="n"/>
      <c r="M264" s="46" t="n"/>
      <c r="N264" s="46" t="n"/>
      <c r="O264" s="40" t="n"/>
      <c r="P264" s="9">
        <f>TABL12345[[#This Row],[ (S/S) SAR]]-TABL12345[[#This Row],[(S/S) AJD]]</f>
        <v/>
      </c>
      <c r="Q264" s="40" t="n"/>
      <c r="R264" s="9">
        <f>TABL12345[[#This Row],[ (T/B) SAR]]-TABL12345[[#This Row],[(T/B) AJD]]</f>
        <v/>
      </c>
      <c r="S264" s="9">
        <f>TABL12345[[#This Row],[S/S_CON.]]+TABL12345[[#This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TABL12345[[#This Row],[(RESV. STORGE) AJD]]/10</f>
        <v/>
      </c>
      <c r="AB264" s="3">
        <f>IF(TRIM(Z264)="",,(Z264-Z263)/1000)</f>
        <v/>
      </c>
      <c r="AC264" s="5" t="n"/>
      <c r="AD264" s="40">
        <f>(TABL12345[[#This Row],[( S/S+T/B) AJD]]*1000)-((TABL12345[[#This Row],[(STORGE DIFF.) AJD]]*1000)+TABL12345[[#This Row],[AJD_Evaporation]]+(TABL12345[[#This Row],[(A/B + A/S) AJD]]*1000))</f>
        <v/>
      </c>
      <c r="AE264" s="44" t="n"/>
      <c r="AF264" s="45" t="n"/>
      <c r="AG264" s="45" t="n"/>
      <c r="AH264" s="6">
        <f>TABL12345[[#This Row],[ (RESV. STORGE) BER]]/10</f>
        <v/>
      </c>
      <c r="AI264" s="44" t="n"/>
      <c r="AJ264" s="45">
        <f>TABL12345[[#This Row],[(A/B) AJD]]-TABL12345[[#This Row],[BER_IN]]</f>
        <v/>
      </c>
      <c r="AK264" s="45" t="n"/>
      <c r="AL264" s="45" t="n"/>
      <c r="AM264" s="32" t="n"/>
      <c r="AN264" s="32">
        <f>TABL12345[[#This Row],[ (RESV. STORGE) SER]]/10</f>
        <v/>
      </c>
      <c r="AO264" s="68" t="n"/>
      <c r="AP264" s="68">
        <f>TABL12345[[#This Row],[(A/S) AJD]]-TABL12345[[#This Row],[SER_IN]]</f>
        <v/>
      </c>
    </row>
    <row r="265" ht="18.75" customHeight="1">
      <c r="A265" s="2" t="n">
        <v>47016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TABL12345[[#This Row],[ (T/B) SAR]]+TABL12345[[#This Row],[ (S/S) SAR]]</f>
        <v/>
      </c>
      <c r="L265" s="41" t="n"/>
      <c r="M265" s="42" t="n"/>
      <c r="N265" s="42" t="n"/>
      <c r="O265" s="39" t="n"/>
      <c r="P265" s="9">
        <f>TABL12345[[#This Row],[ (S/S) SAR]]-TABL12345[[#This Row],[(S/S) AJD]]</f>
        <v/>
      </c>
      <c r="Q265" s="39" t="n"/>
      <c r="R265" s="9">
        <f>TABL12345[[#This Row],[ (T/B) SAR]]-TABL12345[[#This Row],[(T/B) AJD]]</f>
        <v/>
      </c>
      <c r="S265" s="9">
        <f>TABL12345[[#This Row],[S/S_CON.]]+TABL12345[[#This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TABL12345[[#This Row],[(RESV. STORGE) AJD]]/10</f>
        <v/>
      </c>
      <c r="AB265" s="3">
        <f>IF(TRIM(Z265)="",,(Z265-Z264)/1000)</f>
        <v/>
      </c>
      <c r="AC265" s="5" t="n"/>
      <c r="AD265" s="39">
        <f>(TABL12345[[#This Row],[( S/S+T/B) AJD]]*1000)-((TABL12345[[#This Row],[(STORGE DIFF.) AJD]]*1000)+TABL12345[[#This Row],[AJD_Evaporation]]+(TABL12345[[#This Row],[(A/B + A/S) AJD]]*1000))</f>
        <v/>
      </c>
      <c r="AE265" s="41" t="n"/>
      <c r="AF265" s="43" t="n"/>
      <c r="AG265" s="43" t="n"/>
      <c r="AH265" s="6">
        <f>TABL12345[[#This Row],[ (RESV. STORGE) BER]]/10</f>
        <v/>
      </c>
      <c r="AI265" s="41" t="n"/>
      <c r="AJ265" s="43">
        <f>TABL12345[[#This Row],[(A/B) AJD]]-TABL12345[[#This Row],[BER_IN]]</f>
        <v/>
      </c>
      <c r="AK265" s="43" t="n"/>
      <c r="AL265" s="43" t="n"/>
      <c r="AM265" s="32" t="n"/>
      <c r="AN265" s="32">
        <f>TABL12345[[#This Row],[ (RESV. STORGE) SER]]/10</f>
        <v/>
      </c>
      <c r="AO265" s="68" t="n"/>
      <c r="AP265" s="68">
        <f>TABL12345[[#This Row],[(A/S) AJD]]-TABL12345[[#This Row],[SER_IN]]</f>
        <v/>
      </c>
    </row>
    <row r="266" ht="18.75" customHeight="1">
      <c r="A266" s="2" t="n">
        <v>47017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TABL12345[[#This Row],[ (T/B) SAR]]+TABL12345[[#This Row],[ (S/S) SAR]]</f>
        <v/>
      </c>
      <c r="L266" s="45" t="n"/>
      <c r="M266" s="46" t="n"/>
      <c r="N266" s="46" t="n"/>
      <c r="O266" s="40" t="n"/>
      <c r="P266" s="9">
        <f>TABL12345[[#This Row],[ (S/S) SAR]]-TABL12345[[#This Row],[(S/S) AJD]]</f>
        <v/>
      </c>
      <c r="Q266" s="40" t="n"/>
      <c r="R266" s="9">
        <f>TABL12345[[#This Row],[ (T/B) SAR]]-TABL12345[[#This Row],[(T/B) AJD]]</f>
        <v/>
      </c>
      <c r="S266" s="9">
        <f>TABL12345[[#This Row],[S/S_CON.]]+TABL12345[[#This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TABL12345[[#This Row],[(RESV. STORGE) AJD]]/10</f>
        <v/>
      </c>
      <c r="AB266" s="3">
        <f>IF(TRIM(Z266)="",,(Z266-Z265)/1000)</f>
        <v/>
      </c>
      <c r="AC266" s="5" t="n"/>
      <c r="AD266" s="40">
        <f>(TABL12345[[#This Row],[( S/S+T/B) AJD]]*1000)-((TABL12345[[#This Row],[(STORGE DIFF.) AJD]]*1000)+TABL12345[[#This Row],[AJD_Evaporation]]+(TABL12345[[#This Row],[(A/B + A/S) AJD]]*1000))</f>
        <v/>
      </c>
      <c r="AE266" s="44" t="n"/>
      <c r="AF266" s="45" t="n"/>
      <c r="AG266" s="45" t="n"/>
      <c r="AH266" s="6">
        <f>TABL12345[[#This Row],[ (RESV. STORGE) BER]]/10</f>
        <v/>
      </c>
      <c r="AI266" s="44" t="n"/>
      <c r="AJ266" s="45">
        <f>TABL12345[[#This Row],[(A/B) AJD]]-TABL12345[[#This Row],[BER_IN]]</f>
        <v/>
      </c>
      <c r="AK266" s="45" t="n"/>
      <c r="AL266" s="45" t="n"/>
      <c r="AM266" s="32" t="n"/>
      <c r="AN266" s="32">
        <f>TABL12345[[#This Row],[ (RESV. STORGE) SER]]/10</f>
        <v/>
      </c>
      <c r="AO266" s="68" t="n"/>
      <c r="AP266" s="68">
        <f>TABL12345[[#This Row],[(A/S) AJD]]-TABL12345[[#This Row],[SER_IN]]</f>
        <v/>
      </c>
    </row>
    <row r="267" ht="18.75" customHeight="1">
      <c r="A267" s="2" t="n">
        <v>47018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TABL12345[[#This Row],[ (T/B) SAR]]+TABL12345[[#This Row],[ (S/S) SAR]]</f>
        <v/>
      </c>
      <c r="L267" s="41" t="n"/>
      <c r="M267" s="42" t="n"/>
      <c r="N267" s="42" t="n"/>
      <c r="O267" s="39" t="n"/>
      <c r="P267" s="9">
        <f>TABL12345[[#This Row],[ (S/S) SAR]]-TABL12345[[#This Row],[(S/S) AJD]]</f>
        <v/>
      </c>
      <c r="Q267" s="39" t="n"/>
      <c r="R267" s="9">
        <f>TABL12345[[#This Row],[ (T/B) SAR]]-TABL12345[[#This Row],[(T/B) AJD]]</f>
        <v/>
      </c>
      <c r="S267" s="9">
        <f>TABL12345[[#This Row],[S/S_CON.]]+TABL12345[[#This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TABL12345[[#This Row],[(RESV. STORGE) AJD]]/10</f>
        <v/>
      </c>
      <c r="AB267" s="3">
        <f>IF(TRIM(Z267)="",,(Z267-Z266)/1000)</f>
        <v/>
      </c>
      <c r="AC267" s="5" t="n"/>
      <c r="AD267" s="39">
        <f>(TABL12345[[#This Row],[( S/S+T/B) AJD]]*1000)-((TABL12345[[#This Row],[(STORGE DIFF.) AJD]]*1000)+TABL12345[[#This Row],[AJD_Evaporation]]+(TABL12345[[#This Row],[(A/B + A/S) AJD]]*1000))</f>
        <v/>
      </c>
      <c r="AE267" s="41" t="n"/>
      <c r="AF267" s="43" t="n"/>
      <c r="AG267" s="43" t="n"/>
      <c r="AH267" s="6">
        <f>TABL12345[[#This Row],[ (RESV. STORGE) BER]]/10</f>
        <v/>
      </c>
      <c r="AI267" s="41" t="n"/>
      <c r="AJ267" s="43">
        <f>TABL12345[[#This Row],[(A/B) AJD]]-TABL12345[[#This Row],[BER_IN]]</f>
        <v/>
      </c>
      <c r="AK267" s="43" t="n"/>
      <c r="AL267" s="43" t="n"/>
      <c r="AM267" s="32" t="n"/>
      <c r="AN267" s="32">
        <f>TABL12345[[#This Row],[ (RESV. STORGE) SER]]/10</f>
        <v/>
      </c>
      <c r="AO267" s="68" t="n"/>
      <c r="AP267" s="68">
        <f>TABL12345[[#This Row],[(A/S) AJD]]-TABL12345[[#This Row],[SER_IN]]</f>
        <v/>
      </c>
    </row>
    <row r="268" ht="18.75" customHeight="1">
      <c r="A268" s="2" t="n">
        <v>47019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TABL12345[[#This Row],[ (T/B) SAR]]+TABL12345[[#This Row],[ (S/S) SAR]]</f>
        <v/>
      </c>
      <c r="L268" s="45" t="n"/>
      <c r="M268" s="46" t="n"/>
      <c r="N268" s="46" t="n"/>
      <c r="O268" s="40" t="n"/>
      <c r="P268" s="9">
        <f>TABL12345[[#This Row],[ (S/S) SAR]]-TABL12345[[#This Row],[(S/S) AJD]]</f>
        <v/>
      </c>
      <c r="Q268" s="40" t="n"/>
      <c r="R268" s="9">
        <f>TABL12345[[#This Row],[ (T/B) SAR]]-TABL12345[[#This Row],[(T/B) AJD]]</f>
        <v/>
      </c>
      <c r="S268" s="9">
        <f>TABL12345[[#This Row],[S/S_CON.]]+TABL12345[[#This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TABL12345[[#This Row],[(RESV. STORGE) AJD]]/10</f>
        <v/>
      </c>
      <c r="AB268" s="3">
        <f>IF(TRIM(Z268)="",,(Z268-Z267)/1000)</f>
        <v/>
      </c>
      <c r="AC268" s="5" t="n"/>
      <c r="AD268" s="40">
        <f>(TABL12345[[#This Row],[( S/S+T/B) AJD]]*1000)-((TABL12345[[#This Row],[(STORGE DIFF.) AJD]]*1000)+TABL12345[[#This Row],[AJD_Evaporation]]+(TABL12345[[#This Row],[(A/B + A/S) AJD]]*1000))</f>
        <v/>
      </c>
      <c r="AE268" s="44" t="n"/>
      <c r="AF268" s="45" t="n"/>
      <c r="AG268" s="45" t="n"/>
      <c r="AH268" s="6">
        <f>TABL12345[[#This Row],[ (RESV. STORGE) BER]]/10</f>
        <v/>
      </c>
      <c r="AI268" s="44" t="n"/>
      <c r="AJ268" s="45">
        <f>TABL12345[[#This Row],[(A/B) AJD]]-TABL12345[[#This Row],[BER_IN]]</f>
        <v/>
      </c>
      <c r="AK268" s="45" t="n"/>
      <c r="AL268" s="45" t="n"/>
      <c r="AM268" s="32" t="n"/>
      <c r="AN268" s="32">
        <f>TABL12345[[#This Row],[ (RESV. STORGE) SER]]/10</f>
        <v/>
      </c>
      <c r="AO268" s="68" t="n"/>
      <c r="AP268" s="68">
        <f>TABL12345[[#This Row],[(A/S) AJD]]-TABL12345[[#This Row],[SER_IN]]</f>
        <v/>
      </c>
    </row>
    <row r="269" ht="18.75" customHeight="1">
      <c r="A269" s="2" t="n">
        <v>47020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TABL12345[[#This Row],[ (T/B) SAR]]+TABL12345[[#This Row],[ (S/S) SAR]]</f>
        <v/>
      </c>
      <c r="L269" s="41" t="n"/>
      <c r="M269" s="42" t="n"/>
      <c r="N269" s="42" t="n"/>
      <c r="O269" s="39" t="n"/>
      <c r="P269" s="9">
        <f>TABL12345[[#This Row],[ (S/S) SAR]]-TABL12345[[#This Row],[(S/S) AJD]]</f>
        <v/>
      </c>
      <c r="Q269" s="39" t="n"/>
      <c r="R269" s="9">
        <f>TABL12345[[#This Row],[ (T/B) SAR]]-TABL12345[[#This Row],[(T/B) AJD]]</f>
        <v/>
      </c>
      <c r="S269" s="9">
        <f>TABL12345[[#This Row],[S/S_CON.]]+TABL12345[[#This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TABL12345[[#This Row],[(RESV. STORGE) AJD]]/10</f>
        <v/>
      </c>
      <c r="AB269" s="3">
        <f>IF(TRIM(Z269)="",,(Z269-Z268)/1000)</f>
        <v/>
      </c>
      <c r="AC269" s="5" t="n"/>
      <c r="AD269" s="39">
        <f>(TABL12345[[#This Row],[( S/S+T/B) AJD]]*1000)-((TABL12345[[#This Row],[(STORGE DIFF.) AJD]]*1000)+TABL12345[[#This Row],[AJD_Evaporation]]+(TABL12345[[#This Row],[(A/B + A/S) AJD]]*1000))</f>
        <v/>
      </c>
      <c r="AE269" s="41" t="n"/>
      <c r="AF269" s="43" t="n"/>
      <c r="AG269" s="43" t="n"/>
      <c r="AH269" s="6">
        <f>TABL12345[[#This Row],[ (RESV. STORGE) BER]]/10</f>
        <v/>
      </c>
      <c r="AI269" s="41" t="n"/>
      <c r="AJ269" s="43">
        <f>TABL12345[[#This Row],[(A/B) AJD]]-TABL12345[[#This Row],[BER_IN]]</f>
        <v/>
      </c>
      <c r="AK269" s="43" t="n"/>
      <c r="AL269" s="43" t="n"/>
      <c r="AM269" s="32" t="n"/>
      <c r="AN269" s="32">
        <f>TABL12345[[#This Row],[ (RESV. STORGE) SER]]/10</f>
        <v/>
      </c>
      <c r="AO269" s="68" t="n"/>
      <c r="AP269" s="68">
        <f>TABL12345[[#This Row],[(A/S) AJD]]-TABL12345[[#This Row],[SER_IN]]</f>
        <v/>
      </c>
    </row>
    <row r="270" ht="18.75" customHeight="1">
      <c r="A270" s="2" t="n">
        <v>47021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TABL12345[[#This Row],[ (T/B) SAR]]+TABL12345[[#This Row],[ (S/S) SAR]]</f>
        <v/>
      </c>
      <c r="L270" s="45" t="n"/>
      <c r="M270" s="46" t="n"/>
      <c r="N270" s="46" t="n"/>
      <c r="O270" s="40" t="n"/>
      <c r="P270" s="9">
        <f>TABL12345[[#This Row],[ (S/S) SAR]]-TABL12345[[#This Row],[(S/S) AJD]]</f>
        <v/>
      </c>
      <c r="Q270" s="40" t="n"/>
      <c r="R270" s="9">
        <f>TABL12345[[#This Row],[ (T/B) SAR]]-TABL12345[[#This Row],[(T/B) AJD]]</f>
        <v/>
      </c>
      <c r="S270" s="9">
        <f>TABL12345[[#This Row],[S/S_CON.]]+TABL12345[[#This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TABL12345[[#This Row],[(RESV. STORGE) AJD]]/10</f>
        <v/>
      </c>
      <c r="AB270" s="3">
        <f>IF(TRIM(Z270)="",,(Z270-Z269)/1000)</f>
        <v/>
      </c>
      <c r="AC270" s="5" t="n"/>
      <c r="AD270" s="40">
        <f>(TABL12345[[#This Row],[( S/S+T/B) AJD]]*1000)-((TABL12345[[#This Row],[(STORGE DIFF.) AJD]]*1000)+TABL12345[[#This Row],[AJD_Evaporation]]+(TABL12345[[#This Row],[(A/B + A/S) AJD]]*1000))</f>
        <v/>
      </c>
      <c r="AE270" s="44" t="n"/>
      <c r="AF270" s="45" t="n"/>
      <c r="AG270" s="45" t="n"/>
      <c r="AH270" s="6">
        <f>TABL12345[[#This Row],[ (RESV. STORGE) BER]]/10</f>
        <v/>
      </c>
      <c r="AI270" s="44" t="n"/>
      <c r="AJ270" s="45">
        <f>TABL12345[[#This Row],[(A/B) AJD]]-TABL12345[[#This Row],[BER_IN]]</f>
        <v/>
      </c>
      <c r="AK270" s="45" t="n"/>
      <c r="AL270" s="45" t="n"/>
      <c r="AM270" s="32" t="n"/>
      <c r="AN270" s="32">
        <f>TABL12345[[#This Row],[ (RESV. STORGE) SER]]/10</f>
        <v/>
      </c>
      <c r="AO270" s="68" t="n"/>
      <c r="AP270" s="68">
        <f>TABL12345[[#This Row],[(A/S) AJD]]-TABL12345[[#This Row],[SER_IN]]</f>
        <v/>
      </c>
    </row>
    <row r="271" ht="18.75" customHeight="1">
      <c r="A271" s="2" t="n">
        <v>47022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TABL12345[[#This Row],[ (T/B) SAR]]+TABL12345[[#This Row],[ (S/S) SAR]]</f>
        <v/>
      </c>
      <c r="L271" s="41" t="n"/>
      <c r="M271" s="42" t="n"/>
      <c r="N271" s="42" t="n"/>
      <c r="O271" s="39" t="n"/>
      <c r="P271" s="9">
        <f>TABL12345[[#This Row],[ (S/S) SAR]]-TABL12345[[#This Row],[(S/S) AJD]]</f>
        <v/>
      </c>
      <c r="Q271" s="9" t="n"/>
      <c r="R271" s="9">
        <f>TABL12345[[#This Row],[ (T/B) SAR]]-TABL12345[[#This Row],[(T/B) AJD]]</f>
        <v/>
      </c>
      <c r="S271" s="9">
        <f>TABL12345[[#This Row],[S/S_CON.]]+TABL12345[[#This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TABL12345[[#This Row],[(RESV. STORGE) AJD]]/10</f>
        <v/>
      </c>
      <c r="AB271" s="3">
        <f>IF(TRIM(Z271)="",,(Z271-Z270)/1000)</f>
        <v/>
      </c>
      <c r="AC271" s="5" t="n"/>
      <c r="AD271" s="39">
        <f>(TABL12345[[#This Row],[( S/S+T/B) AJD]]*1000)-((TABL12345[[#This Row],[(STORGE DIFF.) AJD]]*1000)+TABL12345[[#This Row],[AJD_Evaporation]]+(TABL12345[[#This Row],[(A/B + A/S) AJD]]*1000))</f>
        <v/>
      </c>
      <c r="AE271" s="41" t="n"/>
      <c r="AF271" s="43" t="n"/>
      <c r="AG271" s="43" t="n"/>
      <c r="AH271" s="6">
        <f>TABL12345[[#This Row],[ (RESV. STORGE) BER]]/10</f>
        <v/>
      </c>
      <c r="AI271" s="41" t="n"/>
      <c r="AJ271" s="43">
        <f>TABL12345[[#This Row],[(A/B) AJD]]-TABL12345[[#This Row],[BER_IN]]</f>
        <v/>
      </c>
      <c r="AK271" s="43" t="n"/>
      <c r="AL271" s="43" t="n"/>
      <c r="AM271" s="32" t="n"/>
      <c r="AN271" s="32">
        <f>TABL12345[[#This Row],[ (RESV. STORGE) SER]]/10</f>
        <v/>
      </c>
      <c r="AO271" s="68" t="n"/>
      <c r="AP271" s="68">
        <f>TABL12345[[#This Row],[(A/S) AJD]]-TABL12345[[#This Row],[SER_IN]]</f>
        <v/>
      </c>
    </row>
    <row r="272" ht="18.75" customHeight="1">
      <c r="A272" s="2" t="n">
        <v>47023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TABL12345[[#This Row],[ (T/B) SAR]]+TABL12345[[#This Row],[ (S/S) SAR]]</f>
        <v/>
      </c>
      <c r="L272" s="45" t="n"/>
      <c r="M272" s="46" t="n"/>
      <c r="N272" s="46" t="n"/>
      <c r="O272" s="9" t="n"/>
      <c r="P272" s="9">
        <f>TABL12345[[#This Row],[ (S/S) SAR]]-TABL12345[[#This Row],[(S/S) AJD]]</f>
        <v/>
      </c>
      <c r="Q272" s="9" t="n"/>
      <c r="R272" s="9">
        <f>TABL12345[[#This Row],[ (T/B) SAR]]-TABL12345[[#This Row],[(T/B) AJD]]</f>
        <v/>
      </c>
      <c r="S272" s="9">
        <f>TABL12345[[#This Row],[S/S_CON.]]+TABL12345[[#This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TABL12345[[#This Row],[(RESV. STORGE) AJD]]/10</f>
        <v/>
      </c>
      <c r="AB272" s="3">
        <f>IF(TRIM(Z272)="",,(Z272-Z271)/1000)</f>
        <v/>
      </c>
      <c r="AC272" s="5" t="n"/>
      <c r="AD272" s="40">
        <f>(TABL12345[[#This Row],[( S/S+T/B) AJD]]*1000)-((TABL12345[[#This Row],[(STORGE DIFF.) AJD]]*1000)+TABL12345[[#This Row],[AJD_Evaporation]]+(TABL12345[[#This Row],[(A/B + A/S) AJD]]*1000))</f>
        <v/>
      </c>
      <c r="AE272" s="44" t="n"/>
      <c r="AF272" s="45" t="n"/>
      <c r="AG272" s="45" t="n"/>
      <c r="AH272" s="6">
        <f>TABL12345[[#This Row],[ (RESV. STORGE) BER]]/10</f>
        <v/>
      </c>
      <c r="AI272" s="6" t="n"/>
      <c r="AJ272" s="33">
        <f>TABL12345[[#This Row],[(A/B) AJD]]-TABL12345[[#This Row],[BER_IN]]</f>
        <v/>
      </c>
      <c r="AK272" s="6" t="n"/>
      <c r="AL272" s="6" t="n"/>
      <c r="AM272" s="32" t="n"/>
      <c r="AN272" s="32">
        <f>TABL12345[[#This Row],[ (RESV. STORGE) SER]]/10</f>
        <v/>
      </c>
      <c r="AO272" s="68" t="n"/>
      <c r="AP272" s="68">
        <f>TABL12345[[#This Row],[(A/S) AJD]]-TABL12345[[#This Row],[SER_IN]]</f>
        <v/>
      </c>
    </row>
    <row r="273" ht="18.75" customHeight="1">
      <c r="A273" s="2" t="n">
        <v>47024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TABL12345[[#This Row],[ (T/B) SAR]]+TABL12345[[#This Row],[ (S/S) SAR]]</f>
        <v/>
      </c>
      <c r="L273" s="28" t="n"/>
      <c r="M273" s="29" t="n"/>
      <c r="N273" s="30" t="n"/>
      <c r="O273" s="9" t="n"/>
      <c r="P273" s="9">
        <f>TABL12345[[#This Row],[ (S/S) SAR]]-TABL12345[[#This Row],[(S/S) AJD]]</f>
        <v/>
      </c>
      <c r="Q273" s="9" t="n"/>
      <c r="R273" s="9">
        <f>TABL12345[[#This Row],[ (T/B) SAR]]-TABL12345[[#This Row],[(T/B) AJD]]</f>
        <v/>
      </c>
      <c r="S273" s="9">
        <f>TABL12345[[#This Row],[S/S_CON.]]+TABL12345[[#This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TABL12345[[#This Row],[(RESV. STORGE) AJD]]/10</f>
        <v/>
      </c>
      <c r="AB273" s="3">
        <f>IF(TRIM(Z273)="",,(Z273-Z272)/1000)</f>
        <v/>
      </c>
      <c r="AC273" s="5" t="n"/>
      <c r="AD273" s="39">
        <f>(TABL12345[[#This Row],[( S/S+T/B) AJD]]*1000)-((TABL12345[[#This Row],[(STORGE DIFF.) AJD]]*1000)+TABL12345[[#This Row],[AJD_Evaporation]]+(TABL12345[[#This Row],[(A/B + A/S) AJD]]*1000))</f>
        <v/>
      </c>
      <c r="AE273" s="41" t="n"/>
      <c r="AF273" s="43" t="n"/>
      <c r="AG273" s="43" t="n"/>
      <c r="AH273" s="6">
        <f>TABL12345[[#This Row],[ (RESV. STORGE) BER]]/10</f>
        <v/>
      </c>
      <c r="AI273" s="6" t="n"/>
      <c r="AJ273" s="33">
        <f>TABL12345[[#This Row],[(A/B) AJD]]-TABL12345[[#This Row],[BER_IN]]</f>
        <v/>
      </c>
      <c r="AK273" s="6" t="n"/>
      <c r="AL273" s="6" t="n"/>
      <c r="AM273" s="32" t="n"/>
      <c r="AN273" s="32">
        <f>TABL12345[[#This Row],[ (RESV. STORGE) SER]]/10</f>
        <v/>
      </c>
      <c r="AO273" s="68" t="n"/>
      <c r="AP273" s="68">
        <f>TABL12345[[#This Row],[(A/S) AJD]]-TABL12345[[#This Row],[SER_IN]]</f>
        <v/>
      </c>
    </row>
    <row r="274" ht="18.75" customHeight="1">
      <c r="A274" s="2" t="n">
        <v>47025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TABL12345[[#This Row],[ (T/B) SAR]]+TABL12345[[#This Row],[ (S/S) SAR]]</f>
        <v/>
      </c>
      <c r="L274" s="28" t="n"/>
      <c r="M274" s="29" t="n"/>
      <c r="N274" s="30" t="n"/>
      <c r="O274" s="9" t="n"/>
      <c r="P274" s="9">
        <f>TABL12345[[#This Row],[ (S/S) SAR]]-TABL12345[[#This Row],[(S/S) AJD]]</f>
        <v/>
      </c>
      <c r="Q274" s="9" t="n"/>
      <c r="R274" s="9">
        <f>TABL12345[[#This Row],[ (T/B) SAR]]-TABL12345[[#This Row],[(T/B) AJD]]</f>
        <v/>
      </c>
      <c r="S274" s="9">
        <f>TABL12345[[#This Row],[S/S_CON.]]+TABL12345[[#This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TABL12345[[#This Row],[(RESV. STORGE) AJD]]/10</f>
        <v/>
      </c>
      <c r="AB274" s="3">
        <f>IF(TRIM(Z274)="",,(Z274-Z273)/1000)</f>
        <v/>
      </c>
      <c r="AC274" s="5" t="n"/>
      <c r="AD274" s="6">
        <f>(TABL12345[[#This Row],[( S/S+T/B) AJD]]*1000)-((TABL12345[[#This Row],[(STORGE DIFF.) AJD]]*1000)+TABL12345[[#This Row],[AJD_Evaporation]]+(TABL12345[[#This Row],[(A/B + A/S) AJD]]*1000))</f>
        <v/>
      </c>
      <c r="AE274" s="33" t="n"/>
      <c r="AF274" s="6" t="n"/>
      <c r="AG274" s="6" t="n"/>
      <c r="AH274" s="6">
        <f>TABL12345[[#This Row],[ (RESV. STORGE) BER]]/10</f>
        <v/>
      </c>
      <c r="AI274" s="6" t="n"/>
      <c r="AJ274" s="33">
        <f>TABL12345[[#This Row],[(A/B) AJD]]-TABL12345[[#This Row],[BER_IN]]</f>
        <v/>
      </c>
      <c r="AK274" s="6" t="n"/>
      <c r="AL274" s="6" t="n"/>
      <c r="AM274" s="32" t="n"/>
      <c r="AN274" s="32">
        <f>TABL12345[[#This Row],[ (RESV. STORGE) SER]]/10</f>
        <v/>
      </c>
      <c r="AO274" s="68" t="n"/>
      <c r="AP274" s="68">
        <f>TABL12345[[#This Row],[(A/S) AJD]]-TABL12345[[#This Row],[SER_IN]]</f>
        <v/>
      </c>
    </row>
    <row r="275" ht="18.75" customHeight="1">
      <c r="A275" s="2" t="n">
        <v>47026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TABL12345[[#This Row],[ (T/B) SAR]]+TABL12345[[#This Row],[ (S/S) SAR]]</f>
        <v/>
      </c>
      <c r="L275" s="28" t="n"/>
      <c r="M275" s="29" t="n"/>
      <c r="N275" s="30" t="n"/>
      <c r="O275" s="14" t="n"/>
      <c r="P275" s="9">
        <f>TABL12345[[#This Row],[ (S/S) SAR]]-TABL12345[[#This Row],[(S/S) AJD]]</f>
        <v/>
      </c>
      <c r="Q275" s="14" t="n"/>
      <c r="R275" s="9">
        <f>TABL12345[[#This Row],[ (T/B) SAR]]-TABL12345[[#This Row],[(T/B) AJD]]</f>
        <v/>
      </c>
      <c r="S275" s="9">
        <f>TABL12345[[#This Row],[S/S_CON.]]+TABL12345[[#This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TABL12345[[#This Row],[(RESV. STORGE) AJD]]/10</f>
        <v/>
      </c>
      <c r="AB275" s="3">
        <f>IF(TRIM(Z275)="",,(Z275-Z274)/1000)</f>
        <v/>
      </c>
      <c r="AC275" s="5" t="n"/>
      <c r="AD275" s="6">
        <f>(TABL12345[[#This Row],[( S/S+T/B) AJD]]*1000)-((TABL12345[[#This Row],[(STORGE DIFF.) AJD]]*1000)+TABL12345[[#This Row],[AJD_Evaporation]]+(TABL12345[[#This Row],[(A/B + A/S) AJD]]*1000))</f>
        <v/>
      </c>
      <c r="AE275" s="33" t="n"/>
      <c r="AF275" s="6" t="n"/>
      <c r="AG275" s="6" t="n"/>
      <c r="AH275" s="6">
        <f>TABL12345[[#This Row],[ (RESV. STORGE) BER]]/10</f>
        <v/>
      </c>
      <c r="AI275" s="6" t="n"/>
      <c r="AJ275" s="33">
        <f>TABL12345[[#This Row],[(A/B) AJD]]-TABL12345[[#This Row],[BER_IN]]</f>
        <v/>
      </c>
      <c r="AK275" s="6" t="n"/>
      <c r="AL275" s="6" t="n"/>
      <c r="AM275" s="32" t="n"/>
      <c r="AN275" s="32">
        <f>TABL12345[[#This Row],[ (RESV. STORGE) SER]]/10</f>
        <v/>
      </c>
      <c r="AO275" s="68" t="n"/>
      <c r="AP275" s="68">
        <f>TABL12345[[#This Row],[(A/S) AJD]]-TABL12345[[#This Row],[SER_IN]]</f>
        <v/>
      </c>
    </row>
    <row r="276" ht="18.75" customHeight="1">
      <c r="A276" s="2" t="n">
        <v>47027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TABL12345[[#This Row],[ (T/B) SAR]]+TABL12345[[#This Row],[ (S/S) SAR]]</f>
        <v/>
      </c>
      <c r="L276" s="28" t="n"/>
      <c r="M276" s="29" t="n"/>
      <c r="N276" s="30" t="n"/>
      <c r="O276" s="14" t="n"/>
      <c r="P276" s="9">
        <f>TABL12345[[#This Row],[ (S/S) SAR]]-TABL12345[[#This Row],[(S/S) AJD]]</f>
        <v/>
      </c>
      <c r="Q276" s="14" t="n"/>
      <c r="R276" s="9">
        <f>TABL12345[[#This Row],[ (T/B) SAR]]-TABL12345[[#This Row],[(T/B) AJD]]</f>
        <v/>
      </c>
      <c r="S276" s="9">
        <f>TABL12345[[#This Row],[S/S_CON.]]+TABL12345[[#This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TABL12345[[#This Row],[(RESV. STORGE) AJD]]/10</f>
        <v/>
      </c>
      <c r="AB276" s="3">
        <f>IF(TRIM(Z276)="",,(Z276-Z275)/1000)</f>
        <v/>
      </c>
      <c r="AC276" s="5" t="n"/>
      <c r="AD276" s="6">
        <f>(TABL12345[[#This Row],[( S/S+T/B) AJD]]*1000)-((TABL12345[[#This Row],[(STORGE DIFF.) AJD]]*1000)+TABL12345[[#This Row],[AJD_Evaporation]]+(TABL12345[[#This Row],[(A/B + A/S) AJD]]*1000))</f>
        <v/>
      </c>
      <c r="AE276" s="33" t="n"/>
      <c r="AF276" s="6" t="n"/>
      <c r="AG276" s="6" t="n"/>
      <c r="AH276" s="6">
        <f>TABL12345[[#This Row],[ (RESV. STORGE) BER]]/10</f>
        <v/>
      </c>
      <c r="AI276" s="6" t="n"/>
      <c r="AJ276" s="33">
        <f>TABL12345[[#This Row],[(A/B) AJD]]-TABL12345[[#This Row],[BER_IN]]</f>
        <v/>
      </c>
      <c r="AK276" s="6" t="n"/>
      <c r="AL276" s="6" t="n"/>
      <c r="AM276" s="32" t="n"/>
      <c r="AN276" s="32">
        <f>TABL12345[[#This Row],[ (RESV. STORGE) SER]]/10</f>
        <v/>
      </c>
      <c r="AO276" s="68" t="n"/>
      <c r="AP276" s="68">
        <f>TABL12345[[#This Row],[(A/S) AJD]]-TABL12345[[#This Row],[SER_IN]]</f>
        <v/>
      </c>
    </row>
    <row r="277" ht="18.75" customHeight="1">
      <c r="A277" s="2" t="n">
        <v>47028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TABL12345[[#This Row],[ (T/B) SAR]]+TABL12345[[#This Row],[ (S/S) SAR]]</f>
        <v/>
      </c>
      <c r="L277" s="28" t="n"/>
      <c r="M277" s="29" t="n"/>
      <c r="N277" s="30" t="n"/>
      <c r="O277" s="14" t="n"/>
      <c r="P277" s="9">
        <f>TABL12345[[#This Row],[ (S/S) SAR]]-TABL12345[[#This Row],[(S/S) AJD]]</f>
        <v/>
      </c>
      <c r="Q277" s="14" t="n"/>
      <c r="R277" s="9">
        <f>TABL12345[[#This Row],[ (T/B) SAR]]-TABL12345[[#This Row],[(T/B) AJD]]</f>
        <v/>
      </c>
      <c r="S277" s="9">
        <f>TABL12345[[#This Row],[S/S_CON.]]+TABL12345[[#This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TABL12345[[#This Row],[(RESV. STORGE) AJD]]/10</f>
        <v/>
      </c>
      <c r="AB277" s="3">
        <f>IF(TRIM(Z277)="",,(Z277-Z276)/1000)</f>
        <v/>
      </c>
      <c r="AC277" s="5" t="n"/>
      <c r="AD277" s="6">
        <f>(TABL12345[[#This Row],[( S/S+T/B) AJD]]*1000)-((TABL12345[[#This Row],[(STORGE DIFF.) AJD]]*1000)+TABL12345[[#This Row],[AJD_Evaporation]]+(TABL12345[[#This Row],[(A/B + A/S) AJD]]*1000))</f>
        <v/>
      </c>
      <c r="AE277" s="33" t="n"/>
      <c r="AF277" s="6" t="n"/>
      <c r="AG277" s="6" t="n"/>
      <c r="AH277" s="6">
        <f>TABL12345[[#This Row],[ (RESV. STORGE) BER]]/10</f>
        <v/>
      </c>
      <c r="AI277" s="6" t="n"/>
      <c r="AJ277" s="33">
        <f>TABL12345[[#This Row],[(A/B) AJD]]-TABL12345[[#This Row],[BER_IN]]</f>
        <v/>
      </c>
      <c r="AK277" s="6" t="n"/>
      <c r="AL277" s="6" t="n"/>
      <c r="AM277" s="32" t="n"/>
      <c r="AN277" s="32">
        <f>TABL12345[[#This Row],[ (RESV. STORGE) SER]]/10</f>
        <v/>
      </c>
      <c r="AO277" s="68" t="n"/>
      <c r="AP277" s="68">
        <f>TABL12345[[#This Row],[(A/S) AJD]]-TABL12345[[#This Row],[SER_IN]]</f>
        <v/>
      </c>
    </row>
    <row r="278" ht="18.75" customHeight="1">
      <c r="A278" s="2" t="n">
        <v>47029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TABL12345[[#This Row],[ (T/B) SAR]]+TABL12345[[#This Row],[ (S/S) SAR]]</f>
        <v/>
      </c>
      <c r="L278" s="28" t="n"/>
      <c r="M278" s="29" t="n"/>
      <c r="N278" s="30" t="n"/>
      <c r="O278" s="14" t="n"/>
      <c r="P278" s="9">
        <f>TABL12345[[#This Row],[ (S/S) SAR]]-TABL12345[[#This Row],[(S/S) AJD]]</f>
        <v/>
      </c>
      <c r="Q278" s="14" t="n"/>
      <c r="R278" s="9">
        <f>TABL12345[[#This Row],[ (T/B) SAR]]-TABL12345[[#This Row],[(T/B) AJD]]</f>
        <v/>
      </c>
      <c r="S278" s="9">
        <f>TABL12345[[#This Row],[S/S_CON.]]+TABL12345[[#This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TABL12345[[#This Row],[(RESV. STORGE) AJD]]/10</f>
        <v/>
      </c>
      <c r="AB278" s="3">
        <f>IF(TRIM(Z278)="",,(Z278-Z277)/1000)</f>
        <v/>
      </c>
      <c r="AC278" s="5" t="n"/>
      <c r="AD278" s="6">
        <f>(TABL12345[[#This Row],[( S/S+T/B) AJD]]*1000)-((TABL12345[[#This Row],[(STORGE DIFF.) AJD]]*1000)+TABL12345[[#This Row],[AJD_Evaporation]]+(TABL12345[[#This Row],[(A/B + A/S) AJD]]*1000))</f>
        <v/>
      </c>
      <c r="AE278" s="33" t="n"/>
      <c r="AF278" s="6" t="n"/>
      <c r="AG278" s="6" t="n"/>
      <c r="AH278" s="6">
        <f>TABL12345[[#This Row],[ (RESV. STORGE) BER]]/10</f>
        <v/>
      </c>
      <c r="AI278" s="6" t="n"/>
      <c r="AJ278" s="33">
        <f>TABL12345[[#This Row],[(A/B) AJD]]-TABL12345[[#This Row],[BER_IN]]</f>
        <v/>
      </c>
      <c r="AK278" s="6" t="n"/>
      <c r="AL278" s="6" t="n"/>
      <c r="AM278" s="32" t="n"/>
      <c r="AN278" s="32">
        <f>TABL12345[[#This Row],[ (RESV. STORGE) SER]]/10</f>
        <v/>
      </c>
      <c r="AO278" s="68" t="n"/>
      <c r="AP278" s="68">
        <f>TABL12345[[#This Row],[(A/S) AJD]]-TABL12345[[#This Row],[SER_IN]]</f>
        <v/>
      </c>
    </row>
    <row r="279" ht="18.75" customHeight="1">
      <c r="A279" s="2" t="n">
        <v>47030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TABL12345[[#This Row],[ (T/B) SAR]]+TABL12345[[#This Row],[ (S/S) SAR]]</f>
        <v/>
      </c>
      <c r="L279" s="28" t="n"/>
      <c r="M279" s="29" t="n"/>
      <c r="N279" s="30" t="n"/>
      <c r="O279" s="14" t="n"/>
      <c r="P279" s="9">
        <f>TABL12345[[#This Row],[ (S/S) SAR]]-TABL12345[[#This Row],[(S/S) AJD]]</f>
        <v/>
      </c>
      <c r="Q279" s="14" t="n"/>
      <c r="R279" s="9">
        <f>TABL12345[[#This Row],[ (T/B) SAR]]-TABL12345[[#This Row],[(T/B) AJD]]</f>
        <v/>
      </c>
      <c r="S279" s="9">
        <f>TABL12345[[#This Row],[S/S_CON.]]+TABL12345[[#This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TABL12345[[#This Row],[(RESV. STORGE) AJD]]/10</f>
        <v/>
      </c>
      <c r="AB279" s="3">
        <f>IF(TRIM(Z279)="",,(Z279-Z278)/1000)</f>
        <v/>
      </c>
      <c r="AC279" s="5" t="n"/>
      <c r="AD279" s="6">
        <f>(TABL12345[[#This Row],[( S/S+T/B) AJD]]*1000)-((TABL12345[[#This Row],[(STORGE DIFF.) AJD]]*1000)+TABL12345[[#This Row],[AJD_Evaporation]]+(TABL12345[[#This Row],[(A/B + A/S) AJD]]*1000))</f>
        <v/>
      </c>
      <c r="AE279" s="33" t="n"/>
      <c r="AF279" s="6" t="n"/>
      <c r="AG279" s="6" t="n"/>
      <c r="AH279" s="6">
        <f>TABL12345[[#This Row],[ (RESV. STORGE) BER]]/10</f>
        <v/>
      </c>
      <c r="AI279" s="6" t="n"/>
      <c r="AJ279" s="33">
        <f>TABL12345[[#This Row],[(A/B) AJD]]-TABL12345[[#This Row],[BER_IN]]</f>
        <v/>
      </c>
      <c r="AK279" s="6" t="n"/>
      <c r="AL279" s="6" t="n"/>
      <c r="AM279" s="32" t="n"/>
      <c r="AN279" s="32">
        <f>TABL12345[[#This Row],[ (RESV. STORGE) SER]]/10</f>
        <v/>
      </c>
      <c r="AO279" s="68" t="n"/>
      <c r="AP279" s="68">
        <f>TABL12345[[#This Row],[(A/S) AJD]]-TABL12345[[#This Row],[SER_IN]]</f>
        <v/>
      </c>
    </row>
    <row r="280" ht="18.75" customHeight="1">
      <c r="A280" s="2" t="n">
        <v>47031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TABL12345[[#This Row],[ (T/B) SAR]]+TABL12345[[#This Row],[ (S/S) SAR]]</f>
        <v/>
      </c>
      <c r="L280" s="28" t="n"/>
      <c r="M280" s="29" t="n"/>
      <c r="N280" s="30" t="n"/>
      <c r="O280" s="14" t="n"/>
      <c r="P280" s="9">
        <f>TABL12345[[#This Row],[ (S/S) SAR]]-TABL12345[[#This Row],[(S/S) AJD]]</f>
        <v/>
      </c>
      <c r="Q280" s="14" t="n"/>
      <c r="R280" s="9">
        <f>TABL12345[[#This Row],[ (T/B) SAR]]-TABL12345[[#This Row],[(T/B) AJD]]</f>
        <v/>
      </c>
      <c r="S280" s="9">
        <f>TABL12345[[#This Row],[S/S_CON.]]+TABL12345[[#This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TABL12345[[#This Row],[(RESV. STORGE) AJD]]/10</f>
        <v/>
      </c>
      <c r="AB280" s="3">
        <f>IF(TRIM(Z280)="",,(Z280-Z279)/1000)</f>
        <v/>
      </c>
      <c r="AC280" s="5" t="n"/>
      <c r="AD280" s="6">
        <f>(TABL12345[[#This Row],[( S/S+T/B) AJD]]*1000)-((TABL12345[[#This Row],[(STORGE DIFF.) AJD]]*1000)+TABL12345[[#This Row],[AJD_Evaporation]]+(TABL12345[[#This Row],[(A/B + A/S) AJD]]*1000))</f>
        <v/>
      </c>
      <c r="AE280" s="33" t="n"/>
      <c r="AF280" s="6" t="n"/>
      <c r="AG280" s="6" t="n"/>
      <c r="AH280" s="6">
        <f>TABL12345[[#This Row],[ (RESV. STORGE) BER]]/10</f>
        <v/>
      </c>
      <c r="AI280" s="6" t="n"/>
      <c r="AJ280" s="33">
        <f>TABL12345[[#This Row],[(A/B) AJD]]-TABL12345[[#This Row],[BER_IN]]</f>
        <v/>
      </c>
      <c r="AK280" s="6" t="n"/>
      <c r="AL280" s="6" t="n"/>
      <c r="AM280" s="32" t="n"/>
      <c r="AN280" s="32">
        <f>TABL12345[[#This Row],[ (RESV. STORGE) SER]]/10</f>
        <v/>
      </c>
      <c r="AO280" s="68" t="n"/>
      <c r="AP280" s="68">
        <f>TABL12345[[#This Row],[(A/S) AJD]]-TABL12345[[#This Row],[SER_IN]]</f>
        <v/>
      </c>
    </row>
    <row r="281" ht="18.75" customHeight="1">
      <c r="A281" s="2" t="n">
        <v>47032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TABL12345[[#This Row],[ (T/B) SAR]]+TABL12345[[#This Row],[ (S/S) SAR]]</f>
        <v/>
      </c>
      <c r="L281" s="28" t="n"/>
      <c r="M281" s="29" t="n"/>
      <c r="N281" s="30" t="n"/>
      <c r="O281" s="14" t="n"/>
      <c r="P281" s="9">
        <f>TABL12345[[#This Row],[ (S/S) SAR]]-TABL12345[[#This Row],[(S/S) AJD]]</f>
        <v/>
      </c>
      <c r="Q281" s="14" t="n"/>
      <c r="R281" s="9">
        <f>TABL12345[[#This Row],[ (T/B) SAR]]-TABL12345[[#This Row],[(T/B) AJD]]</f>
        <v/>
      </c>
      <c r="S281" s="9">
        <f>TABL12345[[#This Row],[S/S_CON.]]+TABL12345[[#This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TABL12345[[#This Row],[(RESV. STORGE) AJD]]/10</f>
        <v/>
      </c>
      <c r="AB281" s="3">
        <f>IF(TRIM(Z281)="",,(Z281-Z280)/1000)</f>
        <v/>
      </c>
      <c r="AC281" s="5" t="n"/>
      <c r="AD281" s="6">
        <f>(TABL12345[[#This Row],[( S/S+T/B) AJD]]*1000)-((TABL12345[[#This Row],[(STORGE DIFF.) AJD]]*1000)+TABL12345[[#This Row],[AJD_Evaporation]]+(TABL12345[[#This Row],[(A/B + A/S) AJD]]*1000))</f>
        <v/>
      </c>
      <c r="AE281" s="33" t="n"/>
      <c r="AF281" s="6" t="n"/>
      <c r="AG281" s="6" t="n"/>
      <c r="AH281" s="6">
        <f>TABL12345[[#This Row],[ (RESV. STORGE) BER]]/10</f>
        <v/>
      </c>
      <c r="AI281" s="6" t="n"/>
      <c r="AJ281" s="33">
        <f>TABL12345[[#This Row],[(A/B) AJD]]-TABL12345[[#This Row],[BER_IN]]</f>
        <v/>
      </c>
      <c r="AK281" s="6" t="n"/>
      <c r="AL281" s="6" t="n"/>
      <c r="AM281" s="32" t="n"/>
      <c r="AN281" s="32">
        <f>TABL12345[[#This Row],[ (RESV. STORGE) SER]]/10</f>
        <v/>
      </c>
      <c r="AO281" s="68" t="n"/>
      <c r="AP281" s="68">
        <f>TABL12345[[#This Row],[(A/S) AJD]]-TABL12345[[#This Row],[SER_IN]]</f>
        <v/>
      </c>
    </row>
    <row r="282" ht="18.75" customHeight="1">
      <c r="A282" s="2" t="n">
        <v>47033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TABL12345[[#This Row],[ (T/B) SAR]]+TABL12345[[#This Row],[ (S/S) SAR]]</f>
        <v/>
      </c>
      <c r="L282" s="28" t="n"/>
      <c r="M282" s="29" t="n"/>
      <c r="N282" s="30" t="n"/>
      <c r="O282" s="14" t="n"/>
      <c r="P282" s="9">
        <f>TABL12345[[#This Row],[ (S/S) SAR]]-TABL12345[[#This Row],[(S/S) AJD]]</f>
        <v/>
      </c>
      <c r="Q282" s="14" t="n"/>
      <c r="R282" s="9">
        <f>TABL12345[[#This Row],[ (T/B) SAR]]-TABL12345[[#This Row],[(T/B) AJD]]</f>
        <v/>
      </c>
      <c r="S282" s="9">
        <f>TABL12345[[#This Row],[S/S_CON.]]+TABL12345[[#This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TABL12345[[#This Row],[(RESV. STORGE) AJD]]/10</f>
        <v/>
      </c>
      <c r="AB282" s="3">
        <f>IF(TRIM(Z282)="",,(Z282-Z281)/1000)</f>
        <v/>
      </c>
      <c r="AC282" s="5" t="n"/>
      <c r="AD282" s="6">
        <f>(TABL12345[[#This Row],[( S/S+T/B) AJD]]*1000)-((TABL12345[[#This Row],[(STORGE DIFF.) AJD]]*1000)+TABL12345[[#This Row],[AJD_Evaporation]]+(TABL12345[[#This Row],[(A/B + A/S) AJD]]*1000))</f>
        <v/>
      </c>
      <c r="AE282" s="33" t="n"/>
      <c r="AF282" s="6" t="n"/>
      <c r="AG282" s="6" t="n"/>
      <c r="AH282" s="6">
        <f>TABL12345[[#This Row],[ (RESV. STORGE) BER]]/10</f>
        <v/>
      </c>
      <c r="AI282" s="6" t="n"/>
      <c r="AJ282" s="33">
        <f>TABL12345[[#This Row],[(A/B) AJD]]-TABL12345[[#This Row],[BER_IN]]</f>
        <v/>
      </c>
      <c r="AK282" s="6" t="n"/>
      <c r="AL282" s="6" t="n"/>
      <c r="AM282" s="32" t="n"/>
      <c r="AN282" s="32">
        <f>TABL12345[[#This Row],[ (RESV. STORGE) SER]]/10</f>
        <v/>
      </c>
      <c r="AO282" s="68" t="n"/>
      <c r="AP282" s="68">
        <f>TABL12345[[#This Row],[(A/S) AJD]]-TABL12345[[#This Row],[SER_IN]]</f>
        <v/>
      </c>
    </row>
    <row r="283" ht="18.75" customHeight="1">
      <c r="A283" s="2" t="n">
        <v>47034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TABL12345[[#This Row],[ (T/B) SAR]]+TABL12345[[#This Row],[ (S/S) SAR]]</f>
        <v/>
      </c>
      <c r="L283" s="28" t="n"/>
      <c r="M283" s="29" t="n"/>
      <c r="N283" s="30" t="n"/>
      <c r="O283" s="14" t="n"/>
      <c r="P283" s="9">
        <f>TABL12345[[#This Row],[ (S/S) SAR]]-TABL12345[[#This Row],[(S/S) AJD]]</f>
        <v/>
      </c>
      <c r="Q283" s="14" t="n"/>
      <c r="R283" s="9">
        <f>TABL12345[[#This Row],[ (T/B) SAR]]-TABL12345[[#This Row],[(T/B) AJD]]</f>
        <v/>
      </c>
      <c r="S283" s="9">
        <f>TABL12345[[#This Row],[S/S_CON.]]+TABL12345[[#This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TABL12345[[#This Row],[(RESV. STORGE) AJD]]/10</f>
        <v/>
      </c>
      <c r="AB283" s="3">
        <f>IF(TRIM(Z283)="",,(Z283-Z282)/1000)</f>
        <v/>
      </c>
      <c r="AC283" s="5" t="n"/>
      <c r="AD283" s="6">
        <f>(TABL12345[[#This Row],[( S/S+T/B) AJD]]*1000)-((TABL12345[[#This Row],[(STORGE DIFF.) AJD]]*1000)+TABL12345[[#This Row],[AJD_Evaporation]]+(TABL12345[[#This Row],[(A/B + A/S) AJD]]*1000))</f>
        <v/>
      </c>
      <c r="AE283" s="33" t="n"/>
      <c r="AF283" s="6" t="n"/>
      <c r="AG283" s="6" t="n"/>
      <c r="AH283" s="6">
        <f>TABL12345[[#This Row],[ (RESV. STORGE) BER]]/10</f>
        <v/>
      </c>
      <c r="AI283" s="6" t="n"/>
      <c r="AJ283" s="33">
        <f>TABL12345[[#This Row],[(A/B) AJD]]-TABL12345[[#This Row],[BER_IN]]</f>
        <v/>
      </c>
      <c r="AK283" s="6" t="n"/>
      <c r="AL283" s="6" t="n"/>
      <c r="AM283" s="32" t="n"/>
      <c r="AN283" s="32">
        <f>TABL12345[[#This Row],[ (RESV. STORGE) SER]]/10</f>
        <v/>
      </c>
      <c r="AO283" s="68" t="n"/>
      <c r="AP283" s="68">
        <f>TABL12345[[#This Row],[(A/S) AJD]]-TABL12345[[#This Row],[SER_IN]]</f>
        <v/>
      </c>
    </row>
    <row r="284" ht="18.75" customHeight="1">
      <c r="A284" s="2" t="n">
        <v>47035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TABL12345[[#This Row],[ (T/B) SAR]]+TABL12345[[#This Row],[ (S/S) SAR]]</f>
        <v/>
      </c>
      <c r="L284" s="28" t="n"/>
      <c r="M284" s="29" t="n"/>
      <c r="N284" s="30" t="n"/>
      <c r="O284" s="14" t="n"/>
      <c r="P284" s="9">
        <f>TABL12345[[#This Row],[ (S/S) SAR]]-TABL12345[[#This Row],[(S/S) AJD]]</f>
        <v/>
      </c>
      <c r="Q284" s="14" t="n"/>
      <c r="R284" s="9">
        <f>TABL12345[[#This Row],[ (T/B) SAR]]-TABL12345[[#This Row],[(T/B) AJD]]</f>
        <v/>
      </c>
      <c r="S284" s="9">
        <f>TABL12345[[#This Row],[S/S_CON.]]+TABL12345[[#This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TABL12345[[#This Row],[(RESV. STORGE) AJD]]/10</f>
        <v/>
      </c>
      <c r="AB284" s="3">
        <f>IF(TRIM(Z284)="",,(Z284-Z283)/1000)</f>
        <v/>
      </c>
      <c r="AC284" s="5" t="n"/>
      <c r="AD284" s="6">
        <f>(TABL12345[[#This Row],[( S/S+T/B) AJD]]*1000)-((TABL12345[[#This Row],[(STORGE DIFF.) AJD]]*1000)+TABL12345[[#This Row],[AJD_Evaporation]]+(TABL12345[[#This Row],[(A/B + A/S) AJD]]*1000))</f>
        <v/>
      </c>
      <c r="AE284" s="33" t="n"/>
      <c r="AF284" s="6" t="n"/>
      <c r="AG284" s="6" t="n"/>
      <c r="AH284" s="6">
        <f>TABL12345[[#This Row],[ (RESV. STORGE) BER]]/10</f>
        <v/>
      </c>
      <c r="AI284" s="6" t="n"/>
      <c r="AJ284" s="33">
        <f>TABL12345[[#This Row],[(A/B) AJD]]-TABL12345[[#This Row],[BER_IN]]</f>
        <v/>
      </c>
      <c r="AK284" s="6" t="n"/>
      <c r="AL284" s="6" t="n"/>
      <c r="AM284" s="32" t="n"/>
      <c r="AN284" s="32">
        <f>TABL12345[[#This Row],[ (RESV. STORGE) SER]]/10</f>
        <v/>
      </c>
      <c r="AO284" s="68" t="n"/>
      <c r="AP284" s="68">
        <f>TABL12345[[#This Row],[(A/S) AJD]]-TABL12345[[#This Row],[SER_IN]]</f>
        <v/>
      </c>
    </row>
    <row r="285" ht="18.75" customHeight="1">
      <c r="A285" s="2" t="n">
        <v>47036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TABL12345[[#This Row],[ (T/B) SAR]]+TABL12345[[#This Row],[ (S/S) SAR]]</f>
        <v/>
      </c>
      <c r="L285" s="28" t="n"/>
      <c r="M285" s="29" t="n"/>
      <c r="N285" s="30" t="n"/>
      <c r="O285" s="14" t="n"/>
      <c r="P285" s="9">
        <f>TABL12345[[#This Row],[ (S/S) SAR]]-TABL12345[[#This Row],[(S/S) AJD]]</f>
        <v/>
      </c>
      <c r="Q285" s="14" t="n"/>
      <c r="R285" s="9">
        <f>TABL12345[[#This Row],[ (T/B) SAR]]-TABL12345[[#This Row],[(T/B) AJD]]</f>
        <v/>
      </c>
      <c r="S285" s="9">
        <f>TABL12345[[#This Row],[S/S_CON.]]+TABL12345[[#This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TABL12345[[#This Row],[(RESV. STORGE) AJD]]/10</f>
        <v/>
      </c>
      <c r="AB285" s="3">
        <f>IF(TRIM(Z285)="",,(Z285-Z284)/1000)</f>
        <v/>
      </c>
      <c r="AC285" s="5" t="n"/>
      <c r="AD285" s="6">
        <f>(TABL12345[[#This Row],[( S/S+T/B) AJD]]*1000)-((TABL12345[[#This Row],[(STORGE DIFF.) AJD]]*1000)+TABL12345[[#This Row],[AJD_Evaporation]]+(TABL12345[[#This Row],[(A/B + A/S) AJD]]*1000))</f>
        <v/>
      </c>
      <c r="AE285" s="33" t="n"/>
      <c r="AF285" s="6" t="n"/>
      <c r="AG285" s="6" t="n"/>
      <c r="AH285" s="6">
        <f>TABL12345[[#This Row],[ (RESV. STORGE) BER]]/10</f>
        <v/>
      </c>
      <c r="AI285" s="6" t="n"/>
      <c r="AJ285" s="33">
        <f>TABL12345[[#This Row],[(A/B) AJD]]-TABL12345[[#This Row],[BER_IN]]</f>
        <v/>
      </c>
      <c r="AK285" s="6" t="n"/>
      <c r="AL285" s="6" t="n"/>
      <c r="AM285" s="32" t="n"/>
      <c r="AN285" s="32">
        <f>TABL12345[[#This Row],[ (RESV. STORGE) SER]]/10</f>
        <v/>
      </c>
      <c r="AO285" s="68" t="n"/>
      <c r="AP285" s="68">
        <f>TABL12345[[#This Row],[(A/S) AJD]]-TABL12345[[#This Row],[SER_IN]]</f>
        <v/>
      </c>
    </row>
    <row r="286" ht="18.75" customHeight="1">
      <c r="A286" s="2" t="n">
        <v>47037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TABL12345[[#This Row],[ (T/B) SAR]]+TABL12345[[#This Row],[ (S/S) SAR]]</f>
        <v/>
      </c>
      <c r="L286" s="28" t="n"/>
      <c r="M286" s="29" t="n"/>
      <c r="N286" s="30" t="n"/>
      <c r="O286" s="14" t="n"/>
      <c r="P286" s="9">
        <f>TABL12345[[#This Row],[ (S/S) SAR]]-TABL12345[[#This Row],[(S/S) AJD]]</f>
        <v/>
      </c>
      <c r="Q286" s="14" t="n"/>
      <c r="R286" s="9">
        <f>TABL12345[[#This Row],[ (T/B) SAR]]-TABL12345[[#This Row],[(T/B) AJD]]</f>
        <v/>
      </c>
      <c r="S286" s="9">
        <f>TABL12345[[#This Row],[S/S_CON.]]+TABL12345[[#This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TABL12345[[#This Row],[(RESV. STORGE) AJD]]/10</f>
        <v/>
      </c>
      <c r="AB286" s="3">
        <f>IF(TRIM(Z286)="",,(Z286-Z285)/1000)</f>
        <v/>
      </c>
      <c r="AC286" s="5" t="n"/>
      <c r="AD286" s="6">
        <f>(TABL12345[[#This Row],[( S/S+T/B) AJD]]*1000)-((TABL12345[[#This Row],[(STORGE DIFF.) AJD]]*1000)+TABL12345[[#This Row],[AJD_Evaporation]]+(TABL12345[[#This Row],[(A/B + A/S) AJD]]*1000))</f>
        <v/>
      </c>
      <c r="AE286" s="33" t="n"/>
      <c r="AF286" s="6" t="n"/>
      <c r="AG286" s="6" t="n"/>
      <c r="AH286" s="6">
        <f>TABL12345[[#This Row],[ (RESV. STORGE) BER]]/10</f>
        <v/>
      </c>
      <c r="AI286" s="6" t="n"/>
      <c r="AJ286" s="33">
        <f>TABL12345[[#This Row],[(A/B) AJD]]-TABL12345[[#This Row],[BER_IN]]</f>
        <v/>
      </c>
      <c r="AK286" s="6" t="n"/>
      <c r="AL286" s="6" t="n"/>
      <c r="AM286" s="32" t="n"/>
      <c r="AN286" s="32">
        <f>TABL12345[[#This Row],[ (RESV. STORGE) SER]]/10</f>
        <v/>
      </c>
      <c r="AO286" s="68" t="n"/>
      <c r="AP286" s="68">
        <f>TABL12345[[#This Row],[(A/S) AJD]]-TABL12345[[#This Row],[SER_IN]]</f>
        <v/>
      </c>
    </row>
    <row r="287" ht="18.75" customHeight="1">
      <c r="A287" s="2" t="n">
        <v>47038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TABL12345[[#This Row],[ (T/B) SAR]]+TABL12345[[#This Row],[ (S/S) SAR]]</f>
        <v/>
      </c>
      <c r="L287" s="28" t="n"/>
      <c r="M287" s="29" t="n"/>
      <c r="N287" s="30" t="n"/>
      <c r="O287" s="14" t="n"/>
      <c r="P287" s="9">
        <f>TABL12345[[#This Row],[ (S/S) SAR]]-TABL12345[[#This Row],[(S/S) AJD]]</f>
        <v/>
      </c>
      <c r="Q287" s="14" t="n"/>
      <c r="R287" s="9">
        <f>TABL12345[[#This Row],[ (T/B) SAR]]-TABL12345[[#This Row],[(T/B) AJD]]</f>
        <v/>
      </c>
      <c r="S287" s="9">
        <f>TABL12345[[#This Row],[S/S_CON.]]+TABL12345[[#This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TABL12345[[#This Row],[(RESV. STORGE) AJD]]/10</f>
        <v/>
      </c>
      <c r="AB287" s="3">
        <f>IF(TRIM(Z287)="",,(Z287-Z286)/1000)</f>
        <v/>
      </c>
      <c r="AC287" s="5" t="n"/>
      <c r="AD287" s="6">
        <f>(TABL12345[[#This Row],[( S/S+T/B) AJD]]*1000)-((TABL12345[[#This Row],[(STORGE DIFF.) AJD]]*1000)+TABL12345[[#This Row],[AJD_Evaporation]]+(TABL12345[[#This Row],[(A/B + A/S) AJD]]*1000))</f>
        <v/>
      </c>
      <c r="AE287" s="33" t="n"/>
      <c r="AF287" s="6" t="n"/>
      <c r="AG287" s="6" t="n"/>
      <c r="AH287" s="6">
        <f>TABL12345[[#This Row],[ (RESV. STORGE) BER]]/10</f>
        <v/>
      </c>
      <c r="AI287" s="6" t="n"/>
      <c r="AJ287" s="33">
        <f>TABL12345[[#This Row],[(A/B) AJD]]-TABL12345[[#This Row],[BER_IN]]</f>
        <v/>
      </c>
      <c r="AK287" s="6" t="n"/>
      <c r="AL287" s="6" t="n"/>
      <c r="AM287" s="32" t="n"/>
      <c r="AN287" s="32">
        <f>TABL12345[[#This Row],[ (RESV. STORGE) SER]]/10</f>
        <v/>
      </c>
      <c r="AO287" s="68" t="n"/>
      <c r="AP287" s="68">
        <f>TABL12345[[#This Row],[(A/S) AJD]]-TABL12345[[#This Row],[SER_IN]]</f>
        <v/>
      </c>
    </row>
    <row r="288" ht="18.75" customHeight="1">
      <c r="A288" s="2" t="n">
        <v>47039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TABL12345[[#This Row],[ (T/B) SAR]]+TABL12345[[#This Row],[ (S/S) SAR]]</f>
        <v/>
      </c>
      <c r="L288" s="28" t="n"/>
      <c r="M288" s="29" t="n"/>
      <c r="N288" s="30" t="n"/>
      <c r="O288" s="14" t="n"/>
      <c r="P288" s="9">
        <f>TABL12345[[#This Row],[ (S/S) SAR]]-TABL12345[[#This Row],[(S/S) AJD]]</f>
        <v/>
      </c>
      <c r="Q288" s="14" t="n"/>
      <c r="R288" s="9">
        <f>TABL12345[[#This Row],[ (T/B) SAR]]-TABL12345[[#This Row],[(T/B) AJD]]</f>
        <v/>
      </c>
      <c r="S288" s="9">
        <f>TABL12345[[#This Row],[S/S_CON.]]+TABL12345[[#This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TABL12345[[#This Row],[(RESV. STORGE) AJD]]/10</f>
        <v/>
      </c>
      <c r="AB288" s="3">
        <f>IF(TRIM(Z288)="",,(Z288-Z287)/1000)</f>
        <v/>
      </c>
      <c r="AC288" s="5" t="n"/>
      <c r="AD288" s="6">
        <f>(TABL12345[[#This Row],[( S/S+T/B) AJD]]*1000)-((TABL12345[[#This Row],[(STORGE DIFF.) AJD]]*1000)+TABL12345[[#This Row],[AJD_Evaporation]]+(TABL12345[[#This Row],[(A/B + A/S) AJD]]*1000))</f>
        <v/>
      </c>
      <c r="AE288" s="33" t="n"/>
      <c r="AF288" s="6" t="n"/>
      <c r="AG288" s="6" t="n"/>
      <c r="AH288" s="6">
        <f>TABL12345[[#This Row],[ (RESV. STORGE) BER]]/10</f>
        <v/>
      </c>
      <c r="AI288" s="6" t="n"/>
      <c r="AJ288" s="33">
        <f>TABL12345[[#This Row],[(A/B) AJD]]-TABL12345[[#This Row],[BER_IN]]</f>
        <v/>
      </c>
      <c r="AK288" s="6" t="n"/>
      <c r="AL288" s="6" t="n"/>
      <c r="AM288" s="32" t="n"/>
      <c r="AN288" s="32">
        <f>TABL12345[[#This Row],[ (RESV. STORGE) SER]]/10</f>
        <v/>
      </c>
      <c r="AO288" s="68" t="n"/>
      <c r="AP288" s="68">
        <f>TABL12345[[#This Row],[(A/S) AJD]]-TABL12345[[#This Row],[SER_IN]]</f>
        <v/>
      </c>
    </row>
    <row r="289" ht="18.75" customHeight="1">
      <c r="A289" s="2" t="n">
        <v>47040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TABL12345[[#This Row],[ (T/B) SAR]]+TABL12345[[#This Row],[ (S/S) SAR]]</f>
        <v/>
      </c>
      <c r="L289" s="28" t="n"/>
      <c r="M289" s="29" t="n"/>
      <c r="N289" s="30" t="n"/>
      <c r="O289" s="14" t="n"/>
      <c r="P289" s="9">
        <f>TABL12345[[#This Row],[ (S/S) SAR]]-TABL12345[[#This Row],[(S/S) AJD]]</f>
        <v/>
      </c>
      <c r="Q289" s="14" t="n"/>
      <c r="R289" s="9">
        <f>TABL12345[[#This Row],[ (T/B) SAR]]-TABL12345[[#This Row],[(T/B) AJD]]</f>
        <v/>
      </c>
      <c r="S289" s="9">
        <f>TABL12345[[#This Row],[S/S_CON.]]+TABL12345[[#This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TABL12345[[#This Row],[(RESV. STORGE) AJD]]/10</f>
        <v/>
      </c>
      <c r="AB289" s="3">
        <f>IF(TRIM(Z289)="",,(Z289-Z288)/1000)</f>
        <v/>
      </c>
      <c r="AC289" s="5" t="n"/>
      <c r="AD289" s="6">
        <f>(TABL12345[[#This Row],[( S/S+T/B) AJD]]*1000)-((TABL12345[[#This Row],[(STORGE DIFF.) AJD]]*1000)+TABL12345[[#This Row],[AJD_Evaporation]]+(TABL12345[[#This Row],[(A/B + A/S) AJD]]*1000))</f>
        <v/>
      </c>
      <c r="AE289" s="33" t="n"/>
      <c r="AF289" s="6" t="n"/>
      <c r="AG289" s="6" t="n"/>
      <c r="AH289" s="6">
        <f>TABL12345[[#This Row],[ (RESV. STORGE) BER]]/10</f>
        <v/>
      </c>
      <c r="AI289" s="6" t="n"/>
      <c r="AJ289" s="33">
        <f>TABL12345[[#This Row],[(A/B) AJD]]-TABL12345[[#This Row],[BER_IN]]</f>
        <v/>
      </c>
      <c r="AK289" s="6" t="n"/>
      <c r="AL289" s="6" t="n"/>
      <c r="AM289" s="32" t="n"/>
      <c r="AN289" s="32">
        <f>TABL12345[[#This Row],[ (RESV. STORGE) SER]]/10</f>
        <v/>
      </c>
      <c r="AO289" s="68" t="n"/>
      <c r="AP289" s="68">
        <f>TABL12345[[#This Row],[(A/S) AJD]]-TABL12345[[#This Row],[SER_IN]]</f>
        <v/>
      </c>
    </row>
    <row r="290" ht="18.75" customHeight="1">
      <c r="A290" s="2" t="n">
        <v>47041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TABL12345[[#This Row],[ (T/B) SAR]]+TABL12345[[#This Row],[ (S/S) SAR]]</f>
        <v/>
      </c>
      <c r="L290" s="28" t="n"/>
      <c r="M290" s="29" t="n"/>
      <c r="N290" s="30" t="n"/>
      <c r="O290" s="14" t="n"/>
      <c r="P290" s="9">
        <f>TABL12345[[#This Row],[ (S/S) SAR]]-TABL12345[[#This Row],[(S/S) AJD]]</f>
        <v/>
      </c>
      <c r="Q290" s="14" t="n"/>
      <c r="R290" s="9">
        <f>TABL12345[[#This Row],[ (T/B) SAR]]-TABL12345[[#This Row],[(T/B) AJD]]</f>
        <v/>
      </c>
      <c r="S290" s="9">
        <f>TABL12345[[#This Row],[S/S_CON.]]+TABL12345[[#This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TABL12345[[#This Row],[(RESV. STORGE) AJD]]/10</f>
        <v/>
      </c>
      <c r="AB290" s="3">
        <f>IF(TRIM(Z290)="",,(Z290-Z289)/1000)</f>
        <v/>
      </c>
      <c r="AC290" s="5" t="n"/>
      <c r="AD290" s="6">
        <f>(TABL12345[[#This Row],[( S/S+T/B) AJD]]*1000)-((TABL12345[[#This Row],[(STORGE DIFF.) AJD]]*1000)+TABL12345[[#This Row],[AJD_Evaporation]]+(TABL12345[[#This Row],[(A/B + A/S) AJD]]*1000))</f>
        <v/>
      </c>
      <c r="AE290" s="33" t="n"/>
      <c r="AF290" s="6" t="n"/>
      <c r="AG290" s="6" t="n"/>
      <c r="AH290" s="6">
        <f>TABL12345[[#This Row],[ (RESV. STORGE) BER]]/10</f>
        <v/>
      </c>
      <c r="AI290" s="6" t="n"/>
      <c r="AJ290" s="33">
        <f>TABL12345[[#This Row],[(A/B) AJD]]-TABL12345[[#This Row],[BER_IN]]</f>
        <v/>
      </c>
      <c r="AK290" s="6" t="n"/>
      <c r="AL290" s="6" t="n"/>
      <c r="AM290" s="32" t="n"/>
      <c r="AN290" s="32">
        <f>TABL12345[[#This Row],[ (RESV. STORGE) SER]]/10</f>
        <v/>
      </c>
      <c r="AO290" s="68" t="n"/>
      <c r="AP290" s="68">
        <f>TABL12345[[#This Row],[(A/S) AJD]]-TABL12345[[#This Row],[SER_IN]]</f>
        <v/>
      </c>
    </row>
    <row r="291" ht="18.75" customHeight="1">
      <c r="A291" s="2" t="n">
        <v>47042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TABL12345[[#This Row],[ (T/B) SAR]]+TABL12345[[#This Row],[ (S/S) SAR]]</f>
        <v/>
      </c>
      <c r="L291" s="28" t="n"/>
      <c r="M291" s="29" t="n"/>
      <c r="N291" s="30" t="n"/>
      <c r="O291" s="14" t="n"/>
      <c r="P291" s="9">
        <f>TABL12345[[#This Row],[ (S/S) SAR]]-TABL12345[[#This Row],[(S/S) AJD]]</f>
        <v/>
      </c>
      <c r="Q291" s="14" t="n"/>
      <c r="R291" s="9">
        <f>TABL12345[[#This Row],[ (T/B) SAR]]-TABL12345[[#This Row],[(T/B) AJD]]</f>
        <v/>
      </c>
      <c r="S291" s="9">
        <f>TABL12345[[#This Row],[S/S_CON.]]+TABL12345[[#This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TABL12345[[#This Row],[(RESV. STORGE) AJD]]/10</f>
        <v/>
      </c>
      <c r="AB291" s="3">
        <f>IF(TRIM(Z291)="",,(Z291-Z290)/1000)</f>
        <v/>
      </c>
      <c r="AC291" s="5" t="n"/>
      <c r="AD291" s="6">
        <f>(TABL12345[[#This Row],[( S/S+T/B) AJD]]*1000)-((TABL12345[[#This Row],[(STORGE DIFF.) AJD]]*1000)+TABL12345[[#This Row],[AJD_Evaporation]]+(TABL12345[[#This Row],[(A/B + A/S) AJD]]*1000))</f>
        <v/>
      </c>
      <c r="AE291" s="33" t="n"/>
      <c r="AF291" s="6" t="n"/>
      <c r="AG291" s="6" t="n"/>
      <c r="AH291" s="6">
        <f>TABL12345[[#This Row],[ (RESV. STORGE) BER]]/10</f>
        <v/>
      </c>
      <c r="AI291" s="6" t="n"/>
      <c r="AJ291" s="33">
        <f>TABL12345[[#This Row],[(A/B) AJD]]-TABL12345[[#This Row],[BER_IN]]</f>
        <v/>
      </c>
      <c r="AK291" s="6" t="n"/>
      <c r="AL291" s="6" t="n"/>
      <c r="AM291" s="32" t="n"/>
      <c r="AN291" s="32">
        <f>TABL12345[[#This Row],[ (RESV. STORGE) SER]]/10</f>
        <v/>
      </c>
      <c r="AO291" s="68" t="n"/>
      <c r="AP291" s="68">
        <f>TABL12345[[#This Row],[(A/S) AJD]]-TABL12345[[#This Row],[SER_IN]]</f>
        <v/>
      </c>
    </row>
    <row r="292" ht="18.75" customHeight="1">
      <c r="A292" s="2" t="n">
        <v>47043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TABL12345[[#This Row],[ (T/B) SAR]]+TABL12345[[#This Row],[ (S/S) SAR]]</f>
        <v/>
      </c>
      <c r="L292" s="28" t="n"/>
      <c r="M292" s="29" t="n"/>
      <c r="N292" s="30" t="n"/>
      <c r="O292" s="9" t="n"/>
      <c r="P292" s="9">
        <f>TABL12345[[#This Row],[ (S/S) SAR]]-TABL12345[[#This Row],[(S/S) AJD]]</f>
        <v/>
      </c>
      <c r="Q292" s="9" t="n"/>
      <c r="R292" s="9">
        <f>TABL12345[[#This Row],[ (T/B) SAR]]-TABL12345[[#This Row],[(T/B) AJD]]</f>
        <v/>
      </c>
      <c r="S292" s="9">
        <f>TABL12345[[#This Row],[S/S_CON.]]+TABL12345[[#This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TABL12345[[#This Row],[(RESV. STORGE) AJD]]/10</f>
        <v/>
      </c>
      <c r="AB292" s="3">
        <f>IF(TRIM(Z292)="",,(Z292-Z291)/1000)</f>
        <v/>
      </c>
      <c r="AC292" s="5" t="n"/>
      <c r="AD292" s="6">
        <f>(TABL12345[[#This Row],[( S/S+T/B) AJD]]*1000)-((TABL12345[[#This Row],[(STORGE DIFF.) AJD]]*1000)+TABL12345[[#This Row],[AJD_Evaporation]]+(TABL12345[[#This Row],[(A/B + A/S) AJD]]*1000))</f>
        <v/>
      </c>
      <c r="AE292" s="33" t="n"/>
      <c r="AF292" s="6" t="n"/>
      <c r="AG292" s="6" t="n"/>
      <c r="AH292" s="6">
        <f>TABL12345[[#This Row],[ (RESV. STORGE) BER]]/10</f>
        <v/>
      </c>
      <c r="AI292" s="6" t="n"/>
      <c r="AJ292" s="33">
        <f>TABL12345[[#This Row],[(A/B) AJD]]-TABL12345[[#This Row],[BER_IN]]</f>
        <v/>
      </c>
      <c r="AK292" s="6" t="n"/>
      <c r="AL292" s="6" t="n"/>
      <c r="AM292" s="32" t="n"/>
      <c r="AN292" s="32">
        <f>TABL12345[[#This Row],[ (RESV. STORGE) SER]]/10</f>
        <v/>
      </c>
      <c r="AO292" s="68" t="n"/>
      <c r="AP292" s="68">
        <f>TABL12345[[#This Row],[(A/S) AJD]]-TABL12345[[#This Row],[SER_IN]]</f>
        <v/>
      </c>
    </row>
    <row r="293" ht="18.75" customHeight="1">
      <c r="A293" s="2" t="n">
        <v>47044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TABL12345[[#This Row],[ (T/B) SAR]]+TABL12345[[#This Row],[ (S/S) SAR]]</f>
        <v/>
      </c>
      <c r="L293" s="28" t="n"/>
      <c r="M293" s="29" t="n"/>
      <c r="N293" s="30" t="n"/>
      <c r="O293" s="9" t="n"/>
      <c r="P293" s="9">
        <f>TABL12345[[#This Row],[ (S/S) SAR]]-TABL12345[[#This Row],[(S/S) AJD]]</f>
        <v/>
      </c>
      <c r="Q293" s="9" t="n"/>
      <c r="R293" s="9">
        <f>TABL12345[[#This Row],[ (T/B) SAR]]-TABL12345[[#This Row],[(T/B) AJD]]</f>
        <v/>
      </c>
      <c r="S293" s="9">
        <f>TABL12345[[#This Row],[S/S_CON.]]+TABL12345[[#This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TABL12345[[#This Row],[(RESV. STORGE) AJD]]/10</f>
        <v/>
      </c>
      <c r="AB293" s="3">
        <f>IF(TRIM(Z293)="",,(Z293-Z292)/1000)</f>
        <v/>
      </c>
      <c r="AC293" s="5" t="n"/>
      <c r="AD293" s="6">
        <f>(TABL12345[[#This Row],[( S/S+T/B) AJD]]*1000)-((TABL12345[[#This Row],[(STORGE DIFF.) AJD]]*1000)+TABL12345[[#This Row],[AJD_Evaporation]]+(TABL12345[[#This Row],[(A/B + A/S) AJD]]*1000))</f>
        <v/>
      </c>
      <c r="AE293" s="33" t="n"/>
      <c r="AF293" s="6" t="n"/>
      <c r="AG293" s="6" t="n"/>
      <c r="AH293" s="6">
        <f>TABL12345[[#This Row],[ (RESV. STORGE) BER]]/10</f>
        <v/>
      </c>
      <c r="AI293" s="6" t="n"/>
      <c r="AJ293" s="33">
        <f>TABL12345[[#This Row],[(A/B) AJD]]-TABL12345[[#This Row],[BER_IN]]</f>
        <v/>
      </c>
      <c r="AK293" s="6" t="n"/>
      <c r="AL293" s="6" t="n"/>
      <c r="AM293" s="32" t="n"/>
      <c r="AN293" s="32">
        <f>TABL12345[[#This Row],[ (RESV. STORGE) SER]]/10</f>
        <v/>
      </c>
      <c r="AO293" s="68" t="n"/>
      <c r="AP293" s="68">
        <f>TABL12345[[#This Row],[(A/S) AJD]]-TABL12345[[#This Row],[SER_IN]]</f>
        <v/>
      </c>
    </row>
    <row r="294" ht="18.75" customHeight="1">
      <c r="A294" s="2" t="n">
        <v>47045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TABL12345[[#This Row],[ (T/B) SAR]]+TABL12345[[#This Row],[ (S/S) SAR]]</f>
        <v/>
      </c>
      <c r="L294" s="28" t="n"/>
      <c r="M294" s="29" t="n"/>
      <c r="N294" s="30" t="n"/>
      <c r="O294" s="9" t="n"/>
      <c r="P294" s="9">
        <f>TABL12345[[#This Row],[ (S/S) SAR]]-TABL12345[[#This Row],[(S/S) AJD]]</f>
        <v/>
      </c>
      <c r="Q294" s="9" t="n"/>
      <c r="R294" s="9">
        <f>TABL12345[[#This Row],[ (T/B) SAR]]-TABL12345[[#This Row],[(T/B) AJD]]</f>
        <v/>
      </c>
      <c r="S294" s="9">
        <f>TABL12345[[#This Row],[S/S_CON.]]+TABL12345[[#This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TABL12345[[#This Row],[(RESV. STORGE) AJD]]/10</f>
        <v/>
      </c>
      <c r="AB294" s="3">
        <f>IF(TRIM(Z294)="",,(Z294-Z293)/1000)</f>
        <v/>
      </c>
      <c r="AC294" s="5" t="n"/>
      <c r="AD294" s="6">
        <f>(TABL12345[[#This Row],[( S/S+T/B) AJD]]*1000)-((TABL12345[[#This Row],[(STORGE DIFF.) AJD]]*1000)+TABL12345[[#This Row],[AJD_Evaporation]]+(TABL12345[[#This Row],[(A/B + A/S) AJD]]*1000))</f>
        <v/>
      </c>
      <c r="AE294" s="33" t="n"/>
      <c r="AF294" s="6" t="n"/>
      <c r="AG294" s="6" t="n"/>
      <c r="AH294" s="6">
        <f>TABL12345[[#This Row],[ (RESV. STORGE) BER]]/10</f>
        <v/>
      </c>
      <c r="AI294" s="6" t="n"/>
      <c r="AJ294" s="33">
        <f>TABL12345[[#This Row],[(A/B) AJD]]-TABL12345[[#This Row],[BER_IN]]</f>
        <v/>
      </c>
      <c r="AK294" s="6" t="n"/>
      <c r="AL294" s="6" t="n"/>
      <c r="AM294" s="32" t="n"/>
      <c r="AN294" s="32">
        <f>TABL12345[[#This Row],[ (RESV. STORGE) SER]]/10</f>
        <v/>
      </c>
      <c r="AO294" s="68" t="n"/>
      <c r="AP294" s="68">
        <f>TABL12345[[#This Row],[(A/S) AJD]]-TABL12345[[#This Row],[SER_IN]]</f>
        <v/>
      </c>
    </row>
    <row r="295" ht="18.75" customHeight="1">
      <c r="A295" s="2" t="n">
        <v>47046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TABL12345[[#This Row],[ (T/B) SAR]]+TABL12345[[#This Row],[ (S/S) SAR]]</f>
        <v/>
      </c>
      <c r="L295" s="28" t="n"/>
      <c r="M295" s="29" t="n"/>
      <c r="N295" s="30" t="n"/>
      <c r="O295" s="9" t="n"/>
      <c r="P295" s="9">
        <f>TABL12345[[#This Row],[ (S/S) SAR]]-TABL12345[[#This Row],[(S/S) AJD]]</f>
        <v/>
      </c>
      <c r="Q295" s="9" t="n"/>
      <c r="R295" s="9">
        <f>TABL12345[[#This Row],[ (T/B) SAR]]-TABL12345[[#This Row],[(T/B) AJD]]</f>
        <v/>
      </c>
      <c r="S295" s="9">
        <f>TABL12345[[#This Row],[S/S_CON.]]+TABL12345[[#This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TABL12345[[#This Row],[(RESV. STORGE) AJD]]/10</f>
        <v/>
      </c>
      <c r="AB295" s="3">
        <f>IF(TRIM(Z295)="",,(Z295-Z294)/1000)</f>
        <v/>
      </c>
      <c r="AC295" s="5" t="n"/>
      <c r="AD295" s="6">
        <f>(TABL12345[[#This Row],[( S/S+T/B) AJD]]*1000)-((TABL12345[[#This Row],[(STORGE DIFF.) AJD]]*1000)+TABL12345[[#This Row],[AJD_Evaporation]]+(TABL12345[[#This Row],[(A/B + A/S) AJD]]*1000))</f>
        <v/>
      </c>
      <c r="AE295" s="33" t="n"/>
      <c r="AF295" s="6" t="n"/>
      <c r="AG295" s="6" t="n"/>
      <c r="AH295" s="6">
        <f>TABL12345[[#This Row],[ (RESV. STORGE) BER]]/10</f>
        <v/>
      </c>
      <c r="AI295" s="6" t="n"/>
      <c r="AJ295" s="33">
        <f>TABL12345[[#This Row],[(A/B) AJD]]-TABL12345[[#This Row],[BER_IN]]</f>
        <v/>
      </c>
      <c r="AK295" s="6" t="n"/>
      <c r="AL295" s="6" t="n"/>
      <c r="AM295" s="32" t="n"/>
      <c r="AN295" s="32">
        <f>TABL12345[[#This Row],[ (RESV. STORGE) SER]]/10</f>
        <v/>
      </c>
      <c r="AO295" s="68" t="n"/>
      <c r="AP295" s="68">
        <f>TABL12345[[#This Row],[(A/S) AJD]]-TABL12345[[#This Row],[SER_IN]]</f>
        <v/>
      </c>
    </row>
    <row r="296" ht="18.75" customHeight="1">
      <c r="A296" s="2" t="n">
        <v>47047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TABL12345[[#This Row],[ (T/B) SAR]]+TABL12345[[#This Row],[ (S/S) SAR]]</f>
        <v/>
      </c>
      <c r="L296" s="28" t="n"/>
      <c r="M296" s="29" t="n"/>
      <c r="N296" s="30" t="n"/>
      <c r="O296" s="9" t="n"/>
      <c r="P296" s="9">
        <f>TABL12345[[#This Row],[ (S/S) SAR]]-TABL12345[[#This Row],[(S/S) AJD]]</f>
        <v/>
      </c>
      <c r="Q296" s="9" t="n"/>
      <c r="R296" s="9">
        <f>TABL12345[[#This Row],[ (T/B) SAR]]-TABL12345[[#This Row],[(T/B) AJD]]</f>
        <v/>
      </c>
      <c r="S296" s="9">
        <f>TABL12345[[#This Row],[S/S_CON.]]+TABL12345[[#This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TABL12345[[#This Row],[(RESV. STORGE) AJD]]/10</f>
        <v/>
      </c>
      <c r="AB296" s="3">
        <f>IF(TRIM(Z296)="",,(Z296-Z295)/1000)</f>
        <v/>
      </c>
      <c r="AC296" s="5" t="n"/>
      <c r="AD296" s="6">
        <f>(TABL12345[[#This Row],[( S/S+T/B) AJD]]*1000)-((TABL12345[[#This Row],[(STORGE DIFF.) AJD]]*1000)+TABL12345[[#This Row],[AJD_Evaporation]]+(TABL12345[[#This Row],[(A/B + A/S) AJD]]*1000))</f>
        <v/>
      </c>
      <c r="AE296" s="33" t="n"/>
      <c r="AF296" s="6" t="n"/>
      <c r="AG296" s="6" t="n"/>
      <c r="AH296" s="6">
        <f>TABL12345[[#This Row],[ (RESV. STORGE) BER]]/10</f>
        <v/>
      </c>
      <c r="AI296" s="6" t="n"/>
      <c r="AJ296" s="33">
        <f>TABL12345[[#This Row],[(A/B) AJD]]-TABL12345[[#This Row],[BER_IN]]</f>
        <v/>
      </c>
      <c r="AK296" s="6" t="n"/>
      <c r="AL296" s="6" t="n"/>
      <c r="AM296" s="32" t="n"/>
      <c r="AN296" s="32">
        <f>TABL12345[[#This Row],[ (RESV. STORGE) SER]]/10</f>
        <v/>
      </c>
      <c r="AO296" s="68" t="n"/>
      <c r="AP296" s="68">
        <f>TABL12345[[#This Row],[(A/S) AJD]]-TABL12345[[#This Row],[SER_IN]]</f>
        <v/>
      </c>
    </row>
    <row r="297" ht="18.75" customHeight="1">
      <c r="A297" s="2" t="n">
        <v>47048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TABL12345[[#This Row],[ (T/B) SAR]]+TABL12345[[#This Row],[ (S/S) SAR]]</f>
        <v/>
      </c>
      <c r="L297" s="28" t="n"/>
      <c r="M297" s="29" t="n"/>
      <c r="N297" s="30" t="n"/>
      <c r="O297" s="9" t="n"/>
      <c r="P297" s="9">
        <f>TABL12345[[#This Row],[ (S/S) SAR]]-TABL12345[[#This Row],[(S/S) AJD]]</f>
        <v/>
      </c>
      <c r="Q297" s="9" t="n"/>
      <c r="R297" s="9">
        <f>TABL12345[[#This Row],[ (T/B) SAR]]-TABL12345[[#This Row],[(T/B) AJD]]</f>
        <v/>
      </c>
      <c r="S297" s="9">
        <f>TABL12345[[#This Row],[S/S_CON.]]+TABL12345[[#This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TABL12345[[#This Row],[(RESV. STORGE) AJD]]/10</f>
        <v/>
      </c>
      <c r="AB297" s="3">
        <f>IF(TRIM(Z297)="",,(Z297-Z296)/1000)</f>
        <v/>
      </c>
      <c r="AC297" s="5" t="n"/>
      <c r="AD297" s="6">
        <f>(TABL12345[[#This Row],[( S/S+T/B) AJD]]*1000)-((TABL12345[[#This Row],[(STORGE DIFF.) AJD]]*1000)+TABL12345[[#This Row],[AJD_Evaporation]]+(TABL12345[[#This Row],[(A/B + A/S) AJD]]*1000))</f>
        <v/>
      </c>
      <c r="AE297" s="33" t="n"/>
      <c r="AF297" s="6" t="n"/>
      <c r="AG297" s="6" t="n"/>
      <c r="AH297" s="6">
        <f>TABL12345[[#This Row],[ (RESV. STORGE) BER]]/10</f>
        <v/>
      </c>
      <c r="AI297" s="6" t="n"/>
      <c r="AJ297" s="33">
        <f>TABL12345[[#This Row],[(A/B) AJD]]-TABL12345[[#This Row],[BER_IN]]</f>
        <v/>
      </c>
      <c r="AK297" s="6" t="n"/>
      <c r="AL297" s="6" t="n"/>
      <c r="AM297" s="32" t="n"/>
      <c r="AN297" s="32">
        <f>TABL12345[[#This Row],[ (RESV. STORGE) SER]]/10</f>
        <v/>
      </c>
      <c r="AO297" s="68" t="n"/>
      <c r="AP297" s="68">
        <f>TABL12345[[#This Row],[(A/S) AJD]]-TABL12345[[#This Row],[SER_IN]]</f>
        <v/>
      </c>
    </row>
    <row r="298" ht="18.75" customHeight="1">
      <c r="A298" s="2" t="n">
        <v>47049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TABL12345[[#This Row],[ (T/B) SAR]]+TABL12345[[#This Row],[ (S/S) SAR]]</f>
        <v/>
      </c>
      <c r="L298" s="28" t="n"/>
      <c r="M298" s="29" t="n"/>
      <c r="N298" s="30" t="n"/>
      <c r="O298" s="9" t="n"/>
      <c r="P298" s="9">
        <f>TABL12345[[#This Row],[ (S/S) SAR]]-TABL12345[[#This Row],[(S/S) AJD]]</f>
        <v/>
      </c>
      <c r="Q298" s="9" t="n"/>
      <c r="R298" s="9">
        <f>TABL12345[[#This Row],[ (T/B) SAR]]-TABL12345[[#This Row],[(T/B) AJD]]</f>
        <v/>
      </c>
      <c r="S298" s="9">
        <f>TABL12345[[#This Row],[S/S_CON.]]+TABL12345[[#This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TABL12345[[#This Row],[(RESV. STORGE) AJD]]/10</f>
        <v/>
      </c>
      <c r="AB298" s="3">
        <f>IF(TRIM(Z298)="",,(Z298-Z297)/1000)</f>
        <v/>
      </c>
      <c r="AC298" s="5" t="n"/>
      <c r="AD298" s="6">
        <f>(TABL12345[[#This Row],[( S/S+T/B) AJD]]*1000)-((TABL12345[[#This Row],[(STORGE DIFF.) AJD]]*1000)+TABL12345[[#This Row],[AJD_Evaporation]]+(TABL12345[[#This Row],[(A/B + A/S) AJD]]*1000))</f>
        <v/>
      </c>
      <c r="AE298" s="33" t="n"/>
      <c r="AF298" s="6" t="n"/>
      <c r="AG298" s="6" t="n"/>
      <c r="AH298" s="6">
        <f>TABL12345[[#This Row],[ (RESV. STORGE) BER]]/10</f>
        <v/>
      </c>
      <c r="AI298" s="6" t="n"/>
      <c r="AJ298" s="33">
        <f>TABL12345[[#This Row],[(A/B) AJD]]-TABL12345[[#This Row],[BER_IN]]</f>
        <v/>
      </c>
      <c r="AK298" s="6" t="n"/>
      <c r="AL298" s="6" t="n"/>
      <c r="AM298" s="32" t="n"/>
      <c r="AN298" s="32">
        <f>TABL12345[[#This Row],[ (RESV. STORGE) SER]]/10</f>
        <v/>
      </c>
      <c r="AO298" s="68" t="n"/>
      <c r="AP298" s="68">
        <f>TABL12345[[#This Row],[(A/S) AJD]]-TABL12345[[#This Row],[SER_IN]]</f>
        <v/>
      </c>
    </row>
    <row r="299" ht="18.75" customHeight="1">
      <c r="A299" s="2" t="n">
        <v>47050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TABL12345[[#This Row],[ (T/B) SAR]]+TABL12345[[#This Row],[ (S/S) SAR]]</f>
        <v/>
      </c>
      <c r="L299" s="28" t="n"/>
      <c r="M299" s="29" t="n"/>
      <c r="N299" s="30" t="n"/>
      <c r="O299" s="9" t="n"/>
      <c r="P299" s="9">
        <f>TABL12345[[#This Row],[ (S/S) SAR]]-TABL12345[[#This Row],[(S/S) AJD]]</f>
        <v/>
      </c>
      <c r="Q299" s="9" t="n"/>
      <c r="R299" s="9">
        <f>TABL12345[[#This Row],[ (T/B) SAR]]-TABL12345[[#This Row],[(T/B) AJD]]</f>
        <v/>
      </c>
      <c r="S299" s="9">
        <f>TABL12345[[#This Row],[S/S_CON.]]+TABL12345[[#This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TABL12345[[#This Row],[(RESV. STORGE) AJD]]/10</f>
        <v/>
      </c>
      <c r="AB299" s="3">
        <f>IF(TRIM(Z299)="",,(Z299-Z298)/1000)</f>
        <v/>
      </c>
      <c r="AC299" s="5" t="n"/>
      <c r="AD299" s="6">
        <f>(TABL12345[[#This Row],[( S/S+T/B) AJD]]*1000)-((TABL12345[[#This Row],[(STORGE DIFF.) AJD]]*1000)+TABL12345[[#This Row],[AJD_Evaporation]]+(TABL12345[[#This Row],[(A/B + A/S) AJD]]*1000))</f>
        <v/>
      </c>
      <c r="AE299" s="33" t="n"/>
      <c r="AF299" s="6" t="n"/>
      <c r="AG299" s="6" t="n"/>
      <c r="AH299" s="6">
        <f>TABL12345[[#This Row],[ (RESV. STORGE) BER]]/10</f>
        <v/>
      </c>
      <c r="AI299" s="6" t="n"/>
      <c r="AJ299" s="33">
        <f>TABL12345[[#This Row],[(A/B) AJD]]-TABL12345[[#This Row],[BER_IN]]</f>
        <v/>
      </c>
      <c r="AK299" s="6" t="n"/>
      <c r="AL299" s="6" t="n"/>
      <c r="AM299" s="32" t="n"/>
      <c r="AN299" s="32">
        <f>TABL12345[[#This Row],[ (RESV. STORGE) SER]]/10</f>
        <v/>
      </c>
      <c r="AO299" s="68" t="n"/>
      <c r="AP299" s="68">
        <f>TABL12345[[#This Row],[(A/S) AJD]]-TABL12345[[#This Row],[SER_IN]]</f>
        <v/>
      </c>
    </row>
    <row r="300" ht="18.75" customHeight="1">
      <c r="A300" s="2" t="n">
        <v>47051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TABL12345[[#This Row],[ (T/B) SAR]]+TABL12345[[#This Row],[ (S/S) SAR]]</f>
        <v/>
      </c>
      <c r="L300" s="28" t="n"/>
      <c r="M300" s="29" t="n"/>
      <c r="N300" s="30" t="n"/>
      <c r="O300" s="9" t="n"/>
      <c r="P300" s="9">
        <f>TABL12345[[#This Row],[ (S/S) SAR]]-TABL12345[[#This Row],[(S/S) AJD]]</f>
        <v/>
      </c>
      <c r="Q300" s="9" t="n"/>
      <c r="R300" s="9">
        <f>TABL12345[[#This Row],[ (T/B) SAR]]-TABL12345[[#This Row],[(T/B) AJD]]</f>
        <v/>
      </c>
      <c r="S300" s="9">
        <f>TABL12345[[#This Row],[S/S_CON.]]+TABL12345[[#This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TABL12345[[#This Row],[(RESV. STORGE) AJD]]/10</f>
        <v/>
      </c>
      <c r="AB300" s="3">
        <f>IF(TRIM(Z300)="",,(Z300-Z299)/1000)</f>
        <v/>
      </c>
      <c r="AC300" s="5" t="n"/>
      <c r="AD300" s="6">
        <f>(TABL12345[[#This Row],[( S/S+T/B) AJD]]*1000)-((TABL12345[[#This Row],[(STORGE DIFF.) AJD]]*1000)+TABL12345[[#This Row],[AJD_Evaporation]]+(TABL12345[[#This Row],[(A/B + A/S) AJD]]*1000))</f>
        <v/>
      </c>
      <c r="AE300" s="33" t="n"/>
      <c r="AF300" s="6" t="n"/>
      <c r="AG300" s="6" t="n"/>
      <c r="AH300" s="6">
        <f>TABL12345[[#This Row],[ (RESV. STORGE) BER]]/10</f>
        <v/>
      </c>
      <c r="AI300" s="6" t="n"/>
      <c r="AJ300" s="33">
        <f>TABL12345[[#This Row],[(A/B) AJD]]-TABL12345[[#This Row],[BER_IN]]</f>
        <v/>
      </c>
      <c r="AK300" s="6" t="n"/>
      <c r="AL300" s="6" t="n"/>
      <c r="AM300" s="32" t="n"/>
      <c r="AN300" s="32">
        <f>TABL12345[[#This Row],[ (RESV. STORGE) SER]]/10</f>
        <v/>
      </c>
      <c r="AO300" s="68" t="n"/>
      <c r="AP300" s="68">
        <f>TABL12345[[#This Row],[(A/S) AJD]]-TABL12345[[#This Row],[SER_IN]]</f>
        <v/>
      </c>
    </row>
    <row r="301" ht="18.75" customHeight="1">
      <c r="A301" s="2" t="n">
        <v>47052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TABL12345[[#This Row],[ (T/B) SAR]]+TABL12345[[#This Row],[ (S/S) SAR]]</f>
        <v/>
      </c>
      <c r="L301" s="28" t="n"/>
      <c r="M301" s="29" t="n"/>
      <c r="N301" s="30" t="n"/>
      <c r="O301" s="9" t="n"/>
      <c r="P301" s="9">
        <f>TABL12345[[#This Row],[ (S/S) SAR]]-TABL12345[[#This Row],[(S/S) AJD]]</f>
        <v/>
      </c>
      <c r="Q301" s="9" t="n"/>
      <c r="R301" s="9">
        <f>TABL12345[[#This Row],[ (T/B) SAR]]-TABL12345[[#This Row],[(T/B) AJD]]</f>
        <v/>
      </c>
      <c r="S301" s="9">
        <f>TABL12345[[#This Row],[S/S_CON.]]+TABL12345[[#This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TABL12345[[#This Row],[(RESV. STORGE) AJD]]/10</f>
        <v/>
      </c>
      <c r="AB301" s="3">
        <f>IF(TRIM(Z301)="",,(Z301-Z300)/1000)</f>
        <v/>
      </c>
      <c r="AC301" s="5" t="n"/>
      <c r="AD301" s="6">
        <f>(TABL12345[[#This Row],[( S/S+T/B) AJD]]*1000)-((TABL12345[[#This Row],[(STORGE DIFF.) AJD]]*1000)+TABL12345[[#This Row],[AJD_Evaporation]]+(TABL12345[[#This Row],[(A/B + A/S) AJD]]*1000))</f>
        <v/>
      </c>
      <c r="AE301" s="33" t="n"/>
      <c r="AF301" s="6" t="n"/>
      <c r="AG301" s="6" t="n"/>
      <c r="AH301" s="6">
        <f>TABL12345[[#This Row],[ (RESV. STORGE) BER]]/10</f>
        <v/>
      </c>
      <c r="AI301" s="6" t="n"/>
      <c r="AJ301" s="33">
        <f>TABL12345[[#This Row],[(A/B) AJD]]-TABL12345[[#This Row],[BER_IN]]</f>
        <v/>
      </c>
      <c r="AK301" s="6" t="n"/>
      <c r="AL301" s="6" t="n"/>
      <c r="AM301" s="32" t="n"/>
      <c r="AN301" s="32">
        <f>TABL12345[[#This Row],[ (RESV. STORGE) SER]]/10</f>
        <v/>
      </c>
      <c r="AO301" s="68" t="n"/>
      <c r="AP301" s="68">
        <f>TABL12345[[#This Row],[(A/S) AJD]]-TABL12345[[#This Row],[SER_IN]]</f>
        <v/>
      </c>
    </row>
    <row r="302" ht="18.75" customHeight="1">
      <c r="A302" s="2" t="n">
        <v>47053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TABL12345[[#This Row],[ (T/B) SAR]]+TABL12345[[#This Row],[ (S/S) SAR]]</f>
        <v/>
      </c>
      <c r="L302" s="28" t="n"/>
      <c r="M302" s="29" t="n"/>
      <c r="N302" s="30" t="n"/>
      <c r="O302" s="9" t="n"/>
      <c r="P302" s="9">
        <f>TABL12345[[#This Row],[ (S/S) SAR]]-TABL12345[[#This Row],[(S/S) AJD]]</f>
        <v/>
      </c>
      <c r="Q302" s="9" t="n"/>
      <c r="R302" s="9">
        <f>TABL12345[[#This Row],[ (T/B) SAR]]-TABL12345[[#This Row],[(T/B) AJD]]</f>
        <v/>
      </c>
      <c r="S302" s="9">
        <f>TABL12345[[#This Row],[S/S_CON.]]+TABL12345[[#This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TABL12345[[#This Row],[(RESV. STORGE) AJD]]/10</f>
        <v/>
      </c>
      <c r="AB302" s="3">
        <f>IF(TRIM(Z302)="",,(Z302-Z301)/1000)</f>
        <v/>
      </c>
      <c r="AC302" s="5" t="n"/>
      <c r="AD302" s="6">
        <f>(TABL12345[[#This Row],[( S/S+T/B) AJD]]*1000)-((TABL12345[[#This Row],[(STORGE DIFF.) AJD]]*1000)+TABL12345[[#This Row],[AJD_Evaporation]]+(TABL12345[[#This Row],[(A/B + A/S) AJD]]*1000))</f>
        <v/>
      </c>
      <c r="AE302" s="33" t="n"/>
      <c r="AF302" s="6" t="n"/>
      <c r="AG302" s="6" t="n"/>
      <c r="AH302" s="6">
        <f>TABL12345[[#This Row],[ (RESV. STORGE) BER]]/10</f>
        <v/>
      </c>
      <c r="AI302" s="6" t="n"/>
      <c r="AJ302" s="33">
        <f>TABL12345[[#This Row],[(A/B) AJD]]-TABL12345[[#This Row],[BER_IN]]</f>
        <v/>
      </c>
      <c r="AK302" s="6" t="n"/>
      <c r="AL302" s="6" t="n"/>
      <c r="AM302" s="32" t="n"/>
      <c r="AN302" s="32">
        <f>TABL12345[[#This Row],[ (RESV. STORGE) SER]]/10</f>
        <v/>
      </c>
      <c r="AO302" s="68" t="n"/>
      <c r="AP302" s="68">
        <f>TABL12345[[#This Row],[(A/S) AJD]]-TABL12345[[#This Row],[SER_IN]]</f>
        <v/>
      </c>
    </row>
    <row r="303" ht="18.75" customHeight="1">
      <c r="A303" s="2" t="n">
        <v>47054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TABL12345[[#This Row],[ (T/B) SAR]]+TABL12345[[#This Row],[ (S/S) SAR]]</f>
        <v/>
      </c>
      <c r="L303" s="28" t="n"/>
      <c r="M303" s="29" t="n"/>
      <c r="N303" s="30" t="n"/>
      <c r="O303" s="9" t="n"/>
      <c r="P303" s="9">
        <f>TABL12345[[#This Row],[ (S/S) SAR]]-TABL12345[[#This Row],[(S/S) AJD]]</f>
        <v/>
      </c>
      <c r="Q303" s="9" t="n"/>
      <c r="R303" s="9">
        <f>TABL12345[[#This Row],[ (T/B) SAR]]-TABL12345[[#This Row],[(T/B) AJD]]</f>
        <v/>
      </c>
      <c r="S303" s="9">
        <f>TABL12345[[#This Row],[S/S_CON.]]+TABL12345[[#This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TABL12345[[#This Row],[(RESV. STORGE) AJD]]/10</f>
        <v/>
      </c>
      <c r="AB303" s="3">
        <f>IF(TRIM(Z303)="",,(Z303-Z302)/1000)</f>
        <v/>
      </c>
      <c r="AC303" s="5" t="n"/>
      <c r="AD303" s="6">
        <f>(TABL12345[[#This Row],[( S/S+T/B) AJD]]*1000)-((TABL12345[[#This Row],[(STORGE DIFF.) AJD]]*1000)+TABL12345[[#This Row],[AJD_Evaporation]]+(TABL12345[[#This Row],[(A/B + A/S) AJD]]*1000))</f>
        <v/>
      </c>
      <c r="AE303" s="33" t="n"/>
      <c r="AF303" s="6" t="n"/>
      <c r="AG303" s="6" t="n"/>
      <c r="AH303" s="6">
        <f>TABL12345[[#This Row],[ (RESV. STORGE) BER]]/10</f>
        <v/>
      </c>
      <c r="AI303" s="6" t="n"/>
      <c r="AJ303" s="33">
        <f>TABL12345[[#This Row],[(A/B) AJD]]-TABL12345[[#This Row],[BER_IN]]</f>
        <v/>
      </c>
      <c r="AK303" s="6" t="n"/>
      <c r="AL303" s="6" t="n"/>
      <c r="AM303" s="32" t="n"/>
      <c r="AN303" s="32">
        <f>TABL12345[[#This Row],[ (RESV. STORGE) SER]]/10</f>
        <v/>
      </c>
      <c r="AO303" s="68" t="n"/>
      <c r="AP303" s="68">
        <f>TABL12345[[#This Row],[(A/S) AJD]]-TABL12345[[#This Row],[SER_IN]]</f>
        <v/>
      </c>
    </row>
    <row r="304" ht="18.75" customHeight="1">
      <c r="A304" s="2" t="n">
        <v>47055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TABL12345[[#This Row],[ (T/B) SAR]]+TABL12345[[#This Row],[ (S/S) SAR]]</f>
        <v/>
      </c>
      <c r="L304" s="28" t="n"/>
      <c r="M304" s="29" t="n"/>
      <c r="N304" s="30" t="n"/>
      <c r="O304" s="9" t="n"/>
      <c r="P304" s="9">
        <f>TABL12345[[#This Row],[ (S/S) SAR]]-TABL12345[[#This Row],[(S/S) AJD]]</f>
        <v/>
      </c>
      <c r="Q304" s="9" t="n"/>
      <c r="R304" s="9">
        <f>TABL12345[[#This Row],[ (T/B) SAR]]-TABL12345[[#This Row],[(T/B) AJD]]</f>
        <v/>
      </c>
      <c r="S304" s="9">
        <f>TABL12345[[#This Row],[S/S_CON.]]+TABL12345[[#This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TABL12345[[#This Row],[(RESV. STORGE) AJD]]/10</f>
        <v/>
      </c>
      <c r="AB304" s="3">
        <f>IF(TRIM(Z304)="",,(Z304-Z303)/1000)</f>
        <v/>
      </c>
      <c r="AC304" s="5" t="n"/>
      <c r="AD304" s="6">
        <f>(TABL12345[[#This Row],[( S/S+T/B) AJD]]*1000)-((TABL12345[[#This Row],[(STORGE DIFF.) AJD]]*1000)+TABL12345[[#This Row],[AJD_Evaporation]]+(TABL12345[[#This Row],[(A/B + A/S) AJD]]*1000))</f>
        <v/>
      </c>
      <c r="AE304" s="33" t="n"/>
      <c r="AF304" s="6" t="n"/>
      <c r="AG304" s="6" t="n"/>
      <c r="AH304" s="6">
        <f>TABL12345[[#This Row],[ (RESV. STORGE) BER]]/10</f>
        <v/>
      </c>
      <c r="AI304" s="6" t="n"/>
      <c r="AJ304" s="33">
        <f>TABL12345[[#This Row],[(A/B) AJD]]-TABL12345[[#This Row],[BER_IN]]</f>
        <v/>
      </c>
      <c r="AK304" s="6" t="n"/>
      <c r="AL304" s="6" t="n"/>
      <c r="AM304" s="32" t="n"/>
      <c r="AN304" s="32">
        <f>TABL12345[[#This Row],[ (RESV. STORGE) SER]]/10</f>
        <v/>
      </c>
      <c r="AO304" s="68" t="n"/>
      <c r="AP304" s="68">
        <f>TABL12345[[#This Row],[(A/S) AJD]]-TABL12345[[#This Row],[SER_IN]]</f>
        <v/>
      </c>
    </row>
    <row r="305" ht="18.75" customHeight="1">
      <c r="A305" s="2" t="n">
        <v>47056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TABL12345[[#This Row],[ (T/B) SAR]]+TABL12345[[#This Row],[ (S/S) SAR]]</f>
        <v/>
      </c>
      <c r="L305" s="28" t="n"/>
      <c r="M305" s="29" t="n"/>
      <c r="N305" s="30" t="n"/>
      <c r="O305" s="9" t="n"/>
      <c r="P305" s="9">
        <f>TABL12345[[#This Row],[ (S/S) SAR]]-TABL12345[[#This Row],[(S/S) AJD]]</f>
        <v/>
      </c>
      <c r="Q305" s="9" t="n"/>
      <c r="R305" s="9">
        <f>TABL12345[[#This Row],[ (T/B) SAR]]-TABL12345[[#This Row],[(T/B) AJD]]</f>
        <v/>
      </c>
      <c r="S305" s="9">
        <f>TABL12345[[#This Row],[S/S_CON.]]+TABL12345[[#This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TABL12345[[#This Row],[(RESV. STORGE) AJD]]/10</f>
        <v/>
      </c>
      <c r="AB305" s="3">
        <f>IF(TRIM(Z305)="",,(Z305-Z304)/1000)</f>
        <v/>
      </c>
      <c r="AC305" s="5" t="n"/>
      <c r="AD305" s="6">
        <f>(TABL12345[[#This Row],[( S/S+T/B) AJD]]*1000)-((TABL12345[[#This Row],[(STORGE DIFF.) AJD]]*1000)+TABL12345[[#This Row],[AJD_Evaporation]]+(TABL12345[[#This Row],[(A/B + A/S) AJD]]*1000))</f>
        <v/>
      </c>
      <c r="AE305" s="33" t="n"/>
      <c r="AF305" s="6" t="n"/>
      <c r="AG305" s="6" t="n"/>
      <c r="AH305" s="6">
        <f>TABL12345[[#This Row],[ (RESV. STORGE) BER]]/10</f>
        <v/>
      </c>
      <c r="AI305" s="6" t="n"/>
      <c r="AJ305" s="33">
        <f>TABL12345[[#This Row],[(A/B) AJD]]-TABL12345[[#This Row],[BER_IN]]</f>
        <v/>
      </c>
      <c r="AK305" s="6" t="n"/>
      <c r="AL305" s="6" t="n"/>
      <c r="AM305" s="32" t="n"/>
      <c r="AN305" s="32">
        <f>TABL12345[[#This Row],[ (RESV. STORGE) SER]]/10</f>
        <v/>
      </c>
      <c r="AO305" s="68" t="n"/>
      <c r="AP305" s="68">
        <f>TABL12345[[#This Row],[(A/S) AJD]]-TABL12345[[#This Row],[SER_IN]]</f>
        <v/>
      </c>
    </row>
    <row r="306" ht="18.75" customHeight="1">
      <c r="A306" s="2" t="n">
        <v>47057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TABL12345[[#This Row],[ (T/B) SAR]]+TABL12345[[#This Row],[ (S/S) SAR]]</f>
        <v/>
      </c>
      <c r="L306" s="28" t="n"/>
      <c r="M306" s="29" t="n"/>
      <c r="N306" s="30" t="n"/>
      <c r="O306" s="39" t="n"/>
      <c r="P306" s="9">
        <f>TABL12345[[#This Row],[ (S/S) SAR]]-TABL12345[[#This Row],[(S/S) AJD]]</f>
        <v/>
      </c>
      <c r="Q306" s="9" t="n"/>
      <c r="R306" s="9">
        <f>TABL12345[[#This Row],[ (T/B) SAR]]-TABL12345[[#This Row],[(T/B) AJD]]</f>
        <v/>
      </c>
      <c r="S306" s="9">
        <f>TABL12345[[#This Row],[S/S_CON.]]+TABL12345[[#This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TABL12345[[#This Row],[(RESV. STORGE) AJD]]/10</f>
        <v/>
      </c>
      <c r="AB306" s="3">
        <f>IF(TRIM(Z306)="",,(Z306-Z305)/1000)</f>
        <v/>
      </c>
      <c r="AC306" s="5" t="n"/>
      <c r="AD306" s="6">
        <f>(TABL12345[[#This Row],[( S/S+T/B) AJD]]*1000)-((TABL12345[[#This Row],[(STORGE DIFF.) AJD]]*1000)+TABL12345[[#This Row],[AJD_Evaporation]]+(TABL12345[[#This Row],[(A/B + A/S) AJD]]*1000))</f>
        <v/>
      </c>
      <c r="AE306" s="33" t="n"/>
      <c r="AF306" s="6" t="n"/>
      <c r="AG306" s="6" t="n"/>
      <c r="AH306" s="6">
        <f>TABL12345[[#This Row],[ (RESV. STORGE) BER]]/10</f>
        <v/>
      </c>
      <c r="AI306" s="6" t="n"/>
      <c r="AJ306" s="33">
        <f>TABL12345[[#This Row],[(A/B) AJD]]-TABL12345[[#This Row],[BER_IN]]</f>
        <v/>
      </c>
      <c r="AK306" s="6" t="n"/>
      <c r="AL306" s="6" t="n"/>
      <c r="AM306" s="32" t="n"/>
      <c r="AN306" s="32">
        <f>TABL12345[[#This Row],[ (RESV. STORGE) SER]]/10</f>
        <v/>
      </c>
      <c r="AO306" s="68" t="n"/>
      <c r="AP306" s="68">
        <f>TABL12345[[#This Row],[(A/S) AJD]]-TABL12345[[#This Row],[SER_IN]]</f>
        <v/>
      </c>
    </row>
    <row r="307" ht="18.75" customHeight="1">
      <c r="A307" s="2" t="n">
        <v>47058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TABL12345[[#This Row],[ (T/B) SAR]]+TABL12345[[#This Row],[ (S/S) SAR]]</f>
        <v/>
      </c>
      <c r="L307" s="28" t="n"/>
      <c r="M307" s="29" t="n"/>
      <c r="N307" s="30" t="n"/>
      <c r="O307" s="40" t="n"/>
      <c r="P307" s="9">
        <f>TABL12345[[#This Row],[ (S/S) SAR]]-TABL12345[[#This Row],[(S/S) AJD]]</f>
        <v/>
      </c>
      <c r="Q307" s="9" t="n"/>
      <c r="R307" s="9">
        <f>TABL12345[[#This Row],[ (T/B) SAR]]-TABL12345[[#This Row],[(T/B) AJD]]</f>
        <v/>
      </c>
      <c r="S307" s="9">
        <f>TABL12345[[#This Row],[S/S_CON.]]+TABL12345[[#This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TABL12345[[#This Row],[(RESV. STORGE) AJD]]/10</f>
        <v/>
      </c>
      <c r="AB307" s="3">
        <f>IF(TRIM(Z307)="",,(Z307-Z306)/1000)</f>
        <v/>
      </c>
      <c r="AC307" s="5" t="n"/>
      <c r="AD307" s="6">
        <f>(TABL12345[[#This Row],[( S/S+T/B) AJD]]*1000)-((TABL12345[[#This Row],[(STORGE DIFF.) AJD]]*1000)+TABL12345[[#This Row],[AJD_Evaporation]]+(TABL12345[[#This Row],[(A/B + A/S) AJD]]*1000))</f>
        <v/>
      </c>
      <c r="AE307" s="33" t="n"/>
      <c r="AF307" s="6" t="n"/>
      <c r="AG307" s="6" t="n"/>
      <c r="AH307" s="6">
        <f>TABL12345[[#This Row],[ (RESV. STORGE) BER]]/10</f>
        <v/>
      </c>
      <c r="AI307" s="6" t="n"/>
      <c r="AJ307" s="33">
        <f>TABL12345[[#This Row],[(A/B) AJD]]-TABL12345[[#This Row],[BER_IN]]</f>
        <v/>
      </c>
      <c r="AK307" s="6" t="n"/>
      <c r="AL307" s="6" t="n"/>
      <c r="AM307" s="32" t="n"/>
      <c r="AN307" s="32">
        <f>TABL12345[[#This Row],[ (RESV. STORGE) SER]]/10</f>
        <v/>
      </c>
      <c r="AO307" s="68" t="n"/>
      <c r="AP307" s="68">
        <f>TABL12345[[#This Row],[(A/S) AJD]]-TABL12345[[#This Row],[SER_IN]]</f>
        <v/>
      </c>
    </row>
    <row r="308" ht="18.75" customHeight="1">
      <c r="A308" s="2" t="n">
        <v>47059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TABL12345[[#This Row],[ (T/B) SAR]]+TABL12345[[#This Row],[ (S/S) SAR]]</f>
        <v/>
      </c>
      <c r="L308" s="28" t="n"/>
      <c r="M308" s="29" t="n"/>
      <c r="N308" s="30" t="n"/>
      <c r="O308" s="39" t="n"/>
      <c r="P308" s="9">
        <f>TABL12345[[#This Row],[ (S/S) SAR]]-TABL12345[[#This Row],[(S/S) AJD]]</f>
        <v/>
      </c>
      <c r="Q308" s="9" t="n"/>
      <c r="R308" s="9">
        <f>TABL12345[[#This Row],[ (T/B) SAR]]-TABL12345[[#This Row],[(T/B) AJD]]</f>
        <v/>
      </c>
      <c r="S308" s="9">
        <f>TABL12345[[#This Row],[S/S_CON.]]+TABL12345[[#This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TABL12345[[#This Row],[(RESV. STORGE) AJD]]/10</f>
        <v/>
      </c>
      <c r="AB308" s="3">
        <f>IF(TRIM(Z308)="",,(Z308-Z307)/1000)</f>
        <v/>
      </c>
      <c r="AC308" s="5" t="n"/>
      <c r="AD308" s="6">
        <f>(TABL12345[[#This Row],[( S/S+T/B) AJD]]*1000)-((TABL12345[[#This Row],[(STORGE DIFF.) AJD]]*1000)+TABL12345[[#This Row],[AJD_Evaporation]]+(TABL12345[[#This Row],[(A/B + A/S) AJD]]*1000))</f>
        <v/>
      </c>
      <c r="AE308" s="33" t="n"/>
      <c r="AF308" s="6" t="n"/>
      <c r="AG308" s="6" t="n"/>
      <c r="AH308" s="6">
        <f>TABL12345[[#This Row],[ (RESV. STORGE) BER]]/10</f>
        <v/>
      </c>
      <c r="AI308" s="6" t="n"/>
      <c r="AJ308" s="33">
        <f>TABL12345[[#This Row],[(A/B) AJD]]-TABL12345[[#This Row],[BER_IN]]</f>
        <v/>
      </c>
      <c r="AK308" s="6" t="n"/>
      <c r="AL308" s="6" t="n"/>
      <c r="AM308" s="32" t="n"/>
      <c r="AN308" s="32">
        <f>TABL12345[[#This Row],[ (RESV. STORGE) SER]]/10</f>
        <v/>
      </c>
      <c r="AO308" s="68" t="n"/>
      <c r="AP308" s="68">
        <f>TABL12345[[#This Row],[(A/S) AJD]]-TABL12345[[#This Row],[SER_IN]]</f>
        <v/>
      </c>
    </row>
    <row r="309" ht="18.75" customHeight="1">
      <c r="A309" s="2" t="n">
        <v>47060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TABL12345[[#This Row],[ (T/B) SAR]]+TABL12345[[#This Row],[ (S/S) SAR]]</f>
        <v/>
      </c>
      <c r="L309" s="28" t="n"/>
      <c r="M309" s="29" t="n"/>
      <c r="N309" s="30" t="n"/>
      <c r="O309" s="40" t="n"/>
      <c r="P309" s="9">
        <f>TABL12345[[#This Row],[ (S/S) SAR]]-TABL12345[[#This Row],[(S/S) AJD]]</f>
        <v/>
      </c>
      <c r="Q309" s="9" t="n"/>
      <c r="R309" s="9">
        <f>TABL12345[[#This Row],[ (T/B) SAR]]-TABL12345[[#This Row],[(T/B) AJD]]</f>
        <v/>
      </c>
      <c r="S309" s="9">
        <f>TABL12345[[#This Row],[S/S_CON.]]+TABL12345[[#This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TABL12345[[#This Row],[(RESV. STORGE) AJD]]/10</f>
        <v/>
      </c>
      <c r="AB309" s="3">
        <f>IF(TRIM(Z309)="",,(Z309-Z308)/1000)</f>
        <v/>
      </c>
      <c r="AC309" s="5" t="n"/>
      <c r="AD309" s="6">
        <f>(TABL12345[[#This Row],[( S/S+T/B) AJD]]*1000)-((TABL12345[[#This Row],[(STORGE DIFF.) AJD]]*1000)+TABL12345[[#This Row],[AJD_Evaporation]]+(TABL12345[[#This Row],[(A/B + A/S) AJD]]*1000))</f>
        <v/>
      </c>
      <c r="AE309" s="33" t="n"/>
      <c r="AF309" s="6" t="n"/>
      <c r="AG309" s="6" t="n"/>
      <c r="AH309" s="6">
        <f>TABL12345[[#This Row],[ (RESV. STORGE) BER]]/10</f>
        <v/>
      </c>
      <c r="AI309" s="6" t="n"/>
      <c r="AJ309" s="33">
        <f>TABL12345[[#This Row],[(A/B) AJD]]-TABL12345[[#This Row],[BER_IN]]</f>
        <v/>
      </c>
      <c r="AK309" s="6" t="n"/>
      <c r="AL309" s="6" t="n"/>
      <c r="AM309" s="32" t="n"/>
      <c r="AN309" s="32">
        <f>TABL12345[[#This Row],[ (RESV. STORGE) SER]]/10</f>
        <v/>
      </c>
      <c r="AO309" s="68" t="n"/>
      <c r="AP309" s="68">
        <f>TABL12345[[#This Row],[(A/S) AJD]]-TABL12345[[#This Row],[SER_IN]]</f>
        <v/>
      </c>
    </row>
    <row r="310" ht="18.75" customHeight="1">
      <c r="A310" s="2" t="n">
        <v>47061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TABL12345[[#This Row],[ (T/B) SAR]]+TABL12345[[#This Row],[ (S/S) SAR]]</f>
        <v/>
      </c>
      <c r="L310" s="28" t="n"/>
      <c r="M310" s="29" t="n"/>
      <c r="N310" s="30" t="n"/>
      <c r="O310" s="39" t="n"/>
      <c r="P310" s="9">
        <f>TABL12345[[#This Row],[ (S/S) SAR]]-TABL12345[[#This Row],[(S/S) AJD]]</f>
        <v/>
      </c>
      <c r="Q310" s="9" t="n"/>
      <c r="R310" s="9">
        <f>TABL12345[[#This Row],[ (T/B) SAR]]-TABL12345[[#This Row],[(T/B) AJD]]</f>
        <v/>
      </c>
      <c r="S310" s="9">
        <f>TABL12345[[#This Row],[S/S_CON.]]+TABL12345[[#This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TABL12345[[#This Row],[(RESV. STORGE) AJD]]/10</f>
        <v/>
      </c>
      <c r="AB310" s="3">
        <f>IF(TRIM(Z310)="",,(Z310-Z309)/1000)</f>
        <v/>
      </c>
      <c r="AC310" s="5" t="n"/>
      <c r="AD310" s="6">
        <f>(TABL12345[[#This Row],[( S/S+T/B) AJD]]*1000)-((TABL12345[[#This Row],[(STORGE DIFF.) AJD]]*1000)+TABL12345[[#This Row],[AJD_Evaporation]]+(TABL12345[[#This Row],[(A/B + A/S) AJD]]*1000))</f>
        <v/>
      </c>
      <c r="AE310" s="33" t="n"/>
      <c r="AF310" s="6" t="n"/>
      <c r="AG310" s="6" t="n"/>
      <c r="AH310" s="6">
        <f>TABL12345[[#This Row],[ (RESV. STORGE) BER]]/10</f>
        <v/>
      </c>
      <c r="AI310" s="6" t="n"/>
      <c r="AJ310" s="33">
        <f>TABL12345[[#This Row],[(A/B) AJD]]-TABL12345[[#This Row],[BER_IN]]</f>
        <v/>
      </c>
      <c r="AK310" s="6" t="n"/>
      <c r="AL310" s="6" t="n"/>
      <c r="AM310" s="32" t="n"/>
      <c r="AN310" s="32">
        <f>TABL12345[[#This Row],[ (RESV. STORGE) SER]]/10</f>
        <v/>
      </c>
      <c r="AO310" s="68" t="n"/>
      <c r="AP310" s="68">
        <f>TABL12345[[#This Row],[(A/S) AJD]]-TABL12345[[#This Row],[SER_IN]]</f>
        <v/>
      </c>
    </row>
    <row r="311" ht="18.75" customHeight="1">
      <c r="A311" s="2" t="n">
        <v>47062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TABL12345[[#This Row],[ (T/B) SAR]]+TABL12345[[#This Row],[ (S/S) SAR]]</f>
        <v/>
      </c>
      <c r="L311" s="28" t="n"/>
      <c r="M311" s="29" t="n"/>
      <c r="N311" s="30" t="n"/>
      <c r="O311" s="40" t="n"/>
      <c r="P311" s="9">
        <f>TABL12345[[#This Row],[ (S/S) SAR]]-TABL12345[[#This Row],[(S/S) AJD]]</f>
        <v/>
      </c>
      <c r="Q311" s="9" t="n"/>
      <c r="R311" s="9">
        <f>TABL12345[[#This Row],[ (T/B) SAR]]-TABL12345[[#This Row],[(T/B) AJD]]</f>
        <v/>
      </c>
      <c r="S311" s="9">
        <f>TABL12345[[#This Row],[S/S_CON.]]+TABL12345[[#This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TABL12345[[#This Row],[(RESV. STORGE) AJD]]/10</f>
        <v/>
      </c>
      <c r="AB311" s="3">
        <f>IF(TRIM(Z311)="",,(Z311-Z310)/1000)</f>
        <v/>
      </c>
      <c r="AC311" s="5" t="n"/>
      <c r="AD311" s="6">
        <f>(TABL12345[[#This Row],[( S/S+T/B) AJD]]*1000)-((TABL12345[[#This Row],[(STORGE DIFF.) AJD]]*1000)+TABL12345[[#This Row],[AJD_Evaporation]]+(TABL12345[[#This Row],[(A/B + A/S) AJD]]*1000))</f>
        <v/>
      </c>
      <c r="AE311" s="33" t="n"/>
      <c r="AF311" s="6" t="n"/>
      <c r="AG311" s="6" t="n"/>
      <c r="AH311" s="6">
        <f>TABL12345[[#This Row],[ (RESV. STORGE) BER]]/10</f>
        <v/>
      </c>
      <c r="AI311" s="6" t="n"/>
      <c r="AJ311" s="33">
        <f>TABL12345[[#This Row],[(A/B) AJD]]-TABL12345[[#This Row],[BER_IN]]</f>
        <v/>
      </c>
      <c r="AK311" s="6" t="n"/>
      <c r="AL311" s="6" t="n"/>
      <c r="AM311" s="32" t="n"/>
      <c r="AN311" s="32">
        <f>TABL12345[[#This Row],[ (RESV. STORGE) SER]]/10</f>
        <v/>
      </c>
      <c r="AO311" s="68" t="n"/>
      <c r="AP311" s="68">
        <f>TABL12345[[#This Row],[(A/S) AJD]]-TABL12345[[#This Row],[SER_IN]]</f>
        <v/>
      </c>
    </row>
    <row r="312" ht="18.75" customHeight="1">
      <c r="A312" s="2" t="n">
        <v>47063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TABL12345[[#This Row],[ (T/B) SAR]]+TABL12345[[#This Row],[ (S/S) SAR]]</f>
        <v/>
      </c>
      <c r="L312" s="28" t="n"/>
      <c r="M312" s="29" t="n"/>
      <c r="N312" s="30" t="n"/>
      <c r="O312" s="39" t="n"/>
      <c r="P312" s="9">
        <f>TABL12345[[#This Row],[ (S/S) SAR]]-TABL12345[[#This Row],[(S/S) AJD]]</f>
        <v/>
      </c>
      <c r="Q312" s="9" t="n"/>
      <c r="R312" s="9">
        <f>TABL12345[[#This Row],[ (T/B) SAR]]-TABL12345[[#This Row],[(T/B) AJD]]</f>
        <v/>
      </c>
      <c r="S312" s="9">
        <f>TABL12345[[#This Row],[S/S_CON.]]+TABL12345[[#This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TABL12345[[#This Row],[(RESV. STORGE) AJD]]/10</f>
        <v/>
      </c>
      <c r="AB312" s="3">
        <f>IF(TRIM(Z312)="",,(Z312-Z311)/1000)</f>
        <v/>
      </c>
      <c r="AC312" s="5" t="n"/>
      <c r="AD312" s="6">
        <f>(TABL12345[[#This Row],[( S/S+T/B) AJD]]*1000)-((TABL12345[[#This Row],[(STORGE DIFF.) AJD]]*1000)+TABL12345[[#This Row],[AJD_Evaporation]]+(TABL12345[[#This Row],[(A/B + A/S) AJD]]*1000))</f>
        <v/>
      </c>
      <c r="AE312" s="33" t="n"/>
      <c r="AF312" s="6" t="n"/>
      <c r="AG312" s="6" t="n"/>
      <c r="AH312" s="6">
        <f>TABL12345[[#This Row],[ (RESV. STORGE) BER]]/10</f>
        <v/>
      </c>
      <c r="AI312" s="6" t="n"/>
      <c r="AJ312" s="33">
        <f>TABL12345[[#This Row],[(A/B) AJD]]-TABL12345[[#This Row],[BER_IN]]</f>
        <v/>
      </c>
      <c r="AK312" s="6" t="n"/>
      <c r="AL312" s="6" t="n"/>
      <c r="AM312" s="32" t="n"/>
      <c r="AN312" s="32">
        <f>TABL12345[[#This Row],[ (RESV. STORGE) SER]]/10</f>
        <v/>
      </c>
      <c r="AO312" s="68" t="n"/>
      <c r="AP312" s="68">
        <f>TABL12345[[#This Row],[(A/S) AJD]]-TABL12345[[#This Row],[SER_IN]]</f>
        <v/>
      </c>
    </row>
    <row r="313" ht="18.75" customHeight="1">
      <c r="A313" s="2" t="n">
        <v>47064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TABL12345[[#This Row],[ (T/B) SAR]]+TABL12345[[#This Row],[ (S/S) SAR]]</f>
        <v/>
      </c>
      <c r="L313" s="28" t="n"/>
      <c r="M313" s="29" t="n"/>
      <c r="N313" s="30" t="n"/>
      <c r="O313" s="40" t="n"/>
      <c r="P313" s="9">
        <f>TABL12345[[#This Row],[ (S/S) SAR]]-TABL12345[[#This Row],[(S/S) AJD]]</f>
        <v/>
      </c>
      <c r="Q313" s="9" t="n"/>
      <c r="R313" s="9">
        <f>TABL12345[[#This Row],[ (T/B) SAR]]-TABL12345[[#This Row],[(T/B) AJD]]</f>
        <v/>
      </c>
      <c r="S313" s="9">
        <f>TABL12345[[#This Row],[S/S_CON.]]+TABL12345[[#This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TABL12345[[#This Row],[(RESV. STORGE) AJD]]/10</f>
        <v/>
      </c>
      <c r="AB313" s="3">
        <f>IF(TRIM(Z313)="",,(Z313-Z312)/1000)</f>
        <v/>
      </c>
      <c r="AC313" s="5" t="n"/>
      <c r="AD313" s="6">
        <f>(TABL12345[[#This Row],[( S/S+T/B) AJD]]*1000)-((TABL12345[[#This Row],[(STORGE DIFF.) AJD]]*1000)+TABL12345[[#This Row],[AJD_Evaporation]]+(TABL12345[[#This Row],[(A/B + A/S) AJD]]*1000))</f>
        <v/>
      </c>
      <c r="AE313" s="33" t="n"/>
      <c r="AF313" s="6" t="n"/>
      <c r="AG313" s="6" t="n"/>
      <c r="AH313" s="6">
        <f>TABL12345[[#This Row],[ (RESV. STORGE) BER]]/10</f>
        <v/>
      </c>
      <c r="AI313" s="6" t="n"/>
      <c r="AJ313" s="33">
        <f>TABL12345[[#This Row],[(A/B) AJD]]-TABL12345[[#This Row],[BER_IN]]</f>
        <v/>
      </c>
      <c r="AK313" s="6" t="n"/>
      <c r="AL313" s="6" t="n"/>
      <c r="AM313" s="32" t="n"/>
      <c r="AN313" s="32">
        <f>TABL12345[[#This Row],[ (RESV. STORGE) SER]]/10</f>
        <v/>
      </c>
      <c r="AO313" s="68" t="n"/>
      <c r="AP313" s="68">
        <f>TABL12345[[#This Row],[(A/S) AJD]]-TABL12345[[#This Row],[SER_IN]]</f>
        <v/>
      </c>
    </row>
    <row r="314" ht="18.75" customHeight="1">
      <c r="A314" s="2" t="n">
        <v>47065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TABL12345[[#This Row],[ (T/B) SAR]]+TABL12345[[#This Row],[ (S/S) SAR]]</f>
        <v/>
      </c>
      <c r="L314" s="28" t="n"/>
      <c r="M314" s="29" t="n"/>
      <c r="N314" s="30" t="n"/>
      <c r="O314" s="39" t="n"/>
      <c r="P314" s="9">
        <f>TABL12345[[#This Row],[ (S/S) SAR]]-TABL12345[[#This Row],[(S/S) AJD]]</f>
        <v/>
      </c>
      <c r="Q314" s="9" t="n"/>
      <c r="R314" s="9">
        <f>TABL12345[[#This Row],[ (T/B) SAR]]-TABL12345[[#This Row],[(T/B) AJD]]</f>
        <v/>
      </c>
      <c r="S314" s="9">
        <f>TABL12345[[#This Row],[S/S_CON.]]+TABL12345[[#This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TABL12345[[#This Row],[(RESV. STORGE) AJD]]/10</f>
        <v/>
      </c>
      <c r="AB314" s="3">
        <f>IF(TRIM(Z314)="",,(Z314-Z313)/1000)</f>
        <v/>
      </c>
      <c r="AC314" s="5" t="n"/>
      <c r="AD314" s="6">
        <f>(TABL12345[[#This Row],[( S/S+T/B) AJD]]*1000)-((TABL12345[[#This Row],[(STORGE DIFF.) AJD]]*1000)+TABL12345[[#This Row],[AJD_Evaporation]]+(TABL12345[[#This Row],[(A/B + A/S) AJD]]*1000))</f>
        <v/>
      </c>
      <c r="AE314" s="33" t="n"/>
      <c r="AF314" s="6" t="n"/>
      <c r="AG314" s="6" t="n"/>
      <c r="AH314" s="6">
        <f>TABL12345[[#This Row],[ (RESV. STORGE) BER]]/10</f>
        <v/>
      </c>
      <c r="AI314" s="6" t="n"/>
      <c r="AJ314" s="33">
        <f>TABL12345[[#This Row],[(A/B) AJD]]-TABL12345[[#This Row],[BER_IN]]</f>
        <v/>
      </c>
      <c r="AK314" s="6" t="n"/>
      <c r="AL314" s="6" t="n"/>
      <c r="AM314" s="32" t="n"/>
      <c r="AN314" s="32">
        <f>TABL12345[[#This Row],[ (RESV. STORGE) SER]]/10</f>
        <v/>
      </c>
      <c r="AO314" s="68" t="n"/>
      <c r="AP314" s="68">
        <f>TABL12345[[#This Row],[(A/S) AJD]]-TABL12345[[#This Row],[SER_IN]]</f>
        <v/>
      </c>
    </row>
    <row r="315" ht="18.75" customHeight="1">
      <c r="A315" s="2" t="n">
        <v>47066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TABL12345[[#This Row],[ (T/B) SAR]]+TABL12345[[#This Row],[ (S/S) SAR]]</f>
        <v/>
      </c>
      <c r="L315" s="28" t="n"/>
      <c r="M315" s="29" t="n"/>
      <c r="N315" s="30" t="n"/>
      <c r="O315" s="40" t="n"/>
      <c r="P315" s="9">
        <f>TABL12345[[#This Row],[ (S/S) SAR]]-TABL12345[[#This Row],[(S/S) AJD]]</f>
        <v/>
      </c>
      <c r="Q315" s="9" t="n"/>
      <c r="R315" s="9">
        <f>TABL12345[[#This Row],[ (T/B) SAR]]-TABL12345[[#This Row],[(T/B) AJD]]</f>
        <v/>
      </c>
      <c r="S315" s="9">
        <f>TABL12345[[#This Row],[S/S_CON.]]+TABL12345[[#This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TABL12345[[#This Row],[(RESV. STORGE) AJD]]/10</f>
        <v/>
      </c>
      <c r="AB315" s="3">
        <f>IF(TRIM(Z315)="",,(Z315-Z314)/1000)</f>
        <v/>
      </c>
      <c r="AC315" s="5" t="n"/>
      <c r="AD315" s="6">
        <f>(TABL12345[[#This Row],[( S/S+T/B) AJD]]*1000)-((TABL12345[[#This Row],[(STORGE DIFF.) AJD]]*1000)+TABL12345[[#This Row],[AJD_Evaporation]]+(TABL12345[[#This Row],[(A/B + A/S) AJD]]*1000))</f>
        <v/>
      </c>
      <c r="AE315" s="33" t="n"/>
      <c r="AF315" s="6" t="n"/>
      <c r="AG315" s="6" t="n"/>
      <c r="AH315" s="6">
        <f>TABL12345[[#This Row],[ (RESV. STORGE) BER]]/10</f>
        <v/>
      </c>
      <c r="AI315" s="6" t="n"/>
      <c r="AJ315" s="33">
        <f>TABL12345[[#This Row],[(A/B) AJD]]-TABL12345[[#This Row],[BER_IN]]</f>
        <v/>
      </c>
      <c r="AK315" s="6" t="n"/>
      <c r="AL315" s="6" t="n"/>
      <c r="AM315" s="32" t="n"/>
      <c r="AN315" s="32">
        <f>TABL12345[[#This Row],[ (RESV. STORGE) SER]]/10</f>
        <v/>
      </c>
      <c r="AO315" s="68" t="n"/>
      <c r="AP315" s="68">
        <f>TABL12345[[#This Row],[(A/S) AJD]]-TABL12345[[#This Row],[SER_IN]]</f>
        <v/>
      </c>
    </row>
    <row r="316" ht="18.75" customHeight="1">
      <c r="A316" s="2" t="n">
        <v>47067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TABL12345[[#This Row],[ (T/B) SAR]]+TABL12345[[#This Row],[ (S/S) SAR]]</f>
        <v/>
      </c>
      <c r="L316" s="28" t="n"/>
      <c r="M316" s="29" t="n"/>
      <c r="N316" s="30" t="n"/>
      <c r="O316" s="39" t="n"/>
      <c r="P316" s="9">
        <f>TABL12345[[#This Row],[ (S/S) SAR]]-TABL12345[[#This Row],[(S/S) AJD]]</f>
        <v/>
      </c>
      <c r="Q316" s="9" t="n"/>
      <c r="R316" s="9">
        <f>TABL12345[[#This Row],[ (T/B) SAR]]-TABL12345[[#This Row],[(T/B) AJD]]</f>
        <v/>
      </c>
      <c r="S316" s="9">
        <f>TABL12345[[#This Row],[S/S_CON.]]+TABL12345[[#This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TABL12345[[#This Row],[(RESV. STORGE) AJD]]/10</f>
        <v/>
      </c>
      <c r="AB316" s="3">
        <f>IF(TRIM(Z316)="",,(Z316-Z315)/1000)</f>
        <v/>
      </c>
      <c r="AC316" s="5" t="n"/>
      <c r="AD316" s="6">
        <f>(TABL12345[[#This Row],[( S/S+T/B) AJD]]*1000)-((TABL12345[[#This Row],[(STORGE DIFF.) AJD]]*1000)+TABL12345[[#This Row],[AJD_Evaporation]]+(TABL12345[[#This Row],[(A/B + A/S) AJD]]*1000))</f>
        <v/>
      </c>
      <c r="AE316" s="33" t="n"/>
      <c r="AF316" s="6" t="n"/>
      <c r="AG316" s="6" t="n"/>
      <c r="AH316" s="6">
        <f>TABL12345[[#This Row],[ (RESV. STORGE) BER]]/10</f>
        <v/>
      </c>
      <c r="AI316" s="6" t="n"/>
      <c r="AJ316" s="33">
        <f>TABL12345[[#This Row],[(A/B) AJD]]-TABL12345[[#This Row],[BER_IN]]</f>
        <v/>
      </c>
      <c r="AK316" s="6" t="n"/>
      <c r="AL316" s="6" t="n"/>
      <c r="AM316" s="32" t="n"/>
      <c r="AN316" s="32">
        <f>TABL12345[[#This Row],[ (RESV. STORGE) SER]]/10</f>
        <v/>
      </c>
      <c r="AO316" s="68" t="n"/>
      <c r="AP316" s="68">
        <f>TABL12345[[#This Row],[(A/S) AJD]]-TABL12345[[#This Row],[SER_IN]]</f>
        <v/>
      </c>
    </row>
    <row r="317" ht="18.75" customHeight="1">
      <c r="A317" s="2" t="n">
        <v>47068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TABL12345[[#This Row],[ (T/B) SAR]]+TABL12345[[#This Row],[ (S/S) SAR]]</f>
        <v/>
      </c>
      <c r="L317" s="28" t="n"/>
      <c r="M317" s="29" t="n"/>
      <c r="N317" s="30" t="n"/>
      <c r="O317" s="40" t="n"/>
      <c r="P317" s="9">
        <f>TABL12345[[#This Row],[ (S/S) SAR]]-TABL12345[[#This Row],[(S/S) AJD]]</f>
        <v/>
      </c>
      <c r="Q317" s="9" t="n"/>
      <c r="R317" s="9">
        <f>TABL12345[[#This Row],[ (T/B) SAR]]-TABL12345[[#This Row],[(T/B) AJD]]</f>
        <v/>
      </c>
      <c r="S317" s="9">
        <f>TABL12345[[#This Row],[S/S_CON.]]+TABL12345[[#This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TABL12345[[#This Row],[(RESV. STORGE) AJD]]/10</f>
        <v/>
      </c>
      <c r="AB317" s="3">
        <f>IF(TRIM(Z317)="",,(Z317-Z316)/1000)</f>
        <v/>
      </c>
      <c r="AC317" s="5" t="n"/>
      <c r="AD317" s="6">
        <f>(TABL12345[[#This Row],[( S/S+T/B) AJD]]*1000)-((TABL12345[[#This Row],[(STORGE DIFF.) AJD]]*1000)+TABL12345[[#This Row],[AJD_Evaporation]]+(TABL12345[[#This Row],[(A/B + A/S) AJD]]*1000))</f>
        <v/>
      </c>
      <c r="AE317" s="33" t="n"/>
      <c r="AF317" s="6" t="n"/>
      <c r="AG317" s="6" t="n"/>
      <c r="AH317" s="6">
        <f>TABL12345[[#This Row],[ (RESV. STORGE) BER]]/10</f>
        <v/>
      </c>
      <c r="AI317" s="6" t="n"/>
      <c r="AJ317" s="33">
        <f>TABL12345[[#This Row],[(A/B) AJD]]-TABL12345[[#This Row],[BER_IN]]</f>
        <v/>
      </c>
      <c r="AK317" s="6" t="n"/>
      <c r="AL317" s="6" t="n"/>
      <c r="AM317" s="32" t="n"/>
      <c r="AN317" s="32">
        <f>TABL12345[[#This Row],[ (RESV. STORGE) SER]]/10</f>
        <v/>
      </c>
      <c r="AO317" s="68" t="n"/>
      <c r="AP317" s="68">
        <f>TABL12345[[#This Row],[(A/S) AJD]]-TABL12345[[#This Row],[SER_IN]]</f>
        <v/>
      </c>
    </row>
    <row r="318" ht="18.75" customHeight="1">
      <c r="A318" s="2" t="n">
        <v>47069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TABL12345[[#This Row],[ (T/B) SAR]]+TABL12345[[#This Row],[ (S/S) SAR]]</f>
        <v/>
      </c>
      <c r="L318" s="28" t="n"/>
      <c r="M318" s="29" t="n"/>
      <c r="N318" s="30" t="n"/>
      <c r="O318" s="39" t="n"/>
      <c r="P318" s="9">
        <f>TABL12345[[#This Row],[ (S/S) SAR]]-TABL12345[[#This Row],[(S/S) AJD]]</f>
        <v/>
      </c>
      <c r="Q318" s="9" t="n"/>
      <c r="R318" s="9">
        <f>TABL12345[[#This Row],[ (T/B) SAR]]-TABL12345[[#This Row],[(T/B) AJD]]</f>
        <v/>
      </c>
      <c r="S318" s="9">
        <f>TABL12345[[#This Row],[S/S_CON.]]+TABL12345[[#This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TABL12345[[#This Row],[(RESV. STORGE) AJD]]/10</f>
        <v/>
      </c>
      <c r="AB318" s="3">
        <f>IF(TRIM(Z318)="",,(Z318-Z317)/1000)</f>
        <v/>
      </c>
      <c r="AC318" s="5" t="n"/>
      <c r="AD318" s="6">
        <f>(TABL12345[[#This Row],[( S/S+T/B) AJD]]*1000)-((TABL12345[[#This Row],[(STORGE DIFF.) AJD]]*1000)+TABL12345[[#This Row],[AJD_Evaporation]]+(TABL12345[[#This Row],[(A/B + A/S) AJD]]*1000))</f>
        <v/>
      </c>
      <c r="AE318" s="33" t="n"/>
      <c r="AF318" s="6" t="n"/>
      <c r="AG318" s="6" t="n"/>
      <c r="AH318" s="6">
        <f>TABL12345[[#This Row],[ (RESV. STORGE) BER]]/10</f>
        <v/>
      </c>
      <c r="AI318" s="6" t="n"/>
      <c r="AJ318" s="33">
        <f>TABL12345[[#This Row],[(A/B) AJD]]-TABL12345[[#This Row],[BER_IN]]</f>
        <v/>
      </c>
      <c r="AK318" s="6" t="n"/>
      <c r="AL318" s="6" t="n"/>
      <c r="AM318" s="32" t="n"/>
      <c r="AN318" s="32">
        <f>TABL12345[[#This Row],[ (RESV. STORGE) SER]]/10</f>
        <v/>
      </c>
      <c r="AO318" s="68" t="n"/>
      <c r="AP318" s="68">
        <f>TABL12345[[#This Row],[(A/S) AJD]]-TABL12345[[#This Row],[SER_IN]]</f>
        <v/>
      </c>
    </row>
    <row r="319" ht="18.75" customHeight="1">
      <c r="A319" s="2" t="n">
        <v>47070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TABL12345[[#This Row],[ (T/B) SAR]]+TABL12345[[#This Row],[ (S/S) SAR]]</f>
        <v/>
      </c>
      <c r="L319" s="28" t="n"/>
      <c r="M319" s="29" t="n"/>
      <c r="N319" s="30" t="n"/>
      <c r="O319" s="40" t="n"/>
      <c r="P319" s="9">
        <f>TABL12345[[#This Row],[ (S/S) SAR]]-TABL12345[[#This Row],[(S/S) AJD]]</f>
        <v/>
      </c>
      <c r="Q319" s="9" t="n"/>
      <c r="R319" s="9">
        <f>TABL12345[[#This Row],[ (T/B) SAR]]-TABL12345[[#This Row],[(T/B) AJD]]</f>
        <v/>
      </c>
      <c r="S319" s="9">
        <f>TABL12345[[#This Row],[S/S_CON.]]+TABL12345[[#This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TABL12345[[#This Row],[(RESV. STORGE) AJD]]/10</f>
        <v/>
      </c>
      <c r="AB319" s="3">
        <f>IF(TRIM(Z319)="",,(Z319-Z318)/1000)</f>
        <v/>
      </c>
      <c r="AC319" s="5" t="n"/>
      <c r="AD319" s="6">
        <f>(TABL12345[[#This Row],[( S/S+T/B) AJD]]*1000)-((TABL12345[[#This Row],[(STORGE DIFF.) AJD]]*1000)+TABL12345[[#This Row],[AJD_Evaporation]]+(TABL12345[[#This Row],[(A/B + A/S) AJD]]*1000))</f>
        <v/>
      </c>
      <c r="AE319" s="33" t="n"/>
      <c r="AF319" s="6" t="n"/>
      <c r="AG319" s="6" t="n"/>
      <c r="AH319" s="6">
        <f>TABL12345[[#This Row],[ (RESV. STORGE) BER]]/10</f>
        <v/>
      </c>
      <c r="AI319" s="6" t="n"/>
      <c r="AJ319" s="33">
        <f>TABL12345[[#This Row],[(A/B) AJD]]-TABL12345[[#This Row],[BER_IN]]</f>
        <v/>
      </c>
      <c r="AK319" s="6" t="n"/>
      <c r="AL319" s="6" t="n"/>
      <c r="AM319" s="32" t="n"/>
      <c r="AN319" s="32">
        <f>TABL12345[[#This Row],[ (RESV. STORGE) SER]]/10</f>
        <v/>
      </c>
      <c r="AO319" s="68" t="n"/>
      <c r="AP319" s="68">
        <f>TABL12345[[#This Row],[(A/S) AJD]]-TABL12345[[#This Row],[SER_IN]]</f>
        <v/>
      </c>
    </row>
    <row r="320" ht="18.75" customHeight="1">
      <c r="A320" s="2" t="n">
        <v>47071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TABL12345[[#This Row],[ (T/B) SAR]]+TABL12345[[#This Row],[ (S/S) SAR]]</f>
        <v/>
      </c>
      <c r="L320" s="28" t="n"/>
      <c r="M320" s="29" t="n"/>
      <c r="N320" s="30" t="n"/>
      <c r="O320" s="39" t="n"/>
      <c r="P320" s="9">
        <f>TABL12345[[#This Row],[ (S/S) SAR]]-TABL12345[[#This Row],[(S/S) AJD]]</f>
        <v/>
      </c>
      <c r="Q320" s="9" t="n"/>
      <c r="R320" s="9">
        <f>TABL12345[[#This Row],[ (T/B) SAR]]-TABL12345[[#This Row],[(T/B) AJD]]</f>
        <v/>
      </c>
      <c r="S320" s="9">
        <f>TABL12345[[#This Row],[S/S_CON.]]+TABL12345[[#This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TABL12345[[#This Row],[(RESV. STORGE) AJD]]/10</f>
        <v/>
      </c>
      <c r="AB320" s="3">
        <f>IF(TRIM(Z320)="",,(Z320-Z319)/1000)</f>
        <v/>
      </c>
      <c r="AC320" s="5" t="n"/>
      <c r="AD320" s="6">
        <f>(TABL12345[[#This Row],[( S/S+T/B) AJD]]*1000)-((TABL12345[[#This Row],[(STORGE DIFF.) AJD]]*1000)+TABL12345[[#This Row],[AJD_Evaporation]]+(TABL12345[[#This Row],[(A/B + A/S) AJD]]*1000))</f>
        <v/>
      </c>
      <c r="AE320" s="33" t="n"/>
      <c r="AF320" s="6" t="n"/>
      <c r="AG320" s="6" t="n"/>
      <c r="AH320" s="6">
        <f>TABL12345[[#This Row],[ (RESV. STORGE) BER]]/10</f>
        <v/>
      </c>
      <c r="AI320" s="6" t="n"/>
      <c r="AJ320" s="33">
        <f>TABL12345[[#This Row],[(A/B) AJD]]-TABL12345[[#This Row],[BER_IN]]</f>
        <v/>
      </c>
      <c r="AK320" s="6" t="n"/>
      <c r="AL320" s="6" t="n"/>
      <c r="AM320" s="32" t="n"/>
      <c r="AN320" s="32">
        <f>TABL12345[[#This Row],[ (RESV. STORGE) SER]]/10</f>
        <v/>
      </c>
      <c r="AO320" s="68" t="n"/>
      <c r="AP320" s="68">
        <f>TABL12345[[#This Row],[(A/S) AJD]]-TABL12345[[#This Row],[SER_IN]]</f>
        <v/>
      </c>
    </row>
    <row r="321" ht="18.75" customHeight="1">
      <c r="A321" s="2" t="n">
        <v>47072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TABL12345[[#This Row],[ (T/B) SAR]]+TABL12345[[#This Row],[ (S/S) SAR]]</f>
        <v/>
      </c>
      <c r="L321" s="28" t="n"/>
      <c r="M321" s="29" t="n"/>
      <c r="N321" s="30" t="n"/>
      <c r="O321" s="40" t="n"/>
      <c r="P321" s="9">
        <f>TABL12345[[#This Row],[ (S/S) SAR]]-TABL12345[[#This Row],[(S/S) AJD]]</f>
        <v/>
      </c>
      <c r="Q321" s="9" t="n"/>
      <c r="R321" s="9">
        <f>TABL12345[[#This Row],[ (T/B) SAR]]-TABL12345[[#This Row],[(T/B) AJD]]</f>
        <v/>
      </c>
      <c r="S321" s="9">
        <f>TABL12345[[#This Row],[S/S_CON.]]+TABL12345[[#This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TABL12345[[#This Row],[(RESV. STORGE) AJD]]/10</f>
        <v/>
      </c>
      <c r="AB321" s="3">
        <f>IF(TRIM(Z321)="",,(Z321-Z320)/1000)</f>
        <v/>
      </c>
      <c r="AC321" s="5" t="n"/>
      <c r="AD321" s="6">
        <f>(TABL12345[[#This Row],[( S/S+T/B) AJD]]*1000)-((TABL12345[[#This Row],[(STORGE DIFF.) AJD]]*1000)+TABL12345[[#This Row],[AJD_Evaporation]]+(TABL12345[[#This Row],[(A/B + A/S) AJD]]*1000))</f>
        <v/>
      </c>
      <c r="AE321" s="33" t="n"/>
      <c r="AF321" s="6" t="n"/>
      <c r="AG321" s="6" t="n"/>
      <c r="AH321" s="6">
        <f>TABL12345[[#This Row],[ (RESV. STORGE) BER]]/10</f>
        <v/>
      </c>
      <c r="AI321" s="6" t="n"/>
      <c r="AJ321" s="33">
        <f>TABL12345[[#This Row],[(A/B) AJD]]-TABL12345[[#This Row],[BER_IN]]</f>
        <v/>
      </c>
      <c r="AK321" s="6" t="n"/>
      <c r="AL321" s="6" t="n"/>
      <c r="AM321" s="32" t="n"/>
      <c r="AN321" s="32">
        <f>TABL12345[[#This Row],[ (RESV. STORGE) SER]]/10</f>
        <v/>
      </c>
      <c r="AO321" s="68" t="n"/>
      <c r="AP321" s="68">
        <f>TABL12345[[#This Row],[(A/S) AJD]]-TABL12345[[#This Row],[SER_IN]]</f>
        <v/>
      </c>
    </row>
    <row r="322" ht="18.75" customHeight="1">
      <c r="A322" s="2" t="n">
        <v>47073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TABL12345[[#This Row],[ (T/B) SAR]]+TABL12345[[#This Row],[ (S/S) SAR]]</f>
        <v/>
      </c>
      <c r="L322" s="28" t="n"/>
      <c r="M322" s="29" t="n"/>
      <c r="N322" s="30" t="n"/>
      <c r="O322" s="39" t="n"/>
      <c r="P322" s="9">
        <f>TABL12345[[#This Row],[ (S/S) SAR]]-TABL12345[[#This Row],[(S/S) AJD]]</f>
        <v/>
      </c>
      <c r="Q322" s="9" t="n"/>
      <c r="R322" s="9">
        <f>TABL12345[[#This Row],[ (T/B) SAR]]-TABL12345[[#This Row],[(T/B) AJD]]</f>
        <v/>
      </c>
      <c r="S322" s="9">
        <f>TABL12345[[#This Row],[S/S_CON.]]+TABL12345[[#This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TABL12345[[#This Row],[(RESV. STORGE) AJD]]/10</f>
        <v/>
      </c>
      <c r="AB322" s="3">
        <f>IF(TRIM(Z322)="",,(Z322-Z321)/1000)</f>
        <v/>
      </c>
      <c r="AC322" s="5" t="n"/>
      <c r="AD322" s="6">
        <f>(TABL12345[[#This Row],[( S/S+T/B) AJD]]*1000)-((TABL12345[[#This Row],[(STORGE DIFF.) AJD]]*1000)+TABL12345[[#This Row],[AJD_Evaporation]]+(TABL12345[[#This Row],[(A/B + A/S) AJD]]*1000))</f>
        <v/>
      </c>
      <c r="AE322" s="33" t="n"/>
      <c r="AF322" s="6" t="n"/>
      <c r="AG322" s="6" t="n"/>
      <c r="AH322" s="6">
        <f>TABL12345[[#This Row],[ (RESV. STORGE) BER]]/10</f>
        <v/>
      </c>
      <c r="AI322" s="6" t="n"/>
      <c r="AJ322" s="33">
        <f>TABL12345[[#This Row],[(A/B) AJD]]-TABL12345[[#This Row],[BER_IN]]</f>
        <v/>
      </c>
      <c r="AK322" s="6" t="n"/>
      <c r="AL322" s="6" t="n"/>
      <c r="AM322" s="32" t="n"/>
      <c r="AN322" s="32">
        <f>TABL12345[[#This Row],[ (RESV. STORGE) SER]]/10</f>
        <v/>
      </c>
      <c r="AO322" s="68" t="n"/>
      <c r="AP322" s="68">
        <f>TABL12345[[#This Row],[(A/S) AJD]]-TABL12345[[#This Row],[SER_IN]]</f>
        <v/>
      </c>
    </row>
    <row r="323" ht="18.75" customHeight="1">
      <c r="A323" s="2" t="n">
        <v>47074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TABL12345[[#This Row],[ (T/B) SAR]]+TABL12345[[#This Row],[ (S/S) SAR]]</f>
        <v/>
      </c>
      <c r="L323" s="28" t="n"/>
      <c r="M323" s="29" t="n"/>
      <c r="N323" s="30" t="n"/>
      <c r="O323" s="40" t="n"/>
      <c r="P323" s="9">
        <f>TABL12345[[#This Row],[ (S/S) SAR]]-TABL12345[[#This Row],[(S/S) AJD]]</f>
        <v/>
      </c>
      <c r="Q323" s="9" t="n"/>
      <c r="R323" s="9">
        <f>TABL12345[[#This Row],[ (T/B) SAR]]-TABL12345[[#This Row],[(T/B) AJD]]</f>
        <v/>
      </c>
      <c r="S323" s="9">
        <f>TABL12345[[#This Row],[S/S_CON.]]+TABL12345[[#This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TABL12345[[#This Row],[(RESV. STORGE) AJD]]/10</f>
        <v/>
      </c>
      <c r="AB323" s="3">
        <f>IF(TRIM(Z323)="",,(Z323-Z322)/1000)</f>
        <v/>
      </c>
      <c r="AC323" s="5" t="n"/>
      <c r="AD323" s="6">
        <f>(TABL12345[[#This Row],[( S/S+T/B) AJD]]*1000)-((TABL12345[[#This Row],[(STORGE DIFF.) AJD]]*1000)+TABL12345[[#This Row],[AJD_Evaporation]]+(TABL12345[[#This Row],[(A/B + A/S) AJD]]*1000))</f>
        <v/>
      </c>
      <c r="AE323" s="33" t="n"/>
      <c r="AF323" s="6" t="n"/>
      <c r="AG323" s="6" t="n"/>
      <c r="AH323" s="6">
        <f>TABL12345[[#This Row],[ (RESV. STORGE) BER]]/10</f>
        <v/>
      </c>
      <c r="AI323" s="6" t="n"/>
      <c r="AJ323" s="33">
        <f>TABL12345[[#This Row],[(A/B) AJD]]-TABL12345[[#This Row],[BER_IN]]</f>
        <v/>
      </c>
      <c r="AK323" s="6" t="n"/>
      <c r="AL323" s="6" t="n"/>
      <c r="AM323" s="32" t="n"/>
      <c r="AN323" s="32">
        <f>TABL12345[[#This Row],[ (RESV. STORGE) SER]]/10</f>
        <v/>
      </c>
      <c r="AO323" s="68" t="n"/>
      <c r="AP323" s="68">
        <f>TABL12345[[#This Row],[(A/S) AJD]]-TABL12345[[#This Row],[SER_IN]]</f>
        <v/>
      </c>
    </row>
    <row r="324" ht="18.75" customHeight="1">
      <c r="A324" s="2" t="n">
        <v>47075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TABL12345[[#This Row],[ (T/B) SAR]]+TABL12345[[#This Row],[ (S/S) SAR]]</f>
        <v/>
      </c>
      <c r="L324" s="28" t="n"/>
      <c r="M324" s="29" t="n"/>
      <c r="N324" s="30" t="n"/>
      <c r="O324" s="39" t="n"/>
      <c r="P324" s="9">
        <f>TABL12345[[#This Row],[ (S/S) SAR]]-TABL12345[[#This Row],[(S/S) AJD]]</f>
        <v/>
      </c>
      <c r="Q324" s="9" t="n"/>
      <c r="R324" s="9">
        <f>TABL12345[[#This Row],[ (T/B) SAR]]-TABL12345[[#This Row],[(T/B) AJD]]</f>
        <v/>
      </c>
      <c r="S324" s="9">
        <f>TABL12345[[#This Row],[S/S_CON.]]+TABL12345[[#This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TABL12345[[#This Row],[(RESV. STORGE) AJD]]/10</f>
        <v/>
      </c>
      <c r="AB324" s="3">
        <f>IF(TRIM(Z324)="",,(Z324-Z323)/1000)</f>
        <v/>
      </c>
      <c r="AC324" s="5" t="n"/>
      <c r="AD324" s="6">
        <f>(TABL12345[[#This Row],[( S/S+T/B) AJD]]*1000)-((TABL12345[[#This Row],[(STORGE DIFF.) AJD]]*1000)+TABL12345[[#This Row],[AJD_Evaporation]]+(TABL12345[[#This Row],[(A/B + A/S) AJD]]*1000))</f>
        <v/>
      </c>
      <c r="AE324" s="33" t="n"/>
      <c r="AF324" s="6" t="n"/>
      <c r="AG324" s="6" t="n"/>
      <c r="AH324" s="6">
        <f>TABL12345[[#This Row],[ (RESV. STORGE) BER]]/10</f>
        <v/>
      </c>
      <c r="AI324" s="6" t="n"/>
      <c r="AJ324" s="33">
        <f>TABL12345[[#This Row],[(A/B) AJD]]-TABL12345[[#This Row],[BER_IN]]</f>
        <v/>
      </c>
      <c r="AK324" s="6" t="n"/>
      <c r="AL324" s="6" t="n"/>
      <c r="AM324" s="32" t="n"/>
      <c r="AN324" s="32">
        <f>TABL12345[[#This Row],[ (RESV. STORGE) SER]]/10</f>
        <v/>
      </c>
      <c r="AO324" s="68" t="n"/>
      <c r="AP324" s="68">
        <f>TABL12345[[#This Row],[(A/S) AJD]]-TABL12345[[#This Row],[SER_IN]]</f>
        <v/>
      </c>
    </row>
    <row r="325" ht="18.75" customHeight="1">
      <c r="A325" s="2" t="n">
        <v>47076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TABL12345[[#This Row],[ (T/B) SAR]]+TABL12345[[#This Row],[ (S/S) SAR]]</f>
        <v/>
      </c>
      <c r="L325" s="28" t="n"/>
      <c r="M325" s="29" t="n"/>
      <c r="N325" s="30" t="n"/>
      <c r="O325" s="40" t="n"/>
      <c r="P325" s="9">
        <f>TABL12345[[#This Row],[ (S/S) SAR]]-TABL12345[[#This Row],[(S/S) AJD]]</f>
        <v/>
      </c>
      <c r="Q325" s="9" t="n"/>
      <c r="R325" s="9">
        <f>TABL12345[[#This Row],[ (T/B) SAR]]-TABL12345[[#This Row],[(T/B) AJD]]</f>
        <v/>
      </c>
      <c r="S325" s="9">
        <f>TABL12345[[#This Row],[S/S_CON.]]+TABL12345[[#This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TABL12345[[#This Row],[(RESV. STORGE) AJD]]/10</f>
        <v/>
      </c>
      <c r="AB325" s="3">
        <f>IF(TRIM(Z325)="",,(Z325-Z324)/1000)</f>
        <v/>
      </c>
      <c r="AC325" s="5" t="n"/>
      <c r="AD325" s="6">
        <f>(TABL12345[[#This Row],[( S/S+T/B) AJD]]*1000)-((TABL12345[[#This Row],[(STORGE DIFF.) AJD]]*1000)+TABL12345[[#This Row],[AJD_Evaporation]]+(TABL12345[[#This Row],[(A/B + A/S) AJD]]*1000))</f>
        <v/>
      </c>
      <c r="AE325" s="33" t="n"/>
      <c r="AF325" s="6" t="n"/>
      <c r="AG325" s="6" t="n"/>
      <c r="AH325" s="6">
        <f>TABL12345[[#This Row],[ (RESV. STORGE) BER]]/10</f>
        <v/>
      </c>
      <c r="AI325" s="6" t="n"/>
      <c r="AJ325" s="33">
        <f>TABL12345[[#This Row],[(A/B) AJD]]-TABL12345[[#This Row],[BER_IN]]</f>
        <v/>
      </c>
      <c r="AK325" s="6" t="n"/>
      <c r="AL325" s="6" t="n"/>
      <c r="AM325" s="32" t="n"/>
      <c r="AN325" s="32">
        <f>TABL12345[[#This Row],[ (RESV. STORGE) SER]]/10</f>
        <v/>
      </c>
      <c r="AO325" s="68" t="n"/>
      <c r="AP325" s="68">
        <f>TABL12345[[#This Row],[(A/S) AJD]]-TABL12345[[#This Row],[SER_IN]]</f>
        <v/>
      </c>
    </row>
    <row r="326" ht="18.75" customHeight="1">
      <c r="A326" s="2" t="n">
        <v>47077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TABL12345[[#This Row],[ (T/B) SAR]]+TABL12345[[#This Row],[ (S/S) SAR]]</f>
        <v/>
      </c>
      <c r="L326" s="28" t="n"/>
      <c r="M326" s="29" t="n"/>
      <c r="N326" s="30" t="n"/>
      <c r="O326" s="39" t="n"/>
      <c r="P326" s="9">
        <f>TABL12345[[#This Row],[ (S/S) SAR]]-TABL12345[[#This Row],[(S/S) AJD]]</f>
        <v/>
      </c>
      <c r="Q326" s="9" t="n"/>
      <c r="R326" s="9">
        <f>TABL12345[[#This Row],[ (T/B) SAR]]-TABL12345[[#This Row],[(T/B) AJD]]</f>
        <v/>
      </c>
      <c r="S326" s="9">
        <f>TABL12345[[#This Row],[S/S_CON.]]+TABL12345[[#This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TABL12345[[#This Row],[(RESV. STORGE) AJD]]/10</f>
        <v/>
      </c>
      <c r="AB326" s="3">
        <f>IF(TRIM(Z326)="",,(Z326-Z325)/1000)</f>
        <v/>
      </c>
      <c r="AC326" s="5" t="n"/>
      <c r="AD326" s="6">
        <f>(TABL12345[[#This Row],[( S/S+T/B) AJD]]*1000)-((TABL12345[[#This Row],[(STORGE DIFF.) AJD]]*1000)+TABL12345[[#This Row],[AJD_Evaporation]]+(TABL12345[[#This Row],[(A/B + A/S) AJD]]*1000))</f>
        <v/>
      </c>
      <c r="AE326" s="33" t="n"/>
      <c r="AF326" s="6" t="n"/>
      <c r="AG326" s="6" t="n"/>
      <c r="AH326" s="6">
        <f>TABL12345[[#This Row],[ (RESV. STORGE) BER]]/10</f>
        <v/>
      </c>
      <c r="AI326" s="6" t="n"/>
      <c r="AJ326" s="33">
        <f>TABL12345[[#This Row],[(A/B) AJD]]-TABL12345[[#This Row],[BER_IN]]</f>
        <v/>
      </c>
      <c r="AK326" s="6" t="n"/>
      <c r="AL326" s="6" t="n"/>
      <c r="AM326" s="32" t="n"/>
      <c r="AN326" s="32">
        <f>TABL12345[[#This Row],[ (RESV. STORGE) SER]]/10</f>
        <v/>
      </c>
      <c r="AO326" s="68" t="n"/>
      <c r="AP326" s="68">
        <f>TABL12345[[#This Row],[(A/S) AJD]]-TABL12345[[#This Row],[SER_IN]]</f>
        <v/>
      </c>
    </row>
    <row r="327" ht="18.75" customHeight="1">
      <c r="A327" s="2" t="n">
        <v>47078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TABL12345[[#This Row],[ (T/B) SAR]]+TABL12345[[#This Row],[ (S/S) SAR]]</f>
        <v/>
      </c>
      <c r="L327" s="28" t="n"/>
      <c r="M327" s="29" t="n"/>
      <c r="N327" s="30" t="n"/>
      <c r="O327" s="40" t="n"/>
      <c r="P327" s="9">
        <f>TABL12345[[#This Row],[ (S/S) SAR]]-TABL12345[[#This Row],[(S/S) AJD]]</f>
        <v/>
      </c>
      <c r="Q327" s="9" t="n"/>
      <c r="R327" s="9">
        <f>TABL12345[[#This Row],[ (T/B) SAR]]-TABL12345[[#This Row],[(T/B) AJD]]</f>
        <v/>
      </c>
      <c r="S327" s="9">
        <f>TABL12345[[#This Row],[S/S_CON.]]+TABL12345[[#This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TABL12345[[#This Row],[(RESV. STORGE) AJD]]/10</f>
        <v/>
      </c>
      <c r="AB327" s="3">
        <f>IF(TRIM(Z327)="",,(Z327-Z326)/1000)</f>
        <v/>
      </c>
      <c r="AC327" s="5" t="n"/>
      <c r="AD327" s="6">
        <f>(TABL12345[[#This Row],[( S/S+T/B) AJD]]*1000)-((TABL12345[[#This Row],[(STORGE DIFF.) AJD]]*1000)+TABL12345[[#This Row],[AJD_Evaporation]]+(TABL12345[[#This Row],[(A/B + A/S) AJD]]*1000))</f>
        <v/>
      </c>
      <c r="AE327" s="33" t="n"/>
      <c r="AF327" s="6" t="n"/>
      <c r="AG327" s="6" t="n"/>
      <c r="AH327" s="6">
        <f>TABL12345[[#This Row],[ (RESV. STORGE) BER]]/10</f>
        <v/>
      </c>
      <c r="AI327" s="6" t="n"/>
      <c r="AJ327" s="33">
        <f>TABL12345[[#This Row],[(A/B) AJD]]-TABL12345[[#This Row],[BER_IN]]</f>
        <v/>
      </c>
      <c r="AK327" s="6" t="n"/>
      <c r="AL327" s="6" t="n"/>
      <c r="AM327" s="32" t="n"/>
      <c r="AN327" s="32">
        <f>TABL12345[[#This Row],[ (RESV. STORGE) SER]]/10</f>
        <v/>
      </c>
      <c r="AO327" s="68" t="n"/>
      <c r="AP327" s="68">
        <f>TABL12345[[#This Row],[(A/S) AJD]]-TABL12345[[#This Row],[SER_IN]]</f>
        <v/>
      </c>
    </row>
    <row r="328" ht="18.75" customHeight="1">
      <c r="A328" s="2" t="n">
        <v>47079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TABL12345[[#This Row],[ (T/B) SAR]]+TABL12345[[#This Row],[ (S/S) SAR]]</f>
        <v/>
      </c>
      <c r="L328" s="28" t="n"/>
      <c r="M328" s="29" t="n"/>
      <c r="N328" s="30" t="n"/>
      <c r="O328" s="39" t="n"/>
      <c r="P328" s="9">
        <f>TABL12345[[#This Row],[ (S/S) SAR]]-TABL12345[[#This Row],[(S/S) AJD]]</f>
        <v/>
      </c>
      <c r="Q328" s="9" t="n"/>
      <c r="R328" s="9">
        <f>TABL12345[[#This Row],[ (T/B) SAR]]-TABL12345[[#This Row],[(T/B) AJD]]</f>
        <v/>
      </c>
      <c r="S328" s="9">
        <f>TABL12345[[#This Row],[S/S_CON.]]+TABL12345[[#This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TABL12345[[#This Row],[(RESV. STORGE) AJD]]/10</f>
        <v/>
      </c>
      <c r="AB328" s="3">
        <f>IF(TRIM(Z328)="",,(Z328-Z327)/1000)</f>
        <v/>
      </c>
      <c r="AC328" s="5" t="n"/>
      <c r="AD328" s="6">
        <f>(TABL12345[[#This Row],[( S/S+T/B) AJD]]*1000)-((TABL12345[[#This Row],[(STORGE DIFF.) AJD]]*1000)+TABL12345[[#This Row],[AJD_Evaporation]]+(TABL12345[[#This Row],[(A/B + A/S) AJD]]*1000))</f>
        <v/>
      </c>
      <c r="AE328" s="33" t="n"/>
      <c r="AF328" s="6" t="n"/>
      <c r="AG328" s="6" t="n"/>
      <c r="AH328" s="6">
        <f>TABL12345[[#This Row],[ (RESV. STORGE) BER]]/10</f>
        <v/>
      </c>
      <c r="AI328" s="6" t="n"/>
      <c r="AJ328" s="33">
        <f>TABL12345[[#This Row],[(A/B) AJD]]-TABL12345[[#This Row],[BER_IN]]</f>
        <v/>
      </c>
      <c r="AK328" s="6" t="n"/>
      <c r="AL328" s="6" t="n"/>
      <c r="AM328" s="32" t="n"/>
      <c r="AN328" s="32">
        <f>TABL12345[[#This Row],[ (RESV. STORGE) SER]]/10</f>
        <v/>
      </c>
      <c r="AO328" s="68" t="n"/>
      <c r="AP328" s="68">
        <f>TABL12345[[#This Row],[(A/S) AJD]]-TABL12345[[#This Row],[SER_IN]]</f>
        <v/>
      </c>
    </row>
    <row r="329" ht="18.75" customHeight="1">
      <c r="A329" s="2" t="n">
        <v>47080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TABL12345[[#This Row],[ (T/B) SAR]]+TABL12345[[#This Row],[ (S/S) SAR]]</f>
        <v/>
      </c>
      <c r="L329" s="28" t="n"/>
      <c r="M329" s="29" t="n"/>
      <c r="N329" s="30" t="n"/>
      <c r="O329" s="40" t="n"/>
      <c r="P329" s="9">
        <f>TABL12345[[#This Row],[ (S/S) SAR]]-TABL12345[[#This Row],[(S/S) AJD]]</f>
        <v/>
      </c>
      <c r="Q329" s="9" t="n"/>
      <c r="R329" s="9">
        <f>TABL12345[[#This Row],[ (T/B) SAR]]-TABL12345[[#This Row],[(T/B) AJD]]</f>
        <v/>
      </c>
      <c r="S329" s="9">
        <f>TABL12345[[#This Row],[S/S_CON.]]+TABL12345[[#This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TABL12345[[#This Row],[(RESV. STORGE) AJD]]/10</f>
        <v/>
      </c>
      <c r="AB329" s="3">
        <f>IF(TRIM(Z329)="",,(Z329-Z328)/1000)</f>
        <v/>
      </c>
      <c r="AC329" s="5" t="n"/>
      <c r="AD329" s="6">
        <f>(TABL12345[[#This Row],[( S/S+T/B) AJD]]*1000)-((TABL12345[[#This Row],[(STORGE DIFF.) AJD]]*1000)+TABL12345[[#This Row],[AJD_Evaporation]]+(TABL12345[[#This Row],[(A/B + A/S) AJD]]*1000))</f>
        <v/>
      </c>
      <c r="AE329" s="33" t="n"/>
      <c r="AF329" s="6" t="n"/>
      <c r="AG329" s="6" t="n"/>
      <c r="AH329" s="6">
        <f>TABL12345[[#This Row],[ (RESV. STORGE) BER]]/10</f>
        <v/>
      </c>
      <c r="AI329" s="6" t="n"/>
      <c r="AJ329" s="33">
        <f>TABL12345[[#This Row],[(A/B) AJD]]-TABL12345[[#This Row],[BER_IN]]</f>
        <v/>
      </c>
      <c r="AK329" s="6" t="n"/>
      <c r="AL329" s="6" t="n"/>
      <c r="AM329" s="32" t="n"/>
      <c r="AN329" s="32">
        <f>TABL12345[[#This Row],[ (RESV. STORGE) SER]]/10</f>
        <v/>
      </c>
      <c r="AO329" s="68" t="n"/>
      <c r="AP329" s="68">
        <f>TABL12345[[#This Row],[(A/S) AJD]]-TABL12345[[#This Row],[SER_IN]]</f>
        <v/>
      </c>
    </row>
    <row r="330" ht="18.75" customHeight="1">
      <c r="A330" s="2" t="n">
        <v>47081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TABL12345[[#This Row],[ (T/B) SAR]]+TABL12345[[#This Row],[ (S/S) SAR]]</f>
        <v/>
      </c>
      <c r="L330" s="28" t="n"/>
      <c r="M330" s="29" t="n"/>
      <c r="N330" s="30" t="n"/>
      <c r="O330" s="39" t="n"/>
      <c r="P330" s="9">
        <f>TABL12345[[#This Row],[ (S/S) SAR]]-TABL12345[[#This Row],[(S/S) AJD]]</f>
        <v/>
      </c>
      <c r="Q330" s="9" t="n"/>
      <c r="R330" s="9">
        <f>TABL12345[[#This Row],[ (T/B) SAR]]-TABL12345[[#This Row],[(T/B) AJD]]</f>
        <v/>
      </c>
      <c r="S330" s="9">
        <f>TABL12345[[#This Row],[S/S_CON.]]+TABL12345[[#This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TABL12345[[#This Row],[(RESV. STORGE) AJD]]/10</f>
        <v/>
      </c>
      <c r="AB330" s="3">
        <f>IF(TRIM(Z330)="",,(Z330-Z329)/1000)</f>
        <v/>
      </c>
      <c r="AC330" s="5" t="n"/>
      <c r="AD330" s="6">
        <f>(TABL12345[[#This Row],[( S/S+T/B) AJD]]*1000)-((TABL12345[[#This Row],[(STORGE DIFF.) AJD]]*1000)+TABL12345[[#This Row],[AJD_Evaporation]]+(TABL12345[[#This Row],[(A/B + A/S) AJD]]*1000))</f>
        <v/>
      </c>
      <c r="AE330" s="33" t="n"/>
      <c r="AF330" s="6" t="n"/>
      <c r="AG330" s="6" t="n"/>
      <c r="AH330" s="6">
        <f>TABL12345[[#This Row],[ (RESV. STORGE) BER]]/10</f>
        <v/>
      </c>
      <c r="AI330" s="6" t="n"/>
      <c r="AJ330" s="33">
        <f>TABL12345[[#This Row],[(A/B) AJD]]-TABL12345[[#This Row],[BER_IN]]</f>
        <v/>
      </c>
      <c r="AK330" s="6" t="n"/>
      <c r="AL330" s="6" t="n"/>
      <c r="AM330" s="32" t="n"/>
      <c r="AN330" s="32">
        <f>TABL12345[[#This Row],[ (RESV. STORGE) SER]]/10</f>
        <v/>
      </c>
      <c r="AO330" s="68" t="n"/>
      <c r="AP330" s="68">
        <f>TABL12345[[#This Row],[(A/S) AJD]]-TABL12345[[#This Row],[SER_IN]]</f>
        <v/>
      </c>
    </row>
    <row r="331" ht="18.75" customHeight="1">
      <c r="A331" s="2" t="n">
        <v>47082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TABL12345[[#This Row],[ (T/B) SAR]]+TABL12345[[#This Row],[ (S/S) SAR]]</f>
        <v/>
      </c>
      <c r="L331" s="28" t="n"/>
      <c r="M331" s="29" t="n"/>
      <c r="N331" s="30" t="n"/>
      <c r="O331" s="40" t="n"/>
      <c r="P331" s="9">
        <f>TABL12345[[#This Row],[ (S/S) SAR]]-TABL12345[[#This Row],[(S/S) AJD]]</f>
        <v/>
      </c>
      <c r="Q331" s="9" t="n"/>
      <c r="R331" s="9">
        <f>TABL12345[[#This Row],[ (T/B) SAR]]-TABL12345[[#This Row],[(T/B) AJD]]</f>
        <v/>
      </c>
      <c r="S331" s="9">
        <f>TABL12345[[#This Row],[S/S_CON.]]+TABL12345[[#This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TABL12345[[#This Row],[(RESV. STORGE) AJD]]/10</f>
        <v/>
      </c>
      <c r="AB331" s="3">
        <f>IF(TRIM(Z331)="",,(Z331-Z330)/1000)</f>
        <v/>
      </c>
      <c r="AC331" s="5" t="n"/>
      <c r="AD331" s="6">
        <f>(TABL12345[[#This Row],[( S/S+T/B) AJD]]*1000)-((TABL12345[[#This Row],[(STORGE DIFF.) AJD]]*1000)+TABL12345[[#This Row],[AJD_Evaporation]]+(TABL12345[[#This Row],[(A/B + A/S) AJD]]*1000))</f>
        <v/>
      </c>
      <c r="AE331" s="33" t="n"/>
      <c r="AF331" s="6" t="n"/>
      <c r="AG331" s="6" t="n"/>
      <c r="AH331" s="6">
        <f>TABL12345[[#This Row],[ (RESV. STORGE) BER]]/10</f>
        <v/>
      </c>
      <c r="AI331" s="6" t="n"/>
      <c r="AJ331" s="33">
        <f>TABL12345[[#This Row],[(A/B) AJD]]-TABL12345[[#This Row],[BER_IN]]</f>
        <v/>
      </c>
      <c r="AK331" s="6" t="n"/>
      <c r="AL331" s="6" t="n"/>
      <c r="AM331" s="32" t="n"/>
      <c r="AN331" s="32">
        <f>TABL12345[[#This Row],[ (RESV. STORGE) SER]]/10</f>
        <v/>
      </c>
      <c r="AO331" s="68" t="n"/>
      <c r="AP331" s="68">
        <f>TABL12345[[#This Row],[(A/S) AJD]]-TABL12345[[#This Row],[SER_IN]]</f>
        <v/>
      </c>
    </row>
    <row r="332" ht="18.75" customHeight="1">
      <c r="A332" s="2" t="n">
        <v>47083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TABL12345[[#This Row],[ (T/B) SAR]]+TABL12345[[#This Row],[ (S/S) SAR]]</f>
        <v/>
      </c>
      <c r="L332" s="28" t="n"/>
      <c r="M332" s="29" t="n"/>
      <c r="N332" s="30" t="n"/>
      <c r="O332" s="39" t="n"/>
      <c r="P332" s="9">
        <f>TABL12345[[#This Row],[ (S/S) SAR]]-TABL12345[[#This Row],[(S/S) AJD]]</f>
        <v/>
      </c>
      <c r="Q332" s="9" t="n"/>
      <c r="R332" s="9">
        <f>TABL12345[[#This Row],[ (T/B) SAR]]-TABL12345[[#This Row],[(T/B) AJD]]</f>
        <v/>
      </c>
      <c r="S332" s="9">
        <f>TABL12345[[#This Row],[S/S_CON.]]+TABL12345[[#This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TABL12345[[#This Row],[(RESV. STORGE) AJD]]/10</f>
        <v/>
      </c>
      <c r="AB332" s="3">
        <f>IF(TRIM(Z332)="",,(Z332-Z331)/1000)</f>
        <v/>
      </c>
      <c r="AC332" s="5" t="n"/>
      <c r="AD332" s="6">
        <f>(TABL12345[[#This Row],[( S/S+T/B) AJD]]*1000)-((TABL12345[[#This Row],[(STORGE DIFF.) AJD]]*1000)+TABL12345[[#This Row],[AJD_Evaporation]]+(TABL12345[[#This Row],[(A/B + A/S) AJD]]*1000))</f>
        <v/>
      </c>
      <c r="AE332" s="33" t="n"/>
      <c r="AF332" s="6" t="n"/>
      <c r="AG332" s="6" t="n"/>
      <c r="AH332" s="6">
        <f>TABL12345[[#This Row],[ (RESV. STORGE) BER]]/10</f>
        <v/>
      </c>
      <c r="AI332" s="6" t="n"/>
      <c r="AJ332" s="33">
        <f>TABL12345[[#This Row],[(A/B) AJD]]-TABL12345[[#This Row],[BER_IN]]</f>
        <v/>
      </c>
      <c r="AK332" s="6" t="n"/>
      <c r="AL332" s="6" t="n"/>
      <c r="AM332" s="32" t="n"/>
      <c r="AN332" s="32">
        <f>TABL12345[[#This Row],[ (RESV. STORGE) SER]]/10</f>
        <v/>
      </c>
      <c r="AO332" s="68" t="n"/>
      <c r="AP332" s="68">
        <f>TABL12345[[#This Row],[(A/S) AJD]]-TABL12345[[#This Row],[SER_IN]]</f>
        <v/>
      </c>
    </row>
    <row r="333" ht="18.75" customHeight="1">
      <c r="A333" s="2" t="n">
        <v>47084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TABL12345[[#This Row],[ (T/B) SAR]]+TABL12345[[#This Row],[ (S/S) SAR]]</f>
        <v/>
      </c>
      <c r="L333" s="28" t="n"/>
      <c r="M333" s="29" t="n"/>
      <c r="N333" s="30" t="n"/>
      <c r="O333" s="40" t="n"/>
      <c r="P333" s="9">
        <f>TABL12345[[#This Row],[ (S/S) SAR]]-TABL12345[[#This Row],[(S/S) AJD]]</f>
        <v/>
      </c>
      <c r="Q333" s="9" t="n"/>
      <c r="R333" s="9">
        <f>TABL12345[[#This Row],[ (T/B) SAR]]-TABL12345[[#This Row],[(T/B) AJD]]</f>
        <v/>
      </c>
      <c r="S333" s="9">
        <f>TABL12345[[#This Row],[S/S_CON.]]+TABL12345[[#This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TABL12345[[#This Row],[(RESV. STORGE) AJD]]/10</f>
        <v/>
      </c>
      <c r="AB333" s="3">
        <f>IF(TRIM(Z333)="",,(Z333-Z332)/1000)</f>
        <v/>
      </c>
      <c r="AC333" s="5" t="n"/>
      <c r="AD333" s="6">
        <f>(TABL12345[[#This Row],[( S/S+T/B) AJD]]*1000)-((TABL12345[[#This Row],[(STORGE DIFF.) AJD]]*1000)+TABL12345[[#This Row],[AJD_Evaporation]]+(TABL12345[[#This Row],[(A/B + A/S) AJD]]*1000))</f>
        <v/>
      </c>
      <c r="AE333" s="33" t="n"/>
      <c r="AF333" s="6" t="n"/>
      <c r="AG333" s="6" t="n"/>
      <c r="AH333" s="6">
        <f>TABL12345[[#This Row],[ (RESV. STORGE) BER]]/10</f>
        <v/>
      </c>
      <c r="AI333" s="6" t="n"/>
      <c r="AJ333" s="33">
        <f>TABL12345[[#This Row],[(A/B) AJD]]-TABL12345[[#This Row],[BER_IN]]</f>
        <v/>
      </c>
      <c r="AK333" s="6" t="n"/>
      <c r="AL333" s="6" t="n"/>
      <c r="AM333" s="32" t="n"/>
      <c r="AN333" s="32">
        <f>TABL12345[[#This Row],[ (RESV. STORGE) SER]]/10</f>
        <v/>
      </c>
      <c r="AO333" s="68" t="n"/>
      <c r="AP333" s="68">
        <f>TABL12345[[#This Row],[(A/S) AJD]]-TABL12345[[#This Row],[SER_IN]]</f>
        <v/>
      </c>
    </row>
    <row r="334" ht="18.75" customHeight="1">
      <c r="A334" s="2" t="n">
        <v>47085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TABL12345[[#This Row],[ (T/B) SAR]]+TABL12345[[#This Row],[ (S/S) SAR]]</f>
        <v/>
      </c>
      <c r="L334" s="28" t="n"/>
      <c r="M334" s="29" t="n"/>
      <c r="N334" s="30" t="n"/>
      <c r="O334" s="39" t="n"/>
      <c r="P334" s="9">
        <f>TABL12345[[#This Row],[ (S/S) SAR]]-TABL12345[[#This Row],[(S/S) AJD]]</f>
        <v/>
      </c>
      <c r="Q334" s="9" t="n"/>
      <c r="R334" s="9">
        <f>TABL12345[[#This Row],[ (T/B) SAR]]-TABL12345[[#This Row],[(T/B) AJD]]</f>
        <v/>
      </c>
      <c r="S334" s="9">
        <f>TABL12345[[#This Row],[S/S_CON.]]+TABL12345[[#This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TABL12345[[#This Row],[(RESV. STORGE) AJD]]/10</f>
        <v/>
      </c>
      <c r="AB334" s="3">
        <f>IF(TRIM(Z334)="",,(Z334-Z333)/1000)</f>
        <v/>
      </c>
      <c r="AC334" s="5" t="n"/>
      <c r="AD334" s="6">
        <f>(TABL12345[[#This Row],[( S/S+T/B) AJD]]*1000)-((TABL12345[[#This Row],[(STORGE DIFF.) AJD]]*1000)+TABL12345[[#This Row],[AJD_Evaporation]]+(TABL12345[[#This Row],[(A/B + A/S) AJD]]*1000))</f>
        <v/>
      </c>
      <c r="AE334" s="33" t="n"/>
      <c r="AF334" s="6" t="n"/>
      <c r="AG334" s="6" t="n"/>
      <c r="AH334" s="6">
        <f>TABL12345[[#This Row],[ (RESV. STORGE) BER]]/10</f>
        <v/>
      </c>
      <c r="AI334" s="6" t="n"/>
      <c r="AJ334" s="33">
        <f>TABL12345[[#This Row],[(A/B) AJD]]-TABL12345[[#This Row],[BER_IN]]</f>
        <v/>
      </c>
      <c r="AK334" s="6" t="n"/>
      <c r="AL334" s="6" t="n"/>
      <c r="AM334" s="32" t="n"/>
      <c r="AN334" s="32">
        <f>TABL12345[[#This Row],[ (RESV. STORGE) SER]]/10</f>
        <v/>
      </c>
      <c r="AO334" s="68" t="n"/>
      <c r="AP334" s="68">
        <f>TABL12345[[#This Row],[(A/S) AJD]]-TABL12345[[#This Row],[SER_IN]]</f>
        <v/>
      </c>
    </row>
    <row r="335" ht="18.75" customHeight="1">
      <c r="A335" s="2" t="n">
        <v>47086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TABL12345[[#This Row],[ (T/B) SAR]]+TABL12345[[#This Row],[ (S/S) SAR]]</f>
        <v/>
      </c>
      <c r="L335" s="28" t="n"/>
      <c r="M335" s="29" t="n"/>
      <c r="N335" s="30" t="n"/>
      <c r="O335" s="40" t="n"/>
      <c r="P335" s="9">
        <f>TABL12345[[#This Row],[ (S/S) SAR]]-TABL12345[[#This Row],[(S/S) AJD]]</f>
        <v/>
      </c>
      <c r="Q335" s="9" t="n"/>
      <c r="R335" s="9">
        <f>TABL12345[[#This Row],[ (T/B) SAR]]-TABL12345[[#This Row],[(T/B) AJD]]</f>
        <v/>
      </c>
      <c r="S335" s="9">
        <f>TABL12345[[#This Row],[S/S_CON.]]+TABL12345[[#This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TABL12345[[#This Row],[(RESV. STORGE) AJD]]/10</f>
        <v/>
      </c>
      <c r="AB335" s="3">
        <f>IF(TRIM(Z335)="",,(Z335-Z334)/1000)</f>
        <v/>
      </c>
      <c r="AC335" s="5" t="n"/>
      <c r="AD335" s="6">
        <f>(TABL12345[[#This Row],[( S/S+T/B) AJD]]*1000)-((TABL12345[[#This Row],[(STORGE DIFF.) AJD]]*1000)+TABL12345[[#This Row],[AJD_Evaporation]]+(TABL12345[[#This Row],[(A/B + A/S) AJD]]*1000))</f>
        <v/>
      </c>
      <c r="AE335" s="33" t="n"/>
      <c r="AF335" s="6" t="n"/>
      <c r="AG335" s="6" t="n"/>
      <c r="AH335" s="6">
        <f>TABL12345[[#This Row],[ (RESV. STORGE) BER]]/10</f>
        <v/>
      </c>
      <c r="AI335" s="6" t="n"/>
      <c r="AJ335" s="33">
        <f>TABL12345[[#This Row],[(A/B) AJD]]-TABL12345[[#This Row],[BER_IN]]</f>
        <v/>
      </c>
      <c r="AK335" s="6" t="n"/>
      <c r="AL335" s="6" t="n"/>
      <c r="AM335" s="32" t="n"/>
      <c r="AN335" s="32">
        <f>TABL12345[[#This Row],[ (RESV. STORGE) SER]]/10</f>
        <v/>
      </c>
      <c r="AO335" s="68" t="n"/>
      <c r="AP335" s="68">
        <f>TABL12345[[#This Row],[(A/S) AJD]]-TABL12345[[#This Row],[SER_IN]]</f>
        <v/>
      </c>
    </row>
    <row r="336" ht="18.75" customHeight="1">
      <c r="A336" s="2" t="n">
        <v>47087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TABL12345[[#This Row],[ (T/B) SAR]]+TABL12345[[#This Row],[ (S/S) SAR]]</f>
        <v/>
      </c>
      <c r="L336" s="41" t="n"/>
      <c r="M336" s="42" t="n"/>
      <c r="N336" s="42" t="n"/>
      <c r="O336" s="39" t="n"/>
      <c r="P336" s="9">
        <f>TABL12345[[#This Row],[ (S/S) SAR]]-TABL12345[[#This Row],[(S/S) AJD]]</f>
        <v/>
      </c>
      <c r="Q336" s="39" t="n"/>
      <c r="R336" s="9">
        <f>TABL12345[[#This Row],[ (T/B) SAR]]-TABL12345[[#This Row],[(T/B) AJD]]</f>
        <v/>
      </c>
      <c r="S336" s="9">
        <f>TABL12345[[#This Row],[S/S_CON.]]+TABL12345[[#This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TABL12345[[#This Row],[(RESV. STORGE) AJD]]/10</f>
        <v/>
      </c>
      <c r="AB336" s="3">
        <f>IF(TRIM(Z336)="",,(Z336-Z335)/1000)</f>
        <v/>
      </c>
      <c r="AC336" s="5" t="n"/>
      <c r="AD336" s="39">
        <f>(TABL12345[[#This Row],[( S/S+T/B) AJD]]*1000)-((TABL12345[[#This Row],[(STORGE DIFF.) AJD]]*1000)+TABL12345[[#This Row],[AJD_Evaporation]]+(TABL12345[[#This Row],[(A/B + A/S) AJD]]*1000))</f>
        <v/>
      </c>
      <c r="AE336" s="41" t="n"/>
      <c r="AF336" s="43" t="n"/>
      <c r="AG336" s="43" t="n"/>
      <c r="AH336" s="6">
        <f>TABL12345[[#This Row],[ (RESV. STORGE) BER]]/10</f>
        <v/>
      </c>
      <c r="AI336" s="41" t="n"/>
      <c r="AJ336" s="43">
        <f>TABL12345[[#This Row],[(A/B) AJD]]-TABL12345[[#This Row],[BER_IN]]</f>
        <v/>
      </c>
      <c r="AK336" s="43" t="n"/>
      <c r="AL336" s="43" t="n"/>
      <c r="AM336" s="32" t="n"/>
      <c r="AN336" s="32">
        <f>TABL12345[[#This Row],[ (RESV. STORGE) SER]]/10</f>
        <v/>
      </c>
      <c r="AO336" s="68" t="n"/>
      <c r="AP336" s="68">
        <f>TABL12345[[#This Row],[(A/S) AJD]]-TABL12345[[#This Row],[SER_IN]]</f>
        <v/>
      </c>
    </row>
    <row r="337" ht="18.75" customHeight="1">
      <c r="A337" s="2" t="n">
        <v>47088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TABL12345[[#This Row],[ (T/B) SAR]]+TABL12345[[#This Row],[ (S/S) SAR]]</f>
        <v/>
      </c>
      <c r="L337" s="45" t="n"/>
      <c r="M337" s="46" t="n"/>
      <c r="N337" s="46" t="n"/>
      <c r="O337" s="40" t="n"/>
      <c r="P337" s="9">
        <f>TABL12345[[#This Row],[ (S/S) SAR]]-TABL12345[[#This Row],[(S/S) AJD]]</f>
        <v/>
      </c>
      <c r="Q337" s="40" t="n"/>
      <c r="R337" s="9">
        <f>TABL12345[[#This Row],[ (T/B) SAR]]-TABL12345[[#This Row],[(T/B) AJD]]</f>
        <v/>
      </c>
      <c r="S337" s="9">
        <f>TABL12345[[#This Row],[S/S_CON.]]+TABL12345[[#This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TABL12345[[#This Row],[(RESV. STORGE) AJD]]/10</f>
        <v/>
      </c>
      <c r="AB337" s="3">
        <f>IF(TRIM(Z337)="",,(Z337-Z336)/1000)</f>
        <v/>
      </c>
      <c r="AC337" s="5" t="n"/>
      <c r="AD337" s="40">
        <f>(TABL12345[[#This Row],[( S/S+T/B) AJD]]*1000)-((TABL12345[[#This Row],[(STORGE DIFF.) AJD]]*1000)+TABL12345[[#This Row],[AJD_Evaporation]]+(TABL12345[[#This Row],[(A/B + A/S) AJD]]*1000))</f>
        <v/>
      </c>
      <c r="AE337" s="44" t="n"/>
      <c r="AF337" s="45" t="n"/>
      <c r="AG337" s="45" t="n"/>
      <c r="AH337" s="6">
        <f>TABL12345[[#This Row],[ (RESV. STORGE) BER]]/10</f>
        <v/>
      </c>
      <c r="AI337" s="44" t="n"/>
      <c r="AJ337" s="45">
        <f>TABL12345[[#This Row],[(A/B) AJD]]-TABL12345[[#This Row],[BER_IN]]</f>
        <v/>
      </c>
      <c r="AK337" s="45" t="n"/>
      <c r="AL337" s="45" t="n"/>
      <c r="AM337" s="32" t="n"/>
      <c r="AN337" s="32">
        <f>TABL12345[[#This Row],[ (RESV. STORGE) SER]]/10</f>
        <v/>
      </c>
      <c r="AO337" s="68" t="n"/>
      <c r="AP337" s="68">
        <f>TABL12345[[#This Row],[(A/S) AJD]]-TABL12345[[#This Row],[SER_IN]]</f>
        <v/>
      </c>
    </row>
    <row r="338" ht="18.75" customHeight="1">
      <c r="A338" s="2" t="n">
        <v>47089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TABL12345[[#This Row],[ (T/B) SAR]]+TABL12345[[#This Row],[ (S/S) SAR]]</f>
        <v/>
      </c>
      <c r="L338" s="41" t="n"/>
      <c r="M338" s="42" t="n"/>
      <c r="N338" s="42" t="n"/>
      <c r="O338" s="39" t="n"/>
      <c r="P338" s="9">
        <f>TABL12345[[#This Row],[ (S/S) SAR]]-TABL12345[[#This Row],[(S/S) AJD]]</f>
        <v/>
      </c>
      <c r="Q338" s="39" t="n"/>
      <c r="R338" s="9">
        <f>TABL12345[[#This Row],[ (T/B) SAR]]-TABL12345[[#This Row],[(T/B) AJD]]</f>
        <v/>
      </c>
      <c r="S338" s="9">
        <f>TABL12345[[#This Row],[S/S_CON.]]+TABL12345[[#This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TABL12345[[#This Row],[(RESV. STORGE) AJD]]/10</f>
        <v/>
      </c>
      <c r="AB338" s="3">
        <f>IF(TRIM(Z338)="",,(Z338-Z337)/1000)</f>
        <v/>
      </c>
      <c r="AC338" s="5" t="n"/>
      <c r="AD338" s="39">
        <f>(TABL12345[[#This Row],[( S/S+T/B) AJD]]*1000)-((TABL12345[[#This Row],[(STORGE DIFF.) AJD]]*1000)+TABL12345[[#This Row],[AJD_Evaporation]]+(TABL12345[[#This Row],[(A/B + A/S) AJD]]*1000))</f>
        <v/>
      </c>
      <c r="AE338" s="41" t="n"/>
      <c r="AF338" s="43" t="n"/>
      <c r="AG338" s="43" t="n"/>
      <c r="AH338" s="6">
        <f>TABL12345[[#This Row],[ (RESV. STORGE) BER]]/10</f>
        <v/>
      </c>
      <c r="AI338" s="41" t="n"/>
      <c r="AJ338" s="43">
        <f>TABL12345[[#This Row],[(A/B) AJD]]-TABL12345[[#This Row],[BER_IN]]</f>
        <v/>
      </c>
      <c r="AK338" s="43" t="n"/>
      <c r="AL338" s="43" t="n"/>
      <c r="AM338" s="32" t="n"/>
      <c r="AN338" s="32">
        <f>TABL12345[[#This Row],[ (RESV. STORGE) SER]]/10</f>
        <v/>
      </c>
      <c r="AO338" s="68" t="n"/>
      <c r="AP338" s="68">
        <f>TABL12345[[#This Row],[(A/S) AJD]]-TABL12345[[#This Row],[SER_IN]]</f>
        <v/>
      </c>
    </row>
    <row r="339" ht="18.75" customHeight="1">
      <c r="A339" s="2" t="n">
        <v>47090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TABL12345[[#This Row],[ (T/B) SAR]]+TABL12345[[#This Row],[ (S/S) SAR]]</f>
        <v/>
      </c>
      <c r="L339" s="45" t="n"/>
      <c r="M339" s="46" t="n"/>
      <c r="N339" s="46" t="n"/>
      <c r="O339" s="40" t="n"/>
      <c r="P339" s="9">
        <f>TABL12345[[#This Row],[ (S/S) SAR]]-TABL12345[[#This Row],[(S/S) AJD]]</f>
        <v/>
      </c>
      <c r="Q339" s="40" t="n"/>
      <c r="R339" s="9">
        <f>TABL12345[[#This Row],[ (T/B) SAR]]-TABL12345[[#This Row],[(T/B) AJD]]</f>
        <v/>
      </c>
      <c r="S339" s="9">
        <f>TABL12345[[#This Row],[S/S_CON.]]+TABL12345[[#This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TABL12345[[#This Row],[(RESV. STORGE) AJD]]/10</f>
        <v/>
      </c>
      <c r="AB339" s="3">
        <f>IF(TRIM(Z339)="",,(Z339-Z338)/1000)</f>
        <v/>
      </c>
      <c r="AC339" s="5" t="n"/>
      <c r="AD339" s="40">
        <f>(TABL12345[[#This Row],[( S/S+T/B) AJD]]*1000)-((TABL12345[[#This Row],[(STORGE DIFF.) AJD]]*1000)+TABL12345[[#This Row],[AJD_Evaporation]]+(TABL12345[[#This Row],[(A/B + A/S) AJD]]*1000))</f>
        <v/>
      </c>
      <c r="AE339" s="44" t="n"/>
      <c r="AF339" s="45" t="n"/>
      <c r="AG339" s="45" t="n"/>
      <c r="AH339" s="6">
        <f>TABL12345[[#This Row],[ (RESV. STORGE) BER]]/10</f>
        <v/>
      </c>
      <c r="AI339" s="44" t="n"/>
      <c r="AJ339" s="45">
        <f>TABL12345[[#This Row],[(A/B) AJD]]-TABL12345[[#This Row],[BER_IN]]</f>
        <v/>
      </c>
      <c r="AK339" s="45" t="n"/>
      <c r="AL339" s="45" t="n"/>
      <c r="AM339" s="32" t="n"/>
      <c r="AN339" s="32">
        <f>TABL12345[[#This Row],[ (RESV. STORGE) SER]]/10</f>
        <v/>
      </c>
      <c r="AO339" s="68" t="n"/>
      <c r="AP339" s="68">
        <f>TABL12345[[#This Row],[(A/S) AJD]]-TABL12345[[#This Row],[SER_IN]]</f>
        <v/>
      </c>
    </row>
    <row r="340" ht="18.75" customHeight="1">
      <c r="A340" s="2" t="n">
        <v>47091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TABL12345[[#This Row],[ (T/B) SAR]]+TABL12345[[#This Row],[ (S/S) SAR]]</f>
        <v/>
      </c>
      <c r="L340" s="41" t="n"/>
      <c r="M340" s="42" t="n"/>
      <c r="N340" s="42" t="n"/>
      <c r="O340" s="39" t="n"/>
      <c r="P340" s="9">
        <f>TABL12345[[#This Row],[ (S/S) SAR]]-TABL12345[[#This Row],[(S/S) AJD]]</f>
        <v/>
      </c>
      <c r="Q340" s="39" t="n"/>
      <c r="R340" s="9">
        <f>TABL12345[[#This Row],[ (T/B) SAR]]-TABL12345[[#This Row],[(T/B) AJD]]</f>
        <v/>
      </c>
      <c r="S340" s="9">
        <f>TABL12345[[#This Row],[S/S_CON.]]+TABL12345[[#This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TABL12345[[#This Row],[(RESV. STORGE) AJD]]/10</f>
        <v/>
      </c>
      <c r="AB340" s="3">
        <f>IF(TRIM(Z340)="",,(Z340-Z339)/1000)</f>
        <v/>
      </c>
      <c r="AC340" s="5" t="n"/>
      <c r="AD340" s="39">
        <f>(TABL12345[[#This Row],[( S/S+T/B) AJD]]*1000)-((TABL12345[[#This Row],[(STORGE DIFF.) AJD]]*1000)+TABL12345[[#This Row],[AJD_Evaporation]]+(TABL12345[[#This Row],[(A/B + A/S) AJD]]*1000))</f>
        <v/>
      </c>
      <c r="AE340" s="41" t="n"/>
      <c r="AF340" s="43" t="n"/>
      <c r="AG340" s="43" t="n"/>
      <c r="AH340" s="6">
        <f>TABL12345[[#This Row],[ (RESV. STORGE) BER]]/10</f>
        <v/>
      </c>
      <c r="AI340" s="41" t="n"/>
      <c r="AJ340" s="43">
        <f>TABL12345[[#This Row],[(A/B) AJD]]-TABL12345[[#This Row],[BER_IN]]</f>
        <v/>
      </c>
      <c r="AK340" s="43" t="n"/>
      <c r="AL340" s="43" t="n"/>
      <c r="AM340" s="32" t="n"/>
      <c r="AN340" s="32">
        <f>TABL12345[[#This Row],[ (RESV. STORGE) SER]]/10</f>
        <v/>
      </c>
      <c r="AO340" s="68" t="n"/>
      <c r="AP340" s="68">
        <f>TABL12345[[#This Row],[(A/S) AJD]]-TABL12345[[#This Row],[SER_IN]]</f>
        <v/>
      </c>
    </row>
    <row r="341" ht="18.75" customHeight="1">
      <c r="A341" s="2" t="n">
        <v>47092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TABL12345[[#This Row],[ (T/B) SAR]]+TABL12345[[#This Row],[ (S/S) SAR]]</f>
        <v/>
      </c>
      <c r="L341" s="45" t="n"/>
      <c r="M341" s="46" t="n"/>
      <c r="N341" s="46" t="n"/>
      <c r="O341" s="40" t="n"/>
      <c r="P341" s="9">
        <f>TABL12345[[#This Row],[ (S/S) SAR]]-TABL12345[[#This Row],[(S/S) AJD]]</f>
        <v/>
      </c>
      <c r="Q341" s="40" t="n"/>
      <c r="R341" s="9">
        <f>TABL12345[[#This Row],[ (T/B) SAR]]-TABL12345[[#This Row],[(T/B) AJD]]</f>
        <v/>
      </c>
      <c r="S341" s="9">
        <f>TABL12345[[#This Row],[S/S_CON.]]+TABL12345[[#This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TABL12345[[#This Row],[(RESV. STORGE) AJD]]/10</f>
        <v/>
      </c>
      <c r="AB341" s="3">
        <f>IF(TRIM(Z341)="",,(Z341-Z340)/1000)</f>
        <v/>
      </c>
      <c r="AC341" s="5" t="n"/>
      <c r="AD341" s="40">
        <f>(TABL12345[[#This Row],[( S/S+T/B) AJD]]*1000)-((TABL12345[[#This Row],[(STORGE DIFF.) AJD]]*1000)+TABL12345[[#This Row],[AJD_Evaporation]]+(TABL12345[[#This Row],[(A/B + A/S) AJD]]*1000))</f>
        <v/>
      </c>
      <c r="AE341" s="44" t="n"/>
      <c r="AF341" s="45" t="n"/>
      <c r="AG341" s="45" t="n"/>
      <c r="AH341" s="6">
        <f>TABL12345[[#This Row],[ (RESV. STORGE) BER]]/10</f>
        <v/>
      </c>
      <c r="AI341" s="44" t="n"/>
      <c r="AJ341" s="45">
        <f>TABL12345[[#This Row],[(A/B) AJD]]-TABL12345[[#This Row],[BER_IN]]</f>
        <v/>
      </c>
      <c r="AK341" s="45" t="n"/>
      <c r="AL341" s="45" t="n"/>
      <c r="AM341" s="32" t="n"/>
      <c r="AN341" s="32">
        <f>TABL12345[[#This Row],[ (RESV. STORGE) SER]]/10</f>
        <v/>
      </c>
      <c r="AO341" s="68" t="n"/>
      <c r="AP341" s="68">
        <f>TABL12345[[#This Row],[(A/S) AJD]]-TABL12345[[#This Row],[SER_IN]]</f>
        <v/>
      </c>
    </row>
    <row r="342" ht="18.75" customHeight="1">
      <c r="A342" s="2" t="n">
        <v>47093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TABL12345[[#This Row],[ (T/B) SAR]]+TABL12345[[#This Row],[ (S/S) SAR]]</f>
        <v/>
      </c>
      <c r="L342" s="41" t="n"/>
      <c r="M342" s="42" t="n"/>
      <c r="N342" s="42" t="n"/>
      <c r="O342" s="39" t="n"/>
      <c r="P342" s="9">
        <f>TABL12345[[#This Row],[ (S/S) SAR]]-TABL12345[[#This Row],[(S/S) AJD]]</f>
        <v/>
      </c>
      <c r="Q342" s="39" t="n"/>
      <c r="R342" s="9">
        <f>TABL12345[[#This Row],[ (T/B) SAR]]-TABL12345[[#This Row],[(T/B) AJD]]</f>
        <v/>
      </c>
      <c r="S342" s="9">
        <f>TABL12345[[#This Row],[S/S_CON.]]+TABL12345[[#This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TABL12345[[#This Row],[(RESV. STORGE) AJD]]/10</f>
        <v/>
      </c>
      <c r="AB342" s="3">
        <f>IF(TRIM(Z342)="",,(Z342-Z341)/1000)</f>
        <v/>
      </c>
      <c r="AC342" s="5" t="n"/>
      <c r="AD342" s="39">
        <f>(TABL12345[[#This Row],[( S/S+T/B) AJD]]*1000)-((TABL12345[[#This Row],[(STORGE DIFF.) AJD]]*1000)+TABL12345[[#This Row],[AJD_Evaporation]]+(TABL12345[[#This Row],[(A/B + A/S) AJD]]*1000))</f>
        <v/>
      </c>
      <c r="AE342" s="41" t="n"/>
      <c r="AF342" s="43" t="n"/>
      <c r="AG342" s="43" t="n"/>
      <c r="AH342" s="6">
        <f>TABL12345[[#This Row],[ (RESV. STORGE) BER]]/10</f>
        <v/>
      </c>
      <c r="AI342" s="41" t="n"/>
      <c r="AJ342" s="43">
        <f>TABL12345[[#This Row],[(A/B) AJD]]-TABL12345[[#This Row],[BER_IN]]</f>
        <v/>
      </c>
      <c r="AK342" s="43" t="n"/>
      <c r="AL342" s="43" t="n"/>
      <c r="AM342" s="32" t="n"/>
      <c r="AN342" s="32">
        <f>TABL12345[[#This Row],[ (RESV. STORGE) SER]]/10</f>
        <v/>
      </c>
      <c r="AO342" s="68" t="n"/>
      <c r="AP342" s="68">
        <f>TABL12345[[#This Row],[(A/S) AJD]]-TABL12345[[#This Row],[SER_IN]]</f>
        <v/>
      </c>
    </row>
    <row r="343" ht="18.75" customHeight="1">
      <c r="A343" s="2" t="n">
        <v>47094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TABL12345[[#This Row],[ (T/B) SAR]]+TABL12345[[#This Row],[ (S/S) SAR]]</f>
        <v/>
      </c>
      <c r="L343" s="45" t="n"/>
      <c r="M343" s="46" t="n"/>
      <c r="N343" s="46" t="n"/>
      <c r="O343" s="40" t="n"/>
      <c r="P343" s="9">
        <f>TABL12345[[#This Row],[ (S/S) SAR]]-TABL12345[[#This Row],[(S/S) AJD]]</f>
        <v/>
      </c>
      <c r="Q343" s="40" t="n"/>
      <c r="R343" s="9">
        <f>TABL12345[[#This Row],[ (T/B) SAR]]-TABL12345[[#This Row],[(T/B) AJD]]</f>
        <v/>
      </c>
      <c r="S343" s="9">
        <f>TABL12345[[#This Row],[S/S_CON.]]+TABL12345[[#This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TABL12345[[#This Row],[(RESV. STORGE) AJD]]/10</f>
        <v/>
      </c>
      <c r="AB343" s="3">
        <f>IF(TRIM(Z343)="",,(Z343-Z342)/1000)</f>
        <v/>
      </c>
      <c r="AC343" s="5" t="n"/>
      <c r="AD343" s="40">
        <f>(TABL12345[[#This Row],[( S/S+T/B) AJD]]*1000)-((TABL12345[[#This Row],[(STORGE DIFF.) AJD]]*1000)+TABL12345[[#This Row],[AJD_Evaporation]]+(TABL12345[[#This Row],[(A/B + A/S) AJD]]*1000))</f>
        <v/>
      </c>
      <c r="AE343" s="44" t="n"/>
      <c r="AF343" s="45" t="n"/>
      <c r="AG343" s="45" t="n"/>
      <c r="AH343" s="6">
        <f>TABL12345[[#This Row],[ (RESV. STORGE) BER]]/10</f>
        <v/>
      </c>
      <c r="AI343" s="44" t="n"/>
      <c r="AJ343" s="45">
        <f>TABL12345[[#This Row],[(A/B) AJD]]-TABL12345[[#This Row],[BER_IN]]</f>
        <v/>
      </c>
      <c r="AK343" s="45" t="n"/>
      <c r="AL343" s="45" t="n"/>
      <c r="AM343" s="32" t="n"/>
      <c r="AN343" s="32">
        <f>TABL12345[[#This Row],[ (RESV. STORGE) SER]]/10</f>
        <v/>
      </c>
      <c r="AO343" s="68" t="n"/>
      <c r="AP343" s="68">
        <f>TABL12345[[#This Row],[(A/S) AJD]]-TABL12345[[#This Row],[SER_IN]]</f>
        <v/>
      </c>
    </row>
    <row r="344" ht="18.75" customHeight="1">
      <c r="A344" s="2" t="n">
        <v>47095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TABL12345[[#This Row],[ (T/B) SAR]]+TABL12345[[#This Row],[ (S/S) SAR]]</f>
        <v/>
      </c>
      <c r="L344" s="41" t="n"/>
      <c r="M344" s="42" t="n"/>
      <c r="N344" s="42" t="n"/>
      <c r="O344" s="39" t="n"/>
      <c r="P344" s="9">
        <f>TABL12345[[#This Row],[ (S/S) SAR]]-TABL12345[[#This Row],[(S/S) AJD]]</f>
        <v/>
      </c>
      <c r="Q344" s="39" t="n"/>
      <c r="R344" s="9">
        <f>TABL12345[[#This Row],[ (T/B) SAR]]-TABL12345[[#This Row],[(T/B) AJD]]</f>
        <v/>
      </c>
      <c r="S344" s="9">
        <f>TABL12345[[#This Row],[S/S_CON.]]+TABL12345[[#This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TABL12345[[#This Row],[(RESV. STORGE) AJD]]/10</f>
        <v/>
      </c>
      <c r="AB344" s="3">
        <f>IF(TRIM(Z344)="",,(Z344-Z343)/1000)</f>
        <v/>
      </c>
      <c r="AC344" s="5" t="n"/>
      <c r="AD344" s="39">
        <f>(TABL12345[[#This Row],[( S/S+T/B) AJD]]*1000)-((TABL12345[[#This Row],[(STORGE DIFF.) AJD]]*1000)+TABL12345[[#This Row],[AJD_Evaporation]]+(TABL12345[[#This Row],[(A/B + A/S) AJD]]*1000))</f>
        <v/>
      </c>
      <c r="AE344" s="41" t="n"/>
      <c r="AF344" s="43" t="n"/>
      <c r="AG344" s="43" t="n"/>
      <c r="AH344" s="6">
        <f>TABL12345[[#This Row],[ (RESV. STORGE) BER]]/10</f>
        <v/>
      </c>
      <c r="AI344" s="41" t="n"/>
      <c r="AJ344" s="43">
        <f>TABL12345[[#This Row],[(A/B) AJD]]-TABL12345[[#This Row],[BER_IN]]</f>
        <v/>
      </c>
      <c r="AK344" s="43" t="n"/>
      <c r="AL344" s="43" t="n"/>
      <c r="AM344" s="32" t="n"/>
      <c r="AN344" s="32">
        <f>TABL12345[[#This Row],[ (RESV. STORGE) SER]]/10</f>
        <v/>
      </c>
      <c r="AO344" s="68" t="n"/>
      <c r="AP344" s="68">
        <f>TABL12345[[#This Row],[(A/S) AJD]]-TABL12345[[#This Row],[SER_IN]]</f>
        <v/>
      </c>
    </row>
    <row r="345" ht="18.75" customHeight="1">
      <c r="A345" s="2" t="n">
        <v>47096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TABL12345[[#This Row],[ (T/B) SAR]]+TABL12345[[#This Row],[ (S/S) SAR]]</f>
        <v/>
      </c>
      <c r="L345" s="45" t="n"/>
      <c r="M345" s="46" t="n"/>
      <c r="N345" s="46" t="n"/>
      <c r="O345" s="40" t="n"/>
      <c r="P345" s="9">
        <f>TABL12345[[#This Row],[ (S/S) SAR]]-TABL12345[[#This Row],[(S/S) AJD]]</f>
        <v/>
      </c>
      <c r="Q345" s="40" t="n"/>
      <c r="R345" s="9">
        <f>TABL12345[[#This Row],[ (T/B) SAR]]-TABL12345[[#This Row],[(T/B) AJD]]</f>
        <v/>
      </c>
      <c r="S345" s="9">
        <f>TABL12345[[#This Row],[S/S_CON.]]+TABL12345[[#This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TABL12345[[#This Row],[(RESV. STORGE) AJD]]/10</f>
        <v/>
      </c>
      <c r="AB345" s="3">
        <f>IF(TRIM(Z345)="",,(Z345-Z344)/1000)</f>
        <v/>
      </c>
      <c r="AC345" s="5" t="n"/>
      <c r="AD345" s="40">
        <f>(TABL12345[[#This Row],[( S/S+T/B) AJD]]*1000)-((TABL12345[[#This Row],[(STORGE DIFF.) AJD]]*1000)+TABL12345[[#This Row],[AJD_Evaporation]]+(TABL12345[[#This Row],[(A/B + A/S) AJD]]*1000))</f>
        <v/>
      </c>
      <c r="AE345" s="44" t="n"/>
      <c r="AF345" s="45" t="n"/>
      <c r="AG345" s="45" t="n"/>
      <c r="AH345" s="6">
        <f>TABL12345[[#This Row],[ (RESV. STORGE) BER]]/10</f>
        <v/>
      </c>
      <c r="AI345" s="44" t="n"/>
      <c r="AJ345" s="45">
        <f>TABL12345[[#This Row],[(A/B) AJD]]-TABL12345[[#This Row],[BER_IN]]</f>
        <v/>
      </c>
      <c r="AK345" s="45" t="n"/>
      <c r="AL345" s="45" t="n"/>
      <c r="AM345" s="32" t="n"/>
      <c r="AN345" s="32">
        <f>TABL12345[[#This Row],[ (RESV. STORGE) SER]]/10</f>
        <v/>
      </c>
      <c r="AO345" s="68" t="n"/>
      <c r="AP345" s="68">
        <f>TABL12345[[#This Row],[(A/S) AJD]]-TABL12345[[#This Row],[SER_IN]]</f>
        <v/>
      </c>
    </row>
    <row r="346" ht="18.75" customHeight="1">
      <c r="A346" s="2" t="n">
        <v>47097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TABL12345[[#This Row],[ (T/B) SAR]]+TABL12345[[#This Row],[ (S/S) SAR]]</f>
        <v/>
      </c>
      <c r="L346" s="41" t="n"/>
      <c r="M346" s="42" t="n"/>
      <c r="N346" s="42" t="n"/>
      <c r="O346" s="39" t="n"/>
      <c r="P346" s="9">
        <f>TABL12345[[#This Row],[ (S/S) SAR]]-TABL12345[[#This Row],[(S/S) AJD]]</f>
        <v/>
      </c>
      <c r="Q346" s="39" t="n"/>
      <c r="R346" s="9">
        <f>TABL12345[[#This Row],[ (T/B) SAR]]-TABL12345[[#This Row],[(T/B) AJD]]</f>
        <v/>
      </c>
      <c r="S346" s="9">
        <f>TABL12345[[#This Row],[S/S_CON.]]+TABL12345[[#This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TABL12345[[#This Row],[(RESV. STORGE) AJD]]/10</f>
        <v/>
      </c>
      <c r="AB346" s="3">
        <f>IF(TRIM(Z346)="",,(Z346-Z345)/1000)</f>
        <v/>
      </c>
      <c r="AC346" s="5" t="n"/>
      <c r="AD346" s="39">
        <f>(TABL12345[[#This Row],[( S/S+T/B) AJD]]*1000)-((TABL12345[[#This Row],[(STORGE DIFF.) AJD]]*1000)+TABL12345[[#This Row],[AJD_Evaporation]]+(TABL12345[[#This Row],[(A/B + A/S) AJD]]*1000))</f>
        <v/>
      </c>
      <c r="AE346" s="41" t="n"/>
      <c r="AF346" s="43" t="n"/>
      <c r="AG346" s="48" t="n"/>
      <c r="AH346" s="6">
        <f>TABL12345[[#This Row],[ (RESV. STORGE) BER]]/10</f>
        <v/>
      </c>
      <c r="AI346" s="41" t="n"/>
      <c r="AJ346" s="48">
        <f>TABL12345[[#This Row],[(A/B) AJD]]-TABL12345[[#This Row],[BER_IN]]</f>
        <v/>
      </c>
      <c r="AK346" s="43" t="n"/>
      <c r="AL346" s="43" t="n"/>
      <c r="AM346" s="32" t="n"/>
      <c r="AN346" s="32">
        <f>TABL12345[[#This Row],[ (RESV. STORGE) SER]]/10</f>
        <v/>
      </c>
      <c r="AO346" s="68" t="n"/>
      <c r="AP346" s="68">
        <f>TABL12345[[#This Row],[(A/S) AJD]]-TABL12345[[#This Row],[SER_IN]]</f>
        <v/>
      </c>
    </row>
    <row r="347" ht="18.75" customHeight="1">
      <c r="A347" s="2" t="n">
        <v>47098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TABL12345[[#This Row],[ (T/B) SAR]]+TABL12345[[#This Row],[ (S/S) SAR]]</f>
        <v/>
      </c>
      <c r="L347" s="45" t="n"/>
      <c r="M347" s="46" t="n"/>
      <c r="N347" s="46" t="n"/>
      <c r="O347" s="40" t="n"/>
      <c r="P347" s="9">
        <f>TABL12345[[#This Row],[ (S/S) SAR]]-TABL12345[[#This Row],[(S/S) AJD]]</f>
        <v/>
      </c>
      <c r="Q347" s="40" t="n"/>
      <c r="R347" s="9">
        <f>TABL12345[[#This Row],[ (T/B) SAR]]-TABL12345[[#This Row],[(T/B) AJD]]</f>
        <v/>
      </c>
      <c r="S347" s="9">
        <f>TABL12345[[#This Row],[S/S_CON.]]+TABL12345[[#This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TABL12345[[#This Row],[(RESV. STORGE) AJD]]/10</f>
        <v/>
      </c>
      <c r="AB347" s="3">
        <f>IF(TRIM(Z347)="",,(Z347-Z346)/1000)</f>
        <v/>
      </c>
      <c r="AC347" s="5" t="n"/>
      <c r="AD347" s="40">
        <f>(TABL12345[[#This Row],[( S/S+T/B) AJD]]*1000)-((TABL12345[[#This Row],[(STORGE DIFF.) AJD]]*1000)+TABL12345[[#This Row],[AJD_Evaporation]]+(TABL12345[[#This Row],[(A/B + A/S) AJD]]*1000))</f>
        <v/>
      </c>
      <c r="AE347" s="44" t="n"/>
      <c r="AF347" s="45" t="n"/>
      <c r="AG347" s="45" t="n"/>
      <c r="AH347" s="6">
        <f>TABL12345[[#This Row],[ (RESV. STORGE) BER]]/10</f>
        <v/>
      </c>
      <c r="AI347" s="44" t="n"/>
      <c r="AJ347" s="45">
        <f>TABL12345[[#This Row],[(A/B) AJD]]-TABL12345[[#This Row],[BER_IN]]</f>
        <v/>
      </c>
      <c r="AK347" s="45" t="n"/>
      <c r="AL347" s="45" t="n"/>
      <c r="AM347" s="32" t="n"/>
      <c r="AN347" s="32">
        <f>TABL12345[[#This Row],[ (RESV. STORGE) SER]]/10</f>
        <v/>
      </c>
      <c r="AO347" s="68" t="n"/>
      <c r="AP347" s="68">
        <f>TABL12345[[#This Row],[(A/S) AJD]]-TABL12345[[#This Row],[SER_IN]]</f>
        <v/>
      </c>
    </row>
    <row r="348" ht="18.75" customHeight="1">
      <c r="A348" s="2" t="n">
        <v>47099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TABL12345[[#This Row],[ (T/B) SAR]]+TABL12345[[#This Row],[ (S/S) SAR]]</f>
        <v/>
      </c>
      <c r="L348" s="41" t="n"/>
      <c r="M348" s="42" t="n"/>
      <c r="N348" s="42" t="n"/>
      <c r="O348" s="39" t="n"/>
      <c r="P348" s="9">
        <f>TABL12345[[#This Row],[ (S/S) SAR]]-TABL12345[[#This Row],[(S/S) AJD]]</f>
        <v/>
      </c>
      <c r="Q348" s="39" t="n"/>
      <c r="R348" s="9">
        <f>TABL12345[[#This Row],[ (T/B) SAR]]-TABL12345[[#This Row],[(T/B) AJD]]</f>
        <v/>
      </c>
      <c r="S348" s="9">
        <f>TABL12345[[#This Row],[S/S_CON.]]+TABL12345[[#This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TABL12345[[#This Row],[(RESV. STORGE) AJD]]/10</f>
        <v/>
      </c>
      <c r="AB348" s="3">
        <f>IF(TRIM(Z348)="",,(Z348-Z347)/1000)</f>
        <v/>
      </c>
      <c r="AC348" s="5" t="n"/>
      <c r="AD348" s="39">
        <f>(TABL12345[[#This Row],[( S/S+T/B) AJD]]*1000)-((TABL12345[[#This Row],[(STORGE DIFF.) AJD]]*1000)+TABL12345[[#This Row],[AJD_Evaporation]]+(TABL12345[[#This Row],[(A/B + A/S) AJD]]*1000))</f>
        <v/>
      </c>
      <c r="AE348" s="41" t="n"/>
      <c r="AF348" s="43" t="n"/>
      <c r="AG348" s="43" t="n"/>
      <c r="AH348" s="6">
        <f>TABL12345[[#This Row],[ (RESV. STORGE) BER]]/10</f>
        <v/>
      </c>
      <c r="AI348" s="41" t="n"/>
      <c r="AJ348" s="43">
        <f>TABL12345[[#This Row],[(A/B) AJD]]-TABL12345[[#This Row],[BER_IN]]</f>
        <v/>
      </c>
      <c r="AK348" s="43" t="n"/>
      <c r="AL348" s="43" t="n"/>
      <c r="AM348" s="32" t="n"/>
      <c r="AN348" s="32">
        <f>TABL12345[[#This Row],[ (RESV. STORGE) SER]]/10</f>
        <v/>
      </c>
      <c r="AO348" s="68" t="n"/>
      <c r="AP348" s="68">
        <f>TABL12345[[#This Row],[(A/S) AJD]]-TABL12345[[#This Row],[SER_IN]]</f>
        <v/>
      </c>
    </row>
    <row r="349" ht="18.75" customHeight="1">
      <c r="A349" s="2" t="n">
        <v>47100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TABL12345[[#This Row],[ (T/B) SAR]]+TABL12345[[#This Row],[ (S/S) SAR]]</f>
        <v/>
      </c>
      <c r="L349" s="45" t="n"/>
      <c r="M349" s="46" t="n"/>
      <c r="N349" s="46" t="n"/>
      <c r="O349" s="40" t="n"/>
      <c r="P349" s="9">
        <f>TABL12345[[#This Row],[ (S/S) SAR]]-TABL12345[[#This Row],[(S/S) AJD]]</f>
        <v/>
      </c>
      <c r="Q349" s="40" t="n"/>
      <c r="R349" s="9">
        <f>TABL12345[[#This Row],[ (T/B) SAR]]-TABL12345[[#This Row],[(T/B) AJD]]</f>
        <v/>
      </c>
      <c r="S349" s="9">
        <f>TABL12345[[#This Row],[S/S_CON.]]+TABL12345[[#This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TABL12345[[#This Row],[(RESV. STORGE) AJD]]/10</f>
        <v/>
      </c>
      <c r="AB349" s="3">
        <f>IF(TRIM(Z349)="",,(Z349-Z348)/1000)</f>
        <v/>
      </c>
      <c r="AC349" s="5" t="n"/>
      <c r="AD349" s="40">
        <f>(TABL12345[[#This Row],[( S/S+T/B) AJD]]*1000)-((TABL12345[[#This Row],[(STORGE DIFF.) AJD]]*1000)+TABL12345[[#This Row],[AJD_Evaporation]]+(TABL12345[[#This Row],[(A/B + A/S) AJD]]*1000))</f>
        <v/>
      </c>
      <c r="AE349" s="44" t="n"/>
      <c r="AF349" s="45" t="n"/>
      <c r="AG349" s="45" t="n"/>
      <c r="AH349" s="6">
        <f>TABL12345[[#This Row],[ (RESV. STORGE) BER]]/10</f>
        <v/>
      </c>
      <c r="AI349" s="44" t="n"/>
      <c r="AJ349" s="45">
        <f>TABL12345[[#This Row],[(A/B) AJD]]-TABL12345[[#This Row],[BER_IN]]</f>
        <v/>
      </c>
      <c r="AK349" s="45" t="n"/>
      <c r="AL349" s="45" t="n"/>
      <c r="AM349" s="32" t="n"/>
      <c r="AN349" s="32">
        <f>TABL12345[[#This Row],[ (RESV. STORGE) SER]]/10</f>
        <v/>
      </c>
      <c r="AO349" s="68" t="n"/>
      <c r="AP349" s="68">
        <f>TABL12345[[#This Row],[(A/S) AJD]]-TABL12345[[#This Row],[SER_IN]]</f>
        <v/>
      </c>
    </row>
    <row r="350" ht="18.75" customHeight="1">
      <c r="A350" s="2" t="n">
        <v>47101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TABL12345[[#This Row],[ (T/B) SAR]]+TABL12345[[#This Row],[ (S/S) SAR]]</f>
        <v/>
      </c>
      <c r="L350" s="41" t="n"/>
      <c r="M350" s="42" t="n"/>
      <c r="N350" s="42" t="n"/>
      <c r="O350" s="39" t="n"/>
      <c r="P350" s="9">
        <f>TABL12345[[#This Row],[ (S/S) SAR]]-TABL12345[[#This Row],[(S/S) AJD]]</f>
        <v/>
      </c>
      <c r="Q350" s="39" t="n"/>
      <c r="R350" s="9">
        <f>TABL12345[[#This Row],[ (T/B) SAR]]-TABL12345[[#This Row],[(T/B) AJD]]</f>
        <v/>
      </c>
      <c r="S350" s="9">
        <f>TABL12345[[#This Row],[S/S_CON.]]+TABL12345[[#This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TABL12345[[#This Row],[(RESV. STORGE) AJD]]/10</f>
        <v/>
      </c>
      <c r="AB350" s="3">
        <f>IF(TRIM(Z350)="",,(Z350-Z349)/1000)</f>
        <v/>
      </c>
      <c r="AC350" s="5" t="n"/>
      <c r="AD350" s="39">
        <f>(TABL12345[[#This Row],[( S/S+T/B) AJD]]*1000)-((TABL12345[[#This Row],[(STORGE DIFF.) AJD]]*1000)+TABL12345[[#This Row],[AJD_Evaporation]]+(TABL12345[[#This Row],[(A/B + A/S) AJD]]*1000))</f>
        <v/>
      </c>
      <c r="AE350" s="41" t="n"/>
      <c r="AF350" s="43" t="n"/>
      <c r="AG350" s="43" t="n"/>
      <c r="AH350" s="6">
        <f>TABL12345[[#This Row],[ (RESV. STORGE) BER]]/10</f>
        <v/>
      </c>
      <c r="AI350" s="41" t="n"/>
      <c r="AJ350" s="43">
        <f>TABL12345[[#This Row],[(A/B) AJD]]-TABL12345[[#This Row],[BER_IN]]</f>
        <v/>
      </c>
      <c r="AK350" s="43" t="n"/>
      <c r="AL350" s="43" t="n"/>
      <c r="AM350" s="32" t="n"/>
      <c r="AN350" s="32">
        <f>TABL12345[[#This Row],[ (RESV. STORGE) SER]]/10</f>
        <v/>
      </c>
      <c r="AO350" s="68" t="n"/>
      <c r="AP350" s="68">
        <f>TABL12345[[#This Row],[(A/S) AJD]]-TABL12345[[#This Row],[SER_IN]]</f>
        <v/>
      </c>
    </row>
    <row r="351" ht="18.75" customHeight="1">
      <c r="A351" s="2" t="n">
        <v>47102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TABL12345[[#This Row],[ (T/B) SAR]]+TABL12345[[#This Row],[ (S/S) SAR]]</f>
        <v/>
      </c>
      <c r="L351" s="45" t="n"/>
      <c r="M351" s="46" t="n"/>
      <c r="N351" s="46" t="n"/>
      <c r="O351" s="40" t="n"/>
      <c r="P351" s="9">
        <f>TABL12345[[#This Row],[ (S/S) SAR]]-TABL12345[[#This Row],[(S/S) AJD]]</f>
        <v/>
      </c>
      <c r="Q351" s="40" t="n"/>
      <c r="R351" s="9">
        <f>TABL12345[[#This Row],[ (T/B) SAR]]-TABL12345[[#This Row],[(T/B) AJD]]</f>
        <v/>
      </c>
      <c r="S351" s="9">
        <f>TABL12345[[#This Row],[S/S_CON.]]+TABL12345[[#This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TABL12345[[#This Row],[(RESV. STORGE) AJD]]/10</f>
        <v/>
      </c>
      <c r="AB351" s="3">
        <f>IF(TRIM(Z351)="",,(Z351-Z350)/1000)</f>
        <v/>
      </c>
      <c r="AC351" s="5" t="n"/>
      <c r="AD351" s="40">
        <f>(TABL12345[[#This Row],[( S/S+T/B) AJD]]*1000)-((TABL12345[[#This Row],[(STORGE DIFF.) AJD]]*1000)+TABL12345[[#This Row],[AJD_Evaporation]]+(TABL12345[[#This Row],[(A/B + A/S) AJD]]*1000))</f>
        <v/>
      </c>
      <c r="AE351" s="44" t="n"/>
      <c r="AF351" s="45" t="n"/>
      <c r="AG351" s="45" t="n"/>
      <c r="AH351" s="6">
        <f>TABL12345[[#This Row],[ (RESV. STORGE) BER]]/10</f>
        <v/>
      </c>
      <c r="AI351" s="44" t="n"/>
      <c r="AJ351" s="45">
        <f>TABL12345[[#This Row],[(A/B) AJD]]-TABL12345[[#This Row],[BER_IN]]</f>
        <v/>
      </c>
      <c r="AK351" s="45" t="n"/>
      <c r="AL351" s="45" t="n"/>
      <c r="AM351" s="32" t="n"/>
      <c r="AN351" s="32">
        <f>TABL12345[[#This Row],[ (RESV. STORGE) SER]]/10</f>
        <v/>
      </c>
      <c r="AO351" s="68" t="n"/>
      <c r="AP351" s="68">
        <f>TABL12345[[#This Row],[(A/S) AJD]]-TABL12345[[#This Row],[SER_IN]]</f>
        <v/>
      </c>
    </row>
    <row r="352" ht="18.75" customHeight="1">
      <c r="A352" s="2" t="n">
        <v>47103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TABL12345[[#This Row],[ (T/B) SAR]]+TABL12345[[#This Row],[ (S/S) SAR]]</f>
        <v/>
      </c>
      <c r="L352" s="41" t="n"/>
      <c r="M352" s="42" t="n"/>
      <c r="N352" s="42" t="n"/>
      <c r="O352" s="39" t="n"/>
      <c r="P352" s="9">
        <f>TABL12345[[#This Row],[ (S/S) SAR]]-TABL12345[[#This Row],[(S/S) AJD]]</f>
        <v/>
      </c>
      <c r="Q352" s="39" t="n"/>
      <c r="R352" s="9">
        <f>TABL12345[[#This Row],[ (T/B) SAR]]-TABL12345[[#This Row],[(T/B) AJD]]</f>
        <v/>
      </c>
      <c r="S352" s="9">
        <f>TABL12345[[#This Row],[S/S_CON.]]+TABL12345[[#This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TABL12345[[#This Row],[(RESV. STORGE) AJD]]/10</f>
        <v/>
      </c>
      <c r="AB352" s="3">
        <f>IF(TRIM(Z352)="",,(Z352-Z351)/1000)</f>
        <v/>
      </c>
      <c r="AC352" s="5" t="n"/>
      <c r="AD352" s="39">
        <f>(TABL12345[[#This Row],[( S/S+T/B) AJD]]*1000)-((TABL12345[[#This Row],[(STORGE DIFF.) AJD]]*1000)+TABL12345[[#This Row],[AJD_Evaporation]]+(TABL12345[[#This Row],[(A/B + A/S) AJD]]*1000))</f>
        <v/>
      </c>
      <c r="AE352" s="41" t="n"/>
      <c r="AF352" s="43" t="n"/>
      <c r="AG352" s="43" t="n"/>
      <c r="AH352" s="6">
        <f>TABL12345[[#This Row],[ (RESV. STORGE) BER]]/10</f>
        <v/>
      </c>
      <c r="AI352" s="41" t="n"/>
      <c r="AJ352" s="43">
        <f>TABL12345[[#This Row],[(A/B) AJD]]-TABL12345[[#This Row],[BER_IN]]</f>
        <v/>
      </c>
      <c r="AK352" s="43" t="n"/>
      <c r="AL352" s="43" t="n"/>
      <c r="AM352" s="32" t="n"/>
      <c r="AN352" s="32">
        <f>TABL12345[[#This Row],[ (RESV. STORGE) SER]]/10</f>
        <v/>
      </c>
      <c r="AO352" s="68" t="n"/>
      <c r="AP352" s="68">
        <f>TABL12345[[#This Row],[(A/S) AJD]]-TABL12345[[#This Row],[SER_IN]]</f>
        <v/>
      </c>
    </row>
    <row r="353" ht="18.75" customHeight="1">
      <c r="A353" s="2" t="n">
        <v>47104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TABL12345[[#This Row],[ (T/B) SAR]]+TABL12345[[#This Row],[ (S/S) SAR]]</f>
        <v/>
      </c>
      <c r="L353" s="45" t="n"/>
      <c r="M353" s="46" t="n"/>
      <c r="N353" s="46" t="n"/>
      <c r="O353" s="40" t="n"/>
      <c r="P353" s="9">
        <f>TABL12345[[#This Row],[ (S/S) SAR]]-TABL12345[[#This Row],[(S/S) AJD]]</f>
        <v/>
      </c>
      <c r="Q353" s="40" t="n"/>
      <c r="R353" s="9">
        <f>TABL12345[[#This Row],[ (T/B) SAR]]-TABL12345[[#This Row],[(T/B) AJD]]</f>
        <v/>
      </c>
      <c r="S353" s="9">
        <f>TABL12345[[#This Row],[S/S_CON.]]+TABL12345[[#This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TABL12345[[#This Row],[(RESV. STORGE) AJD]]/10</f>
        <v/>
      </c>
      <c r="AB353" s="3">
        <f>IF(TRIM(Z353)="",,(Z353-Z352)/1000)</f>
        <v/>
      </c>
      <c r="AC353" s="5" t="n"/>
      <c r="AD353" s="40">
        <f>(TABL12345[[#This Row],[( S/S+T/B) AJD]]*1000)-((TABL12345[[#This Row],[(STORGE DIFF.) AJD]]*1000)+TABL12345[[#This Row],[AJD_Evaporation]]+(TABL12345[[#This Row],[(A/B + A/S) AJD]]*1000))</f>
        <v/>
      </c>
      <c r="AE353" s="44" t="n"/>
      <c r="AF353" s="45" t="n"/>
      <c r="AG353" s="45" t="n"/>
      <c r="AH353" s="6">
        <f>TABL12345[[#This Row],[ (RESV. STORGE) BER]]/10</f>
        <v/>
      </c>
      <c r="AI353" s="44" t="n"/>
      <c r="AJ353" s="45">
        <f>TABL12345[[#This Row],[(A/B) AJD]]-TABL12345[[#This Row],[BER_IN]]</f>
        <v/>
      </c>
      <c r="AK353" s="45" t="n"/>
      <c r="AL353" s="45" t="n"/>
      <c r="AM353" s="32" t="n"/>
      <c r="AN353" s="32">
        <f>TABL12345[[#This Row],[ (RESV. STORGE) SER]]/10</f>
        <v/>
      </c>
      <c r="AO353" s="68" t="n"/>
      <c r="AP353" s="68">
        <f>TABL12345[[#This Row],[(A/S) AJD]]-TABL12345[[#This Row],[SER_IN]]</f>
        <v/>
      </c>
    </row>
    <row r="354" ht="18.75" customHeight="1">
      <c r="A354" s="2" t="n">
        <v>47105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TABL12345[[#This Row],[ (T/B) SAR]]+TABL12345[[#This Row],[ (S/S) SAR]]</f>
        <v/>
      </c>
      <c r="L354" s="41" t="n"/>
      <c r="M354" s="42" t="n"/>
      <c r="N354" s="42" t="n"/>
      <c r="O354" s="39" t="n"/>
      <c r="P354" s="9">
        <f>TABL12345[[#This Row],[ (S/S) SAR]]-TABL12345[[#This Row],[(S/S) AJD]]</f>
        <v/>
      </c>
      <c r="Q354" s="39" t="n"/>
      <c r="R354" s="9">
        <f>TABL12345[[#This Row],[ (T/B) SAR]]-TABL12345[[#This Row],[(T/B) AJD]]</f>
        <v/>
      </c>
      <c r="S354" s="9">
        <f>TABL12345[[#This Row],[S/S_CON.]]+TABL12345[[#This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TABL12345[[#This Row],[(RESV. STORGE) AJD]]/10</f>
        <v/>
      </c>
      <c r="AB354" s="3">
        <f>IF(TRIM(Z354)="",,(Z354-Z353)/1000)</f>
        <v/>
      </c>
      <c r="AC354" s="5" t="n"/>
      <c r="AD354" s="39">
        <f>(TABL12345[[#This Row],[( S/S+T/B) AJD]]*1000)-((TABL12345[[#This Row],[(STORGE DIFF.) AJD]]*1000)+TABL12345[[#This Row],[AJD_Evaporation]]+(TABL12345[[#This Row],[(A/B + A/S) AJD]]*1000))</f>
        <v/>
      </c>
      <c r="AE354" s="41" t="n"/>
      <c r="AF354" s="43" t="n"/>
      <c r="AG354" s="43" t="n"/>
      <c r="AH354" s="6">
        <f>TABL12345[[#This Row],[ (RESV. STORGE) BER]]/10</f>
        <v/>
      </c>
      <c r="AI354" s="41" t="n"/>
      <c r="AJ354" s="43">
        <f>TABL12345[[#This Row],[(A/B) AJD]]-TABL12345[[#This Row],[BER_IN]]</f>
        <v/>
      </c>
      <c r="AK354" s="43" t="n"/>
      <c r="AL354" s="43" t="n"/>
      <c r="AM354" s="32" t="n"/>
      <c r="AN354" s="32">
        <f>TABL12345[[#This Row],[ (RESV. STORGE) SER]]/10</f>
        <v/>
      </c>
      <c r="AO354" s="68" t="n"/>
      <c r="AP354" s="68">
        <f>TABL12345[[#This Row],[(A/S) AJD]]-TABL12345[[#This Row],[SER_IN]]</f>
        <v/>
      </c>
    </row>
    <row r="355" ht="18.75" customHeight="1">
      <c r="A355" s="2" t="n">
        <v>47106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TABL12345[[#This Row],[ (T/B) SAR]]+TABL12345[[#This Row],[ (S/S) SAR]]</f>
        <v/>
      </c>
      <c r="L355" s="45" t="n"/>
      <c r="M355" s="46" t="n"/>
      <c r="N355" s="46" t="n"/>
      <c r="O355" s="40" t="n"/>
      <c r="P355" s="9">
        <f>TABL12345[[#This Row],[ (S/S) SAR]]-TABL12345[[#This Row],[(S/S) AJD]]</f>
        <v/>
      </c>
      <c r="Q355" s="40" t="n"/>
      <c r="R355" s="9">
        <f>TABL12345[[#This Row],[ (T/B) SAR]]-TABL12345[[#This Row],[(T/B) AJD]]</f>
        <v/>
      </c>
      <c r="S355" s="9">
        <f>TABL12345[[#This Row],[S/S_CON.]]+TABL12345[[#This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TABL12345[[#This Row],[(RESV. STORGE) AJD]]/10</f>
        <v/>
      </c>
      <c r="AB355" s="3">
        <f>IF(TRIM(Z355)="",,(Z355-Z354)/1000)</f>
        <v/>
      </c>
      <c r="AC355" s="5" t="n"/>
      <c r="AD355" s="40">
        <f>(TABL12345[[#This Row],[( S/S+T/B) AJD]]*1000)-((TABL12345[[#This Row],[(STORGE DIFF.) AJD]]*1000)+TABL12345[[#This Row],[AJD_Evaporation]]+(TABL12345[[#This Row],[(A/B + A/S) AJD]]*1000))</f>
        <v/>
      </c>
      <c r="AE355" s="44" t="n"/>
      <c r="AF355" s="45" t="n"/>
      <c r="AG355" s="45" t="n"/>
      <c r="AH355" s="6">
        <f>TABL12345[[#This Row],[ (RESV. STORGE) BER]]/10</f>
        <v/>
      </c>
      <c r="AI355" s="44" t="n"/>
      <c r="AJ355" s="45">
        <f>TABL12345[[#This Row],[(A/B) AJD]]-TABL12345[[#This Row],[BER_IN]]</f>
        <v/>
      </c>
      <c r="AK355" s="45" t="n"/>
      <c r="AL355" s="45" t="n"/>
      <c r="AM355" s="32" t="n"/>
      <c r="AN355" s="32">
        <f>TABL12345[[#This Row],[ (RESV. STORGE) SER]]/10</f>
        <v/>
      </c>
      <c r="AO355" s="68" t="n"/>
      <c r="AP355" s="68">
        <f>TABL12345[[#This Row],[(A/S) AJD]]-TABL12345[[#This Row],[SER_IN]]</f>
        <v/>
      </c>
    </row>
    <row r="356" ht="18.75" customHeight="1">
      <c r="A356" s="2" t="n">
        <v>47107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TABL12345[[#This Row],[ (T/B) SAR]]+TABL12345[[#This Row],[ (S/S) SAR]]</f>
        <v/>
      </c>
      <c r="L356" s="41" t="n"/>
      <c r="M356" s="42" t="n"/>
      <c r="N356" s="42" t="n"/>
      <c r="O356" s="39" t="n"/>
      <c r="P356" s="9">
        <f>TABL12345[[#This Row],[ (S/S) SAR]]-TABL12345[[#This Row],[(S/S) AJD]]</f>
        <v/>
      </c>
      <c r="Q356" s="39" t="n"/>
      <c r="R356" s="9">
        <f>TABL12345[[#This Row],[ (T/B) SAR]]-TABL12345[[#This Row],[(T/B) AJD]]</f>
        <v/>
      </c>
      <c r="S356" s="9">
        <f>TABL12345[[#This Row],[S/S_CON.]]+TABL12345[[#This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TABL12345[[#This Row],[(RESV. STORGE) AJD]]/10</f>
        <v/>
      </c>
      <c r="AB356" s="3">
        <f>IF(TRIM(Z356)="",,(Z356-Z355)/1000)</f>
        <v/>
      </c>
      <c r="AC356" s="5" t="n"/>
      <c r="AD356" s="39">
        <f>(TABL12345[[#This Row],[( S/S+T/B) AJD]]*1000)-((TABL12345[[#This Row],[(STORGE DIFF.) AJD]]*1000)+TABL12345[[#This Row],[AJD_Evaporation]]+(TABL12345[[#This Row],[(A/B + A/S) AJD]]*1000))</f>
        <v/>
      </c>
      <c r="AE356" s="41" t="n"/>
      <c r="AF356" s="43" t="n"/>
      <c r="AG356" s="43" t="n"/>
      <c r="AH356" s="6">
        <f>TABL12345[[#This Row],[ (RESV. STORGE) BER]]/10</f>
        <v/>
      </c>
      <c r="AI356" s="41" t="n"/>
      <c r="AJ356" s="43">
        <f>TABL12345[[#This Row],[(A/B) AJD]]-TABL12345[[#This Row],[BER_IN]]</f>
        <v/>
      </c>
      <c r="AK356" s="43" t="n"/>
      <c r="AL356" s="43" t="n"/>
      <c r="AM356" s="32" t="n"/>
      <c r="AN356" s="32">
        <f>TABL12345[[#This Row],[ (RESV. STORGE) SER]]/10</f>
        <v/>
      </c>
      <c r="AO356" s="68" t="n"/>
      <c r="AP356" s="68">
        <f>TABL12345[[#This Row],[(A/S) AJD]]-TABL12345[[#This Row],[SER_IN]]</f>
        <v/>
      </c>
    </row>
    <row r="357" ht="18.75" customHeight="1">
      <c r="A357" s="2" t="n">
        <v>47108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TABL12345[[#This Row],[ (T/B) SAR]]+TABL12345[[#This Row],[ (S/S) SAR]]</f>
        <v/>
      </c>
      <c r="L357" s="45" t="n"/>
      <c r="M357" s="46" t="n"/>
      <c r="N357" s="46" t="n"/>
      <c r="O357" s="40" t="n"/>
      <c r="P357" s="9">
        <f>TABL12345[[#This Row],[ (S/S) SAR]]-TABL12345[[#This Row],[(S/S) AJD]]</f>
        <v/>
      </c>
      <c r="Q357" s="40" t="n"/>
      <c r="R357" s="9">
        <f>TABL12345[[#This Row],[ (T/B) SAR]]-TABL12345[[#This Row],[(T/B) AJD]]</f>
        <v/>
      </c>
      <c r="S357" s="9">
        <f>TABL12345[[#This Row],[S/S_CON.]]+TABL12345[[#This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TABL12345[[#This Row],[(RESV. STORGE) AJD]]/10</f>
        <v/>
      </c>
      <c r="AB357" s="3">
        <f>IF(TRIM(Z357)="",,(Z357-Z356)/1000)</f>
        <v/>
      </c>
      <c r="AC357" s="5" t="n"/>
      <c r="AD357" s="40">
        <f>(TABL12345[[#This Row],[( S/S+T/B) AJD]]*1000)-((TABL12345[[#This Row],[(STORGE DIFF.) AJD]]*1000)+TABL12345[[#This Row],[AJD_Evaporation]]+(TABL12345[[#This Row],[(A/B + A/S) AJD]]*1000))</f>
        <v/>
      </c>
      <c r="AE357" s="44" t="n"/>
      <c r="AF357" s="45" t="n"/>
      <c r="AG357" s="45" t="n"/>
      <c r="AH357" s="6">
        <f>TABL12345[[#This Row],[ (RESV. STORGE) BER]]/10</f>
        <v/>
      </c>
      <c r="AI357" s="44" t="n"/>
      <c r="AJ357" s="45">
        <f>TABL12345[[#This Row],[(A/B) AJD]]-TABL12345[[#This Row],[BER_IN]]</f>
        <v/>
      </c>
      <c r="AK357" s="45" t="n"/>
      <c r="AL357" s="45" t="n"/>
      <c r="AM357" s="32" t="n"/>
      <c r="AN357" s="32">
        <f>TABL12345[[#This Row],[ (RESV. STORGE) SER]]/10</f>
        <v/>
      </c>
      <c r="AO357" s="68" t="n"/>
      <c r="AP357" s="68">
        <f>TABL12345[[#This Row],[(A/S) AJD]]-TABL12345[[#This Row],[SER_IN]]</f>
        <v/>
      </c>
    </row>
    <row r="358" ht="18.75" customHeight="1">
      <c r="A358" s="2" t="n">
        <v>47109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TABL12345[[#This Row],[ (T/B) SAR]]+TABL12345[[#This Row],[ (S/S) SAR]]</f>
        <v/>
      </c>
      <c r="L358" s="41" t="n"/>
      <c r="M358" s="42" t="n"/>
      <c r="N358" s="42" t="n"/>
      <c r="O358" s="39" t="n"/>
      <c r="P358" s="9">
        <f>TABL12345[[#This Row],[ (S/S) SAR]]-TABL12345[[#This Row],[(S/S) AJD]]</f>
        <v/>
      </c>
      <c r="Q358" s="39" t="n"/>
      <c r="R358" s="9">
        <f>TABL12345[[#This Row],[ (T/B) SAR]]-TABL12345[[#This Row],[(T/B) AJD]]</f>
        <v/>
      </c>
      <c r="S358" s="9">
        <f>TABL12345[[#This Row],[S/S_CON.]]+TABL12345[[#This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TABL12345[[#This Row],[(RESV. STORGE) AJD]]/10</f>
        <v/>
      </c>
      <c r="AB358" s="3">
        <f>IF(TRIM(Z358)="",,(Z358-Z357)/1000)</f>
        <v/>
      </c>
      <c r="AC358" s="5" t="n"/>
      <c r="AD358" s="39">
        <f>(TABL12345[[#This Row],[( S/S+T/B) AJD]]*1000)-((TABL12345[[#This Row],[(STORGE DIFF.) AJD]]*1000)+TABL12345[[#This Row],[AJD_Evaporation]]+(TABL12345[[#This Row],[(A/B + A/S) AJD]]*1000))</f>
        <v/>
      </c>
      <c r="AE358" s="41" t="n"/>
      <c r="AF358" s="43" t="n"/>
      <c r="AG358" s="43" t="n"/>
      <c r="AH358" s="6">
        <f>TABL12345[[#This Row],[ (RESV. STORGE) BER]]/10</f>
        <v/>
      </c>
      <c r="AI358" s="41" t="n"/>
      <c r="AJ358" s="43">
        <f>TABL12345[[#This Row],[(A/B) AJD]]-TABL12345[[#This Row],[BER_IN]]</f>
        <v/>
      </c>
      <c r="AK358" s="43" t="n"/>
      <c r="AL358" s="43" t="n"/>
      <c r="AM358" s="32" t="n"/>
      <c r="AN358" s="32">
        <f>TABL12345[[#This Row],[ (RESV. STORGE) SER]]/10</f>
        <v/>
      </c>
      <c r="AO358" s="68" t="n"/>
      <c r="AP358" s="68">
        <f>TABL12345[[#This Row],[(A/S) AJD]]-TABL12345[[#This Row],[SER_IN]]</f>
        <v/>
      </c>
    </row>
    <row r="359" ht="18.75" customHeight="1">
      <c r="A359" s="2" t="n">
        <v>47110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TABL12345[[#This Row],[ (T/B) SAR]]+TABL12345[[#This Row],[ (S/S) SAR]]</f>
        <v/>
      </c>
      <c r="L359" s="45" t="n"/>
      <c r="M359" s="46" t="n"/>
      <c r="N359" s="46" t="n"/>
      <c r="O359" s="40" t="n"/>
      <c r="P359" s="9">
        <f>TABL12345[[#This Row],[ (S/S) SAR]]-TABL12345[[#This Row],[(S/S) AJD]]</f>
        <v/>
      </c>
      <c r="Q359" s="40" t="n"/>
      <c r="R359" s="9">
        <f>TABL12345[[#This Row],[ (T/B) SAR]]-TABL12345[[#This Row],[(T/B) AJD]]</f>
        <v/>
      </c>
      <c r="S359" s="9">
        <f>TABL12345[[#This Row],[S/S_CON.]]+TABL12345[[#This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TABL12345[[#This Row],[(RESV. STORGE) AJD]]/10</f>
        <v/>
      </c>
      <c r="AB359" s="3">
        <f>IF(TRIM(Z359)="",,(Z359-Z358)/1000)</f>
        <v/>
      </c>
      <c r="AC359" s="5" t="n"/>
      <c r="AD359" s="40">
        <f>(TABL12345[[#This Row],[( S/S+T/B) AJD]]*1000)-((TABL12345[[#This Row],[(STORGE DIFF.) AJD]]*1000)+TABL12345[[#This Row],[AJD_Evaporation]]+(TABL12345[[#This Row],[(A/B + A/S) AJD]]*1000))</f>
        <v/>
      </c>
      <c r="AE359" s="44" t="n"/>
      <c r="AF359" s="45" t="n"/>
      <c r="AG359" s="45" t="n"/>
      <c r="AH359" s="6">
        <f>TABL12345[[#This Row],[ (RESV. STORGE) BER]]/10</f>
        <v/>
      </c>
      <c r="AI359" s="44" t="n"/>
      <c r="AJ359" s="45">
        <f>TABL12345[[#This Row],[(A/B) AJD]]-TABL12345[[#This Row],[BER_IN]]</f>
        <v/>
      </c>
      <c r="AK359" s="45" t="n"/>
      <c r="AL359" s="45" t="n"/>
      <c r="AM359" s="32" t="n"/>
      <c r="AN359" s="32">
        <f>TABL12345[[#This Row],[ (RESV. STORGE) SER]]/10</f>
        <v/>
      </c>
      <c r="AO359" s="68" t="n"/>
      <c r="AP359" s="68">
        <f>TABL12345[[#This Row],[(A/S) AJD]]-TABL12345[[#This Row],[SER_IN]]</f>
        <v/>
      </c>
    </row>
    <row r="360" ht="18.75" customHeight="1">
      <c r="A360" s="2" t="n">
        <v>47111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TABL12345[[#This Row],[ (T/B) SAR]]+TABL12345[[#This Row],[ (S/S) SAR]]</f>
        <v/>
      </c>
      <c r="L360" s="41" t="n"/>
      <c r="M360" s="42" t="n"/>
      <c r="N360" s="42" t="n"/>
      <c r="O360" s="39" t="n"/>
      <c r="P360" s="9">
        <f>TABL12345[[#This Row],[ (S/S) SAR]]-TABL12345[[#This Row],[(S/S) AJD]]</f>
        <v/>
      </c>
      <c r="Q360" s="39" t="n"/>
      <c r="R360" s="9">
        <f>TABL12345[[#This Row],[ (T/B) SAR]]-TABL12345[[#This Row],[(T/B) AJD]]</f>
        <v/>
      </c>
      <c r="S360" s="9">
        <f>TABL12345[[#This Row],[S/S_CON.]]+TABL12345[[#This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TABL12345[[#This Row],[(RESV. STORGE) AJD]]/10</f>
        <v/>
      </c>
      <c r="AB360" s="3">
        <f>IF(TRIM(Z360)="",,(Z360-Z359)/1000)</f>
        <v/>
      </c>
      <c r="AC360" s="5" t="n"/>
      <c r="AD360" s="39">
        <f>(TABL12345[[#This Row],[( S/S+T/B) AJD]]*1000)-((TABL12345[[#This Row],[(STORGE DIFF.) AJD]]*1000)+TABL12345[[#This Row],[AJD_Evaporation]]+(TABL12345[[#This Row],[(A/B + A/S) AJD]]*1000))</f>
        <v/>
      </c>
      <c r="AE360" s="41" t="n"/>
      <c r="AF360" s="43" t="n"/>
      <c r="AG360" s="43" t="n"/>
      <c r="AH360" s="6">
        <f>TABL12345[[#This Row],[ (RESV. STORGE) BER]]/10</f>
        <v/>
      </c>
      <c r="AI360" s="41" t="n"/>
      <c r="AJ360" s="43">
        <f>TABL12345[[#This Row],[(A/B) AJD]]-TABL12345[[#This Row],[BER_IN]]</f>
        <v/>
      </c>
      <c r="AK360" s="43" t="n"/>
      <c r="AL360" s="43" t="n"/>
      <c r="AM360" s="32" t="n"/>
      <c r="AN360" s="32">
        <f>TABL12345[[#This Row],[ (RESV. STORGE) SER]]/10</f>
        <v/>
      </c>
      <c r="AO360" s="68" t="n"/>
      <c r="AP360" s="68">
        <f>TABL12345[[#This Row],[(A/S) AJD]]-TABL12345[[#This Row],[SER_IN]]</f>
        <v/>
      </c>
    </row>
    <row r="361" ht="18.75" customHeight="1">
      <c r="A361" s="2" t="n">
        <v>47112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TABL12345[[#This Row],[ (T/B) SAR]]+TABL12345[[#This Row],[ (S/S) SAR]]</f>
        <v/>
      </c>
      <c r="L361" s="45" t="n"/>
      <c r="M361" s="46" t="n"/>
      <c r="N361" s="46" t="n"/>
      <c r="O361" s="40" t="n"/>
      <c r="P361" s="9">
        <f>TABL12345[[#This Row],[ (S/S) SAR]]-TABL12345[[#This Row],[(S/S) AJD]]</f>
        <v/>
      </c>
      <c r="Q361" s="40" t="n"/>
      <c r="R361" s="9">
        <f>TABL12345[[#This Row],[ (T/B) SAR]]-TABL12345[[#This Row],[(T/B) AJD]]</f>
        <v/>
      </c>
      <c r="S361" s="9">
        <f>TABL12345[[#This Row],[S/S_CON.]]+TABL12345[[#This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TABL12345[[#This Row],[(RESV. STORGE) AJD]]/10</f>
        <v/>
      </c>
      <c r="AB361" s="3">
        <f>IF(TRIM(Z361)="",,(Z361-Z360)/1000)</f>
        <v/>
      </c>
      <c r="AC361" s="5" t="n"/>
      <c r="AD361" s="40">
        <f>(TABL12345[[#This Row],[( S/S+T/B) AJD]]*1000)-((TABL12345[[#This Row],[(STORGE DIFF.) AJD]]*1000)+TABL12345[[#This Row],[AJD_Evaporation]]+(TABL12345[[#This Row],[(A/B + A/S) AJD]]*1000))</f>
        <v/>
      </c>
      <c r="AE361" s="44" t="n"/>
      <c r="AF361" s="45" t="n"/>
      <c r="AG361" s="45" t="n"/>
      <c r="AH361" s="6">
        <f>TABL12345[[#This Row],[ (RESV. STORGE) BER]]/10</f>
        <v/>
      </c>
      <c r="AI361" s="44" t="n"/>
      <c r="AJ361" s="45">
        <f>TABL12345[[#This Row],[(A/B) AJD]]-TABL12345[[#This Row],[BER_IN]]</f>
        <v/>
      </c>
      <c r="AK361" s="45" t="n"/>
      <c r="AL361" s="45" t="n"/>
      <c r="AM361" s="32" t="n"/>
      <c r="AN361" s="32">
        <f>TABL12345[[#This Row],[ (RESV. STORGE) SER]]/10</f>
        <v/>
      </c>
      <c r="AO361" s="68" t="n"/>
      <c r="AP361" s="68">
        <f>TABL12345[[#This Row],[(A/S) AJD]]-TABL12345[[#This Row],[SER_IN]]</f>
        <v/>
      </c>
    </row>
    <row r="362" ht="18.75" customHeight="1">
      <c r="A362" s="2" t="n">
        <v>47113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TABL12345[[#This Row],[ (T/B) SAR]]+TABL12345[[#This Row],[ (S/S) SAR]]</f>
        <v/>
      </c>
      <c r="L362" s="41" t="n"/>
      <c r="M362" s="42" t="n"/>
      <c r="N362" s="42" t="n"/>
      <c r="O362" s="39" t="n"/>
      <c r="P362" s="9">
        <f>TABL12345[[#This Row],[ (S/S) SAR]]-TABL12345[[#This Row],[(S/S) AJD]]</f>
        <v/>
      </c>
      <c r="Q362" s="39" t="n"/>
      <c r="R362" s="9">
        <f>TABL12345[[#This Row],[ (T/B) SAR]]-TABL12345[[#This Row],[(T/B) AJD]]</f>
        <v/>
      </c>
      <c r="S362" s="9">
        <f>TABL12345[[#This Row],[S/S_CON.]]+TABL12345[[#This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TABL12345[[#This Row],[(RESV. STORGE) AJD]]/10</f>
        <v/>
      </c>
      <c r="AB362" s="3">
        <f>IF(TRIM(Z362)="",,(Z362-Z361)/1000)</f>
        <v/>
      </c>
      <c r="AC362" s="5" t="n"/>
      <c r="AD362" s="39">
        <f>(TABL12345[[#This Row],[( S/S+T/B) AJD]]*1000)-((TABL12345[[#This Row],[(STORGE DIFF.) AJD]]*1000)+TABL12345[[#This Row],[AJD_Evaporation]]+(TABL12345[[#This Row],[(A/B + A/S) AJD]]*1000))</f>
        <v/>
      </c>
      <c r="AE362" s="41" t="n"/>
      <c r="AF362" s="43" t="n"/>
      <c r="AG362" s="43" t="n"/>
      <c r="AH362" s="6">
        <f>TABL12345[[#This Row],[ (RESV. STORGE) BER]]/10</f>
        <v/>
      </c>
      <c r="AI362" s="41" t="n"/>
      <c r="AJ362" s="43">
        <f>TABL12345[[#This Row],[(A/B) AJD]]-TABL12345[[#This Row],[BER_IN]]</f>
        <v/>
      </c>
      <c r="AK362" s="43" t="n"/>
      <c r="AL362" s="43" t="n"/>
      <c r="AM362" s="32" t="n"/>
      <c r="AN362" s="32">
        <f>TABL12345[[#This Row],[ (RESV. STORGE) SER]]/10</f>
        <v/>
      </c>
      <c r="AO362" s="68" t="n"/>
      <c r="AP362" s="68">
        <f>TABL12345[[#This Row],[(A/S) AJD]]-TABL12345[[#This Row],[SER_IN]]</f>
        <v/>
      </c>
    </row>
    <row r="363" ht="18.75" customHeight="1">
      <c r="A363" s="2" t="n">
        <v>47114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TABL12345[[#This Row],[ (T/B) SAR]]+TABL12345[[#This Row],[ (S/S) SAR]]</f>
        <v/>
      </c>
      <c r="L363" s="45" t="n"/>
      <c r="M363" s="46" t="n"/>
      <c r="N363" s="46" t="n"/>
      <c r="O363" s="40" t="n"/>
      <c r="P363" s="9">
        <f>TABL12345[[#This Row],[ (S/S) SAR]]-TABL12345[[#This Row],[(S/S) AJD]]</f>
        <v/>
      </c>
      <c r="Q363" s="40" t="n"/>
      <c r="R363" s="9">
        <f>TABL12345[[#This Row],[ (T/B) SAR]]-TABL12345[[#This Row],[(T/B) AJD]]</f>
        <v/>
      </c>
      <c r="S363" s="9">
        <f>TABL12345[[#This Row],[S/S_CON.]]+TABL12345[[#This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TABL12345[[#This Row],[(RESV. STORGE) AJD]]/10</f>
        <v/>
      </c>
      <c r="AB363" s="3">
        <f>IF(TRIM(Z363)="",,(Z363-Z362)/1000)</f>
        <v/>
      </c>
      <c r="AC363" s="5" t="n"/>
      <c r="AD363" s="40">
        <f>(TABL12345[[#This Row],[( S/S+T/B) AJD]]*1000)-((TABL12345[[#This Row],[(STORGE DIFF.) AJD]]*1000)+TABL12345[[#This Row],[AJD_Evaporation]]+(TABL12345[[#This Row],[(A/B + A/S) AJD]]*1000))</f>
        <v/>
      </c>
      <c r="AE363" s="44" t="n"/>
      <c r="AF363" s="45" t="n"/>
      <c r="AG363" s="45" t="n"/>
      <c r="AH363" s="6">
        <f>TABL12345[[#This Row],[ (RESV. STORGE) BER]]/10</f>
        <v/>
      </c>
      <c r="AI363" s="44" t="n"/>
      <c r="AJ363" s="45">
        <f>TABL12345[[#This Row],[(A/B) AJD]]-TABL12345[[#This Row],[BER_IN]]</f>
        <v/>
      </c>
      <c r="AK363" s="45" t="n"/>
      <c r="AL363" s="45" t="n"/>
      <c r="AM363" s="32" t="n"/>
      <c r="AN363" s="32">
        <f>TABL12345[[#This Row],[ (RESV. STORGE) SER]]/10</f>
        <v/>
      </c>
      <c r="AO363" s="68" t="n"/>
      <c r="AP363" s="68">
        <f>TABL12345[[#This Row],[(A/S) AJD]]-TABL12345[[#This Row],[SER_IN]]</f>
        <v/>
      </c>
    </row>
    <row r="364" ht="18.75" customHeight="1">
      <c r="A364" s="2" t="n">
        <v>47115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TABL12345[[#This Row],[ (T/B) SAR]]+TABL12345[[#This Row],[ (S/S) SAR]]</f>
        <v/>
      </c>
      <c r="L364" s="41" t="n"/>
      <c r="M364" s="42" t="n"/>
      <c r="N364" s="42" t="n"/>
      <c r="O364" s="39" t="n"/>
      <c r="P364" s="9">
        <f>TABL12345[[#This Row],[ (S/S) SAR]]-TABL12345[[#This Row],[(S/S) AJD]]</f>
        <v/>
      </c>
      <c r="Q364" s="39" t="n"/>
      <c r="R364" s="9">
        <f>TABL12345[[#This Row],[ (T/B) SAR]]-TABL12345[[#This Row],[(T/B) AJD]]</f>
        <v/>
      </c>
      <c r="S364" s="9">
        <f>TABL12345[[#This Row],[S/S_CON.]]+TABL12345[[#This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TABL12345[[#This Row],[(RESV. STORGE) AJD]]/10</f>
        <v/>
      </c>
      <c r="AB364" s="3">
        <f>IF(TRIM(Z364)="",,(Z364-Z363)/1000)</f>
        <v/>
      </c>
      <c r="AC364" s="5" t="n"/>
      <c r="AD364" s="39">
        <f>(TABL12345[[#This Row],[( S/S+T/B) AJD]]*1000)-((TABL12345[[#This Row],[(STORGE DIFF.) AJD]]*1000)+TABL12345[[#This Row],[AJD_Evaporation]]+(TABL12345[[#This Row],[(A/B + A/S) AJD]]*1000))</f>
        <v/>
      </c>
      <c r="AE364" s="41" t="n"/>
      <c r="AF364" s="43" t="n"/>
      <c r="AG364" s="43" t="n"/>
      <c r="AH364" s="6">
        <f>TABL12345[[#This Row],[ (RESV. STORGE) BER]]/10</f>
        <v/>
      </c>
      <c r="AI364" s="41" t="n"/>
      <c r="AJ364" s="43">
        <f>TABL12345[[#This Row],[(A/B) AJD]]-TABL12345[[#This Row],[BER_IN]]</f>
        <v/>
      </c>
      <c r="AK364" s="43" t="n"/>
      <c r="AL364" s="43" t="n"/>
      <c r="AM364" s="32" t="n"/>
      <c r="AN364" s="32">
        <f>TABL12345[[#This Row],[ (RESV. STORGE) SER]]/10</f>
        <v/>
      </c>
      <c r="AO364" s="68" t="n"/>
      <c r="AP364" s="68">
        <f>TABL12345[[#This Row],[(A/S) AJD]]-TABL12345[[#This Row],[SER_IN]]</f>
        <v/>
      </c>
    </row>
    <row r="365" ht="18.75" customHeight="1">
      <c r="A365" s="2" t="n">
        <v>47116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TABL12345[[#This Row],[ (T/B) SAR]]+TABL12345[[#This Row],[ (S/S) SAR]]</f>
        <v/>
      </c>
      <c r="L365" s="45" t="n"/>
      <c r="M365" s="46" t="n"/>
      <c r="N365" s="46" t="n"/>
      <c r="O365" s="40" t="n"/>
      <c r="P365" s="9">
        <f>TABL12345[[#This Row],[ (S/S) SAR]]-TABL12345[[#This Row],[(S/S) AJD]]</f>
        <v/>
      </c>
      <c r="Q365" s="40" t="n"/>
      <c r="R365" s="9">
        <f>TABL12345[[#This Row],[ (T/B) SAR]]-TABL12345[[#This Row],[(T/B) AJD]]</f>
        <v/>
      </c>
      <c r="S365" s="9">
        <f>TABL12345[[#This Row],[S/S_CON.]]+TABL12345[[#This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TABL12345[[#This Row],[(RESV. STORGE) AJD]]/10</f>
        <v/>
      </c>
      <c r="AB365" s="3">
        <f>IF(TRIM(Z365)="",,(Z365-Z364)/1000)</f>
        <v/>
      </c>
      <c r="AC365" s="5" t="n"/>
      <c r="AD365" s="50">
        <f>(TABL12345[[#This Row],[( S/S+T/B) AJD]]*1000)-((TABL12345[[#This Row],[(STORGE DIFF.) AJD]]*1000)+TABL12345[[#This Row],[AJD_Evaporation]]+(TABL12345[[#This Row],[(A/B + A/S) AJD]]*1000))</f>
        <v/>
      </c>
      <c r="AE365" s="44" t="n"/>
      <c r="AF365" s="45" t="n"/>
      <c r="AG365" s="45" t="n"/>
      <c r="AH365" s="6">
        <f>TABL12345[[#This Row],[ (RESV. STORGE) BER]]/10</f>
        <v/>
      </c>
      <c r="AI365" s="44" t="n"/>
      <c r="AJ365" s="91">
        <f>TABL12345[[#This Row],[(A/B) AJD]]-TABL12345[[#This Row],[BER_IN]]</f>
        <v/>
      </c>
      <c r="AK365" s="45" t="n"/>
      <c r="AL365" s="45" t="n"/>
      <c r="AM365" s="32" t="n"/>
      <c r="AN365" s="32">
        <f>TABL12345[[#This Row],[ (RESV. STORGE) SER]]/10</f>
        <v/>
      </c>
      <c r="AO365" s="68" t="n"/>
      <c r="AP365" s="68">
        <f>TABL12345[[#This Row],[(A/S) AJD]]-TABL12345[[#This Row],[SER_IN]]</f>
        <v/>
      </c>
    </row>
    <row r="366" ht="18.75" customHeight="1">
      <c r="A366" s="2" t="n">
        <v>47117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TABL12345[[#This Row],[ (T/B) SAR]]+TABL12345[[#This Row],[ (S/S) SAR]]</f>
        <v/>
      </c>
      <c r="L366" s="41" t="n"/>
      <c r="M366" s="42" t="n"/>
      <c r="N366" s="42" t="n"/>
      <c r="O366" s="39" t="n"/>
      <c r="P366" s="19">
        <f>TABL12345[[#This Row],[ (S/S) SAR]]-TABL12345[[#This Row],[(S/S) AJD]]</f>
        <v/>
      </c>
      <c r="Q366" s="39" t="n"/>
      <c r="R366" s="19">
        <f>TABL12345[[#This Row],[ (T/B) SAR]]-TABL12345[[#This Row],[(T/B) AJD]]</f>
        <v/>
      </c>
      <c r="S366" s="19">
        <f>TABL12345[[#This Row],[S/S_CON.]]+TABL12345[[#This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TABL12345[[#This Row],[(RESV. STORGE) AJD]]/10</f>
        <v/>
      </c>
      <c r="AB366" s="3">
        <f>IF(TRIM(Z366)="",,(Z366-Z365)/1000)</f>
        <v/>
      </c>
      <c r="AC366" s="5" t="n"/>
      <c r="AD366" s="50">
        <f>(TABL12345[[#This Row],[( S/S+T/B) AJD]]*1000)-((TABL12345[[#This Row],[(STORGE DIFF.) AJD]]*1000)+TABL12345[[#This Row],[AJD_Evaporation]]+(TABL12345[[#This Row],[(A/B + A/S) AJD]]*1000))</f>
        <v/>
      </c>
      <c r="AE366" s="41" t="n"/>
      <c r="AF366" s="43" t="n"/>
      <c r="AG366" s="43" t="n"/>
      <c r="AH366" s="21">
        <f>TABL12345[[#This Row],[ (RESV. STORGE) BER]]/10</f>
        <v/>
      </c>
      <c r="AI366" s="41" t="n"/>
      <c r="AJ366" s="43">
        <f>TABL12345[[#This Row],[(A/B) AJD]]-TABL12345[[#This Row],[BER_IN]]</f>
        <v/>
      </c>
      <c r="AK366" s="43" t="n"/>
      <c r="AL366" s="43" t="n"/>
      <c r="AM366" s="32" t="n"/>
      <c r="AN366" s="32">
        <f>TABL12345[[#This Row],[ (RESV. STORGE) SER]]/10</f>
        <v/>
      </c>
      <c r="AO366" s="82" t="n"/>
      <c r="AP366" s="82">
        <f>TABL12345[[#This Row],[(A/S) AJD]]-TABL12345[[#This Row],[SER_IN]]</f>
        <v/>
      </c>
    </row>
    <row r="367" ht="18.75" customHeight="1">
      <c r="A367" s="2" t="n">
        <v>47118</v>
      </c>
      <c r="B367" s="93" t="n"/>
      <c r="C367" s="93" t="n"/>
      <c r="D367" s="93" t="n"/>
      <c r="E367" s="93" t="n"/>
      <c r="F367" s="93" t="n"/>
      <c r="G367" s="93" t="n"/>
      <c r="H367" s="93" t="n"/>
      <c r="I367" s="93" t="n"/>
      <c r="J367" s="93" t="n"/>
      <c r="K367" s="28">
        <f>TABL12345[[#This Row],[ (T/B) SAR]]+TABL12345[[#This Row],[ (S/S) SAR]]</f>
        <v/>
      </c>
      <c r="L367" s="93" t="n"/>
      <c r="M367" s="94" t="n"/>
      <c r="N367" s="94" t="n"/>
      <c r="O367" s="71" t="n"/>
      <c r="P367" s="9">
        <f>TABL12345[[#This Row],[ (S/S) SAR]]-TABL12345[[#This Row],[(S/S) AJD]]</f>
        <v/>
      </c>
      <c r="Q367" s="71" t="n"/>
      <c r="R367" s="9">
        <f>TABL12345[[#This Row],[ (T/B) SAR]]-TABL12345[[#This Row],[(T/B) AJD]]</f>
        <v/>
      </c>
      <c r="S367" s="9">
        <f>TABL12345[[#This Row],[S/S_CON.]]+TABL12345[[#This Row],[T/B-CON.]]</f>
        <v/>
      </c>
      <c r="T367" s="9">
        <f>O367+Q367</f>
        <v/>
      </c>
      <c r="U367" s="68" t="n"/>
      <c r="V367" s="68" t="n"/>
      <c r="W367" s="9">
        <f>U367+V367</f>
        <v/>
      </c>
      <c r="X367" s="9">
        <f>T367-W367</f>
        <v/>
      </c>
      <c r="Y367" s="95" t="n"/>
      <c r="Z367" s="68" t="n"/>
      <c r="AA367" s="3">
        <f>TABL12345[[#This Row],[(RESV. STORGE) AJD]]/10</f>
        <v/>
      </c>
      <c r="AB367" s="68" t="n"/>
      <c r="AC367" s="96" t="n"/>
      <c r="AD367" s="6">
        <f>(TABL12345[[#This Row],[( S/S+T/B) AJD]]*1000)-((TABL12345[[#This Row],[(STORGE DIFF.) AJD]]*1000)+TABL12345[[#This Row],[AJD_Evaporation]]+(TABL12345[[#This Row],[(A/B + A/S) AJD]]*1000))</f>
        <v/>
      </c>
      <c r="AE367" s="68" t="n"/>
      <c r="AF367" s="68" t="n"/>
      <c r="AG367" s="68" t="n"/>
      <c r="AH367" s="6">
        <f>TABL12345[[#This Row],[ (RESV. STORGE) BER]]/10</f>
        <v/>
      </c>
      <c r="AI367" s="68" t="n"/>
      <c r="AJ367" s="68">
        <f>TABL12345[[#This Row],[(A/B) AJD]]-TABL12345[[#This Row],[BER_IN]]</f>
        <v/>
      </c>
      <c r="AK367" s="68" t="n"/>
      <c r="AL367" s="68" t="n"/>
      <c r="AM367" s="32" t="n"/>
      <c r="AN367" s="97">
        <f>TABL12345[[#This Row],[ (RESV. STORGE) SER]]/10</f>
        <v/>
      </c>
      <c r="AO367" s="68" t="n"/>
      <c r="AP367" s="68">
        <f>TABL12345[[#This Row],[(A/S) AJD]]-TABL12345[[#This Row],[SER_IN]]</f>
        <v/>
      </c>
    </row>
    <row r="368">
      <c r="A368" s="72" t="n"/>
      <c r="B368" s="73" t="n"/>
      <c r="C368" s="61" t="n"/>
      <c r="D368" s="61" t="n"/>
      <c r="E368" s="61" t="n"/>
      <c r="F368" s="61" t="n"/>
      <c r="G368" s="61" t="n"/>
      <c r="H368" s="61" t="n"/>
      <c r="I368" s="62" t="n"/>
      <c r="J368" s="61" t="n"/>
      <c r="K368" s="62" t="n"/>
      <c r="L368" s="61" t="n"/>
      <c r="M368" s="63" t="n"/>
      <c r="N368" s="74" t="n"/>
      <c r="O368" s="52" t="n"/>
      <c r="P368" s="19" t="n"/>
      <c r="Q368" s="52" t="n"/>
      <c r="R368" s="19" t="n"/>
      <c r="S368" s="19" t="n"/>
      <c r="T368" s="19" t="n"/>
      <c r="U368" s="52" t="n"/>
      <c r="V368" s="52" t="n"/>
      <c r="W368" s="19" t="n"/>
      <c r="X368" s="19" t="n"/>
      <c r="Y368" s="53" t="n"/>
      <c r="Z368" s="52" t="n"/>
      <c r="AA368" s="19" t="n"/>
      <c r="AB368" s="19" t="n"/>
      <c r="AC368" s="65" t="n"/>
      <c r="AD368" s="21" t="n"/>
      <c r="AE368" s="52" t="n"/>
      <c r="AF368" s="20" t="n"/>
      <c r="AG368" s="19" t="n"/>
      <c r="AH368" s="19" t="n"/>
      <c r="AI368" s="19" t="n"/>
      <c r="AJ368" s="54" t="n"/>
      <c r="AK368" s="75" t="n"/>
      <c r="AL368" s="19" t="n"/>
      <c r="AM368" s="21" t="n"/>
      <c r="AN368" s="7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AI1" workbookViewId="0">
      <selection activeCell="AN5" sqref="AN5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47119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Table5[[#This Row],[ (T/B) SAR]]+Table5[[#This Row],[ (S/S) SAR]]</f>
        <v/>
      </c>
      <c r="L2" s="41" t="n"/>
      <c r="M2" s="42" t="n"/>
      <c r="N2" s="42" t="n"/>
      <c r="O2" s="39" t="n"/>
      <c r="P2" s="3">
        <f>Table5[[#This Row],[ (S/S) SAR]]-Table5[[#This Row],[(S/S) AJD]]</f>
        <v/>
      </c>
      <c r="Q2" s="39" t="n"/>
      <c r="R2" s="3">
        <f>Table5[[#This Row],[ (T/B) SAR]]-Table5[[#This Row],[(T/B) AJD]]</f>
        <v/>
      </c>
      <c r="S2" s="3">
        <f>Table5[[#This Row],[S/S_CON.]]+Table5[[#This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Table5[[#This Row],[(RESV. STORGE) AJD]]/10</f>
        <v/>
      </c>
      <c r="AB2" s="92">
        <f>(Z2-'my_job - 2028'!Z367)/1000</f>
        <v/>
      </c>
      <c r="AC2" s="5" t="n"/>
      <c r="AD2" s="39">
        <f>(Table5[[#This Row],[( S/S+T/B) AJD]]*1000)-((Table5[[#This Row],[(STORGE DIFF.) AJD]]*1000)+Table5[[#This Row],[AJD_Evaporation]]+(Table5[[#This Row],[(A/B + A/S) AJD]]*1000))</f>
        <v/>
      </c>
      <c r="AE2" s="41" t="n"/>
      <c r="AF2" s="43" t="n"/>
      <c r="AG2" s="43" t="n"/>
      <c r="AH2" s="5">
        <f>Table5[[#This Row],[ (RESV. STORGE) BER]]/10</f>
        <v/>
      </c>
      <c r="AI2" s="41" t="n"/>
      <c r="AJ2" s="41">
        <f>Table5[[#This Row],[(A/B) AJD]]-Table5[[#This Row],[BER_IN]]</f>
        <v/>
      </c>
      <c r="AK2" s="43" t="n"/>
      <c r="AL2" s="43" t="n"/>
      <c r="AM2" s="32" t="n"/>
      <c r="AN2" s="32">
        <f>Table5[[#This Row],[ (RESV. STORGE) SER]]/10</f>
        <v/>
      </c>
      <c r="AO2" s="81" t="n"/>
      <c r="AP2" s="99">
        <f>Table5[[#This Row],[(A/S) AJD]]-Table5[[#This Row],[SER_IN]]</f>
        <v/>
      </c>
    </row>
    <row r="3" ht="18.75" customHeight="1">
      <c r="A3" s="98" t="n">
        <v>47120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Table5[[#This Row],[ (T/B) SAR]]+Table5[[#This Row],[ (S/S) SAR]]</f>
        <v/>
      </c>
      <c r="L3" s="45" t="n"/>
      <c r="M3" s="46" t="n"/>
      <c r="N3" s="46" t="n"/>
      <c r="O3" s="40" t="n"/>
      <c r="P3" s="3">
        <f>Table5[[#This Row],[ (S/S) SAR]]-Table5[[#This Row],[(S/S) AJD]]</f>
        <v/>
      </c>
      <c r="Q3" s="40" t="n"/>
      <c r="R3" s="3">
        <f>Table5[[#This Row],[ (T/B) SAR]]-Table5[[#This Row],[(T/B) AJD]]</f>
        <v/>
      </c>
      <c r="S3" s="3">
        <f>Table5[[#This Row],[S/S_CON.]]+Table5[[#This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Table5[[#This Row],[(RESV. STORGE) AJD]]/10</f>
        <v/>
      </c>
      <c r="AB3" s="3">
        <f>IF(TRIM(Z3)="",,(Z3-Z2)/1000)</f>
        <v/>
      </c>
      <c r="AC3" s="5" t="n"/>
      <c r="AD3" s="40">
        <f>(Table5[[#This Row],[( S/S+T/B) AJD]]*1000)-((Table5[[#This Row],[(STORGE DIFF.) AJD]]*1000)+Table5[[#This Row],[AJD_Evaporation]]+(Table5[[#This Row],[(A/B + A/S) AJD]]*1000))</f>
        <v/>
      </c>
      <c r="AE3" s="44" t="n"/>
      <c r="AF3" s="45" t="n"/>
      <c r="AG3" s="45" t="n"/>
      <c r="AH3" s="6">
        <f>Table5[[#This Row],[ (RESV. STORGE) BER]]/10</f>
        <v/>
      </c>
      <c r="AI3" s="44" t="n"/>
      <c r="AJ3" s="44">
        <f>Table5[[#This Row],[(A/B) AJD]]-Table5[[#This Row],[BER_IN]]</f>
        <v/>
      </c>
      <c r="AK3" s="45" t="n"/>
      <c r="AL3" s="45" t="n"/>
      <c r="AM3" s="32" t="n"/>
      <c r="AN3" s="32">
        <f>Table5[[#This Row],[ (RESV. STORGE) SER]]/10</f>
        <v/>
      </c>
      <c r="AO3" s="68" t="n"/>
      <c r="AP3" s="100">
        <f>Table5[[#This Row],[(A/S) AJD]]-Table5[[#This Row],[SER_IN]]</f>
        <v/>
      </c>
    </row>
    <row r="4" ht="18.75" customHeight="1">
      <c r="A4" s="98" t="n">
        <v>47121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Table5[[#This Row],[ (T/B) SAR]]+Table5[[#This Row],[ (S/S) SAR]]</f>
        <v/>
      </c>
      <c r="L4" s="41" t="n"/>
      <c r="M4" s="42" t="n"/>
      <c r="N4" s="42" t="n"/>
      <c r="O4" s="39" t="n"/>
      <c r="P4" s="3">
        <f>Table5[[#This Row],[ (S/S) SAR]]-Table5[[#This Row],[(S/S) AJD]]</f>
        <v/>
      </c>
      <c r="Q4" s="39" t="n"/>
      <c r="R4" s="3">
        <f>Table5[[#This Row],[ (T/B) SAR]]-Table5[[#This Row],[(T/B) AJD]]</f>
        <v/>
      </c>
      <c r="S4" s="3">
        <f>Table5[[#This Row],[S/S_CON.]]+Table5[[#This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Table5[[#This Row],[(RESV. STORGE) AJD]]/10</f>
        <v/>
      </c>
      <c r="AB4" s="3">
        <f>IF(TRIM(Z4)="",,(Z4-Z3)/1000)</f>
        <v/>
      </c>
      <c r="AC4" s="5" t="n"/>
      <c r="AD4" s="39">
        <f>(Table5[[#This Row],[( S/S+T/B) AJD]]*1000)-((Table5[[#This Row],[(STORGE DIFF.) AJD]]*1000)+Table5[[#This Row],[AJD_Evaporation]]+(Table5[[#This Row],[(A/B + A/S) AJD]]*1000))</f>
        <v/>
      </c>
      <c r="AE4" s="41" t="n"/>
      <c r="AF4" s="43" t="n"/>
      <c r="AG4" s="43" t="n"/>
      <c r="AH4" s="6">
        <f>Table5[[#This Row],[ (RESV. STORGE) BER]]/10</f>
        <v/>
      </c>
      <c r="AI4" s="41" t="n"/>
      <c r="AJ4" s="41">
        <f>Table5[[#This Row],[(A/B) AJD]]-Table5[[#This Row],[BER_IN]]</f>
        <v/>
      </c>
      <c r="AK4" s="43" t="n"/>
      <c r="AL4" s="43" t="n"/>
      <c r="AM4" s="32" t="n"/>
      <c r="AN4" s="32">
        <f>Table5[[#This Row],[ (RESV. STORGE) SER]]/10</f>
        <v/>
      </c>
      <c r="AO4" s="68" t="n"/>
      <c r="AP4" s="100">
        <f>Table5[[#This Row],[(A/S) AJD]]-Table5[[#This Row],[SER_IN]]</f>
        <v/>
      </c>
    </row>
    <row r="5" ht="18.75" customHeight="1">
      <c r="A5" s="98" t="n">
        <v>47122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Table5[[#This Row],[ (T/B) SAR]]+Table5[[#This Row],[ (S/S) SAR]]</f>
        <v/>
      </c>
      <c r="L5" s="45" t="n"/>
      <c r="M5" s="46" t="n"/>
      <c r="N5" s="46" t="n"/>
      <c r="O5" s="40" t="n"/>
      <c r="P5" s="3">
        <f>Table5[[#This Row],[ (S/S) SAR]]-Table5[[#This Row],[(S/S) AJD]]</f>
        <v/>
      </c>
      <c r="Q5" s="40" t="n"/>
      <c r="R5" s="3">
        <f>Table5[[#This Row],[ (T/B) SAR]]-Table5[[#This Row],[(T/B) AJD]]</f>
        <v/>
      </c>
      <c r="S5" s="3">
        <f>Table5[[#This Row],[S/S_CON.]]+Table5[[#This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Table5[[#This Row],[(RESV. STORGE) AJD]]/10</f>
        <v/>
      </c>
      <c r="AB5" s="3">
        <f>IF(TRIM(Z5)="",,(Z5-Z4)/1000)</f>
        <v/>
      </c>
      <c r="AC5" s="5" t="n"/>
      <c r="AD5" s="40">
        <f>(Table5[[#This Row],[( S/S+T/B) AJD]]*1000)-((Table5[[#This Row],[(STORGE DIFF.) AJD]]*1000)+Table5[[#This Row],[AJD_Evaporation]]+(Table5[[#This Row],[(A/B + A/S) AJD]]*1000))</f>
        <v/>
      </c>
      <c r="AE5" s="44" t="n"/>
      <c r="AF5" s="45" t="n"/>
      <c r="AG5" s="45" t="n"/>
      <c r="AH5" s="6">
        <f>Table5[[#This Row],[ (RESV. STORGE) BER]]/10</f>
        <v/>
      </c>
      <c r="AI5" s="44" t="n"/>
      <c r="AJ5" s="44">
        <f>Table5[[#This Row],[(A/B) AJD]]-Table5[[#This Row],[BER_IN]]</f>
        <v/>
      </c>
      <c r="AK5" s="45" t="n"/>
      <c r="AL5" s="45" t="n"/>
      <c r="AM5" s="32" t="n"/>
      <c r="AN5" s="32">
        <f>Table5[[#This Row],[ (RESV. STORGE) SER]]/10</f>
        <v/>
      </c>
      <c r="AO5" s="68" t="n"/>
      <c r="AP5" s="100">
        <f>Table5[[#This Row],[(A/S) AJD]]-Table5[[#This Row],[SER_IN]]</f>
        <v/>
      </c>
    </row>
    <row r="6" ht="18.75" customHeight="1">
      <c r="A6" s="98" t="n">
        <v>47123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Table5[[#This Row],[ (T/B) SAR]]+Table5[[#This Row],[ (S/S) SAR]]</f>
        <v/>
      </c>
      <c r="L6" s="41" t="n"/>
      <c r="M6" s="42" t="n"/>
      <c r="N6" s="42" t="n"/>
      <c r="O6" s="39" t="n"/>
      <c r="P6" s="3">
        <f>Table5[[#This Row],[ (S/S) SAR]]-Table5[[#This Row],[(S/S) AJD]]</f>
        <v/>
      </c>
      <c r="Q6" s="39" t="n"/>
      <c r="R6" s="3">
        <f>Table5[[#This Row],[ (T/B) SAR]]-Table5[[#This Row],[(T/B) AJD]]</f>
        <v/>
      </c>
      <c r="S6" s="3">
        <f>Table5[[#This Row],[S/S_CON.]]+Table5[[#This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Table5[[#This Row],[(RESV. STORGE) AJD]]/10</f>
        <v/>
      </c>
      <c r="AB6" s="3">
        <f>IF(TRIM(Z6)="",,(Z6-Z5)/1000)</f>
        <v/>
      </c>
      <c r="AC6" s="5" t="n"/>
      <c r="AD6" s="39">
        <f>(Table5[[#This Row],[( S/S+T/B) AJD]]*1000)-((Table5[[#This Row],[(STORGE DIFF.) AJD]]*1000)+Table5[[#This Row],[AJD_Evaporation]]+(Table5[[#This Row],[(A/B + A/S) AJD]]*1000))</f>
        <v/>
      </c>
      <c r="AE6" s="41" t="n"/>
      <c r="AF6" s="43" t="n"/>
      <c r="AG6" s="43" t="n"/>
      <c r="AH6" s="6">
        <f>Table5[[#This Row],[ (RESV. STORGE) BER]]/10</f>
        <v/>
      </c>
      <c r="AI6" s="41" t="n"/>
      <c r="AJ6" s="41">
        <f>Table5[[#This Row],[(A/B) AJD]]-Table5[[#This Row],[BER_IN]]</f>
        <v/>
      </c>
      <c r="AK6" s="43" t="n"/>
      <c r="AL6" s="43" t="n"/>
      <c r="AM6" s="32" t="n"/>
      <c r="AN6" s="32">
        <f>Table5[[#This Row],[ (RESV. STORGE) SER]]/10</f>
        <v/>
      </c>
      <c r="AO6" s="68" t="n"/>
      <c r="AP6" s="100">
        <f>Table5[[#This Row],[(A/S) AJD]]-Table5[[#This Row],[SER_IN]]</f>
        <v/>
      </c>
    </row>
    <row r="7" ht="18.75" customHeight="1">
      <c r="A7" s="98" t="n">
        <v>47124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Table5[[#This Row],[ (T/B) SAR]]+Table5[[#This Row],[ (S/S) SAR]]</f>
        <v/>
      </c>
      <c r="L7" s="45" t="n"/>
      <c r="M7" s="46" t="n"/>
      <c r="N7" s="46" t="n"/>
      <c r="O7" s="40" t="n"/>
      <c r="P7" s="3">
        <f>Table5[[#This Row],[ (S/S) SAR]]-Table5[[#This Row],[(S/S) AJD]]</f>
        <v/>
      </c>
      <c r="Q7" s="40" t="n"/>
      <c r="R7" s="3">
        <f>Table5[[#This Row],[ (T/B) SAR]]-Table5[[#This Row],[(T/B) AJD]]</f>
        <v/>
      </c>
      <c r="S7" s="3">
        <f>Table5[[#This Row],[S/S_CON.]]+Table5[[#This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Table5[[#This Row],[(RESV. STORGE) AJD]]/10</f>
        <v/>
      </c>
      <c r="AB7" s="3">
        <f>IF(TRIM(Z7)="",,(Z7-Z6)/1000)</f>
        <v/>
      </c>
      <c r="AC7" s="5" t="n"/>
      <c r="AD7" s="40">
        <f>(Table5[[#This Row],[( S/S+T/B) AJD]]*1000)-((Table5[[#This Row],[(STORGE DIFF.) AJD]]*1000)+Table5[[#This Row],[AJD_Evaporation]]+(Table5[[#This Row],[(A/B + A/S) AJD]]*1000))</f>
        <v/>
      </c>
      <c r="AE7" s="44" t="n"/>
      <c r="AF7" s="45" t="n"/>
      <c r="AG7" s="45" t="n"/>
      <c r="AH7" s="6">
        <f>Table5[[#This Row],[ (RESV. STORGE) BER]]/10</f>
        <v/>
      </c>
      <c r="AI7" s="44" t="n"/>
      <c r="AJ7" s="44">
        <f>Table5[[#This Row],[(A/B) AJD]]-Table5[[#This Row],[BER_IN]]</f>
        <v/>
      </c>
      <c r="AK7" s="45" t="n"/>
      <c r="AL7" s="45" t="n"/>
      <c r="AM7" s="32" t="n"/>
      <c r="AN7" s="32">
        <f>Table5[[#This Row],[ (RESV. STORGE) SER]]/10</f>
        <v/>
      </c>
      <c r="AO7" s="68" t="n"/>
      <c r="AP7" s="100">
        <f>Table5[[#This Row],[(A/S) AJD]]-Table5[[#This Row],[SER_IN]]</f>
        <v/>
      </c>
    </row>
    <row r="8" ht="18.75" customHeight="1">
      <c r="A8" s="98" t="n">
        <v>47125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Table5[[#This Row],[ (T/B) SAR]]+Table5[[#This Row],[ (S/S) SAR]]</f>
        <v/>
      </c>
      <c r="L8" s="41" t="n"/>
      <c r="M8" s="42" t="n"/>
      <c r="N8" s="42" t="n"/>
      <c r="O8" s="39" t="n"/>
      <c r="P8" s="3">
        <f>Table5[[#This Row],[ (S/S) SAR]]-Table5[[#This Row],[(S/S) AJD]]</f>
        <v/>
      </c>
      <c r="Q8" s="39" t="n"/>
      <c r="R8" s="3">
        <f>Table5[[#This Row],[ (T/B) SAR]]-Table5[[#This Row],[(T/B) AJD]]</f>
        <v/>
      </c>
      <c r="S8" s="3">
        <f>Table5[[#This Row],[S/S_CON.]]+Table5[[#This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Table5[[#This Row],[(RESV. STORGE) AJD]]/10</f>
        <v/>
      </c>
      <c r="AB8" s="3">
        <f>IF(TRIM(Z8)="",,(Z8-Z7)/1000)</f>
        <v/>
      </c>
      <c r="AC8" s="5" t="n"/>
      <c r="AD8" s="39">
        <f>(Table5[[#This Row],[( S/S+T/B) AJD]]*1000)-((Table5[[#This Row],[(STORGE DIFF.) AJD]]*1000)+Table5[[#This Row],[AJD_Evaporation]]+(Table5[[#This Row],[(A/B + A/S) AJD]]*1000))</f>
        <v/>
      </c>
      <c r="AE8" s="41" t="n"/>
      <c r="AF8" s="43" t="n"/>
      <c r="AG8" s="43" t="n"/>
      <c r="AH8" s="6">
        <f>Table5[[#This Row],[ (RESV. STORGE) BER]]/10</f>
        <v/>
      </c>
      <c r="AI8" s="41" t="n"/>
      <c r="AJ8" s="41">
        <f>Table5[[#This Row],[(A/B) AJD]]-Table5[[#This Row],[BER_IN]]</f>
        <v/>
      </c>
      <c r="AK8" s="43" t="n"/>
      <c r="AL8" s="43" t="n"/>
      <c r="AM8" s="32" t="n"/>
      <c r="AN8" s="32">
        <f>Table5[[#This Row],[ (RESV. STORGE) SER]]/10</f>
        <v/>
      </c>
      <c r="AO8" s="68" t="n"/>
      <c r="AP8" s="100">
        <f>Table5[[#This Row],[(A/S) AJD]]-Table5[[#This Row],[SER_IN]]</f>
        <v/>
      </c>
    </row>
    <row r="9" ht="18.75" customHeight="1">
      <c r="A9" s="98" t="n">
        <v>47126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Table5[[#This Row],[ (T/B) SAR]]+Table5[[#This Row],[ (S/S) SAR]]</f>
        <v/>
      </c>
      <c r="L9" s="45" t="n"/>
      <c r="M9" s="46" t="n"/>
      <c r="N9" s="46" t="n"/>
      <c r="O9" s="40" t="n"/>
      <c r="P9" s="3">
        <f>Table5[[#This Row],[ (S/S) SAR]]-Table5[[#This Row],[(S/S) AJD]]</f>
        <v/>
      </c>
      <c r="Q9" s="40" t="n"/>
      <c r="R9" s="3">
        <f>Table5[[#This Row],[ (T/B) SAR]]-Table5[[#This Row],[(T/B) AJD]]</f>
        <v/>
      </c>
      <c r="S9" s="3">
        <f>Table5[[#This Row],[S/S_CON.]]+Table5[[#This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Table5[[#This Row],[(RESV. STORGE) AJD]]/10</f>
        <v/>
      </c>
      <c r="AB9" s="3">
        <f>IF(TRIM(Z9)="",,(Z9-Z8)/1000)</f>
        <v/>
      </c>
      <c r="AC9" s="5" t="n"/>
      <c r="AD9" s="40">
        <f>(Table5[[#This Row],[( S/S+T/B) AJD]]*1000)-((Table5[[#This Row],[(STORGE DIFF.) AJD]]*1000)+Table5[[#This Row],[AJD_Evaporation]]+(Table5[[#This Row],[(A/B + A/S) AJD]]*1000))</f>
        <v/>
      </c>
      <c r="AE9" s="44" t="n"/>
      <c r="AF9" s="45" t="n"/>
      <c r="AG9" s="45" t="n"/>
      <c r="AH9" s="6">
        <f>Table5[[#This Row],[ (RESV. STORGE) BER]]/10</f>
        <v/>
      </c>
      <c r="AI9" s="44" t="n"/>
      <c r="AJ9" s="44">
        <f>Table5[[#This Row],[(A/B) AJD]]-Table5[[#This Row],[BER_IN]]</f>
        <v/>
      </c>
      <c r="AK9" s="45" t="n"/>
      <c r="AL9" s="45" t="n"/>
      <c r="AM9" s="32" t="n"/>
      <c r="AN9" s="32">
        <f>Table5[[#This Row],[ (RESV. STORGE) SER]]/10</f>
        <v/>
      </c>
      <c r="AO9" s="68" t="n"/>
      <c r="AP9" s="100">
        <f>Table5[[#This Row],[(A/S) AJD]]-Table5[[#This Row],[SER_IN]]</f>
        <v/>
      </c>
    </row>
    <row r="10" ht="18.75" customHeight="1">
      <c r="A10" s="98" t="n">
        <v>47127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Table5[[#This Row],[ (T/B) SAR]]+Table5[[#This Row],[ (S/S) SAR]]</f>
        <v/>
      </c>
      <c r="L10" s="41" t="n"/>
      <c r="M10" s="42" t="n"/>
      <c r="N10" s="42" t="n"/>
      <c r="O10" s="39" t="n"/>
      <c r="P10" s="3">
        <f>Table5[[#This Row],[ (S/S) SAR]]-Table5[[#This Row],[(S/S) AJD]]</f>
        <v/>
      </c>
      <c r="Q10" s="39" t="n"/>
      <c r="R10" s="3">
        <f>Table5[[#This Row],[ (T/B) SAR]]-Table5[[#This Row],[(T/B) AJD]]</f>
        <v/>
      </c>
      <c r="S10" s="3">
        <f>Table5[[#This Row],[S/S_CON.]]+Table5[[#This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Table5[[#This Row],[(RESV. STORGE) AJD]]/10</f>
        <v/>
      </c>
      <c r="AB10" s="3">
        <f>IF(TRIM(Z10)="",,(Z10-Z9)/1000)</f>
        <v/>
      </c>
      <c r="AC10" s="5" t="n"/>
      <c r="AD10" s="39">
        <f>(Table5[[#This Row],[( S/S+T/B) AJD]]*1000)-((Table5[[#This Row],[(STORGE DIFF.) AJD]]*1000)+Table5[[#This Row],[AJD_Evaporation]]+(Table5[[#This Row],[(A/B + A/S) AJD]]*1000))</f>
        <v/>
      </c>
      <c r="AE10" s="41" t="n"/>
      <c r="AF10" s="43" t="n"/>
      <c r="AG10" s="43" t="n"/>
      <c r="AH10" s="6">
        <f>Table5[[#This Row],[ (RESV. STORGE) BER]]/10</f>
        <v/>
      </c>
      <c r="AI10" s="41" t="n"/>
      <c r="AJ10" s="41">
        <f>Table5[[#This Row],[(A/B) AJD]]-Table5[[#This Row],[BER_IN]]</f>
        <v/>
      </c>
      <c r="AK10" s="43" t="n"/>
      <c r="AL10" s="43" t="n"/>
      <c r="AM10" s="32" t="n"/>
      <c r="AN10" s="32">
        <f>Table5[[#This Row],[ (RESV. STORGE) SER]]/10</f>
        <v/>
      </c>
      <c r="AO10" s="68" t="n"/>
      <c r="AP10" s="100">
        <f>Table5[[#This Row],[(A/S) AJD]]-Table5[[#This Row],[SER_IN]]</f>
        <v/>
      </c>
    </row>
    <row r="11" ht="18.75" customHeight="1">
      <c r="A11" s="98" t="n">
        <v>47128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Table5[[#This Row],[ (T/B) SAR]]+Table5[[#This Row],[ (S/S) SAR]]</f>
        <v/>
      </c>
      <c r="L11" s="45" t="n"/>
      <c r="M11" s="46" t="n"/>
      <c r="N11" s="46" t="n"/>
      <c r="O11" s="40" t="n"/>
      <c r="P11" s="3">
        <f>Table5[[#This Row],[ (S/S) SAR]]-Table5[[#This Row],[(S/S) AJD]]</f>
        <v/>
      </c>
      <c r="Q11" s="40" t="n"/>
      <c r="R11" s="3">
        <f>Table5[[#This Row],[ (T/B) SAR]]-Table5[[#This Row],[(T/B) AJD]]</f>
        <v/>
      </c>
      <c r="S11" s="3">
        <f>Table5[[#This Row],[S/S_CON.]]+Table5[[#This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Table5[[#This Row],[(RESV. STORGE) AJD]]/10</f>
        <v/>
      </c>
      <c r="AB11" s="3">
        <f>IF(TRIM(Z11)="",,(Z11-Z10)/1000)</f>
        <v/>
      </c>
      <c r="AC11" s="5" t="n"/>
      <c r="AD11" s="40">
        <f>(Table5[[#This Row],[( S/S+T/B) AJD]]*1000)-((Table5[[#This Row],[(STORGE DIFF.) AJD]]*1000)+Table5[[#This Row],[AJD_Evaporation]]+(Table5[[#This Row],[(A/B + A/S) AJD]]*1000))</f>
        <v/>
      </c>
      <c r="AE11" s="44" t="n"/>
      <c r="AF11" s="45" t="n"/>
      <c r="AG11" s="45" t="n"/>
      <c r="AH11" s="6">
        <f>Table5[[#This Row],[ (RESV. STORGE) BER]]/10</f>
        <v/>
      </c>
      <c r="AI11" s="44" t="n"/>
      <c r="AJ11" s="44">
        <f>Table5[[#This Row],[(A/B) AJD]]-Table5[[#This Row],[BER_IN]]</f>
        <v/>
      </c>
      <c r="AK11" s="45" t="n"/>
      <c r="AL11" s="45" t="n"/>
      <c r="AM11" s="32" t="n"/>
      <c r="AN11" s="32">
        <f>Table5[[#This Row],[ (RESV. STORGE) SER]]/10</f>
        <v/>
      </c>
      <c r="AO11" s="68" t="n"/>
      <c r="AP11" s="100">
        <f>Table5[[#This Row],[(A/S) AJD]]-Table5[[#This Row],[SER_IN]]</f>
        <v/>
      </c>
    </row>
    <row r="12" ht="18.75" customHeight="1">
      <c r="A12" s="98" t="n">
        <v>47129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Table5[[#This Row],[ (T/B) SAR]]+Table5[[#This Row],[ (S/S) SAR]]</f>
        <v/>
      </c>
      <c r="L12" s="41" t="n"/>
      <c r="M12" s="42" t="n"/>
      <c r="N12" s="42" t="n"/>
      <c r="O12" s="39" t="n"/>
      <c r="P12" s="3">
        <f>Table5[[#This Row],[ (S/S) SAR]]-Table5[[#This Row],[(S/S) AJD]]</f>
        <v/>
      </c>
      <c r="Q12" s="39" t="n"/>
      <c r="R12" s="3">
        <f>Table5[[#This Row],[ (T/B) SAR]]-Table5[[#This Row],[(T/B) AJD]]</f>
        <v/>
      </c>
      <c r="S12" s="3">
        <f>Table5[[#This Row],[S/S_CON.]]+Table5[[#This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Table5[[#This Row],[(RESV. STORGE) AJD]]/10</f>
        <v/>
      </c>
      <c r="AB12" s="3">
        <f>IF(TRIM(Z12)="",,(Z12-Z11)/1000)</f>
        <v/>
      </c>
      <c r="AC12" s="5" t="n"/>
      <c r="AD12" s="39">
        <f>(Table5[[#This Row],[( S/S+T/B) AJD]]*1000)-((Table5[[#This Row],[(STORGE DIFF.) AJD]]*1000)+Table5[[#This Row],[AJD_Evaporation]]+(Table5[[#This Row],[(A/B + A/S) AJD]]*1000))</f>
        <v/>
      </c>
      <c r="AE12" s="41" t="n"/>
      <c r="AF12" s="43" t="n"/>
      <c r="AG12" s="68" t="n"/>
      <c r="AH12" s="6">
        <f>Table5[[#This Row],[ (RESV. STORGE) BER]]/10</f>
        <v/>
      </c>
      <c r="AI12" s="41" t="n"/>
      <c r="AJ12" s="69">
        <f>Table5[[#This Row],[(A/B) AJD]]-Table5[[#This Row],[BER_IN]]</f>
        <v/>
      </c>
      <c r="AK12" s="43" t="n"/>
      <c r="AL12" s="43" t="n"/>
      <c r="AM12" s="32" t="n"/>
      <c r="AN12" s="32">
        <f>Table5[[#This Row],[ (RESV. STORGE) SER]]/10</f>
        <v/>
      </c>
      <c r="AO12" s="68" t="n"/>
      <c r="AP12" s="100">
        <f>Table5[[#This Row],[(A/S) AJD]]-Table5[[#This Row],[SER_IN]]</f>
        <v/>
      </c>
    </row>
    <row r="13" ht="18.75" customHeight="1">
      <c r="A13" s="98" t="n">
        <v>47130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Table5[[#This Row],[ (T/B) SAR]]+Table5[[#This Row],[ (S/S) SAR]]</f>
        <v/>
      </c>
      <c r="L13" s="45" t="n"/>
      <c r="M13" s="46" t="n"/>
      <c r="N13" s="46" t="n"/>
      <c r="O13" s="40" t="n"/>
      <c r="P13" s="3">
        <f>Table5[[#This Row],[ (S/S) SAR]]-Table5[[#This Row],[(S/S) AJD]]</f>
        <v/>
      </c>
      <c r="Q13" s="40" t="n"/>
      <c r="R13" s="3">
        <f>Table5[[#This Row],[ (T/B) SAR]]-Table5[[#This Row],[(T/B) AJD]]</f>
        <v/>
      </c>
      <c r="S13" s="3">
        <f>Table5[[#This Row],[S/S_CON.]]+Table5[[#This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Table5[[#This Row],[(RESV. STORGE) AJD]]/10</f>
        <v/>
      </c>
      <c r="AB13" s="3">
        <f>IF(TRIM(Z13)="",,(Z13-Z12)/1000)</f>
        <v/>
      </c>
      <c r="AC13" s="5" t="n"/>
      <c r="AD13" s="40">
        <f>(Table5[[#This Row],[( S/S+T/B) AJD]]*1000)-((Table5[[#This Row],[(STORGE DIFF.) AJD]]*1000)+Table5[[#This Row],[AJD_Evaporation]]+(Table5[[#This Row],[(A/B + A/S) AJD]]*1000))</f>
        <v/>
      </c>
      <c r="AE13" s="44" t="n"/>
      <c r="AF13" s="45" t="n"/>
      <c r="AG13" s="45" t="n"/>
      <c r="AH13" s="6">
        <f>Table5[[#This Row],[ (RESV. STORGE) BER]]/10</f>
        <v/>
      </c>
      <c r="AI13" s="44" t="n"/>
      <c r="AJ13" s="44">
        <f>Table5[[#This Row],[(A/B) AJD]]-Table5[[#This Row],[BER_IN]]</f>
        <v/>
      </c>
      <c r="AK13" s="45" t="n"/>
      <c r="AL13" s="45" t="n"/>
      <c r="AM13" s="32" t="n"/>
      <c r="AN13" s="32">
        <f>Table5[[#This Row],[ (RESV. STORGE) SER]]/10</f>
        <v/>
      </c>
      <c r="AO13" s="68" t="n"/>
      <c r="AP13" s="100">
        <f>Table5[[#This Row],[(A/S) AJD]]-Table5[[#This Row],[SER_IN]]</f>
        <v/>
      </c>
    </row>
    <row r="14" ht="18.75" customHeight="1">
      <c r="A14" s="98" t="n">
        <v>47131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Table5[[#This Row],[ (T/B) SAR]]+Table5[[#This Row],[ (S/S) SAR]]</f>
        <v/>
      </c>
      <c r="L14" s="41" t="n"/>
      <c r="M14" s="42" t="n"/>
      <c r="N14" s="42" t="n"/>
      <c r="O14" s="39" t="n"/>
      <c r="P14" s="3">
        <f>Table5[[#This Row],[ (S/S) SAR]]-Table5[[#This Row],[(S/S) AJD]]</f>
        <v/>
      </c>
      <c r="Q14" s="39" t="n"/>
      <c r="R14" s="3">
        <f>Table5[[#This Row],[ (T/B) SAR]]-Table5[[#This Row],[(T/B) AJD]]</f>
        <v/>
      </c>
      <c r="S14" s="3">
        <f>Table5[[#This Row],[S/S_CON.]]+Table5[[#This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Table5[[#This Row],[(RESV. STORGE) AJD]]/10</f>
        <v/>
      </c>
      <c r="AB14" s="3">
        <f>IF(TRIM(Z14)="",,(Z14-Z13)/1000)</f>
        <v/>
      </c>
      <c r="AC14" s="5" t="n"/>
      <c r="AD14" s="39">
        <f>(Table5[[#This Row],[( S/S+T/B) AJD]]*1000)-((Table5[[#This Row],[(STORGE DIFF.) AJD]]*1000)+Table5[[#This Row],[AJD_Evaporation]]+(Table5[[#This Row],[(A/B + A/S) AJD]]*1000))</f>
        <v/>
      </c>
      <c r="AE14" s="41" t="n"/>
      <c r="AF14" s="43" t="n"/>
      <c r="AG14" s="43" t="n"/>
      <c r="AH14" s="6">
        <f>Table5[[#This Row],[ (RESV. STORGE) BER]]/10</f>
        <v/>
      </c>
      <c r="AI14" s="41" t="n"/>
      <c r="AJ14" s="41">
        <f>Table5[[#This Row],[(A/B) AJD]]-Table5[[#This Row],[BER_IN]]</f>
        <v/>
      </c>
      <c r="AK14" s="43" t="n"/>
      <c r="AL14" s="43" t="n"/>
      <c r="AM14" s="32" t="n"/>
      <c r="AN14" s="32">
        <f>Table5[[#This Row],[ (RESV. STORGE) SER]]/10</f>
        <v/>
      </c>
      <c r="AO14" s="68" t="n"/>
      <c r="AP14" s="100">
        <f>Table5[[#This Row],[(A/S) AJD]]-Table5[[#This Row],[SER_IN]]</f>
        <v/>
      </c>
    </row>
    <row r="15" ht="18.75" customHeight="1">
      <c r="A15" s="98" t="n">
        <v>47132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Table5[[#This Row],[ (T/B) SAR]]+Table5[[#This Row],[ (S/S) SAR]]</f>
        <v/>
      </c>
      <c r="L15" s="45" t="n"/>
      <c r="M15" s="46" t="n"/>
      <c r="N15" s="46" t="n"/>
      <c r="O15" s="40" t="n"/>
      <c r="P15" s="3">
        <f>Table5[[#This Row],[ (S/S) SAR]]-Table5[[#This Row],[(S/S) AJD]]</f>
        <v/>
      </c>
      <c r="Q15" s="40" t="n"/>
      <c r="R15" s="3">
        <f>Table5[[#This Row],[ (T/B) SAR]]-Table5[[#This Row],[(T/B) AJD]]</f>
        <v/>
      </c>
      <c r="S15" s="3">
        <f>Table5[[#This Row],[S/S_CON.]]+Table5[[#This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Table5[[#This Row],[(RESV. STORGE) AJD]]/10</f>
        <v/>
      </c>
      <c r="AB15" s="3">
        <f>IF(TRIM(Z15)="",,(Z15-Z14)/1000)</f>
        <v/>
      </c>
      <c r="AC15" s="5" t="n"/>
      <c r="AD15" s="40">
        <f>(Table5[[#This Row],[( S/S+T/B) AJD]]*1000)-((Table5[[#This Row],[(STORGE DIFF.) AJD]]*1000)+Table5[[#This Row],[AJD_Evaporation]]+(Table5[[#This Row],[(A/B + A/S) AJD]]*1000))</f>
        <v/>
      </c>
      <c r="AE15" s="44" t="n"/>
      <c r="AF15" s="45" t="n"/>
      <c r="AG15" s="45" t="n"/>
      <c r="AH15" s="6">
        <f>Table5[[#This Row],[ (RESV. STORGE) BER]]/10</f>
        <v/>
      </c>
      <c r="AI15" s="44" t="n"/>
      <c r="AJ15" s="44">
        <f>Table5[[#This Row],[(A/B) AJD]]-Table5[[#This Row],[BER_IN]]</f>
        <v/>
      </c>
      <c r="AK15" s="45" t="n"/>
      <c r="AL15" s="45" t="n"/>
      <c r="AM15" s="32" t="n"/>
      <c r="AN15" s="32">
        <f>Table5[[#This Row],[ (RESV. STORGE) SER]]/10</f>
        <v/>
      </c>
      <c r="AO15" s="68" t="n"/>
      <c r="AP15" s="100">
        <f>Table5[[#This Row],[(A/S) AJD]]-Table5[[#This Row],[SER_IN]]</f>
        <v/>
      </c>
    </row>
    <row r="16" ht="18.75" customHeight="1">
      <c r="A16" s="98" t="n">
        <v>47133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Table5[[#This Row],[ (T/B) SAR]]+Table5[[#This Row],[ (S/S) SAR]]</f>
        <v/>
      </c>
      <c r="L16" s="41" t="n"/>
      <c r="M16" s="42" t="n"/>
      <c r="N16" s="42" t="n"/>
      <c r="O16" s="39" t="n"/>
      <c r="P16" s="3">
        <f>Table5[[#This Row],[ (S/S) SAR]]-Table5[[#This Row],[(S/S) AJD]]</f>
        <v/>
      </c>
      <c r="Q16" s="39" t="n"/>
      <c r="R16" s="3">
        <f>Table5[[#This Row],[ (T/B) SAR]]-Table5[[#This Row],[(T/B) AJD]]</f>
        <v/>
      </c>
      <c r="S16" s="3">
        <f>Table5[[#This Row],[S/S_CON.]]+Table5[[#This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Table5[[#This Row],[(RESV. STORGE) AJD]]/10</f>
        <v/>
      </c>
      <c r="AB16" s="3">
        <f>IF(TRIM(Z16)="",,(Z16-Z15)/1000)</f>
        <v/>
      </c>
      <c r="AC16" s="5" t="n"/>
      <c r="AD16" s="39">
        <f>(Table5[[#This Row],[( S/S+T/B) AJD]]*1000)-((Table5[[#This Row],[(STORGE DIFF.) AJD]]*1000)+Table5[[#This Row],[AJD_Evaporation]]+(Table5[[#This Row],[(A/B + A/S) AJD]]*1000))</f>
        <v/>
      </c>
      <c r="AE16" s="41" t="n"/>
      <c r="AF16" s="43" t="n"/>
      <c r="AG16" s="43" t="n"/>
      <c r="AH16" s="6">
        <f>Table5[[#This Row],[ (RESV. STORGE) BER]]/10</f>
        <v/>
      </c>
      <c r="AI16" s="41" t="n"/>
      <c r="AJ16" s="41">
        <f>Table5[[#This Row],[(A/B) AJD]]-Table5[[#This Row],[BER_IN]]</f>
        <v/>
      </c>
      <c r="AK16" s="43" t="n"/>
      <c r="AL16" s="43" t="n"/>
      <c r="AM16" s="32" t="n"/>
      <c r="AN16" s="32">
        <f>Table5[[#This Row],[ (RESV. STORGE) SER]]/10</f>
        <v/>
      </c>
      <c r="AO16" s="68" t="n"/>
      <c r="AP16" s="100">
        <f>Table5[[#This Row],[(A/S) AJD]]-Table5[[#This Row],[SER_IN]]</f>
        <v/>
      </c>
    </row>
    <row r="17" ht="18.75" customHeight="1">
      <c r="A17" s="98" t="n">
        <v>47134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Table5[[#This Row],[ (T/B) SAR]]+Table5[[#This Row],[ (S/S) SAR]]</f>
        <v/>
      </c>
      <c r="L17" s="45" t="n"/>
      <c r="M17" s="46" t="n"/>
      <c r="N17" s="46" t="n"/>
      <c r="O17" s="40" t="n"/>
      <c r="P17" s="3">
        <f>Table5[[#This Row],[ (S/S) SAR]]-Table5[[#This Row],[(S/S) AJD]]</f>
        <v/>
      </c>
      <c r="Q17" s="40" t="n"/>
      <c r="R17" s="3">
        <f>Table5[[#This Row],[ (T/B) SAR]]-Table5[[#This Row],[(T/B) AJD]]</f>
        <v/>
      </c>
      <c r="S17" s="3">
        <f>Table5[[#This Row],[S/S_CON.]]+Table5[[#This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Table5[[#This Row],[(RESV. STORGE) AJD]]/10</f>
        <v/>
      </c>
      <c r="AB17" s="3">
        <f>IF(TRIM(Z17)="",,(Z17-Z16)/1000)</f>
        <v/>
      </c>
      <c r="AC17" s="5" t="n"/>
      <c r="AD17" s="40">
        <f>(Table5[[#This Row],[( S/S+T/B) AJD]]*1000)-((Table5[[#This Row],[(STORGE DIFF.) AJD]]*1000)+Table5[[#This Row],[AJD_Evaporation]]+(Table5[[#This Row],[(A/B + A/S) AJD]]*1000))</f>
        <v/>
      </c>
      <c r="AE17" s="44" t="n"/>
      <c r="AF17" s="45" t="n"/>
      <c r="AG17" s="45" t="n"/>
      <c r="AH17" s="6">
        <f>Table5[[#This Row],[ (RESV. STORGE) BER]]/10</f>
        <v/>
      </c>
      <c r="AI17" s="44" t="n"/>
      <c r="AJ17" s="44">
        <f>Table5[[#This Row],[(A/B) AJD]]-Table5[[#This Row],[BER_IN]]</f>
        <v/>
      </c>
      <c r="AK17" s="45" t="n"/>
      <c r="AL17" s="45" t="n"/>
      <c r="AM17" s="32" t="n"/>
      <c r="AN17" s="32">
        <f>Table5[[#This Row],[ (RESV. STORGE) SER]]/10</f>
        <v/>
      </c>
      <c r="AO17" s="68" t="n"/>
      <c r="AP17" s="100">
        <f>Table5[[#This Row],[(A/S) AJD]]-Table5[[#This Row],[SER_IN]]</f>
        <v/>
      </c>
    </row>
    <row r="18" ht="18.75" customHeight="1">
      <c r="A18" s="98" t="n">
        <v>47135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Table5[[#This Row],[ (T/B) SAR]]+Table5[[#This Row],[ (S/S) SAR]]</f>
        <v/>
      </c>
      <c r="L18" s="41" t="n"/>
      <c r="M18" s="42" t="n"/>
      <c r="N18" s="42" t="n"/>
      <c r="O18" s="39" t="n"/>
      <c r="P18" s="3">
        <f>Table5[[#This Row],[ (S/S) SAR]]-Table5[[#This Row],[(S/S) AJD]]</f>
        <v/>
      </c>
      <c r="Q18" s="39" t="n"/>
      <c r="R18" s="3">
        <f>Table5[[#This Row],[ (T/B) SAR]]-Table5[[#This Row],[(T/B) AJD]]</f>
        <v/>
      </c>
      <c r="S18" s="3">
        <f>Table5[[#This Row],[S/S_CON.]]+Table5[[#This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Table5[[#This Row],[(RESV. STORGE) AJD]]/10</f>
        <v/>
      </c>
      <c r="AB18" s="3">
        <f>IF(TRIM(Z18)="",,(Z18-Z17)/1000)</f>
        <v/>
      </c>
      <c r="AC18" s="5" t="n"/>
      <c r="AD18" s="39">
        <f>(Table5[[#This Row],[( S/S+T/B) AJD]]*1000)-((Table5[[#This Row],[(STORGE DIFF.) AJD]]*1000)+Table5[[#This Row],[AJD_Evaporation]]+(Table5[[#This Row],[(A/B + A/S) AJD]]*1000))</f>
        <v/>
      </c>
      <c r="AE18" s="41" t="n"/>
      <c r="AF18" s="43" t="n"/>
      <c r="AG18" s="43" t="n"/>
      <c r="AH18" s="6">
        <f>Table5[[#This Row],[ (RESV. STORGE) BER]]/10</f>
        <v/>
      </c>
      <c r="AI18" s="41" t="n"/>
      <c r="AJ18" s="41">
        <f>Table5[[#This Row],[(A/B) AJD]]-Table5[[#This Row],[BER_IN]]</f>
        <v/>
      </c>
      <c r="AK18" s="43" t="n"/>
      <c r="AL18" s="43" t="n"/>
      <c r="AM18" s="32" t="n"/>
      <c r="AN18" s="32">
        <f>Table5[[#This Row],[ (RESV. STORGE) SER]]/10</f>
        <v/>
      </c>
      <c r="AO18" s="68" t="n"/>
      <c r="AP18" s="100">
        <f>Table5[[#This Row],[(A/S) AJD]]-Table5[[#This Row],[SER_IN]]</f>
        <v/>
      </c>
    </row>
    <row r="19" ht="18.75" customHeight="1">
      <c r="A19" s="98" t="n">
        <v>47136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Table5[[#This Row],[ (T/B) SAR]]+Table5[[#This Row],[ (S/S) SAR]]</f>
        <v/>
      </c>
      <c r="L19" s="45" t="n"/>
      <c r="M19" s="46" t="n"/>
      <c r="N19" s="46" t="n"/>
      <c r="O19" s="40" t="n"/>
      <c r="P19" s="3">
        <f>Table5[[#This Row],[ (S/S) SAR]]-Table5[[#This Row],[(S/S) AJD]]</f>
        <v/>
      </c>
      <c r="Q19" s="40" t="n"/>
      <c r="R19" s="3">
        <f>Table5[[#This Row],[ (T/B) SAR]]-Table5[[#This Row],[(T/B) AJD]]</f>
        <v/>
      </c>
      <c r="S19" s="3">
        <f>Table5[[#This Row],[S/S_CON.]]+Table5[[#This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Table5[[#This Row],[(RESV. STORGE) AJD]]/10</f>
        <v/>
      </c>
      <c r="AB19" s="3">
        <f>IF(TRIM(Z19)="",,(Z19-Z18)/1000)</f>
        <v/>
      </c>
      <c r="AC19" s="5" t="n"/>
      <c r="AD19" s="40">
        <f>(Table5[[#This Row],[( S/S+T/B) AJD]]*1000)-((Table5[[#This Row],[(STORGE DIFF.) AJD]]*1000)+Table5[[#This Row],[AJD_Evaporation]]+(Table5[[#This Row],[(A/B + A/S) AJD]]*1000))</f>
        <v/>
      </c>
      <c r="AE19" s="44" t="n"/>
      <c r="AF19" s="45" t="n"/>
      <c r="AG19" s="45" t="n"/>
      <c r="AH19" s="6">
        <f>Table5[[#This Row],[ (RESV. STORGE) BER]]/10</f>
        <v/>
      </c>
      <c r="AI19" s="44" t="n"/>
      <c r="AJ19" s="44">
        <f>Table5[[#This Row],[(A/B) AJD]]-Table5[[#This Row],[BER_IN]]</f>
        <v/>
      </c>
      <c r="AK19" s="45" t="n"/>
      <c r="AL19" s="45" t="n"/>
      <c r="AM19" s="32" t="n"/>
      <c r="AN19" s="32">
        <f>Table5[[#This Row],[ (RESV. STORGE) SER]]/10</f>
        <v/>
      </c>
      <c r="AO19" s="68" t="n"/>
      <c r="AP19" s="100">
        <f>Table5[[#This Row],[(A/S) AJD]]-Table5[[#This Row],[SER_IN]]</f>
        <v/>
      </c>
    </row>
    <row r="20" ht="18.75" customHeight="1">
      <c r="A20" s="98" t="n">
        <v>47137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Table5[[#This Row],[ (T/B) SAR]]+Table5[[#This Row],[ (S/S) SAR]]</f>
        <v/>
      </c>
      <c r="L20" s="41" t="n"/>
      <c r="M20" s="42" t="n"/>
      <c r="N20" s="42" t="n"/>
      <c r="O20" s="39" t="n"/>
      <c r="P20" s="3">
        <f>Table5[[#This Row],[ (S/S) SAR]]-Table5[[#This Row],[(S/S) AJD]]</f>
        <v/>
      </c>
      <c r="Q20" s="39" t="n"/>
      <c r="R20" s="3">
        <f>Table5[[#This Row],[ (T/B) SAR]]-Table5[[#This Row],[(T/B) AJD]]</f>
        <v/>
      </c>
      <c r="S20" s="3">
        <f>Table5[[#This Row],[S/S_CON.]]+Table5[[#This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Table5[[#This Row],[(RESV. STORGE) AJD]]/10</f>
        <v/>
      </c>
      <c r="AB20" s="3">
        <f>IF(TRIM(Z20)="",,(Z20-Z19)/1000)</f>
        <v/>
      </c>
      <c r="AC20" s="5" t="n"/>
      <c r="AD20" s="39">
        <f>(Table5[[#This Row],[( S/S+T/B) AJD]]*1000)-((Table5[[#This Row],[(STORGE DIFF.) AJD]]*1000)+Table5[[#This Row],[AJD_Evaporation]]+(Table5[[#This Row],[(A/B + A/S) AJD]]*1000))</f>
        <v/>
      </c>
      <c r="AE20" s="41" t="n"/>
      <c r="AF20" s="43" t="n"/>
      <c r="AG20" s="43" t="n"/>
      <c r="AH20" s="6">
        <f>Table5[[#This Row],[ (RESV. STORGE) BER]]/10</f>
        <v/>
      </c>
      <c r="AI20" s="41" t="n"/>
      <c r="AJ20" s="41">
        <f>Table5[[#This Row],[(A/B) AJD]]-Table5[[#This Row],[BER_IN]]</f>
        <v/>
      </c>
      <c r="AK20" s="43" t="n"/>
      <c r="AL20" s="43" t="n"/>
      <c r="AM20" s="32" t="n"/>
      <c r="AN20" s="32">
        <f>Table5[[#This Row],[ (RESV. STORGE) SER]]/10</f>
        <v/>
      </c>
      <c r="AO20" s="68" t="n"/>
      <c r="AP20" s="100">
        <f>Table5[[#This Row],[(A/S) AJD]]-Table5[[#This Row],[SER_IN]]</f>
        <v/>
      </c>
    </row>
    <row r="21" ht="18.75" customHeight="1">
      <c r="A21" s="98" t="n">
        <v>47138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Table5[[#This Row],[ (T/B) SAR]]+Table5[[#This Row],[ (S/S) SAR]]</f>
        <v/>
      </c>
      <c r="L21" s="45" t="n"/>
      <c r="M21" s="46" t="n"/>
      <c r="N21" s="46" t="n"/>
      <c r="O21" s="40" t="n"/>
      <c r="P21" s="3">
        <f>Table5[[#This Row],[ (S/S) SAR]]-Table5[[#This Row],[(S/S) AJD]]</f>
        <v/>
      </c>
      <c r="Q21" s="40" t="n"/>
      <c r="R21" s="3">
        <f>Table5[[#This Row],[ (T/B) SAR]]-Table5[[#This Row],[(T/B) AJD]]</f>
        <v/>
      </c>
      <c r="S21" s="3">
        <f>Table5[[#This Row],[S/S_CON.]]+Table5[[#This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Table5[[#This Row],[(RESV. STORGE) AJD]]/10</f>
        <v/>
      </c>
      <c r="AB21" s="3">
        <f>IF(TRIM(Z21)="",,(Z21-Z20)/1000)</f>
        <v/>
      </c>
      <c r="AC21" s="5" t="n"/>
      <c r="AD21" s="40">
        <f>(Table5[[#This Row],[( S/S+T/B) AJD]]*1000)-((Table5[[#This Row],[(STORGE DIFF.) AJD]]*1000)+Table5[[#This Row],[AJD_Evaporation]]+(Table5[[#This Row],[(A/B + A/S) AJD]]*1000))</f>
        <v/>
      </c>
      <c r="AE21" s="44" t="n"/>
      <c r="AF21" s="45" t="n"/>
      <c r="AG21" s="45" t="n"/>
      <c r="AH21" s="6">
        <f>Table5[[#This Row],[ (RESV. STORGE) BER]]/10</f>
        <v/>
      </c>
      <c r="AI21" s="44" t="n"/>
      <c r="AJ21" s="44">
        <f>Table5[[#This Row],[(A/B) AJD]]-Table5[[#This Row],[BER_IN]]</f>
        <v/>
      </c>
      <c r="AK21" s="45" t="n"/>
      <c r="AL21" s="45" t="n"/>
      <c r="AM21" s="32" t="n"/>
      <c r="AN21" s="32">
        <f>Table5[[#This Row],[ (RESV. STORGE) SER]]/10</f>
        <v/>
      </c>
      <c r="AO21" s="68" t="n"/>
      <c r="AP21" s="100">
        <f>Table5[[#This Row],[(A/S) AJD]]-Table5[[#This Row],[SER_IN]]</f>
        <v/>
      </c>
    </row>
    <row r="22" ht="18.75" customHeight="1">
      <c r="A22" s="98" t="n">
        <v>47139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Table5[[#This Row],[ (T/B) SAR]]+Table5[[#This Row],[ (S/S) SAR]]</f>
        <v/>
      </c>
      <c r="L22" s="41" t="n"/>
      <c r="M22" s="42" t="n"/>
      <c r="N22" s="42" t="n"/>
      <c r="O22" s="39" t="n"/>
      <c r="P22" s="3">
        <f>Table5[[#This Row],[ (S/S) SAR]]-Table5[[#This Row],[(S/S) AJD]]</f>
        <v/>
      </c>
      <c r="Q22" s="39" t="n"/>
      <c r="R22" s="3">
        <f>Table5[[#This Row],[ (T/B) SAR]]-Table5[[#This Row],[(T/B) AJD]]</f>
        <v/>
      </c>
      <c r="S22" s="3">
        <f>Table5[[#This Row],[S/S_CON.]]+Table5[[#This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Table5[[#This Row],[(RESV. STORGE) AJD]]/10</f>
        <v/>
      </c>
      <c r="AB22" s="3">
        <f>IF(TRIM(Z22)="",,(Z22-Z21)/1000)</f>
        <v/>
      </c>
      <c r="AC22" s="5" t="n"/>
      <c r="AD22" s="39">
        <f>(Table5[[#This Row],[( S/S+T/B) AJD]]*1000)-((Table5[[#This Row],[(STORGE DIFF.) AJD]]*1000)+Table5[[#This Row],[AJD_Evaporation]]+(Table5[[#This Row],[(A/B + A/S) AJD]]*1000))</f>
        <v/>
      </c>
      <c r="AE22" s="41" t="n"/>
      <c r="AF22" s="43" t="n"/>
      <c r="AG22" s="43" t="n"/>
      <c r="AH22" s="6">
        <f>Table5[[#This Row],[ (RESV. STORGE) BER]]/10</f>
        <v/>
      </c>
      <c r="AI22" s="41" t="n"/>
      <c r="AJ22" s="41">
        <f>Table5[[#This Row],[(A/B) AJD]]-Table5[[#This Row],[BER_IN]]</f>
        <v/>
      </c>
      <c r="AK22" s="43" t="n"/>
      <c r="AL22" s="43" t="n"/>
      <c r="AM22" s="32" t="n"/>
      <c r="AN22" s="32">
        <f>Table5[[#This Row],[ (RESV. STORGE) SER]]/10</f>
        <v/>
      </c>
      <c r="AO22" s="68" t="n"/>
      <c r="AP22" s="100">
        <f>Table5[[#This Row],[(A/S) AJD]]-Table5[[#This Row],[SER_IN]]</f>
        <v/>
      </c>
    </row>
    <row r="23" ht="18.75" customHeight="1">
      <c r="A23" s="98" t="n">
        <v>47140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Table5[[#This Row],[ (T/B) SAR]]+Table5[[#This Row],[ (S/S) SAR]]</f>
        <v/>
      </c>
      <c r="L23" s="45" t="n"/>
      <c r="M23" s="46" t="n"/>
      <c r="N23" s="46" t="n"/>
      <c r="O23" s="40" t="n"/>
      <c r="P23" s="3">
        <f>Table5[[#This Row],[ (S/S) SAR]]-Table5[[#This Row],[(S/S) AJD]]</f>
        <v/>
      </c>
      <c r="Q23" s="40" t="n"/>
      <c r="R23" s="3">
        <f>Table5[[#This Row],[ (T/B) SAR]]-Table5[[#This Row],[(T/B) AJD]]</f>
        <v/>
      </c>
      <c r="S23" s="3">
        <f>Table5[[#This Row],[S/S_CON.]]+Table5[[#This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Table5[[#This Row],[(RESV. STORGE) AJD]]/10</f>
        <v/>
      </c>
      <c r="AB23" s="3">
        <f>IF(TRIM(Z23)="",,(Z23-Z22)/1000)</f>
        <v/>
      </c>
      <c r="AC23" s="5" t="n"/>
      <c r="AD23" s="40">
        <f>(Table5[[#This Row],[( S/S+T/B) AJD]]*1000)-((Table5[[#This Row],[(STORGE DIFF.) AJD]]*1000)+Table5[[#This Row],[AJD_Evaporation]]+(Table5[[#This Row],[(A/B + A/S) AJD]]*1000))</f>
        <v/>
      </c>
      <c r="AE23" s="44" t="n"/>
      <c r="AF23" s="45" t="n"/>
      <c r="AG23" s="45" t="n"/>
      <c r="AH23" s="6">
        <f>Table5[[#This Row],[ (RESV. STORGE) BER]]/10</f>
        <v/>
      </c>
      <c r="AI23" s="44" t="n"/>
      <c r="AJ23" s="44">
        <f>Table5[[#This Row],[(A/B) AJD]]-Table5[[#This Row],[BER_IN]]</f>
        <v/>
      </c>
      <c r="AK23" s="45" t="n"/>
      <c r="AL23" s="45" t="n"/>
      <c r="AM23" s="32" t="n"/>
      <c r="AN23" s="32">
        <f>Table5[[#This Row],[ (RESV. STORGE) SER]]/10</f>
        <v/>
      </c>
      <c r="AO23" s="68" t="n"/>
      <c r="AP23" s="100">
        <f>Table5[[#This Row],[(A/S) AJD]]-Table5[[#This Row],[SER_IN]]</f>
        <v/>
      </c>
    </row>
    <row r="24" ht="18.75" customHeight="1">
      <c r="A24" s="98" t="n">
        <v>47141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Table5[[#This Row],[ (T/B) SAR]]+Table5[[#This Row],[ (S/S) SAR]]</f>
        <v/>
      </c>
      <c r="L24" s="41" t="n"/>
      <c r="M24" s="42" t="n"/>
      <c r="N24" s="42" t="n"/>
      <c r="O24" s="39" t="n"/>
      <c r="P24" s="3">
        <f>Table5[[#This Row],[ (S/S) SAR]]-Table5[[#This Row],[(S/S) AJD]]</f>
        <v/>
      </c>
      <c r="Q24" s="39" t="n"/>
      <c r="R24" s="3">
        <f>Table5[[#This Row],[ (T/B) SAR]]-Table5[[#This Row],[(T/B) AJD]]</f>
        <v/>
      </c>
      <c r="S24" s="3">
        <f>Table5[[#This Row],[S/S_CON.]]+Table5[[#This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Table5[[#This Row],[(RESV. STORGE) AJD]]/10</f>
        <v/>
      </c>
      <c r="AB24" s="3">
        <f>IF(TRIM(Z24)="",,(Z24-Z23)/1000)</f>
        <v/>
      </c>
      <c r="AC24" s="5" t="n"/>
      <c r="AD24" s="39">
        <f>(Table5[[#This Row],[( S/S+T/B) AJD]]*1000)-((Table5[[#This Row],[(STORGE DIFF.) AJD]]*1000)+Table5[[#This Row],[AJD_Evaporation]]+(Table5[[#This Row],[(A/B + A/S) AJD]]*1000))</f>
        <v/>
      </c>
      <c r="AE24" s="41" t="n"/>
      <c r="AF24" s="43" t="n"/>
      <c r="AG24" s="43" t="n"/>
      <c r="AH24" s="6">
        <f>Table5[[#This Row],[ (RESV. STORGE) BER]]/10</f>
        <v/>
      </c>
      <c r="AI24" s="41" t="n"/>
      <c r="AJ24" s="41">
        <f>Table5[[#This Row],[(A/B) AJD]]-Table5[[#This Row],[BER_IN]]</f>
        <v/>
      </c>
      <c r="AK24" s="43" t="n"/>
      <c r="AL24" s="43" t="n"/>
      <c r="AM24" s="32" t="n"/>
      <c r="AN24" s="32">
        <f>Table5[[#This Row],[ (RESV. STORGE) SER]]/10</f>
        <v/>
      </c>
      <c r="AO24" s="68" t="n"/>
      <c r="AP24" s="100">
        <f>Table5[[#This Row],[(A/S) AJD]]-Table5[[#This Row],[SER_IN]]</f>
        <v/>
      </c>
    </row>
    <row r="25" ht="18.75" customHeight="1">
      <c r="A25" s="98" t="n">
        <v>47142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Table5[[#This Row],[ (T/B) SAR]]+Table5[[#This Row],[ (S/S) SAR]]</f>
        <v/>
      </c>
      <c r="L25" s="45" t="n"/>
      <c r="M25" s="46" t="n"/>
      <c r="N25" s="46" t="n"/>
      <c r="O25" s="40" t="n"/>
      <c r="P25" s="3">
        <f>Table5[[#This Row],[ (S/S) SAR]]-Table5[[#This Row],[(S/S) AJD]]</f>
        <v/>
      </c>
      <c r="Q25" s="40" t="n"/>
      <c r="R25" s="3">
        <f>Table5[[#This Row],[ (T/B) SAR]]-Table5[[#This Row],[(T/B) AJD]]</f>
        <v/>
      </c>
      <c r="S25" s="3">
        <f>Table5[[#This Row],[S/S_CON.]]+Table5[[#This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Table5[[#This Row],[(RESV. STORGE) AJD]]/10</f>
        <v/>
      </c>
      <c r="AB25" s="3">
        <f>IF(TRIM(Z25)="",,(Z25-Z24)/1000)</f>
        <v/>
      </c>
      <c r="AC25" s="5" t="n"/>
      <c r="AD25" s="40">
        <f>(Table5[[#This Row],[( S/S+T/B) AJD]]*1000)-((Table5[[#This Row],[(STORGE DIFF.) AJD]]*1000)+Table5[[#This Row],[AJD_Evaporation]]+(Table5[[#This Row],[(A/B + A/S) AJD]]*1000))</f>
        <v/>
      </c>
      <c r="AE25" s="44" t="n"/>
      <c r="AF25" s="45" t="n"/>
      <c r="AG25" s="45" t="n"/>
      <c r="AH25" s="6">
        <f>Table5[[#This Row],[ (RESV. STORGE) BER]]/10</f>
        <v/>
      </c>
      <c r="AI25" s="44" t="n"/>
      <c r="AJ25" s="44">
        <f>Table5[[#This Row],[(A/B) AJD]]-Table5[[#This Row],[BER_IN]]</f>
        <v/>
      </c>
      <c r="AK25" s="45" t="n"/>
      <c r="AL25" s="45" t="n"/>
      <c r="AM25" s="32" t="n"/>
      <c r="AN25" s="32">
        <f>Table5[[#This Row],[ (RESV. STORGE) SER]]/10</f>
        <v/>
      </c>
      <c r="AO25" s="68" t="n"/>
      <c r="AP25" s="100">
        <f>Table5[[#This Row],[(A/S) AJD]]-Table5[[#This Row],[SER_IN]]</f>
        <v/>
      </c>
    </row>
    <row r="26" ht="18.75" customHeight="1">
      <c r="A26" s="98" t="n">
        <v>47143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Table5[[#This Row],[ (T/B) SAR]]+Table5[[#This Row],[ (S/S) SAR]]</f>
        <v/>
      </c>
      <c r="L26" s="41" t="n"/>
      <c r="M26" s="42" t="n"/>
      <c r="N26" s="42" t="n"/>
      <c r="O26" s="39" t="n"/>
      <c r="P26" s="3">
        <f>Table5[[#This Row],[ (S/S) SAR]]-Table5[[#This Row],[(S/S) AJD]]</f>
        <v/>
      </c>
      <c r="Q26" s="39" t="n"/>
      <c r="R26" s="3">
        <f>Table5[[#This Row],[ (T/B) SAR]]-Table5[[#This Row],[(T/B) AJD]]</f>
        <v/>
      </c>
      <c r="S26" s="3">
        <f>Table5[[#This Row],[S/S_CON.]]+Table5[[#This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Table5[[#This Row],[(RESV. STORGE) AJD]]/10</f>
        <v/>
      </c>
      <c r="AB26" s="3">
        <f>IF(TRIM(Z26)="",,(Z26-Z25)/1000)</f>
        <v/>
      </c>
      <c r="AC26" s="5" t="n"/>
      <c r="AD26" s="39">
        <f>(Table5[[#This Row],[( S/S+T/B) AJD]]*1000)-((Table5[[#This Row],[(STORGE DIFF.) AJD]]*1000)+Table5[[#This Row],[AJD_Evaporation]]+(Table5[[#This Row],[(A/B + A/S) AJD]]*1000))</f>
        <v/>
      </c>
      <c r="AE26" s="41" t="n"/>
      <c r="AF26" s="43" t="n"/>
      <c r="AG26" s="43" t="n"/>
      <c r="AH26" s="6">
        <f>Table5[[#This Row],[ (RESV. STORGE) BER]]/10</f>
        <v/>
      </c>
      <c r="AI26" s="41" t="n"/>
      <c r="AJ26" s="41">
        <f>Table5[[#This Row],[(A/B) AJD]]-Table5[[#This Row],[BER_IN]]</f>
        <v/>
      </c>
      <c r="AK26" s="43" t="n"/>
      <c r="AL26" s="43" t="n"/>
      <c r="AM26" s="32" t="n"/>
      <c r="AN26" s="32">
        <f>Table5[[#This Row],[ (RESV. STORGE) SER]]/10</f>
        <v/>
      </c>
      <c r="AO26" s="68" t="n"/>
      <c r="AP26" s="100">
        <f>Table5[[#This Row],[(A/S) AJD]]-Table5[[#This Row],[SER_IN]]</f>
        <v/>
      </c>
    </row>
    <row r="27" ht="18.75" customHeight="1">
      <c r="A27" s="98" t="n">
        <v>47144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Table5[[#This Row],[ (T/B) SAR]]+Table5[[#This Row],[ (S/S) SAR]]</f>
        <v/>
      </c>
      <c r="L27" s="45" t="n"/>
      <c r="M27" s="46" t="n"/>
      <c r="N27" s="46" t="n"/>
      <c r="O27" s="40" t="n"/>
      <c r="P27" s="3">
        <f>Table5[[#This Row],[ (S/S) SAR]]-Table5[[#This Row],[(S/S) AJD]]</f>
        <v/>
      </c>
      <c r="Q27" s="40" t="n"/>
      <c r="R27" s="3">
        <f>Table5[[#This Row],[ (T/B) SAR]]-Table5[[#This Row],[(T/B) AJD]]</f>
        <v/>
      </c>
      <c r="S27" s="3">
        <f>Table5[[#This Row],[S/S_CON.]]+Table5[[#This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Table5[[#This Row],[(RESV. STORGE) AJD]]/10</f>
        <v/>
      </c>
      <c r="AB27" s="3">
        <f>IF(TRIM(Z27)="",,(Z27-Z26)/1000)</f>
        <v/>
      </c>
      <c r="AC27" s="5" t="n"/>
      <c r="AD27" s="40">
        <f>(Table5[[#This Row],[( S/S+T/B) AJD]]*1000)-((Table5[[#This Row],[(STORGE DIFF.) AJD]]*1000)+Table5[[#This Row],[AJD_Evaporation]]+(Table5[[#This Row],[(A/B + A/S) AJD]]*1000))</f>
        <v/>
      </c>
      <c r="AE27" s="44" t="n"/>
      <c r="AF27" s="45" t="n"/>
      <c r="AG27" s="45" t="n"/>
      <c r="AH27" s="6">
        <f>Table5[[#This Row],[ (RESV. STORGE) BER]]/10</f>
        <v/>
      </c>
      <c r="AI27" s="44" t="n"/>
      <c r="AJ27" s="44">
        <f>Table5[[#This Row],[(A/B) AJD]]-Table5[[#This Row],[BER_IN]]</f>
        <v/>
      </c>
      <c r="AK27" s="45" t="n"/>
      <c r="AL27" s="45" t="n"/>
      <c r="AM27" s="32" t="n"/>
      <c r="AN27" s="32">
        <f>Table5[[#This Row],[ (RESV. STORGE) SER]]/10</f>
        <v/>
      </c>
      <c r="AO27" s="68" t="n"/>
      <c r="AP27" s="100">
        <f>Table5[[#This Row],[(A/S) AJD]]-Table5[[#This Row],[SER_IN]]</f>
        <v/>
      </c>
    </row>
    <row r="28" ht="18.75" customHeight="1">
      <c r="A28" s="98" t="n">
        <v>47145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Table5[[#This Row],[ (T/B) SAR]]+Table5[[#This Row],[ (S/S) SAR]]</f>
        <v/>
      </c>
      <c r="L28" s="41" t="n"/>
      <c r="M28" s="42" t="n"/>
      <c r="N28" s="42" t="n"/>
      <c r="O28" s="39" t="n"/>
      <c r="P28" s="3">
        <f>Table5[[#This Row],[ (S/S) SAR]]-Table5[[#This Row],[(S/S) AJD]]</f>
        <v/>
      </c>
      <c r="Q28" s="39" t="n"/>
      <c r="R28" s="3">
        <f>Table5[[#This Row],[ (T/B) SAR]]-Table5[[#This Row],[(T/B) AJD]]</f>
        <v/>
      </c>
      <c r="S28" s="3">
        <f>Table5[[#This Row],[S/S_CON.]]+Table5[[#This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Table5[[#This Row],[(RESV. STORGE) AJD]]/10</f>
        <v/>
      </c>
      <c r="AB28" s="3">
        <f>IF(TRIM(Z28)="",,(Z28-Z27)/1000)</f>
        <v/>
      </c>
      <c r="AC28" s="5" t="n"/>
      <c r="AD28" s="39">
        <f>(Table5[[#This Row],[( S/S+T/B) AJD]]*1000)-((Table5[[#This Row],[(STORGE DIFF.) AJD]]*1000)+Table5[[#This Row],[AJD_Evaporation]]+(Table5[[#This Row],[(A/B + A/S) AJD]]*1000))</f>
        <v/>
      </c>
      <c r="AE28" s="41" t="n"/>
      <c r="AF28" s="43" t="n"/>
      <c r="AG28" s="43" t="n"/>
      <c r="AH28" s="6">
        <f>Table5[[#This Row],[ (RESV. STORGE) BER]]/10</f>
        <v/>
      </c>
      <c r="AI28" s="41" t="n"/>
      <c r="AJ28" s="41">
        <f>Table5[[#This Row],[(A/B) AJD]]-Table5[[#This Row],[BER_IN]]</f>
        <v/>
      </c>
      <c r="AK28" s="43" t="n"/>
      <c r="AL28" s="43" t="n"/>
      <c r="AM28" s="32" t="n"/>
      <c r="AN28" s="32">
        <f>Table5[[#This Row],[ (RESV. STORGE) SER]]/10</f>
        <v/>
      </c>
      <c r="AO28" s="68" t="n"/>
      <c r="AP28" s="100">
        <f>Table5[[#This Row],[(A/S) AJD]]-Table5[[#This Row],[SER_IN]]</f>
        <v/>
      </c>
    </row>
    <row r="29" ht="18.75" customHeight="1">
      <c r="A29" s="98" t="n">
        <v>47146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Table5[[#This Row],[ (T/B) SAR]]+Table5[[#This Row],[ (S/S) SAR]]</f>
        <v/>
      </c>
      <c r="L29" s="45" t="n"/>
      <c r="M29" s="46" t="n"/>
      <c r="N29" s="46" t="n"/>
      <c r="O29" s="40" t="n"/>
      <c r="P29" s="3">
        <f>Table5[[#This Row],[ (S/S) SAR]]-Table5[[#This Row],[(S/S) AJD]]</f>
        <v/>
      </c>
      <c r="Q29" s="40" t="n"/>
      <c r="R29" s="3">
        <f>Table5[[#This Row],[ (T/B) SAR]]-Table5[[#This Row],[(T/B) AJD]]</f>
        <v/>
      </c>
      <c r="S29" s="3">
        <f>Table5[[#This Row],[S/S_CON.]]+Table5[[#This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Table5[[#This Row],[(RESV. STORGE) AJD]]/10</f>
        <v/>
      </c>
      <c r="AB29" s="3">
        <f>IF(TRIM(Z29)="",,(Z29-Z28)/1000)</f>
        <v/>
      </c>
      <c r="AC29" s="5" t="n"/>
      <c r="AD29" s="40">
        <f>(Table5[[#This Row],[( S/S+T/B) AJD]]*1000)-((Table5[[#This Row],[(STORGE DIFF.) AJD]]*1000)+Table5[[#This Row],[AJD_Evaporation]]+(Table5[[#This Row],[(A/B + A/S) AJD]]*1000))</f>
        <v/>
      </c>
      <c r="AE29" s="44" t="n"/>
      <c r="AF29" s="45" t="n"/>
      <c r="AG29" s="45" t="n"/>
      <c r="AH29" s="6">
        <f>Table5[[#This Row],[ (RESV. STORGE) BER]]/10</f>
        <v/>
      </c>
      <c r="AI29" s="44" t="n"/>
      <c r="AJ29" s="44">
        <f>Table5[[#This Row],[(A/B) AJD]]-Table5[[#This Row],[BER_IN]]</f>
        <v/>
      </c>
      <c r="AK29" s="45" t="n"/>
      <c r="AL29" s="45" t="n"/>
      <c r="AM29" s="32" t="n"/>
      <c r="AN29" s="32">
        <f>Table5[[#This Row],[ (RESV. STORGE) SER]]/10</f>
        <v/>
      </c>
      <c r="AO29" s="68" t="n"/>
      <c r="AP29" s="100">
        <f>Table5[[#This Row],[(A/S) AJD]]-Table5[[#This Row],[SER_IN]]</f>
        <v/>
      </c>
    </row>
    <row r="30" ht="18.75" customHeight="1">
      <c r="A30" s="98" t="n">
        <v>47147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Table5[[#This Row],[ (T/B) SAR]]+Table5[[#This Row],[ (S/S) SAR]]</f>
        <v/>
      </c>
      <c r="L30" s="41" t="n"/>
      <c r="M30" s="42" t="n"/>
      <c r="N30" s="42" t="n"/>
      <c r="O30" s="39" t="n"/>
      <c r="P30" s="3">
        <f>Table5[[#This Row],[ (S/S) SAR]]-Table5[[#This Row],[(S/S) AJD]]</f>
        <v/>
      </c>
      <c r="Q30" s="39" t="n"/>
      <c r="R30" s="3">
        <f>Table5[[#This Row],[ (T/B) SAR]]-Table5[[#This Row],[(T/B) AJD]]</f>
        <v/>
      </c>
      <c r="S30" s="3">
        <f>Table5[[#This Row],[S/S_CON.]]+Table5[[#This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Table5[[#This Row],[(RESV. STORGE) AJD]]/10</f>
        <v/>
      </c>
      <c r="AB30" s="3">
        <f>IF(TRIM(Z30)="",,(Z30-Z29)/1000)</f>
        <v/>
      </c>
      <c r="AC30" s="5" t="n"/>
      <c r="AD30" s="39">
        <f>(Table5[[#This Row],[( S/S+T/B) AJD]]*1000)-((Table5[[#This Row],[(STORGE DIFF.) AJD]]*1000)+Table5[[#This Row],[AJD_Evaporation]]+(Table5[[#This Row],[(A/B + A/S) AJD]]*1000))</f>
        <v/>
      </c>
      <c r="AE30" s="41" t="n"/>
      <c r="AF30" s="43" t="n"/>
      <c r="AG30" s="43" t="n"/>
      <c r="AH30" s="6">
        <f>Table5[[#This Row],[ (RESV. STORGE) BER]]/10</f>
        <v/>
      </c>
      <c r="AI30" s="41" t="n"/>
      <c r="AJ30" s="41">
        <f>Table5[[#This Row],[(A/B) AJD]]-Table5[[#This Row],[BER_IN]]</f>
        <v/>
      </c>
      <c r="AK30" s="43" t="n"/>
      <c r="AL30" s="43" t="n"/>
      <c r="AM30" s="32" t="n"/>
      <c r="AN30" s="32">
        <f>Table5[[#This Row],[ (RESV. STORGE) SER]]/10</f>
        <v/>
      </c>
      <c r="AO30" s="68" t="n"/>
      <c r="AP30" s="100">
        <f>Table5[[#This Row],[(A/S) AJD]]-Table5[[#This Row],[SER_IN]]</f>
        <v/>
      </c>
    </row>
    <row r="31" ht="18.75" customHeight="1">
      <c r="A31" s="98" t="n">
        <v>47148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Table5[[#This Row],[ (T/B) SAR]]+Table5[[#This Row],[ (S/S) SAR]]</f>
        <v/>
      </c>
      <c r="L31" s="45" t="n"/>
      <c r="M31" s="46" t="n"/>
      <c r="N31" s="46" t="n"/>
      <c r="O31" s="40" t="n"/>
      <c r="P31" s="3">
        <f>Table5[[#This Row],[ (S/S) SAR]]-Table5[[#This Row],[(S/S) AJD]]</f>
        <v/>
      </c>
      <c r="Q31" s="40" t="n"/>
      <c r="R31" s="3">
        <f>Table5[[#This Row],[ (T/B) SAR]]-Table5[[#This Row],[(T/B) AJD]]</f>
        <v/>
      </c>
      <c r="S31" s="3">
        <f>Table5[[#This Row],[S/S_CON.]]+Table5[[#This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Table5[[#This Row],[(RESV. STORGE) AJD]]/10</f>
        <v/>
      </c>
      <c r="AB31" s="3">
        <f>IF(TRIM(Z31)="",,(Z31-Z30)/1000)</f>
        <v/>
      </c>
      <c r="AC31" s="5" t="n"/>
      <c r="AD31" s="70">
        <f>(Table5[[#This Row],[( S/S+T/B) AJD]]*1000)-((Table5[[#This Row],[(STORGE DIFF.) AJD]]*1000)+Table5[[#This Row],[AJD_Evaporation]]+(Table5[[#This Row],[(A/B + A/S) AJD]]*1000))</f>
        <v/>
      </c>
      <c r="AE31" s="44" t="n"/>
      <c r="AF31" s="45" t="n"/>
      <c r="AG31" s="45" t="n"/>
      <c r="AH31" s="6">
        <f>Table5[[#This Row],[ (RESV. STORGE) BER]]/10</f>
        <v/>
      </c>
      <c r="AI31" s="44" t="n"/>
      <c r="AJ31" s="67">
        <f>Table5[[#This Row],[(A/B) AJD]]-Table5[[#This Row],[BER_IN]]</f>
        <v/>
      </c>
      <c r="AK31" s="45" t="n"/>
      <c r="AL31" s="45" t="n"/>
      <c r="AM31" s="32" t="n"/>
      <c r="AN31" s="32">
        <f>Table5[[#This Row],[ (RESV. STORGE) SER]]/10</f>
        <v/>
      </c>
      <c r="AO31" s="68" t="n"/>
      <c r="AP31" s="100">
        <f>Table5[[#This Row],[(A/S) AJD]]-Table5[[#This Row],[SER_IN]]</f>
        <v/>
      </c>
    </row>
    <row r="32" ht="18.75" customHeight="1">
      <c r="A32" s="98" t="n">
        <v>47149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Table5[[#This Row],[ (T/B) SAR]]+Table5[[#This Row],[ (S/S) SAR]]</f>
        <v/>
      </c>
      <c r="L32" s="41" t="n"/>
      <c r="M32" s="42" t="n"/>
      <c r="N32" s="42" t="n"/>
      <c r="O32" s="39" t="n"/>
      <c r="P32" s="3">
        <f>Table5[[#This Row],[ (S/S) SAR]]-Table5[[#This Row],[(S/S) AJD]]</f>
        <v/>
      </c>
      <c r="Q32" s="39" t="n"/>
      <c r="R32" s="3">
        <f>Table5[[#This Row],[ (T/B) SAR]]-Table5[[#This Row],[(T/B) AJD]]</f>
        <v/>
      </c>
      <c r="S32" s="3">
        <f>Table5[[#This Row],[S/S_CON.]]+Table5[[#This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Table5[[#This Row],[(RESV. STORGE) AJD]]/10</f>
        <v/>
      </c>
      <c r="AB32" s="3">
        <f>IF(TRIM(Z32)="",,(Z32-Z31)/1000)</f>
        <v/>
      </c>
      <c r="AC32" s="5" t="n"/>
      <c r="AD32" s="39">
        <f>(Table5[[#This Row],[( S/S+T/B) AJD]]*1000)-((Table5[[#This Row],[(STORGE DIFF.) AJD]]*1000)+Table5[[#This Row],[AJD_Evaporation]]+(Table5[[#This Row],[(A/B + A/S) AJD]]*1000))</f>
        <v/>
      </c>
      <c r="AE32" s="41" t="n"/>
      <c r="AF32" s="43" t="n"/>
      <c r="AG32" s="43" t="n"/>
      <c r="AH32" s="6">
        <f>Table5[[#This Row],[ (RESV. STORGE) BER]]/10</f>
        <v/>
      </c>
      <c r="AI32" s="41" t="n"/>
      <c r="AJ32" s="41">
        <f>Table5[[#This Row],[(A/B) AJD]]-Table5[[#This Row],[BER_IN]]</f>
        <v/>
      </c>
      <c r="AK32" s="43" t="n"/>
      <c r="AL32" s="43" t="n"/>
      <c r="AM32" s="32" t="n"/>
      <c r="AN32" s="32">
        <f>Table5[[#This Row],[ (RESV. STORGE) SER]]/10</f>
        <v/>
      </c>
      <c r="AO32" s="68" t="n"/>
      <c r="AP32" s="100">
        <f>Table5[[#This Row],[(A/S) AJD]]-Table5[[#This Row],[SER_IN]]</f>
        <v/>
      </c>
    </row>
    <row r="33" ht="18.75" customHeight="1">
      <c r="A33" s="98" t="n">
        <v>47150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Table5[[#This Row],[ (T/B) SAR]]+Table5[[#This Row],[ (S/S) SAR]]</f>
        <v/>
      </c>
      <c r="L33" s="41" t="n"/>
      <c r="M33" s="42" t="n"/>
      <c r="N33" s="42" t="n"/>
      <c r="O33" s="39" t="n"/>
      <c r="P33" s="3">
        <f>Table5[[#This Row],[ (S/S) SAR]]-Table5[[#This Row],[(S/S) AJD]]</f>
        <v/>
      </c>
      <c r="Q33" s="39" t="n"/>
      <c r="R33" s="3">
        <f>Table5[[#This Row],[ (T/B) SAR]]-Table5[[#This Row],[(T/B) AJD]]</f>
        <v/>
      </c>
      <c r="S33" s="3">
        <f>Table5[[#This Row],[S/S_CON.]]+Table5[[#This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Table5[[#This Row],[(RESV. STORGE) AJD]]/10</f>
        <v/>
      </c>
      <c r="AB33" s="3">
        <f>IF(TRIM(Z33)="",,(Z33-Z32)/1000)</f>
        <v/>
      </c>
      <c r="AC33" s="5" t="n"/>
      <c r="AD33" s="39">
        <f>(Table5[[#This Row],[( S/S+T/B) AJD]]*1000)-((Table5[[#This Row],[(STORGE DIFF.) AJD]]*1000)+Table5[[#This Row],[AJD_Evaporation]]+(Table5[[#This Row],[(A/B + A/S) AJD]]*1000))</f>
        <v/>
      </c>
      <c r="AE33" s="41" t="n"/>
      <c r="AF33" s="43" t="n"/>
      <c r="AG33" s="43" t="n"/>
      <c r="AH33" s="6">
        <f>Table5[[#This Row],[ (RESV. STORGE) BER]]/10</f>
        <v/>
      </c>
      <c r="AI33" s="41" t="n"/>
      <c r="AJ33" s="41">
        <f>Table5[[#This Row],[(A/B) AJD]]-Table5[[#This Row],[BER_IN]]</f>
        <v/>
      </c>
      <c r="AK33" s="43" t="n"/>
      <c r="AL33" s="43" t="n"/>
      <c r="AM33" s="32" t="n"/>
      <c r="AN33" s="32">
        <f>Table5[[#This Row],[ (RESV. STORGE) SER]]/10</f>
        <v/>
      </c>
      <c r="AO33" s="68" t="n"/>
      <c r="AP33" s="100">
        <f>Table5[[#This Row],[(A/S) AJD]]-Table5[[#This Row],[SER_IN]]</f>
        <v/>
      </c>
    </row>
    <row r="34" ht="18.75" customHeight="1">
      <c r="A34" s="98" t="n">
        <v>47151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Table5[[#This Row],[ (T/B) SAR]]+Table5[[#This Row],[ (S/S) SAR]]</f>
        <v/>
      </c>
      <c r="L34" s="45" t="n"/>
      <c r="M34" s="46" t="n"/>
      <c r="N34" s="46" t="n"/>
      <c r="O34" s="40" t="n"/>
      <c r="P34" s="3">
        <f>Table5[[#This Row],[ (S/S) SAR]]-Table5[[#This Row],[(S/S) AJD]]</f>
        <v/>
      </c>
      <c r="Q34" s="40" t="n"/>
      <c r="R34" s="3">
        <f>Table5[[#This Row],[ (T/B) SAR]]-Table5[[#This Row],[(T/B) AJD]]</f>
        <v/>
      </c>
      <c r="S34" s="3">
        <f>Table5[[#This Row],[S/S_CON.]]+Table5[[#This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Table5[[#This Row],[(RESV. STORGE) AJD]]/10</f>
        <v/>
      </c>
      <c r="AB34" s="3">
        <f>IF(TRIM(Z34)="",,(Z34-Z33)/1000)</f>
        <v/>
      </c>
      <c r="AC34" s="5" t="n"/>
      <c r="AD34" s="40">
        <f>(Table5[[#This Row],[( S/S+T/B) AJD]]*1000)-((Table5[[#This Row],[(STORGE DIFF.) AJD]]*1000)+Table5[[#This Row],[AJD_Evaporation]]+(Table5[[#This Row],[(A/B + A/S) AJD]]*1000))</f>
        <v/>
      </c>
      <c r="AE34" s="44" t="n"/>
      <c r="AF34" s="45" t="n"/>
      <c r="AG34" s="45" t="n"/>
      <c r="AH34" s="6">
        <f>Table5[[#This Row],[ (RESV. STORGE) BER]]/10</f>
        <v/>
      </c>
      <c r="AI34" s="44" t="n"/>
      <c r="AJ34" s="44">
        <f>Table5[[#This Row],[(A/B) AJD]]-Table5[[#This Row],[BER_IN]]</f>
        <v/>
      </c>
      <c r="AK34" s="45" t="n"/>
      <c r="AL34" s="45" t="n"/>
      <c r="AM34" s="32" t="n"/>
      <c r="AN34" s="32">
        <f>Table5[[#This Row],[ (RESV. STORGE) SER]]/10</f>
        <v/>
      </c>
      <c r="AO34" s="68" t="n"/>
      <c r="AP34" s="100">
        <f>Table5[[#This Row],[(A/S) AJD]]-Table5[[#This Row],[SER_IN]]</f>
        <v/>
      </c>
    </row>
    <row r="35" ht="18.75" customHeight="1">
      <c r="A35" s="98" t="n">
        <v>47152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Table5[[#This Row],[ (T/B) SAR]]+Table5[[#This Row],[ (S/S) SAR]]</f>
        <v/>
      </c>
      <c r="L35" s="41" t="n"/>
      <c r="M35" s="42" t="n"/>
      <c r="N35" s="42" t="n"/>
      <c r="O35" s="39" t="n"/>
      <c r="P35" s="3">
        <f>Table5[[#This Row],[ (S/S) SAR]]-Table5[[#This Row],[(S/S) AJD]]</f>
        <v/>
      </c>
      <c r="Q35" s="39" t="n"/>
      <c r="R35" s="3">
        <f>Table5[[#This Row],[ (T/B) SAR]]-Table5[[#This Row],[(T/B) AJD]]</f>
        <v/>
      </c>
      <c r="S35" s="3">
        <f>Table5[[#This Row],[S/S_CON.]]+Table5[[#This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Table5[[#This Row],[(RESV. STORGE) AJD]]/10</f>
        <v/>
      </c>
      <c r="AB35" s="3">
        <f>IF(TRIM(Z35)="",,(Z35-Z34)/1000)</f>
        <v/>
      </c>
      <c r="AC35" s="5" t="n"/>
      <c r="AD35" s="39">
        <f>(Table5[[#This Row],[( S/S+T/B) AJD]]*1000)-((Table5[[#This Row],[(STORGE DIFF.) AJD]]*1000)+Table5[[#This Row],[AJD_Evaporation]]+(Table5[[#This Row],[(A/B + A/S) AJD]]*1000))</f>
        <v/>
      </c>
      <c r="AE35" s="41" t="n"/>
      <c r="AF35" s="43" t="n"/>
      <c r="AG35" s="43" t="n"/>
      <c r="AH35" s="6">
        <f>Table5[[#This Row],[ (RESV. STORGE) BER]]/10</f>
        <v/>
      </c>
      <c r="AI35" s="41" t="n"/>
      <c r="AJ35" s="41">
        <f>Table5[[#This Row],[(A/B) AJD]]-Table5[[#This Row],[BER_IN]]</f>
        <v/>
      </c>
      <c r="AK35" s="43" t="n"/>
      <c r="AL35" s="43" t="n"/>
      <c r="AM35" s="32" t="n"/>
      <c r="AN35" s="32">
        <f>Table5[[#This Row],[ (RESV. STORGE) SER]]/10</f>
        <v/>
      </c>
      <c r="AO35" s="68" t="n"/>
      <c r="AP35" s="100">
        <f>Table5[[#This Row],[(A/S) AJD]]-Table5[[#This Row],[SER_IN]]</f>
        <v/>
      </c>
    </row>
    <row r="36" ht="18.75" customHeight="1">
      <c r="A36" s="98" t="n">
        <v>47153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Table5[[#This Row],[ (T/B) SAR]]+Table5[[#This Row],[ (S/S) SAR]]</f>
        <v/>
      </c>
      <c r="L36" s="45" t="n"/>
      <c r="M36" s="46" t="n"/>
      <c r="N36" s="46" t="n"/>
      <c r="O36" s="40" t="n"/>
      <c r="P36" s="3">
        <f>Table5[[#This Row],[ (S/S) SAR]]-Table5[[#This Row],[(S/S) AJD]]</f>
        <v/>
      </c>
      <c r="Q36" s="40" t="n"/>
      <c r="R36" s="3">
        <f>Table5[[#This Row],[ (T/B) SAR]]-Table5[[#This Row],[(T/B) AJD]]</f>
        <v/>
      </c>
      <c r="S36" s="3">
        <f>Table5[[#This Row],[S/S_CON.]]+Table5[[#This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Table5[[#This Row],[(RESV. STORGE) AJD]]/10</f>
        <v/>
      </c>
      <c r="AB36" s="3">
        <f>IF(TRIM(Z36)="",,(Z36-Z35)/1000)</f>
        <v/>
      </c>
      <c r="AC36" s="5" t="n"/>
      <c r="AD36" s="40">
        <f>(Table5[[#This Row],[( S/S+T/B) AJD]]*1000)-((Table5[[#This Row],[(STORGE DIFF.) AJD]]*1000)+Table5[[#This Row],[AJD_Evaporation]]+(Table5[[#This Row],[(A/B + A/S) AJD]]*1000))</f>
        <v/>
      </c>
      <c r="AE36" s="44" t="n"/>
      <c r="AF36" s="45" t="n"/>
      <c r="AG36" s="45" t="n"/>
      <c r="AH36" s="6">
        <f>Table5[[#This Row],[ (RESV. STORGE) BER]]/10</f>
        <v/>
      </c>
      <c r="AI36" s="44" t="n"/>
      <c r="AJ36" s="44">
        <f>Table5[[#This Row],[(A/B) AJD]]-Table5[[#This Row],[BER_IN]]</f>
        <v/>
      </c>
      <c r="AK36" s="45" t="n"/>
      <c r="AL36" s="45" t="n"/>
      <c r="AM36" s="32" t="n"/>
      <c r="AN36" s="32">
        <f>Table5[[#This Row],[ (RESV. STORGE) SER]]/10</f>
        <v/>
      </c>
      <c r="AO36" s="68" t="n"/>
      <c r="AP36" s="100">
        <f>Table5[[#This Row],[(A/S) AJD]]-Table5[[#This Row],[SER_IN]]</f>
        <v/>
      </c>
    </row>
    <row r="37" ht="18.75" customHeight="1">
      <c r="A37" s="98" t="n">
        <v>47154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Table5[[#This Row],[ (T/B) SAR]]+Table5[[#This Row],[ (S/S) SAR]]</f>
        <v/>
      </c>
      <c r="L37" s="41" t="n"/>
      <c r="M37" s="42" t="n"/>
      <c r="N37" s="42" t="n"/>
      <c r="O37" s="39" t="n"/>
      <c r="P37" s="3">
        <f>Table5[[#This Row],[ (S/S) SAR]]-Table5[[#This Row],[(S/S) AJD]]</f>
        <v/>
      </c>
      <c r="Q37" s="39" t="n"/>
      <c r="R37" s="3">
        <f>Table5[[#This Row],[ (T/B) SAR]]-Table5[[#This Row],[(T/B) AJD]]</f>
        <v/>
      </c>
      <c r="S37" s="3">
        <f>Table5[[#This Row],[S/S_CON.]]+Table5[[#This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Table5[[#This Row],[(RESV. STORGE) AJD]]/10</f>
        <v/>
      </c>
      <c r="AB37" s="3">
        <f>IF(TRIM(Z37)="",,(Z37-Z36)/1000)</f>
        <v/>
      </c>
      <c r="AC37" s="5" t="n"/>
      <c r="AD37" s="39">
        <f>(Table5[[#This Row],[( S/S+T/B) AJD]]*1000)-((Table5[[#This Row],[(STORGE DIFF.) AJD]]*1000)+Table5[[#This Row],[AJD_Evaporation]]+(Table5[[#This Row],[(A/B + A/S) AJD]]*1000))</f>
        <v/>
      </c>
      <c r="AE37" s="41" t="n"/>
      <c r="AF37" s="43" t="n"/>
      <c r="AG37" s="43" t="n"/>
      <c r="AH37" s="6">
        <f>Table5[[#This Row],[ (RESV. STORGE) BER]]/10</f>
        <v/>
      </c>
      <c r="AI37" s="41" t="n"/>
      <c r="AJ37" s="41">
        <f>Table5[[#This Row],[(A/B) AJD]]-Table5[[#This Row],[BER_IN]]</f>
        <v/>
      </c>
      <c r="AK37" s="43" t="n"/>
      <c r="AL37" s="43" t="n"/>
      <c r="AM37" s="32" t="n"/>
      <c r="AN37" s="32">
        <f>Table5[[#This Row],[ (RESV. STORGE) SER]]/10</f>
        <v/>
      </c>
      <c r="AO37" s="68" t="n"/>
      <c r="AP37" s="100">
        <f>Table5[[#This Row],[(A/S) AJD]]-Table5[[#This Row],[SER_IN]]</f>
        <v/>
      </c>
    </row>
    <row r="38" ht="18.75" customHeight="1">
      <c r="A38" s="98" t="n">
        <v>47155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Table5[[#This Row],[ (T/B) SAR]]+Table5[[#This Row],[ (S/S) SAR]]</f>
        <v/>
      </c>
      <c r="L38" s="45" t="n"/>
      <c r="M38" s="46" t="n"/>
      <c r="N38" s="46" t="n"/>
      <c r="O38" s="40" t="n"/>
      <c r="P38" s="3">
        <f>Table5[[#This Row],[ (S/S) SAR]]-Table5[[#This Row],[(S/S) AJD]]</f>
        <v/>
      </c>
      <c r="Q38" s="40" t="n"/>
      <c r="R38" s="3">
        <f>Table5[[#This Row],[ (T/B) SAR]]-Table5[[#This Row],[(T/B) AJD]]</f>
        <v/>
      </c>
      <c r="S38" s="3">
        <f>Table5[[#This Row],[S/S_CON.]]+Table5[[#This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Table5[[#This Row],[(RESV. STORGE) AJD]]/10</f>
        <v/>
      </c>
      <c r="AB38" s="3">
        <f>IF(TRIM(Z38)="",,(Z38-Z37)/1000)</f>
        <v/>
      </c>
      <c r="AC38" s="5" t="n"/>
      <c r="AD38" s="40">
        <f>(Table5[[#This Row],[( S/S+T/B) AJD]]*1000)-((Table5[[#This Row],[(STORGE DIFF.) AJD]]*1000)+Table5[[#This Row],[AJD_Evaporation]]+(Table5[[#This Row],[(A/B + A/S) AJD]]*1000))</f>
        <v/>
      </c>
      <c r="AE38" s="44" t="n"/>
      <c r="AF38" s="45" t="n"/>
      <c r="AG38" s="45" t="n"/>
      <c r="AH38" s="6">
        <f>Table5[[#This Row],[ (RESV. STORGE) BER]]/10</f>
        <v/>
      </c>
      <c r="AI38" s="44" t="n"/>
      <c r="AJ38" s="44">
        <f>Table5[[#This Row],[(A/B) AJD]]-Table5[[#This Row],[BER_IN]]</f>
        <v/>
      </c>
      <c r="AK38" s="45" t="n"/>
      <c r="AL38" s="45" t="n"/>
      <c r="AM38" s="32" t="n"/>
      <c r="AN38" s="32">
        <f>Table5[[#This Row],[ (RESV. STORGE) SER]]/10</f>
        <v/>
      </c>
      <c r="AO38" s="68" t="n"/>
      <c r="AP38" s="100">
        <f>Table5[[#This Row],[(A/S) AJD]]-Table5[[#This Row],[SER_IN]]</f>
        <v/>
      </c>
    </row>
    <row r="39" ht="18.75" customHeight="1">
      <c r="A39" s="98" t="n">
        <v>47156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Table5[[#This Row],[ (T/B) SAR]]+Table5[[#This Row],[ (S/S) SAR]]</f>
        <v/>
      </c>
      <c r="L39" s="41" t="n"/>
      <c r="M39" s="42" t="n"/>
      <c r="N39" s="42" t="n"/>
      <c r="O39" s="39" t="n"/>
      <c r="P39" s="3">
        <f>Table5[[#This Row],[ (S/S) SAR]]-Table5[[#This Row],[(S/S) AJD]]</f>
        <v/>
      </c>
      <c r="Q39" s="39" t="n"/>
      <c r="R39" s="3">
        <f>Table5[[#This Row],[ (T/B) SAR]]-Table5[[#This Row],[(T/B) AJD]]</f>
        <v/>
      </c>
      <c r="S39" s="3">
        <f>Table5[[#This Row],[S/S_CON.]]+Table5[[#This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Table5[[#This Row],[(RESV. STORGE) AJD]]/10</f>
        <v/>
      </c>
      <c r="AB39" s="3">
        <f>IF(TRIM(Z39)="",,(Z39-Z38)/1000)</f>
        <v/>
      </c>
      <c r="AC39" s="5" t="n"/>
      <c r="AD39" s="39">
        <f>(Table5[[#This Row],[( S/S+T/B) AJD]]*1000)-((Table5[[#This Row],[(STORGE DIFF.) AJD]]*1000)+Table5[[#This Row],[AJD_Evaporation]]+(Table5[[#This Row],[(A/B + A/S) AJD]]*1000))</f>
        <v/>
      </c>
      <c r="AE39" s="41" t="n"/>
      <c r="AF39" s="43" t="n"/>
      <c r="AG39" s="43" t="n"/>
      <c r="AH39" s="6">
        <f>Table5[[#This Row],[ (RESV. STORGE) BER]]/10</f>
        <v/>
      </c>
      <c r="AI39" s="41" t="n"/>
      <c r="AJ39" s="41">
        <f>Table5[[#This Row],[(A/B) AJD]]-Table5[[#This Row],[BER_IN]]</f>
        <v/>
      </c>
      <c r="AK39" s="43" t="n"/>
      <c r="AL39" s="43" t="n"/>
      <c r="AM39" s="32" t="n"/>
      <c r="AN39" s="32">
        <f>Table5[[#This Row],[ (RESV. STORGE) SER]]/10</f>
        <v/>
      </c>
      <c r="AO39" s="68" t="n"/>
      <c r="AP39" s="100">
        <f>Table5[[#This Row],[(A/S) AJD]]-Table5[[#This Row],[SER_IN]]</f>
        <v/>
      </c>
    </row>
    <row r="40" ht="18.75" customHeight="1">
      <c r="A40" s="98" t="n">
        <v>47157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Table5[[#This Row],[ (T/B) SAR]]+Table5[[#This Row],[ (S/S) SAR]]</f>
        <v/>
      </c>
      <c r="L40" s="45" t="n"/>
      <c r="M40" s="46" t="n"/>
      <c r="N40" s="46" t="n"/>
      <c r="O40" s="40" t="n"/>
      <c r="P40" s="3">
        <f>Table5[[#This Row],[ (S/S) SAR]]-Table5[[#This Row],[(S/S) AJD]]</f>
        <v/>
      </c>
      <c r="Q40" s="40" t="n"/>
      <c r="R40" s="3">
        <f>Table5[[#This Row],[ (T/B) SAR]]-Table5[[#This Row],[(T/B) AJD]]</f>
        <v/>
      </c>
      <c r="S40" s="3">
        <f>Table5[[#This Row],[S/S_CON.]]+Table5[[#This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Table5[[#This Row],[(RESV. STORGE) AJD]]/10</f>
        <v/>
      </c>
      <c r="AB40" s="3">
        <f>IF(TRIM(Z40)="",,(Z40-Z39)/1000)</f>
        <v/>
      </c>
      <c r="AC40" s="5" t="n"/>
      <c r="AD40" s="40">
        <f>(Table5[[#This Row],[( S/S+T/B) AJD]]*1000)-((Table5[[#This Row],[(STORGE DIFF.) AJD]]*1000)+Table5[[#This Row],[AJD_Evaporation]]+(Table5[[#This Row],[(A/B + A/S) AJD]]*1000))</f>
        <v/>
      </c>
      <c r="AE40" s="44" t="n"/>
      <c r="AF40" s="45" t="n"/>
      <c r="AG40" s="45" t="n"/>
      <c r="AH40" s="6">
        <f>Table5[[#This Row],[ (RESV. STORGE) BER]]/10</f>
        <v/>
      </c>
      <c r="AI40" s="44" t="n"/>
      <c r="AJ40" s="44">
        <f>Table5[[#This Row],[(A/B) AJD]]-Table5[[#This Row],[BER_IN]]</f>
        <v/>
      </c>
      <c r="AK40" s="45" t="n"/>
      <c r="AL40" s="45" t="n"/>
      <c r="AM40" s="32" t="n"/>
      <c r="AN40" s="32">
        <f>Table5[[#This Row],[ (RESV. STORGE) SER]]/10</f>
        <v/>
      </c>
      <c r="AO40" s="68" t="n"/>
      <c r="AP40" s="100">
        <f>Table5[[#This Row],[(A/S) AJD]]-Table5[[#This Row],[SER_IN]]</f>
        <v/>
      </c>
    </row>
    <row r="41" ht="18.75" customHeight="1">
      <c r="A41" s="98" t="n">
        <v>47158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Table5[[#This Row],[ (T/B) SAR]]+Table5[[#This Row],[ (S/S) SAR]]</f>
        <v/>
      </c>
      <c r="L41" s="41" t="n"/>
      <c r="M41" s="42" t="n"/>
      <c r="N41" s="42" t="n"/>
      <c r="O41" s="39" t="n"/>
      <c r="P41" s="3">
        <f>Table5[[#This Row],[ (S/S) SAR]]-Table5[[#This Row],[(S/S) AJD]]</f>
        <v/>
      </c>
      <c r="Q41" s="39" t="n"/>
      <c r="R41" s="3">
        <f>Table5[[#This Row],[ (T/B) SAR]]-Table5[[#This Row],[(T/B) AJD]]</f>
        <v/>
      </c>
      <c r="S41" s="3">
        <f>Table5[[#This Row],[S/S_CON.]]+Table5[[#This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Table5[[#This Row],[(RESV. STORGE) AJD]]/10</f>
        <v/>
      </c>
      <c r="AB41" s="3">
        <f>IF(TRIM(Z41)="",,(Z41-Z40)/1000)</f>
        <v/>
      </c>
      <c r="AC41" s="5" t="n"/>
      <c r="AD41" s="39">
        <f>(Table5[[#This Row],[( S/S+T/B) AJD]]*1000)-((Table5[[#This Row],[(STORGE DIFF.) AJD]]*1000)+Table5[[#This Row],[AJD_Evaporation]]+(Table5[[#This Row],[(A/B + A/S) AJD]]*1000))</f>
        <v/>
      </c>
      <c r="AE41" s="41" t="n"/>
      <c r="AF41" s="43" t="n"/>
      <c r="AG41" s="43" t="n"/>
      <c r="AH41" s="6">
        <f>Table5[[#This Row],[ (RESV. STORGE) BER]]/10</f>
        <v/>
      </c>
      <c r="AI41" s="41" t="n"/>
      <c r="AJ41" s="41">
        <f>Table5[[#This Row],[(A/B) AJD]]-Table5[[#This Row],[BER_IN]]</f>
        <v/>
      </c>
      <c r="AK41" s="43" t="n"/>
      <c r="AL41" s="43" t="n"/>
      <c r="AM41" s="32" t="n"/>
      <c r="AN41" s="32">
        <f>Table5[[#This Row],[ (RESV. STORGE) SER]]/10</f>
        <v/>
      </c>
      <c r="AO41" s="68" t="n"/>
      <c r="AP41" s="100">
        <f>Table5[[#This Row],[(A/S) AJD]]-Table5[[#This Row],[SER_IN]]</f>
        <v/>
      </c>
    </row>
    <row r="42" ht="18.75" customHeight="1">
      <c r="A42" s="98" t="n">
        <v>47159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Table5[[#This Row],[ (T/B) SAR]]+Table5[[#This Row],[ (S/S) SAR]]</f>
        <v/>
      </c>
      <c r="L42" s="45" t="n"/>
      <c r="M42" s="46" t="n"/>
      <c r="N42" s="46" t="n"/>
      <c r="O42" s="40" t="n"/>
      <c r="P42" s="3">
        <f>Table5[[#This Row],[ (S/S) SAR]]-Table5[[#This Row],[(S/S) AJD]]</f>
        <v/>
      </c>
      <c r="Q42" s="40" t="n"/>
      <c r="R42" s="3">
        <f>Table5[[#This Row],[ (T/B) SAR]]-Table5[[#This Row],[(T/B) AJD]]</f>
        <v/>
      </c>
      <c r="S42" s="3">
        <f>Table5[[#This Row],[S/S_CON.]]+Table5[[#This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Table5[[#This Row],[(RESV. STORGE) AJD]]/10</f>
        <v/>
      </c>
      <c r="AB42" s="3">
        <f>IF(TRIM(Z42)="",,(Z42-Z41)/1000)</f>
        <v/>
      </c>
      <c r="AC42" s="5" t="n"/>
      <c r="AD42" s="40">
        <f>(Table5[[#This Row],[( S/S+T/B) AJD]]*1000)-((Table5[[#This Row],[(STORGE DIFF.) AJD]]*1000)+Table5[[#This Row],[AJD_Evaporation]]+(Table5[[#This Row],[(A/B + A/S) AJD]]*1000))</f>
        <v/>
      </c>
      <c r="AE42" s="44" t="n"/>
      <c r="AF42" s="45" t="n"/>
      <c r="AG42" s="45" t="n"/>
      <c r="AH42" s="6">
        <f>Table5[[#This Row],[ (RESV. STORGE) BER]]/10</f>
        <v/>
      </c>
      <c r="AI42" s="44" t="n"/>
      <c r="AJ42" s="44">
        <f>Table5[[#This Row],[(A/B) AJD]]-Table5[[#This Row],[BER_IN]]</f>
        <v/>
      </c>
      <c r="AK42" s="45" t="n"/>
      <c r="AL42" s="45" t="n"/>
      <c r="AM42" s="32" t="n"/>
      <c r="AN42" s="32">
        <f>Table5[[#This Row],[ (RESV. STORGE) SER]]/10</f>
        <v/>
      </c>
      <c r="AO42" s="68" t="n"/>
      <c r="AP42" s="100">
        <f>Table5[[#This Row],[(A/S) AJD]]-Table5[[#This Row],[SER_IN]]</f>
        <v/>
      </c>
    </row>
    <row r="43" ht="18.75" customHeight="1">
      <c r="A43" s="98" t="n">
        <v>47160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Table5[[#This Row],[ (T/B) SAR]]+Table5[[#This Row],[ (S/S) SAR]]</f>
        <v/>
      </c>
      <c r="L43" s="41" t="n"/>
      <c r="M43" s="42" t="n"/>
      <c r="N43" s="42" t="n"/>
      <c r="O43" s="39" t="n"/>
      <c r="P43" s="3">
        <f>Table5[[#This Row],[ (S/S) SAR]]-Table5[[#This Row],[(S/S) AJD]]</f>
        <v/>
      </c>
      <c r="Q43" s="39" t="n"/>
      <c r="R43" s="3">
        <f>Table5[[#This Row],[ (T/B) SAR]]-Table5[[#This Row],[(T/B) AJD]]</f>
        <v/>
      </c>
      <c r="S43" s="3">
        <f>Table5[[#This Row],[S/S_CON.]]+Table5[[#This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Table5[[#This Row],[(RESV. STORGE) AJD]]/10</f>
        <v/>
      </c>
      <c r="AB43" s="3">
        <f>IF(TRIM(Z43)="",,(Z43-Z42)/1000)</f>
        <v/>
      </c>
      <c r="AC43" s="5" t="n"/>
      <c r="AD43" s="39">
        <f>(Table5[[#This Row],[( S/S+T/B) AJD]]*1000)-((Table5[[#This Row],[(STORGE DIFF.) AJD]]*1000)+Table5[[#This Row],[AJD_Evaporation]]+(Table5[[#This Row],[(A/B + A/S) AJD]]*1000))</f>
        <v/>
      </c>
      <c r="AE43" s="41" t="n"/>
      <c r="AF43" s="43" t="n"/>
      <c r="AG43" s="43" t="n"/>
      <c r="AH43" s="6">
        <f>Table5[[#This Row],[ (RESV. STORGE) BER]]/10</f>
        <v/>
      </c>
      <c r="AI43" s="41" t="n"/>
      <c r="AJ43" s="41">
        <f>Table5[[#This Row],[(A/B) AJD]]-Table5[[#This Row],[BER_IN]]</f>
        <v/>
      </c>
      <c r="AK43" s="43" t="n"/>
      <c r="AL43" s="43" t="n"/>
      <c r="AM43" s="32" t="n"/>
      <c r="AN43" s="32">
        <f>Table5[[#This Row],[ (RESV. STORGE) SER]]/10</f>
        <v/>
      </c>
      <c r="AO43" s="68" t="n"/>
      <c r="AP43" s="100">
        <f>Table5[[#This Row],[(A/S) AJD]]-Table5[[#This Row],[SER_IN]]</f>
        <v/>
      </c>
    </row>
    <row r="44" ht="18.75" customHeight="1">
      <c r="A44" s="98" t="n">
        <v>47161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Table5[[#This Row],[ (T/B) SAR]]+Table5[[#This Row],[ (S/S) SAR]]</f>
        <v/>
      </c>
      <c r="L44" s="45" t="n"/>
      <c r="M44" s="46" t="n"/>
      <c r="N44" s="46" t="n"/>
      <c r="O44" s="40" t="n"/>
      <c r="P44" s="3">
        <f>Table5[[#This Row],[ (S/S) SAR]]-Table5[[#This Row],[(S/S) AJD]]</f>
        <v/>
      </c>
      <c r="Q44" s="40" t="n"/>
      <c r="R44" s="3">
        <f>Table5[[#This Row],[ (T/B) SAR]]-Table5[[#This Row],[(T/B) AJD]]</f>
        <v/>
      </c>
      <c r="S44" s="3">
        <f>Table5[[#This Row],[S/S_CON.]]+Table5[[#This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Table5[[#This Row],[(RESV. STORGE) AJD]]/10</f>
        <v/>
      </c>
      <c r="AB44" s="3">
        <f>IF(TRIM(Z44)="",,(Z44-Z43)/1000)</f>
        <v/>
      </c>
      <c r="AC44" s="5" t="n"/>
      <c r="AD44" s="40">
        <f>(Table5[[#This Row],[( S/S+T/B) AJD]]*1000)-((Table5[[#This Row],[(STORGE DIFF.) AJD]]*1000)+Table5[[#This Row],[AJD_Evaporation]]+(Table5[[#This Row],[(A/B + A/S) AJD]]*1000))</f>
        <v/>
      </c>
      <c r="AE44" s="44" t="n"/>
      <c r="AF44" s="45" t="n"/>
      <c r="AG44" s="45" t="n"/>
      <c r="AH44" s="6">
        <f>Table5[[#This Row],[ (RESV. STORGE) BER]]/10</f>
        <v/>
      </c>
      <c r="AI44" s="44" t="n"/>
      <c r="AJ44" s="44">
        <f>Table5[[#This Row],[(A/B) AJD]]-Table5[[#This Row],[BER_IN]]</f>
        <v/>
      </c>
      <c r="AK44" s="45" t="n"/>
      <c r="AL44" s="45" t="n"/>
      <c r="AM44" s="32" t="n"/>
      <c r="AN44" s="32">
        <f>Table5[[#This Row],[ (RESV. STORGE) SER]]/10</f>
        <v/>
      </c>
      <c r="AO44" s="68" t="n"/>
      <c r="AP44" s="100">
        <f>Table5[[#This Row],[(A/S) AJD]]-Table5[[#This Row],[SER_IN]]</f>
        <v/>
      </c>
    </row>
    <row r="45" ht="18.75" customHeight="1">
      <c r="A45" s="98" t="n">
        <v>47162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Table5[[#This Row],[ (T/B) SAR]]+Table5[[#This Row],[ (S/S) SAR]]</f>
        <v/>
      </c>
      <c r="L45" s="41" t="n"/>
      <c r="M45" s="42" t="n"/>
      <c r="N45" s="42" t="n"/>
      <c r="O45" s="39" t="n"/>
      <c r="P45" s="3">
        <f>Table5[[#This Row],[ (S/S) SAR]]-Table5[[#This Row],[(S/S) AJD]]</f>
        <v/>
      </c>
      <c r="Q45" s="39" t="n"/>
      <c r="R45" s="3">
        <f>Table5[[#This Row],[ (T/B) SAR]]-Table5[[#This Row],[(T/B) AJD]]</f>
        <v/>
      </c>
      <c r="S45" s="3">
        <f>Table5[[#This Row],[S/S_CON.]]+Table5[[#This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Table5[[#This Row],[(RESV. STORGE) AJD]]/10</f>
        <v/>
      </c>
      <c r="AB45" s="3">
        <f>IF(TRIM(Z45)="",,(Z45-Z44)/1000)</f>
        <v/>
      </c>
      <c r="AC45" s="5" t="n"/>
      <c r="AD45" s="39">
        <f>(Table5[[#This Row],[( S/S+T/B) AJD]]*1000)-((Table5[[#This Row],[(STORGE DIFF.) AJD]]*1000)+Table5[[#This Row],[AJD_Evaporation]]+(Table5[[#This Row],[(A/B + A/S) AJD]]*1000))</f>
        <v/>
      </c>
      <c r="AE45" s="41" t="n"/>
      <c r="AF45" s="43" t="n"/>
      <c r="AG45" s="43" t="n"/>
      <c r="AH45" s="6">
        <f>Table5[[#This Row],[ (RESV. STORGE) BER]]/10</f>
        <v/>
      </c>
      <c r="AI45" s="41" t="n"/>
      <c r="AJ45" s="41">
        <f>Table5[[#This Row],[(A/B) AJD]]-Table5[[#This Row],[BER_IN]]</f>
        <v/>
      </c>
      <c r="AK45" s="43" t="n"/>
      <c r="AL45" s="43" t="n"/>
      <c r="AM45" s="32" t="n"/>
      <c r="AN45" s="32">
        <f>Table5[[#This Row],[ (RESV. STORGE) SER]]/10</f>
        <v/>
      </c>
      <c r="AO45" s="68" t="n"/>
      <c r="AP45" s="100">
        <f>Table5[[#This Row],[(A/S) AJD]]-Table5[[#This Row],[SER_IN]]</f>
        <v/>
      </c>
    </row>
    <row r="46" ht="18.75" customHeight="1">
      <c r="A46" s="98" t="n">
        <v>47163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Table5[[#This Row],[ (T/B) SAR]]+Table5[[#This Row],[ (S/S) SAR]]</f>
        <v/>
      </c>
      <c r="L46" s="45" t="n"/>
      <c r="M46" s="46" t="n"/>
      <c r="N46" s="46" t="n"/>
      <c r="O46" s="40" t="n"/>
      <c r="P46" s="3">
        <f>Table5[[#This Row],[ (S/S) SAR]]-Table5[[#This Row],[(S/S) AJD]]</f>
        <v/>
      </c>
      <c r="Q46" s="40" t="n"/>
      <c r="R46" s="3">
        <f>Table5[[#This Row],[ (T/B) SAR]]-Table5[[#This Row],[(T/B) AJD]]</f>
        <v/>
      </c>
      <c r="S46" s="3">
        <f>Table5[[#This Row],[S/S_CON.]]+Table5[[#This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Table5[[#This Row],[(RESV. STORGE) AJD]]/10</f>
        <v/>
      </c>
      <c r="AB46" s="3">
        <f>IF(TRIM(Z46)="",,(Z46-Z45)/1000)</f>
        <v/>
      </c>
      <c r="AC46" s="5" t="n"/>
      <c r="AD46" s="40">
        <f>(Table5[[#This Row],[( S/S+T/B) AJD]]*1000)-((Table5[[#This Row],[(STORGE DIFF.) AJD]]*1000)+Table5[[#This Row],[AJD_Evaporation]]+(Table5[[#This Row],[(A/B + A/S) AJD]]*1000))</f>
        <v/>
      </c>
      <c r="AE46" s="44" t="n"/>
      <c r="AF46" s="45" t="n"/>
      <c r="AG46" s="45" t="n"/>
      <c r="AH46" s="6">
        <f>Table5[[#This Row],[ (RESV. STORGE) BER]]/10</f>
        <v/>
      </c>
      <c r="AI46" s="44" t="n"/>
      <c r="AJ46" s="44">
        <f>Table5[[#This Row],[(A/B) AJD]]-Table5[[#This Row],[BER_IN]]</f>
        <v/>
      </c>
      <c r="AK46" s="45" t="n"/>
      <c r="AL46" s="45" t="n"/>
      <c r="AM46" s="32" t="n"/>
      <c r="AN46" s="32">
        <f>Table5[[#This Row],[ (RESV. STORGE) SER]]/10</f>
        <v/>
      </c>
      <c r="AO46" s="68" t="n"/>
      <c r="AP46" s="100">
        <f>Table5[[#This Row],[(A/S) AJD]]-Table5[[#This Row],[SER_IN]]</f>
        <v/>
      </c>
    </row>
    <row r="47" ht="18.75" customHeight="1">
      <c r="A47" s="98" t="n">
        <v>47164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Table5[[#This Row],[ (T/B) SAR]]+Table5[[#This Row],[ (S/S) SAR]]</f>
        <v/>
      </c>
      <c r="L47" s="41" t="n"/>
      <c r="M47" s="42" t="n"/>
      <c r="N47" s="42" t="n"/>
      <c r="O47" s="39" t="n"/>
      <c r="P47" s="3">
        <f>Table5[[#This Row],[ (S/S) SAR]]-Table5[[#This Row],[(S/S) AJD]]</f>
        <v/>
      </c>
      <c r="Q47" s="39" t="n"/>
      <c r="R47" s="3">
        <f>Table5[[#This Row],[ (T/B) SAR]]-Table5[[#This Row],[(T/B) AJD]]</f>
        <v/>
      </c>
      <c r="S47" s="3">
        <f>Table5[[#This Row],[S/S_CON.]]+Table5[[#This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Table5[[#This Row],[(RESV. STORGE) AJD]]/10</f>
        <v/>
      </c>
      <c r="AB47" s="3">
        <f>IF(TRIM(Z47)="",,(Z47-Z46)/1000)</f>
        <v/>
      </c>
      <c r="AC47" s="5" t="n"/>
      <c r="AD47" s="39">
        <f>(Table5[[#This Row],[( S/S+T/B) AJD]]*1000)-((Table5[[#This Row],[(STORGE DIFF.) AJD]]*1000)+Table5[[#This Row],[AJD_Evaporation]]+(Table5[[#This Row],[(A/B + A/S) AJD]]*1000))</f>
        <v/>
      </c>
      <c r="AE47" s="41" t="n"/>
      <c r="AF47" s="43" t="n"/>
      <c r="AG47" s="43" t="n"/>
      <c r="AH47" s="6">
        <f>Table5[[#This Row],[ (RESV. STORGE) BER]]/10</f>
        <v/>
      </c>
      <c r="AI47" s="41" t="n"/>
      <c r="AJ47" s="41">
        <f>Table5[[#This Row],[(A/B) AJD]]-Table5[[#This Row],[BER_IN]]</f>
        <v/>
      </c>
      <c r="AK47" s="43" t="n"/>
      <c r="AL47" s="43" t="n"/>
      <c r="AM47" s="32" t="n"/>
      <c r="AN47" s="32">
        <f>Table5[[#This Row],[ (RESV. STORGE) SER]]/10</f>
        <v/>
      </c>
      <c r="AO47" s="68" t="n"/>
      <c r="AP47" s="100">
        <f>Table5[[#This Row],[(A/S) AJD]]-Table5[[#This Row],[SER_IN]]</f>
        <v/>
      </c>
    </row>
    <row r="48" ht="18.75" customHeight="1">
      <c r="A48" s="98" t="n">
        <v>47165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Table5[[#This Row],[ (T/B) SAR]]+Table5[[#This Row],[ (S/S) SAR]]</f>
        <v/>
      </c>
      <c r="L48" s="45" t="n"/>
      <c r="M48" s="46" t="n"/>
      <c r="N48" s="46" t="n"/>
      <c r="O48" s="40" t="n"/>
      <c r="P48" s="3">
        <f>Table5[[#This Row],[ (S/S) SAR]]-Table5[[#This Row],[(S/S) AJD]]</f>
        <v/>
      </c>
      <c r="Q48" s="40" t="n"/>
      <c r="R48" s="3">
        <f>Table5[[#This Row],[ (T/B) SAR]]-Table5[[#This Row],[(T/B) AJD]]</f>
        <v/>
      </c>
      <c r="S48" s="3">
        <f>Table5[[#This Row],[S/S_CON.]]+Table5[[#This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Table5[[#This Row],[(RESV. STORGE) AJD]]/10</f>
        <v/>
      </c>
      <c r="AB48" s="3">
        <f>IF(TRIM(Z48)="",,(Z48-Z47)/1000)</f>
        <v/>
      </c>
      <c r="AC48" s="5" t="n"/>
      <c r="AD48" s="40">
        <f>(Table5[[#This Row],[( S/S+T/B) AJD]]*1000)-((Table5[[#This Row],[(STORGE DIFF.) AJD]]*1000)+Table5[[#This Row],[AJD_Evaporation]]+(Table5[[#This Row],[(A/B + A/S) AJD]]*1000))</f>
        <v/>
      </c>
      <c r="AE48" s="44" t="n"/>
      <c r="AF48" s="45" t="n"/>
      <c r="AG48" s="45" t="n"/>
      <c r="AH48" s="6">
        <f>Table5[[#This Row],[ (RESV. STORGE) BER]]/10</f>
        <v/>
      </c>
      <c r="AI48" s="44" t="n"/>
      <c r="AJ48" s="44">
        <f>Table5[[#This Row],[(A/B) AJD]]-Table5[[#This Row],[BER_IN]]</f>
        <v/>
      </c>
      <c r="AK48" s="45" t="n"/>
      <c r="AL48" s="45" t="n"/>
      <c r="AM48" s="32" t="n"/>
      <c r="AN48" s="32">
        <f>Table5[[#This Row],[ (RESV. STORGE) SER]]/10</f>
        <v/>
      </c>
      <c r="AO48" s="68" t="n"/>
      <c r="AP48" s="100">
        <f>Table5[[#This Row],[(A/S) AJD]]-Table5[[#This Row],[SER_IN]]</f>
        <v/>
      </c>
    </row>
    <row r="49" ht="18.75" customHeight="1">
      <c r="A49" s="98" t="n">
        <v>47166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Table5[[#This Row],[ (T/B) SAR]]+Table5[[#This Row],[ (S/S) SAR]]</f>
        <v/>
      </c>
      <c r="L49" s="41" t="n"/>
      <c r="M49" s="42" t="n"/>
      <c r="N49" s="42" t="n"/>
      <c r="O49" s="39" t="n"/>
      <c r="P49" s="3">
        <f>Table5[[#This Row],[ (S/S) SAR]]-Table5[[#This Row],[(S/S) AJD]]</f>
        <v/>
      </c>
      <c r="Q49" s="39" t="n"/>
      <c r="R49" s="3">
        <f>Table5[[#This Row],[ (T/B) SAR]]-Table5[[#This Row],[(T/B) AJD]]</f>
        <v/>
      </c>
      <c r="S49" s="3">
        <f>Table5[[#This Row],[S/S_CON.]]+Table5[[#This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Table5[[#This Row],[(RESV. STORGE) AJD]]/10</f>
        <v/>
      </c>
      <c r="AB49" s="3">
        <f>IF(TRIM(Z49)="",,(Z49-Z48)/1000)</f>
        <v/>
      </c>
      <c r="AC49" s="5" t="n"/>
      <c r="AD49" s="39">
        <f>(Table5[[#This Row],[( S/S+T/B) AJD]]*1000)-((Table5[[#This Row],[(STORGE DIFF.) AJD]]*1000)+Table5[[#This Row],[AJD_Evaporation]]+(Table5[[#This Row],[(A/B + A/S) AJD]]*1000))</f>
        <v/>
      </c>
      <c r="AE49" s="41" t="n"/>
      <c r="AF49" s="43" t="n"/>
      <c r="AG49" s="43" t="n"/>
      <c r="AH49" s="6">
        <f>Table5[[#This Row],[ (RESV. STORGE) BER]]/10</f>
        <v/>
      </c>
      <c r="AI49" s="41" t="n"/>
      <c r="AJ49" s="41">
        <f>Table5[[#This Row],[(A/B) AJD]]-Table5[[#This Row],[BER_IN]]</f>
        <v/>
      </c>
      <c r="AK49" s="43" t="n"/>
      <c r="AL49" s="43" t="n"/>
      <c r="AM49" s="32" t="n"/>
      <c r="AN49" s="32">
        <f>Table5[[#This Row],[ (RESV. STORGE) SER]]/10</f>
        <v/>
      </c>
      <c r="AO49" s="68" t="n"/>
      <c r="AP49" s="100">
        <f>Table5[[#This Row],[(A/S) AJD]]-Table5[[#This Row],[SER_IN]]</f>
        <v/>
      </c>
    </row>
    <row r="50" ht="18.75" customHeight="1">
      <c r="A50" s="98" t="n">
        <v>47167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Table5[[#This Row],[ (T/B) SAR]]+Table5[[#This Row],[ (S/S) SAR]]</f>
        <v/>
      </c>
      <c r="L50" s="45" t="n"/>
      <c r="M50" s="46" t="n"/>
      <c r="N50" s="46" t="n"/>
      <c r="O50" s="40" t="n"/>
      <c r="P50" s="3">
        <f>Table5[[#This Row],[ (S/S) SAR]]-Table5[[#This Row],[(S/S) AJD]]</f>
        <v/>
      </c>
      <c r="Q50" s="40" t="n"/>
      <c r="R50" s="3">
        <f>Table5[[#This Row],[ (T/B) SAR]]-Table5[[#This Row],[(T/B) AJD]]</f>
        <v/>
      </c>
      <c r="S50" s="3">
        <f>Table5[[#This Row],[S/S_CON.]]+Table5[[#This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Table5[[#This Row],[(RESV. STORGE) AJD]]/10</f>
        <v/>
      </c>
      <c r="AB50" s="3">
        <f>IF(TRIM(Z50)="",,(Z50-Z49)/1000)</f>
        <v/>
      </c>
      <c r="AC50" s="5" t="n"/>
      <c r="AD50" s="40">
        <f>(Table5[[#This Row],[( S/S+T/B) AJD]]*1000)-((Table5[[#This Row],[(STORGE DIFF.) AJD]]*1000)+Table5[[#This Row],[AJD_Evaporation]]+(Table5[[#This Row],[(A/B + A/S) AJD]]*1000))</f>
        <v/>
      </c>
      <c r="AE50" s="44" t="n"/>
      <c r="AF50" s="45" t="n"/>
      <c r="AG50" s="45" t="n"/>
      <c r="AH50" s="6">
        <f>Table5[[#This Row],[ (RESV. STORGE) BER]]/10</f>
        <v/>
      </c>
      <c r="AI50" s="44" t="n"/>
      <c r="AJ50" s="44">
        <f>Table5[[#This Row],[(A/B) AJD]]-Table5[[#This Row],[BER_IN]]</f>
        <v/>
      </c>
      <c r="AK50" s="45" t="n"/>
      <c r="AL50" s="45" t="n"/>
      <c r="AM50" s="32" t="n"/>
      <c r="AN50" s="32">
        <f>Table5[[#This Row],[ (RESV. STORGE) SER]]/10</f>
        <v/>
      </c>
      <c r="AO50" s="68" t="n"/>
      <c r="AP50" s="100">
        <f>Table5[[#This Row],[(A/S) AJD]]-Table5[[#This Row],[SER_IN]]</f>
        <v/>
      </c>
    </row>
    <row r="51" ht="18.75" customHeight="1">
      <c r="A51" s="98" t="n">
        <v>47168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Table5[[#This Row],[ (T/B) SAR]]+Table5[[#This Row],[ (S/S) SAR]]</f>
        <v/>
      </c>
      <c r="L51" s="41" t="n"/>
      <c r="M51" s="42" t="n"/>
      <c r="N51" s="42" t="n"/>
      <c r="O51" s="39" t="n"/>
      <c r="P51" s="3">
        <f>Table5[[#This Row],[ (S/S) SAR]]-Table5[[#This Row],[(S/S) AJD]]</f>
        <v/>
      </c>
      <c r="Q51" s="39" t="n"/>
      <c r="R51" s="3">
        <f>Table5[[#This Row],[ (T/B) SAR]]-Table5[[#This Row],[(T/B) AJD]]</f>
        <v/>
      </c>
      <c r="S51" s="3">
        <f>Table5[[#This Row],[S/S_CON.]]+Table5[[#This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Table5[[#This Row],[(RESV. STORGE) AJD]]/10</f>
        <v/>
      </c>
      <c r="AB51" s="3">
        <f>IF(TRIM(Z51)="",,(Z51-Z50)/1000)</f>
        <v/>
      </c>
      <c r="AC51" s="5" t="n"/>
      <c r="AD51" s="39">
        <f>(Table5[[#This Row],[( S/S+T/B) AJD]]*1000)-((Table5[[#This Row],[(STORGE DIFF.) AJD]]*1000)+Table5[[#This Row],[AJD_Evaporation]]+(Table5[[#This Row],[(A/B + A/S) AJD]]*1000))</f>
        <v/>
      </c>
      <c r="AE51" s="41" t="n"/>
      <c r="AF51" s="43" t="n"/>
      <c r="AG51" s="43" t="n"/>
      <c r="AH51" s="6">
        <f>Table5[[#This Row],[ (RESV. STORGE) BER]]/10</f>
        <v/>
      </c>
      <c r="AI51" s="41" t="n"/>
      <c r="AJ51" s="41">
        <f>Table5[[#This Row],[(A/B) AJD]]-Table5[[#This Row],[BER_IN]]</f>
        <v/>
      </c>
      <c r="AK51" s="43" t="n"/>
      <c r="AL51" s="43" t="n"/>
      <c r="AM51" s="32" t="n"/>
      <c r="AN51" s="32">
        <f>Table5[[#This Row],[ (RESV. STORGE) SER]]/10</f>
        <v/>
      </c>
      <c r="AO51" s="68" t="n"/>
      <c r="AP51" s="100">
        <f>Table5[[#This Row],[(A/S) AJD]]-Table5[[#This Row],[SER_IN]]</f>
        <v/>
      </c>
    </row>
    <row r="52" ht="18.75" customHeight="1">
      <c r="A52" s="98" t="n">
        <v>47169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Table5[[#This Row],[ (T/B) SAR]]+Table5[[#This Row],[ (S/S) SAR]]</f>
        <v/>
      </c>
      <c r="L52" s="45" t="n"/>
      <c r="M52" s="46" t="n"/>
      <c r="N52" s="46" t="n"/>
      <c r="O52" s="40" t="n"/>
      <c r="P52" s="3">
        <f>Table5[[#This Row],[ (S/S) SAR]]-Table5[[#This Row],[(S/S) AJD]]</f>
        <v/>
      </c>
      <c r="Q52" s="40" t="n"/>
      <c r="R52" s="3">
        <f>Table5[[#This Row],[ (T/B) SAR]]-Table5[[#This Row],[(T/B) AJD]]</f>
        <v/>
      </c>
      <c r="S52" s="3">
        <f>Table5[[#This Row],[S/S_CON.]]+Table5[[#This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Table5[[#This Row],[(RESV. STORGE) AJD]]/10</f>
        <v/>
      </c>
      <c r="AB52" s="3">
        <f>IF(TRIM(Z52)="",,(Z52-Z51)/1000)</f>
        <v/>
      </c>
      <c r="AC52" s="5" t="n"/>
      <c r="AD52" s="40">
        <f>(Table5[[#This Row],[( S/S+T/B) AJD]]*1000)-((Table5[[#This Row],[(STORGE DIFF.) AJD]]*1000)+Table5[[#This Row],[AJD_Evaporation]]+(Table5[[#This Row],[(A/B + A/S) AJD]]*1000))</f>
        <v/>
      </c>
      <c r="AE52" s="44" t="n"/>
      <c r="AF52" s="45" t="n"/>
      <c r="AG52" s="45" t="n"/>
      <c r="AH52" s="6">
        <f>Table5[[#This Row],[ (RESV. STORGE) BER]]/10</f>
        <v/>
      </c>
      <c r="AI52" s="44" t="n"/>
      <c r="AJ52" s="44">
        <f>Table5[[#This Row],[(A/B) AJD]]-Table5[[#This Row],[BER_IN]]</f>
        <v/>
      </c>
      <c r="AK52" s="45" t="n"/>
      <c r="AL52" s="45" t="n"/>
      <c r="AM52" s="32" t="n"/>
      <c r="AN52" s="32">
        <f>Table5[[#This Row],[ (RESV. STORGE) SER]]/10</f>
        <v/>
      </c>
      <c r="AO52" s="68" t="n"/>
      <c r="AP52" s="100">
        <f>Table5[[#This Row],[(A/S) AJD]]-Table5[[#This Row],[SER_IN]]</f>
        <v/>
      </c>
    </row>
    <row r="53" ht="18.75" customHeight="1">
      <c r="A53" s="98" t="n">
        <v>47170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Table5[[#This Row],[ (T/B) SAR]]+Table5[[#This Row],[ (S/S) SAR]]</f>
        <v/>
      </c>
      <c r="L53" s="41" t="n"/>
      <c r="M53" s="42" t="n"/>
      <c r="N53" s="42" t="n"/>
      <c r="O53" s="39" t="n"/>
      <c r="P53" s="3">
        <f>Table5[[#This Row],[ (S/S) SAR]]-Table5[[#This Row],[(S/S) AJD]]</f>
        <v/>
      </c>
      <c r="Q53" s="39" t="n"/>
      <c r="R53" s="3">
        <f>Table5[[#This Row],[ (T/B) SAR]]-Table5[[#This Row],[(T/B) AJD]]</f>
        <v/>
      </c>
      <c r="S53" s="3">
        <f>Table5[[#This Row],[S/S_CON.]]+Table5[[#This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Table5[[#This Row],[(RESV. STORGE) AJD]]/10</f>
        <v/>
      </c>
      <c r="AB53" s="3">
        <f>IF(TRIM(Z53)="",,(Z53-Z52)/1000)</f>
        <v/>
      </c>
      <c r="AC53" s="5" t="n"/>
      <c r="AD53" s="39">
        <f>(Table5[[#This Row],[( S/S+T/B) AJD]]*1000)-((Table5[[#This Row],[(STORGE DIFF.) AJD]]*1000)+Table5[[#This Row],[AJD_Evaporation]]+(Table5[[#This Row],[(A/B + A/S) AJD]]*1000))</f>
        <v/>
      </c>
      <c r="AE53" s="41" t="n"/>
      <c r="AF53" s="43" t="n"/>
      <c r="AG53" s="43" t="n"/>
      <c r="AH53" s="6">
        <f>Table5[[#This Row],[ (RESV. STORGE) BER]]/10</f>
        <v/>
      </c>
      <c r="AI53" s="41" t="n"/>
      <c r="AJ53" s="41">
        <f>Table5[[#This Row],[(A/B) AJD]]-Table5[[#This Row],[BER_IN]]</f>
        <v/>
      </c>
      <c r="AK53" s="43" t="n"/>
      <c r="AL53" s="43" t="n"/>
      <c r="AM53" s="32" t="n"/>
      <c r="AN53" s="32">
        <f>Table5[[#This Row],[ (RESV. STORGE) SER]]/10</f>
        <v/>
      </c>
      <c r="AO53" s="68" t="n"/>
      <c r="AP53" s="100">
        <f>Table5[[#This Row],[(A/S) AJD]]-Table5[[#This Row],[SER_IN]]</f>
        <v/>
      </c>
    </row>
    <row r="54" ht="18.75" customHeight="1">
      <c r="A54" s="98" t="n">
        <v>47171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Table5[[#This Row],[ (T/B) SAR]]+Table5[[#This Row],[ (S/S) SAR]]</f>
        <v/>
      </c>
      <c r="L54" s="45" t="n"/>
      <c r="M54" s="46" t="n"/>
      <c r="N54" s="46" t="n"/>
      <c r="O54" s="40" t="n"/>
      <c r="P54" s="3">
        <f>Table5[[#This Row],[ (S/S) SAR]]-Table5[[#This Row],[(S/S) AJD]]</f>
        <v/>
      </c>
      <c r="Q54" s="40" t="n"/>
      <c r="R54" s="3">
        <f>Table5[[#This Row],[ (T/B) SAR]]-Table5[[#This Row],[(T/B) AJD]]</f>
        <v/>
      </c>
      <c r="S54" s="3">
        <f>Table5[[#This Row],[S/S_CON.]]+Table5[[#This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Table5[[#This Row],[(RESV. STORGE) AJD]]/10</f>
        <v/>
      </c>
      <c r="AB54" s="3">
        <f>IF(TRIM(Z54)="",,(Z54-Z53)/1000)</f>
        <v/>
      </c>
      <c r="AC54" s="5" t="n"/>
      <c r="AD54" s="40">
        <f>(Table5[[#This Row],[( S/S+T/B) AJD]]*1000)-((Table5[[#This Row],[(STORGE DIFF.) AJD]]*1000)+Table5[[#This Row],[AJD_Evaporation]]+(Table5[[#This Row],[(A/B + A/S) AJD]]*1000))</f>
        <v/>
      </c>
      <c r="AE54" s="44" t="n"/>
      <c r="AF54" s="45" t="n"/>
      <c r="AG54" s="45" t="n"/>
      <c r="AH54" s="6">
        <f>Table5[[#This Row],[ (RESV. STORGE) BER]]/10</f>
        <v/>
      </c>
      <c r="AI54" s="44" t="n"/>
      <c r="AJ54" s="44">
        <f>Table5[[#This Row],[(A/B) AJD]]-Table5[[#This Row],[BER_IN]]</f>
        <v/>
      </c>
      <c r="AK54" s="45" t="n"/>
      <c r="AL54" s="45" t="n"/>
      <c r="AM54" s="32" t="n"/>
      <c r="AN54" s="32">
        <f>Table5[[#This Row],[ (RESV. STORGE) SER]]/10</f>
        <v/>
      </c>
      <c r="AO54" s="68" t="n"/>
      <c r="AP54" s="100">
        <f>Table5[[#This Row],[(A/S) AJD]]-Table5[[#This Row],[SER_IN]]</f>
        <v/>
      </c>
    </row>
    <row r="55" ht="18.75" customHeight="1">
      <c r="A55" s="98" t="n">
        <v>47172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Table5[[#This Row],[ (T/B) SAR]]+Table5[[#This Row],[ (S/S) SAR]]</f>
        <v/>
      </c>
      <c r="L55" s="41" t="n"/>
      <c r="M55" s="42" t="n"/>
      <c r="N55" s="42" t="n"/>
      <c r="O55" s="39" t="n"/>
      <c r="P55" s="3">
        <f>Table5[[#This Row],[ (S/S) SAR]]-Table5[[#This Row],[(S/S) AJD]]</f>
        <v/>
      </c>
      <c r="Q55" s="39" t="n"/>
      <c r="R55" s="3">
        <f>Table5[[#This Row],[ (T/B) SAR]]-Table5[[#This Row],[(T/B) AJD]]</f>
        <v/>
      </c>
      <c r="S55" s="3">
        <f>Table5[[#This Row],[S/S_CON.]]+Table5[[#This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Table5[[#This Row],[(RESV. STORGE) AJD]]/10</f>
        <v/>
      </c>
      <c r="AB55" s="3">
        <f>IF(TRIM(Z55)="",,(Z55-Z54)/1000)</f>
        <v/>
      </c>
      <c r="AC55" s="5" t="n"/>
      <c r="AD55" s="39">
        <f>(Table5[[#This Row],[( S/S+T/B) AJD]]*1000)-((Table5[[#This Row],[(STORGE DIFF.) AJD]]*1000)+Table5[[#This Row],[AJD_Evaporation]]+(Table5[[#This Row],[(A/B + A/S) AJD]]*1000))</f>
        <v/>
      </c>
      <c r="AE55" s="41" t="n"/>
      <c r="AF55" s="43" t="n"/>
      <c r="AG55" s="43" t="n"/>
      <c r="AH55" s="6">
        <f>Table5[[#This Row],[ (RESV. STORGE) BER]]/10</f>
        <v/>
      </c>
      <c r="AI55" s="41" t="n"/>
      <c r="AJ55" s="41">
        <f>Table5[[#This Row],[(A/B) AJD]]-Table5[[#This Row],[BER_IN]]</f>
        <v/>
      </c>
      <c r="AK55" s="43" t="n"/>
      <c r="AL55" s="43" t="n"/>
      <c r="AM55" s="32" t="n"/>
      <c r="AN55" s="32">
        <f>Table5[[#This Row],[ (RESV. STORGE) SER]]/10</f>
        <v/>
      </c>
      <c r="AO55" s="68" t="n"/>
      <c r="AP55" s="100">
        <f>Table5[[#This Row],[(A/S) AJD]]-Table5[[#This Row],[SER_IN]]</f>
        <v/>
      </c>
    </row>
    <row r="56" ht="18.75" customHeight="1">
      <c r="A56" s="98" t="n">
        <v>47173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Table5[[#This Row],[ (T/B) SAR]]+Table5[[#This Row],[ (S/S) SAR]]</f>
        <v/>
      </c>
      <c r="L56" s="45" t="n"/>
      <c r="M56" s="46" t="n"/>
      <c r="N56" s="46" t="n"/>
      <c r="O56" s="40" t="n"/>
      <c r="P56" s="3">
        <f>Table5[[#This Row],[ (S/S) SAR]]-Table5[[#This Row],[(S/S) AJD]]</f>
        <v/>
      </c>
      <c r="Q56" s="40" t="n"/>
      <c r="R56" s="3">
        <f>Table5[[#This Row],[ (T/B) SAR]]-Table5[[#This Row],[(T/B) AJD]]</f>
        <v/>
      </c>
      <c r="S56" s="3">
        <f>Table5[[#This Row],[S/S_CON.]]+Table5[[#This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Table5[[#This Row],[(RESV. STORGE) AJD]]/10</f>
        <v/>
      </c>
      <c r="AB56" s="3">
        <f>IF(TRIM(Z56)="",,(Z56-Z55)/1000)</f>
        <v/>
      </c>
      <c r="AC56" s="5" t="n"/>
      <c r="AD56" s="40">
        <f>(Table5[[#This Row],[( S/S+T/B) AJD]]*1000)-((Table5[[#This Row],[(STORGE DIFF.) AJD]]*1000)+Table5[[#This Row],[AJD_Evaporation]]+(Table5[[#This Row],[(A/B + A/S) AJD]]*1000))</f>
        <v/>
      </c>
      <c r="AE56" s="44" t="n"/>
      <c r="AF56" s="45" t="n"/>
      <c r="AG56" s="45" t="n"/>
      <c r="AH56" s="6">
        <f>Table5[[#This Row],[ (RESV. STORGE) BER]]/10</f>
        <v/>
      </c>
      <c r="AI56" s="44" t="n"/>
      <c r="AJ56" s="44">
        <f>Table5[[#This Row],[(A/B) AJD]]-Table5[[#This Row],[BER_IN]]</f>
        <v/>
      </c>
      <c r="AK56" s="45" t="n"/>
      <c r="AL56" s="45" t="n"/>
      <c r="AM56" s="32" t="n"/>
      <c r="AN56" s="32">
        <f>Table5[[#This Row],[ (RESV. STORGE) SER]]/10</f>
        <v/>
      </c>
      <c r="AO56" s="68" t="n"/>
      <c r="AP56" s="100">
        <f>Table5[[#This Row],[(A/S) AJD]]-Table5[[#This Row],[SER_IN]]</f>
        <v/>
      </c>
    </row>
    <row r="57" ht="18.75" customHeight="1">
      <c r="A57" s="98" t="n">
        <v>47174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Table5[[#This Row],[ (T/B) SAR]]+Table5[[#This Row],[ (S/S) SAR]]</f>
        <v/>
      </c>
      <c r="L57" s="41" t="n"/>
      <c r="M57" s="42" t="n"/>
      <c r="N57" s="42" t="n"/>
      <c r="O57" s="39" t="n"/>
      <c r="P57" s="3">
        <f>Table5[[#This Row],[ (S/S) SAR]]-Table5[[#This Row],[(S/S) AJD]]</f>
        <v/>
      </c>
      <c r="Q57" s="39" t="n"/>
      <c r="R57" s="3">
        <f>Table5[[#This Row],[ (T/B) SAR]]-Table5[[#This Row],[(T/B) AJD]]</f>
        <v/>
      </c>
      <c r="S57" s="3">
        <f>Table5[[#This Row],[S/S_CON.]]+Table5[[#This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Table5[[#This Row],[(RESV. STORGE) AJD]]/10</f>
        <v/>
      </c>
      <c r="AB57" s="3">
        <f>IF(TRIM(Z57)="",,(Z57-Z56)/1000)</f>
        <v/>
      </c>
      <c r="AC57" s="5" t="n"/>
      <c r="AD57" s="39">
        <f>(Table5[[#This Row],[( S/S+T/B) AJD]]*1000)-((Table5[[#This Row],[(STORGE DIFF.) AJD]]*1000)+Table5[[#This Row],[AJD_Evaporation]]+(Table5[[#This Row],[(A/B + A/S) AJD]]*1000))</f>
        <v/>
      </c>
      <c r="AE57" s="41" t="n"/>
      <c r="AF57" s="43" t="n"/>
      <c r="AG57" s="43" t="n"/>
      <c r="AH57" s="6">
        <f>Table5[[#This Row],[ (RESV. STORGE) BER]]/10</f>
        <v/>
      </c>
      <c r="AI57" s="41" t="n"/>
      <c r="AJ57" s="41">
        <f>Table5[[#This Row],[(A/B) AJD]]-Table5[[#This Row],[BER_IN]]</f>
        <v/>
      </c>
      <c r="AK57" s="43" t="n"/>
      <c r="AL57" s="43" t="n"/>
      <c r="AM57" s="32" t="n"/>
      <c r="AN57" s="32">
        <f>Table5[[#This Row],[ (RESV. STORGE) SER]]/10</f>
        <v/>
      </c>
      <c r="AO57" s="68" t="n"/>
      <c r="AP57" s="100">
        <f>Table5[[#This Row],[(A/S) AJD]]-Table5[[#This Row],[SER_IN]]</f>
        <v/>
      </c>
    </row>
    <row r="58" ht="18.75" customHeight="1">
      <c r="A58" s="98" t="n">
        <v>47175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Table5[[#This Row],[ (T/B) SAR]]+Table5[[#This Row],[ (S/S) SAR]]</f>
        <v/>
      </c>
      <c r="L58" s="45" t="n"/>
      <c r="M58" s="46" t="n"/>
      <c r="N58" s="46" t="n"/>
      <c r="O58" s="40" t="n"/>
      <c r="P58" s="3">
        <f>Table5[[#This Row],[ (S/S) SAR]]-Table5[[#This Row],[(S/S) AJD]]</f>
        <v/>
      </c>
      <c r="Q58" s="40" t="n"/>
      <c r="R58" s="3">
        <f>Table5[[#This Row],[ (T/B) SAR]]-Table5[[#This Row],[(T/B) AJD]]</f>
        <v/>
      </c>
      <c r="S58" s="3">
        <f>Table5[[#This Row],[S/S_CON.]]+Table5[[#This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Table5[[#This Row],[(RESV. STORGE) AJD]]/10</f>
        <v/>
      </c>
      <c r="AB58" s="3">
        <f>IF(TRIM(Z58)="",,(Z58-Z57)/1000)</f>
        <v/>
      </c>
      <c r="AC58" s="5" t="n"/>
      <c r="AD58" s="40">
        <f>(Table5[[#This Row],[( S/S+T/B) AJD]]*1000)-((Table5[[#This Row],[(STORGE DIFF.) AJD]]*1000)+Table5[[#This Row],[AJD_Evaporation]]+(Table5[[#This Row],[(A/B + A/S) AJD]]*1000))</f>
        <v/>
      </c>
      <c r="AE58" s="44" t="n"/>
      <c r="AF58" s="45" t="n"/>
      <c r="AG58" s="45" t="n"/>
      <c r="AH58" s="6">
        <f>Table5[[#This Row],[ (RESV. STORGE) BER]]/10</f>
        <v/>
      </c>
      <c r="AI58" s="44" t="n"/>
      <c r="AJ58" s="44">
        <f>Table5[[#This Row],[(A/B) AJD]]-Table5[[#This Row],[BER_IN]]</f>
        <v/>
      </c>
      <c r="AK58" s="45" t="n"/>
      <c r="AL58" s="45" t="n"/>
      <c r="AM58" s="32" t="n"/>
      <c r="AN58" s="32">
        <f>Table5[[#This Row],[ (RESV. STORGE) SER]]/10</f>
        <v/>
      </c>
      <c r="AO58" s="68" t="n"/>
      <c r="AP58" s="100">
        <f>Table5[[#This Row],[(A/S) AJD]]-Table5[[#This Row],[SER_IN]]</f>
        <v/>
      </c>
    </row>
    <row r="59" ht="18.75" customHeight="1">
      <c r="A59" s="98" t="n">
        <v>47176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Table5[[#This Row],[ (T/B) SAR]]+Table5[[#This Row],[ (S/S) SAR]]</f>
        <v/>
      </c>
      <c r="L59" s="41" t="n"/>
      <c r="M59" s="42" t="n"/>
      <c r="N59" s="42" t="n"/>
      <c r="O59" s="39" t="n"/>
      <c r="P59" s="3">
        <f>Table5[[#This Row],[ (S/S) SAR]]-Table5[[#This Row],[(S/S) AJD]]</f>
        <v/>
      </c>
      <c r="Q59" s="39" t="n"/>
      <c r="R59" s="3">
        <f>Table5[[#This Row],[ (T/B) SAR]]-Table5[[#This Row],[(T/B) AJD]]</f>
        <v/>
      </c>
      <c r="S59" s="3">
        <f>Table5[[#This Row],[S/S_CON.]]+Table5[[#This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Table5[[#This Row],[(RESV. STORGE) AJD]]/10</f>
        <v/>
      </c>
      <c r="AB59" s="3">
        <f>IF(TRIM(Z59)="",,(Z59-Z58)/1000)</f>
        <v/>
      </c>
      <c r="AC59" s="5" t="n"/>
      <c r="AD59" s="39">
        <f>(Table5[[#This Row],[( S/S+T/B) AJD]]*1000)-((Table5[[#This Row],[(STORGE DIFF.) AJD]]*1000)+Table5[[#This Row],[AJD_Evaporation]]+(Table5[[#This Row],[(A/B + A/S) AJD]]*1000))</f>
        <v/>
      </c>
      <c r="AE59" s="41" t="n"/>
      <c r="AF59" s="43" t="n"/>
      <c r="AG59" s="43" t="n"/>
      <c r="AH59" s="6">
        <f>Table5[[#This Row],[ (RESV. STORGE) BER]]/10</f>
        <v/>
      </c>
      <c r="AI59" s="41" t="n"/>
      <c r="AJ59" s="41">
        <f>Table5[[#This Row],[(A/B) AJD]]-Table5[[#This Row],[BER_IN]]</f>
        <v/>
      </c>
      <c r="AK59" s="43" t="n"/>
      <c r="AL59" s="43" t="n"/>
      <c r="AM59" s="32" t="n"/>
      <c r="AN59" s="32">
        <f>Table5[[#This Row],[ (RESV. STORGE) SER]]/10</f>
        <v/>
      </c>
      <c r="AO59" s="68" t="n"/>
      <c r="AP59" s="100">
        <f>Table5[[#This Row],[(A/S) AJD]]-Table5[[#This Row],[SER_IN]]</f>
        <v/>
      </c>
    </row>
    <row r="60" ht="18.75" customHeight="1">
      <c r="A60" s="98" t="n">
        <v>47177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Table5[[#This Row],[ (T/B) SAR]]+Table5[[#This Row],[ (S/S) SAR]]</f>
        <v/>
      </c>
      <c r="L60" s="45" t="n"/>
      <c r="M60" s="46" t="n"/>
      <c r="N60" s="46" t="n"/>
      <c r="O60" s="40" t="n"/>
      <c r="P60" s="3">
        <f>Table5[[#This Row],[ (S/S) SAR]]-Table5[[#This Row],[(S/S) AJD]]</f>
        <v/>
      </c>
      <c r="Q60" s="40" t="n"/>
      <c r="R60" s="3">
        <f>Table5[[#This Row],[ (T/B) SAR]]-Table5[[#This Row],[(T/B) AJD]]</f>
        <v/>
      </c>
      <c r="S60" s="3">
        <f>Table5[[#This Row],[S/S_CON.]]+Table5[[#This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Table5[[#This Row],[(RESV. STORGE) AJD]]/10</f>
        <v/>
      </c>
      <c r="AB60" s="3">
        <f>IF(TRIM(Z60)="",,(Z60-Z59)/1000)</f>
        <v/>
      </c>
      <c r="AC60" s="5" t="n"/>
      <c r="AD60" s="40">
        <f>(Table5[[#This Row],[( S/S+T/B) AJD]]*1000)-((Table5[[#This Row],[(STORGE DIFF.) AJD]]*1000)+Table5[[#This Row],[AJD_Evaporation]]+(Table5[[#This Row],[(A/B + A/S) AJD]]*1000))</f>
        <v/>
      </c>
      <c r="AE60" s="44" t="n"/>
      <c r="AF60" s="45" t="n"/>
      <c r="AG60" s="45" t="n"/>
      <c r="AH60" s="6">
        <f>Table5[[#This Row],[ (RESV. STORGE) BER]]/10</f>
        <v/>
      </c>
      <c r="AI60" s="44" t="n"/>
      <c r="AJ60" s="44">
        <f>Table5[[#This Row],[(A/B) AJD]]-Table5[[#This Row],[BER_IN]]</f>
        <v/>
      </c>
      <c r="AK60" s="45" t="n"/>
      <c r="AL60" s="45" t="n"/>
      <c r="AM60" s="32" t="n"/>
      <c r="AN60" s="32">
        <f>Table5[[#This Row],[ (RESV. STORGE) SER]]/10</f>
        <v/>
      </c>
      <c r="AO60" s="68" t="n"/>
      <c r="AP60" s="100">
        <f>Table5[[#This Row],[(A/S) AJD]]-Table5[[#This Row],[SER_IN]]</f>
        <v/>
      </c>
    </row>
    <row r="61" ht="18.75" customHeight="1">
      <c r="A61" s="98" t="n">
        <v>47178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Table5[[#This Row],[ (T/B) SAR]]+Table5[[#This Row],[ (S/S) SAR]]</f>
        <v/>
      </c>
      <c r="L61" s="41" t="n"/>
      <c r="M61" s="42" t="n"/>
      <c r="N61" s="42" t="n"/>
      <c r="O61" s="39" t="n"/>
      <c r="P61" s="3">
        <f>Table5[[#This Row],[ (S/S) SAR]]-Table5[[#This Row],[(S/S) AJD]]</f>
        <v/>
      </c>
      <c r="Q61" s="39" t="n"/>
      <c r="R61" s="3">
        <f>Table5[[#This Row],[ (T/B) SAR]]-Table5[[#This Row],[(T/B) AJD]]</f>
        <v/>
      </c>
      <c r="S61" s="3">
        <f>Table5[[#This Row],[S/S_CON.]]+Table5[[#This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Table5[[#This Row],[(RESV. STORGE) AJD]]/10</f>
        <v/>
      </c>
      <c r="AB61" s="3">
        <f>IF(TRIM(Z61)="",,(Z61-Z60)/1000)</f>
        <v/>
      </c>
      <c r="AC61" s="5" t="n"/>
      <c r="AD61" s="39">
        <f>(Table5[[#This Row],[( S/S+T/B) AJD]]*1000)-((Table5[[#This Row],[(STORGE DIFF.) AJD]]*1000)+Table5[[#This Row],[AJD_Evaporation]]+(Table5[[#This Row],[(A/B + A/S) AJD]]*1000))</f>
        <v/>
      </c>
      <c r="AE61" s="41" t="n"/>
      <c r="AF61" s="43" t="n"/>
      <c r="AG61" s="43" t="n"/>
      <c r="AH61" s="6">
        <f>Table5[[#This Row],[ (RESV. STORGE) BER]]/10</f>
        <v/>
      </c>
      <c r="AI61" s="41" t="n"/>
      <c r="AJ61" s="41">
        <f>Table5[[#This Row],[(A/B) AJD]]-Table5[[#This Row],[BER_IN]]</f>
        <v/>
      </c>
      <c r="AK61" s="43" t="n"/>
      <c r="AL61" s="43" t="n"/>
      <c r="AM61" s="32" t="n"/>
      <c r="AN61" s="32">
        <f>Table5[[#This Row],[ (RESV. STORGE) SER]]/10</f>
        <v/>
      </c>
      <c r="AO61" s="68" t="n"/>
      <c r="AP61" s="100">
        <f>Table5[[#This Row],[(A/S) AJD]]-Table5[[#This Row],[SER_IN]]</f>
        <v/>
      </c>
    </row>
    <row r="62" ht="18.75" customHeight="1">
      <c r="A62" s="98" t="n">
        <v>47179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Table5[[#This Row],[ (T/B) SAR]]+Table5[[#This Row],[ (S/S) SAR]]</f>
        <v/>
      </c>
      <c r="L62" s="45" t="n"/>
      <c r="M62" s="46" t="n"/>
      <c r="N62" s="46" t="n"/>
      <c r="O62" s="40" t="n"/>
      <c r="P62" s="3">
        <f>Table5[[#This Row],[ (S/S) SAR]]-Table5[[#This Row],[(S/S) AJD]]</f>
        <v/>
      </c>
      <c r="Q62" s="40" t="n"/>
      <c r="R62" s="3">
        <f>Table5[[#This Row],[ (T/B) SAR]]-Table5[[#This Row],[(T/B) AJD]]</f>
        <v/>
      </c>
      <c r="S62" s="3">
        <f>Table5[[#This Row],[S/S_CON.]]+Table5[[#This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Table5[[#This Row],[(RESV. STORGE) AJD]]/10</f>
        <v/>
      </c>
      <c r="AB62" s="3">
        <f>IF(TRIM(Z62)="",,(Z62-Z61)/1000)</f>
        <v/>
      </c>
      <c r="AC62" s="5" t="n"/>
      <c r="AD62" s="40">
        <f>(Table5[[#This Row],[( S/S+T/B) AJD]]*1000)-((Table5[[#This Row],[(STORGE DIFF.) AJD]]*1000)+Table5[[#This Row],[AJD_Evaporation]]+(Table5[[#This Row],[(A/B + A/S) AJD]]*1000))</f>
        <v/>
      </c>
      <c r="AE62" s="44" t="n"/>
      <c r="AF62" s="45" t="n"/>
      <c r="AG62" s="45" t="n"/>
      <c r="AH62" s="6">
        <f>Table5[[#This Row],[ (RESV. STORGE) BER]]/10</f>
        <v/>
      </c>
      <c r="AI62" s="44" t="n"/>
      <c r="AJ62" s="44">
        <f>Table5[[#This Row],[(A/B) AJD]]-Table5[[#This Row],[BER_IN]]</f>
        <v/>
      </c>
      <c r="AK62" s="45" t="n"/>
      <c r="AL62" s="45" t="n"/>
      <c r="AM62" s="32" t="n"/>
      <c r="AN62" s="32">
        <f>Table5[[#This Row],[ (RESV. STORGE) SER]]/10</f>
        <v/>
      </c>
      <c r="AO62" s="68" t="n"/>
      <c r="AP62" s="100">
        <f>Table5[[#This Row],[(A/S) AJD]]-Table5[[#This Row],[SER_IN]]</f>
        <v/>
      </c>
    </row>
    <row r="63" ht="18.75" customHeight="1">
      <c r="A63" s="98" t="n">
        <v>47180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Table5[[#This Row],[ (T/B) SAR]]+Table5[[#This Row],[ (S/S) SAR]]</f>
        <v/>
      </c>
      <c r="L63" s="41" t="n"/>
      <c r="M63" s="42" t="n"/>
      <c r="N63" s="42" t="n"/>
      <c r="O63" s="39" t="n"/>
      <c r="P63" s="3">
        <f>Table5[[#This Row],[ (S/S) SAR]]-Table5[[#This Row],[(S/S) AJD]]</f>
        <v/>
      </c>
      <c r="Q63" s="39" t="n"/>
      <c r="R63" s="3">
        <f>Table5[[#This Row],[ (T/B) SAR]]-Table5[[#This Row],[(T/B) AJD]]</f>
        <v/>
      </c>
      <c r="S63" s="3">
        <f>Table5[[#This Row],[S/S_CON.]]+Table5[[#This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Table5[[#This Row],[(RESV. STORGE) AJD]]/10</f>
        <v/>
      </c>
      <c r="AB63" s="3">
        <f>IF(TRIM(Z63)="",,(Z63-Z62)/1000)</f>
        <v/>
      </c>
      <c r="AC63" s="5" t="n"/>
      <c r="AD63" s="39">
        <f>(Table5[[#This Row],[( S/S+T/B) AJD]]*1000)-((Table5[[#This Row],[(STORGE DIFF.) AJD]]*1000)+Table5[[#This Row],[AJD_Evaporation]]+(Table5[[#This Row],[(A/B + A/S) AJD]]*1000))</f>
        <v/>
      </c>
      <c r="AE63" s="41" t="n"/>
      <c r="AF63" s="43" t="n"/>
      <c r="AG63" s="43" t="n"/>
      <c r="AH63" s="6">
        <f>Table5[[#This Row],[ (RESV. STORGE) BER]]/10</f>
        <v/>
      </c>
      <c r="AI63" s="41" t="n"/>
      <c r="AJ63" s="41">
        <f>Table5[[#This Row],[(A/B) AJD]]-Table5[[#This Row],[BER_IN]]</f>
        <v/>
      </c>
      <c r="AK63" s="43" t="n"/>
      <c r="AL63" s="43" t="n"/>
      <c r="AM63" s="32" t="n"/>
      <c r="AN63" s="32">
        <f>Table5[[#This Row],[ (RESV. STORGE) SER]]/10</f>
        <v/>
      </c>
      <c r="AO63" s="68" t="n"/>
      <c r="AP63" s="100">
        <f>Table5[[#This Row],[(A/S) AJD]]-Table5[[#This Row],[SER_IN]]</f>
        <v/>
      </c>
    </row>
    <row r="64" ht="18.75" customHeight="1">
      <c r="A64" s="98" t="n">
        <v>47181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Table5[[#This Row],[ (T/B) SAR]]+Table5[[#This Row],[ (S/S) SAR]]</f>
        <v/>
      </c>
      <c r="L64" s="45" t="n"/>
      <c r="M64" s="46" t="n"/>
      <c r="N64" s="46" t="n"/>
      <c r="O64" s="40" t="n"/>
      <c r="P64" s="3">
        <f>Table5[[#This Row],[ (S/S) SAR]]-Table5[[#This Row],[(S/S) AJD]]</f>
        <v/>
      </c>
      <c r="Q64" s="40" t="n"/>
      <c r="R64" s="3">
        <f>Table5[[#This Row],[ (T/B) SAR]]-Table5[[#This Row],[(T/B) AJD]]</f>
        <v/>
      </c>
      <c r="S64" s="3">
        <f>Table5[[#This Row],[S/S_CON.]]+Table5[[#This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Table5[[#This Row],[(RESV. STORGE) AJD]]/10</f>
        <v/>
      </c>
      <c r="AB64" s="3">
        <f>IF(TRIM(Z64)="",,(Z64-Z63)/1000)</f>
        <v/>
      </c>
      <c r="AC64" s="5" t="n"/>
      <c r="AD64" s="40">
        <f>(Table5[[#This Row],[( S/S+T/B) AJD]]*1000)-((Table5[[#This Row],[(STORGE DIFF.) AJD]]*1000)+Table5[[#This Row],[AJD_Evaporation]]+(Table5[[#This Row],[(A/B + A/S) AJD]]*1000))</f>
        <v/>
      </c>
      <c r="AE64" s="44" t="n"/>
      <c r="AF64" s="45" t="n"/>
      <c r="AG64" s="45" t="n"/>
      <c r="AH64" s="6">
        <f>Table5[[#This Row],[ (RESV. STORGE) BER]]/10</f>
        <v/>
      </c>
      <c r="AI64" s="44" t="n"/>
      <c r="AJ64" s="44">
        <f>Table5[[#This Row],[(A/B) AJD]]-Table5[[#This Row],[BER_IN]]</f>
        <v/>
      </c>
      <c r="AK64" s="45" t="n"/>
      <c r="AL64" s="45" t="n"/>
      <c r="AM64" s="32" t="n"/>
      <c r="AN64" s="32">
        <f>Table5[[#This Row],[ (RESV. STORGE) SER]]/10</f>
        <v/>
      </c>
      <c r="AO64" s="68" t="n"/>
      <c r="AP64" s="100">
        <f>Table5[[#This Row],[(A/S) AJD]]-Table5[[#This Row],[SER_IN]]</f>
        <v/>
      </c>
    </row>
    <row r="65" ht="18.75" customHeight="1">
      <c r="A65" s="98" t="n">
        <v>47182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Table5[[#This Row],[ (T/B) SAR]]+Table5[[#This Row],[ (S/S) SAR]]</f>
        <v/>
      </c>
      <c r="L65" s="41" t="n"/>
      <c r="M65" s="42" t="n"/>
      <c r="N65" s="42" t="n"/>
      <c r="O65" s="39" t="n"/>
      <c r="P65" s="3">
        <f>Table5[[#This Row],[ (S/S) SAR]]-Table5[[#This Row],[(S/S) AJD]]</f>
        <v/>
      </c>
      <c r="Q65" s="39" t="n"/>
      <c r="R65" s="3">
        <f>Table5[[#This Row],[ (T/B) SAR]]-Table5[[#This Row],[(T/B) AJD]]</f>
        <v/>
      </c>
      <c r="S65" s="3">
        <f>Table5[[#This Row],[S/S_CON.]]+Table5[[#This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Table5[[#This Row],[(RESV. STORGE) AJD]]/10</f>
        <v/>
      </c>
      <c r="AB65" s="3">
        <f>IF(TRIM(Z65)="",,(Z65-Z64)/1000)</f>
        <v/>
      </c>
      <c r="AC65" s="5" t="n"/>
      <c r="AD65" s="39">
        <f>(Table5[[#This Row],[( S/S+T/B) AJD]]*1000)-((Table5[[#This Row],[(STORGE DIFF.) AJD]]*1000)+Table5[[#This Row],[AJD_Evaporation]]+(Table5[[#This Row],[(A/B + A/S) AJD]]*1000))</f>
        <v/>
      </c>
      <c r="AE65" s="41" t="n"/>
      <c r="AF65" s="43" t="n"/>
      <c r="AG65" s="43" t="n"/>
      <c r="AH65" s="6">
        <f>Table5[[#This Row],[ (RESV. STORGE) BER]]/10</f>
        <v/>
      </c>
      <c r="AI65" s="41" t="n"/>
      <c r="AJ65" s="41">
        <f>Table5[[#This Row],[(A/B) AJD]]-Table5[[#This Row],[BER_IN]]</f>
        <v/>
      </c>
      <c r="AK65" s="43" t="n"/>
      <c r="AL65" s="43" t="n"/>
      <c r="AM65" s="32" t="n"/>
      <c r="AN65" s="32">
        <f>Table5[[#This Row],[ (RESV. STORGE) SER]]/10</f>
        <v/>
      </c>
      <c r="AO65" s="68" t="n"/>
      <c r="AP65" s="100">
        <f>Table5[[#This Row],[(A/S) AJD]]-Table5[[#This Row],[SER_IN]]</f>
        <v/>
      </c>
    </row>
    <row r="66" ht="18.75" customHeight="1">
      <c r="A66" s="98" t="n">
        <v>47183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Table5[[#This Row],[ (T/B) SAR]]+Table5[[#This Row],[ (S/S) SAR]]</f>
        <v/>
      </c>
      <c r="L66" s="45" t="n"/>
      <c r="M66" s="46" t="n"/>
      <c r="N66" s="46" t="n"/>
      <c r="O66" s="40" t="n"/>
      <c r="P66" s="3">
        <f>Table5[[#This Row],[ (S/S) SAR]]-Table5[[#This Row],[(S/S) AJD]]</f>
        <v/>
      </c>
      <c r="Q66" s="40" t="n"/>
      <c r="R66" s="3">
        <f>Table5[[#This Row],[ (T/B) SAR]]-Table5[[#This Row],[(T/B) AJD]]</f>
        <v/>
      </c>
      <c r="S66" s="3">
        <f>Table5[[#This Row],[S/S_CON.]]+Table5[[#This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Table5[[#This Row],[(RESV. STORGE) AJD]]/10</f>
        <v/>
      </c>
      <c r="AB66" s="3">
        <f>IF(TRIM(Z66)="",,(Z66-Z65)/1000)</f>
        <v/>
      </c>
      <c r="AC66" s="5" t="n"/>
      <c r="AD66" s="40">
        <f>(Table5[[#This Row],[( S/S+T/B) AJD]]*1000)-((Table5[[#This Row],[(STORGE DIFF.) AJD]]*1000)+Table5[[#This Row],[AJD_Evaporation]]+(Table5[[#This Row],[(A/B + A/S) AJD]]*1000))</f>
        <v/>
      </c>
      <c r="AE66" s="44" t="n"/>
      <c r="AF66" s="45" t="n"/>
      <c r="AG66" s="45" t="n"/>
      <c r="AH66" s="6">
        <f>Table5[[#This Row],[ (RESV. STORGE) BER]]/10</f>
        <v/>
      </c>
      <c r="AI66" s="44" t="n"/>
      <c r="AJ66" s="44">
        <f>Table5[[#This Row],[(A/B) AJD]]-Table5[[#This Row],[BER_IN]]</f>
        <v/>
      </c>
      <c r="AK66" s="45" t="n"/>
      <c r="AL66" s="45" t="n"/>
      <c r="AM66" s="32" t="n"/>
      <c r="AN66" s="32">
        <f>Table5[[#This Row],[ (RESV. STORGE) SER]]/10</f>
        <v/>
      </c>
      <c r="AO66" s="68" t="n"/>
      <c r="AP66" s="100">
        <f>Table5[[#This Row],[(A/S) AJD]]-Table5[[#This Row],[SER_IN]]</f>
        <v/>
      </c>
    </row>
    <row r="67" ht="18.75" customHeight="1">
      <c r="A67" s="98" t="n">
        <v>47184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Table5[[#This Row],[ (T/B) SAR]]+Table5[[#This Row],[ (S/S) SAR]]</f>
        <v/>
      </c>
      <c r="L67" s="41" t="n"/>
      <c r="M67" s="42" t="n"/>
      <c r="N67" s="42" t="n"/>
      <c r="O67" s="39" t="n"/>
      <c r="P67" s="3">
        <f>Table5[[#This Row],[ (S/S) SAR]]-Table5[[#This Row],[(S/S) AJD]]</f>
        <v/>
      </c>
      <c r="Q67" s="39" t="n"/>
      <c r="R67" s="3">
        <f>Table5[[#This Row],[ (T/B) SAR]]-Table5[[#This Row],[(T/B) AJD]]</f>
        <v/>
      </c>
      <c r="S67" s="3">
        <f>Table5[[#This Row],[S/S_CON.]]+Table5[[#This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Table5[[#This Row],[(RESV. STORGE) AJD]]/10</f>
        <v/>
      </c>
      <c r="AB67" s="3">
        <f>IF(TRIM(Z67)="",,(Z67-Z66)/1000)</f>
        <v/>
      </c>
      <c r="AC67" s="5" t="n"/>
      <c r="AD67" s="39">
        <f>(Table5[[#This Row],[( S/S+T/B) AJD]]*1000)-((Table5[[#This Row],[(STORGE DIFF.) AJD]]*1000)+Table5[[#This Row],[AJD_Evaporation]]+(Table5[[#This Row],[(A/B + A/S) AJD]]*1000))</f>
        <v/>
      </c>
      <c r="AE67" s="41" t="n"/>
      <c r="AF67" s="43" t="n"/>
      <c r="AG67" s="43" t="n"/>
      <c r="AH67" s="6">
        <f>Table5[[#This Row],[ (RESV. STORGE) BER]]/10</f>
        <v/>
      </c>
      <c r="AI67" s="41" t="n"/>
      <c r="AJ67" s="41">
        <f>Table5[[#This Row],[(A/B) AJD]]-Table5[[#This Row],[BER_IN]]</f>
        <v/>
      </c>
      <c r="AK67" s="43" t="n"/>
      <c r="AL67" s="43" t="n"/>
      <c r="AM67" s="32" t="n"/>
      <c r="AN67" s="32">
        <f>Table5[[#This Row],[ (RESV. STORGE) SER]]/10</f>
        <v/>
      </c>
      <c r="AO67" s="68" t="n"/>
      <c r="AP67" s="100">
        <f>Table5[[#This Row],[(A/S) AJD]]-Table5[[#This Row],[SER_IN]]</f>
        <v/>
      </c>
    </row>
    <row r="68" ht="18.75" customHeight="1">
      <c r="A68" s="98" t="n">
        <v>47185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Table5[[#This Row],[ (T/B) SAR]]+Table5[[#This Row],[ (S/S) SAR]]</f>
        <v/>
      </c>
      <c r="L68" s="45" t="n"/>
      <c r="M68" s="46" t="n"/>
      <c r="N68" s="46" t="n"/>
      <c r="O68" s="40" t="n"/>
      <c r="P68" s="3">
        <f>Table5[[#This Row],[ (S/S) SAR]]-Table5[[#This Row],[(S/S) AJD]]</f>
        <v/>
      </c>
      <c r="Q68" s="40" t="n"/>
      <c r="R68" s="3">
        <f>Table5[[#This Row],[ (T/B) SAR]]-Table5[[#This Row],[(T/B) AJD]]</f>
        <v/>
      </c>
      <c r="S68" s="3">
        <f>Table5[[#This Row],[S/S_CON.]]+Table5[[#This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Table5[[#This Row],[(RESV. STORGE) AJD]]/10</f>
        <v/>
      </c>
      <c r="AB68" s="3">
        <f>IF(TRIM(Z68)="",,(Z68-Z67)/1000)</f>
        <v/>
      </c>
      <c r="AC68" s="5" t="n"/>
      <c r="AD68" s="40">
        <f>(Table5[[#This Row],[( S/S+T/B) AJD]]*1000)-((Table5[[#This Row],[(STORGE DIFF.) AJD]]*1000)+Table5[[#This Row],[AJD_Evaporation]]+(Table5[[#This Row],[(A/B + A/S) AJD]]*1000))</f>
        <v/>
      </c>
      <c r="AE68" s="44" t="n"/>
      <c r="AF68" s="45" t="n"/>
      <c r="AG68" s="45" t="n"/>
      <c r="AH68" s="6">
        <f>Table5[[#This Row],[ (RESV. STORGE) BER]]/10</f>
        <v/>
      </c>
      <c r="AI68" s="44" t="n"/>
      <c r="AJ68" s="44">
        <f>Table5[[#This Row],[(A/B) AJD]]-Table5[[#This Row],[BER_IN]]</f>
        <v/>
      </c>
      <c r="AK68" s="45" t="n"/>
      <c r="AL68" s="45" t="n"/>
      <c r="AM68" s="32" t="n"/>
      <c r="AN68" s="32">
        <f>Table5[[#This Row],[ (RESV. STORGE) SER]]/10</f>
        <v/>
      </c>
      <c r="AO68" s="68" t="n"/>
      <c r="AP68" s="100">
        <f>Table5[[#This Row],[(A/S) AJD]]-Table5[[#This Row],[SER_IN]]</f>
        <v/>
      </c>
    </row>
    <row r="69" ht="18.75" customHeight="1">
      <c r="A69" s="98" t="n">
        <v>47186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Table5[[#This Row],[ (T/B) SAR]]+Table5[[#This Row],[ (S/S) SAR]]</f>
        <v/>
      </c>
      <c r="L69" s="41" t="n"/>
      <c r="M69" s="42" t="n"/>
      <c r="N69" s="42" t="n"/>
      <c r="O69" s="39" t="n"/>
      <c r="P69" s="3">
        <f>Table5[[#This Row],[ (S/S) SAR]]-Table5[[#This Row],[(S/S) AJD]]</f>
        <v/>
      </c>
      <c r="Q69" s="39" t="n"/>
      <c r="R69" s="3">
        <f>Table5[[#This Row],[ (T/B) SAR]]-Table5[[#This Row],[(T/B) AJD]]</f>
        <v/>
      </c>
      <c r="S69" s="3">
        <f>Table5[[#This Row],[S/S_CON.]]+Table5[[#This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Table5[[#This Row],[(RESV. STORGE) AJD]]/10</f>
        <v/>
      </c>
      <c r="AB69" s="3">
        <f>IF(TRIM(Z69)="",,(Z69-Z68)/1000)</f>
        <v/>
      </c>
      <c r="AC69" s="5" t="n"/>
      <c r="AD69" s="39">
        <f>(Table5[[#This Row],[( S/S+T/B) AJD]]*1000)-((Table5[[#This Row],[(STORGE DIFF.) AJD]]*1000)+Table5[[#This Row],[AJD_Evaporation]]+(Table5[[#This Row],[(A/B + A/S) AJD]]*1000))</f>
        <v/>
      </c>
      <c r="AE69" s="41" t="n"/>
      <c r="AF69" s="43" t="n"/>
      <c r="AG69" s="43" t="n"/>
      <c r="AH69" s="6">
        <f>Table5[[#This Row],[ (RESV. STORGE) BER]]/10</f>
        <v/>
      </c>
      <c r="AI69" s="41" t="n"/>
      <c r="AJ69" s="41">
        <f>Table5[[#This Row],[(A/B) AJD]]-Table5[[#This Row],[BER_IN]]</f>
        <v/>
      </c>
      <c r="AK69" s="43" t="n"/>
      <c r="AL69" s="43" t="n"/>
      <c r="AM69" s="32" t="n"/>
      <c r="AN69" s="32">
        <f>Table5[[#This Row],[ (RESV. STORGE) SER]]/10</f>
        <v/>
      </c>
      <c r="AO69" s="68" t="n"/>
      <c r="AP69" s="100">
        <f>Table5[[#This Row],[(A/S) AJD]]-Table5[[#This Row],[SER_IN]]</f>
        <v/>
      </c>
    </row>
    <row r="70" ht="18.75" customHeight="1">
      <c r="A70" s="98" t="n">
        <v>47187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Table5[[#This Row],[ (T/B) SAR]]+Table5[[#This Row],[ (S/S) SAR]]</f>
        <v/>
      </c>
      <c r="L70" s="45" t="n"/>
      <c r="M70" s="46" t="n"/>
      <c r="N70" s="46" t="n"/>
      <c r="O70" s="40" t="n"/>
      <c r="P70" s="3">
        <f>Table5[[#This Row],[ (S/S) SAR]]-Table5[[#This Row],[(S/S) AJD]]</f>
        <v/>
      </c>
      <c r="Q70" s="40" t="n"/>
      <c r="R70" s="3">
        <f>Table5[[#This Row],[ (T/B) SAR]]-Table5[[#This Row],[(T/B) AJD]]</f>
        <v/>
      </c>
      <c r="S70" s="3">
        <f>Table5[[#This Row],[S/S_CON.]]+Table5[[#This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Table5[[#This Row],[(RESV. STORGE) AJD]]/10</f>
        <v/>
      </c>
      <c r="AB70" s="3">
        <f>IF(TRIM(Z70)="",,(Z70-Z69)/1000)</f>
        <v/>
      </c>
      <c r="AC70" s="5" t="n"/>
      <c r="AD70" s="40">
        <f>(Table5[[#This Row],[( S/S+T/B) AJD]]*1000)-((Table5[[#This Row],[(STORGE DIFF.) AJD]]*1000)+Table5[[#This Row],[AJD_Evaporation]]+(Table5[[#This Row],[(A/B + A/S) AJD]]*1000))</f>
        <v/>
      </c>
      <c r="AE70" s="44" t="n"/>
      <c r="AF70" s="45" t="n"/>
      <c r="AG70" s="45" t="n"/>
      <c r="AH70" s="6">
        <f>Table5[[#This Row],[ (RESV. STORGE) BER]]/10</f>
        <v/>
      </c>
      <c r="AI70" s="44" t="n"/>
      <c r="AJ70" s="44">
        <f>Table5[[#This Row],[(A/B) AJD]]-Table5[[#This Row],[BER_IN]]</f>
        <v/>
      </c>
      <c r="AK70" s="45" t="n"/>
      <c r="AL70" s="45" t="n"/>
      <c r="AM70" s="32" t="n"/>
      <c r="AN70" s="32">
        <f>Table5[[#This Row],[ (RESV. STORGE) SER]]/10</f>
        <v/>
      </c>
      <c r="AO70" s="68" t="n"/>
      <c r="AP70" s="100">
        <f>Table5[[#This Row],[(A/S) AJD]]-Table5[[#This Row],[SER_IN]]</f>
        <v/>
      </c>
    </row>
    <row r="71" ht="18.75" customHeight="1">
      <c r="A71" s="98" t="n">
        <v>47188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Table5[[#This Row],[ (T/B) SAR]]+Table5[[#This Row],[ (S/S) SAR]]</f>
        <v/>
      </c>
      <c r="L71" s="41" t="n"/>
      <c r="M71" s="42" t="n"/>
      <c r="N71" s="42" t="n"/>
      <c r="O71" s="39" t="n"/>
      <c r="P71" s="3">
        <f>Table5[[#This Row],[ (S/S) SAR]]-Table5[[#This Row],[(S/S) AJD]]</f>
        <v/>
      </c>
      <c r="Q71" s="39" t="n"/>
      <c r="R71" s="3">
        <f>Table5[[#This Row],[ (T/B) SAR]]-Table5[[#This Row],[(T/B) AJD]]</f>
        <v/>
      </c>
      <c r="S71" s="3">
        <f>Table5[[#This Row],[S/S_CON.]]+Table5[[#This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Table5[[#This Row],[(RESV. STORGE) AJD]]/10</f>
        <v/>
      </c>
      <c r="AB71" s="3">
        <f>IF(TRIM(Z71)="",,(Z71-Z70)/1000)</f>
        <v/>
      </c>
      <c r="AC71" s="5" t="n"/>
      <c r="AD71" s="39">
        <f>(Table5[[#This Row],[( S/S+T/B) AJD]]*1000)-((Table5[[#This Row],[(STORGE DIFF.) AJD]]*1000)+Table5[[#This Row],[AJD_Evaporation]]+(Table5[[#This Row],[(A/B + A/S) AJD]]*1000))</f>
        <v/>
      </c>
      <c r="AE71" s="41" t="n"/>
      <c r="AF71" s="43" t="n"/>
      <c r="AG71" s="68" t="n"/>
      <c r="AH71" s="6">
        <f>Table5[[#This Row],[ (RESV. STORGE) BER]]/10</f>
        <v/>
      </c>
      <c r="AI71" s="41" t="n"/>
      <c r="AJ71" s="69">
        <f>Table5[[#This Row],[(A/B) AJD]]-Table5[[#This Row],[BER_IN]]</f>
        <v/>
      </c>
      <c r="AK71" s="43" t="n"/>
      <c r="AL71" s="43" t="n"/>
      <c r="AM71" s="32" t="n"/>
      <c r="AN71" s="32">
        <f>Table5[[#This Row],[ (RESV. STORGE) SER]]/10</f>
        <v/>
      </c>
      <c r="AO71" s="68" t="n"/>
      <c r="AP71" s="100">
        <f>Table5[[#This Row],[(A/S) AJD]]-Table5[[#This Row],[SER_IN]]</f>
        <v/>
      </c>
    </row>
    <row r="72" ht="18.75" customHeight="1">
      <c r="A72" s="98" t="n">
        <v>47189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Table5[[#This Row],[ (T/B) SAR]]+Table5[[#This Row],[ (S/S) SAR]]</f>
        <v/>
      </c>
      <c r="L72" s="45" t="n"/>
      <c r="M72" s="46" t="n"/>
      <c r="N72" s="46" t="n"/>
      <c r="O72" s="40" t="n"/>
      <c r="P72" s="3">
        <f>Table5[[#This Row],[ (S/S) SAR]]-Table5[[#This Row],[(S/S) AJD]]</f>
        <v/>
      </c>
      <c r="Q72" s="40" t="n"/>
      <c r="R72" s="3">
        <f>Table5[[#This Row],[ (T/B) SAR]]-Table5[[#This Row],[(T/B) AJD]]</f>
        <v/>
      </c>
      <c r="S72" s="3">
        <f>Table5[[#This Row],[S/S_CON.]]+Table5[[#This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Table5[[#This Row],[(RESV. STORGE) AJD]]/10</f>
        <v/>
      </c>
      <c r="AB72" s="3">
        <f>IF(TRIM(Z72)="",,(Z72-Z71)/1000)</f>
        <v/>
      </c>
      <c r="AC72" s="5" t="n"/>
      <c r="AD72" s="40">
        <f>(Table5[[#This Row],[( S/S+T/B) AJD]]*1000)-((Table5[[#This Row],[(STORGE DIFF.) AJD]]*1000)+Table5[[#This Row],[AJD_Evaporation]]+(Table5[[#This Row],[(A/B + A/S) AJD]]*1000))</f>
        <v/>
      </c>
      <c r="AE72" s="44" t="n"/>
      <c r="AF72" s="45" t="n"/>
      <c r="AG72" s="45" t="n"/>
      <c r="AH72" s="6">
        <f>Table5[[#This Row],[ (RESV. STORGE) BER]]/10</f>
        <v/>
      </c>
      <c r="AI72" s="44" t="n"/>
      <c r="AJ72" s="44">
        <f>Table5[[#This Row],[(A/B) AJD]]-Table5[[#This Row],[BER_IN]]</f>
        <v/>
      </c>
      <c r="AK72" s="45" t="n"/>
      <c r="AL72" s="45" t="n"/>
      <c r="AM72" s="32" t="n"/>
      <c r="AN72" s="32">
        <f>Table5[[#This Row],[ (RESV. STORGE) SER]]/10</f>
        <v/>
      </c>
      <c r="AO72" s="68" t="n"/>
      <c r="AP72" s="100">
        <f>Table5[[#This Row],[(A/S) AJD]]-Table5[[#This Row],[SER_IN]]</f>
        <v/>
      </c>
    </row>
    <row r="73" ht="18.75" customHeight="1">
      <c r="A73" s="98" t="n">
        <v>47190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Table5[[#This Row],[ (T/B) SAR]]+Table5[[#This Row],[ (S/S) SAR]]</f>
        <v/>
      </c>
      <c r="L73" s="41" t="n"/>
      <c r="M73" s="42" t="n"/>
      <c r="N73" s="42" t="n"/>
      <c r="O73" s="39" t="n"/>
      <c r="P73" s="3">
        <f>Table5[[#This Row],[ (S/S) SAR]]-Table5[[#This Row],[(S/S) AJD]]</f>
        <v/>
      </c>
      <c r="Q73" s="39" t="n"/>
      <c r="R73" s="3">
        <f>Table5[[#This Row],[ (T/B) SAR]]-Table5[[#This Row],[(T/B) AJD]]</f>
        <v/>
      </c>
      <c r="S73" s="3">
        <f>Table5[[#This Row],[S/S_CON.]]+Table5[[#This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Table5[[#This Row],[(RESV. STORGE) AJD]]/10</f>
        <v/>
      </c>
      <c r="AB73" s="3">
        <f>IF(TRIM(Z73)="",,(Z73-Z72)/1000)</f>
        <v/>
      </c>
      <c r="AC73" s="5" t="n"/>
      <c r="AD73" s="39">
        <f>(Table5[[#This Row],[( S/S+T/B) AJD]]*1000)-((Table5[[#This Row],[(STORGE DIFF.) AJD]]*1000)+Table5[[#This Row],[AJD_Evaporation]]+(Table5[[#This Row],[(A/B + A/S) AJD]]*1000))</f>
        <v/>
      </c>
      <c r="AE73" s="41" t="n"/>
      <c r="AF73" s="43" t="n"/>
      <c r="AG73" s="43" t="n"/>
      <c r="AH73" s="6">
        <f>Table5[[#This Row],[ (RESV. STORGE) BER]]/10</f>
        <v/>
      </c>
      <c r="AI73" s="41" t="n"/>
      <c r="AJ73" s="41">
        <f>Table5[[#This Row],[(A/B) AJD]]-Table5[[#This Row],[BER_IN]]</f>
        <v/>
      </c>
      <c r="AK73" s="43" t="n"/>
      <c r="AL73" s="43" t="n"/>
      <c r="AM73" s="32" t="n"/>
      <c r="AN73" s="32">
        <f>Table5[[#This Row],[ (RESV. STORGE) SER]]/10</f>
        <v/>
      </c>
      <c r="AO73" s="68" t="n"/>
      <c r="AP73" s="100">
        <f>Table5[[#This Row],[(A/S) AJD]]-Table5[[#This Row],[SER_IN]]</f>
        <v/>
      </c>
    </row>
    <row r="74" ht="18.75" customHeight="1">
      <c r="A74" s="98" t="n">
        <v>47191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Table5[[#This Row],[ (T/B) SAR]]+Table5[[#This Row],[ (S/S) SAR]]</f>
        <v/>
      </c>
      <c r="L74" s="45" t="n"/>
      <c r="M74" s="46" t="n"/>
      <c r="N74" s="46" t="n"/>
      <c r="O74" s="40" t="n"/>
      <c r="P74" s="3">
        <f>Table5[[#This Row],[ (S/S) SAR]]-Table5[[#This Row],[(S/S) AJD]]</f>
        <v/>
      </c>
      <c r="Q74" s="40" t="n"/>
      <c r="R74" s="3">
        <f>Table5[[#This Row],[ (T/B) SAR]]-Table5[[#This Row],[(T/B) AJD]]</f>
        <v/>
      </c>
      <c r="S74" s="3">
        <f>Table5[[#This Row],[S/S_CON.]]+Table5[[#This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Table5[[#This Row],[(RESV. STORGE) AJD]]/10</f>
        <v/>
      </c>
      <c r="AB74" s="3">
        <f>IF(TRIM(Z74)="",,(Z74-Z73)/1000)</f>
        <v/>
      </c>
      <c r="AC74" s="5" t="n"/>
      <c r="AD74" s="40">
        <f>(Table5[[#This Row],[( S/S+T/B) AJD]]*1000)-((Table5[[#This Row],[(STORGE DIFF.) AJD]]*1000)+Table5[[#This Row],[AJD_Evaporation]]+(Table5[[#This Row],[(A/B + A/S) AJD]]*1000))</f>
        <v/>
      </c>
      <c r="AE74" s="44" t="n"/>
      <c r="AF74" s="45" t="n"/>
      <c r="AG74" s="45" t="n"/>
      <c r="AH74" s="6">
        <f>Table5[[#This Row],[ (RESV. STORGE) BER]]/10</f>
        <v/>
      </c>
      <c r="AI74" s="44" t="n"/>
      <c r="AJ74" s="44">
        <f>Table5[[#This Row],[(A/B) AJD]]-Table5[[#This Row],[BER_IN]]</f>
        <v/>
      </c>
      <c r="AK74" s="45" t="n"/>
      <c r="AL74" s="45" t="n"/>
      <c r="AM74" s="32" t="n"/>
      <c r="AN74" s="32">
        <f>Table5[[#This Row],[ (RESV. STORGE) SER]]/10</f>
        <v/>
      </c>
      <c r="AO74" s="68" t="n"/>
      <c r="AP74" s="100">
        <f>Table5[[#This Row],[(A/S) AJD]]-Table5[[#This Row],[SER_IN]]</f>
        <v/>
      </c>
    </row>
    <row r="75" ht="18.75" customHeight="1">
      <c r="A75" s="98" t="n">
        <v>47192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Table5[[#This Row],[ (T/B) SAR]]+Table5[[#This Row],[ (S/S) SAR]]</f>
        <v/>
      </c>
      <c r="L75" s="41" t="n"/>
      <c r="M75" s="42" t="n"/>
      <c r="N75" s="42" t="n"/>
      <c r="O75" s="39" t="n"/>
      <c r="P75" s="3">
        <f>Table5[[#This Row],[ (S/S) SAR]]-Table5[[#This Row],[(S/S) AJD]]</f>
        <v/>
      </c>
      <c r="Q75" s="39" t="n"/>
      <c r="R75" s="3">
        <f>Table5[[#This Row],[ (T/B) SAR]]-Table5[[#This Row],[(T/B) AJD]]</f>
        <v/>
      </c>
      <c r="S75" s="3">
        <f>Table5[[#This Row],[S/S_CON.]]+Table5[[#This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Table5[[#This Row],[(RESV. STORGE) AJD]]/10</f>
        <v/>
      </c>
      <c r="AB75" s="3">
        <f>IF(TRIM(Z75)="",,(Z75-Z74)/1000)</f>
        <v/>
      </c>
      <c r="AC75" s="5" t="n"/>
      <c r="AD75" s="39">
        <f>(Table5[[#This Row],[( S/S+T/B) AJD]]*1000)-((Table5[[#This Row],[(STORGE DIFF.) AJD]]*1000)+Table5[[#This Row],[AJD_Evaporation]]+(Table5[[#This Row],[(A/B + A/S) AJD]]*1000))</f>
        <v/>
      </c>
      <c r="AE75" s="41" t="n"/>
      <c r="AF75" s="43" t="n"/>
      <c r="AG75" s="43" t="n"/>
      <c r="AH75" s="6">
        <f>Table5[[#This Row],[ (RESV. STORGE) BER]]/10</f>
        <v/>
      </c>
      <c r="AI75" s="41" t="n"/>
      <c r="AJ75" s="41">
        <f>Table5[[#This Row],[(A/B) AJD]]-Table5[[#This Row],[BER_IN]]</f>
        <v/>
      </c>
      <c r="AK75" s="43" t="n"/>
      <c r="AL75" s="43" t="n"/>
      <c r="AM75" s="32" t="n"/>
      <c r="AN75" s="32">
        <f>Table5[[#This Row],[ (RESV. STORGE) SER]]/10</f>
        <v/>
      </c>
      <c r="AO75" s="68" t="n"/>
      <c r="AP75" s="100">
        <f>Table5[[#This Row],[(A/S) AJD]]-Table5[[#This Row],[SER_IN]]</f>
        <v/>
      </c>
    </row>
    <row r="76" ht="18.75" customHeight="1">
      <c r="A76" s="98" t="n">
        <v>47193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Table5[[#This Row],[ (T/B) SAR]]+Table5[[#This Row],[ (S/S) SAR]]</f>
        <v/>
      </c>
      <c r="L76" s="45" t="n"/>
      <c r="M76" s="46" t="n"/>
      <c r="N76" s="46" t="n"/>
      <c r="O76" s="40" t="n"/>
      <c r="P76" s="3">
        <f>Table5[[#This Row],[ (S/S) SAR]]-Table5[[#This Row],[(S/S) AJD]]</f>
        <v/>
      </c>
      <c r="Q76" s="40" t="n"/>
      <c r="R76" s="3">
        <f>Table5[[#This Row],[ (T/B) SAR]]-Table5[[#This Row],[(T/B) AJD]]</f>
        <v/>
      </c>
      <c r="S76" s="3">
        <f>Table5[[#This Row],[S/S_CON.]]+Table5[[#This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Table5[[#This Row],[(RESV. STORGE) AJD]]/10</f>
        <v/>
      </c>
      <c r="AB76" s="3">
        <f>IF(TRIM(Z76)="",,(Z76-Z75)/1000)</f>
        <v/>
      </c>
      <c r="AC76" s="5" t="n"/>
      <c r="AD76" s="40">
        <f>(Table5[[#This Row],[( S/S+T/B) AJD]]*1000)-((Table5[[#This Row],[(STORGE DIFF.) AJD]]*1000)+Table5[[#This Row],[AJD_Evaporation]]+(Table5[[#This Row],[(A/B + A/S) AJD]]*1000))</f>
        <v/>
      </c>
      <c r="AE76" s="44" t="n"/>
      <c r="AF76" s="45" t="n"/>
      <c r="AG76" s="45" t="n"/>
      <c r="AH76" s="6">
        <f>Table5[[#This Row],[ (RESV. STORGE) BER]]/10</f>
        <v/>
      </c>
      <c r="AI76" s="44" t="n"/>
      <c r="AJ76" s="44">
        <f>Table5[[#This Row],[(A/B) AJD]]-Table5[[#This Row],[BER_IN]]</f>
        <v/>
      </c>
      <c r="AK76" s="45" t="n"/>
      <c r="AL76" s="45" t="n"/>
      <c r="AM76" s="32" t="n"/>
      <c r="AN76" s="32">
        <f>Table5[[#This Row],[ (RESV. STORGE) SER]]/10</f>
        <v/>
      </c>
      <c r="AO76" s="68" t="n"/>
      <c r="AP76" s="100">
        <f>Table5[[#This Row],[(A/S) AJD]]-Table5[[#This Row],[SER_IN]]</f>
        <v/>
      </c>
    </row>
    <row r="77" ht="18.75" customHeight="1">
      <c r="A77" s="98" t="n">
        <v>47194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Table5[[#This Row],[ (T/B) SAR]]+Table5[[#This Row],[ (S/S) SAR]]</f>
        <v/>
      </c>
      <c r="L77" s="41" t="n"/>
      <c r="M77" s="42" t="n"/>
      <c r="N77" s="42" t="n"/>
      <c r="O77" s="39" t="n"/>
      <c r="P77" s="3">
        <f>Table5[[#This Row],[ (S/S) SAR]]-Table5[[#This Row],[(S/S) AJD]]</f>
        <v/>
      </c>
      <c r="Q77" s="39" t="n"/>
      <c r="R77" s="3">
        <f>Table5[[#This Row],[ (T/B) SAR]]-Table5[[#This Row],[(T/B) AJD]]</f>
        <v/>
      </c>
      <c r="S77" s="3">
        <f>Table5[[#This Row],[S/S_CON.]]+Table5[[#This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Table5[[#This Row],[(RESV. STORGE) AJD]]/10</f>
        <v/>
      </c>
      <c r="AB77" s="3">
        <f>IF(TRIM(Z77)="",,(Z77-Z76)/1000)</f>
        <v/>
      </c>
      <c r="AC77" s="5" t="n"/>
      <c r="AD77" s="39">
        <f>(Table5[[#This Row],[( S/S+T/B) AJD]]*1000)-((Table5[[#This Row],[(STORGE DIFF.) AJD]]*1000)+Table5[[#This Row],[AJD_Evaporation]]+(Table5[[#This Row],[(A/B + A/S) AJD]]*1000))</f>
        <v/>
      </c>
      <c r="AE77" s="41" t="n"/>
      <c r="AF77" s="43" t="n"/>
      <c r="AG77" s="43" t="n"/>
      <c r="AH77" s="6">
        <f>Table5[[#This Row],[ (RESV. STORGE) BER]]/10</f>
        <v/>
      </c>
      <c r="AI77" s="41" t="n"/>
      <c r="AJ77" s="41">
        <f>Table5[[#This Row],[(A/B) AJD]]-Table5[[#This Row],[BER_IN]]</f>
        <v/>
      </c>
      <c r="AK77" s="43" t="n"/>
      <c r="AL77" s="43" t="n"/>
      <c r="AM77" s="32" t="n"/>
      <c r="AN77" s="32">
        <f>Table5[[#This Row],[ (RESV. STORGE) SER]]/10</f>
        <v/>
      </c>
      <c r="AO77" s="68" t="n"/>
      <c r="AP77" s="100">
        <f>Table5[[#This Row],[(A/S) AJD]]-Table5[[#This Row],[SER_IN]]</f>
        <v/>
      </c>
    </row>
    <row r="78" ht="18.75" customHeight="1">
      <c r="A78" s="98" t="n">
        <v>47195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Table5[[#This Row],[ (T/B) SAR]]+Table5[[#This Row],[ (S/S) SAR]]</f>
        <v/>
      </c>
      <c r="L78" s="45" t="n"/>
      <c r="M78" s="46" t="n"/>
      <c r="N78" s="46" t="n"/>
      <c r="O78" s="40" t="n"/>
      <c r="P78" s="3">
        <f>Table5[[#This Row],[ (S/S) SAR]]-Table5[[#This Row],[(S/S) AJD]]</f>
        <v/>
      </c>
      <c r="Q78" s="40" t="n"/>
      <c r="R78" s="3">
        <f>Table5[[#This Row],[ (T/B) SAR]]-Table5[[#This Row],[(T/B) AJD]]</f>
        <v/>
      </c>
      <c r="S78" s="3">
        <f>Table5[[#This Row],[S/S_CON.]]+Table5[[#This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Table5[[#This Row],[(RESV. STORGE) AJD]]/10</f>
        <v/>
      </c>
      <c r="AB78" s="3">
        <f>IF(TRIM(Z78)="",,(Z78-Z77)/1000)</f>
        <v/>
      </c>
      <c r="AC78" s="5" t="n"/>
      <c r="AD78" s="40">
        <f>(Table5[[#This Row],[( S/S+T/B) AJD]]*1000)-((Table5[[#This Row],[(STORGE DIFF.) AJD]]*1000)+Table5[[#This Row],[AJD_Evaporation]]+(Table5[[#This Row],[(A/B + A/S) AJD]]*1000))</f>
        <v/>
      </c>
      <c r="AE78" s="44" t="n"/>
      <c r="AF78" s="45" t="n"/>
      <c r="AG78" s="45" t="n"/>
      <c r="AH78" s="6">
        <f>Table5[[#This Row],[ (RESV. STORGE) BER]]/10</f>
        <v/>
      </c>
      <c r="AI78" s="44" t="n"/>
      <c r="AJ78" s="44">
        <f>Table5[[#This Row],[(A/B) AJD]]-Table5[[#This Row],[BER_IN]]</f>
        <v/>
      </c>
      <c r="AK78" s="45" t="n"/>
      <c r="AL78" s="45" t="n"/>
      <c r="AM78" s="32" t="n"/>
      <c r="AN78" s="32">
        <f>Table5[[#This Row],[ (RESV. STORGE) SER]]/10</f>
        <v/>
      </c>
      <c r="AO78" s="68" t="n"/>
      <c r="AP78" s="100">
        <f>Table5[[#This Row],[(A/S) AJD]]-Table5[[#This Row],[SER_IN]]</f>
        <v/>
      </c>
    </row>
    <row r="79" ht="18.75" customHeight="1">
      <c r="A79" s="98" t="n">
        <v>47196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Table5[[#This Row],[ (T/B) SAR]]+Table5[[#This Row],[ (S/S) SAR]]</f>
        <v/>
      </c>
      <c r="L79" s="41" t="n"/>
      <c r="M79" s="42" t="n"/>
      <c r="N79" s="42" t="n"/>
      <c r="O79" s="39" t="n"/>
      <c r="P79" s="3">
        <f>Table5[[#This Row],[ (S/S) SAR]]-Table5[[#This Row],[(S/S) AJD]]</f>
        <v/>
      </c>
      <c r="Q79" s="39" t="n"/>
      <c r="R79" s="3">
        <f>Table5[[#This Row],[ (T/B) SAR]]-Table5[[#This Row],[(T/B) AJD]]</f>
        <v/>
      </c>
      <c r="S79" s="3">
        <f>Table5[[#This Row],[S/S_CON.]]+Table5[[#This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Table5[[#This Row],[(RESV. STORGE) AJD]]/10</f>
        <v/>
      </c>
      <c r="AB79" s="3">
        <f>IF(TRIM(Z79)="",,(Z79-Z78)/1000)</f>
        <v/>
      </c>
      <c r="AC79" s="5" t="n"/>
      <c r="AD79" s="39">
        <f>(Table5[[#This Row],[( S/S+T/B) AJD]]*1000)-((Table5[[#This Row],[(STORGE DIFF.) AJD]]*1000)+Table5[[#This Row],[AJD_Evaporation]]+(Table5[[#This Row],[(A/B + A/S) AJD]]*1000))</f>
        <v/>
      </c>
      <c r="AE79" s="41" t="n"/>
      <c r="AF79" s="43" t="n"/>
      <c r="AG79" s="43" t="n"/>
      <c r="AH79" s="6">
        <f>Table5[[#This Row],[ (RESV. STORGE) BER]]/10</f>
        <v/>
      </c>
      <c r="AI79" s="41" t="n"/>
      <c r="AJ79" s="41">
        <f>Table5[[#This Row],[(A/B) AJD]]-Table5[[#This Row],[BER_IN]]</f>
        <v/>
      </c>
      <c r="AK79" s="43" t="n"/>
      <c r="AL79" s="43" t="n"/>
      <c r="AM79" s="32" t="n"/>
      <c r="AN79" s="32">
        <f>Table5[[#This Row],[ (RESV. STORGE) SER]]/10</f>
        <v/>
      </c>
      <c r="AO79" s="68" t="n"/>
      <c r="AP79" s="100">
        <f>Table5[[#This Row],[(A/S) AJD]]-Table5[[#This Row],[SER_IN]]</f>
        <v/>
      </c>
    </row>
    <row r="80" ht="18.75" customHeight="1">
      <c r="A80" s="98" t="n">
        <v>47197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Table5[[#This Row],[ (T/B) SAR]]+Table5[[#This Row],[ (S/S) SAR]]</f>
        <v/>
      </c>
      <c r="L80" s="45" t="n"/>
      <c r="M80" s="46" t="n"/>
      <c r="N80" s="46" t="n"/>
      <c r="O80" s="40" t="n"/>
      <c r="P80" s="3">
        <f>Table5[[#This Row],[ (S/S) SAR]]-Table5[[#This Row],[(S/S) AJD]]</f>
        <v/>
      </c>
      <c r="Q80" s="40" t="n"/>
      <c r="R80" s="3">
        <f>Table5[[#This Row],[ (T/B) SAR]]-Table5[[#This Row],[(T/B) AJD]]</f>
        <v/>
      </c>
      <c r="S80" s="3">
        <f>Table5[[#This Row],[S/S_CON.]]+Table5[[#This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Table5[[#This Row],[(RESV. STORGE) AJD]]/10</f>
        <v/>
      </c>
      <c r="AB80" s="3">
        <f>IF(TRIM(Z80)="",,(Z80-Z79)/1000)</f>
        <v/>
      </c>
      <c r="AC80" s="5" t="n"/>
      <c r="AD80" s="40">
        <f>(Table5[[#This Row],[( S/S+T/B) AJD]]*1000)-((Table5[[#This Row],[(STORGE DIFF.) AJD]]*1000)+Table5[[#This Row],[AJD_Evaporation]]+(Table5[[#This Row],[(A/B + A/S) AJD]]*1000))</f>
        <v/>
      </c>
      <c r="AE80" s="44" t="n"/>
      <c r="AF80" s="45" t="n"/>
      <c r="AG80" s="45" t="n"/>
      <c r="AH80" s="6">
        <f>Table5[[#This Row],[ (RESV. STORGE) BER]]/10</f>
        <v/>
      </c>
      <c r="AI80" s="44" t="n"/>
      <c r="AJ80" s="44">
        <f>Table5[[#This Row],[(A/B) AJD]]-Table5[[#This Row],[BER_IN]]</f>
        <v/>
      </c>
      <c r="AK80" s="45" t="n"/>
      <c r="AL80" s="45" t="n"/>
      <c r="AM80" s="32" t="n"/>
      <c r="AN80" s="32">
        <f>Table5[[#This Row],[ (RESV. STORGE) SER]]/10</f>
        <v/>
      </c>
      <c r="AO80" s="68" t="n"/>
      <c r="AP80" s="100">
        <f>Table5[[#This Row],[(A/S) AJD]]-Table5[[#This Row],[SER_IN]]</f>
        <v/>
      </c>
    </row>
    <row r="81" ht="18.75" customHeight="1">
      <c r="A81" s="98" t="n">
        <v>47198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Table5[[#This Row],[ (T/B) SAR]]+Table5[[#This Row],[ (S/S) SAR]]</f>
        <v/>
      </c>
      <c r="L81" s="41" t="n"/>
      <c r="M81" s="42" t="n"/>
      <c r="N81" s="42" t="n"/>
      <c r="O81" s="39" t="n"/>
      <c r="P81" s="3">
        <f>Table5[[#This Row],[ (S/S) SAR]]-Table5[[#This Row],[(S/S) AJD]]</f>
        <v/>
      </c>
      <c r="Q81" s="39" t="n"/>
      <c r="R81" s="3">
        <f>Table5[[#This Row],[ (T/B) SAR]]-Table5[[#This Row],[(T/B) AJD]]</f>
        <v/>
      </c>
      <c r="S81" s="3">
        <f>Table5[[#This Row],[S/S_CON.]]+Table5[[#This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Table5[[#This Row],[(RESV. STORGE) AJD]]/10</f>
        <v/>
      </c>
      <c r="AB81" s="3">
        <f>IF(TRIM(Z81)="",,(Z81-Z80)/1000)</f>
        <v/>
      </c>
      <c r="AC81" s="5" t="n"/>
      <c r="AD81" s="39">
        <f>(Table5[[#This Row],[( S/S+T/B) AJD]]*1000)-((Table5[[#This Row],[(STORGE DIFF.) AJD]]*1000)+Table5[[#This Row],[AJD_Evaporation]]+(Table5[[#This Row],[(A/B + A/S) AJD]]*1000))</f>
        <v/>
      </c>
      <c r="AE81" s="41" t="n"/>
      <c r="AF81" s="43" t="n"/>
      <c r="AG81" s="43" t="n"/>
      <c r="AH81" s="6">
        <f>Table5[[#This Row],[ (RESV. STORGE) BER]]/10</f>
        <v/>
      </c>
      <c r="AI81" s="41" t="n"/>
      <c r="AJ81" s="41">
        <f>Table5[[#This Row],[(A/B) AJD]]-Table5[[#This Row],[BER_IN]]</f>
        <v/>
      </c>
      <c r="AK81" s="43" t="n"/>
      <c r="AL81" s="43" t="n"/>
      <c r="AM81" s="32" t="n"/>
      <c r="AN81" s="32">
        <f>Table5[[#This Row],[ (RESV. STORGE) SER]]/10</f>
        <v/>
      </c>
      <c r="AO81" s="68" t="n"/>
      <c r="AP81" s="100">
        <f>Table5[[#This Row],[(A/S) AJD]]-Table5[[#This Row],[SER_IN]]</f>
        <v/>
      </c>
    </row>
    <row r="82" ht="18.75" customHeight="1">
      <c r="A82" s="98" t="n">
        <v>47199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Table5[[#This Row],[ (T/B) SAR]]+Table5[[#This Row],[ (S/S) SAR]]</f>
        <v/>
      </c>
      <c r="L82" s="45" t="n"/>
      <c r="M82" s="46" t="n"/>
      <c r="N82" s="46" t="n"/>
      <c r="O82" s="40" t="n"/>
      <c r="P82" s="3">
        <f>Table5[[#This Row],[ (S/S) SAR]]-Table5[[#This Row],[(S/S) AJD]]</f>
        <v/>
      </c>
      <c r="Q82" s="40" t="n"/>
      <c r="R82" s="3">
        <f>Table5[[#This Row],[ (T/B) SAR]]-Table5[[#This Row],[(T/B) AJD]]</f>
        <v/>
      </c>
      <c r="S82" s="3">
        <f>Table5[[#This Row],[S/S_CON.]]+Table5[[#This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Table5[[#This Row],[(RESV. STORGE) AJD]]/10</f>
        <v/>
      </c>
      <c r="AB82" s="3">
        <f>IF(TRIM(Z82)="",,(Z82-Z81)/1000)</f>
        <v/>
      </c>
      <c r="AC82" s="5" t="n"/>
      <c r="AD82" s="40">
        <f>(Table5[[#This Row],[( S/S+T/B) AJD]]*1000)-((Table5[[#This Row],[(STORGE DIFF.) AJD]]*1000)+Table5[[#This Row],[AJD_Evaporation]]+(Table5[[#This Row],[(A/B + A/S) AJD]]*1000))</f>
        <v/>
      </c>
      <c r="AE82" s="44" t="n"/>
      <c r="AF82" s="45" t="n"/>
      <c r="AG82" s="45" t="n"/>
      <c r="AH82" s="6">
        <f>Table5[[#This Row],[ (RESV. STORGE) BER]]/10</f>
        <v/>
      </c>
      <c r="AI82" s="44" t="n"/>
      <c r="AJ82" s="44">
        <f>Table5[[#This Row],[(A/B) AJD]]-Table5[[#This Row],[BER_IN]]</f>
        <v/>
      </c>
      <c r="AK82" s="45" t="n"/>
      <c r="AL82" s="45" t="n"/>
      <c r="AM82" s="32" t="n"/>
      <c r="AN82" s="32">
        <f>Table5[[#This Row],[ (RESV. STORGE) SER]]/10</f>
        <v/>
      </c>
      <c r="AO82" s="68" t="n"/>
      <c r="AP82" s="100">
        <f>Table5[[#This Row],[(A/S) AJD]]-Table5[[#This Row],[SER_IN]]</f>
        <v/>
      </c>
    </row>
    <row r="83" ht="18.75" customHeight="1">
      <c r="A83" s="98" t="n">
        <v>47200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Table5[[#This Row],[ (T/B) SAR]]+Table5[[#This Row],[ (S/S) SAR]]</f>
        <v/>
      </c>
      <c r="L83" s="41" t="n"/>
      <c r="M83" s="42" t="n"/>
      <c r="N83" s="42" t="n"/>
      <c r="O83" s="39" t="n"/>
      <c r="P83" s="3">
        <f>Table5[[#This Row],[ (S/S) SAR]]-Table5[[#This Row],[(S/S) AJD]]</f>
        <v/>
      </c>
      <c r="Q83" s="39" t="n"/>
      <c r="R83" s="3">
        <f>Table5[[#This Row],[ (T/B) SAR]]-Table5[[#This Row],[(T/B) AJD]]</f>
        <v/>
      </c>
      <c r="S83" s="3">
        <f>Table5[[#This Row],[S/S_CON.]]+Table5[[#This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Table5[[#This Row],[(RESV. STORGE) AJD]]/10</f>
        <v/>
      </c>
      <c r="AB83" s="3">
        <f>IF(TRIM(Z83)="",,(Z83-Z82)/1000)</f>
        <v/>
      </c>
      <c r="AC83" s="5" t="n"/>
      <c r="AD83" s="39">
        <f>(Table5[[#This Row],[( S/S+T/B) AJD]]*1000)-((Table5[[#This Row],[(STORGE DIFF.) AJD]]*1000)+Table5[[#This Row],[AJD_Evaporation]]+(Table5[[#This Row],[(A/B + A/S) AJD]]*1000))</f>
        <v/>
      </c>
      <c r="AE83" s="41" t="n"/>
      <c r="AF83" s="43" t="n"/>
      <c r="AG83" s="43" t="n"/>
      <c r="AH83" s="6">
        <f>Table5[[#This Row],[ (RESV. STORGE) BER]]/10</f>
        <v/>
      </c>
      <c r="AI83" s="41" t="n"/>
      <c r="AJ83" s="41">
        <f>Table5[[#This Row],[(A/B) AJD]]-Table5[[#This Row],[BER_IN]]</f>
        <v/>
      </c>
      <c r="AK83" s="43" t="n"/>
      <c r="AL83" s="43" t="n"/>
      <c r="AM83" s="32" t="n"/>
      <c r="AN83" s="32">
        <f>Table5[[#This Row],[ (RESV. STORGE) SER]]/10</f>
        <v/>
      </c>
      <c r="AO83" s="68" t="n"/>
      <c r="AP83" s="100">
        <f>Table5[[#This Row],[(A/S) AJD]]-Table5[[#This Row],[SER_IN]]</f>
        <v/>
      </c>
    </row>
    <row r="84" ht="18.75" customHeight="1">
      <c r="A84" s="98" t="n">
        <v>47201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Table5[[#This Row],[ (T/B) SAR]]+Table5[[#This Row],[ (S/S) SAR]]</f>
        <v/>
      </c>
      <c r="L84" s="45" t="n"/>
      <c r="M84" s="46" t="n"/>
      <c r="N84" s="46" t="n"/>
      <c r="O84" s="40" t="n"/>
      <c r="P84" s="3">
        <f>Table5[[#This Row],[ (S/S) SAR]]-Table5[[#This Row],[(S/S) AJD]]</f>
        <v/>
      </c>
      <c r="Q84" s="40" t="n"/>
      <c r="R84" s="3">
        <f>Table5[[#This Row],[ (T/B) SAR]]-Table5[[#This Row],[(T/B) AJD]]</f>
        <v/>
      </c>
      <c r="S84" s="3">
        <f>Table5[[#This Row],[S/S_CON.]]+Table5[[#This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Table5[[#This Row],[(RESV. STORGE) AJD]]/10</f>
        <v/>
      </c>
      <c r="AB84" s="3">
        <f>IF(TRIM(Z84)="",,(Z84-Z83)/1000)</f>
        <v/>
      </c>
      <c r="AC84" s="5" t="n"/>
      <c r="AD84" s="40">
        <f>(Table5[[#This Row],[( S/S+T/B) AJD]]*1000)-((Table5[[#This Row],[(STORGE DIFF.) AJD]]*1000)+Table5[[#This Row],[AJD_Evaporation]]+(Table5[[#This Row],[(A/B + A/S) AJD]]*1000))</f>
        <v/>
      </c>
      <c r="AE84" s="44" t="n"/>
      <c r="AF84" s="45" t="n"/>
      <c r="AG84" s="45" t="n"/>
      <c r="AH84" s="6">
        <f>Table5[[#This Row],[ (RESV. STORGE) BER]]/10</f>
        <v/>
      </c>
      <c r="AI84" s="44" t="n"/>
      <c r="AJ84" s="44">
        <f>Table5[[#This Row],[(A/B) AJD]]-Table5[[#This Row],[BER_IN]]</f>
        <v/>
      </c>
      <c r="AK84" s="45" t="n"/>
      <c r="AL84" s="45" t="n"/>
      <c r="AM84" s="32" t="n"/>
      <c r="AN84" s="32">
        <f>Table5[[#This Row],[ (RESV. STORGE) SER]]/10</f>
        <v/>
      </c>
      <c r="AO84" s="68" t="n"/>
      <c r="AP84" s="100">
        <f>Table5[[#This Row],[(A/S) AJD]]-Table5[[#This Row],[SER_IN]]</f>
        <v/>
      </c>
    </row>
    <row r="85" ht="18.75" customHeight="1">
      <c r="A85" s="98" t="n">
        <v>47202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Table5[[#This Row],[ (T/B) SAR]]+Table5[[#This Row],[ (S/S) SAR]]</f>
        <v/>
      </c>
      <c r="L85" s="41" t="n"/>
      <c r="M85" s="42" t="n"/>
      <c r="N85" s="42" t="n"/>
      <c r="O85" s="39" t="n"/>
      <c r="P85" s="3">
        <f>Table5[[#This Row],[ (S/S) SAR]]-Table5[[#This Row],[(S/S) AJD]]</f>
        <v/>
      </c>
      <c r="Q85" s="39" t="n"/>
      <c r="R85" s="3">
        <f>Table5[[#This Row],[ (T/B) SAR]]-Table5[[#This Row],[(T/B) AJD]]</f>
        <v/>
      </c>
      <c r="S85" s="3">
        <f>Table5[[#This Row],[S/S_CON.]]+Table5[[#This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Table5[[#This Row],[(RESV. STORGE) AJD]]/10</f>
        <v/>
      </c>
      <c r="AB85" s="3">
        <f>IF(TRIM(Z85)="",,(Z85-Z84)/1000)</f>
        <v/>
      </c>
      <c r="AC85" s="5" t="n"/>
      <c r="AD85" s="39">
        <f>(Table5[[#This Row],[( S/S+T/B) AJD]]*1000)-((Table5[[#This Row],[(STORGE DIFF.) AJD]]*1000)+Table5[[#This Row],[AJD_Evaporation]]+(Table5[[#This Row],[(A/B + A/S) AJD]]*1000))</f>
        <v/>
      </c>
      <c r="AE85" s="41" t="n"/>
      <c r="AF85" s="43" t="n"/>
      <c r="AG85" s="43" t="n"/>
      <c r="AH85" s="6">
        <f>Table5[[#This Row],[ (RESV. STORGE) BER]]/10</f>
        <v/>
      </c>
      <c r="AI85" s="41" t="n"/>
      <c r="AJ85" s="41">
        <f>Table5[[#This Row],[(A/B) AJD]]-Table5[[#This Row],[BER_IN]]</f>
        <v/>
      </c>
      <c r="AK85" s="43" t="n"/>
      <c r="AL85" s="43" t="n"/>
      <c r="AM85" s="32" t="n"/>
      <c r="AN85" s="32">
        <f>Table5[[#This Row],[ (RESV. STORGE) SER]]/10</f>
        <v/>
      </c>
      <c r="AO85" s="68" t="n"/>
      <c r="AP85" s="100">
        <f>Table5[[#This Row],[(A/S) AJD]]-Table5[[#This Row],[SER_IN]]</f>
        <v/>
      </c>
    </row>
    <row r="86" ht="18.75" customHeight="1">
      <c r="A86" s="98" t="n">
        <v>47203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Table5[[#This Row],[ (T/B) SAR]]+Table5[[#This Row],[ (S/S) SAR]]</f>
        <v/>
      </c>
      <c r="L86" s="45" t="n"/>
      <c r="M86" s="46" t="n"/>
      <c r="N86" s="46" t="n"/>
      <c r="O86" s="40" t="n"/>
      <c r="P86" s="3">
        <f>Table5[[#This Row],[ (S/S) SAR]]-Table5[[#This Row],[(S/S) AJD]]</f>
        <v/>
      </c>
      <c r="Q86" s="40" t="n"/>
      <c r="R86" s="3">
        <f>Table5[[#This Row],[ (T/B) SAR]]-Table5[[#This Row],[(T/B) AJD]]</f>
        <v/>
      </c>
      <c r="S86" s="3">
        <f>Table5[[#This Row],[S/S_CON.]]+Table5[[#This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Table5[[#This Row],[(RESV. STORGE) AJD]]/10</f>
        <v/>
      </c>
      <c r="AB86" s="3">
        <f>IF(TRIM(Z86)="",,(Z86-Z85)/1000)</f>
        <v/>
      </c>
      <c r="AC86" s="5" t="n"/>
      <c r="AD86" s="40">
        <f>(Table5[[#This Row],[( S/S+T/B) AJD]]*1000)-((Table5[[#This Row],[(STORGE DIFF.) AJD]]*1000)+Table5[[#This Row],[AJD_Evaporation]]+(Table5[[#This Row],[(A/B + A/S) AJD]]*1000))</f>
        <v/>
      </c>
      <c r="AE86" s="44" t="n"/>
      <c r="AF86" s="45" t="n"/>
      <c r="AG86" s="45" t="n"/>
      <c r="AH86" s="6">
        <f>Table5[[#This Row],[ (RESV. STORGE) BER]]/10</f>
        <v/>
      </c>
      <c r="AI86" s="44" t="n"/>
      <c r="AJ86" s="44">
        <f>Table5[[#This Row],[(A/B) AJD]]-Table5[[#This Row],[BER_IN]]</f>
        <v/>
      </c>
      <c r="AK86" s="45" t="n"/>
      <c r="AL86" s="45" t="n"/>
      <c r="AM86" s="32" t="n"/>
      <c r="AN86" s="32">
        <f>Table5[[#This Row],[ (RESV. STORGE) SER]]/10</f>
        <v/>
      </c>
      <c r="AO86" s="68" t="n"/>
      <c r="AP86" s="100">
        <f>Table5[[#This Row],[(A/S) AJD]]-Table5[[#This Row],[SER_IN]]</f>
        <v/>
      </c>
    </row>
    <row r="87" ht="18.75" customHeight="1">
      <c r="A87" s="98" t="n">
        <v>47204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Table5[[#This Row],[ (T/B) SAR]]+Table5[[#This Row],[ (S/S) SAR]]</f>
        <v/>
      </c>
      <c r="L87" s="41" t="n"/>
      <c r="M87" s="42" t="n"/>
      <c r="N87" s="42" t="n"/>
      <c r="O87" s="39" t="n"/>
      <c r="P87" s="3">
        <f>Table5[[#This Row],[ (S/S) SAR]]-Table5[[#This Row],[(S/S) AJD]]</f>
        <v/>
      </c>
      <c r="Q87" s="39" t="n"/>
      <c r="R87" s="3">
        <f>Table5[[#This Row],[ (T/B) SAR]]-Table5[[#This Row],[(T/B) AJD]]</f>
        <v/>
      </c>
      <c r="S87" s="3">
        <f>Table5[[#This Row],[S/S_CON.]]+Table5[[#This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Table5[[#This Row],[(RESV. STORGE) AJD]]/10</f>
        <v/>
      </c>
      <c r="AB87" s="3">
        <f>IF(TRIM(Z87)="",,(Z87-Z86)/1000)</f>
        <v/>
      </c>
      <c r="AC87" s="5" t="n"/>
      <c r="AD87" s="39">
        <f>(Table5[[#This Row],[( S/S+T/B) AJD]]*1000)-((Table5[[#This Row],[(STORGE DIFF.) AJD]]*1000)+Table5[[#This Row],[AJD_Evaporation]]+(Table5[[#This Row],[(A/B + A/S) AJD]]*1000))</f>
        <v/>
      </c>
      <c r="AE87" s="41" t="n"/>
      <c r="AF87" s="43" t="n"/>
      <c r="AG87" s="43" t="n"/>
      <c r="AH87" s="6">
        <f>Table5[[#This Row],[ (RESV. STORGE) BER]]/10</f>
        <v/>
      </c>
      <c r="AI87" s="41" t="n"/>
      <c r="AJ87" s="41">
        <f>Table5[[#This Row],[(A/B) AJD]]-Table5[[#This Row],[BER_IN]]</f>
        <v/>
      </c>
      <c r="AK87" s="43" t="n"/>
      <c r="AL87" s="43" t="n"/>
      <c r="AM87" s="32" t="n"/>
      <c r="AN87" s="32">
        <f>Table5[[#This Row],[ (RESV. STORGE) SER]]/10</f>
        <v/>
      </c>
      <c r="AO87" s="68" t="n"/>
      <c r="AP87" s="100">
        <f>Table5[[#This Row],[(A/S) AJD]]-Table5[[#This Row],[SER_IN]]</f>
        <v/>
      </c>
    </row>
    <row r="88" ht="18.75" customHeight="1">
      <c r="A88" s="98" t="n">
        <v>47205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Table5[[#This Row],[ (T/B) SAR]]+Table5[[#This Row],[ (S/S) SAR]]</f>
        <v/>
      </c>
      <c r="L88" s="45" t="n"/>
      <c r="M88" s="46" t="n"/>
      <c r="N88" s="46" t="n"/>
      <c r="O88" s="40" t="n"/>
      <c r="P88" s="3">
        <f>Table5[[#This Row],[ (S/S) SAR]]-Table5[[#This Row],[(S/S) AJD]]</f>
        <v/>
      </c>
      <c r="Q88" s="40" t="n"/>
      <c r="R88" s="3">
        <f>Table5[[#This Row],[ (T/B) SAR]]-Table5[[#This Row],[(T/B) AJD]]</f>
        <v/>
      </c>
      <c r="S88" s="3">
        <f>Table5[[#This Row],[S/S_CON.]]+Table5[[#This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Table5[[#This Row],[(RESV. STORGE) AJD]]/10</f>
        <v/>
      </c>
      <c r="AB88" s="3">
        <f>IF(TRIM(Z88)="",,(Z88-Z87)/1000)</f>
        <v/>
      </c>
      <c r="AC88" s="5" t="n"/>
      <c r="AD88" s="40">
        <f>(Table5[[#This Row],[( S/S+T/B) AJD]]*1000)-((Table5[[#This Row],[(STORGE DIFF.) AJD]]*1000)+Table5[[#This Row],[AJD_Evaporation]]+(Table5[[#This Row],[(A/B + A/S) AJD]]*1000))</f>
        <v/>
      </c>
      <c r="AE88" s="44" t="n"/>
      <c r="AF88" s="45" t="n"/>
      <c r="AG88" s="45" t="n"/>
      <c r="AH88" s="6">
        <f>Table5[[#This Row],[ (RESV. STORGE) BER]]/10</f>
        <v/>
      </c>
      <c r="AI88" s="44" t="n"/>
      <c r="AJ88" s="44">
        <f>Table5[[#This Row],[(A/B) AJD]]-Table5[[#This Row],[BER_IN]]</f>
        <v/>
      </c>
      <c r="AK88" s="45" t="n"/>
      <c r="AL88" s="45" t="n"/>
      <c r="AM88" s="32" t="n"/>
      <c r="AN88" s="32">
        <f>Table5[[#This Row],[ (RESV. STORGE) SER]]/10</f>
        <v/>
      </c>
      <c r="AO88" s="68" t="n"/>
      <c r="AP88" s="100">
        <f>Table5[[#This Row],[(A/S) AJD]]-Table5[[#This Row],[SER_IN]]</f>
        <v/>
      </c>
    </row>
    <row r="89" ht="18.75" customHeight="1">
      <c r="A89" s="98" t="n">
        <v>47206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Table5[[#This Row],[ (T/B) SAR]]+Table5[[#This Row],[ (S/S) SAR]]</f>
        <v/>
      </c>
      <c r="L89" s="41" t="n"/>
      <c r="M89" s="42" t="n"/>
      <c r="N89" s="42" t="n"/>
      <c r="O89" s="39" t="n"/>
      <c r="P89" s="3">
        <f>Table5[[#This Row],[ (S/S) SAR]]-Table5[[#This Row],[(S/S) AJD]]</f>
        <v/>
      </c>
      <c r="Q89" s="39" t="n"/>
      <c r="R89" s="3">
        <f>Table5[[#This Row],[ (T/B) SAR]]-Table5[[#This Row],[(T/B) AJD]]</f>
        <v/>
      </c>
      <c r="S89" s="3">
        <f>Table5[[#This Row],[S/S_CON.]]+Table5[[#This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Table5[[#This Row],[(RESV. STORGE) AJD]]/10</f>
        <v/>
      </c>
      <c r="AB89" s="3">
        <f>IF(TRIM(Z89)="",,(Z89-Z88)/1000)</f>
        <v/>
      </c>
      <c r="AC89" s="5" t="n"/>
      <c r="AD89" s="39">
        <f>(Table5[[#This Row],[( S/S+T/B) AJD]]*1000)-((Table5[[#This Row],[(STORGE DIFF.) AJD]]*1000)+Table5[[#This Row],[AJD_Evaporation]]+(Table5[[#This Row],[(A/B + A/S) AJD]]*1000))</f>
        <v/>
      </c>
      <c r="AE89" s="41" t="n"/>
      <c r="AF89" s="43" t="n"/>
      <c r="AG89" s="43" t="n"/>
      <c r="AH89" s="6">
        <f>Table5[[#This Row],[ (RESV. STORGE) BER]]/10</f>
        <v/>
      </c>
      <c r="AI89" s="41" t="n"/>
      <c r="AJ89" s="41">
        <f>Table5[[#This Row],[(A/B) AJD]]-Table5[[#This Row],[BER_IN]]</f>
        <v/>
      </c>
      <c r="AK89" s="43" t="n"/>
      <c r="AL89" s="43" t="n"/>
      <c r="AM89" s="32" t="n"/>
      <c r="AN89" s="32">
        <f>Table5[[#This Row],[ (RESV. STORGE) SER]]/10</f>
        <v/>
      </c>
      <c r="AO89" s="68" t="n"/>
      <c r="AP89" s="100">
        <f>Table5[[#This Row],[(A/S) AJD]]-Table5[[#This Row],[SER_IN]]</f>
        <v/>
      </c>
    </row>
    <row r="90" ht="18.75" customHeight="1">
      <c r="A90" s="98" t="n">
        <v>47207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Table5[[#This Row],[ (T/B) SAR]]+Table5[[#This Row],[ (S/S) SAR]]</f>
        <v/>
      </c>
      <c r="L90" s="45" t="n"/>
      <c r="M90" s="46" t="n"/>
      <c r="N90" s="46" t="n"/>
      <c r="O90" s="40" t="n"/>
      <c r="P90" s="3">
        <f>Table5[[#This Row],[ (S/S) SAR]]-Table5[[#This Row],[(S/S) AJD]]</f>
        <v/>
      </c>
      <c r="Q90" s="40" t="n"/>
      <c r="R90" s="3">
        <f>Table5[[#This Row],[ (T/B) SAR]]-Table5[[#This Row],[(T/B) AJD]]</f>
        <v/>
      </c>
      <c r="S90" s="3">
        <f>Table5[[#This Row],[S/S_CON.]]+Table5[[#This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Table5[[#This Row],[(RESV. STORGE) AJD]]/10</f>
        <v/>
      </c>
      <c r="AB90" s="3">
        <f>IF(TRIM(Z90)="",,(Z90-Z89)/1000)</f>
        <v/>
      </c>
      <c r="AC90" s="5" t="n"/>
      <c r="AD90" s="70">
        <f>(Table5[[#This Row],[( S/S+T/B) AJD]]*1000)-((Table5[[#This Row],[(STORGE DIFF.) AJD]]*1000)+Table5[[#This Row],[AJD_Evaporation]]+(Table5[[#This Row],[(A/B + A/S) AJD]]*1000))</f>
        <v/>
      </c>
      <c r="AE90" s="44" t="n"/>
      <c r="AF90" s="45" t="n"/>
      <c r="AG90" s="45" t="n"/>
      <c r="AH90" s="6">
        <f>Table5[[#This Row],[ (RESV. STORGE) BER]]/10</f>
        <v/>
      </c>
      <c r="AI90" s="44" t="n"/>
      <c r="AJ90" s="67">
        <f>Table5[[#This Row],[(A/B) AJD]]-Table5[[#This Row],[BER_IN]]</f>
        <v/>
      </c>
      <c r="AK90" s="45" t="n"/>
      <c r="AL90" s="45" t="n"/>
      <c r="AM90" s="32" t="n"/>
      <c r="AN90" s="32">
        <f>Table5[[#This Row],[ (RESV. STORGE) SER]]/10</f>
        <v/>
      </c>
      <c r="AO90" s="68" t="n"/>
      <c r="AP90" s="100">
        <f>Table5[[#This Row],[(A/S) AJD]]-Table5[[#This Row],[SER_IN]]</f>
        <v/>
      </c>
    </row>
    <row r="91" ht="18.75" customHeight="1">
      <c r="A91" s="98" t="n">
        <v>47208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Table5[[#This Row],[ (T/B) SAR]]+Table5[[#This Row],[ (S/S) SAR]]</f>
        <v/>
      </c>
      <c r="L91" s="41" t="n"/>
      <c r="M91" s="42" t="n"/>
      <c r="N91" s="42" t="n"/>
      <c r="O91" s="39" t="n"/>
      <c r="P91" s="3">
        <f>Table5[[#This Row],[ (S/S) SAR]]-Table5[[#This Row],[(S/S) AJD]]</f>
        <v/>
      </c>
      <c r="Q91" s="39" t="n"/>
      <c r="R91" s="3">
        <f>Table5[[#This Row],[ (T/B) SAR]]-Table5[[#This Row],[(T/B) AJD]]</f>
        <v/>
      </c>
      <c r="S91" s="3">
        <f>Table5[[#This Row],[S/S_CON.]]+Table5[[#This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Table5[[#This Row],[(RESV. STORGE) AJD]]/10</f>
        <v/>
      </c>
      <c r="AB91" s="3">
        <f>IF(TRIM(Z91)="",,(Z91-Z90)/1000)</f>
        <v/>
      </c>
      <c r="AC91" s="5" t="n"/>
      <c r="AD91" s="39">
        <f>(Table5[[#This Row],[( S/S+T/B) AJD]]*1000)-((Table5[[#This Row],[(STORGE DIFF.) AJD]]*1000)+Table5[[#This Row],[AJD_Evaporation]]+(Table5[[#This Row],[(A/B + A/S) AJD]]*1000))</f>
        <v/>
      </c>
      <c r="AE91" s="41" t="n"/>
      <c r="AF91" s="43" t="n"/>
      <c r="AG91" s="43" t="n"/>
      <c r="AH91" s="6">
        <f>Table5[[#This Row],[ (RESV. STORGE) BER]]/10</f>
        <v/>
      </c>
      <c r="AI91" s="41" t="n"/>
      <c r="AJ91" s="41">
        <f>Table5[[#This Row],[(A/B) AJD]]-Table5[[#This Row],[BER_IN]]</f>
        <v/>
      </c>
      <c r="AK91" s="43" t="n"/>
      <c r="AL91" s="43" t="n"/>
      <c r="AM91" s="32" t="n"/>
      <c r="AN91" s="32">
        <f>Table5[[#This Row],[ (RESV. STORGE) SER]]/10</f>
        <v/>
      </c>
      <c r="AO91" s="68" t="n"/>
      <c r="AP91" s="100">
        <f>Table5[[#This Row],[(A/S) AJD]]-Table5[[#This Row],[SER_IN]]</f>
        <v/>
      </c>
    </row>
    <row r="92" ht="18.75" customHeight="1">
      <c r="A92" s="98" t="n">
        <v>47209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Table5[[#This Row],[ (T/B) SAR]]+Table5[[#This Row],[ (S/S) SAR]]</f>
        <v/>
      </c>
      <c r="L92" s="41" t="n"/>
      <c r="M92" s="42" t="n"/>
      <c r="N92" s="42" t="n"/>
      <c r="O92" s="39" t="n"/>
      <c r="P92" s="3">
        <f>Table5[[#This Row],[ (S/S) SAR]]-Table5[[#This Row],[(S/S) AJD]]</f>
        <v/>
      </c>
      <c r="Q92" s="39" t="n"/>
      <c r="R92" s="3">
        <f>Table5[[#This Row],[ (T/B) SAR]]-Table5[[#This Row],[(T/B) AJD]]</f>
        <v/>
      </c>
      <c r="S92" s="3">
        <f>Table5[[#This Row],[S/S_CON.]]+Table5[[#This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Table5[[#This Row],[(RESV. STORGE) AJD]]/10</f>
        <v/>
      </c>
      <c r="AB92" s="3">
        <f>IF(TRIM(Z92)="",,(Z92-Z91)/1000)</f>
        <v/>
      </c>
      <c r="AC92" s="5" t="n"/>
      <c r="AD92" s="39">
        <f>(Table5[[#This Row],[( S/S+T/B) AJD]]*1000)-((Table5[[#This Row],[(STORGE DIFF.) AJD]]*1000)+Table5[[#This Row],[AJD_Evaporation]]+(Table5[[#This Row],[(A/B + A/S) AJD]]*1000))</f>
        <v/>
      </c>
      <c r="AE92" s="41" t="n"/>
      <c r="AF92" s="43" t="n"/>
      <c r="AG92" s="43" t="n"/>
      <c r="AH92" s="6">
        <f>Table5[[#This Row],[ (RESV. STORGE) BER]]/10</f>
        <v/>
      </c>
      <c r="AI92" s="41" t="n"/>
      <c r="AJ92" s="41">
        <f>Table5[[#This Row],[(A/B) AJD]]-Table5[[#This Row],[BER_IN]]</f>
        <v/>
      </c>
      <c r="AK92" s="43" t="n"/>
      <c r="AL92" s="43" t="n"/>
      <c r="AM92" s="32" t="n"/>
      <c r="AN92" s="32">
        <f>Table5[[#This Row],[ (RESV. STORGE) SER]]/10</f>
        <v/>
      </c>
      <c r="AO92" s="68" t="n"/>
      <c r="AP92" s="100">
        <f>Table5[[#This Row],[(A/S) AJD]]-Table5[[#This Row],[SER_IN]]</f>
        <v/>
      </c>
    </row>
    <row r="93" ht="18.75" customHeight="1">
      <c r="A93" s="98" t="n">
        <v>47210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Table5[[#This Row],[ (T/B) SAR]]+Table5[[#This Row],[ (S/S) SAR]]</f>
        <v/>
      </c>
      <c r="L93" s="45" t="n"/>
      <c r="M93" s="46" t="n"/>
      <c r="N93" s="46" t="n"/>
      <c r="O93" s="40" t="n"/>
      <c r="P93" s="3">
        <f>Table5[[#This Row],[ (S/S) SAR]]-Table5[[#This Row],[(S/S) AJD]]</f>
        <v/>
      </c>
      <c r="Q93" s="40" t="n"/>
      <c r="R93" s="3">
        <f>Table5[[#This Row],[ (T/B) SAR]]-Table5[[#This Row],[(T/B) AJD]]</f>
        <v/>
      </c>
      <c r="S93" s="3">
        <f>Table5[[#This Row],[S/S_CON.]]+Table5[[#This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Table5[[#This Row],[(RESV. STORGE) AJD]]/10</f>
        <v/>
      </c>
      <c r="AB93" s="3">
        <f>IF(TRIM(Z93)="",,(Z93-Z92)/1000)</f>
        <v/>
      </c>
      <c r="AC93" s="5" t="n"/>
      <c r="AD93" s="40">
        <f>(Table5[[#This Row],[( S/S+T/B) AJD]]*1000)-((Table5[[#This Row],[(STORGE DIFF.) AJD]]*1000)+Table5[[#This Row],[AJD_Evaporation]]+(Table5[[#This Row],[(A/B + A/S) AJD]]*1000))</f>
        <v/>
      </c>
      <c r="AE93" s="44" t="n"/>
      <c r="AF93" s="45" t="n"/>
      <c r="AG93" s="45" t="n"/>
      <c r="AH93" s="6">
        <f>Table5[[#This Row],[ (RESV. STORGE) BER]]/10</f>
        <v/>
      </c>
      <c r="AI93" s="44" t="n"/>
      <c r="AJ93" s="44">
        <f>Table5[[#This Row],[(A/B) AJD]]-Table5[[#This Row],[BER_IN]]</f>
        <v/>
      </c>
      <c r="AK93" s="45" t="n"/>
      <c r="AL93" s="45" t="n"/>
      <c r="AM93" s="32" t="n"/>
      <c r="AN93" s="32">
        <f>Table5[[#This Row],[ (RESV. STORGE) SER]]/10</f>
        <v/>
      </c>
      <c r="AO93" s="68" t="n"/>
      <c r="AP93" s="100">
        <f>Table5[[#This Row],[(A/S) AJD]]-Table5[[#This Row],[SER_IN]]</f>
        <v/>
      </c>
    </row>
    <row r="94" ht="18.75" customHeight="1">
      <c r="A94" s="98" t="n">
        <v>47211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Table5[[#This Row],[ (T/B) SAR]]+Table5[[#This Row],[ (S/S) SAR]]</f>
        <v/>
      </c>
      <c r="L94" s="41" t="n"/>
      <c r="M94" s="42" t="n"/>
      <c r="N94" s="42" t="n"/>
      <c r="O94" s="39" t="n"/>
      <c r="P94" s="3">
        <f>Table5[[#This Row],[ (S/S) SAR]]-Table5[[#This Row],[(S/S) AJD]]</f>
        <v/>
      </c>
      <c r="Q94" s="39" t="n"/>
      <c r="R94" s="3">
        <f>Table5[[#This Row],[ (T/B) SAR]]-Table5[[#This Row],[(T/B) AJD]]</f>
        <v/>
      </c>
      <c r="S94" s="3">
        <f>Table5[[#This Row],[S/S_CON.]]+Table5[[#This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Table5[[#This Row],[(RESV. STORGE) AJD]]/10</f>
        <v/>
      </c>
      <c r="AB94" s="3">
        <f>IF(TRIM(Z94)="",,(Z94-Z93)/1000)</f>
        <v/>
      </c>
      <c r="AC94" s="5" t="n"/>
      <c r="AD94" s="39">
        <f>(Table5[[#This Row],[( S/S+T/B) AJD]]*1000)-((Table5[[#This Row],[(STORGE DIFF.) AJD]]*1000)+Table5[[#This Row],[AJD_Evaporation]]+(Table5[[#This Row],[(A/B + A/S) AJD]]*1000))</f>
        <v/>
      </c>
      <c r="AE94" s="41" t="n"/>
      <c r="AF94" s="43" t="n"/>
      <c r="AG94" s="43" t="n"/>
      <c r="AH94" s="6">
        <f>Table5[[#This Row],[ (RESV. STORGE) BER]]/10</f>
        <v/>
      </c>
      <c r="AI94" s="41" t="n"/>
      <c r="AJ94" s="41">
        <f>Table5[[#This Row],[(A/B) AJD]]-Table5[[#This Row],[BER_IN]]</f>
        <v/>
      </c>
      <c r="AK94" s="43" t="n"/>
      <c r="AL94" s="43" t="n"/>
      <c r="AM94" s="32" t="n"/>
      <c r="AN94" s="32">
        <f>Table5[[#This Row],[ (RESV. STORGE) SER]]/10</f>
        <v/>
      </c>
      <c r="AO94" s="68" t="n"/>
      <c r="AP94" s="100">
        <f>Table5[[#This Row],[(A/S) AJD]]-Table5[[#This Row],[SER_IN]]</f>
        <v/>
      </c>
    </row>
    <row r="95" ht="18.75" customHeight="1">
      <c r="A95" s="98" t="n">
        <v>47212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Table5[[#This Row],[ (T/B) SAR]]+Table5[[#This Row],[ (S/S) SAR]]</f>
        <v/>
      </c>
      <c r="L95" s="45" t="n"/>
      <c r="M95" s="46" t="n"/>
      <c r="N95" s="46" t="n"/>
      <c r="O95" s="40" t="n"/>
      <c r="P95" s="3">
        <f>Table5[[#This Row],[ (S/S) SAR]]-Table5[[#This Row],[(S/S) AJD]]</f>
        <v/>
      </c>
      <c r="Q95" s="40" t="n"/>
      <c r="R95" s="3">
        <f>Table5[[#This Row],[ (T/B) SAR]]-Table5[[#This Row],[(T/B) AJD]]</f>
        <v/>
      </c>
      <c r="S95" s="3">
        <f>Table5[[#This Row],[S/S_CON.]]+Table5[[#This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Table5[[#This Row],[(RESV. STORGE) AJD]]/10</f>
        <v/>
      </c>
      <c r="AB95" s="3">
        <f>IF(TRIM(Z95)="",,(Z95-Z94)/1000)</f>
        <v/>
      </c>
      <c r="AC95" s="5" t="n"/>
      <c r="AD95" s="40">
        <f>(Table5[[#This Row],[( S/S+T/B) AJD]]*1000)-((Table5[[#This Row],[(STORGE DIFF.) AJD]]*1000)+Table5[[#This Row],[AJD_Evaporation]]+(Table5[[#This Row],[(A/B + A/S) AJD]]*1000))</f>
        <v/>
      </c>
      <c r="AE95" s="44" t="n"/>
      <c r="AF95" s="45" t="n"/>
      <c r="AG95" s="45" t="n"/>
      <c r="AH95" s="6">
        <f>Table5[[#This Row],[ (RESV. STORGE) BER]]/10</f>
        <v/>
      </c>
      <c r="AI95" s="44" t="n"/>
      <c r="AJ95" s="44">
        <f>Table5[[#This Row],[(A/B) AJD]]-Table5[[#This Row],[BER_IN]]</f>
        <v/>
      </c>
      <c r="AK95" s="45" t="n"/>
      <c r="AL95" s="45" t="n"/>
      <c r="AM95" s="32" t="n"/>
      <c r="AN95" s="32">
        <f>Table5[[#This Row],[ (RESV. STORGE) SER]]/10</f>
        <v/>
      </c>
      <c r="AO95" s="68" t="n"/>
      <c r="AP95" s="100">
        <f>Table5[[#This Row],[(A/S) AJD]]-Table5[[#This Row],[SER_IN]]</f>
        <v/>
      </c>
    </row>
    <row r="96" ht="18.75" customHeight="1">
      <c r="A96" s="98" t="n">
        <v>47213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Table5[[#This Row],[ (T/B) SAR]]+Table5[[#This Row],[ (S/S) SAR]]</f>
        <v/>
      </c>
      <c r="L96" s="41" t="n"/>
      <c r="M96" s="42" t="n"/>
      <c r="N96" s="42" t="n"/>
      <c r="O96" s="39" t="n"/>
      <c r="P96" s="3">
        <f>Table5[[#This Row],[ (S/S) SAR]]-Table5[[#This Row],[(S/S) AJD]]</f>
        <v/>
      </c>
      <c r="Q96" s="39" t="n"/>
      <c r="R96" s="3">
        <f>Table5[[#This Row],[ (T/B) SAR]]-Table5[[#This Row],[(T/B) AJD]]</f>
        <v/>
      </c>
      <c r="S96" s="3">
        <f>Table5[[#This Row],[S/S_CON.]]+Table5[[#This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Table5[[#This Row],[(RESV. STORGE) AJD]]/10</f>
        <v/>
      </c>
      <c r="AB96" s="3">
        <f>IF(TRIM(Z96)="",,(Z96-Z95)/1000)</f>
        <v/>
      </c>
      <c r="AC96" s="5" t="n"/>
      <c r="AD96" s="39">
        <f>(Table5[[#This Row],[( S/S+T/B) AJD]]*1000)-((Table5[[#This Row],[(STORGE DIFF.) AJD]]*1000)+Table5[[#This Row],[AJD_Evaporation]]+(Table5[[#This Row],[(A/B + A/S) AJD]]*1000))</f>
        <v/>
      </c>
      <c r="AE96" s="41" t="n"/>
      <c r="AF96" s="43" t="n"/>
      <c r="AG96" s="43" t="n"/>
      <c r="AH96" s="6">
        <f>Table5[[#This Row],[ (RESV. STORGE) BER]]/10</f>
        <v/>
      </c>
      <c r="AI96" s="41" t="n"/>
      <c r="AJ96" s="41">
        <f>Table5[[#This Row],[(A/B) AJD]]-Table5[[#This Row],[BER_IN]]</f>
        <v/>
      </c>
      <c r="AK96" s="43" t="n"/>
      <c r="AL96" s="43" t="n"/>
      <c r="AM96" s="32" t="n"/>
      <c r="AN96" s="32">
        <f>Table5[[#This Row],[ (RESV. STORGE) SER]]/10</f>
        <v/>
      </c>
      <c r="AO96" s="68" t="n"/>
      <c r="AP96" s="100">
        <f>Table5[[#This Row],[(A/S) AJD]]-Table5[[#This Row],[SER_IN]]</f>
        <v/>
      </c>
    </row>
    <row r="97" ht="18.75" customHeight="1">
      <c r="A97" s="98" t="n">
        <v>47214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Table5[[#This Row],[ (T/B) SAR]]+Table5[[#This Row],[ (S/S) SAR]]</f>
        <v/>
      </c>
      <c r="L97" s="45" t="n"/>
      <c r="M97" s="46" t="n"/>
      <c r="N97" s="46" t="n"/>
      <c r="O97" s="40" t="n"/>
      <c r="P97" s="3">
        <f>Table5[[#This Row],[ (S/S) SAR]]-Table5[[#This Row],[(S/S) AJD]]</f>
        <v/>
      </c>
      <c r="Q97" s="40" t="n"/>
      <c r="R97" s="3">
        <f>Table5[[#This Row],[ (T/B) SAR]]-Table5[[#This Row],[(T/B) AJD]]</f>
        <v/>
      </c>
      <c r="S97" s="3">
        <f>Table5[[#This Row],[S/S_CON.]]+Table5[[#This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Table5[[#This Row],[(RESV. STORGE) AJD]]/10</f>
        <v/>
      </c>
      <c r="AB97" s="3">
        <f>IF(TRIM(Z97)="",,(Z97-Z96)/1000)</f>
        <v/>
      </c>
      <c r="AC97" s="5" t="n"/>
      <c r="AD97" s="40">
        <f>(Table5[[#This Row],[( S/S+T/B) AJD]]*1000)-((Table5[[#This Row],[(STORGE DIFF.) AJD]]*1000)+Table5[[#This Row],[AJD_Evaporation]]+(Table5[[#This Row],[(A/B + A/S) AJD]]*1000))</f>
        <v/>
      </c>
      <c r="AE97" s="44" t="n"/>
      <c r="AF97" s="45" t="n"/>
      <c r="AG97" s="45" t="n"/>
      <c r="AH97" s="6">
        <f>Table5[[#This Row],[ (RESV. STORGE) BER]]/10</f>
        <v/>
      </c>
      <c r="AI97" s="44" t="n"/>
      <c r="AJ97" s="44">
        <f>Table5[[#This Row],[(A/B) AJD]]-Table5[[#This Row],[BER_IN]]</f>
        <v/>
      </c>
      <c r="AK97" s="45" t="n"/>
      <c r="AL97" s="45" t="n"/>
      <c r="AM97" s="32" t="n"/>
      <c r="AN97" s="32">
        <f>Table5[[#This Row],[ (RESV. STORGE) SER]]/10</f>
        <v/>
      </c>
      <c r="AO97" s="68" t="n"/>
      <c r="AP97" s="100">
        <f>Table5[[#This Row],[(A/S) AJD]]-Table5[[#This Row],[SER_IN]]</f>
        <v/>
      </c>
    </row>
    <row r="98" ht="18.75" customHeight="1">
      <c r="A98" s="98" t="n">
        <v>47215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Table5[[#This Row],[ (T/B) SAR]]+Table5[[#This Row],[ (S/S) SAR]]</f>
        <v/>
      </c>
      <c r="L98" s="41" t="n"/>
      <c r="M98" s="42" t="n"/>
      <c r="N98" s="42" t="n"/>
      <c r="O98" s="39" t="n"/>
      <c r="P98" s="3">
        <f>Table5[[#This Row],[ (S/S) SAR]]-Table5[[#This Row],[(S/S) AJD]]</f>
        <v/>
      </c>
      <c r="Q98" s="39" t="n"/>
      <c r="R98" s="3">
        <f>Table5[[#This Row],[ (T/B) SAR]]-Table5[[#This Row],[(T/B) AJD]]</f>
        <v/>
      </c>
      <c r="S98" s="3">
        <f>Table5[[#This Row],[S/S_CON.]]+Table5[[#This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Table5[[#This Row],[(RESV. STORGE) AJD]]/10</f>
        <v/>
      </c>
      <c r="AB98" s="3">
        <f>IF(TRIM(Z98)="",,(Z98-Z97)/1000)</f>
        <v/>
      </c>
      <c r="AC98" s="5" t="n"/>
      <c r="AD98" s="39">
        <f>(Table5[[#This Row],[( S/S+T/B) AJD]]*1000)-((Table5[[#This Row],[(STORGE DIFF.) AJD]]*1000)+Table5[[#This Row],[AJD_Evaporation]]+(Table5[[#This Row],[(A/B + A/S) AJD]]*1000))</f>
        <v/>
      </c>
      <c r="AE98" s="41" t="n"/>
      <c r="AF98" s="43" t="n"/>
      <c r="AG98" s="43" t="n"/>
      <c r="AH98" s="6">
        <f>Table5[[#This Row],[ (RESV. STORGE) BER]]/10</f>
        <v/>
      </c>
      <c r="AI98" s="41" t="n"/>
      <c r="AJ98" s="41">
        <f>Table5[[#This Row],[(A/B) AJD]]-Table5[[#This Row],[BER_IN]]</f>
        <v/>
      </c>
      <c r="AK98" s="43" t="n"/>
      <c r="AL98" s="43" t="n"/>
      <c r="AM98" s="32" t="n"/>
      <c r="AN98" s="32">
        <f>Table5[[#This Row],[ (RESV. STORGE) SER]]/10</f>
        <v/>
      </c>
      <c r="AO98" s="68" t="n"/>
      <c r="AP98" s="100">
        <f>Table5[[#This Row],[(A/S) AJD]]-Table5[[#This Row],[SER_IN]]</f>
        <v/>
      </c>
    </row>
    <row r="99" ht="18.75" customHeight="1">
      <c r="A99" s="98" t="n">
        <v>47216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Table5[[#This Row],[ (T/B) SAR]]+Table5[[#This Row],[ (S/S) SAR]]</f>
        <v/>
      </c>
      <c r="L99" s="45" t="n"/>
      <c r="M99" s="46" t="n"/>
      <c r="N99" s="46" t="n"/>
      <c r="O99" s="40" t="n"/>
      <c r="P99" s="3">
        <f>Table5[[#This Row],[ (S/S) SAR]]-Table5[[#This Row],[(S/S) AJD]]</f>
        <v/>
      </c>
      <c r="Q99" s="40" t="n"/>
      <c r="R99" s="3">
        <f>Table5[[#This Row],[ (T/B) SAR]]-Table5[[#This Row],[(T/B) AJD]]</f>
        <v/>
      </c>
      <c r="S99" s="3">
        <f>Table5[[#This Row],[S/S_CON.]]+Table5[[#This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Table5[[#This Row],[(RESV. STORGE) AJD]]/10</f>
        <v/>
      </c>
      <c r="AB99" s="3">
        <f>IF(TRIM(Z99)="",,(Z99-Z98)/1000)</f>
        <v/>
      </c>
      <c r="AC99" s="5" t="n"/>
      <c r="AD99" s="40">
        <f>(Table5[[#This Row],[( S/S+T/B) AJD]]*1000)-((Table5[[#This Row],[(STORGE DIFF.) AJD]]*1000)+Table5[[#This Row],[AJD_Evaporation]]+(Table5[[#This Row],[(A/B + A/S) AJD]]*1000))</f>
        <v/>
      </c>
      <c r="AE99" s="44" t="n"/>
      <c r="AF99" s="45" t="n"/>
      <c r="AG99" s="45" t="n"/>
      <c r="AH99" s="6">
        <f>Table5[[#This Row],[ (RESV. STORGE) BER]]/10</f>
        <v/>
      </c>
      <c r="AI99" s="44" t="n"/>
      <c r="AJ99" s="44">
        <f>Table5[[#This Row],[(A/B) AJD]]-Table5[[#This Row],[BER_IN]]</f>
        <v/>
      </c>
      <c r="AK99" s="45" t="n"/>
      <c r="AL99" s="45" t="n"/>
      <c r="AM99" s="32" t="n"/>
      <c r="AN99" s="32">
        <f>Table5[[#This Row],[ (RESV. STORGE) SER]]/10</f>
        <v/>
      </c>
      <c r="AO99" s="68" t="n"/>
      <c r="AP99" s="100">
        <f>Table5[[#This Row],[(A/S) AJD]]-Table5[[#This Row],[SER_IN]]</f>
        <v/>
      </c>
    </row>
    <row r="100" ht="18.75" customHeight="1">
      <c r="A100" s="98" t="n">
        <v>47217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Table5[[#This Row],[ (T/B) SAR]]+Table5[[#This Row],[ (S/S) SAR]]</f>
        <v/>
      </c>
      <c r="L100" s="41" t="n"/>
      <c r="M100" s="42" t="n"/>
      <c r="N100" s="42" t="n"/>
      <c r="O100" s="39" t="n"/>
      <c r="P100" s="3">
        <f>Table5[[#This Row],[ (S/S) SAR]]-Table5[[#This Row],[(S/S) AJD]]</f>
        <v/>
      </c>
      <c r="Q100" s="39" t="n"/>
      <c r="R100" s="3">
        <f>Table5[[#This Row],[ (T/B) SAR]]-Table5[[#This Row],[(T/B) AJD]]</f>
        <v/>
      </c>
      <c r="S100" s="3">
        <f>Table5[[#This Row],[S/S_CON.]]+Table5[[#This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Table5[[#This Row],[(RESV. STORGE) AJD]]/10</f>
        <v/>
      </c>
      <c r="AB100" s="3">
        <f>IF(TRIM(Z100)="",,(Z100-Z99)/1000)</f>
        <v/>
      </c>
      <c r="AC100" s="5" t="n"/>
      <c r="AD100" s="39">
        <f>(Table5[[#This Row],[( S/S+T/B) AJD]]*1000)-((Table5[[#This Row],[(STORGE DIFF.) AJD]]*1000)+Table5[[#This Row],[AJD_Evaporation]]+(Table5[[#This Row],[(A/B + A/S) AJD]]*1000))</f>
        <v/>
      </c>
      <c r="AE100" s="41" t="n"/>
      <c r="AF100" s="43" t="n"/>
      <c r="AG100" s="43" t="n"/>
      <c r="AH100" s="6">
        <f>Table5[[#This Row],[ (RESV. STORGE) BER]]/10</f>
        <v/>
      </c>
      <c r="AI100" s="41" t="n"/>
      <c r="AJ100" s="41">
        <f>Table5[[#This Row],[(A/B) AJD]]-Table5[[#This Row],[BER_IN]]</f>
        <v/>
      </c>
      <c r="AK100" s="43" t="n"/>
      <c r="AL100" s="43" t="n"/>
      <c r="AM100" s="32" t="n"/>
      <c r="AN100" s="32">
        <f>Table5[[#This Row],[ (RESV. STORGE) SER]]/10</f>
        <v/>
      </c>
      <c r="AO100" s="68" t="n"/>
      <c r="AP100" s="100">
        <f>Table5[[#This Row],[(A/S) AJD]]-Table5[[#This Row],[SER_IN]]</f>
        <v/>
      </c>
    </row>
    <row r="101" ht="18.75" customHeight="1">
      <c r="A101" s="98" t="n">
        <v>47218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Table5[[#This Row],[ (T/B) SAR]]+Table5[[#This Row],[ (S/S) SAR]]</f>
        <v/>
      </c>
      <c r="L101" s="45" t="n"/>
      <c r="M101" s="46" t="n"/>
      <c r="N101" s="46" t="n"/>
      <c r="O101" s="40" t="n"/>
      <c r="P101" s="3">
        <f>Table5[[#This Row],[ (S/S) SAR]]-Table5[[#This Row],[(S/S) AJD]]</f>
        <v/>
      </c>
      <c r="Q101" s="40" t="n"/>
      <c r="R101" s="3">
        <f>Table5[[#This Row],[ (T/B) SAR]]-Table5[[#This Row],[(T/B) AJD]]</f>
        <v/>
      </c>
      <c r="S101" s="3">
        <f>Table5[[#This Row],[S/S_CON.]]+Table5[[#This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Table5[[#This Row],[(RESV. STORGE) AJD]]/10</f>
        <v/>
      </c>
      <c r="AB101" s="3">
        <f>IF(TRIM(Z101)="",,(Z101-Z100)/1000)</f>
        <v/>
      </c>
      <c r="AC101" s="5" t="n"/>
      <c r="AD101" s="40">
        <f>(Table5[[#This Row],[( S/S+T/B) AJD]]*1000)-((Table5[[#This Row],[(STORGE DIFF.) AJD]]*1000)+Table5[[#This Row],[AJD_Evaporation]]+(Table5[[#This Row],[(A/B + A/S) AJD]]*1000))</f>
        <v/>
      </c>
      <c r="AE101" s="44" t="n"/>
      <c r="AF101" s="45" t="n"/>
      <c r="AG101" s="45" t="n"/>
      <c r="AH101" s="6">
        <f>Table5[[#This Row],[ (RESV. STORGE) BER]]/10</f>
        <v/>
      </c>
      <c r="AI101" s="44" t="n"/>
      <c r="AJ101" s="44">
        <f>Table5[[#This Row],[(A/B) AJD]]-Table5[[#This Row],[BER_IN]]</f>
        <v/>
      </c>
      <c r="AK101" s="45" t="n"/>
      <c r="AL101" s="45" t="n"/>
      <c r="AM101" s="32" t="n"/>
      <c r="AN101" s="32">
        <f>Table5[[#This Row],[ (RESV. STORGE) SER]]/10</f>
        <v/>
      </c>
      <c r="AO101" s="68" t="n"/>
      <c r="AP101" s="100">
        <f>Table5[[#This Row],[(A/S) AJD]]-Table5[[#This Row],[SER_IN]]</f>
        <v/>
      </c>
    </row>
    <row r="102" ht="18.75" customHeight="1">
      <c r="A102" s="98" t="n">
        <v>47219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Table5[[#This Row],[ (T/B) SAR]]+Table5[[#This Row],[ (S/S) SAR]]</f>
        <v/>
      </c>
      <c r="L102" s="41" t="n"/>
      <c r="M102" s="42" t="n"/>
      <c r="N102" s="42" t="n"/>
      <c r="O102" s="39" t="n"/>
      <c r="P102" s="3">
        <f>Table5[[#This Row],[ (S/S) SAR]]-Table5[[#This Row],[(S/S) AJD]]</f>
        <v/>
      </c>
      <c r="Q102" s="39" t="n"/>
      <c r="R102" s="3">
        <f>Table5[[#This Row],[ (T/B) SAR]]-Table5[[#This Row],[(T/B) AJD]]</f>
        <v/>
      </c>
      <c r="S102" s="3">
        <f>Table5[[#This Row],[S/S_CON.]]+Table5[[#This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Table5[[#This Row],[(RESV. STORGE) AJD]]/10</f>
        <v/>
      </c>
      <c r="AB102" s="3">
        <f>IF(TRIM(Z102)="",,(Z102-Z101)/1000)</f>
        <v/>
      </c>
      <c r="AC102" s="5" t="n"/>
      <c r="AD102" s="39">
        <f>(Table5[[#This Row],[( S/S+T/B) AJD]]*1000)-((Table5[[#This Row],[(STORGE DIFF.) AJD]]*1000)+Table5[[#This Row],[AJD_Evaporation]]+(Table5[[#This Row],[(A/B + A/S) AJD]]*1000))</f>
        <v/>
      </c>
      <c r="AE102" s="41" t="n"/>
      <c r="AF102" s="43" t="n"/>
      <c r="AG102" s="43" t="n"/>
      <c r="AH102" s="6">
        <f>Table5[[#This Row],[ (RESV. STORGE) BER]]/10</f>
        <v/>
      </c>
      <c r="AI102" s="41" t="n"/>
      <c r="AJ102" s="41">
        <f>Table5[[#This Row],[(A/B) AJD]]-Table5[[#This Row],[BER_IN]]</f>
        <v/>
      </c>
      <c r="AK102" s="43" t="n"/>
      <c r="AL102" s="43" t="n"/>
      <c r="AM102" s="32" t="n"/>
      <c r="AN102" s="32">
        <f>Table5[[#This Row],[ (RESV. STORGE) SER]]/10</f>
        <v/>
      </c>
      <c r="AO102" s="68" t="n"/>
      <c r="AP102" s="100">
        <f>Table5[[#This Row],[(A/S) AJD]]-Table5[[#This Row],[SER_IN]]</f>
        <v/>
      </c>
    </row>
    <row r="103" ht="18.75" customHeight="1">
      <c r="A103" s="98" t="n">
        <v>47220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Table5[[#This Row],[ (T/B) SAR]]+Table5[[#This Row],[ (S/S) SAR]]</f>
        <v/>
      </c>
      <c r="L103" s="45" t="n"/>
      <c r="M103" s="46" t="n"/>
      <c r="N103" s="46" t="n"/>
      <c r="O103" s="40" t="n"/>
      <c r="P103" s="3">
        <f>Table5[[#This Row],[ (S/S) SAR]]-Table5[[#This Row],[(S/S) AJD]]</f>
        <v/>
      </c>
      <c r="Q103" s="40" t="n"/>
      <c r="R103" s="3">
        <f>Table5[[#This Row],[ (T/B) SAR]]-Table5[[#This Row],[(T/B) AJD]]</f>
        <v/>
      </c>
      <c r="S103" s="3">
        <f>Table5[[#This Row],[S/S_CON.]]+Table5[[#This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Table5[[#This Row],[(RESV. STORGE) AJD]]/10</f>
        <v/>
      </c>
      <c r="AB103" s="3">
        <f>IF(TRIM(Z103)="",,(Z103-Z102)/1000)</f>
        <v/>
      </c>
      <c r="AC103" s="5" t="n"/>
      <c r="AD103" s="40">
        <f>(Table5[[#This Row],[( S/S+T/B) AJD]]*1000)-((Table5[[#This Row],[(STORGE DIFF.) AJD]]*1000)+Table5[[#This Row],[AJD_Evaporation]]+(Table5[[#This Row],[(A/B + A/S) AJD]]*1000))</f>
        <v/>
      </c>
      <c r="AE103" s="44" t="n"/>
      <c r="AF103" s="45" t="n"/>
      <c r="AG103" s="45" t="n"/>
      <c r="AH103" s="6">
        <f>Table5[[#This Row],[ (RESV. STORGE) BER]]/10</f>
        <v/>
      </c>
      <c r="AI103" s="44" t="n"/>
      <c r="AJ103" s="44">
        <f>Table5[[#This Row],[(A/B) AJD]]-Table5[[#This Row],[BER_IN]]</f>
        <v/>
      </c>
      <c r="AK103" s="45" t="n"/>
      <c r="AL103" s="45" t="n"/>
      <c r="AM103" s="32" t="n"/>
      <c r="AN103" s="32">
        <f>Table5[[#This Row],[ (RESV. STORGE) SER]]/10</f>
        <v/>
      </c>
      <c r="AO103" s="68" t="n"/>
      <c r="AP103" s="100">
        <f>Table5[[#This Row],[(A/S) AJD]]-Table5[[#This Row],[SER_IN]]</f>
        <v/>
      </c>
    </row>
    <row r="104" ht="18.75" customHeight="1">
      <c r="A104" s="98" t="n">
        <v>47221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Table5[[#This Row],[ (T/B) SAR]]+Table5[[#This Row],[ (S/S) SAR]]</f>
        <v/>
      </c>
      <c r="L104" s="41" t="n"/>
      <c r="M104" s="42" t="n"/>
      <c r="N104" s="42" t="n"/>
      <c r="O104" s="39" t="n"/>
      <c r="P104" s="3">
        <f>Table5[[#This Row],[ (S/S) SAR]]-Table5[[#This Row],[(S/S) AJD]]</f>
        <v/>
      </c>
      <c r="Q104" s="39" t="n"/>
      <c r="R104" s="3">
        <f>Table5[[#This Row],[ (T/B) SAR]]-Table5[[#This Row],[(T/B) AJD]]</f>
        <v/>
      </c>
      <c r="S104" s="3">
        <f>Table5[[#This Row],[S/S_CON.]]+Table5[[#This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Table5[[#This Row],[(RESV. STORGE) AJD]]/10</f>
        <v/>
      </c>
      <c r="AB104" s="3">
        <f>IF(TRIM(Z104)="",,(Z104-Z103)/1000)</f>
        <v/>
      </c>
      <c r="AC104" s="5" t="n"/>
      <c r="AD104" s="39">
        <f>(Table5[[#This Row],[( S/S+T/B) AJD]]*1000)-((Table5[[#This Row],[(STORGE DIFF.) AJD]]*1000)+Table5[[#This Row],[AJD_Evaporation]]+(Table5[[#This Row],[(A/B + A/S) AJD]]*1000))</f>
        <v/>
      </c>
      <c r="AE104" s="41" t="n"/>
      <c r="AF104" s="43" t="n"/>
      <c r="AG104" s="43" t="n"/>
      <c r="AH104" s="6">
        <f>Table5[[#This Row],[ (RESV. STORGE) BER]]/10</f>
        <v/>
      </c>
      <c r="AI104" s="41" t="n"/>
      <c r="AJ104" s="41">
        <f>Table5[[#This Row],[(A/B) AJD]]-Table5[[#This Row],[BER_IN]]</f>
        <v/>
      </c>
      <c r="AK104" s="43" t="n"/>
      <c r="AL104" s="43" t="n"/>
      <c r="AM104" s="32" t="n"/>
      <c r="AN104" s="32">
        <f>Table5[[#This Row],[ (RESV. STORGE) SER]]/10</f>
        <v/>
      </c>
      <c r="AO104" s="68" t="n"/>
      <c r="AP104" s="100">
        <f>Table5[[#This Row],[(A/S) AJD]]-Table5[[#This Row],[SER_IN]]</f>
        <v/>
      </c>
    </row>
    <row r="105" ht="18.75" customHeight="1">
      <c r="A105" s="98" t="n">
        <v>47222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Table5[[#This Row],[ (T/B) SAR]]+Table5[[#This Row],[ (S/S) SAR]]</f>
        <v/>
      </c>
      <c r="L105" s="45" t="n"/>
      <c r="M105" s="46" t="n"/>
      <c r="N105" s="46" t="n"/>
      <c r="O105" s="40" t="n"/>
      <c r="P105" s="3">
        <f>Table5[[#This Row],[ (S/S) SAR]]-Table5[[#This Row],[(S/S) AJD]]</f>
        <v/>
      </c>
      <c r="Q105" s="40" t="n"/>
      <c r="R105" s="3">
        <f>Table5[[#This Row],[ (T/B) SAR]]-Table5[[#This Row],[(T/B) AJD]]</f>
        <v/>
      </c>
      <c r="S105" s="3">
        <f>Table5[[#This Row],[S/S_CON.]]+Table5[[#This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Table5[[#This Row],[(RESV. STORGE) AJD]]/10</f>
        <v/>
      </c>
      <c r="AB105" s="3">
        <f>IF(TRIM(Z105)="",,(Z105-Z104)/1000)</f>
        <v/>
      </c>
      <c r="AC105" s="5" t="n"/>
      <c r="AD105" s="40">
        <f>(Table5[[#This Row],[( S/S+T/B) AJD]]*1000)-((Table5[[#This Row],[(STORGE DIFF.) AJD]]*1000)+Table5[[#This Row],[AJD_Evaporation]]+(Table5[[#This Row],[(A/B + A/S) AJD]]*1000))</f>
        <v/>
      </c>
      <c r="AE105" s="44" t="n"/>
      <c r="AF105" s="45" t="n"/>
      <c r="AG105" s="45" t="n"/>
      <c r="AH105" s="6">
        <f>Table5[[#This Row],[ (RESV. STORGE) BER]]/10</f>
        <v/>
      </c>
      <c r="AI105" s="44" t="n"/>
      <c r="AJ105" s="44">
        <f>Table5[[#This Row],[(A/B) AJD]]-Table5[[#This Row],[BER_IN]]</f>
        <v/>
      </c>
      <c r="AK105" s="45" t="n"/>
      <c r="AL105" s="45" t="n"/>
      <c r="AM105" s="32" t="n"/>
      <c r="AN105" s="32">
        <f>Table5[[#This Row],[ (RESV. STORGE) SER]]/10</f>
        <v/>
      </c>
      <c r="AO105" s="68" t="n"/>
      <c r="AP105" s="100">
        <f>Table5[[#This Row],[(A/S) AJD]]-Table5[[#This Row],[SER_IN]]</f>
        <v/>
      </c>
    </row>
    <row r="106" ht="18.75" customHeight="1">
      <c r="A106" s="98" t="n">
        <v>47223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Table5[[#This Row],[ (T/B) SAR]]+Table5[[#This Row],[ (S/S) SAR]]</f>
        <v/>
      </c>
      <c r="L106" s="41" t="n"/>
      <c r="M106" s="42" t="n"/>
      <c r="N106" s="42" t="n"/>
      <c r="O106" s="39" t="n"/>
      <c r="P106" s="3">
        <f>Table5[[#This Row],[ (S/S) SAR]]-Table5[[#This Row],[(S/S) AJD]]</f>
        <v/>
      </c>
      <c r="Q106" s="39" t="n"/>
      <c r="R106" s="3">
        <f>Table5[[#This Row],[ (T/B) SAR]]-Table5[[#This Row],[(T/B) AJD]]</f>
        <v/>
      </c>
      <c r="S106" s="3">
        <f>Table5[[#This Row],[S/S_CON.]]+Table5[[#This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Table5[[#This Row],[(RESV. STORGE) AJD]]/10</f>
        <v/>
      </c>
      <c r="AB106" s="3">
        <f>IF(TRIM(Z106)="",,(Z106-Z105)/1000)</f>
        <v/>
      </c>
      <c r="AC106" s="5" t="n"/>
      <c r="AD106" s="39">
        <f>(Table5[[#This Row],[( S/S+T/B) AJD]]*1000)-((Table5[[#This Row],[(STORGE DIFF.) AJD]]*1000)+Table5[[#This Row],[AJD_Evaporation]]+(Table5[[#This Row],[(A/B + A/S) AJD]]*1000))</f>
        <v/>
      </c>
      <c r="AE106" s="41" t="n"/>
      <c r="AF106" s="43" t="n"/>
      <c r="AG106" s="43" t="n"/>
      <c r="AH106" s="6">
        <f>Table5[[#This Row],[ (RESV. STORGE) BER]]/10</f>
        <v/>
      </c>
      <c r="AI106" s="41" t="n"/>
      <c r="AJ106" s="41">
        <f>Table5[[#This Row],[(A/B) AJD]]-Table5[[#This Row],[BER_IN]]</f>
        <v/>
      </c>
      <c r="AK106" s="43" t="n"/>
      <c r="AL106" s="43" t="n"/>
      <c r="AM106" s="32" t="n"/>
      <c r="AN106" s="32">
        <f>Table5[[#This Row],[ (RESV. STORGE) SER]]/10</f>
        <v/>
      </c>
      <c r="AO106" s="68" t="n"/>
      <c r="AP106" s="100">
        <f>Table5[[#This Row],[(A/S) AJD]]-Table5[[#This Row],[SER_IN]]</f>
        <v/>
      </c>
    </row>
    <row r="107" ht="18.75" customHeight="1">
      <c r="A107" s="98" t="n">
        <v>47224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Table5[[#This Row],[ (T/B) SAR]]+Table5[[#This Row],[ (S/S) SAR]]</f>
        <v/>
      </c>
      <c r="L107" s="45" t="n"/>
      <c r="M107" s="46" t="n"/>
      <c r="N107" s="46" t="n"/>
      <c r="O107" s="40" t="n"/>
      <c r="P107" s="3">
        <f>Table5[[#This Row],[ (S/S) SAR]]-Table5[[#This Row],[(S/S) AJD]]</f>
        <v/>
      </c>
      <c r="Q107" s="40" t="n"/>
      <c r="R107" s="3">
        <f>Table5[[#This Row],[ (T/B) SAR]]-Table5[[#This Row],[(T/B) AJD]]</f>
        <v/>
      </c>
      <c r="S107" s="3">
        <f>Table5[[#This Row],[S/S_CON.]]+Table5[[#This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Table5[[#This Row],[(RESV. STORGE) AJD]]/10</f>
        <v/>
      </c>
      <c r="AB107" s="3">
        <f>IF(TRIM(Z107)="",,(Z107-Z106)/1000)</f>
        <v/>
      </c>
      <c r="AC107" s="5" t="n"/>
      <c r="AD107" s="40">
        <f>(Table5[[#This Row],[( S/S+T/B) AJD]]*1000)-((Table5[[#This Row],[(STORGE DIFF.) AJD]]*1000)+Table5[[#This Row],[AJD_Evaporation]]+(Table5[[#This Row],[(A/B + A/S) AJD]]*1000))</f>
        <v/>
      </c>
      <c r="AE107" s="44" t="n"/>
      <c r="AF107" s="45" t="n"/>
      <c r="AG107" s="45" t="n"/>
      <c r="AH107" s="6">
        <f>Table5[[#This Row],[ (RESV. STORGE) BER]]/10</f>
        <v/>
      </c>
      <c r="AI107" s="44" t="n"/>
      <c r="AJ107" s="44">
        <f>Table5[[#This Row],[(A/B) AJD]]-Table5[[#This Row],[BER_IN]]</f>
        <v/>
      </c>
      <c r="AK107" s="45" t="n"/>
      <c r="AL107" s="45" t="n"/>
      <c r="AM107" s="32" t="n"/>
      <c r="AN107" s="32">
        <f>Table5[[#This Row],[ (RESV. STORGE) SER]]/10</f>
        <v/>
      </c>
      <c r="AO107" s="68" t="n"/>
      <c r="AP107" s="100">
        <f>Table5[[#This Row],[(A/S) AJD]]-Table5[[#This Row],[SER_IN]]</f>
        <v/>
      </c>
    </row>
    <row r="108" ht="18.75" customHeight="1">
      <c r="A108" s="98" t="n">
        <v>47225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Table5[[#This Row],[ (T/B) SAR]]+Table5[[#This Row],[ (S/S) SAR]]</f>
        <v/>
      </c>
      <c r="L108" s="41" t="n"/>
      <c r="M108" s="42" t="n"/>
      <c r="N108" s="42" t="n"/>
      <c r="O108" s="39" t="n"/>
      <c r="P108" s="3">
        <f>Table5[[#This Row],[ (S/S) SAR]]-Table5[[#This Row],[(S/S) AJD]]</f>
        <v/>
      </c>
      <c r="Q108" s="39" t="n"/>
      <c r="R108" s="3">
        <f>Table5[[#This Row],[ (T/B) SAR]]-Table5[[#This Row],[(T/B) AJD]]</f>
        <v/>
      </c>
      <c r="S108" s="3">
        <f>Table5[[#This Row],[S/S_CON.]]+Table5[[#This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Table5[[#This Row],[(RESV. STORGE) AJD]]/10</f>
        <v/>
      </c>
      <c r="AB108" s="3">
        <f>IF(TRIM(Z108)="",,(Z108-Z107)/1000)</f>
        <v/>
      </c>
      <c r="AC108" s="5" t="n"/>
      <c r="AD108" s="39">
        <f>(Table5[[#This Row],[( S/S+T/B) AJD]]*1000)-((Table5[[#This Row],[(STORGE DIFF.) AJD]]*1000)+Table5[[#This Row],[AJD_Evaporation]]+(Table5[[#This Row],[(A/B + A/S) AJD]]*1000))</f>
        <v/>
      </c>
      <c r="AE108" s="41" t="n"/>
      <c r="AF108" s="43" t="n"/>
      <c r="AG108" s="43" t="n"/>
      <c r="AH108" s="6">
        <f>Table5[[#This Row],[ (RESV. STORGE) BER]]/10</f>
        <v/>
      </c>
      <c r="AI108" s="41" t="n"/>
      <c r="AJ108" s="41">
        <f>Table5[[#This Row],[(A/B) AJD]]-Table5[[#This Row],[BER_IN]]</f>
        <v/>
      </c>
      <c r="AK108" s="43" t="n"/>
      <c r="AL108" s="43" t="n"/>
      <c r="AM108" s="32" t="n"/>
      <c r="AN108" s="32">
        <f>Table5[[#This Row],[ (RESV. STORGE) SER]]/10</f>
        <v/>
      </c>
      <c r="AO108" s="68" t="n"/>
      <c r="AP108" s="100">
        <f>Table5[[#This Row],[(A/S) AJD]]-Table5[[#This Row],[SER_IN]]</f>
        <v/>
      </c>
    </row>
    <row r="109" ht="18.75" customHeight="1">
      <c r="A109" s="98" t="n">
        <v>47226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Table5[[#This Row],[ (T/B) SAR]]+Table5[[#This Row],[ (S/S) SAR]]</f>
        <v/>
      </c>
      <c r="L109" s="45" t="n"/>
      <c r="M109" s="46" t="n"/>
      <c r="N109" s="46" t="n"/>
      <c r="O109" s="40" t="n"/>
      <c r="P109" s="3">
        <f>Table5[[#This Row],[ (S/S) SAR]]-Table5[[#This Row],[(S/S) AJD]]</f>
        <v/>
      </c>
      <c r="Q109" s="40" t="n"/>
      <c r="R109" s="3">
        <f>Table5[[#This Row],[ (T/B) SAR]]-Table5[[#This Row],[(T/B) AJD]]</f>
        <v/>
      </c>
      <c r="S109" s="3">
        <f>Table5[[#This Row],[S/S_CON.]]+Table5[[#This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Table5[[#This Row],[(RESV. STORGE) AJD]]/10</f>
        <v/>
      </c>
      <c r="AB109" s="3">
        <f>IF(TRIM(Z109)="",,(Z109-Z108)/1000)</f>
        <v/>
      </c>
      <c r="AC109" s="5" t="n"/>
      <c r="AD109" s="40">
        <f>(Table5[[#This Row],[( S/S+T/B) AJD]]*1000)-((Table5[[#This Row],[(STORGE DIFF.) AJD]]*1000)+Table5[[#This Row],[AJD_Evaporation]]+(Table5[[#This Row],[(A/B + A/S) AJD]]*1000))</f>
        <v/>
      </c>
      <c r="AE109" s="44" t="n"/>
      <c r="AF109" s="45" t="n"/>
      <c r="AG109" s="45" t="n"/>
      <c r="AH109" s="6">
        <f>Table5[[#This Row],[ (RESV. STORGE) BER]]/10</f>
        <v/>
      </c>
      <c r="AI109" s="44" t="n"/>
      <c r="AJ109" s="44">
        <f>Table5[[#This Row],[(A/B) AJD]]-Table5[[#This Row],[BER_IN]]</f>
        <v/>
      </c>
      <c r="AK109" s="45" t="n"/>
      <c r="AL109" s="45" t="n"/>
      <c r="AM109" s="32" t="n"/>
      <c r="AN109" s="32">
        <f>Table5[[#This Row],[ (RESV. STORGE) SER]]/10</f>
        <v/>
      </c>
      <c r="AO109" s="68" t="n"/>
      <c r="AP109" s="100">
        <f>Table5[[#This Row],[(A/S) AJD]]-Table5[[#This Row],[SER_IN]]</f>
        <v/>
      </c>
    </row>
    <row r="110" ht="18.75" customHeight="1">
      <c r="A110" s="98" t="n">
        <v>47227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Table5[[#This Row],[ (T/B) SAR]]+Table5[[#This Row],[ (S/S) SAR]]</f>
        <v/>
      </c>
      <c r="L110" s="41" t="n"/>
      <c r="M110" s="42" t="n"/>
      <c r="N110" s="42" t="n"/>
      <c r="O110" s="39" t="n"/>
      <c r="P110" s="3">
        <f>Table5[[#This Row],[ (S/S) SAR]]-Table5[[#This Row],[(S/S) AJD]]</f>
        <v/>
      </c>
      <c r="Q110" s="39" t="n"/>
      <c r="R110" s="3">
        <f>Table5[[#This Row],[ (T/B) SAR]]-Table5[[#This Row],[(T/B) AJD]]</f>
        <v/>
      </c>
      <c r="S110" s="3">
        <f>Table5[[#This Row],[S/S_CON.]]+Table5[[#This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Table5[[#This Row],[(RESV. STORGE) AJD]]/10</f>
        <v/>
      </c>
      <c r="AB110" s="3">
        <f>IF(TRIM(Z110)="",,(Z110-Z109)/1000)</f>
        <v/>
      </c>
      <c r="AC110" s="5" t="n"/>
      <c r="AD110" s="39">
        <f>(Table5[[#This Row],[( S/S+T/B) AJD]]*1000)-((Table5[[#This Row],[(STORGE DIFF.) AJD]]*1000)+Table5[[#This Row],[AJD_Evaporation]]+(Table5[[#This Row],[(A/B + A/S) AJD]]*1000))</f>
        <v/>
      </c>
      <c r="AE110" s="41" t="n"/>
      <c r="AF110" s="43" t="n"/>
      <c r="AG110" s="43" t="n"/>
      <c r="AH110" s="6">
        <f>Table5[[#This Row],[ (RESV. STORGE) BER]]/10</f>
        <v/>
      </c>
      <c r="AI110" s="41" t="n"/>
      <c r="AJ110" s="41">
        <f>Table5[[#This Row],[(A/B) AJD]]-Table5[[#This Row],[BER_IN]]</f>
        <v/>
      </c>
      <c r="AK110" s="43" t="n"/>
      <c r="AL110" s="43" t="n"/>
      <c r="AM110" s="32" t="n"/>
      <c r="AN110" s="32">
        <f>Table5[[#This Row],[ (RESV. STORGE) SER]]/10</f>
        <v/>
      </c>
      <c r="AO110" s="68" t="n"/>
      <c r="AP110" s="100">
        <f>Table5[[#This Row],[(A/S) AJD]]-Table5[[#This Row],[SER_IN]]</f>
        <v/>
      </c>
    </row>
    <row r="111" ht="18.75" customHeight="1">
      <c r="A111" s="98" t="n">
        <v>47228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Table5[[#This Row],[ (T/B) SAR]]+Table5[[#This Row],[ (S/S) SAR]]</f>
        <v/>
      </c>
      <c r="L111" s="45" t="n"/>
      <c r="M111" s="46" t="n"/>
      <c r="N111" s="46" t="n"/>
      <c r="O111" s="40" t="n"/>
      <c r="P111" s="3">
        <f>Table5[[#This Row],[ (S/S) SAR]]-Table5[[#This Row],[(S/S) AJD]]</f>
        <v/>
      </c>
      <c r="Q111" s="40" t="n"/>
      <c r="R111" s="3">
        <f>Table5[[#This Row],[ (T/B) SAR]]-Table5[[#This Row],[(T/B) AJD]]</f>
        <v/>
      </c>
      <c r="S111" s="3">
        <f>Table5[[#This Row],[S/S_CON.]]+Table5[[#This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Table5[[#This Row],[(RESV. STORGE) AJD]]/10</f>
        <v/>
      </c>
      <c r="AB111" s="3">
        <f>IF(TRIM(Z111)="",,(Z111-Z110)/1000)</f>
        <v/>
      </c>
      <c r="AC111" s="5" t="n"/>
      <c r="AD111" s="40">
        <f>(Table5[[#This Row],[( S/S+T/B) AJD]]*1000)-((Table5[[#This Row],[(STORGE DIFF.) AJD]]*1000)+Table5[[#This Row],[AJD_Evaporation]]+(Table5[[#This Row],[(A/B + A/S) AJD]]*1000))</f>
        <v/>
      </c>
      <c r="AE111" s="44" t="n"/>
      <c r="AF111" s="45" t="n"/>
      <c r="AG111" s="45" t="n"/>
      <c r="AH111" s="6">
        <f>Table5[[#This Row],[ (RESV. STORGE) BER]]/10</f>
        <v/>
      </c>
      <c r="AI111" s="44" t="n"/>
      <c r="AJ111" s="44">
        <f>Table5[[#This Row],[(A/B) AJD]]-Table5[[#This Row],[BER_IN]]</f>
        <v/>
      </c>
      <c r="AK111" s="45" t="n"/>
      <c r="AL111" s="45" t="n"/>
      <c r="AM111" s="32" t="n"/>
      <c r="AN111" s="32">
        <f>Table5[[#This Row],[ (RESV. STORGE) SER]]/10</f>
        <v/>
      </c>
      <c r="AO111" s="68" t="n"/>
      <c r="AP111" s="100">
        <f>Table5[[#This Row],[(A/S) AJD]]-Table5[[#This Row],[SER_IN]]</f>
        <v/>
      </c>
    </row>
    <row r="112" ht="18.75" customHeight="1">
      <c r="A112" s="98" t="n">
        <v>47229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Table5[[#This Row],[ (T/B) SAR]]+Table5[[#This Row],[ (S/S) SAR]]</f>
        <v/>
      </c>
      <c r="L112" s="41" t="n"/>
      <c r="M112" s="42" t="n"/>
      <c r="N112" s="42" t="n"/>
      <c r="O112" s="39" t="n"/>
      <c r="P112" s="3">
        <f>Table5[[#This Row],[ (S/S) SAR]]-Table5[[#This Row],[(S/S) AJD]]</f>
        <v/>
      </c>
      <c r="Q112" s="39" t="n"/>
      <c r="R112" s="3">
        <f>Table5[[#This Row],[ (T/B) SAR]]-Table5[[#This Row],[(T/B) AJD]]</f>
        <v/>
      </c>
      <c r="S112" s="3">
        <f>Table5[[#This Row],[S/S_CON.]]+Table5[[#This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Table5[[#This Row],[(RESV. STORGE) AJD]]/10</f>
        <v/>
      </c>
      <c r="AB112" s="3">
        <f>IF(TRIM(Z112)="",,(Z112-Z111)/1000)</f>
        <v/>
      </c>
      <c r="AC112" s="5" t="n"/>
      <c r="AD112" s="39">
        <f>(Table5[[#This Row],[( S/S+T/B) AJD]]*1000)-((Table5[[#This Row],[(STORGE DIFF.) AJD]]*1000)+Table5[[#This Row],[AJD_Evaporation]]+(Table5[[#This Row],[(A/B + A/S) AJD]]*1000))</f>
        <v/>
      </c>
      <c r="AE112" s="41" t="n"/>
      <c r="AF112" s="43" t="n"/>
      <c r="AG112" s="43" t="n"/>
      <c r="AH112" s="6">
        <f>Table5[[#This Row],[ (RESV. STORGE) BER]]/10</f>
        <v/>
      </c>
      <c r="AI112" s="41" t="n"/>
      <c r="AJ112" s="41">
        <f>Table5[[#This Row],[(A/B) AJD]]-Table5[[#This Row],[BER_IN]]</f>
        <v/>
      </c>
      <c r="AK112" s="43" t="n"/>
      <c r="AL112" s="43" t="n"/>
      <c r="AM112" s="32" t="n"/>
      <c r="AN112" s="32">
        <f>Table5[[#This Row],[ (RESV. STORGE) SER]]/10</f>
        <v/>
      </c>
      <c r="AO112" s="68" t="n"/>
      <c r="AP112" s="100">
        <f>Table5[[#This Row],[(A/S) AJD]]-Table5[[#This Row],[SER_IN]]</f>
        <v/>
      </c>
    </row>
    <row r="113" ht="18.75" customHeight="1">
      <c r="A113" s="98" t="n">
        <v>47230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Table5[[#This Row],[ (T/B) SAR]]+Table5[[#This Row],[ (S/S) SAR]]</f>
        <v/>
      </c>
      <c r="L113" s="45" t="n"/>
      <c r="M113" s="46" t="n"/>
      <c r="N113" s="46" t="n"/>
      <c r="O113" s="40" t="n"/>
      <c r="P113" s="3">
        <f>Table5[[#This Row],[ (S/S) SAR]]-Table5[[#This Row],[(S/S) AJD]]</f>
        <v/>
      </c>
      <c r="Q113" s="40" t="n"/>
      <c r="R113" s="3">
        <f>Table5[[#This Row],[ (T/B) SAR]]-Table5[[#This Row],[(T/B) AJD]]</f>
        <v/>
      </c>
      <c r="S113" s="3">
        <f>Table5[[#This Row],[S/S_CON.]]+Table5[[#This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Table5[[#This Row],[(RESV. STORGE) AJD]]/10</f>
        <v/>
      </c>
      <c r="AB113" s="3">
        <f>IF(TRIM(Z113)="",,(Z113-Z112)/1000)</f>
        <v/>
      </c>
      <c r="AC113" s="5" t="n"/>
      <c r="AD113" s="40">
        <f>(Table5[[#This Row],[( S/S+T/B) AJD]]*1000)-((Table5[[#This Row],[(STORGE DIFF.) AJD]]*1000)+Table5[[#This Row],[AJD_Evaporation]]+(Table5[[#This Row],[(A/B + A/S) AJD]]*1000))</f>
        <v/>
      </c>
      <c r="AE113" s="44" t="n"/>
      <c r="AF113" s="45" t="n"/>
      <c r="AG113" s="45" t="n"/>
      <c r="AH113" s="6">
        <f>Table5[[#This Row],[ (RESV. STORGE) BER]]/10</f>
        <v/>
      </c>
      <c r="AI113" s="44" t="n"/>
      <c r="AJ113" s="44">
        <f>Table5[[#This Row],[(A/B) AJD]]-Table5[[#This Row],[BER_IN]]</f>
        <v/>
      </c>
      <c r="AK113" s="45" t="n"/>
      <c r="AL113" s="45" t="n"/>
      <c r="AM113" s="32" t="n"/>
      <c r="AN113" s="32">
        <f>Table5[[#This Row],[ (RESV. STORGE) SER]]/10</f>
        <v/>
      </c>
      <c r="AO113" s="68" t="n"/>
      <c r="AP113" s="100">
        <f>Table5[[#This Row],[(A/S) AJD]]-Table5[[#This Row],[SER_IN]]</f>
        <v/>
      </c>
    </row>
    <row r="114" ht="18.75" customHeight="1">
      <c r="A114" s="98" t="n">
        <v>47231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Table5[[#This Row],[ (T/B) SAR]]+Table5[[#This Row],[ (S/S) SAR]]</f>
        <v/>
      </c>
      <c r="L114" s="41" t="n"/>
      <c r="M114" s="42" t="n"/>
      <c r="N114" s="42" t="n"/>
      <c r="O114" s="39" t="n"/>
      <c r="P114" s="3">
        <f>Table5[[#This Row],[ (S/S) SAR]]-Table5[[#This Row],[(S/S) AJD]]</f>
        <v/>
      </c>
      <c r="Q114" s="39" t="n"/>
      <c r="R114" s="3">
        <f>Table5[[#This Row],[ (T/B) SAR]]-Table5[[#This Row],[(T/B) AJD]]</f>
        <v/>
      </c>
      <c r="S114" s="3">
        <f>Table5[[#This Row],[S/S_CON.]]+Table5[[#This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Table5[[#This Row],[(RESV. STORGE) AJD]]/10</f>
        <v/>
      </c>
      <c r="AB114" s="3">
        <f>IF(TRIM(Z114)="",,(Z114-Z113)/1000)</f>
        <v/>
      </c>
      <c r="AC114" s="5" t="n"/>
      <c r="AD114" s="39">
        <f>(Table5[[#This Row],[( S/S+T/B) AJD]]*1000)-((Table5[[#This Row],[(STORGE DIFF.) AJD]]*1000)+Table5[[#This Row],[AJD_Evaporation]]+(Table5[[#This Row],[(A/B + A/S) AJD]]*1000))</f>
        <v/>
      </c>
      <c r="AE114" s="41" t="n"/>
      <c r="AF114" s="43" t="n"/>
      <c r="AG114" s="43" t="n"/>
      <c r="AH114" s="6">
        <f>Table5[[#This Row],[ (RESV. STORGE) BER]]/10</f>
        <v/>
      </c>
      <c r="AI114" s="41" t="n"/>
      <c r="AJ114" s="41">
        <f>Table5[[#This Row],[(A/B) AJD]]-Table5[[#This Row],[BER_IN]]</f>
        <v/>
      </c>
      <c r="AK114" s="43" t="n"/>
      <c r="AL114" s="43" t="n"/>
      <c r="AM114" s="32" t="n"/>
      <c r="AN114" s="32">
        <f>Table5[[#This Row],[ (RESV. STORGE) SER]]/10</f>
        <v/>
      </c>
      <c r="AO114" s="68" t="n"/>
      <c r="AP114" s="100">
        <f>Table5[[#This Row],[(A/S) AJD]]-Table5[[#This Row],[SER_IN]]</f>
        <v/>
      </c>
    </row>
    <row r="115" ht="18.75" customHeight="1">
      <c r="A115" s="98" t="n">
        <v>47232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Table5[[#This Row],[ (T/B) SAR]]+Table5[[#This Row],[ (S/S) SAR]]</f>
        <v/>
      </c>
      <c r="L115" s="45" t="n"/>
      <c r="M115" s="46" t="n"/>
      <c r="N115" s="46" t="n"/>
      <c r="O115" s="40" t="n"/>
      <c r="P115" s="3">
        <f>Table5[[#This Row],[ (S/S) SAR]]-Table5[[#This Row],[(S/S) AJD]]</f>
        <v/>
      </c>
      <c r="Q115" s="40" t="n"/>
      <c r="R115" s="3">
        <f>Table5[[#This Row],[ (T/B) SAR]]-Table5[[#This Row],[(T/B) AJD]]</f>
        <v/>
      </c>
      <c r="S115" s="3">
        <f>Table5[[#This Row],[S/S_CON.]]+Table5[[#This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Table5[[#This Row],[(RESV. STORGE) AJD]]/10</f>
        <v/>
      </c>
      <c r="AB115" s="3">
        <f>IF(TRIM(Z115)="",,(Z115-Z114)/1000)</f>
        <v/>
      </c>
      <c r="AC115" s="5" t="n"/>
      <c r="AD115" s="40">
        <f>(Table5[[#This Row],[( S/S+T/B) AJD]]*1000)-((Table5[[#This Row],[(STORGE DIFF.) AJD]]*1000)+Table5[[#This Row],[AJD_Evaporation]]+(Table5[[#This Row],[(A/B + A/S) AJD]]*1000))</f>
        <v/>
      </c>
      <c r="AE115" s="44" t="n"/>
      <c r="AF115" s="45" t="n"/>
      <c r="AG115" s="45" t="n"/>
      <c r="AH115" s="6">
        <f>Table5[[#This Row],[ (RESV. STORGE) BER]]/10</f>
        <v/>
      </c>
      <c r="AI115" s="44" t="n"/>
      <c r="AJ115" s="44">
        <f>Table5[[#This Row],[(A/B) AJD]]-Table5[[#This Row],[BER_IN]]</f>
        <v/>
      </c>
      <c r="AK115" s="45" t="n"/>
      <c r="AL115" s="45" t="n"/>
      <c r="AM115" s="32" t="n"/>
      <c r="AN115" s="32">
        <f>Table5[[#This Row],[ (RESV. STORGE) SER]]/10</f>
        <v/>
      </c>
      <c r="AO115" s="68" t="n"/>
      <c r="AP115" s="100">
        <f>Table5[[#This Row],[(A/S) AJD]]-Table5[[#This Row],[SER_IN]]</f>
        <v/>
      </c>
    </row>
    <row r="116" ht="18.75" customHeight="1">
      <c r="A116" s="98" t="n">
        <v>47233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Table5[[#This Row],[ (T/B) SAR]]+Table5[[#This Row],[ (S/S) SAR]]</f>
        <v/>
      </c>
      <c r="L116" s="41" t="n"/>
      <c r="M116" s="42" t="n"/>
      <c r="N116" s="42" t="n"/>
      <c r="O116" s="39" t="n"/>
      <c r="P116" s="3">
        <f>Table5[[#This Row],[ (S/S) SAR]]-Table5[[#This Row],[(S/S) AJD]]</f>
        <v/>
      </c>
      <c r="Q116" s="39" t="n"/>
      <c r="R116" s="3">
        <f>Table5[[#This Row],[ (T/B) SAR]]-Table5[[#This Row],[(T/B) AJD]]</f>
        <v/>
      </c>
      <c r="S116" s="3">
        <f>Table5[[#This Row],[S/S_CON.]]+Table5[[#This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Table5[[#This Row],[(RESV. STORGE) AJD]]/10</f>
        <v/>
      </c>
      <c r="AB116" s="3">
        <f>IF(TRIM(Z116)="",,(Z116-Z115)/1000)</f>
        <v/>
      </c>
      <c r="AC116" s="5" t="n"/>
      <c r="AD116" s="39">
        <f>(Table5[[#This Row],[( S/S+T/B) AJD]]*1000)-((Table5[[#This Row],[(STORGE DIFF.) AJD]]*1000)+Table5[[#This Row],[AJD_Evaporation]]+(Table5[[#This Row],[(A/B + A/S) AJD]]*1000))</f>
        <v/>
      </c>
      <c r="AE116" s="41" t="n"/>
      <c r="AF116" s="43" t="n"/>
      <c r="AG116" s="43" t="n"/>
      <c r="AH116" s="6">
        <f>Table5[[#This Row],[ (RESV. STORGE) BER]]/10</f>
        <v/>
      </c>
      <c r="AI116" s="41" t="n"/>
      <c r="AJ116" s="41">
        <f>Table5[[#This Row],[(A/B) AJD]]-Table5[[#This Row],[BER_IN]]</f>
        <v/>
      </c>
      <c r="AK116" s="43" t="n"/>
      <c r="AL116" s="43" t="n"/>
      <c r="AM116" s="32" t="n"/>
      <c r="AN116" s="32">
        <f>Table5[[#This Row],[ (RESV. STORGE) SER]]/10</f>
        <v/>
      </c>
      <c r="AO116" s="68" t="n"/>
      <c r="AP116" s="100">
        <f>Table5[[#This Row],[(A/S) AJD]]-Table5[[#This Row],[SER_IN]]</f>
        <v/>
      </c>
    </row>
    <row r="117" ht="18.75" customHeight="1">
      <c r="A117" s="98" t="n">
        <v>47234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Table5[[#This Row],[ (T/B) SAR]]+Table5[[#This Row],[ (S/S) SAR]]</f>
        <v/>
      </c>
      <c r="L117" s="45" t="n"/>
      <c r="M117" s="46" t="n"/>
      <c r="N117" s="46" t="n"/>
      <c r="O117" s="40" t="n"/>
      <c r="P117" s="3">
        <f>Table5[[#This Row],[ (S/S) SAR]]-Table5[[#This Row],[(S/S) AJD]]</f>
        <v/>
      </c>
      <c r="Q117" s="40" t="n"/>
      <c r="R117" s="3">
        <f>Table5[[#This Row],[ (T/B) SAR]]-Table5[[#This Row],[(T/B) AJD]]</f>
        <v/>
      </c>
      <c r="S117" s="3">
        <f>Table5[[#This Row],[S/S_CON.]]+Table5[[#This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Table5[[#This Row],[(RESV. STORGE) AJD]]/10</f>
        <v/>
      </c>
      <c r="AB117" s="3">
        <f>IF(TRIM(Z117)="",,(Z117-Z116)/1000)</f>
        <v/>
      </c>
      <c r="AC117" s="5" t="n"/>
      <c r="AD117" s="40">
        <f>(Table5[[#This Row],[( S/S+T/B) AJD]]*1000)-((Table5[[#This Row],[(STORGE DIFF.) AJD]]*1000)+Table5[[#This Row],[AJD_Evaporation]]+(Table5[[#This Row],[(A/B + A/S) AJD]]*1000))</f>
        <v/>
      </c>
      <c r="AE117" s="44" t="n"/>
      <c r="AF117" s="45" t="n"/>
      <c r="AG117" s="45" t="n"/>
      <c r="AH117" s="6">
        <f>Table5[[#This Row],[ (RESV. STORGE) BER]]/10</f>
        <v/>
      </c>
      <c r="AI117" s="44" t="n"/>
      <c r="AJ117" s="44">
        <f>Table5[[#This Row],[(A/B) AJD]]-Table5[[#This Row],[BER_IN]]</f>
        <v/>
      </c>
      <c r="AK117" s="45" t="n"/>
      <c r="AL117" s="45" t="n"/>
      <c r="AM117" s="32" t="n"/>
      <c r="AN117" s="32">
        <f>Table5[[#This Row],[ (RESV. STORGE) SER]]/10</f>
        <v/>
      </c>
      <c r="AO117" s="68" t="n"/>
      <c r="AP117" s="100">
        <f>Table5[[#This Row],[(A/S) AJD]]-Table5[[#This Row],[SER_IN]]</f>
        <v/>
      </c>
    </row>
    <row r="118" ht="18.75" customHeight="1">
      <c r="A118" s="98" t="n">
        <v>47235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Table5[[#This Row],[ (T/B) SAR]]+Table5[[#This Row],[ (S/S) SAR]]</f>
        <v/>
      </c>
      <c r="L118" s="41" t="n"/>
      <c r="M118" s="42" t="n"/>
      <c r="N118" s="42" t="n"/>
      <c r="O118" s="39" t="n"/>
      <c r="P118" s="3">
        <f>Table5[[#This Row],[ (S/S) SAR]]-Table5[[#This Row],[(S/S) AJD]]</f>
        <v/>
      </c>
      <c r="Q118" s="39" t="n"/>
      <c r="R118" s="3">
        <f>Table5[[#This Row],[ (T/B) SAR]]-Table5[[#This Row],[(T/B) AJD]]</f>
        <v/>
      </c>
      <c r="S118" s="3">
        <f>Table5[[#This Row],[S/S_CON.]]+Table5[[#This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Table5[[#This Row],[(RESV. STORGE) AJD]]/10</f>
        <v/>
      </c>
      <c r="AB118" s="3">
        <f>IF(TRIM(Z118)="",,(Z118-Z117)/1000)</f>
        <v/>
      </c>
      <c r="AC118" s="5" t="n"/>
      <c r="AD118" s="39">
        <f>(Table5[[#This Row],[( S/S+T/B) AJD]]*1000)-((Table5[[#This Row],[(STORGE DIFF.) AJD]]*1000)+Table5[[#This Row],[AJD_Evaporation]]+(Table5[[#This Row],[(A/B + A/S) AJD]]*1000))</f>
        <v/>
      </c>
      <c r="AE118" s="41" t="n"/>
      <c r="AF118" s="43" t="n"/>
      <c r="AG118" s="43" t="n"/>
      <c r="AH118" s="6">
        <f>Table5[[#This Row],[ (RESV. STORGE) BER]]/10</f>
        <v/>
      </c>
      <c r="AI118" s="41" t="n"/>
      <c r="AJ118" s="41">
        <f>Table5[[#This Row],[(A/B) AJD]]-Table5[[#This Row],[BER_IN]]</f>
        <v/>
      </c>
      <c r="AK118" s="43" t="n"/>
      <c r="AL118" s="43" t="n"/>
      <c r="AM118" s="32" t="n"/>
      <c r="AN118" s="32">
        <f>Table5[[#This Row],[ (RESV. STORGE) SER]]/10</f>
        <v/>
      </c>
      <c r="AO118" s="68" t="n"/>
      <c r="AP118" s="100">
        <f>Table5[[#This Row],[(A/S) AJD]]-Table5[[#This Row],[SER_IN]]</f>
        <v/>
      </c>
    </row>
    <row r="119" ht="18.75" customHeight="1">
      <c r="A119" s="98" t="n">
        <v>47236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Table5[[#This Row],[ (T/B) SAR]]+Table5[[#This Row],[ (S/S) SAR]]</f>
        <v/>
      </c>
      <c r="L119" s="45" t="n"/>
      <c r="M119" s="46" t="n"/>
      <c r="N119" s="46" t="n"/>
      <c r="O119" s="40" t="n"/>
      <c r="P119" s="3">
        <f>Table5[[#This Row],[ (S/S) SAR]]-Table5[[#This Row],[(S/S) AJD]]</f>
        <v/>
      </c>
      <c r="Q119" s="40" t="n"/>
      <c r="R119" s="3">
        <f>Table5[[#This Row],[ (T/B) SAR]]-Table5[[#This Row],[(T/B) AJD]]</f>
        <v/>
      </c>
      <c r="S119" s="3">
        <f>Table5[[#This Row],[S/S_CON.]]+Table5[[#This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Table5[[#This Row],[(RESV. STORGE) AJD]]/10</f>
        <v/>
      </c>
      <c r="AB119" s="3">
        <f>IF(TRIM(Z119)="",,(Z119-Z118)/1000)</f>
        <v/>
      </c>
      <c r="AC119" s="5" t="n"/>
      <c r="AD119" s="40">
        <f>(Table5[[#This Row],[( S/S+T/B) AJD]]*1000)-((Table5[[#This Row],[(STORGE DIFF.) AJD]]*1000)+Table5[[#This Row],[AJD_Evaporation]]+(Table5[[#This Row],[(A/B + A/S) AJD]]*1000))</f>
        <v/>
      </c>
      <c r="AE119" s="44" t="n"/>
      <c r="AF119" s="45" t="n"/>
      <c r="AG119" s="45" t="n"/>
      <c r="AH119" s="6">
        <f>Table5[[#This Row],[ (RESV. STORGE) BER]]/10</f>
        <v/>
      </c>
      <c r="AI119" s="44" t="n"/>
      <c r="AJ119" s="44">
        <f>Table5[[#This Row],[(A/B) AJD]]-Table5[[#This Row],[BER_IN]]</f>
        <v/>
      </c>
      <c r="AK119" s="45" t="n"/>
      <c r="AL119" s="45" t="n"/>
      <c r="AM119" s="32" t="n"/>
      <c r="AN119" s="32">
        <f>Table5[[#This Row],[ (RESV. STORGE) SER]]/10</f>
        <v/>
      </c>
      <c r="AO119" s="68" t="n"/>
      <c r="AP119" s="100">
        <f>Table5[[#This Row],[(A/S) AJD]]-Table5[[#This Row],[SER_IN]]</f>
        <v/>
      </c>
    </row>
    <row r="120" ht="18.75" customHeight="1">
      <c r="A120" s="98" t="n">
        <v>47237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Table5[[#This Row],[ (T/B) SAR]]+Table5[[#This Row],[ (S/S) SAR]]</f>
        <v/>
      </c>
      <c r="L120" s="41" t="n"/>
      <c r="M120" s="42" t="n"/>
      <c r="N120" s="42" t="n"/>
      <c r="O120" s="39" t="n"/>
      <c r="P120" s="3">
        <f>Table5[[#This Row],[ (S/S) SAR]]-Table5[[#This Row],[(S/S) AJD]]</f>
        <v/>
      </c>
      <c r="Q120" s="39" t="n"/>
      <c r="R120" s="3">
        <f>Table5[[#This Row],[ (T/B) SAR]]-Table5[[#This Row],[(T/B) AJD]]</f>
        <v/>
      </c>
      <c r="S120" s="3">
        <f>Table5[[#This Row],[S/S_CON.]]+Table5[[#This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Table5[[#This Row],[(RESV. STORGE) AJD]]/10</f>
        <v/>
      </c>
      <c r="AB120" s="3">
        <f>IF(TRIM(Z120)="",,(Z120-Z119)/1000)</f>
        <v/>
      </c>
      <c r="AC120" s="5" t="n"/>
      <c r="AD120" s="39">
        <f>(Table5[[#This Row],[( S/S+T/B) AJD]]*1000)-((Table5[[#This Row],[(STORGE DIFF.) AJD]]*1000)+Table5[[#This Row],[AJD_Evaporation]]+(Table5[[#This Row],[(A/B + A/S) AJD]]*1000))</f>
        <v/>
      </c>
      <c r="AE120" s="41" t="n"/>
      <c r="AF120" s="43" t="n"/>
      <c r="AG120" s="43" t="n"/>
      <c r="AH120" s="6">
        <f>Table5[[#This Row],[ (RESV. STORGE) BER]]/10</f>
        <v/>
      </c>
      <c r="AI120" s="41" t="n"/>
      <c r="AJ120" s="41">
        <f>Table5[[#This Row],[(A/B) AJD]]-Table5[[#This Row],[BER_IN]]</f>
        <v/>
      </c>
      <c r="AK120" s="43" t="n"/>
      <c r="AL120" s="43" t="n"/>
      <c r="AM120" s="32" t="n"/>
      <c r="AN120" s="32">
        <f>Table5[[#This Row],[ (RESV. STORGE) SER]]/10</f>
        <v/>
      </c>
      <c r="AO120" s="68" t="n"/>
      <c r="AP120" s="100">
        <f>Table5[[#This Row],[(A/S) AJD]]-Table5[[#This Row],[SER_IN]]</f>
        <v/>
      </c>
    </row>
    <row r="121" ht="18.75" customHeight="1">
      <c r="A121" s="98" t="n">
        <v>47238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Table5[[#This Row],[ (T/B) SAR]]+Table5[[#This Row],[ (S/S) SAR]]</f>
        <v/>
      </c>
      <c r="L121" s="45" t="n"/>
      <c r="M121" s="46" t="n"/>
      <c r="N121" s="46" t="n"/>
      <c r="O121" s="40" t="n"/>
      <c r="P121" s="3">
        <f>Table5[[#This Row],[ (S/S) SAR]]-Table5[[#This Row],[(S/S) AJD]]</f>
        <v/>
      </c>
      <c r="Q121" s="40" t="n"/>
      <c r="R121" s="3">
        <f>Table5[[#This Row],[ (T/B) SAR]]-Table5[[#This Row],[(T/B) AJD]]</f>
        <v/>
      </c>
      <c r="S121" s="3">
        <f>Table5[[#This Row],[S/S_CON.]]+Table5[[#This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Table5[[#This Row],[(RESV. STORGE) AJD]]/10</f>
        <v/>
      </c>
      <c r="AB121" s="3">
        <f>IF(TRIM(Z121)="",,(Z121-Z120)/1000)</f>
        <v/>
      </c>
      <c r="AC121" s="5" t="n"/>
      <c r="AD121" s="40">
        <f>(Table5[[#This Row],[( S/S+T/B) AJD]]*1000)-((Table5[[#This Row],[(STORGE DIFF.) AJD]]*1000)+Table5[[#This Row],[AJD_Evaporation]]+(Table5[[#This Row],[(A/B + A/S) AJD]]*1000))</f>
        <v/>
      </c>
      <c r="AE121" s="44" t="n"/>
      <c r="AF121" s="45" t="n"/>
      <c r="AG121" s="45" t="n"/>
      <c r="AH121" s="6">
        <f>Table5[[#This Row],[ (RESV. STORGE) BER]]/10</f>
        <v/>
      </c>
      <c r="AI121" s="44" t="n"/>
      <c r="AJ121" s="44">
        <f>Table5[[#This Row],[(A/B) AJD]]-Table5[[#This Row],[BER_IN]]</f>
        <v/>
      </c>
      <c r="AK121" s="45" t="n"/>
      <c r="AL121" s="45" t="n"/>
      <c r="AM121" s="32" t="n"/>
      <c r="AN121" s="32">
        <f>Table5[[#This Row],[ (RESV. STORGE) SER]]/10</f>
        <v/>
      </c>
      <c r="AO121" s="68" t="n"/>
      <c r="AP121" s="100">
        <f>Table5[[#This Row],[(A/S) AJD]]-Table5[[#This Row],[SER_IN]]</f>
        <v/>
      </c>
    </row>
    <row r="122" ht="18.75" customHeight="1">
      <c r="A122" s="98" t="n">
        <v>47239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Table5[[#This Row],[ (T/B) SAR]]+Table5[[#This Row],[ (S/S) SAR]]</f>
        <v/>
      </c>
      <c r="L122" s="41" t="n"/>
      <c r="M122" s="42" t="n"/>
      <c r="N122" s="42" t="n"/>
      <c r="O122" s="39" t="n"/>
      <c r="P122" s="3">
        <f>Table5[[#This Row],[ (S/S) SAR]]-Table5[[#This Row],[(S/S) AJD]]</f>
        <v/>
      </c>
      <c r="Q122" s="39" t="n"/>
      <c r="R122" s="3">
        <f>Table5[[#This Row],[ (T/B) SAR]]-Table5[[#This Row],[(T/B) AJD]]</f>
        <v/>
      </c>
      <c r="S122" s="3">
        <f>Table5[[#This Row],[S/S_CON.]]+Table5[[#This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Table5[[#This Row],[(RESV. STORGE) AJD]]/10</f>
        <v/>
      </c>
      <c r="AB122" s="3">
        <f>IF(TRIM(Z122)="",,(Z122-Z121)/1000)</f>
        <v/>
      </c>
      <c r="AC122" s="5" t="n"/>
      <c r="AD122" s="39">
        <f>(Table5[[#This Row],[( S/S+T/B) AJD]]*1000)-((Table5[[#This Row],[(STORGE DIFF.) AJD]]*1000)+Table5[[#This Row],[AJD_Evaporation]]+(Table5[[#This Row],[(A/B + A/S) AJD]]*1000))</f>
        <v/>
      </c>
      <c r="AE122" s="41" t="n"/>
      <c r="AF122" s="43" t="n"/>
      <c r="AG122" s="43" t="n"/>
      <c r="AH122" s="6">
        <f>Table5[[#This Row],[ (RESV. STORGE) BER]]/10</f>
        <v/>
      </c>
      <c r="AI122" s="41" t="n"/>
      <c r="AJ122" s="41">
        <f>Table5[[#This Row],[(A/B) AJD]]-Table5[[#This Row],[BER_IN]]</f>
        <v/>
      </c>
      <c r="AK122" s="43" t="n"/>
      <c r="AL122" s="43" t="n"/>
      <c r="AM122" s="32" t="n"/>
      <c r="AN122" s="32">
        <f>Table5[[#This Row],[ (RESV. STORGE) SER]]/10</f>
        <v/>
      </c>
      <c r="AO122" s="68" t="n"/>
      <c r="AP122" s="100">
        <f>Table5[[#This Row],[(A/S) AJD]]-Table5[[#This Row],[SER_IN]]</f>
        <v/>
      </c>
    </row>
    <row r="123" ht="18.75" customHeight="1">
      <c r="A123" s="98" t="n">
        <v>47240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Table5[[#This Row],[ (T/B) SAR]]+Table5[[#This Row],[ (S/S) SAR]]</f>
        <v/>
      </c>
      <c r="L123" s="45" t="n"/>
      <c r="M123" s="46" t="n"/>
      <c r="N123" s="46" t="n"/>
      <c r="O123" s="40" t="n"/>
      <c r="P123" s="3">
        <f>Table5[[#This Row],[ (S/S) SAR]]-Table5[[#This Row],[(S/S) AJD]]</f>
        <v/>
      </c>
      <c r="Q123" s="40" t="n"/>
      <c r="R123" s="3">
        <f>Table5[[#This Row],[ (T/B) SAR]]-Table5[[#This Row],[(T/B) AJD]]</f>
        <v/>
      </c>
      <c r="S123" s="3">
        <f>Table5[[#This Row],[S/S_CON.]]+Table5[[#This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Table5[[#This Row],[(RESV. STORGE) AJD]]/10</f>
        <v/>
      </c>
      <c r="AB123" s="3">
        <f>IF(TRIM(Z123)="",,(Z123-Z122)/1000)</f>
        <v/>
      </c>
      <c r="AC123" s="5" t="n"/>
      <c r="AD123" s="40">
        <f>(Table5[[#This Row],[( S/S+T/B) AJD]]*1000)-((Table5[[#This Row],[(STORGE DIFF.) AJD]]*1000)+Table5[[#This Row],[AJD_Evaporation]]+(Table5[[#This Row],[(A/B + A/S) AJD]]*1000))</f>
        <v/>
      </c>
      <c r="AE123" s="44" t="n"/>
      <c r="AF123" s="45" t="n"/>
      <c r="AG123" s="45" t="n"/>
      <c r="AH123" s="6">
        <f>Table5[[#This Row],[ (RESV. STORGE) BER]]/10</f>
        <v/>
      </c>
      <c r="AI123" s="44" t="n"/>
      <c r="AJ123" s="44">
        <f>Table5[[#This Row],[(A/B) AJD]]-Table5[[#This Row],[BER_IN]]</f>
        <v/>
      </c>
      <c r="AK123" s="45" t="n"/>
      <c r="AL123" s="45" t="n"/>
      <c r="AM123" s="32" t="n"/>
      <c r="AN123" s="32">
        <f>Table5[[#This Row],[ (RESV. STORGE) SER]]/10</f>
        <v/>
      </c>
      <c r="AO123" s="68" t="n"/>
      <c r="AP123" s="100">
        <f>Table5[[#This Row],[(A/S) AJD]]-Table5[[#This Row],[SER_IN]]</f>
        <v/>
      </c>
    </row>
    <row r="124" ht="18.75" customHeight="1">
      <c r="A124" s="98" t="n">
        <v>47241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Table5[[#This Row],[ (T/B) SAR]]+Table5[[#This Row],[ (S/S) SAR]]</f>
        <v/>
      </c>
      <c r="L124" s="41" t="n"/>
      <c r="M124" s="42" t="n"/>
      <c r="N124" s="42" t="n"/>
      <c r="O124" s="39" t="n"/>
      <c r="P124" s="3">
        <f>Table5[[#This Row],[ (S/S) SAR]]-Table5[[#This Row],[(S/S) AJD]]</f>
        <v/>
      </c>
      <c r="Q124" s="39" t="n"/>
      <c r="R124" s="3">
        <f>Table5[[#This Row],[ (T/B) SAR]]-Table5[[#This Row],[(T/B) AJD]]</f>
        <v/>
      </c>
      <c r="S124" s="3">
        <f>Table5[[#This Row],[S/S_CON.]]+Table5[[#This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Table5[[#This Row],[(RESV. STORGE) AJD]]/10</f>
        <v/>
      </c>
      <c r="AB124" s="3">
        <f>IF(TRIM(Z124)="",,(Z124-Z123)/1000)</f>
        <v/>
      </c>
      <c r="AC124" s="5" t="n"/>
      <c r="AD124" s="39">
        <f>(Table5[[#This Row],[( S/S+T/B) AJD]]*1000)-((Table5[[#This Row],[(STORGE DIFF.) AJD]]*1000)+Table5[[#This Row],[AJD_Evaporation]]+(Table5[[#This Row],[(A/B + A/S) AJD]]*1000))</f>
        <v/>
      </c>
      <c r="AE124" s="41" t="n"/>
      <c r="AF124" s="43" t="n"/>
      <c r="AG124" s="43" t="n"/>
      <c r="AH124" s="6">
        <f>Table5[[#This Row],[ (RESV. STORGE) BER]]/10</f>
        <v/>
      </c>
      <c r="AI124" s="41" t="n"/>
      <c r="AJ124" s="41">
        <f>Table5[[#This Row],[(A/B) AJD]]-Table5[[#This Row],[BER_IN]]</f>
        <v/>
      </c>
      <c r="AK124" s="43" t="n"/>
      <c r="AL124" s="43" t="n"/>
      <c r="AM124" s="32" t="n"/>
      <c r="AN124" s="32">
        <f>Table5[[#This Row],[ (RESV. STORGE) SER]]/10</f>
        <v/>
      </c>
      <c r="AO124" s="68" t="n"/>
      <c r="AP124" s="100">
        <f>Table5[[#This Row],[(A/S) AJD]]-Table5[[#This Row],[SER_IN]]</f>
        <v/>
      </c>
    </row>
    <row r="125" ht="18.75" customHeight="1">
      <c r="A125" s="98" t="n">
        <v>47242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Table5[[#This Row],[ (T/B) SAR]]+Table5[[#This Row],[ (S/S) SAR]]</f>
        <v/>
      </c>
      <c r="L125" s="45" t="n"/>
      <c r="M125" s="46" t="n"/>
      <c r="N125" s="46" t="n"/>
      <c r="O125" s="40" t="n"/>
      <c r="P125" s="3">
        <f>Table5[[#This Row],[ (S/S) SAR]]-Table5[[#This Row],[(S/S) AJD]]</f>
        <v/>
      </c>
      <c r="Q125" s="40" t="n"/>
      <c r="R125" s="3">
        <f>Table5[[#This Row],[ (T/B) SAR]]-Table5[[#This Row],[(T/B) AJD]]</f>
        <v/>
      </c>
      <c r="S125" s="3">
        <f>Table5[[#This Row],[S/S_CON.]]+Table5[[#This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Table5[[#This Row],[(RESV. STORGE) AJD]]/10</f>
        <v/>
      </c>
      <c r="AB125" s="3">
        <f>IF(TRIM(Z125)="",,(Z125-Z124)/1000)</f>
        <v/>
      </c>
      <c r="AC125" s="5" t="n"/>
      <c r="AD125" s="40">
        <f>(Table5[[#This Row],[( S/S+T/B) AJD]]*1000)-((Table5[[#This Row],[(STORGE DIFF.) AJD]]*1000)+Table5[[#This Row],[AJD_Evaporation]]+(Table5[[#This Row],[(A/B + A/S) AJD]]*1000))</f>
        <v/>
      </c>
      <c r="AE125" s="44" t="n"/>
      <c r="AF125" s="45" t="n"/>
      <c r="AG125" s="45" t="n"/>
      <c r="AH125" s="6">
        <f>Table5[[#This Row],[ (RESV. STORGE) BER]]/10</f>
        <v/>
      </c>
      <c r="AI125" s="44" t="n"/>
      <c r="AJ125" s="44">
        <f>Table5[[#This Row],[(A/B) AJD]]-Table5[[#This Row],[BER_IN]]</f>
        <v/>
      </c>
      <c r="AK125" s="45" t="n"/>
      <c r="AL125" s="45" t="n"/>
      <c r="AM125" s="32" t="n"/>
      <c r="AN125" s="32">
        <f>Table5[[#This Row],[ (RESV. STORGE) SER]]/10</f>
        <v/>
      </c>
      <c r="AO125" s="68" t="n"/>
      <c r="AP125" s="100">
        <f>Table5[[#This Row],[(A/S) AJD]]-Table5[[#This Row],[SER_IN]]</f>
        <v/>
      </c>
    </row>
    <row r="126" ht="18.75" customHeight="1">
      <c r="A126" s="98" t="n">
        <v>47243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Table5[[#This Row],[ (T/B) SAR]]+Table5[[#This Row],[ (S/S) SAR]]</f>
        <v/>
      </c>
      <c r="L126" s="41" t="n"/>
      <c r="M126" s="42" t="n"/>
      <c r="N126" s="42" t="n"/>
      <c r="O126" s="39" t="n"/>
      <c r="P126" s="3">
        <f>Table5[[#This Row],[ (S/S) SAR]]-Table5[[#This Row],[(S/S) AJD]]</f>
        <v/>
      </c>
      <c r="Q126" s="39" t="n"/>
      <c r="R126" s="3">
        <f>Table5[[#This Row],[ (T/B) SAR]]-Table5[[#This Row],[(T/B) AJD]]</f>
        <v/>
      </c>
      <c r="S126" s="3">
        <f>Table5[[#This Row],[S/S_CON.]]+Table5[[#This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Table5[[#This Row],[(RESV. STORGE) AJD]]/10</f>
        <v/>
      </c>
      <c r="AB126" s="3">
        <f>IF(TRIM(Z126)="",,(Z126-Z125)/1000)</f>
        <v/>
      </c>
      <c r="AC126" s="5" t="n"/>
      <c r="AD126" s="39">
        <f>(Table5[[#This Row],[( S/S+T/B) AJD]]*1000)-((Table5[[#This Row],[(STORGE DIFF.) AJD]]*1000)+Table5[[#This Row],[AJD_Evaporation]]+(Table5[[#This Row],[(A/B + A/S) AJD]]*1000))</f>
        <v/>
      </c>
      <c r="AE126" s="41" t="n"/>
      <c r="AF126" s="43" t="n"/>
      <c r="AG126" s="43" t="n"/>
      <c r="AH126" s="6">
        <f>Table5[[#This Row],[ (RESV. STORGE) BER]]/10</f>
        <v/>
      </c>
      <c r="AI126" s="41" t="n"/>
      <c r="AJ126" s="41">
        <f>Table5[[#This Row],[(A/B) AJD]]-Table5[[#This Row],[BER_IN]]</f>
        <v/>
      </c>
      <c r="AK126" s="43" t="n"/>
      <c r="AL126" s="43" t="n"/>
      <c r="AM126" s="32" t="n"/>
      <c r="AN126" s="32">
        <f>Table5[[#This Row],[ (RESV. STORGE) SER]]/10</f>
        <v/>
      </c>
      <c r="AO126" s="68" t="n"/>
      <c r="AP126" s="100">
        <f>Table5[[#This Row],[(A/S) AJD]]-Table5[[#This Row],[SER_IN]]</f>
        <v/>
      </c>
    </row>
    <row r="127" ht="18.75" customHeight="1">
      <c r="A127" s="98" t="n">
        <v>47244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Table5[[#This Row],[ (T/B) SAR]]+Table5[[#This Row],[ (S/S) SAR]]</f>
        <v/>
      </c>
      <c r="L127" s="45" t="n"/>
      <c r="M127" s="46" t="n"/>
      <c r="N127" s="46" t="n"/>
      <c r="O127" s="40" t="n"/>
      <c r="P127" s="3">
        <f>Table5[[#This Row],[ (S/S) SAR]]-Table5[[#This Row],[(S/S) AJD]]</f>
        <v/>
      </c>
      <c r="Q127" s="40" t="n"/>
      <c r="R127" s="3">
        <f>Table5[[#This Row],[ (T/B) SAR]]-Table5[[#This Row],[(T/B) AJD]]</f>
        <v/>
      </c>
      <c r="S127" s="3">
        <f>Table5[[#This Row],[S/S_CON.]]+Table5[[#This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Table5[[#This Row],[(RESV. STORGE) AJD]]/10</f>
        <v/>
      </c>
      <c r="AB127" s="3">
        <f>IF(TRIM(Z127)="",,(Z127-Z126)/1000)</f>
        <v/>
      </c>
      <c r="AC127" s="5" t="n"/>
      <c r="AD127" s="40">
        <f>(Table5[[#This Row],[( S/S+T/B) AJD]]*1000)-((Table5[[#This Row],[(STORGE DIFF.) AJD]]*1000)+Table5[[#This Row],[AJD_Evaporation]]+(Table5[[#This Row],[(A/B + A/S) AJD]]*1000))</f>
        <v/>
      </c>
      <c r="AE127" s="44" t="n"/>
      <c r="AF127" s="45" t="n"/>
      <c r="AG127" s="45" t="n"/>
      <c r="AH127" s="6">
        <f>Table5[[#This Row],[ (RESV. STORGE) BER]]/10</f>
        <v/>
      </c>
      <c r="AI127" s="44" t="n"/>
      <c r="AJ127" s="44">
        <f>Table5[[#This Row],[(A/B) AJD]]-Table5[[#This Row],[BER_IN]]</f>
        <v/>
      </c>
      <c r="AK127" s="45" t="n"/>
      <c r="AL127" s="45" t="n"/>
      <c r="AM127" s="32" t="n"/>
      <c r="AN127" s="32">
        <f>Table5[[#This Row],[ (RESV. STORGE) SER]]/10</f>
        <v/>
      </c>
      <c r="AO127" s="68" t="n"/>
      <c r="AP127" s="100">
        <f>Table5[[#This Row],[(A/S) AJD]]-Table5[[#This Row],[SER_IN]]</f>
        <v/>
      </c>
    </row>
    <row r="128" ht="18.75" customHeight="1">
      <c r="A128" s="98" t="n">
        <v>47245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Table5[[#This Row],[ (T/B) SAR]]+Table5[[#This Row],[ (S/S) SAR]]</f>
        <v/>
      </c>
      <c r="L128" s="41" t="n"/>
      <c r="M128" s="42" t="n"/>
      <c r="N128" s="42" t="n"/>
      <c r="O128" s="39" t="n"/>
      <c r="P128" s="3">
        <f>Table5[[#This Row],[ (S/S) SAR]]-Table5[[#This Row],[(S/S) AJD]]</f>
        <v/>
      </c>
      <c r="Q128" s="39" t="n"/>
      <c r="R128" s="3">
        <f>Table5[[#This Row],[ (T/B) SAR]]-Table5[[#This Row],[(T/B) AJD]]</f>
        <v/>
      </c>
      <c r="S128" s="3">
        <f>Table5[[#This Row],[S/S_CON.]]+Table5[[#This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Table5[[#This Row],[(RESV. STORGE) AJD]]/10</f>
        <v/>
      </c>
      <c r="AB128" s="3">
        <f>IF(TRIM(Z128)="",,(Z128-Z127)/1000)</f>
        <v/>
      </c>
      <c r="AC128" s="5" t="n"/>
      <c r="AD128" s="39">
        <f>(Table5[[#This Row],[( S/S+T/B) AJD]]*1000)-((Table5[[#This Row],[(STORGE DIFF.) AJD]]*1000)+Table5[[#This Row],[AJD_Evaporation]]+(Table5[[#This Row],[(A/B + A/S) AJD]]*1000))</f>
        <v/>
      </c>
      <c r="AE128" s="41" t="n"/>
      <c r="AF128" s="43" t="n"/>
      <c r="AG128" s="43" t="n"/>
      <c r="AH128" s="6">
        <f>Table5[[#This Row],[ (RESV. STORGE) BER]]/10</f>
        <v/>
      </c>
      <c r="AI128" s="41" t="n"/>
      <c r="AJ128" s="41">
        <f>Table5[[#This Row],[(A/B) AJD]]-Table5[[#This Row],[BER_IN]]</f>
        <v/>
      </c>
      <c r="AK128" s="43" t="n"/>
      <c r="AL128" s="43" t="n"/>
      <c r="AM128" s="32" t="n"/>
      <c r="AN128" s="32">
        <f>Table5[[#This Row],[ (RESV. STORGE) SER]]/10</f>
        <v/>
      </c>
      <c r="AO128" s="68" t="n"/>
      <c r="AP128" s="100">
        <f>Table5[[#This Row],[(A/S) AJD]]-Table5[[#This Row],[SER_IN]]</f>
        <v/>
      </c>
    </row>
    <row r="129" ht="18.75" customHeight="1">
      <c r="A129" s="98" t="n">
        <v>47246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Table5[[#This Row],[ (T/B) SAR]]+Table5[[#This Row],[ (S/S) SAR]]</f>
        <v/>
      </c>
      <c r="L129" s="45" t="n"/>
      <c r="M129" s="46" t="n"/>
      <c r="N129" s="46" t="n"/>
      <c r="O129" s="40" t="n"/>
      <c r="P129" s="3">
        <f>Table5[[#This Row],[ (S/S) SAR]]-Table5[[#This Row],[(S/S) AJD]]</f>
        <v/>
      </c>
      <c r="Q129" s="40" t="n"/>
      <c r="R129" s="3">
        <f>Table5[[#This Row],[ (T/B) SAR]]-Table5[[#This Row],[(T/B) AJD]]</f>
        <v/>
      </c>
      <c r="S129" s="3">
        <f>Table5[[#This Row],[S/S_CON.]]+Table5[[#This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Table5[[#This Row],[(RESV. STORGE) AJD]]/10</f>
        <v/>
      </c>
      <c r="AB129" s="3">
        <f>IF(TRIM(Z129)="",,(Z129-Z128)/1000)</f>
        <v/>
      </c>
      <c r="AC129" s="5" t="n"/>
      <c r="AD129" s="40">
        <f>(Table5[[#This Row],[( S/S+T/B) AJD]]*1000)-((Table5[[#This Row],[(STORGE DIFF.) AJD]]*1000)+Table5[[#This Row],[AJD_Evaporation]]+(Table5[[#This Row],[(A/B + A/S) AJD]]*1000))</f>
        <v/>
      </c>
      <c r="AE129" s="44" t="n"/>
      <c r="AF129" s="45" t="n"/>
      <c r="AG129" s="45" t="n"/>
      <c r="AH129" s="6">
        <f>Table5[[#This Row],[ (RESV. STORGE) BER]]/10</f>
        <v/>
      </c>
      <c r="AI129" s="44" t="n"/>
      <c r="AJ129" s="44">
        <f>Table5[[#This Row],[(A/B) AJD]]-Table5[[#This Row],[BER_IN]]</f>
        <v/>
      </c>
      <c r="AK129" s="45" t="n"/>
      <c r="AL129" s="45" t="n"/>
      <c r="AM129" s="32" t="n"/>
      <c r="AN129" s="32">
        <f>Table5[[#This Row],[ (RESV. STORGE) SER]]/10</f>
        <v/>
      </c>
      <c r="AO129" s="68" t="n"/>
      <c r="AP129" s="100">
        <f>Table5[[#This Row],[(A/S) AJD]]-Table5[[#This Row],[SER_IN]]</f>
        <v/>
      </c>
    </row>
    <row r="130" ht="18.75" customHeight="1">
      <c r="A130" s="98" t="n">
        <v>47247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Table5[[#This Row],[ (T/B) SAR]]+Table5[[#This Row],[ (S/S) SAR]]</f>
        <v/>
      </c>
      <c r="L130" s="41" t="n"/>
      <c r="M130" s="42" t="n"/>
      <c r="N130" s="42" t="n"/>
      <c r="O130" s="39" t="n"/>
      <c r="P130" s="3">
        <f>Table5[[#This Row],[ (S/S) SAR]]-Table5[[#This Row],[(S/S) AJD]]</f>
        <v/>
      </c>
      <c r="Q130" s="39" t="n"/>
      <c r="R130" s="3">
        <f>Table5[[#This Row],[ (T/B) SAR]]-Table5[[#This Row],[(T/B) AJD]]</f>
        <v/>
      </c>
      <c r="S130" s="3">
        <f>Table5[[#This Row],[S/S_CON.]]+Table5[[#This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Table5[[#This Row],[(RESV. STORGE) AJD]]/10</f>
        <v/>
      </c>
      <c r="AB130" s="3">
        <f>IF(TRIM(Z130)="",,(Z130-Z129)/1000)</f>
        <v/>
      </c>
      <c r="AC130" s="5" t="n"/>
      <c r="AD130" s="39">
        <f>(Table5[[#This Row],[( S/S+T/B) AJD]]*1000)-((Table5[[#This Row],[(STORGE DIFF.) AJD]]*1000)+Table5[[#This Row],[AJD_Evaporation]]+(Table5[[#This Row],[(A/B + A/S) AJD]]*1000))</f>
        <v/>
      </c>
      <c r="AE130" s="41" t="n"/>
      <c r="AF130" s="43" t="n"/>
      <c r="AG130" s="43" t="n"/>
      <c r="AH130" s="6">
        <f>Table5[[#This Row],[ (RESV. STORGE) BER]]/10</f>
        <v/>
      </c>
      <c r="AI130" s="41" t="n"/>
      <c r="AJ130" s="41">
        <f>Table5[[#This Row],[(A/B) AJD]]-Table5[[#This Row],[BER_IN]]</f>
        <v/>
      </c>
      <c r="AK130" s="43" t="n"/>
      <c r="AL130" s="43" t="n"/>
      <c r="AM130" s="32" t="n"/>
      <c r="AN130" s="32">
        <f>Table5[[#This Row],[ (RESV. STORGE) SER]]/10</f>
        <v/>
      </c>
      <c r="AO130" s="68" t="n"/>
      <c r="AP130" s="100">
        <f>Table5[[#This Row],[(A/S) AJD]]-Table5[[#This Row],[SER_IN]]</f>
        <v/>
      </c>
    </row>
    <row r="131" ht="18.75" customHeight="1">
      <c r="A131" s="98" t="n">
        <v>47248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Table5[[#This Row],[ (T/B) SAR]]+Table5[[#This Row],[ (S/S) SAR]]</f>
        <v/>
      </c>
      <c r="L131" s="45" t="n"/>
      <c r="M131" s="46" t="n"/>
      <c r="N131" s="46" t="n"/>
      <c r="O131" s="40" t="n"/>
      <c r="P131" s="3">
        <f>Table5[[#This Row],[ (S/S) SAR]]-Table5[[#This Row],[(S/S) AJD]]</f>
        <v/>
      </c>
      <c r="Q131" s="40" t="n"/>
      <c r="R131" s="3">
        <f>Table5[[#This Row],[ (T/B) SAR]]-Table5[[#This Row],[(T/B) AJD]]</f>
        <v/>
      </c>
      <c r="S131" s="3">
        <f>Table5[[#This Row],[S/S_CON.]]+Table5[[#This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Table5[[#This Row],[(RESV. STORGE) AJD]]/10</f>
        <v/>
      </c>
      <c r="AB131" s="3">
        <f>IF(TRIM(Z131)="",,(Z131-Z130)/1000)</f>
        <v/>
      </c>
      <c r="AC131" s="5" t="n"/>
      <c r="AD131" s="40">
        <f>(Table5[[#This Row],[( S/S+T/B) AJD]]*1000)-((Table5[[#This Row],[(STORGE DIFF.) AJD]]*1000)+Table5[[#This Row],[AJD_Evaporation]]+(Table5[[#This Row],[(A/B + A/S) AJD]]*1000))</f>
        <v/>
      </c>
      <c r="AE131" s="44" t="n"/>
      <c r="AF131" s="45" t="n"/>
      <c r="AG131" s="45" t="n"/>
      <c r="AH131" s="6">
        <f>Table5[[#This Row],[ (RESV. STORGE) BER]]/10</f>
        <v/>
      </c>
      <c r="AI131" s="44" t="n"/>
      <c r="AJ131" s="44">
        <f>Table5[[#This Row],[(A/B) AJD]]-Table5[[#This Row],[BER_IN]]</f>
        <v/>
      </c>
      <c r="AK131" s="45" t="n"/>
      <c r="AL131" s="45" t="n"/>
      <c r="AM131" s="32" t="n"/>
      <c r="AN131" s="32">
        <f>Table5[[#This Row],[ (RESV. STORGE) SER]]/10</f>
        <v/>
      </c>
      <c r="AO131" s="68" t="n"/>
      <c r="AP131" s="100">
        <f>Table5[[#This Row],[(A/S) AJD]]-Table5[[#This Row],[SER_IN]]</f>
        <v/>
      </c>
    </row>
    <row r="132" ht="18.75" customHeight="1">
      <c r="A132" s="98" t="n">
        <v>47249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Table5[[#This Row],[ (T/B) SAR]]+Table5[[#This Row],[ (S/S) SAR]]</f>
        <v/>
      </c>
      <c r="L132" s="41" t="n"/>
      <c r="M132" s="42" t="n"/>
      <c r="N132" s="42" t="n"/>
      <c r="O132" s="39" t="n"/>
      <c r="P132" s="3">
        <f>Table5[[#This Row],[ (S/S) SAR]]-Table5[[#This Row],[(S/S) AJD]]</f>
        <v/>
      </c>
      <c r="Q132" s="39" t="n"/>
      <c r="R132" s="3">
        <f>Table5[[#This Row],[ (T/B) SAR]]-Table5[[#This Row],[(T/B) AJD]]</f>
        <v/>
      </c>
      <c r="S132" s="3">
        <f>Table5[[#This Row],[S/S_CON.]]+Table5[[#This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Table5[[#This Row],[(RESV. STORGE) AJD]]/10</f>
        <v/>
      </c>
      <c r="AB132" s="3">
        <f>IF(TRIM(Z132)="",,(Z132-Z131)/1000)</f>
        <v/>
      </c>
      <c r="AC132" s="5" t="n"/>
      <c r="AD132" s="39">
        <f>(Table5[[#This Row],[( S/S+T/B) AJD]]*1000)-((Table5[[#This Row],[(STORGE DIFF.) AJD]]*1000)+Table5[[#This Row],[AJD_Evaporation]]+(Table5[[#This Row],[(A/B + A/S) AJD]]*1000))</f>
        <v/>
      </c>
      <c r="AE132" s="41" t="n"/>
      <c r="AF132" s="43" t="n"/>
      <c r="AG132" s="68" t="n"/>
      <c r="AH132" s="6">
        <f>Table5[[#This Row],[ (RESV. STORGE) BER]]/10</f>
        <v/>
      </c>
      <c r="AI132" s="41" t="n"/>
      <c r="AJ132" s="69">
        <f>Table5[[#This Row],[(A/B) AJD]]-Table5[[#This Row],[BER_IN]]</f>
        <v/>
      </c>
      <c r="AK132" s="43" t="n"/>
      <c r="AL132" s="43" t="n"/>
      <c r="AM132" s="32" t="n"/>
      <c r="AN132" s="32">
        <f>Table5[[#This Row],[ (RESV. STORGE) SER]]/10</f>
        <v/>
      </c>
      <c r="AO132" s="68" t="n"/>
      <c r="AP132" s="100">
        <f>Table5[[#This Row],[(A/S) AJD]]-Table5[[#This Row],[SER_IN]]</f>
        <v/>
      </c>
    </row>
    <row r="133" ht="18.75" customHeight="1">
      <c r="A133" s="98" t="n">
        <v>47250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Table5[[#This Row],[ (T/B) SAR]]+Table5[[#This Row],[ (S/S) SAR]]</f>
        <v/>
      </c>
      <c r="L133" s="45" t="n"/>
      <c r="M133" s="46" t="n"/>
      <c r="N133" s="46" t="n"/>
      <c r="O133" s="40" t="n"/>
      <c r="P133" s="3">
        <f>Table5[[#This Row],[ (S/S) SAR]]-Table5[[#This Row],[(S/S) AJD]]</f>
        <v/>
      </c>
      <c r="Q133" s="40" t="n"/>
      <c r="R133" s="3">
        <f>Table5[[#This Row],[ (T/B) SAR]]-Table5[[#This Row],[(T/B) AJD]]</f>
        <v/>
      </c>
      <c r="S133" s="3">
        <f>Table5[[#This Row],[S/S_CON.]]+Table5[[#This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Table5[[#This Row],[(RESV. STORGE) AJD]]/10</f>
        <v/>
      </c>
      <c r="AB133" s="3">
        <f>IF(TRIM(Z133)="",,(Z133-Z132)/1000)</f>
        <v/>
      </c>
      <c r="AC133" s="5" t="n"/>
      <c r="AD133" s="40">
        <f>(Table5[[#This Row],[( S/S+T/B) AJD]]*1000)-((Table5[[#This Row],[(STORGE DIFF.) AJD]]*1000)+Table5[[#This Row],[AJD_Evaporation]]+(Table5[[#This Row],[(A/B + A/S) AJD]]*1000))</f>
        <v/>
      </c>
      <c r="AE133" s="44" t="n"/>
      <c r="AF133" s="45" t="n"/>
      <c r="AG133" s="45" t="n"/>
      <c r="AH133" s="6">
        <f>Table5[[#This Row],[ (RESV. STORGE) BER]]/10</f>
        <v/>
      </c>
      <c r="AI133" s="44" t="n"/>
      <c r="AJ133" s="44">
        <f>Table5[[#This Row],[(A/B) AJD]]-Table5[[#This Row],[BER_IN]]</f>
        <v/>
      </c>
      <c r="AK133" s="45" t="n"/>
      <c r="AL133" s="45" t="n"/>
      <c r="AM133" s="32" t="n"/>
      <c r="AN133" s="32">
        <f>Table5[[#This Row],[ (RESV. STORGE) SER]]/10</f>
        <v/>
      </c>
      <c r="AO133" s="68" t="n"/>
      <c r="AP133" s="100">
        <f>Table5[[#This Row],[(A/S) AJD]]-Table5[[#This Row],[SER_IN]]</f>
        <v/>
      </c>
    </row>
    <row r="134" ht="18.75" customHeight="1">
      <c r="A134" s="98" t="n">
        <v>47251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Table5[[#This Row],[ (T/B) SAR]]+Table5[[#This Row],[ (S/S) SAR]]</f>
        <v/>
      </c>
      <c r="L134" s="41" t="n"/>
      <c r="M134" s="42" t="n"/>
      <c r="N134" s="42" t="n"/>
      <c r="O134" s="39" t="n"/>
      <c r="P134" s="3">
        <f>Table5[[#This Row],[ (S/S) SAR]]-Table5[[#This Row],[(S/S) AJD]]</f>
        <v/>
      </c>
      <c r="Q134" s="39" t="n"/>
      <c r="R134" s="3">
        <f>Table5[[#This Row],[ (T/B) SAR]]-Table5[[#This Row],[(T/B) AJD]]</f>
        <v/>
      </c>
      <c r="S134" s="3">
        <f>Table5[[#This Row],[S/S_CON.]]+Table5[[#This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Table5[[#This Row],[(RESV. STORGE) AJD]]/10</f>
        <v/>
      </c>
      <c r="AB134" s="3">
        <f>IF(TRIM(Z134)="",,(Z134-Z133)/1000)</f>
        <v/>
      </c>
      <c r="AC134" s="5" t="n"/>
      <c r="AD134" s="39">
        <f>(Table5[[#This Row],[( S/S+T/B) AJD]]*1000)-((Table5[[#This Row],[(STORGE DIFF.) AJD]]*1000)+Table5[[#This Row],[AJD_Evaporation]]+(Table5[[#This Row],[(A/B + A/S) AJD]]*1000))</f>
        <v/>
      </c>
      <c r="AE134" s="41" t="n"/>
      <c r="AF134" s="43" t="n"/>
      <c r="AG134" s="43" t="n"/>
      <c r="AH134" s="6">
        <f>Table5[[#This Row],[ (RESV. STORGE) BER]]/10</f>
        <v/>
      </c>
      <c r="AI134" s="41" t="n"/>
      <c r="AJ134" s="41">
        <f>Table5[[#This Row],[(A/B) AJD]]-Table5[[#This Row],[BER_IN]]</f>
        <v/>
      </c>
      <c r="AK134" s="43" t="n"/>
      <c r="AL134" s="43" t="n"/>
      <c r="AM134" s="32" t="n"/>
      <c r="AN134" s="32">
        <f>Table5[[#This Row],[ (RESV. STORGE) SER]]/10</f>
        <v/>
      </c>
      <c r="AO134" s="68" t="n"/>
      <c r="AP134" s="100">
        <f>Table5[[#This Row],[(A/S) AJD]]-Table5[[#This Row],[SER_IN]]</f>
        <v/>
      </c>
    </row>
    <row r="135" ht="18.75" customHeight="1">
      <c r="A135" s="98" t="n">
        <v>47252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Table5[[#This Row],[ (T/B) SAR]]+Table5[[#This Row],[ (S/S) SAR]]</f>
        <v/>
      </c>
      <c r="L135" s="45" t="n"/>
      <c r="M135" s="46" t="n"/>
      <c r="N135" s="46" t="n"/>
      <c r="O135" s="40" t="n"/>
      <c r="P135" s="3">
        <f>Table5[[#This Row],[ (S/S) SAR]]-Table5[[#This Row],[(S/S) AJD]]</f>
        <v/>
      </c>
      <c r="Q135" s="40" t="n"/>
      <c r="R135" s="3">
        <f>Table5[[#This Row],[ (T/B) SAR]]-Table5[[#This Row],[(T/B) AJD]]</f>
        <v/>
      </c>
      <c r="S135" s="3">
        <f>Table5[[#This Row],[S/S_CON.]]+Table5[[#This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Table5[[#This Row],[(RESV. STORGE) AJD]]/10</f>
        <v/>
      </c>
      <c r="AB135" s="3">
        <f>IF(TRIM(Z135)="",,(Z135-Z134)/1000)</f>
        <v/>
      </c>
      <c r="AC135" s="5" t="n"/>
      <c r="AD135" s="40">
        <f>(Table5[[#This Row],[( S/S+T/B) AJD]]*1000)-((Table5[[#This Row],[(STORGE DIFF.) AJD]]*1000)+Table5[[#This Row],[AJD_Evaporation]]+(Table5[[#This Row],[(A/B + A/S) AJD]]*1000))</f>
        <v/>
      </c>
      <c r="AE135" s="44" t="n"/>
      <c r="AF135" s="45" t="n"/>
      <c r="AG135" s="45" t="n"/>
      <c r="AH135" s="6">
        <f>Table5[[#This Row],[ (RESV. STORGE) BER]]/10</f>
        <v/>
      </c>
      <c r="AI135" s="44" t="n"/>
      <c r="AJ135" s="44">
        <f>Table5[[#This Row],[(A/B) AJD]]-Table5[[#This Row],[BER_IN]]</f>
        <v/>
      </c>
      <c r="AK135" s="45" t="n"/>
      <c r="AL135" s="45" t="n"/>
      <c r="AM135" s="32" t="n"/>
      <c r="AN135" s="32">
        <f>Table5[[#This Row],[ (RESV. STORGE) SER]]/10</f>
        <v/>
      </c>
      <c r="AO135" s="68" t="n"/>
      <c r="AP135" s="100">
        <f>Table5[[#This Row],[(A/S) AJD]]-Table5[[#This Row],[SER_IN]]</f>
        <v/>
      </c>
    </row>
    <row r="136" ht="18.75" customHeight="1">
      <c r="A136" s="98" t="n">
        <v>47253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Table5[[#This Row],[ (T/B) SAR]]+Table5[[#This Row],[ (S/S) SAR]]</f>
        <v/>
      </c>
      <c r="L136" s="41" t="n"/>
      <c r="M136" s="42" t="n"/>
      <c r="N136" s="42" t="n"/>
      <c r="O136" s="39" t="n"/>
      <c r="P136" s="3">
        <f>Table5[[#This Row],[ (S/S) SAR]]-Table5[[#This Row],[(S/S) AJD]]</f>
        <v/>
      </c>
      <c r="Q136" s="39" t="n"/>
      <c r="R136" s="3">
        <f>Table5[[#This Row],[ (T/B) SAR]]-Table5[[#This Row],[(T/B) AJD]]</f>
        <v/>
      </c>
      <c r="S136" s="3">
        <f>Table5[[#This Row],[S/S_CON.]]+Table5[[#This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Table5[[#This Row],[(RESV. STORGE) AJD]]/10</f>
        <v/>
      </c>
      <c r="AB136" s="3">
        <f>IF(TRIM(Z136)="",,(Z136-Z135)/1000)</f>
        <v/>
      </c>
      <c r="AC136" s="5" t="n"/>
      <c r="AD136" s="39">
        <f>(Table5[[#This Row],[( S/S+T/B) AJD]]*1000)-((Table5[[#This Row],[(STORGE DIFF.) AJD]]*1000)+Table5[[#This Row],[AJD_Evaporation]]+(Table5[[#This Row],[(A/B + A/S) AJD]]*1000))</f>
        <v/>
      </c>
      <c r="AE136" s="41" t="n"/>
      <c r="AF136" s="43" t="n"/>
      <c r="AG136" s="43" t="n"/>
      <c r="AH136" s="6">
        <f>Table5[[#This Row],[ (RESV. STORGE) BER]]/10</f>
        <v/>
      </c>
      <c r="AI136" s="41" t="n"/>
      <c r="AJ136" s="41">
        <f>Table5[[#This Row],[(A/B) AJD]]-Table5[[#This Row],[BER_IN]]</f>
        <v/>
      </c>
      <c r="AK136" s="43" t="n"/>
      <c r="AL136" s="43" t="n"/>
      <c r="AM136" s="32" t="n"/>
      <c r="AN136" s="32">
        <f>Table5[[#This Row],[ (RESV. STORGE) SER]]/10</f>
        <v/>
      </c>
      <c r="AO136" s="68" t="n"/>
      <c r="AP136" s="100">
        <f>Table5[[#This Row],[(A/S) AJD]]-Table5[[#This Row],[SER_IN]]</f>
        <v/>
      </c>
    </row>
    <row r="137" ht="18.75" customHeight="1">
      <c r="A137" s="98" t="n">
        <v>47254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Table5[[#This Row],[ (T/B) SAR]]+Table5[[#This Row],[ (S/S) SAR]]</f>
        <v/>
      </c>
      <c r="L137" s="45" t="n"/>
      <c r="M137" s="46" t="n"/>
      <c r="N137" s="46" t="n"/>
      <c r="O137" s="40" t="n"/>
      <c r="P137" s="3">
        <f>Table5[[#This Row],[ (S/S) SAR]]-Table5[[#This Row],[(S/S) AJD]]</f>
        <v/>
      </c>
      <c r="Q137" s="40" t="n"/>
      <c r="R137" s="3">
        <f>Table5[[#This Row],[ (T/B) SAR]]-Table5[[#This Row],[(T/B) AJD]]</f>
        <v/>
      </c>
      <c r="S137" s="3">
        <f>Table5[[#This Row],[S/S_CON.]]+Table5[[#This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Table5[[#This Row],[(RESV. STORGE) AJD]]/10</f>
        <v/>
      </c>
      <c r="AB137" s="3">
        <f>IF(TRIM(Z137)="",,(Z137-Z136)/1000)</f>
        <v/>
      </c>
      <c r="AC137" s="5" t="n"/>
      <c r="AD137" s="40">
        <f>(Table5[[#This Row],[( S/S+T/B) AJD]]*1000)-((Table5[[#This Row],[(STORGE DIFF.) AJD]]*1000)+Table5[[#This Row],[AJD_Evaporation]]+(Table5[[#This Row],[(A/B + A/S) AJD]]*1000))</f>
        <v/>
      </c>
      <c r="AE137" s="44" t="n"/>
      <c r="AF137" s="45" t="n"/>
      <c r="AG137" s="45" t="n"/>
      <c r="AH137" s="6">
        <f>Table5[[#This Row],[ (RESV. STORGE) BER]]/10</f>
        <v/>
      </c>
      <c r="AI137" s="44" t="n"/>
      <c r="AJ137" s="44">
        <f>Table5[[#This Row],[(A/B) AJD]]-Table5[[#This Row],[BER_IN]]</f>
        <v/>
      </c>
      <c r="AK137" s="45" t="n"/>
      <c r="AL137" s="45" t="n"/>
      <c r="AM137" s="32" t="n"/>
      <c r="AN137" s="32">
        <f>Table5[[#This Row],[ (RESV. STORGE) SER]]/10</f>
        <v/>
      </c>
      <c r="AO137" s="68" t="n"/>
      <c r="AP137" s="100">
        <f>Table5[[#This Row],[(A/S) AJD]]-Table5[[#This Row],[SER_IN]]</f>
        <v/>
      </c>
    </row>
    <row r="138" ht="18.75" customHeight="1">
      <c r="A138" s="98" t="n">
        <v>47255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Table5[[#This Row],[ (T/B) SAR]]+Table5[[#This Row],[ (S/S) SAR]]</f>
        <v/>
      </c>
      <c r="L138" s="41" t="n"/>
      <c r="M138" s="42" t="n"/>
      <c r="N138" s="42" t="n"/>
      <c r="O138" s="39" t="n"/>
      <c r="P138" s="3">
        <f>Table5[[#This Row],[ (S/S) SAR]]-Table5[[#This Row],[(S/S) AJD]]</f>
        <v/>
      </c>
      <c r="Q138" s="39" t="n"/>
      <c r="R138" s="3">
        <f>Table5[[#This Row],[ (T/B) SAR]]-Table5[[#This Row],[(T/B) AJD]]</f>
        <v/>
      </c>
      <c r="S138" s="3">
        <f>Table5[[#This Row],[S/S_CON.]]+Table5[[#This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Table5[[#This Row],[(RESV. STORGE) AJD]]/10</f>
        <v/>
      </c>
      <c r="AB138" s="3">
        <f>IF(TRIM(Z138)="",,(Z138-Z137)/1000)</f>
        <v/>
      </c>
      <c r="AC138" s="5" t="n"/>
      <c r="AD138" s="39">
        <f>(Table5[[#This Row],[( S/S+T/B) AJD]]*1000)-((Table5[[#This Row],[(STORGE DIFF.) AJD]]*1000)+Table5[[#This Row],[AJD_Evaporation]]+(Table5[[#This Row],[(A/B + A/S) AJD]]*1000))</f>
        <v/>
      </c>
      <c r="AE138" s="41" t="n"/>
      <c r="AF138" s="43" t="n"/>
      <c r="AG138" s="43" t="n"/>
      <c r="AH138" s="6">
        <f>Table5[[#This Row],[ (RESV. STORGE) BER]]/10</f>
        <v/>
      </c>
      <c r="AI138" s="41" t="n"/>
      <c r="AJ138" s="41">
        <f>Table5[[#This Row],[(A/B) AJD]]-Table5[[#This Row],[BER_IN]]</f>
        <v/>
      </c>
      <c r="AK138" s="43" t="n"/>
      <c r="AL138" s="43" t="n"/>
      <c r="AM138" s="32" t="n"/>
      <c r="AN138" s="32">
        <f>Table5[[#This Row],[ (RESV. STORGE) SER]]/10</f>
        <v/>
      </c>
      <c r="AO138" s="68" t="n"/>
      <c r="AP138" s="100">
        <f>Table5[[#This Row],[(A/S) AJD]]-Table5[[#This Row],[SER_IN]]</f>
        <v/>
      </c>
    </row>
    <row r="139" ht="18.75" customHeight="1">
      <c r="A139" s="98" t="n">
        <v>47256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Table5[[#This Row],[ (T/B) SAR]]+Table5[[#This Row],[ (S/S) SAR]]</f>
        <v/>
      </c>
      <c r="L139" s="45" t="n"/>
      <c r="M139" s="46" t="n"/>
      <c r="N139" s="46" t="n"/>
      <c r="O139" s="40" t="n"/>
      <c r="P139" s="3">
        <f>Table5[[#This Row],[ (S/S) SAR]]-Table5[[#This Row],[(S/S) AJD]]</f>
        <v/>
      </c>
      <c r="Q139" s="40" t="n"/>
      <c r="R139" s="3">
        <f>Table5[[#This Row],[ (T/B) SAR]]-Table5[[#This Row],[(T/B) AJD]]</f>
        <v/>
      </c>
      <c r="S139" s="3">
        <f>Table5[[#This Row],[S/S_CON.]]+Table5[[#This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Table5[[#This Row],[(RESV. STORGE) AJD]]/10</f>
        <v/>
      </c>
      <c r="AB139" s="3">
        <f>IF(TRIM(Z139)="",,(Z139-Z138)/1000)</f>
        <v/>
      </c>
      <c r="AC139" s="5" t="n"/>
      <c r="AD139" s="40">
        <f>(Table5[[#This Row],[( S/S+T/B) AJD]]*1000)-((Table5[[#This Row],[(STORGE DIFF.) AJD]]*1000)+Table5[[#This Row],[AJD_Evaporation]]+(Table5[[#This Row],[(A/B + A/S) AJD]]*1000))</f>
        <v/>
      </c>
      <c r="AE139" s="44" t="n"/>
      <c r="AF139" s="45" t="n"/>
      <c r="AG139" s="45" t="n"/>
      <c r="AH139" s="6">
        <f>Table5[[#This Row],[ (RESV. STORGE) BER]]/10</f>
        <v/>
      </c>
      <c r="AI139" s="44" t="n"/>
      <c r="AJ139" s="44">
        <f>Table5[[#This Row],[(A/B) AJD]]-Table5[[#This Row],[BER_IN]]</f>
        <v/>
      </c>
      <c r="AK139" s="45" t="n"/>
      <c r="AL139" s="45" t="n"/>
      <c r="AM139" s="32" t="n"/>
      <c r="AN139" s="32">
        <f>Table5[[#This Row],[ (RESV. STORGE) SER]]/10</f>
        <v/>
      </c>
      <c r="AO139" s="68" t="n"/>
      <c r="AP139" s="100">
        <f>Table5[[#This Row],[(A/S) AJD]]-Table5[[#This Row],[SER_IN]]</f>
        <v/>
      </c>
    </row>
    <row r="140" ht="18.75" customHeight="1">
      <c r="A140" s="98" t="n">
        <v>47257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Table5[[#This Row],[ (T/B) SAR]]+Table5[[#This Row],[ (S/S) SAR]]</f>
        <v/>
      </c>
      <c r="L140" s="41" t="n"/>
      <c r="M140" s="42" t="n"/>
      <c r="N140" s="42" t="n"/>
      <c r="O140" s="39" t="n"/>
      <c r="P140" s="3">
        <f>Table5[[#This Row],[ (S/S) SAR]]-Table5[[#This Row],[(S/S) AJD]]</f>
        <v/>
      </c>
      <c r="Q140" s="39" t="n"/>
      <c r="R140" s="3">
        <f>Table5[[#This Row],[ (T/B) SAR]]-Table5[[#This Row],[(T/B) AJD]]</f>
        <v/>
      </c>
      <c r="S140" s="3">
        <f>Table5[[#This Row],[S/S_CON.]]+Table5[[#This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Table5[[#This Row],[(RESV. STORGE) AJD]]/10</f>
        <v/>
      </c>
      <c r="AB140" s="3">
        <f>IF(TRIM(Z140)="",,(Z140-Z139)/1000)</f>
        <v/>
      </c>
      <c r="AC140" s="5" t="n"/>
      <c r="AD140" s="39">
        <f>(Table5[[#This Row],[( S/S+T/B) AJD]]*1000)-((Table5[[#This Row],[(STORGE DIFF.) AJD]]*1000)+Table5[[#This Row],[AJD_Evaporation]]+(Table5[[#This Row],[(A/B + A/S) AJD]]*1000))</f>
        <v/>
      </c>
      <c r="AE140" s="41" t="n"/>
      <c r="AF140" s="43" t="n"/>
      <c r="AG140" s="43" t="n"/>
      <c r="AH140" s="6">
        <f>Table5[[#This Row],[ (RESV. STORGE) BER]]/10</f>
        <v/>
      </c>
      <c r="AI140" s="41" t="n"/>
      <c r="AJ140" s="41">
        <f>Table5[[#This Row],[(A/B) AJD]]-Table5[[#This Row],[BER_IN]]</f>
        <v/>
      </c>
      <c r="AK140" s="43" t="n"/>
      <c r="AL140" s="43" t="n"/>
      <c r="AM140" s="32" t="n"/>
      <c r="AN140" s="32">
        <f>Table5[[#This Row],[ (RESV. STORGE) SER]]/10</f>
        <v/>
      </c>
      <c r="AO140" s="68" t="n"/>
      <c r="AP140" s="100">
        <f>Table5[[#This Row],[(A/S) AJD]]-Table5[[#This Row],[SER_IN]]</f>
        <v/>
      </c>
    </row>
    <row r="141" ht="18.75" customHeight="1">
      <c r="A141" s="98" t="n">
        <v>47258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Table5[[#This Row],[ (T/B) SAR]]+Table5[[#This Row],[ (S/S) SAR]]</f>
        <v/>
      </c>
      <c r="L141" s="45" t="n"/>
      <c r="M141" s="46" t="n"/>
      <c r="N141" s="46" t="n"/>
      <c r="O141" s="40" t="n"/>
      <c r="P141" s="3">
        <f>Table5[[#This Row],[ (S/S) SAR]]-Table5[[#This Row],[(S/S) AJD]]</f>
        <v/>
      </c>
      <c r="Q141" s="40" t="n"/>
      <c r="R141" s="3">
        <f>Table5[[#This Row],[ (T/B) SAR]]-Table5[[#This Row],[(T/B) AJD]]</f>
        <v/>
      </c>
      <c r="S141" s="3">
        <f>Table5[[#This Row],[S/S_CON.]]+Table5[[#This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Table5[[#This Row],[(RESV. STORGE) AJD]]/10</f>
        <v/>
      </c>
      <c r="AB141" s="3">
        <f>IF(TRIM(Z141)="",,(Z141-Z140)/1000)</f>
        <v/>
      </c>
      <c r="AC141" s="5" t="n"/>
      <c r="AD141" s="40">
        <f>(Table5[[#This Row],[( S/S+T/B) AJD]]*1000)-((Table5[[#This Row],[(STORGE DIFF.) AJD]]*1000)+Table5[[#This Row],[AJD_Evaporation]]+(Table5[[#This Row],[(A/B + A/S) AJD]]*1000))</f>
        <v/>
      </c>
      <c r="AE141" s="44" t="n"/>
      <c r="AF141" s="45" t="n"/>
      <c r="AG141" s="45" t="n"/>
      <c r="AH141" s="6">
        <f>Table5[[#This Row],[ (RESV. STORGE) BER]]/10</f>
        <v/>
      </c>
      <c r="AI141" s="44" t="n"/>
      <c r="AJ141" s="44">
        <f>Table5[[#This Row],[(A/B) AJD]]-Table5[[#This Row],[BER_IN]]</f>
        <v/>
      </c>
      <c r="AK141" s="45" t="n"/>
      <c r="AL141" s="45" t="n"/>
      <c r="AM141" s="32" t="n"/>
      <c r="AN141" s="32">
        <f>Table5[[#This Row],[ (RESV. STORGE) SER]]/10</f>
        <v/>
      </c>
      <c r="AO141" s="68" t="n"/>
      <c r="AP141" s="100">
        <f>Table5[[#This Row],[(A/S) AJD]]-Table5[[#This Row],[SER_IN]]</f>
        <v/>
      </c>
    </row>
    <row r="142" ht="18.75" customHeight="1">
      <c r="A142" s="98" t="n">
        <v>47259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Table5[[#This Row],[ (T/B) SAR]]+Table5[[#This Row],[ (S/S) SAR]]</f>
        <v/>
      </c>
      <c r="L142" s="41" t="n"/>
      <c r="M142" s="42" t="n"/>
      <c r="N142" s="42" t="n"/>
      <c r="O142" s="39" t="n"/>
      <c r="P142" s="3">
        <f>Table5[[#This Row],[ (S/S) SAR]]-Table5[[#This Row],[(S/S) AJD]]</f>
        <v/>
      </c>
      <c r="Q142" s="39" t="n"/>
      <c r="R142" s="3">
        <f>Table5[[#This Row],[ (T/B) SAR]]-Table5[[#This Row],[(T/B) AJD]]</f>
        <v/>
      </c>
      <c r="S142" s="3">
        <f>Table5[[#This Row],[S/S_CON.]]+Table5[[#This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Table5[[#This Row],[(RESV. STORGE) AJD]]/10</f>
        <v/>
      </c>
      <c r="AB142" s="3">
        <f>IF(TRIM(Z142)="",,(Z142-Z141)/1000)</f>
        <v/>
      </c>
      <c r="AC142" s="5" t="n"/>
      <c r="AD142" s="39">
        <f>(Table5[[#This Row],[( S/S+T/B) AJD]]*1000)-((Table5[[#This Row],[(STORGE DIFF.) AJD]]*1000)+Table5[[#This Row],[AJD_Evaporation]]+(Table5[[#This Row],[(A/B + A/S) AJD]]*1000))</f>
        <v/>
      </c>
      <c r="AE142" s="41" t="n"/>
      <c r="AF142" s="43" t="n"/>
      <c r="AG142" s="43" t="n"/>
      <c r="AH142" s="6">
        <f>Table5[[#This Row],[ (RESV. STORGE) BER]]/10</f>
        <v/>
      </c>
      <c r="AI142" s="41" t="n"/>
      <c r="AJ142" s="41">
        <f>Table5[[#This Row],[(A/B) AJD]]-Table5[[#This Row],[BER_IN]]</f>
        <v/>
      </c>
      <c r="AK142" s="43" t="n"/>
      <c r="AL142" s="43" t="n"/>
      <c r="AM142" s="32" t="n"/>
      <c r="AN142" s="32">
        <f>Table5[[#This Row],[ (RESV. STORGE) SER]]/10</f>
        <v/>
      </c>
      <c r="AO142" s="68" t="n"/>
      <c r="AP142" s="100">
        <f>Table5[[#This Row],[(A/S) AJD]]-Table5[[#This Row],[SER_IN]]</f>
        <v/>
      </c>
    </row>
    <row r="143" ht="18.75" customHeight="1">
      <c r="A143" s="98" t="n">
        <v>47260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Table5[[#This Row],[ (T/B) SAR]]+Table5[[#This Row],[ (S/S) SAR]]</f>
        <v/>
      </c>
      <c r="L143" s="45" t="n"/>
      <c r="M143" s="46" t="n"/>
      <c r="N143" s="46" t="n"/>
      <c r="O143" s="40" t="n"/>
      <c r="P143" s="3">
        <f>Table5[[#This Row],[ (S/S) SAR]]-Table5[[#This Row],[(S/S) AJD]]</f>
        <v/>
      </c>
      <c r="Q143" s="40" t="n"/>
      <c r="R143" s="3">
        <f>Table5[[#This Row],[ (T/B) SAR]]-Table5[[#This Row],[(T/B) AJD]]</f>
        <v/>
      </c>
      <c r="S143" s="3">
        <f>Table5[[#This Row],[S/S_CON.]]+Table5[[#This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Table5[[#This Row],[(RESV. STORGE) AJD]]/10</f>
        <v/>
      </c>
      <c r="AB143" s="3">
        <f>IF(TRIM(Z143)="",,(Z143-Z142)/1000)</f>
        <v/>
      </c>
      <c r="AC143" s="5" t="n"/>
      <c r="AD143" s="40">
        <f>(Table5[[#This Row],[( S/S+T/B) AJD]]*1000)-((Table5[[#This Row],[(STORGE DIFF.) AJD]]*1000)+Table5[[#This Row],[AJD_Evaporation]]+(Table5[[#This Row],[(A/B + A/S) AJD]]*1000))</f>
        <v/>
      </c>
      <c r="AE143" s="44" t="n"/>
      <c r="AF143" s="45" t="n"/>
      <c r="AG143" s="45" t="n"/>
      <c r="AH143" s="6">
        <f>Table5[[#This Row],[ (RESV. STORGE) BER]]/10</f>
        <v/>
      </c>
      <c r="AI143" s="44" t="n"/>
      <c r="AJ143" s="44">
        <f>Table5[[#This Row],[(A/B) AJD]]-Table5[[#This Row],[BER_IN]]</f>
        <v/>
      </c>
      <c r="AK143" s="45" t="n"/>
      <c r="AL143" s="45" t="n"/>
      <c r="AM143" s="32" t="n"/>
      <c r="AN143" s="32">
        <f>Table5[[#This Row],[ (RESV. STORGE) SER]]/10</f>
        <v/>
      </c>
      <c r="AO143" s="68" t="n"/>
      <c r="AP143" s="100">
        <f>Table5[[#This Row],[(A/S) AJD]]-Table5[[#This Row],[SER_IN]]</f>
        <v/>
      </c>
    </row>
    <row r="144" ht="18.75" customHeight="1">
      <c r="A144" s="98" t="n">
        <v>47261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Table5[[#This Row],[ (T/B) SAR]]+Table5[[#This Row],[ (S/S) SAR]]</f>
        <v/>
      </c>
      <c r="L144" s="41" t="n"/>
      <c r="M144" s="42" t="n"/>
      <c r="N144" s="42" t="n"/>
      <c r="O144" s="39" t="n"/>
      <c r="P144" s="3">
        <f>Table5[[#This Row],[ (S/S) SAR]]-Table5[[#This Row],[(S/S) AJD]]</f>
        <v/>
      </c>
      <c r="Q144" s="39" t="n"/>
      <c r="R144" s="3">
        <f>Table5[[#This Row],[ (T/B) SAR]]-Table5[[#This Row],[(T/B) AJD]]</f>
        <v/>
      </c>
      <c r="S144" s="3">
        <f>Table5[[#This Row],[S/S_CON.]]+Table5[[#This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Table5[[#This Row],[(RESV. STORGE) AJD]]/10</f>
        <v/>
      </c>
      <c r="AB144" s="3">
        <f>IF(TRIM(Z144)="",,(Z144-Z143)/1000)</f>
        <v/>
      </c>
      <c r="AC144" s="5" t="n"/>
      <c r="AD144" s="39">
        <f>(Table5[[#This Row],[( S/S+T/B) AJD]]*1000)-((Table5[[#This Row],[(STORGE DIFF.) AJD]]*1000)+Table5[[#This Row],[AJD_Evaporation]]+(Table5[[#This Row],[(A/B + A/S) AJD]]*1000))</f>
        <v/>
      </c>
      <c r="AE144" s="41" t="n"/>
      <c r="AF144" s="43" t="n"/>
      <c r="AG144" s="43" t="n"/>
      <c r="AH144" s="6">
        <f>Table5[[#This Row],[ (RESV. STORGE) BER]]/10</f>
        <v/>
      </c>
      <c r="AI144" s="41" t="n"/>
      <c r="AJ144" s="41">
        <f>Table5[[#This Row],[(A/B) AJD]]-Table5[[#This Row],[BER_IN]]</f>
        <v/>
      </c>
      <c r="AK144" s="43" t="n"/>
      <c r="AL144" s="43" t="n"/>
      <c r="AM144" s="32" t="n"/>
      <c r="AN144" s="32">
        <f>Table5[[#This Row],[ (RESV. STORGE) SER]]/10</f>
        <v/>
      </c>
      <c r="AO144" s="68" t="n"/>
      <c r="AP144" s="100">
        <f>Table5[[#This Row],[(A/S) AJD]]-Table5[[#This Row],[SER_IN]]</f>
        <v/>
      </c>
    </row>
    <row r="145" ht="18.75" customHeight="1">
      <c r="A145" s="98" t="n">
        <v>47262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Table5[[#This Row],[ (T/B) SAR]]+Table5[[#This Row],[ (S/S) SAR]]</f>
        <v/>
      </c>
      <c r="L145" s="45" t="n"/>
      <c r="M145" s="46" t="n"/>
      <c r="N145" s="46" t="n"/>
      <c r="O145" s="40" t="n"/>
      <c r="P145" s="3">
        <f>Table5[[#This Row],[ (S/S) SAR]]-Table5[[#This Row],[(S/S) AJD]]</f>
        <v/>
      </c>
      <c r="Q145" s="40" t="n"/>
      <c r="R145" s="3">
        <f>Table5[[#This Row],[ (T/B) SAR]]-Table5[[#This Row],[(T/B) AJD]]</f>
        <v/>
      </c>
      <c r="S145" s="3">
        <f>Table5[[#This Row],[S/S_CON.]]+Table5[[#This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Table5[[#This Row],[(RESV. STORGE) AJD]]/10</f>
        <v/>
      </c>
      <c r="AB145" s="3">
        <f>IF(TRIM(Z145)="",,(Z145-Z144)/1000)</f>
        <v/>
      </c>
      <c r="AC145" s="5" t="n"/>
      <c r="AD145" s="40">
        <f>(Table5[[#This Row],[( S/S+T/B) AJD]]*1000)-((Table5[[#This Row],[(STORGE DIFF.) AJD]]*1000)+Table5[[#This Row],[AJD_Evaporation]]+(Table5[[#This Row],[(A/B + A/S) AJD]]*1000))</f>
        <v/>
      </c>
      <c r="AE145" s="44" t="n"/>
      <c r="AF145" s="45" t="n"/>
      <c r="AG145" s="45" t="n"/>
      <c r="AH145" s="6">
        <f>Table5[[#This Row],[ (RESV. STORGE) BER]]/10</f>
        <v/>
      </c>
      <c r="AI145" s="44" t="n"/>
      <c r="AJ145" s="44">
        <f>Table5[[#This Row],[(A/B) AJD]]-Table5[[#This Row],[BER_IN]]</f>
        <v/>
      </c>
      <c r="AK145" s="45" t="n"/>
      <c r="AL145" s="45" t="n"/>
      <c r="AM145" s="32" t="n"/>
      <c r="AN145" s="32">
        <f>Table5[[#This Row],[ (RESV. STORGE) SER]]/10</f>
        <v/>
      </c>
      <c r="AO145" s="68" t="n"/>
      <c r="AP145" s="100">
        <f>Table5[[#This Row],[(A/S) AJD]]-Table5[[#This Row],[SER_IN]]</f>
        <v/>
      </c>
    </row>
    <row r="146" ht="18.75" customHeight="1">
      <c r="A146" s="98" t="n">
        <v>47263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Table5[[#This Row],[ (T/B) SAR]]+Table5[[#This Row],[ (S/S) SAR]]</f>
        <v/>
      </c>
      <c r="L146" s="41" t="n"/>
      <c r="M146" s="42" t="n"/>
      <c r="N146" s="42" t="n"/>
      <c r="O146" s="39" t="n"/>
      <c r="P146" s="3">
        <f>Table5[[#This Row],[ (S/S) SAR]]-Table5[[#This Row],[(S/S) AJD]]</f>
        <v/>
      </c>
      <c r="Q146" s="39" t="n"/>
      <c r="R146" s="3">
        <f>Table5[[#This Row],[ (T/B) SAR]]-Table5[[#This Row],[(T/B) AJD]]</f>
        <v/>
      </c>
      <c r="S146" s="3">
        <f>Table5[[#This Row],[S/S_CON.]]+Table5[[#This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Table5[[#This Row],[(RESV. STORGE) AJD]]/10</f>
        <v/>
      </c>
      <c r="AB146" s="3">
        <f>IF(TRIM(Z146)="",,(Z146-Z145)/1000)</f>
        <v/>
      </c>
      <c r="AC146" s="5" t="n"/>
      <c r="AD146" s="39">
        <f>(Table5[[#This Row],[( S/S+T/B) AJD]]*1000)-((Table5[[#This Row],[(STORGE DIFF.) AJD]]*1000)+Table5[[#This Row],[AJD_Evaporation]]+(Table5[[#This Row],[(A/B + A/S) AJD]]*1000))</f>
        <v/>
      </c>
      <c r="AE146" s="41" t="n"/>
      <c r="AF146" s="43" t="n"/>
      <c r="AG146" s="43" t="n"/>
      <c r="AH146" s="6">
        <f>Table5[[#This Row],[ (RESV. STORGE) BER]]/10</f>
        <v/>
      </c>
      <c r="AI146" s="41" t="n"/>
      <c r="AJ146" s="41">
        <f>Table5[[#This Row],[(A/B) AJD]]-Table5[[#This Row],[BER_IN]]</f>
        <v/>
      </c>
      <c r="AK146" s="43" t="n"/>
      <c r="AL146" s="43" t="n"/>
      <c r="AM146" s="32" t="n"/>
      <c r="AN146" s="32">
        <f>Table5[[#This Row],[ (RESV. STORGE) SER]]/10</f>
        <v/>
      </c>
      <c r="AO146" s="68" t="n"/>
      <c r="AP146" s="100">
        <f>Table5[[#This Row],[(A/S) AJD]]-Table5[[#This Row],[SER_IN]]</f>
        <v/>
      </c>
    </row>
    <row r="147" ht="18.75" customHeight="1">
      <c r="A147" s="98" t="n">
        <v>47264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Table5[[#This Row],[ (T/B) SAR]]+Table5[[#This Row],[ (S/S) SAR]]</f>
        <v/>
      </c>
      <c r="L147" s="45" t="n"/>
      <c r="M147" s="46" t="n"/>
      <c r="N147" s="46" t="n"/>
      <c r="O147" s="40" t="n"/>
      <c r="P147" s="3">
        <f>Table5[[#This Row],[ (S/S) SAR]]-Table5[[#This Row],[(S/S) AJD]]</f>
        <v/>
      </c>
      <c r="Q147" s="40" t="n"/>
      <c r="R147" s="3">
        <f>Table5[[#This Row],[ (T/B) SAR]]-Table5[[#This Row],[(T/B) AJD]]</f>
        <v/>
      </c>
      <c r="S147" s="3">
        <f>Table5[[#This Row],[S/S_CON.]]+Table5[[#This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Table5[[#This Row],[(RESV. STORGE) AJD]]/10</f>
        <v/>
      </c>
      <c r="AB147" s="3">
        <f>IF(TRIM(Z147)="",,(Z147-Z146)/1000)</f>
        <v/>
      </c>
      <c r="AC147" s="5" t="n"/>
      <c r="AD147" s="40">
        <f>(Table5[[#This Row],[( S/S+T/B) AJD]]*1000)-((Table5[[#This Row],[(STORGE DIFF.) AJD]]*1000)+Table5[[#This Row],[AJD_Evaporation]]+(Table5[[#This Row],[(A/B + A/S) AJD]]*1000))</f>
        <v/>
      </c>
      <c r="AE147" s="44" t="n"/>
      <c r="AF147" s="45" t="n"/>
      <c r="AG147" s="45" t="n"/>
      <c r="AH147" s="6">
        <f>Table5[[#This Row],[ (RESV. STORGE) BER]]/10</f>
        <v/>
      </c>
      <c r="AI147" s="44" t="n"/>
      <c r="AJ147" s="44">
        <f>Table5[[#This Row],[(A/B) AJD]]-Table5[[#This Row],[BER_IN]]</f>
        <v/>
      </c>
      <c r="AK147" s="45" t="n"/>
      <c r="AL147" s="45" t="n"/>
      <c r="AM147" s="32" t="n"/>
      <c r="AN147" s="32">
        <f>Table5[[#This Row],[ (RESV. STORGE) SER]]/10</f>
        <v/>
      </c>
      <c r="AO147" s="68" t="n"/>
      <c r="AP147" s="100">
        <f>Table5[[#This Row],[(A/S) AJD]]-Table5[[#This Row],[SER_IN]]</f>
        <v/>
      </c>
    </row>
    <row r="148" ht="18.75" customHeight="1">
      <c r="A148" s="98" t="n">
        <v>47265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Table5[[#This Row],[ (T/B) SAR]]+Table5[[#This Row],[ (S/S) SAR]]</f>
        <v/>
      </c>
      <c r="L148" s="41" t="n"/>
      <c r="M148" s="42" t="n"/>
      <c r="N148" s="42" t="n"/>
      <c r="O148" s="39" t="n"/>
      <c r="P148" s="3">
        <f>Table5[[#This Row],[ (S/S) SAR]]-Table5[[#This Row],[(S/S) AJD]]</f>
        <v/>
      </c>
      <c r="Q148" s="39" t="n"/>
      <c r="R148" s="3">
        <f>Table5[[#This Row],[ (T/B) SAR]]-Table5[[#This Row],[(T/B) AJD]]</f>
        <v/>
      </c>
      <c r="S148" s="3">
        <f>Table5[[#This Row],[S/S_CON.]]+Table5[[#This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Table5[[#This Row],[(RESV. STORGE) AJD]]/10</f>
        <v/>
      </c>
      <c r="AB148" s="3">
        <f>IF(TRIM(Z148)="",,(Z148-Z147)/1000)</f>
        <v/>
      </c>
      <c r="AC148" s="5" t="n"/>
      <c r="AD148" s="39">
        <f>(Table5[[#This Row],[( S/S+T/B) AJD]]*1000)-((Table5[[#This Row],[(STORGE DIFF.) AJD]]*1000)+Table5[[#This Row],[AJD_Evaporation]]+(Table5[[#This Row],[(A/B + A/S) AJD]]*1000))</f>
        <v/>
      </c>
      <c r="AE148" s="41" t="n"/>
      <c r="AF148" s="43" t="n"/>
      <c r="AG148" s="43" t="n"/>
      <c r="AH148" s="6">
        <f>Table5[[#This Row],[ (RESV. STORGE) BER]]/10</f>
        <v/>
      </c>
      <c r="AI148" s="41" t="n"/>
      <c r="AJ148" s="41">
        <f>Table5[[#This Row],[(A/B) AJD]]-Table5[[#This Row],[BER_IN]]</f>
        <v/>
      </c>
      <c r="AK148" s="43" t="n"/>
      <c r="AL148" s="43" t="n"/>
      <c r="AM148" s="32" t="n"/>
      <c r="AN148" s="32">
        <f>Table5[[#This Row],[ (RESV. STORGE) SER]]/10</f>
        <v/>
      </c>
      <c r="AO148" s="68" t="n"/>
      <c r="AP148" s="100">
        <f>Table5[[#This Row],[(A/S) AJD]]-Table5[[#This Row],[SER_IN]]</f>
        <v/>
      </c>
    </row>
    <row r="149" ht="18.75" customHeight="1">
      <c r="A149" s="98" t="n">
        <v>47266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Table5[[#This Row],[ (T/B) SAR]]+Table5[[#This Row],[ (S/S) SAR]]</f>
        <v/>
      </c>
      <c r="L149" s="45" t="n"/>
      <c r="M149" s="46" t="n"/>
      <c r="N149" s="46" t="n"/>
      <c r="O149" s="40" t="n"/>
      <c r="P149" s="3">
        <f>Table5[[#This Row],[ (S/S) SAR]]-Table5[[#This Row],[(S/S) AJD]]</f>
        <v/>
      </c>
      <c r="Q149" s="40" t="n"/>
      <c r="R149" s="3">
        <f>Table5[[#This Row],[ (T/B) SAR]]-Table5[[#This Row],[(T/B) AJD]]</f>
        <v/>
      </c>
      <c r="S149" s="3">
        <f>Table5[[#This Row],[S/S_CON.]]+Table5[[#This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Table5[[#This Row],[(RESV. STORGE) AJD]]/10</f>
        <v/>
      </c>
      <c r="AB149" s="3">
        <f>IF(TRIM(Z149)="",,(Z149-Z148)/1000)</f>
        <v/>
      </c>
      <c r="AC149" s="5" t="n"/>
      <c r="AD149" s="40">
        <f>(Table5[[#This Row],[( S/S+T/B) AJD]]*1000)-((Table5[[#This Row],[(STORGE DIFF.) AJD]]*1000)+Table5[[#This Row],[AJD_Evaporation]]+(Table5[[#This Row],[(A/B + A/S) AJD]]*1000))</f>
        <v/>
      </c>
      <c r="AE149" s="44" t="n"/>
      <c r="AF149" s="45" t="n"/>
      <c r="AG149" s="45" t="n"/>
      <c r="AH149" s="6">
        <f>Table5[[#This Row],[ (RESV. STORGE) BER]]/10</f>
        <v/>
      </c>
      <c r="AI149" s="44" t="n"/>
      <c r="AJ149" s="44">
        <f>Table5[[#This Row],[(A/B) AJD]]-Table5[[#This Row],[BER_IN]]</f>
        <v/>
      </c>
      <c r="AK149" s="45" t="n"/>
      <c r="AL149" s="45" t="n"/>
      <c r="AM149" s="32" t="n"/>
      <c r="AN149" s="32">
        <f>Table5[[#This Row],[ (RESV. STORGE) SER]]/10</f>
        <v/>
      </c>
      <c r="AO149" s="68" t="n"/>
      <c r="AP149" s="100">
        <f>Table5[[#This Row],[(A/S) AJD]]-Table5[[#This Row],[SER_IN]]</f>
        <v/>
      </c>
    </row>
    <row r="150" ht="18.75" customHeight="1">
      <c r="A150" s="98" t="n">
        <v>47267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Table5[[#This Row],[ (T/B) SAR]]+Table5[[#This Row],[ (S/S) SAR]]</f>
        <v/>
      </c>
      <c r="L150" s="41" t="n"/>
      <c r="M150" s="42" t="n"/>
      <c r="N150" s="42" t="n"/>
      <c r="O150" s="39" t="n"/>
      <c r="P150" s="3">
        <f>Table5[[#This Row],[ (S/S) SAR]]-Table5[[#This Row],[(S/S) AJD]]</f>
        <v/>
      </c>
      <c r="Q150" s="39" t="n"/>
      <c r="R150" s="3">
        <f>Table5[[#This Row],[ (T/B) SAR]]-Table5[[#This Row],[(T/B) AJD]]</f>
        <v/>
      </c>
      <c r="S150" s="3">
        <f>Table5[[#This Row],[S/S_CON.]]+Table5[[#This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Table5[[#This Row],[(RESV. STORGE) AJD]]/10</f>
        <v/>
      </c>
      <c r="AB150" s="3">
        <f>IF(TRIM(Z150)="",,(Z150-Z149)/1000)</f>
        <v/>
      </c>
      <c r="AC150" s="5" t="n"/>
      <c r="AD150" s="39">
        <f>(Table5[[#This Row],[( S/S+T/B) AJD]]*1000)-((Table5[[#This Row],[(STORGE DIFF.) AJD]]*1000)+Table5[[#This Row],[AJD_Evaporation]]+(Table5[[#This Row],[(A/B + A/S) AJD]]*1000))</f>
        <v/>
      </c>
      <c r="AE150" s="41" t="n"/>
      <c r="AF150" s="43" t="n"/>
      <c r="AG150" s="43" t="n"/>
      <c r="AH150" s="6">
        <f>Table5[[#This Row],[ (RESV. STORGE) BER]]/10</f>
        <v/>
      </c>
      <c r="AI150" s="41" t="n"/>
      <c r="AJ150" s="41">
        <f>Table5[[#This Row],[(A/B) AJD]]-Table5[[#This Row],[BER_IN]]</f>
        <v/>
      </c>
      <c r="AK150" s="43" t="n"/>
      <c r="AL150" s="43" t="n"/>
      <c r="AM150" s="32" t="n"/>
      <c r="AN150" s="32">
        <f>Table5[[#This Row],[ (RESV. STORGE) SER]]/10</f>
        <v/>
      </c>
      <c r="AO150" s="68" t="n"/>
      <c r="AP150" s="100">
        <f>Table5[[#This Row],[(A/S) AJD]]-Table5[[#This Row],[SER_IN]]</f>
        <v/>
      </c>
    </row>
    <row r="151" ht="18.75" customHeight="1">
      <c r="A151" s="98" t="n">
        <v>47268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Table5[[#This Row],[ (T/B) SAR]]+Table5[[#This Row],[ (S/S) SAR]]</f>
        <v/>
      </c>
      <c r="L151" s="45" t="n"/>
      <c r="M151" s="46" t="n"/>
      <c r="N151" s="46" t="n"/>
      <c r="O151" s="40" t="n"/>
      <c r="P151" s="3">
        <f>Table5[[#This Row],[ (S/S) SAR]]-Table5[[#This Row],[(S/S) AJD]]</f>
        <v/>
      </c>
      <c r="Q151" s="40" t="n"/>
      <c r="R151" s="3">
        <f>Table5[[#This Row],[ (T/B) SAR]]-Table5[[#This Row],[(T/B) AJD]]</f>
        <v/>
      </c>
      <c r="S151" s="3">
        <f>Table5[[#This Row],[S/S_CON.]]+Table5[[#This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Table5[[#This Row],[(RESV. STORGE) AJD]]/10</f>
        <v/>
      </c>
      <c r="AB151" s="3">
        <f>IF(TRIM(Z151)="",,(Z151-Z150)/1000)</f>
        <v/>
      </c>
      <c r="AC151" s="5" t="n"/>
      <c r="AD151" s="70">
        <f>(Table5[[#This Row],[( S/S+T/B) AJD]]*1000)-((Table5[[#This Row],[(STORGE DIFF.) AJD]]*1000)+Table5[[#This Row],[AJD_Evaporation]]+(Table5[[#This Row],[(A/B + A/S) AJD]]*1000))</f>
        <v/>
      </c>
      <c r="AE151" s="44" t="n"/>
      <c r="AF151" s="45" t="n"/>
      <c r="AG151" s="45" t="n"/>
      <c r="AH151" s="6">
        <f>Table5[[#This Row],[ (RESV. STORGE) BER]]/10</f>
        <v/>
      </c>
      <c r="AI151" s="44" t="n"/>
      <c r="AJ151" s="67">
        <f>Table5[[#This Row],[(A/B) AJD]]-Table5[[#This Row],[BER_IN]]</f>
        <v/>
      </c>
      <c r="AK151" s="45" t="n"/>
      <c r="AL151" s="45" t="n"/>
      <c r="AM151" s="32" t="n"/>
      <c r="AN151" s="32">
        <f>Table5[[#This Row],[ (RESV. STORGE) SER]]/10</f>
        <v/>
      </c>
      <c r="AO151" s="68" t="n"/>
      <c r="AP151" s="100">
        <f>Table5[[#This Row],[(A/S) AJD]]-Table5[[#This Row],[SER_IN]]</f>
        <v/>
      </c>
    </row>
    <row r="152" ht="18.75" customHeight="1">
      <c r="A152" s="98" t="n">
        <v>47269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Table5[[#This Row],[ (T/B) SAR]]+Table5[[#This Row],[ (S/S) SAR]]</f>
        <v/>
      </c>
      <c r="L152" s="41" t="n"/>
      <c r="M152" s="42" t="n"/>
      <c r="N152" s="42" t="n"/>
      <c r="O152" s="39" t="n"/>
      <c r="P152" s="3">
        <f>Table5[[#This Row],[ (S/S) SAR]]-Table5[[#This Row],[(S/S) AJD]]</f>
        <v/>
      </c>
      <c r="Q152" s="39" t="n"/>
      <c r="R152" s="3">
        <f>Table5[[#This Row],[ (T/B) SAR]]-Table5[[#This Row],[(T/B) AJD]]</f>
        <v/>
      </c>
      <c r="S152" s="3">
        <f>Table5[[#This Row],[S/S_CON.]]+Table5[[#This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Table5[[#This Row],[(RESV. STORGE) AJD]]/10</f>
        <v/>
      </c>
      <c r="AB152" s="3">
        <f>IF(TRIM(Z152)="",,(Z152-Z151)/1000)</f>
        <v/>
      </c>
      <c r="AC152" s="5" t="n"/>
      <c r="AD152" s="39">
        <f>(Table5[[#This Row],[( S/S+T/B) AJD]]*1000)-((Table5[[#This Row],[(STORGE DIFF.) AJD]]*1000)+Table5[[#This Row],[AJD_Evaporation]]+(Table5[[#This Row],[(A/B + A/S) AJD]]*1000))</f>
        <v/>
      </c>
      <c r="AE152" s="41" t="n"/>
      <c r="AF152" s="43" t="n"/>
      <c r="AG152" s="43" t="n"/>
      <c r="AH152" s="6">
        <f>Table5[[#This Row],[ (RESV. STORGE) BER]]/10</f>
        <v/>
      </c>
      <c r="AI152" s="41" t="n"/>
      <c r="AJ152" s="41">
        <f>Table5[[#This Row],[(A/B) AJD]]-Table5[[#This Row],[BER_IN]]</f>
        <v/>
      </c>
      <c r="AK152" s="43" t="n"/>
      <c r="AL152" s="43" t="n"/>
      <c r="AM152" s="32" t="n"/>
      <c r="AN152" s="32">
        <f>Table5[[#This Row],[ (RESV. STORGE) SER]]/10</f>
        <v/>
      </c>
      <c r="AO152" s="68" t="n"/>
      <c r="AP152" s="100">
        <f>Table5[[#This Row],[(A/S) AJD]]-Table5[[#This Row],[SER_IN]]</f>
        <v/>
      </c>
    </row>
    <row r="153" ht="18.75" customHeight="1">
      <c r="A153" s="98" t="n">
        <v>47270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Table5[[#This Row],[ (T/B) SAR]]+Table5[[#This Row],[ (S/S) SAR]]</f>
        <v/>
      </c>
      <c r="L153" s="41" t="n"/>
      <c r="M153" s="42" t="n"/>
      <c r="N153" s="42" t="n"/>
      <c r="O153" s="39" t="n"/>
      <c r="P153" s="10">
        <f>Table5[[#This Row],[ (S/S) SAR]]-Table5[[#This Row],[(S/S) AJD]]</f>
        <v/>
      </c>
      <c r="Q153" s="39" t="n"/>
      <c r="R153" s="10">
        <f>Table5[[#This Row],[ (T/B) SAR]]-Table5[[#This Row],[(T/B) AJD]]</f>
        <v/>
      </c>
      <c r="S153" s="10">
        <f>Table5[[#This Row],[S/S_CON.]]+Table5[[#This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Table5[[#This Row],[(RESV. STORGE) AJD]]/10</f>
        <v/>
      </c>
      <c r="AB153" s="3">
        <f>IF(TRIM(Z153)="",,(Z153-Z152)/1000)</f>
        <v/>
      </c>
      <c r="AC153" s="5" t="n"/>
      <c r="AD153" s="39">
        <f>(Table5[[#This Row],[( S/S+T/B) AJD]]*1000)-((Table5[[#This Row],[(STORGE DIFF.) AJD]]*1000)+Table5[[#This Row],[AJD_Evaporation]]+(Table5[[#This Row],[(A/B + A/S) AJD]]*1000))</f>
        <v/>
      </c>
      <c r="AE153" s="41" t="n"/>
      <c r="AF153" s="43" t="n"/>
      <c r="AG153" s="43" t="n"/>
      <c r="AH153" s="6">
        <f>Table5[[#This Row],[ (RESV. STORGE) BER]]/10</f>
        <v/>
      </c>
      <c r="AI153" s="41" t="n"/>
      <c r="AJ153" s="41">
        <f>Table5[[#This Row],[(A/B) AJD]]-Table5[[#This Row],[BER_IN]]</f>
        <v/>
      </c>
      <c r="AK153" s="43" t="n"/>
      <c r="AL153" s="43" t="n"/>
      <c r="AM153" s="32" t="n"/>
      <c r="AN153" s="32">
        <f>Table5[[#This Row],[ (RESV. STORGE) SER]]/10</f>
        <v/>
      </c>
      <c r="AO153" s="68" t="n"/>
      <c r="AP153" s="100">
        <f>Table5[[#This Row],[(A/S) AJD]]-Table5[[#This Row],[SER_IN]]</f>
        <v/>
      </c>
    </row>
    <row r="154" ht="18.75" customHeight="1">
      <c r="A154" s="98" t="n">
        <v>47271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Table5[[#This Row],[ (T/B) SAR]]+Table5[[#This Row],[ (S/S) SAR]]</f>
        <v/>
      </c>
      <c r="L154" s="45" t="n"/>
      <c r="M154" s="46" t="n"/>
      <c r="N154" s="46" t="n"/>
      <c r="O154" s="40" t="n"/>
      <c r="P154" s="10">
        <f>Table5[[#This Row],[ (S/S) SAR]]-Table5[[#This Row],[(S/S) AJD]]</f>
        <v/>
      </c>
      <c r="Q154" s="40" t="n"/>
      <c r="R154" s="10">
        <f>Table5[[#This Row],[ (T/B) SAR]]-Table5[[#This Row],[(T/B) AJD]]</f>
        <v/>
      </c>
      <c r="S154" s="10">
        <f>Table5[[#This Row],[S/S_CON.]]+Table5[[#This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Table5[[#This Row],[(RESV. STORGE) AJD]]/10</f>
        <v/>
      </c>
      <c r="AB154" s="3">
        <f>IF(TRIM(Z154)="",,(Z154-Z153)/1000)</f>
        <v/>
      </c>
      <c r="AC154" s="5" t="n"/>
      <c r="AD154" s="40">
        <f>(Table5[[#This Row],[( S/S+T/B) AJD]]*1000)-((Table5[[#This Row],[(STORGE DIFF.) AJD]]*1000)+Table5[[#This Row],[AJD_Evaporation]]+(Table5[[#This Row],[(A/B + A/S) AJD]]*1000))</f>
        <v/>
      </c>
      <c r="AE154" s="44" t="n"/>
      <c r="AF154" s="45" t="n"/>
      <c r="AG154" s="45" t="n"/>
      <c r="AH154" s="6">
        <f>Table5[[#This Row],[ (RESV. STORGE) BER]]/10</f>
        <v/>
      </c>
      <c r="AI154" s="44" t="n"/>
      <c r="AJ154" s="44">
        <f>Table5[[#This Row],[(A/B) AJD]]-Table5[[#This Row],[BER_IN]]</f>
        <v/>
      </c>
      <c r="AK154" s="45" t="n"/>
      <c r="AL154" s="45" t="n"/>
      <c r="AM154" s="32" t="n"/>
      <c r="AN154" s="32">
        <f>Table5[[#This Row],[ (RESV. STORGE) SER]]/10</f>
        <v/>
      </c>
      <c r="AO154" s="68" t="n"/>
      <c r="AP154" s="100">
        <f>Table5[[#This Row],[(A/S) AJD]]-Table5[[#This Row],[SER_IN]]</f>
        <v/>
      </c>
    </row>
    <row r="155" ht="18.75" customHeight="1">
      <c r="A155" s="98" t="n">
        <v>47272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Table5[[#This Row],[ (T/B) SAR]]+Table5[[#This Row],[ (S/S) SAR]]</f>
        <v/>
      </c>
      <c r="L155" s="41" t="n"/>
      <c r="M155" s="42" t="n"/>
      <c r="N155" s="42" t="n"/>
      <c r="O155" s="39" t="n"/>
      <c r="P155" s="10">
        <f>Table5[[#This Row],[ (S/S) SAR]]-Table5[[#This Row],[(S/S) AJD]]</f>
        <v/>
      </c>
      <c r="Q155" s="39" t="n"/>
      <c r="R155" s="10">
        <f>Table5[[#This Row],[ (T/B) SAR]]-Table5[[#This Row],[(T/B) AJD]]</f>
        <v/>
      </c>
      <c r="S155" s="10">
        <f>Table5[[#This Row],[S/S_CON.]]+Table5[[#This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Table5[[#This Row],[(RESV. STORGE) AJD]]/10</f>
        <v/>
      </c>
      <c r="AB155" s="3">
        <f>IF(TRIM(Z155)="",,(Z155-Z154)/1000)</f>
        <v/>
      </c>
      <c r="AC155" s="5" t="n"/>
      <c r="AD155" s="39">
        <f>(Table5[[#This Row],[( S/S+T/B) AJD]]*1000)-((Table5[[#This Row],[(STORGE DIFF.) AJD]]*1000)+Table5[[#This Row],[AJD_Evaporation]]+(Table5[[#This Row],[(A/B + A/S) AJD]]*1000))</f>
        <v/>
      </c>
      <c r="AE155" s="41" t="n"/>
      <c r="AF155" s="43" t="n"/>
      <c r="AG155" s="43" t="n"/>
      <c r="AH155" s="6">
        <f>Table5[[#This Row],[ (RESV. STORGE) BER]]/10</f>
        <v/>
      </c>
      <c r="AI155" s="41" t="n"/>
      <c r="AJ155" s="41">
        <f>Table5[[#This Row],[(A/B) AJD]]-Table5[[#This Row],[BER_IN]]</f>
        <v/>
      </c>
      <c r="AK155" s="43" t="n"/>
      <c r="AL155" s="43" t="n"/>
      <c r="AM155" s="32" t="n"/>
      <c r="AN155" s="32">
        <f>Table5[[#This Row],[ (RESV. STORGE) SER]]/10</f>
        <v/>
      </c>
      <c r="AO155" s="68" t="n"/>
      <c r="AP155" s="100">
        <f>Table5[[#This Row],[(A/S) AJD]]-Table5[[#This Row],[SER_IN]]</f>
        <v/>
      </c>
    </row>
    <row r="156" ht="18.75" customHeight="1">
      <c r="A156" s="98" t="n">
        <v>47273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Table5[[#This Row],[ (T/B) SAR]]+Table5[[#This Row],[ (S/S) SAR]]</f>
        <v/>
      </c>
      <c r="L156" s="45" t="n"/>
      <c r="M156" s="46" t="n"/>
      <c r="N156" s="46" t="n"/>
      <c r="O156" s="40" t="n"/>
      <c r="P156" s="10">
        <f>Table5[[#This Row],[ (S/S) SAR]]-Table5[[#This Row],[(S/S) AJD]]</f>
        <v/>
      </c>
      <c r="Q156" s="40" t="n"/>
      <c r="R156" s="10">
        <f>Table5[[#This Row],[ (T/B) SAR]]-Table5[[#This Row],[(T/B) AJD]]</f>
        <v/>
      </c>
      <c r="S156" s="10">
        <f>Table5[[#This Row],[S/S_CON.]]+Table5[[#This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Table5[[#This Row],[(RESV. STORGE) AJD]]/10</f>
        <v/>
      </c>
      <c r="AB156" s="3">
        <f>IF(TRIM(Z156)="",,(Z156-Z155)/1000)</f>
        <v/>
      </c>
      <c r="AC156" s="5" t="n"/>
      <c r="AD156" s="40">
        <f>(Table5[[#This Row],[( S/S+T/B) AJD]]*1000)-((Table5[[#This Row],[(STORGE DIFF.) AJD]]*1000)+Table5[[#This Row],[AJD_Evaporation]]+(Table5[[#This Row],[(A/B + A/S) AJD]]*1000))</f>
        <v/>
      </c>
      <c r="AE156" s="44" t="n"/>
      <c r="AF156" s="45" t="n"/>
      <c r="AG156" s="45" t="n"/>
      <c r="AH156" s="6">
        <f>Table5[[#This Row],[ (RESV. STORGE) BER]]/10</f>
        <v/>
      </c>
      <c r="AI156" s="44" t="n"/>
      <c r="AJ156" s="44">
        <f>Table5[[#This Row],[(A/B) AJD]]-Table5[[#This Row],[BER_IN]]</f>
        <v/>
      </c>
      <c r="AK156" s="45" t="n"/>
      <c r="AL156" s="45" t="n"/>
      <c r="AM156" s="32" t="n"/>
      <c r="AN156" s="32">
        <f>Table5[[#This Row],[ (RESV. STORGE) SER]]/10</f>
        <v/>
      </c>
      <c r="AO156" s="68" t="n"/>
      <c r="AP156" s="100">
        <f>Table5[[#This Row],[(A/S) AJD]]-Table5[[#This Row],[SER_IN]]</f>
        <v/>
      </c>
    </row>
    <row r="157" ht="18.75" customHeight="1">
      <c r="A157" s="98" t="n">
        <v>47274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Table5[[#This Row],[ (T/B) SAR]]+Table5[[#This Row],[ (S/S) SAR]]</f>
        <v/>
      </c>
      <c r="L157" s="41" t="n"/>
      <c r="M157" s="42" t="n"/>
      <c r="N157" s="42" t="n"/>
      <c r="O157" s="39" t="n"/>
      <c r="P157" s="10">
        <f>Table5[[#This Row],[ (S/S) SAR]]-Table5[[#This Row],[(S/S) AJD]]</f>
        <v/>
      </c>
      <c r="Q157" s="39" t="n"/>
      <c r="R157" s="10">
        <f>Table5[[#This Row],[ (T/B) SAR]]-Table5[[#This Row],[(T/B) AJD]]</f>
        <v/>
      </c>
      <c r="S157" s="10">
        <f>Table5[[#This Row],[S/S_CON.]]+Table5[[#This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Table5[[#This Row],[(RESV. STORGE) AJD]]/10</f>
        <v/>
      </c>
      <c r="AB157" s="3">
        <f>IF(TRIM(Z157)="",,(Z157-Z156)/1000)</f>
        <v/>
      </c>
      <c r="AC157" s="5" t="n"/>
      <c r="AD157" s="39">
        <f>(Table5[[#This Row],[( S/S+T/B) AJD]]*1000)-((Table5[[#This Row],[(STORGE DIFF.) AJD]]*1000)+Table5[[#This Row],[AJD_Evaporation]]+(Table5[[#This Row],[(A/B + A/S) AJD]]*1000))</f>
        <v/>
      </c>
      <c r="AE157" s="41" t="n"/>
      <c r="AF157" s="43" t="n"/>
      <c r="AG157" s="43" t="n"/>
      <c r="AH157" s="6">
        <f>Table5[[#This Row],[ (RESV. STORGE) BER]]/10</f>
        <v/>
      </c>
      <c r="AI157" s="41" t="n"/>
      <c r="AJ157" s="41">
        <f>Table5[[#This Row],[(A/B) AJD]]-Table5[[#This Row],[BER_IN]]</f>
        <v/>
      </c>
      <c r="AK157" s="43" t="n"/>
      <c r="AL157" s="43" t="n"/>
      <c r="AM157" s="32" t="n"/>
      <c r="AN157" s="32">
        <f>Table5[[#This Row],[ (RESV. STORGE) SER]]/10</f>
        <v/>
      </c>
      <c r="AO157" s="68" t="n"/>
      <c r="AP157" s="100">
        <f>Table5[[#This Row],[(A/S) AJD]]-Table5[[#This Row],[SER_IN]]</f>
        <v/>
      </c>
    </row>
    <row r="158" ht="18.75" customHeight="1">
      <c r="A158" s="98" t="n">
        <v>47275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Table5[[#This Row],[ (T/B) SAR]]+Table5[[#This Row],[ (S/S) SAR]]</f>
        <v/>
      </c>
      <c r="L158" s="45" t="n"/>
      <c r="M158" s="46" t="n"/>
      <c r="N158" s="46" t="n"/>
      <c r="O158" s="40" t="n"/>
      <c r="P158" s="10">
        <f>Table5[[#This Row],[ (S/S) SAR]]-Table5[[#This Row],[(S/S) AJD]]</f>
        <v/>
      </c>
      <c r="Q158" s="40" t="n"/>
      <c r="R158" s="10">
        <f>Table5[[#This Row],[ (T/B) SAR]]-Table5[[#This Row],[(T/B) AJD]]</f>
        <v/>
      </c>
      <c r="S158" s="10">
        <f>Table5[[#This Row],[S/S_CON.]]+Table5[[#This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Table5[[#This Row],[(RESV. STORGE) AJD]]/10</f>
        <v/>
      </c>
      <c r="AB158" s="3">
        <f>IF(TRIM(Z158)="",,(Z158-Z157)/1000)</f>
        <v/>
      </c>
      <c r="AC158" s="5" t="n"/>
      <c r="AD158" s="40">
        <f>(Table5[[#This Row],[( S/S+T/B) AJD]]*1000)-((Table5[[#This Row],[(STORGE DIFF.) AJD]]*1000)+Table5[[#This Row],[AJD_Evaporation]]+(Table5[[#This Row],[(A/B + A/S) AJD]]*1000))</f>
        <v/>
      </c>
      <c r="AE158" s="44" t="n"/>
      <c r="AF158" s="45" t="n"/>
      <c r="AG158" s="45" t="n"/>
      <c r="AH158" s="6">
        <f>Table5[[#This Row],[ (RESV. STORGE) BER]]/10</f>
        <v/>
      </c>
      <c r="AI158" s="44" t="n"/>
      <c r="AJ158" s="44">
        <f>Table5[[#This Row],[(A/B) AJD]]-Table5[[#This Row],[BER_IN]]</f>
        <v/>
      </c>
      <c r="AK158" s="45" t="n"/>
      <c r="AL158" s="45" t="n"/>
      <c r="AM158" s="32" t="n"/>
      <c r="AN158" s="32">
        <f>Table5[[#This Row],[ (RESV. STORGE) SER]]/10</f>
        <v/>
      </c>
      <c r="AO158" s="68" t="n"/>
      <c r="AP158" s="100">
        <f>Table5[[#This Row],[(A/S) AJD]]-Table5[[#This Row],[SER_IN]]</f>
        <v/>
      </c>
    </row>
    <row r="159" ht="18.75" customHeight="1">
      <c r="A159" s="98" t="n">
        <v>47276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Table5[[#This Row],[ (T/B) SAR]]+Table5[[#This Row],[ (S/S) SAR]]</f>
        <v/>
      </c>
      <c r="L159" s="41" t="n"/>
      <c r="M159" s="42" t="n"/>
      <c r="N159" s="42" t="n"/>
      <c r="O159" s="39" t="n"/>
      <c r="P159" s="10">
        <f>Table5[[#This Row],[ (S/S) SAR]]-Table5[[#This Row],[(S/S) AJD]]</f>
        <v/>
      </c>
      <c r="Q159" s="39" t="n"/>
      <c r="R159" s="10">
        <f>Table5[[#This Row],[ (T/B) SAR]]-Table5[[#This Row],[(T/B) AJD]]</f>
        <v/>
      </c>
      <c r="S159" s="10">
        <f>Table5[[#This Row],[S/S_CON.]]+Table5[[#This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Table5[[#This Row],[(RESV. STORGE) AJD]]/10</f>
        <v/>
      </c>
      <c r="AB159" s="3">
        <f>IF(TRIM(Z159)="",,(Z159-Z158)/1000)</f>
        <v/>
      </c>
      <c r="AC159" s="5" t="n"/>
      <c r="AD159" s="39">
        <f>(Table5[[#This Row],[( S/S+T/B) AJD]]*1000)-((Table5[[#This Row],[(STORGE DIFF.) AJD]]*1000)+Table5[[#This Row],[AJD_Evaporation]]+(Table5[[#This Row],[(A/B + A/S) AJD]]*1000))</f>
        <v/>
      </c>
      <c r="AE159" s="41" t="n"/>
      <c r="AF159" s="43" t="n"/>
      <c r="AG159" s="43" t="n"/>
      <c r="AH159" s="6">
        <f>Table5[[#This Row],[ (RESV. STORGE) BER]]/10</f>
        <v/>
      </c>
      <c r="AI159" s="41" t="n"/>
      <c r="AJ159" s="41">
        <f>Table5[[#This Row],[(A/B) AJD]]-Table5[[#This Row],[BER_IN]]</f>
        <v/>
      </c>
      <c r="AK159" s="43" t="n"/>
      <c r="AL159" s="43" t="n"/>
      <c r="AM159" s="32" t="n"/>
      <c r="AN159" s="32">
        <f>Table5[[#This Row],[ (RESV. STORGE) SER]]/10</f>
        <v/>
      </c>
      <c r="AO159" s="68" t="n"/>
      <c r="AP159" s="100">
        <f>Table5[[#This Row],[(A/S) AJD]]-Table5[[#This Row],[SER_IN]]</f>
        <v/>
      </c>
    </row>
    <row r="160" ht="18.75" customHeight="1">
      <c r="A160" s="98" t="n">
        <v>47277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Table5[[#This Row],[ (T/B) SAR]]+Table5[[#This Row],[ (S/S) SAR]]</f>
        <v/>
      </c>
      <c r="L160" s="45" t="n"/>
      <c r="M160" s="46" t="n"/>
      <c r="N160" s="46" t="n"/>
      <c r="O160" s="40" t="n"/>
      <c r="P160" s="10">
        <f>Table5[[#This Row],[ (S/S) SAR]]-Table5[[#This Row],[(S/S) AJD]]</f>
        <v/>
      </c>
      <c r="Q160" s="40" t="n"/>
      <c r="R160" s="10">
        <f>Table5[[#This Row],[ (T/B) SAR]]-Table5[[#This Row],[(T/B) AJD]]</f>
        <v/>
      </c>
      <c r="S160" s="10">
        <f>Table5[[#This Row],[S/S_CON.]]+Table5[[#This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Table5[[#This Row],[(RESV. STORGE) AJD]]/10</f>
        <v/>
      </c>
      <c r="AB160" s="3">
        <f>IF(TRIM(Z160)="",,(Z160-Z159)/1000)</f>
        <v/>
      </c>
      <c r="AC160" s="5" t="n"/>
      <c r="AD160" s="40">
        <f>(Table5[[#This Row],[( S/S+T/B) AJD]]*1000)-((Table5[[#This Row],[(STORGE DIFF.) AJD]]*1000)+Table5[[#This Row],[AJD_Evaporation]]+(Table5[[#This Row],[(A/B + A/S) AJD]]*1000))</f>
        <v/>
      </c>
      <c r="AE160" s="44" t="n"/>
      <c r="AF160" s="45" t="n"/>
      <c r="AG160" s="45" t="n"/>
      <c r="AH160" s="6">
        <f>Table5[[#This Row],[ (RESV. STORGE) BER]]/10</f>
        <v/>
      </c>
      <c r="AI160" s="44" t="n"/>
      <c r="AJ160" s="44">
        <f>Table5[[#This Row],[(A/B) AJD]]-Table5[[#This Row],[BER_IN]]</f>
        <v/>
      </c>
      <c r="AK160" s="45" t="n"/>
      <c r="AL160" s="45" t="n"/>
      <c r="AM160" s="32" t="n"/>
      <c r="AN160" s="32">
        <f>Table5[[#This Row],[ (RESV. STORGE) SER]]/10</f>
        <v/>
      </c>
      <c r="AO160" s="68" t="n"/>
      <c r="AP160" s="100">
        <f>Table5[[#This Row],[(A/S) AJD]]-Table5[[#This Row],[SER_IN]]</f>
        <v/>
      </c>
    </row>
    <row r="161" ht="18.75" customHeight="1">
      <c r="A161" s="98" t="n">
        <v>47278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Table5[[#This Row],[ (T/B) SAR]]+Table5[[#This Row],[ (S/S) SAR]]</f>
        <v/>
      </c>
      <c r="L161" s="41" t="n"/>
      <c r="M161" s="42" t="n"/>
      <c r="N161" s="42" t="n"/>
      <c r="O161" s="39" t="n"/>
      <c r="P161" s="10">
        <f>Table5[[#This Row],[ (S/S) SAR]]-Table5[[#This Row],[(S/S) AJD]]</f>
        <v/>
      </c>
      <c r="Q161" s="39" t="n"/>
      <c r="R161" s="10">
        <f>Table5[[#This Row],[ (T/B) SAR]]-Table5[[#This Row],[(T/B) AJD]]</f>
        <v/>
      </c>
      <c r="S161" s="10">
        <f>Table5[[#This Row],[S/S_CON.]]+Table5[[#This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Table5[[#This Row],[(RESV. STORGE) AJD]]/10</f>
        <v/>
      </c>
      <c r="AB161" s="3">
        <f>IF(TRIM(Z161)="",,(Z161-Z160)/1000)</f>
        <v/>
      </c>
      <c r="AC161" s="5" t="n"/>
      <c r="AD161" s="39">
        <f>(Table5[[#This Row],[( S/S+T/B) AJD]]*1000)-((Table5[[#This Row],[(STORGE DIFF.) AJD]]*1000)+Table5[[#This Row],[AJD_Evaporation]]+(Table5[[#This Row],[(A/B + A/S) AJD]]*1000))</f>
        <v/>
      </c>
      <c r="AE161" s="41" t="n"/>
      <c r="AF161" s="43" t="n"/>
      <c r="AG161" s="43" t="n"/>
      <c r="AH161" s="6">
        <f>Table5[[#This Row],[ (RESV. STORGE) BER]]/10</f>
        <v/>
      </c>
      <c r="AI161" s="41" t="n"/>
      <c r="AJ161" s="41">
        <f>Table5[[#This Row],[(A/B) AJD]]-Table5[[#This Row],[BER_IN]]</f>
        <v/>
      </c>
      <c r="AK161" s="43" t="n"/>
      <c r="AL161" s="43" t="n"/>
      <c r="AM161" s="32" t="n"/>
      <c r="AN161" s="32">
        <f>Table5[[#This Row],[ (RESV. STORGE) SER]]/10</f>
        <v/>
      </c>
      <c r="AO161" s="68" t="n"/>
      <c r="AP161" s="100">
        <f>Table5[[#This Row],[(A/S) AJD]]-Table5[[#This Row],[SER_IN]]</f>
        <v/>
      </c>
    </row>
    <row r="162" ht="18.75" customHeight="1">
      <c r="A162" s="98" t="n">
        <v>47279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Table5[[#This Row],[ (T/B) SAR]]+Table5[[#This Row],[ (S/S) SAR]]</f>
        <v/>
      </c>
      <c r="L162" s="45" t="n"/>
      <c r="M162" s="46" t="n"/>
      <c r="N162" s="46" t="n"/>
      <c r="O162" s="40" t="n"/>
      <c r="P162" s="10">
        <f>Table5[[#This Row],[ (S/S) SAR]]-Table5[[#This Row],[(S/S) AJD]]</f>
        <v/>
      </c>
      <c r="Q162" s="40" t="n"/>
      <c r="R162" s="10">
        <f>Table5[[#This Row],[ (T/B) SAR]]-Table5[[#This Row],[(T/B) AJD]]</f>
        <v/>
      </c>
      <c r="S162" s="10">
        <f>Table5[[#This Row],[S/S_CON.]]+Table5[[#This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Table5[[#This Row],[(RESV. STORGE) AJD]]/10</f>
        <v/>
      </c>
      <c r="AB162" s="3">
        <f>IF(TRIM(Z162)="",,(Z162-Z161)/1000)</f>
        <v/>
      </c>
      <c r="AC162" s="5" t="n"/>
      <c r="AD162" s="40">
        <f>(Table5[[#This Row],[( S/S+T/B) AJD]]*1000)-((Table5[[#This Row],[(STORGE DIFF.) AJD]]*1000)+Table5[[#This Row],[AJD_Evaporation]]+(Table5[[#This Row],[(A/B + A/S) AJD]]*1000))</f>
        <v/>
      </c>
      <c r="AE162" s="44" t="n"/>
      <c r="AF162" s="45" t="n"/>
      <c r="AG162" s="45" t="n"/>
      <c r="AH162" s="6">
        <f>Table5[[#This Row],[ (RESV. STORGE) BER]]/10</f>
        <v/>
      </c>
      <c r="AI162" s="44" t="n"/>
      <c r="AJ162" s="44">
        <f>Table5[[#This Row],[(A/B) AJD]]-Table5[[#This Row],[BER_IN]]</f>
        <v/>
      </c>
      <c r="AK162" s="45" t="n"/>
      <c r="AL162" s="45" t="n"/>
      <c r="AM162" s="32" t="n"/>
      <c r="AN162" s="32">
        <f>Table5[[#This Row],[ (RESV. STORGE) SER]]/10</f>
        <v/>
      </c>
      <c r="AO162" s="68" t="n"/>
      <c r="AP162" s="100">
        <f>Table5[[#This Row],[(A/S) AJD]]-Table5[[#This Row],[SER_IN]]</f>
        <v/>
      </c>
    </row>
    <row r="163" ht="18.75" customHeight="1">
      <c r="A163" s="98" t="n">
        <v>47280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Table5[[#This Row],[ (T/B) SAR]]+Table5[[#This Row],[ (S/S) SAR]]</f>
        <v/>
      </c>
      <c r="L163" s="41" t="n"/>
      <c r="M163" s="42" t="n"/>
      <c r="N163" s="42" t="n"/>
      <c r="O163" s="39" t="n"/>
      <c r="P163" s="10">
        <f>Table5[[#This Row],[ (S/S) SAR]]-Table5[[#This Row],[(S/S) AJD]]</f>
        <v/>
      </c>
      <c r="Q163" s="39" t="n"/>
      <c r="R163" s="10">
        <f>Table5[[#This Row],[ (T/B) SAR]]-Table5[[#This Row],[(T/B) AJD]]</f>
        <v/>
      </c>
      <c r="S163" s="10">
        <f>Table5[[#This Row],[S/S_CON.]]+Table5[[#This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Table5[[#This Row],[(RESV. STORGE) AJD]]/10</f>
        <v/>
      </c>
      <c r="AB163" s="3">
        <f>IF(TRIM(Z163)="",,(Z163-Z162)/1000)</f>
        <v/>
      </c>
      <c r="AC163" s="5" t="n"/>
      <c r="AD163" s="39">
        <f>(Table5[[#This Row],[( S/S+T/B) AJD]]*1000)-((Table5[[#This Row],[(STORGE DIFF.) AJD]]*1000)+Table5[[#This Row],[AJD_Evaporation]]+(Table5[[#This Row],[(A/B + A/S) AJD]]*1000))</f>
        <v/>
      </c>
      <c r="AE163" s="41" t="n"/>
      <c r="AF163" s="43" t="n"/>
      <c r="AG163" s="43" t="n"/>
      <c r="AH163" s="6">
        <f>Table5[[#This Row],[ (RESV. STORGE) BER]]/10</f>
        <v/>
      </c>
      <c r="AI163" s="41" t="n"/>
      <c r="AJ163" s="41">
        <f>Table5[[#This Row],[(A/B) AJD]]-Table5[[#This Row],[BER_IN]]</f>
        <v/>
      </c>
      <c r="AK163" s="43" t="n"/>
      <c r="AL163" s="43" t="n"/>
      <c r="AM163" s="32" t="n"/>
      <c r="AN163" s="32">
        <f>Table5[[#This Row],[ (RESV. STORGE) SER]]/10</f>
        <v/>
      </c>
      <c r="AO163" s="68" t="n"/>
      <c r="AP163" s="100">
        <f>Table5[[#This Row],[(A/S) AJD]]-Table5[[#This Row],[SER_IN]]</f>
        <v/>
      </c>
    </row>
    <row r="164" ht="18.75" customHeight="1">
      <c r="A164" s="98" t="n">
        <v>47281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Table5[[#This Row],[ (T/B) SAR]]+Table5[[#This Row],[ (S/S) SAR]]</f>
        <v/>
      </c>
      <c r="L164" s="45" t="n"/>
      <c r="M164" s="46" t="n"/>
      <c r="N164" s="46" t="n"/>
      <c r="O164" s="40" t="n"/>
      <c r="P164" s="10">
        <f>Table5[[#This Row],[ (S/S) SAR]]-Table5[[#This Row],[(S/S) AJD]]</f>
        <v/>
      </c>
      <c r="Q164" s="40" t="n"/>
      <c r="R164" s="10">
        <f>Table5[[#This Row],[ (T/B) SAR]]-Table5[[#This Row],[(T/B) AJD]]</f>
        <v/>
      </c>
      <c r="S164" s="10">
        <f>Table5[[#This Row],[S/S_CON.]]+Table5[[#This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Table5[[#This Row],[(RESV. STORGE) AJD]]/10</f>
        <v/>
      </c>
      <c r="AB164" s="3">
        <f>IF(TRIM(Z164)="",,(Z164-Z163)/1000)</f>
        <v/>
      </c>
      <c r="AC164" s="5" t="n"/>
      <c r="AD164" s="40">
        <f>(Table5[[#This Row],[( S/S+T/B) AJD]]*1000)-((Table5[[#This Row],[(STORGE DIFF.) AJD]]*1000)+Table5[[#This Row],[AJD_Evaporation]]+(Table5[[#This Row],[(A/B + A/S) AJD]]*1000))</f>
        <v/>
      </c>
      <c r="AE164" s="44" t="n"/>
      <c r="AF164" s="45" t="n"/>
      <c r="AG164" s="45" t="n"/>
      <c r="AH164" s="6">
        <f>Table5[[#This Row],[ (RESV. STORGE) BER]]/10</f>
        <v/>
      </c>
      <c r="AI164" s="44" t="n"/>
      <c r="AJ164" s="44">
        <f>Table5[[#This Row],[(A/B) AJD]]-Table5[[#This Row],[BER_IN]]</f>
        <v/>
      </c>
      <c r="AK164" s="45" t="n"/>
      <c r="AL164" s="45" t="n"/>
      <c r="AM164" s="32" t="n"/>
      <c r="AN164" s="32">
        <f>Table5[[#This Row],[ (RESV. STORGE) SER]]/10</f>
        <v/>
      </c>
      <c r="AO164" s="68" t="n"/>
      <c r="AP164" s="100">
        <f>Table5[[#This Row],[(A/S) AJD]]-Table5[[#This Row],[SER_IN]]</f>
        <v/>
      </c>
    </row>
    <row r="165" ht="18.75" customHeight="1">
      <c r="A165" s="98" t="n">
        <v>47282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Table5[[#This Row],[ (T/B) SAR]]+Table5[[#This Row],[ (S/S) SAR]]</f>
        <v/>
      </c>
      <c r="L165" s="41" t="n"/>
      <c r="M165" s="42" t="n"/>
      <c r="N165" s="42" t="n"/>
      <c r="O165" s="39" t="n"/>
      <c r="P165" s="10">
        <f>Table5[[#This Row],[ (S/S) SAR]]-Table5[[#This Row],[(S/S) AJD]]</f>
        <v/>
      </c>
      <c r="Q165" s="39" t="n"/>
      <c r="R165" s="10">
        <f>Table5[[#This Row],[ (T/B) SAR]]-Table5[[#This Row],[(T/B) AJD]]</f>
        <v/>
      </c>
      <c r="S165" s="10">
        <f>Table5[[#This Row],[S/S_CON.]]+Table5[[#This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Table5[[#This Row],[(RESV. STORGE) AJD]]/10</f>
        <v/>
      </c>
      <c r="AB165" s="3">
        <f>IF(TRIM(Z165)="",,(Z165-Z164)/1000)</f>
        <v/>
      </c>
      <c r="AC165" s="5" t="n"/>
      <c r="AD165" s="39">
        <f>(Table5[[#This Row],[( S/S+T/B) AJD]]*1000)-((Table5[[#This Row],[(STORGE DIFF.) AJD]]*1000)+Table5[[#This Row],[AJD_Evaporation]]+(Table5[[#This Row],[(A/B + A/S) AJD]]*1000))</f>
        <v/>
      </c>
      <c r="AE165" s="41" t="n"/>
      <c r="AF165" s="43" t="n"/>
      <c r="AG165" s="43" t="n"/>
      <c r="AH165" s="6">
        <f>Table5[[#This Row],[ (RESV. STORGE) BER]]/10</f>
        <v/>
      </c>
      <c r="AI165" s="41" t="n"/>
      <c r="AJ165" s="41">
        <f>Table5[[#This Row],[(A/B) AJD]]-Table5[[#This Row],[BER_IN]]</f>
        <v/>
      </c>
      <c r="AK165" s="43" t="n"/>
      <c r="AL165" s="43" t="n"/>
      <c r="AM165" s="32" t="n"/>
      <c r="AN165" s="32">
        <f>Table5[[#This Row],[ (RESV. STORGE) SER]]/10</f>
        <v/>
      </c>
      <c r="AO165" s="68" t="n"/>
      <c r="AP165" s="100">
        <f>Table5[[#This Row],[(A/S) AJD]]-Table5[[#This Row],[SER_IN]]</f>
        <v/>
      </c>
    </row>
    <row r="166" ht="18.75" customHeight="1">
      <c r="A166" s="98" t="n">
        <v>47283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Table5[[#This Row],[ (T/B) SAR]]+Table5[[#This Row],[ (S/S) SAR]]</f>
        <v/>
      </c>
      <c r="L166" s="45" t="n"/>
      <c r="M166" s="46" t="n"/>
      <c r="N166" s="46" t="n"/>
      <c r="O166" s="40" t="n"/>
      <c r="P166" s="10">
        <f>Table5[[#This Row],[ (S/S) SAR]]-Table5[[#This Row],[(S/S) AJD]]</f>
        <v/>
      </c>
      <c r="Q166" s="40" t="n"/>
      <c r="R166" s="10">
        <f>Table5[[#This Row],[ (T/B) SAR]]-Table5[[#This Row],[(T/B) AJD]]</f>
        <v/>
      </c>
      <c r="S166" s="10">
        <f>Table5[[#This Row],[S/S_CON.]]+Table5[[#This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Table5[[#This Row],[(RESV. STORGE) AJD]]/10</f>
        <v/>
      </c>
      <c r="AB166" s="3">
        <f>IF(TRIM(Z166)="",,(Z166-Z165)/1000)</f>
        <v/>
      </c>
      <c r="AC166" s="5" t="n"/>
      <c r="AD166" s="40">
        <f>(Table5[[#This Row],[( S/S+T/B) AJD]]*1000)-((Table5[[#This Row],[(STORGE DIFF.) AJD]]*1000)+Table5[[#This Row],[AJD_Evaporation]]+(Table5[[#This Row],[(A/B + A/S) AJD]]*1000))</f>
        <v/>
      </c>
      <c r="AE166" s="44" t="n"/>
      <c r="AF166" s="45" t="n"/>
      <c r="AG166" s="45" t="n"/>
      <c r="AH166" s="6">
        <f>Table5[[#This Row],[ (RESV. STORGE) BER]]/10</f>
        <v/>
      </c>
      <c r="AI166" s="44" t="n"/>
      <c r="AJ166" s="44">
        <f>Table5[[#This Row],[(A/B) AJD]]-Table5[[#This Row],[BER_IN]]</f>
        <v/>
      </c>
      <c r="AK166" s="45" t="n"/>
      <c r="AL166" s="45" t="n"/>
      <c r="AM166" s="32" t="n"/>
      <c r="AN166" s="32">
        <f>Table5[[#This Row],[ (RESV. STORGE) SER]]/10</f>
        <v/>
      </c>
      <c r="AO166" s="68" t="n"/>
      <c r="AP166" s="100">
        <f>Table5[[#This Row],[(A/S) AJD]]-Table5[[#This Row],[SER_IN]]</f>
        <v/>
      </c>
    </row>
    <row r="167" ht="18.75" customHeight="1">
      <c r="A167" s="98" t="n">
        <v>47284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Table5[[#This Row],[ (T/B) SAR]]+Table5[[#This Row],[ (S/S) SAR]]</f>
        <v/>
      </c>
      <c r="L167" s="41" t="n"/>
      <c r="M167" s="42" t="n"/>
      <c r="N167" s="42" t="n"/>
      <c r="O167" s="39" t="n"/>
      <c r="P167" s="10">
        <f>Table5[[#This Row],[ (S/S) SAR]]-Table5[[#This Row],[(S/S) AJD]]</f>
        <v/>
      </c>
      <c r="Q167" s="39" t="n"/>
      <c r="R167" s="10">
        <f>Table5[[#This Row],[ (T/B) SAR]]-Table5[[#This Row],[(T/B) AJD]]</f>
        <v/>
      </c>
      <c r="S167" s="10">
        <f>Table5[[#This Row],[S/S_CON.]]+Table5[[#This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Table5[[#This Row],[(RESV. STORGE) AJD]]/10</f>
        <v/>
      </c>
      <c r="AB167" s="3">
        <f>IF(TRIM(Z167)="",,(Z167-Z166)/1000)</f>
        <v/>
      </c>
      <c r="AC167" s="5" t="n"/>
      <c r="AD167" s="39">
        <f>(Table5[[#This Row],[( S/S+T/B) AJD]]*1000)-((Table5[[#This Row],[(STORGE DIFF.) AJD]]*1000)+Table5[[#This Row],[AJD_Evaporation]]+(Table5[[#This Row],[(A/B + A/S) AJD]]*1000))</f>
        <v/>
      </c>
      <c r="AE167" s="41" t="n"/>
      <c r="AF167" s="43" t="n"/>
      <c r="AG167" s="43" t="n"/>
      <c r="AH167" s="6">
        <f>Table5[[#This Row],[ (RESV. STORGE) BER]]/10</f>
        <v/>
      </c>
      <c r="AI167" s="41" t="n"/>
      <c r="AJ167" s="41">
        <f>Table5[[#This Row],[(A/B) AJD]]-Table5[[#This Row],[BER_IN]]</f>
        <v/>
      </c>
      <c r="AK167" s="43" t="n"/>
      <c r="AL167" s="43" t="n"/>
      <c r="AM167" s="32" t="n"/>
      <c r="AN167" s="32">
        <f>Table5[[#This Row],[ (RESV. STORGE) SER]]/10</f>
        <v/>
      </c>
      <c r="AO167" s="68" t="n"/>
      <c r="AP167" s="100">
        <f>Table5[[#This Row],[(A/S) AJD]]-Table5[[#This Row],[SER_IN]]</f>
        <v/>
      </c>
    </row>
    <row r="168" ht="18.75" customHeight="1">
      <c r="A168" s="98" t="n">
        <v>47285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Table5[[#This Row],[ (T/B) SAR]]+Table5[[#This Row],[ (S/S) SAR]]</f>
        <v/>
      </c>
      <c r="L168" s="45" t="n"/>
      <c r="M168" s="46" t="n"/>
      <c r="N168" s="46" t="n"/>
      <c r="O168" s="40" t="n"/>
      <c r="P168" s="10">
        <f>Table5[[#This Row],[ (S/S) SAR]]-Table5[[#This Row],[(S/S) AJD]]</f>
        <v/>
      </c>
      <c r="Q168" s="40" t="n"/>
      <c r="R168" s="10">
        <f>Table5[[#This Row],[ (T/B) SAR]]-Table5[[#This Row],[(T/B) AJD]]</f>
        <v/>
      </c>
      <c r="S168" s="10">
        <f>Table5[[#This Row],[S/S_CON.]]+Table5[[#This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Table5[[#This Row],[(RESV. STORGE) AJD]]/10</f>
        <v/>
      </c>
      <c r="AB168" s="3">
        <f>IF(TRIM(Z168)="",,(Z168-Z167)/1000)</f>
        <v/>
      </c>
      <c r="AC168" s="5" t="n"/>
      <c r="AD168" s="40">
        <f>(Table5[[#This Row],[( S/S+T/B) AJD]]*1000)-((Table5[[#This Row],[(STORGE DIFF.) AJD]]*1000)+Table5[[#This Row],[AJD_Evaporation]]+(Table5[[#This Row],[(A/B + A/S) AJD]]*1000))</f>
        <v/>
      </c>
      <c r="AE168" s="44" t="n"/>
      <c r="AF168" s="45" t="n"/>
      <c r="AG168" s="45" t="n"/>
      <c r="AH168" s="6">
        <f>Table5[[#This Row],[ (RESV. STORGE) BER]]/10</f>
        <v/>
      </c>
      <c r="AI168" s="44" t="n"/>
      <c r="AJ168" s="44">
        <f>Table5[[#This Row],[(A/B) AJD]]-Table5[[#This Row],[BER_IN]]</f>
        <v/>
      </c>
      <c r="AK168" s="45" t="n"/>
      <c r="AL168" s="45" t="n"/>
      <c r="AM168" s="32" t="n"/>
      <c r="AN168" s="32">
        <f>Table5[[#This Row],[ (RESV. STORGE) SER]]/10</f>
        <v/>
      </c>
      <c r="AO168" s="68" t="n"/>
      <c r="AP168" s="100">
        <f>Table5[[#This Row],[(A/S) AJD]]-Table5[[#This Row],[SER_IN]]</f>
        <v/>
      </c>
    </row>
    <row r="169" ht="18.75" customHeight="1">
      <c r="A169" s="98" t="n">
        <v>47286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Table5[[#This Row],[ (T/B) SAR]]+Table5[[#This Row],[ (S/S) SAR]]</f>
        <v/>
      </c>
      <c r="L169" s="41" t="n"/>
      <c r="M169" s="42" t="n"/>
      <c r="N169" s="42" t="n"/>
      <c r="O169" s="39" t="n"/>
      <c r="P169" s="10">
        <f>Table5[[#This Row],[ (S/S) SAR]]-Table5[[#This Row],[(S/S) AJD]]</f>
        <v/>
      </c>
      <c r="Q169" s="39" t="n"/>
      <c r="R169" s="10">
        <f>Table5[[#This Row],[ (T/B) SAR]]-Table5[[#This Row],[(T/B) AJD]]</f>
        <v/>
      </c>
      <c r="S169" s="10">
        <f>Table5[[#This Row],[S/S_CON.]]+Table5[[#This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Table5[[#This Row],[(RESV. STORGE) AJD]]/10</f>
        <v/>
      </c>
      <c r="AB169" s="3">
        <f>IF(TRIM(Z169)="",,(Z169-Z168)/1000)</f>
        <v/>
      </c>
      <c r="AC169" s="5" t="n"/>
      <c r="AD169" s="39">
        <f>(Table5[[#This Row],[( S/S+T/B) AJD]]*1000)-((Table5[[#This Row],[(STORGE DIFF.) AJD]]*1000)+Table5[[#This Row],[AJD_Evaporation]]+(Table5[[#This Row],[(A/B + A/S) AJD]]*1000))</f>
        <v/>
      </c>
      <c r="AE169" s="41" t="n"/>
      <c r="AF169" s="43" t="n"/>
      <c r="AG169" s="43" t="n"/>
      <c r="AH169" s="6">
        <f>Table5[[#This Row],[ (RESV. STORGE) BER]]/10</f>
        <v/>
      </c>
      <c r="AI169" s="41" t="n"/>
      <c r="AJ169" s="41">
        <f>Table5[[#This Row],[(A/B) AJD]]-Table5[[#This Row],[BER_IN]]</f>
        <v/>
      </c>
      <c r="AK169" s="43" t="n"/>
      <c r="AL169" s="43" t="n"/>
      <c r="AM169" s="32" t="n"/>
      <c r="AN169" s="32">
        <f>Table5[[#This Row],[ (RESV. STORGE) SER]]/10</f>
        <v/>
      </c>
      <c r="AO169" s="68" t="n"/>
      <c r="AP169" s="100">
        <f>Table5[[#This Row],[(A/S) AJD]]-Table5[[#This Row],[SER_IN]]</f>
        <v/>
      </c>
    </row>
    <row r="170" ht="18.75" customHeight="1">
      <c r="A170" s="98" t="n">
        <v>47287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Table5[[#This Row],[ (T/B) SAR]]+Table5[[#This Row],[ (S/S) SAR]]</f>
        <v/>
      </c>
      <c r="L170" s="45" t="n"/>
      <c r="M170" s="46" t="n"/>
      <c r="N170" s="46" t="n"/>
      <c r="O170" s="40" t="n"/>
      <c r="P170" s="3">
        <f>Table5[[#This Row],[ (S/S) SAR]]-Table5[[#This Row],[(S/S) AJD]]</f>
        <v/>
      </c>
      <c r="Q170" s="40" t="n"/>
      <c r="R170" s="3">
        <f>Table5[[#This Row],[ (T/B) SAR]]-Table5[[#This Row],[(T/B) AJD]]</f>
        <v/>
      </c>
      <c r="S170" s="3">
        <f>Table5[[#This Row],[S/S_CON.]]+Table5[[#This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Table5[[#This Row],[(RESV. STORGE) AJD]]/10</f>
        <v/>
      </c>
      <c r="AB170" s="3">
        <f>IF(TRIM(Z170)="",,(Z170-Z169)/1000)</f>
        <v/>
      </c>
      <c r="AC170" s="5" t="n"/>
      <c r="AD170" s="40">
        <f>(Table5[[#This Row],[( S/S+T/B) AJD]]*1000)-((Table5[[#This Row],[(STORGE DIFF.) AJD]]*1000)+Table5[[#This Row],[AJD_Evaporation]]+(Table5[[#This Row],[(A/B + A/S) AJD]]*1000))</f>
        <v/>
      </c>
      <c r="AE170" s="44" t="n"/>
      <c r="AF170" s="45" t="n"/>
      <c r="AG170" s="45" t="n"/>
      <c r="AH170" s="6">
        <f>Table5[[#This Row],[ (RESV. STORGE) BER]]/10</f>
        <v/>
      </c>
      <c r="AI170" s="44" t="n"/>
      <c r="AJ170" s="44">
        <f>Table5[[#This Row],[(A/B) AJD]]-Table5[[#This Row],[BER_IN]]</f>
        <v/>
      </c>
      <c r="AK170" s="45" t="n"/>
      <c r="AL170" s="45" t="n"/>
      <c r="AM170" s="32" t="n"/>
      <c r="AN170" s="32">
        <f>Table5[[#This Row],[ (RESV. STORGE) SER]]/10</f>
        <v/>
      </c>
      <c r="AO170" s="68" t="n"/>
      <c r="AP170" s="100">
        <f>Table5[[#This Row],[(A/S) AJD]]-Table5[[#This Row],[SER_IN]]</f>
        <v/>
      </c>
    </row>
    <row r="171" ht="18.75" customHeight="1">
      <c r="A171" s="98" t="n">
        <v>47288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Table5[[#This Row],[ (T/B) SAR]]+Table5[[#This Row],[ (S/S) SAR]]</f>
        <v/>
      </c>
      <c r="L171" s="41" t="n"/>
      <c r="M171" s="42" t="n"/>
      <c r="N171" s="42" t="n"/>
      <c r="O171" s="39" t="n"/>
      <c r="P171" s="3">
        <f>Table5[[#This Row],[ (S/S) SAR]]-Table5[[#This Row],[(S/S) AJD]]</f>
        <v/>
      </c>
      <c r="Q171" s="39" t="n"/>
      <c r="R171" s="3">
        <f>Table5[[#This Row],[ (T/B) SAR]]-Table5[[#This Row],[(T/B) AJD]]</f>
        <v/>
      </c>
      <c r="S171" s="3">
        <f>Table5[[#This Row],[S/S_CON.]]+Table5[[#This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Table5[[#This Row],[(RESV. STORGE) AJD]]/10</f>
        <v/>
      </c>
      <c r="AB171" s="3">
        <f>IF(TRIM(Z171)="",,(Z171-Z170)/1000)</f>
        <v/>
      </c>
      <c r="AC171" s="5" t="n"/>
      <c r="AD171" s="39">
        <f>(Table5[[#This Row],[( S/S+T/B) AJD]]*1000)-((Table5[[#This Row],[(STORGE DIFF.) AJD]]*1000)+Table5[[#This Row],[AJD_Evaporation]]+(Table5[[#This Row],[(A/B + A/S) AJD]]*1000))</f>
        <v/>
      </c>
      <c r="AE171" s="41" t="n"/>
      <c r="AF171" s="43" t="n"/>
      <c r="AG171" s="43" t="n"/>
      <c r="AH171" s="6">
        <f>Table5[[#This Row],[ (RESV. STORGE) BER]]/10</f>
        <v/>
      </c>
      <c r="AI171" s="41" t="n"/>
      <c r="AJ171" s="41">
        <f>Table5[[#This Row],[(A/B) AJD]]-Table5[[#This Row],[BER_IN]]</f>
        <v/>
      </c>
      <c r="AK171" s="43" t="n"/>
      <c r="AL171" s="43" t="n"/>
      <c r="AM171" s="32" t="n"/>
      <c r="AN171" s="32">
        <f>Table5[[#This Row],[ (RESV. STORGE) SER]]/10</f>
        <v/>
      </c>
      <c r="AO171" s="68" t="n"/>
      <c r="AP171" s="100">
        <f>Table5[[#This Row],[(A/S) AJD]]-Table5[[#This Row],[SER_IN]]</f>
        <v/>
      </c>
    </row>
    <row r="172" ht="18.75" customHeight="1">
      <c r="A172" s="98" t="n">
        <v>47289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Table5[[#This Row],[ (T/B) SAR]]+Table5[[#This Row],[ (S/S) SAR]]</f>
        <v/>
      </c>
      <c r="L172" s="44" t="n"/>
      <c r="M172" s="46" t="n"/>
      <c r="N172" s="46" t="n"/>
      <c r="O172" s="40" t="n"/>
      <c r="P172" s="3">
        <f>Table5[[#This Row],[ (S/S) SAR]]-Table5[[#This Row],[(S/S) AJD]]</f>
        <v/>
      </c>
      <c r="Q172" s="40" t="n"/>
      <c r="R172" s="3">
        <f>Table5[[#This Row],[ (T/B) SAR]]-Table5[[#This Row],[(T/B) AJD]]</f>
        <v/>
      </c>
      <c r="S172" s="3">
        <f>Table5[[#This Row],[S/S_CON.]]+Table5[[#This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Table5[[#This Row],[(RESV. STORGE) AJD]]/10</f>
        <v/>
      </c>
      <c r="AB172" s="3">
        <f>IF(TRIM(Z172)="",,(Z172-Z171)/1000)</f>
        <v/>
      </c>
      <c r="AC172" s="5" t="n"/>
      <c r="AD172" s="40">
        <f>(Table5[[#This Row],[( S/S+T/B) AJD]]*1000)-((Table5[[#This Row],[(STORGE DIFF.) AJD]]*1000)+Table5[[#This Row],[AJD_Evaporation]]+(Table5[[#This Row],[(A/B + A/S) AJD]]*1000))</f>
        <v/>
      </c>
      <c r="AE172" s="44" t="n"/>
      <c r="AF172" s="45" t="n"/>
      <c r="AG172" s="45" t="n"/>
      <c r="AH172" s="6">
        <f>Table5[[#This Row],[ (RESV. STORGE) BER]]/10</f>
        <v/>
      </c>
      <c r="AI172" s="44" t="n"/>
      <c r="AJ172" s="44">
        <f>Table5[[#This Row],[(A/B) AJD]]-Table5[[#This Row],[BER_IN]]</f>
        <v/>
      </c>
      <c r="AK172" s="45" t="n"/>
      <c r="AL172" s="45" t="n"/>
      <c r="AM172" s="32" t="n"/>
      <c r="AN172" s="32">
        <f>Table5[[#This Row],[ (RESV. STORGE) SER]]/10</f>
        <v/>
      </c>
      <c r="AO172" s="68" t="n"/>
      <c r="AP172" s="100">
        <f>Table5[[#This Row],[(A/S) AJD]]-Table5[[#This Row],[SER_IN]]</f>
        <v/>
      </c>
    </row>
    <row r="173" ht="18.75" customHeight="1">
      <c r="A173" s="98" t="n">
        <v>47290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Table5[[#This Row],[ (T/B) SAR]]+Table5[[#This Row],[ (S/S) SAR]]</f>
        <v/>
      </c>
      <c r="L173" s="41" t="n"/>
      <c r="M173" s="42" t="n"/>
      <c r="N173" s="42" t="n"/>
      <c r="O173" s="39" t="n"/>
      <c r="P173" s="3">
        <f>Table5[[#This Row],[ (S/S) SAR]]-Table5[[#This Row],[(S/S) AJD]]</f>
        <v/>
      </c>
      <c r="Q173" s="39" t="n"/>
      <c r="R173" s="3">
        <f>Table5[[#This Row],[ (T/B) SAR]]-Table5[[#This Row],[(T/B) AJD]]</f>
        <v/>
      </c>
      <c r="S173" s="3">
        <f>Table5[[#This Row],[S/S_CON.]]+Table5[[#This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Table5[[#This Row],[(RESV. STORGE) AJD]]/10</f>
        <v/>
      </c>
      <c r="AB173" s="3">
        <f>IF(TRIM(Z173)="",,(Z173-Z172)/1000)</f>
        <v/>
      </c>
      <c r="AC173" s="5" t="n"/>
      <c r="AD173" s="39">
        <f>(Table5[[#This Row],[( S/S+T/B) AJD]]*1000)-((Table5[[#This Row],[(STORGE DIFF.) AJD]]*1000)+Table5[[#This Row],[AJD_Evaporation]]+(Table5[[#This Row],[(A/B + A/S) AJD]]*1000))</f>
        <v/>
      </c>
      <c r="AE173" s="41" t="n"/>
      <c r="AF173" s="43" t="n"/>
      <c r="AG173" s="43" t="n"/>
      <c r="AH173" s="6">
        <f>Table5[[#This Row],[ (RESV. STORGE) BER]]/10</f>
        <v/>
      </c>
      <c r="AI173" s="41" t="n"/>
      <c r="AJ173" s="41">
        <f>Table5[[#This Row],[(A/B) AJD]]-Table5[[#This Row],[BER_IN]]</f>
        <v/>
      </c>
      <c r="AK173" s="43" t="n"/>
      <c r="AL173" s="43" t="n"/>
      <c r="AM173" s="32" t="n"/>
      <c r="AN173" s="32">
        <f>Table5[[#This Row],[ (RESV. STORGE) SER]]/10</f>
        <v/>
      </c>
      <c r="AO173" s="68" t="n"/>
      <c r="AP173" s="100">
        <f>Table5[[#This Row],[(A/S) AJD]]-Table5[[#This Row],[SER_IN]]</f>
        <v/>
      </c>
    </row>
    <row r="174" ht="18.75" customHeight="1">
      <c r="A174" s="98" t="n">
        <v>47291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Table5[[#This Row],[ (T/B) SAR]]+Table5[[#This Row],[ (S/S) SAR]]</f>
        <v/>
      </c>
      <c r="L174" s="45" t="n"/>
      <c r="M174" s="46" t="n"/>
      <c r="N174" s="46" t="n"/>
      <c r="O174" s="40" t="n"/>
      <c r="P174" s="3">
        <f>Table5[[#This Row],[ (S/S) SAR]]-Table5[[#This Row],[(S/S) AJD]]</f>
        <v/>
      </c>
      <c r="Q174" s="40" t="n"/>
      <c r="R174" s="3">
        <f>Table5[[#This Row],[ (T/B) SAR]]-Table5[[#This Row],[(T/B) AJD]]</f>
        <v/>
      </c>
      <c r="S174" s="3">
        <f>Table5[[#This Row],[S/S_CON.]]+Table5[[#This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Table5[[#This Row],[(RESV. STORGE) AJD]]/10</f>
        <v/>
      </c>
      <c r="AB174" s="3">
        <f>IF(TRIM(Z174)="",,(Z174-Z173)/1000)</f>
        <v/>
      </c>
      <c r="AC174" s="5" t="n"/>
      <c r="AD174" s="40">
        <f>(Table5[[#This Row],[( S/S+T/B) AJD]]*1000)-((Table5[[#This Row],[(STORGE DIFF.) AJD]]*1000)+Table5[[#This Row],[AJD_Evaporation]]+(Table5[[#This Row],[(A/B + A/S) AJD]]*1000))</f>
        <v/>
      </c>
      <c r="AE174" s="44" t="n"/>
      <c r="AF174" s="45" t="n"/>
      <c r="AG174" s="45" t="n"/>
      <c r="AH174" s="6">
        <f>Table5[[#This Row],[ (RESV. STORGE) BER]]/10</f>
        <v/>
      </c>
      <c r="AI174" s="44" t="n"/>
      <c r="AJ174" s="44">
        <f>Table5[[#This Row],[(A/B) AJD]]-Table5[[#This Row],[BER_IN]]</f>
        <v/>
      </c>
      <c r="AK174" s="45" t="n"/>
      <c r="AL174" s="45" t="n"/>
      <c r="AM174" s="32" t="n"/>
      <c r="AN174" s="32">
        <f>Table5[[#This Row],[ (RESV. STORGE) SER]]/10</f>
        <v/>
      </c>
      <c r="AO174" s="68" t="n"/>
      <c r="AP174" s="100">
        <f>Table5[[#This Row],[(A/S) AJD]]-Table5[[#This Row],[SER_IN]]</f>
        <v/>
      </c>
    </row>
    <row r="175" ht="18.75" customHeight="1">
      <c r="A175" s="98" t="n">
        <v>47292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Table5[[#This Row],[ (T/B) SAR]]+Table5[[#This Row],[ (S/S) SAR]]</f>
        <v/>
      </c>
      <c r="L175" s="41" t="n"/>
      <c r="M175" s="42" t="n"/>
      <c r="N175" s="42" t="n"/>
      <c r="O175" s="39" t="n"/>
      <c r="P175" s="3">
        <f>Table5[[#This Row],[ (S/S) SAR]]-Table5[[#This Row],[(S/S) AJD]]</f>
        <v/>
      </c>
      <c r="Q175" s="39" t="n"/>
      <c r="R175" s="3">
        <f>Table5[[#This Row],[ (T/B) SAR]]-Table5[[#This Row],[(T/B) AJD]]</f>
        <v/>
      </c>
      <c r="S175" s="3">
        <f>Table5[[#This Row],[S/S_CON.]]+Table5[[#This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Table5[[#This Row],[(RESV. STORGE) AJD]]/10</f>
        <v/>
      </c>
      <c r="AB175" s="3">
        <f>IF(TRIM(Z175)="",,(Z175-Z174)/1000)</f>
        <v/>
      </c>
      <c r="AC175" s="5" t="n"/>
      <c r="AD175" s="39">
        <f>(Table5[[#This Row],[( S/S+T/B) AJD]]*1000)-((Table5[[#This Row],[(STORGE DIFF.) AJD]]*1000)+Table5[[#This Row],[AJD_Evaporation]]+(Table5[[#This Row],[(A/B + A/S) AJD]]*1000))</f>
        <v/>
      </c>
      <c r="AE175" s="41" t="n"/>
      <c r="AF175" s="43" t="n"/>
      <c r="AG175" s="43" t="n"/>
      <c r="AH175" s="6">
        <f>Table5[[#This Row],[ (RESV. STORGE) BER]]/10</f>
        <v/>
      </c>
      <c r="AI175" s="41" t="n"/>
      <c r="AJ175" s="41">
        <f>Table5[[#This Row],[(A/B) AJD]]-Table5[[#This Row],[BER_IN]]</f>
        <v/>
      </c>
      <c r="AK175" s="43" t="n"/>
      <c r="AL175" s="43" t="n"/>
      <c r="AM175" s="32" t="n"/>
      <c r="AN175" s="32">
        <f>Table5[[#This Row],[ (RESV. STORGE) SER]]/10</f>
        <v/>
      </c>
      <c r="AO175" s="68" t="n"/>
      <c r="AP175" s="100">
        <f>Table5[[#This Row],[(A/S) AJD]]-Table5[[#This Row],[SER_IN]]</f>
        <v/>
      </c>
    </row>
    <row r="176" ht="18.75" customHeight="1">
      <c r="A176" s="98" t="n">
        <v>47293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Table5[[#This Row],[ (T/B) SAR]]+Table5[[#This Row],[ (S/S) SAR]]</f>
        <v/>
      </c>
      <c r="L176" s="45" t="n"/>
      <c r="M176" s="46" t="n"/>
      <c r="N176" s="46" t="n"/>
      <c r="O176" s="40" t="n"/>
      <c r="P176" s="3">
        <f>Table5[[#This Row],[ (S/S) SAR]]-Table5[[#This Row],[(S/S) AJD]]</f>
        <v/>
      </c>
      <c r="Q176" s="40" t="n"/>
      <c r="R176" s="3">
        <f>Table5[[#This Row],[ (T/B) SAR]]-Table5[[#This Row],[(T/B) AJD]]</f>
        <v/>
      </c>
      <c r="S176" s="3">
        <f>Table5[[#This Row],[S/S_CON.]]+Table5[[#This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Table5[[#This Row],[(RESV. STORGE) AJD]]/10</f>
        <v/>
      </c>
      <c r="AB176" s="3">
        <f>IF(TRIM(Z176)="",,(Z176-Z175)/1000)</f>
        <v/>
      </c>
      <c r="AC176" s="5" t="n"/>
      <c r="AD176" s="40">
        <f>(Table5[[#This Row],[( S/S+T/B) AJD]]*1000)-((Table5[[#This Row],[(STORGE DIFF.) AJD]]*1000)+Table5[[#This Row],[AJD_Evaporation]]+(Table5[[#This Row],[(A/B + A/S) AJD]]*1000))</f>
        <v/>
      </c>
      <c r="AE176" s="44" t="n"/>
      <c r="AF176" s="45" t="n"/>
      <c r="AG176" s="45" t="n"/>
      <c r="AH176" s="6">
        <f>Table5[[#This Row],[ (RESV. STORGE) BER]]/10</f>
        <v/>
      </c>
      <c r="AI176" s="44" t="n"/>
      <c r="AJ176" s="44">
        <f>Table5[[#This Row],[(A/B) AJD]]-Table5[[#This Row],[BER_IN]]</f>
        <v/>
      </c>
      <c r="AK176" s="45" t="n"/>
      <c r="AL176" s="45" t="n"/>
      <c r="AM176" s="32" t="n"/>
      <c r="AN176" s="32">
        <f>Table5[[#This Row],[ (RESV. STORGE) SER]]/10</f>
        <v/>
      </c>
      <c r="AO176" s="68" t="n"/>
      <c r="AP176" s="100">
        <f>Table5[[#This Row],[(A/S) AJD]]-Table5[[#This Row],[SER_IN]]</f>
        <v/>
      </c>
    </row>
    <row r="177" ht="18.75" customHeight="1">
      <c r="A177" s="98" t="n">
        <v>47294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Table5[[#This Row],[ (T/B) SAR]]+Table5[[#This Row],[ (S/S) SAR]]</f>
        <v/>
      </c>
      <c r="L177" s="41" t="n"/>
      <c r="M177" s="42" t="n"/>
      <c r="N177" s="42" t="n"/>
      <c r="O177" s="39" t="n"/>
      <c r="P177" s="3">
        <f>Table5[[#This Row],[ (S/S) SAR]]-Table5[[#This Row],[(S/S) AJD]]</f>
        <v/>
      </c>
      <c r="Q177" s="39" t="n"/>
      <c r="R177" s="3">
        <f>Table5[[#This Row],[ (T/B) SAR]]-Table5[[#This Row],[(T/B) AJD]]</f>
        <v/>
      </c>
      <c r="S177" s="3">
        <f>Table5[[#This Row],[S/S_CON.]]+Table5[[#This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Table5[[#This Row],[(RESV. STORGE) AJD]]/10</f>
        <v/>
      </c>
      <c r="AB177" s="3">
        <f>IF(TRIM(Z177)="",,(Z177-Z176)/1000)</f>
        <v/>
      </c>
      <c r="AC177" s="5" t="n"/>
      <c r="AD177" s="39">
        <f>(Table5[[#This Row],[( S/S+T/B) AJD]]*1000)-((Table5[[#This Row],[(STORGE DIFF.) AJD]]*1000)+Table5[[#This Row],[AJD_Evaporation]]+(Table5[[#This Row],[(A/B + A/S) AJD]]*1000))</f>
        <v/>
      </c>
      <c r="AE177" s="41" t="n"/>
      <c r="AF177" s="43" t="n"/>
      <c r="AG177" s="43" t="n"/>
      <c r="AH177" s="6">
        <f>Table5[[#This Row],[ (RESV. STORGE) BER]]/10</f>
        <v/>
      </c>
      <c r="AI177" s="41" t="n"/>
      <c r="AJ177" s="41">
        <f>Table5[[#This Row],[(A/B) AJD]]-Table5[[#This Row],[BER_IN]]</f>
        <v/>
      </c>
      <c r="AK177" s="43" t="n"/>
      <c r="AL177" s="43" t="n"/>
      <c r="AM177" s="32" t="n"/>
      <c r="AN177" s="32">
        <f>Table5[[#This Row],[ (RESV. STORGE) SER]]/10</f>
        <v/>
      </c>
      <c r="AO177" s="68" t="n"/>
      <c r="AP177" s="100">
        <f>Table5[[#This Row],[(A/S) AJD]]-Table5[[#This Row],[SER_IN]]</f>
        <v/>
      </c>
    </row>
    <row r="178" ht="18.75" customHeight="1">
      <c r="A178" s="98" t="n">
        <v>47295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Table5[[#This Row],[ (T/B) SAR]]+Table5[[#This Row],[ (S/S) SAR]]</f>
        <v/>
      </c>
      <c r="L178" s="45" t="n"/>
      <c r="M178" s="46" t="n"/>
      <c r="N178" s="46" t="n"/>
      <c r="O178" s="40" t="n"/>
      <c r="P178" s="3">
        <f>Table5[[#This Row],[ (S/S) SAR]]-Table5[[#This Row],[(S/S) AJD]]</f>
        <v/>
      </c>
      <c r="Q178" s="40" t="n"/>
      <c r="R178" s="3">
        <f>Table5[[#This Row],[ (T/B) SAR]]-Table5[[#This Row],[(T/B) AJD]]</f>
        <v/>
      </c>
      <c r="S178" s="3">
        <f>Table5[[#This Row],[S/S_CON.]]+Table5[[#This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Table5[[#This Row],[(RESV. STORGE) AJD]]/10</f>
        <v/>
      </c>
      <c r="AB178" s="3">
        <f>IF(TRIM(Z178)="",,(Z178-Z177)/1000)</f>
        <v/>
      </c>
      <c r="AC178" s="5" t="n"/>
      <c r="AD178" s="40">
        <f>(Table5[[#This Row],[( S/S+T/B) AJD]]*1000)-((Table5[[#This Row],[(STORGE DIFF.) AJD]]*1000)+Table5[[#This Row],[AJD_Evaporation]]+(Table5[[#This Row],[(A/B + A/S) AJD]]*1000))</f>
        <v/>
      </c>
      <c r="AE178" s="44" t="n"/>
      <c r="AF178" s="45" t="n"/>
      <c r="AG178" s="45" t="n"/>
      <c r="AH178" s="6">
        <f>Table5[[#This Row],[ (RESV. STORGE) BER]]/10</f>
        <v/>
      </c>
      <c r="AI178" s="44" t="n"/>
      <c r="AJ178" s="44">
        <f>Table5[[#This Row],[(A/B) AJD]]-Table5[[#This Row],[BER_IN]]</f>
        <v/>
      </c>
      <c r="AK178" s="45" t="n"/>
      <c r="AL178" s="45" t="n"/>
      <c r="AM178" s="32" t="n"/>
      <c r="AN178" s="32">
        <f>Table5[[#This Row],[ (RESV. STORGE) SER]]/10</f>
        <v/>
      </c>
      <c r="AO178" s="68" t="n"/>
      <c r="AP178" s="100">
        <f>Table5[[#This Row],[(A/S) AJD]]-Table5[[#This Row],[SER_IN]]</f>
        <v/>
      </c>
    </row>
    <row r="179" ht="18.75" customHeight="1">
      <c r="A179" s="98" t="n">
        <v>47296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Table5[[#This Row],[ (T/B) SAR]]+Table5[[#This Row],[ (S/S) SAR]]</f>
        <v/>
      </c>
      <c r="L179" s="41" t="n"/>
      <c r="M179" s="42" t="n"/>
      <c r="N179" s="42" t="n"/>
      <c r="O179" s="39" t="n"/>
      <c r="P179" s="3">
        <f>Table5[[#This Row],[ (S/S) SAR]]-Table5[[#This Row],[(S/S) AJD]]</f>
        <v/>
      </c>
      <c r="Q179" s="39" t="n"/>
      <c r="R179" s="3">
        <f>Table5[[#This Row],[ (T/B) SAR]]-Table5[[#This Row],[(T/B) AJD]]</f>
        <v/>
      </c>
      <c r="S179" s="3">
        <f>Table5[[#This Row],[S/S_CON.]]+Table5[[#This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Table5[[#This Row],[(RESV. STORGE) AJD]]/10</f>
        <v/>
      </c>
      <c r="AB179" s="3">
        <f>IF(TRIM(Z179)="",,(Z179-Z178)/1000)</f>
        <v/>
      </c>
      <c r="AC179" s="5" t="n"/>
      <c r="AD179" s="39">
        <f>(Table5[[#This Row],[( S/S+T/B) AJD]]*1000)-((Table5[[#This Row],[(STORGE DIFF.) AJD]]*1000)+Table5[[#This Row],[AJD_Evaporation]]+(Table5[[#This Row],[(A/B + A/S) AJD]]*1000))</f>
        <v/>
      </c>
      <c r="AE179" s="41" t="n"/>
      <c r="AF179" s="43" t="n"/>
      <c r="AG179" s="43" t="n"/>
      <c r="AH179" s="6">
        <f>Table5[[#This Row],[ (RESV. STORGE) BER]]/10</f>
        <v/>
      </c>
      <c r="AI179" s="41" t="n"/>
      <c r="AJ179" s="41">
        <f>Table5[[#This Row],[(A/B) AJD]]-Table5[[#This Row],[BER_IN]]</f>
        <v/>
      </c>
      <c r="AK179" s="43" t="n"/>
      <c r="AL179" s="43" t="n"/>
      <c r="AM179" s="32" t="n"/>
      <c r="AN179" s="32">
        <f>Table5[[#This Row],[ (RESV. STORGE) SER]]/10</f>
        <v/>
      </c>
      <c r="AO179" s="68" t="n"/>
      <c r="AP179" s="100">
        <f>Table5[[#This Row],[(A/S) AJD]]-Table5[[#This Row],[SER_IN]]</f>
        <v/>
      </c>
    </row>
    <row r="180" ht="18.75" customHeight="1">
      <c r="A180" s="98" t="n">
        <v>47297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Table5[[#This Row],[ (T/B) SAR]]+Table5[[#This Row],[ (S/S) SAR]]</f>
        <v/>
      </c>
      <c r="L180" s="45" t="n"/>
      <c r="M180" s="46" t="n"/>
      <c r="N180" s="46" t="n"/>
      <c r="O180" s="40" t="n"/>
      <c r="P180" s="3">
        <f>Table5[[#This Row],[ (S/S) SAR]]-Table5[[#This Row],[(S/S) AJD]]</f>
        <v/>
      </c>
      <c r="Q180" s="40" t="n"/>
      <c r="R180" s="3">
        <f>Table5[[#This Row],[ (T/B) SAR]]-Table5[[#This Row],[(T/B) AJD]]</f>
        <v/>
      </c>
      <c r="S180" s="3">
        <f>Table5[[#This Row],[S/S_CON.]]+Table5[[#This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Table5[[#This Row],[(RESV. STORGE) AJD]]/10</f>
        <v/>
      </c>
      <c r="AB180" s="3">
        <f>IF(TRIM(Z180)="",,(Z180-Z179)/1000)</f>
        <v/>
      </c>
      <c r="AC180" s="5" t="n"/>
      <c r="AD180" s="40">
        <f>(Table5[[#This Row],[( S/S+T/B) AJD]]*1000)-((Table5[[#This Row],[(STORGE DIFF.) AJD]]*1000)+Table5[[#This Row],[AJD_Evaporation]]+(Table5[[#This Row],[(A/B + A/S) AJD]]*1000))</f>
        <v/>
      </c>
      <c r="AE180" s="44" t="n"/>
      <c r="AF180" s="45" t="n"/>
      <c r="AG180" s="45" t="n"/>
      <c r="AH180" s="6">
        <f>Table5[[#This Row],[ (RESV. STORGE) BER]]/10</f>
        <v/>
      </c>
      <c r="AI180" s="44" t="n"/>
      <c r="AJ180" s="44">
        <f>Table5[[#This Row],[(A/B) AJD]]-Table5[[#This Row],[BER_IN]]</f>
        <v/>
      </c>
      <c r="AK180" s="45" t="n"/>
      <c r="AL180" s="45" t="n"/>
      <c r="AM180" s="32" t="n"/>
      <c r="AN180" s="32">
        <f>Table5[[#This Row],[ (RESV. STORGE) SER]]/10</f>
        <v/>
      </c>
      <c r="AO180" s="68" t="n"/>
      <c r="AP180" s="100">
        <f>Table5[[#This Row],[(A/S) AJD]]-Table5[[#This Row],[SER_IN]]</f>
        <v/>
      </c>
    </row>
    <row r="181" ht="18.75" customHeight="1">
      <c r="A181" s="98" t="n">
        <v>47298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Table5[[#This Row],[ (T/B) SAR]]+Table5[[#This Row],[ (S/S) SAR]]</f>
        <v/>
      </c>
      <c r="L181" s="41" t="n"/>
      <c r="M181" s="42" t="n"/>
      <c r="N181" s="42" t="n"/>
      <c r="O181" s="39" t="n"/>
      <c r="P181" s="3">
        <f>Table5[[#This Row],[ (S/S) SAR]]-Table5[[#This Row],[(S/S) AJD]]</f>
        <v/>
      </c>
      <c r="Q181" s="39" t="n"/>
      <c r="R181" s="3">
        <f>Table5[[#This Row],[ (T/B) SAR]]-Table5[[#This Row],[(T/B) AJD]]</f>
        <v/>
      </c>
      <c r="S181" s="3">
        <f>Table5[[#This Row],[S/S_CON.]]+Table5[[#This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Table5[[#This Row],[(RESV. STORGE) AJD]]/10</f>
        <v/>
      </c>
      <c r="AB181" s="3">
        <f>IF(TRIM(Z181)="",,(Z181-Z180)/1000)</f>
        <v/>
      </c>
      <c r="AC181" s="5" t="n"/>
      <c r="AD181" s="39">
        <f>(Table5[[#This Row],[( S/S+T/B) AJD]]*1000)-((Table5[[#This Row],[(STORGE DIFF.) AJD]]*1000)+Table5[[#This Row],[AJD_Evaporation]]+(Table5[[#This Row],[(A/B + A/S) AJD]]*1000))</f>
        <v/>
      </c>
      <c r="AE181" s="41" t="n"/>
      <c r="AF181" s="43" t="n"/>
      <c r="AG181" s="43" t="n"/>
      <c r="AH181" s="6">
        <f>Table5[[#This Row],[ (RESV. STORGE) BER]]/10</f>
        <v/>
      </c>
      <c r="AI181" s="41" t="n"/>
      <c r="AJ181" s="41">
        <f>Table5[[#This Row],[(A/B) AJD]]-Table5[[#This Row],[BER_IN]]</f>
        <v/>
      </c>
      <c r="AK181" s="43" t="n"/>
      <c r="AL181" s="43" t="n"/>
      <c r="AM181" s="32" t="n"/>
      <c r="AN181" s="32">
        <f>Table5[[#This Row],[ (RESV. STORGE) SER]]/10</f>
        <v/>
      </c>
      <c r="AO181" s="68" t="n"/>
      <c r="AP181" s="100">
        <f>Table5[[#This Row],[(A/S) AJD]]-Table5[[#This Row],[SER_IN]]</f>
        <v/>
      </c>
    </row>
    <row r="182" ht="18.75" customHeight="1">
      <c r="A182" s="98" t="n">
        <v>47299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Table5[[#This Row],[ (T/B) SAR]]+Table5[[#This Row],[ (S/S) SAR]]</f>
        <v/>
      </c>
      <c r="L182" s="45" t="n"/>
      <c r="M182" s="46" t="n"/>
      <c r="N182" s="46" t="n"/>
      <c r="O182" s="40" t="n"/>
      <c r="P182" s="3">
        <f>Table5[[#This Row],[ (S/S) SAR]]-Table5[[#This Row],[(S/S) AJD]]</f>
        <v/>
      </c>
      <c r="Q182" s="40" t="n"/>
      <c r="R182" s="3">
        <f>Table5[[#This Row],[ (T/B) SAR]]-Table5[[#This Row],[(T/B) AJD]]</f>
        <v/>
      </c>
      <c r="S182" s="3">
        <f>Table5[[#This Row],[S/S_CON.]]+Table5[[#This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Table5[[#This Row],[(RESV. STORGE) AJD]]/10</f>
        <v/>
      </c>
      <c r="AB182" s="3">
        <f>IF(TRIM(Z182)="",,(Z182-Z181)/1000)</f>
        <v/>
      </c>
      <c r="AC182" s="5" t="n"/>
      <c r="AD182" s="40">
        <f>(Table5[[#This Row],[( S/S+T/B) AJD]]*1000)-((Table5[[#This Row],[(STORGE DIFF.) AJD]]*1000)+Table5[[#This Row],[AJD_Evaporation]]+(Table5[[#This Row],[(A/B + A/S) AJD]]*1000))</f>
        <v/>
      </c>
      <c r="AE182" s="44" t="n"/>
      <c r="AF182" s="45" t="n"/>
      <c r="AG182" s="45" t="n"/>
      <c r="AH182" s="6">
        <f>Table5[[#This Row],[ (RESV. STORGE) BER]]/10</f>
        <v/>
      </c>
      <c r="AI182" s="44" t="n"/>
      <c r="AJ182" s="44">
        <f>Table5[[#This Row],[(A/B) AJD]]-Table5[[#This Row],[BER_IN]]</f>
        <v/>
      </c>
      <c r="AK182" s="45" t="n"/>
      <c r="AL182" s="45" t="n"/>
      <c r="AM182" s="32" t="n"/>
      <c r="AN182" s="32">
        <f>Table5[[#This Row],[ (RESV. STORGE) SER]]/10</f>
        <v/>
      </c>
      <c r="AO182" s="68" t="n"/>
      <c r="AP182" s="100">
        <f>Table5[[#This Row],[(A/S) AJD]]-Table5[[#This Row],[SER_IN]]</f>
        <v/>
      </c>
    </row>
    <row r="183" ht="18.75" customHeight="1">
      <c r="A183" s="98" t="n">
        <v>47300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Table5[[#This Row],[ (T/B) SAR]]+Table5[[#This Row],[ (S/S) SAR]]</f>
        <v/>
      </c>
      <c r="L183" s="41" t="n"/>
      <c r="M183" s="42" t="n"/>
      <c r="N183" s="42" t="n"/>
      <c r="O183" s="39" t="n"/>
      <c r="P183" s="12">
        <f>Table5[[#This Row],[ (S/S) SAR]]-Table5[[#This Row],[(S/S) AJD]]</f>
        <v/>
      </c>
      <c r="Q183" s="39" t="n"/>
      <c r="R183" s="12">
        <f>Table5[[#This Row],[ (T/B) SAR]]-Table5[[#This Row],[(T/B) AJD]]</f>
        <v/>
      </c>
      <c r="S183" s="12">
        <f>Table5[[#This Row],[S/S_CON.]]+Table5[[#This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Table5[[#This Row],[(RESV. STORGE) AJD]]/10</f>
        <v/>
      </c>
      <c r="AB183" s="3">
        <f>IF(TRIM(Z183)="",,(Z183-Z182)/1000)</f>
        <v/>
      </c>
      <c r="AC183" s="5" t="n"/>
      <c r="AD183" s="39">
        <f>(Table5[[#This Row],[( S/S+T/B) AJD]]*1000)-((Table5[[#This Row],[(STORGE DIFF.) AJD]]*1000)+Table5[[#This Row],[AJD_Evaporation]]+(Table5[[#This Row],[(A/B + A/S) AJD]]*1000))</f>
        <v/>
      </c>
      <c r="AE183" s="41" t="n"/>
      <c r="AF183" s="43" t="n"/>
      <c r="AG183" s="43" t="n"/>
      <c r="AH183" s="6">
        <f>Table5[[#This Row],[ (RESV. STORGE) BER]]/10</f>
        <v/>
      </c>
      <c r="AI183" s="41" t="n"/>
      <c r="AJ183" s="41">
        <f>Table5[[#This Row],[(A/B) AJD]]-Table5[[#This Row],[BER_IN]]</f>
        <v/>
      </c>
      <c r="AK183" s="43" t="n"/>
      <c r="AL183" s="43" t="n"/>
      <c r="AM183" s="32" t="n"/>
      <c r="AN183" s="32">
        <f>Table5[[#This Row],[ (RESV. STORGE) SER]]/10</f>
        <v/>
      </c>
      <c r="AO183" s="68" t="n"/>
      <c r="AP183" s="100">
        <f>Table5[[#This Row],[(A/S) AJD]]-Table5[[#This Row],[SER_IN]]</f>
        <v/>
      </c>
    </row>
    <row r="184" ht="18.75" customHeight="1">
      <c r="A184" s="98" t="n">
        <v>47301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Table5[[#This Row],[ (T/B) SAR]]+Table5[[#This Row],[ (S/S) SAR]]</f>
        <v/>
      </c>
      <c r="L184" s="45" t="n"/>
      <c r="M184" s="46" t="n"/>
      <c r="N184" s="46" t="n"/>
      <c r="O184" s="40" t="n"/>
      <c r="P184" s="12">
        <f>Table5[[#This Row],[ (S/S) SAR]]-Table5[[#This Row],[(S/S) AJD]]</f>
        <v/>
      </c>
      <c r="Q184" s="40" t="n"/>
      <c r="R184" s="12">
        <f>Table5[[#This Row],[ (T/B) SAR]]-Table5[[#This Row],[(T/B) AJD]]</f>
        <v/>
      </c>
      <c r="S184" s="12">
        <f>Table5[[#This Row],[S/S_CON.]]+Table5[[#This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Table5[[#This Row],[(RESV. STORGE) AJD]]/10</f>
        <v/>
      </c>
      <c r="AB184" s="3">
        <f>IF(TRIM(Z184)="",,(Z184-Z183)/1000)</f>
        <v/>
      </c>
      <c r="AC184" s="5" t="n"/>
      <c r="AD184" s="40">
        <f>(Table5[[#This Row],[( S/S+T/B) AJD]]*1000)-((Table5[[#This Row],[(STORGE DIFF.) AJD]]*1000)+Table5[[#This Row],[AJD_Evaporation]]+(Table5[[#This Row],[(A/B + A/S) AJD]]*1000))</f>
        <v/>
      </c>
      <c r="AE184" s="44" t="n"/>
      <c r="AF184" s="45" t="n"/>
      <c r="AG184" s="45" t="n"/>
      <c r="AH184" s="6">
        <f>Table5[[#This Row],[ (RESV. STORGE) BER]]/10</f>
        <v/>
      </c>
      <c r="AI184" s="44" t="n"/>
      <c r="AJ184" s="44">
        <f>Table5[[#This Row],[(A/B) AJD]]-Table5[[#This Row],[BER_IN]]</f>
        <v/>
      </c>
      <c r="AK184" s="45" t="n"/>
      <c r="AL184" s="45" t="n"/>
      <c r="AM184" s="32" t="n"/>
      <c r="AN184" s="32">
        <f>Table5[[#This Row],[ (RESV. STORGE) SER]]/10</f>
        <v/>
      </c>
      <c r="AO184" s="68" t="n"/>
      <c r="AP184" s="100">
        <f>Table5[[#This Row],[(A/S) AJD]]-Table5[[#This Row],[SER_IN]]</f>
        <v/>
      </c>
    </row>
    <row r="185" ht="18.75" customHeight="1">
      <c r="A185" s="98" t="n">
        <v>47302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Table5[[#This Row],[ (T/B) SAR]]+Table5[[#This Row],[ (S/S) SAR]]</f>
        <v/>
      </c>
      <c r="L185" s="41" t="n"/>
      <c r="M185" s="42" t="n"/>
      <c r="N185" s="42" t="n"/>
      <c r="O185" s="39" t="n"/>
      <c r="P185" s="12">
        <f>Table5[[#This Row],[ (S/S) SAR]]-Table5[[#This Row],[(S/S) AJD]]</f>
        <v/>
      </c>
      <c r="Q185" s="39" t="n"/>
      <c r="R185" s="12">
        <f>Table5[[#This Row],[ (T/B) SAR]]-Table5[[#This Row],[(T/B) AJD]]</f>
        <v/>
      </c>
      <c r="S185" s="12">
        <f>Table5[[#This Row],[S/S_CON.]]+Table5[[#This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Table5[[#This Row],[(RESV. STORGE) AJD]]/10</f>
        <v/>
      </c>
      <c r="AB185" s="3">
        <f>IF(TRIM(Z185)="",,(Z185-Z184)/1000)</f>
        <v/>
      </c>
      <c r="AC185" s="5" t="n"/>
      <c r="AD185" s="39">
        <f>(Table5[[#This Row],[( S/S+T/B) AJD]]*1000)-((Table5[[#This Row],[(STORGE DIFF.) AJD]]*1000)+Table5[[#This Row],[AJD_Evaporation]]+(Table5[[#This Row],[(A/B + A/S) AJD]]*1000))</f>
        <v/>
      </c>
      <c r="AE185" s="41" t="n"/>
      <c r="AF185" s="43" t="n"/>
      <c r="AG185" s="43" t="n"/>
      <c r="AH185" s="6">
        <f>Table5[[#This Row],[ (RESV. STORGE) BER]]/10</f>
        <v/>
      </c>
      <c r="AI185" s="41" t="n"/>
      <c r="AJ185" s="41">
        <f>Table5[[#This Row],[(A/B) AJD]]-Table5[[#This Row],[BER_IN]]</f>
        <v/>
      </c>
      <c r="AK185" s="43" t="n"/>
      <c r="AL185" s="43" t="n"/>
      <c r="AM185" s="32" t="n"/>
      <c r="AN185" s="32">
        <f>Table5[[#This Row],[ (RESV. STORGE) SER]]/10</f>
        <v/>
      </c>
      <c r="AO185" s="68" t="n"/>
      <c r="AP185" s="100">
        <f>Table5[[#This Row],[(A/S) AJD]]-Table5[[#This Row],[SER_IN]]</f>
        <v/>
      </c>
    </row>
    <row r="186" ht="18.75" customHeight="1">
      <c r="A186" s="98" t="n">
        <v>47303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Table5[[#This Row],[ (T/B) SAR]]+Table5[[#This Row],[ (S/S) SAR]]</f>
        <v/>
      </c>
      <c r="L186" s="45" t="n"/>
      <c r="M186" s="46" t="n"/>
      <c r="N186" s="46" t="n"/>
      <c r="O186" s="40" t="n"/>
      <c r="P186" s="12">
        <f>Table5[[#This Row],[ (S/S) SAR]]-Table5[[#This Row],[(S/S) AJD]]</f>
        <v/>
      </c>
      <c r="Q186" s="40" t="n"/>
      <c r="R186" s="12">
        <f>Table5[[#This Row],[ (T/B) SAR]]-Table5[[#This Row],[(T/B) AJD]]</f>
        <v/>
      </c>
      <c r="S186" s="12">
        <f>Table5[[#This Row],[S/S_CON.]]+Table5[[#This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Table5[[#This Row],[(RESV. STORGE) AJD]]/10</f>
        <v/>
      </c>
      <c r="AB186" s="3">
        <f>IF(TRIM(Z186)="",,(Z186-Z185)/1000)</f>
        <v/>
      </c>
      <c r="AC186" s="5" t="n"/>
      <c r="AD186" s="40">
        <f>(Table5[[#This Row],[( S/S+T/B) AJD]]*1000)-((Table5[[#This Row],[(STORGE DIFF.) AJD]]*1000)+Table5[[#This Row],[AJD_Evaporation]]+(Table5[[#This Row],[(A/B + A/S) AJD]]*1000))</f>
        <v/>
      </c>
      <c r="AE186" s="44" t="n"/>
      <c r="AF186" s="45" t="n"/>
      <c r="AG186" s="45" t="n"/>
      <c r="AH186" s="6">
        <f>Table5[[#This Row],[ (RESV. STORGE) BER]]/10</f>
        <v/>
      </c>
      <c r="AI186" s="44" t="n"/>
      <c r="AJ186" s="44">
        <f>Table5[[#This Row],[(A/B) AJD]]-Table5[[#This Row],[BER_IN]]</f>
        <v/>
      </c>
      <c r="AK186" s="45" t="n"/>
      <c r="AL186" s="45" t="n"/>
      <c r="AM186" s="32" t="n"/>
      <c r="AN186" s="32">
        <f>Table5[[#This Row],[ (RESV. STORGE) SER]]/10</f>
        <v/>
      </c>
      <c r="AO186" s="68" t="n"/>
      <c r="AP186" s="100">
        <f>Table5[[#This Row],[(A/S) AJD]]-Table5[[#This Row],[SER_IN]]</f>
        <v/>
      </c>
    </row>
    <row r="187" ht="18.75" customHeight="1">
      <c r="A187" s="98" t="n">
        <v>47304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Table5[[#This Row],[ (T/B) SAR]]+Table5[[#This Row],[ (S/S) SAR]]</f>
        <v/>
      </c>
      <c r="L187" s="41" t="n"/>
      <c r="M187" s="42" t="n"/>
      <c r="N187" s="42" t="n"/>
      <c r="O187" s="39" t="n"/>
      <c r="P187" s="12">
        <f>Table5[[#This Row],[ (S/S) SAR]]-Table5[[#This Row],[(S/S) AJD]]</f>
        <v/>
      </c>
      <c r="Q187" s="39" t="n"/>
      <c r="R187" s="12">
        <f>Table5[[#This Row],[ (T/B) SAR]]-Table5[[#This Row],[(T/B) AJD]]</f>
        <v/>
      </c>
      <c r="S187" s="12">
        <f>Table5[[#This Row],[S/S_CON.]]+Table5[[#This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Table5[[#This Row],[(RESV. STORGE) AJD]]/10</f>
        <v/>
      </c>
      <c r="AB187" s="3">
        <f>IF(TRIM(Z187)="",,(Z187-Z186)/1000)</f>
        <v/>
      </c>
      <c r="AC187" s="5" t="n"/>
      <c r="AD187" s="39">
        <f>(Table5[[#This Row],[( S/S+T/B) AJD]]*1000)-((Table5[[#This Row],[(STORGE DIFF.) AJD]]*1000)+Table5[[#This Row],[AJD_Evaporation]]+(Table5[[#This Row],[(A/B + A/S) AJD]]*1000))</f>
        <v/>
      </c>
      <c r="AE187" s="41" t="n"/>
      <c r="AF187" s="43" t="n"/>
      <c r="AG187" s="43" t="n"/>
      <c r="AH187" s="6">
        <f>Table5[[#This Row],[ (RESV. STORGE) BER]]/10</f>
        <v/>
      </c>
      <c r="AI187" s="41" t="n"/>
      <c r="AJ187" s="41">
        <f>Table5[[#This Row],[(A/B) AJD]]-Table5[[#This Row],[BER_IN]]</f>
        <v/>
      </c>
      <c r="AK187" s="43" t="n"/>
      <c r="AL187" s="43" t="n"/>
      <c r="AM187" s="32" t="n"/>
      <c r="AN187" s="32">
        <f>Table5[[#This Row],[ (RESV. STORGE) SER]]/10</f>
        <v/>
      </c>
      <c r="AO187" s="68" t="n"/>
      <c r="AP187" s="100">
        <f>Table5[[#This Row],[(A/S) AJD]]-Table5[[#This Row],[SER_IN]]</f>
        <v/>
      </c>
    </row>
    <row r="188" ht="18.75" customHeight="1">
      <c r="A188" s="98" t="n">
        <v>47305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Table5[[#This Row],[ (T/B) SAR]]+Table5[[#This Row],[ (S/S) SAR]]</f>
        <v/>
      </c>
      <c r="L188" s="45" t="n"/>
      <c r="M188" s="46" t="n"/>
      <c r="N188" s="46" t="n"/>
      <c r="O188" s="40" t="n"/>
      <c r="P188" s="12">
        <f>Table5[[#This Row],[ (S/S) SAR]]-Table5[[#This Row],[(S/S) AJD]]</f>
        <v/>
      </c>
      <c r="Q188" s="40" t="n"/>
      <c r="R188" s="12">
        <f>Table5[[#This Row],[ (T/B) SAR]]-Table5[[#This Row],[(T/B) AJD]]</f>
        <v/>
      </c>
      <c r="S188" s="12">
        <f>Table5[[#This Row],[S/S_CON.]]+Table5[[#This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Table5[[#This Row],[(RESV. STORGE) AJD]]/10</f>
        <v/>
      </c>
      <c r="AB188" s="3">
        <f>IF(TRIM(Z188)="",,(Z188-Z187)/1000)</f>
        <v/>
      </c>
      <c r="AC188" s="5" t="n"/>
      <c r="AD188" s="40">
        <f>(Table5[[#This Row],[( S/S+T/B) AJD]]*1000)-((Table5[[#This Row],[(STORGE DIFF.) AJD]]*1000)+Table5[[#This Row],[AJD_Evaporation]]+(Table5[[#This Row],[(A/B + A/S) AJD]]*1000))</f>
        <v/>
      </c>
      <c r="AE188" s="44" t="n"/>
      <c r="AF188" s="45" t="n"/>
      <c r="AG188" s="45" t="n"/>
      <c r="AH188" s="6">
        <f>Table5[[#This Row],[ (RESV. STORGE) BER]]/10</f>
        <v/>
      </c>
      <c r="AI188" s="44" t="n"/>
      <c r="AJ188" s="44">
        <f>Table5[[#This Row],[(A/B) AJD]]-Table5[[#This Row],[BER_IN]]</f>
        <v/>
      </c>
      <c r="AK188" s="45" t="n"/>
      <c r="AL188" s="45" t="n"/>
      <c r="AM188" s="32" t="n"/>
      <c r="AN188" s="32">
        <f>Table5[[#This Row],[ (RESV. STORGE) SER]]/10</f>
        <v/>
      </c>
      <c r="AO188" s="68" t="n"/>
      <c r="AP188" s="100">
        <f>Table5[[#This Row],[(A/S) AJD]]-Table5[[#This Row],[SER_IN]]</f>
        <v/>
      </c>
    </row>
    <row r="189" ht="18.75" customHeight="1">
      <c r="A189" s="98" t="n">
        <v>47306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Table5[[#This Row],[ (T/B) SAR]]+Table5[[#This Row],[ (S/S) SAR]]</f>
        <v/>
      </c>
      <c r="L189" s="41" t="n"/>
      <c r="M189" s="42" t="n"/>
      <c r="N189" s="42" t="n"/>
      <c r="O189" s="39" t="n"/>
      <c r="P189" s="12">
        <f>Table5[[#This Row],[ (S/S) SAR]]-Table5[[#This Row],[(S/S) AJD]]</f>
        <v/>
      </c>
      <c r="Q189" s="39" t="n"/>
      <c r="R189" s="12">
        <f>Table5[[#This Row],[ (T/B) SAR]]-Table5[[#This Row],[(T/B) AJD]]</f>
        <v/>
      </c>
      <c r="S189" s="12">
        <f>Table5[[#This Row],[S/S_CON.]]+Table5[[#This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Table5[[#This Row],[(RESV. STORGE) AJD]]/10</f>
        <v/>
      </c>
      <c r="AB189" s="3">
        <f>IF(TRIM(Z189)="",,(Z189-Z188)/1000)</f>
        <v/>
      </c>
      <c r="AC189" s="5" t="n"/>
      <c r="AD189" s="39">
        <f>(Table5[[#This Row],[( S/S+T/B) AJD]]*1000)-((Table5[[#This Row],[(STORGE DIFF.) AJD]]*1000)+Table5[[#This Row],[AJD_Evaporation]]+(Table5[[#This Row],[(A/B + A/S) AJD]]*1000))</f>
        <v/>
      </c>
      <c r="AE189" s="41" t="n"/>
      <c r="AF189" s="43" t="n"/>
      <c r="AG189" s="43" t="n"/>
      <c r="AH189" s="6">
        <f>Table5[[#This Row],[ (RESV. STORGE) BER]]/10</f>
        <v/>
      </c>
      <c r="AI189" s="41" t="n"/>
      <c r="AJ189" s="41">
        <f>Table5[[#This Row],[(A/B) AJD]]-Table5[[#This Row],[BER_IN]]</f>
        <v/>
      </c>
      <c r="AK189" s="43" t="n"/>
      <c r="AL189" s="43" t="n"/>
      <c r="AM189" s="32" t="n"/>
      <c r="AN189" s="32">
        <f>Table5[[#This Row],[ (RESV. STORGE) SER]]/10</f>
        <v/>
      </c>
      <c r="AO189" s="68" t="n"/>
      <c r="AP189" s="100">
        <f>Table5[[#This Row],[(A/S) AJD]]-Table5[[#This Row],[SER_IN]]</f>
        <v/>
      </c>
    </row>
    <row r="190" ht="18.75" customHeight="1">
      <c r="A190" s="98" t="n">
        <v>47307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Table5[[#This Row],[ (T/B) SAR]]+Table5[[#This Row],[ (S/S) SAR]]</f>
        <v/>
      </c>
      <c r="L190" s="45" t="n"/>
      <c r="M190" s="46" t="n"/>
      <c r="N190" s="46" t="n"/>
      <c r="O190" s="40" t="n"/>
      <c r="P190" s="12">
        <f>Table5[[#This Row],[ (S/S) SAR]]-Table5[[#This Row],[(S/S) AJD]]</f>
        <v/>
      </c>
      <c r="Q190" s="40" t="n"/>
      <c r="R190" s="12">
        <f>Table5[[#This Row],[ (T/B) SAR]]-Table5[[#This Row],[(T/B) AJD]]</f>
        <v/>
      </c>
      <c r="S190" s="12">
        <f>Table5[[#This Row],[S/S_CON.]]+Table5[[#This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Table5[[#This Row],[(RESV. STORGE) AJD]]/10</f>
        <v/>
      </c>
      <c r="AB190" s="3">
        <f>IF(TRIM(Z190)="",,(Z190-Z189)/1000)</f>
        <v/>
      </c>
      <c r="AC190" s="5" t="n"/>
      <c r="AD190" s="40">
        <f>(Table5[[#This Row],[( S/S+T/B) AJD]]*1000)-((Table5[[#This Row],[(STORGE DIFF.) AJD]]*1000)+Table5[[#This Row],[AJD_Evaporation]]+(Table5[[#This Row],[(A/B + A/S) AJD]]*1000))</f>
        <v/>
      </c>
      <c r="AE190" s="44" t="n"/>
      <c r="AF190" s="45" t="n"/>
      <c r="AG190" s="45" t="n"/>
      <c r="AH190" s="6">
        <f>Table5[[#This Row],[ (RESV. STORGE) BER]]/10</f>
        <v/>
      </c>
      <c r="AI190" s="44" t="n"/>
      <c r="AJ190" s="44">
        <f>Table5[[#This Row],[(A/B) AJD]]-Table5[[#This Row],[BER_IN]]</f>
        <v/>
      </c>
      <c r="AK190" s="45" t="n"/>
      <c r="AL190" s="45" t="n"/>
      <c r="AM190" s="32" t="n"/>
      <c r="AN190" s="32">
        <f>Table5[[#This Row],[ (RESV. STORGE) SER]]/10</f>
        <v/>
      </c>
      <c r="AO190" s="68" t="n"/>
      <c r="AP190" s="100">
        <f>Table5[[#This Row],[(A/S) AJD]]-Table5[[#This Row],[SER_IN]]</f>
        <v/>
      </c>
    </row>
    <row r="191" ht="18.75" customHeight="1">
      <c r="A191" s="98" t="n">
        <v>47308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Table5[[#This Row],[ (T/B) SAR]]+Table5[[#This Row],[ (S/S) SAR]]</f>
        <v/>
      </c>
      <c r="L191" s="41" t="n"/>
      <c r="M191" s="42" t="n"/>
      <c r="N191" s="42" t="n"/>
      <c r="O191" s="39" t="n"/>
      <c r="P191" s="12">
        <f>Table5[[#This Row],[ (S/S) SAR]]-Table5[[#This Row],[(S/S) AJD]]</f>
        <v/>
      </c>
      <c r="Q191" s="39" t="n"/>
      <c r="R191" s="12">
        <f>Table5[[#This Row],[ (T/B) SAR]]-Table5[[#This Row],[(T/B) AJD]]</f>
        <v/>
      </c>
      <c r="S191" s="12">
        <f>Table5[[#This Row],[S/S_CON.]]+Table5[[#This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Table5[[#This Row],[(RESV. STORGE) AJD]]/10</f>
        <v/>
      </c>
      <c r="AB191" s="3">
        <f>IF(TRIM(Z191)="",,(Z191-Z190)/1000)</f>
        <v/>
      </c>
      <c r="AC191" s="5" t="n"/>
      <c r="AD191" s="39">
        <f>(Table5[[#This Row],[( S/S+T/B) AJD]]*1000)-((Table5[[#This Row],[(STORGE DIFF.) AJD]]*1000)+Table5[[#This Row],[AJD_Evaporation]]+(Table5[[#This Row],[(A/B + A/S) AJD]]*1000))</f>
        <v/>
      </c>
      <c r="AE191" s="41" t="n"/>
      <c r="AF191" s="43" t="n"/>
      <c r="AG191" s="43" t="n"/>
      <c r="AH191" s="6">
        <f>Table5[[#This Row],[ (RESV. STORGE) BER]]/10</f>
        <v/>
      </c>
      <c r="AI191" s="41" t="n"/>
      <c r="AJ191" s="41">
        <f>Table5[[#This Row],[(A/B) AJD]]-Table5[[#This Row],[BER_IN]]</f>
        <v/>
      </c>
      <c r="AK191" s="43" t="n"/>
      <c r="AL191" s="43" t="n"/>
      <c r="AM191" s="32" t="n"/>
      <c r="AN191" s="32">
        <f>Table5[[#This Row],[ (RESV. STORGE) SER]]/10</f>
        <v/>
      </c>
      <c r="AO191" s="68" t="n"/>
      <c r="AP191" s="100">
        <f>Table5[[#This Row],[(A/S) AJD]]-Table5[[#This Row],[SER_IN]]</f>
        <v/>
      </c>
    </row>
    <row r="192" ht="18.75" customHeight="1">
      <c r="A192" s="98" t="n">
        <v>47309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Table5[[#This Row],[ (T/B) SAR]]+Table5[[#This Row],[ (S/S) SAR]]</f>
        <v/>
      </c>
      <c r="L192" s="45" t="n"/>
      <c r="M192" s="46" t="n"/>
      <c r="N192" s="46" t="n"/>
      <c r="O192" s="40" t="n"/>
      <c r="P192" s="12">
        <f>Table5[[#This Row],[ (S/S) SAR]]-Table5[[#This Row],[(S/S) AJD]]</f>
        <v/>
      </c>
      <c r="Q192" s="40" t="n"/>
      <c r="R192" s="12">
        <f>Table5[[#This Row],[ (T/B) SAR]]-Table5[[#This Row],[(T/B) AJD]]</f>
        <v/>
      </c>
      <c r="S192" s="12">
        <f>Table5[[#This Row],[S/S_CON.]]+Table5[[#This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Table5[[#This Row],[(RESV. STORGE) AJD]]/10</f>
        <v/>
      </c>
      <c r="AB192" s="3">
        <f>IF(TRIM(Z192)="",,(Z192-Z191)/1000)</f>
        <v/>
      </c>
      <c r="AC192" s="5" t="n"/>
      <c r="AD192" s="40">
        <f>(Table5[[#This Row],[( S/S+T/B) AJD]]*1000)-((Table5[[#This Row],[(STORGE DIFF.) AJD]]*1000)+Table5[[#This Row],[AJD_Evaporation]]+(Table5[[#This Row],[(A/B + A/S) AJD]]*1000))</f>
        <v/>
      </c>
      <c r="AE192" s="44" t="n"/>
      <c r="AF192" s="45" t="n"/>
      <c r="AG192" s="45" t="n"/>
      <c r="AH192" s="6">
        <f>Table5[[#This Row],[ (RESV. STORGE) BER]]/10</f>
        <v/>
      </c>
      <c r="AI192" s="44" t="n"/>
      <c r="AJ192" s="44">
        <f>Table5[[#This Row],[(A/B) AJD]]-Table5[[#This Row],[BER_IN]]</f>
        <v/>
      </c>
      <c r="AK192" s="45" t="n"/>
      <c r="AL192" s="45" t="n"/>
      <c r="AM192" s="32" t="n"/>
      <c r="AN192" s="32">
        <f>Table5[[#This Row],[ (RESV. STORGE) SER]]/10</f>
        <v/>
      </c>
      <c r="AO192" s="68" t="n"/>
      <c r="AP192" s="100">
        <f>Table5[[#This Row],[(A/S) AJD]]-Table5[[#This Row],[SER_IN]]</f>
        <v/>
      </c>
    </row>
    <row r="193" ht="18.75" customHeight="1">
      <c r="A193" s="98" t="n">
        <v>47310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Table5[[#This Row],[ (T/B) SAR]]+Table5[[#This Row],[ (S/S) SAR]]</f>
        <v/>
      </c>
      <c r="L193" s="41" t="n"/>
      <c r="M193" s="42" t="n"/>
      <c r="N193" s="42" t="n"/>
      <c r="O193" s="39" t="n"/>
      <c r="P193" s="12">
        <f>Table5[[#This Row],[ (S/S) SAR]]-Table5[[#This Row],[(S/S) AJD]]</f>
        <v/>
      </c>
      <c r="Q193" s="39" t="n"/>
      <c r="R193" s="12">
        <f>Table5[[#This Row],[ (T/B) SAR]]-Table5[[#This Row],[(T/B) AJD]]</f>
        <v/>
      </c>
      <c r="S193" s="12">
        <f>Table5[[#This Row],[S/S_CON.]]+Table5[[#This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Table5[[#This Row],[(RESV. STORGE) AJD]]/10</f>
        <v/>
      </c>
      <c r="AB193" s="3">
        <f>IF(TRIM(Z193)="",,(Z193-Z192)/1000)</f>
        <v/>
      </c>
      <c r="AC193" s="5" t="n"/>
      <c r="AD193" s="39">
        <f>(Table5[[#This Row],[( S/S+T/B) AJD]]*1000)-((Table5[[#This Row],[(STORGE DIFF.) AJD]]*1000)+Table5[[#This Row],[AJD_Evaporation]]+(Table5[[#This Row],[(A/B + A/S) AJD]]*1000))</f>
        <v/>
      </c>
      <c r="AE193" s="41" t="n"/>
      <c r="AF193" s="43" t="n"/>
      <c r="AG193" s="68" t="n"/>
      <c r="AH193" s="6">
        <f>Table5[[#This Row],[ (RESV. STORGE) BER]]/10</f>
        <v/>
      </c>
      <c r="AI193" s="41" t="n"/>
      <c r="AJ193" s="69">
        <f>Table5[[#This Row],[(A/B) AJD]]-Table5[[#This Row],[BER_IN]]</f>
        <v/>
      </c>
      <c r="AK193" s="43" t="n"/>
      <c r="AL193" s="43" t="n"/>
      <c r="AM193" s="32" t="n"/>
      <c r="AN193" s="32">
        <f>Table5[[#This Row],[ (RESV. STORGE) SER]]/10</f>
        <v/>
      </c>
      <c r="AO193" s="68" t="n"/>
      <c r="AP193" s="100">
        <f>Table5[[#This Row],[(A/S) AJD]]-Table5[[#This Row],[SER_IN]]</f>
        <v/>
      </c>
    </row>
    <row r="194" ht="18.75" customHeight="1">
      <c r="A194" s="98" t="n">
        <v>47311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Table5[[#This Row],[ (T/B) SAR]]+Table5[[#This Row],[ (S/S) SAR]]</f>
        <v/>
      </c>
      <c r="L194" s="45" t="n"/>
      <c r="M194" s="46" t="n"/>
      <c r="N194" s="46" t="n"/>
      <c r="O194" s="40" t="n"/>
      <c r="P194" s="12">
        <f>Table5[[#This Row],[ (S/S) SAR]]-Table5[[#This Row],[(S/S) AJD]]</f>
        <v/>
      </c>
      <c r="Q194" s="40" t="n"/>
      <c r="R194" s="12">
        <f>Table5[[#This Row],[ (T/B) SAR]]-Table5[[#This Row],[(T/B) AJD]]</f>
        <v/>
      </c>
      <c r="S194" s="12">
        <f>Table5[[#This Row],[S/S_CON.]]+Table5[[#This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Table5[[#This Row],[(RESV. STORGE) AJD]]/10</f>
        <v/>
      </c>
      <c r="AB194" s="3">
        <f>IF(TRIM(Z194)="",,(Z194-Z193)/1000)</f>
        <v/>
      </c>
      <c r="AC194" s="5" t="n"/>
      <c r="AD194" s="40">
        <f>(Table5[[#This Row],[( S/S+T/B) AJD]]*1000)-((Table5[[#This Row],[(STORGE DIFF.) AJD]]*1000)+Table5[[#This Row],[AJD_Evaporation]]+(Table5[[#This Row],[(A/B + A/S) AJD]]*1000))</f>
        <v/>
      </c>
      <c r="AE194" s="44" t="n"/>
      <c r="AF194" s="45" t="n"/>
      <c r="AG194" s="45" t="n"/>
      <c r="AH194" s="6">
        <f>Table5[[#This Row],[ (RESV. STORGE) BER]]/10</f>
        <v/>
      </c>
      <c r="AI194" s="44" t="n"/>
      <c r="AJ194" s="44">
        <f>Table5[[#This Row],[(A/B) AJD]]-Table5[[#This Row],[BER_IN]]</f>
        <v/>
      </c>
      <c r="AK194" s="45" t="n"/>
      <c r="AL194" s="45" t="n"/>
      <c r="AM194" s="32" t="n"/>
      <c r="AN194" s="32">
        <f>Table5[[#This Row],[ (RESV. STORGE) SER]]/10</f>
        <v/>
      </c>
      <c r="AO194" s="68" t="n"/>
      <c r="AP194" s="100">
        <f>Table5[[#This Row],[(A/S) AJD]]-Table5[[#This Row],[SER_IN]]</f>
        <v/>
      </c>
    </row>
    <row r="195" ht="18.75" customHeight="1">
      <c r="A195" s="98" t="n">
        <v>47312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Table5[[#This Row],[ (T/B) SAR]]+Table5[[#This Row],[ (S/S) SAR]]</f>
        <v/>
      </c>
      <c r="L195" s="41" t="n"/>
      <c r="M195" s="42" t="n"/>
      <c r="N195" s="42" t="n"/>
      <c r="O195" s="39" t="n"/>
      <c r="P195" s="12">
        <f>Table5[[#This Row],[ (S/S) SAR]]-Table5[[#This Row],[(S/S) AJD]]</f>
        <v/>
      </c>
      <c r="Q195" s="39" t="n"/>
      <c r="R195" s="12">
        <f>Table5[[#This Row],[ (T/B) SAR]]-Table5[[#This Row],[(T/B) AJD]]</f>
        <v/>
      </c>
      <c r="S195" s="12">
        <f>Table5[[#This Row],[S/S_CON.]]+Table5[[#This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Table5[[#This Row],[(RESV. STORGE) AJD]]/10</f>
        <v/>
      </c>
      <c r="AB195" s="3">
        <f>IF(TRIM(Z195)="",,(Z195-Z194)/1000)</f>
        <v/>
      </c>
      <c r="AC195" s="5" t="n"/>
      <c r="AD195" s="39">
        <f>(Table5[[#This Row],[( S/S+T/B) AJD]]*1000)-((Table5[[#This Row],[(STORGE DIFF.) AJD]]*1000)+Table5[[#This Row],[AJD_Evaporation]]+(Table5[[#This Row],[(A/B + A/S) AJD]]*1000))</f>
        <v/>
      </c>
      <c r="AE195" s="41" t="n"/>
      <c r="AF195" s="43" t="n"/>
      <c r="AG195" s="43" t="n"/>
      <c r="AH195" s="6">
        <f>Table5[[#This Row],[ (RESV. STORGE) BER]]/10</f>
        <v/>
      </c>
      <c r="AI195" s="41" t="n"/>
      <c r="AJ195" s="41">
        <f>Table5[[#This Row],[(A/B) AJD]]-Table5[[#This Row],[BER_IN]]</f>
        <v/>
      </c>
      <c r="AK195" s="43" t="n"/>
      <c r="AL195" s="43" t="n"/>
      <c r="AM195" s="32" t="n"/>
      <c r="AN195" s="32">
        <f>Table5[[#This Row],[ (RESV. STORGE) SER]]/10</f>
        <v/>
      </c>
      <c r="AO195" s="68" t="n"/>
      <c r="AP195" s="100">
        <f>Table5[[#This Row],[(A/S) AJD]]-Table5[[#This Row],[SER_IN]]</f>
        <v/>
      </c>
    </row>
    <row r="196" ht="18.75" customHeight="1">
      <c r="A196" s="98" t="n">
        <v>47313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Table5[[#This Row],[ (T/B) SAR]]+Table5[[#This Row],[ (S/S) SAR]]</f>
        <v/>
      </c>
      <c r="L196" s="45" t="n"/>
      <c r="M196" s="46" t="n"/>
      <c r="N196" s="46" t="n"/>
      <c r="O196" s="40" t="n"/>
      <c r="P196" s="12">
        <f>Table5[[#This Row],[ (S/S) SAR]]-Table5[[#This Row],[(S/S) AJD]]</f>
        <v/>
      </c>
      <c r="Q196" s="40" t="n"/>
      <c r="R196" s="12">
        <f>Table5[[#This Row],[ (T/B) SAR]]-Table5[[#This Row],[(T/B) AJD]]</f>
        <v/>
      </c>
      <c r="S196" s="12">
        <f>Table5[[#This Row],[S/S_CON.]]+Table5[[#This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Table5[[#This Row],[(RESV. STORGE) AJD]]/10</f>
        <v/>
      </c>
      <c r="AB196" s="3">
        <f>IF(TRIM(Z196)="",,(Z196-Z195)/1000)</f>
        <v/>
      </c>
      <c r="AC196" s="5" t="n"/>
      <c r="AD196" s="40">
        <f>(Table5[[#This Row],[( S/S+T/B) AJD]]*1000)-((Table5[[#This Row],[(STORGE DIFF.) AJD]]*1000)+Table5[[#This Row],[AJD_Evaporation]]+(Table5[[#This Row],[(A/B + A/S) AJD]]*1000))</f>
        <v/>
      </c>
      <c r="AE196" s="44" t="n"/>
      <c r="AF196" s="45" t="n"/>
      <c r="AG196" s="45" t="n"/>
      <c r="AH196" s="6">
        <f>Table5[[#This Row],[ (RESV. STORGE) BER]]/10</f>
        <v/>
      </c>
      <c r="AI196" s="44" t="n"/>
      <c r="AJ196" s="44">
        <f>Table5[[#This Row],[(A/B) AJD]]-Table5[[#This Row],[BER_IN]]</f>
        <v/>
      </c>
      <c r="AK196" s="45" t="n"/>
      <c r="AL196" s="45" t="n"/>
      <c r="AM196" s="32" t="n"/>
      <c r="AN196" s="32">
        <f>Table5[[#This Row],[ (RESV. STORGE) SER]]/10</f>
        <v/>
      </c>
      <c r="AO196" s="68" t="n"/>
      <c r="AP196" s="100">
        <f>Table5[[#This Row],[(A/S) AJD]]-Table5[[#This Row],[SER_IN]]</f>
        <v/>
      </c>
    </row>
    <row r="197" ht="18.75" customHeight="1">
      <c r="A197" s="98" t="n">
        <v>47314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Table5[[#This Row],[ (T/B) SAR]]+Table5[[#This Row],[ (S/S) SAR]]</f>
        <v/>
      </c>
      <c r="L197" s="41" t="n"/>
      <c r="M197" s="42" t="n"/>
      <c r="N197" s="42" t="n"/>
      <c r="O197" s="39" t="n"/>
      <c r="P197" s="12">
        <f>Table5[[#This Row],[ (S/S) SAR]]-Table5[[#This Row],[(S/S) AJD]]</f>
        <v/>
      </c>
      <c r="Q197" s="39" t="n"/>
      <c r="R197" s="12">
        <f>Table5[[#This Row],[ (T/B) SAR]]-Table5[[#This Row],[(T/B) AJD]]</f>
        <v/>
      </c>
      <c r="S197" s="12">
        <f>Table5[[#This Row],[S/S_CON.]]+Table5[[#This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Table5[[#This Row],[(RESV. STORGE) AJD]]/10</f>
        <v/>
      </c>
      <c r="AB197" s="3">
        <f>IF(TRIM(Z197)="",,(Z197-Z196)/1000)</f>
        <v/>
      </c>
      <c r="AC197" s="5" t="n"/>
      <c r="AD197" s="39">
        <f>(Table5[[#This Row],[( S/S+T/B) AJD]]*1000)-((Table5[[#This Row],[(STORGE DIFF.) AJD]]*1000)+Table5[[#This Row],[AJD_Evaporation]]+(Table5[[#This Row],[(A/B + A/S) AJD]]*1000))</f>
        <v/>
      </c>
      <c r="AE197" s="41" t="n"/>
      <c r="AF197" s="43" t="n"/>
      <c r="AG197" s="43" t="n"/>
      <c r="AH197" s="6">
        <f>Table5[[#This Row],[ (RESV. STORGE) BER]]/10</f>
        <v/>
      </c>
      <c r="AI197" s="41" t="n"/>
      <c r="AJ197" s="41">
        <f>Table5[[#This Row],[(A/B) AJD]]-Table5[[#This Row],[BER_IN]]</f>
        <v/>
      </c>
      <c r="AK197" s="43" t="n"/>
      <c r="AL197" s="43" t="n"/>
      <c r="AM197" s="32" t="n"/>
      <c r="AN197" s="32">
        <f>Table5[[#This Row],[ (RESV. STORGE) SER]]/10</f>
        <v/>
      </c>
      <c r="AO197" s="68" t="n"/>
      <c r="AP197" s="100">
        <f>Table5[[#This Row],[(A/S) AJD]]-Table5[[#This Row],[SER_IN]]</f>
        <v/>
      </c>
    </row>
    <row r="198" ht="18.75" customHeight="1">
      <c r="A198" s="98" t="n">
        <v>47315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Table5[[#This Row],[ (T/B) SAR]]+Table5[[#This Row],[ (S/S) SAR]]</f>
        <v/>
      </c>
      <c r="L198" s="45" t="n"/>
      <c r="M198" s="46" t="n"/>
      <c r="N198" s="46" t="n"/>
      <c r="O198" s="40" t="n"/>
      <c r="P198" s="12">
        <f>Table5[[#This Row],[ (S/S) SAR]]-Table5[[#This Row],[(S/S) AJD]]</f>
        <v/>
      </c>
      <c r="Q198" s="40" t="n"/>
      <c r="R198" s="12">
        <f>Table5[[#This Row],[ (T/B) SAR]]-Table5[[#This Row],[(T/B) AJD]]</f>
        <v/>
      </c>
      <c r="S198" s="12">
        <f>Table5[[#This Row],[S/S_CON.]]+Table5[[#This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Table5[[#This Row],[(RESV. STORGE) AJD]]/10</f>
        <v/>
      </c>
      <c r="AB198" s="3">
        <f>IF(TRIM(Z198)="",,(Z198-Z197)/1000)</f>
        <v/>
      </c>
      <c r="AC198" s="5" t="n"/>
      <c r="AD198" s="40">
        <f>(Table5[[#This Row],[( S/S+T/B) AJD]]*1000)-((Table5[[#This Row],[(STORGE DIFF.) AJD]]*1000)+Table5[[#This Row],[AJD_Evaporation]]+(Table5[[#This Row],[(A/B + A/S) AJD]]*1000))</f>
        <v/>
      </c>
      <c r="AE198" s="44" t="n"/>
      <c r="AF198" s="45" t="n"/>
      <c r="AG198" s="45" t="n"/>
      <c r="AH198" s="6">
        <f>Table5[[#This Row],[ (RESV. STORGE) BER]]/10</f>
        <v/>
      </c>
      <c r="AI198" s="44" t="n"/>
      <c r="AJ198" s="44">
        <f>Table5[[#This Row],[(A/B) AJD]]-Table5[[#This Row],[BER_IN]]</f>
        <v/>
      </c>
      <c r="AK198" s="45" t="n"/>
      <c r="AL198" s="45" t="n"/>
      <c r="AM198" s="32" t="n"/>
      <c r="AN198" s="32">
        <f>Table5[[#This Row],[ (RESV. STORGE) SER]]/10</f>
        <v/>
      </c>
      <c r="AO198" s="68" t="n"/>
      <c r="AP198" s="100">
        <f>Table5[[#This Row],[(A/S) AJD]]-Table5[[#This Row],[SER_IN]]</f>
        <v/>
      </c>
    </row>
    <row r="199" ht="18.75" customHeight="1">
      <c r="A199" s="98" t="n">
        <v>47316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Table5[[#This Row],[ (T/B) SAR]]+Table5[[#This Row],[ (S/S) SAR]]</f>
        <v/>
      </c>
      <c r="L199" s="41" t="n"/>
      <c r="M199" s="42" t="n"/>
      <c r="N199" s="42" t="n"/>
      <c r="O199" s="39" t="n"/>
      <c r="P199" s="12">
        <f>Table5[[#This Row],[ (S/S) SAR]]-Table5[[#This Row],[(S/S) AJD]]</f>
        <v/>
      </c>
      <c r="Q199" s="39" t="n"/>
      <c r="R199" s="12">
        <f>Table5[[#This Row],[ (T/B) SAR]]-Table5[[#This Row],[(T/B) AJD]]</f>
        <v/>
      </c>
      <c r="S199" s="12">
        <f>Table5[[#This Row],[S/S_CON.]]+Table5[[#This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Table5[[#This Row],[(RESV. STORGE) AJD]]/10</f>
        <v/>
      </c>
      <c r="AB199" s="3">
        <f>IF(TRIM(Z199)="",,(Z199-Z198)/1000)</f>
        <v/>
      </c>
      <c r="AC199" s="5" t="n"/>
      <c r="AD199" s="39">
        <f>(Table5[[#This Row],[( S/S+T/B) AJD]]*1000)-((Table5[[#This Row],[(STORGE DIFF.) AJD]]*1000)+Table5[[#This Row],[AJD_Evaporation]]+(Table5[[#This Row],[(A/B + A/S) AJD]]*1000))</f>
        <v/>
      </c>
      <c r="AE199" s="41" t="n"/>
      <c r="AF199" s="43" t="n"/>
      <c r="AG199" s="43" t="n"/>
      <c r="AH199" s="6">
        <f>Table5[[#This Row],[ (RESV. STORGE) BER]]/10</f>
        <v/>
      </c>
      <c r="AI199" s="41" t="n"/>
      <c r="AJ199" s="41">
        <f>Table5[[#This Row],[(A/B) AJD]]-Table5[[#This Row],[BER_IN]]</f>
        <v/>
      </c>
      <c r="AK199" s="43" t="n"/>
      <c r="AL199" s="43" t="n"/>
      <c r="AM199" s="32" t="n"/>
      <c r="AN199" s="32">
        <f>Table5[[#This Row],[ (RESV. STORGE) SER]]/10</f>
        <v/>
      </c>
      <c r="AO199" s="68" t="n"/>
      <c r="AP199" s="100">
        <f>Table5[[#This Row],[(A/S) AJD]]-Table5[[#This Row],[SER_IN]]</f>
        <v/>
      </c>
    </row>
    <row r="200" ht="18.75" customHeight="1">
      <c r="A200" s="98" t="n">
        <v>47317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Table5[[#This Row],[ (T/B) SAR]]+Table5[[#This Row],[ (S/S) SAR]]</f>
        <v/>
      </c>
      <c r="L200" s="45" t="n"/>
      <c r="M200" s="46" t="n"/>
      <c r="N200" s="46" t="n"/>
      <c r="O200" s="40" t="n"/>
      <c r="P200" s="12">
        <f>Table5[[#This Row],[ (S/S) SAR]]-Table5[[#This Row],[(S/S) AJD]]</f>
        <v/>
      </c>
      <c r="Q200" s="40" t="n"/>
      <c r="R200" s="12">
        <f>Table5[[#This Row],[ (T/B) SAR]]-Table5[[#This Row],[(T/B) AJD]]</f>
        <v/>
      </c>
      <c r="S200" s="12">
        <f>Table5[[#This Row],[S/S_CON.]]+Table5[[#This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Table5[[#This Row],[(RESV. STORGE) AJD]]/10</f>
        <v/>
      </c>
      <c r="AB200" s="3">
        <f>IF(TRIM(Z200)="",,(Z200-Z199)/1000)</f>
        <v/>
      </c>
      <c r="AC200" s="5" t="n"/>
      <c r="AD200" s="40">
        <f>(Table5[[#This Row],[( S/S+T/B) AJD]]*1000)-((Table5[[#This Row],[(STORGE DIFF.) AJD]]*1000)+Table5[[#This Row],[AJD_Evaporation]]+(Table5[[#This Row],[(A/B + A/S) AJD]]*1000))</f>
        <v/>
      </c>
      <c r="AE200" s="44" t="n"/>
      <c r="AF200" s="45" t="n"/>
      <c r="AG200" s="45" t="n"/>
      <c r="AH200" s="6">
        <f>Table5[[#This Row],[ (RESV. STORGE) BER]]/10</f>
        <v/>
      </c>
      <c r="AI200" s="44" t="n"/>
      <c r="AJ200" s="44">
        <f>Table5[[#This Row],[(A/B) AJD]]-Table5[[#This Row],[BER_IN]]</f>
        <v/>
      </c>
      <c r="AK200" s="45" t="n"/>
      <c r="AL200" s="45" t="n"/>
      <c r="AM200" s="32" t="n"/>
      <c r="AN200" s="32">
        <f>Table5[[#This Row],[ (RESV. STORGE) SER]]/10</f>
        <v/>
      </c>
      <c r="AO200" s="68" t="n"/>
      <c r="AP200" s="100">
        <f>Table5[[#This Row],[(A/S) AJD]]-Table5[[#This Row],[SER_IN]]</f>
        <v/>
      </c>
    </row>
    <row r="201" ht="18.75" customHeight="1">
      <c r="A201" s="98" t="n">
        <v>47318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Table5[[#This Row],[ (T/B) SAR]]+Table5[[#This Row],[ (S/S) SAR]]</f>
        <v/>
      </c>
      <c r="L201" s="41" t="n"/>
      <c r="M201" s="42" t="n"/>
      <c r="N201" s="42" t="n"/>
      <c r="O201" s="39" t="n"/>
      <c r="P201" s="12">
        <f>Table5[[#This Row],[ (S/S) SAR]]-Table5[[#This Row],[(S/S) AJD]]</f>
        <v/>
      </c>
      <c r="Q201" s="39" t="n"/>
      <c r="R201" s="12">
        <f>Table5[[#This Row],[ (T/B) SAR]]-Table5[[#This Row],[(T/B) AJD]]</f>
        <v/>
      </c>
      <c r="S201" s="12">
        <f>Table5[[#This Row],[S/S_CON.]]+Table5[[#This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Table5[[#This Row],[(RESV. STORGE) AJD]]/10</f>
        <v/>
      </c>
      <c r="AB201" s="3">
        <f>IF(TRIM(Z201)="",,(Z201-Z200)/1000)</f>
        <v/>
      </c>
      <c r="AC201" s="5" t="n"/>
      <c r="AD201" s="39">
        <f>(Table5[[#This Row],[( S/S+T/B) AJD]]*1000)-((Table5[[#This Row],[(STORGE DIFF.) AJD]]*1000)+Table5[[#This Row],[AJD_Evaporation]]+(Table5[[#This Row],[(A/B + A/S) AJD]]*1000))</f>
        <v/>
      </c>
      <c r="AE201" s="41" t="n"/>
      <c r="AF201" s="43" t="n"/>
      <c r="AG201" s="43" t="n"/>
      <c r="AH201" s="6">
        <f>Table5[[#This Row],[ (RESV. STORGE) BER]]/10</f>
        <v/>
      </c>
      <c r="AI201" s="41" t="n"/>
      <c r="AJ201" s="41">
        <f>Table5[[#This Row],[(A/B) AJD]]-Table5[[#This Row],[BER_IN]]</f>
        <v/>
      </c>
      <c r="AK201" s="43" t="n"/>
      <c r="AL201" s="43" t="n"/>
      <c r="AM201" s="32" t="n"/>
      <c r="AN201" s="32">
        <f>Table5[[#This Row],[ (RESV. STORGE) SER]]/10</f>
        <v/>
      </c>
      <c r="AO201" s="68" t="n"/>
      <c r="AP201" s="100">
        <f>Table5[[#This Row],[(A/S) AJD]]-Table5[[#This Row],[SER_IN]]</f>
        <v/>
      </c>
    </row>
    <row r="202" ht="18.75" customHeight="1">
      <c r="A202" s="98" t="n">
        <v>47319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Table5[[#This Row],[ (T/B) SAR]]+Table5[[#This Row],[ (S/S) SAR]]</f>
        <v/>
      </c>
      <c r="L202" s="45" t="n"/>
      <c r="M202" s="46" t="n"/>
      <c r="N202" s="46" t="n"/>
      <c r="O202" s="40" t="n"/>
      <c r="P202" s="12">
        <f>Table5[[#This Row],[ (S/S) SAR]]-Table5[[#This Row],[(S/S) AJD]]</f>
        <v/>
      </c>
      <c r="Q202" s="40" t="n"/>
      <c r="R202" s="12">
        <f>Table5[[#This Row],[ (T/B) SAR]]-Table5[[#This Row],[(T/B) AJD]]</f>
        <v/>
      </c>
      <c r="S202" s="12">
        <f>Table5[[#This Row],[S/S_CON.]]+Table5[[#This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Table5[[#This Row],[(RESV. STORGE) AJD]]/10</f>
        <v/>
      </c>
      <c r="AB202" s="3">
        <f>IF(TRIM(Z202)="",,(Z202-Z201)/1000)</f>
        <v/>
      </c>
      <c r="AC202" s="5" t="n"/>
      <c r="AD202" s="40">
        <f>(Table5[[#This Row],[( S/S+T/B) AJD]]*1000)-((Table5[[#This Row],[(STORGE DIFF.) AJD]]*1000)+Table5[[#This Row],[AJD_Evaporation]]+(Table5[[#This Row],[(A/B + A/S) AJD]]*1000))</f>
        <v/>
      </c>
      <c r="AE202" s="44" t="n"/>
      <c r="AF202" s="45" t="n"/>
      <c r="AG202" s="45" t="n"/>
      <c r="AH202" s="6">
        <f>Table5[[#This Row],[ (RESV. STORGE) BER]]/10</f>
        <v/>
      </c>
      <c r="AI202" s="44" t="n"/>
      <c r="AJ202" s="44">
        <f>Table5[[#This Row],[(A/B) AJD]]-Table5[[#This Row],[BER_IN]]</f>
        <v/>
      </c>
      <c r="AK202" s="45" t="n"/>
      <c r="AL202" s="45" t="n"/>
      <c r="AM202" s="32" t="n"/>
      <c r="AN202" s="32">
        <f>Table5[[#This Row],[ (RESV. STORGE) SER]]/10</f>
        <v/>
      </c>
      <c r="AO202" s="68" t="n"/>
      <c r="AP202" s="100">
        <f>Table5[[#This Row],[(A/S) AJD]]-Table5[[#This Row],[SER_IN]]</f>
        <v/>
      </c>
    </row>
    <row r="203" ht="18.75" customHeight="1">
      <c r="A203" s="98" t="n">
        <v>47320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Table5[[#This Row],[ (T/B) SAR]]+Table5[[#This Row],[ (S/S) SAR]]</f>
        <v/>
      </c>
      <c r="L203" s="41" t="n"/>
      <c r="M203" s="42" t="n"/>
      <c r="N203" s="42" t="n"/>
      <c r="O203" s="39" t="n"/>
      <c r="P203" s="12">
        <f>Table5[[#This Row],[ (S/S) SAR]]-Table5[[#This Row],[(S/S) AJD]]</f>
        <v/>
      </c>
      <c r="Q203" s="39" t="n"/>
      <c r="R203" s="12">
        <f>Table5[[#This Row],[ (T/B) SAR]]-Table5[[#This Row],[(T/B) AJD]]</f>
        <v/>
      </c>
      <c r="S203" s="12">
        <f>Table5[[#This Row],[S/S_CON.]]+Table5[[#This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Table5[[#This Row],[(RESV. STORGE) AJD]]/10</f>
        <v/>
      </c>
      <c r="AB203" s="3">
        <f>IF(TRIM(Z203)="",,(Z203-Z202)/1000)</f>
        <v/>
      </c>
      <c r="AC203" s="5" t="n"/>
      <c r="AD203" s="39">
        <f>(Table5[[#This Row],[( S/S+T/B) AJD]]*1000)-((Table5[[#This Row],[(STORGE DIFF.) AJD]]*1000)+Table5[[#This Row],[AJD_Evaporation]]+(Table5[[#This Row],[(A/B + A/S) AJD]]*1000))</f>
        <v/>
      </c>
      <c r="AE203" s="41" t="n"/>
      <c r="AF203" s="43" t="n"/>
      <c r="AG203" s="43" t="n"/>
      <c r="AH203" s="6">
        <f>Table5[[#This Row],[ (RESV. STORGE) BER]]/10</f>
        <v/>
      </c>
      <c r="AI203" s="41" t="n"/>
      <c r="AJ203" s="41">
        <f>Table5[[#This Row],[(A/B) AJD]]-Table5[[#This Row],[BER_IN]]</f>
        <v/>
      </c>
      <c r="AK203" s="43" t="n"/>
      <c r="AL203" s="43" t="n"/>
      <c r="AM203" s="32" t="n"/>
      <c r="AN203" s="32">
        <f>Table5[[#This Row],[ (RESV. STORGE) SER]]/10</f>
        <v/>
      </c>
      <c r="AO203" s="68" t="n"/>
      <c r="AP203" s="100">
        <f>Table5[[#This Row],[(A/S) AJD]]-Table5[[#This Row],[SER_IN]]</f>
        <v/>
      </c>
    </row>
    <row r="204" ht="18.75" customHeight="1">
      <c r="A204" s="98" t="n">
        <v>47321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Table5[[#This Row],[ (T/B) SAR]]+Table5[[#This Row],[ (S/S) SAR]]</f>
        <v/>
      </c>
      <c r="L204" s="45" t="n"/>
      <c r="M204" s="46" t="n"/>
      <c r="N204" s="46" t="n"/>
      <c r="O204" s="40" t="n"/>
      <c r="P204" s="12">
        <f>Table5[[#This Row],[ (S/S) SAR]]-Table5[[#This Row],[(S/S) AJD]]</f>
        <v/>
      </c>
      <c r="Q204" s="40" t="n"/>
      <c r="R204" s="12">
        <f>Table5[[#This Row],[ (T/B) SAR]]-Table5[[#This Row],[(T/B) AJD]]</f>
        <v/>
      </c>
      <c r="S204" s="12">
        <f>Table5[[#This Row],[S/S_CON.]]+Table5[[#This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Table5[[#This Row],[(RESV. STORGE) AJD]]/10</f>
        <v/>
      </c>
      <c r="AB204" s="3">
        <f>IF(TRIM(Z204)="",,(Z204-Z203)/1000)</f>
        <v/>
      </c>
      <c r="AC204" s="5" t="n"/>
      <c r="AD204" s="40">
        <f>(Table5[[#This Row],[( S/S+T/B) AJD]]*1000)-((Table5[[#This Row],[(STORGE DIFF.) AJD]]*1000)+Table5[[#This Row],[AJD_Evaporation]]+(Table5[[#This Row],[(A/B + A/S) AJD]]*1000))</f>
        <v/>
      </c>
      <c r="AE204" s="44" t="n"/>
      <c r="AF204" s="45" t="n"/>
      <c r="AG204" s="45" t="n"/>
      <c r="AH204" s="6">
        <f>Table5[[#This Row],[ (RESV. STORGE) BER]]/10</f>
        <v/>
      </c>
      <c r="AI204" s="44" t="n"/>
      <c r="AJ204" s="44">
        <f>Table5[[#This Row],[(A/B) AJD]]-Table5[[#This Row],[BER_IN]]</f>
        <v/>
      </c>
      <c r="AK204" s="45" t="n"/>
      <c r="AL204" s="45" t="n"/>
      <c r="AM204" s="32" t="n"/>
      <c r="AN204" s="32">
        <f>Table5[[#This Row],[ (RESV. STORGE) SER]]/10</f>
        <v/>
      </c>
      <c r="AO204" s="68" t="n"/>
      <c r="AP204" s="100">
        <f>Table5[[#This Row],[(A/S) AJD]]-Table5[[#This Row],[SER_IN]]</f>
        <v/>
      </c>
    </row>
    <row r="205" ht="18.75" customHeight="1">
      <c r="A205" s="98" t="n">
        <v>47322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Table5[[#This Row],[ (T/B) SAR]]+Table5[[#This Row],[ (S/S) SAR]]</f>
        <v/>
      </c>
      <c r="L205" s="41" t="n"/>
      <c r="M205" s="42" t="n"/>
      <c r="N205" s="42" t="n"/>
      <c r="O205" s="39" t="n"/>
      <c r="P205" s="12">
        <f>Table5[[#This Row],[ (S/S) SAR]]-Table5[[#This Row],[(S/S) AJD]]</f>
        <v/>
      </c>
      <c r="Q205" s="39" t="n"/>
      <c r="R205" s="12">
        <f>Table5[[#This Row],[ (T/B) SAR]]-Table5[[#This Row],[(T/B) AJD]]</f>
        <v/>
      </c>
      <c r="S205" s="12">
        <f>Table5[[#This Row],[S/S_CON.]]+Table5[[#This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Table5[[#This Row],[(RESV. STORGE) AJD]]/10</f>
        <v/>
      </c>
      <c r="AB205" s="3">
        <f>IF(TRIM(Z205)="",,(Z205-Z204)/1000)</f>
        <v/>
      </c>
      <c r="AC205" s="5" t="n"/>
      <c r="AD205" s="39">
        <f>(Table5[[#This Row],[( S/S+T/B) AJD]]*1000)-((Table5[[#This Row],[(STORGE DIFF.) AJD]]*1000)+Table5[[#This Row],[AJD_Evaporation]]+(Table5[[#This Row],[(A/B + A/S) AJD]]*1000))</f>
        <v/>
      </c>
      <c r="AE205" s="41" t="n"/>
      <c r="AF205" s="43" t="n"/>
      <c r="AG205" s="43" t="n"/>
      <c r="AH205" s="6">
        <f>Table5[[#This Row],[ (RESV. STORGE) BER]]/10</f>
        <v/>
      </c>
      <c r="AI205" s="41" t="n"/>
      <c r="AJ205" s="41">
        <f>Table5[[#This Row],[(A/B) AJD]]-Table5[[#This Row],[BER_IN]]</f>
        <v/>
      </c>
      <c r="AK205" s="43" t="n"/>
      <c r="AL205" s="43" t="n"/>
      <c r="AM205" s="32" t="n"/>
      <c r="AN205" s="32">
        <f>Table5[[#This Row],[ (RESV. STORGE) SER]]/10</f>
        <v/>
      </c>
      <c r="AO205" s="68" t="n"/>
      <c r="AP205" s="100">
        <f>Table5[[#This Row],[(A/S) AJD]]-Table5[[#This Row],[SER_IN]]</f>
        <v/>
      </c>
    </row>
    <row r="206" ht="18.75" customHeight="1">
      <c r="A206" s="98" t="n">
        <v>47323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Table5[[#This Row],[ (T/B) SAR]]+Table5[[#This Row],[ (S/S) SAR]]</f>
        <v/>
      </c>
      <c r="L206" s="45" t="n"/>
      <c r="M206" s="46" t="n"/>
      <c r="N206" s="46" t="n"/>
      <c r="O206" s="40" t="n"/>
      <c r="P206" s="12">
        <f>Table5[[#This Row],[ (S/S) SAR]]-Table5[[#This Row],[(S/S) AJD]]</f>
        <v/>
      </c>
      <c r="Q206" s="45" t="n"/>
      <c r="R206" s="12">
        <f>Table5[[#This Row],[ (T/B) SAR]]-Table5[[#This Row],[(T/B) AJD]]</f>
        <v/>
      </c>
      <c r="S206" s="12">
        <f>Table5[[#This Row],[S/S_CON.]]+Table5[[#This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Table5[[#This Row],[(RESV. STORGE) AJD]]/10</f>
        <v/>
      </c>
      <c r="AB206" s="3">
        <f>IF(TRIM(Z206)="",,(Z206-Z205)/1000)</f>
        <v/>
      </c>
      <c r="AC206" s="5" t="n"/>
      <c r="AD206" s="40">
        <f>(Table5[[#This Row],[( S/S+T/B) AJD]]*1000)-((Table5[[#This Row],[(STORGE DIFF.) AJD]]*1000)+Table5[[#This Row],[AJD_Evaporation]]+(Table5[[#This Row],[(A/B + A/S) AJD]]*1000))</f>
        <v/>
      </c>
      <c r="AE206" s="44" t="n"/>
      <c r="AF206" s="45" t="n"/>
      <c r="AG206" s="45" t="n"/>
      <c r="AH206" s="6">
        <f>Table5[[#This Row],[ (RESV. STORGE) BER]]/10</f>
        <v/>
      </c>
      <c r="AI206" s="44" t="n"/>
      <c r="AJ206" s="44">
        <f>Table5[[#This Row],[(A/B) AJD]]-Table5[[#This Row],[BER_IN]]</f>
        <v/>
      </c>
      <c r="AK206" s="45" t="n"/>
      <c r="AL206" s="45" t="n"/>
      <c r="AM206" s="32" t="n"/>
      <c r="AN206" s="32">
        <f>Table5[[#This Row],[ (RESV. STORGE) SER]]/10</f>
        <v/>
      </c>
      <c r="AO206" s="68" t="n"/>
      <c r="AP206" s="100">
        <f>Table5[[#This Row],[(A/S) AJD]]-Table5[[#This Row],[SER_IN]]</f>
        <v/>
      </c>
    </row>
    <row r="207" ht="18.75" customHeight="1">
      <c r="A207" s="98" t="n">
        <v>47324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Table5[[#This Row],[ (T/B) SAR]]+Table5[[#This Row],[ (S/S) SAR]]</f>
        <v/>
      </c>
      <c r="L207" s="41" t="n"/>
      <c r="M207" s="42" t="n"/>
      <c r="N207" s="42" t="n"/>
      <c r="O207" s="39" t="n"/>
      <c r="P207" s="12">
        <f>Table5[[#This Row],[ (S/S) SAR]]-Table5[[#This Row],[(S/S) AJD]]</f>
        <v/>
      </c>
      <c r="Q207" s="43" t="n"/>
      <c r="R207" s="12">
        <f>Table5[[#This Row],[ (T/B) SAR]]-Table5[[#This Row],[(T/B) AJD]]</f>
        <v/>
      </c>
      <c r="S207" s="12">
        <f>Table5[[#This Row],[S/S_CON.]]+Table5[[#This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Table5[[#This Row],[(RESV. STORGE) AJD]]/10</f>
        <v/>
      </c>
      <c r="AB207" s="3">
        <f>IF(TRIM(Z207)="",,(Z207-Z206)/1000)</f>
        <v/>
      </c>
      <c r="AC207" s="5" t="n"/>
      <c r="AD207" s="39">
        <f>(Table5[[#This Row],[( S/S+T/B) AJD]]*1000)-((Table5[[#This Row],[(STORGE DIFF.) AJD]]*1000)+Table5[[#This Row],[AJD_Evaporation]]+(Table5[[#This Row],[(A/B + A/S) AJD]]*1000))</f>
        <v/>
      </c>
      <c r="AE207" s="41" t="n"/>
      <c r="AF207" s="43" t="n"/>
      <c r="AG207" s="43" t="n"/>
      <c r="AH207" s="6">
        <f>Table5[[#This Row],[ (RESV. STORGE) BER]]/10</f>
        <v/>
      </c>
      <c r="AI207" s="41" t="n"/>
      <c r="AJ207" s="41">
        <f>Table5[[#This Row],[(A/B) AJD]]-Table5[[#This Row],[BER_IN]]</f>
        <v/>
      </c>
      <c r="AK207" s="43" t="n"/>
      <c r="AL207" s="43" t="n"/>
      <c r="AM207" s="32" t="n"/>
      <c r="AN207" s="32">
        <f>Table5[[#This Row],[ (RESV. STORGE) SER]]/10</f>
        <v/>
      </c>
      <c r="AO207" s="68" t="n"/>
      <c r="AP207" s="100">
        <f>Table5[[#This Row],[(A/S) AJD]]-Table5[[#This Row],[SER_IN]]</f>
        <v/>
      </c>
    </row>
    <row r="208" ht="18.75" customHeight="1">
      <c r="A208" s="98" t="n">
        <v>47325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Table5[[#This Row],[ (T/B) SAR]]+Table5[[#This Row],[ (S/S) SAR]]</f>
        <v/>
      </c>
      <c r="L208" s="45" t="n"/>
      <c r="M208" s="46" t="n"/>
      <c r="N208" s="46" t="n"/>
      <c r="O208" s="40" t="n"/>
      <c r="P208" s="12">
        <f>Table5[[#This Row],[ (S/S) SAR]]-Table5[[#This Row],[(S/S) AJD]]</f>
        <v/>
      </c>
      <c r="Q208" s="45" t="n"/>
      <c r="R208" s="12">
        <f>Table5[[#This Row],[ (T/B) SAR]]-Table5[[#This Row],[(T/B) AJD]]</f>
        <v/>
      </c>
      <c r="S208" s="12">
        <f>Table5[[#This Row],[S/S_CON.]]+Table5[[#This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Table5[[#This Row],[(RESV. STORGE) AJD]]/10</f>
        <v/>
      </c>
      <c r="AB208" s="3">
        <f>IF(TRIM(Z208)="",,(Z208-Z207)/1000)</f>
        <v/>
      </c>
      <c r="AC208" s="5" t="n"/>
      <c r="AD208" s="40">
        <f>(Table5[[#This Row],[( S/S+T/B) AJD]]*1000)-((Table5[[#This Row],[(STORGE DIFF.) AJD]]*1000)+Table5[[#This Row],[AJD_Evaporation]]+(Table5[[#This Row],[(A/B + A/S) AJD]]*1000))</f>
        <v/>
      </c>
      <c r="AE208" s="44" t="n"/>
      <c r="AF208" s="45" t="n"/>
      <c r="AG208" s="45" t="n"/>
      <c r="AH208" s="6">
        <f>Table5[[#This Row],[ (RESV. STORGE) BER]]/10</f>
        <v/>
      </c>
      <c r="AI208" s="44" t="n"/>
      <c r="AJ208" s="44">
        <f>Table5[[#This Row],[(A/B) AJD]]-Table5[[#This Row],[BER_IN]]</f>
        <v/>
      </c>
      <c r="AK208" s="45" t="n"/>
      <c r="AL208" s="45" t="n"/>
      <c r="AM208" s="32" t="n"/>
      <c r="AN208" s="32">
        <f>Table5[[#This Row],[ (RESV. STORGE) SER]]/10</f>
        <v/>
      </c>
      <c r="AO208" s="68" t="n"/>
      <c r="AP208" s="100">
        <f>Table5[[#This Row],[(A/S) AJD]]-Table5[[#This Row],[SER_IN]]</f>
        <v/>
      </c>
    </row>
    <row r="209" ht="18.75" customHeight="1">
      <c r="A209" s="98" t="n">
        <v>47326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Table5[[#This Row],[ (T/B) SAR]]+Table5[[#This Row],[ (S/S) SAR]]</f>
        <v/>
      </c>
      <c r="L209" s="41" t="n"/>
      <c r="M209" s="42" t="n"/>
      <c r="N209" s="42" t="n"/>
      <c r="O209" s="39" t="n"/>
      <c r="P209" s="12">
        <f>Table5[[#This Row],[ (S/S) SAR]]-Table5[[#This Row],[(S/S) AJD]]</f>
        <v/>
      </c>
      <c r="Q209" s="39" t="n"/>
      <c r="R209" s="12">
        <f>Table5[[#This Row],[ (T/B) SAR]]-Table5[[#This Row],[(T/B) AJD]]</f>
        <v/>
      </c>
      <c r="S209" s="12">
        <f>Table5[[#This Row],[S/S_CON.]]+Table5[[#This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Table5[[#This Row],[(RESV. STORGE) AJD]]/10</f>
        <v/>
      </c>
      <c r="AB209" s="3">
        <f>IF(TRIM(Z209)="",,(Z209-Z208)/1000)</f>
        <v/>
      </c>
      <c r="AC209" s="5" t="n"/>
      <c r="AD209" s="39">
        <f>(Table5[[#This Row],[( S/S+T/B) AJD]]*1000)-((Table5[[#This Row],[(STORGE DIFF.) AJD]]*1000)+Table5[[#This Row],[AJD_Evaporation]]+(Table5[[#This Row],[(A/B + A/S) AJD]]*1000))</f>
        <v/>
      </c>
      <c r="AE209" s="41" t="n"/>
      <c r="AF209" s="43" t="n"/>
      <c r="AG209" s="43" t="n"/>
      <c r="AH209" s="6">
        <f>Table5[[#This Row],[ (RESV. STORGE) BER]]/10</f>
        <v/>
      </c>
      <c r="AI209" s="41" t="n"/>
      <c r="AJ209" s="41">
        <f>Table5[[#This Row],[(A/B) AJD]]-Table5[[#This Row],[BER_IN]]</f>
        <v/>
      </c>
      <c r="AK209" s="43" t="n"/>
      <c r="AL209" s="43" t="n"/>
      <c r="AM209" s="32" t="n"/>
      <c r="AN209" s="32">
        <f>Table5[[#This Row],[ (RESV. STORGE) SER]]/10</f>
        <v/>
      </c>
      <c r="AO209" s="68" t="n"/>
      <c r="AP209" s="100">
        <f>Table5[[#This Row],[(A/S) AJD]]-Table5[[#This Row],[SER_IN]]</f>
        <v/>
      </c>
    </row>
    <row r="210" ht="18.75" customHeight="1">
      <c r="A210" s="98" t="n">
        <v>47327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Table5[[#This Row],[ (T/B) SAR]]+Table5[[#This Row],[ (S/S) SAR]]</f>
        <v/>
      </c>
      <c r="L210" s="45" t="n"/>
      <c r="M210" s="46" t="n"/>
      <c r="N210" s="46" t="n"/>
      <c r="O210" s="40" t="n"/>
      <c r="P210" s="12">
        <f>Table5[[#This Row],[ (S/S) SAR]]-Table5[[#This Row],[(S/S) AJD]]</f>
        <v/>
      </c>
      <c r="Q210" s="40" t="n"/>
      <c r="R210" s="12">
        <f>Table5[[#This Row],[ (T/B) SAR]]-Table5[[#This Row],[(T/B) AJD]]</f>
        <v/>
      </c>
      <c r="S210" s="12">
        <f>Table5[[#This Row],[S/S_CON.]]+Table5[[#This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Table5[[#This Row],[(RESV. STORGE) AJD]]/10</f>
        <v/>
      </c>
      <c r="AB210" s="3">
        <f>IF(TRIM(Z210)="",,(Z210-Z209)/1000)</f>
        <v/>
      </c>
      <c r="AC210" s="5" t="n"/>
      <c r="AD210" s="40">
        <f>(Table5[[#This Row],[( S/S+T/B) AJD]]*1000)-((Table5[[#This Row],[(STORGE DIFF.) AJD]]*1000)+Table5[[#This Row],[AJD_Evaporation]]+(Table5[[#This Row],[(A/B + A/S) AJD]]*1000))</f>
        <v/>
      </c>
      <c r="AE210" s="44" t="n"/>
      <c r="AF210" s="45" t="n"/>
      <c r="AG210" s="45" t="n"/>
      <c r="AH210" s="6">
        <f>Table5[[#This Row],[ (RESV. STORGE) BER]]/10</f>
        <v/>
      </c>
      <c r="AI210" s="44" t="n"/>
      <c r="AJ210" s="44">
        <f>Table5[[#This Row],[(A/B) AJD]]-Table5[[#This Row],[BER_IN]]</f>
        <v/>
      </c>
      <c r="AK210" s="45" t="n"/>
      <c r="AL210" s="45" t="n"/>
      <c r="AM210" s="32" t="n"/>
      <c r="AN210" s="32">
        <f>Table5[[#This Row],[ (RESV. STORGE) SER]]/10</f>
        <v/>
      </c>
      <c r="AO210" s="68" t="n"/>
      <c r="AP210" s="100">
        <f>Table5[[#This Row],[(A/S) AJD]]-Table5[[#This Row],[SER_IN]]</f>
        <v/>
      </c>
    </row>
    <row r="211" ht="18.75" customHeight="1">
      <c r="A211" s="98" t="n">
        <v>47328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Table5[[#This Row],[ (T/B) SAR]]+Table5[[#This Row],[ (S/S) SAR]]</f>
        <v/>
      </c>
      <c r="L211" s="41" t="n"/>
      <c r="M211" s="42" t="n"/>
      <c r="N211" s="42" t="n"/>
      <c r="O211" s="39" t="n"/>
      <c r="P211" s="12">
        <f>Table5[[#This Row],[ (S/S) SAR]]-Table5[[#This Row],[(S/S) AJD]]</f>
        <v/>
      </c>
      <c r="Q211" s="39" t="n"/>
      <c r="R211" s="12">
        <f>Table5[[#This Row],[ (T/B) SAR]]-Table5[[#This Row],[(T/B) AJD]]</f>
        <v/>
      </c>
      <c r="S211" s="12">
        <f>Table5[[#This Row],[S/S_CON.]]+Table5[[#This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Table5[[#This Row],[(RESV. STORGE) AJD]]/10</f>
        <v/>
      </c>
      <c r="AB211" s="3">
        <f>IF(TRIM(Z211)="",,(Z211-Z210)/1000)</f>
        <v/>
      </c>
      <c r="AC211" s="5" t="n"/>
      <c r="AD211" s="39">
        <f>(Table5[[#This Row],[( S/S+T/B) AJD]]*1000)-((Table5[[#This Row],[(STORGE DIFF.) AJD]]*1000)+Table5[[#This Row],[AJD_Evaporation]]+(Table5[[#This Row],[(A/B + A/S) AJD]]*1000))</f>
        <v/>
      </c>
      <c r="AE211" s="41" t="n"/>
      <c r="AF211" s="43" t="n"/>
      <c r="AG211" s="43" t="n"/>
      <c r="AH211" s="6">
        <f>Table5[[#This Row],[ (RESV. STORGE) BER]]/10</f>
        <v/>
      </c>
      <c r="AI211" s="41" t="n"/>
      <c r="AJ211" s="41">
        <f>Table5[[#This Row],[(A/B) AJD]]-Table5[[#This Row],[BER_IN]]</f>
        <v/>
      </c>
      <c r="AK211" s="43" t="n"/>
      <c r="AL211" s="43" t="n"/>
      <c r="AM211" s="32" t="n"/>
      <c r="AN211" s="32">
        <f>Table5[[#This Row],[ (RESV. STORGE) SER]]/10</f>
        <v/>
      </c>
      <c r="AO211" s="68" t="n"/>
      <c r="AP211" s="100">
        <f>Table5[[#This Row],[(A/S) AJD]]-Table5[[#This Row],[SER_IN]]</f>
        <v/>
      </c>
    </row>
    <row r="212" ht="18.75" customHeight="1">
      <c r="A212" s="98" t="n">
        <v>47329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Table5[[#This Row],[ (T/B) SAR]]+Table5[[#This Row],[ (S/S) SAR]]</f>
        <v/>
      </c>
      <c r="L212" s="45" t="n"/>
      <c r="M212" s="46" t="n"/>
      <c r="N212" s="46" t="n"/>
      <c r="O212" s="40" t="n"/>
      <c r="P212" s="12">
        <f>Table5[[#This Row],[ (S/S) SAR]]-Table5[[#This Row],[(S/S) AJD]]</f>
        <v/>
      </c>
      <c r="Q212" s="40" t="n"/>
      <c r="R212" s="12">
        <f>Table5[[#This Row],[ (T/B) SAR]]-Table5[[#This Row],[(T/B) AJD]]</f>
        <v/>
      </c>
      <c r="S212" s="12">
        <f>Table5[[#This Row],[S/S_CON.]]+Table5[[#This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Table5[[#This Row],[(RESV. STORGE) AJD]]/10</f>
        <v/>
      </c>
      <c r="AB212" s="3">
        <f>IF(TRIM(Z212)="",,(Z212-Z211)/1000)</f>
        <v/>
      </c>
      <c r="AC212" s="5" t="n"/>
      <c r="AD212" s="70">
        <f>(Table5[[#This Row],[( S/S+T/B) AJD]]*1000)-((Table5[[#This Row],[(STORGE DIFF.) AJD]]*1000)+Table5[[#This Row],[AJD_Evaporation]]+(Table5[[#This Row],[(A/B + A/S) AJD]]*1000))</f>
        <v/>
      </c>
      <c r="AE212" s="44" t="n"/>
      <c r="AF212" s="45" t="n"/>
      <c r="AG212" s="45" t="n"/>
      <c r="AH212" s="6">
        <f>Table5[[#This Row],[ (RESV. STORGE) BER]]/10</f>
        <v/>
      </c>
      <c r="AI212" s="44" t="n"/>
      <c r="AJ212" s="67">
        <f>Table5[[#This Row],[(A/B) AJD]]-Table5[[#This Row],[BER_IN]]</f>
        <v/>
      </c>
      <c r="AK212" s="45" t="n"/>
      <c r="AL212" s="45" t="n"/>
      <c r="AM212" s="32" t="n"/>
      <c r="AN212" s="32">
        <f>Table5[[#This Row],[ (RESV. STORGE) SER]]/10</f>
        <v/>
      </c>
      <c r="AO212" s="68" t="n"/>
      <c r="AP212" s="100">
        <f>Table5[[#This Row],[(A/S) AJD]]-Table5[[#This Row],[SER_IN]]</f>
        <v/>
      </c>
    </row>
    <row r="213" ht="18.75" customHeight="1">
      <c r="A213" s="98" t="n">
        <v>47330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Table5[[#This Row],[ (T/B) SAR]]+Table5[[#This Row],[ (S/S) SAR]]</f>
        <v/>
      </c>
      <c r="L213" s="41" t="n"/>
      <c r="M213" s="42" t="n"/>
      <c r="N213" s="42" t="n"/>
      <c r="O213" s="39" t="n"/>
      <c r="P213" s="12">
        <f>Table5[[#This Row],[ (S/S) SAR]]-Table5[[#This Row],[(S/S) AJD]]</f>
        <v/>
      </c>
      <c r="Q213" s="39" t="n"/>
      <c r="R213" s="12">
        <f>Table5[[#This Row],[ (T/B) SAR]]-Table5[[#This Row],[(T/B) AJD]]</f>
        <v/>
      </c>
      <c r="S213" s="12">
        <f>Table5[[#This Row],[S/S_CON.]]+Table5[[#This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Table5[[#This Row],[(RESV. STORGE) AJD]]/10</f>
        <v/>
      </c>
      <c r="AB213" s="3">
        <f>IF(TRIM(Z213)="",,(Z213-Z212)/1000)</f>
        <v/>
      </c>
      <c r="AC213" s="5" t="n"/>
      <c r="AD213" s="39">
        <f>(Table5[[#This Row],[( S/S+T/B) AJD]]*1000)-((Table5[[#This Row],[(STORGE DIFF.) AJD]]*1000)+Table5[[#This Row],[AJD_Evaporation]]+(Table5[[#This Row],[(A/B + A/S) AJD]]*1000))</f>
        <v/>
      </c>
      <c r="AE213" s="41" t="n"/>
      <c r="AF213" s="43" t="n"/>
      <c r="AG213" s="43" t="n"/>
      <c r="AH213" s="6">
        <f>Table5[[#This Row],[ (RESV. STORGE) BER]]/10</f>
        <v/>
      </c>
      <c r="AI213" s="41" t="n"/>
      <c r="AJ213" s="41">
        <f>Table5[[#This Row],[(A/B) AJD]]-Table5[[#This Row],[BER_IN]]</f>
        <v/>
      </c>
      <c r="AK213" s="43" t="n"/>
      <c r="AL213" s="43" t="n"/>
      <c r="AM213" s="32" t="n"/>
      <c r="AN213" s="32">
        <f>Table5[[#This Row],[ (RESV. STORGE) SER]]/10</f>
        <v/>
      </c>
      <c r="AO213" s="68" t="n"/>
      <c r="AP213" s="100">
        <f>Table5[[#This Row],[(A/S) AJD]]-Table5[[#This Row],[SER_IN]]</f>
        <v/>
      </c>
    </row>
    <row r="214" ht="18.75" customHeight="1">
      <c r="A214" s="98" t="n">
        <v>47331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Table5[[#This Row],[ (T/B) SAR]]+Table5[[#This Row],[ (S/S) SAR]]</f>
        <v/>
      </c>
      <c r="L214" s="41" t="n"/>
      <c r="M214" s="42" t="n"/>
      <c r="N214" s="42" t="n"/>
      <c r="O214" s="39" t="n"/>
      <c r="P214" s="3">
        <f>Table5[[#This Row],[ (S/S) SAR]]-Table5[[#This Row],[(S/S) AJD]]</f>
        <v/>
      </c>
      <c r="Q214" s="39" t="n"/>
      <c r="R214" s="3">
        <f>Table5[[#This Row],[ (T/B) SAR]]-Table5[[#This Row],[(T/B) AJD]]</f>
        <v/>
      </c>
      <c r="S214" s="3">
        <f>Table5[[#This Row],[S/S_CON.]]+Table5[[#This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Table5[[#This Row],[(RESV. STORGE) AJD]]/10</f>
        <v/>
      </c>
      <c r="AB214" s="3">
        <f>IF(TRIM(Z214)="",,(Z214-Z213)/1000)</f>
        <v/>
      </c>
      <c r="AC214" s="5" t="n"/>
      <c r="AD214" s="39">
        <f>(Table5[[#This Row],[( S/S+T/B) AJD]]*1000)-((Table5[[#This Row],[(STORGE DIFF.) AJD]]*1000)+Table5[[#This Row],[AJD_Evaporation]]+(Table5[[#This Row],[(A/B + A/S) AJD]]*1000))</f>
        <v/>
      </c>
      <c r="AE214" s="41" t="n"/>
      <c r="AF214" s="43" t="n"/>
      <c r="AG214" s="43" t="n"/>
      <c r="AH214" s="6">
        <f>Table5[[#This Row],[ (RESV. STORGE) BER]]/10</f>
        <v/>
      </c>
      <c r="AI214" s="41" t="n"/>
      <c r="AJ214" s="41">
        <f>Table5[[#This Row],[(A/B) AJD]]-Table5[[#This Row],[BER_IN]]</f>
        <v/>
      </c>
      <c r="AK214" s="43" t="n"/>
      <c r="AL214" s="43" t="n"/>
      <c r="AM214" s="32" t="n"/>
      <c r="AN214" s="32">
        <f>Table5[[#This Row],[ (RESV. STORGE) SER]]/10</f>
        <v/>
      </c>
      <c r="AO214" s="68" t="n"/>
      <c r="AP214" s="100">
        <f>Table5[[#This Row],[(A/S) AJD]]-Table5[[#This Row],[SER_IN]]</f>
        <v/>
      </c>
    </row>
    <row r="215" ht="18.75" customHeight="1">
      <c r="A215" s="98" t="n">
        <v>47332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Table5[[#This Row],[ (T/B) SAR]]+Table5[[#This Row],[ (S/S) SAR]]</f>
        <v/>
      </c>
      <c r="L215" s="45" t="n"/>
      <c r="M215" s="46" t="n"/>
      <c r="N215" s="46" t="n"/>
      <c r="O215" s="40" t="n"/>
      <c r="P215" s="3">
        <f>Table5[[#This Row],[ (S/S) SAR]]-Table5[[#This Row],[(S/S) AJD]]</f>
        <v/>
      </c>
      <c r="Q215" s="40" t="n"/>
      <c r="R215" s="3">
        <f>Table5[[#This Row],[ (T/B) SAR]]-Table5[[#This Row],[(T/B) AJD]]</f>
        <v/>
      </c>
      <c r="S215" s="3">
        <f>Table5[[#This Row],[S/S_CON.]]+Table5[[#This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Table5[[#This Row],[(RESV. STORGE) AJD]]/10</f>
        <v/>
      </c>
      <c r="AB215" s="3">
        <f>IF(TRIM(Z215)="",,(Z215-Z214)/1000)</f>
        <v/>
      </c>
      <c r="AC215" s="5" t="n"/>
      <c r="AD215" s="40">
        <f>(Table5[[#This Row],[( S/S+T/B) AJD]]*1000)-((Table5[[#This Row],[(STORGE DIFF.) AJD]]*1000)+Table5[[#This Row],[AJD_Evaporation]]+(Table5[[#This Row],[(A/B + A/S) AJD]]*1000))</f>
        <v/>
      </c>
      <c r="AE215" s="44" t="n"/>
      <c r="AF215" s="45" t="n"/>
      <c r="AG215" s="45" t="n"/>
      <c r="AH215" s="6">
        <f>Table5[[#This Row],[ (RESV. STORGE) BER]]/10</f>
        <v/>
      </c>
      <c r="AI215" s="44" t="n"/>
      <c r="AJ215" s="44">
        <f>Table5[[#This Row],[(A/B) AJD]]-Table5[[#This Row],[BER_IN]]</f>
        <v/>
      </c>
      <c r="AK215" s="45" t="n"/>
      <c r="AL215" s="45" t="n"/>
      <c r="AM215" s="32" t="n"/>
      <c r="AN215" s="32">
        <f>Table5[[#This Row],[ (RESV. STORGE) SER]]/10</f>
        <v/>
      </c>
      <c r="AO215" s="68" t="n"/>
      <c r="AP215" s="100">
        <f>Table5[[#This Row],[(A/S) AJD]]-Table5[[#This Row],[SER_IN]]</f>
        <v/>
      </c>
    </row>
    <row r="216" ht="18.75" customHeight="1">
      <c r="A216" s="98" t="n">
        <v>47333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Table5[[#This Row],[ (T/B) SAR]]+Table5[[#This Row],[ (S/S) SAR]]</f>
        <v/>
      </c>
      <c r="L216" s="41" t="n"/>
      <c r="M216" s="42" t="n"/>
      <c r="N216" s="42" t="n"/>
      <c r="O216" s="39" t="n"/>
      <c r="P216" s="3">
        <f>Table5[[#This Row],[ (S/S) SAR]]-Table5[[#This Row],[(S/S) AJD]]</f>
        <v/>
      </c>
      <c r="Q216" s="39" t="n"/>
      <c r="R216" s="3">
        <f>Table5[[#This Row],[ (T/B) SAR]]-Table5[[#This Row],[(T/B) AJD]]</f>
        <v/>
      </c>
      <c r="S216" s="3">
        <f>Table5[[#This Row],[S/S_CON.]]+Table5[[#This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Table5[[#This Row],[(RESV. STORGE) AJD]]/10</f>
        <v/>
      </c>
      <c r="AB216" s="3">
        <f>IF(TRIM(Z216)="",,(Z216-Z215)/1000)</f>
        <v/>
      </c>
      <c r="AC216" s="5" t="n"/>
      <c r="AD216" s="39">
        <f>(Table5[[#This Row],[( S/S+T/B) AJD]]*1000)-((Table5[[#This Row],[(STORGE DIFF.) AJD]]*1000)+Table5[[#This Row],[AJD_Evaporation]]+(Table5[[#This Row],[(A/B + A/S) AJD]]*1000))</f>
        <v/>
      </c>
      <c r="AE216" s="41" t="n"/>
      <c r="AF216" s="43" t="n"/>
      <c r="AG216" s="43" t="n"/>
      <c r="AH216" s="6">
        <f>Table5[[#This Row],[ (RESV. STORGE) BER]]/10</f>
        <v/>
      </c>
      <c r="AI216" s="41" t="n"/>
      <c r="AJ216" s="41">
        <f>Table5[[#This Row],[(A/B) AJD]]-Table5[[#This Row],[BER_IN]]</f>
        <v/>
      </c>
      <c r="AK216" s="43" t="n"/>
      <c r="AL216" s="43" t="n"/>
      <c r="AM216" s="32" t="n"/>
      <c r="AN216" s="32">
        <f>Table5[[#This Row],[ (RESV. STORGE) SER]]/10</f>
        <v/>
      </c>
      <c r="AO216" s="68" t="n"/>
      <c r="AP216" s="100">
        <f>Table5[[#This Row],[(A/S) AJD]]-Table5[[#This Row],[SER_IN]]</f>
        <v/>
      </c>
    </row>
    <row r="217" ht="18.75" customHeight="1">
      <c r="A217" s="98" t="n">
        <v>47334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Table5[[#This Row],[ (T/B) SAR]]+Table5[[#This Row],[ (S/S) SAR]]</f>
        <v/>
      </c>
      <c r="L217" s="45" t="n"/>
      <c r="M217" s="46" t="n"/>
      <c r="N217" s="46" t="n"/>
      <c r="O217" s="40" t="n"/>
      <c r="P217" s="3">
        <f>Table5[[#This Row],[ (S/S) SAR]]-Table5[[#This Row],[(S/S) AJD]]</f>
        <v/>
      </c>
      <c r="Q217" s="40" t="n"/>
      <c r="R217" s="3">
        <f>Table5[[#This Row],[ (T/B) SAR]]-Table5[[#This Row],[(T/B) AJD]]</f>
        <v/>
      </c>
      <c r="S217" s="3">
        <f>Table5[[#This Row],[S/S_CON.]]+Table5[[#This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Table5[[#This Row],[(RESV. STORGE) AJD]]/10</f>
        <v/>
      </c>
      <c r="AB217" s="3">
        <f>IF(TRIM(Z217)="",,(Z217-Z216)/1000)</f>
        <v/>
      </c>
      <c r="AC217" s="5" t="n"/>
      <c r="AD217" s="40">
        <f>(Table5[[#This Row],[( S/S+T/B) AJD]]*1000)-((Table5[[#This Row],[(STORGE DIFF.) AJD]]*1000)+Table5[[#This Row],[AJD_Evaporation]]+(Table5[[#This Row],[(A/B + A/S) AJD]]*1000))</f>
        <v/>
      </c>
      <c r="AE217" s="44" t="n"/>
      <c r="AF217" s="45" t="n"/>
      <c r="AG217" s="45" t="n"/>
      <c r="AH217" s="6">
        <f>Table5[[#This Row],[ (RESV. STORGE) BER]]/10</f>
        <v/>
      </c>
      <c r="AI217" s="44" t="n"/>
      <c r="AJ217" s="44">
        <f>Table5[[#This Row],[(A/B) AJD]]-Table5[[#This Row],[BER_IN]]</f>
        <v/>
      </c>
      <c r="AK217" s="45" t="n"/>
      <c r="AL217" s="45" t="n"/>
      <c r="AM217" s="32" t="n"/>
      <c r="AN217" s="32">
        <f>Table5[[#This Row],[ (RESV. STORGE) SER]]/10</f>
        <v/>
      </c>
      <c r="AO217" s="68" t="n"/>
      <c r="AP217" s="100">
        <f>Table5[[#This Row],[(A/S) AJD]]-Table5[[#This Row],[SER_IN]]</f>
        <v/>
      </c>
    </row>
    <row r="218" ht="18.75" customHeight="1">
      <c r="A218" s="98" t="n">
        <v>47335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Table5[[#This Row],[ (T/B) SAR]]+Table5[[#This Row],[ (S/S) SAR]]</f>
        <v/>
      </c>
      <c r="L218" s="41" t="n"/>
      <c r="M218" s="42" t="n"/>
      <c r="N218" s="42" t="n"/>
      <c r="O218" s="39" t="n"/>
      <c r="P218" s="3">
        <f>Table5[[#This Row],[ (S/S) SAR]]-Table5[[#This Row],[(S/S) AJD]]</f>
        <v/>
      </c>
      <c r="Q218" s="39" t="n"/>
      <c r="R218" s="3">
        <f>Table5[[#This Row],[ (T/B) SAR]]-Table5[[#This Row],[(T/B) AJD]]</f>
        <v/>
      </c>
      <c r="S218" s="3">
        <f>Table5[[#This Row],[S/S_CON.]]+Table5[[#This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Table5[[#This Row],[(RESV. STORGE) AJD]]/10</f>
        <v/>
      </c>
      <c r="AB218" s="3">
        <f>IF(TRIM(Z218)="",,(Z218-Z217)/1000)</f>
        <v/>
      </c>
      <c r="AC218" s="5" t="n"/>
      <c r="AD218" s="39">
        <f>(Table5[[#This Row],[( S/S+T/B) AJD]]*1000)-((Table5[[#This Row],[(STORGE DIFF.) AJD]]*1000)+Table5[[#This Row],[AJD_Evaporation]]+(Table5[[#This Row],[(A/B + A/S) AJD]]*1000))</f>
        <v/>
      </c>
      <c r="AE218" s="41" t="n"/>
      <c r="AF218" s="43" t="n"/>
      <c r="AG218" s="43" t="n"/>
      <c r="AH218" s="6">
        <f>Table5[[#This Row],[ (RESV. STORGE) BER]]/10</f>
        <v/>
      </c>
      <c r="AI218" s="41" t="n"/>
      <c r="AJ218" s="41">
        <f>Table5[[#This Row],[(A/B) AJD]]-Table5[[#This Row],[BER_IN]]</f>
        <v/>
      </c>
      <c r="AK218" s="43" t="n"/>
      <c r="AL218" s="43" t="n"/>
      <c r="AM218" s="32" t="n"/>
      <c r="AN218" s="32">
        <f>Table5[[#This Row],[ (RESV. STORGE) SER]]/10</f>
        <v/>
      </c>
      <c r="AO218" s="68" t="n"/>
      <c r="AP218" s="100">
        <f>Table5[[#This Row],[(A/S) AJD]]-Table5[[#This Row],[SER_IN]]</f>
        <v/>
      </c>
    </row>
    <row r="219" ht="18.75" customHeight="1">
      <c r="A219" s="98" t="n">
        <v>47336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Table5[[#This Row],[ (T/B) SAR]]+Table5[[#This Row],[ (S/S) SAR]]</f>
        <v/>
      </c>
      <c r="L219" s="45" t="n"/>
      <c r="M219" s="46" t="n"/>
      <c r="N219" s="46" t="n"/>
      <c r="O219" s="40" t="n"/>
      <c r="P219" s="3">
        <f>Table5[[#This Row],[ (S/S) SAR]]-Table5[[#This Row],[(S/S) AJD]]</f>
        <v/>
      </c>
      <c r="Q219" s="40" t="n"/>
      <c r="R219" s="3">
        <f>Table5[[#This Row],[ (T/B) SAR]]-Table5[[#This Row],[(T/B) AJD]]</f>
        <v/>
      </c>
      <c r="S219" s="3">
        <f>Table5[[#This Row],[S/S_CON.]]+Table5[[#This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Table5[[#This Row],[(RESV. STORGE) AJD]]/10</f>
        <v/>
      </c>
      <c r="AB219" s="3">
        <f>IF(TRIM(Z219)="",,(Z219-Z218)/1000)</f>
        <v/>
      </c>
      <c r="AC219" s="5" t="n"/>
      <c r="AD219" s="40">
        <f>(Table5[[#This Row],[( S/S+T/B) AJD]]*1000)-((Table5[[#This Row],[(STORGE DIFF.) AJD]]*1000)+Table5[[#This Row],[AJD_Evaporation]]+(Table5[[#This Row],[(A/B + A/S) AJD]]*1000))</f>
        <v/>
      </c>
      <c r="AE219" s="44" t="n"/>
      <c r="AF219" s="45" t="n"/>
      <c r="AG219" s="45" t="n"/>
      <c r="AH219" s="6">
        <f>Table5[[#This Row],[ (RESV. STORGE) BER]]/10</f>
        <v/>
      </c>
      <c r="AI219" s="44" t="n"/>
      <c r="AJ219" s="44">
        <f>Table5[[#This Row],[(A/B) AJD]]-Table5[[#This Row],[BER_IN]]</f>
        <v/>
      </c>
      <c r="AK219" s="45" t="n"/>
      <c r="AL219" s="45" t="n"/>
      <c r="AM219" s="32" t="n"/>
      <c r="AN219" s="32">
        <f>Table5[[#This Row],[ (RESV. STORGE) SER]]/10</f>
        <v/>
      </c>
      <c r="AO219" s="68" t="n"/>
      <c r="AP219" s="100">
        <f>Table5[[#This Row],[(A/S) AJD]]-Table5[[#This Row],[SER_IN]]</f>
        <v/>
      </c>
    </row>
    <row r="220" ht="18.75" customHeight="1">
      <c r="A220" s="98" t="n">
        <v>47337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Table5[[#This Row],[ (T/B) SAR]]+Table5[[#This Row],[ (S/S) SAR]]</f>
        <v/>
      </c>
      <c r="L220" s="41" t="n"/>
      <c r="M220" s="42" t="n"/>
      <c r="N220" s="42" t="n"/>
      <c r="O220" s="39" t="n"/>
      <c r="P220" s="3">
        <f>Table5[[#This Row],[ (S/S) SAR]]-Table5[[#This Row],[(S/S) AJD]]</f>
        <v/>
      </c>
      <c r="Q220" s="39" t="n"/>
      <c r="R220" s="3">
        <f>Table5[[#This Row],[ (T/B) SAR]]-Table5[[#This Row],[(T/B) AJD]]</f>
        <v/>
      </c>
      <c r="S220" s="3">
        <f>Table5[[#This Row],[S/S_CON.]]+Table5[[#This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Table5[[#This Row],[(RESV. STORGE) AJD]]/10</f>
        <v/>
      </c>
      <c r="AB220" s="3">
        <f>IF(TRIM(Z220)="",,(Z220-Z219)/1000)</f>
        <v/>
      </c>
      <c r="AC220" s="5" t="n"/>
      <c r="AD220" s="39">
        <f>(Table5[[#This Row],[( S/S+T/B) AJD]]*1000)-((Table5[[#This Row],[(STORGE DIFF.) AJD]]*1000)+Table5[[#This Row],[AJD_Evaporation]]+(Table5[[#This Row],[(A/B + A/S) AJD]]*1000))</f>
        <v/>
      </c>
      <c r="AE220" s="41" t="n"/>
      <c r="AF220" s="43" t="n"/>
      <c r="AG220" s="43" t="n"/>
      <c r="AH220" s="6">
        <f>Table5[[#This Row],[ (RESV. STORGE) BER]]/10</f>
        <v/>
      </c>
      <c r="AI220" s="41" t="n"/>
      <c r="AJ220" s="41">
        <f>Table5[[#This Row],[(A/B) AJD]]-Table5[[#This Row],[BER_IN]]</f>
        <v/>
      </c>
      <c r="AK220" s="43" t="n"/>
      <c r="AL220" s="43" t="n"/>
      <c r="AM220" s="32" t="n"/>
      <c r="AN220" s="32">
        <f>Table5[[#This Row],[ (RESV. STORGE) SER]]/10</f>
        <v/>
      </c>
      <c r="AO220" s="68" t="n"/>
      <c r="AP220" s="100">
        <f>Table5[[#This Row],[(A/S) AJD]]-Table5[[#This Row],[SER_IN]]</f>
        <v/>
      </c>
    </row>
    <row r="221" ht="18.75" customHeight="1">
      <c r="A221" s="98" t="n">
        <v>47338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Table5[[#This Row],[ (T/B) SAR]]+Table5[[#This Row],[ (S/S) SAR]]</f>
        <v/>
      </c>
      <c r="L221" s="45" t="n"/>
      <c r="M221" s="46" t="n"/>
      <c r="N221" s="46" t="n"/>
      <c r="O221" s="40" t="n"/>
      <c r="P221" s="3">
        <f>Table5[[#This Row],[ (S/S) SAR]]-Table5[[#This Row],[(S/S) AJD]]</f>
        <v/>
      </c>
      <c r="Q221" s="40" t="n"/>
      <c r="R221" s="3">
        <f>Table5[[#This Row],[ (T/B) SAR]]-Table5[[#This Row],[(T/B) AJD]]</f>
        <v/>
      </c>
      <c r="S221" s="3">
        <f>Table5[[#This Row],[S/S_CON.]]+Table5[[#This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Table5[[#This Row],[(RESV. STORGE) AJD]]/10</f>
        <v/>
      </c>
      <c r="AB221" s="3">
        <f>IF(TRIM(Z221)="",,(Z221-Z220)/1000)</f>
        <v/>
      </c>
      <c r="AC221" s="5" t="n"/>
      <c r="AD221" s="40">
        <f>(Table5[[#This Row],[( S/S+T/B) AJD]]*1000)-((Table5[[#This Row],[(STORGE DIFF.) AJD]]*1000)+Table5[[#This Row],[AJD_Evaporation]]+(Table5[[#This Row],[(A/B + A/S) AJD]]*1000))</f>
        <v/>
      </c>
      <c r="AE221" s="44" t="n"/>
      <c r="AF221" s="45" t="n"/>
      <c r="AG221" s="45" t="n"/>
      <c r="AH221" s="6">
        <f>Table5[[#This Row],[ (RESV. STORGE) BER]]/10</f>
        <v/>
      </c>
      <c r="AI221" s="44" t="n"/>
      <c r="AJ221" s="44">
        <f>Table5[[#This Row],[(A/B) AJD]]-Table5[[#This Row],[BER_IN]]</f>
        <v/>
      </c>
      <c r="AK221" s="45" t="n"/>
      <c r="AL221" s="45" t="n"/>
      <c r="AM221" s="32" t="n"/>
      <c r="AN221" s="32">
        <f>Table5[[#This Row],[ (RESV. STORGE) SER]]/10</f>
        <v/>
      </c>
      <c r="AO221" s="68" t="n"/>
      <c r="AP221" s="100">
        <f>Table5[[#This Row],[(A/S) AJD]]-Table5[[#This Row],[SER_IN]]</f>
        <v/>
      </c>
    </row>
    <row r="222" ht="18.75" customHeight="1">
      <c r="A222" s="98" t="n">
        <v>47339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Table5[[#This Row],[ (T/B) SAR]]+Table5[[#This Row],[ (S/S) SAR]]</f>
        <v/>
      </c>
      <c r="L222" s="41" t="n"/>
      <c r="M222" s="42" t="n"/>
      <c r="N222" s="42" t="n"/>
      <c r="O222" s="39" t="n"/>
      <c r="P222" s="3">
        <f>Table5[[#This Row],[ (S/S) SAR]]-Table5[[#This Row],[(S/S) AJD]]</f>
        <v/>
      </c>
      <c r="Q222" s="39" t="n"/>
      <c r="R222" s="3">
        <f>Table5[[#This Row],[ (T/B) SAR]]-Table5[[#This Row],[(T/B) AJD]]</f>
        <v/>
      </c>
      <c r="S222" s="3">
        <f>Table5[[#This Row],[S/S_CON.]]+Table5[[#This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Table5[[#This Row],[(RESV. STORGE) AJD]]/10</f>
        <v/>
      </c>
      <c r="AB222" s="3">
        <f>IF(TRIM(Z222)="",,(Z222-Z221)/1000)</f>
        <v/>
      </c>
      <c r="AC222" s="5" t="n"/>
      <c r="AD222" s="39">
        <f>(Table5[[#This Row],[( S/S+T/B) AJD]]*1000)-((Table5[[#This Row],[(STORGE DIFF.) AJD]]*1000)+Table5[[#This Row],[AJD_Evaporation]]+(Table5[[#This Row],[(A/B + A/S) AJD]]*1000))</f>
        <v/>
      </c>
      <c r="AE222" s="41" t="n"/>
      <c r="AF222" s="43" t="n"/>
      <c r="AG222" s="43" t="n"/>
      <c r="AH222" s="6">
        <f>Table5[[#This Row],[ (RESV. STORGE) BER]]/10</f>
        <v/>
      </c>
      <c r="AI222" s="41" t="n"/>
      <c r="AJ222" s="41">
        <f>Table5[[#This Row],[(A/B) AJD]]-Table5[[#This Row],[BER_IN]]</f>
        <v/>
      </c>
      <c r="AK222" s="43" t="n"/>
      <c r="AL222" s="43" t="n"/>
      <c r="AM222" s="32" t="n"/>
      <c r="AN222" s="32">
        <f>Table5[[#This Row],[ (RESV. STORGE) SER]]/10</f>
        <v/>
      </c>
      <c r="AO222" s="68" t="n"/>
      <c r="AP222" s="100">
        <f>Table5[[#This Row],[(A/S) AJD]]-Table5[[#This Row],[SER_IN]]</f>
        <v/>
      </c>
    </row>
    <row r="223" ht="18.75" customHeight="1">
      <c r="A223" s="98" t="n">
        <v>47340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Table5[[#This Row],[ (T/B) SAR]]+Table5[[#This Row],[ (S/S) SAR]]</f>
        <v/>
      </c>
      <c r="L223" s="45" t="n"/>
      <c r="M223" s="46" t="n"/>
      <c r="N223" s="46" t="n"/>
      <c r="O223" s="40" t="n"/>
      <c r="P223" s="3">
        <f>Table5[[#This Row],[ (S/S) SAR]]-Table5[[#This Row],[(S/S) AJD]]</f>
        <v/>
      </c>
      <c r="Q223" s="40" t="n"/>
      <c r="R223" s="3">
        <f>Table5[[#This Row],[ (T/B) SAR]]-Table5[[#This Row],[(T/B) AJD]]</f>
        <v/>
      </c>
      <c r="S223" s="3">
        <f>Table5[[#This Row],[S/S_CON.]]+Table5[[#This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Table5[[#This Row],[(RESV. STORGE) AJD]]/10</f>
        <v/>
      </c>
      <c r="AB223" s="3">
        <f>IF(TRIM(Z223)="",,(Z223-Z222)/1000)</f>
        <v/>
      </c>
      <c r="AC223" s="5" t="n"/>
      <c r="AD223" s="40">
        <f>(Table5[[#This Row],[( S/S+T/B) AJD]]*1000)-((Table5[[#This Row],[(STORGE DIFF.) AJD]]*1000)+Table5[[#This Row],[AJD_Evaporation]]+(Table5[[#This Row],[(A/B + A/S) AJD]]*1000))</f>
        <v/>
      </c>
      <c r="AE223" s="44" t="n"/>
      <c r="AF223" s="45" t="n"/>
      <c r="AG223" s="45" t="n"/>
      <c r="AH223" s="6">
        <f>Table5[[#This Row],[ (RESV. STORGE) BER]]/10</f>
        <v/>
      </c>
      <c r="AI223" s="44" t="n"/>
      <c r="AJ223" s="44">
        <f>Table5[[#This Row],[(A/B) AJD]]-Table5[[#This Row],[BER_IN]]</f>
        <v/>
      </c>
      <c r="AK223" s="45" t="n"/>
      <c r="AL223" s="45" t="n"/>
      <c r="AM223" s="32" t="n"/>
      <c r="AN223" s="32">
        <f>Table5[[#This Row],[ (RESV. STORGE) SER]]/10</f>
        <v/>
      </c>
      <c r="AO223" s="68" t="n"/>
      <c r="AP223" s="100">
        <f>Table5[[#This Row],[(A/S) AJD]]-Table5[[#This Row],[SER_IN]]</f>
        <v/>
      </c>
    </row>
    <row r="224" ht="18.75" customHeight="1">
      <c r="A224" s="98" t="n">
        <v>47341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Table5[[#This Row],[ (T/B) SAR]]+Table5[[#This Row],[ (S/S) SAR]]</f>
        <v/>
      </c>
      <c r="L224" s="41" t="n"/>
      <c r="M224" s="42" t="n"/>
      <c r="N224" s="42" t="n"/>
      <c r="O224" s="39" t="n"/>
      <c r="P224" s="3">
        <f>Table5[[#This Row],[ (S/S) SAR]]-Table5[[#This Row],[(S/S) AJD]]</f>
        <v/>
      </c>
      <c r="Q224" s="39" t="n"/>
      <c r="R224" s="3">
        <f>Table5[[#This Row],[ (T/B) SAR]]-Table5[[#This Row],[(T/B) AJD]]</f>
        <v/>
      </c>
      <c r="S224" s="3">
        <f>Table5[[#This Row],[S/S_CON.]]+Table5[[#This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Table5[[#This Row],[(RESV. STORGE) AJD]]/10</f>
        <v/>
      </c>
      <c r="AB224" s="3">
        <f>IF(TRIM(Z224)="",,(Z224-Z223)/1000)</f>
        <v/>
      </c>
      <c r="AC224" s="5" t="n"/>
      <c r="AD224" s="39">
        <f>(Table5[[#This Row],[( S/S+T/B) AJD]]*1000)-((Table5[[#This Row],[(STORGE DIFF.) AJD]]*1000)+Table5[[#This Row],[AJD_Evaporation]]+(Table5[[#This Row],[(A/B + A/S) AJD]]*1000))</f>
        <v/>
      </c>
      <c r="AE224" s="41" t="n"/>
      <c r="AF224" s="43" t="n"/>
      <c r="AG224" s="68" t="n"/>
      <c r="AH224" s="6">
        <f>Table5[[#This Row],[ (RESV. STORGE) BER]]/10</f>
        <v/>
      </c>
      <c r="AI224" s="41" t="n"/>
      <c r="AJ224" s="69">
        <f>Table5[[#This Row],[(A/B) AJD]]-Table5[[#This Row],[BER_IN]]</f>
        <v/>
      </c>
      <c r="AK224" s="43" t="n"/>
      <c r="AL224" s="43" t="n"/>
      <c r="AM224" s="32" t="n"/>
      <c r="AN224" s="32">
        <f>Table5[[#This Row],[ (RESV. STORGE) SER]]/10</f>
        <v/>
      </c>
      <c r="AO224" s="68" t="n"/>
      <c r="AP224" s="100">
        <f>Table5[[#This Row],[(A/S) AJD]]-Table5[[#This Row],[SER_IN]]</f>
        <v/>
      </c>
    </row>
    <row r="225" ht="18.75" customHeight="1">
      <c r="A225" s="98" t="n">
        <v>47342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Table5[[#This Row],[ (T/B) SAR]]+Table5[[#This Row],[ (S/S) SAR]]</f>
        <v/>
      </c>
      <c r="L225" s="45" t="n"/>
      <c r="M225" s="46" t="n"/>
      <c r="N225" s="46" t="n"/>
      <c r="O225" s="40" t="n"/>
      <c r="P225" s="3">
        <f>Table5[[#This Row],[ (S/S) SAR]]-Table5[[#This Row],[(S/S) AJD]]</f>
        <v/>
      </c>
      <c r="Q225" s="40" t="n"/>
      <c r="R225" s="3">
        <f>Table5[[#This Row],[ (T/B) SAR]]-Table5[[#This Row],[(T/B) AJD]]</f>
        <v/>
      </c>
      <c r="S225" s="3">
        <f>Table5[[#This Row],[S/S_CON.]]+Table5[[#This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Table5[[#This Row],[(RESV. STORGE) AJD]]/10</f>
        <v/>
      </c>
      <c r="AB225" s="3">
        <f>IF(TRIM(Z225)="",,(Z225-Z224)/1000)</f>
        <v/>
      </c>
      <c r="AC225" s="5" t="n"/>
      <c r="AD225" s="40">
        <f>(Table5[[#This Row],[( S/S+T/B) AJD]]*1000)-((Table5[[#This Row],[(STORGE DIFF.) AJD]]*1000)+Table5[[#This Row],[AJD_Evaporation]]+(Table5[[#This Row],[(A/B + A/S) AJD]]*1000))</f>
        <v/>
      </c>
      <c r="AE225" s="44" t="n"/>
      <c r="AF225" s="45" t="n"/>
      <c r="AG225" s="45" t="n"/>
      <c r="AH225" s="6">
        <f>Table5[[#This Row],[ (RESV. STORGE) BER]]/10</f>
        <v/>
      </c>
      <c r="AI225" s="44" t="n"/>
      <c r="AJ225" s="44">
        <f>Table5[[#This Row],[(A/B) AJD]]-Table5[[#This Row],[BER_IN]]</f>
        <v/>
      </c>
      <c r="AK225" s="45" t="n"/>
      <c r="AL225" s="45" t="n"/>
      <c r="AM225" s="32" t="n"/>
      <c r="AN225" s="32">
        <f>Table5[[#This Row],[ (RESV. STORGE) SER]]/10</f>
        <v/>
      </c>
      <c r="AO225" s="68" t="n"/>
      <c r="AP225" s="100">
        <f>Table5[[#This Row],[(A/S) AJD]]-Table5[[#This Row],[SER_IN]]</f>
        <v/>
      </c>
    </row>
    <row r="226" ht="18.75" customHeight="1">
      <c r="A226" s="98" t="n">
        <v>47343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Table5[[#This Row],[ (T/B) SAR]]+Table5[[#This Row],[ (S/S) SAR]]</f>
        <v/>
      </c>
      <c r="L226" s="41" t="n"/>
      <c r="M226" s="42" t="n"/>
      <c r="N226" s="42" t="n"/>
      <c r="O226" s="39" t="n"/>
      <c r="P226" s="3">
        <f>Table5[[#This Row],[ (S/S) SAR]]-Table5[[#This Row],[(S/S) AJD]]</f>
        <v/>
      </c>
      <c r="Q226" s="39" t="n"/>
      <c r="R226" s="3">
        <f>Table5[[#This Row],[ (T/B) SAR]]-Table5[[#This Row],[(T/B) AJD]]</f>
        <v/>
      </c>
      <c r="S226" s="3">
        <f>Table5[[#This Row],[S/S_CON.]]+Table5[[#This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Table5[[#This Row],[(RESV. STORGE) AJD]]/10</f>
        <v/>
      </c>
      <c r="AB226" s="3">
        <f>IF(TRIM(Z226)="",,(Z226-Z225)/1000)</f>
        <v/>
      </c>
      <c r="AC226" s="5" t="n"/>
      <c r="AD226" s="39">
        <f>(Table5[[#This Row],[( S/S+T/B) AJD]]*1000)-((Table5[[#This Row],[(STORGE DIFF.) AJD]]*1000)+Table5[[#This Row],[AJD_Evaporation]]+(Table5[[#This Row],[(A/B + A/S) AJD]]*1000))</f>
        <v/>
      </c>
      <c r="AE226" s="41" t="n"/>
      <c r="AF226" s="43" t="n"/>
      <c r="AG226" s="43" t="n"/>
      <c r="AH226" s="6">
        <f>Table5[[#This Row],[ (RESV. STORGE) BER]]/10</f>
        <v/>
      </c>
      <c r="AI226" s="41" t="n"/>
      <c r="AJ226" s="41">
        <f>Table5[[#This Row],[(A/B) AJD]]-Table5[[#This Row],[BER_IN]]</f>
        <v/>
      </c>
      <c r="AK226" s="43" t="n"/>
      <c r="AL226" s="43" t="n"/>
      <c r="AM226" s="32" t="n"/>
      <c r="AN226" s="32">
        <f>Table5[[#This Row],[ (RESV. STORGE) SER]]/10</f>
        <v/>
      </c>
      <c r="AO226" s="68" t="n"/>
      <c r="AP226" s="100">
        <f>Table5[[#This Row],[(A/S) AJD]]-Table5[[#This Row],[SER_IN]]</f>
        <v/>
      </c>
    </row>
    <row r="227" ht="18.75" customHeight="1">
      <c r="A227" s="98" t="n">
        <v>47344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Table5[[#This Row],[ (T/B) SAR]]+Table5[[#This Row],[ (S/S) SAR]]</f>
        <v/>
      </c>
      <c r="L227" s="45" t="n"/>
      <c r="M227" s="46" t="n"/>
      <c r="N227" s="46" t="n"/>
      <c r="O227" s="40" t="n"/>
      <c r="P227" s="3">
        <f>Table5[[#This Row],[ (S/S) SAR]]-Table5[[#This Row],[(S/S) AJD]]</f>
        <v/>
      </c>
      <c r="Q227" s="40" t="n"/>
      <c r="R227" s="3">
        <f>Table5[[#This Row],[ (T/B) SAR]]-Table5[[#This Row],[(T/B) AJD]]</f>
        <v/>
      </c>
      <c r="S227" s="3">
        <f>Table5[[#This Row],[S/S_CON.]]+Table5[[#This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Table5[[#This Row],[(RESV. STORGE) AJD]]/10</f>
        <v/>
      </c>
      <c r="AB227" s="3">
        <f>IF(TRIM(Z227)="",,(Z227-Z226)/1000)</f>
        <v/>
      </c>
      <c r="AC227" s="5" t="n"/>
      <c r="AD227" s="40">
        <f>(Table5[[#This Row],[( S/S+T/B) AJD]]*1000)-((Table5[[#This Row],[(STORGE DIFF.) AJD]]*1000)+Table5[[#This Row],[AJD_Evaporation]]+(Table5[[#This Row],[(A/B + A/S) AJD]]*1000))</f>
        <v/>
      </c>
      <c r="AE227" s="44" t="n"/>
      <c r="AF227" s="45" t="n"/>
      <c r="AG227" s="45" t="n"/>
      <c r="AH227" s="6">
        <f>Table5[[#This Row],[ (RESV. STORGE) BER]]/10</f>
        <v/>
      </c>
      <c r="AI227" s="44" t="n"/>
      <c r="AJ227" s="44">
        <f>Table5[[#This Row],[(A/B) AJD]]-Table5[[#This Row],[BER_IN]]</f>
        <v/>
      </c>
      <c r="AK227" s="45" t="n"/>
      <c r="AL227" s="45" t="n"/>
      <c r="AM227" s="32" t="n"/>
      <c r="AN227" s="32">
        <f>Table5[[#This Row],[ (RESV. STORGE) SER]]/10</f>
        <v/>
      </c>
      <c r="AO227" s="68" t="n"/>
      <c r="AP227" s="100">
        <f>Table5[[#This Row],[(A/S) AJD]]-Table5[[#This Row],[SER_IN]]</f>
        <v/>
      </c>
    </row>
    <row r="228" ht="18.75" customHeight="1">
      <c r="A228" s="98" t="n">
        <v>47345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Table5[[#This Row],[ (T/B) SAR]]+Table5[[#This Row],[ (S/S) SAR]]</f>
        <v/>
      </c>
      <c r="L228" s="41" t="n"/>
      <c r="M228" s="42" t="n"/>
      <c r="N228" s="42" t="n"/>
      <c r="O228" s="39" t="n"/>
      <c r="P228" s="3">
        <f>Table5[[#This Row],[ (S/S) SAR]]-Table5[[#This Row],[(S/S) AJD]]</f>
        <v/>
      </c>
      <c r="Q228" s="39" t="n"/>
      <c r="R228" s="3">
        <f>Table5[[#This Row],[ (T/B) SAR]]-Table5[[#This Row],[(T/B) AJD]]</f>
        <v/>
      </c>
      <c r="S228" s="3">
        <f>Table5[[#This Row],[S/S_CON.]]+Table5[[#This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Table5[[#This Row],[(RESV. STORGE) AJD]]/10</f>
        <v/>
      </c>
      <c r="AB228" s="3">
        <f>IF(TRIM(Z228)="",,(Z228-Z227)/1000)</f>
        <v/>
      </c>
      <c r="AC228" s="5" t="n"/>
      <c r="AD228" s="39">
        <f>(Table5[[#This Row],[( S/S+T/B) AJD]]*1000)-((Table5[[#This Row],[(STORGE DIFF.) AJD]]*1000)+Table5[[#This Row],[AJD_Evaporation]]+(Table5[[#This Row],[(A/B + A/S) AJD]]*1000))</f>
        <v/>
      </c>
      <c r="AE228" s="41" t="n"/>
      <c r="AF228" s="43" t="n"/>
      <c r="AG228" s="43" t="n"/>
      <c r="AH228" s="6">
        <f>Table5[[#This Row],[ (RESV. STORGE) BER]]/10</f>
        <v/>
      </c>
      <c r="AI228" s="41" t="n"/>
      <c r="AJ228" s="41">
        <f>Table5[[#This Row],[(A/B) AJD]]-Table5[[#This Row],[BER_IN]]</f>
        <v/>
      </c>
      <c r="AK228" s="43" t="n"/>
      <c r="AL228" s="43" t="n"/>
      <c r="AM228" s="32" t="n"/>
      <c r="AN228" s="32">
        <f>Table5[[#This Row],[ (RESV. STORGE) SER]]/10</f>
        <v/>
      </c>
      <c r="AO228" s="68" t="n"/>
      <c r="AP228" s="100">
        <f>Table5[[#This Row],[(A/S) AJD]]-Table5[[#This Row],[SER_IN]]</f>
        <v/>
      </c>
    </row>
    <row r="229" ht="18.75" customHeight="1">
      <c r="A229" s="98" t="n">
        <v>47346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Table5[[#This Row],[ (T/B) SAR]]+Table5[[#This Row],[ (S/S) SAR]]</f>
        <v/>
      </c>
      <c r="L229" s="45" t="n"/>
      <c r="M229" s="46" t="n"/>
      <c r="N229" s="46" t="n"/>
      <c r="O229" s="40" t="n"/>
      <c r="P229" s="3">
        <f>Table5[[#This Row],[ (S/S) SAR]]-Table5[[#This Row],[(S/S) AJD]]</f>
        <v/>
      </c>
      <c r="Q229" s="40" t="n"/>
      <c r="R229" s="3">
        <f>Table5[[#This Row],[ (T/B) SAR]]-Table5[[#This Row],[(T/B) AJD]]</f>
        <v/>
      </c>
      <c r="S229" s="3">
        <f>Table5[[#This Row],[S/S_CON.]]+Table5[[#This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Table5[[#This Row],[(RESV. STORGE) AJD]]/10</f>
        <v/>
      </c>
      <c r="AB229" s="3">
        <f>IF(TRIM(Z229)="",,(Z229-Z228)/1000)</f>
        <v/>
      </c>
      <c r="AC229" s="5" t="n"/>
      <c r="AD229" s="40">
        <f>(Table5[[#This Row],[( S/S+T/B) AJD]]*1000)-((Table5[[#This Row],[(STORGE DIFF.) AJD]]*1000)+Table5[[#This Row],[AJD_Evaporation]]+(Table5[[#This Row],[(A/B + A/S) AJD]]*1000))</f>
        <v/>
      </c>
      <c r="AE229" s="44" t="n"/>
      <c r="AF229" s="45" t="n"/>
      <c r="AG229" s="45" t="n"/>
      <c r="AH229" s="6">
        <f>Table5[[#This Row],[ (RESV. STORGE) BER]]/10</f>
        <v/>
      </c>
      <c r="AI229" s="44" t="n"/>
      <c r="AJ229" s="44">
        <f>Table5[[#This Row],[(A/B) AJD]]-Table5[[#This Row],[BER_IN]]</f>
        <v/>
      </c>
      <c r="AK229" s="45" t="n"/>
      <c r="AL229" s="45" t="n"/>
      <c r="AM229" s="32" t="n"/>
      <c r="AN229" s="32">
        <f>Table5[[#This Row],[ (RESV. STORGE) SER]]/10</f>
        <v/>
      </c>
      <c r="AO229" s="68" t="n"/>
      <c r="AP229" s="100">
        <f>Table5[[#This Row],[(A/S) AJD]]-Table5[[#This Row],[SER_IN]]</f>
        <v/>
      </c>
    </row>
    <row r="230" ht="18.75" customHeight="1">
      <c r="A230" s="98" t="n">
        <v>47347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Table5[[#This Row],[ (T/B) SAR]]+Table5[[#This Row],[ (S/S) SAR]]</f>
        <v/>
      </c>
      <c r="L230" s="41" t="n"/>
      <c r="M230" s="42" t="n"/>
      <c r="N230" s="42" t="n"/>
      <c r="O230" s="39" t="n"/>
      <c r="P230" s="3">
        <f>Table5[[#This Row],[ (S/S) SAR]]-Table5[[#This Row],[(S/S) AJD]]</f>
        <v/>
      </c>
      <c r="Q230" s="39" t="n"/>
      <c r="R230" s="3">
        <f>Table5[[#This Row],[ (T/B) SAR]]-Table5[[#This Row],[(T/B) AJD]]</f>
        <v/>
      </c>
      <c r="S230" s="3">
        <f>Table5[[#This Row],[S/S_CON.]]+Table5[[#This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Table5[[#This Row],[(RESV. STORGE) AJD]]/10</f>
        <v/>
      </c>
      <c r="AB230" s="3">
        <f>IF(TRIM(Z230)="",,(Z230-Z229)/1000)</f>
        <v/>
      </c>
      <c r="AC230" s="5" t="n"/>
      <c r="AD230" s="39">
        <f>(Table5[[#This Row],[( S/S+T/B) AJD]]*1000)-((Table5[[#This Row],[(STORGE DIFF.) AJD]]*1000)+Table5[[#This Row],[AJD_Evaporation]]+(Table5[[#This Row],[(A/B + A/S) AJD]]*1000))</f>
        <v/>
      </c>
      <c r="AE230" s="41" t="n"/>
      <c r="AF230" s="43" t="n"/>
      <c r="AG230" s="43" t="n"/>
      <c r="AH230" s="6">
        <f>Table5[[#This Row],[ (RESV. STORGE) BER]]/10</f>
        <v/>
      </c>
      <c r="AI230" s="41" t="n"/>
      <c r="AJ230" s="41">
        <f>Table5[[#This Row],[(A/B) AJD]]-Table5[[#This Row],[BER_IN]]</f>
        <v/>
      </c>
      <c r="AK230" s="43" t="n"/>
      <c r="AL230" s="43" t="n"/>
      <c r="AM230" s="32" t="n"/>
      <c r="AN230" s="32">
        <f>Table5[[#This Row],[ (RESV. STORGE) SER]]/10</f>
        <v/>
      </c>
      <c r="AO230" s="68" t="n"/>
      <c r="AP230" s="100">
        <f>Table5[[#This Row],[(A/S) AJD]]-Table5[[#This Row],[SER_IN]]</f>
        <v/>
      </c>
    </row>
    <row r="231" ht="18.75" customHeight="1">
      <c r="A231" s="98" t="n">
        <v>47348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Table5[[#This Row],[ (T/B) SAR]]+Table5[[#This Row],[ (S/S) SAR]]</f>
        <v/>
      </c>
      <c r="L231" s="45" t="n"/>
      <c r="M231" s="46" t="n"/>
      <c r="N231" s="46" t="n"/>
      <c r="O231" s="40" t="n"/>
      <c r="P231" s="3">
        <f>Table5[[#This Row],[ (S/S) SAR]]-Table5[[#This Row],[(S/S) AJD]]</f>
        <v/>
      </c>
      <c r="Q231" s="40" t="n"/>
      <c r="R231" s="3">
        <f>Table5[[#This Row],[ (T/B) SAR]]-Table5[[#This Row],[(T/B) AJD]]</f>
        <v/>
      </c>
      <c r="S231" s="3">
        <f>Table5[[#This Row],[S/S_CON.]]+Table5[[#This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Table5[[#This Row],[(RESV. STORGE) AJD]]/10</f>
        <v/>
      </c>
      <c r="AB231" s="3">
        <f>IF(TRIM(Z231)="",,(Z231-Z230)/1000)</f>
        <v/>
      </c>
      <c r="AC231" s="5" t="n"/>
      <c r="AD231" s="40">
        <f>(Table5[[#This Row],[( S/S+T/B) AJD]]*1000)-((Table5[[#This Row],[(STORGE DIFF.) AJD]]*1000)+Table5[[#This Row],[AJD_Evaporation]]+(Table5[[#This Row],[(A/B + A/S) AJD]]*1000))</f>
        <v/>
      </c>
      <c r="AE231" s="44" t="n"/>
      <c r="AF231" s="45" t="n"/>
      <c r="AG231" s="45" t="n"/>
      <c r="AH231" s="6">
        <f>Table5[[#This Row],[ (RESV. STORGE) BER]]/10</f>
        <v/>
      </c>
      <c r="AI231" s="44" t="n"/>
      <c r="AJ231" s="44">
        <f>Table5[[#This Row],[(A/B) AJD]]-Table5[[#This Row],[BER_IN]]</f>
        <v/>
      </c>
      <c r="AK231" s="45" t="n"/>
      <c r="AL231" s="45" t="n"/>
      <c r="AM231" s="32" t="n"/>
      <c r="AN231" s="32">
        <f>Table5[[#This Row],[ (RESV. STORGE) SER]]/10</f>
        <v/>
      </c>
      <c r="AO231" s="68" t="n"/>
      <c r="AP231" s="100">
        <f>Table5[[#This Row],[(A/S) AJD]]-Table5[[#This Row],[SER_IN]]</f>
        <v/>
      </c>
    </row>
    <row r="232" ht="18.75" customHeight="1">
      <c r="A232" s="98" t="n">
        <v>47349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Table5[[#This Row],[ (T/B) SAR]]+Table5[[#This Row],[ (S/S) SAR]]</f>
        <v/>
      </c>
      <c r="L232" s="41" t="n"/>
      <c r="M232" s="42" t="n"/>
      <c r="N232" s="42" t="n"/>
      <c r="O232" s="39" t="n"/>
      <c r="P232" s="3">
        <f>Table5[[#This Row],[ (S/S) SAR]]-Table5[[#This Row],[(S/S) AJD]]</f>
        <v/>
      </c>
      <c r="Q232" s="39" t="n"/>
      <c r="R232" s="3">
        <f>Table5[[#This Row],[ (T/B) SAR]]-Table5[[#This Row],[(T/B) AJD]]</f>
        <v/>
      </c>
      <c r="S232" s="3">
        <f>Table5[[#This Row],[S/S_CON.]]+Table5[[#This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Table5[[#This Row],[(RESV. STORGE) AJD]]/10</f>
        <v/>
      </c>
      <c r="AB232" s="3">
        <f>IF(TRIM(Z232)="",,(Z232-Z231)/1000)</f>
        <v/>
      </c>
      <c r="AC232" s="5" t="n"/>
      <c r="AD232" s="39">
        <f>(Table5[[#This Row],[( S/S+T/B) AJD]]*1000)-((Table5[[#This Row],[(STORGE DIFF.) AJD]]*1000)+Table5[[#This Row],[AJD_Evaporation]]+(Table5[[#This Row],[(A/B + A/S) AJD]]*1000))</f>
        <v/>
      </c>
      <c r="AE232" s="41" t="n"/>
      <c r="AF232" s="43" t="n"/>
      <c r="AG232" s="43" t="n"/>
      <c r="AH232" s="6">
        <f>Table5[[#This Row],[ (RESV. STORGE) BER]]/10</f>
        <v/>
      </c>
      <c r="AI232" s="41" t="n"/>
      <c r="AJ232" s="41">
        <f>Table5[[#This Row],[(A/B) AJD]]-Table5[[#This Row],[BER_IN]]</f>
        <v/>
      </c>
      <c r="AK232" s="43" t="n"/>
      <c r="AL232" s="43" t="n"/>
      <c r="AM232" s="32" t="n"/>
      <c r="AN232" s="32">
        <f>Table5[[#This Row],[ (RESV. STORGE) SER]]/10</f>
        <v/>
      </c>
      <c r="AO232" s="68" t="n"/>
      <c r="AP232" s="100">
        <f>Table5[[#This Row],[(A/S) AJD]]-Table5[[#This Row],[SER_IN]]</f>
        <v/>
      </c>
    </row>
    <row r="233" ht="18.75" customHeight="1">
      <c r="A233" s="98" t="n">
        <v>47350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Table5[[#This Row],[ (T/B) SAR]]+Table5[[#This Row],[ (S/S) SAR]]</f>
        <v/>
      </c>
      <c r="L233" s="45" t="n"/>
      <c r="M233" s="46" t="n"/>
      <c r="N233" s="46" t="n"/>
      <c r="O233" s="40" t="n"/>
      <c r="P233" s="3">
        <f>Table5[[#This Row],[ (S/S) SAR]]-Table5[[#This Row],[(S/S) AJD]]</f>
        <v/>
      </c>
      <c r="Q233" s="40" t="n"/>
      <c r="R233" s="3">
        <f>Table5[[#This Row],[ (T/B) SAR]]-Table5[[#This Row],[(T/B) AJD]]</f>
        <v/>
      </c>
      <c r="S233" s="3">
        <f>Table5[[#This Row],[S/S_CON.]]+Table5[[#This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Table5[[#This Row],[(RESV. STORGE) AJD]]/10</f>
        <v/>
      </c>
      <c r="AB233" s="3">
        <f>IF(TRIM(Z233)="",,(Z233-Z232)/1000)</f>
        <v/>
      </c>
      <c r="AC233" s="5" t="n"/>
      <c r="AD233" s="40">
        <f>(Table5[[#This Row],[( S/S+T/B) AJD]]*1000)-((Table5[[#This Row],[(STORGE DIFF.) AJD]]*1000)+Table5[[#This Row],[AJD_Evaporation]]+(Table5[[#This Row],[(A/B + A/S) AJD]]*1000))</f>
        <v/>
      </c>
      <c r="AE233" s="44" t="n"/>
      <c r="AF233" s="45" t="n"/>
      <c r="AG233" s="45" t="n"/>
      <c r="AH233" s="6">
        <f>Table5[[#This Row],[ (RESV. STORGE) BER]]/10</f>
        <v/>
      </c>
      <c r="AI233" s="44" t="n"/>
      <c r="AJ233" s="44">
        <f>Table5[[#This Row],[(A/B) AJD]]-Table5[[#This Row],[BER_IN]]</f>
        <v/>
      </c>
      <c r="AK233" s="45" t="n"/>
      <c r="AL233" s="45" t="n"/>
      <c r="AM233" s="32" t="n"/>
      <c r="AN233" s="32">
        <f>Table5[[#This Row],[ (RESV. STORGE) SER]]/10</f>
        <v/>
      </c>
      <c r="AO233" s="68" t="n"/>
      <c r="AP233" s="100">
        <f>Table5[[#This Row],[(A/S) AJD]]-Table5[[#This Row],[SER_IN]]</f>
        <v/>
      </c>
    </row>
    <row r="234" ht="18.75" customHeight="1">
      <c r="A234" s="98" t="n">
        <v>47351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Table5[[#This Row],[ (T/B) SAR]]+Table5[[#This Row],[ (S/S) SAR]]</f>
        <v/>
      </c>
      <c r="L234" s="41" t="n"/>
      <c r="M234" s="42" t="n"/>
      <c r="N234" s="42" t="n"/>
      <c r="O234" s="39" t="n"/>
      <c r="P234" s="3">
        <f>Table5[[#This Row],[ (S/S) SAR]]-Table5[[#This Row],[(S/S) AJD]]</f>
        <v/>
      </c>
      <c r="Q234" s="39" t="n"/>
      <c r="R234" s="3">
        <f>Table5[[#This Row],[ (T/B) SAR]]-Table5[[#This Row],[(T/B) AJD]]</f>
        <v/>
      </c>
      <c r="S234" s="3">
        <f>Table5[[#This Row],[S/S_CON.]]+Table5[[#This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Table5[[#This Row],[(RESV. STORGE) AJD]]/10</f>
        <v/>
      </c>
      <c r="AB234" s="3">
        <f>IF(TRIM(Z234)="",,(Z234-Z233)/1000)</f>
        <v/>
      </c>
      <c r="AC234" s="5" t="n"/>
      <c r="AD234" s="39">
        <f>(Table5[[#This Row],[( S/S+T/B) AJD]]*1000)-((Table5[[#This Row],[(STORGE DIFF.) AJD]]*1000)+Table5[[#This Row],[AJD_Evaporation]]+(Table5[[#This Row],[(A/B + A/S) AJD]]*1000))</f>
        <v/>
      </c>
      <c r="AE234" s="41" t="n"/>
      <c r="AF234" s="43" t="n"/>
      <c r="AG234" s="43" t="n"/>
      <c r="AH234" s="6">
        <f>Table5[[#This Row],[ (RESV. STORGE) BER]]/10</f>
        <v/>
      </c>
      <c r="AI234" s="41" t="n"/>
      <c r="AJ234" s="41">
        <f>Table5[[#This Row],[(A/B) AJD]]-Table5[[#This Row],[BER_IN]]</f>
        <v/>
      </c>
      <c r="AK234" s="43" t="n"/>
      <c r="AL234" s="43" t="n"/>
      <c r="AM234" s="32" t="n"/>
      <c r="AN234" s="32">
        <f>Table5[[#This Row],[ (RESV. STORGE) SER]]/10</f>
        <v/>
      </c>
      <c r="AO234" s="68" t="n"/>
      <c r="AP234" s="100">
        <f>Table5[[#This Row],[(A/S) AJD]]-Table5[[#This Row],[SER_IN]]</f>
        <v/>
      </c>
    </row>
    <row r="235" ht="18.75" customHeight="1">
      <c r="A235" s="98" t="n">
        <v>47352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Table5[[#This Row],[ (T/B) SAR]]+Table5[[#This Row],[ (S/S) SAR]]</f>
        <v/>
      </c>
      <c r="L235" s="45" t="n"/>
      <c r="M235" s="46" t="n"/>
      <c r="N235" s="46" t="n"/>
      <c r="O235" s="40" t="n"/>
      <c r="P235" s="3">
        <f>Table5[[#This Row],[ (S/S) SAR]]-Table5[[#This Row],[(S/S) AJD]]</f>
        <v/>
      </c>
      <c r="Q235" s="40" t="n"/>
      <c r="R235" s="3">
        <f>Table5[[#This Row],[ (T/B) SAR]]-Table5[[#This Row],[(T/B) AJD]]</f>
        <v/>
      </c>
      <c r="S235" s="3">
        <f>Table5[[#This Row],[S/S_CON.]]+Table5[[#This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Table5[[#This Row],[(RESV. STORGE) AJD]]/10</f>
        <v/>
      </c>
      <c r="AB235" s="3">
        <f>IF(TRIM(Z235)="",,(Z235-Z234)/1000)</f>
        <v/>
      </c>
      <c r="AC235" s="5" t="n"/>
      <c r="AD235" s="40">
        <f>(Table5[[#This Row],[( S/S+T/B) AJD]]*1000)-((Table5[[#This Row],[(STORGE DIFF.) AJD]]*1000)+Table5[[#This Row],[AJD_Evaporation]]+(Table5[[#This Row],[(A/B + A/S) AJD]]*1000))</f>
        <v/>
      </c>
      <c r="AE235" s="44" t="n"/>
      <c r="AF235" s="45" t="n"/>
      <c r="AG235" s="45" t="n"/>
      <c r="AH235" s="6">
        <f>Table5[[#This Row],[ (RESV. STORGE) BER]]/10</f>
        <v/>
      </c>
      <c r="AI235" s="44" t="n"/>
      <c r="AJ235" s="44">
        <f>Table5[[#This Row],[(A/B) AJD]]-Table5[[#This Row],[BER_IN]]</f>
        <v/>
      </c>
      <c r="AK235" s="45" t="n"/>
      <c r="AL235" s="45" t="n"/>
      <c r="AM235" s="32" t="n"/>
      <c r="AN235" s="32">
        <f>Table5[[#This Row],[ (RESV. STORGE) SER]]/10</f>
        <v/>
      </c>
      <c r="AO235" s="68" t="n"/>
      <c r="AP235" s="100">
        <f>Table5[[#This Row],[(A/S) AJD]]-Table5[[#This Row],[SER_IN]]</f>
        <v/>
      </c>
    </row>
    <row r="236" ht="18.75" customHeight="1">
      <c r="A236" s="98" t="n">
        <v>47353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Table5[[#This Row],[ (T/B) SAR]]+Table5[[#This Row],[ (S/S) SAR]]</f>
        <v/>
      </c>
      <c r="L236" s="41" t="n"/>
      <c r="M236" s="42" t="n"/>
      <c r="N236" s="42" t="n"/>
      <c r="O236" s="39" t="n"/>
      <c r="P236" s="3">
        <f>Table5[[#This Row],[ (S/S) SAR]]-Table5[[#This Row],[(S/S) AJD]]</f>
        <v/>
      </c>
      <c r="Q236" s="39" t="n"/>
      <c r="R236" s="3">
        <f>Table5[[#This Row],[ (T/B) SAR]]-Table5[[#This Row],[(T/B) AJD]]</f>
        <v/>
      </c>
      <c r="S236" s="3">
        <f>Table5[[#This Row],[S/S_CON.]]+Table5[[#This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Table5[[#This Row],[(RESV. STORGE) AJD]]/10</f>
        <v/>
      </c>
      <c r="AB236" s="3">
        <f>IF(TRIM(Z236)="",,(Z236-Z235)/1000)</f>
        <v/>
      </c>
      <c r="AC236" s="5" t="n"/>
      <c r="AD236" s="39">
        <f>(Table5[[#This Row],[( S/S+T/B) AJD]]*1000)-((Table5[[#This Row],[(STORGE DIFF.) AJD]]*1000)+Table5[[#This Row],[AJD_Evaporation]]+(Table5[[#This Row],[(A/B + A/S) AJD]]*1000))</f>
        <v/>
      </c>
      <c r="AE236" s="41" t="n"/>
      <c r="AF236" s="43" t="n"/>
      <c r="AG236" s="43" t="n"/>
      <c r="AH236" s="6">
        <f>Table5[[#This Row],[ (RESV. STORGE) BER]]/10</f>
        <v/>
      </c>
      <c r="AI236" s="41" t="n"/>
      <c r="AJ236" s="41">
        <f>Table5[[#This Row],[(A/B) AJD]]-Table5[[#This Row],[BER_IN]]</f>
        <v/>
      </c>
      <c r="AK236" s="43" t="n"/>
      <c r="AL236" s="43" t="n"/>
      <c r="AM236" s="32" t="n"/>
      <c r="AN236" s="32">
        <f>Table5[[#This Row],[ (RESV. STORGE) SER]]/10</f>
        <v/>
      </c>
      <c r="AO236" s="68" t="n"/>
      <c r="AP236" s="100">
        <f>Table5[[#This Row],[(A/S) AJD]]-Table5[[#This Row],[SER_IN]]</f>
        <v/>
      </c>
    </row>
    <row r="237" ht="18.75" customHeight="1">
      <c r="A237" s="98" t="n">
        <v>47354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Table5[[#This Row],[ (T/B) SAR]]+Table5[[#This Row],[ (S/S) SAR]]</f>
        <v/>
      </c>
      <c r="L237" s="45" t="n"/>
      <c r="M237" s="46" t="n"/>
      <c r="N237" s="46" t="n"/>
      <c r="O237" s="40" t="n"/>
      <c r="P237" s="3">
        <f>Table5[[#This Row],[ (S/S) SAR]]-Table5[[#This Row],[(S/S) AJD]]</f>
        <v/>
      </c>
      <c r="Q237" s="40" t="n"/>
      <c r="R237" s="3">
        <f>Table5[[#This Row],[ (T/B) SAR]]-Table5[[#This Row],[(T/B) AJD]]</f>
        <v/>
      </c>
      <c r="S237" s="3">
        <f>Table5[[#This Row],[S/S_CON.]]+Table5[[#This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Table5[[#This Row],[(RESV. STORGE) AJD]]/10</f>
        <v/>
      </c>
      <c r="AB237" s="3">
        <f>IF(TRIM(Z237)="",,(Z237-Z236)/1000)</f>
        <v/>
      </c>
      <c r="AC237" s="5" t="n"/>
      <c r="AD237" s="40">
        <f>(Table5[[#This Row],[( S/S+T/B) AJD]]*1000)-((Table5[[#This Row],[(STORGE DIFF.) AJD]]*1000)+Table5[[#This Row],[AJD_Evaporation]]+(Table5[[#This Row],[(A/B + A/S) AJD]]*1000))</f>
        <v/>
      </c>
      <c r="AE237" s="44" t="n"/>
      <c r="AF237" s="45" t="n"/>
      <c r="AG237" s="45" t="n"/>
      <c r="AH237" s="6">
        <f>Table5[[#This Row],[ (RESV. STORGE) BER]]/10</f>
        <v/>
      </c>
      <c r="AI237" s="44" t="n"/>
      <c r="AJ237" s="44">
        <f>Table5[[#This Row],[(A/B) AJD]]-Table5[[#This Row],[BER_IN]]</f>
        <v/>
      </c>
      <c r="AK237" s="45" t="n"/>
      <c r="AL237" s="45" t="n"/>
      <c r="AM237" s="32" t="n"/>
      <c r="AN237" s="32">
        <f>Table5[[#This Row],[ (RESV. STORGE) SER]]/10</f>
        <v/>
      </c>
      <c r="AO237" s="68" t="n"/>
      <c r="AP237" s="100">
        <f>Table5[[#This Row],[(A/S) AJD]]-Table5[[#This Row],[SER_IN]]</f>
        <v/>
      </c>
    </row>
    <row r="238" ht="18.75" customHeight="1">
      <c r="A238" s="98" t="n">
        <v>47355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Table5[[#This Row],[ (T/B) SAR]]+Table5[[#This Row],[ (S/S) SAR]]</f>
        <v/>
      </c>
      <c r="L238" s="41" t="n"/>
      <c r="M238" s="42" t="n"/>
      <c r="N238" s="42" t="n"/>
      <c r="O238" s="39" t="n"/>
      <c r="P238" s="3">
        <f>Table5[[#This Row],[ (S/S) SAR]]-Table5[[#This Row],[(S/S) AJD]]</f>
        <v/>
      </c>
      <c r="Q238" s="39" t="n"/>
      <c r="R238" s="3">
        <f>Table5[[#This Row],[ (T/B) SAR]]-Table5[[#This Row],[(T/B) AJD]]</f>
        <v/>
      </c>
      <c r="S238" s="3">
        <f>Table5[[#This Row],[S/S_CON.]]+Table5[[#This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Table5[[#This Row],[(RESV. STORGE) AJD]]/10</f>
        <v/>
      </c>
      <c r="AB238" s="3">
        <f>IF(TRIM(Z238)="",,(Z238-Z237)/1000)</f>
        <v/>
      </c>
      <c r="AC238" s="5" t="n"/>
      <c r="AD238" s="39">
        <f>(Table5[[#This Row],[( S/S+T/B) AJD]]*1000)-((Table5[[#This Row],[(STORGE DIFF.) AJD]]*1000)+Table5[[#This Row],[AJD_Evaporation]]+(Table5[[#This Row],[(A/B + A/S) AJD]]*1000))</f>
        <v/>
      </c>
      <c r="AE238" s="41" t="n"/>
      <c r="AF238" s="43" t="n"/>
      <c r="AG238" s="43" t="n"/>
      <c r="AH238" s="6">
        <f>Table5[[#This Row],[ (RESV. STORGE) BER]]/10</f>
        <v/>
      </c>
      <c r="AI238" s="41" t="n"/>
      <c r="AJ238" s="41">
        <f>Table5[[#This Row],[(A/B) AJD]]-Table5[[#This Row],[BER_IN]]</f>
        <v/>
      </c>
      <c r="AK238" s="43" t="n"/>
      <c r="AL238" s="43" t="n"/>
      <c r="AM238" s="32" t="n"/>
      <c r="AN238" s="32">
        <f>Table5[[#This Row],[ (RESV. STORGE) SER]]/10</f>
        <v/>
      </c>
      <c r="AO238" s="68" t="n"/>
      <c r="AP238" s="100">
        <f>Table5[[#This Row],[(A/S) AJD]]-Table5[[#This Row],[SER_IN]]</f>
        <v/>
      </c>
    </row>
    <row r="239" ht="18.75" customHeight="1">
      <c r="A239" s="98" t="n">
        <v>47356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Table5[[#This Row],[ (T/B) SAR]]+Table5[[#This Row],[ (S/S) SAR]]</f>
        <v/>
      </c>
      <c r="L239" s="45" t="n"/>
      <c r="M239" s="46" t="n"/>
      <c r="N239" s="46" t="n"/>
      <c r="O239" s="40" t="n"/>
      <c r="P239" s="3">
        <f>Table5[[#This Row],[ (S/S) SAR]]-Table5[[#This Row],[(S/S) AJD]]</f>
        <v/>
      </c>
      <c r="Q239" s="40" t="n"/>
      <c r="R239" s="3">
        <f>Table5[[#This Row],[ (T/B) SAR]]-Table5[[#This Row],[(T/B) AJD]]</f>
        <v/>
      </c>
      <c r="S239" s="3">
        <f>Table5[[#This Row],[S/S_CON.]]+Table5[[#This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Table5[[#This Row],[(RESV. STORGE) AJD]]/10</f>
        <v/>
      </c>
      <c r="AB239" s="3">
        <f>IF(TRIM(Z239)="",,(Z239-Z238)/1000)</f>
        <v/>
      </c>
      <c r="AC239" s="5" t="n"/>
      <c r="AD239" s="40">
        <f>(Table5[[#This Row],[( S/S+T/B) AJD]]*1000)-((Table5[[#This Row],[(STORGE DIFF.) AJD]]*1000)+Table5[[#This Row],[AJD_Evaporation]]+(Table5[[#This Row],[(A/B + A/S) AJD]]*1000))</f>
        <v/>
      </c>
      <c r="AE239" s="44" t="n"/>
      <c r="AF239" s="45" t="n"/>
      <c r="AG239" s="45" t="n"/>
      <c r="AH239" s="6">
        <f>Table5[[#This Row],[ (RESV. STORGE) BER]]/10</f>
        <v/>
      </c>
      <c r="AI239" s="44" t="n"/>
      <c r="AJ239" s="44">
        <f>Table5[[#This Row],[(A/B) AJD]]-Table5[[#This Row],[BER_IN]]</f>
        <v/>
      </c>
      <c r="AK239" s="45" t="n"/>
      <c r="AL239" s="45" t="n"/>
      <c r="AM239" s="32" t="n"/>
      <c r="AN239" s="32">
        <f>Table5[[#This Row],[ (RESV. STORGE) SER]]/10</f>
        <v/>
      </c>
      <c r="AO239" s="68" t="n"/>
      <c r="AP239" s="100">
        <f>Table5[[#This Row],[(A/S) AJD]]-Table5[[#This Row],[SER_IN]]</f>
        <v/>
      </c>
    </row>
    <row r="240" ht="18.75" customHeight="1">
      <c r="A240" s="98" t="n">
        <v>47357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Table5[[#This Row],[ (T/B) SAR]]+Table5[[#This Row],[ (S/S) SAR]]</f>
        <v/>
      </c>
      <c r="L240" s="41" t="n"/>
      <c r="M240" s="42" t="n"/>
      <c r="N240" s="42" t="n"/>
      <c r="O240" s="39" t="n"/>
      <c r="P240" s="3">
        <f>Table5[[#This Row],[ (S/S) SAR]]-Table5[[#This Row],[(S/S) AJD]]</f>
        <v/>
      </c>
      <c r="Q240" s="39" t="n"/>
      <c r="R240" s="3">
        <f>Table5[[#This Row],[ (T/B) SAR]]-Table5[[#This Row],[(T/B) AJD]]</f>
        <v/>
      </c>
      <c r="S240" s="3">
        <f>Table5[[#This Row],[S/S_CON.]]+Table5[[#This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Table5[[#This Row],[(RESV. STORGE) AJD]]/10</f>
        <v/>
      </c>
      <c r="AB240" s="3">
        <f>IF(TRIM(Z240)="",,(Z240-Z239)/1000)</f>
        <v/>
      </c>
      <c r="AC240" s="5" t="n"/>
      <c r="AD240" s="39">
        <f>(Table5[[#This Row],[( S/S+T/B) AJD]]*1000)-((Table5[[#This Row],[(STORGE DIFF.) AJD]]*1000)+Table5[[#This Row],[AJD_Evaporation]]+(Table5[[#This Row],[(A/B + A/S) AJD]]*1000))</f>
        <v/>
      </c>
      <c r="AE240" s="41" t="n"/>
      <c r="AF240" s="43" t="n"/>
      <c r="AG240" s="43" t="n"/>
      <c r="AH240" s="6">
        <f>Table5[[#This Row],[ (RESV. STORGE) BER]]/10</f>
        <v/>
      </c>
      <c r="AI240" s="41" t="n"/>
      <c r="AJ240" s="41">
        <f>Table5[[#This Row],[(A/B) AJD]]-Table5[[#This Row],[BER_IN]]</f>
        <v/>
      </c>
      <c r="AK240" s="43" t="n"/>
      <c r="AL240" s="43" t="n"/>
      <c r="AM240" s="32" t="n"/>
      <c r="AN240" s="32">
        <f>Table5[[#This Row],[ (RESV. STORGE) SER]]/10</f>
        <v/>
      </c>
      <c r="AO240" s="68" t="n"/>
      <c r="AP240" s="100">
        <f>Table5[[#This Row],[(A/S) AJD]]-Table5[[#This Row],[SER_IN]]</f>
        <v/>
      </c>
    </row>
    <row r="241" ht="18.75" customHeight="1">
      <c r="A241" s="98" t="n">
        <v>47358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Table5[[#This Row],[ (T/B) SAR]]+Table5[[#This Row],[ (S/S) SAR]]</f>
        <v/>
      </c>
      <c r="L241" s="45" t="n"/>
      <c r="M241" s="46" t="n"/>
      <c r="N241" s="46" t="n"/>
      <c r="O241" s="40" t="n"/>
      <c r="P241" s="3">
        <f>Table5[[#This Row],[ (S/S) SAR]]-Table5[[#This Row],[(S/S) AJD]]</f>
        <v/>
      </c>
      <c r="Q241" s="40" t="n"/>
      <c r="R241" s="3">
        <f>Table5[[#This Row],[ (T/B) SAR]]-Table5[[#This Row],[(T/B) AJD]]</f>
        <v/>
      </c>
      <c r="S241" s="3">
        <f>Table5[[#This Row],[S/S_CON.]]+Table5[[#This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Table5[[#This Row],[(RESV. STORGE) AJD]]/10</f>
        <v/>
      </c>
      <c r="AB241" s="3">
        <f>IF(TRIM(Z241)="",,(Z241-Z240)/1000)</f>
        <v/>
      </c>
      <c r="AC241" s="5" t="n"/>
      <c r="AD241" s="40">
        <f>(Table5[[#This Row],[( S/S+T/B) AJD]]*1000)-((Table5[[#This Row],[(STORGE DIFF.) AJD]]*1000)+Table5[[#This Row],[AJD_Evaporation]]+(Table5[[#This Row],[(A/B + A/S) AJD]]*1000))</f>
        <v/>
      </c>
      <c r="AE241" s="44" t="n"/>
      <c r="AF241" s="45" t="n"/>
      <c r="AG241" s="45" t="n"/>
      <c r="AH241" s="6">
        <f>Table5[[#This Row],[ (RESV. STORGE) BER]]/10</f>
        <v/>
      </c>
      <c r="AI241" s="44" t="n"/>
      <c r="AJ241" s="44">
        <f>Table5[[#This Row],[(A/B) AJD]]-Table5[[#This Row],[BER_IN]]</f>
        <v/>
      </c>
      <c r="AK241" s="45" t="n"/>
      <c r="AL241" s="45" t="n"/>
      <c r="AM241" s="32" t="n"/>
      <c r="AN241" s="32">
        <f>Table5[[#This Row],[ (RESV. STORGE) SER]]/10</f>
        <v/>
      </c>
      <c r="AO241" s="68" t="n"/>
      <c r="AP241" s="100">
        <f>Table5[[#This Row],[(A/S) AJD]]-Table5[[#This Row],[SER_IN]]</f>
        <v/>
      </c>
    </row>
    <row r="242" ht="18.75" customHeight="1">
      <c r="A242" s="98" t="n">
        <v>47359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Table5[[#This Row],[ (T/B) SAR]]+Table5[[#This Row],[ (S/S) SAR]]</f>
        <v/>
      </c>
      <c r="L242" s="41" t="n"/>
      <c r="M242" s="42" t="n"/>
      <c r="N242" s="42" t="n"/>
      <c r="O242" s="39" t="n"/>
      <c r="P242" s="3">
        <f>Table5[[#This Row],[ (S/S) SAR]]-Table5[[#This Row],[(S/S) AJD]]</f>
        <v/>
      </c>
      <c r="Q242" s="39" t="n"/>
      <c r="R242" s="3">
        <f>Table5[[#This Row],[ (T/B) SAR]]-Table5[[#This Row],[(T/B) AJD]]</f>
        <v/>
      </c>
      <c r="S242" s="3">
        <f>Table5[[#This Row],[S/S_CON.]]+Table5[[#This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Table5[[#This Row],[(RESV. STORGE) AJD]]/10</f>
        <v/>
      </c>
      <c r="AB242" s="3">
        <f>IF(TRIM(Z242)="",,(Z242-Z241)/1000)</f>
        <v/>
      </c>
      <c r="AC242" s="5" t="n"/>
      <c r="AD242" s="39">
        <f>(Table5[[#This Row],[( S/S+T/B) AJD]]*1000)-((Table5[[#This Row],[(STORGE DIFF.) AJD]]*1000)+Table5[[#This Row],[AJD_Evaporation]]+(Table5[[#This Row],[(A/B + A/S) AJD]]*1000))</f>
        <v/>
      </c>
      <c r="AE242" s="41" t="n"/>
      <c r="AF242" s="43" t="n"/>
      <c r="AG242" s="43" t="n"/>
      <c r="AH242" s="6">
        <f>Table5[[#This Row],[ (RESV. STORGE) BER]]/10</f>
        <v/>
      </c>
      <c r="AI242" s="41" t="n"/>
      <c r="AJ242" s="41">
        <f>Table5[[#This Row],[(A/B) AJD]]-Table5[[#This Row],[BER_IN]]</f>
        <v/>
      </c>
      <c r="AK242" s="43" t="n"/>
      <c r="AL242" s="43" t="n"/>
      <c r="AM242" s="32" t="n"/>
      <c r="AN242" s="32">
        <f>Table5[[#This Row],[ (RESV. STORGE) SER]]/10</f>
        <v/>
      </c>
      <c r="AO242" s="68" t="n"/>
      <c r="AP242" s="100">
        <f>Table5[[#This Row],[(A/S) AJD]]-Table5[[#This Row],[SER_IN]]</f>
        <v/>
      </c>
    </row>
    <row r="243" ht="18.75" customHeight="1">
      <c r="A243" s="98" t="n">
        <v>47360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Table5[[#This Row],[ (T/B) SAR]]+Table5[[#This Row],[ (S/S) SAR]]</f>
        <v/>
      </c>
      <c r="L243" s="45" t="n"/>
      <c r="M243" s="46" t="n"/>
      <c r="N243" s="46" t="n"/>
      <c r="O243" s="40" t="n"/>
      <c r="P243" s="3">
        <f>Table5[[#This Row],[ (S/S) SAR]]-Table5[[#This Row],[(S/S) AJD]]</f>
        <v/>
      </c>
      <c r="Q243" s="40" t="n"/>
      <c r="R243" s="3">
        <f>Table5[[#This Row],[ (T/B) SAR]]-Table5[[#This Row],[(T/B) AJD]]</f>
        <v/>
      </c>
      <c r="S243" s="3">
        <f>Table5[[#This Row],[S/S_CON.]]+Table5[[#This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Table5[[#This Row],[(RESV. STORGE) AJD]]/10</f>
        <v/>
      </c>
      <c r="AB243" s="3">
        <f>IF(TRIM(Z243)="",,(Z243-Z242)/1000)</f>
        <v/>
      </c>
      <c r="AC243" s="5" t="n"/>
      <c r="AD243" s="70">
        <f>(Table5[[#This Row],[( S/S+T/B) AJD]]*1000)-((Table5[[#This Row],[(STORGE DIFF.) AJD]]*1000)+Table5[[#This Row],[AJD_Evaporation]]+(Table5[[#This Row],[(A/B + A/S) AJD]]*1000))</f>
        <v/>
      </c>
      <c r="AE243" s="44" t="n"/>
      <c r="AF243" s="45" t="n"/>
      <c r="AG243" s="45" t="n"/>
      <c r="AH243" s="6">
        <f>Table5[[#This Row],[ (RESV. STORGE) BER]]/10</f>
        <v/>
      </c>
      <c r="AI243" s="44" t="n"/>
      <c r="AJ243" s="67">
        <f>Table5[[#This Row],[(A/B) AJD]]-Table5[[#This Row],[BER_IN]]</f>
        <v/>
      </c>
      <c r="AK243" s="45" t="n"/>
      <c r="AL243" s="45" t="n"/>
      <c r="AM243" s="32" t="n"/>
      <c r="AN243" s="32">
        <f>Table5[[#This Row],[ (RESV. STORGE) SER]]/10</f>
        <v/>
      </c>
      <c r="AO243" s="68" t="n"/>
      <c r="AP243" s="100">
        <f>Table5[[#This Row],[(A/S) AJD]]-Table5[[#This Row],[SER_IN]]</f>
        <v/>
      </c>
    </row>
    <row r="244" ht="18.75" customHeight="1">
      <c r="A244" s="98" t="n">
        <v>47361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Table5[[#This Row],[ (T/B) SAR]]+Table5[[#This Row],[ (S/S) SAR]]</f>
        <v/>
      </c>
      <c r="L244" s="41" t="n"/>
      <c r="M244" s="42" t="n"/>
      <c r="N244" s="42" t="n"/>
      <c r="O244" s="39" t="n"/>
      <c r="P244" s="3">
        <f>Table5[[#This Row],[ (S/S) SAR]]-Table5[[#This Row],[(S/S) AJD]]</f>
        <v/>
      </c>
      <c r="Q244" s="39" t="n"/>
      <c r="R244" s="3">
        <f>Table5[[#This Row],[ (T/B) SAR]]-Table5[[#This Row],[(T/B) AJD]]</f>
        <v/>
      </c>
      <c r="S244" s="3">
        <f>Table5[[#This Row],[S/S_CON.]]+Table5[[#This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Table5[[#This Row],[(RESV. STORGE) AJD]]/10</f>
        <v/>
      </c>
      <c r="AB244" s="3">
        <f>IF(TRIM(Z244)="",,(Z244-Z243)/1000)</f>
        <v/>
      </c>
      <c r="AC244" s="5" t="n"/>
      <c r="AD244" s="39">
        <f>(Table5[[#This Row],[( S/S+T/B) AJD]]*1000)-((Table5[[#This Row],[(STORGE DIFF.) AJD]]*1000)+Table5[[#This Row],[AJD_Evaporation]]+(Table5[[#This Row],[(A/B + A/S) AJD]]*1000))</f>
        <v/>
      </c>
      <c r="AE244" s="41" t="n"/>
      <c r="AF244" s="43" t="n"/>
      <c r="AG244" s="43" t="n"/>
      <c r="AH244" s="6">
        <f>Table5[[#This Row],[ (RESV. STORGE) BER]]/10</f>
        <v/>
      </c>
      <c r="AI244" s="41" t="n"/>
      <c r="AJ244" s="41">
        <f>Table5[[#This Row],[(A/B) AJD]]-Table5[[#This Row],[BER_IN]]</f>
        <v/>
      </c>
      <c r="AK244" s="43" t="n"/>
      <c r="AL244" s="43" t="n"/>
      <c r="AM244" s="32" t="n"/>
      <c r="AN244" s="32">
        <f>Table5[[#This Row],[ (RESV. STORGE) SER]]/10</f>
        <v/>
      </c>
      <c r="AO244" s="68" t="n"/>
      <c r="AP244" s="100">
        <f>Table5[[#This Row],[(A/S) AJD]]-Table5[[#This Row],[SER_IN]]</f>
        <v/>
      </c>
    </row>
    <row r="245" ht="18.75" customHeight="1">
      <c r="A245" s="98" t="n">
        <v>47362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Table5[[#This Row],[ (T/B) SAR]]+Table5[[#This Row],[ (S/S) SAR]]</f>
        <v/>
      </c>
      <c r="L245" s="41" t="n"/>
      <c r="M245" s="42" t="n"/>
      <c r="N245" s="42" t="n"/>
      <c r="O245" s="39" t="n"/>
      <c r="P245" s="14">
        <f>Table5[[#This Row],[ (S/S) SAR]]-Table5[[#This Row],[(S/S) AJD]]</f>
        <v/>
      </c>
      <c r="Q245" s="39" t="n"/>
      <c r="R245" s="14">
        <f>Table5[[#This Row],[ (T/B) SAR]]-Table5[[#This Row],[(T/B) AJD]]</f>
        <v/>
      </c>
      <c r="S245" s="14">
        <f>Table5[[#This Row],[S/S_CON.]]+Table5[[#This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Table5[[#This Row],[(RESV. STORGE) AJD]]/10</f>
        <v/>
      </c>
      <c r="AB245" s="3">
        <f>IF(TRIM(Z245)="",,(Z245-Z244)/1000)</f>
        <v/>
      </c>
      <c r="AC245" s="5" t="n"/>
      <c r="AD245" s="39">
        <f>(Table5[[#This Row],[( S/S+T/B) AJD]]*1000)-((Table5[[#This Row],[(STORGE DIFF.) AJD]]*1000)+Table5[[#This Row],[AJD_Evaporation]]+(Table5[[#This Row],[(A/B + A/S) AJD]]*1000))</f>
        <v/>
      </c>
      <c r="AE245" s="41" t="n"/>
      <c r="AF245" s="43" t="n"/>
      <c r="AG245" s="43" t="n"/>
      <c r="AH245" s="6">
        <f>Table5[[#This Row],[ (RESV. STORGE) BER]]/10</f>
        <v/>
      </c>
      <c r="AI245" s="41" t="n"/>
      <c r="AJ245" s="41">
        <f>Table5[[#This Row],[(A/B) AJD]]-Table5[[#This Row],[BER_IN]]</f>
        <v/>
      </c>
      <c r="AK245" s="43" t="n"/>
      <c r="AL245" s="43" t="n"/>
      <c r="AM245" s="32" t="n"/>
      <c r="AN245" s="32">
        <f>Table5[[#This Row],[ (RESV. STORGE) SER]]/10</f>
        <v/>
      </c>
      <c r="AO245" s="68" t="n"/>
      <c r="AP245" s="100">
        <f>Table5[[#This Row],[(A/S) AJD]]-Table5[[#This Row],[SER_IN]]</f>
        <v/>
      </c>
    </row>
    <row r="246" ht="18.75" customHeight="1">
      <c r="A246" s="98" t="n">
        <v>47363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Table5[[#This Row],[ (T/B) SAR]]+Table5[[#This Row],[ (S/S) SAR]]</f>
        <v/>
      </c>
      <c r="L246" s="45" t="n"/>
      <c r="M246" s="46" t="n"/>
      <c r="N246" s="46" t="n"/>
      <c r="O246" s="40" t="n"/>
      <c r="P246" s="14">
        <f>Table5[[#This Row],[ (S/S) SAR]]-Table5[[#This Row],[(S/S) AJD]]</f>
        <v/>
      </c>
      <c r="Q246" s="40" t="n"/>
      <c r="R246" s="14">
        <f>Table5[[#This Row],[ (T/B) SAR]]-Table5[[#This Row],[(T/B) AJD]]</f>
        <v/>
      </c>
      <c r="S246" s="14">
        <f>Table5[[#This Row],[S/S_CON.]]+Table5[[#This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Table5[[#This Row],[(RESV. STORGE) AJD]]/10</f>
        <v/>
      </c>
      <c r="AB246" s="3">
        <f>IF(TRIM(Z246)="",,(Z246-Z245)/1000)</f>
        <v/>
      </c>
      <c r="AC246" s="5" t="n"/>
      <c r="AD246" s="40">
        <f>(Table5[[#This Row],[( S/S+T/B) AJD]]*1000)-((Table5[[#This Row],[(STORGE DIFF.) AJD]]*1000)+Table5[[#This Row],[AJD_Evaporation]]+(Table5[[#This Row],[(A/B + A/S) AJD]]*1000))</f>
        <v/>
      </c>
      <c r="AE246" s="44" t="n"/>
      <c r="AF246" s="45" t="n"/>
      <c r="AG246" s="45" t="n"/>
      <c r="AH246" s="6">
        <f>Table5[[#This Row],[ (RESV. STORGE) BER]]/10</f>
        <v/>
      </c>
      <c r="AI246" s="44" t="n"/>
      <c r="AJ246" s="44">
        <f>Table5[[#This Row],[(A/B) AJD]]-Table5[[#This Row],[BER_IN]]</f>
        <v/>
      </c>
      <c r="AK246" s="45" t="n"/>
      <c r="AL246" s="45" t="n"/>
      <c r="AM246" s="32" t="n"/>
      <c r="AN246" s="32">
        <f>Table5[[#This Row],[ (RESV. STORGE) SER]]/10</f>
        <v/>
      </c>
      <c r="AO246" s="68" t="n"/>
      <c r="AP246" s="100">
        <f>Table5[[#This Row],[(A/S) AJD]]-Table5[[#This Row],[SER_IN]]</f>
        <v/>
      </c>
    </row>
    <row r="247" ht="18.75" customHeight="1">
      <c r="A247" s="98" t="n">
        <v>47364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Table5[[#This Row],[ (T/B) SAR]]+Table5[[#This Row],[ (S/S) SAR]]</f>
        <v/>
      </c>
      <c r="L247" s="41" t="n"/>
      <c r="M247" s="42" t="n"/>
      <c r="N247" s="42" t="n"/>
      <c r="O247" s="39" t="n"/>
      <c r="P247" s="14">
        <f>Table5[[#This Row],[ (S/S) SAR]]-Table5[[#This Row],[(S/S) AJD]]</f>
        <v/>
      </c>
      <c r="Q247" s="39" t="n"/>
      <c r="R247" s="14">
        <f>Table5[[#This Row],[ (T/B) SAR]]-Table5[[#This Row],[(T/B) AJD]]</f>
        <v/>
      </c>
      <c r="S247" s="14">
        <f>Table5[[#This Row],[S/S_CON.]]+Table5[[#This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Table5[[#This Row],[(RESV. STORGE) AJD]]/10</f>
        <v/>
      </c>
      <c r="AB247" s="3">
        <f>IF(TRIM(Z247)="",,(Z247-Z246)/1000)</f>
        <v/>
      </c>
      <c r="AC247" s="5" t="n"/>
      <c r="AD247" s="39">
        <f>(Table5[[#This Row],[( S/S+T/B) AJD]]*1000)-((Table5[[#This Row],[(STORGE DIFF.) AJD]]*1000)+Table5[[#This Row],[AJD_Evaporation]]+(Table5[[#This Row],[(A/B + A/S) AJD]]*1000))</f>
        <v/>
      </c>
      <c r="AE247" s="41" t="n"/>
      <c r="AF247" s="43" t="n"/>
      <c r="AG247" s="43" t="n"/>
      <c r="AH247" s="6">
        <f>Table5[[#This Row],[ (RESV. STORGE) BER]]/10</f>
        <v/>
      </c>
      <c r="AI247" s="41" t="n"/>
      <c r="AJ247" s="41">
        <f>Table5[[#This Row],[(A/B) AJD]]-Table5[[#This Row],[BER_IN]]</f>
        <v/>
      </c>
      <c r="AK247" s="43" t="n"/>
      <c r="AL247" s="43" t="n"/>
      <c r="AM247" s="32" t="n"/>
      <c r="AN247" s="32">
        <f>Table5[[#This Row],[ (RESV. STORGE) SER]]/10</f>
        <v/>
      </c>
      <c r="AO247" s="68" t="n"/>
      <c r="AP247" s="100">
        <f>Table5[[#This Row],[(A/S) AJD]]-Table5[[#This Row],[SER_IN]]</f>
        <v/>
      </c>
    </row>
    <row r="248" ht="18.75" customHeight="1">
      <c r="A248" s="98" t="n">
        <v>47365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Table5[[#This Row],[ (T/B) SAR]]+Table5[[#This Row],[ (S/S) SAR]]</f>
        <v/>
      </c>
      <c r="L248" s="45" t="n"/>
      <c r="M248" s="46" t="n"/>
      <c r="N248" s="46" t="n"/>
      <c r="O248" s="40" t="n"/>
      <c r="P248" s="14">
        <f>Table5[[#This Row],[ (S/S) SAR]]-Table5[[#This Row],[(S/S) AJD]]</f>
        <v/>
      </c>
      <c r="Q248" s="40" t="n"/>
      <c r="R248" s="14">
        <f>Table5[[#This Row],[ (T/B) SAR]]-Table5[[#This Row],[(T/B) AJD]]</f>
        <v/>
      </c>
      <c r="S248" s="14">
        <f>Table5[[#This Row],[S/S_CON.]]+Table5[[#This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Table5[[#This Row],[(RESV. STORGE) AJD]]/10</f>
        <v/>
      </c>
      <c r="AB248" s="3">
        <f>IF(TRIM(Z248)="",,(Z248-Z247)/1000)</f>
        <v/>
      </c>
      <c r="AC248" s="5" t="n"/>
      <c r="AD248" s="40">
        <f>(Table5[[#This Row],[( S/S+T/B) AJD]]*1000)-((Table5[[#This Row],[(STORGE DIFF.) AJD]]*1000)+Table5[[#This Row],[AJD_Evaporation]]+(Table5[[#This Row],[(A/B + A/S) AJD]]*1000))</f>
        <v/>
      </c>
      <c r="AE248" s="44" t="n"/>
      <c r="AF248" s="45" t="n"/>
      <c r="AG248" s="45" t="n"/>
      <c r="AH248" s="6">
        <f>Table5[[#This Row],[ (RESV. STORGE) BER]]/10</f>
        <v/>
      </c>
      <c r="AI248" s="44" t="n"/>
      <c r="AJ248" s="44">
        <f>Table5[[#This Row],[(A/B) AJD]]-Table5[[#This Row],[BER_IN]]</f>
        <v/>
      </c>
      <c r="AK248" s="45" t="n"/>
      <c r="AL248" s="45" t="n"/>
      <c r="AM248" s="32" t="n"/>
      <c r="AN248" s="32">
        <f>Table5[[#This Row],[ (RESV. STORGE) SER]]/10</f>
        <v/>
      </c>
      <c r="AO248" s="68" t="n"/>
      <c r="AP248" s="100">
        <f>Table5[[#This Row],[(A/S) AJD]]-Table5[[#This Row],[SER_IN]]</f>
        <v/>
      </c>
    </row>
    <row r="249" ht="18.75" customHeight="1">
      <c r="A249" s="98" t="n">
        <v>47366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Table5[[#This Row],[ (T/B) SAR]]+Table5[[#This Row],[ (S/S) SAR]]</f>
        <v/>
      </c>
      <c r="L249" s="41" t="n"/>
      <c r="M249" s="42" t="n"/>
      <c r="N249" s="42" t="n"/>
      <c r="O249" s="39" t="n"/>
      <c r="P249" s="14">
        <f>Table5[[#This Row],[ (S/S) SAR]]-Table5[[#This Row],[(S/S) AJD]]</f>
        <v/>
      </c>
      <c r="Q249" s="39" t="n"/>
      <c r="R249" s="14">
        <f>Table5[[#This Row],[ (T/B) SAR]]-Table5[[#This Row],[(T/B) AJD]]</f>
        <v/>
      </c>
      <c r="S249" s="14">
        <f>Table5[[#This Row],[S/S_CON.]]+Table5[[#This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Table5[[#This Row],[(RESV. STORGE) AJD]]/10</f>
        <v/>
      </c>
      <c r="AB249" s="3">
        <f>IF(TRIM(Z249)="",,(Z249-Z248)/1000)</f>
        <v/>
      </c>
      <c r="AC249" s="5" t="n"/>
      <c r="AD249" s="39">
        <f>(Table5[[#This Row],[( S/S+T/B) AJD]]*1000)-((Table5[[#This Row],[(STORGE DIFF.) AJD]]*1000)+Table5[[#This Row],[AJD_Evaporation]]+(Table5[[#This Row],[(A/B + A/S) AJD]]*1000))</f>
        <v/>
      </c>
      <c r="AE249" s="41" t="n"/>
      <c r="AF249" s="43" t="n"/>
      <c r="AG249" s="43" t="n"/>
      <c r="AH249" s="6">
        <f>Table5[[#This Row],[ (RESV. STORGE) BER]]/10</f>
        <v/>
      </c>
      <c r="AI249" s="41" t="n"/>
      <c r="AJ249" s="41">
        <f>Table5[[#This Row],[(A/B) AJD]]-Table5[[#This Row],[BER_IN]]</f>
        <v/>
      </c>
      <c r="AK249" s="43" t="n"/>
      <c r="AL249" s="43" t="n"/>
      <c r="AM249" s="32" t="n"/>
      <c r="AN249" s="32">
        <f>Table5[[#This Row],[ (RESV. STORGE) SER]]/10</f>
        <v/>
      </c>
      <c r="AO249" s="68" t="n"/>
      <c r="AP249" s="100">
        <f>Table5[[#This Row],[(A/S) AJD]]-Table5[[#This Row],[SER_IN]]</f>
        <v/>
      </c>
    </row>
    <row r="250" ht="18.75" customHeight="1">
      <c r="A250" s="98" t="n">
        <v>47367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Table5[[#This Row],[ (T/B) SAR]]+Table5[[#This Row],[ (S/S) SAR]]</f>
        <v/>
      </c>
      <c r="L250" s="45" t="n"/>
      <c r="M250" s="46" t="n"/>
      <c r="N250" s="46" t="n"/>
      <c r="O250" s="40" t="n"/>
      <c r="P250" s="9">
        <f>Table5[[#This Row],[ (S/S) SAR]]-Table5[[#This Row],[(S/S) AJD]]</f>
        <v/>
      </c>
      <c r="Q250" s="40" t="n"/>
      <c r="R250" s="9">
        <f>Table5[[#This Row],[ (T/B) SAR]]-Table5[[#This Row],[(T/B) AJD]]</f>
        <v/>
      </c>
      <c r="S250" s="9">
        <f>Table5[[#This Row],[S/S_CON.]]+Table5[[#This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Table5[[#This Row],[(RESV. STORGE) AJD]]/10</f>
        <v/>
      </c>
      <c r="AB250" s="3">
        <f>IF(TRIM(Z250)="",,(Z250-Z249)/1000)</f>
        <v/>
      </c>
      <c r="AC250" s="5" t="n"/>
      <c r="AD250" s="40">
        <f>(Table5[[#This Row],[( S/S+T/B) AJD]]*1000)-((Table5[[#This Row],[(STORGE DIFF.) AJD]]*1000)+Table5[[#This Row],[AJD_Evaporation]]+(Table5[[#This Row],[(A/B + A/S) AJD]]*1000))</f>
        <v/>
      </c>
      <c r="AE250" s="44" t="n"/>
      <c r="AF250" s="45" t="n"/>
      <c r="AG250" s="45" t="n"/>
      <c r="AH250" s="6">
        <f>Table5[[#This Row],[ (RESV. STORGE) BER]]/10</f>
        <v/>
      </c>
      <c r="AI250" s="44" t="n"/>
      <c r="AJ250" s="44">
        <f>Table5[[#This Row],[(A/B) AJD]]-Table5[[#This Row],[BER_IN]]</f>
        <v/>
      </c>
      <c r="AK250" s="45" t="n"/>
      <c r="AL250" s="45" t="n"/>
      <c r="AM250" s="32" t="n"/>
      <c r="AN250" s="32">
        <f>Table5[[#This Row],[ (RESV. STORGE) SER]]/10</f>
        <v/>
      </c>
      <c r="AO250" s="68" t="n"/>
      <c r="AP250" s="100">
        <f>Table5[[#This Row],[(A/S) AJD]]-Table5[[#This Row],[SER_IN]]</f>
        <v/>
      </c>
    </row>
    <row r="251" ht="18.75" customHeight="1">
      <c r="A251" s="98" t="n">
        <v>47368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Table5[[#This Row],[ (T/B) SAR]]+Table5[[#This Row],[ (S/S) SAR]]</f>
        <v/>
      </c>
      <c r="L251" s="41" t="n"/>
      <c r="M251" s="42" t="n"/>
      <c r="N251" s="42" t="n"/>
      <c r="O251" s="39" t="n"/>
      <c r="P251" s="9">
        <f>Table5[[#This Row],[ (S/S) SAR]]-Table5[[#This Row],[(S/S) AJD]]</f>
        <v/>
      </c>
      <c r="Q251" s="39" t="n"/>
      <c r="R251" s="9">
        <f>Table5[[#This Row],[ (T/B) SAR]]-Table5[[#This Row],[(T/B) AJD]]</f>
        <v/>
      </c>
      <c r="S251" s="9">
        <f>Table5[[#This Row],[S/S_CON.]]+Table5[[#This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Table5[[#This Row],[(RESV. STORGE) AJD]]/10</f>
        <v/>
      </c>
      <c r="AB251" s="3">
        <f>IF(TRIM(Z251)="",,(Z251-Z250)/1000)</f>
        <v/>
      </c>
      <c r="AC251" s="5" t="n"/>
      <c r="AD251" s="39">
        <f>(Table5[[#This Row],[( S/S+T/B) AJD]]*1000)-((Table5[[#This Row],[(STORGE DIFF.) AJD]]*1000)+Table5[[#This Row],[AJD_Evaporation]]+(Table5[[#This Row],[(A/B + A/S) AJD]]*1000))</f>
        <v/>
      </c>
      <c r="AE251" s="41" t="n"/>
      <c r="AF251" s="43" t="n"/>
      <c r="AG251" s="43" t="n"/>
      <c r="AH251" s="6">
        <f>Table5[[#This Row],[ (RESV. STORGE) BER]]/10</f>
        <v/>
      </c>
      <c r="AI251" s="41" t="n"/>
      <c r="AJ251" s="41">
        <f>Table5[[#This Row],[(A/B) AJD]]-Table5[[#This Row],[BER_IN]]</f>
        <v/>
      </c>
      <c r="AK251" s="43" t="n"/>
      <c r="AL251" s="43" t="n"/>
      <c r="AM251" s="32" t="n"/>
      <c r="AN251" s="32">
        <f>Table5[[#This Row],[ (RESV. STORGE) SER]]/10</f>
        <v/>
      </c>
      <c r="AO251" s="68" t="n"/>
      <c r="AP251" s="100">
        <f>Table5[[#This Row],[(A/S) AJD]]-Table5[[#This Row],[SER_IN]]</f>
        <v/>
      </c>
    </row>
    <row r="252" ht="18.75" customHeight="1">
      <c r="A252" s="98" t="n">
        <v>47369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Table5[[#This Row],[ (T/B) SAR]]+Table5[[#This Row],[ (S/S) SAR]]</f>
        <v/>
      </c>
      <c r="L252" s="45" t="n"/>
      <c r="M252" s="46" t="n"/>
      <c r="N252" s="46" t="n"/>
      <c r="O252" s="40" t="n"/>
      <c r="P252" s="9">
        <f>Table5[[#This Row],[ (S/S) SAR]]-Table5[[#This Row],[(S/S) AJD]]</f>
        <v/>
      </c>
      <c r="Q252" s="40" t="n"/>
      <c r="R252" s="9">
        <f>Table5[[#This Row],[ (T/B) SAR]]-Table5[[#This Row],[(T/B) AJD]]</f>
        <v/>
      </c>
      <c r="S252" s="9">
        <f>Table5[[#This Row],[S/S_CON.]]+Table5[[#This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Table5[[#This Row],[(RESV. STORGE) AJD]]/10</f>
        <v/>
      </c>
      <c r="AB252" s="3">
        <f>IF(TRIM(Z252)="",,(Z252-Z251)/1000)</f>
        <v/>
      </c>
      <c r="AC252" s="5" t="n"/>
      <c r="AD252" s="40">
        <f>(Table5[[#This Row],[( S/S+T/B) AJD]]*1000)-((Table5[[#This Row],[(STORGE DIFF.) AJD]]*1000)+Table5[[#This Row],[AJD_Evaporation]]+(Table5[[#This Row],[(A/B + A/S) AJD]]*1000))</f>
        <v/>
      </c>
      <c r="AE252" s="44" t="n"/>
      <c r="AF252" s="45" t="n"/>
      <c r="AG252" s="45" t="n"/>
      <c r="AH252" s="6">
        <f>Table5[[#This Row],[ (RESV. STORGE) BER]]/10</f>
        <v/>
      </c>
      <c r="AI252" s="44" t="n"/>
      <c r="AJ252" s="44">
        <f>Table5[[#This Row],[(A/B) AJD]]-Table5[[#This Row],[BER_IN]]</f>
        <v/>
      </c>
      <c r="AK252" s="45" t="n"/>
      <c r="AL252" s="45" t="n"/>
      <c r="AM252" s="32" t="n"/>
      <c r="AN252" s="32">
        <f>Table5[[#This Row],[ (RESV. STORGE) SER]]/10</f>
        <v/>
      </c>
      <c r="AO252" s="68" t="n"/>
      <c r="AP252" s="100">
        <f>Table5[[#This Row],[(A/S) AJD]]-Table5[[#This Row],[SER_IN]]</f>
        <v/>
      </c>
    </row>
    <row r="253" ht="18.75" customHeight="1">
      <c r="A253" s="98" t="n">
        <v>47370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Table5[[#This Row],[ (T/B) SAR]]+Table5[[#This Row],[ (S/S) SAR]]</f>
        <v/>
      </c>
      <c r="L253" s="41" t="n"/>
      <c r="M253" s="42" t="n"/>
      <c r="N253" s="42" t="n"/>
      <c r="O253" s="39" t="n"/>
      <c r="P253" s="9">
        <f>Table5[[#This Row],[ (S/S) SAR]]-Table5[[#This Row],[(S/S) AJD]]</f>
        <v/>
      </c>
      <c r="Q253" s="39" t="n"/>
      <c r="R253" s="9">
        <f>Table5[[#This Row],[ (T/B) SAR]]-Table5[[#This Row],[(T/B) AJD]]</f>
        <v/>
      </c>
      <c r="S253" s="9">
        <f>Table5[[#This Row],[S/S_CON.]]+Table5[[#This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Table5[[#This Row],[(RESV. STORGE) AJD]]/10</f>
        <v/>
      </c>
      <c r="AB253" s="3">
        <f>IF(TRIM(Z253)="",,(Z253-Z252)/1000)</f>
        <v/>
      </c>
      <c r="AC253" s="5" t="n"/>
      <c r="AD253" s="39">
        <f>(Table5[[#This Row],[( S/S+T/B) AJD]]*1000)-((Table5[[#This Row],[(STORGE DIFF.) AJD]]*1000)+Table5[[#This Row],[AJD_Evaporation]]+(Table5[[#This Row],[(A/B + A/S) AJD]]*1000))</f>
        <v/>
      </c>
      <c r="AE253" s="41" t="n"/>
      <c r="AF253" s="43" t="n"/>
      <c r="AG253" s="43" t="n"/>
      <c r="AH253" s="6">
        <f>Table5[[#This Row],[ (RESV. STORGE) BER]]/10</f>
        <v/>
      </c>
      <c r="AI253" s="41" t="n"/>
      <c r="AJ253" s="41">
        <f>Table5[[#This Row],[(A/B) AJD]]-Table5[[#This Row],[BER_IN]]</f>
        <v/>
      </c>
      <c r="AK253" s="43" t="n"/>
      <c r="AL253" s="43" t="n"/>
      <c r="AM253" s="32" t="n"/>
      <c r="AN253" s="32">
        <f>Table5[[#This Row],[ (RESV. STORGE) SER]]/10</f>
        <v/>
      </c>
      <c r="AO253" s="68" t="n"/>
      <c r="AP253" s="100">
        <f>Table5[[#This Row],[(A/S) AJD]]-Table5[[#This Row],[SER_IN]]</f>
        <v/>
      </c>
    </row>
    <row r="254" ht="18.75" customHeight="1">
      <c r="A254" s="98" t="n">
        <v>47371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Table5[[#This Row],[ (T/B) SAR]]+Table5[[#This Row],[ (S/S) SAR]]</f>
        <v/>
      </c>
      <c r="L254" s="45" t="n"/>
      <c r="M254" s="46" t="n"/>
      <c r="N254" s="46" t="n"/>
      <c r="O254" s="40" t="n"/>
      <c r="P254" s="9">
        <f>Table5[[#This Row],[ (S/S) SAR]]-Table5[[#This Row],[(S/S) AJD]]</f>
        <v/>
      </c>
      <c r="Q254" s="40" t="n"/>
      <c r="R254" s="9">
        <f>Table5[[#This Row],[ (T/B) SAR]]-Table5[[#This Row],[(T/B) AJD]]</f>
        <v/>
      </c>
      <c r="S254" s="9">
        <f>Table5[[#This Row],[S/S_CON.]]+Table5[[#This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Table5[[#This Row],[(RESV. STORGE) AJD]]/10</f>
        <v/>
      </c>
      <c r="AB254" s="3">
        <f>IF(TRIM(Z254)="",,(Z254-Z253)/1000)</f>
        <v/>
      </c>
      <c r="AC254" s="5" t="n"/>
      <c r="AD254" s="40">
        <f>(Table5[[#This Row],[( S/S+T/B) AJD]]*1000)-((Table5[[#This Row],[(STORGE DIFF.) AJD]]*1000)+Table5[[#This Row],[AJD_Evaporation]]+(Table5[[#This Row],[(A/B + A/S) AJD]]*1000))</f>
        <v/>
      </c>
      <c r="AE254" s="44" t="n"/>
      <c r="AF254" s="45" t="n"/>
      <c r="AG254" s="45" t="n"/>
      <c r="AH254" s="6">
        <f>Table5[[#This Row],[ (RESV. STORGE) BER]]/10</f>
        <v/>
      </c>
      <c r="AI254" s="44" t="n"/>
      <c r="AJ254" s="44">
        <f>Table5[[#This Row],[(A/B) AJD]]-Table5[[#This Row],[BER_IN]]</f>
        <v/>
      </c>
      <c r="AK254" s="45" t="n"/>
      <c r="AL254" s="45" t="n"/>
      <c r="AM254" s="32" t="n"/>
      <c r="AN254" s="32">
        <f>Table5[[#This Row],[ (RESV. STORGE) SER]]/10</f>
        <v/>
      </c>
      <c r="AO254" s="68" t="n"/>
      <c r="AP254" s="100">
        <f>Table5[[#This Row],[(A/S) AJD]]-Table5[[#This Row],[SER_IN]]</f>
        <v/>
      </c>
    </row>
    <row r="255" ht="18.75" customHeight="1">
      <c r="A255" s="98" t="n">
        <v>47372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Table5[[#This Row],[ (T/B) SAR]]+Table5[[#This Row],[ (S/S) SAR]]</f>
        <v/>
      </c>
      <c r="L255" s="41" t="n"/>
      <c r="M255" s="42" t="n"/>
      <c r="N255" s="42" t="n"/>
      <c r="O255" s="39" t="n"/>
      <c r="P255" s="9">
        <f>Table5[[#This Row],[ (S/S) SAR]]-Table5[[#This Row],[(S/S) AJD]]</f>
        <v/>
      </c>
      <c r="Q255" s="39" t="n"/>
      <c r="R255" s="9">
        <f>Table5[[#This Row],[ (T/B) SAR]]-Table5[[#This Row],[(T/B) AJD]]</f>
        <v/>
      </c>
      <c r="S255" s="9">
        <f>Table5[[#This Row],[S/S_CON.]]+Table5[[#This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Table5[[#This Row],[(RESV. STORGE) AJD]]/10</f>
        <v/>
      </c>
      <c r="AB255" s="3">
        <f>IF(TRIM(Z255)="",,(Z255-Z254)/1000)</f>
        <v/>
      </c>
      <c r="AC255" s="5" t="n"/>
      <c r="AD255" s="39">
        <f>(Table5[[#This Row],[( S/S+T/B) AJD]]*1000)-((Table5[[#This Row],[(STORGE DIFF.) AJD]]*1000)+Table5[[#This Row],[AJD_Evaporation]]+(Table5[[#This Row],[(A/B + A/S) AJD]]*1000))</f>
        <v/>
      </c>
      <c r="AE255" s="41" t="n"/>
      <c r="AF255" s="43" t="n"/>
      <c r="AG255" s="43" t="n"/>
      <c r="AH255" s="6">
        <f>Table5[[#This Row],[ (RESV. STORGE) BER]]/10</f>
        <v/>
      </c>
      <c r="AI255" s="41" t="n"/>
      <c r="AJ255" s="41">
        <f>Table5[[#This Row],[(A/B) AJD]]-Table5[[#This Row],[BER_IN]]</f>
        <v/>
      </c>
      <c r="AK255" s="43" t="n"/>
      <c r="AL255" s="43" t="n"/>
      <c r="AM255" s="32" t="n"/>
      <c r="AN255" s="32">
        <f>Table5[[#This Row],[ (RESV. STORGE) SER]]/10</f>
        <v/>
      </c>
      <c r="AO255" s="68" t="n"/>
      <c r="AP255" s="100">
        <f>Table5[[#This Row],[(A/S) AJD]]-Table5[[#This Row],[SER_IN]]</f>
        <v/>
      </c>
    </row>
    <row r="256" ht="18.75" customHeight="1">
      <c r="A256" s="98" t="n">
        <v>47373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Table5[[#This Row],[ (T/B) SAR]]+Table5[[#This Row],[ (S/S) SAR]]</f>
        <v/>
      </c>
      <c r="L256" s="45" t="n"/>
      <c r="M256" s="46" t="n"/>
      <c r="N256" s="46" t="n"/>
      <c r="O256" s="40" t="n"/>
      <c r="P256" s="9">
        <f>Table5[[#This Row],[ (S/S) SAR]]-Table5[[#This Row],[(S/S) AJD]]</f>
        <v/>
      </c>
      <c r="Q256" s="40" t="n"/>
      <c r="R256" s="9">
        <f>Table5[[#This Row],[ (T/B) SAR]]-Table5[[#This Row],[(T/B) AJD]]</f>
        <v/>
      </c>
      <c r="S256" s="9">
        <f>Table5[[#This Row],[S/S_CON.]]+Table5[[#This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Table5[[#This Row],[(RESV. STORGE) AJD]]/10</f>
        <v/>
      </c>
      <c r="AB256" s="3">
        <f>IF(TRIM(Z256)="",,(Z256-Z255)/1000)</f>
        <v/>
      </c>
      <c r="AC256" s="5" t="n"/>
      <c r="AD256" s="40">
        <f>(Table5[[#This Row],[( S/S+T/B) AJD]]*1000)-((Table5[[#This Row],[(STORGE DIFF.) AJD]]*1000)+Table5[[#This Row],[AJD_Evaporation]]+(Table5[[#This Row],[(A/B + A/S) AJD]]*1000))</f>
        <v/>
      </c>
      <c r="AE256" s="44" t="n"/>
      <c r="AF256" s="45" t="n"/>
      <c r="AG256" s="45" t="n"/>
      <c r="AH256" s="6">
        <f>Table5[[#This Row],[ (RESV. STORGE) BER]]/10</f>
        <v/>
      </c>
      <c r="AI256" s="44" t="n"/>
      <c r="AJ256" s="44">
        <f>Table5[[#This Row],[(A/B) AJD]]-Table5[[#This Row],[BER_IN]]</f>
        <v/>
      </c>
      <c r="AK256" s="45" t="n"/>
      <c r="AL256" s="45" t="n"/>
      <c r="AM256" s="32" t="n"/>
      <c r="AN256" s="32">
        <f>Table5[[#This Row],[ (RESV. STORGE) SER]]/10</f>
        <v/>
      </c>
      <c r="AO256" s="68" t="n"/>
      <c r="AP256" s="100">
        <f>Table5[[#This Row],[(A/S) AJD]]-Table5[[#This Row],[SER_IN]]</f>
        <v/>
      </c>
    </row>
    <row r="257" ht="18.75" customHeight="1">
      <c r="A257" s="98" t="n">
        <v>47374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Table5[[#This Row],[ (T/B) SAR]]+Table5[[#This Row],[ (S/S) SAR]]</f>
        <v/>
      </c>
      <c r="L257" s="41" t="n"/>
      <c r="M257" s="42" t="n"/>
      <c r="N257" s="42" t="n"/>
      <c r="O257" s="39" t="n"/>
      <c r="P257" s="9">
        <f>Table5[[#This Row],[ (S/S) SAR]]-Table5[[#This Row],[(S/S) AJD]]</f>
        <v/>
      </c>
      <c r="Q257" s="39" t="n"/>
      <c r="R257" s="9">
        <f>Table5[[#This Row],[ (T/B) SAR]]-Table5[[#This Row],[(T/B) AJD]]</f>
        <v/>
      </c>
      <c r="S257" s="9">
        <f>Table5[[#This Row],[S/S_CON.]]+Table5[[#This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Table5[[#This Row],[(RESV. STORGE) AJD]]/10</f>
        <v/>
      </c>
      <c r="AB257" s="3">
        <f>IF(TRIM(Z257)="",,(Z257-Z256)/1000)</f>
        <v/>
      </c>
      <c r="AC257" s="5" t="n"/>
      <c r="AD257" s="39">
        <f>(Table5[[#This Row],[( S/S+T/B) AJD]]*1000)-((Table5[[#This Row],[(STORGE DIFF.) AJD]]*1000)+Table5[[#This Row],[AJD_Evaporation]]+(Table5[[#This Row],[(A/B + A/S) AJD]]*1000))</f>
        <v/>
      </c>
      <c r="AE257" s="41" t="n"/>
      <c r="AF257" s="43" t="n"/>
      <c r="AG257" s="43" t="n"/>
      <c r="AH257" s="6">
        <f>Table5[[#This Row],[ (RESV. STORGE) BER]]/10</f>
        <v/>
      </c>
      <c r="AI257" s="41" t="n"/>
      <c r="AJ257" s="41">
        <f>Table5[[#This Row],[(A/B) AJD]]-Table5[[#This Row],[BER_IN]]</f>
        <v/>
      </c>
      <c r="AK257" s="43" t="n"/>
      <c r="AL257" s="43" t="n"/>
      <c r="AM257" s="32" t="n"/>
      <c r="AN257" s="32">
        <f>Table5[[#This Row],[ (RESV. STORGE) SER]]/10</f>
        <v/>
      </c>
      <c r="AO257" s="68" t="n"/>
      <c r="AP257" s="100">
        <f>Table5[[#This Row],[(A/S) AJD]]-Table5[[#This Row],[SER_IN]]</f>
        <v/>
      </c>
    </row>
    <row r="258" ht="18.75" customHeight="1">
      <c r="A258" s="98" t="n">
        <v>47375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Table5[[#This Row],[ (T/B) SAR]]+Table5[[#This Row],[ (S/S) SAR]]</f>
        <v/>
      </c>
      <c r="L258" s="45" t="n"/>
      <c r="M258" s="46" t="n"/>
      <c r="N258" s="46" t="n"/>
      <c r="O258" s="40" t="n"/>
      <c r="P258" s="9">
        <f>Table5[[#This Row],[ (S/S) SAR]]-Table5[[#This Row],[(S/S) AJD]]</f>
        <v/>
      </c>
      <c r="Q258" s="40" t="n"/>
      <c r="R258" s="9">
        <f>Table5[[#This Row],[ (T/B) SAR]]-Table5[[#This Row],[(T/B) AJD]]</f>
        <v/>
      </c>
      <c r="S258" s="9">
        <f>Table5[[#This Row],[S/S_CON.]]+Table5[[#This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Table5[[#This Row],[(RESV. STORGE) AJD]]/10</f>
        <v/>
      </c>
      <c r="AB258" s="3">
        <f>IF(TRIM(Z258)="",,(Z258-Z257)/1000)</f>
        <v/>
      </c>
      <c r="AC258" s="5" t="n"/>
      <c r="AD258" s="40">
        <f>(Table5[[#This Row],[( S/S+T/B) AJD]]*1000)-((Table5[[#This Row],[(STORGE DIFF.) AJD]]*1000)+Table5[[#This Row],[AJD_Evaporation]]+(Table5[[#This Row],[(A/B + A/S) AJD]]*1000))</f>
        <v/>
      </c>
      <c r="AE258" s="44" t="n"/>
      <c r="AF258" s="45" t="n"/>
      <c r="AG258" s="45" t="n"/>
      <c r="AH258" s="6">
        <f>Table5[[#This Row],[ (RESV. STORGE) BER]]/10</f>
        <v/>
      </c>
      <c r="AI258" s="44" t="n"/>
      <c r="AJ258" s="44">
        <f>Table5[[#This Row],[(A/B) AJD]]-Table5[[#This Row],[BER_IN]]</f>
        <v/>
      </c>
      <c r="AK258" s="45" t="n"/>
      <c r="AL258" s="45" t="n"/>
      <c r="AM258" s="32" t="n"/>
      <c r="AN258" s="32">
        <f>Table5[[#This Row],[ (RESV. STORGE) SER]]/10</f>
        <v/>
      </c>
      <c r="AO258" s="68" t="n"/>
      <c r="AP258" s="100">
        <f>Table5[[#This Row],[(A/S) AJD]]-Table5[[#This Row],[SER_IN]]</f>
        <v/>
      </c>
    </row>
    <row r="259" ht="18.75" customHeight="1">
      <c r="A259" s="98" t="n">
        <v>47376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Table5[[#This Row],[ (T/B) SAR]]+Table5[[#This Row],[ (S/S) SAR]]</f>
        <v/>
      </c>
      <c r="L259" s="41" t="n"/>
      <c r="M259" s="42" t="n"/>
      <c r="N259" s="42" t="n"/>
      <c r="O259" s="39" t="n"/>
      <c r="P259" s="9">
        <f>Table5[[#This Row],[ (S/S) SAR]]-Table5[[#This Row],[(S/S) AJD]]</f>
        <v/>
      </c>
      <c r="Q259" s="39" t="n"/>
      <c r="R259" s="9">
        <f>Table5[[#This Row],[ (T/B) SAR]]-Table5[[#This Row],[(T/B) AJD]]</f>
        <v/>
      </c>
      <c r="S259" s="9">
        <f>Table5[[#This Row],[S/S_CON.]]+Table5[[#This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Table5[[#This Row],[(RESV. STORGE) AJD]]/10</f>
        <v/>
      </c>
      <c r="AB259" s="3">
        <f>IF(TRIM(Z259)="",,(Z259-Z258)/1000)</f>
        <v/>
      </c>
      <c r="AC259" s="5" t="n"/>
      <c r="AD259" s="39">
        <f>(Table5[[#This Row],[( S/S+T/B) AJD]]*1000)-((Table5[[#This Row],[(STORGE DIFF.) AJD]]*1000)+Table5[[#This Row],[AJD_Evaporation]]+(Table5[[#This Row],[(A/B + A/S) AJD]]*1000))</f>
        <v/>
      </c>
      <c r="AE259" s="41" t="n"/>
      <c r="AF259" s="43" t="n"/>
      <c r="AG259" s="43" t="n"/>
      <c r="AH259" s="6">
        <f>Table5[[#This Row],[ (RESV. STORGE) BER]]/10</f>
        <v/>
      </c>
      <c r="AI259" s="41" t="n"/>
      <c r="AJ259" s="41">
        <f>Table5[[#This Row],[(A/B) AJD]]-Table5[[#This Row],[BER_IN]]</f>
        <v/>
      </c>
      <c r="AK259" s="43" t="n"/>
      <c r="AL259" s="43" t="n"/>
      <c r="AM259" s="32" t="n"/>
      <c r="AN259" s="32">
        <f>Table5[[#This Row],[ (RESV. STORGE) SER]]/10</f>
        <v/>
      </c>
      <c r="AO259" s="68" t="n"/>
      <c r="AP259" s="100">
        <f>Table5[[#This Row],[(A/S) AJD]]-Table5[[#This Row],[SER_IN]]</f>
        <v/>
      </c>
    </row>
    <row r="260" ht="18.75" customHeight="1">
      <c r="A260" s="98" t="n">
        <v>47377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Table5[[#This Row],[ (T/B) SAR]]+Table5[[#This Row],[ (S/S) SAR]]</f>
        <v/>
      </c>
      <c r="L260" s="45" t="n"/>
      <c r="M260" s="46" t="n"/>
      <c r="N260" s="46" t="n"/>
      <c r="O260" s="40" t="n"/>
      <c r="P260" s="9">
        <f>Table5[[#This Row],[ (S/S) SAR]]-Table5[[#This Row],[(S/S) AJD]]</f>
        <v/>
      </c>
      <c r="Q260" s="40" t="n"/>
      <c r="R260" s="9">
        <f>Table5[[#This Row],[ (T/B) SAR]]-Table5[[#This Row],[(T/B) AJD]]</f>
        <v/>
      </c>
      <c r="S260" s="9">
        <f>Table5[[#This Row],[S/S_CON.]]+Table5[[#This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Table5[[#This Row],[(RESV. STORGE) AJD]]/10</f>
        <v/>
      </c>
      <c r="AB260" s="3">
        <f>IF(TRIM(Z260)="",,(Z260-Z259)/1000)</f>
        <v/>
      </c>
      <c r="AC260" s="5" t="n"/>
      <c r="AD260" s="40">
        <f>(Table5[[#This Row],[( S/S+T/B) AJD]]*1000)-((Table5[[#This Row],[(STORGE DIFF.) AJD]]*1000)+Table5[[#This Row],[AJD_Evaporation]]+(Table5[[#This Row],[(A/B + A/S) AJD]]*1000))</f>
        <v/>
      </c>
      <c r="AE260" s="44" t="n"/>
      <c r="AF260" s="45" t="n"/>
      <c r="AG260" s="45" t="n"/>
      <c r="AH260" s="6">
        <f>Table5[[#This Row],[ (RESV. STORGE) BER]]/10</f>
        <v/>
      </c>
      <c r="AI260" s="44" t="n"/>
      <c r="AJ260" s="44">
        <f>Table5[[#This Row],[(A/B) AJD]]-Table5[[#This Row],[BER_IN]]</f>
        <v/>
      </c>
      <c r="AK260" s="45" t="n"/>
      <c r="AL260" s="45" t="n"/>
      <c r="AM260" s="32" t="n"/>
      <c r="AN260" s="32">
        <f>Table5[[#This Row],[ (RESV. STORGE) SER]]/10</f>
        <v/>
      </c>
      <c r="AO260" s="68" t="n"/>
      <c r="AP260" s="100">
        <f>Table5[[#This Row],[(A/S) AJD]]-Table5[[#This Row],[SER_IN]]</f>
        <v/>
      </c>
    </row>
    <row r="261" ht="18.75" customHeight="1">
      <c r="A261" s="98" t="n">
        <v>47378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Table5[[#This Row],[ (T/B) SAR]]+Table5[[#This Row],[ (S/S) SAR]]</f>
        <v/>
      </c>
      <c r="L261" s="41" t="n"/>
      <c r="M261" s="42" t="n"/>
      <c r="N261" s="42" t="n"/>
      <c r="O261" s="39" t="n"/>
      <c r="P261" s="9">
        <f>Table5[[#This Row],[ (S/S) SAR]]-Table5[[#This Row],[(S/S) AJD]]</f>
        <v/>
      </c>
      <c r="Q261" s="39" t="n"/>
      <c r="R261" s="9">
        <f>Table5[[#This Row],[ (T/B) SAR]]-Table5[[#This Row],[(T/B) AJD]]</f>
        <v/>
      </c>
      <c r="S261" s="9">
        <f>Table5[[#This Row],[S/S_CON.]]+Table5[[#This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Table5[[#This Row],[(RESV. STORGE) AJD]]/10</f>
        <v/>
      </c>
      <c r="AB261" s="3">
        <f>IF(TRIM(Z261)="",,(Z261-Z260)/1000)</f>
        <v/>
      </c>
      <c r="AC261" s="5" t="n"/>
      <c r="AD261" s="39">
        <f>(Table5[[#This Row],[( S/S+T/B) AJD]]*1000)-((Table5[[#This Row],[(STORGE DIFF.) AJD]]*1000)+Table5[[#This Row],[AJD_Evaporation]]+(Table5[[#This Row],[(A/B + A/S) AJD]]*1000))</f>
        <v/>
      </c>
      <c r="AE261" s="41" t="n"/>
      <c r="AF261" s="43" t="n"/>
      <c r="AG261" s="43" t="n"/>
      <c r="AH261" s="6">
        <f>Table5[[#This Row],[ (RESV. STORGE) BER]]/10</f>
        <v/>
      </c>
      <c r="AI261" s="41" t="n"/>
      <c r="AJ261" s="41">
        <f>Table5[[#This Row],[(A/B) AJD]]-Table5[[#This Row],[BER_IN]]</f>
        <v/>
      </c>
      <c r="AK261" s="43" t="n"/>
      <c r="AL261" s="43" t="n"/>
      <c r="AM261" s="32" t="n"/>
      <c r="AN261" s="32">
        <f>Table5[[#This Row],[ (RESV. STORGE) SER]]/10</f>
        <v/>
      </c>
      <c r="AO261" s="68" t="n"/>
      <c r="AP261" s="100">
        <f>Table5[[#This Row],[(A/S) AJD]]-Table5[[#This Row],[SER_IN]]</f>
        <v/>
      </c>
    </row>
    <row r="262" ht="18.75" customHeight="1">
      <c r="A262" s="98" t="n">
        <v>47379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Table5[[#This Row],[ (T/B) SAR]]+Table5[[#This Row],[ (S/S) SAR]]</f>
        <v/>
      </c>
      <c r="L262" s="45" t="n"/>
      <c r="M262" s="46" t="n"/>
      <c r="N262" s="46" t="n"/>
      <c r="O262" s="40" t="n"/>
      <c r="P262" s="9">
        <f>Table5[[#This Row],[ (S/S) SAR]]-Table5[[#This Row],[(S/S) AJD]]</f>
        <v/>
      </c>
      <c r="Q262" s="40" t="n"/>
      <c r="R262" s="9">
        <f>Table5[[#This Row],[ (T/B) SAR]]-Table5[[#This Row],[(T/B) AJD]]</f>
        <v/>
      </c>
      <c r="S262" s="9">
        <f>Table5[[#This Row],[S/S_CON.]]+Table5[[#This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Table5[[#This Row],[(RESV. STORGE) AJD]]/10</f>
        <v/>
      </c>
      <c r="AB262" s="3">
        <f>IF(TRIM(Z262)="",,(Z262-Z261)/1000)</f>
        <v/>
      </c>
      <c r="AC262" s="5" t="n"/>
      <c r="AD262" s="40">
        <f>(Table5[[#This Row],[( S/S+T/B) AJD]]*1000)-((Table5[[#This Row],[(STORGE DIFF.) AJD]]*1000)+Table5[[#This Row],[AJD_Evaporation]]+(Table5[[#This Row],[(A/B + A/S) AJD]]*1000))</f>
        <v/>
      </c>
      <c r="AE262" s="44" t="n"/>
      <c r="AF262" s="45" t="n"/>
      <c r="AG262" s="45" t="n"/>
      <c r="AH262" s="6">
        <f>Table5[[#This Row],[ (RESV. STORGE) BER]]/10</f>
        <v/>
      </c>
      <c r="AI262" s="44" t="n"/>
      <c r="AJ262" s="44">
        <f>Table5[[#This Row],[(A/B) AJD]]-Table5[[#This Row],[BER_IN]]</f>
        <v/>
      </c>
      <c r="AK262" s="45" t="n"/>
      <c r="AL262" s="45" t="n"/>
      <c r="AM262" s="32" t="n"/>
      <c r="AN262" s="32">
        <f>Table5[[#This Row],[ (RESV. STORGE) SER]]/10</f>
        <v/>
      </c>
      <c r="AO262" s="68" t="n"/>
      <c r="AP262" s="100">
        <f>Table5[[#This Row],[(A/S) AJD]]-Table5[[#This Row],[SER_IN]]</f>
        <v/>
      </c>
    </row>
    <row r="263" ht="18.75" customHeight="1">
      <c r="A263" s="98" t="n">
        <v>47380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Table5[[#This Row],[ (T/B) SAR]]+Table5[[#This Row],[ (S/S) SAR]]</f>
        <v/>
      </c>
      <c r="L263" s="41" t="n"/>
      <c r="M263" s="42" t="n"/>
      <c r="N263" s="42" t="n"/>
      <c r="O263" s="39" t="n"/>
      <c r="P263" s="9">
        <f>Table5[[#This Row],[ (S/S) SAR]]-Table5[[#This Row],[(S/S) AJD]]</f>
        <v/>
      </c>
      <c r="Q263" s="39" t="n"/>
      <c r="R263" s="9">
        <f>Table5[[#This Row],[ (T/B) SAR]]-Table5[[#This Row],[(T/B) AJD]]</f>
        <v/>
      </c>
      <c r="S263" s="9">
        <f>Table5[[#This Row],[S/S_CON.]]+Table5[[#This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Table5[[#This Row],[(RESV. STORGE) AJD]]/10</f>
        <v/>
      </c>
      <c r="AB263" s="3">
        <f>IF(TRIM(Z263)="",,(Z263-Z262)/1000)</f>
        <v/>
      </c>
      <c r="AC263" s="5" t="n"/>
      <c r="AD263" s="39">
        <f>(Table5[[#This Row],[( S/S+T/B) AJD]]*1000)-((Table5[[#This Row],[(STORGE DIFF.) AJD]]*1000)+Table5[[#This Row],[AJD_Evaporation]]+(Table5[[#This Row],[(A/B + A/S) AJD]]*1000))</f>
        <v/>
      </c>
      <c r="AE263" s="41" t="n"/>
      <c r="AF263" s="43" t="n"/>
      <c r="AG263" s="43" t="n"/>
      <c r="AH263" s="6">
        <f>Table5[[#This Row],[ (RESV. STORGE) BER]]/10</f>
        <v/>
      </c>
      <c r="AI263" s="41" t="n"/>
      <c r="AJ263" s="41">
        <f>Table5[[#This Row],[(A/B) AJD]]-Table5[[#This Row],[BER_IN]]</f>
        <v/>
      </c>
      <c r="AK263" s="43" t="n"/>
      <c r="AL263" s="43" t="n"/>
      <c r="AM263" s="32" t="n"/>
      <c r="AN263" s="32">
        <f>Table5[[#This Row],[ (RESV. STORGE) SER]]/10</f>
        <v/>
      </c>
      <c r="AO263" s="68" t="n"/>
      <c r="AP263" s="100">
        <f>Table5[[#This Row],[(A/S) AJD]]-Table5[[#This Row],[SER_IN]]</f>
        <v/>
      </c>
    </row>
    <row r="264" ht="18.75" customHeight="1">
      <c r="A264" s="98" t="n">
        <v>47381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Table5[[#This Row],[ (T/B) SAR]]+Table5[[#This Row],[ (S/S) SAR]]</f>
        <v/>
      </c>
      <c r="L264" s="45" t="n"/>
      <c r="M264" s="46" t="n"/>
      <c r="N264" s="46" t="n"/>
      <c r="O264" s="40" t="n"/>
      <c r="P264" s="9">
        <f>Table5[[#This Row],[ (S/S) SAR]]-Table5[[#This Row],[(S/S) AJD]]</f>
        <v/>
      </c>
      <c r="Q264" s="40" t="n"/>
      <c r="R264" s="9">
        <f>Table5[[#This Row],[ (T/B) SAR]]-Table5[[#This Row],[(T/B) AJD]]</f>
        <v/>
      </c>
      <c r="S264" s="9">
        <f>Table5[[#This Row],[S/S_CON.]]+Table5[[#This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Table5[[#This Row],[(RESV. STORGE) AJD]]/10</f>
        <v/>
      </c>
      <c r="AB264" s="3">
        <f>IF(TRIM(Z264)="",,(Z264-Z263)/1000)</f>
        <v/>
      </c>
      <c r="AC264" s="5" t="n"/>
      <c r="AD264" s="40">
        <f>(Table5[[#This Row],[( S/S+T/B) AJD]]*1000)-((Table5[[#This Row],[(STORGE DIFF.) AJD]]*1000)+Table5[[#This Row],[AJD_Evaporation]]+(Table5[[#This Row],[(A/B + A/S) AJD]]*1000))</f>
        <v/>
      </c>
      <c r="AE264" s="44" t="n"/>
      <c r="AF264" s="45" t="n"/>
      <c r="AG264" s="45" t="n"/>
      <c r="AH264" s="6">
        <f>Table5[[#This Row],[ (RESV. STORGE) BER]]/10</f>
        <v/>
      </c>
      <c r="AI264" s="44" t="n"/>
      <c r="AJ264" s="44">
        <f>Table5[[#This Row],[(A/B) AJD]]-Table5[[#This Row],[BER_IN]]</f>
        <v/>
      </c>
      <c r="AK264" s="45" t="n"/>
      <c r="AL264" s="45" t="n"/>
      <c r="AM264" s="32" t="n"/>
      <c r="AN264" s="32">
        <f>Table5[[#This Row],[ (RESV. STORGE) SER]]/10</f>
        <v/>
      </c>
      <c r="AO264" s="68" t="n"/>
      <c r="AP264" s="100">
        <f>Table5[[#This Row],[(A/S) AJD]]-Table5[[#This Row],[SER_IN]]</f>
        <v/>
      </c>
    </row>
    <row r="265" ht="18.75" customHeight="1">
      <c r="A265" s="98" t="n">
        <v>47382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Table5[[#This Row],[ (T/B) SAR]]+Table5[[#This Row],[ (S/S) SAR]]</f>
        <v/>
      </c>
      <c r="L265" s="41" t="n"/>
      <c r="M265" s="42" t="n"/>
      <c r="N265" s="42" t="n"/>
      <c r="O265" s="39" t="n"/>
      <c r="P265" s="9">
        <f>Table5[[#This Row],[ (S/S) SAR]]-Table5[[#This Row],[(S/S) AJD]]</f>
        <v/>
      </c>
      <c r="Q265" s="39" t="n"/>
      <c r="R265" s="9">
        <f>Table5[[#This Row],[ (T/B) SAR]]-Table5[[#This Row],[(T/B) AJD]]</f>
        <v/>
      </c>
      <c r="S265" s="9">
        <f>Table5[[#This Row],[S/S_CON.]]+Table5[[#This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Table5[[#This Row],[(RESV. STORGE) AJD]]/10</f>
        <v/>
      </c>
      <c r="AB265" s="3">
        <f>IF(TRIM(Z265)="",,(Z265-Z264)/1000)</f>
        <v/>
      </c>
      <c r="AC265" s="5" t="n"/>
      <c r="AD265" s="39">
        <f>(Table5[[#This Row],[( S/S+T/B) AJD]]*1000)-((Table5[[#This Row],[(STORGE DIFF.) AJD]]*1000)+Table5[[#This Row],[AJD_Evaporation]]+(Table5[[#This Row],[(A/B + A/S) AJD]]*1000))</f>
        <v/>
      </c>
      <c r="AE265" s="41" t="n"/>
      <c r="AF265" s="43" t="n"/>
      <c r="AG265" s="43" t="n"/>
      <c r="AH265" s="6">
        <f>Table5[[#This Row],[ (RESV. STORGE) BER]]/10</f>
        <v/>
      </c>
      <c r="AI265" s="41" t="n"/>
      <c r="AJ265" s="41">
        <f>Table5[[#This Row],[(A/B) AJD]]-Table5[[#This Row],[BER_IN]]</f>
        <v/>
      </c>
      <c r="AK265" s="43" t="n"/>
      <c r="AL265" s="43" t="n"/>
      <c r="AM265" s="32" t="n"/>
      <c r="AN265" s="32">
        <f>Table5[[#This Row],[ (RESV. STORGE) SER]]/10</f>
        <v/>
      </c>
      <c r="AO265" s="68" t="n"/>
      <c r="AP265" s="100">
        <f>Table5[[#This Row],[(A/S) AJD]]-Table5[[#This Row],[SER_IN]]</f>
        <v/>
      </c>
    </row>
    <row r="266" ht="18.75" customHeight="1">
      <c r="A266" s="98" t="n">
        <v>47383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Table5[[#This Row],[ (T/B) SAR]]+Table5[[#This Row],[ (S/S) SAR]]</f>
        <v/>
      </c>
      <c r="L266" s="45" t="n"/>
      <c r="M266" s="46" t="n"/>
      <c r="N266" s="46" t="n"/>
      <c r="O266" s="40" t="n"/>
      <c r="P266" s="9">
        <f>Table5[[#This Row],[ (S/S) SAR]]-Table5[[#This Row],[(S/S) AJD]]</f>
        <v/>
      </c>
      <c r="Q266" s="40" t="n"/>
      <c r="R266" s="9">
        <f>Table5[[#This Row],[ (T/B) SAR]]-Table5[[#This Row],[(T/B) AJD]]</f>
        <v/>
      </c>
      <c r="S266" s="9">
        <f>Table5[[#This Row],[S/S_CON.]]+Table5[[#This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Table5[[#This Row],[(RESV. STORGE) AJD]]/10</f>
        <v/>
      </c>
      <c r="AB266" s="3">
        <f>IF(TRIM(Z266)="",,(Z266-Z265)/1000)</f>
        <v/>
      </c>
      <c r="AC266" s="5" t="n"/>
      <c r="AD266" s="40">
        <f>(Table5[[#This Row],[( S/S+T/B) AJD]]*1000)-((Table5[[#This Row],[(STORGE DIFF.) AJD]]*1000)+Table5[[#This Row],[AJD_Evaporation]]+(Table5[[#This Row],[(A/B + A/S) AJD]]*1000))</f>
        <v/>
      </c>
      <c r="AE266" s="44" t="n"/>
      <c r="AF266" s="45" t="n"/>
      <c r="AG266" s="45" t="n"/>
      <c r="AH266" s="6">
        <f>Table5[[#This Row],[ (RESV. STORGE) BER]]/10</f>
        <v/>
      </c>
      <c r="AI266" s="44" t="n"/>
      <c r="AJ266" s="44">
        <f>Table5[[#This Row],[(A/B) AJD]]-Table5[[#This Row],[BER_IN]]</f>
        <v/>
      </c>
      <c r="AK266" s="45" t="n"/>
      <c r="AL266" s="45" t="n"/>
      <c r="AM266" s="32" t="n"/>
      <c r="AN266" s="32">
        <f>Table5[[#This Row],[ (RESV. STORGE) SER]]/10</f>
        <v/>
      </c>
      <c r="AO266" s="68" t="n"/>
      <c r="AP266" s="100">
        <f>Table5[[#This Row],[(A/S) AJD]]-Table5[[#This Row],[SER_IN]]</f>
        <v/>
      </c>
    </row>
    <row r="267" ht="18.75" customHeight="1">
      <c r="A267" s="98" t="n">
        <v>47384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Table5[[#This Row],[ (T/B) SAR]]+Table5[[#This Row],[ (S/S) SAR]]</f>
        <v/>
      </c>
      <c r="L267" s="41" t="n"/>
      <c r="M267" s="42" t="n"/>
      <c r="N267" s="42" t="n"/>
      <c r="O267" s="39" t="n"/>
      <c r="P267" s="9">
        <f>Table5[[#This Row],[ (S/S) SAR]]-Table5[[#This Row],[(S/S) AJD]]</f>
        <v/>
      </c>
      <c r="Q267" s="39" t="n"/>
      <c r="R267" s="9">
        <f>Table5[[#This Row],[ (T/B) SAR]]-Table5[[#This Row],[(T/B) AJD]]</f>
        <v/>
      </c>
      <c r="S267" s="9">
        <f>Table5[[#This Row],[S/S_CON.]]+Table5[[#This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Table5[[#This Row],[(RESV. STORGE) AJD]]/10</f>
        <v/>
      </c>
      <c r="AB267" s="3">
        <f>IF(TRIM(Z267)="",,(Z267-Z266)/1000)</f>
        <v/>
      </c>
      <c r="AC267" s="5" t="n"/>
      <c r="AD267" s="39">
        <f>(Table5[[#This Row],[( S/S+T/B) AJD]]*1000)-((Table5[[#This Row],[(STORGE DIFF.) AJD]]*1000)+Table5[[#This Row],[AJD_Evaporation]]+(Table5[[#This Row],[(A/B + A/S) AJD]]*1000))</f>
        <v/>
      </c>
      <c r="AE267" s="41" t="n"/>
      <c r="AF267" s="43" t="n"/>
      <c r="AG267" s="43" t="n"/>
      <c r="AH267" s="6">
        <f>Table5[[#This Row],[ (RESV. STORGE) BER]]/10</f>
        <v/>
      </c>
      <c r="AI267" s="41" t="n"/>
      <c r="AJ267" s="41">
        <f>Table5[[#This Row],[(A/B) AJD]]-Table5[[#This Row],[BER_IN]]</f>
        <v/>
      </c>
      <c r="AK267" s="43" t="n"/>
      <c r="AL267" s="43" t="n"/>
      <c r="AM267" s="32" t="n"/>
      <c r="AN267" s="32">
        <f>Table5[[#This Row],[ (RESV. STORGE) SER]]/10</f>
        <v/>
      </c>
      <c r="AO267" s="68" t="n"/>
      <c r="AP267" s="100">
        <f>Table5[[#This Row],[(A/S) AJD]]-Table5[[#This Row],[SER_IN]]</f>
        <v/>
      </c>
    </row>
    <row r="268" ht="18.75" customHeight="1">
      <c r="A268" s="98" t="n">
        <v>47385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Table5[[#This Row],[ (T/B) SAR]]+Table5[[#This Row],[ (S/S) SAR]]</f>
        <v/>
      </c>
      <c r="L268" s="45" t="n"/>
      <c r="M268" s="46" t="n"/>
      <c r="N268" s="46" t="n"/>
      <c r="O268" s="40" t="n"/>
      <c r="P268" s="9">
        <f>Table5[[#This Row],[ (S/S) SAR]]-Table5[[#This Row],[(S/S) AJD]]</f>
        <v/>
      </c>
      <c r="Q268" s="40" t="n"/>
      <c r="R268" s="9">
        <f>Table5[[#This Row],[ (T/B) SAR]]-Table5[[#This Row],[(T/B) AJD]]</f>
        <v/>
      </c>
      <c r="S268" s="9">
        <f>Table5[[#This Row],[S/S_CON.]]+Table5[[#This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Table5[[#This Row],[(RESV. STORGE) AJD]]/10</f>
        <v/>
      </c>
      <c r="AB268" s="3">
        <f>IF(TRIM(Z268)="",,(Z268-Z267)/1000)</f>
        <v/>
      </c>
      <c r="AC268" s="5" t="n"/>
      <c r="AD268" s="40">
        <f>(Table5[[#This Row],[( S/S+T/B) AJD]]*1000)-((Table5[[#This Row],[(STORGE DIFF.) AJD]]*1000)+Table5[[#This Row],[AJD_Evaporation]]+(Table5[[#This Row],[(A/B + A/S) AJD]]*1000))</f>
        <v/>
      </c>
      <c r="AE268" s="44" t="n"/>
      <c r="AF268" s="45" t="n"/>
      <c r="AG268" s="45" t="n"/>
      <c r="AH268" s="6">
        <f>Table5[[#This Row],[ (RESV. STORGE) BER]]/10</f>
        <v/>
      </c>
      <c r="AI268" s="44" t="n"/>
      <c r="AJ268" s="44">
        <f>Table5[[#This Row],[(A/B) AJD]]-Table5[[#This Row],[BER_IN]]</f>
        <v/>
      </c>
      <c r="AK268" s="45" t="n"/>
      <c r="AL268" s="45" t="n"/>
      <c r="AM268" s="32" t="n"/>
      <c r="AN268" s="32">
        <f>Table5[[#This Row],[ (RESV. STORGE) SER]]/10</f>
        <v/>
      </c>
      <c r="AO268" s="68" t="n"/>
      <c r="AP268" s="100">
        <f>Table5[[#This Row],[(A/S) AJD]]-Table5[[#This Row],[SER_IN]]</f>
        <v/>
      </c>
    </row>
    <row r="269" ht="18.75" customHeight="1">
      <c r="A269" s="98" t="n">
        <v>47386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Table5[[#This Row],[ (T/B) SAR]]+Table5[[#This Row],[ (S/S) SAR]]</f>
        <v/>
      </c>
      <c r="L269" s="41" t="n"/>
      <c r="M269" s="42" t="n"/>
      <c r="N269" s="42" t="n"/>
      <c r="O269" s="39" t="n"/>
      <c r="P269" s="9">
        <f>Table5[[#This Row],[ (S/S) SAR]]-Table5[[#This Row],[(S/S) AJD]]</f>
        <v/>
      </c>
      <c r="Q269" s="39" t="n"/>
      <c r="R269" s="9">
        <f>Table5[[#This Row],[ (T/B) SAR]]-Table5[[#This Row],[(T/B) AJD]]</f>
        <v/>
      </c>
      <c r="S269" s="9">
        <f>Table5[[#This Row],[S/S_CON.]]+Table5[[#This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Table5[[#This Row],[(RESV. STORGE) AJD]]/10</f>
        <v/>
      </c>
      <c r="AB269" s="3">
        <f>IF(TRIM(Z269)="",,(Z269-Z268)/1000)</f>
        <v/>
      </c>
      <c r="AC269" s="5" t="n"/>
      <c r="AD269" s="39">
        <f>(Table5[[#This Row],[( S/S+T/B) AJD]]*1000)-((Table5[[#This Row],[(STORGE DIFF.) AJD]]*1000)+Table5[[#This Row],[AJD_Evaporation]]+(Table5[[#This Row],[(A/B + A/S) AJD]]*1000))</f>
        <v/>
      </c>
      <c r="AE269" s="41" t="n"/>
      <c r="AF269" s="43" t="n"/>
      <c r="AG269" s="43" t="n"/>
      <c r="AH269" s="6">
        <f>Table5[[#This Row],[ (RESV. STORGE) BER]]/10</f>
        <v/>
      </c>
      <c r="AI269" s="41" t="n"/>
      <c r="AJ269" s="41">
        <f>Table5[[#This Row],[(A/B) AJD]]-Table5[[#This Row],[BER_IN]]</f>
        <v/>
      </c>
      <c r="AK269" s="43" t="n"/>
      <c r="AL269" s="43" t="n"/>
      <c r="AM269" s="32" t="n"/>
      <c r="AN269" s="32">
        <f>Table5[[#This Row],[ (RESV. STORGE) SER]]/10</f>
        <v/>
      </c>
      <c r="AO269" s="68" t="n"/>
      <c r="AP269" s="100">
        <f>Table5[[#This Row],[(A/S) AJD]]-Table5[[#This Row],[SER_IN]]</f>
        <v/>
      </c>
    </row>
    <row r="270" ht="18.75" customHeight="1">
      <c r="A270" s="98" t="n">
        <v>47387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Table5[[#This Row],[ (T/B) SAR]]+Table5[[#This Row],[ (S/S) SAR]]</f>
        <v/>
      </c>
      <c r="L270" s="45" t="n"/>
      <c r="M270" s="46" t="n"/>
      <c r="N270" s="46" t="n"/>
      <c r="O270" s="40" t="n"/>
      <c r="P270" s="9">
        <f>Table5[[#This Row],[ (S/S) SAR]]-Table5[[#This Row],[(S/S) AJD]]</f>
        <v/>
      </c>
      <c r="Q270" s="40" t="n"/>
      <c r="R270" s="9">
        <f>Table5[[#This Row],[ (T/B) SAR]]-Table5[[#This Row],[(T/B) AJD]]</f>
        <v/>
      </c>
      <c r="S270" s="9">
        <f>Table5[[#This Row],[S/S_CON.]]+Table5[[#This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Table5[[#This Row],[(RESV. STORGE) AJD]]/10</f>
        <v/>
      </c>
      <c r="AB270" s="3">
        <f>IF(TRIM(Z270)="",,(Z270-Z269)/1000)</f>
        <v/>
      </c>
      <c r="AC270" s="5" t="n"/>
      <c r="AD270" s="40">
        <f>(Table5[[#This Row],[( S/S+T/B) AJD]]*1000)-((Table5[[#This Row],[(STORGE DIFF.) AJD]]*1000)+Table5[[#This Row],[AJD_Evaporation]]+(Table5[[#This Row],[(A/B + A/S) AJD]]*1000))</f>
        <v/>
      </c>
      <c r="AE270" s="44" t="n"/>
      <c r="AF270" s="45" t="n"/>
      <c r="AG270" s="45" t="n"/>
      <c r="AH270" s="6">
        <f>Table5[[#This Row],[ (RESV. STORGE) BER]]/10</f>
        <v/>
      </c>
      <c r="AI270" s="44" t="n"/>
      <c r="AJ270" s="44">
        <f>Table5[[#This Row],[(A/B) AJD]]-Table5[[#This Row],[BER_IN]]</f>
        <v/>
      </c>
      <c r="AK270" s="45" t="n"/>
      <c r="AL270" s="45" t="n"/>
      <c r="AM270" s="32" t="n"/>
      <c r="AN270" s="32">
        <f>Table5[[#This Row],[ (RESV. STORGE) SER]]/10</f>
        <v/>
      </c>
      <c r="AO270" s="68" t="n"/>
      <c r="AP270" s="100">
        <f>Table5[[#This Row],[(A/S) AJD]]-Table5[[#This Row],[SER_IN]]</f>
        <v/>
      </c>
    </row>
    <row r="271" ht="18.75" customHeight="1">
      <c r="A271" s="98" t="n">
        <v>47388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Table5[[#This Row],[ (T/B) SAR]]+Table5[[#This Row],[ (S/S) SAR]]</f>
        <v/>
      </c>
      <c r="L271" s="41" t="n"/>
      <c r="M271" s="42" t="n"/>
      <c r="N271" s="42" t="n"/>
      <c r="O271" s="39" t="n"/>
      <c r="P271" s="9">
        <f>Table5[[#This Row],[ (S/S) SAR]]-Table5[[#This Row],[(S/S) AJD]]</f>
        <v/>
      </c>
      <c r="Q271" s="9" t="n"/>
      <c r="R271" s="9">
        <f>Table5[[#This Row],[ (T/B) SAR]]-Table5[[#This Row],[(T/B) AJD]]</f>
        <v/>
      </c>
      <c r="S271" s="9">
        <f>Table5[[#This Row],[S/S_CON.]]+Table5[[#This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Table5[[#This Row],[(RESV. STORGE) AJD]]/10</f>
        <v/>
      </c>
      <c r="AB271" s="3">
        <f>IF(TRIM(Z271)="",,(Z271-Z270)/1000)</f>
        <v/>
      </c>
      <c r="AC271" s="5" t="n"/>
      <c r="AD271" s="39">
        <f>(Table5[[#This Row],[( S/S+T/B) AJD]]*1000)-((Table5[[#This Row],[(STORGE DIFF.) AJD]]*1000)+Table5[[#This Row],[AJD_Evaporation]]+(Table5[[#This Row],[(A/B + A/S) AJD]]*1000))</f>
        <v/>
      </c>
      <c r="AE271" s="41" t="n"/>
      <c r="AF271" s="43" t="n"/>
      <c r="AG271" s="43" t="n"/>
      <c r="AH271" s="6">
        <f>Table5[[#This Row],[ (RESV. STORGE) BER]]/10</f>
        <v/>
      </c>
      <c r="AI271" s="41" t="n"/>
      <c r="AJ271" s="41">
        <f>Table5[[#This Row],[(A/B) AJD]]-Table5[[#This Row],[BER_IN]]</f>
        <v/>
      </c>
      <c r="AK271" s="43" t="n"/>
      <c r="AL271" s="43" t="n"/>
      <c r="AM271" s="32" t="n"/>
      <c r="AN271" s="32">
        <f>Table5[[#This Row],[ (RESV. STORGE) SER]]/10</f>
        <v/>
      </c>
      <c r="AO271" s="68" t="n"/>
      <c r="AP271" s="100">
        <f>Table5[[#This Row],[(A/S) AJD]]-Table5[[#This Row],[SER_IN]]</f>
        <v/>
      </c>
    </row>
    <row r="272" ht="18.75" customHeight="1">
      <c r="A272" s="98" t="n">
        <v>47389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Table5[[#This Row],[ (T/B) SAR]]+Table5[[#This Row],[ (S/S) SAR]]</f>
        <v/>
      </c>
      <c r="L272" s="45" t="n"/>
      <c r="M272" s="46" t="n"/>
      <c r="N272" s="46" t="n"/>
      <c r="O272" s="9" t="n"/>
      <c r="P272" s="9">
        <f>Table5[[#This Row],[ (S/S) SAR]]-Table5[[#This Row],[(S/S) AJD]]</f>
        <v/>
      </c>
      <c r="Q272" s="9" t="n"/>
      <c r="R272" s="9">
        <f>Table5[[#This Row],[ (T/B) SAR]]-Table5[[#This Row],[(T/B) AJD]]</f>
        <v/>
      </c>
      <c r="S272" s="9">
        <f>Table5[[#This Row],[S/S_CON.]]+Table5[[#This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Table5[[#This Row],[(RESV. STORGE) AJD]]/10</f>
        <v/>
      </c>
      <c r="AB272" s="3">
        <f>IF(TRIM(Z272)="",,(Z272-Z271)/1000)</f>
        <v/>
      </c>
      <c r="AC272" s="5" t="n"/>
      <c r="AD272" s="40">
        <f>(Table5[[#This Row],[( S/S+T/B) AJD]]*1000)-((Table5[[#This Row],[(STORGE DIFF.) AJD]]*1000)+Table5[[#This Row],[AJD_Evaporation]]+(Table5[[#This Row],[(A/B + A/S) AJD]]*1000))</f>
        <v/>
      </c>
      <c r="AE272" s="44" t="n"/>
      <c r="AF272" s="45" t="n"/>
      <c r="AG272" s="45" t="n"/>
      <c r="AH272" s="6">
        <f>Table5[[#This Row],[ (RESV. STORGE) BER]]/10</f>
        <v/>
      </c>
      <c r="AI272" s="6" t="n"/>
      <c r="AJ272" s="33">
        <f>Table5[[#This Row],[(A/B) AJD]]-Table5[[#This Row],[BER_IN]]</f>
        <v/>
      </c>
      <c r="AK272" s="6" t="n"/>
      <c r="AL272" s="6" t="n"/>
      <c r="AM272" s="32" t="n"/>
      <c r="AN272" s="32">
        <f>Table5[[#This Row],[ (RESV. STORGE) SER]]/10</f>
        <v/>
      </c>
      <c r="AO272" s="68" t="n"/>
      <c r="AP272" s="100">
        <f>Table5[[#This Row],[(A/S) AJD]]-Table5[[#This Row],[SER_IN]]</f>
        <v/>
      </c>
    </row>
    <row r="273" ht="18.75" customHeight="1">
      <c r="A273" s="98" t="n">
        <v>47390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Table5[[#This Row],[ (T/B) SAR]]+Table5[[#This Row],[ (S/S) SAR]]</f>
        <v/>
      </c>
      <c r="L273" s="28" t="n"/>
      <c r="M273" s="29" t="n"/>
      <c r="N273" s="30" t="n"/>
      <c r="O273" s="9" t="n"/>
      <c r="P273" s="9">
        <f>Table5[[#This Row],[ (S/S) SAR]]-Table5[[#This Row],[(S/S) AJD]]</f>
        <v/>
      </c>
      <c r="Q273" s="9" t="n"/>
      <c r="R273" s="9">
        <f>Table5[[#This Row],[ (T/B) SAR]]-Table5[[#This Row],[(T/B) AJD]]</f>
        <v/>
      </c>
      <c r="S273" s="9">
        <f>Table5[[#This Row],[S/S_CON.]]+Table5[[#This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Table5[[#This Row],[(RESV. STORGE) AJD]]/10</f>
        <v/>
      </c>
      <c r="AB273" s="3">
        <f>IF(TRIM(Z273)="",,(Z273-Z272)/1000)</f>
        <v/>
      </c>
      <c r="AC273" s="5" t="n"/>
      <c r="AD273" s="39">
        <f>(Table5[[#This Row],[( S/S+T/B) AJD]]*1000)-((Table5[[#This Row],[(STORGE DIFF.) AJD]]*1000)+Table5[[#This Row],[AJD_Evaporation]]+(Table5[[#This Row],[(A/B + A/S) AJD]]*1000))</f>
        <v/>
      </c>
      <c r="AE273" s="41" t="n"/>
      <c r="AF273" s="43" t="n"/>
      <c r="AG273" s="43" t="n"/>
      <c r="AH273" s="6">
        <f>Table5[[#This Row],[ (RESV. STORGE) BER]]/10</f>
        <v/>
      </c>
      <c r="AI273" s="6" t="n"/>
      <c r="AJ273" s="33">
        <f>Table5[[#This Row],[(A/B) AJD]]-Table5[[#This Row],[BER_IN]]</f>
        <v/>
      </c>
      <c r="AK273" s="6" t="n"/>
      <c r="AL273" s="6" t="n"/>
      <c r="AM273" s="32" t="n"/>
      <c r="AN273" s="32">
        <f>Table5[[#This Row],[ (RESV. STORGE) SER]]/10</f>
        <v/>
      </c>
      <c r="AO273" s="68" t="n"/>
      <c r="AP273" s="100">
        <f>Table5[[#This Row],[(A/S) AJD]]-Table5[[#This Row],[SER_IN]]</f>
        <v/>
      </c>
    </row>
    <row r="274" ht="18.75" customHeight="1">
      <c r="A274" s="98" t="n">
        <v>47391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Table5[[#This Row],[ (T/B) SAR]]+Table5[[#This Row],[ (S/S) SAR]]</f>
        <v/>
      </c>
      <c r="L274" s="28" t="n"/>
      <c r="M274" s="29" t="n"/>
      <c r="N274" s="30" t="n"/>
      <c r="O274" s="9" t="n"/>
      <c r="P274" s="9">
        <f>Table5[[#This Row],[ (S/S) SAR]]-Table5[[#This Row],[(S/S) AJD]]</f>
        <v/>
      </c>
      <c r="Q274" s="9" t="n"/>
      <c r="R274" s="9">
        <f>Table5[[#This Row],[ (T/B) SAR]]-Table5[[#This Row],[(T/B) AJD]]</f>
        <v/>
      </c>
      <c r="S274" s="9">
        <f>Table5[[#This Row],[S/S_CON.]]+Table5[[#This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Table5[[#This Row],[(RESV. STORGE) AJD]]/10</f>
        <v/>
      </c>
      <c r="AB274" s="3">
        <f>IF(TRIM(Z274)="",,(Z274-Z273)/1000)</f>
        <v/>
      </c>
      <c r="AC274" s="5" t="n"/>
      <c r="AD274" s="6">
        <f>(Table5[[#This Row],[( S/S+T/B) AJD]]*1000)-((Table5[[#This Row],[(STORGE DIFF.) AJD]]*1000)+Table5[[#This Row],[AJD_Evaporation]]+(Table5[[#This Row],[(A/B + A/S) AJD]]*1000))</f>
        <v/>
      </c>
      <c r="AE274" s="33" t="n"/>
      <c r="AF274" s="6" t="n"/>
      <c r="AG274" s="6" t="n"/>
      <c r="AH274" s="6">
        <f>Table5[[#This Row],[ (RESV. STORGE) BER]]/10</f>
        <v/>
      </c>
      <c r="AI274" s="6" t="n"/>
      <c r="AJ274" s="33">
        <f>Table5[[#This Row],[(A/B) AJD]]-Table5[[#This Row],[BER_IN]]</f>
        <v/>
      </c>
      <c r="AK274" s="6" t="n"/>
      <c r="AL274" s="6" t="n"/>
      <c r="AM274" s="32" t="n"/>
      <c r="AN274" s="32">
        <f>Table5[[#This Row],[ (RESV. STORGE) SER]]/10</f>
        <v/>
      </c>
      <c r="AO274" s="68" t="n"/>
      <c r="AP274" s="100">
        <f>Table5[[#This Row],[(A/S) AJD]]-Table5[[#This Row],[SER_IN]]</f>
        <v/>
      </c>
    </row>
    <row r="275" ht="18.75" customHeight="1">
      <c r="A275" s="98" t="n">
        <v>47392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Table5[[#This Row],[ (T/B) SAR]]+Table5[[#This Row],[ (S/S) SAR]]</f>
        <v/>
      </c>
      <c r="L275" s="28" t="n"/>
      <c r="M275" s="29" t="n"/>
      <c r="N275" s="30" t="n"/>
      <c r="O275" s="14" t="n"/>
      <c r="P275" s="9">
        <f>Table5[[#This Row],[ (S/S) SAR]]-Table5[[#This Row],[(S/S) AJD]]</f>
        <v/>
      </c>
      <c r="Q275" s="14" t="n"/>
      <c r="R275" s="9">
        <f>Table5[[#This Row],[ (T/B) SAR]]-Table5[[#This Row],[(T/B) AJD]]</f>
        <v/>
      </c>
      <c r="S275" s="9">
        <f>Table5[[#This Row],[S/S_CON.]]+Table5[[#This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Table5[[#This Row],[(RESV. STORGE) AJD]]/10</f>
        <v/>
      </c>
      <c r="AB275" s="3">
        <f>IF(TRIM(Z275)="",,(Z275-Z274)/1000)</f>
        <v/>
      </c>
      <c r="AC275" s="5" t="n"/>
      <c r="AD275" s="6">
        <f>(Table5[[#This Row],[( S/S+T/B) AJD]]*1000)-((Table5[[#This Row],[(STORGE DIFF.) AJD]]*1000)+Table5[[#This Row],[AJD_Evaporation]]+(Table5[[#This Row],[(A/B + A/S) AJD]]*1000))</f>
        <v/>
      </c>
      <c r="AE275" s="33" t="n"/>
      <c r="AF275" s="6" t="n"/>
      <c r="AG275" s="6" t="n"/>
      <c r="AH275" s="6">
        <f>Table5[[#This Row],[ (RESV. STORGE) BER]]/10</f>
        <v/>
      </c>
      <c r="AI275" s="6" t="n"/>
      <c r="AJ275" s="33">
        <f>Table5[[#This Row],[(A/B) AJD]]-Table5[[#This Row],[BER_IN]]</f>
        <v/>
      </c>
      <c r="AK275" s="6" t="n"/>
      <c r="AL275" s="6" t="n"/>
      <c r="AM275" s="32" t="n"/>
      <c r="AN275" s="32">
        <f>Table5[[#This Row],[ (RESV. STORGE) SER]]/10</f>
        <v/>
      </c>
      <c r="AO275" s="68" t="n"/>
      <c r="AP275" s="100">
        <f>Table5[[#This Row],[(A/S) AJD]]-Table5[[#This Row],[SER_IN]]</f>
        <v/>
      </c>
    </row>
    <row r="276" ht="18.75" customHeight="1">
      <c r="A276" s="98" t="n">
        <v>47393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Table5[[#This Row],[ (T/B) SAR]]+Table5[[#This Row],[ (S/S) SAR]]</f>
        <v/>
      </c>
      <c r="L276" s="28" t="n"/>
      <c r="M276" s="29" t="n"/>
      <c r="N276" s="30" t="n"/>
      <c r="O276" s="14" t="n"/>
      <c r="P276" s="9">
        <f>Table5[[#This Row],[ (S/S) SAR]]-Table5[[#This Row],[(S/S) AJD]]</f>
        <v/>
      </c>
      <c r="Q276" s="14" t="n"/>
      <c r="R276" s="9">
        <f>Table5[[#This Row],[ (T/B) SAR]]-Table5[[#This Row],[(T/B) AJD]]</f>
        <v/>
      </c>
      <c r="S276" s="9">
        <f>Table5[[#This Row],[S/S_CON.]]+Table5[[#This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Table5[[#This Row],[(RESV. STORGE) AJD]]/10</f>
        <v/>
      </c>
      <c r="AB276" s="3">
        <f>IF(TRIM(Z276)="",,(Z276-Z275)/1000)</f>
        <v/>
      </c>
      <c r="AC276" s="5" t="n"/>
      <c r="AD276" s="6">
        <f>(Table5[[#This Row],[( S/S+T/B) AJD]]*1000)-((Table5[[#This Row],[(STORGE DIFF.) AJD]]*1000)+Table5[[#This Row],[AJD_Evaporation]]+(Table5[[#This Row],[(A/B + A/S) AJD]]*1000))</f>
        <v/>
      </c>
      <c r="AE276" s="33" t="n"/>
      <c r="AF276" s="6" t="n"/>
      <c r="AG276" s="6" t="n"/>
      <c r="AH276" s="6">
        <f>Table5[[#This Row],[ (RESV. STORGE) BER]]/10</f>
        <v/>
      </c>
      <c r="AI276" s="6" t="n"/>
      <c r="AJ276" s="33">
        <f>Table5[[#This Row],[(A/B) AJD]]-Table5[[#This Row],[BER_IN]]</f>
        <v/>
      </c>
      <c r="AK276" s="6" t="n"/>
      <c r="AL276" s="6" t="n"/>
      <c r="AM276" s="32" t="n"/>
      <c r="AN276" s="32">
        <f>Table5[[#This Row],[ (RESV. STORGE) SER]]/10</f>
        <v/>
      </c>
      <c r="AO276" s="68" t="n"/>
      <c r="AP276" s="100">
        <f>Table5[[#This Row],[(A/S) AJD]]-Table5[[#This Row],[SER_IN]]</f>
        <v/>
      </c>
    </row>
    <row r="277" ht="18.75" customHeight="1">
      <c r="A277" s="98" t="n">
        <v>47394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Table5[[#This Row],[ (T/B) SAR]]+Table5[[#This Row],[ (S/S) SAR]]</f>
        <v/>
      </c>
      <c r="L277" s="28" t="n"/>
      <c r="M277" s="29" t="n"/>
      <c r="N277" s="30" t="n"/>
      <c r="O277" s="14" t="n"/>
      <c r="P277" s="9">
        <f>Table5[[#This Row],[ (S/S) SAR]]-Table5[[#This Row],[(S/S) AJD]]</f>
        <v/>
      </c>
      <c r="Q277" s="14" t="n"/>
      <c r="R277" s="9">
        <f>Table5[[#This Row],[ (T/B) SAR]]-Table5[[#This Row],[(T/B) AJD]]</f>
        <v/>
      </c>
      <c r="S277" s="9">
        <f>Table5[[#This Row],[S/S_CON.]]+Table5[[#This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Table5[[#This Row],[(RESV. STORGE) AJD]]/10</f>
        <v/>
      </c>
      <c r="AB277" s="3">
        <f>IF(TRIM(Z277)="",,(Z277-Z276)/1000)</f>
        <v/>
      </c>
      <c r="AC277" s="5" t="n"/>
      <c r="AD277" s="6">
        <f>(Table5[[#This Row],[( S/S+T/B) AJD]]*1000)-((Table5[[#This Row],[(STORGE DIFF.) AJD]]*1000)+Table5[[#This Row],[AJD_Evaporation]]+(Table5[[#This Row],[(A/B + A/S) AJD]]*1000))</f>
        <v/>
      </c>
      <c r="AE277" s="33" t="n"/>
      <c r="AF277" s="6" t="n"/>
      <c r="AG277" s="6" t="n"/>
      <c r="AH277" s="6">
        <f>Table5[[#This Row],[ (RESV. STORGE) BER]]/10</f>
        <v/>
      </c>
      <c r="AI277" s="6" t="n"/>
      <c r="AJ277" s="33">
        <f>Table5[[#This Row],[(A/B) AJD]]-Table5[[#This Row],[BER_IN]]</f>
        <v/>
      </c>
      <c r="AK277" s="6" t="n"/>
      <c r="AL277" s="6" t="n"/>
      <c r="AM277" s="32" t="n"/>
      <c r="AN277" s="32">
        <f>Table5[[#This Row],[ (RESV. STORGE) SER]]/10</f>
        <v/>
      </c>
      <c r="AO277" s="68" t="n"/>
      <c r="AP277" s="100">
        <f>Table5[[#This Row],[(A/S) AJD]]-Table5[[#This Row],[SER_IN]]</f>
        <v/>
      </c>
    </row>
    <row r="278" ht="18.75" customHeight="1">
      <c r="A278" s="98" t="n">
        <v>47395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Table5[[#This Row],[ (T/B) SAR]]+Table5[[#This Row],[ (S/S) SAR]]</f>
        <v/>
      </c>
      <c r="L278" s="28" t="n"/>
      <c r="M278" s="29" t="n"/>
      <c r="N278" s="30" t="n"/>
      <c r="O278" s="14" t="n"/>
      <c r="P278" s="9">
        <f>Table5[[#This Row],[ (S/S) SAR]]-Table5[[#This Row],[(S/S) AJD]]</f>
        <v/>
      </c>
      <c r="Q278" s="14" t="n"/>
      <c r="R278" s="9">
        <f>Table5[[#This Row],[ (T/B) SAR]]-Table5[[#This Row],[(T/B) AJD]]</f>
        <v/>
      </c>
      <c r="S278" s="9">
        <f>Table5[[#This Row],[S/S_CON.]]+Table5[[#This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Table5[[#This Row],[(RESV. STORGE) AJD]]/10</f>
        <v/>
      </c>
      <c r="AB278" s="3">
        <f>IF(TRIM(Z278)="",,(Z278-Z277)/1000)</f>
        <v/>
      </c>
      <c r="AC278" s="5" t="n"/>
      <c r="AD278" s="6">
        <f>(Table5[[#This Row],[( S/S+T/B) AJD]]*1000)-((Table5[[#This Row],[(STORGE DIFF.) AJD]]*1000)+Table5[[#This Row],[AJD_Evaporation]]+(Table5[[#This Row],[(A/B + A/S) AJD]]*1000))</f>
        <v/>
      </c>
      <c r="AE278" s="33" t="n"/>
      <c r="AF278" s="6" t="n"/>
      <c r="AG278" s="6" t="n"/>
      <c r="AH278" s="6">
        <f>Table5[[#This Row],[ (RESV. STORGE) BER]]/10</f>
        <v/>
      </c>
      <c r="AI278" s="6" t="n"/>
      <c r="AJ278" s="33">
        <f>Table5[[#This Row],[(A/B) AJD]]-Table5[[#This Row],[BER_IN]]</f>
        <v/>
      </c>
      <c r="AK278" s="6" t="n"/>
      <c r="AL278" s="6" t="n"/>
      <c r="AM278" s="32" t="n"/>
      <c r="AN278" s="32">
        <f>Table5[[#This Row],[ (RESV. STORGE) SER]]/10</f>
        <v/>
      </c>
      <c r="AO278" s="68" t="n"/>
      <c r="AP278" s="100">
        <f>Table5[[#This Row],[(A/S) AJD]]-Table5[[#This Row],[SER_IN]]</f>
        <v/>
      </c>
    </row>
    <row r="279" ht="18.75" customHeight="1">
      <c r="A279" s="98" t="n">
        <v>47396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Table5[[#This Row],[ (T/B) SAR]]+Table5[[#This Row],[ (S/S) SAR]]</f>
        <v/>
      </c>
      <c r="L279" s="28" t="n"/>
      <c r="M279" s="29" t="n"/>
      <c r="N279" s="30" t="n"/>
      <c r="O279" s="14" t="n"/>
      <c r="P279" s="9">
        <f>Table5[[#This Row],[ (S/S) SAR]]-Table5[[#This Row],[(S/S) AJD]]</f>
        <v/>
      </c>
      <c r="Q279" s="14" t="n"/>
      <c r="R279" s="9">
        <f>Table5[[#This Row],[ (T/B) SAR]]-Table5[[#This Row],[(T/B) AJD]]</f>
        <v/>
      </c>
      <c r="S279" s="9">
        <f>Table5[[#This Row],[S/S_CON.]]+Table5[[#This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Table5[[#This Row],[(RESV. STORGE) AJD]]/10</f>
        <v/>
      </c>
      <c r="AB279" s="3">
        <f>IF(TRIM(Z279)="",,(Z279-Z278)/1000)</f>
        <v/>
      </c>
      <c r="AC279" s="5" t="n"/>
      <c r="AD279" s="6">
        <f>(Table5[[#This Row],[( S/S+T/B) AJD]]*1000)-((Table5[[#This Row],[(STORGE DIFF.) AJD]]*1000)+Table5[[#This Row],[AJD_Evaporation]]+(Table5[[#This Row],[(A/B + A/S) AJD]]*1000))</f>
        <v/>
      </c>
      <c r="AE279" s="33" t="n"/>
      <c r="AF279" s="6" t="n"/>
      <c r="AG279" s="6" t="n"/>
      <c r="AH279" s="6">
        <f>Table5[[#This Row],[ (RESV. STORGE) BER]]/10</f>
        <v/>
      </c>
      <c r="AI279" s="6" t="n"/>
      <c r="AJ279" s="33">
        <f>Table5[[#This Row],[(A/B) AJD]]-Table5[[#This Row],[BER_IN]]</f>
        <v/>
      </c>
      <c r="AK279" s="6" t="n"/>
      <c r="AL279" s="6" t="n"/>
      <c r="AM279" s="32" t="n"/>
      <c r="AN279" s="32">
        <f>Table5[[#This Row],[ (RESV. STORGE) SER]]/10</f>
        <v/>
      </c>
      <c r="AO279" s="68" t="n"/>
      <c r="AP279" s="100">
        <f>Table5[[#This Row],[(A/S) AJD]]-Table5[[#This Row],[SER_IN]]</f>
        <v/>
      </c>
    </row>
    <row r="280" ht="18.75" customHeight="1">
      <c r="A280" s="98" t="n">
        <v>47397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Table5[[#This Row],[ (T/B) SAR]]+Table5[[#This Row],[ (S/S) SAR]]</f>
        <v/>
      </c>
      <c r="L280" s="28" t="n"/>
      <c r="M280" s="29" t="n"/>
      <c r="N280" s="30" t="n"/>
      <c r="O280" s="14" t="n"/>
      <c r="P280" s="9">
        <f>Table5[[#This Row],[ (S/S) SAR]]-Table5[[#This Row],[(S/S) AJD]]</f>
        <v/>
      </c>
      <c r="Q280" s="14" t="n"/>
      <c r="R280" s="9">
        <f>Table5[[#This Row],[ (T/B) SAR]]-Table5[[#This Row],[(T/B) AJD]]</f>
        <v/>
      </c>
      <c r="S280" s="9">
        <f>Table5[[#This Row],[S/S_CON.]]+Table5[[#This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Table5[[#This Row],[(RESV. STORGE) AJD]]/10</f>
        <v/>
      </c>
      <c r="AB280" s="3">
        <f>IF(TRIM(Z280)="",,(Z280-Z279)/1000)</f>
        <v/>
      </c>
      <c r="AC280" s="5" t="n"/>
      <c r="AD280" s="6">
        <f>(Table5[[#This Row],[( S/S+T/B) AJD]]*1000)-((Table5[[#This Row],[(STORGE DIFF.) AJD]]*1000)+Table5[[#This Row],[AJD_Evaporation]]+(Table5[[#This Row],[(A/B + A/S) AJD]]*1000))</f>
        <v/>
      </c>
      <c r="AE280" s="33" t="n"/>
      <c r="AF280" s="6" t="n"/>
      <c r="AG280" s="6" t="n"/>
      <c r="AH280" s="6">
        <f>Table5[[#This Row],[ (RESV. STORGE) BER]]/10</f>
        <v/>
      </c>
      <c r="AI280" s="6" t="n"/>
      <c r="AJ280" s="33">
        <f>Table5[[#This Row],[(A/B) AJD]]-Table5[[#This Row],[BER_IN]]</f>
        <v/>
      </c>
      <c r="AK280" s="6" t="n"/>
      <c r="AL280" s="6" t="n"/>
      <c r="AM280" s="32" t="n"/>
      <c r="AN280" s="32">
        <f>Table5[[#This Row],[ (RESV. STORGE) SER]]/10</f>
        <v/>
      </c>
      <c r="AO280" s="68" t="n"/>
      <c r="AP280" s="100">
        <f>Table5[[#This Row],[(A/S) AJD]]-Table5[[#This Row],[SER_IN]]</f>
        <v/>
      </c>
    </row>
    <row r="281" ht="18.75" customHeight="1">
      <c r="A281" s="98" t="n">
        <v>47398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Table5[[#This Row],[ (T/B) SAR]]+Table5[[#This Row],[ (S/S) SAR]]</f>
        <v/>
      </c>
      <c r="L281" s="28" t="n"/>
      <c r="M281" s="29" t="n"/>
      <c r="N281" s="30" t="n"/>
      <c r="O281" s="14" t="n"/>
      <c r="P281" s="9">
        <f>Table5[[#This Row],[ (S/S) SAR]]-Table5[[#This Row],[(S/S) AJD]]</f>
        <v/>
      </c>
      <c r="Q281" s="14" t="n"/>
      <c r="R281" s="9">
        <f>Table5[[#This Row],[ (T/B) SAR]]-Table5[[#This Row],[(T/B) AJD]]</f>
        <v/>
      </c>
      <c r="S281" s="9">
        <f>Table5[[#This Row],[S/S_CON.]]+Table5[[#This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Table5[[#This Row],[(RESV. STORGE) AJD]]/10</f>
        <v/>
      </c>
      <c r="AB281" s="3">
        <f>IF(TRIM(Z281)="",,(Z281-Z280)/1000)</f>
        <v/>
      </c>
      <c r="AC281" s="5" t="n"/>
      <c r="AD281" s="6">
        <f>(Table5[[#This Row],[( S/S+T/B) AJD]]*1000)-((Table5[[#This Row],[(STORGE DIFF.) AJD]]*1000)+Table5[[#This Row],[AJD_Evaporation]]+(Table5[[#This Row],[(A/B + A/S) AJD]]*1000))</f>
        <v/>
      </c>
      <c r="AE281" s="33" t="n"/>
      <c r="AF281" s="6" t="n"/>
      <c r="AG281" s="6" t="n"/>
      <c r="AH281" s="6">
        <f>Table5[[#This Row],[ (RESV. STORGE) BER]]/10</f>
        <v/>
      </c>
      <c r="AI281" s="6" t="n"/>
      <c r="AJ281" s="33">
        <f>Table5[[#This Row],[(A/B) AJD]]-Table5[[#This Row],[BER_IN]]</f>
        <v/>
      </c>
      <c r="AK281" s="6" t="n"/>
      <c r="AL281" s="6" t="n"/>
      <c r="AM281" s="32" t="n"/>
      <c r="AN281" s="32">
        <f>Table5[[#This Row],[ (RESV. STORGE) SER]]/10</f>
        <v/>
      </c>
      <c r="AO281" s="68" t="n"/>
      <c r="AP281" s="100">
        <f>Table5[[#This Row],[(A/S) AJD]]-Table5[[#This Row],[SER_IN]]</f>
        <v/>
      </c>
    </row>
    <row r="282" ht="18.75" customHeight="1">
      <c r="A282" s="98" t="n">
        <v>47399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Table5[[#This Row],[ (T/B) SAR]]+Table5[[#This Row],[ (S/S) SAR]]</f>
        <v/>
      </c>
      <c r="L282" s="28" t="n"/>
      <c r="M282" s="29" t="n"/>
      <c r="N282" s="30" t="n"/>
      <c r="O282" s="14" t="n"/>
      <c r="P282" s="9">
        <f>Table5[[#This Row],[ (S/S) SAR]]-Table5[[#This Row],[(S/S) AJD]]</f>
        <v/>
      </c>
      <c r="Q282" s="14" t="n"/>
      <c r="R282" s="9">
        <f>Table5[[#This Row],[ (T/B) SAR]]-Table5[[#This Row],[(T/B) AJD]]</f>
        <v/>
      </c>
      <c r="S282" s="9">
        <f>Table5[[#This Row],[S/S_CON.]]+Table5[[#This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Table5[[#This Row],[(RESV. STORGE) AJD]]/10</f>
        <v/>
      </c>
      <c r="AB282" s="3">
        <f>IF(TRIM(Z282)="",,(Z282-Z281)/1000)</f>
        <v/>
      </c>
      <c r="AC282" s="5" t="n"/>
      <c r="AD282" s="6">
        <f>(Table5[[#This Row],[( S/S+T/B) AJD]]*1000)-((Table5[[#This Row],[(STORGE DIFF.) AJD]]*1000)+Table5[[#This Row],[AJD_Evaporation]]+(Table5[[#This Row],[(A/B + A/S) AJD]]*1000))</f>
        <v/>
      </c>
      <c r="AE282" s="33" t="n"/>
      <c r="AF282" s="6" t="n"/>
      <c r="AG282" s="6" t="n"/>
      <c r="AH282" s="6">
        <f>Table5[[#This Row],[ (RESV. STORGE) BER]]/10</f>
        <v/>
      </c>
      <c r="AI282" s="6" t="n"/>
      <c r="AJ282" s="33">
        <f>Table5[[#This Row],[(A/B) AJD]]-Table5[[#This Row],[BER_IN]]</f>
        <v/>
      </c>
      <c r="AK282" s="6" t="n"/>
      <c r="AL282" s="6" t="n"/>
      <c r="AM282" s="32" t="n"/>
      <c r="AN282" s="32">
        <f>Table5[[#This Row],[ (RESV. STORGE) SER]]/10</f>
        <v/>
      </c>
      <c r="AO282" s="68" t="n"/>
      <c r="AP282" s="100">
        <f>Table5[[#This Row],[(A/S) AJD]]-Table5[[#This Row],[SER_IN]]</f>
        <v/>
      </c>
    </row>
    <row r="283" ht="18.75" customHeight="1">
      <c r="A283" s="98" t="n">
        <v>47400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Table5[[#This Row],[ (T/B) SAR]]+Table5[[#This Row],[ (S/S) SAR]]</f>
        <v/>
      </c>
      <c r="L283" s="28" t="n"/>
      <c r="M283" s="29" t="n"/>
      <c r="N283" s="30" t="n"/>
      <c r="O283" s="14" t="n"/>
      <c r="P283" s="9">
        <f>Table5[[#This Row],[ (S/S) SAR]]-Table5[[#This Row],[(S/S) AJD]]</f>
        <v/>
      </c>
      <c r="Q283" s="14" t="n"/>
      <c r="R283" s="9">
        <f>Table5[[#This Row],[ (T/B) SAR]]-Table5[[#This Row],[(T/B) AJD]]</f>
        <v/>
      </c>
      <c r="S283" s="9">
        <f>Table5[[#This Row],[S/S_CON.]]+Table5[[#This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Table5[[#This Row],[(RESV. STORGE) AJD]]/10</f>
        <v/>
      </c>
      <c r="AB283" s="3">
        <f>IF(TRIM(Z283)="",,(Z283-Z282)/1000)</f>
        <v/>
      </c>
      <c r="AC283" s="5" t="n"/>
      <c r="AD283" s="6">
        <f>(Table5[[#This Row],[( S/S+T/B) AJD]]*1000)-((Table5[[#This Row],[(STORGE DIFF.) AJD]]*1000)+Table5[[#This Row],[AJD_Evaporation]]+(Table5[[#This Row],[(A/B + A/S) AJD]]*1000))</f>
        <v/>
      </c>
      <c r="AE283" s="33" t="n"/>
      <c r="AF283" s="6" t="n"/>
      <c r="AG283" s="6" t="n"/>
      <c r="AH283" s="6">
        <f>Table5[[#This Row],[ (RESV. STORGE) BER]]/10</f>
        <v/>
      </c>
      <c r="AI283" s="6" t="n"/>
      <c r="AJ283" s="33">
        <f>Table5[[#This Row],[(A/B) AJD]]-Table5[[#This Row],[BER_IN]]</f>
        <v/>
      </c>
      <c r="AK283" s="6" t="n"/>
      <c r="AL283" s="6" t="n"/>
      <c r="AM283" s="32" t="n"/>
      <c r="AN283" s="32">
        <f>Table5[[#This Row],[ (RESV. STORGE) SER]]/10</f>
        <v/>
      </c>
      <c r="AO283" s="68" t="n"/>
      <c r="AP283" s="100">
        <f>Table5[[#This Row],[(A/S) AJD]]-Table5[[#This Row],[SER_IN]]</f>
        <v/>
      </c>
    </row>
    <row r="284" ht="18.75" customHeight="1">
      <c r="A284" s="98" t="n">
        <v>47401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Table5[[#This Row],[ (T/B) SAR]]+Table5[[#This Row],[ (S/S) SAR]]</f>
        <v/>
      </c>
      <c r="L284" s="28" t="n"/>
      <c r="M284" s="29" t="n"/>
      <c r="N284" s="30" t="n"/>
      <c r="O284" s="14" t="n"/>
      <c r="P284" s="9">
        <f>Table5[[#This Row],[ (S/S) SAR]]-Table5[[#This Row],[(S/S) AJD]]</f>
        <v/>
      </c>
      <c r="Q284" s="14" t="n"/>
      <c r="R284" s="9">
        <f>Table5[[#This Row],[ (T/B) SAR]]-Table5[[#This Row],[(T/B) AJD]]</f>
        <v/>
      </c>
      <c r="S284" s="9">
        <f>Table5[[#This Row],[S/S_CON.]]+Table5[[#This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Table5[[#This Row],[(RESV. STORGE) AJD]]/10</f>
        <v/>
      </c>
      <c r="AB284" s="3">
        <f>IF(TRIM(Z284)="",,(Z284-Z283)/1000)</f>
        <v/>
      </c>
      <c r="AC284" s="5" t="n"/>
      <c r="AD284" s="6">
        <f>(Table5[[#This Row],[( S/S+T/B) AJD]]*1000)-((Table5[[#This Row],[(STORGE DIFF.) AJD]]*1000)+Table5[[#This Row],[AJD_Evaporation]]+(Table5[[#This Row],[(A/B + A/S) AJD]]*1000))</f>
        <v/>
      </c>
      <c r="AE284" s="33" t="n"/>
      <c r="AF284" s="6" t="n"/>
      <c r="AG284" s="6" t="n"/>
      <c r="AH284" s="6">
        <f>Table5[[#This Row],[ (RESV. STORGE) BER]]/10</f>
        <v/>
      </c>
      <c r="AI284" s="6" t="n"/>
      <c r="AJ284" s="33">
        <f>Table5[[#This Row],[(A/B) AJD]]-Table5[[#This Row],[BER_IN]]</f>
        <v/>
      </c>
      <c r="AK284" s="6" t="n"/>
      <c r="AL284" s="6" t="n"/>
      <c r="AM284" s="32" t="n"/>
      <c r="AN284" s="32">
        <f>Table5[[#This Row],[ (RESV. STORGE) SER]]/10</f>
        <v/>
      </c>
      <c r="AO284" s="68" t="n"/>
      <c r="AP284" s="100">
        <f>Table5[[#This Row],[(A/S) AJD]]-Table5[[#This Row],[SER_IN]]</f>
        <v/>
      </c>
    </row>
    <row r="285" ht="18.75" customHeight="1">
      <c r="A285" s="98" t="n">
        <v>47402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Table5[[#This Row],[ (T/B) SAR]]+Table5[[#This Row],[ (S/S) SAR]]</f>
        <v/>
      </c>
      <c r="L285" s="28" t="n"/>
      <c r="M285" s="29" t="n"/>
      <c r="N285" s="30" t="n"/>
      <c r="O285" s="14" t="n"/>
      <c r="P285" s="9">
        <f>Table5[[#This Row],[ (S/S) SAR]]-Table5[[#This Row],[(S/S) AJD]]</f>
        <v/>
      </c>
      <c r="Q285" s="14" t="n"/>
      <c r="R285" s="9">
        <f>Table5[[#This Row],[ (T/B) SAR]]-Table5[[#This Row],[(T/B) AJD]]</f>
        <v/>
      </c>
      <c r="S285" s="9">
        <f>Table5[[#This Row],[S/S_CON.]]+Table5[[#This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Table5[[#This Row],[(RESV. STORGE) AJD]]/10</f>
        <v/>
      </c>
      <c r="AB285" s="3">
        <f>IF(TRIM(Z285)="",,(Z285-Z284)/1000)</f>
        <v/>
      </c>
      <c r="AC285" s="5" t="n"/>
      <c r="AD285" s="6">
        <f>(Table5[[#This Row],[( S/S+T/B) AJD]]*1000)-((Table5[[#This Row],[(STORGE DIFF.) AJD]]*1000)+Table5[[#This Row],[AJD_Evaporation]]+(Table5[[#This Row],[(A/B + A/S) AJD]]*1000))</f>
        <v/>
      </c>
      <c r="AE285" s="33" t="n"/>
      <c r="AF285" s="6" t="n"/>
      <c r="AG285" s="6" t="n"/>
      <c r="AH285" s="6">
        <f>Table5[[#This Row],[ (RESV. STORGE) BER]]/10</f>
        <v/>
      </c>
      <c r="AI285" s="6" t="n"/>
      <c r="AJ285" s="33">
        <f>Table5[[#This Row],[(A/B) AJD]]-Table5[[#This Row],[BER_IN]]</f>
        <v/>
      </c>
      <c r="AK285" s="6" t="n"/>
      <c r="AL285" s="6" t="n"/>
      <c r="AM285" s="32" t="n"/>
      <c r="AN285" s="32">
        <f>Table5[[#This Row],[ (RESV. STORGE) SER]]/10</f>
        <v/>
      </c>
      <c r="AO285" s="68" t="n"/>
      <c r="AP285" s="100">
        <f>Table5[[#This Row],[(A/S) AJD]]-Table5[[#This Row],[SER_IN]]</f>
        <v/>
      </c>
    </row>
    <row r="286" ht="18.75" customHeight="1">
      <c r="A286" s="98" t="n">
        <v>47403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Table5[[#This Row],[ (T/B) SAR]]+Table5[[#This Row],[ (S/S) SAR]]</f>
        <v/>
      </c>
      <c r="L286" s="28" t="n"/>
      <c r="M286" s="29" t="n"/>
      <c r="N286" s="30" t="n"/>
      <c r="O286" s="14" t="n"/>
      <c r="P286" s="9">
        <f>Table5[[#This Row],[ (S/S) SAR]]-Table5[[#This Row],[(S/S) AJD]]</f>
        <v/>
      </c>
      <c r="Q286" s="14" t="n"/>
      <c r="R286" s="9">
        <f>Table5[[#This Row],[ (T/B) SAR]]-Table5[[#This Row],[(T/B) AJD]]</f>
        <v/>
      </c>
      <c r="S286" s="9">
        <f>Table5[[#This Row],[S/S_CON.]]+Table5[[#This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Table5[[#This Row],[(RESV. STORGE) AJD]]/10</f>
        <v/>
      </c>
      <c r="AB286" s="3">
        <f>IF(TRIM(Z286)="",,(Z286-Z285)/1000)</f>
        <v/>
      </c>
      <c r="AC286" s="5" t="n"/>
      <c r="AD286" s="6">
        <f>(Table5[[#This Row],[( S/S+T/B) AJD]]*1000)-((Table5[[#This Row],[(STORGE DIFF.) AJD]]*1000)+Table5[[#This Row],[AJD_Evaporation]]+(Table5[[#This Row],[(A/B + A/S) AJD]]*1000))</f>
        <v/>
      </c>
      <c r="AE286" s="33" t="n"/>
      <c r="AF286" s="6" t="n"/>
      <c r="AG286" s="6" t="n"/>
      <c r="AH286" s="6">
        <f>Table5[[#This Row],[ (RESV. STORGE) BER]]/10</f>
        <v/>
      </c>
      <c r="AI286" s="6" t="n"/>
      <c r="AJ286" s="33">
        <f>Table5[[#This Row],[(A/B) AJD]]-Table5[[#This Row],[BER_IN]]</f>
        <v/>
      </c>
      <c r="AK286" s="6" t="n"/>
      <c r="AL286" s="6" t="n"/>
      <c r="AM286" s="32" t="n"/>
      <c r="AN286" s="32">
        <f>Table5[[#This Row],[ (RESV. STORGE) SER]]/10</f>
        <v/>
      </c>
      <c r="AO286" s="68" t="n"/>
      <c r="AP286" s="100">
        <f>Table5[[#This Row],[(A/S) AJD]]-Table5[[#This Row],[SER_IN]]</f>
        <v/>
      </c>
    </row>
    <row r="287" ht="18.75" customHeight="1">
      <c r="A287" s="98" t="n">
        <v>47404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Table5[[#This Row],[ (T/B) SAR]]+Table5[[#This Row],[ (S/S) SAR]]</f>
        <v/>
      </c>
      <c r="L287" s="28" t="n"/>
      <c r="M287" s="29" t="n"/>
      <c r="N287" s="30" t="n"/>
      <c r="O287" s="14" t="n"/>
      <c r="P287" s="9">
        <f>Table5[[#This Row],[ (S/S) SAR]]-Table5[[#This Row],[(S/S) AJD]]</f>
        <v/>
      </c>
      <c r="Q287" s="14" t="n"/>
      <c r="R287" s="9">
        <f>Table5[[#This Row],[ (T/B) SAR]]-Table5[[#This Row],[(T/B) AJD]]</f>
        <v/>
      </c>
      <c r="S287" s="9">
        <f>Table5[[#This Row],[S/S_CON.]]+Table5[[#This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Table5[[#This Row],[(RESV. STORGE) AJD]]/10</f>
        <v/>
      </c>
      <c r="AB287" s="3">
        <f>IF(TRIM(Z287)="",,(Z287-Z286)/1000)</f>
        <v/>
      </c>
      <c r="AC287" s="5" t="n"/>
      <c r="AD287" s="6">
        <f>(Table5[[#This Row],[( S/S+T/B) AJD]]*1000)-((Table5[[#This Row],[(STORGE DIFF.) AJD]]*1000)+Table5[[#This Row],[AJD_Evaporation]]+(Table5[[#This Row],[(A/B + A/S) AJD]]*1000))</f>
        <v/>
      </c>
      <c r="AE287" s="33" t="n"/>
      <c r="AF287" s="6" t="n"/>
      <c r="AG287" s="6" t="n"/>
      <c r="AH287" s="6">
        <f>Table5[[#This Row],[ (RESV. STORGE) BER]]/10</f>
        <v/>
      </c>
      <c r="AI287" s="6" t="n"/>
      <c r="AJ287" s="33">
        <f>Table5[[#This Row],[(A/B) AJD]]-Table5[[#This Row],[BER_IN]]</f>
        <v/>
      </c>
      <c r="AK287" s="6" t="n"/>
      <c r="AL287" s="6" t="n"/>
      <c r="AM287" s="32" t="n"/>
      <c r="AN287" s="32">
        <f>Table5[[#This Row],[ (RESV. STORGE) SER]]/10</f>
        <v/>
      </c>
      <c r="AO287" s="68" t="n"/>
      <c r="AP287" s="100">
        <f>Table5[[#This Row],[(A/S) AJD]]-Table5[[#This Row],[SER_IN]]</f>
        <v/>
      </c>
    </row>
    <row r="288" ht="18.75" customHeight="1">
      <c r="A288" s="98" t="n">
        <v>47405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Table5[[#This Row],[ (T/B) SAR]]+Table5[[#This Row],[ (S/S) SAR]]</f>
        <v/>
      </c>
      <c r="L288" s="28" t="n"/>
      <c r="M288" s="29" t="n"/>
      <c r="N288" s="30" t="n"/>
      <c r="O288" s="14" t="n"/>
      <c r="P288" s="9">
        <f>Table5[[#This Row],[ (S/S) SAR]]-Table5[[#This Row],[(S/S) AJD]]</f>
        <v/>
      </c>
      <c r="Q288" s="14" t="n"/>
      <c r="R288" s="9">
        <f>Table5[[#This Row],[ (T/B) SAR]]-Table5[[#This Row],[(T/B) AJD]]</f>
        <v/>
      </c>
      <c r="S288" s="9">
        <f>Table5[[#This Row],[S/S_CON.]]+Table5[[#This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Table5[[#This Row],[(RESV. STORGE) AJD]]/10</f>
        <v/>
      </c>
      <c r="AB288" s="3">
        <f>IF(TRIM(Z288)="",,(Z288-Z287)/1000)</f>
        <v/>
      </c>
      <c r="AC288" s="5" t="n"/>
      <c r="AD288" s="6">
        <f>(Table5[[#This Row],[( S/S+T/B) AJD]]*1000)-((Table5[[#This Row],[(STORGE DIFF.) AJD]]*1000)+Table5[[#This Row],[AJD_Evaporation]]+(Table5[[#This Row],[(A/B + A/S) AJD]]*1000))</f>
        <v/>
      </c>
      <c r="AE288" s="33" t="n"/>
      <c r="AF288" s="6" t="n"/>
      <c r="AG288" s="6" t="n"/>
      <c r="AH288" s="6">
        <f>Table5[[#This Row],[ (RESV. STORGE) BER]]/10</f>
        <v/>
      </c>
      <c r="AI288" s="6" t="n"/>
      <c r="AJ288" s="33">
        <f>Table5[[#This Row],[(A/B) AJD]]-Table5[[#This Row],[BER_IN]]</f>
        <v/>
      </c>
      <c r="AK288" s="6" t="n"/>
      <c r="AL288" s="6" t="n"/>
      <c r="AM288" s="32" t="n"/>
      <c r="AN288" s="32">
        <f>Table5[[#This Row],[ (RESV. STORGE) SER]]/10</f>
        <v/>
      </c>
      <c r="AO288" s="68" t="n"/>
      <c r="AP288" s="100">
        <f>Table5[[#This Row],[(A/S) AJD]]-Table5[[#This Row],[SER_IN]]</f>
        <v/>
      </c>
    </row>
    <row r="289" ht="18.75" customHeight="1">
      <c r="A289" s="98" t="n">
        <v>47406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Table5[[#This Row],[ (T/B) SAR]]+Table5[[#This Row],[ (S/S) SAR]]</f>
        <v/>
      </c>
      <c r="L289" s="28" t="n"/>
      <c r="M289" s="29" t="n"/>
      <c r="N289" s="30" t="n"/>
      <c r="O289" s="14" t="n"/>
      <c r="P289" s="9">
        <f>Table5[[#This Row],[ (S/S) SAR]]-Table5[[#This Row],[(S/S) AJD]]</f>
        <v/>
      </c>
      <c r="Q289" s="14" t="n"/>
      <c r="R289" s="9">
        <f>Table5[[#This Row],[ (T/B) SAR]]-Table5[[#This Row],[(T/B) AJD]]</f>
        <v/>
      </c>
      <c r="S289" s="9">
        <f>Table5[[#This Row],[S/S_CON.]]+Table5[[#This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Table5[[#This Row],[(RESV. STORGE) AJD]]/10</f>
        <v/>
      </c>
      <c r="AB289" s="3">
        <f>IF(TRIM(Z289)="",,(Z289-Z288)/1000)</f>
        <v/>
      </c>
      <c r="AC289" s="5" t="n"/>
      <c r="AD289" s="6">
        <f>(Table5[[#This Row],[( S/S+T/B) AJD]]*1000)-((Table5[[#This Row],[(STORGE DIFF.) AJD]]*1000)+Table5[[#This Row],[AJD_Evaporation]]+(Table5[[#This Row],[(A/B + A/S) AJD]]*1000))</f>
        <v/>
      </c>
      <c r="AE289" s="33" t="n"/>
      <c r="AF289" s="6" t="n"/>
      <c r="AG289" s="6" t="n"/>
      <c r="AH289" s="6">
        <f>Table5[[#This Row],[ (RESV. STORGE) BER]]/10</f>
        <v/>
      </c>
      <c r="AI289" s="6" t="n"/>
      <c r="AJ289" s="33">
        <f>Table5[[#This Row],[(A/B) AJD]]-Table5[[#This Row],[BER_IN]]</f>
        <v/>
      </c>
      <c r="AK289" s="6" t="n"/>
      <c r="AL289" s="6" t="n"/>
      <c r="AM289" s="32" t="n"/>
      <c r="AN289" s="32">
        <f>Table5[[#This Row],[ (RESV. STORGE) SER]]/10</f>
        <v/>
      </c>
      <c r="AO289" s="68" t="n"/>
      <c r="AP289" s="100">
        <f>Table5[[#This Row],[(A/S) AJD]]-Table5[[#This Row],[SER_IN]]</f>
        <v/>
      </c>
    </row>
    <row r="290" ht="18.75" customHeight="1">
      <c r="A290" s="98" t="n">
        <v>47407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Table5[[#This Row],[ (T/B) SAR]]+Table5[[#This Row],[ (S/S) SAR]]</f>
        <v/>
      </c>
      <c r="L290" s="28" t="n"/>
      <c r="M290" s="29" t="n"/>
      <c r="N290" s="30" t="n"/>
      <c r="O290" s="14" t="n"/>
      <c r="P290" s="9">
        <f>Table5[[#This Row],[ (S/S) SAR]]-Table5[[#This Row],[(S/S) AJD]]</f>
        <v/>
      </c>
      <c r="Q290" s="14" t="n"/>
      <c r="R290" s="9">
        <f>Table5[[#This Row],[ (T/B) SAR]]-Table5[[#This Row],[(T/B) AJD]]</f>
        <v/>
      </c>
      <c r="S290" s="9">
        <f>Table5[[#This Row],[S/S_CON.]]+Table5[[#This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Table5[[#This Row],[(RESV. STORGE) AJD]]/10</f>
        <v/>
      </c>
      <c r="AB290" s="3">
        <f>IF(TRIM(Z290)="",,(Z290-Z289)/1000)</f>
        <v/>
      </c>
      <c r="AC290" s="5" t="n"/>
      <c r="AD290" s="6">
        <f>(Table5[[#This Row],[( S/S+T/B) AJD]]*1000)-((Table5[[#This Row],[(STORGE DIFF.) AJD]]*1000)+Table5[[#This Row],[AJD_Evaporation]]+(Table5[[#This Row],[(A/B + A/S) AJD]]*1000))</f>
        <v/>
      </c>
      <c r="AE290" s="33" t="n"/>
      <c r="AF290" s="6" t="n"/>
      <c r="AG290" s="6" t="n"/>
      <c r="AH290" s="6">
        <f>Table5[[#This Row],[ (RESV. STORGE) BER]]/10</f>
        <v/>
      </c>
      <c r="AI290" s="6" t="n"/>
      <c r="AJ290" s="33">
        <f>Table5[[#This Row],[(A/B) AJD]]-Table5[[#This Row],[BER_IN]]</f>
        <v/>
      </c>
      <c r="AK290" s="6" t="n"/>
      <c r="AL290" s="6" t="n"/>
      <c r="AM290" s="32" t="n"/>
      <c r="AN290" s="32">
        <f>Table5[[#This Row],[ (RESV. STORGE) SER]]/10</f>
        <v/>
      </c>
      <c r="AO290" s="68" t="n"/>
      <c r="AP290" s="100">
        <f>Table5[[#This Row],[(A/S) AJD]]-Table5[[#This Row],[SER_IN]]</f>
        <v/>
      </c>
    </row>
    <row r="291" ht="18.75" customHeight="1">
      <c r="A291" s="98" t="n">
        <v>47408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Table5[[#This Row],[ (T/B) SAR]]+Table5[[#This Row],[ (S/S) SAR]]</f>
        <v/>
      </c>
      <c r="L291" s="28" t="n"/>
      <c r="M291" s="29" t="n"/>
      <c r="N291" s="30" t="n"/>
      <c r="O291" s="14" t="n"/>
      <c r="P291" s="9">
        <f>Table5[[#This Row],[ (S/S) SAR]]-Table5[[#This Row],[(S/S) AJD]]</f>
        <v/>
      </c>
      <c r="Q291" s="14" t="n"/>
      <c r="R291" s="9">
        <f>Table5[[#This Row],[ (T/B) SAR]]-Table5[[#This Row],[(T/B) AJD]]</f>
        <v/>
      </c>
      <c r="S291" s="9">
        <f>Table5[[#This Row],[S/S_CON.]]+Table5[[#This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Table5[[#This Row],[(RESV. STORGE) AJD]]/10</f>
        <v/>
      </c>
      <c r="AB291" s="3">
        <f>IF(TRIM(Z291)="",,(Z291-Z290)/1000)</f>
        <v/>
      </c>
      <c r="AC291" s="5" t="n"/>
      <c r="AD291" s="6">
        <f>(Table5[[#This Row],[( S/S+T/B) AJD]]*1000)-((Table5[[#This Row],[(STORGE DIFF.) AJD]]*1000)+Table5[[#This Row],[AJD_Evaporation]]+(Table5[[#This Row],[(A/B + A/S) AJD]]*1000))</f>
        <v/>
      </c>
      <c r="AE291" s="33" t="n"/>
      <c r="AF291" s="6" t="n"/>
      <c r="AG291" s="6" t="n"/>
      <c r="AH291" s="6">
        <f>Table5[[#This Row],[ (RESV. STORGE) BER]]/10</f>
        <v/>
      </c>
      <c r="AI291" s="6" t="n"/>
      <c r="AJ291" s="33">
        <f>Table5[[#This Row],[(A/B) AJD]]-Table5[[#This Row],[BER_IN]]</f>
        <v/>
      </c>
      <c r="AK291" s="6" t="n"/>
      <c r="AL291" s="6" t="n"/>
      <c r="AM291" s="32" t="n"/>
      <c r="AN291" s="32">
        <f>Table5[[#This Row],[ (RESV. STORGE) SER]]/10</f>
        <v/>
      </c>
      <c r="AO291" s="68" t="n"/>
      <c r="AP291" s="100">
        <f>Table5[[#This Row],[(A/S) AJD]]-Table5[[#This Row],[SER_IN]]</f>
        <v/>
      </c>
    </row>
    <row r="292" ht="18.75" customHeight="1">
      <c r="A292" s="98" t="n">
        <v>47409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Table5[[#This Row],[ (T/B) SAR]]+Table5[[#This Row],[ (S/S) SAR]]</f>
        <v/>
      </c>
      <c r="L292" s="28" t="n"/>
      <c r="M292" s="29" t="n"/>
      <c r="N292" s="30" t="n"/>
      <c r="O292" s="9" t="n"/>
      <c r="P292" s="9">
        <f>Table5[[#This Row],[ (S/S) SAR]]-Table5[[#This Row],[(S/S) AJD]]</f>
        <v/>
      </c>
      <c r="Q292" s="9" t="n"/>
      <c r="R292" s="9">
        <f>Table5[[#This Row],[ (T/B) SAR]]-Table5[[#This Row],[(T/B) AJD]]</f>
        <v/>
      </c>
      <c r="S292" s="9">
        <f>Table5[[#This Row],[S/S_CON.]]+Table5[[#This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Table5[[#This Row],[(RESV. STORGE) AJD]]/10</f>
        <v/>
      </c>
      <c r="AB292" s="3">
        <f>IF(TRIM(Z292)="",,(Z292-Z291)/1000)</f>
        <v/>
      </c>
      <c r="AC292" s="5" t="n"/>
      <c r="AD292" s="6">
        <f>(Table5[[#This Row],[( S/S+T/B) AJD]]*1000)-((Table5[[#This Row],[(STORGE DIFF.) AJD]]*1000)+Table5[[#This Row],[AJD_Evaporation]]+(Table5[[#This Row],[(A/B + A/S) AJD]]*1000))</f>
        <v/>
      </c>
      <c r="AE292" s="33" t="n"/>
      <c r="AF292" s="6" t="n"/>
      <c r="AG292" s="6" t="n"/>
      <c r="AH292" s="6">
        <f>Table5[[#This Row],[ (RESV. STORGE) BER]]/10</f>
        <v/>
      </c>
      <c r="AI292" s="6" t="n"/>
      <c r="AJ292" s="33">
        <f>Table5[[#This Row],[(A/B) AJD]]-Table5[[#This Row],[BER_IN]]</f>
        <v/>
      </c>
      <c r="AK292" s="6" t="n"/>
      <c r="AL292" s="6" t="n"/>
      <c r="AM292" s="32" t="n"/>
      <c r="AN292" s="32">
        <f>Table5[[#This Row],[ (RESV. STORGE) SER]]/10</f>
        <v/>
      </c>
      <c r="AO292" s="68" t="n"/>
      <c r="AP292" s="100">
        <f>Table5[[#This Row],[(A/S) AJD]]-Table5[[#This Row],[SER_IN]]</f>
        <v/>
      </c>
    </row>
    <row r="293" ht="18.75" customHeight="1">
      <c r="A293" s="98" t="n">
        <v>47410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Table5[[#This Row],[ (T/B) SAR]]+Table5[[#This Row],[ (S/S) SAR]]</f>
        <v/>
      </c>
      <c r="L293" s="28" t="n"/>
      <c r="M293" s="29" t="n"/>
      <c r="N293" s="30" t="n"/>
      <c r="O293" s="9" t="n"/>
      <c r="P293" s="9">
        <f>Table5[[#This Row],[ (S/S) SAR]]-Table5[[#This Row],[(S/S) AJD]]</f>
        <v/>
      </c>
      <c r="Q293" s="9" t="n"/>
      <c r="R293" s="9">
        <f>Table5[[#This Row],[ (T/B) SAR]]-Table5[[#This Row],[(T/B) AJD]]</f>
        <v/>
      </c>
      <c r="S293" s="9">
        <f>Table5[[#This Row],[S/S_CON.]]+Table5[[#This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Table5[[#This Row],[(RESV. STORGE) AJD]]/10</f>
        <v/>
      </c>
      <c r="AB293" s="3">
        <f>IF(TRIM(Z293)="",,(Z293-Z292)/1000)</f>
        <v/>
      </c>
      <c r="AC293" s="5" t="n"/>
      <c r="AD293" s="6">
        <f>(Table5[[#This Row],[( S/S+T/B) AJD]]*1000)-((Table5[[#This Row],[(STORGE DIFF.) AJD]]*1000)+Table5[[#This Row],[AJD_Evaporation]]+(Table5[[#This Row],[(A/B + A/S) AJD]]*1000))</f>
        <v/>
      </c>
      <c r="AE293" s="33" t="n"/>
      <c r="AF293" s="6" t="n"/>
      <c r="AG293" s="6" t="n"/>
      <c r="AH293" s="6">
        <f>Table5[[#This Row],[ (RESV. STORGE) BER]]/10</f>
        <v/>
      </c>
      <c r="AI293" s="6" t="n"/>
      <c r="AJ293" s="33">
        <f>Table5[[#This Row],[(A/B) AJD]]-Table5[[#This Row],[BER_IN]]</f>
        <v/>
      </c>
      <c r="AK293" s="6" t="n"/>
      <c r="AL293" s="6" t="n"/>
      <c r="AM293" s="32" t="n"/>
      <c r="AN293" s="32">
        <f>Table5[[#This Row],[ (RESV. STORGE) SER]]/10</f>
        <v/>
      </c>
      <c r="AO293" s="68" t="n"/>
      <c r="AP293" s="100">
        <f>Table5[[#This Row],[(A/S) AJD]]-Table5[[#This Row],[SER_IN]]</f>
        <v/>
      </c>
    </row>
    <row r="294" ht="18.75" customHeight="1">
      <c r="A294" s="98" t="n">
        <v>47411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Table5[[#This Row],[ (T/B) SAR]]+Table5[[#This Row],[ (S/S) SAR]]</f>
        <v/>
      </c>
      <c r="L294" s="28" t="n"/>
      <c r="M294" s="29" t="n"/>
      <c r="N294" s="30" t="n"/>
      <c r="O294" s="9" t="n"/>
      <c r="P294" s="9">
        <f>Table5[[#This Row],[ (S/S) SAR]]-Table5[[#This Row],[(S/S) AJD]]</f>
        <v/>
      </c>
      <c r="Q294" s="9" t="n"/>
      <c r="R294" s="9">
        <f>Table5[[#This Row],[ (T/B) SAR]]-Table5[[#This Row],[(T/B) AJD]]</f>
        <v/>
      </c>
      <c r="S294" s="9">
        <f>Table5[[#This Row],[S/S_CON.]]+Table5[[#This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Table5[[#This Row],[(RESV. STORGE) AJD]]/10</f>
        <v/>
      </c>
      <c r="AB294" s="3">
        <f>IF(TRIM(Z294)="",,(Z294-Z293)/1000)</f>
        <v/>
      </c>
      <c r="AC294" s="5" t="n"/>
      <c r="AD294" s="6">
        <f>(Table5[[#This Row],[( S/S+T/B) AJD]]*1000)-((Table5[[#This Row],[(STORGE DIFF.) AJD]]*1000)+Table5[[#This Row],[AJD_Evaporation]]+(Table5[[#This Row],[(A/B + A/S) AJD]]*1000))</f>
        <v/>
      </c>
      <c r="AE294" s="33" t="n"/>
      <c r="AF294" s="6" t="n"/>
      <c r="AG294" s="6" t="n"/>
      <c r="AH294" s="6">
        <f>Table5[[#This Row],[ (RESV. STORGE) BER]]/10</f>
        <v/>
      </c>
      <c r="AI294" s="6" t="n"/>
      <c r="AJ294" s="33">
        <f>Table5[[#This Row],[(A/B) AJD]]-Table5[[#This Row],[BER_IN]]</f>
        <v/>
      </c>
      <c r="AK294" s="6" t="n"/>
      <c r="AL294" s="6" t="n"/>
      <c r="AM294" s="32" t="n"/>
      <c r="AN294" s="32">
        <f>Table5[[#This Row],[ (RESV. STORGE) SER]]/10</f>
        <v/>
      </c>
      <c r="AO294" s="68" t="n"/>
      <c r="AP294" s="100">
        <f>Table5[[#This Row],[(A/S) AJD]]-Table5[[#This Row],[SER_IN]]</f>
        <v/>
      </c>
    </row>
    <row r="295" ht="18.75" customHeight="1">
      <c r="A295" s="98" t="n">
        <v>47412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Table5[[#This Row],[ (T/B) SAR]]+Table5[[#This Row],[ (S/S) SAR]]</f>
        <v/>
      </c>
      <c r="L295" s="28" t="n"/>
      <c r="M295" s="29" t="n"/>
      <c r="N295" s="30" t="n"/>
      <c r="O295" s="9" t="n"/>
      <c r="P295" s="9">
        <f>Table5[[#This Row],[ (S/S) SAR]]-Table5[[#This Row],[(S/S) AJD]]</f>
        <v/>
      </c>
      <c r="Q295" s="9" t="n"/>
      <c r="R295" s="9">
        <f>Table5[[#This Row],[ (T/B) SAR]]-Table5[[#This Row],[(T/B) AJD]]</f>
        <v/>
      </c>
      <c r="S295" s="9">
        <f>Table5[[#This Row],[S/S_CON.]]+Table5[[#This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Table5[[#This Row],[(RESV. STORGE) AJD]]/10</f>
        <v/>
      </c>
      <c r="AB295" s="3">
        <f>IF(TRIM(Z295)="",,(Z295-Z294)/1000)</f>
        <v/>
      </c>
      <c r="AC295" s="5" t="n"/>
      <c r="AD295" s="6">
        <f>(Table5[[#This Row],[( S/S+T/B) AJD]]*1000)-((Table5[[#This Row],[(STORGE DIFF.) AJD]]*1000)+Table5[[#This Row],[AJD_Evaporation]]+(Table5[[#This Row],[(A/B + A/S) AJD]]*1000))</f>
        <v/>
      </c>
      <c r="AE295" s="33" t="n"/>
      <c r="AF295" s="6" t="n"/>
      <c r="AG295" s="6" t="n"/>
      <c r="AH295" s="6">
        <f>Table5[[#This Row],[ (RESV. STORGE) BER]]/10</f>
        <v/>
      </c>
      <c r="AI295" s="6" t="n"/>
      <c r="AJ295" s="33">
        <f>Table5[[#This Row],[(A/B) AJD]]-Table5[[#This Row],[BER_IN]]</f>
        <v/>
      </c>
      <c r="AK295" s="6" t="n"/>
      <c r="AL295" s="6" t="n"/>
      <c r="AM295" s="32" t="n"/>
      <c r="AN295" s="32">
        <f>Table5[[#This Row],[ (RESV. STORGE) SER]]/10</f>
        <v/>
      </c>
      <c r="AO295" s="68" t="n"/>
      <c r="AP295" s="100">
        <f>Table5[[#This Row],[(A/S) AJD]]-Table5[[#This Row],[SER_IN]]</f>
        <v/>
      </c>
    </row>
    <row r="296" ht="18.75" customHeight="1">
      <c r="A296" s="98" t="n">
        <v>47413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Table5[[#This Row],[ (T/B) SAR]]+Table5[[#This Row],[ (S/S) SAR]]</f>
        <v/>
      </c>
      <c r="L296" s="28" t="n"/>
      <c r="M296" s="29" t="n"/>
      <c r="N296" s="30" t="n"/>
      <c r="O296" s="9" t="n"/>
      <c r="P296" s="9">
        <f>Table5[[#This Row],[ (S/S) SAR]]-Table5[[#This Row],[(S/S) AJD]]</f>
        <v/>
      </c>
      <c r="Q296" s="9" t="n"/>
      <c r="R296" s="9">
        <f>Table5[[#This Row],[ (T/B) SAR]]-Table5[[#This Row],[(T/B) AJD]]</f>
        <v/>
      </c>
      <c r="S296" s="9">
        <f>Table5[[#This Row],[S/S_CON.]]+Table5[[#This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Table5[[#This Row],[(RESV. STORGE) AJD]]/10</f>
        <v/>
      </c>
      <c r="AB296" s="3">
        <f>IF(TRIM(Z296)="",,(Z296-Z295)/1000)</f>
        <v/>
      </c>
      <c r="AC296" s="5" t="n"/>
      <c r="AD296" s="6">
        <f>(Table5[[#This Row],[( S/S+T/B) AJD]]*1000)-((Table5[[#This Row],[(STORGE DIFF.) AJD]]*1000)+Table5[[#This Row],[AJD_Evaporation]]+(Table5[[#This Row],[(A/B + A/S) AJD]]*1000))</f>
        <v/>
      </c>
      <c r="AE296" s="33" t="n"/>
      <c r="AF296" s="6" t="n"/>
      <c r="AG296" s="6" t="n"/>
      <c r="AH296" s="6">
        <f>Table5[[#This Row],[ (RESV. STORGE) BER]]/10</f>
        <v/>
      </c>
      <c r="AI296" s="6" t="n"/>
      <c r="AJ296" s="33">
        <f>Table5[[#This Row],[(A/B) AJD]]-Table5[[#This Row],[BER_IN]]</f>
        <v/>
      </c>
      <c r="AK296" s="6" t="n"/>
      <c r="AL296" s="6" t="n"/>
      <c r="AM296" s="32" t="n"/>
      <c r="AN296" s="32">
        <f>Table5[[#This Row],[ (RESV. STORGE) SER]]/10</f>
        <v/>
      </c>
      <c r="AO296" s="68" t="n"/>
      <c r="AP296" s="100">
        <f>Table5[[#This Row],[(A/S) AJD]]-Table5[[#This Row],[SER_IN]]</f>
        <v/>
      </c>
    </row>
    <row r="297" ht="18.75" customHeight="1">
      <c r="A297" s="98" t="n">
        <v>47414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Table5[[#This Row],[ (T/B) SAR]]+Table5[[#This Row],[ (S/S) SAR]]</f>
        <v/>
      </c>
      <c r="L297" s="28" t="n"/>
      <c r="M297" s="29" t="n"/>
      <c r="N297" s="30" t="n"/>
      <c r="O297" s="9" t="n"/>
      <c r="P297" s="9">
        <f>Table5[[#This Row],[ (S/S) SAR]]-Table5[[#This Row],[(S/S) AJD]]</f>
        <v/>
      </c>
      <c r="Q297" s="9" t="n"/>
      <c r="R297" s="9">
        <f>Table5[[#This Row],[ (T/B) SAR]]-Table5[[#This Row],[(T/B) AJD]]</f>
        <v/>
      </c>
      <c r="S297" s="9">
        <f>Table5[[#This Row],[S/S_CON.]]+Table5[[#This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Table5[[#This Row],[(RESV. STORGE) AJD]]/10</f>
        <v/>
      </c>
      <c r="AB297" s="3">
        <f>IF(TRIM(Z297)="",,(Z297-Z296)/1000)</f>
        <v/>
      </c>
      <c r="AC297" s="5" t="n"/>
      <c r="AD297" s="6">
        <f>(Table5[[#This Row],[( S/S+T/B) AJD]]*1000)-((Table5[[#This Row],[(STORGE DIFF.) AJD]]*1000)+Table5[[#This Row],[AJD_Evaporation]]+(Table5[[#This Row],[(A/B + A/S) AJD]]*1000))</f>
        <v/>
      </c>
      <c r="AE297" s="33" t="n"/>
      <c r="AF297" s="6" t="n"/>
      <c r="AG297" s="6" t="n"/>
      <c r="AH297" s="6">
        <f>Table5[[#This Row],[ (RESV. STORGE) BER]]/10</f>
        <v/>
      </c>
      <c r="AI297" s="6" t="n"/>
      <c r="AJ297" s="33">
        <f>Table5[[#This Row],[(A/B) AJD]]-Table5[[#This Row],[BER_IN]]</f>
        <v/>
      </c>
      <c r="AK297" s="6" t="n"/>
      <c r="AL297" s="6" t="n"/>
      <c r="AM297" s="32" t="n"/>
      <c r="AN297" s="32">
        <f>Table5[[#This Row],[ (RESV. STORGE) SER]]/10</f>
        <v/>
      </c>
      <c r="AO297" s="68" t="n"/>
      <c r="AP297" s="100">
        <f>Table5[[#This Row],[(A/S) AJD]]-Table5[[#This Row],[SER_IN]]</f>
        <v/>
      </c>
    </row>
    <row r="298" ht="18.75" customHeight="1">
      <c r="A298" s="98" t="n">
        <v>47415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Table5[[#This Row],[ (T/B) SAR]]+Table5[[#This Row],[ (S/S) SAR]]</f>
        <v/>
      </c>
      <c r="L298" s="28" t="n"/>
      <c r="M298" s="29" t="n"/>
      <c r="N298" s="30" t="n"/>
      <c r="O298" s="9" t="n"/>
      <c r="P298" s="9">
        <f>Table5[[#This Row],[ (S/S) SAR]]-Table5[[#This Row],[(S/S) AJD]]</f>
        <v/>
      </c>
      <c r="Q298" s="9" t="n"/>
      <c r="R298" s="9">
        <f>Table5[[#This Row],[ (T/B) SAR]]-Table5[[#This Row],[(T/B) AJD]]</f>
        <v/>
      </c>
      <c r="S298" s="9">
        <f>Table5[[#This Row],[S/S_CON.]]+Table5[[#This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Table5[[#This Row],[(RESV. STORGE) AJD]]/10</f>
        <v/>
      </c>
      <c r="AB298" s="3">
        <f>IF(TRIM(Z298)="",,(Z298-Z297)/1000)</f>
        <v/>
      </c>
      <c r="AC298" s="5" t="n"/>
      <c r="AD298" s="6">
        <f>(Table5[[#This Row],[( S/S+T/B) AJD]]*1000)-((Table5[[#This Row],[(STORGE DIFF.) AJD]]*1000)+Table5[[#This Row],[AJD_Evaporation]]+(Table5[[#This Row],[(A/B + A/S) AJD]]*1000))</f>
        <v/>
      </c>
      <c r="AE298" s="33" t="n"/>
      <c r="AF298" s="6" t="n"/>
      <c r="AG298" s="6" t="n"/>
      <c r="AH298" s="6">
        <f>Table5[[#This Row],[ (RESV. STORGE) BER]]/10</f>
        <v/>
      </c>
      <c r="AI298" s="6" t="n"/>
      <c r="AJ298" s="33">
        <f>Table5[[#This Row],[(A/B) AJD]]-Table5[[#This Row],[BER_IN]]</f>
        <v/>
      </c>
      <c r="AK298" s="6" t="n"/>
      <c r="AL298" s="6" t="n"/>
      <c r="AM298" s="32" t="n"/>
      <c r="AN298" s="32">
        <f>Table5[[#This Row],[ (RESV. STORGE) SER]]/10</f>
        <v/>
      </c>
      <c r="AO298" s="68" t="n"/>
      <c r="AP298" s="100">
        <f>Table5[[#This Row],[(A/S) AJD]]-Table5[[#This Row],[SER_IN]]</f>
        <v/>
      </c>
    </row>
    <row r="299" ht="18.75" customHeight="1">
      <c r="A299" s="98" t="n">
        <v>47416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Table5[[#This Row],[ (T/B) SAR]]+Table5[[#This Row],[ (S/S) SAR]]</f>
        <v/>
      </c>
      <c r="L299" s="28" t="n"/>
      <c r="M299" s="29" t="n"/>
      <c r="N299" s="30" t="n"/>
      <c r="O299" s="9" t="n"/>
      <c r="P299" s="9">
        <f>Table5[[#This Row],[ (S/S) SAR]]-Table5[[#This Row],[(S/S) AJD]]</f>
        <v/>
      </c>
      <c r="Q299" s="9" t="n"/>
      <c r="R299" s="9">
        <f>Table5[[#This Row],[ (T/B) SAR]]-Table5[[#This Row],[(T/B) AJD]]</f>
        <v/>
      </c>
      <c r="S299" s="9">
        <f>Table5[[#This Row],[S/S_CON.]]+Table5[[#This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Table5[[#This Row],[(RESV. STORGE) AJD]]/10</f>
        <v/>
      </c>
      <c r="AB299" s="3">
        <f>IF(TRIM(Z299)="",,(Z299-Z298)/1000)</f>
        <v/>
      </c>
      <c r="AC299" s="5" t="n"/>
      <c r="AD299" s="6">
        <f>(Table5[[#This Row],[( S/S+T/B) AJD]]*1000)-((Table5[[#This Row],[(STORGE DIFF.) AJD]]*1000)+Table5[[#This Row],[AJD_Evaporation]]+(Table5[[#This Row],[(A/B + A/S) AJD]]*1000))</f>
        <v/>
      </c>
      <c r="AE299" s="33" t="n"/>
      <c r="AF299" s="6" t="n"/>
      <c r="AG299" s="6" t="n"/>
      <c r="AH299" s="6">
        <f>Table5[[#This Row],[ (RESV. STORGE) BER]]/10</f>
        <v/>
      </c>
      <c r="AI299" s="6" t="n"/>
      <c r="AJ299" s="33">
        <f>Table5[[#This Row],[(A/B) AJD]]-Table5[[#This Row],[BER_IN]]</f>
        <v/>
      </c>
      <c r="AK299" s="6" t="n"/>
      <c r="AL299" s="6" t="n"/>
      <c r="AM299" s="32" t="n"/>
      <c r="AN299" s="32">
        <f>Table5[[#This Row],[ (RESV. STORGE) SER]]/10</f>
        <v/>
      </c>
      <c r="AO299" s="68" t="n"/>
      <c r="AP299" s="100">
        <f>Table5[[#This Row],[(A/S) AJD]]-Table5[[#This Row],[SER_IN]]</f>
        <v/>
      </c>
    </row>
    <row r="300" ht="18.75" customHeight="1">
      <c r="A300" s="98" t="n">
        <v>47417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Table5[[#This Row],[ (T/B) SAR]]+Table5[[#This Row],[ (S/S) SAR]]</f>
        <v/>
      </c>
      <c r="L300" s="28" t="n"/>
      <c r="M300" s="29" t="n"/>
      <c r="N300" s="30" t="n"/>
      <c r="O300" s="9" t="n"/>
      <c r="P300" s="9">
        <f>Table5[[#This Row],[ (S/S) SAR]]-Table5[[#This Row],[(S/S) AJD]]</f>
        <v/>
      </c>
      <c r="Q300" s="9" t="n"/>
      <c r="R300" s="9">
        <f>Table5[[#This Row],[ (T/B) SAR]]-Table5[[#This Row],[(T/B) AJD]]</f>
        <v/>
      </c>
      <c r="S300" s="9">
        <f>Table5[[#This Row],[S/S_CON.]]+Table5[[#This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Table5[[#This Row],[(RESV. STORGE) AJD]]/10</f>
        <v/>
      </c>
      <c r="AB300" s="3">
        <f>IF(TRIM(Z300)="",,(Z300-Z299)/1000)</f>
        <v/>
      </c>
      <c r="AC300" s="5" t="n"/>
      <c r="AD300" s="6">
        <f>(Table5[[#This Row],[( S/S+T/B) AJD]]*1000)-((Table5[[#This Row],[(STORGE DIFF.) AJD]]*1000)+Table5[[#This Row],[AJD_Evaporation]]+(Table5[[#This Row],[(A/B + A/S) AJD]]*1000))</f>
        <v/>
      </c>
      <c r="AE300" s="33" t="n"/>
      <c r="AF300" s="6" t="n"/>
      <c r="AG300" s="6" t="n"/>
      <c r="AH300" s="6">
        <f>Table5[[#This Row],[ (RESV. STORGE) BER]]/10</f>
        <v/>
      </c>
      <c r="AI300" s="6" t="n"/>
      <c r="AJ300" s="33">
        <f>Table5[[#This Row],[(A/B) AJD]]-Table5[[#This Row],[BER_IN]]</f>
        <v/>
      </c>
      <c r="AK300" s="6" t="n"/>
      <c r="AL300" s="6" t="n"/>
      <c r="AM300" s="32" t="n"/>
      <c r="AN300" s="32">
        <f>Table5[[#This Row],[ (RESV. STORGE) SER]]/10</f>
        <v/>
      </c>
      <c r="AO300" s="68" t="n"/>
      <c r="AP300" s="100">
        <f>Table5[[#This Row],[(A/S) AJD]]-Table5[[#This Row],[SER_IN]]</f>
        <v/>
      </c>
    </row>
    <row r="301" ht="18.75" customHeight="1">
      <c r="A301" s="98" t="n">
        <v>47418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Table5[[#This Row],[ (T/B) SAR]]+Table5[[#This Row],[ (S/S) SAR]]</f>
        <v/>
      </c>
      <c r="L301" s="28" t="n"/>
      <c r="M301" s="29" t="n"/>
      <c r="N301" s="30" t="n"/>
      <c r="O301" s="9" t="n"/>
      <c r="P301" s="9">
        <f>Table5[[#This Row],[ (S/S) SAR]]-Table5[[#This Row],[(S/S) AJD]]</f>
        <v/>
      </c>
      <c r="Q301" s="9" t="n"/>
      <c r="R301" s="9">
        <f>Table5[[#This Row],[ (T/B) SAR]]-Table5[[#This Row],[(T/B) AJD]]</f>
        <v/>
      </c>
      <c r="S301" s="9">
        <f>Table5[[#This Row],[S/S_CON.]]+Table5[[#This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Table5[[#This Row],[(RESV. STORGE) AJD]]/10</f>
        <v/>
      </c>
      <c r="AB301" s="3">
        <f>IF(TRIM(Z301)="",,(Z301-Z300)/1000)</f>
        <v/>
      </c>
      <c r="AC301" s="5" t="n"/>
      <c r="AD301" s="6">
        <f>(Table5[[#This Row],[( S/S+T/B) AJD]]*1000)-((Table5[[#This Row],[(STORGE DIFF.) AJD]]*1000)+Table5[[#This Row],[AJD_Evaporation]]+(Table5[[#This Row],[(A/B + A/S) AJD]]*1000))</f>
        <v/>
      </c>
      <c r="AE301" s="33" t="n"/>
      <c r="AF301" s="6" t="n"/>
      <c r="AG301" s="6" t="n"/>
      <c r="AH301" s="6">
        <f>Table5[[#This Row],[ (RESV. STORGE) BER]]/10</f>
        <v/>
      </c>
      <c r="AI301" s="6" t="n"/>
      <c r="AJ301" s="33">
        <f>Table5[[#This Row],[(A/B) AJD]]-Table5[[#This Row],[BER_IN]]</f>
        <v/>
      </c>
      <c r="AK301" s="6" t="n"/>
      <c r="AL301" s="6" t="n"/>
      <c r="AM301" s="32" t="n"/>
      <c r="AN301" s="32">
        <f>Table5[[#This Row],[ (RESV. STORGE) SER]]/10</f>
        <v/>
      </c>
      <c r="AO301" s="68" t="n"/>
      <c r="AP301" s="100">
        <f>Table5[[#This Row],[(A/S) AJD]]-Table5[[#This Row],[SER_IN]]</f>
        <v/>
      </c>
    </row>
    <row r="302" ht="18.75" customHeight="1">
      <c r="A302" s="98" t="n">
        <v>47419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Table5[[#This Row],[ (T/B) SAR]]+Table5[[#This Row],[ (S/S) SAR]]</f>
        <v/>
      </c>
      <c r="L302" s="28" t="n"/>
      <c r="M302" s="29" t="n"/>
      <c r="N302" s="30" t="n"/>
      <c r="O302" s="9" t="n"/>
      <c r="P302" s="9">
        <f>Table5[[#This Row],[ (S/S) SAR]]-Table5[[#This Row],[(S/S) AJD]]</f>
        <v/>
      </c>
      <c r="Q302" s="9" t="n"/>
      <c r="R302" s="9">
        <f>Table5[[#This Row],[ (T/B) SAR]]-Table5[[#This Row],[(T/B) AJD]]</f>
        <v/>
      </c>
      <c r="S302" s="9">
        <f>Table5[[#This Row],[S/S_CON.]]+Table5[[#This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Table5[[#This Row],[(RESV. STORGE) AJD]]/10</f>
        <v/>
      </c>
      <c r="AB302" s="3">
        <f>IF(TRIM(Z302)="",,(Z302-Z301)/1000)</f>
        <v/>
      </c>
      <c r="AC302" s="5" t="n"/>
      <c r="AD302" s="6">
        <f>(Table5[[#This Row],[( S/S+T/B) AJD]]*1000)-((Table5[[#This Row],[(STORGE DIFF.) AJD]]*1000)+Table5[[#This Row],[AJD_Evaporation]]+(Table5[[#This Row],[(A/B + A/S) AJD]]*1000))</f>
        <v/>
      </c>
      <c r="AE302" s="33" t="n"/>
      <c r="AF302" s="6" t="n"/>
      <c r="AG302" s="6" t="n"/>
      <c r="AH302" s="6">
        <f>Table5[[#This Row],[ (RESV. STORGE) BER]]/10</f>
        <v/>
      </c>
      <c r="AI302" s="6" t="n"/>
      <c r="AJ302" s="33">
        <f>Table5[[#This Row],[(A/B) AJD]]-Table5[[#This Row],[BER_IN]]</f>
        <v/>
      </c>
      <c r="AK302" s="6" t="n"/>
      <c r="AL302" s="6" t="n"/>
      <c r="AM302" s="32" t="n"/>
      <c r="AN302" s="32">
        <f>Table5[[#This Row],[ (RESV. STORGE) SER]]/10</f>
        <v/>
      </c>
      <c r="AO302" s="68" t="n"/>
      <c r="AP302" s="100">
        <f>Table5[[#This Row],[(A/S) AJD]]-Table5[[#This Row],[SER_IN]]</f>
        <v/>
      </c>
    </row>
    <row r="303" ht="18.75" customHeight="1">
      <c r="A303" s="98" t="n">
        <v>47420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Table5[[#This Row],[ (T/B) SAR]]+Table5[[#This Row],[ (S/S) SAR]]</f>
        <v/>
      </c>
      <c r="L303" s="28" t="n"/>
      <c r="M303" s="29" t="n"/>
      <c r="N303" s="30" t="n"/>
      <c r="O303" s="9" t="n"/>
      <c r="P303" s="9">
        <f>Table5[[#This Row],[ (S/S) SAR]]-Table5[[#This Row],[(S/S) AJD]]</f>
        <v/>
      </c>
      <c r="Q303" s="9" t="n"/>
      <c r="R303" s="9">
        <f>Table5[[#This Row],[ (T/B) SAR]]-Table5[[#This Row],[(T/B) AJD]]</f>
        <v/>
      </c>
      <c r="S303" s="9">
        <f>Table5[[#This Row],[S/S_CON.]]+Table5[[#This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Table5[[#This Row],[(RESV. STORGE) AJD]]/10</f>
        <v/>
      </c>
      <c r="AB303" s="3">
        <f>IF(TRIM(Z303)="",,(Z303-Z302)/1000)</f>
        <v/>
      </c>
      <c r="AC303" s="5" t="n"/>
      <c r="AD303" s="6">
        <f>(Table5[[#This Row],[( S/S+T/B) AJD]]*1000)-((Table5[[#This Row],[(STORGE DIFF.) AJD]]*1000)+Table5[[#This Row],[AJD_Evaporation]]+(Table5[[#This Row],[(A/B + A/S) AJD]]*1000))</f>
        <v/>
      </c>
      <c r="AE303" s="33" t="n"/>
      <c r="AF303" s="6" t="n"/>
      <c r="AG303" s="6" t="n"/>
      <c r="AH303" s="6">
        <f>Table5[[#This Row],[ (RESV. STORGE) BER]]/10</f>
        <v/>
      </c>
      <c r="AI303" s="6" t="n"/>
      <c r="AJ303" s="33">
        <f>Table5[[#This Row],[(A/B) AJD]]-Table5[[#This Row],[BER_IN]]</f>
        <v/>
      </c>
      <c r="AK303" s="6" t="n"/>
      <c r="AL303" s="6" t="n"/>
      <c r="AM303" s="32" t="n"/>
      <c r="AN303" s="32">
        <f>Table5[[#This Row],[ (RESV. STORGE) SER]]/10</f>
        <v/>
      </c>
      <c r="AO303" s="68" t="n"/>
      <c r="AP303" s="100">
        <f>Table5[[#This Row],[(A/S) AJD]]-Table5[[#This Row],[SER_IN]]</f>
        <v/>
      </c>
    </row>
    <row r="304" ht="18.75" customHeight="1">
      <c r="A304" s="98" t="n">
        <v>47421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Table5[[#This Row],[ (T/B) SAR]]+Table5[[#This Row],[ (S/S) SAR]]</f>
        <v/>
      </c>
      <c r="L304" s="28" t="n"/>
      <c r="M304" s="29" t="n"/>
      <c r="N304" s="30" t="n"/>
      <c r="O304" s="9" t="n"/>
      <c r="P304" s="9">
        <f>Table5[[#This Row],[ (S/S) SAR]]-Table5[[#This Row],[(S/S) AJD]]</f>
        <v/>
      </c>
      <c r="Q304" s="9" t="n"/>
      <c r="R304" s="9">
        <f>Table5[[#This Row],[ (T/B) SAR]]-Table5[[#This Row],[(T/B) AJD]]</f>
        <v/>
      </c>
      <c r="S304" s="9">
        <f>Table5[[#This Row],[S/S_CON.]]+Table5[[#This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Table5[[#This Row],[(RESV. STORGE) AJD]]/10</f>
        <v/>
      </c>
      <c r="AB304" s="3">
        <f>IF(TRIM(Z304)="",,(Z304-Z303)/1000)</f>
        <v/>
      </c>
      <c r="AC304" s="5" t="n"/>
      <c r="AD304" s="6">
        <f>(Table5[[#This Row],[( S/S+T/B) AJD]]*1000)-((Table5[[#This Row],[(STORGE DIFF.) AJD]]*1000)+Table5[[#This Row],[AJD_Evaporation]]+(Table5[[#This Row],[(A/B + A/S) AJD]]*1000))</f>
        <v/>
      </c>
      <c r="AE304" s="33" t="n"/>
      <c r="AF304" s="6" t="n"/>
      <c r="AG304" s="6" t="n"/>
      <c r="AH304" s="6">
        <f>Table5[[#This Row],[ (RESV. STORGE) BER]]/10</f>
        <v/>
      </c>
      <c r="AI304" s="6" t="n"/>
      <c r="AJ304" s="33">
        <f>Table5[[#This Row],[(A/B) AJD]]-Table5[[#This Row],[BER_IN]]</f>
        <v/>
      </c>
      <c r="AK304" s="6" t="n"/>
      <c r="AL304" s="6" t="n"/>
      <c r="AM304" s="32" t="n"/>
      <c r="AN304" s="32">
        <f>Table5[[#This Row],[ (RESV. STORGE) SER]]/10</f>
        <v/>
      </c>
      <c r="AO304" s="68" t="n"/>
      <c r="AP304" s="100">
        <f>Table5[[#This Row],[(A/S) AJD]]-Table5[[#This Row],[SER_IN]]</f>
        <v/>
      </c>
    </row>
    <row r="305" ht="18.75" customHeight="1">
      <c r="A305" s="98" t="n">
        <v>47422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Table5[[#This Row],[ (T/B) SAR]]+Table5[[#This Row],[ (S/S) SAR]]</f>
        <v/>
      </c>
      <c r="L305" s="28" t="n"/>
      <c r="M305" s="29" t="n"/>
      <c r="N305" s="30" t="n"/>
      <c r="O305" s="9" t="n"/>
      <c r="P305" s="9">
        <f>Table5[[#This Row],[ (S/S) SAR]]-Table5[[#This Row],[(S/S) AJD]]</f>
        <v/>
      </c>
      <c r="Q305" s="9" t="n"/>
      <c r="R305" s="9">
        <f>Table5[[#This Row],[ (T/B) SAR]]-Table5[[#This Row],[(T/B) AJD]]</f>
        <v/>
      </c>
      <c r="S305" s="9">
        <f>Table5[[#This Row],[S/S_CON.]]+Table5[[#This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Table5[[#This Row],[(RESV. STORGE) AJD]]/10</f>
        <v/>
      </c>
      <c r="AB305" s="3">
        <f>IF(TRIM(Z305)="",,(Z305-Z304)/1000)</f>
        <v/>
      </c>
      <c r="AC305" s="5" t="n"/>
      <c r="AD305" s="6">
        <f>(Table5[[#This Row],[( S/S+T/B) AJD]]*1000)-((Table5[[#This Row],[(STORGE DIFF.) AJD]]*1000)+Table5[[#This Row],[AJD_Evaporation]]+(Table5[[#This Row],[(A/B + A/S) AJD]]*1000))</f>
        <v/>
      </c>
      <c r="AE305" s="33" t="n"/>
      <c r="AF305" s="6" t="n"/>
      <c r="AG305" s="6" t="n"/>
      <c r="AH305" s="6">
        <f>Table5[[#This Row],[ (RESV. STORGE) BER]]/10</f>
        <v/>
      </c>
      <c r="AI305" s="6" t="n"/>
      <c r="AJ305" s="33">
        <f>Table5[[#This Row],[(A/B) AJD]]-Table5[[#This Row],[BER_IN]]</f>
        <v/>
      </c>
      <c r="AK305" s="6" t="n"/>
      <c r="AL305" s="6" t="n"/>
      <c r="AM305" s="32" t="n"/>
      <c r="AN305" s="32">
        <f>Table5[[#This Row],[ (RESV. STORGE) SER]]/10</f>
        <v/>
      </c>
      <c r="AO305" s="68" t="n"/>
      <c r="AP305" s="100">
        <f>Table5[[#This Row],[(A/S) AJD]]-Table5[[#This Row],[SER_IN]]</f>
        <v/>
      </c>
    </row>
    <row r="306" ht="18.75" customHeight="1">
      <c r="A306" s="98" t="n">
        <v>47423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Table5[[#This Row],[ (T/B) SAR]]+Table5[[#This Row],[ (S/S) SAR]]</f>
        <v/>
      </c>
      <c r="L306" s="28" t="n"/>
      <c r="M306" s="29" t="n"/>
      <c r="N306" s="30" t="n"/>
      <c r="O306" s="39" t="n"/>
      <c r="P306" s="9">
        <f>Table5[[#This Row],[ (S/S) SAR]]-Table5[[#This Row],[(S/S) AJD]]</f>
        <v/>
      </c>
      <c r="Q306" s="9" t="n"/>
      <c r="R306" s="9">
        <f>Table5[[#This Row],[ (T/B) SAR]]-Table5[[#This Row],[(T/B) AJD]]</f>
        <v/>
      </c>
      <c r="S306" s="9">
        <f>Table5[[#This Row],[S/S_CON.]]+Table5[[#This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Table5[[#This Row],[(RESV. STORGE) AJD]]/10</f>
        <v/>
      </c>
      <c r="AB306" s="3">
        <f>IF(TRIM(Z306)="",,(Z306-Z305)/1000)</f>
        <v/>
      </c>
      <c r="AC306" s="5" t="n"/>
      <c r="AD306" s="6">
        <f>(Table5[[#This Row],[( S/S+T/B) AJD]]*1000)-((Table5[[#This Row],[(STORGE DIFF.) AJD]]*1000)+Table5[[#This Row],[AJD_Evaporation]]+(Table5[[#This Row],[(A/B + A/S) AJD]]*1000))</f>
        <v/>
      </c>
      <c r="AE306" s="33" t="n"/>
      <c r="AF306" s="6" t="n"/>
      <c r="AG306" s="6" t="n"/>
      <c r="AH306" s="6">
        <f>Table5[[#This Row],[ (RESV. STORGE) BER]]/10</f>
        <v/>
      </c>
      <c r="AI306" s="6" t="n"/>
      <c r="AJ306" s="33">
        <f>Table5[[#This Row],[(A/B) AJD]]-Table5[[#This Row],[BER_IN]]</f>
        <v/>
      </c>
      <c r="AK306" s="6" t="n"/>
      <c r="AL306" s="6" t="n"/>
      <c r="AM306" s="32" t="n"/>
      <c r="AN306" s="32">
        <f>Table5[[#This Row],[ (RESV. STORGE) SER]]/10</f>
        <v/>
      </c>
      <c r="AO306" s="68" t="n"/>
      <c r="AP306" s="100">
        <f>Table5[[#This Row],[(A/S) AJD]]-Table5[[#This Row],[SER_IN]]</f>
        <v/>
      </c>
    </row>
    <row r="307" ht="18.75" customHeight="1">
      <c r="A307" s="98" t="n">
        <v>47424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Table5[[#This Row],[ (T/B) SAR]]+Table5[[#This Row],[ (S/S) SAR]]</f>
        <v/>
      </c>
      <c r="L307" s="28" t="n"/>
      <c r="M307" s="29" t="n"/>
      <c r="N307" s="30" t="n"/>
      <c r="O307" s="40" t="n"/>
      <c r="P307" s="9">
        <f>Table5[[#This Row],[ (S/S) SAR]]-Table5[[#This Row],[(S/S) AJD]]</f>
        <v/>
      </c>
      <c r="Q307" s="9" t="n"/>
      <c r="R307" s="9">
        <f>Table5[[#This Row],[ (T/B) SAR]]-Table5[[#This Row],[(T/B) AJD]]</f>
        <v/>
      </c>
      <c r="S307" s="9">
        <f>Table5[[#This Row],[S/S_CON.]]+Table5[[#This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Table5[[#This Row],[(RESV. STORGE) AJD]]/10</f>
        <v/>
      </c>
      <c r="AB307" s="3">
        <f>IF(TRIM(Z307)="",,(Z307-Z306)/1000)</f>
        <v/>
      </c>
      <c r="AC307" s="5" t="n"/>
      <c r="AD307" s="6">
        <f>(Table5[[#This Row],[( S/S+T/B) AJD]]*1000)-((Table5[[#This Row],[(STORGE DIFF.) AJD]]*1000)+Table5[[#This Row],[AJD_Evaporation]]+(Table5[[#This Row],[(A/B + A/S) AJD]]*1000))</f>
        <v/>
      </c>
      <c r="AE307" s="33" t="n"/>
      <c r="AF307" s="6" t="n"/>
      <c r="AG307" s="6" t="n"/>
      <c r="AH307" s="6">
        <f>Table5[[#This Row],[ (RESV. STORGE) BER]]/10</f>
        <v/>
      </c>
      <c r="AI307" s="6" t="n"/>
      <c r="AJ307" s="33">
        <f>Table5[[#This Row],[(A/B) AJD]]-Table5[[#This Row],[BER_IN]]</f>
        <v/>
      </c>
      <c r="AK307" s="6" t="n"/>
      <c r="AL307" s="6" t="n"/>
      <c r="AM307" s="32" t="n"/>
      <c r="AN307" s="32">
        <f>Table5[[#This Row],[ (RESV. STORGE) SER]]/10</f>
        <v/>
      </c>
      <c r="AO307" s="68" t="n"/>
      <c r="AP307" s="100">
        <f>Table5[[#This Row],[(A/S) AJD]]-Table5[[#This Row],[SER_IN]]</f>
        <v/>
      </c>
    </row>
    <row r="308" ht="18.75" customHeight="1">
      <c r="A308" s="98" t="n">
        <v>47425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Table5[[#This Row],[ (T/B) SAR]]+Table5[[#This Row],[ (S/S) SAR]]</f>
        <v/>
      </c>
      <c r="L308" s="28" t="n"/>
      <c r="M308" s="29" t="n"/>
      <c r="N308" s="30" t="n"/>
      <c r="O308" s="39" t="n"/>
      <c r="P308" s="9">
        <f>Table5[[#This Row],[ (S/S) SAR]]-Table5[[#This Row],[(S/S) AJD]]</f>
        <v/>
      </c>
      <c r="Q308" s="9" t="n"/>
      <c r="R308" s="9">
        <f>Table5[[#This Row],[ (T/B) SAR]]-Table5[[#This Row],[(T/B) AJD]]</f>
        <v/>
      </c>
      <c r="S308" s="9">
        <f>Table5[[#This Row],[S/S_CON.]]+Table5[[#This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Table5[[#This Row],[(RESV. STORGE) AJD]]/10</f>
        <v/>
      </c>
      <c r="AB308" s="3">
        <f>IF(TRIM(Z308)="",,(Z308-Z307)/1000)</f>
        <v/>
      </c>
      <c r="AC308" s="5" t="n"/>
      <c r="AD308" s="6">
        <f>(Table5[[#This Row],[( S/S+T/B) AJD]]*1000)-((Table5[[#This Row],[(STORGE DIFF.) AJD]]*1000)+Table5[[#This Row],[AJD_Evaporation]]+(Table5[[#This Row],[(A/B + A/S) AJD]]*1000))</f>
        <v/>
      </c>
      <c r="AE308" s="33" t="n"/>
      <c r="AF308" s="6" t="n"/>
      <c r="AG308" s="6" t="n"/>
      <c r="AH308" s="6">
        <f>Table5[[#This Row],[ (RESV. STORGE) BER]]/10</f>
        <v/>
      </c>
      <c r="AI308" s="6" t="n"/>
      <c r="AJ308" s="33">
        <f>Table5[[#This Row],[(A/B) AJD]]-Table5[[#This Row],[BER_IN]]</f>
        <v/>
      </c>
      <c r="AK308" s="6" t="n"/>
      <c r="AL308" s="6" t="n"/>
      <c r="AM308" s="32" t="n"/>
      <c r="AN308" s="32">
        <f>Table5[[#This Row],[ (RESV. STORGE) SER]]/10</f>
        <v/>
      </c>
      <c r="AO308" s="68" t="n"/>
      <c r="AP308" s="100">
        <f>Table5[[#This Row],[(A/S) AJD]]-Table5[[#This Row],[SER_IN]]</f>
        <v/>
      </c>
    </row>
    <row r="309" ht="18.75" customHeight="1">
      <c r="A309" s="98" t="n">
        <v>47426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Table5[[#This Row],[ (T/B) SAR]]+Table5[[#This Row],[ (S/S) SAR]]</f>
        <v/>
      </c>
      <c r="L309" s="28" t="n"/>
      <c r="M309" s="29" t="n"/>
      <c r="N309" s="30" t="n"/>
      <c r="O309" s="40" t="n"/>
      <c r="P309" s="9">
        <f>Table5[[#This Row],[ (S/S) SAR]]-Table5[[#This Row],[(S/S) AJD]]</f>
        <v/>
      </c>
      <c r="Q309" s="9" t="n"/>
      <c r="R309" s="9">
        <f>Table5[[#This Row],[ (T/B) SAR]]-Table5[[#This Row],[(T/B) AJD]]</f>
        <v/>
      </c>
      <c r="S309" s="9">
        <f>Table5[[#This Row],[S/S_CON.]]+Table5[[#This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Table5[[#This Row],[(RESV. STORGE) AJD]]/10</f>
        <v/>
      </c>
      <c r="AB309" s="3">
        <f>IF(TRIM(Z309)="",,(Z309-Z308)/1000)</f>
        <v/>
      </c>
      <c r="AC309" s="5" t="n"/>
      <c r="AD309" s="6">
        <f>(Table5[[#This Row],[( S/S+T/B) AJD]]*1000)-((Table5[[#This Row],[(STORGE DIFF.) AJD]]*1000)+Table5[[#This Row],[AJD_Evaporation]]+(Table5[[#This Row],[(A/B + A/S) AJD]]*1000))</f>
        <v/>
      </c>
      <c r="AE309" s="33" t="n"/>
      <c r="AF309" s="6" t="n"/>
      <c r="AG309" s="6" t="n"/>
      <c r="AH309" s="6">
        <f>Table5[[#This Row],[ (RESV. STORGE) BER]]/10</f>
        <v/>
      </c>
      <c r="AI309" s="6" t="n"/>
      <c r="AJ309" s="33">
        <f>Table5[[#This Row],[(A/B) AJD]]-Table5[[#This Row],[BER_IN]]</f>
        <v/>
      </c>
      <c r="AK309" s="6" t="n"/>
      <c r="AL309" s="6" t="n"/>
      <c r="AM309" s="32" t="n"/>
      <c r="AN309" s="32">
        <f>Table5[[#This Row],[ (RESV. STORGE) SER]]/10</f>
        <v/>
      </c>
      <c r="AO309" s="68" t="n"/>
      <c r="AP309" s="100">
        <f>Table5[[#This Row],[(A/S) AJD]]-Table5[[#This Row],[SER_IN]]</f>
        <v/>
      </c>
    </row>
    <row r="310" ht="18.75" customHeight="1">
      <c r="A310" s="98" t="n">
        <v>47427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Table5[[#This Row],[ (T/B) SAR]]+Table5[[#This Row],[ (S/S) SAR]]</f>
        <v/>
      </c>
      <c r="L310" s="28" t="n"/>
      <c r="M310" s="29" t="n"/>
      <c r="N310" s="30" t="n"/>
      <c r="O310" s="39" t="n"/>
      <c r="P310" s="9">
        <f>Table5[[#This Row],[ (S/S) SAR]]-Table5[[#This Row],[(S/S) AJD]]</f>
        <v/>
      </c>
      <c r="Q310" s="9" t="n"/>
      <c r="R310" s="9">
        <f>Table5[[#This Row],[ (T/B) SAR]]-Table5[[#This Row],[(T/B) AJD]]</f>
        <v/>
      </c>
      <c r="S310" s="9">
        <f>Table5[[#This Row],[S/S_CON.]]+Table5[[#This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Table5[[#This Row],[(RESV. STORGE) AJD]]/10</f>
        <v/>
      </c>
      <c r="AB310" s="3">
        <f>IF(TRIM(Z310)="",,(Z310-Z309)/1000)</f>
        <v/>
      </c>
      <c r="AC310" s="5" t="n"/>
      <c r="AD310" s="6">
        <f>(Table5[[#This Row],[( S/S+T/B) AJD]]*1000)-((Table5[[#This Row],[(STORGE DIFF.) AJD]]*1000)+Table5[[#This Row],[AJD_Evaporation]]+(Table5[[#This Row],[(A/B + A/S) AJD]]*1000))</f>
        <v/>
      </c>
      <c r="AE310" s="33" t="n"/>
      <c r="AF310" s="6" t="n"/>
      <c r="AG310" s="6" t="n"/>
      <c r="AH310" s="6">
        <f>Table5[[#This Row],[ (RESV. STORGE) BER]]/10</f>
        <v/>
      </c>
      <c r="AI310" s="6" t="n"/>
      <c r="AJ310" s="33">
        <f>Table5[[#This Row],[(A/B) AJD]]-Table5[[#This Row],[BER_IN]]</f>
        <v/>
      </c>
      <c r="AK310" s="6" t="n"/>
      <c r="AL310" s="6" t="n"/>
      <c r="AM310" s="32" t="n"/>
      <c r="AN310" s="32">
        <f>Table5[[#This Row],[ (RESV. STORGE) SER]]/10</f>
        <v/>
      </c>
      <c r="AO310" s="68" t="n"/>
      <c r="AP310" s="100">
        <f>Table5[[#This Row],[(A/S) AJD]]-Table5[[#This Row],[SER_IN]]</f>
        <v/>
      </c>
    </row>
    <row r="311" ht="18.75" customHeight="1">
      <c r="A311" s="98" t="n">
        <v>47428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Table5[[#This Row],[ (T/B) SAR]]+Table5[[#This Row],[ (S/S) SAR]]</f>
        <v/>
      </c>
      <c r="L311" s="28" t="n"/>
      <c r="M311" s="29" t="n"/>
      <c r="N311" s="30" t="n"/>
      <c r="O311" s="40" t="n"/>
      <c r="P311" s="9">
        <f>Table5[[#This Row],[ (S/S) SAR]]-Table5[[#This Row],[(S/S) AJD]]</f>
        <v/>
      </c>
      <c r="Q311" s="9" t="n"/>
      <c r="R311" s="9">
        <f>Table5[[#This Row],[ (T/B) SAR]]-Table5[[#This Row],[(T/B) AJD]]</f>
        <v/>
      </c>
      <c r="S311" s="9">
        <f>Table5[[#This Row],[S/S_CON.]]+Table5[[#This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Table5[[#This Row],[(RESV. STORGE) AJD]]/10</f>
        <v/>
      </c>
      <c r="AB311" s="3">
        <f>IF(TRIM(Z311)="",,(Z311-Z310)/1000)</f>
        <v/>
      </c>
      <c r="AC311" s="5" t="n"/>
      <c r="AD311" s="6">
        <f>(Table5[[#This Row],[( S/S+T/B) AJD]]*1000)-((Table5[[#This Row],[(STORGE DIFF.) AJD]]*1000)+Table5[[#This Row],[AJD_Evaporation]]+(Table5[[#This Row],[(A/B + A/S) AJD]]*1000))</f>
        <v/>
      </c>
      <c r="AE311" s="33" t="n"/>
      <c r="AF311" s="6" t="n"/>
      <c r="AG311" s="6" t="n"/>
      <c r="AH311" s="6">
        <f>Table5[[#This Row],[ (RESV. STORGE) BER]]/10</f>
        <v/>
      </c>
      <c r="AI311" s="6" t="n"/>
      <c r="AJ311" s="33">
        <f>Table5[[#This Row],[(A/B) AJD]]-Table5[[#This Row],[BER_IN]]</f>
        <v/>
      </c>
      <c r="AK311" s="6" t="n"/>
      <c r="AL311" s="6" t="n"/>
      <c r="AM311" s="32" t="n"/>
      <c r="AN311" s="32">
        <f>Table5[[#This Row],[ (RESV. STORGE) SER]]/10</f>
        <v/>
      </c>
      <c r="AO311" s="68" t="n"/>
      <c r="AP311" s="100">
        <f>Table5[[#This Row],[(A/S) AJD]]-Table5[[#This Row],[SER_IN]]</f>
        <v/>
      </c>
    </row>
    <row r="312" ht="18.75" customHeight="1">
      <c r="A312" s="98" t="n">
        <v>47429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Table5[[#This Row],[ (T/B) SAR]]+Table5[[#This Row],[ (S/S) SAR]]</f>
        <v/>
      </c>
      <c r="L312" s="28" t="n"/>
      <c r="M312" s="29" t="n"/>
      <c r="N312" s="30" t="n"/>
      <c r="O312" s="39" t="n"/>
      <c r="P312" s="9">
        <f>Table5[[#This Row],[ (S/S) SAR]]-Table5[[#This Row],[(S/S) AJD]]</f>
        <v/>
      </c>
      <c r="Q312" s="9" t="n"/>
      <c r="R312" s="9">
        <f>Table5[[#This Row],[ (T/B) SAR]]-Table5[[#This Row],[(T/B) AJD]]</f>
        <v/>
      </c>
      <c r="S312" s="9">
        <f>Table5[[#This Row],[S/S_CON.]]+Table5[[#This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Table5[[#This Row],[(RESV. STORGE) AJD]]/10</f>
        <v/>
      </c>
      <c r="AB312" s="3">
        <f>IF(TRIM(Z312)="",,(Z312-Z311)/1000)</f>
        <v/>
      </c>
      <c r="AC312" s="5" t="n"/>
      <c r="AD312" s="6">
        <f>(Table5[[#This Row],[( S/S+T/B) AJD]]*1000)-((Table5[[#This Row],[(STORGE DIFF.) AJD]]*1000)+Table5[[#This Row],[AJD_Evaporation]]+(Table5[[#This Row],[(A/B + A/S) AJD]]*1000))</f>
        <v/>
      </c>
      <c r="AE312" s="33" t="n"/>
      <c r="AF312" s="6" t="n"/>
      <c r="AG312" s="6" t="n"/>
      <c r="AH312" s="6">
        <f>Table5[[#This Row],[ (RESV. STORGE) BER]]/10</f>
        <v/>
      </c>
      <c r="AI312" s="6" t="n"/>
      <c r="AJ312" s="33">
        <f>Table5[[#This Row],[(A/B) AJD]]-Table5[[#This Row],[BER_IN]]</f>
        <v/>
      </c>
      <c r="AK312" s="6" t="n"/>
      <c r="AL312" s="6" t="n"/>
      <c r="AM312" s="32" t="n"/>
      <c r="AN312" s="32">
        <f>Table5[[#This Row],[ (RESV. STORGE) SER]]/10</f>
        <v/>
      </c>
      <c r="AO312" s="68" t="n"/>
      <c r="AP312" s="100">
        <f>Table5[[#This Row],[(A/S) AJD]]-Table5[[#This Row],[SER_IN]]</f>
        <v/>
      </c>
    </row>
    <row r="313" ht="18.75" customHeight="1">
      <c r="A313" s="98" t="n">
        <v>47430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Table5[[#This Row],[ (T/B) SAR]]+Table5[[#This Row],[ (S/S) SAR]]</f>
        <v/>
      </c>
      <c r="L313" s="28" t="n"/>
      <c r="M313" s="29" t="n"/>
      <c r="N313" s="30" t="n"/>
      <c r="O313" s="40" t="n"/>
      <c r="P313" s="9">
        <f>Table5[[#This Row],[ (S/S) SAR]]-Table5[[#This Row],[(S/S) AJD]]</f>
        <v/>
      </c>
      <c r="Q313" s="9" t="n"/>
      <c r="R313" s="9">
        <f>Table5[[#This Row],[ (T/B) SAR]]-Table5[[#This Row],[(T/B) AJD]]</f>
        <v/>
      </c>
      <c r="S313" s="9">
        <f>Table5[[#This Row],[S/S_CON.]]+Table5[[#This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Table5[[#This Row],[(RESV. STORGE) AJD]]/10</f>
        <v/>
      </c>
      <c r="AB313" s="3">
        <f>IF(TRIM(Z313)="",,(Z313-Z312)/1000)</f>
        <v/>
      </c>
      <c r="AC313" s="5" t="n"/>
      <c r="AD313" s="6">
        <f>(Table5[[#This Row],[( S/S+T/B) AJD]]*1000)-((Table5[[#This Row],[(STORGE DIFF.) AJD]]*1000)+Table5[[#This Row],[AJD_Evaporation]]+(Table5[[#This Row],[(A/B + A/S) AJD]]*1000))</f>
        <v/>
      </c>
      <c r="AE313" s="33" t="n"/>
      <c r="AF313" s="6" t="n"/>
      <c r="AG313" s="6" t="n"/>
      <c r="AH313" s="6">
        <f>Table5[[#This Row],[ (RESV. STORGE) BER]]/10</f>
        <v/>
      </c>
      <c r="AI313" s="6" t="n"/>
      <c r="AJ313" s="33">
        <f>Table5[[#This Row],[(A/B) AJD]]-Table5[[#This Row],[BER_IN]]</f>
        <v/>
      </c>
      <c r="AK313" s="6" t="n"/>
      <c r="AL313" s="6" t="n"/>
      <c r="AM313" s="32" t="n"/>
      <c r="AN313" s="32">
        <f>Table5[[#This Row],[ (RESV. STORGE) SER]]/10</f>
        <v/>
      </c>
      <c r="AO313" s="68" t="n"/>
      <c r="AP313" s="100">
        <f>Table5[[#This Row],[(A/S) AJD]]-Table5[[#This Row],[SER_IN]]</f>
        <v/>
      </c>
    </row>
    <row r="314" ht="18.75" customHeight="1">
      <c r="A314" s="98" t="n">
        <v>47431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Table5[[#This Row],[ (T/B) SAR]]+Table5[[#This Row],[ (S/S) SAR]]</f>
        <v/>
      </c>
      <c r="L314" s="28" t="n"/>
      <c r="M314" s="29" t="n"/>
      <c r="N314" s="30" t="n"/>
      <c r="O314" s="39" t="n"/>
      <c r="P314" s="9">
        <f>Table5[[#This Row],[ (S/S) SAR]]-Table5[[#This Row],[(S/S) AJD]]</f>
        <v/>
      </c>
      <c r="Q314" s="9" t="n"/>
      <c r="R314" s="9">
        <f>Table5[[#This Row],[ (T/B) SAR]]-Table5[[#This Row],[(T/B) AJD]]</f>
        <v/>
      </c>
      <c r="S314" s="9">
        <f>Table5[[#This Row],[S/S_CON.]]+Table5[[#This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Table5[[#This Row],[(RESV. STORGE) AJD]]/10</f>
        <v/>
      </c>
      <c r="AB314" s="3">
        <f>IF(TRIM(Z314)="",,(Z314-Z313)/1000)</f>
        <v/>
      </c>
      <c r="AC314" s="5" t="n"/>
      <c r="AD314" s="6">
        <f>(Table5[[#This Row],[( S/S+T/B) AJD]]*1000)-((Table5[[#This Row],[(STORGE DIFF.) AJD]]*1000)+Table5[[#This Row],[AJD_Evaporation]]+(Table5[[#This Row],[(A/B + A/S) AJD]]*1000))</f>
        <v/>
      </c>
      <c r="AE314" s="33" t="n"/>
      <c r="AF314" s="6" t="n"/>
      <c r="AG314" s="6" t="n"/>
      <c r="AH314" s="6">
        <f>Table5[[#This Row],[ (RESV. STORGE) BER]]/10</f>
        <v/>
      </c>
      <c r="AI314" s="6" t="n"/>
      <c r="AJ314" s="33">
        <f>Table5[[#This Row],[(A/B) AJD]]-Table5[[#This Row],[BER_IN]]</f>
        <v/>
      </c>
      <c r="AK314" s="6" t="n"/>
      <c r="AL314" s="6" t="n"/>
      <c r="AM314" s="32" t="n"/>
      <c r="AN314" s="32">
        <f>Table5[[#This Row],[ (RESV. STORGE) SER]]/10</f>
        <v/>
      </c>
      <c r="AO314" s="68" t="n"/>
      <c r="AP314" s="100">
        <f>Table5[[#This Row],[(A/S) AJD]]-Table5[[#This Row],[SER_IN]]</f>
        <v/>
      </c>
    </row>
    <row r="315" ht="18.75" customHeight="1">
      <c r="A315" s="98" t="n">
        <v>47432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Table5[[#This Row],[ (T/B) SAR]]+Table5[[#This Row],[ (S/S) SAR]]</f>
        <v/>
      </c>
      <c r="L315" s="28" t="n"/>
      <c r="M315" s="29" t="n"/>
      <c r="N315" s="30" t="n"/>
      <c r="O315" s="40" t="n"/>
      <c r="P315" s="9">
        <f>Table5[[#This Row],[ (S/S) SAR]]-Table5[[#This Row],[(S/S) AJD]]</f>
        <v/>
      </c>
      <c r="Q315" s="9" t="n"/>
      <c r="R315" s="9">
        <f>Table5[[#This Row],[ (T/B) SAR]]-Table5[[#This Row],[(T/B) AJD]]</f>
        <v/>
      </c>
      <c r="S315" s="9">
        <f>Table5[[#This Row],[S/S_CON.]]+Table5[[#This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Table5[[#This Row],[(RESV. STORGE) AJD]]/10</f>
        <v/>
      </c>
      <c r="AB315" s="3">
        <f>IF(TRIM(Z315)="",,(Z315-Z314)/1000)</f>
        <v/>
      </c>
      <c r="AC315" s="5" t="n"/>
      <c r="AD315" s="6">
        <f>(Table5[[#This Row],[( S/S+T/B) AJD]]*1000)-((Table5[[#This Row],[(STORGE DIFF.) AJD]]*1000)+Table5[[#This Row],[AJD_Evaporation]]+(Table5[[#This Row],[(A/B + A/S) AJD]]*1000))</f>
        <v/>
      </c>
      <c r="AE315" s="33" t="n"/>
      <c r="AF315" s="6" t="n"/>
      <c r="AG315" s="6" t="n"/>
      <c r="AH315" s="6">
        <f>Table5[[#This Row],[ (RESV. STORGE) BER]]/10</f>
        <v/>
      </c>
      <c r="AI315" s="6" t="n"/>
      <c r="AJ315" s="33">
        <f>Table5[[#This Row],[(A/B) AJD]]-Table5[[#This Row],[BER_IN]]</f>
        <v/>
      </c>
      <c r="AK315" s="6" t="n"/>
      <c r="AL315" s="6" t="n"/>
      <c r="AM315" s="32" t="n"/>
      <c r="AN315" s="32">
        <f>Table5[[#This Row],[ (RESV. STORGE) SER]]/10</f>
        <v/>
      </c>
      <c r="AO315" s="68" t="n"/>
      <c r="AP315" s="100">
        <f>Table5[[#This Row],[(A/S) AJD]]-Table5[[#This Row],[SER_IN]]</f>
        <v/>
      </c>
    </row>
    <row r="316" ht="18.75" customHeight="1">
      <c r="A316" s="98" t="n">
        <v>47433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Table5[[#This Row],[ (T/B) SAR]]+Table5[[#This Row],[ (S/S) SAR]]</f>
        <v/>
      </c>
      <c r="L316" s="28" t="n"/>
      <c r="M316" s="29" t="n"/>
      <c r="N316" s="30" t="n"/>
      <c r="O316" s="39" t="n"/>
      <c r="P316" s="9">
        <f>Table5[[#This Row],[ (S/S) SAR]]-Table5[[#This Row],[(S/S) AJD]]</f>
        <v/>
      </c>
      <c r="Q316" s="9" t="n"/>
      <c r="R316" s="9">
        <f>Table5[[#This Row],[ (T/B) SAR]]-Table5[[#This Row],[(T/B) AJD]]</f>
        <v/>
      </c>
      <c r="S316" s="9">
        <f>Table5[[#This Row],[S/S_CON.]]+Table5[[#This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Table5[[#This Row],[(RESV. STORGE) AJD]]/10</f>
        <v/>
      </c>
      <c r="AB316" s="3">
        <f>IF(TRIM(Z316)="",,(Z316-Z315)/1000)</f>
        <v/>
      </c>
      <c r="AC316" s="5" t="n"/>
      <c r="AD316" s="6">
        <f>(Table5[[#This Row],[( S/S+T/B) AJD]]*1000)-((Table5[[#This Row],[(STORGE DIFF.) AJD]]*1000)+Table5[[#This Row],[AJD_Evaporation]]+(Table5[[#This Row],[(A/B + A/S) AJD]]*1000))</f>
        <v/>
      </c>
      <c r="AE316" s="33" t="n"/>
      <c r="AF316" s="6" t="n"/>
      <c r="AG316" s="6" t="n"/>
      <c r="AH316" s="6">
        <f>Table5[[#This Row],[ (RESV. STORGE) BER]]/10</f>
        <v/>
      </c>
      <c r="AI316" s="6" t="n"/>
      <c r="AJ316" s="33">
        <f>Table5[[#This Row],[(A/B) AJD]]-Table5[[#This Row],[BER_IN]]</f>
        <v/>
      </c>
      <c r="AK316" s="6" t="n"/>
      <c r="AL316" s="6" t="n"/>
      <c r="AM316" s="32" t="n"/>
      <c r="AN316" s="32">
        <f>Table5[[#This Row],[ (RESV. STORGE) SER]]/10</f>
        <v/>
      </c>
      <c r="AO316" s="68" t="n"/>
      <c r="AP316" s="100">
        <f>Table5[[#This Row],[(A/S) AJD]]-Table5[[#This Row],[SER_IN]]</f>
        <v/>
      </c>
    </row>
    <row r="317" ht="18.75" customHeight="1">
      <c r="A317" s="98" t="n">
        <v>47434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Table5[[#This Row],[ (T/B) SAR]]+Table5[[#This Row],[ (S/S) SAR]]</f>
        <v/>
      </c>
      <c r="L317" s="28" t="n"/>
      <c r="M317" s="29" t="n"/>
      <c r="N317" s="30" t="n"/>
      <c r="O317" s="40" t="n"/>
      <c r="P317" s="9">
        <f>Table5[[#This Row],[ (S/S) SAR]]-Table5[[#This Row],[(S/S) AJD]]</f>
        <v/>
      </c>
      <c r="Q317" s="9" t="n"/>
      <c r="R317" s="9">
        <f>Table5[[#This Row],[ (T/B) SAR]]-Table5[[#This Row],[(T/B) AJD]]</f>
        <v/>
      </c>
      <c r="S317" s="9">
        <f>Table5[[#This Row],[S/S_CON.]]+Table5[[#This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Table5[[#This Row],[(RESV. STORGE) AJD]]/10</f>
        <v/>
      </c>
      <c r="AB317" s="3">
        <f>IF(TRIM(Z317)="",,(Z317-Z316)/1000)</f>
        <v/>
      </c>
      <c r="AC317" s="5" t="n"/>
      <c r="AD317" s="6">
        <f>(Table5[[#This Row],[( S/S+T/B) AJD]]*1000)-((Table5[[#This Row],[(STORGE DIFF.) AJD]]*1000)+Table5[[#This Row],[AJD_Evaporation]]+(Table5[[#This Row],[(A/B + A/S) AJD]]*1000))</f>
        <v/>
      </c>
      <c r="AE317" s="33" t="n"/>
      <c r="AF317" s="6" t="n"/>
      <c r="AG317" s="6" t="n"/>
      <c r="AH317" s="6">
        <f>Table5[[#This Row],[ (RESV. STORGE) BER]]/10</f>
        <v/>
      </c>
      <c r="AI317" s="6" t="n"/>
      <c r="AJ317" s="33">
        <f>Table5[[#This Row],[(A/B) AJD]]-Table5[[#This Row],[BER_IN]]</f>
        <v/>
      </c>
      <c r="AK317" s="6" t="n"/>
      <c r="AL317" s="6" t="n"/>
      <c r="AM317" s="32" t="n"/>
      <c r="AN317" s="32">
        <f>Table5[[#This Row],[ (RESV. STORGE) SER]]/10</f>
        <v/>
      </c>
      <c r="AO317" s="68" t="n"/>
      <c r="AP317" s="100">
        <f>Table5[[#This Row],[(A/S) AJD]]-Table5[[#This Row],[SER_IN]]</f>
        <v/>
      </c>
    </row>
    <row r="318" ht="18.75" customHeight="1">
      <c r="A318" s="98" t="n">
        <v>47435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Table5[[#This Row],[ (T/B) SAR]]+Table5[[#This Row],[ (S/S) SAR]]</f>
        <v/>
      </c>
      <c r="L318" s="28" t="n"/>
      <c r="M318" s="29" t="n"/>
      <c r="N318" s="30" t="n"/>
      <c r="O318" s="39" t="n"/>
      <c r="P318" s="9">
        <f>Table5[[#This Row],[ (S/S) SAR]]-Table5[[#This Row],[(S/S) AJD]]</f>
        <v/>
      </c>
      <c r="Q318" s="9" t="n"/>
      <c r="R318" s="9">
        <f>Table5[[#This Row],[ (T/B) SAR]]-Table5[[#This Row],[(T/B) AJD]]</f>
        <v/>
      </c>
      <c r="S318" s="9">
        <f>Table5[[#This Row],[S/S_CON.]]+Table5[[#This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Table5[[#This Row],[(RESV. STORGE) AJD]]/10</f>
        <v/>
      </c>
      <c r="AB318" s="3">
        <f>IF(TRIM(Z318)="",,(Z318-Z317)/1000)</f>
        <v/>
      </c>
      <c r="AC318" s="5" t="n"/>
      <c r="AD318" s="6">
        <f>(Table5[[#This Row],[( S/S+T/B) AJD]]*1000)-((Table5[[#This Row],[(STORGE DIFF.) AJD]]*1000)+Table5[[#This Row],[AJD_Evaporation]]+(Table5[[#This Row],[(A/B + A/S) AJD]]*1000))</f>
        <v/>
      </c>
      <c r="AE318" s="33" t="n"/>
      <c r="AF318" s="6" t="n"/>
      <c r="AG318" s="6" t="n"/>
      <c r="AH318" s="6">
        <f>Table5[[#This Row],[ (RESV. STORGE) BER]]/10</f>
        <v/>
      </c>
      <c r="AI318" s="6" t="n"/>
      <c r="AJ318" s="33">
        <f>Table5[[#This Row],[(A/B) AJD]]-Table5[[#This Row],[BER_IN]]</f>
        <v/>
      </c>
      <c r="AK318" s="6" t="n"/>
      <c r="AL318" s="6" t="n"/>
      <c r="AM318" s="32" t="n"/>
      <c r="AN318" s="32">
        <f>Table5[[#This Row],[ (RESV. STORGE) SER]]/10</f>
        <v/>
      </c>
      <c r="AO318" s="68" t="n"/>
      <c r="AP318" s="100">
        <f>Table5[[#This Row],[(A/S) AJD]]-Table5[[#This Row],[SER_IN]]</f>
        <v/>
      </c>
    </row>
    <row r="319" ht="18.75" customHeight="1">
      <c r="A319" s="98" t="n">
        <v>47436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Table5[[#This Row],[ (T/B) SAR]]+Table5[[#This Row],[ (S/S) SAR]]</f>
        <v/>
      </c>
      <c r="L319" s="28" t="n"/>
      <c r="M319" s="29" t="n"/>
      <c r="N319" s="30" t="n"/>
      <c r="O319" s="40" t="n"/>
      <c r="P319" s="9">
        <f>Table5[[#This Row],[ (S/S) SAR]]-Table5[[#This Row],[(S/S) AJD]]</f>
        <v/>
      </c>
      <c r="Q319" s="9" t="n"/>
      <c r="R319" s="9">
        <f>Table5[[#This Row],[ (T/B) SAR]]-Table5[[#This Row],[(T/B) AJD]]</f>
        <v/>
      </c>
      <c r="S319" s="9">
        <f>Table5[[#This Row],[S/S_CON.]]+Table5[[#This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Table5[[#This Row],[(RESV. STORGE) AJD]]/10</f>
        <v/>
      </c>
      <c r="AB319" s="3">
        <f>IF(TRIM(Z319)="",,(Z319-Z318)/1000)</f>
        <v/>
      </c>
      <c r="AC319" s="5" t="n"/>
      <c r="AD319" s="6">
        <f>(Table5[[#This Row],[( S/S+T/B) AJD]]*1000)-((Table5[[#This Row],[(STORGE DIFF.) AJD]]*1000)+Table5[[#This Row],[AJD_Evaporation]]+(Table5[[#This Row],[(A/B + A/S) AJD]]*1000))</f>
        <v/>
      </c>
      <c r="AE319" s="33" t="n"/>
      <c r="AF319" s="6" t="n"/>
      <c r="AG319" s="6" t="n"/>
      <c r="AH319" s="6">
        <f>Table5[[#This Row],[ (RESV. STORGE) BER]]/10</f>
        <v/>
      </c>
      <c r="AI319" s="6" t="n"/>
      <c r="AJ319" s="33">
        <f>Table5[[#This Row],[(A/B) AJD]]-Table5[[#This Row],[BER_IN]]</f>
        <v/>
      </c>
      <c r="AK319" s="6" t="n"/>
      <c r="AL319" s="6" t="n"/>
      <c r="AM319" s="32" t="n"/>
      <c r="AN319" s="32">
        <f>Table5[[#This Row],[ (RESV. STORGE) SER]]/10</f>
        <v/>
      </c>
      <c r="AO319" s="68" t="n"/>
      <c r="AP319" s="100">
        <f>Table5[[#This Row],[(A/S) AJD]]-Table5[[#This Row],[SER_IN]]</f>
        <v/>
      </c>
    </row>
    <row r="320" ht="18.75" customHeight="1">
      <c r="A320" s="98" t="n">
        <v>47437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Table5[[#This Row],[ (T/B) SAR]]+Table5[[#This Row],[ (S/S) SAR]]</f>
        <v/>
      </c>
      <c r="L320" s="28" t="n"/>
      <c r="M320" s="29" t="n"/>
      <c r="N320" s="30" t="n"/>
      <c r="O320" s="39" t="n"/>
      <c r="P320" s="9">
        <f>Table5[[#This Row],[ (S/S) SAR]]-Table5[[#This Row],[(S/S) AJD]]</f>
        <v/>
      </c>
      <c r="Q320" s="9" t="n"/>
      <c r="R320" s="9">
        <f>Table5[[#This Row],[ (T/B) SAR]]-Table5[[#This Row],[(T/B) AJD]]</f>
        <v/>
      </c>
      <c r="S320" s="9">
        <f>Table5[[#This Row],[S/S_CON.]]+Table5[[#This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Table5[[#This Row],[(RESV. STORGE) AJD]]/10</f>
        <v/>
      </c>
      <c r="AB320" s="3">
        <f>IF(TRIM(Z320)="",,(Z320-Z319)/1000)</f>
        <v/>
      </c>
      <c r="AC320" s="5" t="n"/>
      <c r="AD320" s="6">
        <f>(Table5[[#This Row],[( S/S+T/B) AJD]]*1000)-((Table5[[#This Row],[(STORGE DIFF.) AJD]]*1000)+Table5[[#This Row],[AJD_Evaporation]]+(Table5[[#This Row],[(A/B + A/S) AJD]]*1000))</f>
        <v/>
      </c>
      <c r="AE320" s="33" t="n"/>
      <c r="AF320" s="6" t="n"/>
      <c r="AG320" s="6" t="n"/>
      <c r="AH320" s="6">
        <f>Table5[[#This Row],[ (RESV. STORGE) BER]]/10</f>
        <v/>
      </c>
      <c r="AI320" s="6" t="n"/>
      <c r="AJ320" s="33">
        <f>Table5[[#This Row],[(A/B) AJD]]-Table5[[#This Row],[BER_IN]]</f>
        <v/>
      </c>
      <c r="AK320" s="6" t="n"/>
      <c r="AL320" s="6" t="n"/>
      <c r="AM320" s="32" t="n"/>
      <c r="AN320" s="32">
        <f>Table5[[#This Row],[ (RESV. STORGE) SER]]/10</f>
        <v/>
      </c>
      <c r="AO320" s="68" t="n"/>
      <c r="AP320" s="100">
        <f>Table5[[#This Row],[(A/S) AJD]]-Table5[[#This Row],[SER_IN]]</f>
        <v/>
      </c>
    </row>
    <row r="321" ht="18.75" customHeight="1">
      <c r="A321" s="98" t="n">
        <v>47438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Table5[[#This Row],[ (T/B) SAR]]+Table5[[#This Row],[ (S/S) SAR]]</f>
        <v/>
      </c>
      <c r="L321" s="28" t="n"/>
      <c r="M321" s="29" t="n"/>
      <c r="N321" s="30" t="n"/>
      <c r="O321" s="40" t="n"/>
      <c r="P321" s="9">
        <f>Table5[[#This Row],[ (S/S) SAR]]-Table5[[#This Row],[(S/S) AJD]]</f>
        <v/>
      </c>
      <c r="Q321" s="9" t="n"/>
      <c r="R321" s="9">
        <f>Table5[[#This Row],[ (T/B) SAR]]-Table5[[#This Row],[(T/B) AJD]]</f>
        <v/>
      </c>
      <c r="S321" s="9">
        <f>Table5[[#This Row],[S/S_CON.]]+Table5[[#This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Table5[[#This Row],[(RESV. STORGE) AJD]]/10</f>
        <v/>
      </c>
      <c r="AB321" s="3">
        <f>IF(TRIM(Z321)="",,(Z321-Z320)/1000)</f>
        <v/>
      </c>
      <c r="AC321" s="5" t="n"/>
      <c r="AD321" s="6">
        <f>(Table5[[#This Row],[( S/S+T/B) AJD]]*1000)-((Table5[[#This Row],[(STORGE DIFF.) AJD]]*1000)+Table5[[#This Row],[AJD_Evaporation]]+(Table5[[#This Row],[(A/B + A/S) AJD]]*1000))</f>
        <v/>
      </c>
      <c r="AE321" s="33" t="n"/>
      <c r="AF321" s="6" t="n"/>
      <c r="AG321" s="6" t="n"/>
      <c r="AH321" s="6">
        <f>Table5[[#This Row],[ (RESV. STORGE) BER]]/10</f>
        <v/>
      </c>
      <c r="AI321" s="6" t="n"/>
      <c r="AJ321" s="33">
        <f>Table5[[#This Row],[(A/B) AJD]]-Table5[[#This Row],[BER_IN]]</f>
        <v/>
      </c>
      <c r="AK321" s="6" t="n"/>
      <c r="AL321" s="6" t="n"/>
      <c r="AM321" s="32" t="n"/>
      <c r="AN321" s="32">
        <f>Table5[[#This Row],[ (RESV. STORGE) SER]]/10</f>
        <v/>
      </c>
      <c r="AO321" s="68" t="n"/>
      <c r="AP321" s="100">
        <f>Table5[[#This Row],[(A/S) AJD]]-Table5[[#This Row],[SER_IN]]</f>
        <v/>
      </c>
    </row>
    <row r="322" ht="18.75" customHeight="1">
      <c r="A322" s="98" t="n">
        <v>47439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Table5[[#This Row],[ (T/B) SAR]]+Table5[[#This Row],[ (S/S) SAR]]</f>
        <v/>
      </c>
      <c r="L322" s="28" t="n"/>
      <c r="M322" s="29" t="n"/>
      <c r="N322" s="30" t="n"/>
      <c r="O322" s="39" t="n"/>
      <c r="P322" s="9">
        <f>Table5[[#This Row],[ (S/S) SAR]]-Table5[[#This Row],[(S/S) AJD]]</f>
        <v/>
      </c>
      <c r="Q322" s="9" t="n"/>
      <c r="R322" s="9">
        <f>Table5[[#This Row],[ (T/B) SAR]]-Table5[[#This Row],[(T/B) AJD]]</f>
        <v/>
      </c>
      <c r="S322" s="9">
        <f>Table5[[#This Row],[S/S_CON.]]+Table5[[#This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Table5[[#This Row],[(RESV. STORGE) AJD]]/10</f>
        <v/>
      </c>
      <c r="AB322" s="3">
        <f>IF(TRIM(Z322)="",,(Z322-Z321)/1000)</f>
        <v/>
      </c>
      <c r="AC322" s="5" t="n"/>
      <c r="AD322" s="6">
        <f>(Table5[[#This Row],[( S/S+T/B) AJD]]*1000)-((Table5[[#This Row],[(STORGE DIFF.) AJD]]*1000)+Table5[[#This Row],[AJD_Evaporation]]+(Table5[[#This Row],[(A/B + A/S) AJD]]*1000))</f>
        <v/>
      </c>
      <c r="AE322" s="33" t="n"/>
      <c r="AF322" s="6" t="n"/>
      <c r="AG322" s="6" t="n"/>
      <c r="AH322" s="6">
        <f>Table5[[#This Row],[ (RESV. STORGE) BER]]/10</f>
        <v/>
      </c>
      <c r="AI322" s="6" t="n"/>
      <c r="AJ322" s="33">
        <f>Table5[[#This Row],[(A/B) AJD]]-Table5[[#This Row],[BER_IN]]</f>
        <v/>
      </c>
      <c r="AK322" s="6" t="n"/>
      <c r="AL322" s="6" t="n"/>
      <c r="AM322" s="32" t="n"/>
      <c r="AN322" s="32">
        <f>Table5[[#This Row],[ (RESV. STORGE) SER]]/10</f>
        <v/>
      </c>
      <c r="AO322" s="68" t="n"/>
      <c r="AP322" s="100">
        <f>Table5[[#This Row],[(A/S) AJD]]-Table5[[#This Row],[SER_IN]]</f>
        <v/>
      </c>
    </row>
    <row r="323" ht="18.75" customHeight="1">
      <c r="A323" s="98" t="n">
        <v>47440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Table5[[#This Row],[ (T/B) SAR]]+Table5[[#This Row],[ (S/S) SAR]]</f>
        <v/>
      </c>
      <c r="L323" s="28" t="n"/>
      <c r="M323" s="29" t="n"/>
      <c r="N323" s="30" t="n"/>
      <c r="O323" s="40" t="n"/>
      <c r="P323" s="9">
        <f>Table5[[#This Row],[ (S/S) SAR]]-Table5[[#This Row],[(S/S) AJD]]</f>
        <v/>
      </c>
      <c r="Q323" s="9" t="n"/>
      <c r="R323" s="9">
        <f>Table5[[#This Row],[ (T/B) SAR]]-Table5[[#This Row],[(T/B) AJD]]</f>
        <v/>
      </c>
      <c r="S323" s="9">
        <f>Table5[[#This Row],[S/S_CON.]]+Table5[[#This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Table5[[#This Row],[(RESV. STORGE) AJD]]/10</f>
        <v/>
      </c>
      <c r="AB323" s="3">
        <f>IF(TRIM(Z323)="",,(Z323-Z322)/1000)</f>
        <v/>
      </c>
      <c r="AC323" s="5" t="n"/>
      <c r="AD323" s="6">
        <f>(Table5[[#This Row],[( S/S+T/B) AJD]]*1000)-((Table5[[#This Row],[(STORGE DIFF.) AJD]]*1000)+Table5[[#This Row],[AJD_Evaporation]]+(Table5[[#This Row],[(A/B + A/S) AJD]]*1000))</f>
        <v/>
      </c>
      <c r="AE323" s="33" t="n"/>
      <c r="AF323" s="6" t="n"/>
      <c r="AG323" s="6" t="n"/>
      <c r="AH323" s="6">
        <f>Table5[[#This Row],[ (RESV. STORGE) BER]]/10</f>
        <v/>
      </c>
      <c r="AI323" s="6" t="n"/>
      <c r="AJ323" s="33">
        <f>Table5[[#This Row],[(A/B) AJD]]-Table5[[#This Row],[BER_IN]]</f>
        <v/>
      </c>
      <c r="AK323" s="6" t="n"/>
      <c r="AL323" s="6" t="n"/>
      <c r="AM323" s="32" t="n"/>
      <c r="AN323" s="32">
        <f>Table5[[#This Row],[ (RESV. STORGE) SER]]/10</f>
        <v/>
      </c>
      <c r="AO323" s="68" t="n"/>
      <c r="AP323" s="100">
        <f>Table5[[#This Row],[(A/S) AJD]]-Table5[[#This Row],[SER_IN]]</f>
        <v/>
      </c>
    </row>
    <row r="324" ht="18.75" customHeight="1">
      <c r="A324" s="98" t="n">
        <v>47441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Table5[[#This Row],[ (T/B) SAR]]+Table5[[#This Row],[ (S/S) SAR]]</f>
        <v/>
      </c>
      <c r="L324" s="28" t="n"/>
      <c r="M324" s="29" t="n"/>
      <c r="N324" s="30" t="n"/>
      <c r="O324" s="39" t="n"/>
      <c r="P324" s="9">
        <f>Table5[[#This Row],[ (S/S) SAR]]-Table5[[#This Row],[(S/S) AJD]]</f>
        <v/>
      </c>
      <c r="Q324" s="9" t="n"/>
      <c r="R324" s="9">
        <f>Table5[[#This Row],[ (T/B) SAR]]-Table5[[#This Row],[(T/B) AJD]]</f>
        <v/>
      </c>
      <c r="S324" s="9">
        <f>Table5[[#This Row],[S/S_CON.]]+Table5[[#This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Table5[[#This Row],[(RESV. STORGE) AJD]]/10</f>
        <v/>
      </c>
      <c r="AB324" s="3">
        <f>IF(TRIM(Z324)="",,(Z324-Z323)/1000)</f>
        <v/>
      </c>
      <c r="AC324" s="5" t="n"/>
      <c r="AD324" s="6">
        <f>(Table5[[#This Row],[( S/S+T/B) AJD]]*1000)-((Table5[[#This Row],[(STORGE DIFF.) AJD]]*1000)+Table5[[#This Row],[AJD_Evaporation]]+(Table5[[#This Row],[(A/B + A/S) AJD]]*1000))</f>
        <v/>
      </c>
      <c r="AE324" s="33" t="n"/>
      <c r="AF324" s="6" t="n"/>
      <c r="AG324" s="6" t="n"/>
      <c r="AH324" s="6">
        <f>Table5[[#This Row],[ (RESV. STORGE) BER]]/10</f>
        <v/>
      </c>
      <c r="AI324" s="6" t="n"/>
      <c r="AJ324" s="33">
        <f>Table5[[#This Row],[(A/B) AJD]]-Table5[[#This Row],[BER_IN]]</f>
        <v/>
      </c>
      <c r="AK324" s="6" t="n"/>
      <c r="AL324" s="6" t="n"/>
      <c r="AM324" s="32" t="n"/>
      <c r="AN324" s="32">
        <f>Table5[[#This Row],[ (RESV. STORGE) SER]]/10</f>
        <v/>
      </c>
      <c r="AO324" s="68" t="n"/>
      <c r="AP324" s="100">
        <f>Table5[[#This Row],[(A/S) AJD]]-Table5[[#This Row],[SER_IN]]</f>
        <v/>
      </c>
    </row>
    <row r="325" ht="18.75" customHeight="1">
      <c r="A325" s="98" t="n">
        <v>47442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Table5[[#This Row],[ (T/B) SAR]]+Table5[[#This Row],[ (S/S) SAR]]</f>
        <v/>
      </c>
      <c r="L325" s="28" t="n"/>
      <c r="M325" s="29" t="n"/>
      <c r="N325" s="30" t="n"/>
      <c r="O325" s="40" t="n"/>
      <c r="P325" s="9">
        <f>Table5[[#This Row],[ (S/S) SAR]]-Table5[[#This Row],[(S/S) AJD]]</f>
        <v/>
      </c>
      <c r="Q325" s="9" t="n"/>
      <c r="R325" s="9">
        <f>Table5[[#This Row],[ (T/B) SAR]]-Table5[[#This Row],[(T/B) AJD]]</f>
        <v/>
      </c>
      <c r="S325" s="9">
        <f>Table5[[#This Row],[S/S_CON.]]+Table5[[#This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Table5[[#This Row],[(RESV. STORGE) AJD]]/10</f>
        <v/>
      </c>
      <c r="AB325" s="3">
        <f>IF(TRIM(Z325)="",,(Z325-Z324)/1000)</f>
        <v/>
      </c>
      <c r="AC325" s="5" t="n"/>
      <c r="AD325" s="6">
        <f>(Table5[[#This Row],[( S/S+T/B) AJD]]*1000)-((Table5[[#This Row],[(STORGE DIFF.) AJD]]*1000)+Table5[[#This Row],[AJD_Evaporation]]+(Table5[[#This Row],[(A/B + A/S) AJD]]*1000))</f>
        <v/>
      </c>
      <c r="AE325" s="33" t="n"/>
      <c r="AF325" s="6" t="n"/>
      <c r="AG325" s="6" t="n"/>
      <c r="AH325" s="6">
        <f>Table5[[#This Row],[ (RESV. STORGE) BER]]/10</f>
        <v/>
      </c>
      <c r="AI325" s="6" t="n"/>
      <c r="AJ325" s="33">
        <f>Table5[[#This Row],[(A/B) AJD]]-Table5[[#This Row],[BER_IN]]</f>
        <v/>
      </c>
      <c r="AK325" s="6" t="n"/>
      <c r="AL325" s="6" t="n"/>
      <c r="AM325" s="32" t="n"/>
      <c r="AN325" s="32">
        <f>Table5[[#This Row],[ (RESV. STORGE) SER]]/10</f>
        <v/>
      </c>
      <c r="AO325" s="68" t="n"/>
      <c r="AP325" s="100">
        <f>Table5[[#This Row],[(A/S) AJD]]-Table5[[#This Row],[SER_IN]]</f>
        <v/>
      </c>
    </row>
    <row r="326" ht="18.75" customHeight="1">
      <c r="A326" s="98" t="n">
        <v>47443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Table5[[#This Row],[ (T/B) SAR]]+Table5[[#This Row],[ (S/S) SAR]]</f>
        <v/>
      </c>
      <c r="L326" s="28" t="n"/>
      <c r="M326" s="29" t="n"/>
      <c r="N326" s="30" t="n"/>
      <c r="O326" s="39" t="n"/>
      <c r="P326" s="9">
        <f>Table5[[#This Row],[ (S/S) SAR]]-Table5[[#This Row],[(S/S) AJD]]</f>
        <v/>
      </c>
      <c r="Q326" s="9" t="n"/>
      <c r="R326" s="9">
        <f>Table5[[#This Row],[ (T/B) SAR]]-Table5[[#This Row],[(T/B) AJD]]</f>
        <v/>
      </c>
      <c r="S326" s="9">
        <f>Table5[[#This Row],[S/S_CON.]]+Table5[[#This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Table5[[#This Row],[(RESV. STORGE) AJD]]/10</f>
        <v/>
      </c>
      <c r="AB326" s="3">
        <f>IF(TRIM(Z326)="",,(Z326-Z325)/1000)</f>
        <v/>
      </c>
      <c r="AC326" s="5" t="n"/>
      <c r="AD326" s="6">
        <f>(Table5[[#This Row],[( S/S+T/B) AJD]]*1000)-((Table5[[#This Row],[(STORGE DIFF.) AJD]]*1000)+Table5[[#This Row],[AJD_Evaporation]]+(Table5[[#This Row],[(A/B + A/S) AJD]]*1000))</f>
        <v/>
      </c>
      <c r="AE326" s="33" t="n"/>
      <c r="AF326" s="6" t="n"/>
      <c r="AG326" s="6" t="n"/>
      <c r="AH326" s="6">
        <f>Table5[[#This Row],[ (RESV. STORGE) BER]]/10</f>
        <v/>
      </c>
      <c r="AI326" s="6" t="n"/>
      <c r="AJ326" s="33">
        <f>Table5[[#This Row],[(A/B) AJD]]-Table5[[#This Row],[BER_IN]]</f>
        <v/>
      </c>
      <c r="AK326" s="6" t="n"/>
      <c r="AL326" s="6" t="n"/>
      <c r="AM326" s="32" t="n"/>
      <c r="AN326" s="32">
        <f>Table5[[#This Row],[ (RESV. STORGE) SER]]/10</f>
        <v/>
      </c>
      <c r="AO326" s="68" t="n"/>
      <c r="AP326" s="100">
        <f>Table5[[#This Row],[(A/S) AJD]]-Table5[[#This Row],[SER_IN]]</f>
        <v/>
      </c>
    </row>
    <row r="327" ht="18.75" customHeight="1">
      <c r="A327" s="98" t="n">
        <v>47444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Table5[[#This Row],[ (T/B) SAR]]+Table5[[#This Row],[ (S/S) SAR]]</f>
        <v/>
      </c>
      <c r="L327" s="28" t="n"/>
      <c r="M327" s="29" t="n"/>
      <c r="N327" s="30" t="n"/>
      <c r="O327" s="40" t="n"/>
      <c r="P327" s="9">
        <f>Table5[[#This Row],[ (S/S) SAR]]-Table5[[#This Row],[(S/S) AJD]]</f>
        <v/>
      </c>
      <c r="Q327" s="9" t="n"/>
      <c r="R327" s="9">
        <f>Table5[[#This Row],[ (T/B) SAR]]-Table5[[#This Row],[(T/B) AJD]]</f>
        <v/>
      </c>
      <c r="S327" s="9">
        <f>Table5[[#This Row],[S/S_CON.]]+Table5[[#This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Table5[[#This Row],[(RESV. STORGE) AJD]]/10</f>
        <v/>
      </c>
      <c r="AB327" s="3">
        <f>IF(TRIM(Z327)="",,(Z327-Z326)/1000)</f>
        <v/>
      </c>
      <c r="AC327" s="5" t="n"/>
      <c r="AD327" s="6">
        <f>(Table5[[#This Row],[( S/S+T/B) AJD]]*1000)-((Table5[[#This Row],[(STORGE DIFF.) AJD]]*1000)+Table5[[#This Row],[AJD_Evaporation]]+(Table5[[#This Row],[(A/B + A/S) AJD]]*1000))</f>
        <v/>
      </c>
      <c r="AE327" s="33" t="n"/>
      <c r="AF327" s="6" t="n"/>
      <c r="AG327" s="6" t="n"/>
      <c r="AH327" s="6">
        <f>Table5[[#This Row],[ (RESV. STORGE) BER]]/10</f>
        <v/>
      </c>
      <c r="AI327" s="6" t="n"/>
      <c r="AJ327" s="33">
        <f>Table5[[#This Row],[(A/B) AJD]]-Table5[[#This Row],[BER_IN]]</f>
        <v/>
      </c>
      <c r="AK327" s="6" t="n"/>
      <c r="AL327" s="6" t="n"/>
      <c r="AM327" s="32" t="n"/>
      <c r="AN327" s="32">
        <f>Table5[[#This Row],[ (RESV. STORGE) SER]]/10</f>
        <v/>
      </c>
      <c r="AO327" s="68" t="n"/>
      <c r="AP327" s="100">
        <f>Table5[[#This Row],[(A/S) AJD]]-Table5[[#This Row],[SER_IN]]</f>
        <v/>
      </c>
    </row>
    <row r="328" ht="18.75" customHeight="1">
      <c r="A328" s="98" t="n">
        <v>47445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Table5[[#This Row],[ (T/B) SAR]]+Table5[[#This Row],[ (S/S) SAR]]</f>
        <v/>
      </c>
      <c r="L328" s="28" t="n"/>
      <c r="M328" s="29" t="n"/>
      <c r="N328" s="30" t="n"/>
      <c r="O328" s="39" t="n"/>
      <c r="P328" s="9">
        <f>Table5[[#This Row],[ (S/S) SAR]]-Table5[[#This Row],[(S/S) AJD]]</f>
        <v/>
      </c>
      <c r="Q328" s="9" t="n"/>
      <c r="R328" s="9">
        <f>Table5[[#This Row],[ (T/B) SAR]]-Table5[[#This Row],[(T/B) AJD]]</f>
        <v/>
      </c>
      <c r="S328" s="9">
        <f>Table5[[#This Row],[S/S_CON.]]+Table5[[#This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Table5[[#This Row],[(RESV. STORGE) AJD]]/10</f>
        <v/>
      </c>
      <c r="AB328" s="3">
        <f>IF(TRIM(Z328)="",,(Z328-Z327)/1000)</f>
        <v/>
      </c>
      <c r="AC328" s="5" t="n"/>
      <c r="AD328" s="6">
        <f>(Table5[[#This Row],[( S/S+T/B) AJD]]*1000)-((Table5[[#This Row],[(STORGE DIFF.) AJD]]*1000)+Table5[[#This Row],[AJD_Evaporation]]+(Table5[[#This Row],[(A/B + A/S) AJD]]*1000))</f>
        <v/>
      </c>
      <c r="AE328" s="33" t="n"/>
      <c r="AF328" s="6" t="n"/>
      <c r="AG328" s="6" t="n"/>
      <c r="AH328" s="6">
        <f>Table5[[#This Row],[ (RESV. STORGE) BER]]/10</f>
        <v/>
      </c>
      <c r="AI328" s="6" t="n"/>
      <c r="AJ328" s="33">
        <f>Table5[[#This Row],[(A/B) AJD]]-Table5[[#This Row],[BER_IN]]</f>
        <v/>
      </c>
      <c r="AK328" s="6" t="n"/>
      <c r="AL328" s="6" t="n"/>
      <c r="AM328" s="32" t="n"/>
      <c r="AN328" s="32">
        <f>Table5[[#This Row],[ (RESV. STORGE) SER]]/10</f>
        <v/>
      </c>
      <c r="AO328" s="68" t="n"/>
      <c r="AP328" s="100">
        <f>Table5[[#This Row],[(A/S) AJD]]-Table5[[#This Row],[SER_IN]]</f>
        <v/>
      </c>
    </row>
    <row r="329" ht="18.75" customHeight="1">
      <c r="A329" s="98" t="n">
        <v>47446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Table5[[#This Row],[ (T/B) SAR]]+Table5[[#This Row],[ (S/S) SAR]]</f>
        <v/>
      </c>
      <c r="L329" s="28" t="n"/>
      <c r="M329" s="29" t="n"/>
      <c r="N329" s="30" t="n"/>
      <c r="O329" s="40" t="n"/>
      <c r="P329" s="9">
        <f>Table5[[#This Row],[ (S/S) SAR]]-Table5[[#This Row],[(S/S) AJD]]</f>
        <v/>
      </c>
      <c r="Q329" s="9" t="n"/>
      <c r="R329" s="9">
        <f>Table5[[#This Row],[ (T/B) SAR]]-Table5[[#This Row],[(T/B) AJD]]</f>
        <v/>
      </c>
      <c r="S329" s="9">
        <f>Table5[[#This Row],[S/S_CON.]]+Table5[[#This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Table5[[#This Row],[(RESV. STORGE) AJD]]/10</f>
        <v/>
      </c>
      <c r="AB329" s="3">
        <f>IF(TRIM(Z329)="",,(Z329-Z328)/1000)</f>
        <v/>
      </c>
      <c r="AC329" s="5" t="n"/>
      <c r="AD329" s="6">
        <f>(Table5[[#This Row],[( S/S+T/B) AJD]]*1000)-((Table5[[#This Row],[(STORGE DIFF.) AJD]]*1000)+Table5[[#This Row],[AJD_Evaporation]]+(Table5[[#This Row],[(A/B + A/S) AJD]]*1000))</f>
        <v/>
      </c>
      <c r="AE329" s="33" t="n"/>
      <c r="AF329" s="6" t="n"/>
      <c r="AG329" s="6" t="n"/>
      <c r="AH329" s="6">
        <f>Table5[[#This Row],[ (RESV. STORGE) BER]]/10</f>
        <v/>
      </c>
      <c r="AI329" s="6" t="n"/>
      <c r="AJ329" s="33">
        <f>Table5[[#This Row],[(A/B) AJD]]-Table5[[#This Row],[BER_IN]]</f>
        <v/>
      </c>
      <c r="AK329" s="6" t="n"/>
      <c r="AL329" s="6" t="n"/>
      <c r="AM329" s="32" t="n"/>
      <c r="AN329" s="32">
        <f>Table5[[#This Row],[ (RESV. STORGE) SER]]/10</f>
        <v/>
      </c>
      <c r="AO329" s="68" t="n"/>
      <c r="AP329" s="100">
        <f>Table5[[#This Row],[(A/S) AJD]]-Table5[[#This Row],[SER_IN]]</f>
        <v/>
      </c>
    </row>
    <row r="330" ht="18.75" customHeight="1">
      <c r="A330" s="98" t="n">
        <v>47447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Table5[[#This Row],[ (T/B) SAR]]+Table5[[#This Row],[ (S/S) SAR]]</f>
        <v/>
      </c>
      <c r="L330" s="28" t="n"/>
      <c r="M330" s="29" t="n"/>
      <c r="N330" s="30" t="n"/>
      <c r="O330" s="39" t="n"/>
      <c r="P330" s="9">
        <f>Table5[[#This Row],[ (S/S) SAR]]-Table5[[#This Row],[(S/S) AJD]]</f>
        <v/>
      </c>
      <c r="Q330" s="9" t="n"/>
      <c r="R330" s="9">
        <f>Table5[[#This Row],[ (T/B) SAR]]-Table5[[#This Row],[(T/B) AJD]]</f>
        <v/>
      </c>
      <c r="S330" s="9">
        <f>Table5[[#This Row],[S/S_CON.]]+Table5[[#This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Table5[[#This Row],[(RESV. STORGE) AJD]]/10</f>
        <v/>
      </c>
      <c r="AB330" s="3">
        <f>IF(TRIM(Z330)="",,(Z330-Z329)/1000)</f>
        <v/>
      </c>
      <c r="AC330" s="5" t="n"/>
      <c r="AD330" s="6">
        <f>(Table5[[#This Row],[( S/S+T/B) AJD]]*1000)-((Table5[[#This Row],[(STORGE DIFF.) AJD]]*1000)+Table5[[#This Row],[AJD_Evaporation]]+(Table5[[#This Row],[(A/B + A/S) AJD]]*1000))</f>
        <v/>
      </c>
      <c r="AE330" s="33" t="n"/>
      <c r="AF330" s="6" t="n"/>
      <c r="AG330" s="6" t="n"/>
      <c r="AH330" s="6">
        <f>Table5[[#This Row],[ (RESV. STORGE) BER]]/10</f>
        <v/>
      </c>
      <c r="AI330" s="6" t="n"/>
      <c r="AJ330" s="33">
        <f>Table5[[#This Row],[(A/B) AJD]]-Table5[[#This Row],[BER_IN]]</f>
        <v/>
      </c>
      <c r="AK330" s="6" t="n"/>
      <c r="AL330" s="6" t="n"/>
      <c r="AM330" s="32" t="n"/>
      <c r="AN330" s="32">
        <f>Table5[[#This Row],[ (RESV. STORGE) SER]]/10</f>
        <v/>
      </c>
      <c r="AO330" s="68" t="n"/>
      <c r="AP330" s="100">
        <f>Table5[[#This Row],[(A/S) AJD]]-Table5[[#This Row],[SER_IN]]</f>
        <v/>
      </c>
    </row>
    <row r="331" ht="18.75" customHeight="1">
      <c r="A331" s="98" t="n">
        <v>47448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Table5[[#This Row],[ (T/B) SAR]]+Table5[[#This Row],[ (S/S) SAR]]</f>
        <v/>
      </c>
      <c r="L331" s="28" t="n"/>
      <c r="M331" s="29" t="n"/>
      <c r="N331" s="30" t="n"/>
      <c r="O331" s="40" t="n"/>
      <c r="P331" s="9">
        <f>Table5[[#This Row],[ (S/S) SAR]]-Table5[[#This Row],[(S/S) AJD]]</f>
        <v/>
      </c>
      <c r="Q331" s="9" t="n"/>
      <c r="R331" s="9">
        <f>Table5[[#This Row],[ (T/B) SAR]]-Table5[[#This Row],[(T/B) AJD]]</f>
        <v/>
      </c>
      <c r="S331" s="9">
        <f>Table5[[#This Row],[S/S_CON.]]+Table5[[#This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Table5[[#This Row],[(RESV. STORGE) AJD]]/10</f>
        <v/>
      </c>
      <c r="AB331" s="3">
        <f>IF(TRIM(Z331)="",,(Z331-Z330)/1000)</f>
        <v/>
      </c>
      <c r="AC331" s="5" t="n"/>
      <c r="AD331" s="6">
        <f>(Table5[[#This Row],[( S/S+T/B) AJD]]*1000)-((Table5[[#This Row],[(STORGE DIFF.) AJD]]*1000)+Table5[[#This Row],[AJD_Evaporation]]+(Table5[[#This Row],[(A/B + A/S) AJD]]*1000))</f>
        <v/>
      </c>
      <c r="AE331" s="33" t="n"/>
      <c r="AF331" s="6" t="n"/>
      <c r="AG331" s="6" t="n"/>
      <c r="AH331" s="6">
        <f>Table5[[#This Row],[ (RESV. STORGE) BER]]/10</f>
        <v/>
      </c>
      <c r="AI331" s="6" t="n"/>
      <c r="AJ331" s="33">
        <f>Table5[[#This Row],[(A/B) AJD]]-Table5[[#This Row],[BER_IN]]</f>
        <v/>
      </c>
      <c r="AK331" s="6" t="n"/>
      <c r="AL331" s="6" t="n"/>
      <c r="AM331" s="32" t="n"/>
      <c r="AN331" s="32">
        <f>Table5[[#This Row],[ (RESV. STORGE) SER]]/10</f>
        <v/>
      </c>
      <c r="AO331" s="68" t="n"/>
      <c r="AP331" s="100">
        <f>Table5[[#This Row],[(A/S) AJD]]-Table5[[#This Row],[SER_IN]]</f>
        <v/>
      </c>
    </row>
    <row r="332" ht="18.75" customHeight="1">
      <c r="A332" s="98" t="n">
        <v>47449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Table5[[#This Row],[ (T/B) SAR]]+Table5[[#This Row],[ (S/S) SAR]]</f>
        <v/>
      </c>
      <c r="L332" s="28" t="n"/>
      <c r="M332" s="29" t="n"/>
      <c r="N332" s="30" t="n"/>
      <c r="O332" s="39" t="n"/>
      <c r="P332" s="9">
        <f>Table5[[#This Row],[ (S/S) SAR]]-Table5[[#This Row],[(S/S) AJD]]</f>
        <v/>
      </c>
      <c r="Q332" s="9" t="n"/>
      <c r="R332" s="9">
        <f>Table5[[#This Row],[ (T/B) SAR]]-Table5[[#This Row],[(T/B) AJD]]</f>
        <v/>
      </c>
      <c r="S332" s="9">
        <f>Table5[[#This Row],[S/S_CON.]]+Table5[[#This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Table5[[#This Row],[(RESV. STORGE) AJD]]/10</f>
        <v/>
      </c>
      <c r="AB332" s="3">
        <f>IF(TRIM(Z332)="",,(Z332-Z331)/1000)</f>
        <v/>
      </c>
      <c r="AC332" s="5" t="n"/>
      <c r="AD332" s="6">
        <f>(Table5[[#This Row],[( S/S+T/B) AJD]]*1000)-((Table5[[#This Row],[(STORGE DIFF.) AJD]]*1000)+Table5[[#This Row],[AJD_Evaporation]]+(Table5[[#This Row],[(A/B + A/S) AJD]]*1000))</f>
        <v/>
      </c>
      <c r="AE332" s="33" t="n"/>
      <c r="AF332" s="6" t="n"/>
      <c r="AG332" s="6" t="n"/>
      <c r="AH332" s="6">
        <f>Table5[[#This Row],[ (RESV. STORGE) BER]]/10</f>
        <v/>
      </c>
      <c r="AI332" s="6" t="n"/>
      <c r="AJ332" s="33">
        <f>Table5[[#This Row],[(A/B) AJD]]-Table5[[#This Row],[BER_IN]]</f>
        <v/>
      </c>
      <c r="AK332" s="6" t="n"/>
      <c r="AL332" s="6" t="n"/>
      <c r="AM332" s="32" t="n"/>
      <c r="AN332" s="32">
        <f>Table5[[#This Row],[ (RESV. STORGE) SER]]/10</f>
        <v/>
      </c>
      <c r="AO332" s="68" t="n"/>
      <c r="AP332" s="100">
        <f>Table5[[#This Row],[(A/S) AJD]]-Table5[[#This Row],[SER_IN]]</f>
        <v/>
      </c>
    </row>
    <row r="333" ht="18.75" customHeight="1">
      <c r="A333" s="98" t="n">
        <v>47450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Table5[[#This Row],[ (T/B) SAR]]+Table5[[#This Row],[ (S/S) SAR]]</f>
        <v/>
      </c>
      <c r="L333" s="28" t="n"/>
      <c r="M333" s="29" t="n"/>
      <c r="N333" s="30" t="n"/>
      <c r="O333" s="40" t="n"/>
      <c r="P333" s="9">
        <f>Table5[[#This Row],[ (S/S) SAR]]-Table5[[#This Row],[(S/S) AJD]]</f>
        <v/>
      </c>
      <c r="Q333" s="9" t="n"/>
      <c r="R333" s="9">
        <f>Table5[[#This Row],[ (T/B) SAR]]-Table5[[#This Row],[(T/B) AJD]]</f>
        <v/>
      </c>
      <c r="S333" s="9">
        <f>Table5[[#This Row],[S/S_CON.]]+Table5[[#This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Table5[[#This Row],[(RESV. STORGE) AJD]]/10</f>
        <v/>
      </c>
      <c r="AB333" s="3">
        <f>IF(TRIM(Z333)="",,(Z333-Z332)/1000)</f>
        <v/>
      </c>
      <c r="AC333" s="5" t="n"/>
      <c r="AD333" s="6">
        <f>(Table5[[#This Row],[( S/S+T/B) AJD]]*1000)-((Table5[[#This Row],[(STORGE DIFF.) AJD]]*1000)+Table5[[#This Row],[AJD_Evaporation]]+(Table5[[#This Row],[(A/B + A/S) AJD]]*1000))</f>
        <v/>
      </c>
      <c r="AE333" s="33" t="n"/>
      <c r="AF333" s="6" t="n"/>
      <c r="AG333" s="6" t="n"/>
      <c r="AH333" s="6">
        <f>Table5[[#This Row],[ (RESV. STORGE) BER]]/10</f>
        <v/>
      </c>
      <c r="AI333" s="6" t="n"/>
      <c r="AJ333" s="33">
        <f>Table5[[#This Row],[(A/B) AJD]]-Table5[[#This Row],[BER_IN]]</f>
        <v/>
      </c>
      <c r="AK333" s="6" t="n"/>
      <c r="AL333" s="6" t="n"/>
      <c r="AM333" s="32" t="n"/>
      <c r="AN333" s="32">
        <f>Table5[[#This Row],[ (RESV. STORGE) SER]]/10</f>
        <v/>
      </c>
      <c r="AO333" s="68" t="n"/>
      <c r="AP333" s="100">
        <f>Table5[[#This Row],[(A/S) AJD]]-Table5[[#This Row],[SER_IN]]</f>
        <v/>
      </c>
    </row>
    <row r="334" ht="18.75" customHeight="1">
      <c r="A334" s="98" t="n">
        <v>47451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Table5[[#This Row],[ (T/B) SAR]]+Table5[[#This Row],[ (S/S) SAR]]</f>
        <v/>
      </c>
      <c r="L334" s="28" t="n"/>
      <c r="M334" s="29" t="n"/>
      <c r="N334" s="30" t="n"/>
      <c r="O334" s="39" t="n"/>
      <c r="P334" s="9">
        <f>Table5[[#This Row],[ (S/S) SAR]]-Table5[[#This Row],[(S/S) AJD]]</f>
        <v/>
      </c>
      <c r="Q334" s="9" t="n"/>
      <c r="R334" s="9">
        <f>Table5[[#This Row],[ (T/B) SAR]]-Table5[[#This Row],[(T/B) AJD]]</f>
        <v/>
      </c>
      <c r="S334" s="9">
        <f>Table5[[#This Row],[S/S_CON.]]+Table5[[#This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Table5[[#This Row],[(RESV. STORGE) AJD]]/10</f>
        <v/>
      </c>
      <c r="AB334" s="3">
        <f>IF(TRIM(Z334)="",,(Z334-Z333)/1000)</f>
        <v/>
      </c>
      <c r="AC334" s="5" t="n"/>
      <c r="AD334" s="6">
        <f>(Table5[[#This Row],[( S/S+T/B) AJD]]*1000)-((Table5[[#This Row],[(STORGE DIFF.) AJD]]*1000)+Table5[[#This Row],[AJD_Evaporation]]+(Table5[[#This Row],[(A/B + A/S) AJD]]*1000))</f>
        <v/>
      </c>
      <c r="AE334" s="33" t="n"/>
      <c r="AF334" s="6" t="n"/>
      <c r="AG334" s="6" t="n"/>
      <c r="AH334" s="6">
        <f>Table5[[#This Row],[ (RESV. STORGE) BER]]/10</f>
        <v/>
      </c>
      <c r="AI334" s="6" t="n"/>
      <c r="AJ334" s="33">
        <f>Table5[[#This Row],[(A/B) AJD]]-Table5[[#This Row],[BER_IN]]</f>
        <v/>
      </c>
      <c r="AK334" s="6" t="n"/>
      <c r="AL334" s="6" t="n"/>
      <c r="AM334" s="32" t="n"/>
      <c r="AN334" s="32">
        <f>Table5[[#This Row],[ (RESV. STORGE) SER]]/10</f>
        <v/>
      </c>
      <c r="AO334" s="68" t="n"/>
      <c r="AP334" s="100">
        <f>Table5[[#This Row],[(A/S) AJD]]-Table5[[#This Row],[SER_IN]]</f>
        <v/>
      </c>
    </row>
    <row r="335" ht="18.75" customHeight="1">
      <c r="A335" s="98" t="n">
        <v>47452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Table5[[#This Row],[ (T/B) SAR]]+Table5[[#This Row],[ (S/S) SAR]]</f>
        <v/>
      </c>
      <c r="L335" s="28" t="n"/>
      <c r="M335" s="29" t="n"/>
      <c r="N335" s="30" t="n"/>
      <c r="O335" s="40" t="n"/>
      <c r="P335" s="9">
        <f>Table5[[#This Row],[ (S/S) SAR]]-Table5[[#This Row],[(S/S) AJD]]</f>
        <v/>
      </c>
      <c r="Q335" s="9" t="n"/>
      <c r="R335" s="9">
        <f>Table5[[#This Row],[ (T/B) SAR]]-Table5[[#This Row],[(T/B) AJD]]</f>
        <v/>
      </c>
      <c r="S335" s="9">
        <f>Table5[[#This Row],[S/S_CON.]]+Table5[[#This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Table5[[#This Row],[(RESV. STORGE) AJD]]/10</f>
        <v/>
      </c>
      <c r="AB335" s="3">
        <f>IF(TRIM(Z335)="",,(Z335-Z334)/1000)</f>
        <v/>
      </c>
      <c r="AC335" s="5" t="n"/>
      <c r="AD335" s="6">
        <f>(Table5[[#This Row],[( S/S+T/B) AJD]]*1000)-((Table5[[#This Row],[(STORGE DIFF.) AJD]]*1000)+Table5[[#This Row],[AJD_Evaporation]]+(Table5[[#This Row],[(A/B + A/S) AJD]]*1000))</f>
        <v/>
      </c>
      <c r="AE335" s="33" t="n"/>
      <c r="AF335" s="6" t="n"/>
      <c r="AG335" s="6" t="n"/>
      <c r="AH335" s="6">
        <f>Table5[[#This Row],[ (RESV. STORGE) BER]]/10</f>
        <v/>
      </c>
      <c r="AI335" s="6" t="n"/>
      <c r="AJ335" s="33">
        <f>Table5[[#This Row],[(A/B) AJD]]-Table5[[#This Row],[BER_IN]]</f>
        <v/>
      </c>
      <c r="AK335" s="6" t="n"/>
      <c r="AL335" s="6" t="n"/>
      <c r="AM335" s="32" t="n"/>
      <c r="AN335" s="32">
        <f>Table5[[#This Row],[ (RESV. STORGE) SER]]/10</f>
        <v/>
      </c>
      <c r="AO335" s="68" t="n"/>
      <c r="AP335" s="100">
        <f>Table5[[#This Row],[(A/S) AJD]]-Table5[[#This Row],[SER_IN]]</f>
        <v/>
      </c>
    </row>
    <row r="336" ht="18.75" customHeight="1">
      <c r="A336" s="98" t="n">
        <v>47453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Table5[[#This Row],[ (T/B) SAR]]+Table5[[#This Row],[ (S/S) SAR]]</f>
        <v/>
      </c>
      <c r="L336" s="41" t="n"/>
      <c r="M336" s="42" t="n"/>
      <c r="N336" s="42" t="n"/>
      <c r="O336" s="39" t="n"/>
      <c r="P336" s="9">
        <f>Table5[[#This Row],[ (S/S) SAR]]-Table5[[#This Row],[(S/S) AJD]]</f>
        <v/>
      </c>
      <c r="Q336" s="39" t="n"/>
      <c r="R336" s="9">
        <f>Table5[[#This Row],[ (T/B) SAR]]-Table5[[#This Row],[(T/B) AJD]]</f>
        <v/>
      </c>
      <c r="S336" s="9">
        <f>Table5[[#This Row],[S/S_CON.]]+Table5[[#This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Table5[[#This Row],[(RESV. STORGE) AJD]]/10</f>
        <v/>
      </c>
      <c r="AB336" s="3">
        <f>IF(TRIM(Z336)="",,(Z336-Z335)/1000)</f>
        <v/>
      </c>
      <c r="AC336" s="5" t="n"/>
      <c r="AD336" s="39">
        <f>(Table5[[#This Row],[( S/S+T/B) AJD]]*1000)-((Table5[[#This Row],[(STORGE DIFF.) AJD]]*1000)+Table5[[#This Row],[AJD_Evaporation]]+(Table5[[#This Row],[(A/B + A/S) AJD]]*1000))</f>
        <v/>
      </c>
      <c r="AE336" s="41" t="n"/>
      <c r="AF336" s="43" t="n"/>
      <c r="AG336" s="43" t="n"/>
      <c r="AH336" s="6">
        <f>Table5[[#This Row],[ (RESV. STORGE) BER]]/10</f>
        <v/>
      </c>
      <c r="AI336" s="41" t="n"/>
      <c r="AJ336" s="41">
        <f>Table5[[#This Row],[(A/B) AJD]]-Table5[[#This Row],[BER_IN]]</f>
        <v/>
      </c>
      <c r="AK336" s="43" t="n"/>
      <c r="AL336" s="43" t="n"/>
      <c r="AM336" s="32" t="n"/>
      <c r="AN336" s="32">
        <f>Table5[[#This Row],[ (RESV. STORGE) SER]]/10</f>
        <v/>
      </c>
      <c r="AO336" s="68" t="n"/>
      <c r="AP336" s="100">
        <f>Table5[[#This Row],[(A/S) AJD]]-Table5[[#This Row],[SER_IN]]</f>
        <v/>
      </c>
    </row>
    <row r="337" ht="18.75" customHeight="1">
      <c r="A337" s="98" t="n">
        <v>47454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Table5[[#This Row],[ (T/B) SAR]]+Table5[[#This Row],[ (S/S) SAR]]</f>
        <v/>
      </c>
      <c r="L337" s="45" t="n"/>
      <c r="M337" s="46" t="n"/>
      <c r="N337" s="46" t="n"/>
      <c r="O337" s="40" t="n"/>
      <c r="P337" s="9">
        <f>Table5[[#This Row],[ (S/S) SAR]]-Table5[[#This Row],[(S/S) AJD]]</f>
        <v/>
      </c>
      <c r="Q337" s="40" t="n"/>
      <c r="R337" s="9">
        <f>Table5[[#This Row],[ (T/B) SAR]]-Table5[[#This Row],[(T/B) AJD]]</f>
        <v/>
      </c>
      <c r="S337" s="9">
        <f>Table5[[#This Row],[S/S_CON.]]+Table5[[#This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Table5[[#This Row],[(RESV. STORGE) AJD]]/10</f>
        <v/>
      </c>
      <c r="AB337" s="3">
        <f>IF(TRIM(Z337)="",,(Z337-Z336)/1000)</f>
        <v/>
      </c>
      <c r="AC337" s="5" t="n"/>
      <c r="AD337" s="40">
        <f>(Table5[[#This Row],[( S/S+T/B) AJD]]*1000)-((Table5[[#This Row],[(STORGE DIFF.) AJD]]*1000)+Table5[[#This Row],[AJD_Evaporation]]+(Table5[[#This Row],[(A/B + A/S) AJD]]*1000))</f>
        <v/>
      </c>
      <c r="AE337" s="44" t="n"/>
      <c r="AF337" s="45" t="n"/>
      <c r="AG337" s="45" t="n"/>
      <c r="AH337" s="6">
        <f>Table5[[#This Row],[ (RESV. STORGE) BER]]/10</f>
        <v/>
      </c>
      <c r="AI337" s="44" t="n"/>
      <c r="AJ337" s="44">
        <f>Table5[[#This Row],[(A/B) AJD]]-Table5[[#This Row],[BER_IN]]</f>
        <v/>
      </c>
      <c r="AK337" s="45" t="n"/>
      <c r="AL337" s="45" t="n"/>
      <c r="AM337" s="32" t="n"/>
      <c r="AN337" s="32">
        <f>Table5[[#This Row],[ (RESV. STORGE) SER]]/10</f>
        <v/>
      </c>
      <c r="AO337" s="68" t="n"/>
      <c r="AP337" s="100">
        <f>Table5[[#This Row],[(A/S) AJD]]-Table5[[#This Row],[SER_IN]]</f>
        <v/>
      </c>
    </row>
    <row r="338" ht="18.75" customHeight="1">
      <c r="A338" s="98" t="n">
        <v>47455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Table5[[#This Row],[ (T/B) SAR]]+Table5[[#This Row],[ (S/S) SAR]]</f>
        <v/>
      </c>
      <c r="L338" s="41" t="n"/>
      <c r="M338" s="42" t="n"/>
      <c r="N338" s="42" t="n"/>
      <c r="O338" s="39" t="n"/>
      <c r="P338" s="9">
        <f>Table5[[#This Row],[ (S/S) SAR]]-Table5[[#This Row],[(S/S) AJD]]</f>
        <v/>
      </c>
      <c r="Q338" s="39" t="n"/>
      <c r="R338" s="9">
        <f>Table5[[#This Row],[ (T/B) SAR]]-Table5[[#This Row],[(T/B) AJD]]</f>
        <v/>
      </c>
      <c r="S338" s="9">
        <f>Table5[[#This Row],[S/S_CON.]]+Table5[[#This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Table5[[#This Row],[(RESV. STORGE) AJD]]/10</f>
        <v/>
      </c>
      <c r="AB338" s="3">
        <f>IF(TRIM(Z338)="",,(Z338-Z337)/1000)</f>
        <v/>
      </c>
      <c r="AC338" s="5" t="n"/>
      <c r="AD338" s="39">
        <f>(Table5[[#This Row],[( S/S+T/B) AJD]]*1000)-((Table5[[#This Row],[(STORGE DIFF.) AJD]]*1000)+Table5[[#This Row],[AJD_Evaporation]]+(Table5[[#This Row],[(A/B + A/S) AJD]]*1000))</f>
        <v/>
      </c>
      <c r="AE338" s="41" t="n"/>
      <c r="AF338" s="43" t="n"/>
      <c r="AG338" s="43" t="n"/>
      <c r="AH338" s="6">
        <f>Table5[[#This Row],[ (RESV. STORGE) BER]]/10</f>
        <v/>
      </c>
      <c r="AI338" s="41" t="n"/>
      <c r="AJ338" s="41">
        <f>Table5[[#This Row],[(A/B) AJD]]-Table5[[#This Row],[BER_IN]]</f>
        <v/>
      </c>
      <c r="AK338" s="43" t="n"/>
      <c r="AL338" s="43" t="n"/>
      <c r="AM338" s="32" t="n"/>
      <c r="AN338" s="32">
        <f>Table5[[#This Row],[ (RESV. STORGE) SER]]/10</f>
        <v/>
      </c>
      <c r="AO338" s="68" t="n"/>
      <c r="AP338" s="100">
        <f>Table5[[#This Row],[(A/S) AJD]]-Table5[[#This Row],[SER_IN]]</f>
        <v/>
      </c>
    </row>
    <row r="339" ht="18.75" customHeight="1">
      <c r="A339" s="98" t="n">
        <v>47456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Table5[[#This Row],[ (T/B) SAR]]+Table5[[#This Row],[ (S/S) SAR]]</f>
        <v/>
      </c>
      <c r="L339" s="45" t="n"/>
      <c r="M339" s="46" t="n"/>
      <c r="N339" s="46" t="n"/>
      <c r="O339" s="40" t="n"/>
      <c r="P339" s="9">
        <f>Table5[[#This Row],[ (S/S) SAR]]-Table5[[#This Row],[(S/S) AJD]]</f>
        <v/>
      </c>
      <c r="Q339" s="40" t="n"/>
      <c r="R339" s="9">
        <f>Table5[[#This Row],[ (T/B) SAR]]-Table5[[#This Row],[(T/B) AJD]]</f>
        <v/>
      </c>
      <c r="S339" s="9">
        <f>Table5[[#This Row],[S/S_CON.]]+Table5[[#This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Table5[[#This Row],[(RESV. STORGE) AJD]]/10</f>
        <v/>
      </c>
      <c r="AB339" s="3">
        <f>IF(TRIM(Z339)="",,(Z339-Z338)/1000)</f>
        <v/>
      </c>
      <c r="AC339" s="5" t="n"/>
      <c r="AD339" s="40">
        <f>(Table5[[#This Row],[( S/S+T/B) AJD]]*1000)-((Table5[[#This Row],[(STORGE DIFF.) AJD]]*1000)+Table5[[#This Row],[AJD_Evaporation]]+(Table5[[#This Row],[(A/B + A/S) AJD]]*1000))</f>
        <v/>
      </c>
      <c r="AE339" s="44" t="n"/>
      <c r="AF339" s="45" t="n"/>
      <c r="AG339" s="45" t="n"/>
      <c r="AH339" s="6">
        <f>Table5[[#This Row],[ (RESV. STORGE) BER]]/10</f>
        <v/>
      </c>
      <c r="AI339" s="44" t="n"/>
      <c r="AJ339" s="44">
        <f>Table5[[#This Row],[(A/B) AJD]]-Table5[[#This Row],[BER_IN]]</f>
        <v/>
      </c>
      <c r="AK339" s="45" t="n"/>
      <c r="AL339" s="45" t="n"/>
      <c r="AM339" s="32" t="n"/>
      <c r="AN339" s="32">
        <f>Table5[[#This Row],[ (RESV. STORGE) SER]]/10</f>
        <v/>
      </c>
      <c r="AO339" s="68" t="n"/>
      <c r="AP339" s="100">
        <f>Table5[[#This Row],[(A/S) AJD]]-Table5[[#This Row],[SER_IN]]</f>
        <v/>
      </c>
    </row>
    <row r="340" ht="18.75" customHeight="1">
      <c r="A340" s="98" t="n">
        <v>47457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Table5[[#This Row],[ (T/B) SAR]]+Table5[[#This Row],[ (S/S) SAR]]</f>
        <v/>
      </c>
      <c r="L340" s="41" t="n"/>
      <c r="M340" s="42" t="n"/>
      <c r="N340" s="42" t="n"/>
      <c r="O340" s="39" t="n"/>
      <c r="P340" s="9">
        <f>Table5[[#This Row],[ (S/S) SAR]]-Table5[[#This Row],[(S/S) AJD]]</f>
        <v/>
      </c>
      <c r="Q340" s="39" t="n"/>
      <c r="R340" s="9">
        <f>Table5[[#This Row],[ (T/B) SAR]]-Table5[[#This Row],[(T/B) AJD]]</f>
        <v/>
      </c>
      <c r="S340" s="9">
        <f>Table5[[#This Row],[S/S_CON.]]+Table5[[#This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Table5[[#This Row],[(RESV. STORGE) AJD]]/10</f>
        <v/>
      </c>
      <c r="AB340" s="3">
        <f>IF(TRIM(Z340)="",,(Z340-Z339)/1000)</f>
        <v/>
      </c>
      <c r="AC340" s="5" t="n"/>
      <c r="AD340" s="39">
        <f>(Table5[[#This Row],[( S/S+T/B) AJD]]*1000)-((Table5[[#This Row],[(STORGE DIFF.) AJD]]*1000)+Table5[[#This Row],[AJD_Evaporation]]+(Table5[[#This Row],[(A/B + A/S) AJD]]*1000))</f>
        <v/>
      </c>
      <c r="AE340" s="41" t="n"/>
      <c r="AF340" s="43" t="n"/>
      <c r="AG340" s="43" t="n"/>
      <c r="AH340" s="6">
        <f>Table5[[#This Row],[ (RESV. STORGE) BER]]/10</f>
        <v/>
      </c>
      <c r="AI340" s="41" t="n"/>
      <c r="AJ340" s="41">
        <f>Table5[[#This Row],[(A/B) AJD]]-Table5[[#This Row],[BER_IN]]</f>
        <v/>
      </c>
      <c r="AK340" s="43" t="n"/>
      <c r="AL340" s="43" t="n"/>
      <c r="AM340" s="32" t="n"/>
      <c r="AN340" s="32">
        <f>Table5[[#This Row],[ (RESV. STORGE) SER]]/10</f>
        <v/>
      </c>
      <c r="AO340" s="68" t="n"/>
      <c r="AP340" s="100">
        <f>Table5[[#This Row],[(A/S) AJD]]-Table5[[#This Row],[SER_IN]]</f>
        <v/>
      </c>
    </row>
    <row r="341" ht="18.75" customHeight="1">
      <c r="A341" s="98" t="n">
        <v>47458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Table5[[#This Row],[ (T/B) SAR]]+Table5[[#This Row],[ (S/S) SAR]]</f>
        <v/>
      </c>
      <c r="L341" s="45" t="n"/>
      <c r="M341" s="46" t="n"/>
      <c r="N341" s="46" t="n"/>
      <c r="O341" s="40" t="n"/>
      <c r="P341" s="9">
        <f>Table5[[#This Row],[ (S/S) SAR]]-Table5[[#This Row],[(S/S) AJD]]</f>
        <v/>
      </c>
      <c r="Q341" s="40" t="n"/>
      <c r="R341" s="9">
        <f>Table5[[#This Row],[ (T/B) SAR]]-Table5[[#This Row],[(T/B) AJD]]</f>
        <v/>
      </c>
      <c r="S341" s="9">
        <f>Table5[[#This Row],[S/S_CON.]]+Table5[[#This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Table5[[#This Row],[(RESV. STORGE) AJD]]/10</f>
        <v/>
      </c>
      <c r="AB341" s="3">
        <f>IF(TRIM(Z341)="",,(Z341-Z340)/1000)</f>
        <v/>
      </c>
      <c r="AC341" s="5" t="n"/>
      <c r="AD341" s="40">
        <f>(Table5[[#This Row],[( S/S+T/B) AJD]]*1000)-((Table5[[#This Row],[(STORGE DIFF.) AJD]]*1000)+Table5[[#This Row],[AJD_Evaporation]]+(Table5[[#This Row],[(A/B + A/S) AJD]]*1000))</f>
        <v/>
      </c>
      <c r="AE341" s="44" t="n"/>
      <c r="AF341" s="45" t="n"/>
      <c r="AG341" s="45" t="n"/>
      <c r="AH341" s="6">
        <f>Table5[[#This Row],[ (RESV. STORGE) BER]]/10</f>
        <v/>
      </c>
      <c r="AI341" s="44" t="n"/>
      <c r="AJ341" s="44">
        <f>Table5[[#This Row],[(A/B) AJD]]-Table5[[#This Row],[BER_IN]]</f>
        <v/>
      </c>
      <c r="AK341" s="45" t="n"/>
      <c r="AL341" s="45" t="n"/>
      <c r="AM341" s="32" t="n"/>
      <c r="AN341" s="32">
        <f>Table5[[#This Row],[ (RESV. STORGE) SER]]/10</f>
        <v/>
      </c>
      <c r="AO341" s="68" t="n"/>
      <c r="AP341" s="100">
        <f>Table5[[#This Row],[(A/S) AJD]]-Table5[[#This Row],[SER_IN]]</f>
        <v/>
      </c>
    </row>
    <row r="342" ht="18.75" customHeight="1">
      <c r="A342" s="98" t="n">
        <v>47459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Table5[[#This Row],[ (T/B) SAR]]+Table5[[#This Row],[ (S/S) SAR]]</f>
        <v/>
      </c>
      <c r="L342" s="41" t="n"/>
      <c r="M342" s="42" t="n"/>
      <c r="N342" s="42" t="n"/>
      <c r="O342" s="39" t="n"/>
      <c r="P342" s="9">
        <f>Table5[[#This Row],[ (S/S) SAR]]-Table5[[#This Row],[(S/S) AJD]]</f>
        <v/>
      </c>
      <c r="Q342" s="39" t="n"/>
      <c r="R342" s="9">
        <f>Table5[[#This Row],[ (T/B) SAR]]-Table5[[#This Row],[(T/B) AJD]]</f>
        <v/>
      </c>
      <c r="S342" s="9">
        <f>Table5[[#This Row],[S/S_CON.]]+Table5[[#This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Table5[[#This Row],[(RESV. STORGE) AJD]]/10</f>
        <v/>
      </c>
      <c r="AB342" s="3">
        <f>IF(TRIM(Z342)="",,(Z342-Z341)/1000)</f>
        <v/>
      </c>
      <c r="AC342" s="5" t="n"/>
      <c r="AD342" s="39">
        <f>(Table5[[#This Row],[( S/S+T/B) AJD]]*1000)-((Table5[[#This Row],[(STORGE DIFF.) AJD]]*1000)+Table5[[#This Row],[AJD_Evaporation]]+(Table5[[#This Row],[(A/B + A/S) AJD]]*1000))</f>
        <v/>
      </c>
      <c r="AE342" s="41" t="n"/>
      <c r="AF342" s="43" t="n"/>
      <c r="AG342" s="43" t="n"/>
      <c r="AH342" s="6">
        <f>Table5[[#This Row],[ (RESV. STORGE) BER]]/10</f>
        <v/>
      </c>
      <c r="AI342" s="41" t="n"/>
      <c r="AJ342" s="41">
        <f>Table5[[#This Row],[(A/B) AJD]]-Table5[[#This Row],[BER_IN]]</f>
        <v/>
      </c>
      <c r="AK342" s="43" t="n"/>
      <c r="AL342" s="43" t="n"/>
      <c r="AM342" s="32" t="n"/>
      <c r="AN342" s="32">
        <f>Table5[[#This Row],[ (RESV. STORGE) SER]]/10</f>
        <v/>
      </c>
      <c r="AO342" s="68" t="n"/>
      <c r="AP342" s="100">
        <f>Table5[[#This Row],[(A/S) AJD]]-Table5[[#This Row],[SER_IN]]</f>
        <v/>
      </c>
    </row>
    <row r="343" ht="18.75" customHeight="1">
      <c r="A343" s="98" t="n">
        <v>47460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Table5[[#This Row],[ (T/B) SAR]]+Table5[[#This Row],[ (S/S) SAR]]</f>
        <v/>
      </c>
      <c r="L343" s="45" t="n"/>
      <c r="M343" s="46" t="n"/>
      <c r="N343" s="46" t="n"/>
      <c r="O343" s="40" t="n"/>
      <c r="P343" s="9">
        <f>Table5[[#This Row],[ (S/S) SAR]]-Table5[[#This Row],[(S/S) AJD]]</f>
        <v/>
      </c>
      <c r="Q343" s="40" t="n"/>
      <c r="R343" s="9">
        <f>Table5[[#This Row],[ (T/B) SAR]]-Table5[[#This Row],[(T/B) AJD]]</f>
        <v/>
      </c>
      <c r="S343" s="9">
        <f>Table5[[#This Row],[S/S_CON.]]+Table5[[#This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Table5[[#This Row],[(RESV. STORGE) AJD]]/10</f>
        <v/>
      </c>
      <c r="AB343" s="3">
        <f>IF(TRIM(Z343)="",,(Z343-Z342)/1000)</f>
        <v/>
      </c>
      <c r="AC343" s="5" t="n"/>
      <c r="AD343" s="40">
        <f>(Table5[[#This Row],[( S/S+T/B) AJD]]*1000)-((Table5[[#This Row],[(STORGE DIFF.) AJD]]*1000)+Table5[[#This Row],[AJD_Evaporation]]+(Table5[[#This Row],[(A/B + A/S) AJD]]*1000))</f>
        <v/>
      </c>
      <c r="AE343" s="44" t="n"/>
      <c r="AF343" s="45" t="n"/>
      <c r="AG343" s="45" t="n"/>
      <c r="AH343" s="6">
        <f>Table5[[#This Row],[ (RESV. STORGE) BER]]/10</f>
        <v/>
      </c>
      <c r="AI343" s="44" t="n"/>
      <c r="AJ343" s="44">
        <f>Table5[[#This Row],[(A/B) AJD]]-Table5[[#This Row],[BER_IN]]</f>
        <v/>
      </c>
      <c r="AK343" s="45" t="n"/>
      <c r="AL343" s="45" t="n"/>
      <c r="AM343" s="32" t="n"/>
      <c r="AN343" s="32">
        <f>Table5[[#This Row],[ (RESV. STORGE) SER]]/10</f>
        <v/>
      </c>
      <c r="AO343" s="68" t="n"/>
      <c r="AP343" s="100">
        <f>Table5[[#This Row],[(A/S) AJD]]-Table5[[#This Row],[SER_IN]]</f>
        <v/>
      </c>
    </row>
    <row r="344" ht="18.75" customHeight="1">
      <c r="A344" s="98" t="n">
        <v>47461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Table5[[#This Row],[ (T/B) SAR]]+Table5[[#This Row],[ (S/S) SAR]]</f>
        <v/>
      </c>
      <c r="L344" s="41" t="n"/>
      <c r="M344" s="42" t="n"/>
      <c r="N344" s="42" t="n"/>
      <c r="O344" s="39" t="n"/>
      <c r="P344" s="9">
        <f>Table5[[#This Row],[ (S/S) SAR]]-Table5[[#This Row],[(S/S) AJD]]</f>
        <v/>
      </c>
      <c r="Q344" s="39" t="n"/>
      <c r="R344" s="9">
        <f>Table5[[#This Row],[ (T/B) SAR]]-Table5[[#This Row],[(T/B) AJD]]</f>
        <v/>
      </c>
      <c r="S344" s="9">
        <f>Table5[[#This Row],[S/S_CON.]]+Table5[[#This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Table5[[#This Row],[(RESV. STORGE) AJD]]/10</f>
        <v/>
      </c>
      <c r="AB344" s="3">
        <f>IF(TRIM(Z344)="",,(Z344-Z343)/1000)</f>
        <v/>
      </c>
      <c r="AC344" s="5" t="n"/>
      <c r="AD344" s="39">
        <f>(Table5[[#This Row],[( S/S+T/B) AJD]]*1000)-((Table5[[#This Row],[(STORGE DIFF.) AJD]]*1000)+Table5[[#This Row],[AJD_Evaporation]]+(Table5[[#This Row],[(A/B + A/S) AJD]]*1000))</f>
        <v/>
      </c>
      <c r="AE344" s="41" t="n"/>
      <c r="AF344" s="43" t="n"/>
      <c r="AG344" s="43" t="n"/>
      <c r="AH344" s="6">
        <f>Table5[[#This Row],[ (RESV. STORGE) BER]]/10</f>
        <v/>
      </c>
      <c r="AI344" s="41" t="n"/>
      <c r="AJ344" s="41">
        <f>Table5[[#This Row],[(A/B) AJD]]-Table5[[#This Row],[BER_IN]]</f>
        <v/>
      </c>
      <c r="AK344" s="43" t="n"/>
      <c r="AL344" s="43" t="n"/>
      <c r="AM344" s="32" t="n"/>
      <c r="AN344" s="32">
        <f>Table5[[#This Row],[ (RESV. STORGE) SER]]/10</f>
        <v/>
      </c>
      <c r="AO344" s="68" t="n"/>
      <c r="AP344" s="100">
        <f>Table5[[#This Row],[(A/S) AJD]]-Table5[[#This Row],[SER_IN]]</f>
        <v/>
      </c>
    </row>
    <row r="345" ht="18.75" customHeight="1">
      <c r="A345" s="98" t="n">
        <v>47462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Table5[[#This Row],[ (T/B) SAR]]+Table5[[#This Row],[ (S/S) SAR]]</f>
        <v/>
      </c>
      <c r="L345" s="45" t="n"/>
      <c r="M345" s="46" t="n"/>
      <c r="N345" s="46" t="n"/>
      <c r="O345" s="40" t="n"/>
      <c r="P345" s="9">
        <f>Table5[[#This Row],[ (S/S) SAR]]-Table5[[#This Row],[(S/S) AJD]]</f>
        <v/>
      </c>
      <c r="Q345" s="40" t="n"/>
      <c r="R345" s="9">
        <f>Table5[[#This Row],[ (T/B) SAR]]-Table5[[#This Row],[(T/B) AJD]]</f>
        <v/>
      </c>
      <c r="S345" s="9">
        <f>Table5[[#This Row],[S/S_CON.]]+Table5[[#This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Table5[[#This Row],[(RESV. STORGE) AJD]]/10</f>
        <v/>
      </c>
      <c r="AB345" s="3">
        <f>IF(TRIM(Z345)="",,(Z345-Z344)/1000)</f>
        <v/>
      </c>
      <c r="AC345" s="5" t="n"/>
      <c r="AD345" s="40">
        <f>(Table5[[#This Row],[( S/S+T/B) AJD]]*1000)-((Table5[[#This Row],[(STORGE DIFF.) AJD]]*1000)+Table5[[#This Row],[AJD_Evaporation]]+(Table5[[#This Row],[(A/B + A/S) AJD]]*1000))</f>
        <v/>
      </c>
      <c r="AE345" s="44" t="n"/>
      <c r="AF345" s="45" t="n"/>
      <c r="AG345" s="45" t="n"/>
      <c r="AH345" s="6">
        <f>Table5[[#This Row],[ (RESV. STORGE) BER]]/10</f>
        <v/>
      </c>
      <c r="AI345" s="44" t="n"/>
      <c r="AJ345" s="44">
        <f>Table5[[#This Row],[(A/B) AJD]]-Table5[[#This Row],[BER_IN]]</f>
        <v/>
      </c>
      <c r="AK345" s="45" t="n"/>
      <c r="AL345" s="45" t="n"/>
      <c r="AM345" s="32" t="n"/>
      <c r="AN345" s="32">
        <f>Table5[[#This Row],[ (RESV. STORGE) SER]]/10</f>
        <v/>
      </c>
      <c r="AO345" s="68" t="n"/>
      <c r="AP345" s="100">
        <f>Table5[[#This Row],[(A/S) AJD]]-Table5[[#This Row],[SER_IN]]</f>
        <v/>
      </c>
    </row>
    <row r="346" ht="18.75" customHeight="1">
      <c r="A346" s="98" t="n">
        <v>47463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Table5[[#This Row],[ (T/B) SAR]]+Table5[[#This Row],[ (S/S) SAR]]</f>
        <v/>
      </c>
      <c r="L346" s="41" t="n"/>
      <c r="M346" s="42" t="n"/>
      <c r="N346" s="42" t="n"/>
      <c r="O346" s="39" t="n"/>
      <c r="P346" s="9">
        <f>Table5[[#This Row],[ (S/S) SAR]]-Table5[[#This Row],[(S/S) AJD]]</f>
        <v/>
      </c>
      <c r="Q346" s="39" t="n"/>
      <c r="R346" s="9">
        <f>Table5[[#This Row],[ (T/B) SAR]]-Table5[[#This Row],[(T/B) AJD]]</f>
        <v/>
      </c>
      <c r="S346" s="9">
        <f>Table5[[#This Row],[S/S_CON.]]+Table5[[#This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Table5[[#This Row],[(RESV. STORGE) AJD]]/10</f>
        <v/>
      </c>
      <c r="AB346" s="3">
        <f>IF(TRIM(Z346)="",,(Z346-Z345)/1000)</f>
        <v/>
      </c>
      <c r="AC346" s="5" t="n"/>
      <c r="AD346" s="39">
        <f>(Table5[[#This Row],[( S/S+T/B) AJD]]*1000)-((Table5[[#This Row],[(STORGE DIFF.) AJD]]*1000)+Table5[[#This Row],[AJD_Evaporation]]+(Table5[[#This Row],[(A/B + A/S) AJD]]*1000))</f>
        <v/>
      </c>
      <c r="AE346" s="41" t="n"/>
      <c r="AF346" s="43" t="n"/>
      <c r="AG346" s="48" t="n"/>
      <c r="AH346" s="6">
        <f>Table5[[#This Row],[ (RESV. STORGE) BER]]/10</f>
        <v/>
      </c>
      <c r="AI346" s="41" t="n"/>
      <c r="AJ346" s="49">
        <f>Table5[[#This Row],[(A/B) AJD]]-Table5[[#This Row],[BER_IN]]</f>
        <v/>
      </c>
      <c r="AK346" s="43" t="n"/>
      <c r="AL346" s="43" t="n"/>
      <c r="AM346" s="32" t="n"/>
      <c r="AN346" s="32">
        <f>Table5[[#This Row],[ (RESV. STORGE) SER]]/10</f>
        <v/>
      </c>
      <c r="AO346" s="68" t="n"/>
      <c r="AP346" s="100">
        <f>Table5[[#This Row],[(A/S) AJD]]-Table5[[#This Row],[SER_IN]]</f>
        <v/>
      </c>
    </row>
    <row r="347" ht="18.75" customHeight="1">
      <c r="A347" s="98" t="n">
        <v>47464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Table5[[#This Row],[ (T/B) SAR]]+Table5[[#This Row],[ (S/S) SAR]]</f>
        <v/>
      </c>
      <c r="L347" s="45" t="n"/>
      <c r="M347" s="46" t="n"/>
      <c r="N347" s="46" t="n"/>
      <c r="O347" s="40" t="n"/>
      <c r="P347" s="9">
        <f>Table5[[#This Row],[ (S/S) SAR]]-Table5[[#This Row],[(S/S) AJD]]</f>
        <v/>
      </c>
      <c r="Q347" s="40" t="n"/>
      <c r="R347" s="9">
        <f>Table5[[#This Row],[ (T/B) SAR]]-Table5[[#This Row],[(T/B) AJD]]</f>
        <v/>
      </c>
      <c r="S347" s="9">
        <f>Table5[[#This Row],[S/S_CON.]]+Table5[[#This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Table5[[#This Row],[(RESV. STORGE) AJD]]/10</f>
        <v/>
      </c>
      <c r="AB347" s="3">
        <f>IF(TRIM(Z347)="",,(Z347-Z346)/1000)</f>
        <v/>
      </c>
      <c r="AC347" s="5" t="n"/>
      <c r="AD347" s="40">
        <f>(Table5[[#This Row],[( S/S+T/B) AJD]]*1000)-((Table5[[#This Row],[(STORGE DIFF.) AJD]]*1000)+Table5[[#This Row],[AJD_Evaporation]]+(Table5[[#This Row],[(A/B + A/S) AJD]]*1000))</f>
        <v/>
      </c>
      <c r="AE347" s="44" t="n"/>
      <c r="AF347" s="45" t="n"/>
      <c r="AG347" s="45" t="n"/>
      <c r="AH347" s="6">
        <f>Table5[[#This Row],[ (RESV. STORGE) BER]]/10</f>
        <v/>
      </c>
      <c r="AI347" s="44" t="n"/>
      <c r="AJ347" s="44">
        <f>Table5[[#This Row],[(A/B) AJD]]-Table5[[#This Row],[BER_IN]]</f>
        <v/>
      </c>
      <c r="AK347" s="45" t="n"/>
      <c r="AL347" s="45" t="n"/>
      <c r="AM347" s="32" t="n"/>
      <c r="AN347" s="32">
        <f>Table5[[#This Row],[ (RESV. STORGE) SER]]/10</f>
        <v/>
      </c>
      <c r="AO347" s="68" t="n"/>
      <c r="AP347" s="100">
        <f>Table5[[#This Row],[(A/S) AJD]]-Table5[[#This Row],[SER_IN]]</f>
        <v/>
      </c>
    </row>
    <row r="348" ht="18.75" customHeight="1">
      <c r="A348" s="98" t="n">
        <v>47465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Table5[[#This Row],[ (T/B) SAR]]+Table5[[#This Row],[ (S/S) SAR]]</f>
        <v/>
      </c>
      <c r="L348" s="41" t="n"/>
      <c r="M348" s="42" t="n"/>
      <c r="N348" s="42" t="n"/>
      <c r="O348" s="39" t="n"/>
      <c r="P348" s="9">
        <f>Table5[[#This Row],[ (S/S) SAR]]-Table5[[#This Row],[(S/S) AJD]]</f>
        <v/>
      </c>
      <c r="Q348" s="39" t="n"/>
      <c r="R348" s="9">
        <f>Table5[[#This Row],[ (T/B) SAR]]-Table5[[#This Row],[(T/B) AJD]]</f>
        <v/>
      </c>
      <c r="S348" s="9">
        <f>Table5[[#This Row],[S/S_CON.]]+Table5[[#This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Table5[[#This Row],[(RESV. STORGE) AJD]]/10</f>
        <v/>
      </c>
      <c r="AB348" s="3">
        <f>IF(TRIM(Z348)="",,(Z348-Z347)/1000)</f>
        <v/>
      </c>
      <c r="AC348" s="5" t="n"/>
      <c r="AD348" s="39">
        <f>(Table5[[#This Row],[( S/S+T/B) AJD]]*1000)-((Table5[[#This Row],[(STORGE DIFF.) AJD]]*1000)+Table5[[#This Row],[AJD_Evaporation]]+(Table5[[#This Row],[(A/B + A/S) AJD]]*1000))</f>
        <v/>
      </c>
      <c r="AE348" s="41" t="n"/>
      <c r="AF348" s="43" t="n"/>
      <c r="AG348" s="43" t="n"/>
      <c r="AH348" s="6">
        <f>Table5[[#This Row],[ (RESV. STORGE) BER]]/10</f>
        <v/>
      </c>
      <c r="AI348" s="41" t="n"/>
      <c r="AJ348" s="41">
        <f>Table5[[#This Row],[(A/B) AJD]]-Table5[[#This Row],[BER_IN]]</f>
        <v/>
      </c>
      <c r="AK348" s="43" t="n"/>
      <c r="AL348" s="43" t="n"/>
      <c r="AM348" s="32" t="n"/>
      <c r="AN348" s="32">
        <f>Table5[[#This Row],[ (RESV. STORGE) SER]]/10</f>
        <v/>
      </c>
      <c r="AO348" s="68" t="n"/>
      <c r="AP348" s="100">
        <f>Table5[[#This Row],[(A/S) AJD]]-Table5[[#This Row],[SER_IN]]</f>
        <v/>
      </c>
    </row>
    <row r="349" ht="18.75" customHeight="1">
      <c r="A349" s="98" t="n">
        <v>47466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Table5[[#This Row],[ (T/B) SAR]]+Table5[[#This Row],[ (S/S) SAR]]</f>
        <v/>
      </c>
      <c r="L349" s="45" t="n"/>
      <c r="M349" s="46" t="n"/>
      <c r="N349" s="46" t="n"/>
      <c r="O349" s="40" t="n"/>
      <c r="P349" s="9">
        <f>Table5[[#This Row],[ (S/S) SAR]]-Table5[[#This Row],[(S/S) AJD]]</f>
        <v/>
      </c>
      <c r="Q349" s="40" t="n"/>
      <c r="R349" s="9">
        <f>Table5[[#This Row],[ (T/B) SAR]]-Table5[[#This Row],[(T/B) AJD]]</f>
        <v/>
      </c>
      <c r="S349" s="9">
        <f>Table5[[#This Row],[S/S_CON.]]+Table5[[#This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Table5[[#This Row],[(RESV. STORGE) AJD]]/10</f>
        <v/>
      </c>
      <c r="AB349" s="3">
        <f>IF(TRIM(Z349)="",,(Z349-Z348)/1000)</f>
        <v/>
      </c>
      <c r="AC349" s="5" t="n"/>
      <c r="AD349" s="40">
        <f>(Table5[[#This Row],[( S/S+T/B) AJD]]*1000)-((Table5[[#This Row],[(STORGE DIFF.) AJD]]*1000)+Table5[[#This Row],[AJD_Evaporation]]+(Table5[[#This Row],[(A/B + A/S) AJD]]*1000))</f>
        <v/>
      </c>
      <c r="AE349" s="44" t="n"/>
      <c r="AF349" s="45" t="n"/>
      <c r="AG349" s="45" t="n"/>
      <c r="AH349" s="6">
        <f>Table5[[#This Row],[ (RESV. STORGE) BER]]/10</f>
        <v/>
      </c>
      <c r="AI349" s="44" t="n"/>
      <c r="AJ349" s="44">
        <f>Table5[[#This Row],[(A/B) AJD]]-Table5[[#This Row],[BER_IN]]</f>
        <v/>
      </c>
      <c r="AK349" s="45" t="n"/>
      <c r="AL349" s="45" t="n"/>
      <c r="AM349" s="32" t="n"/>
      <c r="AN349" s="32">
        <f>Table5[[#This Row],[ (RESV. STORGE) SER]]/10</f>
        <v/>
      </c>
      <c r="AO349" s="68" t="n"/>
      <c r="AP349" s="100">
        <f>Table5[[#This Row],[(A/S) AJD]]-Table5[[#This Row],[SER_IN]]</f>
        <v/>
      </c>
    </row>
    <row r="350" ht="18.75" customHeight="1">
      <c r="A350" s="98" t="n">
        <v>47467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Table5[[#This Row],[ (T/B) SAR]]+Table5[[#This Row],[ (S/S) SAR]]</f>
        <v/>
      </c>
      <c r="L350" s="41" t="n"/>
      <c r="M350" s="42" t="n"/>
      <c r="N350" s="42" t="n"/>
      <c r="O350" s="39" t="n"/>
      <c r="P350" s="9">
        <f>Table5[[#This Row],[ (S/S) SAR]]-Table5[[#This Row],[(S/S) AJD]]</f>
        <v/>
      </c>
      <c r="Q350" s="39" t="n"/>
      <c r="R350" s="9">
        <f>Table5[[#This Row],[ (T/B) SAR]]-Table5[[#This Row],[(T/B) AJD]]</f>
        <v/>
      </c>
      <c r="S350" s="9">
        <f>Table5[[#This Row],[S/S_CON.]]+Table5[[#This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Table5[[#This Row],[(RESV. STORGE) AJD]]/10</f>
        <v/>
      </c>
      <c r="AB350" s="3">
        <f>IF(TRIM(Z350)="",,(Z350-Z349)/1000)</f>
        <v/>
      </c>
      <c r="AC350" s="5" t="n"/>
      <c r="AD350" s="39">
        <f>(Table5[[#This Row],[( S/S+T/B) AJD]]*1000)-((Table5[[#This Row],[(STORGE DIFF.) AJD]]*1000)+Table5[[#This Row],[AJD_Evaporation]]+(Table5[[#This Row],[(A/B + A/S) AJD]]*1000))</f>
        <v/>
      </c>
      <c r="AE350" s="41" t="n"/>
      <c r="AF350" s="43" t="n"/>
      <c r="AG350" s="43" t="n"/>
      <c r="AH350" s="6">
        <f>Table5[[#This Row],[ (RESV. STORGE) BER]]/10</f>
        <v/>
      </c>
      <c r="AI350" s="41" t="n"/>
      <c r="AJ350" s="41">
        <f>Table5[[#This Row],[(A/B) AJD]]-Table5[[#This Row],[BER_IN]]</f>
        <v/>
      </c>
      <c r="AK350" s="43" t="n"/>
      <c r="AL350" s="43" t="n"/>
      <c r="AM350" s="32" t="n"/>
      <c r="AN350" s="32">
        <f>Table5[[#This Row],[ (RESV. STORGE) SER]]/10</f>
        <v/>
      </c>
      <c r="AO350" s="68" t="n"/>
      <c r="AP350" s="100">
        <f>Table5[[#This Row],[(A/S) AJD]]-Table5[[#This Row],[SER_IN]]</f>
        <v/>
      </c>
    </row>
    <row r="351" ht="18.75" customHeight="1">
      <c r="A351" s="98" t="n">
        <v>47468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Table5[[#This Row],[ (T/B) SAR]]+Table5[[#This Row],[ (S/S) SAR]]</f>
        <v/>
      </c>
      <c r="L351" s="45" t="n"/>
      <c r="M351" s="46" t="n"/>
      <c r="N351" s="46" t="n"/>
      <c r="O351" s="40" t="n"/>
      <c r="P351" s="9">
        <f>Table5[[#This Row],[ (S/S) SAR]]-Table5[[#This Row],[(S/S) AJD]]</f>
        <v/>
      </c>
      <c r="Q351" s="40" t="n"/>
      <c r="R351" s="9">
        <f>Table5[[#This Row],[ (T/B) SAR]]-Table5[[#This Row],[(T/B) AJD]]</f>
        <v/>
      </c>
      <c r="S351" s="9">
        <f>Table5[[#This Row],[S/S_CON.]]+Table5[[#This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Table5[[#This Row],[(RESV. STORGE) AJD]]/10</f>
        <v/>
      </c>
      <c r="AB351" s="3">
        <f>IF(TRIM(Z351)="",,(Z351-Z350)/1000)</f>
        <v/>
      </c>
      <c r="AC351" s="5" t="n"/>
      <c r="AD351" s="40">
        <f>(Table5[[#This Row],[( S/S+T/B) AJD]]*1000)-((Table5[[#This Row],[(STORGE DIFF.) AJD]]*1000)+Table5[[#This Row],[AJD_Evaporation]]+(Table5[[#This Row],[(A/B + A/S) AJD]]*1000))</f>
        <v/>
      </c>
      <c r="AE351" s="44" t="n"/>
      <c r="AF351" s="45" t="n"/>
      <c r="AG351" s="45" t="n"/>
      <c r="AH351" s="6">
        <f>Table5[[#This Row],[ (RESV. STORGE) BER]]/10</f>
        <v/>
      </c>
      <c r="AI351" s="44" t="n"/>
      <c r="AJ351" s="44">
        <f>Table5[[#This Row],[(A/B) AJD]]-Table5[[#This Row],[BER_IN]]</f>
        <v/>
      </c>
      <c r="AK351" s="45" t="n"/>
      <c r="AL351" s="45" t="n"/>
      <c r="AM351" s="32" t="n"/>
      <c r="AN351" s="32">
        <f>Table5[[#This Row],[ (RESV. STORGE) SER]]/10</f>
        <v/>
      </c>
      <c r="AO351" s="68" t="n"/>
      <c r="AP351" s="100">
        <f>Table5[[#This Row],[(A/S) AJD]]-Table5[[#This Row],[SER_IN]]</f>
        <v/>
      </c>
    </row>
    <row r="352" ht="18.75" customHeight="1">
      <c r="A352" s="98" t="n">
        <v>47469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Table5[[#This Row],[ (T/B) SAR]]+Table5[[#This Row],[ (S/S) SAR]]</f>
        <v/>
      </c>
      <c r="L352" s="41" t="n"/>
      <c r="M352" s="42" t="n"/>
      <c r="N352" s="42" t="n"/>
      <c r="O352" s="39" t="n"/>
      <c r="P352" s="9">
        <f>Table5[[#This Row],[ (S/S) SAR]]-Table5[[#This Row],[(S/S) AJD]]</f>
        <v/>
      </c>
      <c r="Q352" s="39" t="n"/>
      <c r="R352" s="9">
        <f>Table5[[#This Row],[ (T/B) SAR]]-Table5[[#This Row],[(T/B) AJD]]</f>
        <v/>
      </c>
      <c r="S352" s="9">
        <f>Table5[[#This Row],[S/S_CON.]]+Table5[[#This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Table5[[#This Row],[(RESV. STORGE) AJD]]/10</f>
        <v/>
      </c>
      <c r="AB352" s="3">
        <f>IF(TRIM(Z352)="",,(Z352-Z351)/1000)</f>
        <v/>
      </c>
      <c r="AC352" s="5" t="n"/>
      <c r="AD352" s="39">
        <f>(Table5[[#This Row],[( S/S+T/B) AJD]]*1000)-((Table5[[#This Row],[(STORGE DIFF.) AJD]]*1000)+Table5[[#This Row],[AJD_Evaporation]]+(Table5[[#This Row],[(A/B + A/S) AJD]]*1000))</f>
        <v/>
      </c>
      <c r="AE352" s="41" t="n"/>
      <c r="AF352" s="43" t="n"/>
      <c r="AG352" s="43" t="n"/>
      <c r="AH352" s="6">
        <f>Table5[[#This Row],[ (RESV. STORGE) BER]]/10</f>
        <v/>
      </c>
      <c r="AI352" s="41" t="n"/>
      <c r="AJ352" s="41">
        <f>Table5[[#This Row],[(A/B) AJD]]-Table5[[#This Row],[BER_IN]]</f>
        <v/>
      </c>
      <c r="AK352" s="43" t="n"/>
      <c r="AL352" s="43" t="n"/>
      <c r="AM352" s="32" t="n"/>
      <c r="AN352" s="32">
        <f>Table5[[#This Row],[ (RESV. STORGE) SER]]/10</f>
        <v/>
      </c>
      <c r="AO352" s="68" t="n"/>
      <c r="AP352" s="100">
        <f>Table5[[#This Row],[(A/S) AJD]]-Table5[[#This Row],[SER_IN]]</f>
        <v/>
      </c>
    </row>
    <row r="353" ht="18.75" customHeight="1">
      <c r="A353" s="98" t="n">
        <v>47470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Table5[[#This Row],[ (T/B) SAR]]+Table5[[#This Row],[ (S/S) SAR]]</f>
        <v/>
      </c>
      <c r="L353" s="45" t="n"/>
      <c r="M353" s="46" t="n"/>
      <c r="N353" s="46" t="n"/>
      <c r="O353" s="40" t="n"/>
      <c r="P353" s="9">
        <f>Table5[[#This Row],[ (S/S) SAR]]-Table5[[#This Row],[(S/S) AJD]]</f>
        <v/>
      </c>
      <c r="Q353" s="40" t="n"/>
      <c r="R353" s="9">
        <f>Table5[[#This Row],[ (T/B) SAR]]-Table5[[#This Row],[(T/B) AJD]]</f>
        <v/>
      </c>
      <c r="S353" s="9">
        <f>Table5[[#This Row],[S/S_CON.]]+Table5[[#This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Table5[[#This Row],[(RESV. STORGE) AJD]]/10</f>
        <v/>
      </c>
      <c r="AB353" s="3">
        <f>IF(TRIM(Z353)="",,(Z353-Z352)/1000)</f>
        <v/>
      </c>
      <c r="AC353" s="5" t="n"/>
      <c r="AD353" s="40">
        <f>(Table5[[#This Row],[( S/S+T/B) AJD]]*1000)-((Table5[[#This Row],[(STORGE DIFF.) AJD]]*1000)+Table5[[#This Row],[AJD_Evaporation]]+(Table5[[#This Row],[(A/B + A/S) AJD]]*1000))</f>
        <v/>
      </c>
      <c r="AE353" s="44" t="n"/>
      <c r="AF353" s="45" t="n"/>
      <c r="AG353" s="45" t="n"/>
      <c r="AH353" s="6">
        <f>Table5[[#This Row],[ (RESV. STORGE) BER]]/10</f>
        <v/>
      </c>
      <c r="AI353" s="44" t="n"/>
      <c r="AJ353" s="44">
        <f>Table5[[#This Row],[(A/B) AJD]]-Table5[[#This Row],[BER_IN]]</f>
        <v/>
      </c>
      <c r="AK353" s="45" t="n"/>
      <c r="AL353" s="45" t="n"/>
      <c r="AM353" s="32" t="n"/>
      <c r="AN353" s="32">
        <f>Table5[[#This Row],[ (RESV. STORGE) SER]]/10</f>
        <v/>
      </c>
      <c r="AO353" s="68" t="n"/>
      <c r="AP353" s="100">
        <f>Table5[[#This Row],[(A/S) AJD]]-Table5[[#This Row],[SER_IN]]</f>
        <v/>
      </c>
    </row>
    <row r="354" ht="18.75" customHeight="1">
      <c r="A354" s="98" t="n">
        <v>47471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Table5[[#This Row],[ (T/B) SAR]]+Table5[[#This Row],[ (S/S) SAR]]</f>
        <v/>
      </c>
      <c r="L354" s="41" t="n"/>
      <c r="M354" s="42" t="n"/>
      <c r="N354" s="42" t="n"/>
      <c r="O354" s="39" t="n"/>
      <c r="P354" s="9">
        <f>Table5[[#This Row],[ (S/S) SAR]]-Table5[[#This Row],[(S/S) AJD]]</f>
        <v/>
      </c>
      <c r="Q354" s="39" t="n"/>
      <c r="R354" s="9">
        <f>Table5[[#This Row],[ (T/B) SAR]]-Table5[[#This Row],[(T/B) AJD]]</f>
        <v/>
      </c>
      <c r="S354" s="9">
        <f>Table5[[#This Row],[S/S_CON.]]+Table5[[#This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Table5[[#This Row],[(RESV. STORGE) AJD]]/10</f>
        <v/>
      </c>
      <c r="AB354" s="3">
        <f>IF(TRIM(Z354)="",,(Z354-Z353)/1000)</f>
        <v/>
      </c>
      <c r="AC354" s="5" t="n"/>
      <c r="AD354" s="39">
        <f>(Table5[[#This Row],[( S/S+T/B) AJD]]*1000)-((Table5[[#This Row],[(STORGE DIFF.) AJD]]*1000)+Table5[[#This Row],[AJD_Evaporation]]+(Table5[[#This Row],[(A/B + A/S) AJD]]*1000))</f>
        <v/>
      </c>
      <c r="AE354" s="41" t="n"/>
      <c r="AF354" s="43" t="n"/>
      <c r="AG354" s="43" t="n"/>
      <c r="AH354" s="6">
        <f>Table5[[#This Row],[ (RESV. STORGE) BER]]/10</f>
        <v/>
      </c>
      <c r="AI354" s="41" t="n"/>
      <c r="AJ354" s="41">
        <f>Table5[[#This Row],[(A/B) AJD]]-Table5[[#This Row],[BER_IN]]</f>
        <v/>
      </c>
      <c r="AK354" s="43" t="n"/>
      <c r="AL354" s="43" t="n"/>
      <c r="AM354" s="32" t="n"/>
      <c r="AN354" s="32">
        <f>Table5[[#This Row],[ (RESV. STORGE) SER]]/10</f>
        <v/>
      </c>
      <c r="AO354" s="68" t="n"/>
      <c r="AP354" s="100">
        <f>Table5[[#This Row],[(A/S) AJD]]-Table5[[#This Row],[SER_IN]]</f>
        <v/>
      </c>
    </row>
    <row r="355" ht="18.75" customHeight="1">
      <c r="A355" s="98" t="n">
        <v>47472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Table5[[#This Row],[ (T/B) SAR]]+Table5[[#This Row],[ (S/S) SAR]]</f>
        <v/>
      </c>
      <c r="L355" s="45" t="n"/>
      <c r="M355" s="46" t="n"/>
      <c r="N355" s="46" t="n"/>
      <c r="O355" s="40" t="n"/>
      <c r="P355" s="9">
        <f>Table5[[#This Row],[ (S/S) SAR]]-Table5[[#This Row],[(S/S) AJD]]</f>
        <v/>
      </c>
      <c r="Q355" s="40" t="n"/>
      <c r="R355" s="9">
        <f>Table5[[#This Row],[ (T/B) SAR]]-Table5[[#This Row],[(T/B) AJD]]</f>
        <v/>
      </c>
      <c r="S355" s="9">
        <f>Table5[[#This Row],[S/S_CON.]]+Table5[[#This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Table5[[#This Row],[(RESV. STORGE) AJD]]/10</f>
        <v/>
      </c>
      <c r="AB355" s="3">
        <f>IF(TRIM(Z355)="",,(Z355-Z354)/1000)</f>
        <v/>
      </c>
      <c r="AC355" s="5" t="n"/>
      <c r="AD355" s="40">
        <f>(Table5[[#This Row],[( S/S+T/B) AJD]]*1000)-((Table5[[#This Row],[(STORGE DIFF.) AJD]]*1000)+Table5[[#This Row],[AJD_Evaporation]]+(Table5[[#This Row],[(A/B + A/S) AJD]]*1000))</f>
        <v/>
      </c>
      <c r="AE355" s="44" t="n"/>
      <c r="AF355" s="45" t="n"/>
      <c r="AG355" s="45" t="n"/>
      <c r="AH355" s="6">
        <f>Table5[[#This Row],[ (RESV. STORGE) BER]]/10</f>
        <v/>
      </c>
      <c r="AI355" s="44" t="n"/>
      <c r="AJ355" s="44">
        <f>Table5[[#This Row],[(A/B) AJD]]-Table5[[#This Row],[BER_IN]]</f>
        <v/>
      </c>
      <c r="AK355" s="45" t="n"/>
      <c r="AL355" s="45" t="n"/>
      <c r="AM355" s="32" t="n"/>
      <c r="AN355" s="32">
        <f>Table5[[#This Row],[ (RESV. STORGE) SER]]/10</f>
        <v/>
      </c>
      <c r="AO355" s="68" t="n"/>
      <c r="AP355" s="100">
        <f>Table5[[#This Row],[(A/S) AJD]]-Table5[[#This Row],[SER_IN]]</f>
        <v/>
      </c>
    </row>
    <row r="356" ht="18.75" customHeight="1">
      <c r="A356" s="98" t="n">
        <v>47473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Table5[[#This Row],[ (T/B) SAR]]+Table5[[#This Row],[ (S/S) SAR]]</f>
        <v/>
      </c>
      <c r="L356" s="41" t="n"/>
      <c r="M356" s="42" t="n"/>
      <c r="N356" s="42" t="n"/>
      <c r="O356" s="39" t="n"/>
      <c r="P356" s="9">
        <f>Table5[[#This Row],[ (S/S) SAR]]-Table5[[#This Row],[(S/S) AJD]]</f>
        <v/>
      </c>
      <c r="Q356" s="39" t="n"/>
      <c r="R356" s="9">
        <f>Table5[[#This Row],[ (T/B) SAR]]-Table5[[#This Row],[(T/B) AJD]]</f>
        <v/>
      </c>
      <c r="S356" s="9">
        <f>Table5[[#This Row],[S/S_CON.]]+Table5[[#This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Table5[[#This Row],[(RESV. STORGE) AJD]]/10</f>
        <v/>
      </c>
      <c r="AB356" s="3">
        <f>IF(TRIM(Z356)="",,(Z356-Z355)/1000)</f>
        <v/>
      </c>
      <c r="AC356" s="5" t="n"/>
      <c r="AD356" s="39">
        <f>(Table5[[#This Row],[( S/S+T/B) AJD]]*1000)-((Table5[[#This Row],[(STORGE DIFF.) AJD]]*1000)+Table5[[#This Row],[AJD_Evaporation]]+(Table5[[#This Row],[(A/B + A/S) AJD]]*1000))</f>
        <v/>
      </c>
      <c r="AE356" s="41" t="n"/>
      <c r="AF356" s="43" t="n"/>
      <c r="AG356" s="43" t="n"/>
      <c r="AH356" s="6">
        <f>Table5[[#This Row],[ (RESV. STORGE) BER]]/10</f>
        <v/>
      </c>
      <c r="AI356" s="41" t="n"/>
      <c r="AJ356" s="41">
        <f>Table5[[#This Row],[(A/B) AJD]]-Table5[[#This Row],[BER_IN]]</f>
        <v/>
      </c>
      <c r="AK356" s="43" t="n"/>
      <c r="AL356" s="43" t="n"/>
      <c r="AM356" s="32" t="n"/>
      <c r="AN356" s="32">
        <f>Table5[[#This Row],[ (RESV. STORGE) SER]]/10</f>
        <v/>
      </c>
      <c r="AO356" s="68" t="n"/>
      <c r="AP356" s="100">
        <f>Table5[[#This Row],[(A/S) AJD]]-Table5[[#This Row],[SER_IN]]</f>
        <v/>
      </c>
    </row>
    <row r="357" ht="18.75" customHeight="1">
      <c r="A357" s="98" t="n">
        <v>47474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Table5[[#This Row],[ (T/B) SAR]]+Table5[[#This Row],[ (S/S) SAR]]</f>
        <v/>
      </c>
      <c r="L357" s="45" t="n"/>
      <c r="M357" s="46" t="n"/>
      <c r="N357" s="46" t="n"/>
      <c r="O357" s="40" t="n"/>
      <c r="P357" s="9">
        <f>Table5[[#This Row],[ (S/S) SAR]]-Table5[[#This Row],[(S/S) AJD]]</f>
        <v/>
      </c>
      <c r="Q357" s="40" t="n"/>
      <c r="R357" s="9">
        <f>Table5[[#This Row],[ (T/B) SAR]]-Table5[[#This Row],[(T/B) AJD]]</f>
        <v/>
      </c>
      <c r="S357" s="9">
        <f>Table5[[#This Row],[S/S_CON.]]+Table5[[#This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Table5[[#This Row],[(RESV. STORGE) AJD]]/10</f>
        <v/>
      </c>
      <c r="AB357" s="3">
        <f>IF(TRIM(Z357)="",,(Z357-Z356)/1000)</f>
        <v/>
      </c>
      <c r="AC357" s="5" t="n"/>
      <c r="AD357" s="40">
        <f>(Table5[[#This Row],[( S/S+T/B) AJD]]*1000)-((Table5[[#This Row],[(STORGE DIFF.) AJD]]*1000)+Table5[[#This Row],[AJD_Evaporation]]+(Table5[[#This Row],[(A/B + A/S) AJD]]*1000))</f>
        <v/>
      </c>
      <c r="AE357" s="44" t="n"/>
      <c r="AF357" s="45" t="n"/>
      <c r="AG357" s="45" t="n"/>
      <c r="AH357" s="6">
        <f>Table5[[#This Row],[ (RESV. STORGE) BER]]/10</f>
        <v/>
      </c>
      <c r="AI357" s="44" t="n"/>
      <c r="AJ357" s="44">
        <f>Table5[[#This Row],[(A/B) AJD]]-Table5[[#This Row],[BER_IN]]</f>
        <v/>
      </c>
      <c r="AK357" s="45" t="n"/>
      <c r="AL357" s="45" t="n"/>
      <c r="AM357" s="32" t="n"/>
      <c r="AN357" s="32">
        <f>Table5[[#This Row],[ (RESV. STORGE) SER]]/10</f>
        <v/>
      </c>
      <c r="AO357" s="68" t="n"/>
      <c r="AP357" s="100">
        <f>Table5[[#This Row],[(A/S) AJD]]-Table5[[#This Row],[SER_IN]]</f>
        <v/>
      </c>
    </row>
    <row r="358" ht="18.75" customHeight="1">
      <c r="A358" s="98" t="n">
        <v>47475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Table5[[#This Row],[ (T/B) SAR]]+Table5[[#This Row],[ (S/S) SAR]]</f>
        <v/>
      </c>
      <c r="L358" s="41" t="n"/>
      <c r="M358" s="42" t="n"/>
      <c r="N358" s="42" t="n"/>
      <c r="O358" s="39" t="n"/>
      <c r="P358" s="9">
        <f>Table5[[#This Row],[ (S/S) SAR]]-Table5[[#This Row],[(S/S) AJD]]</f>
        <v/>
      </c>
      <c r="Q358" s="39" t="n"/>
      <c r="R358" s="9">
        <f>Table5[[#This Row],[ (T/B) SAR]]-Table5[[#This Row],[(T/B) AJD]]</f>
        <v/>
      </c>
      <c r="S358" s="9">
        <f>Table5[[#This Row],[S/S_CON.]]+Table5[[#This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Table5[[#This Row],[(RESV. STORGE) AJD]]/10</f>
        <v/>
      </c>
      <c r="AB358" s="3">
        <f>IF(TRIM(Z358)="",,(Z358-Z357)/1000)</f>
        <v/>
      </c>
      <c r="AC358" s="5" t="n"/>
      <c r="AD358" s="39">
        <f>(Table5[[#This Row],[( S/S+T/B) AJD]]*1000)-((Table5[[#This Row],[(STORGE DIFF.) AJD]]*1000)+Table5[[#This Row],[AJD_Evaporation]]+(Table5[[#This Row],[(A/B + A/S) AJD]]*1000))</f>
        <v/>
      </c>
      <c r="AE358" s="41" t="n"/>
      <c r="AF358" s="43" t="n"/>
      <c r="AG358" s="43" t="n"/>
      <c r="AH358" s="6">
        <f>Table5[[#This Row],[ (RESV. STORGE) BER]]/10</f>
        <v/>
      </c>
      <c r="AI358" s="41" t="n"/>
      <c r="AJ358" s="41">
        <f>Table5[[#This Row],[(A/B) AJD]]-Table5[[#This Row],[BER_IN]]</f>
        <v/>
      </c>
      <c r="AK358" s="43" t="n"/>
      <c r="AL358" s="43" t="n"/>
      <c r="AM358" s="32" t="n"/>
      <c r="AN358" s="32">
        <f>Table5[[#This Row],[ (RESV. STORGE) SER]]/10</f>
        <v/>
      </c>
      <c r="AO358" s="68" t="n"/>
      <c r="AP358" s="100">
        <f>Table5[[#This Row],[(A/S) AJD]]-Table5[[#This Row],[SER_IN]]</f>
        <v/>
      </c>
    </row>
    <row r="359" ht="18.75" customHeight="1">
      <c r="A359" s="98" t="n">
        <v>47476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Table5[[#This Row],[ (T/B) SAR]]+Table5[[#This Row],[ (S/S) SAR]]</f>
        <v/>
      </c>
      <c r="L359" s="45" t="n"/>
      <c r="M359" s="46" t="n"/>
      <c r="N359" s="46" t="n"/>
      <c r="O359" s="40" t="n"/>
      <c r="P359" s="9">
        <f>Table5[[#This Row],[ (S/S) SAR]]-Table5[[#This Row],[(S/S) AJD]]</f>
        <v/>
      </c>
      <c r="Q359" s="40" t="n"/>
      <c r="R359" s="9">
        <f>Table5[[#This Row],[ (T/B) SAR]]-Table5[[#This Row],[(T/B) AJD]]</f>
        <v/>
      </c>
      <c r="S359" s="9">
        <f>Table5[[#This Row],[S/S_CON.]]+Table5[[#This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Table5[[#This Row],[(RESV. STORGE) AJD]]/10</f>
        <v/>
      </c>
      <c r="AB359" s="3">
        <f>IF(TRIM(Z359)="",,(Z359-Z358)/1000)</f>
        <v/>
      </c>
      <c r="AC359" s="5" t="n"/>
      <c r="AD359" s="40">
        <f>(Table5[[#This Row],[( S/S+T/B) AJD]]*1000)-((Table5[[#This Row],[(STORGE DIFF.) AJD]]*1000)+Table5[[#This Row],[AJD_Evaporation]]+(Table5[[#This Row],[(A/B + A/S) AJD]]*1000))</f>
        <v/>
      </c>
      <c r="AE359" s="44" t="n"/>
      <c r="AF359" s="45" t="n"/>
      <c r="AG359" s="45" t="n"/>
      <c r="AH359" s="6">
        <f>Table5[[#This Row],[ (RESV. STORGE) BER]]/10</f>
        <v/>
      </c>
      <c r="AI359" s="44" t="n"/>
      <c r="AJ359" s="44">
        <f>Table5[[#This Row],[(A/B) AJD]]-Table5[[#This Row],[BER_IN]]</f>
        <v/>
      </c>
      <c r="AK359" s="45" t="n"/>
      <c r="AL359" s="45" t="n"/>
      <c r="AM359" s="32" t="n"/>
      <c r="AN359" s="32">
        <f>Table5[[#This Row],[ (RESV. STORGE) SER]]/10</f>
        <v/>
      </c>
      <c r="AO359" s="68" t="n"/>
      <c r="AP359" s="100">
        <f>Table5[[#This Row],[(A/S) AJD]]-Table5[[#This Row],[SER_IN]]</f>
        <v/>
      </c>
    </row>
    <row r="360" ht="18.75" customHeight="1">
      <c r="A360" s="98" t="n">
        <v>47477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Table5[[#This Row],[ (T/B) SAR]]+Table5[[#This Row],[ (S/S) SAR]]</f>
        <v/>
      </c>
      <c r="L360" s="41" t="n"/>
      <c r="M360" s="42" t="n"/>
      <c r="N360" s="42" t="n"/>
      <c r="O360" s="39" t="n"/>
      <c r="P360" s="9">
        <f>Table5[[#This Row],[ (S/S) SAR]]-Table5[[#This Row],[(S/S) AJD]]</f>
        <v/>
      </c>
      <c r="Q360" s="39" t="n"/>
      <c r="R360" s="9">
        <f>Table5[[#This Row],[ (T/B) SAR]]-Table5[[#This Row],[(T/B) AJD]]</f>
        <v/>
      </c>
      <c r="S360" s="9">
        <f>Table5[[#This Row],[S/S_CON.]]+Table5[[#This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Table5[[#This Row],[(RESV. STORGE) AJD]]/10</f>
        <v/>
      </c>
      <c r="AB360" s="3">
        <f>IF(TRIM(Z360)="",,(Z360-Z359)/1000)</f>
        <v/>
      </c>
      <c r="AC360" s="5" t="n"/>
      <c r="AD360" s="39">
        <f>(Table5[[#This Row],[( S/S+T/B) AJD]]*1000)-((Table5[[#This Row],[(STORGE DIFF.) AJD]]*1000)+Table5[[#This Row],[AJD_Evaporation]]+(Table5[[#This Row],[(A/B + A/S) AJD]]*1000))</f>
        <v/>
      </c>
      <c r="AE360" s="41" t="n"/>
      <c r="AF360" s="43" t="n"/>
      <c r="AG360" s="43" t="n"/>
      <c r="AH360" s="6">
        <f>Table5[[#This Row],[ (RESV. STORGE) BER]]/10</f>
        <v/>
      </c>
      <c r="AI360" s="41" t="n"/>
      <c r="AJ360" s="41">
        <f>Table5[[#This Row],[(A/B) AJD]]-Table5[[#This Row],[BER_IN]]</f>
        <v/>
      </c>
      <c r="AK360" s="43" t="n"/>
      <c r="AL360" s="43" t="n"/>
      <c r="AM360" s="32" t="n"/>
      <c r="AN360" s="32">
        <f>Table5[[#This Row],[ (RESV. STORGE) SER]]/10</f>
        <v/>
      </c>
      <c r="AO360" s="68" t="n"/>
      <c r="AP360" s="100">
        <f>Table5[[#This Row],[(A/S) AJD]]-Table5[[#This Row],[SER_IN]]</f>
        <v/>
      </c>
    </row>
    <row r="361" ht="18.75" customHeight="1">
      <c r="A361" s="98" t="n">
        <v>47478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Table5[[#This Row],[ (T/B) SAR]]+Table5[[#This Row],[ (S/S) SAR]]</f>
        <v/>
      </c>
      <c r="L361" s="45" t="n"/>
      <c r="M361" s="46" t="n"/>
      <c r="N361" s="46" t="n"/>
      <c r="O361" s="40" t="n"/>
      <c r="P361" s="9">
        <f>Table5[[#This Row],[ (S/S) SAR]]-Table5[[#This Row],[(S/S) AJD]]</f>
        <v/>
      </c>
      <c r="Q361" s="40" t="n"/>
      <c r="R361" s="9">
        <f>Table5[[#This Row],[ (T/B) SAR]]-Table5[[#This Row],[(T/B) AJD]]</f>
        <v/>
      </c>
      <c r="S361" s="9">
        <f>Table5[[#This Row],[S/S_CON.]]+Table5[[#This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Table5[[#This Row],[(RESV. STORGE) AJD]]/10</f>
        <v/>
      </c>
      <c r="AB361" s="3">
        <f>IF(TRIM(Z361)="",,(Z361-Z360)/1000)</f>
        <v/>
      </c>
      <c r="AC361" s="5" t="n"/>
      <c r="AD361" s="40">
        <f>(Table5[[#This Row],[( S/S+T/B) AJD]]*1000)-((Table5[[#This Row],[(STORGE DIFF.) AJD]]*1000)+Table5[[#This Row],[AJD_Evaporation]]+(Table5[[#This Row],[(A/B + A/S) AJD]]*1000))</f>
        <v/>
      </c>
      <c r="AE361" s="44" t="n"/>
      <c r="AF361" s="45" t="n"/>
      <c r="AG361" s="45" t="n"/>
      <c r="AH361" s="6">
        <f>Table5[[#This Row],[ (RESV. STORGE) BER]]/10</f>
        <v/>
      </c>
      <c r="AI361" s="44" t="n"/>
      <c r="AJ361" s="44">
        <f>Table5[[#This Row],[(A/B) AJD]]-Table5[[#This Row],[BER_IN]]</f>
        <v/>
      </c>
      <c r="AK361" s="45" t="n"/>
      <c r="AL361" s="45" t="n"/>
      <c r="AM361" s="32" t="n"/>
      <c r="AN361" s="32">
        <f>Table5[[#This Row],[ (RESV. STORGE) SER]]/10</f>
        <v/>
      </c>
      <c r="AO361" s="68" t="n"/>
      <c r="AP361" s="100">
        <f>Table5[[#This Row],[(A/S) AJD]]-Table5[[#This Row],[SER_IN]]</f>
        <v/>
      </c>
    </row>
    <row r="362" ht="18.75" customHeight="1">
      <c r="A362" s="98" t="n">
        <v>47479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Table5[[#This Row],[ (T/B) SAR]]+Table5[[#This Row],[ (S/S) SAR]]</f>
        <v/>
      </c>
      <c r="L362" s="41" t="n"/>
      <c r="M362" s="42" t="n"/>
      <c r="N362" s="42" t="n"/>
      <c r="O362" s="39" t="n"/>
      <c r="P362" s="9">
        <f>Table5[[#This Row],[ (S/S) SAR]]-Table5[[#This Row],[(S/S) AJD]]</f>
        <v/>
      </c>
      <c r="Q362" s="39" t="n"/>
      <c r="R362" s="9">
        <f>Table5[[#This Row],[ (T/B) SAR]]-Table5[[#This Row],[(T/B) AJD]]</f>
        <v/>
      </c>
      <c r="S362" s="9">
        <f>Table5[[#This Row],[S/S_CON.]]+Table5[[#This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Table5[[#This Row],[(RESV. STORGE) AJD]]/10</f>
        <v/>
      </c>
      <c r="AB362" s="3">
        <f>IF(TRIM(Z362)="",,(Z362-Z361)/1000)</f>
        <v/>
      </c>
      <c r="AC362" s="5" t="n"/>
      <c r="AD362" s="39">
        <f>(Table5[[#This Row],[( S/S+T/B) AJD]]*1000)-((Table5[[#This Row],[(STORGE DIFF.) AJD]]*1000)+Table5[[#This Row],[AJD_Evaporation]]+(Table5[[#This Row],[(A/B + A/S) AJD]]*1000))</f>
        <v/>
      </c>
      <c r="AE362" s="41" t="n"/>
      <c r="AF362" s="43" t="n"/>
      <c r="AG362" s="43" t="n"/>
      <c r="AH362" s="6">
        <f>Table5[[#This Row],[ (RESV. STORGE) BER]]/10</f>
        <v/>
      </c>
      <c r="AI362" s="41" t="n"/>
      <c r="AJ362" s="41">
        <f>Table5[[#This Row],[(A/B) AJD]]-Table5[[#This Row],[BER_IN]]</f>
        <v/>
      </c>
      <c r="AK362" s="43" t="n"/>
      <c r="AL362" s="43" t="n"/>
      <c r="AM362" s="32" t="n"/>
      <c r="AN362" s="32">
        <f>Table5[[#This Row],[ (RESV. STORGE) SER]]/10</f>
        <v/>
      </c>
      <c r="AO362" s="68" t="n"/>
      <c r="AP362" s="100">
        <f>Table5[[#This Row],[(A/S) AJD]]-Table5[[#This Row],[SER_IN]]</f>
        <v/>
      </c>
    </row>
    <row r="363" ht="18.75" customHeight="1">
      <c r="A363" s="98" t="n">
        <v>47480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Table5[[#This Row],[ (T/B) SAR]]+Table5[[#This Row],[ (S/S) SAR]]</f>
        <v/>
      </c>
      <c r="L363" s="45" t="n"/>
      <c r="M363" s="46" t="n"/>
      <c r="N363" s="46" t="n"/>
      <c r="O363" s="40" t="n"/>
      <c r="P363" s="9">
        <f>Table5[[#This Row],[ (S/S) SAR]]-Table5[[#This Row],[(S/S) AJD]]</f>
        <v/>
      </c>
      <c r="Q363" s="40" t="n"/>
      <c r="R363" s="9">
        <f>Table5[[#This Row],[ (T/B) SAR]]-Table5[[#This Row],[(T/B) AJD]]</f>
        <v/>
      </c>
      <c r="S363" s="9">
        <f>Table5[[#This Row],[S/S_CON.]]+Table5[[#This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Table5[[#This Row],[(RESV. STORGE) AJD]]/10</f>
        <v/>
      </c>
      <c r="AB363" s="3">
        <f>IF(TRIM(Z363)="",,(Z363-Z362)/1000)</f>
        <v/>
      </c>
      <c r="AC363" s="5" t="n"/>
      <c r="AD363" s="40">
        <f>(Table5[[#This Row],[( S/S+T/B) AJD]]*1000)-((Table5[[#This Row],[(STORGE DIFF.) AJD]]*1000)+Table5[[#This Row],[AJD_Evaporation]]+(Table5[[#This Row],[(A/B + A/S) AJD]]*1000))</f>
        <v/>
      </c>
      <c r="AE363" s="44" t="n"/>
      <c r="AF363" s="45" t="n"/>
      <c r="AG363" s="45" t="n"/>
      <c r="AH363" s="6">
        <f>Table5[[#This Row],[ (RESV. STORGE) BER]]/10</f>
        <v/>
      </c>
      <c r="AI363" s="44" t="n"/>
      <c r="AJ363" s="44">
        <f>Table5[[#This Row],[(A/B) AJD]]-Table5[[#This Row],[BER_IN]]</f>
        <v/>
      </c>
      <c r="AK363" s="45" t="n"/>
      <c r="AL363" s="45" t="n"/>
      <c r="AM363" s="32" t="n"/>
      <c r="AN363" s="32">
        <f>Table5[[#This Row],[ (RESV. STORGE) SER]]/10</f>
        <v/>
      </c>
      <c r="AO363" s="68" t="n"/>
      <c r="AP363" s="100">
        <f>Table5[[#This Row],[(A/S) AJD]]-Table5[[#This Row],[SER_IN]]</f>
        <v/>
      </c>
    </row>
    <row r="364" ht="18.75" customHeight="1">
      <c r="A364" s="98" t="n">
        <v>47481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Table5[[#This Row],[ (T/B) SAR]]+Table5[[#This Row],[ (S/S) SAR]]</f>
        <v/>
      </c>
      <c r="L364" s="41" t="n"/>
      <c r="M364" s="42" t="n"/>
      <c r="N364" s="42" t="n"/>
      <c r="O364" s="39" t="n"/>
      <c r="P364" s="9">
        <f>Table5[[#This Row],[ (S/S) SAR]]-Table5[[#This Row],[(S/S) AJD]]</f>
        <v/>
      </c>
      <c r="Q364" s="39" t="n"/>
      <c r="R364" s="9">
        <f>Table5[[#This Row],[ (T/B) SAR]]-Table5[[#This Row],[(T/B) AJD]]</f>
        <v/>
      </c>
      <c r="S364" s="9">
        <f>Table5[[#This Row],[S/S_CON.]]+Table5[[#This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Table5[[#This Row],[(RESV. STORGE) AJD]]/10</f>
        <v/>
      </c>
      <c r="AB364" s="3">
        <f>IF(TRIM(Z364)="",,(Z364-Z363)/1000)</f>
        <v/>
      </c>
      <c r="AC364" s="5" t="n"/>
      <c r="AD364" s="39">
        <f>(Table5[[#This Row],[( S/S+T/B) AJD]]*1000)-((Table5[[#This Row],[(STORGE DIFF.) AJD]]*1000)+Table5[[#This Row],[AJD_Evaporation]]+(Table5[[#This Row],[(A/B + A/S) AJD]]*1000))</f>
        <v/>
      </c>
      <c r="AE364" s="41" t="n"/>
      <c r="AF364" s="43" t="n"/>
      <c r="AG364" s="43" t="n"/>
      <c r="AH364" s="6">
        <f>Table5[[#This Row],[ (RESV. STORGE) BER]]/10</f>
        <v/>
      </c>
      <c r="AI364" s="41" t="n"/>
      <c r="AJ364" s="41">
        <f>Table5[[#This Row],[(A/B) AJD]]-Table5[[#This Row],[BER_IN]]</f>
        <v/>
      </c>
      <c r="AK364" s="43" t="n"/>
      <c r="AL364" s="43" t="n"/>
      <c r="AM364" s="32" t="n"/>
      <c r="AN364" s="32">
        <f>Table5[[#This Row],[ (RESV. STORGE) SER]]/10</f>
        <v/>
      </c>
      <c r="AO364" s="68" t="n"/>
      <c r="AP364" s="100">
        <f>Table5[[#This Row],[(A/S) AJD]]-Table5[[#This Row],[SER_IN]]</f>
        <v/>
      </c>
    </row>
    <row r="365" ht="18.75" customHeight="1">
      <c r="A365" s="98" t="n">
        <v>47482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Table5[[#This Row],[ (T/B) SAR]]+Table5[[#This Row],[ (S/S) SAR]]</f>
        <v/>
      </c>
      <c r="L365" s="45" t="n"/>
      <c r="M365" s="46" t="n"/>
      <c r="N365" s="46" t="n"/>
      <c r="O365" s="40" t="n"/>
      <c r="P365" s="9">
        <f>Table5[[#This Row],[ (S/S) SAR]]-Table5[[#This Row],[(S/S) AJD]]</f>
        <v/>
      </c>
      <c r="Q365" s="40" t="n"/>
      <c r="R365" s="9">
        <f>Table5[[#This Row],[ (T/B) SAR]]-Table5[[#This Row],[(T/B) AJD]]</f>
        <v/>
      </c>
      <c r="S365" s="9">
        <f>Table5[[#This Row],[S/S_CON.]]+Table5[[#This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Table5[[#This Row],[(RESV. STORGE) AJD]]/10</f>
        <v/>
      </c>
      <c r="AB365" s="3">
        <f>IF(TRIM(Z365)="",,(Z365-Z364)/1000)</f>
        <v/>
      </c>
      <c r="AC365" s="5" t="n"/>
      <c r="AD365" s="50">
        <f>(Table5[[#This Row],[( S/S+T/B) AJD]]*1000)-((Table5[[#This Row],[(STORGE DIFF.) AJD]]*1000)+Table5[[#This Row],[AJD_Evaporation]]+(Table5[[#This Row],[(A/B + A/S) AJD]]*1000))</f>
        <v/>
      </c>
      <c r="AE365" s="44" t="n"/>
      <c r="AF365" s="45" t="n"/>
      <c r="AG365" s="45" t="n"/>
      <c r="AH365" s="6">
        <f>Table5[[#This Row],[ (RESV. STORGE) BER]]/10</f>
        <v/>
      </c>
      <c r="AI365" s="44" t="n"/>
      <c r="AJ365" s="47">
        <f>Table5[[#This Row],[(A/B) AJD]]-Table5[[#This Row],[BER_IN]]</f>
        <v/>
      </c>
      <c r="AK365" s="45" t="n"/>
      <c r="AL365" s="45" t="n"/>
      <c r="AM365" s="32" t="n"/>
      <c r="AN365" s="32">
        <f>Table5[[#This Row],[ (RESV. STORGE) SER]]/10</f>
        <v/>
      </c>
      <c r="AO365" s="68" t="n"/>
      <c r="AP365" s="100">
        <f>Table5[[#This Row],[(A/S) AJD]]-Table5[[#This Row],[SER_IN]]</f>
        <v/>
      </c>
    </row>
    <row r="366" ht="18.75" customHeight="1">
      <c r="A366" s="98" t="n">
        <v>47483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Table5[[#This Row],[ (T/B) SAR]]+Table5[[#This Row],[ (S/S) SAR]]</f>
        <v/>
      </c>
      <c r="L366" s="41" t="n"/>
      <c r="M366" s="42" t="n"/>
      <c r="N366" s="42" t="n"/>
      <c r="O366" s="39" t="n"/>
      <c r="P366" s="19">
        <f>Table5[[#This Row],[ (S/S) SAR]]-Table5[[#This Row],[(S/S) AJD]]</f>
        <v/>
      </c>
      <c r="Q366" s="39" t="n"/>
      <c r="R366" s="19">
        <f>Table5[[#This Row],[ (T/B) SAR]]-Table5[[#This Row],[(T/B) AJD]]</f>
        <v/>
      </c>
      <c r="S366" s="19">
        <f>Table5[[#This Row],[S/S_CON.]]+Table5[[#This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Table5[[#This Row],[(RESV. STORGE) AJD]]/10</f>
        <v/>
      </c>
      <c r="AB366" s="3">
        <f>IF(TRIM(Z366)="",,(Z366-Z365)/1000)</f>
        <v/>
      </c>
      <c r="AC366" s="5" t="n"/>
      <c r="AD366" s="50">
        <f>(Table5[[#This Row],[( S/S+T/B) AJD]]*1000)-((Table5[[#This Row],[(STORGE DIFF.) AJD]]*1000)+Table5[[#This Row],[AJD_Evaporation]]+(Table5[[#This Row],[(A/B + A/S) AJD]]*1000))</f>
        <v/>
      </c>
      <c r="AE366" s="41" t="n"/>
      <c r="AF366" s="43" t="n"/>
      <c r="AG366" s="43" t="n"/>
      <c r="AH366" s="21">
        <f>Table5[[#This Row],[ (RESV. STORGE) BER]]/10</f>
        <v/>
      </c>
      <c r="AI366" s="41" t="n"/>
      <c r="AJ366" s="41">
        <f>Table5[[#This Row],[(A/B) AJD]]-Table5[[#This Row],[BER_IN]]</f>
        <v/>
      </c>
      <c r="AK366" s="43" t="n"/>
      <c r="AL366" s="43" t="n"/>
      <c r="AM366" s="32" t="n"/>
      <c r="AN366" s="32">
        <f>Table5[[#This Row],[ (RESV. STORGE) SER]]/10</f>
        <v/>
      </c>
      <c r="AO366" s="82" t="n"/>
      <c r="AP366" s="101">
        <f>Table5[[#This Row],[(A/S) AJD]]-Table5[[#This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P367"/>
  <sheetViews>
    <sheetView rightToLeft="1" topLeftCell="W1" workbookViewId="0">
      <selection activeCell="AD2" sqref="AD2"/>
    </sheetView>
  </sheetViews>
  <sheetFormatPr baseColWidth="8" defaultRowHeight="15"/>
  <cols>
    <col width="12.5" customWidth="1" min="1" max="1"/>
    <col width="11.875" customWidth="1" style="56" min="2" max="2"/>
    <col width="16.75" customWidth="1" style="56" min="3" max="3"/>
    <col width="11.625" customWidth="1" style="56" min="4" max="4"/>
    <col width="9.875" customWidth="1" style="56" min="5" max="5"/>
    <col width="12.25" customWidth="1" style="56" min="6" max="6"/>
    <col width="12.375" customWidth="1" style="56" min="7" max="7"/>
    <col width="14.25" customWidth="1" style="56" min="8" max="8"/>
    <col width="10.75" customWidth="1" style="56" min="9" max="9"/>
    <col width="10.875" customWidth="1" style="56" min="10" max="10"/>
    <col width="13" customWidth="1" style="56" min="11" max="11"/>
    <col width="11.375" customWidth="1" style="56" min="12" max="12"/>
    <col width="13.375" customWidth="1" style="57" min="13" max="13"/>
    <col width="15.375" customWidth="1" style="58" min="14" max="14"/>
    <col width="11" customWidth="1" style="7" min="15" max="15"/>
    <col width="11.5" customWidth="1" style="7" min="16" max="16"/>
    <col width="11.125" customWidth="1" style="7" min="17" max="17"/>
    <col width="11.25" customWidth="1" style="7" min="18" max="18"/>
    <col width="16.125" customWidth="1" style="7" min="19" max="19"/>
    <col width="15.75" customWidth="1" style="7" min="20" max="20"/>
    <col width="11" customWidth="1" style="7" min="21" max="21"/>
    <col width="10.875" customWidth="1" style="7" min="22" max="22"/>
    <col width="16" customWidth="1" style="7" min="23" max="23"/>
    <col width="14.625" customWidth="1" style="7" min="24" max="24"/>
    <col width="18.75" customWidth="1" style="7" min="25" max="25"/>
    <col width="22.125" customWidth="1" style="7" min="26" max="26"/>
    <col width="17.875" customWidth="1" style="7" min="27" max="27"/>
    <col width="21.25" customWidth="1" style="7" min="28" max="28"/>
    <col width="18" customWidth="1" style="7" min="29" max="29"/>
    <col width="15.75" customWidth="1" style="7" min="30" max="30"/>
    <col width="9.625" customWidth="1" style="7" min="31" max="31"/>
    <col width="19.25" customWidth="1" style="7" min="32" max="32"/>
    <col width="23.125" customWidth="1" style="7" min="33" max="33"/>
    <col width="18.875" customWidth="1" style="7" min="34" max="34"/>
    <col width="14.25" customWidth="1" style="7" min="35" max="35"/>
    <col width="11.5" customWidth="1" style="7" min="36" max="36"/>
    <col width="9.625" customWidth="1" style="7" min="37" max="37"/>
    <col width="19.625" customWidth="1" style="7" min="38" max="38"/>
    <col width="23" customWidth="1" style="7" min="39" max="39"/>
    <col width="18.25" customWidth="1" style="7" min="40" max="40"/>
    <col width="12.625" customWidth="1" min="41" max="41"/>
    <col width="11.375" customWidth="1" min="42" max="42"/>
  </cols>
  <sheetData>
    <row r="1" ht="55.5" customFormat="1" customHeight="1" s="27">
      <c r="A1" s="102" t="inlineStr">
        <is>
          <t xml:space="preserve"> اليوم</t>
        </is>
      </c>
      <c r="B1" s="103" t="inlineStr">
        <is>
          <t>آبار منتجة TAZ</t>
        </is>
      </c>
      <c r="C1" s="103" t="inlineStr">
        <is>
          <t>الانتاج 1000 (م3) TAZ</t>
        </is>
      </c>
      <c r="D1" s="103" t="inlineStr">
        <is>
          <t>آبار عاملة TAZ</t>
        </is>
      </c>
      <c r="E1" s="103" t="inlineStr">
        <is>
          <t>آبار احتياطية</t>
        </is>
      </c>
      <c r="F1" s="104" t="inlineStr">
        <is>
          <t>آبار منتجة SAR</t>
        </is>
      </c>
      <c r="G1" s="104" t="inlineStr">
        <is>
          <t>إنتاج آبار  SAR</t>
        </is>
      </c>
      <c r="H1" s="104" t="inlineStr">
        <is>
          <t>آبار احتياطية  SAR</t>
        </is>
      </c>
      <c r="I1" s="104" t="inlineStr">
        <is>
          <t xml:space="preserve"> (T/B) SAR</t>
        </is>
      </c>
      <c r="J1" s="104" t="inlineStr">
        <is>
          <t xml:space="preserve"> (S/S) SAR</t>
        </is>
      </c>
      <c r="K1" s="104" t="inlineStr">
        <is>
          <t>(S/S+TB)SAR</t>
        </is>
      </c>
      <c r="L1" s="105" t="inlineStr">
        <is>
          <t>TAZ/SAR</t>
        </is>
      </c>
      <c r="M1" s="105" t="inlineStr">
        <is>
          <t xml:space="preserve"> % ECV SAR</t>
        </is>
      </c>
      <c r="N1" s="105" t="inlineStr">
        <is>
          <t>ECV (bar) SAR</t>
        </is>
      </c>
      <c r="O1" s="106" t="inlineStr">
        <is>
          <t>(S/S) AJD</t>
        </is>
      </c>
      <c r="P1" s="106" t="inlineStr">
        <is>
          <t>S/S_CON.</t>
        </is>
      </c>
      <c r="Q1" s="106" t="inlineStr">
        <is>
          <t>(T/B) AJD</t>
        </is>
      </c>
      <c r="R1" s="106" t="inlineStr">
        <is>
          <t>T/B-CON.</t>
        </is>
      </c>
      <c r="S1" s="106" t="inlineStr">
        <is>
          <t>(S/S-T/B)-CON.</t>
        </is>
      </c>
      <c r="T1" s="106" t="inlineStr">
        <is>
          <t>( S/S+T/B) AJD</t>
        </is>
      </c>
      <c r="U1" s="106" t="inlineStr">
        <is>
          <t>(A/B) AJD</t>
        </is>
      </c>
      <c r="V1" s="106" t="inlineStr">
        <is>
          <t>(A/S) AJD</t>
        </is>
      </c>
      <c r="W1" s="106" t="inlineStr">
        <is>
          <t>(A/B + A/S) AJD</t>
        </is>
      </c>
      <c r="X1" s="106" t="inlineStr">
        <is>
          <t>(IN-OUT) AJD</t>
        </is>
      </c>
      <c r="Y1" s="106" t="inlineStr">
        <is>
          <t>(RES. LEVEL) AJD</t>
        </is>
      </c>
      <c r="Z1" s="106" t="inlineStr">
        <is>
          <t>(RESV. STORGE) AJD</t>
        </is>
      </c>
      <c r="AA1" s="106" t="inlineStr">
        <is>
          <t>AJD_STORG.* 10</t>
        </is>
      </c>
      <c r="AB1" s="106" t="inlineStr">
        <is>
          <t>(STORGE DIFF.) AJD</t>
        </is>
      </c>
      <c r="AC1" s="106" t="inlineStr">
        <is>
          <t>AJD_Evaporation</t>
        </is>
      </c>
      <c r="AD1" s="106" t="inlineStr">
        <is>
          <t>AJD_LOSES</t>
        </is>
      </c>
      <c r="AE1" s="107" t="inlineStr">
        <is>
          <t>BER_IN</t>
        </is>
      </c>
      <c r="AF1" s="107" t="inlineStr">
        <is>
          <t>(RES. LEVEL) BER</t>
        </is>
      </c>
      <c r="AG1" s="107" t="inlineStr">
        <is>
          <t xml:space="preserve"> (RESV. STORGE) BER</t>
        </is>
      </c>
      <c r="AH1" s="107" t="inlineStr">
        <is>
          <t>BER_STORG. * 10</t>
        </is>
      </c>
      <c r="AI1" s="107" t="inlineStr">
        <is>
          <t>BER_Evap.</t>
        </is>
      </c>
      <c r="AJ1" s="107" t="inlineStr">
        <is>
          <t>A/B_CON.</t>
        </is>
      </c>
      <c r="AK1" s="106" t="inlineStr">
        <is>
          <t>SER_IN</t>
        </is>
      </c>
      <c r="AL1" s="106" t="inlineStr">
        <is>
          <t xml:space="preserve">(RES. LEVEL) SER </t>
        </is>
      </c>
      <c r="AM1" s="106" t="inlineStr">
        <is>
          <t xml:space="preserve"> (RESV. STORGE) SER</t>
        </is>
      </c>
      <c r="AN1" s="106" t="inlineStr">
        <is>
          <t>SER_STORG.* 10</t>
        </is>
      </c>
      <c r="AO1" s="106" t="inlineStr">
        <is>
          <t>SER_Evap.</t>
        </is>
      </c>
      <c r="AP1" s="108" t="inlineStr">
        <is>
          <t>A/S_CON.</t>
        </is>
      </c>
    </row>
    <row r="2" ht="18.75" customHeight="1">
      <c r="A2" s="98" t="n">
        <v>47484</v>
      </c>
      <c r="B2" s="41" t="n"/>
      <c r="C2" s="41" t="n"/>
      <c r="D2" s="41" t="n"/>
      <c r="E2" s="41" t="n"/>
      <c r="F2" s="41" t="n"/>
      <c r="G2" s="39" t="n"/>
      <c r="H2" s="41" t="n"/>
      <c r="I2" s="39" t="n"/>
      <c r="J2" s="39" t="n"/>
      <c r="K2" s="28">
        <f>Table6[[#This Row],[ (T/B) SAR]]+Table6[[#This Row],[ (S/S) SAR]]</f>
        <v/>
      </c>
      <c r="L2" s="41" t="n"/>
      <c r="M2" s="42" t="n"/>
      <c r="N2" s="42" t="n"/>
      <c r="O2" s="39" t="n"/>
      <c r="P2" s="3">
        <f>Table6[[#This Row],[ (S/S) SAR]]-Table6[[#This Row],[(S/S) AJD]]</f>
        <v/>
      </c>
      <c r="Q2" s="39" t="n"/>
      <c r="R2" s="3">
        <f>Table6[[#This Row],[ (T/B) SAR]]-Table6[[#This Row],[(T/B) AJD]]</f>
        <v/>
      </c>
      <c r="S2" s="3">
        <f>Table6[[#This Row],[S/S_CON.]]+Table6[[#This Row],[T/B-CON.]]</f>
        <v/>
      </c>
      <c r="T2" s="3">
        <f>O2+Q2</f>
        <v/>
      </c>
      <c r="U2" s="41" t="n"/>
      <c r="V2" s="41" t="n"/>
      <c r="W2" s="3">
        <f>U2+V2</f>
        <v/>
      </c>
      <c r="X2" s="3">
        <f>T2-W2</f>
        <v/>
      </c>
      <c r="Y2" s="41" t="n"/>
      <c r="Z2" s="43" t="n"/>
      <c r="AA2" s="3">
        <f>Table6[[#This Row],[(RESV. STORGE) AJD]]/10</f>
        <v/>
      </c>
      <c r="AB2" s="92">
        <f>(Z2-'my_job - 2029'!Z366)/1000</f>
        <v/>
      </c>
      <c r="AC2" s="5" t="n"/>
      <c r="AD2" s="39">
        <f>(Table6[[#This Row],[( S/S+T/B) AJD]]*1000)-((Table6[[#This Row],[(STORGE DIFF.) AJD]]*1000)+Table6[[#This Row],[AJD_Evaporation]]+(Table6[[#This Row],[(A/B + A/S) AJD]]*1000))</f>
        <v/>
      </c>
      <c r="AE2" s="41" t="n"/>
      <c r="AF2" s="43" t="n"/>
      <c r="AG2" s="43" t="n"/>
      <c r="AH2" s="5">
        <f>Table6[[#This Row],[ (RESV. STORGE) BER]]/10</f>
        <v/>
      </c>
      <c r="AI2" s="41" t="n"/>
      <c r="AJ2" s="43">
        <f>Table6[[#This Row],[(A/B) AJD]]-TABL12345[[#This Row],[BER_IN]]</f>
        <v/>
      </c>
      <c r="AK2" s="43" t="n"/>
      <c r="AL2" s="43" t="n"/>
      <c r="AM2" s="32" t="n"/>
      <c r="AN2" s="32">
        <f>Table6[[#This Row],[ (RESV. STORGE) SER]]/10</f>
        <v/>
      </c>
      <c r="AO2" s="81" t="n"/>
      <c r="AP2" s="99">
        <f>Table6[[#This Row],[(A/S) AJD]]-Table6[[#This Row],[SER_IN]]</f>
        <v/>
      </c>
    </row>
    <row r="3" ht="18.75" customHeight="1">
      <c r="A3" s="98" t="n">
        <v>47485</v>
      </c>
      <c r="B3" s="44" t="n"/>
      <c r="C3" s="44" t="n"/>
      <c r="D3" s="44" t="n"/>
      <c r="E3" s="44" t="n"/>
      <c r="F3" s="44" t="n"/>
      <c r="G3" s="40" t="n"/>
      <c r="H3" s="44" t="n"/>
      <c r="I3" s="40" t="n"/>
      <c r="J3" s="44" t="n"/>
      <c r="K3" s="28">
        <f>Table6[[#This Row],[ (T/B) SAR]]+Table6[[#This Row],[ (S/S) SAR]]</f>
        <v/>
      </c>
      <c r="L3" s="45" t="n"/>
      <c r="M3" s="46" t="n"/>
      <c r="N3" s="46" t="n"/>
      <c r="O3" s="40" t="n"/>
      <c r="P3" s="3">
        <f>Table6[[#This Row],[ (S/S) SAR]]-Table6[[#This Row],[(S/S) AJD]]</f>
        <v/>
      </c>
      <c r="Q3" s="40" t="n"/>
      <c r="R3" s="3">
        <f>Table6[[#This Row],[ (T/B) SAR]]-Table6[[#This Row],[(T/B) AJD]]</f>
        <v/>
      </c>
      <c r="S3" s="3">
        <f>Table6[[#This Row],[S/S_CON.]]+Table6[[#This Row],[T/B-CON.]]</f>
        <v/>
      </c>
      <c r="T3" s="3">
        <f>O3+Q3</f>
        <v/>
      </c>
      <c r="U3" s="44" t="n"/>
      <c r="V3" s="44" t="n"/>
      <c r="W3" s="3">
        <f>U3+V3</f>
        <v/>
      </c>
      <c r="X3" s="3">
        <f>T3-W3</f>
        <v/>
      </c>
      <c r="Y3" s="44" t="n"/>
      <c r="Z3" s="45" t="n"/>
      <c r="AA3" s="3">
        <f>Table6[[#This Row],[(RESV. STORGE) AJD]]/10</f>
        <v/>
      </c>
      <c r="AB3" s="3">
        <f>IF(TRIM(Z3)="",,(Z3-Z2)/1000)</f>
        <v/>
      </c>
      <c r="AC3" s="5" t="n"/>
      <c r="AD3" s="40">
        <f>(Table6[[#This Row],[( S/S+T/B) AJD]]*1000)-((Table6[[#This Row],[(STORGE DIFF.) AJD]]*1000)+Table6[[#This Row],[AJD_Evaporation]]+(Table6[[#This Row],[(A/B + A/S) AJD]]*1000))</f>
        <v/>
      </c>
      <c r="AE3" s="44" t="n"/>
      <c r="AF3" s="45" t="n"/>
      <c r="AG3" s="45" t="n"/>
      <c r="AH3" s="6">
        <f>Table6[[#This Row],[ (RESV. STORGE) BER]]/10</f>
        <v/>
      </c>
      <c r="AI3" s="44" t="n"/>
      <c r="AJ3" s="45">
        <f>Table6[[#This Row],[(A/B) AJD]]-TABL12345[[#This Row],[BER_IN]]</f>
        <v/>
      </c>
      <c r="AK3" s="45" t="n"/>
      <c r="AL3" s="45" t="n"/>
      <c r="AM3" s="32" t="n"/>
      <c r="AN3" s="32">
        <f>Table6[[#This Row],[ (RESV. STORGE) SER]]/10</f>
        <v/>
      </c>
      <c r="AO3" s="68" t="n"/>
      <c r="AP3" s="99">
        <f>Table6[[#This Row],[(A/S) AJD]]-Table6[[#This Row],[SER_IN]]</f>
        <v/>
      </c>
    </row>
    <row r="4" ht="18.75" customHeight="1">
      <c r="A4" s="98" t="n">
        <v>47486</v>
      </c>
      <c r="B4" s="41" t="n"/>
      <c r="C4" s="41" t="n"/>
      <c r="D4" s="41" t="n"/>
      <c r="E4" s="41" t="n"/>
      <c r="F4" s="41" t="n"/>
      <c r="G4" s="39" t="n"/>
      <c r="H4" s="41" t="n"/>
      <c r="I4" s="39" t="n"/>
      <c r="J4" s="39" t="n"/>
      <c r="K4" s="28">
        <f>Table6[[#This Row],[ (T/B) SAR]]+Table6[[#This Row],[ (S/S) SAR]]</f>
        <v/>
      </c>
      <c r="L4" s="41" t="n"/>
      <c r="M4" s="42" t="n"/>
      <c r="N4" s="42" t="n"/>
      <c r="O4" s="39" t="n"/>
      <c r="P4" s="3">
        <f>Table6[[#This Row],[ (S/S) SAR]]-Table6[[#This Row],[(S/S) AJD]]</f>
        <v/>
      </c>
      <c r="Q4" s="39" t="n"/>
      <c r="R4" s="3">
        <f>Table6[[#This Row],[ (T/B) SAR]]-Table6[[#This Row],[(T/B) AJD]]</f>
        <v/>
      </c>
      <c r="S4" s="3">
        <f>Table6[[#This Row],[S/S_CON.]]+Table6[[#This Row],[T/B-CON.]]</f>
        <v/>
      </c>
      <c r="T4" s="3">
        <f>O4+Q4</f>
        <v/>
      </c>
      <c r="U4" s="41" t="n"/>
      <c r="V4" s="41" t="n"/>
      <c r="W4" s="3">
        <f>U4+V4</f>
        <v/>
      </c>
      <c r="X4" s="3">
        <f>T4-W4</f>
        <v/>
      </c>
      <c r="Y4" s="41" t="n"/>
      <c r="Z4" s="43" t="n"/>
      <c r="AA4" s="3">
        <f>Table6[[#This Row],[(RESV. STORGE) AJD]]/10</f>
        <v/>
      </c>
      <c r="AB4" s="3">
        <f>IF(TRIM(Z4)="",,(Z4-Z3)/1000)</f>
        <v/>
      </c>
      <c r="AC4" s="5" t="n"/>
      <c r="AD4" s="39">
        <f>(Table6[[#This Row],[( S/S+T/B) AJD]]*1000)-((Table6[[#This Row],[(STORGE DIFF.) AJD]]*1000)+Table6[[#This Row],[AJD_Evaporation]]+(Table6[[#This Row],[(A/B + A/S) AJD]]*1000))</f>
        <v/>
      </c>
      <c r="AE4" s="41" t="n"/>
      <c r="AF4" s="43" t="n"/>
      <c r="AG4" s="43" t="n"/>
      <c r="AH4" s="6">
        <f>Table6[[#This Row],[ (RESV. STORGE) BER]]/10</f>
        <v/>
      </c>
      <c r="AI4" s="41" t="n"/>
      <c r="AJ4" s="43">
        <f>Table6[[#This Row],[(A/B) AJD]]-TABL12345[[#This Row],[BER_IN]]</f>
        <v/>
      </c>
      <c r="AK4" s="43" t="n"/>
      <c r="AL4" s="43" t="n"/>
      <c r="AM4" s="32" t="n"/>
      <c r="AN4" s="32">
        <f>Table6[[#This Row],[ (RESV. STORGE) SER]]/10</f>
        <v/>
      </c>
      <c r="AO4" s="68" t="n"/>
      <c r="AP4" s="99">
        <f>Table6[[#This Row],[(A/S) AJD]]-Table6[[#This Row],[SER_IN]]</f>
        <v/>
      </c>
    </row>
    <row r="5" ht="18.75" customHeight="1">
      <c r="A5" s="98" t="n">
        <v>47487</v>
      </c>
      <c r="B5" s="44" t="n"/>
      <c r="C5" s="44" t="n"/>
      <c r="D5" s="44" t="n"/>
      <c r="E5" s="44" t="n"/>
      <c r="F5" s="44" t="n"/>
      <c r="G5" s="40" t="n"/>
      <c r="H5" s="44" t="n"/>
      <c r="I5" s="40" t="n"/>
      <c r="J5" s="44" t="n"/>
      <c r="K5" s="28">
        <f>Table6[[#This Row],[ (T/B) SAR]]+Table6[[#This Row],[ (S/S) SAR]]</f>
        <v/>
      </c>
      <c r="L5" s="45" t="n"/>
      <c r="M5" s="46" t="n"/>
      <c r="N5" s="46" t="n"/>
      <c r="O5" s="40" t="n"/>
      <c r="P5" s="3">
        <f>Table6[[#This Row],[ (S/S) SAR]]-Table6[[#This Row],[(S/S) AJD]]</f>
        <v/>
      </c>
      <c r="Q5" s="40" t="n"/>
      <c r="R5" s="3">
        <f>Table6[[#This Row],[ (T/B) SAR]]-Table6[[#This Row],[(T/B) AJD]]</f>
        <v/>
      </c>
      <c r="S5" s="3">
        <f>Table6[[#This Row],[S/S_CON.]]+Table6[[#This Row],[T/B-CON.]]</f>
        <v/>
      </c>
      <c r="T5" s="3">
        <f>O5+Q5</f>
        <v/>
      </c>
      <c r="U5" s="44" t="n"/>
      <c r="V5" s="44" t="n"/>
      <c r="W5" s="3">
        <f>U5+V5</f>
        <v/>
      </c>
      <c r="X5" s="3">
        <f>T5-W5</f>
        <v/>
      </c>
      <c r="Y5" s="44" t="n"/>
      <c r="Z5" s="45" t="n"/>
      <c r="AA5" s="3">
        <f>Table6[[#This Row],[(RESV. STORGE) AJD]]/10</f>
        <v/>
      </c>
      <c r="AB5" s="3">
        <f>IF(TRIM(Z5)="",,(Z5-Z4)/1000)</f>
        <v/>
      </c>
      <c r="AC5" s="5" t="n"/>
      <c r="AD5" s="40">
        <f>(Table6[[#This Row],[( S/S+T/B) AJD]]*1000)-((Table6[[#This Row],[(STORGE DIFF.) AJD]]*1000)+Table6[[#This Row],[AJD_Evaporation]]+(Table6[[#This Row],[(A/B + A/S) AJD]]*1000))</f>
        <v/>
      </c>
      <c r="AE5" s="44" t="n"/>
      <c r="AF5" s="45" t="n"/>
      <c r="AG5" s="45" t="n"/>
      <c r="AH5" s="6">
        <f>Table6[[#This Row],[ (RESV. STORGE) BER]]/10</f>
        <v/>
      </c>
      <c r="AI5" s="44" t="n"/>
      <c r="AJ5" s="45">
        <f>Table6[[#This Row],[(A/B) AJD]]-TABL12345[[#This Row],[BER_IN]]</f>
        <v/>
      </c>
      <c r="AK5" s="45" t="n"/>
      <c r="AL5" s="45" t="n"/>
      <c r="AM5" s="32" t="n"/>
      <c r="AN5" s="32">
        <f>Table6[[#This Row],[ (RESV. STORGE) SER]]/10</f>
        <v/>
      </c>
      <c r="AO5" s="68" t="n"/>
      <c r="AP5" s="99">
        <f>Table6[[#This Row],[(A/S) AJD]]-Table6[[#This Row],[SER_IN]]</f>
        <v/>
      </c>
    </row>
    <row r="6" ht="18.75" customHeight="1">
      <c r="A6" s="98" t="n">
        <v>47488</v>
      </c>
      <c r="B6" s="41" t="n"/>
      <c r="C6" s="41" t="n"/>
      <c r="D6" s="41" t="n"/>
      <c r="E6" s="41" t="n"/>
      <c r="F6" s="41" t="n"/>
      <c r="G6" s="39" t="n"/>
      <c r="H6" s="41" t="n"/>
      <c r="I6" s="39" t="n"/>
      <c r="J6" s="39" t="n"/>
      <c r="K6" s="28">
        <f>Table6[[#This Row],[ (T/B) SAR]]+Table6[[#This Row],[ (S/S) SAR]]</f>
        <v/>
      </c>
      <c r="L6" s="41" t="n"/>
      <c r="M6" s="42" t="n"/>
      <c r="N6" s="42" t="n"/>
      <c r="O6" s="39" t="n"/>
      <c r="P6" s="3">
        <f>Table6[[#This Row],[ (S/S) SAR]]-Table6[[#This Row],[(S/S) AJD]]</f>
        <v/>
      </c>
      <c r="Q6" s="39" t="n"/>
      <c r="R6" s="3">
        <f>Table6[[#This Row],[ (T/B) SAR]]-Table6[[#This Row],[(T/B) AJD]]</f>
        <v/>
      </c>
      <c r="S6" s="3">
        <f>Table6[[#This Row],[S/S_CON.]]+Table6[[#This Row],[T/B-CON.]]</f>
        <v/>
      </c>
      <c r="T6" s="3">
        <f>O6+Q6</f>
        <v/>
      </c>
      <c r="U6" s="41" t="n"/>
      <c r="V6" s="41" t="n"/>
      <c r="W6" s="3">
        <f>U6+V6</f>
        <v/>
      </c>
      <c r="X6" s="3">
        <f>T6-W6</f>
        <v/>
      </c>
      <c r="Y6" s="41" t="n"/>
      <c r="Z6" s="43" t="n"/>
      <c r="AA6" s="3">
        <f>Table6[[#This Row],[(RESV. STORGE) AJD]]/10</f>
        <v/>
      </c>
      <c r="AB6" s="3">
        <f>IF(TRIM(Z6)="",,(Z6-Z5)/1000)</f>
        <v/>
      </c>
      <c r="AC6" s="5" t="n"/>
      <c r="AD6" s="39">
        <f>(Table6[[#This Row],[( S/S+T/B) AJD]]*1000)-((Table6[[#This Row],[(STORGE DIFF.) AJD]]*1000)+Table6[[#This Row],[AJD_Evaporation]]+(Table6[[#This Row],[(A/B + A/S) AJD]]*1000))</f>
        <v/>
      </c>
      <c r="AE6" s="41" t="n"/>
      <c r="AF6" s="43" t="n"/>
      <c r="AG6" s="43" t="n"/>
      <c r="AH6" s="6">
        <f>Table6[[#This Row],[ (RESV. STORGE) BER]]/10</f>
        <v/>
      </c>
      <c r="AI6" s="41" t="n"/>
      <c r="AJ6" s="43">
        <f>Table6[[#This Row],[(A/B) AJD]]-TABL12345[[#This Row],[BER_IN]]</f>
        <v/>
      </c>
      <c r="AK6" s="43" t="n"/>
      <c r="AL6" s="43" t="n"/>
      <c r="AM6" s="32" t="n"/>
      <c r="AN6" s="32">
        <f>Table6[[#This Row],[ (RESV. STORGE) SER]]/10</f>
        <v/>
      </c>
      <c r="AO6" s="68" t="n"/>
      <c r="AP6" s="99">
        <f>Table6[[#This Row],[(A/S) AJD]]-Table6[[#This Row],[SER_IN]]</f>
        <v/>
      </c>
    </row>
    <row r="7" ht="18.75" customHeight="1">
      <c r="A7" s="98" t="n">
        <v>47489</v>
      </c>
      <c r="B7" s="44" t="n"/>
      <c r="C7" s="44" t="n"/>
      <c r="D7" s="44" t="n"/>
      <c r="E7" s="44" t="n"/>
      <c r="F7" s="44" t="n"/>
      <c r="G7" s="40" t="n"/>
      <c r="H7" s="44" t="n"/>
      <c r="I7" s="40" t="n"/>
      <c r="J7" s="44" t="n"/>
      <c r="K7" s="28">
        <f>Table6[[#This Row],[ (T/B) SAR]]+Table6[[#This Row],[ (S/S) SAR]]</f>
        <v/>
      </c>
      <c r="L7" s="45" t="n"/>
      <c r="M7" s="46" t="n"/>
      <c r="N7" s="46" t="n"/>
      <c r="O7" s="40" t="n"/>
      <c r="P7" s="3">
        <f>Table6[[#This Row],[ (S/S) SAR]]-Table6[[#This Row],[(S/S) AJD]]</f>
        <v/>
      </c>
      <c r="Q7" s="40" t="n"/>
      <c r="R7" s="3">
        <f>Table6[[#This Row],[ (T/B) SAR]]-Table6[[#This Row],[(T/B) AJD]]</f>
        <v/>
      </c>
      <c r="S7" s="3">
        <f>Table6[[#This Row],[S/S_CON.]]+Table6[[#This Row],[T/B-CON.]]</f>
        <v/>
      </c>
      <c r="T7" s="3">
        <f>O7+Q7</f>
        <v/>
      </c>
      <c r="U7" s="44" t="n"/>
      <c r="V7" s="44" t="n"/>
      <c r="W7" s="3">
        <f>U7+V7</f>
        <v/>
      </c>
      <c r="X7" s="3">
        <f>T7-W7</f>
        <v/>
      </c>
      <c r="Y7" s="67" t="n"/>
      <c r="Z7" s="45" t="n"/>
      <c r="AA7" s="3">
        <f>Table6[[#This Row],[(RESV. STORGE) AJD]]/10</f>
        <v/>
      </c>
      <c r="AB7" s="3">
        <f>IF(TRIM(Z7)="",,(Z7-Z6)/1000)</f>
        <v/>
      </c>
      <c r="AC7" s="5" t="n"/>
      <c r="AD7" s="40">
        <f>(Table6[[#This Row],[( S/S+T/B) AJD]]*1000)-((Table6[[#This Row],[(STORGE DIFF.) AJD]]*1000)+Table6[[#This Row],[AJD_Evaporation]]+(Table6[[#This Row],[(A/B + A/S) AJD]]*1000))</f>
        <v/>
      </c>
      <c r="AE7" s="44" t="n"/>
      <c r="AF7" s="45" t="n"/>
      <c r="AG7" s="45" t="n"/>
      <c r="AH7" s="6">
        <f>Table6[[#This Row],[ (RESV. STORGE) BER]]/10</f>
        <v/>
      </c>
      <c r="AI7" s="44" t="n"/>
      <c r="AJ7" s="45">
        <f>Table6[[#This Row],[(A/B) AJD]]-TABL12345[[#This Row],[BER_IN]]</f>
        <v/>
      </c>
      <c r="AK7" s="45" t="n"/>
      <c r="AL7" s="45" t="n"/>
      <c r="AM7" s="32" t="n"/>
      <c r="AN7" s="32">
        <f>Table6[[#This Row],[ (RESV. STORGE) SER]]/10</f>
        <v/>
      </c>
      <c r="AO7" s="68" t="n"/>
      <c r="AP7" s="99">
        <f>Table6[[#This Row],[(A/S) AJD]]-Table6[[#This Row],[SER_IN]]</f>
        <v/>
      </c>
    </row>
    <row r="8" ht="18.75" customHeight="1">
      <c r="A8" s="98" t="n">
        <v>47490</v>
      </c>
      <c r="B8" s="41" t="n"/>
      <c r="C8" s="41" t="n"/>
      <c r="D8" s="41" t="n"/>
      <c r="E8" s="41" t="n"/>
      <c r="F8" s="41" t="n"/>
      <c r="G8" s="39" t="n"/>
      <c r="H8" s="41" t="n"/>
      <c r="I8" s="39" t="n"/>
      <c r="J8" s="39" t="n"/>
      <c r="K8" s="28">
        <f>Table6[[#This Row],[ (T/B) SAR]]+Table6[[#This Row],[ (S/S) SAR]]</f>
        <v/>
      </c>
      <c r="L8" s="41" t="n"/>
      <c r="M8" s="42" t="n"/>
      <c r="N8" s="42" t="n"/>
      <c r="O8" s="39" t="n"/>
      <c r="P8" s="3">
        <f>Table6[[#This Row],[ (S/S) SAR]]-Table6[[#This Row],[(S/S) AJD]]</f>
        <v/>
      </c>
      <c r="Q8" s="39" t="n"/>
      <c r="R8" s="3">
        <f>Table6[[#This Row],[ (T/B) SAR]]-Table6[[#This Row],[(T/B) AJD]]</f>
        <v/>
      </c>
      <c r="S8" s="3">
        <f>Table6[[#This Row],[S/S_CON.]]+Table6[[#This Row],[T/B-CON.]]</f>
        <v/>
      </c>
      <c r="T8" s="3">
        <f>O8+Q8</f>
        <v/>
      </c>
      <c r="U8" s="41" t="n"/>
      <c r="V8" s="41" t="n"/>
      <c r="W8" s="3">
        <f>U8+V8</f>
        <v/>
      </c>
      <c r="X8" s="3">
        <f>T8-W8</f>
        <v/>
      </c>
      <c r="Y8" s="41" t="n"/>
      <c r="Z8" s="43" t="n"/>
      <c r="AA8" s="3">
        <f>Table6[[#This Row],[(RESV. STORGE) AJD]]/10</f>
        <v/>
      </c>
      <c r="AB8" s="3">
        <f>IF(TRIM(Z8)="",,(Z8-Z7)/1000)</f>
        <v/>
      </c>
      <c r="AC8" s="5" t="n"/>
      <c r="AD8" s="39">
        <f>(Table6[[#This Row],[( S/S+T/B) AJD]]*1000)-((Table6[[#This Row],[(STORGE DIFF.) AJD]]*1000)+Table6[[#This Row],[AJD_Evaporation]]+(Table6[[#This Row],[(A/B + A/S) AJD]]*1000))</f>
        <v/>
      </c>
      <c r="AE8" s="41" t="n"/>
      <c r="AF8" s="43" t="n"/>
      <c r="AG8" s="43" t="n"/>
      <c r="AH8" s="6">
        <f>Table6[[#This Row],[ (RESV. STORGE) BER]]/10</f>
        <v/>
      </c>
      <c r="AI8" s="41" t="n"/>
      <c r="AJ8" s="43">
        <f>Table6[[#This Row],[(A/B) AJD]]-TABL12345[[#This Row],[BER_IN]]</f>
        <v/>
      </c>
      <c r="AK8" s="43" t="n"/>
      <c r="AL8" s="43" t="n"/>
      <c r="AM8" s="32" t="n"/>
      <c r="AN8" s="32">
        <f>Table6[[#This Row],[ (RESV. STORGE) SER]]/10</f>
        <v/>
      </c>
      <c r="AO8" s="68" t="n"/>
      <c r="AP8" s="99">
        <f>Table6[[#This Row],[(A/S) AJD]]-Table6[[#This Row],[SER_IN]]</f>
        <v/>
      </c>
    </row>
    <row r="9" ht="18.75" customHeight="1">
      <c r="A9" s="98" t="n">
        <v>47491</v>
      </c>
      <c r="B9" s="44" t="n"/>
      <c r="C9" s="44" t="n"/>
      <c r="D9" s="44" t="n"/>
      <c r="E9" s="44" t="n"/>
      <c r="F9" s="44" t="n"/>
      <c r="G9" s="40" t="n"/>
      <c r="H9" s="44" t="n"/>
      <c r="I9" s="40" t="n"/>
      <c r="J9" s="44" t="n"/>
      <c r="K9" s="28">
        <f>Table6[[#This Row],[ (T/B) SAR]]+Table6[[#This Row],[ (S/S) SAR]]</f>
        <v/>
      </c>
      <c r="L9" s="45" t="n"/>
      <c r="M9" s="46" t="n"/>
      <c r="N9" s="46" t="n"/>
      <c r="O9" s="40" t="n"/>
      <c r="P9" s="3">
        <f>Table6[[#This Row],[ (S/S) SAR]]-Table6[[#This Row],[(S/S) AJD]]</f>
        <v/>
      </c>
      <c r="Q9" s="40" t="n"/>
      <c r="R9" s="3">
        <f>Table6[[#This Row],[ (T/B) SAR]]-Table6[[#This Row],[(T/B) AJD]]</f>
        <v/>
      </c>
      <c r="S9" s="3">
        <f>Table6[[#This Row],[S/S_CON.]]+Table6[[#This Row],[T/B-CON.]]</f>
        <v/>
      </c>
      <c r="T9" s="3">
        <f>O9+Q9</f>
        <v/>
      </c>
      <c r="U9" s="44" t="n"/>
      <c r="V9" s="44" t="n"/>
      <c r="W9" s="3">
        <f>U9+V9</f>
        <v/>
      </c>
      <c r="X9" s="3">
        <f>T9-W9</f>
        <v/>
      </c>
      <c r="Y9" s="44" t="n"/>
      <c r="Z9" s="45" t="n"/>
      <c r="AA9" s="3">
        <f>Table6[[#This Row],[(RESV. STORGE) AJD]]/10</f>
        <v/>
      </c>
      <c r="AB9" s="3">
        <f>IF(TRIM(Z9)="",,(Z9-Z8)/1000)</f>
        <v/>
      </c>
      <c r="AC9" s="5" t="n"/>
      <c r="AD9" s="40">
        <f>(Table6[[#This Row],[( S/S+T/B) AJD]]*1000)-((Table6[[#This Row],[(STORGE DIFF.) AJD]]*1000)+Table6[[#This Row],[AJD_Evaporation]]+(Table6[[#This Row],[(A/B + A/S) AJD]]*1000))</f>
        <v/>
      </c>
      <c r="AE9" s="44" t="n"/>
      <c r="AF9" s="45" t="n"/>
      <c r="AG9" s="45" t="n"/>
      <c r="AH9" s="6">
        <f>Table6[[#This Row],[ (RESV. STORGE) BER]]/10</f>
        <v/>
      </c>
      <c r="AI9" s="44" t="n"/>
      <c r="AJ9" s="45">
        <f>Table6[[#This Row],[(A/B) AJD]]-TABL12345[[#This Row],[BER_IN]]</f>
        <v/>
      </c>
      <c r="AK9" s="45" t="n"/>
      <c r="AL9" s="45" t="n"/>
      <c r="AM9" s="32" t="n"/>
      <c r="AN9" s="32">
        <f>Table6[[#This Row],[ (RESV. STORGE) SER]]/10</f>
        <v/>
      </c>
      <c r="AO9" s="68" t="n"/>
      <c r="AP9" s="99">
        <f>Table6[[#This Row],[(A/S) AJD]]-Table6[[#This Row],[SER_IN]]</f>
        <v/>
      </c>
    </row>
    <row r="10" ht="18.75" customHeight="1">
      <c r="A10" s="98" t="n">
        <v>47492</v>
      </c>
      <c r="B10" s="41" t="n"/>
      <c r="C10" s="41" t="n"/>
      <c r="D10" s="41" t="n"/>
      <c r="E10" s="41" t="n"/>
      <c r="F10" s="41" t="n"/>
      <c r="G10" s="39" t="n"/>
      <c r="H10" s="41" t="n"/>
      <c r="I10" s="39" t="n"/>
      <c r="J10" s="39" t="n"/>
      <c r="K10" s="28">
        <f>Table6[[#This Row],[ (T/B) SAR]]+Table6[[#This Row],[ (S/S) SAR]]</f>
        <v/>
      </c>
      <c r="L10" s="41" t="n"/>
      <c r="M10" s="42" t="n"/>
      <c r="N10" s="42" t="n"/>
      <c r="O10" s="39" t="n"/>
      <c r="P10" s="3">
        <f>Table6[[#This Row],[ (S/S) SAR]]-Table6[[#This Row],[(S/S) AJD]]</f>
        <v/>
      </c>
      <c r="Q10" s="39" t="n"/>
      <c r="R10" s="3">
        <f>Table6[[#This Row],[ (T/B) SAR]]-Table6[[#This Row],[(T/B) AJD]]</f>
        <v/>
      </c>
      <c r="S10" s="3">
        <f>Table6[[#This Row],[S/S_CON.]]+Table6[[#This Row],[T/B-CON.]]</f>
        <v/>
      </c>
      <c r="T10" s="3">
        <f>O10+Q10</f>
        <v/>
      </c>
      <c r="U10" s="41" t="n"/>
      <c r="V10" s="41" t="n"/>
      <c r="W10" s="3">
        <f>U10+V10</f>
        <v/>
      </c>
      <c r="X10" s="3">
        <f>T10-W10</f>
        <v/>
      </c>
      <c r="Y10" s="41" t="n"/>
      <c r="Z10" s="43" t="n"/>
      <c r="AA10" s="3">
        <f>Table6[[#This Row],[(RESV. STORGE) AJD]]/10</f>
        <v/>
      </c>
      <c r="AB10" s="3">
        <f>IF(TRIM(Z10)="",,(Z10-Z9)/1000)</f>
        <v/>
      </c>
      <c r="AC10" s="5" t="n"/>
      <c r="AD10" s="39">
        <f>(Table6[[#This Row],[( S/S+T/B) AJD]]*1000)-((Table6[[#This Row],[(STORGE DIFF.) AJD]]*1000)+Table6[[#This Row],[AJD_Evaporation]]+(Table6[[#This Row],[(A/B + A/S) AJD]]*1000))</f>
        <v/>
      </c>
      <c r="AE10" s="41" t="n"/>
      <c r="AF10" s="43" t="n"/>
      <c r="AG10" s="43" t="n"/>
      <c r="AH10" s="6">
        <f>Table6[[#This Row],[ (RESV. STORGE) BER]]/10</f>
        <v/>
      </c>
      <c r="AI10" s="41" t="n"/>
      <c r="AJ10" s="43">
        <f>Table6[[#This Row],[(A/B) AJD]]-TABL12345[[#This Row],[BER_IN]]</f>
        <v/>
      </c>
      <c r="AK10" s="43" t="n"/>
      <c r="AL10" s="43" t="n"/>
      <c r="AM10" s="32" t="n"/>
      <c r="AN10" s="32">
        <f>Table6[[#This Row],[ (RESV. STORGE) SER]]/10</f>
        <v/>
      </c>
      <c r="AO10" s="68" t="n"/>
      <c r="AP10" s="99">
        <f>Table6[[#This Row],[(A/S) AJD]]-Table6[[#This Row],[SER_IN]]</f>
        <v/>
      </c>
    </row>
    <row r="11" ht="18.75" customHeight="1">
      <c r="A11" s="98" t="n">
        <v>47493</v>
      </c>
      <c r="B11" s="44" t="n"/>
      <c r="C11" s="44" t="n"/>
      <c r="D11" s="44" t="n"/>
      <c r="E11" s="44" t="n"/>
      <c r="F11" s="44" t="n"/>
      <c r="G11" s="40" t="n"/>
      <c r="H11" s="44" t="n"/>
      <c r="I11" s="40" t="n"/>
      <c r="J11" s="44" t="n"/>
      <c r="K11" s="28">
        <f>Table6[[#This Row],[ (T/B) SAR]]+Table6[[#This Row],[ (S/S) SAR]]</f>
        <v/>
      </c>
      <c r="L11" s="45" t="n"/>
      <c r="M11" s="46" t="n"/>
      <c r="N11" s="46" t="n"/>
      <c r="O11" s="40" t="n"/>
      <c r="P11" s="3">
        <f>Table6[[#This Row],[ (S/S) SAR]]-Table6[[#This Row],[(S/S) AJD]]</f>
        <v/>
      </c>
      <c r="Q11" s="40" t="n"/>
      <c r="R11" s="3">
        <f>Table6[[#This Row],[ (T/B) SAR]]-Table6[[#This Row],[(T/B) AJD]]</f>
        <v/>
      </c>
      <c r="S11" s="3">
        <f>Table6[[#This Row],[S/S_CON.]]+Table6[[#This Row],[T/B-CON.]]</f>
        <v/>
      </c>
      <c r="T11" s="3">
        <f>O11+Q11</f>
        <v/>
      </c>
      <c r="U11" s="44" t="n"/>
      <c r="V11" s="44" t="n"/>
      <c r="W11" s="3">
        <f>U11+V11</f>
        <v/>
      </c>
      <c r="X11" s="3">
        <f>T11-W11</f>
        <v/>
      </c>
      <c r="Y11" s="44" t="n"/>
      <c r="Z11" s="45" t="n"/>
      <c r="AA11" s="3">
        <f>Table6[[#This Row],[(RESV. STORGE) AJD]]/10</f>
        <v/>
      </c>
      <c r="AB11" s="3">
        <f>IF(TRIM(Z11)="",,(Z11-Z10)/1000)</f>
        <v/>
      </c>
      <c r="AC11" s="5" t="n"/>
      <c r="AD11" s="40">
        <f>(Table6[[#This Row],[( S/S+T/B) AJD]]*1000)-((Table6[[#This Row],[(STORGE DIFF.) AJD]]*1000)+Table6[[#This Row],[AJD_Evaporation]]+(Table6[[#This Row],[(A/B + A/S) AJD]]*1000))</f>
        <v/>
      </c>
      <c r="AE11" s="44" t="n"/>
      <c r="AF11" s="45" t="n"/>
      <c r="AG11" s="45" t="n"/>
      <c r="AH11" s="6">
        <f>Table6[[#This Row],[ (RESV. STORGE) BER]]/10</f>
        <v/>
      </c>
      <c r="AI11" s="44" t="n"/>
      <c r="AJ11" s="45">
        <f>Table6[[#This Row],[(A/B) AJD]]-TABL12345[[#This Row],[BER_IN]]</f>
        <v/>
      </c>
      <c r="AK11" s="45" t="n"/>
      <c r="AL11" s="45" t="n"/>
      <c r="AM11" s="32" t="n"/>
      <c r="AN11" s="32">
        <f>Table6[[#This Row],[ (RESV. STORGE) SER]]/10</f>
        <v/>
      </c>
      <c r="AO11" s="68" t="n"/>
      <c r="AP11" s="99">
        <f>Table6[[#This Row],[(A/S) AJD]]-Table6[[#This Row],[SER_IN]]</f>
        <v/>
      </c>
    </row>
    <row r="12" ht="18.75" customHeight="1">
      <c r="A12" s="98" t="n">
        <v>47494</v>
      </c>
      <c r="B12" s="41" t="n"/>
      <c r="C12" s="41" t="n"/>
      <c r="D12" s="41" t="n"/>
      <c r="E12" s="41" t="n"/>
      <c r="F12" s="41" t="n"/>
      <c r="G12" s="39" t="n"/>
      <c r="H12" s="41" t="n"/>
      <c r="I12" s="39" t="n"/>
      <c r="J12" s="39" t="n"/>
      <c r="K12" s="28">
        <f>Table6[[#This Row],[ (T/B) SAR]]+Table6[[#This Row],[ (S/S) SAR]]</f>
        <v/>
      </c>
      <c r="L12" s="41" t="n"/>
      <c r="M12" s="42" t="n"/>
      <c r="N12" s="42" t="n"/>
      <c r="O12" s="39" t="n"/>
      <c r="P12" s="3">
        <f>Table6[[#This Row],[ (S/S) SAR]]-Table6[[#This Row],[(S/S) AJD]]</f>
        <v/>
      </c>
      <c r="Q12" s="39" t="n"/>
      <c r="R12" s="3">
        <f>Table6[[#This Row],[ (T/B) SAR]]-Table6[[#This Row],[(T/B) AJD]]</f>
        <v/>
      </c>
      <c r="S12" s="3">
        <f>Table6[[#This Row],[S/S_CON.]]+Table6[[#This Row],[T/B-CON.]]</f>
        <v/>
      </c>
      <c r="T12" s="3">
        <f>O12+Q12</f>
        <v/>
      </c>
      <c r="U12" s="41" t="n"/>
      <c r="V12" s="41" t="n"/>
      <c r="W12" s="3">
        <f>U12+V12</f>
        <v/>
      </c>
      <c r="X12" s="3">
        <f>T12-W12</f>
        <v/>
      </c>
      <c r="Y12" s="41" t="n"/>
      <c r="Z12" s="43" t="n"/>
      <c r="AA12" s="3">
        <f>Table6[[#This Row],[(RESV. STORGE) AJD]]/10</f>
        <v/>
      </c>
      <c r="AB12" s="3">
        <f>IF(TRIM(Z12)="",,(Z12-Z11)/1000)</f>
        <v/>
      </c>
      <c r="AC12" s="5" t="n"/>
      <c r="AD12" s="39">
        <f>(Table6[[#This Row],[( S/S+T/B) AJD]]*1000)-((Table6[[#This Row],[(STORGE DIFF.) AJD]]*1000)+Table6[[#This Row],[AJD_Evaporation]]+(Table6[[#This Row],[(A/B + A/S) AJD]]*1000))</f>
        <v/>
      </c>
      <c r="AE12" s="41" t="n"/>
      <c r="AF12" s="43" t="n"/>
      <c r="AG12" s="68" t="n"/>
      <c r="AH12" s="6">
        <f>Table6[[#This Row],[ (RESV. STORGE) BER]]/10</f>
        <v/>
      </c>
      <c r="AI12" s="41" t="n"/>
      <c r="AJ12" s="68">
        <f>Table6[[#This Row],[(A/B) AJD]]-TABL12345[[#This Row],[BER_IN]]</f>
        <v/>
      </c>
      <c r="AK12" s="43" t="n"/>
      <c r="AL12" s="43" t="n"/>
      <c r="AM12" s="32" t="n"/>
      <c r="AN12" s="32">
        <f>Table6[[#This Row],[ (RESV. STORGE) SER]]/10</f>
        <v/>
      </c>
      <c r="AO12" s="68" t="n"/>
      <c r="AP12" s="99">
        <f>Table6[[#This Row],[(A/S) AJD]]-Table6[[#This Row],[SER_IN]]</f>
        <v/>
      </c>
    </row>
    <row r="13" ht="18.75" customHeight="1">
      <c r="A13" s="98" t="n">
        <v>47495</v>
      </c>
      <c r="B13" s="44" t="n"/>
      <c r="C13" s="44" t="n"/>
      <c r="D13" s="44" t="n"/>
      <c r="E13" s="44" t="n"/>
      <c r="F13" s="44" t="n"/>
      <c r="G13" s="40" t="n"/>
      <c r="H13" s="44" t="n"/>
      <c r="I13" s="40" t="n"/>
      <c r="J13" s="44" t="n"/>
      <c r="K13" s="28">
        <f>Table6[[#This Row],[ (T/B) SAR]]+Table6[[#This Row],[ (S/S) SAR]]</f>
        <v/>
      </c>
      <c r="L13" s="45" t="n"/>
      <c r="M13" s="46" t="n"/>
      <c r="N13" s="46" t="n"/>
      <c r="O13" s="40" t="n"/>
      <c r="P13" s="3">
        <f>Table6[[#This Row],[ (S/S) SAR]]-Table6[[#This Row],[(S/S) AJD]]</f>
        <v/>
      </c>
      <c r="Q13" s="40" t="n"/>
      <c r="R13" s="3">
        <f>Table6[[#This Row],[ (T/B) SAR]]-Table6[[#This Row],[(T/B) AJD]]</f>
        <v/>
      </c>
      <c r="S13" s="3">
        <f>Table6[[#This Row],[S/S_CON.]]+Table6[[#This Row],[T/B-CON.]]</f>
        <v/>
      </c>
      <c r="T13" s="3">
        <f>O13+Q13</f>
        <v/>
      </c>
      <c r="U13" s="44" t="n"/>
      <c r="V13" s="44" t="n"/>
      <c r="W13" s="3">
        <f>U13+V13</f>
        <v/>
      </c>
      <c r="X13" s="3">
        <f>T13-W13</f>
        <v/>
      </c>
      <c r="Y13" s="44" t="n"/>
      <c r="Z13" s="45" t="n"/>
      <c r="AA13" s="3">
        <f>Table6[[#This Row],[(RESV. STORGE) AJD]]/10</f>
        <v/>
      </c>
      <c r="AB13" s="3">
        <f>IF(TRIM(Z13)="",,(Z13-Z12)/1000)</f>
        <v/>
      </c>
      <c r="AC13" s="5" t="n"/>
      <c r="AD13" s="40">
        <f>(Table6[[#This Row],[( S/S+T/B) AJD]]*1000)-((Table6[[#This Row],[(STORGE DIFF.) AJD]]*1000)+Table6[[#This Row],[AJD_Evaporation]]+(Table6[[#This Row],[(A/B + A/S) AJD]]*1000))</f>
        <v/>
      </c>
      <c r="AE13" s="44" t="n"/>
      <c r="AF13" s="45" t="n"/>
      <c r="AG13" s="45" t="n"/>
      <c r="AH13" s="6">
        <f>Table6[[#This Row],[ (RESV. STORGE) BER]]/10</f>
        <v/>
      </c>
      <c r="AI13" s="44" t="n"/>
      <c r="AJ13" s="45">
        <f>Table6[[#This Row],[(A/B) AJD]]-TABL12345[[#This Row],[BER_IN]]</f>
        <v/>
      </c>
      <c r="AK13" s="45" t="n"/>
      <c r="AL13" s="45" t="n"/>
      <c r="AM13" s="32" t="n"/>
      <c r="AN13" s="32">
        <f>Table6[[#This Row],[ (RESV. STORGE) SER]]/10</f>
        <v/>
      </c>
      <c r="AO13" s="68" t="n"/>
      <c r="AP13" s="99">
        <f>Table6[[#This Row],[(A/S) AJD]]-Table6[[#This Row],[SER_IN]]</f>
        <v/>
      </c>
    </row>
    <row r="14" ht="18.75" customHeight="1">
      <c r="A14" s="98" t="n">
        <v>47496</v>
      </c>
      <c r="B14" s="41" t="n"/>
      <c r="C14" s="41" t="n"/>
      <c r="D14" s="41" t="n"/>
      <c r="E14" s="41" t="n"/>
      <c r="F14" s="41" t="n"/>
      <c r="G14" s="39" t="n"/>
      <c r="H14" s="41" t="n"/>
      <c r="I14" s="39" t="n"/>
      <c r="J14" s="39" t="n"/>
      <c r="K14" s="28">
        <f>Table6[[#This Row],[ (T/B) SAR]]+Table6[[#This Row],[ (S/S) SAR]]</f>
        <v/>
      </c>
      <c r="L14" s="41" t="n"/>
      <c r="M14" s="42" t="n"/>
      <c r="N14" s="42" t="n"/>
      <c r="O14" s="39" t="n"/>
      <c r="P14" s="3">
        <f>Table6[[#This Row],[ (S/S) SAR]]-Table6[[#This Row],[(S/S) AJD]]</f>
        <v/>
      </c>
      <c r="Q14" s="39" t="n"/>
      <c r="R14" s="3">
        <f>Table6[[#This Row],[ (T/B) SAR]]-Table6[[#This Row],[(T/B) AJD]]</f>
        <v/>
      </c>
      <c r="S14" s="3">
        <f>Table6[[#This Row],[S/S_CON.]]+Table6[[#This Row],[T/B-CON.]]</f>
        <v/>
      </c>
      <c r="T14" s="3">
        <f>O14+Q14</f>
        <v/>
      </c>
      <c r="U14" s="41" t="n"/>
      <c r="V14" s="41" t="n"/>
      <c r="W14" s="3">
        <f>U14+V14</f>
        <v/>
      </c>
      <c r="X14" s="3">
        <f>T14-W14</f>
        <v/>
      </c>
      <c r="Y14" s="41" t="n"/>
      <c r="Z14" s="43" t="n"/>
      <c r="AA14" s="3">
        <f>Table6[[#This Row],[(RESV. STORGE) AJD]]/10</f>
        <v/>
      </c>
      <c r="AB14" s="3">
        <f>IF(TRIM(Z14)="",,(Z14-Z13)/1000)</f>
        <v/>
      </c>
      <c r="AC14" s="5" t="n"/>
      <c r="AD14" s="39">
        <f>(Table6[[#This Row],[( S/S+T/B) AJD]]*1000)-((Table6[[#This Row],[(STORGE DIFF.) AJD]]*1000)+Table6[[#This Row],[AJD_Evaporation]]+(Table6[[#This Row],[(A/B + A/S) AJD]]*1000))</f>
        <v/>
      </c>
      <c r="AE14" s="41" t="n"/>
      <c r="AF14" s="43" t="n"/>
      <c r="AG14" s="43" t="n"/>
      <c r="AH14" s="6">
        <f>Table6[[#This Row],[ (RESV. STORGE) BER]]/10</f>
        <v/>
      </c>
      <c r="AI14" s="41" t="n"/>
      <c r="AJ14" s="43">
        <f>Table6[[#This Row],[(A/B) AJD]]-TABL12345[[#This Row],[BER_IN]]</f>
        <v/>
      </c>
      <c r="AK14" s="43" t="n"/>
      <c r="AL14" s="43" t="n"/>
      <c r="AM14" s="32" t="n"/>
      <c r="AN14" s="32">
        <f>Table6[[#This Row],[ (RESV. STORGE) SER]]/10</f>
        <v/>
      </c>
      <c r="AO14" s="68" t="n"/>
      <c r="AP14" s="99">
        <f>Table6[[#This Row],[(A/S) AJD]]-Table6[[#This Row],[SER_IN]]</f>
        <v/>
      </c>
    </row>
    <row r="15" ht="18.75" customHeight="1">
      <c r="A15" s="98" t="n">
        <v>47497</v>
      </c>
      <c r="B15" s="44" t="n"/>
      <c r="C15" s="44" t="n"/>
      <c r="D15" s="44" t="n"/>
      <c r="E15" s="44" t="n"/>
      <c r="F15" s="44" t="n"/>
      <c r="G15" s="40" t="n"/>
      <c r="H15" s="44" t="n"/>
      <c r="I15" s="40" t="n"/>
      <c r="J15" s="44" t="n"/>
      <c r="K15" s="28">
        <f>Table6[[#This Row],[ (T/B) SAR]]+Table6[[#This Row],[ (S/S) SAR]]</f>
        <v/>
      </c>
      <c r="L15" s="45" t="n"/>
      <c r="M15" s="46" t="n"/>
      <c r="N15" s="46" t="n"/>
      <c r="O15" s="40" t="n"/>
      <c r="P15" s="3">
        <f>Table6[[#This Row],[ (S/S) SAR]]-Table6[[#This Row],[(S/S) AJD]]</f>
        <v/>
      </c>
      <c r="Q15" s="40" t="n"/>
      <c r="R15" s="3">
        <f>Table6[[#This Row],[ (T/B) SAR]]-Table6[[#This Row],[(T/B) AJD]]</f>
        <v/>
      </c>
      <c r="S15" s="3">
        <f>Table6[[#This Row],[S/S_CON.]]+Table6[[#This Row],[T/B-CON.]]</f>
        <v/>
      </c>
      <c r="T15" s="3">
        <f>O15+Q15</f>
        <v/>
      </c>
      <c r="U15" s="44" t="n"/>
      <c r="V15" s="44" t="n"/>
      <c r="W15" s="3">
        <f>U15+V15</f>
        <v/>
      </c>
      <c r="X15" s="3">
        <f>T15-W15</f>
        <v/>
      </c>
      <c r="Y15" s="44" t="n"/>
      <c r="Z15" s="45" t="n"/>
      <c r="AA15" s="3">
        <f>Table6[[#This Row],[(RESV. STORGE) AJD]]/10</f>
        <v/>
      </c>
      <c r="AB15" s="3">
        <f>IF(TRIM(Z15)="",,(Z15-Z14)/1000)</f>
        <v/>
      </c>
      <c r="AC15" s="5" t="n"/>
      <c r="AD15" s="40">
        <f>(Table6[[#This Row],[( S/S+T/B) AJD]]*1000)-((Table6[[#This Row],[(STORGE DIFF.) AJD]]*1000)+Table6[[#This Row],[AJD_Evaporation]]+(Table6[[#This Row],[(A/B + A/S) AJD]]*1000))</f>
        <v/>
      </c>
      <c r="AE15" s="44" t="n"/>
      <c r="AF15" s="45" t="n"/>
      <c r="AG15" s="45" t="n"/>
      <c r="AH15" s="6">
        <f>Table6[[#This Row],[ (RESV. STORGE) BER]]/10</f>
        <v/>
      </c>
      <c r="AI15" s="44" t="n"/>
      <c r="AJ15" s="45">
        <f>Table6[[#This Row],[(A/B) AJD]]-TABL12345[[#This Row],[BER_IN]]</f>
        <v/>
      </c>
      <c r="AK15" s="45" t="n"/>
      <c r="AL15" s="45" t="n"/>
      <c r="AM15" s="32" t="n"/>
      <c r="AN15" s="32">
        <f>Table6[[#This Row],[ (RESV. STORGE) SER]]/10</f>
        <v/>
      </c>
      <c r="AO15" s="68" t="n"/>
      <c r="AP15" s="99">
        <f>Table6[[#This Row],[(A/S) AJD]]-Table6[[#This Row],[SER_IN]]</f>
        <v/>
      </c>
    </row>
    <row r="16" ht="18.75" customHeight="1">
      <c r="A16" s="98" t="n">
        <v>47498</v>
      </c>
      <c r="B16" s="41" t="n"/>
      <c r="C16" s="41" t="n"/>
      <c r="D16" s="41" t="n"/>
      <c r="E16" s="41" t="n"/>
      <c r="F16" s="41" t="n"/>
      <c r="G16" s="39" t="n"/>
      <c r="H16" s="41" t="n"/>
      <c r="I16" s="39" t="n"/>
      <c r="J16" s="39" t="n"/>
      <c r="K16" s="28">
        <f>Table6[[#This Row],[ (T/B) SAR]]+Table6[[#This Row],[ (S/S) SAR]]</f>
        <v/>
      </c>
      <c r="L16" s="41" t="n"/>
      <c r="M16" s="42" t="n"/>
      <c r="N16" s="42" t="n"/>
      <c r="O16" s="39" t="n"/>
      <c r="P16" s="3">
        <f>Table6[[#This Row],[ (S/S) SAR]]-Table6[[#This Row],[(S/S) AJD]]</f>
        <v/>
      </c>
      <c r="Q16" s="39" t="n"/>
      <c r="R16" s="3">
        <f>Table6[[#This Row],[ (T/B) SAR]]-Table6[[#This Row],[(T/B) AJD]]</f>
        <v/>
      </c>
      <c r="S16" s="3">
        <f>Table6[[#This Row],[S/S_CON.]]+Table6[[#This Row],[T/B-CON.]]</f>
        <v/>
      </c>
      <c r="T16" s="3">
        <f>O16+Q16</f>
        <v/>
      </c>
      <c r="U16" s="41" t="n"/>
      <c r="V16" s="41" t="n"/>
      <c r="W16" s="3">
        <f>U16+V16</f>
        <v/>
      </c>
      <c r="X16" s="3">
        <f>T16-W16</f>
        <v/>
      </c>
      <c r="Y16" s="41" t="n"/>
      <c r="Z16" s="43" t="n"/>
      <c r="AA16" s="3">
        <f>Table6[[#This Row],[(RESV. STORGE) AJD]]/10</f>
        <v/>
      </c>
      <c r="AB16" s="3">
        <f>IF(TRIM(Z16)="",,(Z16-Z15)/1000)</f>
        <v/>
      </c>
      <c r="AC16" s="5" t="n"/>
      <c r="AD16" s="39">
        <f>(Table6[[#This Row],[( S/S+T/B) AJD]]*1000)-((Table6[[#This Row],[(STORGE DIFF.) AJD]]*1000)+Table6[[#This Row],[AJD_Evaporation]]+(Table6[[#This Row],[(A/B + A/S) AJD]]*1000))</f>
        <v/>
      </c>
      <c r="AE16" s="41" t="n"/>
      <c r="AF16" s="43" t="n"/>
      <c r="AG16" s="43" t="n"/>
      <c r="AH16" s="6">
        <f>Table6[[#This Row],[ (RESV. STORGE) BER]]/10</f>
        <v/>
      </c>
      <c r="AI16" s="41" t="n"/>
      <c r="AJ16" s="43">
        <f>Table6[[#This Row],[(A/B) AJD]]-TABL12345[[#This Row],[BER_IN]]</f>
        <v/>
      </c>
      <c r="AK16" s="43" t="n"/>
      <c r="AL16" s="43" t="n"/>
      <c r="AM16" s="32" t="n"/>
      <c r="AN16" s="32">
        <f>Table6[[#This Row],[ (RESV. STORGE) SER]]/10</f>
        <v/>
      </c>
      <c r="AO16" s="68" t="n"/>
      <c r="AP16" s="99">
        <f>Table6[[#This Row],[(A/S) AJD]]-Table6[[#This Row],[SER_IN]]</f>
        <v/>
      </c>
    </row>
    <row r="17" ht="18.75" customHeight="1">
      <c r="A17" s="98" t="n">
        <v>47499</v>
      </c>
      <c r="B17" s="44" t="n"/>
      <c r="C17" s="44" t="n"/>
      <c r="D17" s="44" t="n"/>
      <c r="E17" s="44" t="n"/>
      <c r="F17" s="44" t="n"/>
      <c r="G17" s="40" t="n"/>
      <c r="H17" s="44" t="n"/>
      <c r="I17" s="40" t="n"/>
      <c r="J17" s="44" t="n"/>
      <c r="K17" s="28">
        <f>Table6[[#This Row],[ (T/B) SAR]]+Table6[[#This Row],[ (S/S) SAR]]</f>
        <v/>
      </c>
      <c r="L17" s="45" t="n"/>
      <c r="M17" s="46" t="n"/>
      <c r="N17" s="46" t="n"/>
      <c r="O17" s="40" t="n"/>
      <c r="P17" s="3">
        <f>Table6[[#This Row],[ (S/S) SAR]]-Table6[[#This Row],[(S/S) AJD]]</f>
        <v/>
      </c>
      <c r="Q17" s="40" t="n"/>
      <c r="R17" s="3">
        <f>Table6[[#This Row],[ (T/B) SAR]]-Table6[[#This Row],[(T/B) AJD]]</f>
        <v/>
      </c>
      <c r="S17" s="3">
        <f>Table6[[#This Row],[S/S_CON.]]+Table6[[#This Row],[T/B-CON.]]</f>
        <v/>
      </c>
      <c r="T17" s="3">
        <f>O17+Q17</f>
        <v/>
      </c>
      <c r="U17" s="44" t="n"/>
      <c r="V17" s="44" t="n"/>
      <c r="W17" s="3">
        <f>U17+V17</f>
        <v/>
      </c>
      <c r="X17" s="3">
        <f>T17-W17</f>
        <v/>
      </c>
      <c r="Y17" s="44" t="n"/>
      <c r="Z17" s="45" t="n"/>
      <c r="AA17" s="3">
        <f>Table6[[#This Row],[(RESV. STORGE) AJD]]/10</f>
        <v/>
      </c>
      <c r="AB17" s="3">
        <f>IF(TRIM(Z17)="",,(Z17-Z16)/1000)</f>
        <v/>
      </c>
      <c r="AC17" s="5" t="n"/>
      <c r="AD17" s="40">
        <f>(Table6[[#This Row],[( S/S+T/B) AJD]]*1000)-((Table6[[#This Row],[(STORGE DIFF.) AJD]]*1000)+Table6[[#This Row],[AJD_Evaporation]]+(Table6[[#This Row],[(A/B + A/S) AJD]]*1000))</f>
        <v/>
      </c>
      <c r="AE17" s="44" t="n"/>
      <c r="AF17" s="45" t="n"/>
      <c r="AG17" s="45" t="n"/>
      <c r="AH17" s="6">
        <f>Table6[[#This Row],[ (RESV. STORGE) BER]]/10</f>
        <v/>
      </c>
      <c r="AI17" s="44" t="n"/>
      <c r="AJ17" s="45">
        <f>Table6[[#This Row],[(A/B) AJD]]-TABL12345[[#This Row],[BER_IN]]</f>
        <v/>
      </c>
      <c r="AK17" s="45" t="n"/>
      <c r="AL17" s="45" t="n"/>
      <c r="AM17" s="32" t="n"/>
      <c r="AN17" s="32">
        <f>Table6[[#This Row],[ (RESV. STORGE) SER]]/10</f>
        <v/>
      </c>
      <c r="AO17" s="68" t="n"/>
      <c r="AP17" s="99">
        <f>Table6[[#This Row],[(A/S) AJD]]-Table6[[#This Row],[SER_IN]]</f>
        <v/>
      </c>
    </row>
    <row r="18" ht="18.75" customHeight="1">
      <c r="A18" s="98" t="n">
        <v>47500</v>
      </c>
      <c r="B18" s="41" t="n"/>
      <c r="C18" s="41" t="n"/>
      <c r="D18" s="41" t="n"/>
      <c r="E18" s="41" t="n"/>
      <c r="F18" s="41" t="n"/>
      <c r="G18" s="39" t="n"/>
      <c r="H18" s="41" t="n"/>
      <c r="I18" s="39" t="n"/>
      <c r="J18" s="39" t="n"/>
      <c r="K18" s="28">
        <f>Table6[[#This Row],[ (T/B) SAR]]+Table6[[#This Row],[ (S/S) SAR]]</f>
        <v/>
      </c>
      <c r="L18" s="41" t="n"/>
      <c r="M18" s="42" t="n"/>
      <c r="N18" s="42" t="n"/>
      <c r="O18" s="39" t="n"/>
      <c r="P18" s="3">
        <f>Table6[[#This Row],[ (S/S) SAR]]-Table6[[#This Row],[(S/S) AJD]]</f>
        <v/>
      </c>
      <c r="Q18" s="39" t="n"/>
      <c r="R18" s="3">
        <f>Table6[[#This Row],[ (T/B) SAR]]-Table6[[#This Row],[(T/B) AJD]]</f>
        <v/>
      </c>
      <c r="S18" s="3">
        <f>Table6[[#This Row],[S/S_CON.]]+Table6[[#This Row],[T/B-CON.]]</f>
        <v/>
      </c>
      <c r="T18" s="3">
        <f>O18+Q18</f>
        <v/>
      </c>
      <c r="U18" s="41" t="n"/>
      <c r="V18" s="41" t="n"/>
      <c r="W18" s="3">
        <f>U18+V18</f>
        <v/>
      </c>
      <c r="X18" s="3">
        <f>T18-W18</f>
        <v/>
      </c>
      <c r="Y18" s="41" t="n"/>
      <c r="Z18" s="43" t="n"/>
      <c r="AA18" s="3">
        <f>Table6[[#This Row],[(RESV. STORGE) AJD]]/10</f>
        <v/>
      </c>
      <c r="AB18" s="3">
        <f>IF(TRIM(Z18)="",,(Z18-Z17)/1000)</f>
        <v/>
      </c>
      <c r="AC18" s="5" t="n"/>
      <c r="AD18" s="39">
        <f>(Table6[[#This Row],[( S/S+T/B) AJD]]*1000)-((Table6[[#This Row],[(STORGE DIFF.) AJD]]*1000)+Table6[[#This Row],[AJD_Evaporation]]+(Table6[[#This Row],[(A/B + A/S) AJD]]*1000))</f>
        <v/>
      </c>
      <c r="AE18" s="41" t="n"/>
      <c r="AF18" s="43" t="n"/>
      <c r="AG18" s="43" t="n"/>
      <c r="AH18" s="6">
        <f>Table6[[#This Row],[ (RESV. STORGE) BER]]/10</f>
        <v/>
      </c>
      <c r="AI18" s="41" t="n"/>
      <c r="AJ18" s="43">
        <f>Table6[[#This Row],[(A/B) AJD]]-TABL12345[[#This Row],[BER_IN]]</f>
        <v/>
      </c>
      <c r="AK18" s="43" t="n"/>
      <c r="AL18" s="43" t="n"/>
      <c r="AM18" s="32" t="n"/>
      <c r="AN18" s="32">
        <f>Table6[[#This Row],[ (RESV. STORGE) SER]]/10</f>
        <v/>
      </c>
      <c r="AO18" s="68" t="n"/>
      <c r="AP18" s="99">
        <f>Table6[[#This Row],[(A/S) AJD]]-Table6[[#This Row],[SER_IN]]</f>
        <v/>
      </c>
    </row>
    <row r="19" ht="18.75" customHeight="1">
      <c r="A19" s="98" t="n">
        <v>47501</v>
      </c>
      <c r="B19" s="44" t="n"/>
      <c r="C19" s="44" t="n"/>
      <c r="D19" s="44" t="n"/>
      <c r="E19" s="44" t="n"/>
      <c r="F19" s="44" t="n"/>
      <c r="G19" s="40" t="n"/>
      <c r="H19" s="44" t="n"/>
      <c r="I19" s="40" t="n"/>
      <c r="J19" s="44" t="n"/>
      <c r="K19" s="28">
        <f>Table6[[#This Row],[ (T/B) SAR]]+Table6[[#This Row],[ (S/S) SAR]]</f>
        <v/>
      </c>
      <c r="L19" s="45" t="n"/>
      <c r="M19" s="46" t="n"/>
      <c r="N19" s="46" t="n"/>
      <c r="O19" s="40" t="n"/>
      <c r="P19" s="3">
        <f>Table6[[#This Row],[ (S/S) SAR]]-Table6[[#This Row],[(S/S) AJD]]</f>
        <v/>
      </c>
      <c r="Q19" s="40" t="n"/>
      <c r="R19" s="3">
        <f>Table6[[#This Row],[ (T/B) SAR]]-Table6[[#This Row],[(T/B) AJD]]</f>
        <v/>
      </c>
      <c r="S19" s="3">
        <f>Table6[[#This Row],[S/S_CON.]]+Table6[[#This Row],[T/B-CON.]]</f>
        <v/>
      </c>
      <c r="T19" s="3">
        <f>O19+Q19</f>
        <v/>
      </c>
      <c r="U19" s="44" t="n"/>
      <c r="V19" s="44" t="n"/>
      <c r="W19" s="3">
        <f>U19+V19</f>
        <v/>
      </c>
      <c r="X19" s="3">
        <f>T19-W19</f>
        <v/>
      </c>
      <c r="Y19" s="44" t="n"/>
      <c r="Z19" s="45" t="n"/>
      <c r="AA19" s="3">
        <f>Table6[[#This Row],[(RESV. STORGE) AJD]]/10</f>
        <v/>
      </c>
      <c r="AB19" s="3">
        <f>IF(TRIM(Z19)="",,(Z19-Z18)/1000)</f>
        <v/>
      </c>
      <c r="AC19" s="5" t="n"/>
      <c r="AD19" s="40">
        <f>(Table6[[#This Row],[( S/S+T/B) AJD]]*1000)-((Table6[[#This Row],[(STORGE DIFF.) AJD]]*1000)+Table6[[#This Row],[AJD_Evaporation]]+(Table6[[#This Row],[(A/B + A/S) AJD]]*1000))</f>
        <v/>
      </c>
      <c r="AE19" s="44" t="n"/>
      <c r="AF19" s="45" t="n"/>
      <c r="AG19" s="45" t="n"/>
      <c r="AH19" s="6">
        <f>Table6[[#This Row],[ (RESV. STORGE) BER]]/10</f>
        <v/>
      </c>
      <c r="AI19" s="44" t="n"/>
      <c r="AJ19" s="45">
        <f>Table6[[#This Row],[(A/B) AJD]]-TABL12345[[#This Row],[BER_IN]]</f>
        <v/>
      </c>
      <c r="AK19" s="45" t="n"/>
      <c r="AL19" s="45" t="n"/>
      <c r="AM19" s="32" t="n"/>
      <c r="AN19" s="32">
        <f>Table6[[#This Row],[ (RESV. STORGE) SER]]/10</f>
        <v/>
      </c>
      <c r="AO19" s="68" t="n"/>
      <c r="AP19" s="99">
        <f>Table6[[#This Row],[(A/S) AJD]]-Table6[[#This Row],[SER_IN]]</f>
        <v/>
      </c>
    </row>
    <row r="20" ht="18.75" customHeight="1">
      <c r="A20" s="98" t="n">
        <v>47502</v>
      </c>
      <c r="B20" s="41" t="n"/>
      <c r="C20" s="41" t="n"/>
      <c r="D20" s="41" t="n"/>
      <c r="E20" s="41" t="n"/>
      <c r="F20" s="41" t="n"/>
      <c r="G20" s="39" t="n"/>
      <c r="H20" s="41" t="n"/>
      <c r="I20" s="39" t="n"/>
      <c r="J20" s="39" t="n"/>
      <c r="K20" s="28">
        <f>Table6[[#This Row],[ (T/B) SAR]]+Table6[[#This Row],[ (S/S) SAR]]</f>
        <v/>
      </c>
      <c r="L20" s="41" t="n"/>
      <c r="M20" s="42" t="n"/>
      <c r="N20" s="42" t="n"/>
      <c r="O20" s="39" t="n"/>
      <c r="P20" s="3">
        <f>Table6[[#This Row],[ (S/S) SAR]]-Table6[[#This Row],[(S/S) AJD]]</f>
        <v/>
      </c>
      <c r="Q20" s="39" t="n"/>
      <c r="R20" s="3">
        <f>Table6[[#This Row],[ (T/B) SAR]]-Table6[[#This Row],[(T/B) AJD]]</f>
        <v/>
      </c>
      <c r="S20" s="3">
        <f>Table6[[#This Row],[S/S_CON.]]+Table6[[#This Row],[T/B-CON.]]</f>
        <v/>
      </c>
      <c r="T20" s="3">
        <f>O20+Q20</f>
        <v/>
      </c>
      <c r="U20" s="41" t="n"/>
      <c r="V20" s="41" t="n"/>
      <c r="W20" s="3">
        <f>U20+V20</f>
        <v/>
      </c>
      <c r="X20" s="3">
        <f>T20-W20</f>
        <v/>
      </c>
      <c r="Y20" s="41" t="n"/>
      <c r="Z20" s="43" t="n"/>
      <c r="AA20" s="3">
        <f>Table6[[#This Row],[(RESV. STORGE) AJD]]/10</f>
        <v/>
      </c>
      <c r="AB20" s="3">
        <f>IF(TRIM(Z20)="",,(Z20-Z19)/1000)</f>
        <v/>
      </c>
      <c r="AC20" s="5" t="n"/>
      <c r="AD20" s="39">
        <f>(Table6[[#This Row],[( S/S+T/B) AJD]]*1000)-((Table6[[#This Row],[(STORGE DIFF.) AJD]]*1000)+Table6[[#This Row],[AJD_Evaporation]]+(Table6[[#This Row],[(A/B + A/S) AJD]]*1000))</f>
        <v/>
      </c>
      <c r="AE20" s="41" t="n"/>
      <c r="AF20" s="43" t="n"/>
      <c r="AG20" s="43" t="n"/>
      <c r="AH20" s="6">
        <f>Table6[[#This Row],[ (RESV. STORGE) BER]]/10</f>
        <v/>
      </c>
      <c r="AI20" s="41" t="n"/>
      <c r="AJ20" s="43">
        <f>Table6[[#This Row],[(A/B) AJD]]-TABL12345[[#This Row],[BER_IN]]</f>
        <v/>
      </c>
      <c r="AK20" s="43" t="n"/>
      <c r="AL20" s="43" t="n"/>
      <c r="AM20" s="32" t="n"/>
      <c r="AN20" s="32">
        <f>Table6[[#This Row],[ (RESV. STORGE) SER]]/10</f>
        <v/>
      </c>
      <c r="AO20" s="68" t="n"/>
      <c r="AP20" s="99">
        <f>Table6[[#This Row],[(A/S) AJD]]-Table6[[#This Row],[SER_IN]]</f>
        <v/>
      </c>
    </row>
    <row r="21" ht="18.75" customHeight="1">
      <c r="A21" s="98" t="n">
        <v>47503</v>
      </c>
      <c r="B21" s="44" t="n"/>
      <c r="C21" s="44" t="n"/>
      <c r="D21" s="44" t="n"/>
      <c r="E21" s="44" t="n"/>
      <c r="F21" s="44" t="n"/>
      <c r="G21" s="40" t="n"/>
      <c r="H21" s="44" t="n"/>
      <c r="I21" s="40" t="n"/>
      <c r="J21" s="44" t="n"/>
      <c r="K21" s="28">
        <f>Table6[[#This Row],[ (T/B) SAR]]+Table6[[#This Row],[ (S/S) SAR]]</f>
        <v/>
      </c>
      <c r="L21" s="45" t="n"/>
      <c r="M21" s="46" t="n"/>
      <c r="N21" s="46" t="n"/>
      <c r="O21" s="40" t="n"/>
      <c r="P21" s="3">
        <f>Table6[[#This Row],[ (S/S) SAR]]-Table6[[#This Row],[(S/S) AJD]]</f>
        <v/>
      </c>
      <c r="Q21" s="40" t="n"/>
      <c r="R21" s="3">
        <f>Table6[[#This Row],[ (T/B) SAR]]-Table6[[#This Row],[(T/B) AJD]]</f>
        <v/>
      </c>
      <c r="S21" s="3">
        <f>Table6[[#This Row],[S/S_CON.]]+Table6[[#This Row],[T/B-CON.]]</f>
        <v/>
      </c>
      <c r="T21" s="3">
        <f>O21+Q21</f>
        <v/>
      </c>
      <c r="U21" s="44" t="n"/>
      <c r="V21" s="44" t="n"/>
      <c r="W21" s="3">
        <f>U21+V21</f>
        <v/>
      </c>
      <c r="X21" s="3">
        <f>T21-W21</f>
        <v/>
      </c>
      <c r="Y21" s="44" t="n"/>
      <c r="Z21" s="45" t="n"/>
      <c r="AA21" s="3">
        <f>Table6[[#This Row],[(RESV. STORGE) AJD]]/10</f>
        <v/>
      </c>
      <c r="AB21" s="3">
        <f>IF(TRIM(Z21)="",,(Z21-Z20)/1000)</f>
        <v/>
      </c>
      <c r="AC21" s="5" t="n"/>
      <c r="AD21" s="40">
        <f>(Table6[[#This Row],[( S/S+T/B) AJD]]*1000)-((Table6[[#This Row],[(STORGE DIFF.) AJD]]*1000)+Table6[[#This Row],[AJD_Evaporation]]+(Table6[[#This Row],[(A/B + A/S) AJD]]*1000))</f>
        <v/>
      </c>
      <c r="AE21" s="44" t="n"/>
      <c r="AF21" s="45" t="n"/>
      <c r="AG21" s="45" t="n"/>
      <c r="AH21" s="6">
        <f>Table6[[#This Row],[ (RESV. STORGE) BER]]/10</f>
        <v/>
      </c>
      <c r="AI21" s="44" t="n"/>
      <c r="AJ21" s="45">
        <f>Table6[[#This Row],[(A/B) AJD]]-TABL12345[[#This Row],[BER_IN]]</f>
        <v/>
      </c>
      <c r="AK21" s="45" t="n"/>
      <c r="AL21" s="45" t="n"/>
      <c r="AM21" s="32" t="n"/>
      <c r="AN21" s="32">
        <f>Table6[[#This Row],[ (RESV. STORGE) SER]]/10</f>
        <v/>
      </c>
      <c r="AO21" s="68" t="n"/>
      <c r="AP21" s="99">
        <f>Table6[[#This Row],[(A/S) AJD]]-Table6[[#This Row],[SER_IN]]</f>
        <v/>
      </c>
    </row>
    <row r="22" ht="18.75" customHeight="1">
      <c r="A22" s="98" t="n">
        <v>47504</v>
      </c>
      <c r="B22" s="41" t="n"/>
      <c r="C22" s="41" t="n"/>
      <c r="D22" s="41" t="n"/>
      <c r="E22" s="41" t="n"/>
      <c r="F22" s="41" t="n"/>
      <c r="G22" s="39" t="n"/>
      <c r="H22" s="41" t="n"/>
      <c r="I22" s="39" t="n"/>
      <c r="J22" s="39" t="n"/>
      <c r="K22" s="28">
        <f>Table6[[#This Row],[ (T/B) SAR]]+Table6[[#This Row],[ (S/S) SAR]]</f>
        <v/>
      </c>
      <c r="L22" s="41" t="n"/>
      <c r="M22" s="42" t="n"/>
      <c r="N22" s="42" t="n"/>
      <c r="O22" s="39" t="n"/>
      <c r="P22" s="3">
        <f>Table6[[#This Row],[ (S/S) SAR]]-Table6[[#This Row],[(S/S) AJD]]</f>
        <v/>
      </c>
      <c r="Q22" s="39" t="n"/>
      <c r="R22" s="3">
        <f>Table6[[#This Row],[ (T/B) SAR]]-Table6[[#This Row],[(T/B) AJD]]</f>
        <v/>
      </c>
      <c r="S22" s="3">
        <f>Table6[[#This Row],[S/S_CON.]]+Table6[[#This Row],[T/B-CON.]]</f>
        <v/>
      </c>
      <c r="T22" s="3">
        <f>O22+Q22</f>
        <v/>
      </c>
      <c r="U22" s="41" t="n"/>
      <c r="V22" s="41" t="n"/>
      <c r="W22" s="3">
        <f>U22+V22</f>
        <v/>
      </c>
      <c r="X22" s="3">
        <f>T22-W22</f>
        <v/>
      </c>
      <c r="Y22" s="41" t="n"/>
      <c r="Z22" s="43" t="n"/>
      <c r="AA22" s="3">
        <f>Table6[[#This Row],[(RESV. STORGE) AJD]]/10</f>
        <v/>
      </c>
      <c r="AB22" s="3">
        <f>IF(TRIM(Z22)="",,(Z22-Z21)/1000)</f>
        <v/>
      </c>
      <c r="AC22" s="5" t="n"/>
      <c r="AD22" s="39">
        <f>(Table6[[#This Row],[( S/S+T/B) AJD]]*1000)-((Table6[[#This Row],[(STORGE DIFF.) AJD]]*1000)+Table6[[#This Row],[AJD_Evaporation]]+(Table6[[#This Row],[(A/B + A/S) AJD]]*1000))</f>
        <v/>
      </c>
      <c r="AE22" s="41" t="n"/>
      <c r="AF22" s="43" t="n"/>
      <c r="AG22" s="43" t="n"/>
      <c r="AH22" s="6">
        <f>Table6[[#This Row],[ (RESV. STORGE) BER]]/10</f>
        <v/>
      </c>
      <c r="AI22" s="41" t="n"/>
      <c r="AJ22" s="43">
        <f>Table6[[#This Row],[(A/B) AJD]]-TABL12345[[#This Row],[BER_IN]]</f>
        <v/>
      </c>
      <c r="AK22" s="43" t="n"/>
      <c r="AL22" s="43" t="n"/>
      <c r="AM22" s="32" t="n"/>
      <c r="AN22" s="32">
        <f>Table6[[#This Row],[ (RESV. STORGE) SER]]/10</f>
        <v/>
      </c>
      <c r="AO22" s="68" t="n"/>
      <c r="AP22" s="99">
        <f>Table6[[#This Row],[(A/S) AJD]]-Table6[[#This Row],[SER_IN]]</f>
        <v/>
      </c>
    </row>
    <row r="23" ht="18.75" customHeight="1">
      <c r="A23" s="98" t="n">
        <v>47505</v>
      </c>
      <c r="B23" s="44" t="n"/>
      <c r="C23" s="44" t="n"/>
      <c r="D23" s="44" t="n"/>
      <c r="E23" s="44" t="n"/>
      <c r="F23" s="44" t="n"/>
      <c r="G23" s="40" t="n"/>
      <c r="H23" s="44" t="n"/>
      <c r="I23" s="40" t="n"/>
      <c r="J23" s="44" t="n"/>
      <c r="K23" s="28">
        <f>Table6[[#This Row],[ (T/B) SAR]]+Table6[[#This Row],[ (S/S) SAR]]</f>
        <v/>
      </c>
      <c r="L23" s="45" t="n"/>
      <c r="M23" s="46" t="n"/>
      <c r="N23" s="46" t="n"/>
      <c r="O23" s="40" t="n"/>
      <c r="P23" s="3">
        <f>Table6[[#This Row],[ (S/S) SAR]]-Table6[[#This Row],[(S/S) AJD]]</f>
        <v/>
      </c>
      <c r="Q23" s="40" t="n"/>
      <c r="R23" s="3">
        <f>Table6[[#This Row],[ (T/B) SAR]]-Table6[[#This Row],[(T/B) AJD]]</f>
        <v/>
      </c>
      <c r="S23" s="3">
        <f>Table6[[#This Row],[S/S_CON.]]+Table6[[#This Row],[T/B-CON.]]</f>
        <v/>
      </c>
      <c r="T23" s="3">
        <f>O23+Q23</f>
        <v/>
      </c>
      <c r="U23" s="44" t="n"/>
      <c r="V23" s="44" t="n"/>
      <c r="W23" s="3">
        <f>U23+V23</f>
        <v/>
      </c>
      <c r="X23" s="3">
        <f>T23-W23</f>
        <v/>
      </c>
      <c r="Y23" s="44" t="n"/>
      <c r="Z23" s="45" t="n"/>
      <c r="AA23" s="3">
        <f>Table6[[#This Row],[(RESV. STORGE) AJD]]/10</f>
        <v/>
      </c>
      <c r="AB23" s="3">
        <f>IF(TRIM(Z23)="",,(Z23-Z22)/1000)</f>
        <v/>
      </c>
      <c r="AC23" s="5" t="n"/>
      <c r="AD23" s="40">
        <f>(Table6[[#This Row],[( S/S+T/B) AJD]]*1000)-((Table6[[#This Row],[(STORGE DIFF.) AJD]]*1000)+Table6[[#This Row],[AJD_Evaporation]]+(Table6[[#This Row],[(A/B + A/S) AJD]]*1000))</f>
        <v/>
      </c>
      <c r="AE23" s="44" t="n"/>
      <c r="AF23" s="45" t="n"/>
      <c r="AG23" s="45" t="n"/>
      <c r="AH23" s="6">
        <f>Table6[[#This Row],[ (RESV. STORGE) BER]]/10</f>
        <v/>
      </c>
      <c r="AI23" s="44" t="n"/>
      <c r="AJ23" s="45">
        <f>Table6[[#This Row],[(A/B) AJD]]-TABL12345[[#This Row],[BER_IN]]</f>
        <v/>
      </c>
      <c r="AK23" s="45" t="n"/>
      <c r="AL23" s="45" t="n"/>
      <c r="AM23" s="32" t="n"/>
      <c r="AN23" s="32">
        <f>Table6[[#This Row],[ (RESV. STORGE) SER]]/10</f>
        <v/>
      </c>
      <c r="AO23" s="68" t="n"/>
      <c r="AP23" s="99">
        <f>Table6[[#This Row],[(A/S) AJD]]-Table6[[#This Row],[SER_IN]]</f>
        <v/>
      </c>
    </row>
    <row r="24" ht="18.75" customHeight="1">
      <c r="A24" s="98" t="n">
        <v>47506</v>
      </c>
      <c r="B24" s="41" t="n"/>
      <c r="C24" s="41" t="n"/>
      <c r="D24" s="41" t="n"/>
      <c r="E24" s="41" t="n"/>
      <c r="F24" s="41" t="n"/>
      <c r="G24" s="39" t="n"/>
      <c r="H24" s="41" t="n"/>
      <c r="I24" s="39" t="n"/>
      <c r="J24" s="39" t="n"/>
      <c r="K24" s="28">
        <f>Table6[[#This Row],[ (T/B) SAR]]+Table6[[#This Row],[ (S/S) SAR]]</f>
        <v/>
      </c>
      <c r="L24" s="41" t="n"/>
      <c r="M24" s="42" t="n"/>
      <c r="N24" s="42" t="n"/>
      <c r="O24" s="39" t="n"/>
      <c r="P24" s="3">
        <f>Table6[[#This Row],[ (S/S) SAR]]-Table6[[#This Row],[(S/S) AJD]]</f>
        <v/>
      </c>
      <c r="Q24" s="39" t="n"/>
      <c r="R24" s="3">
        <f>Table6[[#This Row],[ (T/B) SAR]]-Table6[[#This Row],[(T/B) AJD]]</f>
        <v/>
      </c>
      <c r="S24" s="3">
        <f>Table6[[#This Row],[S/S_CON.]]+Table6[[#This Row],[T/B-CON.]]</f>
        <v/>
      </c>
      <c r="T24" s="3">
        <f>O24+Q24</f>
        <v/>
      </c>
      <c r="U24" s="41" t="n"/>
      <c r="V24" s="41" t="n"/>
      <c r="W24" s="3">
        <f>U24+V24</f>
        <v/>
      </c>
      <c r="X24" s="3">
        <f>T24-W24</f>
        <v/>
      </c>
      <c r="Y24" s="41" t="n"/>
      <c r="Z24" s="43" t="n"/>
      <c r="AA24" s="3">
        <f>Table6[[#This Row],[(RESV. STORGE) AJD]]/10</f>
        <v/>
      </c>
      <c r="AB24" s="3">
        <f>IF(TRIM(Z24)="",,(Z24-Z23)/1000)</f>
        <v/>
      </c>
      <c r="AC24" s="5" t="n"/>
      <c r="AD24" s="39">
        <f>(Table6[[#This Row],[( S/S+T/B) AJD]]*1000)-((Table6[[#This Row],[(STORGE DIFF.) AJD]]*1000)+Table6[[#This Row],[AJD_Evaporation]]+(Table6[[#This Row],[(A/B + A/S) AJD]]*1000))</f>
        <v/>
      </c>
      <c r="AE24" s="41" t="n"/>
      <c r="AF24" s="43" t="n"/>
      <c r="AG24" s="43" t="n"/>
      <c r="AH24" s="6">
        <f>Table6[[#This Row],[ (RESV. STORGE) BER]]/10</f>
        <v/>
      </c>
      <c r="AI24" s="41" t="n"/>
      <c r="AJ24" s="43">
        <f>Table6[[#This Row],[(A/B) AJD]]-TABL12345[[#This Row],[BER_IN]]</f>
        <v/>
      </c>
      <c r="AK24" s="43" t="n"/>
      <c r="AL24" s="43" t="n"/>
      <c r="AM24" s="32" t="n"/>
      <c r="AN24" s="32">
        <f>Table6[[#This Row],[ (RESV. STORGE) SER]]/10</f>
        <v/>
      </c>
      <c r="AO24" s="68" t="n"/>
      <c r="AP24" s="99">
        <f>Table6[[#This Row],[(A/S) AJD]]-Table6[[#This Row],[SER_IN]]</f>
        <v/>
      </c>
    </row>
    <row r="25" ht="18.75" customHeight="1">
      <c r="A25" s="98" t="n">
        <v>47507</v>
      </c>
      <c r="B25" s="44" t="n"/>
      <c r="C25" s="44" t="n"/>
      <c r="D25" s="44" t="n"/>
      <c r="E25" s="44" t="n"/>
      <c r="F25" s="44" t="n"/>
      <c r="G25" s="40" t="n"/>
      <c r="H25" s="44" t="n"/>
      <c r="I25" s="40" t="n"/>
      <c r="J25" s="44" t="n"/>
      <c r="K25" s="28">
        <f>Table6[[#This Row],[ (T/B) SAR]]+Table6[[#This Row],[ (S/S) SAR]]</f>
        <v/>
      </c>
      <c r="L25" s="45" t="n"/>
      <c r="M25" s="46" t="n"/>
      <c r="N25" s="46" t="n"/>
      <c r="O25" s="40" t="n"/>
      <c r="P25" s="3">
        <f>Table6[[#This Row],[ (S/S) SAR]]-Table6[[#This Row],[(S/S) AJD]]</f>
        <v/>
      </c>
      <c r="Q25" s="40" t="n"/>
      <c r="R25" s="3">
        <f>Table6[[#This Row],[ (T/B) SAR]]-Table6[[#This Row],[(T/B) AJD]]</f>
        <v/>
      </c>
      <c r="S25" s="3">
        <f>Table6[[#This Row],[S/S_CON.]]+Table6[[#This Row],[T/B-CON.]]</f>
        <v/>
      </c>
      <c r="T25" s="3">
        <f>O25+Q25</f>
        <v/>
      </c>
      <c r="U25" s="44" t="n"/>
      <c r="V25" s="44" t="n"/>
      <c r="W25" s="3">
        <f>U25+V25</f>
        <v/>
      </c>
      <c r="X25" s="3">
        <f>T25-W25</f>
        <v/>
      </c>
      <c r="Y25" s="44" t="n"/>
      <c r="Z25" s="45" t="n"/>
      <c r="AA25" s="3">
        <f>Table6[[#This Row],[(RESV. STORGE) AJD]]/10</f>
        <v/>
      </c>
      <c r="AB25" s="3">
        <f>IF(TRIM(Z25)="",,(Z25-Z24)/1000)</f>
        <v/>
      </c>
      <c r="AC25" s="5" t="n"/>
      <c r="AD25" s="40">
        <f>(Table6[[#This Row],[( S/S+T/B) AJD]]*1000)-((Table6[[#This Row],[(STORGE DIFF.) AJD]]*1000)+Table6[[#This Row],[AJD_Evaporation]]+(Table6[[#This Row],[(A/B + A/S) AJD]]*1000))</f>
        <v/>
      </c>
      <c r="AE25" s="44" t="n"/>
      <c r="AF25" s="45" t="n"/>
      <c r="AG25" s="45" t="n"/>
      <c r="AH25" s="6">
        <f>Table6[[#This Row],[ (RESV. STORGE) BER]]/10</f>
        <v/>
      </c>
      <c r="AI25" s="44" t="n"/>
      <c r="AJ25" s="45">
        <f>Table6[[#This Row],[(A/B) AJD]]-TABL12345[[#This Row],[BER_IN]]</f>
        <v/>
      </c>
      <c r="AK25" s="45" t="n"/>
      <c r="AL25" s="45" t="n"/>
      <c r="AM25" s="32" t="n"/>
      <c r="AN25" s="32">
        <f>Table6[[#This Row],[ (RESV. STORGE) SER]]/10</f>
        <v/>
      </c>
      <c r="AO25" s="68" t="n"/>
      <c r="AP25" s="99">
        <f>Table6[[#This Row],[(A/S) AJD]]-Table6[[#This Row],[SER_IN]]</f>
        <v/>
      </c>
    </row>
    <row r="26" ht="18.75" customHeight="1">
      <c r="A26" s="98" t="n">
        <v>47508</v>
      </c>
      <c r="B26" s="41" t="n"/>
      <c r="C26" s="41" t="n"/>
      <c r="D26" s="41" t="n"/>
      <c r="E26" s="41" t="n"/>
      <c r="F26" s="41" t="n"/>
      <c r="G26" s="39" t="n"/>
      <c r="H26" s="41" t="n"/>
      <c r="I26" s="39" t="n"/>
      <c r="J26" s="39" t="n"/>
      <c r="K26" s="28">
        <f>Table6[[#This Row],[ (T/B) SAR]]+Table6[[#This Row],[ (S/S) SAR]]</f>
        <v/>
      </c>
      <c r="L26" s="41" t="n"/>
      <c r="M26" s="42" t="n"/>
      <c r="N26" s="42" t="n"/>
      <c r="O26" s="39" t="n"/>
      <c r="P26" s="3">
        <f>Table6[[#This Row],[ (S/S) SAR]]-Table6[[#This Row],[(S/S) AJD]]</f>
        <v/>
      </c>
      <c r="Q26" s="39" t="n"/>
      <c r="R26" s="3">
        <f>Table6[[#This Row],[ (T/B) SAR]]-Table6[[#This Row],[(T/B) AJD]]</f>
        <v/>
      </c>
      <c r="S26" s="3">
        <f>Table6[[#This Row],[S/S_CON.]]+Table6[[#This Row],[T/B-CON.]]</f>
        <v/>
      </c>
      <c r="T26" s="3">
        <f>O26+Q26</f>
        <v/>
      </c>
      <c r="U26" s="41" t="n"/>
      <c r="V26" s="41" t="n"/>
      <c r="W26" s="3">
        <f>U26+V26</f>
        <v/>
      </c>
      <c r="X26" s="3">
        <f>T26-W26</f>
        <v/>
      </c>
      <c r="Y26" s="41" t="n"/>
      <c r="Z26" s="43" t="n"/>
      <c r="AA26" s="3">
        <f>Table6[[#This Row],[(RESV. STORGE) AJD]]/10</f>
        <v/>
      </c>
      <c r="AB26" s="3">
        <f>IF(TRIM(Z26)="",,(Z26-Z25)/1000)</f>
        <v/>
      </c>
      <c r="AC26" s="5" t="n"/>
      <c r="AD26" s="39">
        <f>(Table6[[#This Row],[( S/S+T/B) AJD]]*1000)-((Table6[[#This Row],[(STORGE DIFF.) AJD]]*1000)+Table6[[#This Row],[AJD_Evaporation]]+(Table6[[#This Row],[(A/B + A/S) AJD]]*1000))</f>
        <v/>
      </c>
      <c r="AE26" s="41" t="n"/>
      <c r="AF26" s="43" t="n"/>
      <c r="AG26" s="43" t="n"/>
      <c r="AH26" s="6">
        <f>Table6[[#This Row],[ (RESV. STORGE) BER]]/10</f>
        <v/>
      </c>
      <c r="AI26" s="41" t="n"/>
      <c r="AJ26" s="43">
        <f>Table6[[#This Row],[(A/B) AJD]]-TABL12345[[#This Row],[BER_IN]]</f>
        <v/>
      </c>
      <c r="AK26" s="43" t="n"/>
      <c r="AL26" s="43" t="n"/>
      <c r="AM26" s="32" t="n"/>
      <c r="AN26" s="32">
        <f>Table6[[#This Row],[ (RESV. STORGE) SER]]/10</f>
        <v/>
      </c>
      <c r="AO26" s="68" t="n"/>
      <c r="AP26" s="99">
        <f>Table6[[#This Row],[(A/S) AJD]]-Table6[[#This Row],[SER_IN]]</f>
        <v/>
      </c>
    </row>
    <row r="27" ht="18.75" customHeight="1">
      <c r="A27" s="98" t="n">
        <v>47509</v>
      </c>
      <c r="B27" s="44" t="n"/>
      <c r="C27" s="44" t="n"/>
      <c r="D27" s="44" t="n"/>
      <c r="E27" s="44" t="n"/>
      <c r="F27" s="44" t="n"/>
      <c r="G27" s="40" t="n"/>
      <c r="H27" s="44" t="n"/>
      <c r="I27" s="40" t="n"/>
      <c r="J27" s="44" t="n"/>
      <c r="K27" s="28">
        <f>Table6[[#This Row],[ (T/B) SAR]]+Table6[[#This Row],[ (S/S) SAR]]</f>
        <v/>
      </c>
      <c r="L27" s="45" t="n"/>
      <c r="M27" s="46" t="n"/>
      <c r="N27" s="46" t="n"/>
      <c r="O27" s="40" t="n"/>
      <c r="P27" s="3">
        <f>Table6[[#This Row],[ (S/S) SAR]]-Table6[[#This Row],[(S/S) AJD]]</f>
        <v/>
      </c>
      <c r="Q27" s="40" t="n"/>
      <c r="R27" s="3">
        <f>Table6[[#This Row],[ (T/B) SAR]]-Table6[[#This Row],[(T/B) AJD]]</f>
        <v/>
      </c>
      <c r="S27" s="3">
        <f>Table6[[#This Row],[S/S_CON.]]+Table6[[#This Row],[T/B-CON.]]</f>
        <v/>
      </c>
      <c r="T27" s="3">
        <f>O27+Q27</f>
        <v/>
      </c>
      <c r="U27" s="44" t="n"/>
      <c r="V27" s="44" t="n"/>
      <c r="W27" s="3">
        <f>U27+V27</f>
        <v/>
      </c>
      <c r="X27" s="3">
        <f>T27-W27</f>
        <v/>
      </c>
      <c r="Y27" s="44" t="n"/>
      <c r="Z27" s="45" t="n"/>
      <c r="AA27" s="3">
        <f>Table6[[#This Row],[(RESV. STORGE) AJD]]/10</f>
        <v/>
      </c>
      <c r="AB27" s="3">
        <f>IF(TRIM(Z27)="",,(Z27-Z26)/1000)</f>
        <v/>
      </c>
      <c r="AC27" s="5" t="n"/>
      <c r="AD27" s="40">
        <f>(Table6[[#This Row],[( S/S+T/B) AJD]]*1000)-((Table6[[#This Row],[(STORGE DIFF.) AJD]]*1000)+Table6[[#This Row],[AJD_Evaporation]]+(Table6[[#This Row],[(A/B + A/S) AJD]]*1000))</f>
        <v/>
      </c>
      <c r="AE27" s="44" t="n"/>
      <c r="AF27" s="45" t="n"/>
      <c r="AG27" s="45" t="n"/>
      <c r="AH27" s="6">
        <f>Table6[[#This Row],[ (RESV. STORGE) BER]]/10</f>
        <v/>
      </c>
      <c r="AI27" s="44" t="n"/>
      <c r="AJ27" s="45">
        <f>Table6[[#This Row],[(A/B) AJD]]-TABL12345[[#This Row],[BER_IN]]</f>
        <v/>
      </c>
      <c r="AK27" s="45" t="n"/>
      <c r="AL27" s="45" t="n"/>
      <c r="AM27" s="32" t="n"/>
      <c r="AN27" s="32">
        <f>Table6[[#This Row],[ (RESV. STORGE) SER]]/10</f>
        <v/>
      </c>
      <c r="AO27" s="68" t="n"/>
      <c r="AP27" s="99">
        <f>Table6[[#This Row],[(A/S) AJD]]-Table6[[#This Row],[SER_IN]]</f>
        <v/>
      </c>
    </row>
    <row r="28" ht="18.75" customHeight="1">
      <c r="A28" s="98" t="n">
        <v>47510</v>
      </c>
      <c r="B28" s="41" t="n"/>
      <c r="C28" s="41" t="n"/>
      <c r="D28" s="41" t="n"/>
      <c r="E28" s="41" t="n"/>
      <c r="F28" s="41" t="n"/>
      <c r="G28" s="39" t="n"/>
      <c r="H28" s="41" t="n"/>
      <c r="I28" s="39" t="n"/>
      <c r="J28" s="39" t="n"/>
      <c r="K28" s="28">
        <f>Table6[[#This Row],[ (T/B) SAR]]+Table6[[#This Row],[ (S/S) SAR]]</f>
        <v/>
      </c>
      <c r="L28" s="41" t="n"/>
      <c r="M28" s="42" t="n"/>
      <c r="N28" s="42" t="n"/>
      <c r="O28" s="39" t="n"/>
      <c r="P28" s="3">
        <f>Table6[[#This Row],[ (S/S) SAR]]-Table6[[#This Row],[(S/S) AJD]]</f>
        <v/>
      </c>
      <c r="Q28" s="39" t="n"/>
      <c r="R28" s="3">
        <f>Table6[[#This Row],[ (T/B) SAR]]-Table6[[#This Row],[(T/B) AJD]]</f>
        <v/>
      </c>
      <c r="S28" s="3">
        <f>Table6[[#This Row],[S/S_CON.]]+Table6[[#This Row],[T/B-CON.]]</f>
        <v/>
      </c>
      <c r="T28" s="3">
        <f>O28+Q28</f>
        <v/>
      </c>
      <c r="U28" s="41" t="n"/>
      <c r="V28" s="41" t="n"/>
      <c r="W28" s="3">
        <f>U28+V28</f>
        <v/>
      </c>
      <c r="X28" s="3">
        <f>T28-W28</f>
        <v/>
      </c>
      <c r="Y28" s="41" t="n"/>
      <c r="Z28" s="43" t="n"/>
      <c r="AA28" s="3">
        <f>Table6[[#This Row],[(RESV. STORGE) AJD]]/10</f>
        <v/>
      </c>
      <c r="AB28" s="3">
        <f>IF(TRIM(Z28)="",,(Z28-Z27)/1000)</f>
        <v/>
      </c>
      <c r="AC28" s="5" t="n"/>
      <c r="AD28" s="39">
        <f>(Table6[[#This Row],[( S/S+T/B) AJD]]*1000)-((Table6[[#This Row],[(STORGE DIFF.) AJD]]*1000)+Table6[[#This Row],[AJD_Evaporation]]+(Table6[[#This Row],[(A/B + A/S) AJD]]*1000))</f>
        <v/>
      </c>
      <c r="AE28" s="41" t="n"/>
      <c r="AF28" s="43" t="n"/>
      <c r="AG28" s="43" t="n"/>
      <c r="AH28" s="6">
        <f>Table6[[#This Row],[ (RESV. STORGE) BER]]/10</f>
        <v/>
      </c>
      <c r="AI28" s="41" t="n"/>
      <c r="AJ28" s="43">
        <f>Table6[[#This Row],[(A/B) AJD]]-TABL12345[[#This Row],[BER_IN]]</f>
        <v/>
      </c>
      <c r="AK28" s="43" t="n"/>
      <c r="AL28" s="43" t="n"/>
      <c r="AM28" s="32" t="n"/>
      <c r="AN28" s="32">
        <f>Table6[[#This Row],[ (RESV. STORGE) SER]]/10</f>
        <v/>
      </c>
      <c r="AO28" s="68" t="n"/>
      <c r="AP28" s="99">
        <f>Table6[[#This Row],[(A/S) AJD]]-Table6[[#This Row],[SER_IN]]</f>
        <v/>
      </c>
    </row>
    <row r="29" ht="18.75" customHeight="1">
      <c r="A29" s="98" t="n">
        <v>47511</v>
      </c>
      <c r="B29" s="44" t="n"/>
      <c r="C29" s="44" t="n"/>
      <c r="D29" s="44" t="n"/>
      <c r="E29" s="44" t="n"/>
      <c r="F29" s="44" t="n"/>
      <c r="G29" s="40" t="n"/>
      <c r="H29" s="44" t="n"/>
      <c r="I29" s="40" t="n"/>
      <c r="J29" s="44" t="n"/>
      <c r="K29" s="28">
        <f>Table6[[#This Row],[ (T/B) SAR]]+Table6[[#This Row],[ (S/S) SAR]]</f>
        <v/>
      </c>
      <c r="L29" s="45" t="n"/>
      <c r="M29" s="46" t="n"/>
      <c r="N29" s="46" t="n"/>
      <c r="O29" s="40" t="n"/>
      <c r="P29" s="3">
        <f>Table6[[#This Row],[ (S/S) SAR]]-Table6[[#This Row],[(S/S) AJD]]</f>
        <v/>
      </c>
      <c r="Q29" s="40" t="n"/>
      <c r="R29" s="3">
        <f>Table6[[#This Row],[ (T/B) SAR]]-Table6[[#This Row],[(T/B) AJD]]</f>
        <v/>
      </c>
      <c r="S29" s="3">
        <f>Table6[[#This Row],[S/S_CON.]]+Table6[[#This Row],[T/B-CON.]]</f>
        <v/>
      </c>
      <c r="T29" s="3">
        <f>O29+Q29</f>
        <v/>
      </c>
      <c r="U29" s="44" t="n"/>
      <c r="V29" s="44" t="n"/>
      <c r="W29" s="3">
        <f>U29+V29</f>
        <v/>
      </c>
      <c r="X29" s="3">
        <f>T29-W29</f>
        <v/>
      </c>
      <c r="Y29" s="44" t="n"/>
      <c r="Z29" s="45" t="n"/>
      <c r="AA29" s="3">
        <f>Table6[[#This Row],[(RESV. STORGE) AJD]]/10</f>
        <v/>
      </c>
      <c r="AB29" s="3">
        <f>IF(TRIM(Z29)="",,(Z29-Z28)/1000)</f>
        <v/>
      </c>
      <c r="AC29" s="5" t="n"/>
      <c r="AD29" s="40">
        <f>(Table6[[#This Row],[( S/S+T/B) AJD]]*1000)-((Table6[[#This Row],[(STORGE DIFF.) AJD]]*1000)+Table6[[#This Row],[AJD_Evaporation]]+(Table6[[#This Row],[(A/B + A/S) AJD]]*1000))</f>
        <v/>
      </c>
      <c r="AE29" s="44" t="n"/>
      <c r="AF29" s="45" t="n"/>
      <c r="AG29" s="45" t="n"/>
      <c r="AH29" s="6">
        <f>Table6[[#This Row],[ (RESV. STORGE) BER]]/10</f>
        <v/>
      </c>
      <c r="AI29" s="44" t="n"/>
      <c r="AJ29" s="45">
        <f>Table6[[#This Row],[(A/B) AJD]]-TABL12345[[#This Row],[BER_IN]]</f>
        <v/>
      </c>
      <c r="AK29" s="45" t="n"/>
      <c r="AL29" s="45" t="n"/>
      <c r="AM29" s="32" t="n"/>
      <c r="AN29" s="32">
        <f>Table6[[#This Row],[ (RESV. STORGE) SER]]/10</f>
        <v/>
      </c>
      <c r="AO29" s="68" t="n"/>
      <c r="AP29" s="99">
        <f>Table6[[#This Row],[(A/S) AJD]]-Table6[[#This Row],[SER_IN]]</f>
        <v/>
      </c>
    </row>
    <row r="30" ht="18.75" customHeight="1">
      <c r="A30" s="98" t="n">
        <v>47512</v>
      </c>
      <c r="B30" s="41" t="n"/>
      <c r="C30" s="41" t="n"/>
      <c r="D30" s="41" t="n"/>
      <c r="E30" s="41" t="n"/>
      <c r="F30" s="41" t="n"/>
      <c r="G30" s="39" t="n"/>
      <c r="H30" s="41" t="n"/>
      <c r="I30" s="39" t="n"/>
      <c r="J30" s="39" t="n"/>
      <c r="K30" s="28">
        <f>Table6[[#This Row],[ (T/B) SAR]]+Table6[[#This Row],[ (S/S) SAR]]</f>
        <v/>
      </c>
      <c r="L30" s="41" t="n"/>
      <c r="M30" s="42" t="n"/>
      <c r="N30" s="42" t="n"/>
      <c r="O30" s="39" t="n"/>
      <c r="P30" s="3">
        <f>Table6[[#This Row],[ (S/S) SAR]]-Table6[[#This Row],[(S/S) AJD]]</f>
        <v/>
      </c>
      <c r="Q30" s="39" t="n"/>
      <c r="R30" s="3">
        <f>Table6[[#This Row],[ (T/B) SAR]]-Table6[[#This Row],[(T/B) AJD]]</f>
        <v/>
      </c>
      <c r="S30" s="3">
        <f>Table6[[#This Row],[S/S_CON.]]+Table6[[#This Row],[T/B-CON.]]</f>
        <v/>
      </c>
      <c r="T30" s="3">
        <f>O30+Q30</f>
        <v/>
      </c>
      <c r="U30" s="41" t="n"/>
      <c r="V30" s="41" t="n"/>
      <c r="W30" s="3">
        <f>U30+V30</f>
        <v/>
      </c>
      <c r="X30" s="3">
        <f>T30-W30</f>
        <v/>
      </c>
      <c r="Y30" s="41" t="n"/>
      <c r="Z30" s="43" t="n"/>
      <c r="AA30" s="3">
        <f>Table6[[#This Row],[(RESV. STORGE) AJD]]/10</f>
        <v/>
      </c>
      <c r="AB30" s="3">
        <f>IF(TRIM(Z30)="",,(Z30-Z29)/1000)</f>
        <v/>
      </c>
      <c r="AC30" s="5" t="n"/>
      <c r="AD30" s="39">
        <f>(Table6[[#This Row],[( S/S+T/B) AJD]]*1000)-((Table6[[#This Row],[(STORGE DIFF.) AJD]]*1000)+Table6[[#This Row],[AJD_Evaporation]]+(Table6[[#This Row],[(A/B + A/S) AJD]]*1000))</f>
        <v/>
      </c>
      <c r="AE30" s="41" t="n"/>
      <c r="AF30" s="43" t="n"/>
      <c r="AG30" s="43" t="n"/>
      <c r="AH30" s="6">
        <f>Table6[[#This Row],[ (RESV. STORGE) BER]]/10</f>
        <v/>
      </c>
      <c r="AI30" s="41" t="n"/>
      <c r="AJ30" s="43">
        <f>Table6[[#This Row],[(A/B) AJD]]-TABL12345[[#This Row],[BER_IN]]</f>
        <v/>
      </c>
      <c r="AK30" s="43" t="n"/>
      <c r="AL30" s="43" t="n"/>
      <c r="AM30" s="32" t="n"/>
      <c r="AN30" s="32">
        <f>Table6[[#This Row],[ (RESV. STORGE) SER]]/10</f>
        <v/>
      </c>
      <c r="AO30" s="68" t="n"/>
      <c r="AP30" s="99">
        <f>Table6[[#This Row],[(A/S) AJD]]-Table6[[#This Row],[SER_IN]]</f>
        <v/>
      </c>
    </row>
    <row r="31" ht="18.75" customHeight="1">
      <c r="A31" s="98" t="n">
        <v>47513</v>
      </c>
      <c r="B31" s="44" t="n"/>
      <c r="C31" s="44" t="n"/>
      <c r="D31" s="44" t="n"/>
      <c r="E31" s="44" t="n"/>
      <c r="F31" s="44" t="n"/>
      <c r="G31" s="40" t="n"/>
      <c r="H31" s="44" t="n"/>
      <c r="I31" s="40" t="n"/>
      <c r="J31" s="44" t="n"/>
      <c r="K31" s="28">
        <f>Table6[[#This Row],[ (T/B) SAR]]+Table6[[#This Row],[ (S/S) SAR]]</f>
        <v/>
      </c>
      <c r="L31" s="45" t="n"/>
      <c r="M31" s="46" t="n"/>
      <c r="N31" s="46" t="n"/>
      <c r="O31" s="40" t="n"/>
      <c r="P31" s="3">
        <f>Table6[[#This Row],[ (S/S) SAR]]-Table6[[#This Row],[(S/S) AJD]]</f>
        <v/>
      </c>
      <c r="Q31" s="40" t="n"/>
      <c r="R31" s="3">
        <f>Table6[[#This Row],[ (T/B) SAR]]-Table6[[#This Row],[(T/B) AJD]]</f>
        <v/>
      </c>
      <c r="S31" s="3">
        <f>Table6[[#This Row],[S/S_CON.]]+Table6[[#This Row],[T/B-CON.]]</f>
        <v/>
      </c>
      <c r="T31" s="3">
        <f>O31+Q31</f>
        <v/>
      </c>
      <c r="U31" s="44" t="n"/>
      <c r="V31" s="44" t="n"/>
      <c r="W31" s="3">
        <f>U31+V31</f>
        <v/>
      </c>
      <c r="X31" s="3">
        <f>T31-W31</f>
        <v/>
      </c>
      <c r="Y31" s="44" t="n"/>
      <c r="Z31" s="45" t="n"/>
      <c r="AA31" s="3">
        <f>Table6[[#This Row],[(RESV. STORGE) AJD]]/10</f>
        <v/>
      </c>
      <c r="AB31" s="3">
        <f>IF(TRIM(Z31)="",,(Z31-Z30)/1000)</f>
        <v/>
      </c>
      <c r="AC31" s="5" t="n"/>
      <c r="AD31" s="70">
        <f>(Table6[[#This Row],[( S/S+T/B) AJD]]*1000)-((Table6[[#This Row],[(STORGE DIFF.) AJD]]*1000)+Table6[[#This Row],[AJD_Evaporation]]+(Table6[[#This Row],[(A/B + A/S) AJD]]*1000))</f>
        <v/>
      </c>
      <c r="AE31" s="44" t="n"/>
      <c r="AF31" s="45" t="n"/>
      <c r="AG31" s="45" t="n"/>
      <c r="AH31" s="6">
        <f>Table6[[#This Row],[ (RESV. STORGE) BER]]/10</f>
        <v/>
      </c>
      <c r="AI31" s="44" t="n"/>
      <c r="AJ31" s="90">
        <f>Table6[[#This Row],[(A/B) AJD]]-TABL12345[[#This Row],[BER_IN]]</f>
        <v/>
      </c>
      <c r="AK31" s="45" t="n"/>
      <c r="AL31" s="45" t="n"/>
      <c r="AM31" s="32" t="n"/>
      <c r="AN31" s="32">
        <f>Table6[[#This Row],[ (RESV. STORGE) SER]]/10</f>
        <v/>
      </c>
      <c r="AO31" s="68" t="n"/>
      <c r="AP31" s="99">
        <f>Table6[[#This Row],[(A/S) AJD]]-Table6[[#This Row],[SER_IN]]</f>
        <v/>
      </c>
    </row>
    <row r="32" ht="18.75" customHeight="1">
      <c r="A32" s="98" t="n">
        <v>47514</v>
      </c>
      <c r="B32" s="41" t="n"/>
      <c r="C32" s="41" t="n"/>
      <c r="D32" s="41" t="n"/>
      <c r="E32" s="41" t="n"/>
      <c r="F32" s="41" t="n"/>
      <c r="G32" s="39" t="n"/>
      <c r="H32" s="41" t="n"/>
      <c r="I32" s="39" t="n"/>
      <c r="J32" s="39" t="n"/>
      <c r="K32" s="28">
        <f>Table6[[#This Row],[ (T/B) SAR]]+Table6[[#This Row],[ (S/S) SAR]]</f>
        <v/>
      </c>
      <c r="L32" s="41" t="n"/>
      <c r="M32" s="42" t="n"/>
      <c r="N32" s="42" t="n"/>
      <c r="O32" s="39" t="n"/>
      <c r="P32" s="3">
        <f>Table6[[#This Row],[ (S/S) SAR]]-Table6[[#This Row],[(S/S) AJD]]</f>
        <v/>
      </c>
      <c r="Q32" s="39" t="n"/>
      <c r="R32" s="3">
        <f>Table6[[#This Row],[ (T/B) SAR]]-Table6[[#This Row],[(T/B) AJD]]</f>
        <v/>
      </c>
      <c r="S32" s="3">
        <f>Table6[[#This Row],[S/S_CON.]]+Table6[[#This Row],[T/B-CON.]]</f>
        <v/>
      </c>
      <c r="T32" s="3">
        <f>O32+Q32</f>
        <v/>
      </c>
      <c r="U32" s="41" t="n"/>
      <c r="V32" s="41" t="n"/>
      <c r="W32" s="3">
        <f>U32+V32</f>
        <v/>
      </c>
      <c r="X32" s="3">
        <f>T32-W32</f>
        <v/>
      </c>
      <c r="Y32" s="41" t="n"/>
      <c r="Z32" s="43" t="n"/>
      <c r="AA32" s="3">
        <f>Table6[[#This Row],[(RESV. STORGE) AJD]]/10</f>
        <v/>
      </c>
      <c r="AB32" s="3">
        <f>IF(TRIM(Z32)="",,(Z32-Z31)/1000)</f>
        <v/>
      </c>
      <c r="AC32" s="5" t="n"/>
      <c r="AD32" s="39">
        <f>(Table6[[#This Row],[( S/S+T/B) AJD]]*1000)-((Table6[[#This Row],[(STORGE DIFF.) AJD]]*1000)+Table6[[#This Row],[AJD_Evaporation]]+(Table6[[#This Row],[(A/B + A/S) AJD]]*1000))</f>
        <v/>
      </c>
      <c r="AE32" s="41" t="n"/>
      <c r="AF32" s="43" t="n"/>
      <c r="AG32" s="43" t="n"/>
      <c r="AH32" s="6">
        <f>Table6[[#This Row],[ (RESV. STORGE) BER]]/10</f>
        <v/>
      </c>
      <c r="AI32" s="41" t="n"/>
      <c r="AJ32" s="43">
        <f>Table6[[#This Row],[(A/B) AJD]]-TABL12345[[#This Row],[BER_IN]]</f>
        <v/>
      </c>
      <c r="AK32" s="43" t="n"/>
      <c r="AL32" s="43" t="n"/>
      <c r="AM32" s="32" t="n"/>
      <c r="AN32" s="32">
        <f>Table6[[#This Row],[ (RESV. STORGE) SER]]/10</f>
        <v/>
      </c>
      <c r="AO32" s="68" t="n"/>
      <c r="AP32" s="99">
        <f>Table6[[#This Row],[(A/S) AJD]]-Table6[[#This Row],[SER_IN]]</f>
        <v/>
      </c>
    </row>
    <row r="33" ht="18.75" customHeight="1">
      <c r="A33" s="98" t="n">
        <v>47515</v>
      </c>
      <c r="B33" s="41" t="n"/>
      <c r="C33" s="41" t="n"/>
      <c r="D33" s="41" t="n"/>
      <c r="E33" s="44" t="n"/>
      <c r="F33" s="41" t="n"/>
      <c r="G33" s="39" t="n"/>
      <c r="H33" s="28" t="n"/>
      <c r="I33" s="39" t="n"/>
      <c r="J33" s="39" t="n"/>
      <c r="K33" s="28">
        <f>Table6[[#This Row],[ (T/B) SAR]]+Table6[[#This Row],[ (S/S) SAR]]</f>
        <v/>
      </c>
      <c r="L33" s="41" t="n"/>
      <c r="M33" s="42" t="n"/>
      <c r="N33" s="42" t="n"/>
      <c r="O33" s="39" t="n"/>
      <c r="P33" s="3">
        <f>Table6[[#This Row],[ (S/S) SAR]]-Table6[[#This Row],[(S/S) AJD]]</f>
        <v/>
      </c>
      <c r="Q33" s="39" t="n"/>
      <c r="R33" s="3">
        <f>Table6[[#This Row],[ (T/B) SAR]]-Table6[[#This Row],[(T/B) AJD]]</f>
        <v/>
      </c>
      <c r="S33" s="3">
        <f>Table6[[#This Row],[S/S_CON.]]+Table6[[#This Row],[T/B-CON.]]</f>
        <v/>
      </c>
      <c r="T33" s="3">
        <f>O33+Q33</f>
        <v/>
      </c>
      <c r="U33" s="41" t="n"/>
      <c r="V33" s="41" t="n"/>
      <c r="W33" s="3">
        <f>U33+V33</f>
        <v/>
      </c>
      <c r="X33" s="3">
        <f>T33-W33</f>
        <v/>
      </c>
      <c r="Y33" s="41" t="n"/>
      <c r="Z33" s="43" t="n"/>
      <c r="AA33" s="3">
        <f>Table6[[#This Row],[(RESV. STORGE) AJD]]/10</f>
        <v/>
      </c>
      <c r="AB33" s="3">
        <f>IF(TRIM(Z33)="",,(Z33-Z32)/1000)</f>
        <v/>
      </c>
      <c r="AC33" s="5" t="n"/>
      <c r="AD33" s="39">
        <f>(Table6[[#This Row],[( S/S+T/B) AJD]]*1000)-((Table6[[#This Row],[(STORGE DIFF.) AJD]]*1000)+Table6[[#This Row],[AJD_Evaporation]]+(Table6[[#This Row],[(A/B + A/S) AJD]]*1000))</f>
        <v/>
      </c>
      <c r="AE33" s="41" t="n"/>
      <c r="AF33" s="43" t="n"/>
      <c r="AG33" s="43" t="n"/>
      <c r="AH33" s="6">
        <f>Table6[[#This Row],[ (RESV. STORGE) BER]]/10</f>
        <v/>
      </c>
      <c r="AI33" s="41" t="n"/>
      <c r="AJ33" s="43">
        <f>Table6[[#This Row],[(A/B) AJD]]-TABL12345[[#This Row],[BER_IN]]</f>
        <v/>
      </c>
      <c r="AK33" s="43" t="n"/>
      <c r="AL33" s="43" t="n"/>
      <c r="AM33" s="32" t="n"/>
      <c r="AN33" s="32">
        <f>Table6[[#This Row],[ (RESV. STORGE) SER]]/10</f>
        <v/>
      </c>
      <c r="AO33" s="68" t="n"/>
      <c r="AP33" s="99">
        <f>Table6[[#This Row],[(A/S) AJD]]-Table6[[#This Row],[SER_IN]]</f>
        <v/>
      </c>
    </row>
    <row r="34" ht="18.75" customHeight="1">
      <c r="A34" s="98" t="n">
        <v>47516</v>
      </c>
      <c r="B34" s="44" t="n"/>
      <c r="C34" s="44" t="n"/>
      <c r="D34" s="44" t="n"/>
      <c r="E34" s="41" t="n"/>
      <c r="F34" s="44" t="n"/>
      <c r="G34" s="40" t="n"/>
      <c r="H34" s="28" t="n"/>
      <c r="I34" s="40" t="n"/>
      <c r="J34" s="44" t="n"/>
      <c r="K34" s="28">
        <f>Table6[[#This Row],[ (T/B) SAR]]+Table6[[#This Row],[ (S/S) SAR]]</f>
        <v/>
      </c>
      <c r="L34" s="45" t="n"/>
      <c r="M34" s="46" t="n"/>
      <c r="N34" s="46" t="n"/>
      <c r="O34" s="40" t="n"/>
      <c r="P34" s="3">
        <f>Table6[[#This Row],[ (S/S) SAR]]-Table6[[#This Row],[(S/S) AJD]]</f>
        <v/>
      </c>
      <c r="Q34" s="40" t="n"/>
      <c r="R34" s="3">
        <f>Table6[[#This Row],[ (T/B) SAR]]-Table6[[#This Row],[(T/B) AJD]]</f>
        <v/>
      </c>
      <c r="S34" s="3">
        <f>Table6[[#This Row],[S/S_CON.]]+Table6[[#This Row],[T/B-CON.]]</f>
        <v/>
      </c>
      <c r="T34" s="3">
        <f>O34+Q34</f>
        <v/>
      </c>
      <c r="U34" s="44" t="n"/>
      <c r="V34" s="44" t="n"/>
      <c r="W34" s="3">
        <f>U34+V34</f>
        <v/>
      </c>
      <c r="X34" s="3">
        <f>T34-W34</f>
        <v/>
      </c>
      <c r="Y34" s="44" t="n"/>
      <c r="Z34" s="45" t="n"/>
      <c r="AA34" s="3">
        <f>Table6[[#This Row],[(RESV. STORGE) AJD]]/10</f>
        <v/>
      </c>
      <c r="AB34" s="3">
        <f>IF(TRIM(Z34)="",,(Z34-Z33)/1000)</f>
        <v/>
      </c>
      <c r="AC34" s="5" t="n"/>
      <c r="AD34" s="40">
        <f>(Table6[[#This Row],[( S/S+T/B) AJD]]*1000)-((Table6[[#This Row],[(STORGE DIFF.) AJD]]*1000)+Table6[[#This Row],[AJD_Evaporation]]+(Table6[[#This Row],[(A/B + A/S) AJD]]*1000))</f>
        <v/>
      </c>
      <c r="AE34" s="44" t="n"/>
      <c r="AF34" s="45" t="n"/>
      <c r="AG34" s="45" t="n"/>
      <c r="AH34" s="6">
        <f>Table6[[#This Row],[ (RESV. STORGE) BER]]/10</f>
        <v/>
      </c>
      <c r="AI34" s="44" t="n"/>
      <c r="AJ34" s="45">
        <f>Table6[[#This Row],[(A/B) AJD]]-TABL12345[[#This Row],[BER_IN]]</f>
        <v/>
      </c>
      <c r="AK34" s="45" t="n"/>
      <c r="AL34" s="45" t="n"/>
      <c r="AM34" s="32" t="n"/>
      <c r="AN34" s="32">
        <f>Table6[[#This Row],[ (RESV. STORGE) SER]]/10</f>
        <v/>
      </c>
      <c r="AO34" s="68" t="n"/>
      <c r="AP34" s="99">
        <f>Table6[[#This Row],[(A/S) AJD]]-Table6[[#This Row],[SER_IN]]</f>
        <v/>
      </c>
    </row>
    <row r="35" ht="18.75" customHeight="1">
      <c r="A35" s="98" t="n">
        <v>47517</v>
      </c>
      <c r="B35" s="41" t="n"/>
      <c r="C35" s="41" t="n"/>
      <c r="D35" s="41" t="n"/>
      <c r="E35" s="44" t="n"/>
      <c r="F35" s="41" t="n"/>
      <c r="G35" s="39" t="n"/>
      <c r="H35" s="28" t="n"/>
      <c r="I35" s="39" t="n"/>
      <c r="J35" s="39" t="n"/>
      <c r="K35" s="28">
        <f>Table6[[#This Row],[ (T/B) SAR]]+Table6[[#This Row],[ (S/S) SAR]]</f>
        <v/>
      </c>
      <c r="L35" s="41" t="n"/>
      <c r="M35" s="42" t="n"/>
      <c r="N35" s="42" t="n"/>
      <c r="O35" s="39" t="n"/>
      <c r="P35" s="3">
        <f>Table6[[#This Row],[ (S/S) SAR]]-Table6[[#This Row],[(S/S) AJD]]</f>
        <v/>
      </c>
      <c r="Q35" s="39" t="n"/>
      <c r="R35" s="3">
        <f>Table6[[#This Row],[ (T/B) SAR]]-Table6[[#This Row],[(T/B) AJD]]</f>
        <v/>
      </c>
      <c r="S35" s="3">
        <f>Table6[[#This Row],[S/S_CON.]]+Table6[[#This Row],[T/B-CON.]]</f>
        <v/>
      </c>
      <c r="T35" s="3">
        <f>O35+Q35</f>
        <v/>
      </c>
      <c r="U35" s="41" t="n"/>
      <c r="V35" s="41" t="n"/>
      <c r="W35" s="3">
        <f>U35+V35</f>
        <v/>
      </c>
      <c r="X35" s="3">
        <f>T35-W35</f>
        <v/>
      </c>
      <c r="Y35" s="41" t="n"/>
      <c r="Z35" s="43" t="n"/>
      <c r="AA35" s="3">
        <f>Table6[[#This Row],[(RESV. STORGE) AJD]]/10</f>
        <v/>
      </c>
      <c r="AB35" s="3">
        <f>IF(TRIM(Z35)="",,(Z35-Z34)/1000)</f>
        <v/>
      </c>
      <c r="AC35" s="5" t="n"/>
      <c r="AD35" s="39">
        <f>(Table6[[#This Row],[( S/S+T/B) AJD]]*1000)-((Table6[[#This Row],[(STORGE DIFF.) AJD]]*1000)+Table6[[#This Row],[AJD_Evaporation]]+(Table6[[#This Row],[(A/B + A/S) AJD]]*1000))</f>
        <v/>
      </c>
      <c r="AE35" s="41" t="n"/>
      <c r="AF35" s="43" t="n"/>
      <c r="AG35" s="43" t="n"/>
      <c r="AH35" s="6">
        <f>Table6[[#This Row],[ (RESV. STORGE) BER]]/10</f>
        <v/>
      </c>
      <c r="AI35" s="41" t="n"/>
      <c r="AJ35" s="43">
        <f>Table6[[#This Row],[(A/B) AJD]]-TABL12345[[#This Row],[BER_IN]]</f>
        <v/>
      </c>
      <c r="AK35" s="43" t="n"/>
      <c r="AL35" s="43" t="n"/>
      <c r="AM35" s="32" t="n"/>
      <c r="AN35" s="32">
        <f>Table6[[#This Row],[ (RESV. STORGE) SER]]/10</f>
        <v/>
      </c>
      <c r="AO35" s="68" t="n"/>
      <c r="AP35" s="99">
        <f>Table6[[#This Row],[(A/S) AJD]]-Table6[[#This Row],[SER_IN]]</f>
        <v/>
      </c>
    </row>
    <row r="36" ht="18.75" customHeight="1">
      <c r="A36" s="98" t="n">
        <v>47518</v>
      </c>
      <c r="B36" s="44" t="n"/>
      <c r="C36" s="44" t="n"/>
      <c r="D36" s="44" t="n"/>
      <c r="E36" s="44" t="n"/>
      <c r="F36" s="44" t="n"/>
      <c r="G36" s="40" t="n"/>
      <c r="H36" s="28" t="n"/>
      <c r="I36" s="40" t="n"/>
      <c r="J36" s="44" t="n"/>
      <c r="K36" s="28">
        <f>Table6[[#This Row],[ (T/B) SAR]]+Table6[[#This Row],[ (S/S) SAR]]</f>
        <v/>
      </c>
      <c r="L36" s="45" t="n"/>
      <c r="M36" s="46" t="n"/>
      <c r="N36" s="46" t="n"/>
      <c r="O36" s="40" t="n"/>
      <c r="P36" s="3">
        <f>Table6[[#This Row],[ (S/S) SAR]]-Table6[[#This Row],[(S/S) AJD]]</f>
        <v/>
      </c>
      <c r="Q36" s="40" t="n"/>
      <c r="R36" s="3">
        <f>Table6[[#This Row],[ (T/B) SAR]]-Table6[[#This Row],[(T/B) AJD]]</f>
        <v/>
      </c>
      <c r="S36" s="3">
        <f>Table6[[#This Row],[S/S_CON.]]+Table6[[#This Row],[T/B-CON.]]</f>
        <v/>
      </c>
      <c r="T36" s="3">
        <f>O36+Q36</f>
        <v/>
      </c>
      <c r="U36" s="44" t="n"/>
      <c r="V36" s="44" t="n"/>
      <c r="W36" s="3">
        <f>U36+V36</f>
        <v/>
      </c>
      <c r="X36" s="3">
        <f>T36-W36</f>
        <v/>
      </c>
      <c r="Y36" s="44" t="n"/>
      <c r="Z36" s="45" t="n"/>
      <c r="AA36" s="3">
        <f>Table6[[#This Row],[(RESV. STORGE) AJD]]/10</f>
        <v/>
      </c>
      <c r="AB36" s="3">
        <f>IF(TRIM(Z36)="",,(Z36-Z35)/1000)</f>
        <v/>
      </c>
      <c r="AC36" s="5" t="n"/>
      <c r="AD36" s="40">
        <f>(Table6[[#This Row],[( S/S+T/B) AJD]]*1000)-((Table6[[#This Row],[(STORGE DIFF.) AJD]]*1000)+Table6[[#This Row],[AJD_Evaporation]]+(Table6[[#This Row],[(A/B + A/S) AJD]]*1000))</f>
        <v/>
      </c>
      <c r="AE36" s="44" t="n"/>
      <c r="AF36" s="45" t="n"/>
      <c r="AG36" s="45" t="n"/>
      <c r="AH36" s="6">
        <f>Table6[[#This Row],[ (RESV. STORGE) BER]]/10</f>
        <v/>
      </c>
      <c r="AI36" s="44" t="n"/>
      <c r="AJ36" s="45">
        <f>Table6[[#This Row],[(A/B) AJD]]-TABL12345[[#This Row],[BER_IN]]</f>
        <v/>
      </c>
      <c r="AK36" s="45" t="n"/>
      <c r="AL36" s="45" t="n"/>
      <c r="AM36" s="32" t="n"/>
      <c r="AN36" s="32">
        <f>Table6[[#This Row],[ (RESV. STORGE) SER]]/10</f>
        <v/>
      </c>
      <c r="AO36" s="68" t="n"/>
      <c r="AP36" s="99">
        <f>Table6[[#This Row],[(A/S) AJD]]-Table6[[#This Row],[SER_IN]]</f>
        <v/>
      </c>
    </row>
    <row r="37" ht="18.75" customHeight="1">
      <c r="A37" s="98" t="n">
        <v>47519</v>
      </c>
      <c r="B37" s="41" t="n"/>
      <c r="C37" s="41" t="n"/>
      <c r="D37" s="41" t="n"/>
      <c r="E37" s="41" t="n"/>
      <c r="F37" s="41" t="n"/>
      <c r="G37" s="39" t="n"/>
      <c r="H37" s="28" t="n"/>
      <c r="I37" s="39" t="n"/>
      <c r="J37" s="39" t="n"/>
      <c r="K37" s="28">
        <f>Table6[[#This Row],[ (T/B) SAR]]+Table6[[#This Row],[ (S/S) SAR]]</f>
        <v/>
      </c>
      <c r="L37" s="41" t="n"/>
      <c r="M37" s="42" t="n"/>
      <c r="N37" s="42" t="n"/>
      <c r="O37" s="39" t="n"/>
      <c r="P37" s="3">
        <f>Table6[[#This Row],[ (S/S) SAR]]-Table6[[#This Row],[(S/S) AJD]]</f>
        <v/>
      </c>
      <c r="Q37" s="39" t="n"/>
      <c r="R37" s="3">
        <f>Table6[[#This Row],[ (T/B) SAR]]-Table6[[#This Row],[(T/B) AJD]]</f>
        <v/>
      </c>
      <c r="S37" s="3">
        <f>Table6[[#This Row],[S/S_CON.]]+Table6[[#This Row],[T/B-CON.]]</f>
        <v/>
      </c>
      <c r="T37" s="3">
        <f>O37+Q37</f>
        <v/>
      </c>
      <c r="U37" s="41" t="n"/>
      <c r="V37" s="41" t="n"/>
      <c r="W37" s="3">
        <f>U37+V37</f>
        <v/>
      </c>
      <c r="X37" s="3">
        <f>T37-W37</f>
        <v/>
      </c>
      <c r="Y37" s="41" t="n"/>
      <c r="Z37" s="43" t="n"/>
      <c r="AA37" s="3">
        <f>Table6[[#This Row],[(RESV. STORGE) AJD]]/10</f>
        <v/>
      </c>
      <c r="AB37" s="3">
        <f>IF(TRIM(Z37)="",,(Z37-Z36)/1000)</f>
        <v/>
      </c>
      <c r="AC37" s="5" t="n"/>
      <c r="AD37" s="39">
        <f>(Table6[[#This Row],[( S/S+T/B) AJD]]*1000)-((Table6[[#This Row],[(STORGE DIFF.) AJD]]*1000)+Table6[[#This Row],[AJD_Evaporation]]+(Table6[[#This Row],[(A/B + A/S) AJD]]*1000))</f>
        <v/>
      </c>
      <c r="AE37" s="41" t="n"/>
      <c r="AF37" s="43" t="n"/>
      <c r="AG37" s="43" t="n"/>
      <c r="AH37" s="6">
        <f>Table6[[#This Row],[ (RESV. STORGE) BER]]/10</f>
        <v/>
      </c>
      <c r="AI37" s="41" t="n"/>
      <c r="AJ37" s="43">
        <f>Table6[[#This Row],[(A/B) AJD]]-TABL12345[[#This Row],[BER_IN]]</f>
        <v/>
      </c>
      <c r="AK37" s="43" t="n"/>
      <c r="AL37" s="43" t="n"/>
      <c r="AM37" s="32" t="n"/>
      <c r="AN37" s="32">
        <f>Table6[[#This Row],[ (RESV. STORGE) SER]]/10</f>
        <v/>
      </c>
      <c r="AO37" s="68" t="n"/>
      <c r="AP37" s="99">
        <f>Table6[[#This Row],[(A/S) AJD]]-Table6[[#This Row],[SER_IN]]</f>
        <v/>
      </c>
    </row>
    <row r="38" ht="18.75" customHeight="1">
      <c r="A38" s="98" t="n">
        <v>47520</v>
      </c>
      <c r="B38" s="44" t="n"/>
      <c r="C38" s="44" t="n"/>
      <c r="D38" s="44" t="n"/>
      <c r="E38" s="44" t="n"/>
      <c r="F38" s="44" t="n"/>
      <c r="G38" s="40" t="n"/>
      <c r="H38" s="28" t="n"/>
      <c r="I38" s="40" t="n"/>
      <c r="J38" s="44" t="n"/>
      <c r="K38" s="28">
        <f>Table6[[#This Row],[ (T/B) SAR]]+Table6[[#This Row],[ (S/S) SAR]]</f>
        <v/>
      </c>
      <c r="L38" s="45" t="n"/>
      <c r="M38" s="46" t="n"/>
      <c r="N38" s="46" t="n"/>
      <c r="O38" s="40" t="n"/>
      <c r="P38" s="3">
        <f>Table6[[#This Row],[ (S/S) SAR]]-Table6[[#This Row],[(S/S) AJD]]</f>
        <v/>
      </c>
      <c r="Q38" s="40" t="n"/>
      <c r="R38" s="3">
        <f>Table6[[#This Row],[ (T/B) SAR]]-Table6[[#This Row],[(T/B) AJD]]</f>
        <v/>
      </c>
      <c r="S38" s="3">
        <f>Table6[[#This Row],[S/S_CON.]]+Table6[[#This Row],[T/B-CON.]]</f>
        <v/>
      </c>
      <c r="T38" s="3">
        <f>O38+Q38</f>
        <v/>
      </c>
      <c r="U38" s="44" t="n"/>
      <c r="V38" s="44" t="n"/>
      <c r="W38" s="3">
        <f>U38+V38</f>
        <v/>
      </c>
      <c r="X38" s="3">
        <f>T38-W38</f>
        <v/>
      </c>
      <c r="Y38" s="44" t="n"/>
      <c r="Z38" s="45" t="n"/>
      <c r="AA38" s="3">
        <f>Table6[[#This Row],[(RESV. STORGE) AJD]]/10</f>
        <v/>
      </c>
      <c r="AB38" s="3">
        <f>IF(TRIM(Z38)="",,(Z38-Z37)/1000)</f>
        <v/>
      </c>
      <c r="AC38" s="5" t="n"/>
      <c r="AD38" s="40">
        <f>(Table6[[#This Row],[( S/S+T/B) AJD]]*1000)-((Table6[[#This Row],[(STORGE DIFF.) AJD]]*1000)+Table6[[#This Row],[AJD_Evaporation]]+(Table6[[#This Row],[(A/B + A/S) AJD]]*1000))</f>
        <v/>
      </c>
      <c r="AE38" s="44" t="n"/>
      <c r="AF38" s="45" t="n"/>
      <c r="AG38" s="45" t="n"/>
      <c r="AH38" s="6">
        <f>Table6[[#This Row],[ (RESV. STORGE) BER]]/10</f>
        <v/>
      </c>
      <c r="AI38" s="44" t="n"/>
      <c r="AJ38" s="45">
        <f>Table6[[#This Row],[(A/B) AJD]]-TABL12345[[#This Row],[BER_IN]]</f>
        <v/>
      </c>
      <c r="AK38" s="45" t="n"/>
      <c r="AL38" s="45" t="n"/>
      <c r="AM38" s="32" t="n"/>
      <c r="AN38" s="32">
        <f>Table6[[#This Row],[ (RESV. STORGE) SER]]/10</f>
        <v/>
      </c>
      <c r="AO38" s="68" t="n"/>
      <c r="AP38" s="99">
        <f>Table6[[#This Row],[(A/S) AJD]]-Table6[[#This Row],[SER_IN]]</f>
        <v/>
      </c>
    </row>
    <row r="39" ht="18.75" customHeight="1">
      <c r="A39" s="98" t="n">
        <v>47521</v>
      </c>
      <c r="B39" s="41" t="n"/>
      <c r="C39" s="41" t="n"/>
      <c r="D39" s="41" t="n"/>
      <c r="E39" s="41" t="n"/>
      <c r="F39" s="41" t="n"/>
      <c r="G39" s="39" t="n"/>
      <c r="H39" s="28" t="n"/>
      <c r="I39" s="39" t="n"/>
      <c r="J39" s="39" t="n"/>
      <c r="K39" s="28">
        <f>Table6[[#This Row],[ (T/B) SAR]]+Table6[[#This Row],[ (S/S) SAR]]</f>
        <v/>
      </c>
      <c r="L39" s="41" t="n"/>
      <c r="M39" s="42" t="n"/>
      <c r="N39" s="42" t="n"/>
      <c r="O39" s="39" t="n"/>
      <c r="P39" s="3">
        <f>Table6[[#This Row],[ (S/S) SAR]]-Table6[[#This Row],[(S/S) AJD]]</f>
        <v/>
      </c>
      <c r="Q39" s="39" t="n"/>
      <c r="R39" s="3">
        <f>Table6[[#This Row],[ (T/B) SAR]]-Table6[[#This Row],[(T/B) AJD]]</f>
        <v/>
      </c>
      <c r="S39" s="3">
        <f>Table6[[#This Row],[S/S_CON.]]+Table6[[#This Row],[T/B-CON.]]</f>
        <v/>
      </c>
      <c r="T39" s="3">
        <f>O39+Q39</f>
        <v/>
      </c>
      <c r="U39" s="41" t="n"/>
      <c r="V39" s="41" t="n"/>
      <c r="W39" s="3">
        <f>U39+V39</f>
        <v/>
      </c>
      <c r="X39" s="3">
        <f>T39-W39</f>
        <v/>
      </c>
      <c r="Y39" s="41" t="n"/>
      <c r="Z39" s="43" t="n"/>
      <c r="AA39" s="3">
        <f>Table6[[#This Row],[(RESV. STORGE) AJD]]/10</f>
        <v/>
      </c>
      <c r="AB39" s="3">
        <f>IF(TRIM(Z39)="",,(Z39-Z38)/1000)</f>
        <v/>
      </c>
      <c r="AC39" s="5" t="n"/>
      <c r="AD39" s="39">
        <f>(Table6[[#This Row],[( S/S+T/B) AJD]]*1000)-((Table6[[#This Row],[(STORGE DIFF.) AJD]]*1000)+Table6[[#This Row],[AJD_Evaporation]]+(Table6[[#This Row],[(A/B + A/S) AJD]]*1000))</f>
        <v/>
      </c>
      <c r="AE39" s="41" t="n"/>
      <c r="AF39" s="43" t="n"/>
      <c r="AG39" s="43" t="n"/>
      <c r="AH39" s="6">
        <f>Table6[[#This Row],[ (RESV. STORGE) BER]]/10</f>
        <v/>
      </c>
      <c r="AI39" s="41" t="n"/>
      <c r="AJ39" s="43">
        <f>Table6[[#This Row],[(A/B) AJD]]-TABL12345[[#This Row],[BER_IN]]</f>
        <v/>
      </c>
      <c r="AK39" s="43" t="n"/>
      <c r="AL39" s="43" t="n"/>
      <c r="AM39" s="32" t="n"/>
      <c r="AN39" s="32">
        <f>Table6[[#This Row],[ (RESV. STORGE) SER]]/10</f>
        <v/>
      </c>
      <c r="AO39" s="68" t="n"/>
      <c r="AP39" s="99">
        <f>Table6[[#This Row],[(A/S) AJD]]-Table6[[#This Row],[SER_IN]]</f>
        <v/>
      </c>
    </row>
    <row r="40" ht="18.75" customHeight="1">
      <c r="A40" s="98" t="n">
        <v>47522</v>
      </c>
      <c r="B40" s="44" t="n"/>
      <c r="C40" s="44" t="n"/>
      <c r="D40" s="44" t="n"/>
      <c r="E40" s="44" t="n"/>
      <c r="F40" s="44" t="n"/>
      <c r="G40" s="40" t="n"/>
      <c r="H40" s="28" t="n"/>
      <c r="I40" s="40" t="n"/>
      <c r="J40" s="44" t="n"/>
      <c r="K40" s="28">
        <f>Table6[[#This Row],[ (T/B) SAR]]+Table6[[#This Row],[ (S/S) SAR]]</f>
        <v/>
      </c>
      <c r="L40" s="45" t="n"/>
      <c r="M40" s="46" t="n"/>
      <c r="N40" s="46" t="n"/>
      <c r="O40" s="40" t="n"/>
      <c r="P40" s="3">
        <f>Table6[[#This Row],[ (S/S) SAR]]-Table6[[#This Row],[(S/S) AJD]]</f>
        <v/>
      </c>
      <c r="Q40" s="40" t="n"/>
      <c r="R40" s="3">
        <f>Table6[[#This Row],[ (T/B) SAR]]-Table6[[#This Row],[(T/B) AJD]]</f>
        <v/>
      </c>
      <c r="S40" s="3">
        <f>Table6[[#This Row],[S/S_CON.]]+Table6[[#This Row],[T/B-CON.]]</f>
        <v/>
      </c>
      <c r="T40" s="3">
        <f>O40+Q40</f>
        <v/>
      </c>
      <c r="U40" s="44" t="n"/>
      <c r="V40" s="44" t="n"/>
      <c r="W40" s="3">
        <f>U40+V40</f>
        <v/>
      </c>
      <c r="X40" s="3">
        <f>T40-W40</f>
        <v/>
      </c>
      <c r="Y40" s="44" t="n"/>
      <c r="Z40" s="45" t="n"/>
      <c r="AA40" s="3">
        <f>Table6[[#This Row],[(RESV. STORGE) AJD]]/10</f>
        <v/>
      </c>
      <c r="AB40" s="3">
        <f>IF(TRIM(Z40)="",,(Z40-Z39)/1000)</f>
        <v/>
      </c>
      <c r="AC40" s="5" t="n"/>
      <c r="AD40" s="40">
        <f>(Table6[[#This Row],[( S/S+T/B) AJD]]*1000)-((Table6[[#This Row],[(STORGE DIFF.) AJD]]*1000)+Table6[[#This Row],[AJD_Evaporation]]+(Table6[[#This Row],[(A/B + A/S) AJD]]*1000))</f>
        <v/>
      </c>
      <c r="AE40" s="44" t="n"/>
      <c r="AF40" s="45" t="n"/>
      <c r="AG40" s="45" t="n"/>
      <c r="AH40" s="6">
        <f>Table6[[#This Row],[ (RESV. STORGE) BER]]/10</f>
        <v/>
      </c>
      <c r="AI40" s="44" t="n"/>
      <c r="AJ40" s="45">
        <f>Table6[[#This Row],[(A/B) AJD]]-TABL12345[[#This Row],[BER_IN]]</f>
        <v/>
      </c>
      <c r="AK40" s="45" t="n"/>
      <c r="AL40" s="45" t="n"/>
      <c r="AM40" s="32" t="n"/>
      <c r="AN40" s="32">
        <f>Table6[[#This Row],[ (RESV. STORGE) SER]]/10</f>
        <v/>
      </c>
      <c r="AO40" s="68" t="n"/>
      <c r="AP40" s="99">
        <f>Table6[[#This Row],[(A/S) AJD]]-Table6[[#This Row],[SER_IN]]</f>
        <v/>
      </c>
    </row>
    <row r="41" ht="18.75" customHeight="1">
      <c r="A41" s="98" t="n">
        <v>47523</v>
      </c>
      <c r="B41" s="41" t="n"/>
      <c r="C41" s="41" t="n"/>
      <c r="D41" s="41" t="n"/>
      <c r="E41" s="41" t="n"/>
      <c r="F41" s="41" t="n"/>
      <c r="G41" s="39" t="n"/>
      <c r="H41" s="28" t="n"/>
      <c r="I41" s="39" t="n"/>
      <c r="J41" s="39" t="n"/>
      <c r="K41" s="28">
        <f>Table6[[#This Row],[ (T/B) SAR]]+Table6[[#This Row],[ (S/S) SAR]]</f>
        <v/>
      </c>
      <c r="L41" s="41" t="n"/>
      <c r="M41" s="42" t="n"/>
      <c r="N41" s="42" t="n"/>
      <c r="O41" s="39" t="n"/>
      <c r="P41" s="3">
        <f>Table6[[#This Row],[ (S/S) SAR]]-Table6[[#This Row],[(S/S) AJD]]</f>
        <v/>
      </c>
      <c r="Q41" s="39" t="n"/>
      <c r="R41" s="3">
        <f>Table6[[#This Row],[ (T/B) SAR]]-Table6[[#This Row],[(T/B) AJD]]</f>
        <v/>
      </c>
      <c r="S41" s="3">
        <f>Table6[[#This Row],[S/S_CON.]]+Table6[[#This Row],[T/B-CON.]]</f>
        <v/>
      </c>
      <c r="T41" s="3">
        <f>O41+Q41</f>
        <v/>
      </c>
      <c r="U41" s="41" t="n"/>
      <c r="V41" s="41" t="n"/>
      <c r="W41" s="3">
        <f>U41+V41</f>
        <v/>
      </c>
      <c r="X41" s="3">
        <f>T41-W41</f>
        <v/>
      </c>
      <c r="Y41" s="41" t="n"/>
      <c r="Z41" s="43" t="n"/>
      <c r="AA41" s="3">
        <f>Table6[[#This Row],[(RESV. STORGE) AJD]]/10</f>
        <v/>
      </c>
      <c r="AB41" s="3">
        <f>IF(TRIM(Z41)="",,(Z41-Z40)/1000)</f>
        <v/>
      </c>
      <c r="AC41" s="5" t="n"/>
      <c r="AD41" s="39">
        <f>(Table6[[#This Row],[( S/S+T/B) AJD]]*1000)-((Table6[[#This Row],[(STORGE DIFF.) AJD]]*1000)+Table6[[#This Row],[AJD_Evaporation]]+(Table6[[#This Row],[(A/B + A/S) AJD]]*1000))</f>
        <v/>
      </c>
      <c r="AE41" s="41" t="n"/>
      <c r="AF41" s="43" t="n"/>
      <c r="AG41" s="43" t="n"/>
      <c r="AH41" s="6">
        <f>Table6[[#This Row],[ (RESV. STORGE) BER]]/10</f>
        <v/>
      </c>
      <c r="AI41" s="41" t="n"/>
      <c r="AJ41" s="43">
        <f>Table6[[#This Row],[(A/B) AJD]]-TABL12345[[#This Row],[BER_IN]]</f>
        <v/>
      </c>
      <c r="AK41" s="43" t="n"/>
      <c r="AL41" s="43" t="n"/>
      <c r="AM41" s="32" t="n"/>
      <c r="AN41" s="32">
        <f>Table6[[#This Row],[ (RESV. STORGE) SER]]/10</f>
        <v/>
      </c>
      <c r="AO41" s="68" t="n"/>
      <c r="AP41" s="99">
        <f>Table6[[#This Row],[(A/S) AJD]]-Table6[[#This Row],[SER_IN]]</f>
        <v/>
      </c>
    </row>
    <row r="42" ht="18.75" customHeight="1">
      <c r="A42" s="98" t="n">
        <v>47524</v>
      </c>
      <c r="B42" s="44" t="n"/>
      <c r="C42" s="44" t="n"/>
      <c r="D42" s="44" t="n"/>
      <c r="E42" s="44" t="n"/>
      <c r="F42" s="44" t="n"/>
      <c r="G42" s="40" t="n"/>
      <c r="H42" s="28" t="n"/>
      <c r="I42" s="40" t="n"/>
      <c r="J42" s="44" t="n"/>
      <c r="K42" s="28">
        <f>Table6[[#This Row],[ (T/B) SAR]]+Table6[[#This Row],[ (S/S) SAR]]</f>
        <v/>
      </c>
      <c r="L42" s="45" t="n"/>
      <c r="M42" s="46" t="n"/>
      <c r="N42" s="46" t="n"/>
      <c r="O42" s="40" t="n"/>
      <c r="P42" s="3">
        <f>Table6[[#This Row],[ (S/S) SAR]]-Table6[[#This Row],[(S/S) AJD]]</f>
        <v/>
      </c>
      <c r="Q42" s="40" t="n"/>
      <c r="R42" s="3">
        <f>Table6[[#This Row],[ (T/B) SAR]]-Table6[[#This Row],[(T/B) AJD]]</f>
        <v/>
      </c>
      <c r="S42" s="3">
        <f>Table6[[#This Row],[S/S_CON.]]+Table6[[#This Row],[T/B-CON.]]</f>
        <v/>
      </c>
      <c r="T42" s="3">
        <f>O42+Q42</f>
        <v/>
      </c>
      <c r="U42" s="44" t="n"/>
      <c r="V42" s="44" t="n"/>
      <c r="W42" s="3">
        <f>U42+V42</f>
        <v/>
      </c>
      <c r="X42" s="3">
        <f>T42-W42</f>
        <v/>
      </c>
      <c r="Y42" s="44" t="n"/>
      <c r="Z42" s="45" t="n"/>
      <c r="AA42" s="3">
        <f>Table6[[#This Row],[(RESV. STORGE) AJD]]/10</f>
        <v/>
      </c>
      <c r="AB42" s="3">
        <f>IF(TRIM(Z42)="",,(Z42-Z41)/1000)</f>
        <v/>
      </c>
      <c r="AC42" s="5" t="n"/>
      <c r="AD42" s="40">
        <f>(Table6[[#This Row],[( S/S+T/B) AJD]]*1000)-((Table6[[#This Row],[(STORGE DIFF.) AJD]]*1000)+Table6[[#This Row],[AJD_Evaporation]]+(Table6[[#This Row],[(A/B + A/S) AJD]]*1000))</f>
        <v/>
      </c>
      <c r="AE42" s="44" t="n"/>
      <c r="AF42" s="45" t="n"/>
      <c r="AG42" s="45" t="n"/>
      <c r="AH42" s="6">
        <f>Table6[[#This Row],[ (RESV. STORGE) BER]]/10</f>
        <v/>
      </c>
      <c r="AI42" s="44" t="n"/>
      <c r="AJ42" s="45">
        <f>Table6[[#This Row],[(A/B) AJD]]-TABL12345[[#This Row],[BER_IN]]</f>
        <v/>
      </c>
      <c r="AK42" s="45" t="n"/>
      <c r="AL42" s="45" t="n"/>
      <c r="AM42" s="32" t="n"/>
      <c r="AN42" s="32">
        <f>Table6[[#This Row],[ (RESV. STORGE) SER]]/10</f>
        <v/>
      </c>
      <c r="AO42" s="68" t="n"/>
      <c r="AP42" s="99">
        <f>Table6[[#This Row],[(A/S) AJD]]-Table6[[#This Row],[SER_IN]]</f>
        <v/>
      </c>
    </row>
    <row r="43" ht="18.75" customHeight="1">
      <c r="A43" s="98" t="n">
        <v>47525</v>
      </c>
      <c r="B43" s="41" t="n"/>
      <c r="C43" s="41" t="n"/>
      <c r="D43" s="41" t="n"/>
      <c r="E43" s="41" t="n"/>
      <c r="F43" s="41" t="n"/>
      <c r="G43" s="39" t="n"/>
      <c r="H43" s="28" t="n"/>
      <c r="I43" s="39" t="n"/>
      <c r="J43" s="39" t="n"/>
      <c r="K43" s="28">
        <f>Table6[[#This Row],[ (T/B) SAR]]+Table6[[#This Row],[ (S/S) SAR]]</f>
        <v/>
      </c>
      <c r="L43" s="41" t="n"/>
      <c r="M43" s="42" t="n"/>
      <c r="N43" s="42" t="n"/>
      <c r="O43" s="39" t="n"/>
      <c r="P43" s="3">
        <f>Table6[[#This Row],[ (S/S) SAR]]-Table6[[#This Row],[(S/S) AJD]]</f>
        <v/>
      </c>
      <c r="Q43" s="39" t="n"/>
      <c r="R43" s="3">
        <f>Table6[[#This Row],[ (T/B) SAR]]-Table6[[#This Row],[(T/B) AJD]]</f>
        <v/>
      </c>
      <c r="S43" s="3">
        <f>Table6[[#This Row],[S/S_CON.]]+Table6[[#This Row],[T/B-CON.]]</f>
        <v/>
      </c>
      <c r="T43" s="3">
        <f>O43+Q43</f>
        <v/>
      </c>
      <c r="U43" s="41" t="n"/>
      <c r="V43" s="41" t="n"/>
      <c r="W43" s="3">
        <f>U43+V43</f>
        <v/>
      </c>
      <c r="X43" s="3">
        <f>T43-W43</f>
        <v/>
      </c>
      <c r="Y43" s="41" t="n"/>
      <c r="Z43" s="43" t="n"/>
      <c r="AA43" s="3">
        <f>Table6[[#This Row],[(RESV. STORGE) AJD]]/10</f>
        <v/>
      </c>
      <c r="AB43" s="3">
        <f>IF(TRIM(Z43)="",,(Z43-Z42)/1000)</f>
        <v/>
      </c>
      <c r="AC43" s="5" t="n"/>
      <c r="AD43" s="39">
        <f>(Table6[[#This Row],[( S/S+T/B) AJD]]*1000)-((Table6[[#This Row],[(STORGE DIFF.) AJD]]*1000)+Table6[[#This Row],[AJD_Evaporation]]+(Table6[[#This Row],[(A/B + A/S) AJD]]*1000))</f>
        <v/>
      </c>
      <c r="AE43" s="41" t="n"/>
      <c r="AF43" s="43" t="n"/>
      <c r="AG43" s="43" t="n"/>
      <c r="AH43" s="6">
        <f>Table6[[#This Row],[ (RESV. STORGE) BER]]/10</f>
        <v/>
      </c>
      <c r="AI43" s="41" t="n"/>
      <c r="AJ43" s="43">
        <f>Table6[[#This Row],[(A/B) AJD]]-TABL12345[[#This Row],[BER_IN]]</f>
        <v/>
      </c>
      <c r="AK43" s="43" t="n"/>
      <c r="AL43" s="43" t="n"/>
      <c r="AM43" s="32" t="n"/>
      <c r="AN43" s="32">
        <f>Table6[[#This Row],[ (RESV. STORGE) SER]]/10</f>
        <v/>
      </c>
      <c r="AO43" s="68" t="n"/>
      <c r="AP43" s="99">
        <f>Table6[[#This Row],[(A/S) AJD]]-Table6[[#This Row],[SER_IN]]</f>
        <v/>
      </c>
    </row>
    <row r="44" ht="18.75" customHeight="1">
      <c r="A44" s="98" t="n">
        <v>47526</v>
      </c>
      <c r="B44" s="44" t="n"/>
      <c r="C44" s="44" t="n"/>
      <c r="D44" s="44" t="n"/>
      <c r="E44" s="44" t="n"/>
      <c r="F44" s="44" t="n"/>
      <c r="G44" s="40" t="n"/>
      <c r="H44" s="28" t="n"/>
      <c r="I44" s="40" t="n"/>
      <c r="J44" s="44" t="n"/>
      <c r="K44" s="28">
        <f>Table6[[#This Row],[ (T/B) SAR]]+Table6[[#This Row],[ (S/S) SAR]]</f>
        <v/>
      </c>
      <c r="L44" s="45" t="n"/>
      <c r="M44" s="46" t="n"/>
      <c r="N44" s="46" t="n"/>
      <c r="O44" s="40" t="n"/>
      <c r="P44" s="3">
        <f>Table6[[#This Row],[ (S/S) SAR]]-Table6[[#This Row],[(S/S) AJD]]</f>
        <v/>
      </c>
      <c r="Q44" s="40" t="n"/>
      <c r="R44" s="3">
        <f>Table6[[#This Row],[ (T/B) SAR]]-Table6[[#This Row],[(T/B) AJD]]</f>
        <v/>
      </c>
      <c r="S44" s="3">
        <f>Table6[[#This Row],[S/S_CON.]]+Table6[[#This Row],[T/B-CON.]]</f>
        <v/>
      </c>
      <c r="T44" s="3">
        <f>O44+Q44</f>
        <v/>
      </c>
      <c r="U44" s="44" t="n"/>
      <c r="V44" s="44" t="n"/>
      <c r="W44" s="3">
        <f>U44+V44</f>
        <v/>
      </c>
      <c r="X44" s="3">
        <f>T44-W44</f>
        <v/>
      </c>
      <c r="Y44" s="44" t="n"/>
      <c r="Z44" s="45" t="n"/>
      <c r="AA44" s="3">
        <f>Table6[[#This Row],[(RESV. STORGE) AJD]]/10</f>
        <v/>
      </c>
      <c r="AB44" s="3">
        <f>IF(TRIM(Z44)="",,(Z44-Z43)/1000)</f>
        <v/>
      </c>
      <c r="AC44" s="5" t="n"/>
      <c r="AD44" s="40">
        <f>(Table6[[#This Row],[( S/S+T/B) AJD]]*1000)-((Table6[[#This Row],[(STORGE DIFF.) AJD]]*1000)+Table6[[#This Row],[AJD_Evaporation]]+(Table6[[#This Row],[(A/B + A/S) AJD]]*1000))</f>
        <v/>
      </c>
      <c r="AE44" s="44" t="n"/>
      <c r="AF44" s="45" t="n"/>
      <c r="AG44" s="45" t="n"/>
      <c r="AH44" s="6">
        <f>Table6[[#This Row],[ (RESV. STORGE) BER]]/10</f>
        <v/>
      </c>
      <c r="AI44" s="44" t="n"/>
      <c r="AJ44" s="45">
        <f>Table6[[#This Row],[(A/B) AJD]]-TABL12345[[#This Row],[BER_IN]]</f>
        <v/>
      </c>
      <c r="AK44" s="45" t="n"/>
      <c r="AL44" s="45" t="n"/>
      <c r="AM44" s="32" t="n"/>
      <c r="AN44" s="32">
        <f>Table6[[#This Row],[ (RESV. STORGE) SER]]/10</f>
        <v/>
      </c>
      <c r="AO44" s="68" t="n"/>
      <c r="AP44" s="99">
        <f>Table6[[#This Row],[(A/S) AJD]]-Table6[[#This Row],[SER_IN]]</f>
        <v/>
      </c>
    </row>
    <row r="45" ht="18.75" customHeight="1">
      <c r="A45" s="98" t="n">
        <v>47527</v>
      </c>
      <c r="B45" s="41" t="n"/>
      <c r="C45" s="41" t="n"/>
      <c r="D45" s="41" t="n"/>
      <c r="E45" s="41" t="n"/>
      <c r="F45" s="41" t="n"/>
      <c r="G45" s="39" t="n"/>
      <c r="H45" s="28" t="n"/>
      <c r="I45" s="39" t="n"/>
      <c r="J45" s="39" t="n"/>
      <c r="K45" s="28">
        <f>Table6[[#This Row],[ (T/B) SAR]]+Table6[[#This Row],[ (S/S) SAR]]</f>
        <v/>
      </c>
      <c r="L45" s="41" t="n"/>
      <c r="M45" s="42" t="n"/>
      <c r="N45" s="42" t="n"/>
      <c r="O45" s="39" t="n"/>
      <c r="P45" s="3">
        <f>Table6[[#This Row],[ (S/S) SAR]]-Table6[[#This Row],[(S/S) AJD]]</f>
        <v/>
      </c>
      <c r="Q45" s="39" t="n"/>
      <c r="R45" s="3">
        <f>Table6[[#This Row],[ (T/B) SAR]]-Table6[[#This Row],[(T/B) AJD]]</f>
        <v/>
      </c>
      <c r="S45" s="3">
        <f>Table6[[#This Row],[S/S_CON.]]+Table6[[#This Row],[T/B-CON.]]</f>
        <v/>
      </c>
      <c r="T45" s="3">
        <f>O45+Q45</f>
        <v/>
      </c>
      <c r="U45" s="41" t="n"/>
      <c r="V45" s="41" t="n"/>
      <c r="W45" s="3">
        <f>U45+V45</f>
        <v/>
      </c>
      <c r="X45" s="3">
        <f>T45-W45</f>
        <v/>
      </c>
      <c r="Y45" s="41" t="n"/>
      <c r="Z45" s="43" t="n"/>
      <c r="AA45" s="3">
        <f>Table6[[#This Row],[(RESV. STORGE) AJD]]/10</f>
        <v/>
      </c>
      <c r="AB45" s="3">
        <f>IF(TRIM(Z45)="",,(Z45-Z44)/1000)</f>
        <v/>
      </c>
      <c r="AC45" s="5" t="n"/>
      <c r="AD45" s="39">
        <f>(Table6[[#This Row],[( S/S+T/B) AJD]]*1000)-((Table6[[#This Row],[(STORGE DIFF.) AJD]]*1000)+Table6[[#This Row],[AJD_Evaporation]]+(Table6[[#This Row],[(A/B + A/S) AJD]]*1000))</f>
        <v/>
      </c>
      <c r="AE45" s="41" t="n"/>
      <c r="AF45" s="43" t="n"/>
      <c r="AG45" s="43" t="n"/>
      <c r="AH45" s="6">
        <f>Table6[[#This Row],[ (RESV. STORGE) BER]]/10</f>
        <v/>
      </c>
      <c r="AI45" s="41" t="n"/>
      <c r="AJ45" s="43">
        <f>Table6[[#This Row],[(A/B) AJD]]-TABL12345[[#This Row],[BER_IN]]</f>
        <v/>
      </c>
      <c r="AK45" s="43" t="n"/>
      <c r="AL45" s="43" t="n"/>
      <c r="AM45" s="32" t="n"/>
      <c r="AN45" s="32">
        <f>Table6[[#This Row],[ (RESV. STORGE) SER]]/10</f>
        <v/>
      </c>
      <c r="AO45" s="68" t="n"/>
      <c r="AP45" s="99">
        <f>Table6[[#This Row],[(A/S) AJD]]-Table6[[#This Row],[SER_IN]]</f>
        <v/>
      </c>
    </row>
    <row r="46" ht="18.75" customHeight="1">
      <c r="A46" s="98" t="n">
        <v>47528</v>
      </c>
      <c r="B46" s="44" t="n"/>
      <c r="C46" s="44" t="n"/>
      <c r="D46" s="44" t="n"/>
      <c r="E46" s="44" t="n"/>
      <c r="F46" s="44" t="n"/>
      <c r="G46" s="40" t="n"/>
      <c r="H46" s="28" t="n"/>
      <c r="I46" s="40" t="n"/>
      <c r="J46" s="44" t="n"/>
      <c r="K46" s="28">
        <f>Table6[[#This Row],[ (T/B) SAR]]+Table6[[#This Row],[ (S/S) SAR]]</f>
        <v/>
      </c>
      <c r="L46" s="45" t="n"/>
      <c r="M46" s="46" t="n"/>
      <c r="N46" s="46" t="n"/>
      <c r="O46" s="40" t="n"/>
      <c r="P46" s="3">
        <f>Table6[[#This Row],[ (S/S) SAR]]-Table6[[#This Row],[(S/S) AJD]]</f>
        <v/>
      </c>
      <c r="Q46" s="40" t="n"/>
      <c r="R46" s="3">
        <f>Table6[[#This Row],[ (T/B) SAR]]-Table6[[#This Row],[(T/B) AJD]]</f>
        <v/>
      </c>
      <c r="S46" s="3">
        <f>Table6[[#This Row],[S/S_CON.]]+Table6[[#This Row],[T/B-CON.]]</f>
        <v/>
      </c>
      <c r="T46" s="3">
        <f>O46+Q46</f>
        <v/>
      </c>
      <c r="U46" s="44" t="n"/>
      <c r="V46" s="44" t="n"/>
      <c r="W46" s="3">
        <f>U46+V46</f>
        <v/>
      </c>
      <c r="X46" s="3">
        <f>T46-W46</f>
        <v/>
      </c>
      <c r="Y46" s="44" t="n"/>
      <c r="Z46" s="45" t="n"/>
      <c r="AA46" s="3">
        <f>Table6[[#This Row],[(RESV. STORGE) AJD]]/10</f>
        <v/>
      </c>
      <c r="AB46" s="3">
        <f>IF(TRIM(Z46)="",,(Z46-Z45)/1000)</f>
        <v/>
      </c>
      <c r="AC46" s="5" t="n"/>
      <c r="AD46" s="40">
        <f>(Table6[[#This Row],[( S/S+T/B) AJD]]*1000)-((Table6[[#This Row],[(STORGE DIFF.) AJD]]*1000)+Table6[[#This Row],[AJD_Evaporation]]+(Table6[[#This Row],[(A/B + A/S) AJD]]*1000))</f>
        <v/>
      </c>
      <c r="AE46" s="44" t="n"/>
      <c r="AF46" s="45" t="n"/>
      <c r="AG46" s="45" t="n"/>
      <c r="AH46" s="6">
        <f>Table6[[#This Row],[ (RESV. STORGE) BER]]/10</f>
        <v/>
      </c>
      <c r="AI46" s="44" t="n"/>
      <c r="AJ46" s="45">
        <f>Table6[[#This Row],[(A/B) AJD]]-TABL12345[[#This Row],[BER_IN]]</f>
        <v/>
      </c>
      <c r="AK46" s="45" t="n"/>
      <c r="AL46" s="45" t="n"/>
      <c r="AM46" s="32" t="n"/>
      <c r="AN46" s="32">
        <f>Table6[[#This Row],[ (RESV. STORGE) SER]]/10</f>
        <v/>
      </c>
      <c r="AO46" s="68" t="n"/>
      <c r="AP46" s="99">
        <f>Table6[[#This Row],[(A/S) AJD]]-Table6[[#This Row],[SER_IN]]</f>
        <v/>
      </c>
    </row>
    <row r="47" ht="18.75" customHeight="1">
      <c r="A47" s="98" t="n">
        <v>47529</v>
      </c>
      <c r="B47" s="41" t="n"/>
      <c r="C47" s="41" t="n"/>
      <c r="D47" s="41" t="n"/>
      <c r="E47" s="41" t="n"/>
      <c r="F47" s="41" t="n"/>
      <c r="G47" s="39" t="n"/>
      <c r="H47" s="28" t="n"/>
      <c r="I47" s="39" t="n"/>
      <c r="J47" s="39" t="n"/>
      <c r="K47" s="28">
        <f>Table6[[#This Row],[ (T/B) SAR]]+Table6[[#This Row],[ (S/S) SAR]]</f>
        <v/>
      </c>
      <c r="L47" s="41" t="n"/>
      <c r="M47" s="42" t="n"/>
      <c r="N47" s="42" t="n"/>
      <c r="O47" s="39" t="n"/>
      <c r="P47" s="3">
        <f>Table6[[#This Row],[ (S/S) SAR]]-Table6[[#This Row],[(S/S) AJD]]</f>
        <v/>
      </c>
      <c r="Q47" s="39" t="n"/>
      <c r="R47" s="3">
        <f>Table6[[#This Row],[ (T/B) SAR]]-Table6[[#This Row],[(T/B) AJD]]</f>
        <v/>
      </c>
      <c r="S47" s="3">
        <f>Table6[[#This Row],[S/S_CON.]]+Table6[[#This Row],[T/B-CON.]]</f>
        <v/>
      </c>
      <c r="T47" s="3">
        <f>O47+Q47</f>
        <v/>
      </c>
      <c r="U47" s="41" t="n"/>
      <c r="V47" s="41" t="n"/>
      <c r="W47" s="3">
        <f>U47+V47</f>
        <v/>
      </c>
      <c r="X47" s="3">
        <f>T47-W47</f>
        <v/>
      </c>
      <c r="Y47" s="41" t="n"/>
      <c r="Z47" s="43" t="n"/>
      <c r="AA47" s="3">
        <f>Table6[[#This Row],[(RESV. STORGE) AJD]]/10</f>
        <v/>
      </c>
      <c r="AB47" s="3">
        <f>IF(TRIM(Z47)="",,(Z47-Z46)/1000)</f>
        <v/>
      </c>
      <c r="AC47" s="5" t="n"/>
      <c r="AD47" s="39">
        <f>(Table6[[#This Row],[( S/S+T/B) AJD]]*1000)-((Table6[[#This Row],[(STORGE DIFF.) AJD]]*1000)+Table6[[#This Row],[AJD_Evaporation]]+(Table6[[#This Row],[(A/B + A/S) AJD]]*1000))</f>
        <v/>
      </c>
      <c r="AE47" s="41" t="n"/>
      <c r="AF47" s="43" t="n"/>
      <c r="AG47" s="43" t="n"/>
      <c r="AH47" s="6">
        <f>Table6[[#This Row],[ (RESV. STORGE) BER]]/10</f>
        <v/>
      </c>
      <c r="AI47" s="41" t="n"/>
      <c r="AJ47" s="43">
        <f>Table6[[#This Row],[(A/B) AJD]]-TABL12345[[#This Row],[BER_IN]]</f>
        <v/>
      </c>
      <c r="AK47" s="43" t="n"/>
      <c r="AL47" s="43" t="n"/>
      <c r="AM47" s="32" t="n"/>
      <c r="AN47" s="32">
        <f>Table6[[#This Row],[ (RESV. STORGE) SER]]/10</f>
        <v/>
      </c>
      <c r="AO47" s="68" t="n"/>
      <c r="AP47" s="99">
        <f>Table6[[#This Row],[(A/S) AJD]]-Table6[[#This Row],[SER_IN]]</f>
        <v/>
      </c>
    </row>
    <row r="48" ht="18.75" customHeight="1">
      <c r="A48" s="98" t="n">
        <v>47530</v>
      </c>
      <c r="B48" s="44" t="n"/>
      <c r="C48" s="44" t="n"/>
      <c r="D48" s="44" t="n"/>
      <c r="E48" s="44" t="n"/>
      <c r="F48" s="44" t="n"/>
      <c r="G48" s="40" t="n"/>
      <c r="H48" s="28" t="n"/>
      <c r="I48" s="40" t="n"/>
      <c r="J48" s="44" t="n"/>
      <c r="K48" s="28">
        <f>Table6[[#This Row],[ (T/B) SAR]]+Table6[[#This Row],[ (S/S) SAR]]</f>
        <v/>
      </c>
      <c r="L48" s="45" t="n"/>
      <c r="M48" s="46" t="n"/>
      <c r="N48" s="46" t="n"/>
      <c r="O48" s="40" t="n"/>
      <c r="P48" s="3">
        <f>Table6[[#This Row],[ (S/S) SAR]]-Table6[[#This Row],[(S/S) AJD]]</f>
        <v/>
      </c>
      <c r="Q48" s="40" t="n"/>
      <c r="R48" s="3">
        <f>Table6[[#This Row],[ (T/B) SAR]]-Table6[[#This Row],[(T/B) AJD]]</f>
        <v/>
      </c>
      <c r="S48" s="3">
        <f>Table6[[#This Row],[S/S_CON.]]+Table6[[#This Row],[T/B-CON.]]</f>
        <v/>
      </c>
      <c r="T48" s="3">
        <f>O48+Q48</f>
        <v/>
      </c>
      <c r="U48" s="44" t="n"/>
      <c r="V48" s="44" t="n"/>
      <c r="W48" s="3">
        <f>U48+V48</f>
        <v/>
      </c>
      <c r="X48" s="3">
        <f>T48-W48</f>
        <v/>
      </c>
      <c r="Y48" s="44" t="n"/>
      <c r="Z48" s="45" t="n"/>
      <c r="AA48" s="3">
        <f>Table6[[#This Row],[(RESV. STORGE) AJD]]/10</f>
        <v/>
      </c>
      <c r="AB48" s="3">
        <f>IF(TRIM(Z48)="",,(Z48-Z47)/1000)</f>
        <v/>
      </c>
      <c r="AC48" s="5" t="n"/>
      <c r="AD48" s="40">
        <f>(Table6[[#This Row],[( S/S+T/B) AJD]]*1000)-((Table6[[#This Row],[(STORGE DIFF.) AJD]]*1000)+Table6[[#This Row],[AJD_Evaporation]]+(Table6[[#This Row],[(A/B + A/S) AJD]]*1000))</f>
        <v/>
      </c>
      <c r="AE48" s="44" t="n"/>
      <c r="AF48" s="45" t="n"/>
      <c r="AG48" s="45" t="n"/>
      <c r="AH48" s="6">
        <f>Table6[[#This Row],[ (RESV. STORGE) BER]]/10</f>
        <v/>
      </c>
      <c r="AI48" s="44" t="n"/>
      <c r="AJ48" s="45">
        <f>Table6[[#This Row],[(A/B) AJD]]-TABL12345[[#This Row],[BER_IN]]</f>
        <v/>
      </c>
      <c r="AK48" s="45" t="n"/>
      <c r="AL48" s="45" t="n"/>
      <c r="AM48" s="32" t="n"/>
      <c r="AN48" s="32">
        <f>Table6[[#This Row],[ (RESV. STORGE) SER]]/10</f>
        <v/>
      </c>
      <c r="AO48" s="68" t="n"/>
      <c r="AP48" s="99">
        <f>Table6[[#This Row],[(A/S) AJD]]-Table6[[#This Row],[SER_IN]]</f>
        <v/>
      </c>
    </row>
    <row r="49" ht="18.75" customHeight="1">
      <c r="A49" s="98" t="n">
        <v>47531</v>
      </c>
      <c r="B49" s="41" t="n"/>
      <c r="C49" s="41" t="n"/>
      <c r="D49" s="41" t="n"/>
      <c r="E49" s="41" t="n"/>
      <c r="F49" s="41" t="n"/>
      <c r="G49" s="39" t="n"/>
      <c r="H49" s="28" t="n"/>
      <c r="I49" s="39" t="n"/>
      <c r="J49" s="39" t="n"/>
      <c r="K49" s="28">
        <f>Table6[[#This Row],[ (T/B) SAR]]+Table6[[#This Row],[ (S/S) SAR]]</f>
        <v/>
      </c>
      <c r="L49" s="41" t="n"/>
      <c r="M49" s="42" t="n"/>
      <c r="N49" s="42" t="n"/>
      <c r="O49" s="39" t="n"/>
      <c r="P49" s="3">
        <f>Table6[[#This Row],[ (S/S) SAR]]-Table6[[#This Row],[(S/S) AJD]]</f>
        <v/>
      </c>
      <c r="Q49" s="39" t="n"/>
      <c r="R49" s="3">
        <f>Table6[[#This Row],[ (T/B) SAR]]-Table6[[#This Row],[(T/B) AJD]]</f>
        <v/>
      </c>
      <c r="S49" s="3">
        <f>Table6[[#This Row],[S/S_CON.]]+Table6[[#This Row],[T/B-CON.]]</f>
        <v/>
      </c>
      <c r="T49" s="3">
        <f>O49+Q49</f>
        <v/>
      </c>
      <c r="U49" s="41" t="n"/>
      <c r="V49" s="41" t="n"/>
      <c r="W49" s="3">
        <f>U49+V49</f>
        <v/>
      </c>
      <c r="X49" s="3">
        <f>T49-W49</f>
        <v/>
      </c>
      <c r="Y49" s="41" t="n"/>
      <c r="Z49" s="43" t="n"/>
      <c r="AA49" s="3">
        <f>Table6[[#This Row],[(RESV. STORGE) AJD]]/10</f>
        <v/>
      </c>
      <c r="AB49" s="3">
        <f>IF(TRIM(Z49)="",,(Z49-Z48)/1000)</f>
        <v/>
      </c>
      <c r="AC49" s="5" t="n"/>
      <c r="AD49" s="39">
        <f>(Table6[[#This Row],[( S/S+T/B) AJD]]*1000)-((Table6[[#This Row],[(STORGE DIFF.) AJD]]*1000)+Table6[[#This Row],[AJD_Evaporation]]+(Table6[[#This Row],[(A/B + A/S) AJD]]*1000))</f>
        <v/>
      </c>
      <c r="AE49" s="41" t="n"/>
      <c r="AF49" s="43" t="n"/>
      <c r="AG49" s="43" t="n"/>
      <c r="AH49" s="6">
        <f>Table6[[#This Row],[ (RESV. STORGE) BER]]/10</f>
        <v/>
      </c>
      <c r="AI49" s="41" t="n"/>
      <c r="AJ49" s="43">
        <f>Table6[[#This Row],[(A/B) AJD]]-TABL12345[[#This Row],[BER_IN]]</f>
        <v/>
      </c>
      <c r="AK49" s="43" t="n"/>
      <c r="AL49" s="43" t="n"/>
      <c r="AM49" s="32" t="n"/>
      <c r="AN49" s="32">
        <f>Table6[[#This Row],[ (RESV. STORGE) SER]]/10</f>
        <v/>
      </c>
      <c r="AO49" s="68" t="n"/>
      <c r="AP49" s="99">
        <f>Table6[[#This Row],[(A/S) AJD]]-Table6[[#This Row],[SER_IN]]</f>
        <v/>
      </c>
    </row>
    <row r="50" ht="18.75" customHeight="1">
      <c r="A50" s="98" t="n">
        <v>47532</v>
      </c>
      <c r="B50" s="44" t="n"/>
      <c r="C50" s="44" t="n"/>
      <c r="D50" s="44" t="n"/>
      <c r="E50" s="44" t="n"/>
      <c r="F50" s="44" t="n"/>
      <c r="G50" s="40" t="n"/>
      <c r="H50" s="28" t="n"/>
      <c r="I50" s="40" t="n"/>
      <c r="J50" s="44" t="n"/>
      <c r="K50" s="28">
        <f>Table6[[#This Row],[ (T/B) SAR]]+Table6[[#This Row],[ (S/S) SAR]]</f>
        <v/>
      </c>
      <c r="L50" s="45" t="n"/>
      <c r="M50" s="46" t="n"/>
      <c r="N50" s="46" t="n"/>
      <c r="O50" s="40" t="n"/>
      <c r="P50" s="3">
        <f>Table6[[#This Row],[ (S/S) SAR]]-Table6[[#This Row],[(S/S) AJD]]</f>
        <v/>
      </c>
      <c r="Q50" s="40" t="n"/>
      <c r="R50" s="3">
        <f>Table6[[#This Row],[ (T/B) SAR]]-Table6[[#This Row],[(T/B) AJD]]</f>
        <v/>
      </c>
      <c r="S50" s="3">
        <f>Table6[[#This Row],[S/S_CON.]]+Table6[[#This Row],[T/B-CON.]]</f>
        <v/>
      </c>
      <c r="T50" s="3">
        <f>O50+Q50</f>
        <v/>
      </c>
      <c r="U50" s="44" t="n"/>
      <c r="V50" s="44" t="n"/>
      <c r="W50" s="3">
        <f>U50+V50</f>
        <v/>
      </c>
      <c r="X50" s="3">
        <f>T50-W50</f>
        <v/>
      </c>
      <c r="Y50" s="44" t="n"/>
      <c r="Z50" s="45" t="n"/>
      <c r="AA50" s="3">
        <f>Table6[[#This Row],[(RESV. STORGE) AJD]]/10</f>
        <v/>
      </c>
      <c r="AB50" s="3">
        <f>IF(TRIM(Z50)="",,(Z50-Z49)/1000)</f>
        <v/>
      </c>
      <c r="AC50" s="5" t="n"/>
      <c r="AD50" s="40">
        <f>(Table6[[#This Row],[( S/S+T/B) AJD]]*1000)-((Table6[[#This Row],[(STORGE DIFF.) AJD]]*1000)+Table6[[#This Row],[AJD_Evaporation]]+(Table6[[#This Row],[(A/B + A/S) AJD]]*1000))</f>
        <v/>
      </c>
      <c r="AE50" s="44" t="n"/>
      <c r="AF50" s="45" t="n"/>
      <c r="AG50" s="45" t="n"/>
      <c r="AH50" s="6">
        <f>Table6[[#This Row],[ (RESV. STORGE) BER]]/10</f>
        <v/>
      </c>
      <c r="AI50" s="44" t="n"/>
      <c r="AJ50" s="45">
        <f>Table6[[#This Row],[(A/B) AJD]]-TABL12345[[#This Row],[BER_IN]]</f>
        <v/>
      </c>
      <c r="AK50" s="45" t="n"/>
      <c r="AL50" s="45" t="n"/>
      <c r="AM50" s="32" t="n"/>
      <c r="AN50" s="32">
        <f>Table6[[#This Row],[ (RESV. STORGE) SER]]/10</f>
        <v/>
      </c>
      <c r="AO50" s="68" t="n"/>
      <c r="AP50" s="99">
        <f>Table6[[#This Row],[(A/S) AJD]]-Table6[[#This Row],[SER_IN]]</f>
        <v/>
      </c>
    </row>
    <row r="51" ht="18.75" customHeight="1">
      <c r="A51" s="98" t="n">
        <v>47533</v>
      </c>
      <c r="B51" s="41" t="n"/>
      <c r="C51" s="41" t="n"/>
      <c r="D51" s="41" t="n"/>
      <c r="E51" s="41" t="n"/>
      <c r="F51" s="41" t="n"/>
      <c r="G51" s="39" t="n"/>
      <c r="H51" s="28" t="n"/>
      <c r="I51" s="39" t="n"/>
      <c r="J51" s="39" t="n"/>
      <c r="K51" s="28">
        <f>Table6[[#This Row],[ (T/B) SAR]]+Table6[[#This Row],[ (S/S) SAR]]</f>
        <v/>
      </c>
      <c r="L51" s="41" t="n"/>
      <c r="M51" s="42" t="n"/>
      <c r="N51" s="42" t="n"/>
      <c r="O51" s="39" t="n"/>
      <c r="P51" s="3">
        <f>Table6[[#This Row],[ (S/S) SAR]]-Table6[[#This Row],[(S/S) AJD]]</f>
        <v/>
      </c>
      <c r="Q51" s="39" t="n"/>
      <c r="R51" s="3">
        <f>Table6[[#This Row],[ (T/B) SAR]]-Table6[[#This Row],[(T/B) AJD]]</f>
        <v/>
      </c>
      <c r="S51" s="3">
        <f>Table6[[#This Row],[S/S_CON.]]+Table6[[#This Row],[T/B-CON.]]</f>
        <v/>
      </c>
      <c r="T51" s="3">
        <f>O51+Q51</f>
        <v/>
      </c>
      <c r="U51" s="41" t="n"/>
      <c r="V51" s="41" t="n"/>
      <c r="W51" s="3">
        <f>U51+V51</f>
        <v/>
      </c>
      <c r="X51" s="3">
        <f>T51-W51</f>
        <v/>
      </c>
      <c r="Y51" s="41" t="n"/>
      <c r="Z51" s="43" t="n"/>
      <c r="AA51" s="3">
        <f>Table6[[#This Row],[(RESV. STORGE) AJD]]/10</f>
        <v/>
      </c>
      <c r="AB51" s="3">
        <f>IF(TRIM(Z51)="",,(Z51-Z50)/1000)</f>
        <v/>
      </c>
      <c r="AC51" s="5" t="n"/>
      <c r="AD51" s="39">
        <f>(Table6[[#This Row],[( S/S+T/B) AJD]]*1000)-((Table6[[#This Row],[(STORGE DIFF.) AJD]]*1000)+Table6[[#This Row],[AJD_Evaporation]]+(Table6[[#This Row],[(A/B + A/S) AJD]]*1000))</f>
        <v/>
      </c>
      <c r="AE51" s="41" t="n"/>
      <c r="AF51" s="43" t="n"/>
      <c r="AG51" s="43" t="n"/>
      <c r="AH51" s="6">
        <f>Table6[[#This Row],[ (RESV. STORGE) BER]]/10</f>
        <v/>
      </c>
      <c r="AI51" s="41" t="n"/>
      <c r="AJ51" s="43">
        <f>Table6[[#This Row],[(A/B) AJD]]-TABL12345[[#This Row],[BER_IN]]</f>
        <v/>
      </c>
      <c r="AK51" s="43" t="n"/>
      <c r="AL51" s="43" t="n"/>
      <c r="AM51" s="32" t="n"/>
      <c r="AN51" s="32">
        <f>Table6[[#This Row],[ (RESV. STORGE) SER]]/10</f>
        <v/>
      </c>
      <c r="AO51" s="68" t="n"/>
      <c r="AP51" s="99">
        <f>Table6[[#This Row],[(A/S) AJD]]-Table6[[#This Row],[SER_IN]]</f>
        <v/>
      </c>
    </row>
    <row r="52" ht="18.75" customHeight="1">
      <c r="A52" s="98" t="n">
        <v>47534</v>
      </c>
      <c r="B52" s="44" t="n"/>
      <c r="C52" s="44" t="n"/>
      <c r="D52" s="44" t="n"/>
      <c r="E52" s="44" t="n"/>
      <c r="F52" s="44" t="n"/>
      <c r="G52" s="40" t="n"/>
      <c r="H52" s="28" t="n"/>
      <c r="I52" s="40" t="n"/>
      <c r="J52" s="44" t="n"/>
      <c r="K52" s="28">
        <f>Table6[[#This Row],[ (T/B) SAR]]+Table6[[#This Row],[ (S/S) SAR]]</f>
        <v/>
      </c>
      <c r="L52" s="45" t="n"/>
      <c r="M52" s="46" t="n"/>
      <c r="N52" s="46" t="n"/>
      <c r="O52" s="40" t="n"/>
      <c r="P52" s="3">
        <f>Table6[[#This Row],[ (S/S) SAR]]-Table6[[#This Row],[(S/S) AJD]]</f>
        <v/>
      </c>
      <c r="Q52" s="40" t="n"/>
      <c r="R52" s="3">
        <f>Table6[[#This Row],[ (T/B) SAR]]-Table6[[#This Row],[(T/B) AJD]]</f>
        <v/>
      </c>
      <c r="S52" s="3">
        <f>Table6[[#This Row],[S/S_CON.]]+Table6[[#This Row],[T/B-CON.]]</f>
        <v/>
      </c>
      <c r="T52" s="3">
        <f>O52+Q52</f>
        <v/>
      </c>
      <c r="U52" s="44" t="n"/>
      <c r="V52" s="44" t="n"/>
      <c r="W52" s="3">
        <f>U52+V52</f>
        <v/>
      </c>
      <c r="X52" s="3">
        <f>T52-W52</f>
        <v/>
      </c>
      <c r="Y52" s="44" t="n"/>
      <c r="Z52" s="45" t="n"/>
      <c r="AA52" s="3">
        <f>Table6[[#This Row],[(RESV. STORGE) AJD]]/10</f>
        <v/>
      </c>
      <c r="AB52" s="3">
        <f>IF(TRIM(Z52)="",,(Z52-Z51)/1000)</f>
        <v/>
      </c>
      <c r="AC52" s="5" t="n"/>
      <c r="AD52" s="40">
        <f>(Table6[[#This Row],[( S/S+T/B) AJD]]*1000)-((Table6[[#This Row],[(STORGE DIFF.) AJD]]*1000)+Table6[[#This Row],[AJD_Evaporation]]+(Table6[[#This Row],[(A/B + A/S) AJD]]*1000))</f>
        <v/>
      </c>
      <c r="AE52" s="44" t="n"/>
      <c r="AF52" s="45" t="n"/>
      <c r="AG52" s="45" t="n"/>
      <c r="AH52" s="6">
        <f>Table6[[#This Row],[ (RESV. STORGE) BER]]/10</f>
        <v/>
      </c>
      <c r="AI52" s="44" t="n"/>
      <c r="AJ52" s="45">
        <f>Table6[[#This Row],[(A/B) AJD]]-TABL12345[[#This Row],[BER_IN]]</f>
        <v/>
      </c>
      <c r="AK52" s="45" t="n"/>
      <c r="AL52" s="45" t="n"/>
      <c r="AM52" s="32" t="n"/>
      <c r="AN52" s="32">
        <f>Table6[[#This Row],[ (RESV. STORGE) SER]]/10</f>
        <v/>
      </c>
      <c r="AO52" s="68" t="n"/>
      <c r="AP52" s="99">
        <f>Table6[[#This Row],[(A/S) AJD]]-Table6[[#This Row],[SER_IN]]</f>
        <v/>
      </c>
    </row>
    <row r="53" ht="18.75" customHeight="1">
      <c r="A53" s="98" t="n">
        <v>47535</v>
      </c>
      <c r="B53" s="41" t="n"/>
      <c r="C53" s="41" t="n"/>
      <c r="D53" s="41" t="n"/>
      <c r="E53" s="41" t="n"/>
      <c r="F53" s="41" t="n"/>
      <c r="G53" s="39" t="n"/>
      <c r="H53" s="28" t="n"/>
      <c r="I53" s="39" t="n"/>
      <c r="J53" s="39" t="n"/>
      <c r="K53" s="28">
        <f>Table6[[#This Row],[ (T/B) SAR]]+Table6[[#This Row],[ (S/S) SAR]]</f>
        <v/>
      </c>
      <c r="L53" s="41" t="n"/>
      <c r="M53" s="42" t="n"/>
      <c r="N53" s="42" t="n"/>
      <c r="O53" s="39" t="n"/>
      <c r="P53" s="3">
        <f>Table6[[#This Row],[ (S/S) SAR]]-Table6[[#This Row],[(S/S) AJD]]</f>
        <v/>
      </c>
      <c r="Q53" s="39" t="n"/>
      <c r="R53" s="3">
        <f>Table6[[#This Row],[ (T/B) SAR]]-Table6[[#This Row],[(T/B) AJD]]</f>
        <v/>
      </c>
      <c r="S53" s="3">
        <f>Table6[[#This Row],[S/S_CON.]]+Table6[[#This Row],[T/B-CON.]]</f>
        <v/>
      </c>
      <c r="T53" s="3">
        <f>O53+Q53</f>
        <v/>
      </c>
      <c r="U53" s="41" t="n"/>
      <c r="V53" s="41" t="n"/>
      <c r="W53" s="3">
        <f>U53+V53</f>
        <v/>
      </c>
      <c r="X53" s="3">
        <f>T53-W53</f>
        <v/>
      </c>
      <c r="Y53" s="41" t="n"/>
      <c r="Z53" s="43" t="n"/>
      <c r="AA53" s="3">
        <f>Table6[[#This Row],[(RESV. STORGE) AJD]]/10</f>
        <v/>
      </c>
      <c r="AB53" s="3">
        <f>IF(TRIM(Z53)="",,(Z53-Z52)/1000)</f>
        <v/>
      </c>
      <c r="AC53" s="5" t="n"/>
      <c r="AD53" s="39">
        <f>(Table6[[#This Row],[( S/S+T/B) AJD]]*1000)-((Table6[[#This Row],[(STORGE DIFF.) AJD]]*1000)+Table6[[#This Row],[AJD_Evaporation]]+(Table6[[#This Row],[(A/B + A/S) AJD]]*1000))</f>
        <v/>
      </c>
      <c r="AE53" s="41" t="n"/>
      <c r="AF53" s="43" t="n"/>
      <c r="AG53" s="43" t="n"/>
      <c r="AH53" s="6">
        <f>Table6[[#This Row],[ (RESV. STORGE) BER]]/10</f>
        <v/>
      </c>
      <c r="AI53" s="41" t="n"/>
      <c r="AJ53" s="43">
        <f>Table6[[#This Row],[(A/B) AJD]]-TABL12345[[#This Row],[BER_IN]]</f>
        <v/>
      </c>
      <c r="AK53" s="43" t="n"/>
      <c r="AL53" s="43" t="n"/>
      <c r="AM53" s="32" t="n"/>
      <c r="AN53" s="32">
        <f>Table6[[#This Row],[ (RESV. STORGE) SER]]/10</f>
        <v/>
      </c>
      <c r="AO53" s="68" t="n"/>
      <c r="AP53" s="99">
        <f>Table6[[#This Row],[(A/S) AJD]]-Table6[[#This Row],[SER_IN]]</f>
        <v/>
      </c>
    </row>
    <row r="54" ht="18.75" customHeight="1">
      <c r="A54" s="98" t="n">
        <v>47536</v>
      </c>
      <c r="B54" s="44" t="n"/>
      <c r="C54" s="44" t="n"/>
      <c r="D54" s="44" t="n"/>
      <c r="E54" s="44" t="n"/>
      <c r="F54" s="44" t="n"/>
      <c r="G54" s="40" t="n"/>
      <c r="H54" s="28" t="n"/>
      <c r="I54" s="40" t="n"/>
      <c r="J54" s="44" t="n"/>
      <c r="K54" s="28">
        <f>Table6[[#This Row],[ (T/B) SAR]]+Table6[[#This Row],[ (S/S) SAR]]</f>
        <v/>
      </c>
      <c r="L54" s="45" t="n"/>
      <c r="M54" s="46" t="n"/>
      <c r="N54" s="46" t="n"/>
      <c r="O54" s="40" t="n"/>
      <c r="P54" s="3">
        <f>Table6[[#This Row],[ (S/S) SAR]]-Table6[[#This Row],[(S/S) AJD]]</f>
        <v/>
      </c>
      <c r="Q54" s="40" t="n"/>
      <c r="R54" s="3">
        <f>Table6[[#This Row],[ (T/B) SAR]]-Table6[[#This Row],[(T/B) AJD]]</f>
        <v/>
      </c>
      <c r="S54" s="3">
        <f>Table6[[#This Row],[S/S_CON.]]+Table6[[#This Row],[T/B-CON.]]</f>
        <v/>
      </c>
      <c r="T54" s="3">
        <f>O54+Q54</f>
        <v/>
      </c>
      <c r="U54" s="44" t="n"/>
      <c r="V54" s="44" t="n"/>
      <c r="W54" s="3">
        <f>U54+V54</f>
        <v/>
      </c>
      <c r="X54" s="3">
        <f>T54-W54</f>
        <v/>
      </c>
      <c r="Y54" s="44" t="n"/>
      <c r="Z54" s="45" t="n"/>
      <c r="AA54" s="3">
        <f>Table6[[#This Row],[(RESV. STORGE) AJD]]/10</f>
        <v/>
      </c>
      <c r="AB54" s="3">
        <f>IF(TRIM(Z54)="",,(Z54-Z53)/1000)</f>
        <v/>
      </c>
      <c r="AC54" s="5" t="n"/>
      <c r="AD54" s="40">
        <f>(Table6[[#This Row],[( S/S+T/B) AJD]]*1000)-((Table6[[#This Row],[(STORGE DIFF.) AJD]]*1000)+Table6[[#This Row],[AJD_Evaporation]]+(Table6[[#This Row],[(A/B + A/S) AJD]]*1000))</f>
        <v/>
      </c>
      <c r="AE54" s="44" t="n"/>
      <c r="AF54" s="45" t="n"/>
      <c r="AG54" s="45" t="n"/>
      <c r="AH54" s="6">
        <f>Table6[[#This Row],[ (RESV. STORGE) BER]]/10</f>
        <v/>
      </c>
      <c r="AI54" s="44" t="n"/>
      <c r="AJ54" s="45">
        <f>Table6[[#This Row],[(A/B) AJD]]-TABL12345[[#This Row],[BER_IN]]</f>
        <v/>
      </c>
      <c r="AK54" s="45" t="n"/>
      <c r="AL54" s="45" t="n"/>
      <c r="AM54" s="32" t="n"/>
      <c r="AN54" s="32">
        <f>Table6[[#This Row],[ (RESV. STORGE) SER]]/10</f>
        <v/>
      </c>
      <c r="AO54" s="68" t="n"/>
      <c r="AP54" s="99">
        <f>Table6[[#This Row],[(A/S) AJD]]-Table6[[#This Row],[SER_IN]]</f>
        <v/>
      </c>
    </row>
    <row r="55" ht="18.75" customHeight="1">
      <c r="A55" s="98" t="n">
        <v>47537</v>
      </c>
      <c r="B55" s="41" t="n"/>
      <c r="C55" s="41" t="n"/>
      <c r="D55" s="41" t="n"/>
      <c r="E55" s="41" t="n"/>
      <c r="F55" s="41" t="n"/>
      <c r="G55" s="39" t="n"/>
      <c r="H55" s="28" t="n"/>
      <c r="I55" s="39" t="n"/>
      <c r="J55" s="39" t="n"/>
      <c r="K55" s="28">
        <f>Table6[[#This Row],[ (T/B) SAR]]+Table6[[#This Row],[ (S/S) SAR]]</f>
        <v/>
      </c>
      <c r="L55" s="41" t="n"/>
      <c r="M55" s="42" t="n"/>
      <c r="N55" s="42" t="n"/>
      <c r="O55" s="39" t="n"/>
      <c r="P55" s="3">
        <f>Table6[[#This Row],[ (S/S) SAR]]-Table6[[#This Row],[(S/S) AJD]]</f>
        <v/>
      </c>
      <c r="Q55" s="39" t="n"/>
      <c r="R55" s="3">
        <f>Table6[[#This Row],[ (T/B) SAR]]-Table6[[#This Row],[(T/B) AJD]]</f>
        <v/>
      </c>
      <c r="S55" s="3">
        <f>Table6[[#This Row],[S/S_CON.]]+Table6[[#This Row],[T/B-CON.]]</f>
        <v/>
      </c>
      <c r="T55" s="3">
        <f>O55+Q55</f>
        <v/>
      </c>
      <c r="U55" s="41" t="n"/>
      <c r="V55" s="41" t="n"/>
      <c r="W55" s="3">
        <f>U55+V55</f>
        <v/>
      </c>
      <c r="X55" s="3">
        <f>T55-W55</f>
        <v/>
      </c>
      <c r="Y55" s="41" t="n"/>
      <c r="Z55" s="43" t="n"/>
      <c r="AA55" s="3">
        <f>Table6[[#This Row],[(RESV. STORGE) AJD]]/10</f>
        <v/>
      </c>
      <c r="AB55" s="3">
        <f>IF(TRIM(Z55)="",,(Z55-Z54)/1000)</f>
        <v/>
      </c>
      <c r="AC55" s="5" t="n"/>
      <c r="AD55" s="39">
        <f>(Table6[[#This Row],[( S/S+T/B) AJD]]*1000)-((Table6[[#This Row],[(STORGE DIFF.) AJD]]*1000)+Table6[[#This Row],[AJD_Evaporation]]+(Table6[[#This Row],[(A/B + A/S) AJD]]*1000))</f>
        <v/>
      </c>
      <c r="AE55" s="41" t="n"/>
      <c r="AF55" s="43" t="n"/>
      <c r="AG55" s="43" t="n"/>
      <c r="AH55" s="6">
        <f>Table6[[#This Row],[ (RESV. STORGE) BER]]/10</f>
        <v/>
      </c>
      <c r="AI55" s="41" t="n"/>
      <c r="AJ55" s="43">
        <f>Table6[[#This Row],[(A/B) AJD]]-TABL12345[[#This Row],[BER_IN]]</f>
        <v/>
      </c>
      <c r="AK55" s="43" t="n"/>
      <c r="AL55" s="43" t="n"/>
      <c r="AM55" s="32" t="n"/>
      <c r="AN55" s="32">
        <f>Table6[[#This Row],[ (RESV. STORGE) SER]]/10</f>
        <v/>
      </c>
      <c r="AO55" s="68" t="n"/>
      <c r="AP55" s="99">
        <f>Table6[[#This Row],[(A/S) AJD]]-Table6[[#This Row],[SER_IN]]</f>
        <v/>
      </c>
    </row>
    <row r="56" ht="18.75" customHeight="1">
      <c r="A56" s="98" t="n">
        <v>47538</v>
      </c>
      <c r="B56" s="44" t="n"/>
      <c r="C56" s="44" t="n"/>
      <c r="D56" s="44" t="n"/>
      <c r="E56" s="44" t="n"/>
      <c r="F56" s="44" t="n"/>
      <c r="G56" s="40" t="n"/>
      <c r="H56" s="28" t="n"/>
      <c r="I56" s="40" t="n"/>
      <c r="J56" s="44" t="n"/>
      <c r="K56" s="28">
        <f>Table6[[#This Row],[ (T/B) SAR]]+Table6[[#This Row],[ (S/S) SAR]]</f>
        <v/>
      </c>
      <c r="L56" s="45" t="n"/>
      <c r="M56" s="46" t="n"/>
      <c r="N56" s="46" t="n"/>
      <c r="O56" s="40" t="n"/>
      <c r="P56" s="3">
        <f>Table6[[#This Row],[ (S/S) SAR]]-Table6[[#This Row],[(S/S) AJD]]</f>
        <v/>
      </c>
      <c r="Q56" s="40" t="n"/>
      <c r="R56" s="3">
        <f>Table6[[#This Row],[ (T/B) SAR]]-Table6[[#This Row],[(T/B) AJD]]</f>
        <v/>
      </c>
      <c r="S56" s="3">
        <f>Table6[[#This Row],[S/S_CON.]]+Table6[[#This Row],[T/B-CON.]]</f>
        <v/>
      </c>
      <c r="T56" s="3">
        <f>O56+Q56</f>
        <v/>
      </c>
      <c r="U56" s="44" t="n"/>
      <c r="V56" s="44" t="n"/>
      <c r="W56" s="3">
        <f>U56+V56</f>
        <v/>
      </c>
      <c r="X56" s="3">
        <f>T56-W56</f>
        <v/>
      </c>
      <c r="Y56" s="44" t="n"/>
      <c r="Z56" s="45" t="n"/>
      <c r="AA56" s="3">
        <f>Table6[[#This Row],[(RESV. STORGE) AJD]]/10</f>
        <v/>
      </c>
      <c r="AB56" s="3">
        <f>IF(TRIM(Z56)="",,(Z56-Z55)/1000)</f>
        <v/>
      </c>
      <c r="AC56" s="5" t="n"/>
      <c r="AD56" s="40">
        <f>(Table6[[#This Row],[( S/S+T/B) AJD]]*1000)-((Table6[[#This Row],[(STORGE DIFF.) AJD]]*1000)+Table6[[#This Row],[AJD_Evaporation]]+(Table6[[#This Row],[(A/B + A/S) AJD]]*1000))</f>
        <v/>
      </c>
      <c r="AE56" s="44" t="n"/>
      <c r="AF56" s="45" t="n"/>
      <c r="AG56" s="45" t="n"/>
      <c r="AH56" s="6">
        <f>Table6[[#This Row],[ (RESV. STORGE) BER]]/10</f>
        <v/>
      </c>
      <c r="AI56" s="44" t="n"/>
      <c r="AJ56" s="45">
        <f>Table6[[#This Row],[(A/B) AJD]]-TABL12345[[#This Row],[BER_IN]]</f>
        <v/>
      </c>
      <c r="AK56" s="45" t="n"/>
      <c r="AL56" s="45" t="n"/>
      <c r="AM56" s="32" t="n"/>
      <c r="AN56" s="32">
        <f>Table6[[#This Row],[ (RESV. STORGE) SER]]/10</f>
        <v/>
      </c>
      <c r="AO56" s="68" t="n"/>
      <c r="AP56" s="99">
        <f>Table6[[#This Row],[(A/S) AJD]]-Table6[[#This Row],[SER_IN]]</f>
        <v/>
      </c>
    </row>
    <row r="57" ht="18.75" customHeight="1">
      <c r="A57" s="98" t="n">
        <v>47539</v>
      </c>
      <c r="B57" s="41" t="n"/>
      <c r="C57" s="41" t="n"/>
      <c r="D57" s="41" t="n"/>
      <c r="E57" s="41" t="n"/>
      <c r="F57" s="41" t="n"/>
      <c r="G57" s="39" t="n"/>
      <c r="H57" s="28" t="n"/>
      <c r="I57" s="39" t="n"/>
      <c r="J57" s="39" t="n"/>
      <c r="K57" s="28">
        <f>Table6[[#This Row],[ (T/B) SAR]]+Table6[[#This Row],[ (S/S) SAR]]</f>
        <v/>
      </c>
      <c r="L57" s="41" t="n"/>
      <c r="M57" s="42" t="n"/>
      <c r="N57" s="42" t="n"/>
      <c r="O57" s="39" t="n"/>
      <c r="P57" s="3">
        <f>Table6[[#This Row],[ (S/S) SAR]]-Table6[[#This Row],[(S/S) AJD]]</f>
        <v/>
      </c>
      <c r="Q57" s="39" t="n"/>
      <c r="R57" s="3">
        <f>Table6[[#This Row],[ (T/B) SAR]]-Table6[[#This Row],[(T/B) AJD]]</f>
        <v/>
      </c>
      <c r="S57" s="3">
        <f>Table6[[#This Row],[S/S_CON.]]+Table6[[#This Row],[T/B-CON.]]</f>
        <v/>
      </c>
      <c r="T57" s="3">
        <f>O57+Q57</f>
        <v/>
      </c>
      <c r="U57" s="41" t="n"/>
      <c r="V57" s="41" t="n"/>
      <c r="W57" s="3">
        <f>U57+V57</f>
        <v/>
      </c>
      <c r="X57" s="3">
        <f>T57-W57</f>
        <v/>
      </c>
      <c r="Y57" s="41" t="n"/>
      <c r="Z57" s="43" t="n"/>
      <c r="AA57" s="3">
        <f>Table6[[#This Row],[(RESV. STORGE) AJD]]/10</f>
        <v/>
      </c>
      <c r="AB57" s="3">
        <f>IF(TRIM(Z57)="",,(Z57-Z56)/1000)</f>
        <v/>
      </c>
      <c r="AC57" s="5" t="n"/>
      <c r="AD57" s="39">
        <f>(Table6[[#This Row],[( S/S+T/B) AJD]]*1000)-((Table6[[#This Row],[(STORGE DIFF.) AJD]]*1000)+Table6[[#This Row],[AJD_Evaporation]]+(Table6[[#This Row],[(A/B + A/S) AJD]]*1000))</f>
        <v/>
      </c>
      <c r="AE57" s="41" t="n"/>
      <c r="AF57" s="43" t="n"/>
      <c r="AG57" s="43" t="n"/>
      <c r="AH57" s="6">
        <f>Table6[[#This Row],[ (RESV. STORGE) BER]]/10</f>
        <v/>
      </c>
      <c r="AI57" s="41" t="n"/>
      <c r="AJ57" s="43">
        <f>Table6[[#This Row],[(A/B) AJD]]-TABL12345[[#This Row],[BER_IN]]</f>
        <v/>
      </c>
      <c r="AK57" s="43" t="n"/>
      <c r="AL57" s="43" t="n"/>
      <c r="AM57" s="32" t="n"/>
      <c r="AN57" s="32">
        <f>Table6[[#This Row],[ (RESV. STORGE) SER]]/10</f>
        <v/>
      </c>
      <c r="AO57" s="68" t="n"/>
      <c r="AP57" s="99">
        <f>Table6[[#This Row],[(A/S) AJD]]-Table6[[#This Row],[SER_IN]]</f>
        <v/>
      </c>
    </row>
    <row r="58" ht="18.75" customHeight="1">
      <c r="A58" s="98" t="n">
        <v>47540</v>
      </c>
      <c r="B58" s="44" t="n"/>
      <c r="C58" s="44" t="n"/>
      <c r="D58" s="44" t="n"/>
      <c r="E58" s="44" t="n"/>
      <c r="F58" s="44" t="n"/>
      <c r="G58" s="40" t="n"/>
      <c r="H58" s="28" t="n"/>
      <c r="I58" s="40" t="n"/>
      <c r="J58" s="44" t="n"/>
      <c r="K58" s="28">
        <f>Table6[[#This Row],[ (T/B) SAR]]+Table6[[#This Row],[ (S/S) SAR]]</f>
        <v/>
      </c>
      <c r="L58" s="45" t="n"/>
      <c r="M58" s="46" t="n"/>
      <c r="N58" s="46" t="n"/>
      <c r="O58" s="40" t="n"/>
      <c r="P58" s="3">
        <f>Table6[[#This Row],[ (S/S) SAR]]-Table6[[#This Row],[(S/S) AJD]]</f>
        <v/>
      </c>
      <c r="Q58" s="40" t="n"/>
      <c r="R58" s="3">
        <f>Table6[[#This Row],[ (T/B) SAR]]-Table6[[#This Row],[(T/B) AJD]]</f>
        <v/>
      </c>
      <c r="S58" s="3">
        <f>Table6[[#This Row],[S/S_CON.]]+Table6[[#This Row],[T/B-CON.]]</f>
        <v/>
      </c>
      <c r="T58" s="3">
        <f>O58+Q58</f>
        <v/>
      </c>
      <c r="U58" s="44" t="n"/>
      <c r="V58" s="44" t="n"/>
      <c r="W58" s="3">
        <f>U58+V58</f>
        <v/>
      </c>
      <c r="X58" s="3">
        <f>T58-W58</f>
        <v/>
      </c>
      <c r="Y58" s="44" t="n"/>
      <c r="Z58" s="45" t="n"/>
      <c r="AA58" s="3">
        <f>Table6[[#This Row],[(RESV. STORGE) AJD]]/10</f>
        <v/>
      </c>
      <c r="AB58" s="3">
        <f>IF(TRIM(Z58)="",,(Z58-Z57)/1000)</f>
        <v/>
      </c>
      <c r="AC58" s="5" t="n"/>
      <c r="AD58" s="40">
        <f>(Table6[[#This Row],[( S/S+T/B) AJD]]*1000)-((Table6[[#This Row],[(STORGE DIFF.) AJD]]*1000)+Table6[[#This Row],[AJD_Evaporation]]+(Table6[[#This Row],[(A/B + A/S) AJD]]*1000))</f>
        <v/>
      </c>
      <c r="AE58" s="44" t="n"/>
      <c r="AF58" s="45" t="n"/>
      <c r="AG58" s="45" t="n"/>
      <c r="AH58" s="6">
        <f>Table6[[#This Row],[ (RESV. STORGE) BER]]/10</f>
        <v/>
      </c>
      <c r="AI58" s="44" t="n"/>
      <c r="AJ58" s="45">
        <f>Table6[[#This Row],[(A/B) AJD]]-TABL12345[[#This Row],[BER_IN]]</f>
        <v/>
      </c>
      <c r="AK58" s="45" t="n"/>
      <c r="AL58" s="45" t="n"/>
      <c r="AM58" s="32" t="n"/>
      <c r="AN58" s="32">
        <f>Table6[[#This Row],[ (RESV. STORGE) SER]]/10</f>
        <v/>
      </c>
      <c r="AO58" s="68" t="n"/>
      <c r="AP58" s="99">
        <f>Table6[[#This Row],[(A/S) AJD]]-Table6[[#This Row],[SER_IN]]</f>
        <v/>
      </c>
    </row>
    <row r="59" ht="18.75" customHeight="1">
      <c r="A59" s="98" t="n">
        <v>47541</v>
      </c>
      <c r="B59" s="41" t="n"/>
      <c r="C59" s="41" t="n"/>
      <c r="D59" s="41" t="n"/>
      <c r="E59" s="41" t="n"/>
      <c r="F59" s="41" t="n"/>
      <c r="G59" s="39" t="n"/>
      <c r="H59" s="28" t="n"/>
      <c r="I59" s="39" t="n"/>
      <c r="J59" s="39" t="n"/>
      <c r="K59" s="28">
        <f>Table6[[#This Row],[ (T/B) SAR]]+Table6[[#This Row],[ (S/S) SAR]]</f>
        <v/>
      </c>
      <c r="L59" s="41" t="n"/>
      <c r="M59" s="42" t="n"/>
      <c r="N59" s="42" t="n"/>
      <c r="O59" s="39" t="n"/>
      <c r="P59" s="3">
        <f>Table6[[#This Row],[ (S/S) SAR]]-Table6[[#This Row],[(S/S) AJD]]</f>
        <v/>
      </c>
      <c r="Q59" s="39" t="n"/>
      <c r="R59" s="3">
        <f>Table6[[#This Row],[ (T/B) SAR]]-Table6[[#This Row],[(T/B) AJD]]</f>
        <v/>
      </c>
      <c r="S59" s="3">
        <f>Table6[[#This Row],[S/S_CON.]]+Table6[[#This Row],[T/B-CON.]]</f>
        <v/>
      </c>
      <c r="T59" s="3">
        <f>O59+Q59</f>
        <v/>
      </c>
      <c r="U59" s="41" t="n"/>
      <c r="V59" s="41" t="n"/>
      <c r="W59" s="3">
        <f>U59+V59</f>
        <v/>
      </c>
      <c r="X59" s="3">
        <f>T59-W59</f>
        <v/>
      </c>
      <c r="Y59" s="41" t="n"/>
      <c r="Z59" s="43" t="n"/>
      <c r="AA59" s="3">
        <f>Table6[[#This Row],[(RESV. STORGE) AJD]]/10</f>
        <v/>
      </c>
      <c r="AB59" s="3">
        <f>IF(TRIM(Z59)="",,(Z59-Z58)/1000)</f>
        <v/>
      </c>
      <c r="AC59" s="5" t="n"/>
      <c r="AD59" s="39">
        <f>(Table6[[#This Row],[( S/S+T/B) AJD]]*1000)-((Table6[[#This Row],[(STORGE DIFF.) AJD]]*1000)+Table6[[#This Row],[AJD_Evaporation]]+(Table6[[#This Row],[(A/B + A/S) AJD]]*1000))</f>
        <v/>
      </c>
      <c r="AE59" s="41" t="n"/>
      <c r="AF59" s="43" t="n"/>
      <c r="AG59" s="43" t="n"/>
      <c r="AH59" s="6">
        <f>Table6[[#This Row],[ (RESV. STORGE) BER]]/10</f>
        <v/>
      </c>
      <c r="AI59" s="41" t="n"/>
      <c r="AJ59" s="43">
        <f>Table6[[#This Row],[(A/B) AJD]]-TABL12345[[#This Row],[BER_IN]]</f>
        <v/>
      </c>
      <c r="AK59" s="43" t="n"/>
      <c r="AL59" s="43" t="n"/>
      <c r="AM59" s="32" t="n"/>
      <c r="AN59" s="32">
        <f>Table6[[#This Row],[ (RESV. STORGE) SER]]/10</f>
        <v/>
      </c>
      <c r="AO59" s="68" t="n"/>
      <c r="AP59" s="99">
        <f>Table6[[#This Row],[(A/S) AJD]]-Table6[[#This Row],[SER_IN]]</f>
        <v/>
      </c>
    </row>
    <row r="60" ht="18.75" customHeight="1">
      <c r="A60" s="98" t="n">
        <v>47542</v>
      </c>
      <c r="B60" s="44" t="n"/>
      <c r="C60" s="44" t="n"/>
      <c r="D60" s="44" t="n"/>
      <c r="E60" s="44" t="n"/>
      <c r="F60" s="44" t="n"/>
      <c r="G60" s="40" t="n"/>
      <c r="H60" s="28" t="n"/>
      <c r="I60" s="40" t="n"/>
      <c r="J60" s="44" t="n"/>
      <c r="K60" s="28">
        <f>Table6[[#This Row],[ (T/B) SAR]]+Table6[[#This Row],[ (S/S) SAR]]</f>
        <v/>
      </c>
      <c r="L60" s="45" t="n"/>
      <c r="M60" s="46" t="n"/>
      <c r="N60" s="46" t="n"/>
      <c r="O60" s="40" t="n"/>
      <c r="P60" s="3">
        <f>Table6[[#This Row],[ (S/S) SAR]]-Table6[[#This Row],[(S/S) AJD]]</f>
        <v/>
      </c>
      <c r="Q60" s="40" t="n"/>
      <c r="R60" s="3">
        <f>Table6[[#This Row],[ (T/B) SAR]]-Table6[[#This Row],[(T/B) AJD]]</f>
        <v/>
      </c>
      <c r="S60" s="3">
        <f>Table6[[#This Row],[S/S_CON.]]+Table6[[#This Row],[T/B-CON.]]</f>
        <v/>
      </c>
      <c r="T60" s="3">
        <f>O60+Q60</f>
        <v/>
      </c>
      <c r="U60" s="44" t="n"/>
      <c r="V60" s="44" t="n"/>
      <c r="W60" s="3">
        <f>U60+V60</f>
        <v/>
      </c>
      <c r="X60" s="3">
        <f>T60-W60</f>
        <v/>
      </c>
      <c r="Y60" s="44" t="n"/>
      <c r="Z60" s="45" t="n"/>
      <c r="AA60" s="3">
        <f>Table6[[#This Row],[(RESV. STORGE) AJD]]/10</f>
        <v/>
      </c>
      <c r="AB60" s="3">
        <f>IF(TRIM(Z60)="",,(Z60-Z59)/1000)</f>
        <v/>
      </c>
      <c r="AC60" s="5" t="n"/>
      <c r="AD60" s="40">
        <f>(Table6[[#This Row],[( S/S+T/B) AJD]]*1000)-((Table6[[#This Row],[(STORGE DIFF.) AJD]]*1000)+Table6[[#This Row],[AJD_Evaporation]]+(Table6[[#This Row],[(A/B + A/S) AJD]]*1000))</f>
        <v/>
      </c>
      <c r="AE60" s="44" t="n"/>
      <c r="AF60" s="45" t="n"/>
      <c r="AG60" s="45" t="n"/>
      <c r="AH60" s="6">
        <f>Table6[[#This Row],[ (RESV. STORGE) BER]]/10</f>
        <v/>
      </c>
      <c r="AI60" s="44" t="n"/>
      <c r="AJ60" s="45">
        <f>Table6[[#This Row],[(A/B) AJD]]-TABL12345[[#This Row],[BER_IN]]</f>
        <v/>
      </c>
      <c r="AK60" s="45" t="n"/>
      <c r="AL60" s="45" t="n"/>
      <c r="AM60" s="32" t="n"/>
      <c r="AN60" s="32">
        <f>Table6[[#This Row],[ (RESV. STORGE) SER]]/10</f>
        <v/>
      </c>
      <c r="AO60" s="68" t="n"/>
      <c r="AP60" s="99">
        <f>Table6[[#This Row],[(A/S) AJD]]-Table6[[#This Row],[SER_IN]]</f>
        <v/>
      </c>
    </row>
    <row r="61" ht="18.75" customHeight="1">
      <c r="A61" s="98" t="n">
        <v>47543</v>
      </c>
      <c r="B61" s="41" t="n"/>
      <c r="C61" s="41" t="n"/>
      <c r="D61" s="41" t="n"/>
      <c r="E61" s="44" t="n"/>
      <c r="F61" s="41" t="n"/>
      <c r="G61" s="39" t="n"/>
      <c r="H61" s="28" t="n"/>
      <c r="I61" s="39" t="n"/>
      <c r="J61" s="39" t="n"/>
      <c r="K61" s="28">
        <f>Table6[[#This Row],[ (T/B) SAR]]+Table6[[#This Row],[ (S/S) SAR]]</f>
        <v/>
      </c>
      <c r="L61" s="41" t="n"/>
      <c r="M61" s="42" t="n"/>
      <c r="N61" s="42" t="n"/>
      <c r="O61" s="39" t="n"/>
      <c r="P61" s="3">
        <f>Table6[[#This Row],[ (S/S) SAR]]-Table6[[#This Row],[(S/S) AJD]]</f>
        <v/>
      </c>
      <c r="Q61" s="39" t="n"/>
      <c r="R61" s="3">
        <f>Table6[[#This Row],[ (T/B) SAR]]-Table6[[#This Row],[(T/B) AJD]]</f>
        <v/>
      </c>
      <c r="S61" s="3">
        <f>Table6[[#This Row],[S/S_CON.]]+Table6[[#This Row],[T/B-CON.]]</f>
        <v/>
      </c>
      <c r="T61" s="3">
        <f>O61+Q61</f>
        <v/>
      </c>
      <c r="U61" s="41" t="n"/>
      <c r="V61" s="41" t="n"/>
      <c r="W61" s="3">
        <f>U61+V61</f>
        <v/>
      </c>
      <c r="X61" s="3">
        <f>T61-W61</f>
        <v/>
      </c>
      <c r="Y61" s="41" t="n"/>
      <c r="Z61" s="43" t="n"/>
      <c r="AA61" s="3">
        <f>Table6[[#This Row],[(RESV. STORGE) AJD]]/10</f>
        <v/>
      </c>
      <c r="AB61" s="3">
        <f>IF(TRIM(Z61)="",,(Z61-Z60)/1000)</f>
        <v/>
      </c>
      <c r="AC61" s="5" t="n"/>
      <c r="AD61" s="39">
        <f>(Table6[[#This Row],[( S/S+T/B) AJD]]*1000)-((Table6[[#This Row],[(STORGE DIFF.) AJD]]*1000)+Table6[[#This Row],[AJD_Evaporation]]+(Table6[[#This Row],[(A/B + A/S) AJD]]*1000))</f>
        <v/>
      </c>
      <c r="AE61" s="41" t="n"/>
      <c r="AF61" s="43" t="n"/>
      <c r="AG61" s="43" t="n"/>
      <c r="AH61" s="6">
        <f>Table6[[#This Row],[ (RESV. STORGE) BER]]/10</f>
        <v/>
      </c>
      <c r="AI61" s="41" t="n"/>
      <c r="AJ61" s="43">
        <f>Table6[[#This Row],[(A/B) AJD]]-TABL12345[[#This Row],[BER_IN]]</f>
        <v/>
      </c>
      <c r="AK61" s="43" t="n"/>
      <c r="AL61" s="43" t="n"/>
      <c r="AM61" s="32" t="n"/>
      <c r="AN61" s="32">
        <f>Table6[[#This Row],[ (RESV. STORGE) SER]]/10</f>
        <v/>
      </c>
      <c r="AO61" s="68" t="n"/>
      <c r="AP61" s="99">
        <f>Table6[[#This Row],[(A/S) AJD]]-Table6[[#This Row],[SER_IN]]</f>
        <v/>
      </c>
    </row>
    <row r="62" ht="18.75" customHeight="1">
      <c r="A62" s="98" t="n">
        <v>47544</v>
      </c>
      <c r="B62" s="44" t="n"/>
      <c r="C62" s="44" t="n"/>
      <c r="D62" s="44" t="n"/>
      <c r="E62" s="44" t="n"/>
      <c r="F62" s="44" t="n"/>
      <c r="G62" s="40" t="n"/>
      <c r="H62" s="28" t="n"/>
      <c r="I62" s="40" t="n"/>
      <c r="J62" s="44" t="n"/>
      <c r="K62" s="28">
        <f>Table6[[#This Row],[ (T/B) SAR]]+Table6[[#This Row],[ (S/S) SAR]]</f>
        <v/>
      </c>
      <c r="L62" s="45" t="n"/>
      <c r="M62" s="46" t="n"/>
      <c r="N62" s="46" t="n"/>
      <c r="O62" s="40" t="n"/>
      <c r="P62" s="3">
        <f>Table6[[#This Row],[ (S/S) SAR]]-Table6[[#This Row],[(S/S) AJD]]</f>
        <v/>
      </c>
      <c r="Q62" s="40" t="n"/>
      <c r="R62" s="3">
        <f>Table6[[#This Row],[ (T/B) SAR]]-Table6[[#This Row],[(T/B) AJD]]</f>
        <v/>
      </c>
      <c r="S62" s="3">
        <f>Table6[[#This Row],[S/S_CON.]]+Table6[[#This Row],[T/B-CON.]]</f>
        <v/>
      </c>
      <c r="T62" s="3">
        <f>O62+Q62</f>
        <v/>
      </c>
      <c r="U62" s="44" t="n"/>
      <c r="V62" s="44" t="n"/>
      <c r="W62" s="3">
        <f>U62+V62</f>
        <v/>
      </c>
      <c r="X62" s="3">
        <f>T62-W62</f>
        <v/>
      </c>
      <c r="Y62" s="44" t="n"/>
      <c r="Z62" s="45" t="n"/>
      <c r="AA62" s="3">
        <f>Table6[[#This Row],[(RESV. STORGE) AJD]]/10</f>
        <v/>
      </c>
      <c r="AB62" s="3">
        <f>IF(TRIM(Z62)="",,(Z62-Z61)/1000)</f>
        <v/>
      </c>
      <c r="AC62" s="5" t="n"/>
      <c r="AD62" s="40">
        <f>(Table6[[#This Row],[( S/S+T/B) AJD]]*1000)-((Table6[[#This Row],[(STORGE DIFF.) AJD]]*1000)+Table6[[#This Row],[AJD_Evaporation]]+(Table6[[#This Row],[(A/B + A/S) AJD]]*1000))</f>
        <v/>
      </c>
      <c r="AE62" s="44" t="n"/>
      <c r="AF62" s="45" t="n"/>
      <c r="AG62" s="45" t="n"/>
      <c r="AH62" s="6">
        <f>Table6[[#This Row],[ (RESV. STORGE) BER]]/10</f>
        <v/>
      </c>
      <c r="AI62" s="44" t="n"/>
      <c r="AJ62" s="45">
        <f>Table6[[#This Row],[(A/B) AJD]]-TABL12345[[#This Row],[BER_IN]]</f>
        <v/>
      </c>
      <c r="AK62" s="45" t="n"/>
      <c r="AL62" s="45" t="n"/>
      <c r="AM62" s="32" t="n"/>
      <c r="AN62" s="32">
        <f>Table6[[#This Row],[ (RESV. STORGE) SER]]/10</f>
        <v/>
      </c>
      <c r="AO62" s="68" t="n"/>
      <c r="AP62" s="99">
        <f>Table6[[#This Row],[(A/S) AJD]]-Table6[[#This Row],[SER_IN]]</f>
        <v/>
      </c>
    </row>
    <row r="63" ht="18.75" customHeight="1">
      <c r="A63" s="98" t="n">
        <v>47545</v>
      </c>
      <c r="B63" s="41" t="n"/>
      <c r="C63" s="41" t="n"/>
      <c r="D63" s="41" t="n"/>
      <c r="E63" s="44" t="n"/>
      <c r="F63" s="41" t="n"/>
      <c r="G63" s="39" t="n"/>
      <c r="H63" s="28" t="n"/>
      <c r="I63" s="39" t="n"/>
      <c r="J63" s="39" t="n"/>
      <c r="K63" s="28">
        <f>Table6[[#This Row],[ (T/B) SAR]]+Table6[[#This Row],[ (S/S) SAR]]</f>
        <v/>
      </c>
      <c r="L63" s="41" t="n"/>
      <c r="M63" s="42" t="n"/>
      <c r="N63" s="42" t="n"/>
      <c r="O63" s="39" t="n"/>
      <c r="P63" s="3">
        <f>Table6[[#This Row],[ (S/S) SAR]]-Table6[[#This Row],[(S/S) AJD]]</f>
        <v/>
      </c>
      <c r="Q63" s="39" t="n"/>
      <c r="R63" s="3">
        <f>Table6[[#This Row],[ (T/B) SAR]]-Table6[[#This Row],[(T/B) AJD]]</f>
        <v/>
      </c>
      <c r="S63" s="3">
        <f>Table6[[#This Row],[S/S_CON.]]+Table6[[#This Row],[T/B-CON.]]</f>
        <v/>
      </c>
      <c r="T63" s="3">
        <f>O63+Q63</f>
        <v/>
      </c>
      <c r="U63" s="41" t="n"/>
      <c r="V63" s="41" t="n"/>
      <c r="W63" s="3">
        <f>U63+V63</f>
        <v/>
      </c>
      <c r="X63" s="3">
        <f>T63-W63</f>
        <v/>
      </c>
      <c r="Y63" s="41" t="n"/>
      <c r="Z63" s="43" t="n"/>
      <c r="AA63" s="3">
        <f>Table6[[#This Row],[(RESV. STORGE) AJD]]/10</f>
        <v/>
      </c>
      <c r="AB63" s="3">
        <f>IF(TRIM(Z63)="",,(Z63-Z62)/1000)</f>
        <v/>
      </c>
      <c r="AC63" s="5" t="n"/>
      <c r="AD63" s="39">
        <f>(Table6[[#This Row],[( S/S+T/B) AJD]]*1000)-((Table6[[#This Row],[(STORGE DIFF.) AJD]]*1000)+Table6[[#This Row],[AJD_Evaporation]]+(Table6[[#This Row],[(A/B + A/S) AJD]]*1000))</f>
        <v/>
      </c>
      <c r="AE63" s="41" t="n"/>
      <c r="AF63" s="43" t="n"/>
      <c r="AG63" s="43" t="n"/>
      <c r="AH63" s="6">
        <f>Table6[[#This Row],[ (RESV. STORGE) BER]]/10</f>
        <v/>
      </c>
      <c r="AI63" s="41" t="n"/>
      <c r="AJ63" s="43">
        <f>Table6[[#This Row],[(A/B) AJD]]-TABL12345[[#This Row],[BER_IN]]</f>
        <v/>
      </c>
      <c r="AK63" s="43" t="n"/>
      <c r="AL63" s="43" t="n"/>
      <c r="AM63" s="32" t="n"/>
      <c r="AN63" s="32">
        <f>Table6[[#This Row],[ (RESV. STORGE) SER]]/10</f>
        <v/>
      </c>
      <c r="AO63" s="68" t="n"/>
      <c r="AP63" s="99">
        <f>Table6[[#This Row],[(A/S) AJD]]-Table6[[#This Row],[SER_IN]]</f>
        <v/>
      </c>
    </row>
    <row r="64" ht="18.75" customHeight="1">
      <c r="A64" s="98" t="n">
        <v>47546</v>
      </c>
      <c r="B64" s="44" t="n"/>
      <c r="C64" s="44" t="n"/>
      <c r="D64" s="44" t="n"/>
      <c r="E64" s="28" t="n"/>
      <c r="F64" s="44" t="n"/>
      <c r="G64" s="40" t="n"/>
      <c r="H64" s="28" t="n"/>
      <c r="I64" s="40" t="n"/>
      <c r="J64" s="44" t="n"/>
      <c r="K64" s="28">
        <f>Table6[[#This Row],[ (T/B) SAR]]+Table6[[#This Row],[ (S/S) SAR]]</f>
        <v/>
      </c>
      <c r="L64" s="45" t="n"/>
      <c r="M64" s="46" t="n"/>
      <c r="N64" s="46" t="n"/>
      <c r="O64" s="40" t="n"/>
      <c r="P64" s="3">
        <f>Table6[[#This Row],[ (S/S) SAR]]-Table6[[#This Row],[(S/S) AJD]]</f>
        <v/>
      </c>
      <c r="Q64" s="40" t="n"/>
      <c r="R64" s="3">
        <f>Table6[[#This Row],[ (T/B) SAR]]-Table6[[#This Row],[(T/B) AJD]]</f>
        <v/>
      </c>
      <c r="S64" s="3">
        <f>Table6[[#This Row],[S/S_CON.]]+Table6[[#This Row],[T/B-CON.]]</f>
        <v/>
      </c>
      <c r="T64" s="3">
        <f>O64+Q64</f>
        <v/>
      </c>
      <c r="U64" s="44" t="n"/>
      <c r="V64" s="44" t="n"/>
      <c r="W64" s="3">
        <f>U64+V64</f>
        <v/>
      </c>
      <c r="X64" s="3">
        <f>T64-W64</f>
        <v/>
      </c>
      <c r="Y64" s="44" t="n"/>
      <c r="Z64" s="45" t="n"/>
      <c r="AA64" s="3">
        <f>Table6[[#This Row],[(RESV. STORGE) AJD]]/10</f>
        <v/>
      </c>
      <c r="AB64" s="3">
        <f>IF(TRIM(Z64)="",,(Z64-Z63)/1000)</f>
        <v/>
      </c>
      <c r="AC64" s="5" t="n"/>
      <c r="AD64" s="40">
        <f>(Table6[[#This Row],[( S/S+T/B) AJD]]*1000)-((Table6[[#This Row],[(STORGE DIFF.) AJD]]*1000)+Table6[[#This Row],[AJD_Evaporation]]+(Table6[[#This Row],[(A/B + A/S) AJD]]*1000))</f>
        <v/>
      </c>
      <c r="AE64" s="44" t="n"/>
      <c r="AF64" s="45" t="n"/>
      <c r="AG64" s="45" t="n"/>
      <c r="AH64" s="6">
        <f>Table6[[#This Row],[ (RESV. STORGE) BER]]/10</f>
        <v/>
      </c>
      <c r="AI64" s="44" t="n"/>
      <c r="AJ64" s="45">
        <f>Table6[[#This Row],[(A/B) AJD]]-TABL12345[[#This Row],[BER_IN]]</f>
        <v/>
      </c>
      <c r="AK64" s="45" t="n"/>
      <c r="AL64" s="45" t="n"/>
      <c r="AM64" s="32" t="n"/>
      <c r="AN64" s="32">
        <f>Table6[[#This Row],[ (RESV. STORGE) SER]]/10</f>
        <v/>
      </c>
      <c r="AO64" s="68" t="n"/>
      <c r="AP64" s="99">
        <f>Table6[[#This Row],[(A/S) AJD]]-Table6[[#This Row],[SER_IN]]</f>
        <v/>
      </c>
    </row>
    <row r="65" ht="18.75" customHeight="1">
      <c r="A65" s="98" t="n">
        <v>47547</v>
      </c>
      <c r="B65" s="41" t="n"/>
      <c r="C65" s="41" t="n"/>
      <c r="D65" s="41" t="n"/>
      <c r="E65" s="28" t="n"/>
      <c r="F65" s="41" t="n"/>
      <c r="G65" s="39" t="n"/>
      <c r="H65" s="28" t="n"/>
      <c r="I65" s="39" t="n"/>
      <c r="J65" s="39" t="n"/>
      <c r="K65" s="28">
        <f>Table6[[#This Row],[ (T/B) SAR]]+Table6[[#This Row],[ (S/S) SAR]]</f>
        <v/>
      </c>
      <c r="L65" s="41" t="n"/>
      <c r="M65" s="42" t="n"/>
      <c r="N65" s="42" t="n"/>
      <c r="O65" s="39" t="n"/>
      <c r="P65" s="3">
        <f>Table6[[#This Row],[ (S/S) SAR]]-Table6[[#This Row],[(S/S) AJD]]</f>
        <v/>
      </c>
      <c r="Q65" s="39" t="n"/>
      <c r="R65" s="3">
        <f>Table6[[#This Row],[ (T/B) SAR]]-Table6[[#This Row],[(T/B) AJD]]</f>
        <v/>
      </c>
      <c r="S65" s="3">
        <f>Table6[[#This Row],[S/S_CON.]]+Table6[[#This Row],[T/B-CON.]]</f>
        <v/>
      </c>
      <c r="T65" s="3">
        <f>O65+Q65</f>
        <v/>
      </c>
      <c r="U65" s="41" t="n"/>
      <c r="V65" s="41" t="n"/>
      <c r="W65" s="3">
        <f>U65+V65</f>
        <v/>
      </c>
      <c r="X65" s="3">
        <f>T65-W65</f>
        <v/>
      </c>
      <c r="Y65" s="41" t="n"/>
      <c r="Z65" s="43" t="n"/>
      <c r="AA65" s="3">
        <f>Table6[[#This Row],[(RESV. STORGE) AJD]]/10</f>
        <v/>
      </c>
      <c r="AB65" s="3">
        <f>IF(TRIM(Z65)="",,(Z65-Z64)/1000)</f>
        <v/>
      </c>
      <c r="AC65" s="5" t="n"/>
      <c r="AD65" s="39">
        <f>(Table6[[#This Row],[( S/S+T/B) AJD]]*1000)-((Table6[[#This Row],[(STORGE DIFF.) AJD]]*1000)+Table6[[#This Row],[AJD_Evaporation]]+(Table6[[#This Row],[(A/B + A/S) AJD]]*1000))</f>
        <v/>
      </c>
      <c r="AE65" s="41" t="n"/>
      <c r="AF65" s="43" t="n"/>
      <c r="AG65" s="43" t="n"/>
      <c r="AH65" s="6">
        <f>Table6[[#This Row],[ (RESV. STORGE) BER]]/10</f>
        <v/>
      </c>
      <c r="AI65" s="41" t="n"/>
      <c r="AJ65" s="43">
        <f>Table6[[#This Row],[(A/B) AJD]]-TABL12345[[#This Row],[BER_IN]]</f>
        <v/>
      </c>
      <c r="AK65" s="43" t="n"/>
      <c r="AL65" s="43" t="n"/>
      <c r="AM65" s="32" t="n"/>
      <c r="AN65" s="32">
        <f>Table6[[#This Row],[ (RESV. STORGE) SER]]/10</f>
        <v/>
      </c>
      <c r="AO65" s="68" t="n"/>
      <c r="AP65" s="99">
        <f>Table6[[#This Row],[(A/S) AJD]]-Table6[[#This Row],[SER_IN]]</f>
        <v/>
      </c>
    </row>
    <row r="66" ht="18.75" customHeight="1">
      <c r="A66" s="98" t="n">
        <v>47548</v>
      </c>
      <c r="B66" s="44" t="n"/>
      <c r="C66" s="44" t="n"/>
      <c r="D66" s="44" t="n"/>
      <c r="E66" s="28" t="n"/>
      <c r="F66" s="44" t="n"/>
      <c r="G66" s="40" t="n"/>
      <c r="H66" s="28" t="n"/>
      <c r="I66" s="40" t="n"/>
      <c r="J66" s="44" t="n"/>
      <c r="K66" s="28">
        <f>Table6[[#This Row],[ (T/B) SAR]]+Table6[[#This Row],[ (S/S) SAR]]</f>
        <v/>
      </c>
      <c r="L66" s="45" t="n"/>
      <c r="M66" s="46" t="n"/>
      <c r="N66" s="46" t="n"/>
      <c r="O66" s="40" t="n"/>
      <c r="P66" s="3">
        <f>Table6[[#This Row],[ (S/S) SAR]]-Table6[[#This Row],[(S/S) AJD]]</f>
        <v/>
      </c>
      <c r="Q66" s="40" t="n"/>
      <c r="R66" s="3">
        <f>Table6[[#This Row],[ (T/B) SAR]]-Table6[[#This Row],[(T/B) AJD]]</f>
        <v/>
      </c>
      <c r="S66" s="3">
        <f>Table6[[#This Row],[S/S_CON.]]+Table6[[#This Row],[T/B-CON.]]</f>
        <v/>
      </c>
      <c r="T66" s="3">
        <f>O66+Q66</f>
        <v/>
      </c>
      <c r="U66" s="44" t="n"/>
      <c r="V66" s="44" t="n"/>
      <c r="W66" s="3">
        <f>U66+V66</f>
        <v/>
      </c>
      <c r="X66" s="3">
        <f>T66-W66</f>
        <v/>
      </c>
      <c r="Y66" s="44" t="n"/>
      <c r="Z66" s="45" t="n"/>
      <c r="AA66" s="3">
        <f>Table6[[#This Row],[(RESV. STORGE) AJD]]/10</f>
        <v/>
      </c>
      <c r="AB66" s="3">
        <f>IF(TRIM(Z66)="",,(Z66-Z65)/1000)</f>
        <v/>
      </c>
      <c r="AC66" s="5" t="n"/>
      <c r="AD66" s="40">
        <f>(Table6[[#This Row],[( S/S+T/B) AJD]]*1000)-((Table6[[#This Row],[(STORGE DIFF.) AJD]]*1000)+Table6[[#This Row],[AJD_Evaporation]]+(Table6[[#This Row],[(A/B + A/S) AJD]]*1000))</f>
        <v/>
      </c>
      <c r="AE66" s="44" t="n"/>
      <c r="AF66" s="45" t="n"/>
      <c r="AG66" s="45" t="n"/>
      <c r="AH66" s="6">
        <f>Table6[[#This Row],[ (RESV. STORGE) BER]]/10</f>
        <v/>
      </c>
      <c r="AI66" s="44" t="n"/>
      <c r="AJ66" s="45">
        <f>Table6[[#This Row],[(A/B) AJD]]-TABL12345[[#This Row],[BER_IN]]</f>
        <v/>
      </c>
      <c r="AK66" s="45" t="n"/>
      <c r="AL66" s="45" t="n"/>
      <c r="AM66" s="32" t="n"/>
      <c r="AN66" s="32">
        <f>Table6[[#This Row],[ (RESV. STORGE) SER]]/10</f>
        <v/>
      </c>
      <c r="AO66" s="68" t="n"/>
      <c r="AP66" s="99">
        <f>Table6[[#This Row],[(A/S) AJD]]-Table6[[#This Row],[SER_IN]]</f>
        <v/>
      </c>
    </row>
    <row r="67" ht="18.75" customHeight="1">
      <c r="A67" s="98" t="n">
        <v>47549</v>
      </c>
      <c r="B67" s="41" t="n"/>
      <c r="C67" s="41" t="n"/>
      <c r="D67" s="41" t="n"/>
      <c r="E67" s="28" t="n"/>
      <c r="F67" s="41" t="n"/>
      <c r="G67" s="39" t="n"/>
      <c r="H67" s="28" t="n"/>
      <c r="I67" s="39" t="n"/>
      <c r="J67" s="39" t="n"/>
      <c r="K67" s="28">
        <f>Table6[[#This Row],[ (T/B) SAR]]+Table6[[#This Row],[ (S/S) SAR]]</f>
        <v/>
      </c>
      <c r="L67" s="41" t="n"/>
      <c r="M67" s="42" t="n"/>
      <c r="N67" s="42" t="n"/>
      <c r="O67" s="39" t="n"/>
      <c r="P67" s="3">
        <f>Table6[[#This Row],[ (S/S) SAR]]-Table6[[#This Row],[(S/S) AJD]]</f>
        <v/>
      </c>
      <c r="Q67" s="39" t="n"/>
      <c r="R67" s="3">
        <f>Table6[[#This Row],[ (T/B) SAR]]-Table6[[#This Row],[(T/B) AJD]]</f>
        <v/>
      </c>
      <c r="S67" s="3">
        <f>Table6[[#This Row],[S/S_CON.]]+Table6[[#This Row],[T/B-CON.]]</f>
        <v/>
      </c>
      <c r="T67" s="3">
        <f>O67+Q67</f>
        <v/>
      </c>
      <c r="U67" s="41" t="n"/>
      <c r="V67" s="41" t="n"/>
      <c r="W67" s="3">
        <f>U67+V67</f>
        <v/>
      </c>
      <c r="X67" s="3">
        <f>T67-W67</f>
        <v/>
      </c>
      <c r="Y67" s="41" t="n"/>
      <c r="Z67" s="43" t="n"/>
      <c r="AA67" s="3">
        <f>Table6[[#This Row],[(RESV. STORGE) AJD]]/10</f>
        <v/>
      </c>
      <c r="AB67" s="3">
        <f>IF(TRIM(Z67)="",,(Z67-Z66)/1000)</f>
        <v/>
      </c>
      <c r="AC67" s="5" t="n"/>
      <c r="AD67" s="39">
        <f>(Table6[[#This Row],[( S/S+T/B) AJD]]*1000)-((Table6[[#This Row],[(STORGE DIFF.) AJD]]*1000)+Table6[[#This Row],[AJD_Evaporation]]+(Table6[[#This Row],[(A/B + A/S) AJD]]*1000))</f>
        <v/>
      </c>
      <c r="AE67" s="41" t="n"/>
      <c r="AF67" s="43" t="n"/>
      <c r="AG67" s="43" t="n"/>
      <c r="AH67" s="6">
        <f>Table6[[#This Row],[ (RESV. STORGE) BER]]/10</f>
        <v/>
      </c>
      <c r="AI67" s="41" t="n"/>
      <c r="AJ67" s="43">
        <f>Table6[[#This Row],[(A/B) AJD]]-TABL12345[[#This Row],[BER_IN]]</f>
        <v/>
      </c>
      <c r="AK67" s="43" t="n"/>
      <c r="AL67" s="43" t="n"/>
      <c r="AM67" s="32" t="n"/>
      <c r="AN67" s="32">
        <f>Table6[[#This Row],[ (RESV. STORGE) SER]]/10</f>
        <v/>
      </c>
      <c r="AO67" s="68" t="n"/>
      <c r="AP67" s="99">
        <f>Table6[[#This Row],[(A/S) AJD]]-Table6[[#This Row],[SER_IN]]</f>
        <v/>
      </c>
    </row>
    <row r="68" ht="18.75" customHeight="1">
      <c r="A68" s="98" t="n">
        <v>47550</v>
      </c>
      <c r="B68" s="44" t="n"/>
      <c r="C68" s="44" t="n"/>
      <c r="D68" s="44" t="n"/>
      <c r="E68" s="28" t="n"/>
      <c r="F68" s="44" t="n"/>
      <c r="G68" s="40" t="n"/>
      <c r="H68" s="28" t="n"/>
      <c r="I68" s="40" t="n"/>
      <c r="J68" s="44" t="n"/>
      <c r="K68" s="28">
        <f>Table6[[#This Row],[ (T/B) SAR]]+Table6[[#This Row],[ (S/S) SAR]]</f>
        <v/>
      </c>
      <c r="L68" s="45" t="n"/>
      <c r="M68" s="46" t="n"/>
      <c r="N68" s="46" t="n"/>
      <c r="O68" s="40" t="n"/>
      <c r="P68" s="3">
        <f>Table6[[#This Row],[ (S/S) SAR]]-Table6[[#This Row],[(S/S) AJD]]</f>
        <v/>
      </c>
      <c r="Q68" s="40" t="n"/>
      <c r="R68" s="3">
        <f>Table6[[#This Row],[ (T/B) SAR]]-Table6[[#This Row],[(T/B) AJD]]</f>
        <v/>
      </c>
      <c r="S68" s="3">
        <f>Table6[[#This Row],[S/S_CON.]]+Table6[[#This Row],[T/B-CON.]]</f>
        <v/>
      </c>
      <c r="T68" s="3">
        <f>O68+Q68</f>
        <v/>
      </c>
      <c r="U68" s="44" t="n"/>
      <c r="V68" s="44" t="n"/>
      <c r="W68" s="3">
        <f>U68+V68</f>
        <v/>
      </c>
      <c r="X68" s="3">
        <f>T68-W68</f>
        <v/>
      </c>
      <c r="Y68" s="44" t="n"/>
      <c r="Z68" s="45" t="n"/>
      <c r="AA68" s="3">
        <f>Table6[[#This Row],[(RESV. STORGE) AJD]]/10</f>
        <v/>
      </c>
      <c r="AB68" s="3">
        <f>IF(TRIM(Z68)="",,(Z68-Z67)/1000)</f>
        <v/>
      </c>
      <c r="AC68" s="5" t="n"/>
      <c r="AD68" s="40">
        <f>(Table6[[#This Row],[( S/S+T/B) AJD]]*1000)-((Table6[[#This Row],[(STORGE DIFF.) AJD]]*1000)+Table6[[#This Row],[AJD_Evaporation]]+(Table6[[#This Row],[(A/B + A/S) AJD]]*1000))</f>
        <v/>
      </c>
      <c r="AE68" s="44" t="n"/>
      <c r="AF68" s="45" t="n"/>
      <c r="AG68" s="45" t="n"/>
      <c r="AH68" s="6">
        <f>Table6[[#This Row],[ (RESV. STORGE) BER]]/10</f>
        <v/>
      </c>
      <c r="AI68" s="44" t="n"/>
      <c r="AJ68" s="45">
        <f>Table6[[#This Row],[(A/B) AJD]]-TABL12345[[#This Row],[BER_IN]]</f>
        <v/>
      </c>
      <c r="AK68" s="45" t="n"/>
      <c r="AL68" s="45" t="n"/>
      <c r="AM68" s="32" t="n"/>
      <c r="AN68" s="32">
        <f>Table6[[#This Row],[ (RESV. STORGE) SER]]/10</f>
        <v/>
      </c>
      <c r="AO68" s="68" t="n"/>
      <c r="AP68" s="99">
        <f>Table6[[#This Row],[(A/S) AJD]]-Table6[[#This Row],[SER_IN]]</f>
        <v/>
      </c>
    </row>
    <row r="69" ht="18.75" customHeight="1">
      <c r="A69" s="98" t="n">
        <v>47551</v>
      </c>
      <c r="B69" s="41" t="n"/>
      <c r="C69" s="41" t="n"/>
      <c r="D69" s="41" t="n"/>
      <c r="E69" s="28" t="n"/>
      <c r="F69" s="41" t="n"/>
      <c r="G69" s="39" t="n"/>
      <c r="H69" s="28" t="n"/>
      <c r="I69" s="39" t="n"/>
      <c r="J69" s="39" t="n"/>
      <c r="K69" s="28">
        <f>Table6[[#This Row],[ (T/B) SAR]]+Table6[[#This Row],[ (S/S) SAR]]</f>
        <v/>
      </c>
      <c r="L69" s="41" t="n"/>
      <c r="M69" s="42" t="n"/>
      <c r="N69" s="42" t="n"/>
      <c r="O69" s="39" t="n"/>
      <c r="P69" s="3">
        <f>Table6[[#This Row],[ (S/S) SAR]]-Table6[[#This Row],[(S/S) AJD]]</f>
        <v/>
      </c>
      <c r="Q69" s="39" t="n"/>
      <c r="R69" s="3">
        <f>Table6[[#This Row],[ (T/B) SAR]]-Table6[[#This Row],[(T/B) AJD]]</f>
        <v/>
      </c>
      <c r="S69" s="3">
        <f>Table6[[#This Row],[S/S_CON.]]+Table6[[#This Row],[T/B-CON.]]</f>
        <v/>
      </c>
      <c r="T69" s="3">
        <f>O69+Q69</f>
        <v/>
      </c>
      <c r="U69" s="41" t="n"/>
      <c r="V69" s="41" t="n"/>
      <c r="W69" s="3">
        <f>U69+V69</f>
        <v/>
      </c>
      <c r="X69" s="3">
        <f>T69-W69</f>
        <v/>
      </c>
      <c r="Y69" s="41" t="n"/>
      <c r="Z69" s="43" t="n"/>
      <c r="AA69" s="3">
        <f>Table6[[#This Row],[(RESV. STORGE) AJD]]/10</f>
        <v/>
      </c>
      <c r="AB69" s="3">
        <f>IF(TRIM(Z69)="",,(Z69-Z68)/1000)</f>
        <v/>
      </c>
      <c r="AC69" s="5" t="n"/>
      <c r="AD69" s="39">
        <f>(Table6[[#This Row],[( S/S+T/B) AJD]]*1000)-((Table6[[#This Row],[(STORGE DIFF.) AJD]]*1000)+Table6[[#This Row],[AJD_Evaporation]]+(Table6[[#This Row],[(A/B + A/S) AJD]]*1000))</f>
        <v/>
      </c>
      <c r="AE69" s="41" t="n"/>
      <c r="AF69" s="43" t="n"/>
      <c r="AG69" s="43" t="n"/>
      <c r="AH69" s="6">
        <f>Table6[[#This Row],[ (RESV. STORGE) BER]]/10</f>
        <v/>
      </c>
      <c r="AI69" s="41" t="n"/>
      <c r="AJ69" s="43">
        <f>Table6[[#This Row],[(A/B) AJD]]-TABL12345[[#This Row],[BER_IN]]</f>
        <v/>
      </c>
      <c r="AK69" s="43" t="n"/>
      <c r="AL69" s="43" t="n"/>
      <c r="AM69" s="32" t="n"/>
      <c r="AN69" s="32">
        <f>Table6[[#This Row],[ (RESV. STORGE) SER]]/10</f>
        <v/>
      </c>
      <c r="AO69" s="68" t="n"/>
      <c r="AP69" s="99">
        <f>Table6[[#This Row],[(A/S) AJD]]-Table6[[#This Row],[SER_IN]]</f>
        <v/>
      </c>
    </row>
    <row r="70" ht="18.75" customHeight="1">
      <c r="A70" s="98" t="n">
        <v>47552</v>
      </c>
      <c r="B70" s="44" t="n"/>
      <c r="C70" s="44" t="n"/>
      <c r="D70" s="44" t="n"/>
      <c r="E70" s="28" t="n"/>
      <c r="F70" s="44" t="n"/>
      <c r="G70" s="40" t="n"/>
      <c r="H70" s="28" t="n"/>
      <c r="I70" s="40" t="n"/>
      <c r="J70" s="44" t="n"/>
      <c r="K70" s="28">
        <f>Table6[[#This Row],[ (T/B) SAR]]+Table6[[#This Row],[ (S/S) SAR]]</f>
        <v/>
      </c>
      <c r="L70" s="45" t="n"/>
      <c r="M70" s="46" t="n"/>
      <c r="N70" s="46" t="n"/>
      <c r="O70" s="40" t="n"/>
      <c r="P70" s="3">
        <f>Table6[[#This Row],[ (S/S) SAR]]-Table6[[#This Row],[(S/S) AJD]]</f>
        <v/>
      </c>
      <c r="Q70" s="40" t="n"/>
      <c r="R70" s="3">
        <f>Table6[[#This Row],[ (T/B) SAR]]-Table6[[#This Row],[(T/B) AJD]]</f>
        <v/>
      </c>
      <c r="S70" s="3">
        <f>Table6[[#This Row],[S/S_CON.]]+Table6[[#This Row],[T/B-CON.]]</f>
        <v/>
      </c>
      <c r="T70" s="3">
        <f>O70+Q70</f>
        <v/>
      </c>
      <c r="U70" s="44" t="n"/>
      <c r="V70" s="44" t="n"/>
      <c r="W70" s="3">
        <f>U70+V70</f>
        <v/>
      </c>
      <c r="X70" s="3">
        <f>T70-W70</f>
        <v/>
      </c>
      <c r="Y70" s="44" t="n"/>
      <c r="Z70" s="45" t="n"/>
      <c r="AA70" s="3">
        <f>Table6[[#This Row],[(RESV. STORGE) AJD]]/10</f>
        <v/>
      </c>
      <c r="AB70" s="3">
        <f>IF(TRIM(Z70)="",,(Z70-Z69)/1000)</f>
        <v/>
      </c>
      <c r="AC70" s="5" t="n"/>
      <c r="AD70" s="40">
        <f>(Table6[[#This Row],[( S/S+T/B) AJD]]*1000)-((Table6[[#This Row],[(STORGE DIFF.) AJD]]*1000)+Table6[[#This Row],[AJD_Evaporation]]+(Table6[[#This Row],[(A/B + A/S) AJD]]*1000))</f>
        <v/>
      </c>
      <c r="AE70" s="44" t="n"/>
      <c r="AF70" s="45" t="n"/>
      <c r="AG70" s="45" t="n"/>
      <c r="AH70" s="6">
        <f>Table6[[#This Row],[ (RESV. STORGE) BER]]/10</f>
        <v/>
      </c>
      <c r="AI70" s="44" t="n"/>
      <c r="AJ70" s="45">
        <f>Table6[[#This Row],[(A/B) AJD]]-TABL12345[[#This Row],[BER_IN]]</f>
        <v/>
      </c>
      <c r="AK70" s="45" t="n"/>
      <c r="AL70" s="45" t="n"/>
      <c r="AM70" s="32" t="n"/>
      <c r="AN70" s="32">
        <f>Table6[[#This Row],[ (RESV. STORGE) SER]]/10</f>
        <v/>
      </c>
      <c r="AO70" s="68" t="n"/>
      <c r="AP70" s="99">
        <f>Table6[[#This Row],[(A/S) AJD]]-Table6[[#This Row],[SER_IN]]</f>
        <v/>
      </c>
    </row>
    <row r="71" ht="18.75" customHeight="1">
      <c r="A71" s="98" t="n">
        <v>47553</v>
      </c>
      <c r="B71" s="41" t="n"/>
      <c r="C71" s="41" t="n"/>
      <c r="D71" s="41" t="n"/>
      <c r="E71" s="28" t="n"/>
      <c r="F71" s="41" t="n"/>
      <c r="G71" s="39" t="n"/>
      <c r="H71" s="28" t="n"/>
      <c r="I71" s="39" t="n"/>
      <c r="J71" s="39" t="n"/>
      <c r="K71" s="28">
        <f>Table6[[#This Row],[ (T/B) SAR]]+Table6[[#This Row],[ (S/S) SAR]]</f>
        <v/>
      </c>
      <c r="L71" s="41" t="n"/>
      <c r="M71" s="42" t="n"/>
      <c r="N71" s="42" t="n"/>
      <c r="O71" s="39" t="n"/>
      <c r="P71" s="3">
        <f>Table6[[#This Row],[ (S/S) SAR]]-Table6[[#This Row],[(S/S) AJD]]</f>
        <v/>
      </c>
      <c r="Q71" s="39" t="n"/>
      <c r="R71" s="3">
        <f>Table6[[#This Row],[ (T/B) SAR]]-Table6[[#This Row],[(T/B) AJD]]</f>
        <v/>
      </c>
      <c r="S71" s="3">
        <f>Table6[[#This Row],[S/S_CON.]]+Table6[[#This Row],[T/B-CON.]]</f>
        <v/>
      </c>
      <c r="T71" s="3">
        <f>O71+Q71</f>
        <v/>
      </c>
      <c r="U71" s="41" t="n"/>
      <c r="V71" s="41" t="n"/>
      <c r="W71" s="3">
        <f>U71+V71</f>
        <v/>
      </c>
      <c r="X71" s="3">
        <f>T71-W71</f>
        <v/>
      </c>
      <c r="Y71" s="41" t="n"/>
      <c r="Z71" s="43" t="n"/>
      <c r="AA71" s="3">
        <f>Table6[[#This Row],[(RESV. STORGE) AJD]]/10</f>
        <v/>
      </c>
      <c r="AB71" s="3">
        <f>IF(TRIM(Z71)="",,(Z71-Z70)/1000)</f>
        <v/>
      </c>
      <c r="AC71" s="5" t="n"/>
      <c r="AD71" s="39">
        <f>(Table6[[#This Row],[( S/S+T/B) AJD]]*1000)-((Table6[[#This Row],[(STORGE DIFF.) AJD]]*1000)+Table6[[#This Row],[AJD_Evaporation]]+(Table6[[#This Row],[(A/B + A/S) AJD]]*1000))</f>
        <v/>
      </c>
      <c r="AE71" s="41" t="n"/>
      <c r="AF71" s="43" t="n"/>
      <c r="AG71" s="68" t="n"/>
      <c r="AH71" s="6">
        <f>Table6[[#This Row],[ (RESV. STORGE) BER]]/10</f>
        <v/>
      </c>
      <c r="AI71" s="41" t="n"/>
      <c r="AJ71" s="68">
        <f>Table6[[#This Row],[(A/B) AJD]]-TABL12345[[#This Row],[BER_IN]]</f>
        <v/>
      </c>
      <c r="AK71" s="43" t="n"/>
      <c r="AL71" s="43" t="n"/>
      <c r="AM71" s="32" t="n"/>
      <c r="AN71" s="32">
        <f>Table6[[#This Row],[ (RESV. STORGE) SER]]/10</f>
        <v/>
      </c>
      <c r="AO71" s="68" t="n"/>
      <c r="AP71" s="99">
        <f>Table6[[#This Row],[(A/S) AJD]]-Table6[[#This Row],[SER_IN]]</f>
        <v/>
      </c>
    </row>
    <row r="72" ht="18.75" customHeight="1">
      <c r="A72" s="98" t="n">
        <v>47554</v>
      </c>
      <c r="B72" s="44" t="n"/>
      <c r="C72" s="44" t="n"/>
      <c r="D72" s="44" t="n"/>
      <c r="E72" s="28" t="n"/>
      <c r="F72" s="44" t="n"/>
      <c r="G72" s="40" t="n"/>
      <c r="H72" s="28" t="n"/>
      <c r="I72" s="40" t="n"/>
      <c r="J72" s="44" t="n"/>
      <c r="K72" s="28">
        <f>Table6[[#This Row],[ (T/B) SAR]]+Table6[[#This Row],[ (S/S) SAR]]</f>
        <v/>
      </c>
      <c r="L72" s="45" t="n"/>
      <c r="M72" s="46" t="n"/>
      <c r="N72" s="46" t="n"/>
      <c r="O72" s="40" t="n"/>
      <c r="P72" s="3">
        <f>Table6[[#This Row],[ (S/S) SAR]]-Table6[[#This Row],[(S/S) AJD]]</f>
        <v/>
      </c>
      <c r="Q72" s="40" t="n"/>
      <c r="R72" s="3">
        <f>Table6[[#This Row],[ (T/B) SAR]]-Table6[[#This Row],[(T/B) AJD]]</f>
        <v/>
      </c>
      <c r="S72" s="3">
        <f>Table6[[#This Row],[S/S_CON.]]+Table6[[#This Row],[T/B-CON.]]</f>
        <v/>
      </c>
      <c r="T72" s="3">
        <f>O72+Q72</f>
        <v/>
      </c>
      <c r="U72" s="44" t="n"/>
      <c r="V72" s="44" t="n"/>
      <c r="W72" s="3">
        <f>U72+V72</f>
        <v/>
      </c>
      <c r="X72" s="3">
        <f>T72-W72</f>
        <v/>
      </c>
      <c r="Y72" s="44" t="n"/>
      <c r="Z72" s="45" t="n"/>
      <c r="AA72" s="3">
        <f>Table6[[#This Row],[(RESV. STORGE) AJD]]/10</f>
        <v/>
      </c>
      <c r="AB72" s="3">
        <f>IF(TRIM(Z72)="",,(Z72-Z71)/1000)</f>
        <v/>
      </c>
      <c r="AC72" s="5" t="n"/>
      <c r="AD72" s="40">
        <f>(Table6[[#This Row],[( S/S+T/B) AJD]]*1000)-((Table6[[#This Row],[(STORGE DIFF.) AJD]]*1000)+Table6[[#This Row],[AJD_Evaporation]]+(Table6[[#This Row],[(A/B + A/S) AJD]]*1000))</f>
        <v/>
      </c>
      <c r="AE72" s="44" t="n"/>
      <c r="AF72" s="45" t="n"/>
      <c r="AG72" s="45" t="n"/>
      <c r="AH72" s="6">
        <f>Table6[[#This Row],[ (RESV. STORGE) BER]]/10</f>
        <v/>
      </c>
      <c r="AI72" s="44" t="n"/>
      <c r="AJ72" s="45">
        <f>Table6[[#This Row],[(A/B) AJD]]-TABL12345[[#This Row],[BER_IN]]</f>
        <v/>
      </c>
      <c r="AK72" s="45" t="n"/>
      <c r="AL72" s="45" t="n"/>
      <c r="AM72" s="32" t="n"/>
      <c r="AN72" s="32">
        <f>Table6[[#This Row],[ (RESV. STORGE) SER]]/10</f>
        <v/>
      </c>
      <c r="AO72" s="68" t="n"/>
      <c r="AP72" s="99">
        <f>Table6[[#This Row],[(A/S) AJD]]-Table6[[#This Row],[SER_IN]]</f>
        <v/>
      </c>
    </row>
    <row r="73" ht="18.75" customHeight="1">
      <c r="A73" s="98" t="n">
        <v>47555</v>
      </c>
      <c r="B73" s="41" t="n"/>
      <c r="C73" s="41" t="n"/>
      <c r="D73" s="41" t="n"/>
      <c r="E73" s="28" t="n"/>
      <c r="F73" s="41" t="n"/>
      <c r="G73" s="39" t="n"/>
      <c r="H73" s="28" t="n"/>
      <c r="I73" s="39" t="n"/>
      <c r="J73" s="39" t="n"/>
      <c r="K73" s="28">
        <f>Table6[[#This Row],[ (T/B) SAR]]+Table6[[#This Row],[ (S/S) SAR]]</f>
        <v/>
      </c>
      <c r="L73" s="41" t="n"/>
      <c r="M73" s="42" t="n"/>
      <c r="N73" s="42" t="n"/>
      <c r="O73" s="39" t="n"/>
      <c r="P73" s="3">
        <f>Table6[[#This Row],[ (S/S) SAR]]-Table6[[#This Row],[(S/S) AJD]]</f>
        <v/>
      </c>
      <c r="Q73" s="39" t="n"/>
      <c r="R73" s="3">
        <f>Table6[[#This Row],[ (T/B) SAR]]-Table6[[#This Row],[(T/B) AJD]]</f>
        <v/>
      </c>
      <c r="S73" s="3">
        <f>Table6[[#This Row],[S/S_CON.]]+Table6[[#This Row],[T/B-CON.]]</f>
        <v/>
      </c>
      <c r="T73" s="3">
        <f>O73+Q73</f>
        <v/>
      </c>
      <c r="U73" s="41" t="n"/>
      <c r="V73" s="41" t="n"/>
      <c r="W73" s="3">
        <f>U73+V73</f>
        <v/>
      </c>
      <c r="X73" s="3">
        <f>T73-W73</f>
        <v/>
      </c>
      <c r="Y73" s="41" t="n"/>
      <c r="Z73" s="43" t="n"/>
      <c r="AA73" s="3">
        <f>Table6[[#This Row],[(RESV. STORGE) AJD]]/10</f>
        <v/>
      </c>
      <c r="AB73" s="3">
        <f>IF(TRIM(Z73)="",,(Z73-Z72)/1000)</f>
        <v/>
      </c>
      <c r="AC73" s="5" t="n"/>
      <c r="AD73" s="39">
        <f>(Table6[[#This Row],[( S/S+T/B) AJD]]*1000)-((Table6[[#This Row],[(STORGE DIFF.) AJD]]*1000)+Table6[[#This Row],[AJD_Evaporation]]+(Table6[[#This Row],[(A/B + A/S) AJD]]*1000))</f>
        <v/>
      </c>
      <c r="AE73" s="41" t="n"/>
      <c r="AF73" s="43" t="n"/>
      <c r="AG73" s="43" t="n"/>
      <c r="AH73" s="6">
        <f>Table6[[#This Row],[ (RESV. STORGE) BER]]/10</f>
        <v/>
      </c>
      <c r="AI73" s="41" t="n"/>
      <c r="AJ73" s="43">
        <f>Table6[[#This Row],[(A/B) AJD]]-TABL12345[[#This Row],[BER_IN]]</f>
        <v/>
      </c>
      <c r="AK73" s="43" t="n"/>
      <c r="AL73" s="43" t="n"/>
      <c r="AM73" s="32" t="n"/>
      <c r="AN73" s="32">
        <f>Table6[[#This Row],[ (RESV. STORGE) SER]]/10</f>
        <v/>
      </c>
      <c r="AO73" s="68" t="n"/>
      <c r="AP73" s="99">
        <f>Table6[[#This Row],[(A/S) AJD]]-Table6[[#This Row],[SER_IN]]</f>
        <v/>
      </c>
    </row>
    <row r="74" ht="18.75" customHeight="1">
      <c r="A74" s="98" t="n">
        <v>47556</v>
      </c>
      <c r="B74" s="44" t="n"/>
      <c r="C74" s="44" t="n"/>
      <c r="D74" s="44" t="n"/>
      <c r="E74" s="28" t="n"/>
      <c r="F74" s="44" t="n"/>
      <c r="G74" s="40" t="n"/>
      <c r="H74" s="28" t="n"/>
      <c r="I74" s="40" t="n"/>
      <c r="J74" s="44" t="n"/>
      <c r="K74" s="28">
        <f>Table6[[#This Row],[ (T/B) SAR]]+Table6[[#This Row],[ (S/S) SAR]]</f>
        <v/>
      </c>
      <c r="L74" s="45" t="n"/>
      <c r="M74" s="46" t="n"/>
      <c r="N74" s="46" t="n"/>
      <c r="O74" s="40" t="n"/>
      <c r="P74" s="3">
        <f>Table6[[#This Row],[ (S/S) SAR]]-Table6[[#This Row],[(S/S) AJD]]</f>
        <v/>
      </c>
      <c r="Q74" s="40" t="n"/>
      <c r="R74" s="3">
        <f>Table6[[#This Row],[ (T/B) SAR]]-Table6[[#This Row],[(T/B) AJD]]</f>
        <v/>
      </c>
      <c r="S74" s="3">
        <f>Table6[[#This Row],[S/S_CON.]]+Table6[[#This Row],[T/B-CON.]]</f>
        <v/>
      </c>
      <c r="T74" s="3">
        <f>O74+Q74</f>
        <v/>
      </c>
      <c r="U74" s="44" t="n"/>
      <c r="V74" s="44" t="n"/>
      <c r="W74" s="3">
        <f>U74+V74</f>
        <v/>
      </c>
      <c r="X74" s="3">
        <f>T74-W74</f>
        <v/>
      </c>
      <c r="Y74" s="44" t="n"/>
      <c r="Z74" s="45" t="n"/>
      <c r="AA74" s="3">
        <f>Table6[[#This Row],[(RESV. STORGE) AJD]]/10</f>
        <v/>
      </c>
      <c r="AB74" s="3">
        <f>IF(TRIM(Z74)="",,(Z74-Z73)/1000)</f>
        <v/>
      </c>
      <c r="AC74" s="5" t="n"/>
      <c r="AD74" s="40">
        <f>(Table6[[#This Row],[( S/S+T/B) AJD]]*1000)-((Table6[[#This Row],[(STORGE DIFF.) AJD]]*1000)+Table6[[#This Row],[AJD_Evaporation]]+(Table6[[#This Row],[(A/B + A/S) AJD]]*1000))</f>
        <v/>
      </c>
      <c r="AE74" s="44" t="n"/>
      <c r="AF74" s="45" t="n"/>
      <c r="AG74" s="45" t="n"/>
      <c r="AH74" s="6">
        <f>Table6[[#This Row],[ (RESV. STORGE) BER]]/10</f>
        <v/>
      </c>
      <c r="AI74" s="44" t="n"/>
      <c r="AJ74" s="45">
        <f>Table6[[#This Row],[(A/B) AJD]]-TABL12345[[#This Row],[BER_IN]]</f>
        <v/>
      </c>
      <c r="AK74" s="45" t="n"/>
      <c r="AL74" s="45" t="n"/>
      <c r="AM74" s="32" t="n"/>
      <c r="AN74" s="32">
        <f>Table6[[#This Row],[ (RESV. STORGE) SER]]/10</f>
        <v/>
      </c>
      <c r="AO74" s="68" t="n"/>
      <c r="AP74" s="99">
        <f>Table6[[#This Row],[(A/S) AJD]]-Table6[[#This Row],[SER_IN]]</f>
        <v/>
      </c>
    </row>
    <row r="75" ht="18.75" customHeight="1">
      <c r="A75" s="98" t="n">
        <v>47557</v>
      </c>
      <c r="B75" s="41" t="n"/>
      <c r="C75" s="41" t="n"/>
      <c r="D75" s="41" t="n"/>
      <c r="E75" s="28" t="n"/>
      <c r="F75" s="41" t="n"/>
      <c r="G75" s="39" t="n"/>
      <c r="H75" s="28" t="n"/>
      <c r="I75" s="39" t="n"/>
      <c r="J75" s="39" t="n"/>
      <c r="K75" s="28">
        <f>Table6[[#This Row],[ (T/B) SAR]]+Table6[[#This Row],[ (S/S) SAR]]</f>
        <v/>
      </c>
      <c r="L75" s="41" t="n"/>
      <c r="M75" s="42" t="n"/>
      <c r="N75" s="42" t="n"/>
      <c r="O75" s="39" t="n"/>
      <c r="P75" s="3">
        <f>Table6[[#This Row],[ (S/S) SAR]]-Table6[[#This Row],[(S/S) AJD]]</f>
        <v/>
      </c>
      <c r="Q75" s="39" t="n"/>
      <c r="R75" s="3">
        <f>Table6[[#This Row],[ (T/B) SAR]]-Table6[[#This Row],[(T/B) AJD]]</f>
        <v/>
      </c>
      <c r="S75" s="3">
        <f>Table6[[#This Row],[S/S_CON.]]+Table6[[#This Row],[T/B-CON.]]</f>
        <v/>
      </c>
      <c r="T75" s="3">
        <f>O75+Q75</f>
        <v/>
      </c>
      <c r="U75" s="41" t="n"/>
      <c r="V75" s="41" t="n"/>
      <c r="W75" s="3">
        <f>U75+V75</f>
        <v/>
      </c>
      <c r="X75" s="3">
        <f>T75-W75</f>
        <v/>
      </c>
      <c r="Y75" s="41" t="n"/>
      <c r="Z75" s="43" t="n"/>
      <c r="AA75" s="3">
        <f>Table6[[#This Row],[(RESV. STORGE) AJD]]/10</f>
        <v/>
      </c>
      <c r="AB75" s="3">
        <f>IF(TRIM(Z75)="",,(Z75-Z74)/1000)</f>
        <v/>
      </c>
      <c r="AC75" s="5" t="n"/>
      <c r="AD75" s="39">
        <f>(Table6[[#This Row],[( S/S+T/B) AJD]]*1000)-((Table6[[#This Row],[(STORGE DIFF.) AJD]]*1000)+Table6[[#This Row],[AJD_Evaporation]]+(Table6[[#This Row],[(A/B + A/S) AJD]]*1000))</f>
        <v/>
      </c>
      <c r="AE75" s="41" t="n"/>
      <c r="AF75" s="43" t="n"/>
      <c r="AG75" s="43" t="n"/>
      <c r="AH75" s="6">
        <f>Table6[[#This Row],[ (RESV. STORGE) BER]]/10</f>
        <v/>
      </c>
      <c r="AI75" s="41" t="n"/>
      <c r="AJ75" s="43">
        <f>Table6[[#This Row],[(A/B) AJD]]-TABL12345[[#This Row],[BER_IN]]</f>
        <v/>
      </c>
      <c r="AK75" s="43" t="n"/>
      <c r="AL75" s="43" t="n"/>
      <c r="AM75" s="32" t="n"/>
      <c r="AN75" s="32">
        <f>Table6[[#This Row],[ (RESV. STORGE) SER]]/10</f>
        <v/>
      </c>
      <c r="AO75" s="68" t="n"/>
      <c r="AP75" s="99">
        <f>Table6[[#This Row],[(A/S) AJD]]-Table6[[#This Row],[SER_IN]]</f>
        <v/>
      </c>
    </row>
    <row r="76" ht="18.75" customHeight="1">
      <c r="A76" s="98" t="n">
        <v>47558</v>
      </c>
      <c r="B76" s="44" t="n"/>
      <c r="C76" s="44" t="n"/>
      <c r="D76" s="44" t="n"/>
      <c r="E76" s="28" t="n"/>
      <c r="F76" s="44" t="n"/>
      <c r="G76" s="40" t="n"/>
      <c r="H76" s="28" t="n"/>
      <c r="I76" s="40" t="n"/>
      <c r="J76" s="44" t="n"/>
      <c r="K76" s="28">
        <f>Table6[[#This Row],[ (T/B) SAR]]+Table6[[#This Row],[ (S/S) SAR]]</f>
        <v/>
      </c>
      <c r="L76" s="45" t="n"/>
      <c r="M76" s="46" t="n"/>
      <c r="N76" s="46" t="n"/>
      <c r="O76" s="40" t="n"/>
      <c r="P76" s="3">
        <f>Table6[[#This Row],[ (S/S) SAR]]-Table6[[#This Row],[(S/S) AJD]]</f>
        <v/>
      </c>
      <c r="Q76" s="40" t="n"/>
      <c r="R76" s="3">
        <f>Table6[[#This Row],[ (T/B) SAR]]-Table6[[#This Row],[(T/B) AJD]]</f>
        <v/>
      </c>
      <c r="S76" s="3">
        <f>Table6[[#This Row],[S/S_CON.]]+Table6[[#This Row],[T/B-CON.]]</f>
        <v/>
      </c>
      <c r="T76" s="3">
        <f>O76+Q76</f>
        <v/>
      </c>
      <c r="U76" s="44" t="n"/>
      <c r="V76" s="44" t="n"/>
      <c r="W76" s="3">
        <f>U76+V76</f>
        <v/>
      </c>
      <c r="X76" s="3">
        <f>T76-W76</f>
        <v/>
      </c>
      <c r="Y76" s="44" t="n"/>
      <c r="Z76" s="45" t="n"/>
      <c r="AA76" s="3">
        <f>Table6[[#This Row],[(RESV. STORGE) AJD]]/10</f>
        <v/>
      </c>
      <c r="AB76" s="3">
        <f>IF(TRIM(Z76)="",,(Z76-Z75)/1000)</f>
        <v/>
      </c>
      <c r="AC76" s="5" t="n"/>
      <c r="AD76" s="40">
        <f>(Table6[[#This Row],[( S/S+T/B) AJD]]*1000)-((Table6[[#This Row],[(STORGE DIFF.) AJD]]*1000)+Table6[[#This Row],[AJD_Evaporation]]+(Table6[[#This Row],[(A/B + A/S) AJD]]*1000))</f>
        <v/>
      </c>
      <c r="AE76" s="44" t="n"/>
      <c r="AF76" s="45" t="n"/>
      <c r="AG76" s="45" t="n"/>
      <c r="AH76" s="6">
        <f>Table6[[#This Row],[ (RESV. STORGE) BER]]/10</f>
        <v/>
      </c>
      <c r="AI76" s="44" t="n"/>
      <c r="AJ76" s="45">
        <f>Table6[[#This Row],[(A/B) AJD]]-TABL12345[[#This Row],[BER_IN]]</f>
        <v/>
      </c>
      <c r="AK76" s="45" t="n"/>
      <c r="AL76" s="45" t="n"/>
      <c r="AM76" s="32" t="n"/>
      <c r="AN76" s="32">
        <f>Table6[[#This Row],[ (RESV. STORGE) SER]]/10</f>
        <v/>
      </c>
      <c r="AO76" s="68" t="n"/>
      <c r="AP76" s="99">
        <f>Table6[[#This Row],[(A/S) AJD]]-Table6[[#This Row],[SER_IN]]</f>
        <v/>
      </c>
    </row>
    <row r="77" ht="18.75" customHeight="1">
      <c r="A77" s="98" t="n">
        <v>47559</v>
      </c>
      <c r="B77" s="41" t="n"/>
      <c r="C77" s="41" t="n"/>
      <c r="D77" s="41" t="n"/>
      <c r="E77" s="28" t="n"/>
      <c r="F77" s="41" t="n"/>
      <c r="G77" s="39" t="n"/>
      <c r="H77" s="28" t="n"/>
      <c r="I77" s="39" t="n"/>
      <c r="J77" s="39" t="n"/>
      <c r="K77" s="28">
        <f>Table6[[#This Row],[ (T/B) SAR]]+Table6[[#This Row],[ (S/S) SAR]]</f>
        <v/>
      </c>
      <c r="L77" s="41" t="n"/>
      <c r="M77" s="42" t="n"/>
      <c r="N77" s="42" t="n"/>
      <c r="O77" s="39" t="n"/>
      <c r="P77" s="3">
        <f>Table6[[#This Row],[ (S/S) SAR]]-Table6[[#This Row],[(S/S) AJD]]</f>
        <v/>
      </c>
      <c r="Q77" s="39" t="n"/>
      <c r="R77" s="3">
        <f>Table6[[#This Row],[ (T/B) SAR]]-Table6[[#This Row],[(T/B) AJD]]</f>
        <v/>
      </c>
      <c r="S77" s="3">
        <f>Table6[[#This Row],[S/S_CON.]]+Table6[[#This Row],[T/B-CON.]]</f>
        <v/>
      </c>
      <c r="T77" s="3">
        <f>O77+Q77</f>
        <v/>
      </c>
      <c r="U77" s="41" t="n"/>
      <c r="V77" s="41" t="n"/>
      <c r="W77" s="3">
        <f>U77+V77</f>
        <v/>
      </c>
      <c r="X77" s="3">
        <f>T77-W77</f>
        <v/>
      </c>
      <c r="Y77" s="41" t="n"/>
      <c r="Z77" s="43" t="n"/>
      <c r="AA77" s="3">
        <f>Table6[[#This Row],[(RESV. STORGE) AJD]]/10</f>
        <v/>
      </c>
      <c r="AB77" s="3">
        <f>IF(TRIM(Z77)="",,(Z77-Z76)/1000)</f>
        <v/>
      </c>
      <c r="AC77" s="5" t="n"/>
      <c r="AD77" s="39">
        <f>(Table6[[#This Row],[( S/S+T/B) AJD]]*1000)-((Table6[[#This Row],[(STORGE DIFF.) AJD]]*1000)+Table6[[#This Row],[AJD_Evaporation]]+(Table6[[#This Row],[(A/B + A/S) AJD]]*1000))</f>
        <v/>
      </c>
      <c r="AE77" s="41" t="n"/>
      <c r="AF77" s="43" t="n"/>
      <c r="AG77" s="43" t="n"/>
      <c r="AH77" s="6">
        <f>Table6[[#This Row],[ (RESV. STORGE) BER]]/10</f>
        <v/>
      </c>
      <c r="AI77" s="41" t="n"/>
      <c r="AJ77" s="43">
        <f>Table6[[#This Row],[(A/B) AJD]]-TABL12345[[#This Row],[BER_IN]]</f>
        <v/>
      </c>
      <c r="AK77" s="43" t="n"/>
      <c r="AL77" s="43" t="n"/>
      <c r="AM77" s="32" t="n"/>
      <c r="AN77" s="32">
        <f>Table6[[#This Row],[ (RESV. STORGE) SER]]/10</f>
        <v/>
      </c>
      <c r="AO77" s="68" t="n"/>
      <c r="AP77" s="99">
        <f>Table6[[#This Row],[(A/S) AJD]]-Table6[[#This Row],[SER_IN]]</f>
        <v/>
      </c>
    </row>
    <row r="78" ht="18.75" customHeight="1">
      <c r="A78" s="98" t="n">
        <v>47560</v>
      </c>
      <c r="B78" s="44" t="n"/>
      <c r="C78" s="44" t="n"/>
      <c r="D78" s="44" t="n"/>
      <c r="E78" s="28" t="n"/>
      <c r="F78" s="44" t="n"/>
      <c r="G78" s="40" t="n"/>
      <c r="H78" s="28" t="n"/>
      <c r="I78" s="40" t="n"/>
      <c r="J78" s="44" t="n"/>
      <c r="K78" s="28">
        <f>Table6[[#This Row],[ (T/B) SAR]]+Table6[[#This Row],[ (S/S) SAR]]</f>
        <v/>
      </c>
      <c r="L78" s="45" t="n"/>
      <c r="M78" s="46" t="n"/>
      <c r="N78" s="46" t="n"/>
      <c r="O78" s="40" t="n"/>
      <c r="P78" s="3">
        <f>Table6[[#This Row],[ (S/S) SAR]]-Table6[[#This Row],[(S/S) AJD]]</f>
        <v/>
      </c>
      <c r="Q78" s="40" t="n"/>
      <c r="R78" s="3">
        <f>Table6[[#This Row],[ (T/B) SAR]]-Table6[[#This Row],[(T/B) AJD]]</f>
        <v/>
      </c>
      <c r="S78" s="3">
        <f>Table6[[#This Row],[S/S_CON.]]+Table6[[#This Row],[T/B-CON.]]</f>
        <v/>
      </c>
      <c r="T78" s="3">
        <f>O78+Q78</f>
        <v/>
      </c>
      <c r="U78" s="44" t="n"/>
      <c r="V78" s="44" t="n"/>
      <c r="W78" s="3">
        <f>U78+V78</f>
        <v/>
      </c>
      <c r="X78" s="3">
        <f>T78-W78</f>
        <v/>
      </c>
      <c r="Y78" s="44" t="n"/>
      <c r="Z78" s="45" t="n"/>
      <c r="AA78" s="3">
        <f>Table6[[#This Row],[(RESV. STORGE) AJD]]/10</f>
        <v/>
      </c>
      <c r="AB78" s="3">
        <f>IF(TRIM(Z78)="",,(Z78-Z77)/1000)</f>
        <v/>
      </c>
      <c r="AC78" s="5" t="n"/>
      <c r="AD78" s="40">
        <f>(Table6[[#This Row],[( S/S+T/B) AJD]]*1000)-((Table6[[#This Row],[(STORGE DIFF.) AJD]]*1000)+Table6[[#This Row],[AJD_Evaporation]]+(Table6[[#This Row],[(A/B + A/S) AJD]]*1000))</f>
        <v/>
      </c>
      <c r="AE78" s="44" t="n"/>
      <c r="AF78" s="45" t="n"/>
      <c r="AG78" s="45" t="n"/>
      <c r="AH78" s="6">
        <f>Table6[[#This Row],[ (RESV. STORGE) BER]]/10</f>
        <v/>
      </c>
      <c r="AI78" s="44" t="n"/>
      <c r="AJ78" s="45">
        <f>Table6[[#This Row],[(A/B) AJD]]-TABL12345[[#This Row],[BER_IN]]</f>
        <v/>
      </c>
      <c r="AK78" s="45" t="n"/>
      <c r="AL78" s="45" t="n"/>
      <c r="AM78" s="32" t="n"/>
      <c r="AN78" s="32">
        <f>Table6[[#This Row],[ (RESV. STORGE) SER]]/10</f>
        <v/>
      </c>
      <c r="AO78" s="68" t="n"/>
      <c r="AP78" s="99">
        <f>Table6[[#This Row],[(A/S) AJD]]-Table6[[#This Row],[SER_IN]]</f>
        <v/>
      </c>
    </row>
    <row r="79" ht="18.75" customHeight="1">
      <c r="A79" s="98" t="n">
        <v>47561</v>
      </c>
      <c r="B79" s="41" t="n"/>
      <c r="C79" s="41" t="n"/>
      <c r="D79" s="41" t="n"/>
      <c r="E79" s="28" t="n"/>
      <c r="F79" s="41" t="n"/>
      <c r="G79" s="39" t="n"/>
      <c r="H79" s="28" t="n"/>
      <c r="I79" s="39" t="n"/>
      <c r="J79" s="39" t="n"/>
      <c r="K79" s="28">
        <f>Table6[[#This Row],[ (T/B) SAR]]+Table6[[#This Row],[ (S/S) SAR]]</f>
        <v/>
      </c>
      <c r="L79" s="41" t="n"/>
      <c r="M79" s="42" t="n"/>
      <c r="N79" s="42" t="n"/>
      <c r="O79" s="39" t="n"/>
      <c r="P79" s="3">
        <f>Table6[[#This Row],[ (S/S) SAR]]-Table6[[#This Row],[(S/S) AJD]]</f>
        <v/>
      </c>
      <c r="Q79" s="39" t="n"/>
      <c r="R79" s="3">
        <f>Table6[[#This Row],[ (T/B) SAR]]-Table6[[#This Row],[(T/B) AJD]]</f>
        <v/>
      </c>
      <c r="S79" s="3">
        <f>Table6[[#This Row],[S/S_CON.]]+Table6[[#This Row],[T/B-CON.]]</f>
        <v/>
      </c>
      <c r="T79" s="3">
        <f>O79+Q79</f>
        <v/>
      </c>
      <c r="U79" s="41" t="n"/>
      <c r="V79" s="41" t="n"/>
      <c r="W79" s="3">
        <f>U79+V79</f>
        <v/>
      </c>
      <c r="X79" s="3">
        <f>T79-W79</f>
        <v/>
      </c>
      <c r="Y79" s="41" t="n"/>
      <c r="Z79" s="43" t="n"/>
      <c r="AA79" s="3">
        <f>Table6[[#This Row],[(RESV. STORGE) AJD]]/10</f>
        <v/>
      </c>
      <c r="AB79" s="3">
        <f>IF(TRIM(Z79)="",,(Z79-Z78)/1000)</f>
        <v/>
      </c>
      <c r="AC79" s="5" t="n"/>
      <c r="AD79" s="39">
        <f>(Table6[[#This Row],[( S/S+T/B) AJD]]*1000)-((Table6[[#This Row],[(STORGE DIFF.) AJD]]*1000)+Table6[[#This Row],[AJD_Evaporation]]+(Table6[[#This Row],[(A/B + A/S) AJD]]*1000))</f>
        <v/>
      </c>
      <c r="AE79" s="41" t="n"/>
      <c r="AF79" s="43" t="n"/>
      <c r="AG79" s="43" t="n"/>
      <c r="AH79" s="6">
        <f>Table6[[#This Row],[ (RESV. STORGE) BER]]/10</f>
        <v/>
      </c>
      <c r="AI79" s="41" t="n"/>
      <c r="AJ79" s="43">
        <f>Table6[[#This Row],[(A/B) AJD]]-TABL12345[[#This Row],[BER_IN]]</f>
        <v/>
      </c>
      <c r="AK79" s="43" t="n"/>
      <c r="AL79" s="43" t="n"/>
      <c r="AM79" s="32" t="n"/>
      <c r="AN79" s="32">
        <f>Table6[[#This Row],[ (RESV. STORGE) SER]]/10</f>
        <v/>
      </c>
      <c r="AO79" s="68" t="n"/>
      <c r="AP79" s="99">
        <f>Table6[[#This Row],[(A/S) AJD]]-Table6[[#This Row],[SER_IN]]</f>
        <v/>
      </c>
    </row>
    <row r="80" ht="18.75" customHeight="1">
      <c r="A80" s="98" t="n">
        <v>47562</v>
      </c>
      <c r="B80" s="44" t="n"/>
      <c r="C80" s="44" t="n"/>
      <c r="D80" s="44" t="n"/>
      <c r="E80" s="28" t="n"/>
      <c r="F80" s="44" t="n"/>
      <c r="G80" s="40" t="n"/>
      <c r="H80" s="28" t="n"/>
      <c r="I80" s="40" t="n"/>
      <c r="J80" s="44" t="n"/>
      <c r="K80" s="28">
        <f>Table6[[#This Row],[ (T/B) SAR]]+Table6[[#This Row],[ (S/S) SAR]]</f>
        <v/>
      </c>
      <c r="L80" s="45" t="n"/>
      <c r="M80" s="46" t="n"/>
      <c r="N80" s="46" t="n"/>
      <c r="O80" s="40" t="n"/>
      <c r="P80" s="3">
        <f>Table6[[#This Row],[ (S/S) SAR]]-Table6[[#This Row],[(S/S) AJD]]</f>
        <v/>
      </c>
      <c r="Q80" s="40" t="n"/>
      <c r="R80" s="3">
        <f>Table6[[#This Row],[ (T/B) SAR]]-Table6[[#This Row],[(T/B) AJD]]</f>
        <v/>
      </c>
      <c r="S80" s="3">
        <f>Table6[[#This Row],[S/S_CON.]]+Table6[[#This Row],[T/B-CON.]]</f>
        <v/>
      </c>
      <c r="T80" s="3">
        <f>O80+Q80</f>
        <v/>
      </c>
      <c r="U80" s="44" t="n"/>
      <c r="V80" s="44" t="n"/>
      <c r="W80" s="3">
        <f>U80+V80</f>
        <v/>
      </c>
      <c r="X80" s="3">
        <f>T80-W80</f>
        <v/>
      </c>
      <c r="Y80" s="44" t="n"/>
      <c r="Z80" s="45" t="n"/>
      <c r="AA80" s="3">
        <f>Table6[[#This Row],[(RESV. STORGE) AJD]]/10</f>
        <v/>
      </c>
      <c r="AB80" s="3">
        <f>IF(TRIM(Z80)="",,(Z80-Z79)/1000)</f>
        <v/>
      </c>
      <c r="AC80" s="5" t="n"/>
      <c r="AD80" s="40">
        <f>(Table6[[#This Row],[( S/S+T/B) AJD]]*1000)-((Table6[[#This Row],[(STORGE DIFF.) AJD]]*1000)+Table6[[#This Row],[AJD_Evaporation]]+(Table6[[#This Row],[(A/B + A/S) AJD]]*1000))</f>
        <v/>
      </c>
      <c r="AE80" s="44" t="n"/>
      <c r="AF80" s="45" t="n"/>
      <c r="AG80" s="45" t="n"/>
      <c r="AH80" s="6">
        <f>Table6[[#This Row],[ (RESV. STORGE) BER]]/10</f>
        <v/>
      </c>
      <c r="AI80" s="44" t="n"/>
      <c r="AJ80" s="45">
        <f>Table6[[#This Row],[(A/B) AJD]]-TABL12345[[#This Row],[BER_IN]]</f>
        <v/>
      </c>
      <c r="AK80" s="45" t="n"/>
      <c r="AL80" s="45" t="n"/>
      <c r="AM80" s="32" t="n"/>
      <c r="AN80" s="32">
        <f>Table6[[#This Row],[ (RESV. STORGE) SER]]/10</f>
        <v/>
      </c>
      <c r="AO80" s="68" t="n"/>
      <c r="AP80" s="99">
        <f>Table6[[#This Row],[(A/S) AJD]]-Table6[[#This Row],[SER_IN]]</f>
        <v/>
      </c>
    </row>
    <row r="81" ht="18.75" customHeight="1">
      <c r="A81" s="98" t="n">
        <v>47563</v>
      </c>
      <c r="B81" s="41" t="n"/>
      <c r="C81" s="41" t="n"/>
      <c r="D81" s="41" t="n"/>
      <c r="E81" s="28" t="n"/>
      <c r="F81" s="41" t="n"/>
      <c r="G81" s="39" t="n"/>
      <c r="H81" s="28" t="n"/>
      <c r="I81" s="39" t="n"/>
      <c r="J81" s="39" t="n"/>
      <c r="K81" s="28">
        <f>Table6[[#This Row],[ (T/B) SAR]]+Table6[[#This Row],[ (S/S) SAR]]</f>
        <v/>
      </c>
      <c r="L81" s="41" t="n"/>
      <c r="M81" s="42" t="n"/>
      <c r="N81" s="42" t="n"/>
      <c r="O81" s="39" t="n"/>
      <c r="P81" s="3">
        <f>Table6[[#This Row],[ (S/S) SAR]]-Table6[[#This Row],[(S/S) AJD]]</f>
        <v/>
      </c>
      <c r="Q81" s="39" t="n"/>
      <c r="R81" s="3">
        <f>Table6[[#This Row],[ (T/B) SAR]]-Table6[[#This Row],[(T/B) AJD]]</f>
        <v/>
      </c>
      <c r="S81" s="3">
        <f>Table6[[#This Row],[S/S_CON.]]+Table6[[#This Row],[T/B-CON.]]</f>
        <v/>
      </c>
      <c r="T81" s="3">
        <f>O81+Q81</f>
        <v/>
      </c>
      <c r="U81" s="41" t="n"/>
      <c r="V81" s="41" t="n"/>
      <c r="W81" s="3">
        <f>U81+V81</f>
        <v/>
      </c>
      <c r="X81" s="3">
        <f>T81-W81</f>
        <v/>
      </c>
      <c r="Y81" s="41" t="n"/>
      <c r="Z81" s="43" t="n"/>
      <c r="AA81" s="3">
        <f>Table6[[#This Row],[(RESV. STORGE) AJD]]/10</f>
        <v/>
      </c>
      <c r="AB81" s="3">
        <f>IF(TRIM(Z81)="",,(Z81-Z80)/1000)</f>
        <v/>
      </c>
      <c r="AC81" s="5" t="n"/>
      <c r="AD81" s="39">
        <f>(Table6[[#This Row],[( S/S+T/B) AJD]]*1000)-((Table6[[#This Row],[(STORGE DIFF.) AJD]]*1000)+Table6[[#This Row],[AJD_Evaporation]]+(Table6[[#This Row],[(A/B + A/S) AJD]]*1000))</f>
        <v/>
      </c>
      <c r="AE81" s="41" t="n"/>
      <c r="AF81" s="43" t="n"/>
      <c r="AG81" s="43" t="n"/>
      <c r="AH81" s="6">
        <f>Table6[[#This Row],[ (RESV. STORGE) BER]]/10</f>
        <v/>
      </c>
      <c r="AI81" s="41" t="n"/>
      <c r="AJ81" s="43">
        <f>Table6[[#This Row],[(A/B) AJD]]-TABL12345[[#This Row],[BER_IN]]</f>
        <v/>
      </c>
      <c r="AK81" s="43" t="n"/>
      <c r="AL81" s="43" t="n"/>
      <c r="AM81" s="32" t="n"/>
      <c r="AN81" s="32">
        <f>Table6[[#This Row],[ (RESV. STORGE) SER]]/10</f>
        <v/>
      </c>
      <c r="AO81" s="68" t="n"/>
      <c r="AP81" s="99">
        <f>Table6[[#This Row],[(A/S) AJD]]-Table6[[#This Row],[SER_IN]]</f>
        <v/>
      </c>
    </row>
    <row r="82" ht="18.75" customHeight="1">
      <c r="A82" s="98" t="n">
        <v>47564</v>
      </c>
      <c r="B82" s="44" t="n"/>
      <c r="C82" s="44" t="n"/>
      <c r="D82" s="44" t="n"/>
      <c r="E82" s="28" t="n"/>
      <c r="F82" s="44" t="n"/>
      <c r="G82" s="40" t="n"/>
      <c r="H82" s="28" t="n"/>
      <c r="I82" s="40" t="n"/>
      <c r="J82" s="44" t="n"/>
      <c r="K82" s="28">
        <f>Table6[[#This Row],[ (T/B) SAR]]+Table6[[#This Row],[ (S/S) SAR]]</f>
        <v/>
      </c>
      <c r="L82" s="45" t="n"/>
      <c r="M82" s="46" t="n"/>
      <c r="N82" s="46" t="n"/>
      <c r="O82" s="40" t="n"/>
      <c r="P82" s="3">
        <f>Table6[[#This Row],[ (S/S) SAR]]-Table6[[#This Row],[(S/S) AJD]]</f>
        <v/>
      </c>
      <c r="Q82" s="40" t="n"/>
      <c r="R82" s="3">
        <f>Table6[[#This Row],[ (T/B) SAR]]-Table6[[#This Row],[(T/B) AJD]]</f>
        <v/>
      </c>
      <c r="S82" s="3">
        <f>Table6[[#This Row],[S/S_CON.]]+Table6[[#This Row],[T/B-CON.]]</f>
        <v/>
      </c>
      <c r="T82" s="3">
        <f>O82+Q82</f>
        <v/>
      </c>
      <c r="U82" s="44" t="n"/>
      <c r="V82" s="44" t="n"/>
      <c r="W82" s="3">
        <f>U82+V82</f>
        <v/>
      </c>
      <c r="X82" s="3">
        <f>T82-W82</f>
        <v/>
      </c>
      <c r="Y82" s="44" t="n"/>
      <c r="Z82" s="45" t="n"/>
      <c r="AA82" s="3">
        <f>Table6[[#This Row],[(RESV. STORGE) AJD]]/10</f>
        <v/>
      </c>
      <c r="AB82" s="3">
        <f>IF(TRIM(Z82)="",,(Z82-Z81)/1000)</f>
        <v/>
      </c>
      <c r="AC82" s="5" t="n"/>
      <c r="AD82" s="40">
        <f>(Table6[[#This Row],[( S/S+T/B) AJD]]*1000)-((Table6[[#This Row],[(STORGE DIFF.) AJD]]*1000)+Table6[[#This Row],[AJD_Evaporation]]+(Table6[[#This Row],[(A/B + A/S) AJD]]*1000))</f>
        <v/>
      </c>
      <c r="AE82" s="44" t="n"/>
      <c r="AF82" s="45" t="n"/>
      <c r="AG82" s="45" t="n"/>
      <c r="AH82" s="6">
        <f>Table6[[#This Row],[ (RESV. STORGE) BER]]/10</f>
        <v/>
      </c>
      <c r="AI82" s="44" t="n"/>
      <c r="AJ82" s="45">
        <f>Table6[[#This Row],[(A/B) AJD]]-TABL12345[[#This Row],[BER_IN]]</f>
        <v/>
      </c>
      <c r="AK82" s="45" t="n"/>
      <c r="AL82" s="45" t="n"/>
      <c r="AM82" s="32" t="n"/>
      <c r="AN82" s="32">
        <f>Table6[[#This Row],[ (RESV. STORGE) SER]]/10</f>
        <v/>
      </c>
      <c r="AO82" s="68" t="n"/>
      <c r="AP82" s="99">
        <f>Table6[[#This Row],[(A/S) AJD]]-Table6[[#This Row],[SER_IN]]</f>
        <v/>
      </c>
    </row>
    <row r="83" ht="18.75" customHeight="1">
      <c r="A83" s="98" t="n">
        <v>47565</v>
      </c>
      <c r="B83" s="41" t="n"/>
      <c r="C83" s="41" t="n"/>
      <c r="D83" s="41" t="n"/>
      <c r="E83" s="28" t="n"/>
      <c r="F83" s="41" t="n"/>
      <c r="G83" s="39" t="n"/>
      <c r="H83" s="28" t="n"/>
      <c r="I83" s="39" t="n"/>
      <c r="J83" s="39" t="n"/>
      <c r="K83" s="28">
        <f>Table6[[#This Row],[ (T/B) SAR]]+Table6[[#This Row],[ (S/S) SAR]]</f>
        <v/>
      </c>
      <c r="L83" s="41" t="n"/>
      <c r="M83" s="42" t="n"/>
      <c r="N83" s="42" t="n"/>
      <c r="O83" s="39" t="n"/>
      <c r="P83" s="3">
        <f>Table6[[#This Row],[ (S/S) SAR]]-Table6[[#This Row],[(S/S) AJD]]</f>
        <v/>
      </c>
      <c r="Q83" s="39" t="n"/>
      <c r="R83" s="3">
        <f>Table6[[#This Row],[ (T/B) SAR]]-Table6[[#This Row],[(T/B) AJD]]</f>
        <v/>
      </c>
      <c r="S83" s="3">
        <f>Table6[[#This Row],[S/S_CON.]]+Table6[[#This Row],[T/B-CON.]]</f>
        <v/>
      </c>
      <c r="T83" s="3">
        <f>O83+Q83</f>
        <v/>
      </c>
      <c r="U83" s="41" t="n"/>
      <c r="V83" s="41" t="n"/>
      <c r="W83" s="3">
        <f>U83+V83</f>
        <v/>
      </c>
      <c r="X83" s="3">
        <f>T83-W83</f>
        <v/>
      </c>
      <c r="Y83" s="41" t="n"/>
      <c r="Z83" s="43" t="n"/>
      <c r="AA83" s="3">
        <f>Table6[[#This Row],[(RESV. STORGE) AJD]]/10</f>
        <v/>
      </c>
      <c r="AB83" s="3">
        <f>IF(TRIM(Z83)="",,(Z83-Z82)/1000)</f>
        <v/>
      </c>
      <c r="AC83" s="5" t="n"/>
      <c r="AD83" s="39">
        <f>(Table6[[#This Row],[( S/S+T/B) AJD]]*1000)-((Table6[[#This Row],[(STORGE DIFF.) AJD]]*1000)+Table6[[#This Row],[AJD_Evaporation]]+(Table6[[#This Row],[(A/B + A/S) AJD]]*1000))</f>
        <v/>
      </c>
      <c r="AE83" s="41" t="n"/>
      <c r="AF83" s="43" t="n"/>
      <c r="AG83" s="43" t="n"/>
      <c r="AH83" s="6">
        <f>Table6[[#This Row],[ (RESV. STORGE) BER]]/10</f>
        <v/>
      </c>
      <c r="AI83" s="41" t="n"/>
      <c r="AJ83" s="43">
        <f>Table6[[#This Row],[(A/B) AJD]]-TABL12345[[#This Row],[BER_IN]]</f>
        <v/>
      </c>
      <c r="AK83" s="43" t="n"/>
      <c r="AL83" s="43" t="n"/>
      <c r="AM83" s="32" t="n"/>
      <c r="AN83" s="32">
        <f>Table6[[#This Row],[ (RESV. STORGE) SER]]/10</f>
        <v/>
      </c>
      <c r="AO83" s="68" t="n"/>
      <c r="AP83" s="99">
        <f>Table6[[#This Row],[(A/S) AJD]]-Table6[[#This Row],[SER_IN]]</f>
        <v/>
      </c>
    </row>
    <row r="84" ht="18.75" customHeight="1">
      <c r="A84" s="98" t="n">
        <v>47566</v>
      </c>
      <c r="B84" s="44" t="n"/>
      <c r="C84" s="44" t="n"/>
      <c r="D84" s="44" t="n"/>
      <c r="E84" s="28" t="n"/>
      <c r="F84" s="44" t="n"/>
      <c r="G84" s="40" t="n"/>
      <c r="H84" s="28" t="n"/>
      <c r="I84" s="40" t="n"/>
      <c r="J84" s="44" t="n"/>
      <c r="K84" s="28">
        <f>Table6[[#This Row],[ (T/B) SAR]]+Table6[[#This Row],[ (S/S) SAR]]</f>
        <v/>
      </c>
      <c r="L84" s="45" t="n"/>
      <c r="M84" s="46" t="n"/>
      <c r="N84" s="46" t="n"/>
      <c r="O84" s="40" t="n"/>
      <c r="P84" s="3">
        <f>Table6[[#This Row],[ (S/S) SAR]]-Table6[[#This Row],[(S/S) AJD]]</f>
        <v/>
      </c>
      <c r="Q84" s="40" t="n"/>
      <c r="R84" s="3">
        <f>Table6[[#This Row],[ (T/B) SAR]]-Table6[[#This Row],[(T/B) AJD]]</f>
        <v/>
      </c>
      <c r="S84" s="3">
        <f>Table6[[#This Row],[S/S_CON.]]+Table6[[#This Row],[T/B-CON.]]</f>
        <v/>
      </c>
      <c r="T84" s="3">
        <f>O84+Q84</f>
        <v/>
      </c>
      <c r="U84" s="44" t="n"/>
      <c r="V84" s="44" t="n"/>
      <c r="W84" s="3">
        <f>U84+V84</f>
        <v/>
      </c>
      <c r="X84" s="3">
        <f>T84-W84</f>
        <v/>
      </c>
      <c r="Y84" s="44" t="n"/>
      <c r="Z84" s="45" t="n"/>
      <c r="AA84" s="3">
        <f>Table6[[#This Row],[(RESV. STORGE) AJD]]/10</f>
        <v/>
      </c>
      <c r="AB84" s="3">
        <f>IF(TRIM(Z84)="",,(Z84-Z83)/1000)</f>
        <v/>
      </c>
      <c r="AC84" s="5" t="n"/>
      <c r="AD84" s="40">
        <f>(Table6[[#This Row],[( S/S+T/B) AJD]]*1000)-((Table6[[#This Row],[(STORGE DIFF.) AJD]]*1000)+Table6[[#This Row],[AJD_Evaporation]]+(Table6[[#This Row],[(A/B + A/S) AJD]]*1000))</f>
        <v/>
      </c>
      <c r="AE84" s="44" t="n"/>
      <c r="AF84" s="45" t="n"/>
      <c r="AG84" s="45" t="n"/>
      <c r="AH84" s="6">
        <f>Table6[[#This Row],[ (RESV. STORGE) BER]]/10</f>
        <v/>
      </c>
      <c r="AI84" s="44" t="n"/>
      <c r="AJ84" s="45">
        <f>Table6[[#This Row],[(A/B) AJD]]-TABL12345[[#This Row],[BER_IN]]</f>
        <v/>
      </c>
      <c r="AK84" s="45" t="n"/>
      <c r="AL84" s="45" t="n"/>
      <c r="AM84" s="32" t="n"/>
      <c r="AN84" s="32">
        <f>Table6[[#This Row],[ (RESV. STORGE) SER]]/10</f>
        <v/>
      </c>
      <c r="AO84" s="68" t="n"/>
      <c r="AP84" s="99">
        <f>Table6[[#This Row],[(A/S) AJD]]-Table6[[#This Row],[SER_IN]]</f>
        <v/>
      </c>
    </row>
    <row r="85" ht="18.75" customHeight="1">
      <c r="A85" s="98" t="n">
        <v>47567</v>
      </c>
      <c r="B85" s="41" t="n"/>
      <c r="C85" s="41" t="n"/>
      <c r="D85" s="41" t="n"/>
      <c r="E85" s="28" t="n"/>
      <c r="F85" s="41" t="n"/>
      <c r="G85" s="39" t="n"/>
      <c r="H85" s="28" t="n"/>
      <c r="I85" s="39" t="n"/>
      <c r="J85" s="39" t="n"/>
      <c r="K85" s="28">
        <f>Table6[[#This Row],[ (T/B) SAR]]+Table6[[#This Row],[ (S/S) SAR]]</f>
        <v/>
      </c>
      <c r="L85" s="41" t="n"/>
      <c r="M85" s="42" t="n"/>
      <c r="N85" s="42" t="n"/>
      <c r="O85" s="39" t="n"/>
      <c r="P85" s="3">
        <f>Table6[[#This Row],[ (S/S) SAR]]-Table6[[#This Row],[(S/S) AJD]]</f>
        <v/>
      </c>
      <c r="Q85" s="39" t="n"/>
      <c r="R85" s="3">
        <f>Table6[[#This Row],[ (T/B) SAR]]-Table6[[#This Row],[(T/B) AJD]]</f>
        <v/>
      </c>
      <c r="S85" s="3">
        <f>Table6[[#This Row],[S/S_CON.]]+Table6[[#This Row],[T/B-CON.]]</f>
        <v/>
      </c>
      <c r="T85" s="3">
        <f>O85+Q85</f>
        <v/>
      </c>
      <c r="U85" s="41" t="n"/>
      <c r="V85" s="41" t="n"/>
      <c r="W85" s="3">
        <f>U85+V85</f>
        <v/>
      </c>
      <c r="X85" s="3">
        <f>T85-W85</f>
        <v/>
      </c>
      <c r="Y85" s="41" t="n"/>
      <c r="Z85" s="43" t="n"/>
      <c r="AA85" s="3">
        <f>Table6[[#This Row],[(RESV. STORGE) AJD]]/10</f>
        <v/>
      </c>
      <c r="AB85" s="3">
        <f>IF(TRIM(Z85)="",,(Z85-Z84)/1000)</f>
        <v/>
      </c>
      <c r="AC85" s="5" t="n"/>
      <c r="AD85" s="39">
        <f>(Table6[[#This Row],[( S/S+T/B) AJD]]*1000)-((Table6[[#This Row],[(STORGE DIFF.) AJD]]*1000)+Table6[[#This Row],[AJD_Evaporation]]+(Table6[[#This Row],[(A/B + A/S) AJD]]*1000))</f>
        <v/>
      </c>
      <c r="AE85" s="41" t="n"/>
      <c r="AF85" s="43" t="n"/>
      <c r="AG85" s="43" t="n"/>
      <c r="AH85" s="6">
        <f>Table6[[#This Row],[ (RESV. STORGE) BER]]/10</f>
        <v/>
      </c>
      <c r="AI85" s="41" t="n"/>
      <c r="AJ85" s="43">
        <f>Table6[[#This Row],[(A/B) AJD]]-TABL12345[[#This Row],[BER_IN]]</f>
        <v/>
      </c>
      <c r="AK85" s="43" t="n"/>
      <c r="AL85" s="43" t="n"/>
      <c r="AM85" s="32" t="n"/>
      <c r="AN85" s="32">
        <f>Table6[[#This Row],[ (RESV. STORGE) SER]]/10</f>
        <v/>
      </c>
      <c r="AO85" s="68" t="n"/>
      <c r="AP85" s="99">
        <f>Table6[[#This Row],[(A/S) AJD]]-Table6[[#This Row],[SER_IN]]</f>
        <v/>
      </c>
    </row>
    <row r="86" ht="18.75" customHeight="1">
      <c r="A86" s="98" t="n">
        <v>47568</v>
      </c>
      <c r="B86" s="44" t="n"/>
      <c r="C86" s="44" t="n"/>
      <c r="D86" s="44" t="n"/>
      <c r="E86" s="28" t="n"/>
      <c r="F86" s="44" t="n"/>
      <c r="G86" s="40" t="n"/>
      <c r="H86" s="28" t="n"/>
      <c r="I86" s="40" t="n"/>
      <c r="J86" s="44" t="n"/>
      <c r="K86" s="28">
        <f>Table6[[#This Row],[ (T/B) SAR]]+Table6[[#This Row],[ (S/S) SAR]]</f>
        <v/>
      </c>
      <c r="L86" s="45" t="n"/>
      <c r="M86" s="46" t="n"/>
      <c r="N86" s="46" t="n"/>
      <c r="O86" s="40" t="n"/>
      <c r="P86" s="3">
        <f>Table6[[#This Row],[ (S/S) SAR]]-Table6[[#This Row],[(S/S) AJD]]</f>
        <v/>
      </c>
      <c r="Q86" s="40" t="n"/>
      <c r="R86" s="3">
        <f>Table6[[#This Row],[ (T/B) SAR]]-Table6[[#This Row],[(T/B) AJD]]</f>
        <v/>
      </c>
      <c r="S86" s="3">
        <f>Table6[[#This Row],[S/S_CON.]]+Table6[[#This Row],[T/B-CON.]]</f>
        <v/>
      </c>
      <c r="T86" s="3">
        <f>O86+Q86</f>
        <v/>
      </c>
      <c r="U86" s="44" t="n"/>
      <c r="V86" s="44" t="n"/>
      <c r="W86" s="3">
        <f>U86+V86</f>
        <v/>
      </c>
      <c r="X86" s="3">
        <f>T86-W86</f>
        <v/>
      </c>
      <c r="Y86" s="44" t="n"/>
      <c r="Z86" s="45" t="n"/>
      <c r="AA86" s="3">
        <f>Table6[[#This Row],[(RESV. STORGE) AJD]]/10</f>
        <v/>
      </c>
      <c r="AB86" s="3">
        <f>IF(TRIM(Z86)="",,(Z86-Z85)/1000)</f>
        <v/>
      </c>
      <c r="AC86" s="5" t="n"/>
      <c r="AD86" s="40">
        <f>(Table6[[#This Row],[( S/S+T/B) AJD]]*1000)-((Table6[[#This Row],[(STORGE DIFF.) AJD]]*1000)+Table6[[#This Row],[AJD_Evaporation]]+(Table6[[#This Row],[(A/B + A/S) AJD]]*1000))</f>
        <v/>
      </c>
      <c r="AE86" s="44" t="n"/>
      <c r="AF86" s="45" t="n"/>
      <c r="AG86" s="45" t="n"/>
      <c r="AH86" s="6">
        <f>Table6[[#This Row],[ (RESV. STORGE) BER]]/10</f>
        <v/>
      </c>
      <c r="AI86" s="44" t="n"/>
      <c r="AJ86" s="45">
        <f>Table6[[#This Row],[(A/B) AJD]]-TABL12345[[#This Row],[BER_IN]]</f>
        <v/>
      </c>
      <c r="AK86" s="45" t="n"/>
      <c r="AL86" s="45" t="n"/>
      <c r="AM86" s="32" t="n"/>
      <c r="AN86" s="32">
        <f>Table6[[#This Row],[ (RESV. STORGE) SER]]/10</f>
        <v/>
      </c>
      <c r="AO86" s="68" t="n"/>
      <c r="AP86" s="99">
        <f>Table6[[#This Row],[(A/S) AJD]]-Table6[[#This Row],[SER_IN]]</f>
        <v/>
      </c>
    </row>
    <row r="87" ht="18.75" customHeight="1">
      <c r="A87" s="98" t="n">
        <v>47569</v>
      </c>
      <c r="B87" s="41" t="n"/>
      <c r="C87" s="41" t="n"/>
      <c r="D87" s="41" t="n"/>
      <c r="E87" s="28" t="n"/>
      <c r="F87" s="41" t="n"/>
      <c r="G87" s="39" t="n"/>
      <c r="H87" s="28" t="n"/>
      <c r="I87" s="39" t="n"/>
      <c r="J87" s="39" t="n"/>
      <c r="K87" s="28">
        <f>Table6[[#This Row],[ (T/B) SAR]]+Table6[[#This Row],[ (S/S) SAR]]</f>
        <v/>
      </c>
      <c r="L87" s="41" t="n"/>
      <c r="M87" s="42" t="n"/>
      <c r="N87" s="42" t="n"/>
      <c r="O87" s="39" t="n"/>
      <c r="P87" s="3">
        <f>Table6[[#This Row],[ (S/S) SAR]]-Table6[[#This Row],[(S/S) AJD]]</f>
        <v/>
      </c>
      <c r="Q87" s="39" t="n"/>
      <c r="R87" s="3">
        <f>Table6[[#This Row],[ (T/B) SAR]]-Table6[[#This Row],[(T/B) AJD]]</f>
        <v/>
      </c>
      <c r="S87" s="3">
        <f>Table6[[#This Row],[S/S_CON.]]+Table6[[#This Row],[T/B-CON.]]</f>
        <v/>
      </c>
      <c r="T87" s="3">
        <f>O87+Q87</f>
        <v/>
      </c>
      <c r="U87" s="41" t="n"/>
      <c r="V87" s="41" t="n"/>
      <c r="W87" s="3">
        <f>U87+V87</f>
        <v/>
      </c>
      <c r="X87" s="3">
        <f>T87-W87</f>
        <v/>
      </c>
      <c r="Y87" s="41" t="n"/>
      <c r="Z87" s="43" t="n"/>
      <c r="AA87" s="3">
        <f>Table6[[#This Row],[(RESV. STORGE) AJD]]/10</f>
        <v/>
      </c>
      <c r="AB87" s="3">
        <f>IF(TRIM(Z87)="",,(Z87-Z86)/1000)</f>
        <v/>
      </c>
      <c r="AC87" s="5" t="n"/>
      <c r="AD87" s="39">
        <f>(Table6[[#This Row],[( S/S+T/B) AJD]]*1000)-((Table6[[#This Row],[(STORGE DIFF.) AJD]]*1000)+Table6[[#This Row],[AJD_Evaporation]]+(Table6[[#This Row],[(A/B + A/S) AJD]]*1000))</f>
        <v/>
      </c>
      <c r="AE87" s="41" t="n"/>
      <c r="AF87" s="43" t="n"/>
      <c r="AG87" s="43" t="n"/>
      <c r="AH87" s="6">
        <f>Table6[[#This Row],[ (RESV. STORGE) BER]]/10</f>
        <v/>
      </c>
      <c r="AI87" s="41" t="n"/>
      <c r="AJ87" s="43">
        <f>Table6[[#This Row],[(A/B) AJD]]-TABL12345[[#This Row],[BER_IN]]</f>
        <v/>
      </c>
      <c r="AK87" s="43" t="n"/>
      <c r="AL87" s="43" t="n"/>
      <c r="AM87" s="32" t="n"/>
      <c r="AN87" s="32">
        <f>Table6[[#This Row],[ (RESV. STORGE) SER]]/10</f>
        <v/>
      </c>
      <c r="AO87" s="68" t="n"/>
      <c r="AP87" s="99">
        <f>Table6[[#This Row],[(A/S) AJD]]-Table6[[#This Row],[SER_IN]]</f>
        <v/>
      </c>
    </row>
    <row r="88" ht="18.75" customHeight="1">
      <c r="A88" s="98" t="n">
        <v>47570</v>
      </c>
      <c r="B88" s="44" t="n"/>
      <c r="C88" s="44" t="n"/>
      <c r="D88" s="44" t="n"/>
      <c r="E88" s="28" t="n"/>
      <c r="F88" s="44" t="n"/>
      <c r="G88" s="40" t="n"/>
      <c r="H88" s="28" t="n"/>
      <c r="I88" s="40" t="n"/>
      <c r="J88" s="44" t="n"/>
      <c r="K88" s="28">
        <f>Table6[[#This Row],[ (T/B) SAR]]+Table6[[#This Row],[ (S/S) SAR]]</f>
        <v/>
      </c>
      <c r="L88" s="45" t="n"/>
      <c r="M88" s="46" t="n"/>
      <c r="N88" s="46" t="n"/>
      <c r="O88" s="40" t="n"/>
      <c r="P88" s="3">
        <f>Table6[[#This Row],[ (S/S) SAR]]-Table6[[#This Row],[(S/S) AJD]]</f>
        <v/>
      </c>
      <c r="Q88" s="40" t="n"/>
      <c r="R88" s="3">
        <f>Table6[[#This Row],[ (T/B) SAR]]-Table6[[#This Row],[(T/B) AJD]]</f>
        <v/>
      </c>
      <c r="S88" s="3">
        <f>Table6[[#This Row],[S/S_CON.]]+Table6[[#This Row],[T/B-CON.]]</f>
        <v/>
      </c>
      <c r="T88" s="3">
        <f>O88+Q88</f>
        <v/>
      </c>
      <c r="U88" s="44" t="n"/>
      <c r="V88" s="44" t="n"/>
      <c r="W88" s="3">
        <f>U88+V88</f>
        <v/>
      </c>
      <c r="X88" s="3">
        <f>T88-W88</f>
        <v/>
      </c>
      <c r="Y88" s="44" t="n"/>
      <c r="Z88" s="45" t="n"/>
      <c r="AA88" s="3">
        <f>Table6[[#This Row],[(RESV. STORGE) AJD]]/10</f>
        <v/>
      </c>
      <c r="AB88" s="3">
        <f>IF(TRIM(Z88)="",,(Z88-Z87)/1000)</f>
        <v/>
      </c>
      <c r="AC88" s="5" t="n"/>
      <c r="AD88" s="40">
        <f>(Table6[[#This Row],[( S/S+T/B) AJD]]*1000)-((Table6[[#This Row],[(STORGE DIFF.) AJD]]*1000)+Table6[[#This Row],[AJD_Evaporation]]+(Table6[[#This Row],[(A/B + A/S) AJD]]*1000))</f>
        <v/>
      </c>
      <c r="AE88" s="44" t="n"/>
      <c r="AF88" s="45" t="n"/>
      <c r="AG88" s="45" t="n"/>
      <c r="AH88" s="6">
        <f>Table6[[#This Row],[ (RESV. STORGE) BER]]/10</f>
        <v/>
      </c>
      <c r="AI88" s="44" t="n"/>
      <c r="AJ88" s="45">
        <f>Table6[[#This Row],[(A/B) AJD]]-TABL12345[[#This Row],[BER_IN]]</f>
        <v/>
      </c>
      <c r="AK88" s="45" t="n"/>
      <c r="AL88" s="45" t="n"/>
      <c r="AM88" s="32" t="n"/>
      <c r="AN88" s="32">
        <f>Table6[[#This Row],[ (RESV. STORGE) SER]]/10</f>
        <v/>
      </c>
      <c r="AO88" s="68" t="n"/>
      <c r="AP88" s="99">
        <f>Table6[[#This Row],[(A/S) AJD]]-Table6[[#This Row],[SER_IN]]</f>
        <v/>
      </c>
    </row>
    <row r="89" ht="18.75" customHeight="1">
      <c r="A89" s="98" t="n">
        <v>47571</v>
      </c>
      <c r="B89" s="41" t="n"/>
      <c r="C89" s="41" t="n"/>
      <c r="D89" s="41" t="n"/>
      <c r="E89" s="28" t="n"/>
      <c r="F89" s="41" t="n"/>
      <c r="G89" s="39" t="n"/>
      <c r="H89" s="28" t="n"/>
      <c r="I89" s="39" t="n"/>
      <c r="J89" s="39" t="n"/>
      <c r="K89" s="28">
        <f>Table6[[#This Row],[ (T/B) SAR]]+Table6[[#This Row],[ (S/S) SAR]]</f>
        <v/>
      </c>
      <c r="L89" s="41" t="n"/>
      <c r="M89" s="42" t="n"/>
      <c r="N89" s="42" t="n"/>
      <c r="O89" s="39" t="n"/>
      <c r="P89" s="3">
        <f>Table6[[#This Row],[ (S/S) SAR]]-Table6[[#This Row],[(S/S) AJD]]</f>
        <v/>
      </c>
      <c r="Q89" s="39" t="n"/>
      <c r="R89" s="3">
        <f>Table6[[#This Row],[ (T/B) SAR]]-Table6[[#This Row],[(T/B) AJD]]</f>
        <v/>
      </c>
      <c r="S89" s="3">
        <f>Table6[[#This Row],[S/S_CON.]]+Table6[[#This Row],[T/B-CON.]]</f>
        <v/>
      </c>
      <c r="T89" s="3">
        <f>O89+Q89</f>
        <v/>
      </c>
      <c r="U89" s="41" t="n"/>
      <c r="V89" s="41" t="n"/>
      <c r="W89" s="3">
        <f>U89+V89</f>
        <v/>
      </c>
      <c r="X89" s="3">
        <f>T89-W89</f>
        <v/>
      </c>
      <c r="Y89" s="41" t="n"/>
      <c r="Z89" s="43" t="n"/>
      <c r="AA89" s="3">
        <f>Table6[[#This Row],[(RESV. STORGE) AJD]]/10</f>
        <v/>
      </c>
      <c r="AB89" s="3">
        <f>IF(TRIM(Z89)="",,(Z89-Z88)/1000)</f>
        <v/>
      </c>
      <c r="AC89" s="5" t="n"/>
      <c r="AD89" s="39">
        <f>(Table6[[#This Row],[( S/S+T/B) AJD]]*1000)-((Table6[[#This Row],[(STORGE DIFF.) AJD]]*1000)+Table6[[#This Row],[AJD_Evaporation]]+(Table6[[#This Row],[(A/B + A/S) AJD]]*1000))</f>
        <v/>
      </c>
      <c r="AE89" s="41" t="n"/>
      <c r="AF89" s="43" t="n"/>
      <c r="AG89" s="43" t="n"/>
      <c r="AH89" s="6">
        <f>Table6[[#This Row],[ (RESV. STORGE) BER]]/10</f>
        <v/>
      </c>
      <c r="AI89" s="41" t="n"/>
      <c r="AJ89" s="43">
        <f>Table6[[#This Row],[(A/B) AJD]]-TABL12345[[#This Row],[BER_IN]]</f>
        <v/>
      </c>
      <c r="AK89" s="43" t="n"/>
      <c r="AL89" s="43" t="n"/>
      <c r="AM89" s="32" t="n"/>
      <c r="AN89" s="32">
        <f>Table6[[#This Row],[ (RESV. STORGE) SER]]/10</f>
        <v/>
      </c>
      <c r="AO89" s="68" t="n"/>
      <c r="AP89" s="99">
        <f>Table6[[#This Row],[(A/S) AJD]]-Table6[[#This Row],[SER_IN]]</f>
        <v/>
      </c>
    </row>
    <row r="90" ht="18.75" customHeight="1">
      <c r="A90" s="98" t="n">
        <v>47572</v>
      </c>
      <c r="B90" s="44" t="n"/>
      <c r="C90" s="44" t="n"/>
      <c r="D90" s="44" t="n"/>
      <c r="E90" s="28" t="n"/>
      <c r="F90" s="44" t="n"/>
      <c r="G90" s="40" t="n"/>
      <c r="H90" s="28" t="n"/>
      <c r="I90" s="40" t="n"/>
      <c r="J90" s="44" t="n"/>
      <c r="K90" s="28">
        <f>Table6[[#This Row],[ (T/B) SAR]]+Table6[[#This Row],[ (S/S) SAR]]</f>
        <v/>
      </c>
      <c r="L90" s="45" t="n"/>
      <c r="M90" s="46" t="n"/>
      <c r="N90" s="46" t="n"/>
      <c r="O90" s="40" t="n"/>
      <c r="P90" s="3">
        <f>Table6[[#This Row],[ (S/S) SAR]]-Table6[[#This Row],[(S/S) AJD]]</f>
        <v/>
      </c>
      <c r="Q90" s="40" t="n"/>
      <c r="R90" s="3">
        <f>Table6[[#This Row],[ (T/B) SAR]]-Table6[[#This Row],[(T/B) AJD]]</f>
        <v/>
      </c>
      <c r="S90" s="3">
        <f>Table6[[#This Row],[S/S_CON.]]+Table6[[#This Row],[T/B-CON.]]</f>
        <v/>
      </c>
      <c r="T90" s="3">
        <f>O90+Q90</f>
        <v/>
      </c>
      <c r="U90" s="44" t="n"/>
      <c r="V90" s="44" t="n"/>
      <c r="W90" s="3">
        <f>U90+V90</f>
        <v/>
      </c>
      <c r="X90" s="3">
        <f>T90-W90</f>
        <v/>
      </c>
      <c r="Y90" s="44" t="n"/>
      <c r="Z90" s="45" t="n"/>
      <c r="AA90" s="3">
        <f>Table6[[#This Row],[(RESV. STORGE) AJD]]/10</f>
        <v/>
      </c>
      <c r="AB90" s="3">
        <f>IF(TRIM(Z90)="",,(Z90-Z89)/1000)</f>
        <v/>
      </c>
      <c r="AC90" s="5" t="n"/>
      <c r="AD90" s="70">
        <f>(Table6[[#This Row],[( S/S+T/B) AJD]]*1000)-((Table6[[#This Row],[(STORGE DIFF.) AJD]]*1000)+Table6[[#This Row],[AJD_Evaporation]]+(Table6[[#This Row],[(A/B + A/S) AJD]]*1000))</f>
        <v/>
      </c>
      <c r="AE90" s="44" t="n"/>
      <c r="AF90" s="45" t="n"/>
      <c r="AG90" s="45" t="n"/>
      <c r="AH90" s="6">
        <f>Table6[[#This Row],[ (RESV. STORGE) BER]]/10</f>
        <v/>
      </c>
      <c r="AI90" s="44" t="n"/>
      <c r="AJ90" s="90">
        <f>Table6[[#This Row],[(A/B) AJD]]-TABL12345[[#This Row],[BER_IN]]</f>
        <v/>
      </c>
      <c r="AK90" s="45" t="n"/>
      <c r="AL90" s="45" t="n"/>
      <c r="AM90" s="32" t="n"/>
      <c r="AN90" s="32">
        <f>Table6[[#This Row],[ (RESV. STORGE) SER]]/10</f>
        <v/>
      </c>
      <c r="AO90" s="68" t="n"/>
      <c r="AP90" s="99">
        <f>Table6[[#This Row],[(A/S) AJD]]-Table6[[#This Row],[SER_IN]]</f>
        <v/>
      </c>
    </row>
    <row r="91" ht="18.75" customHeight="1">
      <c r="A91" s="98" t="n">
        <v>47573</v>
      </c>
      <c r="B91" s="41" t="n"/>
      <c r="C91" s="41" t="n"/>
      <c r="D91" s="41" t="n"/>
      <c r="E91" s="28" t="n"/>
      <c r="F91" s="41" t="n"/>
      <c r="G91" s="39" t="n"/>
      <c r="H91" s="28" t="n"/>
      <c r="I91" s="39" t="n"/>
      <c r="J91" s="39" t="n"/>
      <c r="K91" s="28">
        <f>Table6[[#This Row],[ (T/B) SAR]]+Table6[[#This Row],[ (S/S) SAR]]</f>
        <v/>
      </c>
      <c r="L91" s="41" t="n"/>
      <c r="M91" s="42" t="n"/>
      <c r="N91" s="42" t="n"/>
      <c r="O91" s="39" t="n"/>
      <c r="P91" s="3">
        <f>Table6[[#This Row],[ (S/S) SAR]]-Table6[[#This Row],[(S/S) AJD]]</f>
        <v/>
      </c>
      <c r="Q91" s="39" t="n"/>
      <c r="R91" s="3">
        <f>Table6[[#This Row],[ (T/B) SAR]]-Table6[[#This Row],[(T/B) AJD]]</f>
        <v/>
      </c>
      <c r="S91" s="3">
        <f>Table6[[#This Row],[S/S_CON.]]+Table6[[#This Row],[T/B-CON.]]</f>
        <v/>
      </c>
      <c r="T91" s="3">
        <f>O91+Q91</f>
        <v/>
      </c>
      <c r="U91" s="41" t="n"/>
      <c r="V91" s="41" t="n"/>
      <c r="W91" s="3">
        <f>U91+V91</f>
        <v/>
      </c>
      <c r="X91" s="3">
        <f>T91-W91</f>
        <v/>
      </c>
      <c r="Y91" s="41" t="n"/>
      <c r="Z91" s="43" t="n"/>
      <c r="AA91" s="3">
        <f>Table6[[#This Row],[(RESV. STORGE) AJD]]/10</f>
        <v/>
      </c>
      <c r="AB91" s="3">
        <f>IF(TRIM(Z91)="",,(Z91-Z90)/1000)</f>
        <v/>
      </c>
      <c r="AC91" s="5" t="n"/>
      <c r="AD91" s="39">
        <f>(Table6[[#This Row],[( S/S+T/B) AJD]]*1000)-((Table6[[#This Row],[(STORGE DIFF.) AJD]]*1000)+Table6[[#This Row],[AJD_Evaporation]]+(Table6[[#This Row],[(A/B + A/S) AJD]]*1000))</f>
        <v/>
      </c>
      <c r="AE91" s="41" t="n"/>
      <c r="AF91" s="43" t="n"/>
      <c r="AG91" s="43" t="n"/>
      <c r="AH91" s="6">
        <f>Table6[[#This Row],[ (RESV. STORGE) BER]]/10</f>
        <v/>
      </c>
      <c r="AI91" s="41" t="n"/>
      <c r="AJ91" s="43">
        <f>Table6[[#This Row],[(A/B) AJD]]-TABL12345[[#This Row],[BER_IN]]</f>
        <v/>
      </c>
      <c r="AK91" s="43" t="n"/>
      <c r="AL91" s="43" t="n"/>
      <c r="AM91" s="32" t="n"/>
      <c r="AN91" s="32">
        <f>Table6[[#This Row],[ (RESV. STORGE) SER]]/10</f>
        <v/>
      </c>
      <c r="AO91" s="68" t="n"/>
      <c r="AP91" s="99">
        <f>Table6[[#This Row],[(A/S) AJD]]-Table6[[#This Row],[SER_IN]]</f>
        <v/>
      </c>
    </row>
    <row r="92" ht="18.75" customHeight="1">
      <c r="A92" s="98" t="n">
        <v>47574</v>
      </c>
      <c r="B92" s="41" t="n"/>
      <c r="C92" s="41" t="n"/>
      <c r="D92" s="41" t="n"/>
      <c r="E92" s="41" t="n"/>
      <c r="F92" s="41" t="n"/>
      <c r="G92" s="39" t="n"/>
      <c r="H92" s="28" t="n"/>
      <c r="I92" s="39" t="n"/>
      <c r="J92" s="39" t="n"/>
      <c r="K92" s="28">
        <f>Table6[[#This Row],[ (T/B) SAR]]+Table6[[#This Row],[ (S/S) SAR]]</f>
        <v/>
      </c>
      <c r="L92" s="41" t="n"/>
      <c r="M92" s="42" t="n"/>
      <c r="N92" s="42" t="n"/>
      <c r="O92" s="39" t="n"/>
      <c r="P92" s="3">
        <f>Table6[[#This Row],[ (S/S) SAR]]-Table6[[#This Row],[(S/S) AJD]]</f>
        <v/>
      </c>
      <c r="Q92" s="39" t="n"/>
      <c r="R92" s="3">
        <f>Table6[[#This Row],[ (T/B) SAR]]-Table6[[#This Row],[(T/B) AJD]]</f>
        <v/>
      </c>
      <c r="S92" s="3">
        <f>Table6[[#This Row],[S/S_CON.]]+Table6[[#This Row],[T/B-CON.]]</f>
        <v/>
      </c>
      <c r="T92" s="3">
        <f>O92+Q92</f>
        <v/>
      </c>
      <c r="U92" s="41" t="n"/>
      <c r="V92" s="41" t="n"/>
      <c r="W92" s="3">
        <f>U92+V92</f>
        <v/>
      </c>
      <c r="X92" s="3">
        <f>T92-W92</f>
        <v/>
      </c>
      <c r="Y92" s="41" t="n"/>
      <c r="Z92" s="43" t="n"/>
      <c r="AA92" s="3">
        <f>Table6[[#This Row],[(RESV. STORGE) AJD]]/10</f>
        <v/>
      </c>
      <c r="AB92" s="3">
        <f>IF(TRIM(Z92)="",,(Z92-Z91)/1000)</f>
        <v/>
      </c>
      <c r="AC92" s="5" t="n"/>
      <c r="AD92" s="39">
        <f>(Table6[[#This Row],[( S/S+T/B) AJD]]*1000)-((Table6[[#This Row],[(STORGE DIFF.) AJD]]*1000)+Table6[[#This Row],[AJD_Evaporation]]+(Table6[[#This Row],[(A/B + A/S) AJD]]*1000))</f>
        <v/>
      </c>
      <c r="AE92" s="41" t="n"/>
      <c r="AF92" s="43" t="n"/>
      <c r="AG92" s="43" t="n"/>
      <c r="AH92" s="6">
        <f>Table6[[#This Row],[ (RESV. STORGE) BER]]/10</f>
        <v/>
      </c>
      <c r="AI92" s="41" t="n"/>
      <c r="AJ92" s="43">
        <f>Table6[[#This Row],[(A/B) AJD]]-TABL12345[[#This Row],[BER_IN]]</f>
        <v/>
      </c>
      <c r="AK92" s="43" t="n"/>
      <c r="AL92" s="43" t="n"/>
      <c r="AM92" s="32" t="n"/>
      <c r="AN92" s="32">
        <f>Table6[[#This Row],[ (RESV. STORGE) SER]]/10</f>
        <v/>
      </c>
      <c r="AO92" s="68" t="n"/>
      <c r="AP92" s="99">
        <f>Table6[[#This Row],[(A/S) AJD]]-Table6[[#This Row],[SER_IN]]</f>
        <v/>
      </c>
    </row>
    <row r="93" ht="18.75" customHeight="1">
      <c r="A93" s="98" t="n">
        <v>47575</v>
      </c>
      <c r="B93" s="44" t="n"/>
      <c r="C93" s="44" t="n"/>
      <c r="D93" s="44" t="n"/>
      <c r="E93" s="44" t="n"/>
      <c r="F93" s="44" t="n"/>
      <c r="G93" s="40" t="n"/>
      <c r="H93" s="28" t="n"/>
      <c r="I93" s="40" t="n"/>
      <c r="J93" s="44" t="n"/>
      <c r="K93" s="28">
        <f>Table6[[#This Row],[ (T/B) SAR]]+Table6[[#This Row],[ (S/S) SAR]]</f>
        <v/>
      </c>
      <c r="L93" s="45" t="n"/>
      <c r="M93" s="46" t="n"/>
      <c r="N93" s="46" t="n"/>
      <c r="O93" s="40" t="n"/>
      <c r="P93" s="3">
        <f>Table6[[#This Row],[ (S/S) SAR]]-Table6[[#This Row],[(S/S) AJD]]</f>
        <v/>
      </c>
      <c r="Q93" s="40" t="n"/>
      <c r="R93" s="3">
        <f>Table6[[#This Row],[ (T/B) SAR]]-Table6[[#This Row],[(T/B) AJD]]</f>
        <v/>
      </c>
      <c r="S93" s="3">
        <f>Table6[[#This Row],[S/S_CON.]]+Table6[[#This Row],[T/B-CON.]]</f>
        <v/>
      </c>
      <c r="T93" s="3">
        <f>O93+Q93</f>
        <v/>
      </c>
      <c r="U93" s="44" t="n"/>
      <c r="V93" s="44" t="n"/>
      <c r="W93" s="3">
        <f>U93+V93</f>
        <v/>
      </c>
      <c r="X93" s="3">
        <f>T93-W93</f>
        <v/>
      </c>
      <c r="Y93" s="44" t="n"/>
      <c r="Z93" s="45" t="n"/>
      <c r="AA93" s="3">
        <f>Table6[[#This Row],[(RESV. STORGE) AJD]]/10</f>
        <v/>
      </c>
      <c r="AB93" s="3">
        <f>IF(TRIM(Z93)="",,(Z93-Z92)/1000)</f>
        <v/>
      </c>
      <c r="AC93" s="5" t="n"/>
      <c r="AD93" s="40">
        <f>(Table6[[#This Row],[( S/S+T/B) AJD]]*1000)-((Table6[[#This Row],[(STORGE DIFF.) AJD]]*1000)+Table6[[#This Row],[AJD_Evaporation]]+(Table6[[#This Row],[(A/B + A/S) AJD]]*1000))</f>
        <v/>
      </c>
      <c r="AE93" s="44" t="n"/>
      <c r="AF93" s="45" t="n"/>
      <c r="AG93" s="45" t="n"/>
      <c r="AH93" s="6">
        <f>Table6[[#This Row],[ (RESV. STORGE) BER]]/10</f>
        <v/>
      </c>
      <c r="AI93" s="44" t="n"/>
      <c r="AJ93" s="45">
        <f>Table6[[#This Row],[(A/B) AJD]]-TABL12345[[#This Row],[BER_IN]]</f>
        <v/>
      </c>
      <c r="AK93" s="45" t="n"/>
      <c r="AL93" s="45" t="n"/>
      <c r="AM93" s="32" t="n"/>
      <c r="AN93" s="32">
        <f>Table6[[#This Row],[ (RESV. STORGE) SER]]/10</f>
        <v/>
      </c>
      <c r="AO93" s="68" t="n"/>
      <c r="AP93" s="99">
        <f>Table6[[#This Row],[(A/S) AJD]]-Table6[[#This Row],[SER_IN]]</f>
        <v/>
      </c>
    </row>
    <row r="94" ht="18.75" customHeight="1">
      <c r="A94" s="98" t="n">
        <v>47576</v>
      </c>
      <c r="B94" s="41" t="n"/>
      <c r="C94" s="41" t="n"/>
      <c r="D94" s="41" t="n"/>
      <c r="E94" s="41" t="n"/>
      <c r="F94" s="41" t="n"/>
      <c r="G94" s="39" t="n"/>
      <c r="H94" s="28" t="n"/>
      <c r="I94" s="39" t="n"/>
      <c r="J94" s="39" t="n"/>
      <c r="K94" s="28">
        <f>Table6[[#This Row],[ (T/B) SAR]]+Table6[[#This Row],[ (S/S) SAR]]</f>
        <v/>
      </c>
      <c r="L94" s="41" t="n"/>
      <c r="M94" s="42" t="n"/>
      <c r="N94" s="42" t="n"/>
      <c r="O94" s="39" t="n"/>
      <c r="P94" s="3">
        <f>Table6[[#This Row],[ (S/S) SAR]]-Table6[[#This Row],[(S/S) AJD]]</f>
        <v/>
      </c>
      <c r="Q94" s="39" t="n"/>
      <c r="R94" s="3">
        <f>Table6[[#This Row],[ (T/B) SAR]]-Table6[[#This Row],[(T/B) AJD]]</f>
        <v/>
      </c>
      <c r="S94" s="3">
        <f>Table6[[#This Row],[S/S_CON.]]+Table6[[#This Row],[T/B-CON.]]</f>
        <v/>
      </c>
      <c r="T94" s="3">
        <f>O94+Q94</f>
        <v/>
      </c>
      <c r="U94" s="41" t="n"/>
      <c r="V94" s="41" t="n"/>
      <c r="W94" s="3">
        <f>U94+V94</f>
        <v/>
      </c>
      <c r="X94" s="3">
        <f>T94-W94</f>
        <v/>
      </c>
      <c r="Y94" s="41" t="n"/>
      <c r="Z94" s="43" t="n"/>
      <c r="AA94" s="3">
        <f>Table6[[#This Row],[(RESV. STORGE) AJD]]/10</f>
        <v/>
      </c>
      <c r="AB94" s="3">
        <f>IF(TRIM(Z94)="",,(Z94-Z93)/1000)</f>
        <v/>
      </c>
      <c r="AC94" s="5" t="n"/>
      <c r="AD94" s="39">
        <f>(Table6[[#This Row],[( S/S+T/B) AJD]]*1000)-((Table6[[#This Row],[(STORGE DIFF.) AJD]]*1000)+Table6[[#This Row],[AJD_Evaporation]]+(Table6[[#This Row],[(A/B + A/S) AJD]]*1000))</f>
        <v/>
      </c>
      <c r="AE94" s="41" t="n"/>
      <c r="AF94" s="43" t="n"/>
      <c r="AG94" s="43" t="n"/>
      <c r="AH94" s="6">
        <f>Table6[[#This Row],[ (RESV. STORGE) BER]]/10</f>
        <v/>
      </c>
      <c r="AI94" s="41" t="n"/>
      <c r="AJ94" s="43">
        <f>Table6[[#This Row],[(A/B) AJD]]-TABL12345[[#This Row],[BER_IN]]</f>
        <v/>
      </c>
      <c r="AK94" s="43" t="n"/>
      <c r="AL94" s="43" t="n"/>
      <c r="AM94" s="32" t="n"/>
      <c r="AN94" s="32">
        <f>Table6[[#This Row],[ (RESV. STORGE) SER]]/10</f>
        <v/>
      </c>
      <c r="AO94" s="68" t="n"/>
      <c r="AP94" s="99">
        <f>Table6[[#This Row],[(A/S) AJD]]-Table6[[#This Row],[SER_IN]]</f>
        <v/>
      </c>
    </row>
    <row r="95" ht="18.75" customHeight="1">
      <c r="A95" s="98" t="n">
        <v>47577</v>
      </c>
      <c r="B95" s="44" t="n"/>
      <c r="C95" s="44" t="n"/>
      <c r="D95" s="44" t="n"/>
      <c r="E95" s="44" t="n"/>
      <c r="F95" s="44" t="n"/>
      <c r="G95" s="40" t="n"/>
      <c r="H95" s="28" t="n"/>
      <c r="I95" s="40" t="n"/>
      <c r="J95" s="44" t="n"/>
      <c r="K95" s="28">
        <f>Table6[[#This Row],[ (T/B) SAR]]+Table6[[#This Row],[ (S/S) SAR]]</f>
        <v/>
      </c>
      <c r="L95" s="45" t="n"/>
      <c r="M95" s="46" t="n"/>
      <c r="N95" s="46" t="n"/>
      <c r="O95" s="40" t="n"/>
      <c r="P95" s="3">
        <f>Table6[[#This Row],[ (S/S) SAR]]-Table6[[#This Row],[(S/S) AJD]]</f>
        <v/>
      </c>
      <c r="Q95" s="40" t="n"/>
      <c r="R95" s="3">
        <f>Table6[[#This Row],[ (T/B) SAR]]-Table6[[#This Row],[(T/B) AJD]]</f>
        <v/>
      </c>
      <c r="S95" s="3">
        <f>Table6[[#This Row],[S/S_CON.]]+Table6[[#This Row],[T/B-CON.]]</f>
        <v/>
      </c>
      <c r="T95" s="3">
        <f>O95+Q95</f>
        <v/>
      </c>
      <c r="U95" s="44" t="n"/>
      <c r="V95" s="44" t="n"/>
      <c r="W95" s="3">
        <f>U95+V95</f>
        <v/>
      </c>
      <c r="X95" s="3">
        <f>T95-W95</f>
        <v/>
      </c>
      <c r="Y95" s="44" t="n"/>
      <c r="Z95" s="45" t="n"/>
      <c r="AA95" s="3">
        <f>Table6[[#This Row],[(RESV. STORGE) AJD]]/10</f>
        <v/>
      </c>
      <c r="AB95" s="3">
        <f>IF(TRIM(Z95)="",,(Z95-Z94)/1000)</f>
        <v/>
      </c>
      <c r="AC95" s="5" t="n"/>
      <c r="AD95" s="40">
        <f>(Table6[[#This Row],[( S/S+T/B) AJD]]*1000)-((Table6[[#This Row],[(STORGE DIFF.) AJD]]*1000)+Table6[[#This Row],[AJD_Evaporation]]+(Table6[[#This Row],[(A/B + A/S) AJD]]*1000))</f>
        <v/>
      </c>
      <c r="AE95" s="44" t="n"/>
      <c r="AF95" s="45" t="n"/>
      <c r="AG95" s="45" t="n"/>
      <c r="AH95" s="6">
        <f>Table6[[#This Row],[ (RESV. STORGE) BER]]/10</f>
        <v/>
      </c>
      <c r="AI95" s="44" t="n"/>
      <c r="AJ95" s="45">
        <f>Table6[[#This Row],[(A/B) AJD]]-TABL12345[[#This Row],[BER_IN]]</f>
        <v/>
      </c>
      <c r="AK95" s="45" t="n"/>
      <c r="AL95" s="45" t="n"/>
      <c r="AM95" s="32" t="n"/>
      <c r="AN95" s="32">
        <f>Table6[[#This Row],[ (RESV. STORGE) SER]]/10</f>
        <v/>
      </c>
      <c r="AO95" s="68" t="n"/>
      <c r="AP95" s="99">
        <f>Table6[[#This Row],[(A/S) AJD]]-Table6[[#This Row],[SER_IN]]</f>
        <v/>
      </c>
    </row>
    <row r="96" ht="18.75" customHeight="1">
      <c r="A96" s="98" t="n">
        <v>47578</v>
      </c>
      <c r="B96" s="41" t="n"/>
      <c r="C96" s="41" t="n"/>
      <c r="D96" s="41" t="n"/>
      <c r="E96" s="41" t="n"/>
      <c r="F96" s="41" t="n"/>
      <c r="G96" s="39" t="n"/>
      <c r="H96" s="28" t="n"/>
      <c r="I96" s="39" t="n"/>
      <c r="J96" s="39" t="n"/>
      <c r="K96" s="28">
        <f>Table6[[#This Row],[ (T/B) SAR]]+Table6[[#This Row],[ (S/S) SAR]]</f>
        <v/>
      </c>
      <c r="L96" s="41" t="n"/>
      <c r="M96" s="42" t="n"/>
      <c r="N96" s="42" t="n"/>
      <c r="O96" s="39" t="n"/>
      <c r="P96" s="3">
        <f>Table6[[#This Row],[ (S/S) SAR]]-Table6[[#This Row],[(S/S) AJD]]</f>
        <v/>
      </c>
      <c r="Q96" s="39" t="n"/>
      <c r="R96" s="3">
        <f>Table6[[#This Row],[ (T/B) SAR]]-Table6[[#This Row],[(T/B) AJD]]</f>
        <v/>
      </c>
      <c r="S96" s="3">
        <f>Table6[[#This Row],[S/S_CON.]]+Table6[[#This Row],[T/B-CON.]]</f>
        <v/>
      </c>
      <c r="T96" s="3">
        <f>O96+Q96</f>
        <v/>
      </c>
      <c r="U96" s="41" t="n"/>
      <c r="V96" s="41" t="n"/>
      <c r="W96" s="3">
        <f>U96+V96</f>
        <v/>
      </c>
      <c r="X96" s="3">
        <f>T96-W96</f>
        <v/>
      </c>
      <c r="Y96" s="41" t="n"/>
      <c r="Z96" s="43" t="n"/>
      <c r="AA96" s="3">
        <f>Table6[[#This Row],[(RESV. STORGE) AJD]]/10</f>
        <v/>
      </c>
      <c r="AB96" s="3">
        <f>IF(TRIM(Z96)="",,(Z96-Z95)/1000)</f>
        <v/>
      </c>
      <c r="AC96" s="5" t="n"/>
      <c r="AD96" s="39">
        <f>(Table6[[#This Row],[( S/S+T/B) AJD]]*1000)-((Table6[[#This Row],[(STORGE DIFF.) AJD]]*1000)+Table6[[#This Row],[AJD_Evaporation]]+(Table6[[#This Row],[(A/B + A/S) AJD]]*1000))</f>
        <v/>
      </c>
      <c r="AE96" s="41" t="n"/>
      <c r="AF96" s="43" t="n"/>
      <c r="AG96" s="43" t="n"/>
      <c r="AH96" s="6">
        <f>Table6[[#This Row],[ (RESV. STORGE) BER]]/10</f>
        <v/>
      </c>
      <c r="AI96" s="41" t="n"/>
      <c r="AJ96" s="43">
        <f>Table6[[#This Row],[(A/B) AJD]]-TABL12345[[#This Row],[BER_IN]]</f>
        <v/>
      </c>
      <c r="AK96" s="43" t="n"/>
      <c r="AL96" s="43" t="n"/>
      <c r="AM96" s="32" t="n"/>
      <c r="AN96" s="32">
        <f>Table6[[#This Row],[ (RESV. STORGE) SER]]/10</f>
        <v/>
      </c>
      <c r="AO96" s="68" t="n"/>
      <c r="AP96" s="99">
        <f>Table6[[#This Row],[(A/S) AJD]]-Table6[[#This Row],[SER_IN]]</f>
        <v/>
      </c>
    </row>
    <row r="97" ht="18.75" customHeight="1">
      <c r="A97" s="98" t="n">
        <v>47579</v>
      </c>
      <c r="B97" s="44" t="n"/>
      <c r="C97" s="44" t="n"/>
      <c r="D97" s="44" t="n"/>
      <c r="E97" s="44" t="n"/>
      <c r="F97" s="44" t="n"/>
      <c r="G97" s="40" t="n"/>
      <c r="H97" s="28" t="n"/>
      <c r="I97" s="40" t="n"/>
      <c r="J97" s="44" t="n"/>
      <c r="K97" s="28">
        <f>Table6[[#This Row],[ (T/B) SAR]]+Table6[[#This Row],[ (S/S) SAR]]</f>
        <v/>
      </c>
      <c r="L97" s="45" t="n"/>
      <c r="M97" s="46" t="n"/>
      <c r="N97" s="46" t="n"/>
      <c r="O97" s="40" t="n"/>
      <c r="P97" s="3">
        <f>Table6[[#This Row],[ (S/S) SAR]]-Table6[[#This Row],[(S/S) AJD]]</f>
        <v/>
      </c>
      <c r="Q97" s="40" t="n"/>
      <c r="R97" s="3">
        <f>Table6[[#This Row],[ (T/B) SAR]]-Table6[[#This Row],[(T/B) AJD]]</f>
        <v/>
      </c>
      <c r="S97" s="3">
        <f>Table6[[#This Row],[S/S_CON.]]+Table6[[#This Row],[T/B-CON.]]</f>
        <v/>
      </c>
      <c r="T97" s="3">
        <f>O97+Q97</f>
        <v/>
      </c>
      <c r="U97" s="44" t="n"/>
      <c r="V97" s="44" t="n"/>
      <c r="W97" s="3">
        <f>U97+V97</f>
        <v/>
      </c>
      <c r="X97" s="3">
        <f>T97-W97</f>
        <v/>
      </c>
      <c r="Y97" s="44" t="n"/>
      <c r="Z97" s="45" t="n"/>
      <c r="AA97" s="3">
        <f>Table6[[#This Row],[(RESV. STORGE) AJD]]/10</f>
        <v/>
      </c>
      <c r="AB97" s="3">
        <f>IF(TRIM(Z97)="",,(Z97-Z96)/1000)</f>
        <v/>
      </c>
      <c r="AC97" s="5" t="n"/>
      <c r="AD97" s="40">
        <f>(Table6[[#This Row],[( S/S+T/B) AJD]]*1000)-((Table6[[#This Row],[(STORGE DIFF.) AJD]]*1000)+Table6[[#This Row],[AJD_Evaporation]]+(Table6[[#This Row],[(A/B + A/S) AJD]]*1000))</f>
        <v/>
      </c>
      <c r="AE97" s="44" t="n"/>
      <c r="AF97" s="45" t="n"/>
      <c r="AG97" s="45" t="n"/>
      <c r="AH97" s="6">
        <f>Table6[[#This Row],[ (RESV. STORGE) BER]]/10</f>
        <v/>
      </c>
      <c r="AI97" s="44" t="n"/>
      <c r="AJ97" s="45">
        <f>Table6[[#This Row],[(A/B) AJD]]-TABL12345[[#This Row],[BER_IN]]</f>
        <v/>
      </c>
      <c r="AK97" s="45" t="n"/>
      <c r="AL97" s="45" t="n"/>
      <c r="AM97" s="32" t="n"/>
      <c r="AN97" s="32">
        <f>Table6[[#This Row],[ (RESV. STORGE) SER]]/10</f>
        <v/>
      </c>
      <c r="AO97" s="68" t="n"/>
      <c r="AP97" s="99">
        <f>Table6[[#This Row],[(A/S) AJD]]-Table6[[#This Row],[SER_IN]]</f>
        <v/>
      </c>
    </row>
    <row r="98" ht="18.75" customHeight="1">
      <c r="A98" s="98" t="n">
        <v>47580</v>
      </c>
      <c r="B98" s="41" t="n"/>
      <c r="C98" s="41" t="n"/>
      <c r="D98" s="41" t="n"/>
      <c r="E98" s="41" t="n"/>
      <c r="F98" s="41" t="n"/>
      <c r="G98" s="39" t="n"/>
      <c r="H98" s="28" t="n"/>
      <c r="I98" s="39" t="n"/>
      <c r="J98" s="39" t="n"/>
      <c r="K98" s="28">
        <f>Table6[[#This Row],[ (T/B) SAR]]+Table6[[#This Row],[ (S/S) SAR]]</f>
        <v/>
      </c>
      <c r="L98" s="41" t="n"/>
      <c r="M98" s="42" t="n"/>
      <c r="N98" s="42" t="n"/>
      <c r="O98" s="39" t="n"/>
      <c r="P98" s="3">
        <f>Table6[[#This Row],[ (S/S) SAR]]-Table6[[#This Row],[(S/S) AJD]]</f>
        <v/>
      </c>
      <c r="Q98" s="39" t="n"/>
      <c r="R98" s="3">
        <f>Table6[[#This Row],[ (T/B) SAR]]-Table6[[#This Row],[(T/B) AJD]]</f>
        <v/>
      </c>
      <c r="S98" s="3">
        <f>Table6[[#This Row],[S/S_CON.]]+Table6[[#This Row],[T/B-CON.]]</f>
        <v/>
      </c>
      <c r="T98" s="3">
        <f>O98+Q98</f>
        <v/>
      </c>
      <c r="U98" s="41" t="n"/>
      <c r="V98" s="41" t="n"/>
      <c r="W98" s="3">
        <f>U98+V98</f>
        <v/>
      </c>
      <c r="X98" s="3">
        <f>T98-W98</f>
        <v/>
      </c>
      <c r="Y98" s="41" t="n"/>
      <c r="Z98" s="43" t="n"/>
      <c r="AA98" s="3">
        <f>Table6[[#This Row],[(RESV. STORGE) AJD]]/10</f>
        <v/>
      </c>
      <c r="AB98" s="3">
        <f>IF(TRIM(Z98)="",,(Z98-Z97)/1000)</f>
        <v/>
      </c>
      <c r="AC98" s="5" t="n"/>
      <c r="AD98" s="39">
        <f>(Table6[[#This Row],[( S/S+T/B) AJD]]*1000)-((Table6[[#This Row],[(STORGE DIFF.) AJD]]*1000)+Table6[[#This Row],[AJD_Evaporation]]+(Table6[[#This Row],[(A/B + A/S) AJD]]*1000))</f>
        <v/>
      </c>
      <c r="AE98" s="41" t="n"/>
      <c r="AF98" s="43" t="n"/>
      <c r="AG98" s="43" t="n"/>
      <c r="AH98" s="6">
        <f>Table6[[#This Row],[ (RESV. STORGE) BER]]/10</f>
        <v/>
      </c>
      <c r="AI98" s="41" t="n"/>
      <c r="AJ98" s="43">
        <f>Table6[[#This Row],[(A/B) AJD]]-TABL12345[[#This Row],[BER_IN]]</f>
        <v/>
      </c>
      <c r="AK98" s="43" t="n"/>
      <c r="AL98" s="43" t="n"/>
      <c r="AM98" s="32" t="n"/>
      <c r="AN98" s="32">
        <f>Table6[[#This Row],[ (RESV. STORGE) SER]]/10</f>
        <v/>
      </c>
      <c r="AO98" s="68" t="n"/>
      <c r="AP98" s="99">
        <f>Table6[[#This Row],[(A/S) AJD]]-Table6[[#This Row],[SER_IN]]</f>
        <v/>
      </c>
    </row>
    <row r="99" ht="18.75" customHeight="1">
      <c r="A99" s="98" t="n">
        <v>47581</v>
      </c>
      <c r="B99" s="44" t="n"/>
      <c r="C99" s="44" t="n"/>
      <c r="D99" s="44" t="n"/>
      <c r="E99" s="44" t="n"/>
      <c r="F99" s="44" t="n"/>
      <c r="G99" s="40" t="n"/>
      <c r="H99" s="28" t="n"/>
      <c r="I99" s="40" t="n"/>
      <c r="J99" s="44" t="n"/>
      <c r="K99" s="28">
        <f>Table6[[#This Row],[ (T/B) SAR]]+Table6[[#This Row],[ (S/S) SAR]]</f>
        <v/>
      </c>
      <c r="L99" s="45" t="n"/>
      <c r="M99" s="46" t="n"/>
      <c r="N99" s="46" t="n"/>
      <c r="O99" s="40" t="n"/>
      <c r="P99" s="3">
        <f>Table6[[#This Row],[ (S/S) SAR]]-Table6[[#This Row],[(S/S) AJD]]</f>
        <v/>
      </c>
      <c r="Q99" s="40" t="n"/>
      <c r="R99" s="3">
        <f>Table6[[#This Row],[ (T/B) SAR]]-Table6[[#This Row],[(T/B) AJD]]</f>
        <v/>
      </c>
      <c r="S99" s="3">
        <f>Table6[[#This Row],[S/S_CON.]]+Table6[[#This Row],[T/B-CON.]]</f>
        <v/>
      </c>
      <c r="T99" s="3">
        <f>O99+Q99</f>
        <v/>
      </c>
      <c r="U99" s="44" t="n"/>
      <c r="V99" s="44" t="n"/>
      <c r="W99" s="3">
        <f>U99+V99</f>
        <v/>
      </c>
      <c r="X99" s="3">
        <f>T99-W99</f>
        <v/>
      </c>
      <c r="Y99" s="44" t="n"/>
      <c r="Z99" s="45" t="n"/>
      <c r="AA99" s="3">
        <f>Table6[[#This Row],[(RESV. STORGE) AJD]]/10</f>
        <v/>
      </c>
      <c r="AB99" s="3">
        <f>IF(TRIM(Z99)="",,(Z99-Z98)/1000)</f>
        <v/>
      </c>
      <c r="AC99" s="5" t="n"/>
      <c r="AD99" s="40">
        <f>(Table6[[#This Row],[( S/S+T/B) AJD]]*1000)-((Table6[[#This Row],[(STORGE DIFF.) AJD]]*1000)+Table6[[#This Row],[AJD_Evaporation]]+(Table6[[#This Row],[(A/B + A/S) AJD]]*1000))</f>
        <v/>
      </c>
      <c r="AE99" s="44" t="n"/>
      <c r="AF99" s="45" t="n"/>
      <c r="AG99" s="45" t="n"/>
      <c r="AH99" s="6">
        <f>Table6[[#This Row],[ (RESV. STORGE) BER]]/10</f>
        <v/>
      </c>
      <c r="AI99" s="44" t="n"/>
      <c r="AJ99" s="45">
        <f>Table6[[#This Row],[(A/B) AJD]]-TABL12345[[#This Row],[BER_IN]]</f>
        <v/>
      </c>
      <c r="AK99" s="45" t="n"/>
      <c r="AL99" s="45" t="n"/>
      <c r="AM99" s="32" t="n"/>
      <c r="AN99" s="32">
        <f>Table6[[#This Row],[ (RESV. STORGE) SER]]/10</f>
        <v/>
      </c>
      <c r="AO99" s="68" t="n"/>
      <c r="AP99" s="99">
        <f>Table6[[#This Row],[(A/S) AJD]]-Table6[[#This Row],[SER_IN]]</f>
        <v/>
      </c>
    </row>
    <row r="100" ht="18.75" customHeight="1">
      <c r="A100" s="98" t="n">
        <v>47582</v>
      </c>
      <c r="B100" s="41" t="n"/>
      <c r="C100" s="41" t="n"/>
      <c r="D100" s="41" t="n"/>
      <c r="E100" s="41" t="n"/>
      <c r="F100" s="41" t="n"/>
      <c r="G100" s="39" t="n"/>
      <c r="H100" s="28" t="n"/>
      <c r="I100" s="39" t="n"/>
      <c r="J100" s="39" t="n"/>
      <c r="K100" s="28">
        <f>Table6[[#This Row],[ (T/B) SAR]]+Table6[[#This Row],[ (S/S) SAR]]</f>
        <v/>
      </c>
      <c r="L100" s="41" t="n"/>
      <c r="M100" s="42" t="n"/>
      <c r="N100" s="42" t="n"/>
      <c r="O100" s="39" t="n"/>
      <c r="P100" s="3">
        <f>Table6[[#This Row],[ (S/S) SAR]]-Table6[[#This Row],[(S/S) AJD]]</f>
        <v/>
      </c>
      <c r="Q100" s="39" t="n"/>
      <c r="R100" s="3">
        <f>Table6[[#This Row],[ (T/B) SAR]]-Table6[[#This Row],[(T/B) AJD]]</f>
        <v/>
      </c>
      <c r="S100" s="3">
        <f>Table6[[#This Row],[S/S_CON.]]+Table6[[#This Row],[T/B-CON.]]</f>
        <v/>
      </c>
      <c r="T100" s="3">
        <f>O100+Q100</f>
        <v/>
      </c>
      <c r="U100" s="41" t="n"/>
      <c r="V100" s="41" t="n"/>
      <c r="W100" s="3">
        <f>U100+V100</f>
        <v/>
      </c>
      <c r="X100" s="3">
        <f>T100-W100</f>
        <v/>
      </c>
      <c r="Y100" s="41" t="n"/>
      <c r="Z100" s="43" t="n"/>
      <c r="AA100" s="3">
        <f>Table6[[#This Row],[(RESV. STORGE) AJD]]/10</f>
        <v/>
      </c>
      <c r="AB100" s="3">
        <f>IF(TRIM(Z100)="",,(Z100-Z99)/1000)</f>
        <v/>
      </c>
      <c r="AC100" s="5" t="n"/>
      <c r="AD100" s="39">
        <f>(Table6[[#This Row],[( S/S+T/B) AJD]]*1000)-((Table6[[#This Row],[(STORGE DIFF.) AJD]]*1000)+Table6[[#This Row],[AJD_Evaporation]]+(Table6[[#This Row],[(A/B + A/S) AJD]]*1000))</f>
        <v/>
      </c>
      <c r="AE100" s="41" t="n"/>
      <c r="AF100" s="43" t="n"/>
      <c r="AG100" s="43" t="n"/>
      <c r="AH100" s="6">
        <f>Table6[[#This Row],[ (RESV. STORGE) BER]]/10</f>
        <v/>
      </c>
      <c r="AI100" s="41" t="n"/>
      <c r="AJ100" s="43">
        <f>Table6[[#This Row],[(A/B) AJD]]-TABL12345[[#This Row],[BER_IN]]</f>
        <v/>
      </c>
      <c r="AK100" s="43" t="n"/>
      <c r="AL100" s="43" t="n"/>
      <c r="AM100" s="32" t="n"/>
      <c r="AN100" s="32">
        <f>Table6[[#This Row],[ (RESV. STORGE) SER]]/10</f>
        <v/>
      </c>
      <c r="AO100" s="68" t="n"/>
      <c r="AP100" s="99">
        <f>Table6[[#This Row],[(A/S) AJD]]-Table6[[#This Row],[SER_IN]]</f>
        <v/>
      </c>
    </row>
    <row r="101" ht="18.75" customHeight="1">
      <c r="A101" s="98" t="n">
        <v>47583</v>
      </c>
      <c r="B101" s="44" t="n"/>
      <c r="C101" s="44" t="n"/>
      <c r="D101" s="44" t="n"/>
      <c r="E101" s="44" t="n"/>
      <c r="F101" s="44" t="n"/>
      <c r="G101" s="40" t="n"/>
      <c r="H101" s="28" t="n"/>
      <c r="I101" s="40" t="n"/>
      <c r="J101" s="44" t="n"/>
      <c r="K101" s="28">
        <f>Table6[[#This Row],[ (T/B) SAR]]+Table6[[#This Row],[ (S/S) SAR]]</f>
        <v/>
      </c>
      <c r="L101" s="45" t="n"/>
      <c r="M101" s="46" t="n"/>
      <c r="N101" s="46" t="n"/>
      <c r="O101" s="40" t="n"/>
      <c r="P101" s="3">
        <f>Table6[[#This Row],[ (S/S) SAR]]-Table6[[#This Row],[(S/S) AJD]]</f>
        <v/>
      </c>
      <c r="Q101" s="40" t="n"/>
      <c r="R101" s="3">
        <f>Table6[[#This Row],[ (T/B) SAR]]-Table6[[#This Row],[(T/B) AJD]]</f>
        <v/>
      </c>
      <c r="S101" s="3">
        <f>Table6[[#This Row],[S/S_CON.]]+Table6[[#This Row],[T/B-CON.]]</f>
        <v/>
      </c>
      <c r="T101" s="3">
        <f>O101+Q101</f>
        <v/>
      </c>
      <c r="U101" s="44" t="n"/>
      <c r="V101" s="44" t="n"/>
      <c r="W101" s="3">
        <f>U101+V101</f>
        <v/>
      </c>
      <c r="X101" s="3">
        <f>T101-W101</f>
        <v/>
      </c>
      <c r="Y101" s="44" t="n"/>
      <c r="Z101" s="45" t="n"/>
      <c r="AA101" s="3">
        <f>Table6[[#This Row],[(RESV. STORGE) AJD]]/10</f>
        <v/>
      </c>
      <c r="AB101" s="3">
        <f>IF(TRIM(Z101)="",,(Z101-Z100)/1000)</f>
        <v/>
      </c>
      <c r="AC101" s="5" t="n"/>
      <c r="AD101" s="40">
        <f>(Table6[[#This Row],[( S/S+T/B) AJD]]*1000)-((Table6[[#This Row],[(STORGE DIFF.) AJD]]*1000)+Table6[[#This Row],[AJD_Evaporation]]+(Table6[[#This Row],[(A/B + A/S) AJD]]*1000))</f>
        <v/>
      </c>
      <c r="AE101" s="44" t="n"/>
      <c r="AF101" s="45" t="n"/>
      <c r="AG101" s="45" t="n"/>
      <c r="AH101" s="6">
        <f>Table6[[#This Row],[ (RESV. STORGE) BER]]/10</f>
        <v/>
      </c>
      <c r="AI101" s="44" t="n"/>
      <c r="AJ101" s="45">
        <f>Table6[[#This Row],[(A/B) AJD]]-TABL12345[[#This Row],[BER_IN]]</f>
        <v/>
      </c>
      <c r="AK101" s="45" t="n"/>
      <c r="AL101" s="45" t="n"/>
      <c r="AM101" s="32" t="n"/>
      <c r="AN101" s="32">
        <f>Table6[[#This Row],[ (RESV. STORGE) SER]]/10</f>
        <v/>
      </c>
      <c r="AO101" s="68" t="n"/>
      <c r="AP101" s="99">
        <f>Table6[[#This Row],[(A/S) AJD]]-Table6[[#This Row],[SER_IN]]</f>
        <v/>
      </c>
    </row>
    <row r="102" ht="18.75" customHeight="1">
      <c r="A102" s="98" t="n">
        <v>47584</v>
      </c>
      <c r="B102" s="41" t="n"/>
      <c r="C102" s="41" t="n"/>
      <c r="D102" s="41" t="n"/>
      <c r="E102" s="41" t="n"/>
      <c r="F102" s="41" t="n"/>
      <c r="G102" s="39" t="n"/>
      <c r="H102" s="28" t="n"/>
      <c r="I102" s="39" t="n"/>
      <c r="J102" s="39" t="n"/>
      <c r="K102" s="28">
        <f>Table6[[#This Row],[ (T/B) SAR]]+Table6[[#This Row],[ (S/S) SAR]]</f>
        <v/>
      </c>
      <c r="L102" s="41" t="n"/>
      <c r="M102" s="42" t="n"/>
      <c r="N102" s="42" t="n"/>
      <c r="O102" s="39" t="n"/>
      <c r="P102" s="3">
        <f>Table6[[#This Row],[ (S/S) SAR]]-Table6[[#This Row],[(S/S) AJD]]</f>
        <v/>
      </c>
      <c r="Q102" s="39" t="n"/>
      <c r="R102" s="3">
        <f>Table6[[#This Row],[ (T/B) SAR]]-Table6[[#This Row],[(T/B) AJD]]</f>
        <v/>
      </c>
      <c r="S102" s="3">
        <f>Table6[[#This Row],[S/S_CON.]]+Table6[[#This Row],[T/B-CON.]]</f>
        <v/>
      </c>
      <c r="T102" s="3">
        <f>O102+Q102</f>
        <v/>
      </c>
      <c r="U102" s="41" t="n"/>
      <c r="V102" s="41" t="n"/>
      <c r="W102" s="3">
        <f>U102+V102</f>
        <v/>
      </c>
      <c r="X102" s="3">
        <f>T102-W102</f>
        <v/>
      </c>
      <c r="Y102" s="41" t="n"/>
      <c r="Z102" s="43" t="n"/>
      <c r="AA102" s="3">
        <f>Table6[[#This Row],[(RESV. STORGE) AJD]]/10</f>
        <v/>
      </c>
      <c r="AB102" s="3">
        <f>IF(TRIM(Z102)="",,(Z102-Z101)/1000)</f>
        <v/>
      </c>
      <c r="AC102" s="5" t="n"/>
      <c r="AD102" s="39">
        <f>(Table6[[#This Row],[( S/S+T/B) AJD]]*1000)-((Table6[[#This Row],[(STORGE DIFF.) AJD]]*1000)+Table6[[#This Row],[AJD_Evaporation]]+(Table6[[#This Row],[(A/B + A/S) AJD]]*1000))</f>
        <v/>
      </c>
      <c r="AE102" s="41" t="n"/>
      <c r="AF102" s="43" t="n"/>
      <c r="AG102" s="43" t="n"/>
      <c r="AH102" s="6">
        <f>Table6[[#This Row],[ (RESV. STORGE) BER]]/10</f>
        <v/>
      </c>
      <c r="AI102" s="41" t="n"/>
      <c r="AJ102" s="43">
        <f>Table6[[#This Row],[(A/B) AJD]]-TABL12345[[#This Row],[BER_IN]]</f>
        <v/>
      </c>
      <c r="AK102" s="43" t="n"/>
      <c r="AL102" s="43" t="n"/>
      <c r="AM102" s="32" t="n"/>
      <c r="AN102" s="32">
        <f>Table6[[#This Row],[ (RESV. STORGE) SER]]/10</f>
        <v/>
      </c>
      <c r="AO102" s="68" t="n"/>
      <c r="AP102" s="99">
        <f>Table6[[#This Row],[(A/S) AJD]]-Table6[[#This Row],[SER_IN]]</f>
        <v/>
      </c>
    </row>
    <row r="103" ht="18.75" customHeight="1">
      <c r="A103" s="98" t="n">
        <v>47585</v>
      </c>
      <c r="B103" s="44" t="n"/>
      <c r="C103" s="44" t="n"/>
      <c r="D103" s="44" t="n"/>
      <c r="E103" s="44" t="n"/>
      <c r="F103" s="44" t="n"/>
      <c r="G103" s="40" t="n"/>
      <c r="H103" s="28" t="n"/>
      <c r="I103" s="40" t="n"/>
      <c r="J103" s="44" t="n"/>
      <c r="K103" s="28">
        <f>Table6[[#This Row],[ (T/B) SAR]]+Table6[[#This Row],[ (S/S) SAR]]</f>
        <v/>
      </c>
      <c r="L103" s="45" t="n"/>
      <c r="M103" s="46" t="n"/>
      <c r="N103" s="46" t="n"/>
      <c r="O103" s="40" t="n"/>
      <c r="P103" s="3">
        <f>Table6[[#This Row],[ (S/S) SAR]]-Table6[[#This Row],[(S/S) AJD]]</f>
        <v/>
      </c>
      <c r="Q103" s="40" t="n"/>
      <c r="R103" s="3">
        <f>Table6[[#This Row],[ (T/B) SAR]]-Table6[[#This Row],[(T/B) AJD]]</f>
        <v/>
      </c>
      <c r="S103" s="3">
        <f>Table6[[#This Row],[S/S_CON.]]+Table6[[#This Row],[T/B-CON.]]</f>
        <v/>
      </c>
      <c r="T103" s="3">
        <f>O103+Q103</f>
        <v/>
      </c>
      <c r="U103" s="44" t="n"/>
      <c r="V103" s="44" t="n"/>
      <c r="W103" s="3">
        <f>U103+V103</f>
        <v/>
      </c>
      <c r="X103" s="3">
        <f>T103-W103</f>
        <v/>
      </c>
      <c r="Y103" s="44" t="n"/>
      <c r="Z103" s="45" t="n"/>
      <c r="AA103" s="3">
        <f>Table6[[#This Row],[(RESV. STORGE) AJD]]/10</f>
        <v/>
      </c>
      <c r="AB103" s="3">
        <f>IF(TRIM(Z103)="",,(Z103-Z102)/1000)</f>
        <v/>
      </c>
      <c r="AC103" s="5" t="n"/>
      <c r="AD103" s="40">
        <f>(Table6[[#This Row],[( S/S+T/B) AJD]]*1000)-((Table6[[#This Row],[(STORGE DIFF.) AJD]]*1000)+Table6[[#This Row],[AJD_Evaporation]]+(Table6[[#This Row],[(A/B + A/S) AJD]]*1000))</f>
        <v/>
      </c>
      <c r="AE103" s="44" t="n"/>
      <c r="AF103" s="45" t="n"/>
      <c r="AG103" s="45" t="n"/>
      <c r="AH103" s="6">
        <f>Table6[[#This Row],[ (RESV. STORGE) BER]]/10</f>
        <v/>
      </c>
      <c r="AI103" s="44" t="n"/>
      <c r="AJ103" s="45">
        <f>Table6[[#This Row],[(A/B) AJD]]-TABL12345[[#This Row],[BER_IN]]</f>
        <v/>
      </c>
      <c r="AK103" s="45" t="n"/>
      <c r="AL103" s="45" t="n"/>
      <c r="AM103" s="32" t="n"/>
      <c r="AN103" s="32">
        <f>Table6[[#This Row],[ (RESV. STORGE) SER]]/10</f>
        <v/>
      </c>
      <c r="AO103" s="68" t="n"/>
      <c r="AP103" s="99">
        <f>Table6[[#This Row],[(A/S) AJD]]-Table6[[#This Row],[SER_IN]]</f>
        <v/>
      </c>
    </row>
    <row r="104" ht="18.75" customHeight="1">
      <c r="A104" s="98" t="n">
        <v>47586</v>
      </c>
      <c r="B104" s="41" t="n"/>
      <c r="C104" s="41" t="n"/>
      <c r="D104" s="41" t="n"/>
      <c r="E104" s="41" t="n"/>
      <c r="F104" s="41" t="n"/>
      <c r="G104" s="39" t="n"/>
      <c r="H104" s="28" t="n"/>
      <c r="I104" s="39" t="n"/>
      <c r="J104" s="39" t="n"/>
      <c r="K104" s="28">
        <f>Table6[[#This Row],[ (T/B) SAR]]+Table6[[#This Row],[ (S/S) SAR]]</f>
        <v/>
      </c>
      <c r="L104" s="41" t="n"/>
      <c r="M104" s="42" t="n"/>
      <c r="N104" s="42" t="n"/>
      <c r="O104" s="39" t="n"/>
      <c r="P104" s="3">
        <f>Table6[[#This Row],[ (S/S) SAR]]-Table6[[#This Row],[(S/S) AJD]]</f>
        <v/>
      </c>
      <c r="Q104" s="39" t="n"/>
      <c r="R104" s="3">
        <f>Table6[[#This Row],[ (T/B) SAR]]-Table6[[#This Row],[(T/B) AJD]]</f>
        <v/>
      </c>
      <c r="S104" s="3">
        <f>Table6[[#This Row],[S/S_CON.]]+Table6[[#This Row],[T/B-CON.]]</f>
        <v/>
      </c>
      <c r="T104" s="3">
        <f>O104+Q104</f>
        <v/>
      </c>
      <c r="U104" s="41" t="n"/>
      <c r="V104" s="41" t="n"/>
      <c r="W104" s="3">
        <f>U104+V104</f>
        <v/>
      </c>
      <c r="X104" s="3">
        <f>T104-W104</f>
        <v/>
      </c>
      <c r="Y104" s="41" t="n"/>
      <c r="Z104" s="43" t="n"/>
      <c r="AA104" s="3">
        <f>Table6[[#This Row],[(RESV. STORGE) AJD]]/10</f>
        <v/>
      </c>
      <c r="AB104" s="3">
        <f>IF(TRIM(Z104)="",,(Z104-Z103)/1000)</f>
        <v/>
      </c>
      <c r="AC104" s="5" t="n"/>
      <c r="AD104" s="39">
        <f>(Table6[[#This Row],[( S/S+T/B) AJD]]*1000)-((Table6[[#This Row],[(STORGE DIFF.) AJD]]*1000)+Table6[[#This Row],[AJD_Evaporation]]+(Table6[[#This Row],[(A/B + A/S) AJD]]*1000))</f>
        <v/>
      </c>
      <c r="AE104" s="41" t="n"/>
      <c r="AF104" s="43" t="n"/>
      <c r="AG104" s="43" t="n"/>
      <c r="AH104" s="6">
        <f>Table6[[#This Row],[ (RESV. STORGE) BER]]/10</f>
        <v/>
      </c>
      <c r="AI104" s="41" t="n"/>
      <c r="AJ104" s="43">
        <f>Table6[[#This Row],[(A/B) AJD]]-TABL12345[[#This Row],[BER_IN]]</f>
        <v/>
      </c>
      <c r="AK104" s="43" t="n"/>
      <c r="AL104" s="43" t="n"/>
      <c r="AM104" s="32" t="n"/>
      <c r="AN104" s="32">
        <f>Table6[[#This Row],[ (RESV. STORGE) SER]]/10</f>
        <v/>
      </c>
      <c r="AO104" s="68" t="n"/>
      <c r="AP104" s="99">
        <f>Table6[[#This Row],[(A/S) AJD]]-Table6[[#This Row],[SER_IN]]</f>
        <v/>
      </c>
    </row>
    <row r="105" ht="18.75" customHeight="1">
      <c r="A105" s="98" t="n">
        <v>47587</v>
      </c>
      <c r="B105" s="44" t="n"/>
      <c r="C105" s="44" t="n"/>
      <c r="D105" s="44" t="n"/>
      <c r="E105" s="44" t="n"/>
      <c r="F105" s="44" t="n"/>
      <c r="G105" s="40" t="n"/>
      <c r="H105" s="28" t="n"/>
      <c r="I105" s="40" t="n"/>
      <c r="J105" s="44" t="n"/>
      <c r="K105" s="28">
        <f>Table6[[#This Row],[ (T/B) SAR]]+Table6[[#This Row],[ (S/S) SAR]]</f>
        <v/>
      </c>
      <c r="L105" s="45" t="n"/>
      <c r="M105" s="46" t="n"/>
      <c r="N105" s="46" t="n"/>
      <c r="O105" s="40" t="n"/>
      <c r="P105" s="3">
        <f>Table6[[#This Row],[ (S/S) SAR]]-Table6[[#This Row],[(S/S) AJD]]</f>
        <v/>
      </c>
      <c r="Q105" s="40" t="n"/>
      <c r="R105" s="3">
        <f>Table6[[#This Row],[ (T/B) SAR]]-Table6[[#This Row],[(T/B) AJD]]</f>
        <v/>
      </c>
      <c r="S105" s="3">
        <f>Table6[[#This Row],[S/S_CON.]]+Table6[[#This Row],[T/B-CON.]]</f>
        <v/>
      </c>
      <c r="T105" s="3">
        <f>O105+Q105</f>
        <v/>
      </c>
      <c r="U105" s="44" t="n"/>
      <c r="V105" s="44" t="n"/>
      <c r="W105" s="3">
        <f>U105+V105</f>
        <v/>
      </c>
      <c r="X105" s="3">
        <f>T105-W105</f>
        <v/>
      </c>
      <c r="Y105" s="44" t="n"/>
      <c r="Z105" s="45" t="n"/>
      <c r="AA105" s="3">
        <f>Table6[[#This Row],[(RESV. STORGE) AJD]]/10</f>
        <v/>
      </c>
      <c r="AB105" s="3">
        <f>IF(TRIM(Z105)="",,(Z105-Z104)/1000)</f>
        <v/>
      </c>
      <c r="AC105" s="5" t="n"/>
      <c r="AD105" s="40">
        <f>(Table6[[#This Row],[( S/S+T/B) AJD]]*1000)-((Table6[[#This Row],[(STORGE DIFF.) AJD]]*1000)+Table6[[#This Row],[AJD_Evaporation]]+(Table6[[#This Row],[(A/B + A/S) AJD]]*1000))</f>
        <v/>
      </c>
      <c r="AE105" s="44" t="n"/>
      <c r="AF105" s="45" t="n"/>
      <c r="AG105" s="45" t="n"/>
      <c r="AH105" s="6">
        <f>Table6[[#This Row],[ (RESV. STORGE) BER]]/10</f>
        <v/>
      </c>
      <c r="AI105" s="44" t="n"/>
      <c r="AJ105" s="45">
        <f>Table6[[#This Row],[(A/B) AJD]]-TABL12345[[#This Row],[BER_IN]]</f>
        <v/>
      </c>
      <c r="AK105" s="45" t="n"/>
      <c r="AL105" s="45" t="n"/>
      <c r="AM105" s="32" t="n"/>
      <c r="AN105" s="32">
        <f>Table6[[#This Row],[ (RESV. STORGE) SER]]/10</f>
        <v/>
      </c>
      <c r="AO105" s="68" t="n"/>
      <c r="AP105" s="99">
        <f>Table6[[#This Row],[(A/S) AJD]]-Table6[[#This Row],[SER_IN]]</f>
        <v/>
      </c>
    </row>
    <row r="106" ht="18.75" customHeight="1">
      <c r="A106" s="98" t="n">
        <v>47588</v>
      </c>
      <c r="B106" s="41" t="n"/>
      <c r="C106" s="41" t="n"/>
      <c r="D106" s="41" t="n"/>
      <c r="E106" s="41" t="n"/>
      <c r="F106" s="41" t="n"/>
      <c r="G106" s="39" t="n"/>
      <c r="H106" s="28" t="n"/>
      <c r="I106" s="39" t="n"/>
      <c r="J106" s="39" t="n"/>
      <c r="K106" s="28">
        <f>Table6[[#This Row],[ (T/B) SAR]]+Table6[[#This Row],[ (S/S) SAR]]</f>
        <v/>
      </c>
      <c r="L106" s="41" t="n"/>
      <c r="M106" s="42" t="n"/>
      <c r="N106" s="42" t="n"/>
      <c r="O106" s="39" t="n"/>
      <c r="P106" s="3">
        <f>Table6[[#This Row],[ (S/S) SAR]]-Table6[[#This Row],[(S/S) AJD]]</f>
        <v/>
      </c>
      <c r="Q106" s="39" t="n"/>
      <c r="R106" s="3">
        <f>Table6[[#This Row],[ (T/B) SAR]]-Table6[[#This Row],[(T/B) AJD]]</f>
        <v/>
      </c>
      <c r="S106" s="3">
        <f>Table6[[#This Row],[S/S_CON.]]+Table6[[#This Row],[T/B-CON.]]</f>
        <v/>
      </c>
      <c r="T106" s="3">
        <f>O106+Q106</f>
        <v/>
      </c>
      <c r="U106" s="41" t="n"/>
      <c r="V106" s="41" t="n"/>
      <c r="W106" s="3">
        <f>U106+V106</f>
        <v/>
      </c>
      <c r="X106" s="3">
        <f>T106-W106</f>
        <v/>
      </c>
      <c r="Y106" s="41" t="n"/>
      <c r="Z106" s="43" t="n"/>
      <c r="AA106" s="3">
        <f>Table6[[#This Row],[(RESV. STORGE) AJD]]/10</f>
        <v/>
      </c>
      <c r="AB106" s="3">
        <f>IF(TRIM(Z106)="",,(Z106-Z105)/1000)</f>
        <v/>
      </c>
      <c r="AC106" s="5" t="n"/>
      <c r="AD106" s="39">
        <f>(Table6[[#This Row],[( S/S+T/B) AJD]]*1000)-((Table6[[#This Row],[(STORGE DIFF.) AJD]]*1000)+Table6[[#This Row],[AJD_Evaporation]]+(Table6[[#This Row],[(A/B + A/S) AJD]]*1000))</f>
        <v/>
      </c>
      <c r="AE106" s="41" t="n"/>
      <c r="AF106" s="43" t="n"/>
      <c r="AG106" s="43" t="n"/>
      <c r="AH106" s="6">
        <f>Table6[[#This Row],[ (RESV. STORGE) BER]]/10</f>
        <v/>
      </c>
      <c r="AI106" s="41" t="n"/>
      <c r="AJ106" s="43">
        <f>Table6[[#This Row],[(A/B) AJD]]-TABL12345[[#This Row],[BER_IN]]</f>
        <v/>
      </c>
      <c r="AK106" s="43" t="n"/>
      <c r="AL106" s="43" t="n"/>
      <c r="AM106" s="32" t="n"/>
      <c r="AN106" s="32">
        <f>Table6[[#This Row],[ (RESV. STORGE) SER]]/10</f>
        <v/>
      </c>
      <c r="AO106" s="68" t="n"/>
      <c r="AP106" s="99">
        <f>Table6[[#This Row],[(A/S) AJD]]-Table6[[#This Row],[SER_IN]]</f>
        <v/>
      </c>
    </row>
    <row r="107" ht="18.75" customHeight="1">
      <c r="A107" s="98" t="n">
        <v>47589</v>
      </c>
      <c r="B107" s="44" t="n"/>
      <c r="C107" s="44" t="n"/>
      <c r="D107" s="44" t="n"/>
      <c r="E107" s="44" t="n"/>
      <c r="F107" s="44" t="n"/>
      <c r="G107" s="40" t="n"/>
      <c r="H107" s="28" t="n"/>
      <c r="I107" s="40" t="n"/>
      <c r="J107" s="44" t="n"/>
      <c r="K107" s="28">
        <f>Table6[[#This Row],[ (T/B) SAR]]+Table6[[#This Row],[ (S/S) SAR]]</f>
        <v/>
      </c>
      <c r="L107" s="45" t="n"/>
      <c r="M107" s="46" t="n"/>
      <c r="N107" s="46" t="n"/>
      <c r="O107" s="40" t="n"/>
      <c r="P107" s="3">
        <f>Table6[[#This Row],[ (S/S) SAR]]-Table6[[#This Row],[(S/S) AJD]]</f>
        <v/>
      </c>
      <c r="Q107" s="40" t="n"/>
      <c r="R107" s="3">
        <f>Table6[[#This Row],[ (T/B) SAR]]-Table6[[#This Row],[(T/B) AJD]]</f>
        <v/>
      </c>
      <c r="S107" s="3">
        <f>Table6[[#This Row],[S/S_CON.]]+Table6[[#This Row],[T/B-CON.]]</f>
        <v/>
      </c>
      <c r="T107" s="3">
        <f>O107+Q107</f>
        <v/>
      </c>
      <c r="U107" s="44" t="n"/>
      <c r="V107" s="44" t="n"/>
      <c r="W107" s="3">
        <f>U107+V107</f>
        <v/>
      </c>
      <c r="X107" s="3">
        <f>T107-W107</f>
        <v/>
      </c>
      <c r="Y107" s="44" t="n"/>
      <c r="Z107" s="45" t="n"/>
      <c r="AA107" s="3">
        <f>Table6[[#This Row],[(RESV. STORGE) AJD]]/10</f>
        <v/>
      </c>
      <c r="AB107" s="3">
        <f>IF(TRIM(Z107)="",,(Z107-Z106)/1000)</f>
        <v/>
      </c>
      <c r="AC107" s="5" t="n"/>
      <c r="AD107" s="40">
        <f>(Table6[[#This Row],[( S/S+T/B) AJD]]*1000)-((Table6[[#This Row],[(STORGE DIFF.) AJD]]*1000)+Table6[[#This Row],[AJD_Evaporation]]+(Table6[[#This Row],[(A/B + A/S) AJD]]*1000))</f>
        <v/>
      </c>
      <c r="AE107" s="44" t="n"/>
      <c r="AF107" s="45" t="n"/>
      <c r="AG107" s="45" t="n"/>
      <c r="AH107" s="6">
        <f>Table6[[#This Row],[ (RESV. STORGE) BER]]/10</f>
        <v/>
      </c>
      <c r="AI107" s="44" t="n"/>
      <c r="AJ107" s="45">
        <f>Table6[[#This Row],[(A/B) AJD]]-TABL12345[[#This Row],[BER_IN]]</f>
        <v/>
      </c>
      <c r="AK107" s="45" t="n"/>
      <c r="AL107" s="45" t="n"/>
      <c r="AM107" s="32" t="n"/>
      <c r="AN107" s="32">
        <f>Table6[[#This Row],[ (RESV. STORGE) SER]]/10</f>
        <v/>
      </c>
      <c r="AO107" s="68" t="n"/>
      <c r="AP107" s="99">
        <f>Table6[[#This Row],[(A/S) AJD]]-Table6[[#This Row],[SER_IN]]</f>
        <v/>
      </c>
    </row>
    <row r="108" ht="18.75" customHeight="1">
      <c r="A108" s="98" t="n">
        <v>47590</v>
      </c>
      <c r="B108" s="41" t="n"/>
      <c r="C108" s="41" t="n"/>
      <c r="D108" s="41" t="n"/>
      <c r="E108" s="41" t="n"/>
      <c r="F108" s="41" t="n"/>
      <c r="G108" s="39" t="n"/>
      <c r="H108" s="28" t="n"/>
      <c r="I108" s="39" t="n"/>
      <c r="J108" s="39" t="n"/>
      <c r="K108" s="28">
        <f>Table6[[#This Row],[ (T/B) SAR]]+Table6[[#This Row],[ (S/S) SAR]]</f>
        <v/>
      </c>
      <c r="L108" s="41" t="n"/>
      <c r="M108" s="42" t="n"/>
      <c r="N108" s="42" t="n"/>
      <c r="O108" s="39" t="n"/>
      <c r="P108" s="3">
        <f>Table6[[#This Row],[ (S/S) SAR]]-Table6[[#This Row],[(S/S) AJD]]</f>
        <v/>
      </c>
      <c r="Q108" s="39" t="n"/>
      <c r="R108" s="3">
        <f>Table6[[#This Row],[ (T/B) SAR]]-Table6[[#This Row],[(T/B) AJD]]</f>
        <v/>
      </c>
      <c r="S108" s="3">
        <f>Table6[[#This Row],[S/S_CON.]]+Table6[[#This Row],[T/B-CON.]]</f>
        <v/>
      </c>
      <c r="T108" s="3">
        <f>O108+Q108</f>
        <v/>
      </c>
      <c r="U108" s="41" t="n"/>
      <c r="V108" s="41" t="n"/>
      <c r="W108" s="3">
        <f>U108+V108</f>
        <v/>
      </c>
      <c r="X108" s="3">
        <f>T108-W108</f>
        <v/>
      </c>
      <c r="Y108" s="41" t="n"/>
      <c r="Z108" s="43" t="n"/>
      <c r="AA108" s="3">
        <f>Table6[[#This Row],[(RESV. STORGE) AJD]]/10</f>
        <v/>
      </c>
      <c r="AB108" s="3">
        <f>IF(TRIM(Z108)="",,(Z108-Z107)/1000)</f>
        <v/>
      </c>
      <c r="AC108" s="5" t="n"/>
      <c r="AD108" s="39">
        <f>(Table6[[#This Row],[( S/S+T/B) AJD]]*1000)-((Table6[[#This Row],[(STORGE DIFF.) AJD]]*1000)+Table6[[#This Row],[AJD_Evaporation]]+(Table6[[#This Row],[(A/B + A/S) AJD]]*1000))</f>
        <v/>
      </c>
      <c r="AE108" s="41" t="n"/>
      <c r="AF108" s="43" t="n"/>
      <c r="AG108" s="43" t="n"/>
      <c r="AH108" s="6">
        <f>Table6[[#This Row],[ (RESV. STORGE) BER]]/10</f>
        <v/>
      </c>
      <c r="AI108" s="41" t="n"/>
      <c r="AJ108" s="43">
        <f>Table6[[#This Row],[(A/B) AJD]]-TABL12345[[#This Row],[BER_IN]]</f>
        <v/>
      </c>
      <c r="AK108" s="43" t="n"/>
      <c r="AL108" s="43" t="n"/>
      <c r="AM108" s="32" t="n"/>
      <c r="AN108" s="32">
        <f>Table6[[#This Row],[ (RESV. STORGE) SER]]/10</f>
        <v/>
      </c>
      <c r="AO108" s="68" t="n"/>
      <c r="AP108" s="99">
        <f>Table6[[#This Row],[(A/S) AJD]]-Table6[[#This Row],[SER_IN]]</f>
        <v/>
      </c>
    </row>
    <row r="109" ht="18.75" customHeight="1">
      <c r="A109" s="98" t="n">
        <v>47591</v>
      </c>
      <c r="B109" s="44" t="n"/>
      <c r="C109" s="44" t="n"/>
      <c r="D109" s="44" t="n"/>
      <c r="E109" s="44" t="n"/>
      <c r="F109" s="44" t="n"/>
      <c r="G109" s="40" t="n"/>
      <c r="H109" s="28" t="n"/>
      <c r="I109" s="40" t="n"/>
      <c r="J109" s="44" t="n"/>
      <c r="K109" s="28">
        <f>Table6[[#This Row],[ (T/B) SAR]]+Table6[[#This Row],[ (S/S) SAR]]</f>
        <v/>
      </c>
      <c r="L109" s="45" t="n"/>
      <c r="M109" s="46" t="n"/>
      <c r="N109" s="46" t="n"/>
      <c r="O109" s="40" t="n"/>
      <c r="P109" s="3">
        <f>Table6[[#This Row],[ (S/S) SAR]]-Table6[[#This Row],[(S/S) AJD]]</f>
        <v/>
      </c>
      <c r="Q109" s="40" t="n"/>
      <c r="R109" s="3">
        <f>Table6[[#This Row],[ (T/B) SAR]]-Table6[[#This Row],[(T/B) AJD]]</f>
        <v/>
      </c>
      <c r="S109" s="3">
        <f>Table6[[#This Row],[S/S_CON.]]+Table6[[#This Row],[T/B-CON.]]</f>
        <v/>
      </c>
      <c r="T109" s="3">
        <f>O109+Q109</f>
        <v/>
      </c>
      <c r="U109" s="44" t="n"/>
      <c r="V109" s="44" t="n"/>
      <c r="W109" s="3">
        <f>U109+V109</f>
        <v/>
      </c>
      <c r="X109" s="3">
        <f>T109-W109</f>
        <v/>
      </c>
      <c r="Y109" s="44" t="n"/>
      <c r="Z109" s="45" t="n"/>
      <c r="AA109" s="3">
        <f>Table6[[#This Row],[(RESV. STORGE) AJD]]/10</f>
        <v/>
      </c>
      <c r="AB109" s="3">
        <f>IF(TRIM(Z109)="",,(Z109-Z108)/1000)</f>
        <v/>
      </c>
      <c r="AC109" s="5" t="n"/>
      <c r="AD109" s="40">
        <f>(Table6[[#This Row],[( S/S+T/B) AJD]]*1000)-((Table6[[#This Row],[(STORGE DIFF.) AJD]]*1000)+Table6[[#This Row],[AJD_Evaporation]]+(Table6[[#This Row],[(A/B + A/S) AJD]]*1000))</f>
        <v/>
      </c>
      <c r="AE109" s="44" t="n"/>
      <c r="AF109" s="45" t="n"/>
      <c r="AG109" s="45" t="n"/>
      <c r="AH109" s="6">
        <f>Table6[[#This Row],[ (RESV. STORGE) BER]]/10</f>
        <v/>
      </c>
      <c r="AI109" s="44" t="n"/>
      <c r="AJ109" s="45">
        <f>Table6[[#This Row],[(A/B) AJD]]-TABL12345[[#This Row],[BER_IN]]</f>
        <v/>
      </c>
      <c r="AK109" s="45" t="n"/>
      <c r="AL109" s="45" t="n"/>
      <c r="AM109" s="32" t="n"/>
      <c r="AN109" s="32">
        <f>Table6[[#This Row],[ (RESV. STORGE) SER]]/10</f>
        <v/>
      </c>
      <c r="AO109" s="68" t="n"/>
      <c r="AP109" s="99">
        <f>Table6[[#This Row],[(A/S) AJD]]-Table6[[#This Row],[SER_IN]]</f>
        <v/>
      </c>
    </row>
    <row r="110" ht="18.75" customHeight="1">
      <c r="A110" s="98" t="n">
        <v>47592</v>
      </c>
      <c r="B110" s="41" t="n"/>
      <c r="C110" s="41" t="n"/>
      <c r="D110" s="41" t="n"/>
      <c r="E110" s="41" t="n"/>
      <c r="F110" s="41" t="n"/>
      <c r="G110" s="39" t="n"/>
      <c r="H110" s="28" t="n"/>
      <c r="I110" s="39" t="n"/>
      <c r="J110" s="39" t="n"/>
      <c r="K110" s="28">
        <f>Table6[[#This Row],[ (T/B) SAR]]+Table6[[#This Row],[ (S/S) SAR]]</f>
        <v/>
      </c>
      <c r="L110" s="41" t="n"/>
      <c r="M110" s="42" t="n"/>
      <c r="N110" s="42" t="n"/>
      <c r="O110" s="39" t="n"/>
      <c r="P110" s="3">
        <f>Table6[[#This Row],[ (S/S) SAR]]-Table6[[#This Row],[(S/S) AJD]]</f>
        <v/>
      </c>
      <c r="Q110" s="39" t="n"/>
      <c r="R110" s="3">
        <f>Table6[[#This Row],[ (T/B) SAR]]-Table6[[#This Row],[(T/B) AJD]]</f>
        <v/>
      </c>
      <c r="S110" s="3">
        <f>Table6[[#This Row],[S/S_CON.]]+Table6[[#This Row],[T/B-CON.]]</f>
        <v/>
      </c>
      <c r="T110" s="3">
        <f>O110+Q110</f>
        <v/>
      </c>
      <c r="U110" s="41" t="n"/>
      <c r="V110" s="41" t="n"/>
      <c r="W110" s="3">
        <f>U110+V110</f>
        <v/>
      </c>
      <c r="X110" s="3">
        <f>T110-W110</f>
        <v/>
      </c>
      <c r="Y110" s="41" t="n"/>
      <c r="Z110" s="43" t="n"/>
      <c r="AA110" s="3">
        <f>Table6[[#This Row],[(RESV. STORGE) AJD]]/10</f>
        <v/>
      </c>
      <c r="AB110" s="3">
        <f>IF(TRIM(Z110)="",,(Z110-Z109)/1000)</f>
        <v/>
      </c>
      <c r="AC110" s="5" t="n"/>
      <c r="AD110" s="39">
        <f>(Table6[[#This Row],[( S/S+T/B) AJD]]*1000)-((Table6[[#This Row],[(STORGE DIFF.) AJD]]*1000)+Table6[[#This Row],[AJD_Evaporation]]+(Table6[[#This Row],[(A/B + A/S) AJD]]*1000))</f>
        <v/>
      </c>
      <c r="AE110" s="41" t="n"/>
      <c r="AF110" s="43" t="n"/>
      <c r="AG110" s="43" t="n"/>
      <c r="AH110" s="6">
        <f>Table6[[#This Row],[ (RESV. STORGE) BER]]/10</f>
        <v/>
      </c>
      <c r="AI110" s="41" t="n"/>
      <c r="AJ110" s="43">
        <f>Table6[[#This Row],[(A/B) AJD]]-TABL12345[[#This Row],[BER_IN]]</f>
        <v/>
      </c>
      <c r="AK110" s="43" t="n"/>
      <c r="AL110" s="43" t="n"/>
      <c r="AM110" s="32" t="n"/>
      <c r="AN110" s="32">
        <f>Table6[[#This Row],[ (RESV. STORGE) SER]]/10</f>
        <v/>
      </c>
      <c r="AO110" s="68" t="n"/>
      <c r="AP110" s="99">
        <f>Table6[[#This Row],[(A/S) AJD]]-Table6[[#This Row],[SER_IN]]</f>
        <v/>
      </c>
    </row>
    <row r="111" ht="18.75" customHeight="1">
      <c r="A111" s="98" t="n">
        <v>47593</v>
      </c>
      <c r="B111" s="44" t="n"/>
      <c r="C111" s="44" t="n"/>
      <c r="D111" s="44" t="n"/>
      <c r="E111" s="44" t="n"/>
      <c r="F111" s="44" t="n"/>
      <c r="G111" s="40" t="n"/>
      <c r="H111" s="28" t="n"/>
      <c r="I111" s="40" t="n"/>
      <c r="J111" s="44" t="n"/>
      <c r="K111" s="28">
        <f>Table6[[#This Row],[ (T/B) SAR]]+Table6[[#This Row],[ (S/S) SAR]]</f>
        <v/>
      </c>
      <c r="L111" s="45" t="n"/>
      <c r="M111" s="46" t="n"/>
      <c r="N111" s="46" t="n"/>
      <c r="O111" s="40" t="n"/>
      <c r="P111" s="3">
        <f>Table6[[#This Row],[ (S/S) SAR]]-Table6[[#This Row],[(S/S) AJD]]</f>
        <v/>
      </c>
      <c r="Q111" s="40" t="n"/>
      <c r="R111" s="3">
        <f>Table6[[#This Row],[ (T/B) SAR]]-Table6[[#This Row],[(T/B) AJD]]</f>
        <v/>
      </c>
      <c r="S111" s="3">
        <f>Table6[[#This Row],[S/S_CON.]]+Table6[[#This Row],[T/B-CON.]]</f>
        <v/>
      </c>
      <c r="T111" s="3">
        <f>O111+Q111</f>
        <v/>
      </c>
      <c r="U111" s="44" t="n"/>
      <c r="V111" s="44" t="n"/>
      <c r="W111" s="3">
        <f>U111+V111</f>
        <v/>
      </c>
      <c r="X111" s="3">
        <f>T111-W111</f>
        <v/>
      </c>
      <c r="Y111" s="44" t="n"/>
      <c r="Z111" s="45" t="n"/>
      <c r="AA111" s="3">
        <f>Table6[[#This Row],[(RESV. STORGE) AJD]]/10</f>
        <v/>
      </c>
      <c r="AB111" s="3">
        <f>IF(TRIM(Z111)="",,(Z111-Z110)/1000)</f>
        <v/>
      </c>
      <c r="AC111" s="5" t="n"/>
      <c r="AD111" s="40">
        <f>(Table6[[#This Row],[( S/S+T/B) AJD]]*1000)-((Table6[[#This Row],[(STORGE DIFF.) AJD]]*1000)+Table6[[#This Row],[AJD_Evaporation]]+(Table6[[#This Row],[(A/B + A/S) AJD]]*1000))</f>
        <v/>
      </c>
      <c r="AE111" s="44" t="n"/>
      <c r="AF111" s="45" t="n"/>
      <c r="AG111" s="45" t="n"/>
      <c r="AH111" s="6">
        <f>Table6[[#This Row],[ (RESV. STORGE) BER]]/10</f>
        <v/>
      </c>
      <c r="AI111" s="44" t="n"/>
      <c r="AJ111" s="45">
        <f>Table6[[#This Row],[(A/B) AJD]]-TABL12345[[#This Row],[BER_IN]]</f>
        <v/>
      </c>
      <c r="AK111" s="45" t="n"/>
      <c r="AL111" s="45" t="n"/>
      <c r="AM111" s="32" t="n"/>
      <c r="AN111" s="32">
        <f>Table6[[#This Row],[ (RESV. STORGE) SER]]/10</f>
        <v/>
      </c>
      <c r="AO111" s="68" t="n"/>
      <c r="AP111" s="99">
        <f>Table6[[#This Row],[(A/S) AJD]]-Table6[[#This Row],[SER_IN]]</f>
        <v/>
      </c>
    </row>
    <row r="112" ht="18.75" customHeight="1">
      <c r="A112" s="98" t="n">
        <v>47594</v>
      </c>
      <c r="B112" s="41" t="n"/>
      <c r="C112" s="41" t="n"/>
      <c r="D112" s="41" t="n"/>
      <c r="E112" s="41" t="n"/>
      <c r="F112" s="41" t="n"/>
      <c r="G112" s="39" t="n"/>
      <c r="H112" s="28" t="n"/>
      <c r="I112" s="39" t="n"/>
      <c r="J112" s="39" t="n"/>
      <c r="K112" s="28">
        <f>Table6[[#This Row],[ (T/B) SAR]]+Table6[[#This Row],[ (S/S) SAR]]</f>
        <v/>
      </c>
      <c r="L112" s="41" t="n"/>
      <c r="M112" s="42" t="n"/>
      <c r="N112" s="42" t="n"/>
      <c r="O112" s="39" t="n"/>
      <c r="P112" s="3">
        <f>Table6[[#This Row],[ (S/S) SAR]]-Table6[[#This Row],[(S/S) AJD]]</f>
        <v/>
      </c>
      <c r="Q112" s="39" t="n"/>
      <c r="R112" s="3">
        <f>Table6[[#This Row],[ (T/B) SAR]]-Table6[[#This Row],[(T/B) AJD]]</f>
        <v/>
      </c>
      <c r="S112" s="3">
        <f>Table6[[#This Row],[S/S_CON.]]+Table6[[#This Row],[T/B-CON.]]</f>
        <v/>
      </c>
      <c r="T112" s="3">
        <f>O112+Q112</f>
        <v/>
      </c>
      <c r="U112" s="41" t="n"/>
      <c r="V112" s="41" t="n"/>
      <c r="W112" s="3">
        <f>U112+V112</f>
        <v/>
      </c>
      <c r="X112" s="3">
        <f>T112-W112</f>
        <v/>
      </c>
      <c r="Y112" s="41" t="n"/>
      <c r="Z112" s="43" t="n"/>
      <c r="AA112" s="3">
        <f>Table6[[#This Row],[(RESV. STORGE) AJD]]/10</f>
        <v/>
      </c>
      <c r="AB112" s="3">
        <f>IF(TRIM(Z112)="",,(Z112-Z111)/1000)</f>
        <v/>
      </c>
      <c r="AC112" s="5" t="n"/>
      <c r="AD112" s="39">
        <f>(Table6[[#This Row],[( S/S+T/B) AJD]]*1000)-((Table6[[#This Row],[(STORGE DIFF.) AJD]]*1000)+Table6[[#This Row],[AJD_Evaporation]]+(Table6[[#This Row],[(A/B + A/S) AJD]]*1000))</f>
        <v/>
      </c>
      <c r="AE112" s="41" t="n"/>
      <c r="AF112" s="43" t="n"/>
      <c r="AG112" s="43" t="n"/>
      <c r="AH112" s="6">
        <f>Table6[[#This Row],[ (RESV. STORGE) BER]]/10</f>
        <v/>
      </c>
      <c r="AI112" s="41" t="n"/>
      <c r="AJ112" s="43">
        <f>Table6[[#This Row],[(A/B) AJD]]-TABL12345[[#This Row],[BER_IN]]</f>
        <v/>
      </c>
      <c r="AK112" s="43" t="n"/>
      <c r="AL112" s="43" t="n"/>
      <c r="AM112" s="32" t="n"/>
      <c r="AN112" s="32">
        <f>Table6[[#This Row],[ (RESV. STORGE) SER]]/10</f>
        <v/>
      </c>
      <c r="AO112" s="68" t="n"/>
      <c r="AP112" s="99">
        <f>Table6[[#This Row],[(A/S) AJD]]-Table6[[#This Row],[SER_IN]]</f>
        <v/>
      </c>
    </row>
    <row r="113" ht="18.75" customHeight="1">
      <c r="A113" s="98" t="n">
        <v>47595</v>
      </c>
      <c r="B113" s="44" t="n"/>
      <c r="C113" s="44" t="n"/>
      <c r="D113" s="44" t="n"/>
      <c r="E113" s="44" t="n"/>
      <c r="F113" s="44" t="n"/>
      <c r="G113" s="40" t="n"/>
      <c r="H113" s="28" t="n"/>
      <c r="I113" s="40" t="n"/>
      <c r="J113" s="44" t="n"/>
      <c r="K113" s="28">
        <f>Table6[[#This Row],[ (T/B) SAR]]+Table6[[#This Row],[ (S/S) SAR]]</f>
        <v/>
      </c>
      <c r="L113" s="45" t="n"/>
      <c r="M113" s="46" t="n"/>
      <c r="N113" s="46" t="n"/>
      <c r="O113" s="40" t="n"/>
      <c r="P113" s="3">
        <f>Table6[[#This Row],[ (S/S) SAR]]-Table6[[#This Row],[(S/S) AJD]]</f>
        <v/>
      </c>
      <c r="Q113" s="40" t="n"/>
      <c r="R113" s="3">
        <f>Table6[[#This Row],[ (T/B) SAR]]-Table6[[#This Row],[(T/B) AJD]]</f>
        <v/>
      </c>
      <c r="S113" s="3">
        <f>Table6[[#This Row],[S/S_CON.]]+Table6[[#This Row],[T/B-CON.]]</f>
        <v/>
      </c>
      <c r="T113" s="3">
        <f>O113+Q113</f>
        <v/>
      </c>
      <c r="U113" s="44" t="n"/>
      <c r="V113" s="44" t="n"/>
      <c r="W113" s="3">
        <f>U113+V113</f>
        <v/>
      </c>
      <c r="X113" s="3">
        <f>T113-W113</f>
        <v/>
      </c>
      <c r="Y113" s="44" t="n"/>
      <c r="Z113" s="45" t="n"/>
      <c r="AA113" s="3">
        <f>Table6[[#This Row],[(RESV. STORGE) AJD]]/10</f>
        <v/>
      </c>
      <c r="AB113" s="3">
        <f>IF(TRIM(Z113)="",,(Z113-Z112)/1000)</f>
        <v/>
      </c>
      <c r="AC113" s="5" t="n"/>
      <c r="AD113" s="40">
        <f>(Table6[[#This Row],[( S/S+T/B) AJD]]*1000)-((Table6[[#This Row],[(STORGE DIFF.) AJD]]*1000)+Table6[[#This Row],[AJD_Evaporation]]+(Table6[[#This Row],[(A/B + A/S) AJD]]*1000))</f>
        <v/>
      </c>
      <c r="AE113" s="44" t="n"/>
      <c r="AF113" s="45" t="n"/>
      <c r="AG113" s="45" t="n"/>
      <c r="AH113" s="6">
        <f>Table6[[#This Row],[ (RESV. STORGE) BER]]/10</f>
        <v/>
      </c>
      <c r="AI113" s="44" t="n"/>
      <c r="AJ113" s="45">
        <f>Table6[[#This Row],[(A/B) AJD]]-TABL12345[[#This Row],[BER_IN]]</f>
        <v/>
      </c>
      <c r="AK113" s="45" t="n"/>
      <c r="AL113" s="45" t="n"/>
      <c r="AM113" s="32" t="n"/>
      <c r="AN113" s="32">
        <f>Table6[[#This Row],[ (RESV. STORGE) SER]]/10</f>
        <v/>
      </c>
      <c r="AO113" s="68" t="n"/>
      <c r="AP113" s="99">
        <f>Table6[[#This Row],[(A/S) AJD]]-Table6[[#This Row],[SER_IN]]</f>
        <v/>
      </c>
    </row>
    <row r="114" ht="18.75" customHeight="1">
      <c r="A114" s="98" t="n">
        <v>47596</v>
      </c>
      <c r="B114" s="41" t="n"/>
      <c r="C114" s="41" t="n"/>
      <c r="D114" s="41" t="n"/>
      <c r="E114" s="41" t="n"/>
      <c r="F114" s="41" t="n"/>
      <c r="G114" s="39" t="n"/>
      <c r="H114" s="28" t="n"/>
      <c r="I114" s="39" t="n"/>
      <c r="J114" s="39" t="n"/>
      <c r="K114" s="28">
        <f>Table6[[#This Row],[ (T/B) SAR]]+Table6[[#This Row],[ (S/S) SAR]]</f>
        <v/>
      </c>
      <c r="L114" s="41" t="n"/>
      <c r="M114" s="42" t="n"/>
      <c r="N114" s="42" t="n"/>
      <c r="O114" s="39" t="n"/>
      <c r="P114" s="3">
        <f>Table6[[#This Row],[ (S/S) SAR]]-Table6[[#This Row],[(S/S) AJD]]</f>
        <v/>
      </c>
      <c r="Q114" s="39" t="n"/>
      <c r="R114" s="3">
        <f>Table6[[#This Row],[ (T/B) SAR]]-Table6[[#This Row],[(T/B) AJD]]</f>
        <v/>
      </c>
      <c r="S114" s="3">
        <f>Table6[[#This Row],[S/S_CON.]]+Table6[[#This Row],[T/B-CON.]]</f>
        <v/>
      </c>
      <c r="T114" s="3">
        <f>O114+Q114</f>
        <v/>
      </c>
      <c r="U114" s="41" t="n"/>
      <c r="V114" s="41" t="n"/>
      <c r="W114" s="3">
        <f>U114+V114</f>
        <v/>
      </c>
      <c r="X114" s="3">
        <f>T114-W114</f>
        <v/>
      </c>
      <c r="Y114" s="41" t="n"/>
      <c r="Z114" s="43" t="n"/>
      <c r="AA114" s="3">
        <f>Table6[[#This Row],[(RESV. STORGE) AJD]]/10</f>
        <v/>
      </c>
      <c r="AB114" s="3">
        <f>IF(TRIM(Z114)="",,(Z114-Z113)/1000)</f>
        <v/>
      </c>
      <c r="AC114" s="5" t="n"/>
      <c r="AD114" s="39">
        <f>(Table6[[#This Row],[( S/S+T/B) AJD]]*1000)-((Table6[[#This Row],[(STORGE DIFF.) AJD]]*1000)+Table6[[#This Row],[AJD_Evaporation]]+(Table6[[#This Row],[(A/B + A/S) AJD]]*1000))</f>
        <v/>
      </c>
      <c r="AE114" s="41" t="n"/>
      <c r="AF114" s="43" t="n"/>
      <c r="AG114" s="43" t="n"/>
      <c r="AH114" s="6">
        <f>Table6[[#This Row],[ (RESV. STORGE) BER]]/10</f>
        <v/>
      </c>
      <c r="AI114" s="41" t="n"/>
      <c r="AJ114" s="43">
        <f>Table6[[#This Row],[(A/B) AJD]]-TABL12345[[#This Row],[BER_IN]]</f>
        <v/>
      </c>
      <c r="AK114" s="43" t="n"/>
      <c r="AL114" s="43" t="n"/>
      <c r="AM114" s="32" t="n"/>
      <c r="AN114" s="32">
        <f>Table6[[#This Row],[ (RESV. STORGE) SER]]/10</f>
        <v/>
      </c>
      <c r="AO114" s="68" t="n"/>
      <c r="AP114" s="99">
        <f>Table6[[#This Row],[(A/S) AJD]]-Table6[[#This Row],[SER_IN]]</f>
        <v/>
      </c>
    </row>
    <row r="115" ht="18.75" customHeight="1">
      <c r="A115" s="98" t="n">
        <v>47597</v>
      </c>
      <c r="B115" s="44" t="n"/>
      <c r="C115" s="44" t="n"/>
      <c r="D115" s="44" t="n"/>
      <c r="E115" s="44" t="n"/>
      <c r="F115" s="44" t="n"/>
      <c r="G115" s="40" t="n"/>
      <c r="H115" s="28" t="n"/>
      <c r="I115" s="40" t="n"/>
      <c r="J115" s="44" t="n"/>
      <c r="K115" s="28">
        <f>Table6[[#This Row],[ (T/B) SAR]]+Table6[[#This Row],[ (S/S) SAR]]</f>
        <v/>
      </c>
      <c r="L115" s="45" t="n"/>
      <c r="M115" s="46" t="n"/>
      <c r="N115" s="46" t="n"/>
      <c r="O115" s="40" t="n"/>
      <c r="P115" s="3">
        <f>Table6[[#This Row],[ (S/S) SAR]]-Table6[[#This Row],[(S/S) AJD]]</f>
        <v/>
      </c>
      <c r="Q115" s="40" t="n"/>
      <c r="R115" s="3">
        <f>Table6[[#This Row],[ (T/B) SAR]]-Table6[[#This Row],[(T/B) AJD]]</f>
        <v/>
      </c>
      <c r="S115" s="3">
        <f>Table6[[#This Row],[S/S_CON.]]+Table6[[#This Row],[T/B-CON.]]</f>
        <v/>
      </c>
      <c r="T115" s="3">
        <f>O115+Q115</f>
        <v/>
      </c>
      <c r="U115" s="44" t="n"/>
      <c r="V115" s="44" t="n"/>
      <c r="W115" s="3">
        <f>U115+V115</f>
        <v/>
      </c>
      <c r="X115" s="3">
        <f>T115-W115</f>
        <v/>
      </c>
      <c r="Y115" s="44" t="n"/>
      <c r="Z115" s="45" t="n"/>
      <c r="AA115" s="3">
        <f>Table6[[#This Row],[(RESV. STORGE) AJD]]/10</f>
        <v/>
      </c>
      <c r="AB115" s="3">
        <f>IF(TRIM(Z115)="",,(Z115-Z114)/1000)</f>
        <v/>
      </c>
      <c r="AC115" s="5" t="n"/>
      <c r="AD115" s="40">
        <f>(Table6[[#This Row],[( S/S+T/B) AJD]]*1000)-((Table6[[#This Row],[(STORGE DIFF.) AJD]]*1000)+Table6[[#This Row],[AJD_Evaporation]]+(Table6[[#This Row],[(A/B + A/S) AJD]]*1000))</f>
        <v/>
      </c>
      <c r="AE115" s="44" t="n"/>
      <c r="AF115" s="45" t="n"/>
      <c r="AG115" s="45" t="n"/>
      <c r="AH115" s="6">
        <f>Table6[[#This Row],[ (RESV. STORGE) BER]]/10</f>
        <v/>
      </c>
      <c r="AI115" s="44" t="n"/>
      <c r="AJ115" s="45">
        <f>Table6[[#This Row],[(A/B) AJD]]-TABL12345[[#This Row],[BER_IN]]</f>
        <v/>
      </c>
      <c r="AK115" s="45" t="n"/>
      <c r="AL115" s="45" t="n"/>
      <c r="AM115" s="32" t="n"/>
      <c r="AN115" s="32">
        <f>Table6[[#This Row],[ (RESV. STORGE) SER]]/10</f>
        <v/>
      </c>
      <c r="AO115" s="68" t="n"/>
      <c r="AP115" s="99">
        <f>Table6[[#This Row],[(A/S) AJD]]-Table6[[#This Row],[SER_IN]]</f>
        <v/>
      </c>
    </row>
    <row r="116" ht="18.75" customHeight="1">
      <c r="A116" s="98" t="n">
        <v>47598</v>
      </c>
      <c r="B116" s="41" t="n"/>
      <c r="C116" s="41" t="n"/>
      <c r="D116" s="41" t="n"/>
      <c r="E116" s="41" t="n"/>
      <c r="F116" s="41" t="n"/>
      <c r="G116" s="39" t="n"/>
      <c r="H116" s="28" t="n"/>
      <c r="I116" s="39" t="n"/>
      <c r="J116" s="39" t="n"/>
      <c r="K116" s="28">
        <f>Table6[[#This Row],[ (T/B) SAR]]+Table6[[#This Row],[ (S/S) SAR]]</f>
        <v/>
      </c>
      <c r="L116" s="41" t="n"/>
      <c r="M116" s="42" t="n"/>
      <c r="N116" s="42" t="n"/>
      <c r="O116" s="39" t="n"/>
      <c r="P116" s="3">
        <f>Table6[[#This Row],[ (S/S) SAR]]-Table6[[#This Row],[(S/S) AJD]]</f>
        <v/>
      </c>
      <c r="Q116" s="39" t="n"/>
      <c r="R116" s="3">
        <f>Table6[[#This Row],[ (T/B) SAR]]-Table6[[#This Row],[(T/B) AJD]]</f>
        <v/>
      </c>
      <c r="S116" s="3">
        <f>Table6[[#This Row],[S/S_CON.]]+Table6[[#This Row],[T/B-CON.]]</f>
        <v/>
      </c>
      <c r="T116" s="3">
        <f>O116+Q116</f>
        <v/>
      </c>
      <c r="U116" s="41" t="n"/>
      <c r="V116" s="41" t="n"/>
      <c r="W116" s="3">
        <f>U116+V116</f>
        <v/>
      </c>
      <c r="X116" s="3">
        <f>T116-W116</f>
        <v/>
      </c>
      <c r="Y116" s="41" t="n"/>
      <c r="Z116" s="43" t="n"/>
      <c r="AA116" s="3">
        <f>Table6[[#This Row],[(RESV. STORGE) AJD]]/10</f>
        <v/>
      </c>
      <c r="AB116" s="3">
        <f>IF(TRIM(Z116)="",,(Z116-Z115)/1000)</f>
        <v/>
      </c>
      <c r="AC116" s="5" t="n"/>
      <c r="AD116" s="39">
        <f>(Table6[[#This Row],[( S/S+T/B) AJD]]*1000)-((Table6[[#This Row],[(STORGE DIFF.) AJD]]*1000)+Table6[[#This Row],[AJD_Evaporation]]+(Table6[[#This Row],[(A/B + A/S) AJD]]*1000))</f>
        <v/>
      </c>
      <c r="AE116" s="41" t="n"/>
      <c r="AF116" s="43" t="n"/>
      <c r="AG116" s="43" t="n"/>
      <c r="AH116" s="6">
        <f>Table6[[#This Row],[ (RESV. STORGE) BER]]/10</f>
        <v/>
      </c>
      <c r="AI116" s="41" t="n"/>
      <c r="AJ116" s="43">
        <f>Table6[[#This Row],[(A/B) AJD]]-TABL12345[[#This Row],[BER_IN]]</f>
        <v/>
      </c>
      <c r="AK116" s="43" t="n"/>
      <c r="AL116" s="43" t="n"/>
      <c r="AM116" s="32" t="n"/>
      <c r="AN116" s="32">
        <f>Table6[[#This Row],[ (RESV. STORGE) SER]]/10</f>
        <v/>
      </c>
      <c r="AO116" s="68" t="n"/>
      <c r="AP116" s="99">
        <f>Table6[[#This Row],[(A/S) AJD]]-Table6[[#This Row],[SER_IN]]</f>
        <v/>
      </c>
    </row>
    <row r="117" ht="18.75" customHeight="1">
      <c r="A117" s="98" t="n">
        <v>47599</v>
      </c>
      <c r="B117" s="44" t="n"/>
      <c r="C117" s="67" t="n"/>
      <c r="D117" s="44" t="n"/>
      <c r="E117" s="44" t="n"/>
      <c r="F117" s="44" t="n"/>
      <c r="G117" s="40" t="n"/>
      <c r="H117" s="28" t="n"/>
      <c r="I117" s="40" t="n"/>
      <c r="J117" s="44" t="n"/>
      <c r="K117" s="28">
        <f>Table6[[#This Row],[ (T/B) SAR]]+Table6[[#This Row],[ (S/S) SAR]]</f>
        <v/>
      </c>
      <c r="L117" s="45" t="n"/>
      <c r="M117" s="46" t="n"/>
      <c r="N117" s="46" t="n"/>
      <c r="O117" s="40" t="n"/>
      <c r="P117" s="3">
        <f>Table6[[#This Row],[ (S/S) SAR]]-Table6[[#This Row],[(S/S) AJD]]</f>
        <v/>
      </c>
      <c r="Q117" s="40" t="n"/>
      <c r="R117" s="3">
        <f>Table6[[#This Row],[ (T/B) SAR]]-Table6[[#This Row],[(T/B) AJD]]</f>
        <v/>
      </c>
      <c r="S117" s="3">
        <f>Table6[[#This Row],[S/S_CON.]]+Table6[[#This Row],[T/B-CON.]]</f>
        <v/>
      </c>
      <c r="T117" s="3">
        <f>O117+Q117</f>
        <v/>
      </c>
      <c r="U117" s="44" t="n"/>
      <c r="V117" s="44" t="n"/>
      <c r="W117" s="3">
        <f>U117+V117</f>
        <v/>
      </c>
      <c r="X117" s="3">
        <f>T117-W117</f>
        <v/>
      </c>
      <c r="Y117" s="44" t="n"/>
      <c r="Z117" s="45" t="n"/>
      <c r="AA117" s="3">
        <f>Table6[[#This Row],[(RESV. STORGE) AJD]]/10</f>
        <v/>
      </c>
      <c r="AB117" s="3">
        <f>IF(TRIM(Z117)="",,(Z117-Z116)/1000)</f>
        <v/>
      </c>
      <c r="AC117" s="5" t="n"/>
      <c r="AD117" s="40">
        <f>(Table6[[#This Row],[( S/S+T/B) AJD]]*1000)-((Table6[[#This Row],[(STORGE DIFF.) AJD]]*1000)+Table6[[#This Row],[AJD_Evaporation]]+(Table6[[#This Row],[(A/B + A/S) AJD]]*1000))</f>
        <v/>
      </c>
      <c r="AE117" s="44" t="n"/>
      <c r="AF117" s="45" t="n"/>
      <c r="AG117" s="45" t="n"/>
      <c r="AH117" s="6">
        <f>Table6[[#This Row],[ (RESV. STORGE) BER]]/10</f>
        <v/>
      </c>
      <c r="AI117" s="44" t="n"/>
      <c r="AJ117" s="45">
        <f>Table6[[#This Row],[(A/B) AJD]]-TABL12345[[#This Row],[BER_IN]]</f>
        <v/>
      </c>
      <c r="AK117" s="45" t="n"/>
      <c r="AL117" s="45" t="n"/>
      <c r="AM117" s="32" t="n"/>
      <c r="AN117" s="32">
        <f>Table6[[#This Row],[ (RESV. STORGE) SER]]/10</f>
        <v/>
      </c>
      <c r="AO117" s="68" t="n"/>
      <c r="AP117" s="99">
        <f>Table6[[#This Row],[(A/S) AJD]]-Table6[[#This Row],[SER_IN]]</f>
        <v/>
      </c>
    </row>
    <row r="118" ht="18.75" customHeight="1">
      <c r="A118" s="98" t="n">
        <v>47600</v>
      </c>
      <c r="B118" s="41" t="n"/>
      <c r="C118" s="41" t="n"/>
      <c r="D118" s="41" t="n"/>
      <c r="E118" s="41" t="n"/>
      <c r="F118" s="41" t="n"/>
      <c r="G118" s="39" t="n"/>
      <c r="H118" s="28" t="n"/>
      <c r="I118" s="39" t="n"/>
      <c r="J118" s="39" t="n"/>
      <c r="K118" s="28">
        <f>Table6[[#This Row],[ (T/B) SAR]]+Table6[[#This Row],[ (S/S) SAR]]</f>
        <v/>
      </c>
      <c r="L118" s="41" t="n"/>
      <c r="M118" s="42" t="n"/>
      <c r="N118" s="42" t="n"/>
      <c r="O118" s="39" t="n"/>
      <c r="P118" s="3">
        <f>Table6[[#This Row],[ (S/S) SAR]]-Table6[[#This Row],[(S/S) AJD]]</f>
        <v/>
      </c>
      <c r="Q118" s="39" t="n"/>
      <c r="R118" s="3">
        <f>Table6[[#This Row],[ (T/B) SAR]]-Table6[[#This Row],[(T/B) AJD]]</f>
        <v/>
      </c>
      <c r="S118" s="3">
        <f>Table6[[#This Row],[S/S_CON.]]+Table6[[#This Row],[T/B-CON.]]</f>
        <v/>
      </c>
      <c r="T118" s="3">
        <f>O118+Q118</f>
        <v/>
      </c>
      <c r="U118" s="41" t="n"/>
      <c r="V118" s="41" t="n"/>
      <c r="W118" s="3">
        <f>U118+V118</f>
        <v/>
      </c>
      <c r="X118" s="3">
        <f>T118-W118</f>
        <v/>
      </c>
      <c r="Y118" s="41" t="n"/>
      <c r="Z118" s="43" t="n"/>
      <c r="AA118" s="3">
        <f>Table6[[#This Row],[(RESV. STORGE) AJD]]/10</f>
        <v/>
      </c>
      <c r="AB118" s="3">
        <f>IF(TRIM(Z118)="",,(Z118-Z117)/1000)</f>
        <v/>
      </c>
      <c r="AC118" s="5" t="n"/>
      <c r="AD118" s="39">
        <f>(Table6[[#This Row],[( S/S+T/B) AJD]]*1000)-((Table6[[#This Row],[(STORGE DIFF.) AJD]]*1000)+Table6[[#This Row],[AJD_Evaporation]]+(Table6[[#This Row],[(A/B + A/S) AJD]]*1000))</f>
        <v/>
      </c>
      <c r="AE118" s="41" t="n"/>
      <c r="AF118" s="43" t="n"/>
      <c r="AG118" s="43" t="n"/>
      <c r="AH118" s="6">
        <f>Table6[[#This Row],[ (RESV. STORGE) BER]]/10</f>
        <v/>
      </c>
      <c r="AI118" s="41" t="n"/>
      <c r="AJ118" s="43">
        <f>Table6[[#This Row],[(A/B) AJD]]-TABL12345[[#This Row],[BER_IN]]</f>
        <v/>
      </c>
      <c r="AK118" s="43" t="n"/>
      <c r="AL118" s="43" t="n"/>
      <c r="AM118" s="32" t="n"/>
      <c r="AN118" s="32">
        <f>Table6[[#This Row],[ (RESV. STORGE) SER]]/10</f>
        <v/>
      </c>
      <c r="AO118" s="68" t="n"/>
      <c r="AP118" s="99">
        <f>Table6[[#This Row],[(A/S) AJD]]-Table6[[#This Row],[SER_IN]]</f>
        <v/>
      </c>
    </row>
    <row r="119" ht="18.75" customHeight="1">
      <c r="A119" s="98" t="n">
        <v>47601</v>
      </c>
      <c r="B119" s="44" t="n"/>
      <c r="C119" s="44" t="n"/>
      <c r="D119" s="44" t="n"/>
      <c r="E119" s="44" t="n"/>
      <c r="F119" s="44" t="n"/>
      <c r="G119" s="40" t="n"/>
      <c r="H119" s="28" t="n"/>
      <c r="I119" s="40" t="n"/>
      <c r="J119" s="44" t="n"/>
      <c r="K119" s="28">
        <f>Table6[[#This Row],[ (T/B) SAR]]+Table6[[#This Row],[ (S/S) SAR]]</f>
        <v/>
      </c>
      <c r="L119" s="45" t="n"/>
      <c r="M119" s="46" t="n"/>
      <c r="N119" s="46" t="n"/>
      <c r="O119" s="40" t="n"/>
      <c r="P119" s="3">
        <f>Table6[[#This Row],[ (S/S) SAR]]-Table6[[#This Row],[(S/S) AJD]]</f>
        <v/>
      </c>
      <c r="Q119" s="40" t="n"/>
      <c r="R119" s="3">
        <f>Table6[[#This Row],[ (T/B) SAR]]-Table6[[#This Row],[(T/B) AJD]]</f>
        <v/>
      </c>
      <c r="S119" s="3">
        <f>Table6[[#This Row],[S/S_CON.]]+Table6[[#This Row],[T/B-CON.]]</f>
        <v/>
      </c>
      <c r="T119" s="3">
        <f>O119+Q119</f>
        <v/>
      </c>
      <c r="U119" s="44" t="n"/>
      <c r="V119" s="44" t="n"/>
      <c r="W119" s="3">
        <f>U119+V119</f>
        <v/>
      </c>
      <c r="X119" s="3">
        <f>T119-W119</f>
        <v/>
      </c>
      <c r="Y119" s="44" t="n"/>
      <c r="Z119" s="45" t="n"/>
      <c r="AA119" s="3">
        <f>Table6[[#This Row],[(RESV. STORGE) AJD]]/10</f>
        <v/>
      </c>
      <c r="AB119" s="3">
        <f>IF(TRIM(Z119)="",,(Z119-Z118)/1000)</f>
        <v/>
      </c>
      <c r="AC119" s="5" t="n"/>
      <c r="AD119" s="40">
        <f>(Table6[[#This Row],[( S/S+T/B) AJD]]*1000)-((Table6[[#This Row],[(STORGE DIFF.) AJD]]*1000)+Table6[[#This Row],[AJD_Evaporation]]+(Table6[[#This Row],[(A/B + A/S) AJD]]*1000))</f>
        <v/>
      </c>
      <c r="AE119" s="44" t="n"/>
      <c r="AF119" s="45" t="n"/>
      <c r="AG119" s="45" t="n"/>
      <c r="AH119" s="6">
        <f>Table6[[#This Row],[ (RESV. STORGE) BER]]/10</f>
        <v/>
      </c>
      <c r="AI119" s="44" t="n"/>
      <c r="AJ119" s="45">
        <f>Table6[[#This Row],[(A/B) AJD]]-TABL12345[[#This Row],[BER_IN]]</f>
        <v/>
      </c>
      <c r="AK119" s="45" t="n"/>
      <c r="AL119" s="45" t="n"/>
      <c r="AM119" s="32" t="n"/>
      <c r="AN119" s="32">
        <f>Table6[[#This Row],[ (RESV. STORGE) SER]]/10</f>
        <v/>
      </c>
      <c r="AO119" s="68" t="n"/>
      <c r="AP119" s="99">
        <f>Table6[[#This Row],[(A/S) AJD]]-Table6[[#This Row],[SER_IN]]</f>
        <v/>
      </c>
    </row>
    <row r="120" ht="18.75" customHeight="1">
      <c r="A120" s="98" t="n">
        <v>47602</v>
      </c>
      <c r="B120" s="41" t="n"/>
      <c r="C120" s="41" t="n"/>
      <c r="D120" s="41" t="n"/>
      <c r="E120" s="41" t="n"/>
      <c r="F120" s="41" t="n"/>
      <c r="G120" s="39" t="n"/>
      <c r="H120" s="28" t="n"/>
      <c r="I120" s="39" t="n"/>
      <c r="J120" s="39" t="n"/>
      <c r="K120" s="28">
        <f>Table6[[#This Row],[ (T/B) SAR]]+Table6[[#This Row],[ (S/S) SAR]]</f>
        <v/>
      </c>
      <c r="L120" s="41" t="n"/>
      <c r="M120" s="42" t="n"/>
      <c r="N120" s="42" t="n"/>
      <c r="O120" s="39" t="n"/>
      <c r="P120" s="3">
        <f>Table6[[#This Row],[ (S/S) SAR]]-Table6[[#This Row],[(S/S) AJD]]</f>
        <v/>
      </c>
      <c r="Q120" s="39" t="n"/>
      <c r="R120" s="3">
        <f>Table6[[#This Row],[ (T/B) SAR]]-Table6[[#This Row],[(T/B) AJD]]</f>
        <v/>
      </c>
      <c r="S120" s="3">
        <f>Table6[[#This Row],[S/S_CON.]]+Table6[[#This Row],[T/B-CON.]]</f>
        <v/>
      </c>
      <c r="T120" s="3">
        <f>O120+Q120</f>
        <v/>
      </c>
      <c r="U120" s="41" t="n"/>
      <c r="V120" s="41" t="n"/>
      <c r="W120" s="3">
        <f>U120+V120</f>
        <v/>
      </c>
      <c r="X120" s="3">
        <f>T120-W120</f>
        <v/>
      </c>
      <c r="Y120" s="41" t="n"/>
      <c r="Z120" s="43" t="n"/>
      <c r="AA120" s="3">
        <f>Table6[[#This Row],[(RESV. STORGE) AJD]]/10</f>
        <v/>
      </c>
      <c r="AB120" s="3">
        <f>IF(TRIM(Z120)="",,(Z120-Z119)/1000)</f>
        <v/>
      </c>
      <c r="AC120" s="5" t="n"/>
      <c r="AD120" s="39">
        <f>(Table6[[#This Row],[( S/S+T/B) AJD]]*1000)-((Table6[[#This Row],[(STORGE DIFF.) AJD]]*1000)+Table6[[#This Row],[AJD_Evaporation]]+(Table6[[#This Row],[(A/B + A/S) AJD]]*1000))</f>
        <v/>
      </c>
      <c r="AE120" s="41" t="n"/>
      <c r="AF120" s="43" t="n"/>
      <c r="AG120" s="43" t="n"/>
      <c r="AH120" s="6">
        <f>Table6[[#This Row],[ (RESV. STORGE) BER]]/10</f>
        <v/>
      </c>
      <c r="AI120" s="41" t="n"/>
      <c r="AJ120" s="43">
        <f>Table6[[#This Row],[(A/B) AJD]]-TABL12345[[#This Row],[BER_IN]]</f>
        <v/>
      </c>
      <c r="AK120" s="43" t="n"/>
      <c r="AL120" s="43" t="n"/>
      <c r="AM120" s="32" t="n"/>
      <c r="AN120" s="32">
        <f>Table6[[#This Row],[ (RESV. STORGE) SER]]/10</f>
        <v/>
      </c>
      <c r="AO120" s="68" t="n"/>
      <c r="AP120" s="99">
        <f>Table6[[#This Row],[(A/S) AJD]]-Table6[[#This Row],[SER_IN]]</f>
        <v/>
      </c>
    </row>
    <row r="121" ht="18.75" customHeight="1">
      <c r="A121" s="98" t="n">
        <v>47603</v>
      </c>
      <c r="B121" s="44" t="n"/>
      <c r="C121" s="44" t="n"/>
      <c r="D121" s="44" t="n"/>
      <c r="E121" s="44" t="n"/>
      <c r="F121" s="44" t="n"/>
      <c r="G121" s="40" t="n"/>
      <c r="H121" s="28" t="n"/>
      <c r="I121" s="40" t="n"/>
      <c r="J121" s="44" t="n"/>
      <c r="K121" s="28">
        <f>Table6[[#This Row],[ (T/B) SAR]]+Table6[[#This Row],[ (S/S) SAR]]</f>
        <v/>
      </c>
      <c r="L121" s="45" t="n"/>
      <c r="M121" s="46" t="n"/>
      <c r="N121" s="46" t="n"/>
      <c r="O121" s="40" t="n"/>
      <c r="P121" s="3">
        <f>Table6[[#This Row],[ (S/S) SAR]]-Table6[[#This Row],[(S/S) AJD]]</f>
        <v/>
      </c>
      <c r="Q121" s="40" t="n"/>
      <c r="R121" s="3">
        <f>Table6[[#This Row],[ (T/B) SAR]]-Table6[[#This Row],[(T/B) AJD]]</f>
        <v/>
      </c>
      <c r="S121" s="3">
        <f>Table6[[#This Row],[S/S_CON.]]+Table6[[#This Row],[T/B-CON.]]</f>
        <v/>
      </c>
      <c r="T121" s="3">
        <f>O121+Q121</f>
        <v/>
      </c>
      <c r="U121" s="44" t="n"/>
      <c r="V121" s="44" t="n"/>
      <c r="W121" s="3">
        <f>U121+V121</f>
        <v/>
      </c>
      <c r="X121" s="3">
        <f>T121-W121</f>
        <v/>
      </c>
      <c r="Y121" s="44" t="n"/>
      <c r="Z121" s="45" t="n"/>
      <c r="AA121" s="3">
        <f>Table6[[#This Row],[(RESV. STORGE) AJD]]/10</f>
        <v/>
      </c>
      <c r="AB121" s="3">
        <f>IF(TRIM(Z121)="",,(Z121-Z120)/1000)</f>
        <v/>
      </c>
      <c r="AC121" s="5" t="n"/>
      <c r="AD121" s="40">
        <f>(Table6[[#This Row],[( S/S+T/B) AJD]]*1000)-((Table6[[#This Row],[(STORGE DIFF.) AJD]]*1000)+Table6[[#This Row],[AJD_Evaporation]]+(Table6[[#This Row],[(A/B + A/S) AJD]]*1000))</f>
        <v/>
      </c>
      <c r="AE121" s="44" t="n"/>
      <c r="AF121" s="45" t="n"/>
      <c r="AG121" s="45" t="n"/>
      <c r="AH121" s="6">
        <f>Table6[[#This Row],[ (RESV. STORGE) BER]]/10</f>
        <v/>
      </c>
      <c r="AI121" s="44" t="n"/>
      <c r="AJ121" s="45">
        <f>Table6[[#This Row],[(A/B) AJD]]-TABL12345[[#This Row],[BER_IN]]</f>
        <v/>
      </c>
      <c r="AK121" s="45" t="n"/>
      <c r="AL121" s="45" t="n"/>
      <c r="AM121" s="32" t="n"/>
      <c r="AN121" s="32">
        <f>Table6[[#This Row],[ (RESV. STORGE) SER]]/10</f>
        <v/>
      </c>
      <c r="AO121" s="68" t="n"/>
      <c r="AP121" s="99">
        <f>Table6[[#This Row],[(A/S) AJD]]-Table6[[#This Row],[SER_IN]]</f>
        <v/>
      </c>
    </row>
    <row r="122" ht="18.75" customHeight="1">
      <c r="A122" s="98" t="n">
        <v>47604</v>
      </c>
      <c r="B122" s="41" t="n"/>
      <c r="C122" s="41" t="n"/>
      <c r="D122" s="41" t="n"/>
      <c r="E122" s="41" t="n"/>
      <c r="F122" s="41" t="n"/>
      <c r="G122" s="39" t="n"/>
      <c r="H122" s="28" t="n"/>
      <c r="I122" s="39" t="n"/>
      <c r="J122" s="39" t="n"/>
      <c r="K122" s="28">
        <f>Table6[[#This Row],[ (T/B) SAR]]+Table6[[#This Row],[ (S/S) SAR]]</f>
        <v/>
      </c>
      <c r="L122" s="41" t="n"/>
      <c r="M122" s="42" t="n"/>
      <c r="N122" s="42" t="n"/>
      <c r="O122" s="39" t="n"/>
      <c r="P122" s="3">
        <f>Table6[[#This Row],[ (S/S) SAR]]-Table6[[#This Row],[(S/S) AJD]]</f>
        <v/>
      </c>
      <c r="Q122" s="39" t="n"/>
      <c r="R122" s="3">
        <f>Table6[[#This Row],[ (T/B) SAR]]-Table6[[#This Row],[(T/B) AJD]]</f>
        <v/>
      </c>
      <c r="S122" s="3">
        <f>Table6[[#This Row],[S/S_CON.]]+Table6[[#This Row],[T/B-CON.]]</f>
        <v/>
      </c>
      <c r="T122" s="3">
        <f>O122+Q122</f>
        <v/>
      </c>
      <c r="U122" s="41" t="n"/>
      <c r="V122" s="41" t="n"/>
      <c r="W122" s="3">
        <f>U122+V122</f>
        <v/>
      </c>
      <c r="X122" s="3">
        <f>T122-W122</f>
        <v/>
      </c>
      <c r="Y122" s="41" t="n"/>
      <c r="Z122" s="43" t="n"/>
      <c r="AA122" s="3">
        <f>Table6[[#This Row],[(RESV. STORGE) AJD]]/10</f>
        <v/>
      </c>
      <c r="AB122" s="3">
        <f>IF(TRIM(Z122)="",,(Z122-Z121)/1000)</f>
        <v/>
      </c>
      <c r="AC122" s="5" t="n"/>
      <c r="AD122" s="39">
        <f>(Table6[[#This Row],[( S/S+T/B) AJD]]*1000)-((Table6[[#This Row],[(STORGE DIFF.) AJD]]*1000)+Table6[[#This Row],[AJD_Evaporation]]+(Table6[[#This Row],[(A/B + A/S) AJD]]*1000))</f>
        <v/>
      </c>
      <c r="AE122" s="41" t="n"/>
      <c r="AF122" s="43" t="n"/>
      <c r="AG122" s="43" t="n"/>
      <c r="AH122" s="6">
        <f>Table6[[#This Row],[ (RESV. STORGE) BER]]/10</f>
        <v/>
      </c>
      <c r="AI122" s="41" t="n"/>
      <c r="AJ122" s="43">
        <f>Table6[[#This Row],[(A/B) AJD]]-TABL12345[[#This Row],[BER_IN]]</f>
        <v/>
      </c>
      <c r="AK122" s="43" t="n"/>
      <c r="AL122" s="43" t="n"/>
      <c r="AM122" s="32" t="n"/>
      <c r="AN122" s="32">
        <f>Table6[[#This Row],[ (RESV. STORGE) SER]]/10</f>
        <v/>
      </c>
      <c r="AO122" s="68" t="n"/>
      <c r="AP122" s="99">
        <f>Table6[[#This Row],[(A/S) AJD]]-Table6[[#This Row],[SER_IN]]</f>
        <v/>
      </c>
    </row>
    <row r="123" ht="18.75" customHeight="1">
      <c r="A123" s="98" t="n">
        <v>47605</v>
      </c>
      <c r="B123" s="44" t="n"/>
      <c r="C123" s="44" t="n"/>
      <c r="D123" s="44" t="n"/>
      <c r="E123" s="44" t="n"/>
      <c r="F123" s="44" t="n"/>
      <c r="G123" s="40" t="n"/>
      <c r="H123" s="28" t="n"/>
      <c r="I123" s="40" t="n"/>
      <c r="J123" s="44" t="n"/>
      <c r="K123" s="28">
        <f>Table6[[#This Row],[ (T/B) SAR]]+Table6[[#This Row],[ (S/S) SAR]]</f>
        <v/>
      </c>
      <c r="L123" s="45" t="n"/>
      <c r="M123" s="46" t="n"/>
      <c r="N123" s="46" t="n"/>
      <c r="O123" s="40" t="n"/>
      <c r="P123" s="3">
        <f>Table6[[#This Row],[ (S/S) SAR]]-Table6[[#This Row],[(S/S) AJD]]</f>
        <v/>
      </c>
      <c r="Q123" s="40" t="n"/>
      <c r="R123" s="3">
        <f>Table6[[#This Row],[ (T/B) SAR]]-Table6[[#This Row],[(T/B) AJD]]</f>
        <v/>
      </c>
      <c r="S123" s="3">
        <f>Table6[[#This Row],[S/S_CON.]]+Table6[[#This Row],[T/B-CON.]]</f>
        <v/>
      </c>
      <c r="T123" s="3">
        <f>O123+Q123</f>
        <v/>
      </c>
      <c r="U123" s="44" t="n"/>
      <c r="V123" s="44" t="n"/>
      <c r="W123" s="3">
        <f>U123+V123</f>
        <v/>
      </c>
      <c r="X123" s="3">
        <f>T123-W123</f>
        <v/>
      </c>
      <c r="Y123" s="44" t="n"/>
      <c r="Z123" s="45" t="n"/>
      <c r="AA123" s="3">
        <f>Table6[[#This Row],[(RESV. STORGE) AJD]]/10</f>
        <v/>
      </c>
      <c r="AB123" s="3">
        <f>IF(TRIM(Z123)="",,(Z123-Z122)/1000)</f>
        <v/>
      </c>
      <c r="AC123" s="5" t="n"/>
      <c r="AD123" s="40">
        <f>(Table6[[#This Row],[( S/S+T/B) AJD]]*1000)-((Table6[[#This Row],[(STORGE DIFF.) AJD]]*1000)+Table6[[#This Row],[AJD_Evaporation]]+(Table6[[#This Row],[(A/B + A/S) AJD]]*1000))</f>
        <v/>
      </c>
      <c r="AE123" s="44" t="n"/>
      <c r="AF123" s="45" t="n"/>
      <c r="AG123" s="45" t="n"/>
      <c r="AH123" s="6">
        <f>Table6[[#This Row],[ (RESV. STORGE) BER]]/10</f>
        <v/>
      </c>
      <c r="AI123" s="44" t="n"/>
      <c r="AJ123" s="45">
        <f>Table6[[#This Row],[(A/B) AJD]]-TABL12345[[#This Row],[BER_IN]]</f>
        <v/>
      </c>
      <c r="AK123" s="45" t="n"/>
      <c r="AL123" s="45" t="n"/>
      <c r="AM123" s="32" t="n"/>
      <c r="AN123" s="32">
        <f>Table6[[#This Row],[ (RESV. STORGE) SER]]/10</f>
        <v/>
      </c>
      <c r="AO123" s="68" t="n"/>
      <c r="AP123" s="99">
        <f>Table6[[#This Row],[(A/S) AJD]]-Table6[[#This Row],[SER_IN]]</f>
        <v/>
      </c>
    </row>
    <row r="124" ht="18.75" customHeight="1">
      <c r="A124" s="98" t="n">
        <v>47606</v>
      </c>
      <c r="B124" s="41" t="n"/>
      <c r="C124" s="41" t="n"/>
      <c r="D124" s="41" t="n"/>
      <c r="E124" s="41" t="n"/>
      <c r="F124" s="41" t="n"/>
      <c r="G124" s="39" t="n"/>
      <c r="H124" s="28" t="n"/>
      <c r="I124" s="39" t="n"/>
      <c r="J124" s="39" t="n"/>
      <c r="K124" s="28">
        <f>Table6[[#This Row],[ (T/B) SAR]]+Table6[[#This Row],[ (S/S) SAR]]</f>
        <v/>
      </c>
      <c r="L124" s="41" t="n"/>
      <c r="M124" s="42" t="n"/>
      <c r="N124" s="42" t="n"/>
      <c r="O124" s="39" t="n"/>
      <c r="P124" s="3">
        <f>Table6[[#This Row],[ (S/S) SAR]]-Table6[[#This Row],[(S/S) AJD]]</f>
        <v/>
      </c>
      <c r="Q124" s="39" t="n"/>
      <c r="R124" s="3">
        <f>Table6[[#This Row],[ (T/B) SAR]]-Table6[[#This Row],[(T/B) AJD]]</f>
        <v/>
      </c>
      <c r="S124" s="3">
        <f>Table6[[#This Row],[S/S_CON.]]+Table6[[#This Row],[T/B-CON.]]</f>
        <v/>
      </c>
      <c r="T124" s="3">
        <f>O124+Q124</f>
        <v/>
      </c>
      <c r="U124" s="41" t="n"/>
      <c r="V124" s="41" t="n"/>
      <c r="W124" s="3">
        <f>U124+V124</f>
        <v/>
      </c>
      <c r="X124" s="3">
        <f>T124-W124</f>
        <v/>
      </c>
      <c r="Y124" s="41" t="n"/>
      <c r="Z124" s="43" t="n"/>
      <c r="AA124" s="3">
        <f>Table6[[#This Row],[(RESV. STORGE) AJD]]/10</f>
        <v/>
      </c>
      <c r="AB124" s="3">
        <f>IF(TRIM(Z124)="",,(Z124-Z123)/1000)</f>
        <v/>
      </c>
      <c r="AC124" s="5" t="n"/>
      <c r="AD124" s="39">
        <f>(Table6[[#This Row],[( S/S+T/B) AJD]]*1000)-((Table6[[#This Row],[(STORGE DIFF.) AJD]]*1000)+Table6[[#This Row],[AJD_Evaporation]]+(Table6[[#This Row],[(A/B + A/S) AJD]]*1000))</f>
        <v/>
      </c>
      <c r="AE124" s="41" t="n"/>
      <c r="AF124" s="43" t="n"/>
      <c r="AG124" s="43" t="n"/>
      <c r="AH124" s="6">
        <f>Table6[[#This Row],[ (RESV. STORGE) BER]]/10</f>
        <v/>
      </c>
      <c r="AI124" s="41" t="n"/>
      <c r="AJ124" s="43">
        <f>Table6[[#This Row],[(A/B) AJD]]-TABL12345[[#This Row],[BER_IN]]</f>
        <v/>
      </c>
      <c r="AK124" s="43" t="n"/>
      <c r="AL124" s="43" t="n"/>
      <c r="AM124" s="32" t="n"/>
      <c r="AN124" s="32">
        <f>Table6[[#This Row],[ (RESV. STORGE) SER]]/10</f>
        <v/>
      </c>
      <c r="AO124" s="68" t="n"/>
      <c r="AP124" s="99">
        <f>Table6[[#This Row],[(A/S) AJD]]-Table6[[#This Row],[SER_IN]]</f>
        <v/>
      </c>
    </row>
    <row r="125" ht="18.75" customHeight="1">
      <c r="A125" s="98" t="n">
        <v>47607</v>
      </c>
      <c r="B125" s="44" t="n"/>
      <c r="C125" s="44" t="n"/>
      <c r="D125" s="44" t="n"/>
      <c r="E125" s="44" t="n"/>
      <c r="F125" s="44" t="n"/>
      <c r="G125" s="40" t="n"/>
      <c r="H125" s="28" t="n"/>
      <c r="I125" s="40" t="n"/>
      <c r="J125" s="44" t="n"/>
      <c r="K125" s="28">
        <f>Table6[[#This Row],[ (T/B) SAR]]+Table6[[#This Row],[ (S/S) SAR]]</f>
        <v/>
      </c>
      <c r="L125" s="45" t="n"/>
      <c r="M125" s="46" t="n"/>
      <c r="N125" s="46" t="n"/>
      <c r="O125" s="40" t="n"/>
      <c r="P125" s="3">
        <f>Table6[[#This Row],[ (S/S) SAR]]-Table6[[#This Row],[(S/S) AJD]]</f>
        <v/>
      </c>
      <c r="Q125" s="40" t="n"/>
      <c r="R125" s="3">
        <f>Table6[[#This Row],[ (T/B) SAR]]-Table6[[#This Row],[(T/B) AJD]]</f>
        <v/>
      </c>
      <c r="S125" s="3">
        <f>Table6[[#This Row],[S/S_CON.]]+Table6[[#This Row],[T/B-CON.]]</f>
        <v/>
      </c>
      <c r="T125" s="3">
        <f>O125+Q125</f>
        <v/>
      </c>
      <c r="U125" s="44" t="n"/>
      <c r="V125" s="44" t="n"/>
      <c r="W125" s="3">
        <f>U125+V125</f>
        <v/>
      </c>
      <c r="X125" s="3">
        <f>T125-W125</f>
        <v/>
      </c>
      <c r="Y125" s="44" t="n"/>
      <c r="Z125" s="45" t="n"/>
      <c r="AA125" s="3">
        <f>Table6[[#This Row],[(RESV. STORGE) AJD]]/10</f>
        <v/>
      </c>
      <c r="AB125" s="3">
        <f>IF(TRIM(Z125)="",,(Z125-Z124)/1000)</f>
        <v/>
      </c>
      <c r="AC125" s="5" t="n"/>
      <c r="AD125" s="40">
        <f>(Table6[[#This Row],[( S/S+T/B) AJD]]*1000)-((Table6[[#This Row],[(STORGE DIFF.) AJD]]*1000)+Table6[[#This Row],[AJD_Evaporation]]+(Table6[[#This Row],[(A/B + A/S) AJD]]*1000))</f>
        <v/>
      </c>
      <c r="AE125" s="44" t="n"/>
      <c r="AF125" s="45" t="n"/>
      <c r="AG125" s="45" t="n"/>
      <c r="AH125" s="6">
        <f>Table6[[#This Row],[ (RESV. STORGE) BER]]/10</f>
        <v/>
      </c>
      <c r="AI125" s="44" t="n"/>
      <c r="AJ125" s="45">
        <f>Table6[[#This Row],[(A/B) AJD]]-TABL12345[[#This Row],[BER_IN]]</f>
        <v/>
      </c>
      <c r="AK125" s="45" t="n"/>
      <c r="AL125" s="45" t="n"/>
      <c r="AM125" s="32" t="n"/>
      <c r="AN125" s="32">
        <f>Table6[[#This Row],[ (RESV. STORGE) SER]]/10</f>
        <v/>
      </c>
      <c r="AO125" s="68" t="n"/>
      <c r="AP125" s="99">
        <f>Table6[[#This Row],[(A/S) AJD]]-Table6[[#This Row],[SER_IN]]</f>
        <v/>
      </c>
    </row>
    <row r="126" ht="18.75" customHeight="1">
      <c r="A126" s="98" t="n">
        <v>47608</v>
      </c>
      <c r="B126" s="41" t="n"/>
      <c r="C126" s="41" t="n"/>
      <c r="D126" s="41" t="n"/>
      <c r="E126" s="41" t="n"/>
      <c r="F126" s="41" t="n"/>
      <c r="G126" s="39" t="n"/>
      <c r="H126" s="28" t="n"/>
      <c r="I126" s="39" t="n"/>
      <c r="J126" s="39" t="n"/>
      <c r="K126" s="28">
        <f>Table6[[#This Row],[ (T/B) SAR]]+Table6[[#This Row],[ (S/S) SAR]]</f>
        <v/>
      </c>
      <c r="L126" s="41" t="n"/>
      <c r="M126" s="42" t="n"/>
      <c r="N126" s="42" t="n"/>
      <c r="O126" s="39" t="n"/>
      <c r="P126" s="3">
        <f>Table6[[#This Row],[ (S/S) SAR]]-Table6[[#This Row],[(S/S) AJD]]</f>
        <v/>
      </c>
      <c r="Q126" s="39" t="n"/>
      <c r="R126" s="3">
        <f>Table6[[#This Row],[ (T/B) SAR]]-Table6[[#This Row],[(T/B) AJD]]</f>
        <v/>
      </c>
      <c r="S126" s="3">
        <f>Table6[[#This Row],[S/S_CON.]]+Table6[[#This Row],[T/B-CON.]]</f>
        <v/>
      </c>
      <c r="T126" s="3">
        <f>O126+Q126</f>
        <v/>
      </c>
      <c r="U126" s="41" t="n"/>
      <c r="V126" s="41" t="n"/>
      <c r="W126" s="3">
        <f>U126+V126</f>
        <v/>
      </c>
      <c r="X126" s="3">
        <f>T126-W126</f>
        <v/>
      </c>
      <c r="Y126" s="41" t="n"/>
      <c r="Z126" s="43" t="n"/>
      <c r="AA126" s="3">
        <f>Table6[[#This Row],[(RESV. STORGE) AJD]]/10</f>
        <v/>
      </c>
      <c r="AB126" s="3">
        <f>IF(TRIM(Z126)="",,(Z126-Z125)/1000)</f>
        <v/>
      </c>
      <c r="AC126" s="5" t="n"/>
      <c r="AD126" s="39">
        <f>(Table6[[#This Row],[( S/S+T/B) AJD]]*1000)-((Table6[[#This Row],[(STORGE DIFF.) AJD]]*1000)+Table6[[#This Row],[AJD_Evaporation]]+(Table6[[#This Row],[(A/B + A/S) AJD]]*1000))</f>
        <v/>
      </c>
      <c r="AE126" s="41" t="n"/>
      <c r="AF126" s="43" t="n"/>
      <c r="AG126" s="43" t="n"/>
      <c r="AH126" s="6">
        <f>Table6[[#This Row],[ (RESV. STORGE) BER]]/10</f>
        <v/>
      </c>
      <c r="AI126" s="41" t="n"/>
      <c r="AJ126" s="43">
        <f>Table6[[#This Row],[(A/B) AJD]]-TABL12345[[#This Row],[BER_IN]]</f>
        <v/>
      </c>
      <c r="AK126" s="43" t="n"/>
      <c r="AL126" s="43" t="n"/>
      <c r="AM126" s="32" t="n"/>
      <c r="AN126" s="32">
        <f>Table6[[#This Row],[ (RESV. STORGE) SER]]/10</f>
        <v/>
      </c>
      <c r="AO126" s="68" t="n"/>
      <c r="AP126" s="99">
        <f>Table6[[#This Row],[(A/S) AJD]]-Table6[[#This Row],[SER_IN]]</f>
        <v/>
      </c>
    </row>
    <row r="127" ht="18.75" customHeight="1">
      <c r="A127" s="98" t="n">
        <v>47609</v>
      </c>
      <c r="B127" s="44" t="n"/>
      <c r="C127" s="44" t="n"/>
      <c r="D127" s="44" t="n"/>
      <c r="E127" s="44" t="n"/>
      <c r="F127" s="44" t="n"/>
      <c r="G127" s="40" t="n"/>
      <c r="H127" s="28" t="n"/>
      <c r="I127" s="40" t="n"/>
      <c r="J127" s="44" t="n"/>
      <c r="K127" s="28">
        <f>Table6[[#This Row],[ (T/B) SAR]]+Table6[[#This Row],[ (S/S) SAR]]</f>
        <v/>
      </c>
      <c r="L127" s="45" t="n"/>
      <c r="M127" s="46" t="n"/>
      <c r="N127" s="46" t="n"/>
      <c r="O127" s="40" t="n"/>
      <c r="P127" s="3">
        <f>Table6[[#This Row],[ (S/S) SAR]]-Table6[[#This Row],[(S/S) AJD]]</f>
        <v/>
      </c>
      <c r="Q127" s="40" t="n"/>
      <c r="R127" s="3">
        <f>Table6[[#This Row],[ (T/B) SAR]]-Table6[[#This Row],[(T/B) AJD]]</f>
        <v/>
      </c>
      <c r="S127" s="3">
        <f>Table6[[#This Row],[S/S_CON.]]+Table6[[#This Row],[T/B-CON.]]</f>
        <v/>
      </c>
      <c r="T127" s="3">
        <f>O127+Q127</f>
        <v/>
      </c>
      <c r="U127" s="44" t="n"/>
      <c r="V127" s="44" t="n"/>
      <c r="W127" s="3">
        <f>U127+V127</f>
        <v/>
      </c>
      <c r="X127" s="3">
        <f>T127-W127</f>
        <v/>
      </c>
      <c r="Y127" s="44" t="n"/>
      <c r="Z127" s="45" t="n"/>
      <c r="AA127" s="3">
        <f>Table6[[#This Row],[(RESV. STORGE) AJD]]/10</f>
        <v/>
      </c>
      <c r="AB127" s="3">
        <f>IF(TRIM(Z127)="",,(Z127-Z126)/1000)</f>
        <v/>
      </c>
      <c r="AC127" s="5" t="n"/>
      <c r="AD127" s="40">
        <f>(Table6[[#This Row],[( S/S+T/B) AJD]]*1000)-((Table6[[#This Row],[(STORGE DIFF.) AJD]]*1000)+Table6[[#This Row],[AJD_Evaporation]]+(Table6[[#This Row],[(A/B + A/S) AJD]]*1000))</f>
        <v/>
      </c>
      <c r="AE127" s="44" t="n"/>
      <c r="AF127" s="45" t="n"/>
      <c r="AG127" s="45" t="n"/>
      <c r="AH127" s="6">
        <f>Table6[[#This Row],[ (RESV. STORGE) BER]]/10</f>
        <v/>
      </c>
      <c r="AI127" s="44" t="n"/>
      <c r="AJ127" s="45">
        <f>Table6[[#This Row],[(A/B) AJD]]-TABL12345[[#This Row],[BER_IN]]</f>
        <v/>
      </c>
      <c r="AK127" s="45" t="n"/>
      <c r="AL127" s="45" t="n"/>
      <c r="AM127" s="32" t="n"/>
      <c r="AN127" s="32">
        <f>Table6[[#This Row],[ (RESV. STORGE) SER]]/10</f>
        <v/>
      </c>
      <c r="AO127" s="68" t="n"/>
      <c r="AP127" s="99">
        <f>Table6[[#This Row],[(A/S) AJD]]-Table6[[#This Row],[SER_IN]]</f>
        <v/>
      </c>
    </row>
    <row r="128" ht="18.75" customHeight="1">
      <c r="A128" s="98" t="n">
        <v>47610</v>
      </c>
      <c r="B128" s="41" t="n"/>
      <c r="C128" s="41" t="n"/>
      <c r="D128" s="41" t="n"/>
      <c r="E128" s="41" t="n"/>
      <c r="F128" s="41" t="n"/>
      <c r="G128" s="39" t="n"/>
      <c r="H128" s="28" t="n"/>
      <c r="I128" s="39" t="n"/>
      <c r="J128" s="39" t="n"/>
      <c r="K128" s="28">
        <f>Table6[[#This Row],[ (T/B) SAR]]+Table6[[#This Row],[ (S/S) SAR]]</f>
        <v/>
      </c>
      <c r="L128" s="41" t="n"/>
      <c r="M128" s="42" t="n"/>
      <c r="N128" s="42" t="n"/>
      <c r="O128" s="39" t="n"/>
      <c r="P128" s="3">
        <f>Table6[[#This Row],[ (S/S) SAR]]-Table6[[#This Row],[(S/S) AJD]]</f>
        <v/>
      </c>
      <c r="Q128" s="39" t="n"/>
      <c r="R128" s="3">
        <f>Table6[[#This Row],[ (T/B) SAR]]-Table6[[#This Row],[(T/B) AJD]]</f>
        <v/>
      </c>
      <c r="S128" s="3">
        <f>Table6[[#This Row],[S/S_CON.]]+Table6[[#This Row],[T/B-CON.]]</f>
        <v/>
      </c>
      <c r="T128" s="3">
        <f>O128+Q128</f>
        <v/>
      </c>
      <c r="U128" s="41" t="n"/>
      <c r="V128" s="41" t="n"/>
      <c r="W128" s="3">
        <f>U128+V128</f>
        <v/>
      </c>
      <c r="X128" s="3">
        <f>T128-W128</f>
        <v/>
      </c>
      <c r="Y128" s="41" t="n"/>
      <c r="Z128" s="43" t="n"/>
      <c r="AA128" s="3">
        <f>Table6[[#This Row],[(RESV. STORGE) AJD]]/10</f>
        <v/>
      </c>
      <c r="AB128" s="3">
        <f>IF(TRIM(Z128)="",,(Z128-Z127)/1000)</f>
        <v/>
      </c>
      <c r="AC128" s="5" t="n"/>
      <c r="AD128" s="39">
        <f>(Table6[[#This Row],[( S/S+T/B) AJD]]*1000)-((Table6[[#This Row],[(STORGE DIFF.) AJD]]*1000)+Table6[[#This Row],[AJD_Evaporation]]+(Table6[[#This Row],[(A/B + A/S) AJD]]*1000))</f>
        <v/>
      </c>
      <c r="AE128" s="41" t="n"/>
      <c r="AF128" s="43" t="n"/>
      <c r="AG128" s="43" t="n"/>
      <c r="AH128" s="6">
        <f>Table6[[#This Row],[ (RESV. STORGE) BER]]/10</f>
        <v/>
      </c>
      <c r="AI128" s="41" t="n"/>
      <c r="AJ128" s="43">
        <f>Table6[[#This Row],[(A/B) AJD]]-TABL12345[[#This Row],[BER_IN]]</f>
        <v/>
      </c>
      <c r="AK128" s="43" t="n"/>
      <c r="AL128" s="43" t="n"/>
      <c r="AM128" s="32" t="n"/>
      <c r="AN128" s="32">
        <f>Table6[[#This Row],[ (RESV. STORGE) SER]]/10</f>
        <v/>
      </c>
      <c r="AO128" s="68" t="n"/>
      <c r="AP128" s="99">
        <f>Table6[[#This Row],[(A/S) AJD]]-Table6[[#This Row],[SER_IN]]</f>
        <v/>
      </c>
    </row>
    <row r="129" ht="18.75" customHeight="1">
      <c r="A129" s="98" t="n">
        <v>47611</v>
      </c>
      <c r="B129" s="44" t="n"/>
      <c r="C129" s="44" t="n"/>
      <c r="D129" s="44" t="n"/>
      <c r="E129" s="44" t="n"/>
      <c r="F129" s="44" t="n"/>
      <c r="G129" s="40" t="n"/>
      <c r="H129" s="28" t="n"/>
      <c r="I129" s="40" t="n"/>
      <c r="J129" s="44" t="n"/>
      <c r="K129" s="28">
        <f>Table6[[#This Row],[ (T/B) SAR]]+Table6[[#This Row],[ (S/S) SAR]]</f>
        <v/>
      </c>
      <c r="L129" s="45" t="n"/>
      <c r="M129" s="46" t="n"/>
      <c r="N129" s="46" t="n"/>
      <c r="O129" s="40" t="n"/>
      <c r="P129" s="3">
        <f>Table6[[#This Row],[ (S/S) SAR]]-Table6[[#This Row],[(S/S) AJD]]</f>
        <v/>
      </c>
      <c r="Q129" s="40" t="n"/>
      <c r="R129" s="3">
        <f>Table6[[#This Row],[ (T/B) SAR]]-Table6[[#This Row],[(T/B) AJD]]</f>
        <v/>
      </c>
      <c r="S129" s="3">
        <f>Table6[[#This Row],[S/S_CON.]]+Table6[[#This Row],[T/B-CON.]]</f>
        <v/>
      </c>
      <c r="T129" s="3">
        <f>O129+Q129</f>
        <v/>
      </c>
      <c r="U129" s="44" t="n"/>
      <c r="V129" s="44" t="n"/>
      <c r="W129" s="3">
        <f>U129+V129</f>
        <v/>
      </c>
      <c r="X129" s="3">
        <f>T129-W129</f>
        <v/>
      </c>
      <c r="Y129" s="44" t="n"/>
      <c r="Z129" s="45" t="n"/>
      <c r="AA129" s="3">
        <f>Table6[[#This Row],[(RESV. STORGE) AJD]]/10</f>
        <v/>
      </c>
      <c r="AB129" s="3">
        <f>IF(TRIM(Z129)="",,(Z129-Z128)/1000)</f>
        <v/>
      </c>
      <c r="AC129" s="5" t="n"/>
      <c r="AD129" s="40">
        <f>(Table6[[#This Row],[( S/S+T/B) AJD]]*1000)-((Table6[[#This Row],[(STORGE DIFF.) AJD]]*1000)+Table6[[#This Row],[AJD_Evaporation]]+(Table6[[#This Row],[(A/B + A/S) AJD]]*1000))</f>
        <v/>
      </c>
      <c r="AE129" s="44" t="n"/>
      <c r="AF129" s="45" t="n"/>
      <c r="AG129" s="45" t="n"/>
      <c r="AH129" s="6">
        <f>Table6[[#This Row],[ (RESV. STORGE) BER]]/10</f>
        <v/>
      </c>
      <c r="AI129" s="44" t="n"/>
      <c r="AJ129" s="45">
        <f>Table6[[#This Row],[(A/B) AJD]]-TABL12345[[#This Row],[BER_IN]]</f>
        <v/>
      </c>
      <c r="AK129" s="45" t="n"/>
      <c r="AL129" s="45" t="n"/>
      <c r="AM129" s="32" t="n"/>
      <c r="AN129" s="32">
        <f>Table6[[#This Row],[ (RESV. STORGE) SER]]/10</f>
        <v/>
      </c>
      <c r="AO129" s="68" t="n"/>
      <c r="AP129" s="99">
        <f>Table6[[#This Row],[(A/S) AJD]]-Table6[[#This Row],[SER_IN]]</f>
        <v/>
      </c>
    </row>
    <row r="130" ht="18.75" customHeight="1">
      <c r="A130" s="98" t="n">
        <v>47612</v>
      </c>
      <c r="B130" s="41" t="n"/>
      <c r="C130" s="41" t="n"/>
      <c r="D130" s="41" t="n"/>
      <c r="E130" s="41" t="n"/>
      <c r="F130" s="41" t="n"/>
      <c r="G130" s="39" t="n"/>
      <c r="H130" s="28" t="n"/>
      <c r="I130" s="39" t="n"/>
      <c r="J130" s="39" t="n"/>
      <c r="K130" s="28">
        <f>Table6[[#This Row],[ (T/B) SAR]]+Table6[[#This Row],[ (S/S) SAR]]</f>
        <v/>
      </c>
      <c r="L130" s="41" t="n"/>
      <c r="M130" s="42" t="n"/>
      <c r="N130" s="42" t="n"/>
      <c r="O130" s="39" t="n"/>
      <c r="P130" s="3">
        <f>Table6[[#This Row],[ (S/S) SAR]]-Table6[[#This Row],[(S/S) AJD]]</f>
        <v/>
      </c>
      <c r="Q130" s="39" t="n"/>
      <c r="R130" s="3">
        <f>Table6[[#This Row],[ (T/B) SAR]]-Table6[[#This Row],[(T/B) AJD]]</f>
        <v/>
      </c>
      <c r="S130" s="3">
        <f>Table6[[#This Row],[S/S_CON.]]+Table6[[#This Row],[T/B-CON.]]</f>
        <v/>
      </c>
      <c r="T130" s="3">
        <f>O130+Q130</f>
        <v/>
      </c>
      <c r="U130" s="41" t="n"/>
      <c r="V130" s="41" t="n"/>
      <c r="W130" s="3">
        <f>U130+V130</f>
        <v/>
      </c>
      <c r="X130" s="3">
        <f>T130-W130</f>
        <v/>
      </c>
      <c r="Y130" s="41" t="n"/>
      <c r="Z130" s="43" t="n"/>
      <c r="AA130" s="3">
        <f>Table6[[#This Row],[(RESV. STORGE) AJD]]/10</f>
        <v/>
      </c>
      <c r="AB130" s="3">
        <f>IF(TRIM(Z130)="",,(Z130-Z129)/1000)</f>
        <v/>
      </c>
      <c r="AC130" s="5" t="n"/>
      <c r="AD130" s="39">
        <f>(Table6[[#This Row],[( S/S+T/B) AJD]]*1000)-((Table6[[#This Row],[(STORGE DIFF.) AJD]]*1000)+Table6[[#This Row],[AJD_Evaporation]]+(Table6[[#This Row],[(A/B + A/S) AJD]]*1000))</f>
        <v/>
      </c>
      <c r="AE130" s="41" t="n"/>
      <c r="AF130" s="43" t="n"/>
      <c r="AG130" s="43" t="n"/>
      <c r="AH130" s="6">
        <f>Table6[[#This Row],[ (RESV. STORGE) BER]]/10</f>
        <v/>
      </c>
      <c r="AI130" s="41" t="n"/>
      <c r="AJ130" s="43">
        <f>Table6[[#This Row],[(A/B) AJD]]-TABL12345[[#This Row],[BER_IN]]</f>
        <v/>
      </c>
      <c r="AK130" s="43" t="n"/>
      <c r="AL130" s="43" t="n"/>
      <c r="AM130" s="32" t="n"/>
      <c r="AN130" s="32">
        <f>Table6[[#This Row],[ (RESV. STORGE) SER]]/10</f>
        <v/>
      </c>
      <c r="AO130" s="68" t="n"/>
      <c r="AP130" s="99">
        <f>Table6[[#This Row],[(A/S) AJD]]-Table6[[#This Row],[SER_IN]]</f>
        <v/>
      </c>
    </row>
    <row r="131" ht="18.75" customHeight="1">
      <c r="A131" s="98" t="n">
        <v>47613</v>
      </c>
      <c r="B131" s="44" t="n"/>
      <c r="C131" s="44" t="n"/>
      <c r="D131" s="44" t="n"/>
      <c r="E131" s="44" t="n"/>
      <c r="F131" s="44" t="n"/>
      <c r="G131" s="40" t="n"/>
      <c r="H131" s="28" t="n"/>
      <c r="I131" s="40" t="n"/>
      <c r="J131" s="44" t="n"/>
      <c r="K131" s="28">
        <f>Table6[[#This Row],[ (T/B) SAR]]+Table6[[#This Row],[ (S/S) SAR]]</f>
        <v/>
      </c>
      <c r="L131" s="45" t="n"/>
      <c r="M131" s="46" t="n"/>
      <c r="N131" s="46" t="n"/>
      <c r="O131" s="40" t="n"/>
      <c r="P131" s="3">
        <f>Table6[[#This Row],[ (S/S) SAR]]-Table6[[#This Row],[(S/S) AJD]]</f>
        <v/>
      </c>
      <c r="Q131" s="40" t="n"/>
      <c r="R131" s="3">
        <f>Table6[[#This Row],[ (T/B) SAR]]-Table6[[#This Row],[(T/B) AJD]]</f>
        <v/>
      </c>
      <c r="S131" s="3">
        <f>Table6[[#This Row],[S/S_CON.]]+Table6[[#This Row],[T/B-CON.]]</f>
        <v/>
      </c>
      <c r="T131" s="3">
        <f>O131+Q131</f>
        <v/>
      </c>
      <c r="U131" s="44" t="n"/>
      <c r="V131" s="44" t="n"/>
      <c r="W131" s="3">
        <f>U131+V131</f>
        <v/>
      </c>
      <c r="X131" s="3">
        <f>T131-W131</f>
        <v/>
      </c>
      <c r="Y131" s="44" t="n"/>
      <c r="Z131" s="45" t="n"/>
      <c r="AA131" s="3">
        <f>Table6[[#This Row],[(RESV. STORGE) AJD]]/10</f>
        <v/>
      </c>
      <c r="AB131" s="3">
        <f>IF(TRIM(Z131)="",,(Z131-Z130)/1000)</f>
        <v/>
      </c>
      <c r="AC131" s="5" t="n"/>
      <c r="AD131" s="40">
        <f>(Table6[[#This Row],[( S/S+T/B) AJD]]*1000)-((Table6[[#This Row],[(STORGE DIFF.) AJD]]*1000)+Table6[[#This Row],[AJD_Evaporation]]+(Table6[[#This Row],[(A/B + A/S) AJD]]*1000))</f>
        <v/>
      </c>
      <c r="AE131" s="44" t="n"/>
      <c r="AF131" s="45" t="n"/>
      <c r="AG131" s="45" t="n"/>
      <c r="AH131" s="6">
        <f>Table6[[#This Row],[ (RESV. STORGE) BER]]/10</f>
        <v/>
      </c>
      <c r="AI131" s="44" t="n"/>
      <c r="AJ131" s="45">
        <f>Table6[[#This Row],[(A/B) AJD]]-TABL12345[[#This Row],[BER_IN]]</f>
        <v/>
      </c>
      <c r="AK131" s="45" t="n"/>
      <c r="AL131" s="45" t="n"/>
      <c r="AM131" s="32" t="n"/>
      <c r="AN131" s="32">
        <f>Table6[[#This Row],[ (RESV. STORGE) SER]]/10</f>
        <v/>
      </c>
      <c r="AO131" s="68" t="n"/>
      <c r="AP131" s="99">
        <f>Table6[[#This Row],[(A/S) AJD]]-Table6[[#This Row],[SER_IN]]</f>
        <v/>
      </c>
    </row>
    <row r="132" ht="18.75" customHeight="1">
      <c r="A132" s="98" t="n">
        <v>47614</v>
      </c>
      <c r="B132" s="41" t="n"/>
      <c r="C132" s="41" t="n"/>
      <c r="D132" s="41" t="n"/>
      <c r="E132" s="41" t="n"/>
      <c r="F132" s="41" t="n"/>
      <c r="G132" s="39" t="n"/>
      <c r="H132" s="28" t="n"/>
      <c r="I132" s="39" t="n"/>
      <c r="J132" s="39" t="n"/>
      <c r="K132" s="28">
        <f>Table6[[#This Row],[ (T/B) SAR]]+Table6[[#This Row],[ (S/S) SAR]]</f>
        <v/>
      </c>
      <c r="L132" s="41" t="n"/>
      <c r="M132" s="42" t="n"/>
      <c r="N132" s="42" t="n"/>
      <c r="O132" s="39" t="n"/>
      <c r="P132" s="3">
        <f>Table6[[#This Row],[ (S/S) SAR]]-Table6[[#This Row],[(S/S) AJD]]</f>
        <v/>
      </c>
      <c r="Q132" s="39" t="n"/>
      <c r="R132" s="3">
        <f>Table6[[#This Row],[ (T/B) SAR]]-Table6[[#This Row],[(T/B) AJD]]</f>
        <v/>
      </c>
      <c r="S132" s="3">
        <f>Table6[[#This Row],[S/S_CON.]]+Table6[[#This Row],[T/B-CON.]]</f>
        <v/>
      </c>
      <c r="T132" s="3">
        <f>O132+Q132</f>
        <v/>
      </c>
      <c r="U132" s="41" t="n"/>
      <c r="V132" s="41" t="n"/>
      <c r="W132" s="3">
        <f>U132+V132</f>
        <v/>
      </c>
      <c r="X132" s="3">
        <f>T132-W132</f>
        <v/>
      </c>
      <c r="Y132" s="41" t="n"/>
      <c r="Z132" s="43" t="n"/>
      <c r="AA132" s="3">
        <f>Table6[[#This Row],[(RESV. STORGE) AJD]]/10</f>
        <v/>
      </c>
      <c r="AB132" s="3">
        <f>IF(TRIM(Z132)="",,(Z132-Z131)/1000)</f>
        <v/>
      </c>
      <c r="AC132" s="5" t="n"/>
      <c r="AD132" s="39">
        <f>(Table6[[#This Row],[( S/S+T/B) AJD]]*1000)-((Table6[[#This Row],[(STORGE DIFF.) AJD]]*1000)+Table6[[#This Row],[AJD_Evaporation]]+(Table6[[#This Row],[(A/B + A/S) AJD]]*1000))</f>
        <v/>
      </c>
      <c r="AE132" s="41" t="n"/>
      <c r="AF132" s="43" t="n"/>
      <c r="AG132" s="68" t="n"/>
      <c r="AH132" s="6">
        <f>Table6[[#This Row],[ (RESV. STORGE) BER]]/10</f>
        <v/>
      </c>
      <c r="AI132" s="41" t="n"/>
      <c r="AJ132" s="68">
        <f>Table6[[#This Row],[(A/B) AJD]]-TABL12345[[#This Row],[BER_IN]]</f>
        <v/>
      </c>
      <c r="AK132" s="43" t="n"/>
      <c r="AL132" s="43" t="n"/>
      <c r="AM132" s="32" t="n"/>
      <c r="AN132" s="32">
        <f>Table6[[#This Row],[ (RESV. STORGE) SER]]/10</f>
        <v/>
      </c>
      <c r="AO132" s="68" t="n"/>
      <c r="AP132" s="99">
        <f>Table6[[#This Row],[(A/S) AJD]]-Table6[[#This Row],[SER_IN]]</f>
        <v/>
      </c>
    </row>
    <row r="133" ht="18.75" customHeight="1">
      <c r="A133" s="98" t="n">
        <v>47615</v>
      </c>
      <c r="B133" s="44" t="n"/>
      <c r="C133" s="44" t="n"/>
      <c r="D133" s="44" t="n"/>
      <c r="E133" s="44" t="n"/>
      <c r="F133" s="44" t="n"/>
      <c r="G133" s="40" t="n"/>
      <c r="H133" s="28" t="n"/>
      <c r="I133" s="40" t="n"/>
      <c r="J133" s="44" t="n"/>
      <c r="K133" s="28">
        <f>Table6[[#This Row],[ (T/B) SAR]]+Table6[[#This Row],[ (S/S) SAR]]</f>
        <v/>
      </c>
      <c r="L133" s="45" t="n"/>
      <c r="M133" s="46" t="n"/>
      <c r="N133" s="46" t="n"/>
      <c r="O133" s="40" t="n"/>
      <c r="P133" s="3">
        <f>Table6[[#This Row],[ (S/S) SAR]]-Table6[[#This Row],[(S/S) AJD]]</f>
        <v/>
      </c>
      <c r="Q133" s="40" t="n"/>
      <c r="R133" s="3">
        <f>Table6[[#This Row],[ (T/B) SAR]]-Table6[[#This Row],[(T/B) AJD]]</f>
        <v/>
      </c>
      <c r="S133" s="3">
        <f>Table6[[#This Row],[S/S_CON.]]+Table6[[#This Row],[T/B-CON.]]</f>
        <v/>
      </c>
      <c r="T133" s="3">
        <f>O133+Q133</f>
        <v/>
      </c>
      <c r="U133" s="44" t="n"/>
      <c r="V133" s="44" t="n"/>
      <c r="W133" s="3">
        <f>U133+V133</f>
        <v/>
      </c>
      <c r="X133" s="3">
        <f>T133-W133</f>
        <v/>
      </c>
      <c r="Y133" s="44" t="n"/>
      <c r="Z133" s="45" t="n"/>
      <c r="AA133" s="3">
        <f>Table6[[#This Row],[(RESV. STORGE) AJD]]/10</f>
        <v/>
      </c>
      <c r="AB133" s="3">
        <f>IF(TRIM(Z133)="",,(Z133-Z132)/1000)</f>
        <v/>
      </c>
      <c r="AC133" s="5" t="n"/>
      <c r="AD133" s="40">
        <f>(Table6[[#This Row],[( S/S+T/B) AJD]]*1000)-((Table6[[#This Row],[(STORGE DIFF.) AJD]]*1000)+Table6[[#This Row],[AJD_Evaporation]]+(Table6[[#This Row],[(A/B + A/S) AJD]]*1000))</f>
        <v/>
      </c>
      <c r="AE133" s="44" t="n"/>
      <c r="AF133" s="45" t="n"/>
      <c r="AG133" s="45" t="n"/>
      <c r="AH133" s="6">
        <f>Table6[[#This Row],[ (RESV. STORGE) BER]]/10</f>
        <v/>
      </c>
      <c r="AI133" s="44" t="n"/>
      <c r="AJ133" s="45">
        <f>Table6[[#This Row],[(A/B) AJD]]-TABL12345[[#This Row],[BER_IN]]</f>
        <v/>
      </c>
      <c r="AK133" s="45" t="n"/>
      <c r="AL133" s="45" t="n"/>
      <c r="AM133" s="32" t="n"/>
      <c r="AN133" s="32">
        <f>Table6[[#This Row],[ (RESV. STORGE) SER]]/10</f>
        <v/>
      </c>
      <c r="AO133" s="68" t="n"/>
      <c r="AP133" s="99">
        <f>Table6[[#This Row],[(A/S) AJD]]-Table6[[#This Row],[SER_IN]]</f>
        <v/>
      </c>
    </row>
    <row r="134" ht="18.75" customHeight="1">
      <c r="A134" s="98" t="n">
        <v>47616</v>
      </c>
      <c r="B134" s="41" t="n"/>
      <c r="C134" s="41" t="n"/>
      <c r="D134" s="41" t="n"/>
      <c r="E134" s="41" t="n"/>
      <c r="F134" s="41" t="n"/>
      <c r="G134" s="39" t="n"/>
      <c r="H134" s="28" t="n"/>
      <c r="I134" s="39" t="n"/>
      <c r="J134" s="39" t="n"/>
      <c r="K134" s="28">
        <f>Table6[[#This Row],[ (T/B) SAR]]+Table6[[#This Row],[ (S/S) SAR]]</f>
        <v/>
      </c>
      <c r="L134" s="41" t="n"/>
      <c r="M134" s="42" t="n"/>
      <c r="N134" s="42" t="n"/>
      <c r="O134" s="39" t="n"/>
      <c r="P134" s="3">
        <f>Table6[[#This Row],[ (S/S) SAR]]-Table6[[#This Row],[(S/S) AJD]]</f>
        <v/>
      </c>
      <c r="Q134" s="39" t="n"/>
      <c r="R134" s="3">
        <f>Table6[[#This Row],[ (T/B) SAR]]-Table6[[#This Row],[(T/B) AJD]]</f>
        <v/>
      </c>
      <c r="S134" s="3">
        <f>Table6[[#This Row],[S/S_CON.]]+Table6[[#This Row],[T/B-CON.]]</f>
        <v/>
      </c>
      <c r="T134" s="3">
        <f>O134+Q134</f>
        <v/>
      </c>
      <c r="U134" s="41" t="n"/>
      <c r="V134" s="41" t="n"/>
      <c r="W134" s="3">
        <f>U134+V134</f>
        <v/>
      </c>
      <c r="X134" s="3">
        <f>T134-W134</f>
        <v/>
      </c>
      <c r="Y134" s="41" t="n"/>
      <c r="Z134" s="43" t="n"/>
      <c r="AA134" s="3">
        <f>Table6[[#This Row],[(RESV. STORGE) AJD]]/10</f>
        <v/>
      </c>
      <c r="AB134" s="3">
        <f>IF(TRIM(Z134)="",,(Z134-Z133)/1000)</f>
        <v/>
      </c>
      <c r="AC134" s="5" t="n"/>
      <c r="AD134" s="39">
        <f>(Table6[[#This Row],[( S/S+T/B) AJD]]*1000)-((Table6[[#This Row],[(STORGE DIFF.) AJD]]*1000)+Table6[[#This Row],[AJD_Evaporation]]+(Table6[[#This Row],[(A/B + A/S) AJD]]*1000))</f>
        <v/>
      </c>
      <c r="AE134" s="41" t="n"/>
      <c r="AF134" s="43" t="n"/>
      <c r="AG134" s="43" t="n"/>
      <c r="AH134" s="6">
        <f>Table6[[#This Row],[ (RESV. STORGE) BER]]/10</f>
        <v/>
      </c>
      <c r="AI134" s="41" t="n"/>
      <c r="AJ134" s="43">
        <f>Table6[[#This Row],[(A/B) AJD]]-TABL12345[[#This Row],[BER_IN]]</f>
        <v/>
      </c>
      <c r="AK134" s="43" t="n"/>
      <c r="AL134" s="43" t="n"/>
      <c r="AM134" s="32" t="n"/>
      <c r="AN134" s="32">
        <f>Table6[[#This Row],[ (RESV. STORGE) SER]]/10</f>
        <v/>
      </c>
      <c r="AO134" s="68" t="n"/>
      <c r="AP134" s="99">
        <f>Table6[[#This Row],[(A/S) AJD]]-Table6[[#This Row],[SER_IN]]</f>
        <v/>
      </c>
    </row>
    <row r="135" ht="18.75" customHeight="1">
      <c r="A135" s="98" t="n">
        <v>47617</v>
      </c>
      <c r="B135" s="44" t="n"/>
      <c r="C135" s="44" t="n"/>
      <c r="D135" s="44" t="n"/>
      <c r="E135" s="44" t="n"/>
      <c r="F135" s="44" t="n"/>
      <c r="G135" s="40" t="n"/>
      <c r="H135" s="28" t="n"/>
      <c r="I135" s="40" t="n"/>
      <c r="J135" s="44" t="n"/>
      <c r="K135" s="28">
        <f>Table6[[#This Row],[ (T/B) SAR]]+Table6[[#This Row],[ (S/S) SAR]]</f>
        <v/>
      </c>
      <c r="L135" s="45" t="n"/>
      <c r="M135" s="46" t="n"/>
      <c r="N135" s="46" t="n"/>
      <c r="O135" s="40" t="n"/>
      <c r="P135" s="3">
        <f>Table6[[#This Row],[ (S/S) SAR]]-Table6[[#This Row],[(S/S) AJD]]</f>
        <v/>
      </c>
      <c r="Q135" s="40" t="n"/>
      <c r="R135" s="3">
        <f>Table6[[#This Row],[ (T/B) SAR]]-Table6[[#This Row],[(T/B) AJD]]</f>
        <v/>
      </c>
      <c r="S135" s="3">
        <f>Table6[[#This Row],[S/S_CON.]]+Table6[[#This Row],[T/B-CON.]]</f>
        <v/>
      </c>
      <c r="T135" s="3">
        <f>O135+Q135</f>
        <v/>
      </c>
      <c r="U135" s="44" t="n"/>
      <c r="V135" s="44" t="n"/>
      <c r="W135" s="3">
        <f>U135+V135</f>
        <v/>
      </c>
      <c r="X135" s="3">
        <f>T135-W135</f>
        <v/>
      </c>
      <c r="Y135" s="44" t="n"/>
      <c r="Z135" s="45" t="n"/>
      <c r="AA135" s="3">
        <f>Table6[[#This Row],[(RESV. STORGE) AJD]]/10</f>
        <v/>
      </c>
      <c r="AB135" s="3">
        <f>IF(TRIM(Z135)="",,(Z135-Z134)/1000)</f>
        <v/>
      </c>
      <c r="AC135" s="5" t="n"/>
      <c r="AD135" s="40">
        <f>(Table6[[#This Row],[( S/S+T/B) AJD]]*1000)-((Table6[[#This Row],[(STORGE DIFF.) AJD]]*1000)+Table6[[#This Row],[AJD_Evaporation]]+(Table6[[#This Row],[(A/B + A/S) AJD]]*1000))</f>
        <v/>
      </c>
      <c r="AE135" s="44" t="n"/>
      <c r="AF135" s="45" t="n"/>
      <c r="AG135" s="45" t="n"/>
      <c r="AH135" s="6">
        <f>Table6[[#This Row],[ (RESV. STORGE) BER]]/10</f>
        <v/>
      </c>
      <c r="AI135" s="44" t="n"/>
      <c r="AJ135" s="45">
        <f>Table6[[#This Row],[(A/B) AJD]]-TABL12345[[#This Row],[BER_IN]]</f>
        <v/>
      </c>
      <c r="AK135" s="45" t="n"/>
      <c r="AL135" s="45" t="n"/>
      <c r="AM135" s="32" t="n"/>
      <c r="AN135" s="32">
        <f>Table6[[#This Row],[ (RESV. STORGE) SER]]/10</f>
        <v/>
      </c>
      <c r="AO135" s="68" t="n"/>
      <c r="AP135" s="99">
        <f>Table6[[#This Row],[(A/S) AJD]]-Table6[[#This Row],[SER_IN]]</f>
        <v/>
      </c>
    </row>
    <row r="136" ht="18.75" customHeight="1">
      <c r="A136" s="98" t="n">
        <v>47618</v>
      </c>
      <c r="B136" s="41" t="n"/>
      <c r="C136" s="41" t="n"/>
      <c r="D136" s="41" t="n"/>
      <c r="E136" s="41" t="n"/>
      <c r="F136" s="41" t="n"/>
      <c r="G136" s="39" t="n"/>
      <c r="H136" s="28" t="n"/>
      <c r="I136" s="39" t="n"/>
      <c r="J136" s="39" t="n"/>
      <c r="K136" s="28">
        <f>Table6[[#This Row],[ (T/B) SAR]]+Table6[[#This Row],[ (S/S) SAR]]</f>
        <v/>
      </c>
      <c r="L136" s="41" t="n"/>
      <c r="M136" s="42" t="n"/>
      <c r="N136" s="42" t="n"/>
      <c r="O136" s="39" t="n"/>
      <c r="P136" s="3">
        <f>Table6[[#This Row],[ (S/S) SAR]]-Table6[[#This Row],[(S/S) AJD]]</f>
        <v/>
      </c>
      <c r="Q136" s="39" t="n"/>
      <c r="R136" s="3">
        <f>Table6[[#This Row],[ (T/B) SAR]]-Table6[[#This Row],[(T/B) AJD]]</f>
        <v/>
      </c>
      <c r="S136" s="3">
        <f>Table6[[#This Row],[S/S_CON.]]+Table6[[#This Row],[T/B-CON.]]</f>
        <v/>
      </c>
      <c r="T136" s="3">
        <f>O136+Q136</f>
        <v/>
      </c>
      <c r="U136" s="41" t="n"/>
      <c r="V136" s="41" t="n"/>
      <c r="W136" s="3">
        <f>U136+V136</f>
        <v/>
      </c>
      <c r="X136" s="3">
        <f>T136-W136</f>
        <v/>
      </c>
      <c r="Y136" s="41" t="n"/>
      <c r="Z136" s="43" t="n"/>
      <c r="AA136" s="3">
        <f>Table6[[#This Row],[(RESV. STORGE) AJD]]/10</f>
        <v/>
      </c>
      <c r="AB136" s="3">
        <f>IF(TRIM(Z136)="",,(Z136-Z135)/1000)</f>
        <v/>
      </c>
      <c r="AC136" s="5" t="n"/>
      <c r="AD136" s="39">
        <f>(Table6[[#This Row],[( S/S+T/B) AJD]]*1000)-((Table6[[#This Row],[(STORGE DIFF.) AJD]]*1000)+Table6[[#This Row],[AJD_Evaporation]]+(Table6[[#This Row],[(A/B + A/S) AJD]]*1000))</f>
        <v/>
      </c>
      <c r="AE136" s="41" t="n"/>
      <c r="AF136" s="43" t="n"/>
      <c r="AG136" s="43" t="n"/>
      <c r="AH136" s="6">
        <f>Table6[[#This Row],[ (RESV. STORGE) BER]]/10</f>
        <v/>
      </c>
      <c r="AI136" s="41" t="n"/>
      <c r="AJ136" s="43">
        <f>Table6[[#This Row],[(A/B) AJD]]-TABL12345[[#This Row],[BER_IN]]</f>
        <v/>
      </c>
      <c r="AK136" s="43" t="n"/>
      <c r="AL136" s="43" t="n"/>
      <c r="AM136" s="32" t="n"/>
      <c r="AN136" s="32">
        <f>Table6[[#This Row],[ (RESV. STORGE) SER]]/10</f>
        <v/>
      </c>
      <c r="AO136" s="68" t="n"/>
      <c r="AP136" s="99">
        <f>Table6[[#This Row],[(A/S) AJD]]-Table6[[#This Row],[SER_IN]]</f>
        <v/>
      </c>
    </row>
    <row r="137" ht="18.75" customHeight="1">
      <c r="A137" s="98" t="n">
        <v>47619</v>
      </c>
      <c r="B137" s="44" t="n"/>
      <c r="C137" s="44" t="n"/>
      <c r="D137" s="44" t="n"/>
      <c r="E137" s="44" t="n"/>
      <c r="F137" s="44" t="n"/>
      <c r="G137" s="40" t="n"/>
      <c r="H137" s="28" t="n"/>
      <c r="I137" s="40" t="n"/>
      <c r="J137" s="44" t="n"/>
      <c r="K137" s="28">
        <f>Table6[[#This Row],[ (T/B) SAR]]+Table6[[#This Row],[ (S/S) SAR]]</f>
        <v/>
      </c>
      <c r="L137" s="45" t="n"/>
      <c r="M137" s="46" t="n"/>
      <c r="N137" s="46" t="n"/>
      <c r="O137" s="40" t="n"/>
      <c r="P137" s="3">
        <f>Table6[[#This Row],[ (S/S) SAR]]-Table6[[#This Row],[(S/S) AJD]]</f>
        <v/>
      </c>
      <c r="Q137" s="40" t="n"/>
      <c r="R137" s="3">
        <f>Table6[[#This Row],[ (T/B) SAR]]-Table6[[#This Row],[(T/B) AJD]]</f>
        <v/>
      </c>
      <c r="S137" s="3">
        <f>Table6[[#This Row],[S/S_CON.]]+Table6[[#This Row],[T/B-CON.]]</f>
        <v/>
      </c>
      <c r="T137" s="3">
        <f>O137+Q137</f>
        <v/>
      </c>
      <c r="U137" s="44" t="n"/>
      <c r="V137" s="44" t="n"/>
      <c r="W137" s="3">
        <f>U137+V137</f>
        <v/>
      </c>
      <c r="X137" s="3">
        <f>T137-W137</f>
        <v/>
      </c>
      <c r="Y137" s="44" t="n"/>
      <c r="Z137" s="45" t="n"/>
      <c r="AA137" s="3">
        <f>Table6[[#This Row],[(RESV. STORGE) AJD]]/10</f>
        <v/>
      </c>
      <c r="AB137" s="3">
        <f>IF(TRIM(Z137)="",,(Z137-Z136)/1000)</f>
        <v/>
      </c>
      <c r="AC137" s="5" t="n"/>
      <c r="AD137" s="40">
        <f>(Table6[[#This Row],[( S/S+T/B) AJD]]*1000)-((Table6[[#This Row],[(STORGE DIFF.) AJD]]*1000)+Table6[[#This Row],[AJD_Evaporation]]+(Table6[[#This Row],[(A/B + A/S) AJD]]*1000))</f>
        <v/>
      </c>
      <c r="AE137" s="44" t="n"/>
      <c r="AF137" s="45" t="n"/>
      <c r="AG137" s="45" t="n"/>
      <c r="AH137" s="6">
        <f>Table6[[#This Row],[ (RESV. STORGE) BER]]/10</f>
        <v/>
      </c>
      <c r="AI137" s="44" t="n"/>
      <c r="AJ137" s="45">
        <f>Table6[[#This Row],[(A/B) AJD]]-TABL12345[[#This Row],[BER_IN]]</f>
        <v/>
      </c>
      <c r="AK137" s="45" t="n"/>
      <c r="AL137" s="45" t="n"/>
      <c r="AM137" s="32" t="n"/>
      <c r="AN137" s="32">
        <f>Table6[[#This Row],[ (RESV. STORGE) SER]]/10</f>
        <v/>
      </c>
      <c r="AO137" s="68" t="n"/>
      <c r="AP137" s="99">
        <f>Table6[[#This Row],[(A/S) AJD]]-Table6[[#This Row],[SER_IN]]</f>
        <v/>
      </c>
    </row>
    <row r="138" ht="18.75" customHeight="1">
      <c r="A138" s="98" t="n">
        <v>47620</v>
      </c>
      <c r="B138" s="41" t="n"/>
      <c r="C138" s="41" t="n"/>
      <c r="D138" s="41" t="n"/>
      <c r="E138" s="41" t="n"/>
      <c r="F138" s="41" t="n"/>
      <c r="G138" s="39" t="n"/>
      <c r="H138" s="28" t="n"/>
      <c r="I138" s="39" t="n"/>
      <c r="J138" s="39" t="n"/>
      <c r="K138" s="28">
        <f>Table6[[#This Row],[ (T/B) SAR]]+Table6[[#This Row],[ (S/S) SAR]]</f>
        <v/>
      </c>
      <c r="L138" s="41" t="n"/>
      <c r="M138" s="42" t="n"/>
      <c r="N138" s="42" t="n"/>
      <c r="O138" s="39" t="n"/>
      <c r="P138" s="3">
        <f>Table6[[#This Row],[ (S/S) SAR]]-Table6[[#This Row],[(S/S) AJD]]</f>
        <v/>
      </c>
      <c r="Q138" s="39" t="n"/>
      <c r="R138" s="3">
        <f>Table6[[#This Row],[ (T/B) SAR]]-Table6[[#This Row],[(T/B) AJD]]</f>
        <v/>
      </c>
      <c r="S138" s="3">
        <f>Table6[[#This Row],[S/S_CON.]]+Table6[[#This Row],[T/B-CON.]]</f>
        <v/>
      </c>
      <c r="T138" s="3">
        <f>O138+Q138</f>
        <v/>
      </c>
      <c r="U138" s="41" t="n"/>
      <c r="V138" s="41" t="n"/>
      <c r="W138" s="3">
        <f>U138+V138</f>
        <v/>
      </c>
      <c r="X138" s="3">
        <f>T138-W138</f>
        <v/>
      </c>
      <c r="Y138" s="41" t="n"/>
      <c r="Z138" s="43" t="n"/>
      <c r="AA138" s="3">
        <f>Table6[[#This Row],[(RESV. STORGE) AJD]]/10</f>
        <v/>
      </c>
      <c r="AB138" s="3">
        <f>IF(TRIM(Z138)="",,(Z138-Z137)/1000)</f>
        <v/>
      </c>
      <c r="AC138" s="5" t="n"/>
      <c r="AD138" s="39">
        <f>(Table6[[#This Row],[( S/S+T/B) AJD]]*1000)-((Table6[[#This Row],[(STORGE DIFF.) AJD]]*1000)+Table6[[#This Row],[AJD_Evaporation]]+(Table6[[#This Row],[(A/B + A/S) AJD]]*1000))</f>
        <v/>
      </c>
      <c r="AE138" s="41" t="n"/>
      <c r="AF138" s="43" t="n"/>
      <c r="AG138" s="43" t="n"/>
      <c r="AH138" s="6">
        <f>Table6[[#This Row],[ (RESV. STORGE) BER]]/10</f>
        <v/>
      </c>
      <c r="AI138" s="41" t="n"/>
      <c r="AJ138" s="43">
        <f>Table6[[#This Row],[(A/B) AJD]]-TABL12345[[#This Row],[BER_IN]]</f>
        <v/>
      </c>
      <c r="AK138" s="43" t="n"/>
      <c r="AL138" s="43" t="n"/>
      <c r="AM138" s="32" t="n"/>
      <c r="AN138" s="32">
        <f>Table6[[#This Row],[ (RESV. STORGE) SER]]/10</f>
        <v/>
      </c>
      <c r="AO138" s="68" t="n"/>
      <c r="AP138" s="99">
        <f>Table6[[#This Row],[(A/S) AJD]]-Table6[[#This Row],[SER_IN]]</f>
        <v/>
      </c>
    </row>
    <row r="139" ht="18.75" customHeight="1">
      <c r="A139" s="98" t="n">
        <v>47621</v>
      </c>
      <c r="B139" s="44" t="n"/>
      <c r="C139" s="44" t="n"/>
      <c r="D139" s="44" t="n"/>
      <c r="E139" s="44" t="n"/>
      <c r="F139" s="44" t="n"/>
      <c r="G139" s="40" t="n"/>
      <c r="H139" s="28" t="n"/>
      <c r="I139" s="40" t="n"/>
      <c r="J139" s="44" t="n"/>
      <c r="K139" s="28">
        <f>Table6[[#This Row],[ (T/B) SAR]]+Table6[[#This Row],[ (S/S) SAR]]</f>
        <v/>
      </c>
      <c r="L139" s="45" t="n"/>
      <c r="M139" s="46" t="n"/>
      <c r="N139" s="46" t="n"/>
      <c r="O139" s="40" t="n"/>
      <c r="P139" s="3">
        <f>Table6[[#This Row],[ (S/S) SAR]]-Table6[[#This Row],[(S/S) AJD]]</f>
        <v/>
      </c>
      <c r="Q139" s="40" t="n"/>
      <c r="R139" s="3">
        <f>Table6[[#This Row],[ (T/B) SAR]]-Table6[[#This Row],[(T/B) AJD]]</f>
        <v/>
      </c>
      <c r="S139" s="3">
        <f>Table6[[#This Row],[S/S_CON.]]+Table6[[#This Row],[T/B-CON.]]</f>
        <v/>
      </c>
      <c r="T139" s="3">
        <f>O139+Q139</f>
        <v/>
      </c>
      <c r="U139" s="44" t="n"/>
      <c r="V139" s="44" t="n"/>
      <c r="W139" s="3">
        <f>U139+V139</f>
        <v/>
      </c>
      <c r="X139" s="3">
        <f>T139-W139</f>
        <v/>
      </c>
      <c r="Y139" s="44" t="n"/>
      <c r="Z139" s="45" t="n"/>
      <c r="AA139" s="3">
        <f>Table6[[#This Row],[(RESV. STORGE) AJD]]/10</f>
        <v/>
      </c>
      <c r="AB139" s="3">
        <f>IF(TRIM(Z139)="",,(Z139-Z138)/1000)</f>
        <v/>
      </c>
      <c r="AC139" s="5" t="n"/>
      <c r="AD139" s="40">
        <f>(Table6[[#This Row],[( S/S+T/B) AJD]]*1000)-((Table6[[#This Row],[(STORGE DIFF.) AJD]]*1000)+Table6[[#This Row],[AJD_Evaporation]]+(Table6[[#This Row],[(A/B + A/S) AJD]]*1000))</f>
        <v/>
      </c>
      <c r="AE139" s="44" t="n"/>
      <c r="AF139" s="45" t="n"/>
      <c r="AG139" s="45" t="n"/>
      <c r="AH139" s="6">
        <f>Table6[[#This Row],[ (RESV. STORGE) BER]]/10</f>
        <v/>
      </c>
      <c r="AI139" s="44" t="n"/>
      <c r="AJ139" s="45">
        <f>Table6[[#This Row],[(A/B) AJD]]-TABL12345[[#This Row],[BER_IN]]</f>
        <v/>
      </c>
      <c r="AK139" s="45" t="n"/>
      <c r="AL139" s="45" t="n"/>
      <c r="AM139" s="32" t="n"/>
      <c r="AN139" s="32">
        <f>Table6[[#This Row],[ (RESV. STORGE) SER]]/10</f>
        <v/>
      </c>
      <c r="AO139" s="68" t="n"/>
      <c r="AP139" s="99">
        <f>Table6[[#This Row],[(A/S) AJD]]-Table6[[#This Row],[SER_IN]]</f>
        <v/>
      </c>
    </row>
    <row r="140" ht="18.75" customHeight="1">
      <c r="A140" s="98" t="n">
        <v>47622</v>
      </c>
      <c r="B140" s="41" t="n"/>
      <c r="C140" s="41" t="n"/>
      <c r="D140" s="41" t="n"/>
      <c r="E140" s="41" t="n"/>
      <c r="F140" s="41" t="n"/>
      <c r="G140" s="39" t="n"/>
      <c r="H140" s="28" t="n"/>
      <c r="I140" s="39" t="n"/>
      <c r="J140" s="39" t="n"/>
      <c r="K140" s="28">
        <f>Table6[[#This Row],[ (T/B) SAR]]+Table6[[#This Row],[ (S/S) SAR]]</f>
        <v/>
      </c>
      <c r="L140" s="41" t="n"/>
      <c r="M140" s="42" t="n"/>
      <c r="N140" s="42" t="n"/>
      <c r="O140" s="39" t="n"/>
      <c r="P140" s="3">
        <f>Table6[[#This Row],[ (S/S) SAR]]-Table6[[#This Row],[(S/S) AJD]]</f>
        <v/>
      </c>
      <c r="Q140" s="39" t="n"/>
      <c r="R140" s="3">
        <f>Table6[[#This Row],[ (T/B) SAR]]-Table6[[#This Row],[(T/B) AJD]]</f>
        <v/>
      </c>
      <c r="S140" s="3">
        <f>Table6[[#This Row],[S/S_CON.]]+Table6[[#This Row],[T/B-CON.]]</f>
        <v/>
      </c>
      <c r="T140" s="3">
        <f>O140+Q140</f>
        <v/>
      </c>
      <c r="U140" s="41" t="n"/>
      <c r="V140" s="41" t="n"/>
      <c r="W140" s="3">
        <f>U140+V140</f>
        <v/>
      </c>
      <c r="X140" s="3">
        <f>T140-W140</f>
        <v/>
      </c>
      <c r="Y140" s="41" t="n"/>
      <c r="Z140" s="43" t="n"/>
      <c r="AA140" s="3">
        <f>Table6[[#This Row],[(RESV. STORGE) AJD]]/10</f>
        <v/>
      </c>
      <c r="AB140" s="3">
        <f>IF(TRIM(Z140)="",,(Z140-Z139)/1000)</f>
        <v/>
      </c>
      <c r="AC140" s="5" t="n"/>
      <c r="AD140" s="39">
        <f>(Table6[[#This Row],[( S/S+T/B) AJD]]*1000)-((Table6[[#This Row],[(STORGE DIFF.) AJD]]*1000)+Table6[[#This Row],[AJD_Evaporation]]+(Table6[[#This Row],[(A/B + A/S) AJD]]*1000))</f>
        <v/>
      </c>
      <c r="AE140" s="41" t="n"/>
      <c r="AF140" s="43" t="n"/>
      <c r="AG140" s="43" t="n"/>
      <c r="AH140" s="6">
        <f>Table6[[#This Row],[ (RESV. STORGE) BER]]/10</f>
        <v/>
      </c>
      <c r="AI140" s="41" t="n"/>
      <c r="AJ140" s="43">
        <f>Table6[[#This Row],[(A/B) AJD]]-TABL12345[[#This Row],[BER_IN]]</f>
        <v/>
      </c>
      <c r="AK140" s="43" t="n"/>
      <c r="AL140" s="43" t="n"/>
      <c r="AM140" s="32" t="n"/>
      <c r="AN140" s="32">
        <f>Table6[[#This Row],[ (RESV. STORGE) SER]]/10</f>
        <v/>
      </c>
      <c r="AO140" s="68" t="n"/>
      <c r="AP140" s="99">
        <f>Table6[[#This Row],[(A/S) AJD]]-Table6[[#This Row],[SER_IN]]</f>
        <v/>
      </c>
    </row>
    <row r="141" ht="18.75" customHeight="1">
      <c r="A141" s="98" t="n">
        <v>47623</v>
      </c>
      <c r="B141" s="44" t="n"/>
      <c r="C141" s="44" t="n"/>
      <c r="D141" s="44" t="n"/>
      <c r="E141" s="44" t="n"/>
      <c r="F141" s="44" t="n"/>
      <c r="G141" s="40" t="n"/>
      <c r="H141" s="28" t="n"/>
      <c r="I141" s="40" t="n"/>
      <c r="J141" s="44" t="n"/>
      <c r="K141" s="28">
        <f>Table6[[#This Row],[ (T/B) SAR]]+Table6[[#This Row],[ (S/S) SAR]]</f>
        <v/>
      </c>
      <c r="L141" s="45" t="n"/>
      <c r="M141" s="46" t="n"/>
      <c r="N141" s="46" t="n"/>
      <c r="O141" s="40" t="n"/>
      <c r="P141" s="3">
        <f>Table6[[#This Row],[ (S/S) SAR]]-Table6[[#This Row],[(S/S) AJD]]</f>
        <v/>
      </c>
      <c r="Q141" s="40" t="n"/>
      <c r="R141" s="3">
        <f>Table6[[#This Row],[ (T/B) SAR]]-Table6[[#This Row],[(T/B) AJD]]</f>
        <v/>
      </c>
      <c r="S141" s="3">
        <f>Table6[[#This Row],[S/S_CON.]]+Table6[[#This Row],[T/B-CON.]]</f>
        <v/>
      </c>
      <c r="T141" s="3">
        <f>O141+Q141</f>
        <v/>
      </c>
      <c r="U141" s="44" t="n"/>
      <c r="V141" s="44" t="n"/>
      <c r="W141" s="3">
        <f>U141+V141</f>
        <v/>
      </c>
      <c r="X141" s="3">
        <f>T141-W141</f>
        <v/>
      </c>
      <c r="Y141" s="44" t="n"/>
      <c r="Z141" s="45" t="n"/>
      <c r="AA141" s="3">
        <f>Table6[[#This Row],[(RESV. STORGE) AJD]]/10</f>
        <v/>
      </c>
      <c r="AB141" s="3">
        <f>IF(TRIM(Z141)="",,(Z141-Z140)/1000)</f>
        <v/>
      </c>
      <c r="AC141" s="5" t="n"/>
      <c r="AD141" s="40">
        <f>(Table6[[#This Row],[( S/S+T/B) AJD]]*1000)-((Table6[[#This Row],[(STORGE DIFF.) AJD]]*1000)+Table6[[#This Row],[AJD_Evaporation]]+(Table6[[#This Row],[(A/B + A/S) AJD]]*1000))</f>
        <v/>
      </c>
      <c r="AE141" s="44" t="n"/>
      <c r="AF141" s="45" t="n"/>
      <c r="AG141" s="45" t="n"/>
      <c r="AH141" s="6">
        <f>Table6[[#This Row],[ (RESV. STORGE) BER]]/10</f>
        <v/>
      </c>
      <c r="AI141" s="44" t="n"/>
      <c r="AJ141" s="45">
        <f>Table6[[#This Row],[(A/B) AJD]]-TABL12345[[#This Row],[BER_IN]]</f>
        <v/>
      </c>
      <c r="AK141" s="45" t="n"/>
      <c r="AL141" s="45" t="n"/>
      <c r="AM141" s="32" t="n"/>
      <c r="AN141" s="32">
        <f>Table6[[#This Row],[ (RESV. STORGE) SER]]/10</f>
        <v/>
      </c>
      <c r="AO141" s="68" t="n"/>
      <c r="AP141" s="99">
        <f>Table6[[#This Row],[(A/S) AJD]]-Table6[[#This Row],[SER_IN]]</f>
        <v/>
      </c>
    </row>
    <row r="142" ht="18.75" customHeight="1">
      <c r="A142" s="98" t="n">
        <v>47624</v>
      </c>
      <c r="B142" s="41" t="n"/>
      <c r="C142" s="41" t="n"/>
      <c r="D142" s="41" t="n"/>
      <c r="E142" s="41" t="n"/>
      <c r="F142" s="41" t="n"/>
      <c r="G142" s="39" t="n"/>
      <c r="H142" s="28" t="n"/>
      <c r="I142" s="39" t="n"/>
      <c r="J142" s="39" t="n"/>
      <c r="K142" s="28">
        <f>Table6[[#This Row],[ (T/B) SAR]]+Table6[[#This Row],[ (S/S) SAR]]</f>
        <v/>
      </c>
      <c r="L142" s="41" t="n"/>
      <c r="M142" s="42" t="n"/>
      <c r="N142" s="42" t="n"/>
      <c r="O142" s="39" t="n"/>
      <c r="P142" s="3">
        <f>Table6[[#This Row],[ (S/S) SAR]]-Table6[[#This Row],[(S/S) AJD]]</f>
        <v/>
      </c>
      <c r="Q142" s="39" t="n"/>
      <c r="R142" s="3">
        <f>Table6[[#This Row],[ (T/B) SAR]]-Table6[[#This Row],[(T/B) AJD]]</f>
        <v/>
      </c>
      <c r="S142" s="3">
        <f>Table6[[#This Row],[S/S_CON.]]+Table6[[#This Row],[T/B-CON.]]</f>
        <v/>
      </c>
      <c r="T142" s="3">
        <f>O142+Q142</f>
        <v/>
      </c>
      <c r="U142" s="41" t="n"/>
      <c r="V142" s="41" t="n"/>
      <c r="W142" s="3">
        <f>U142+V142</f>
        <v/>
      </c>
      <c r="X142" s="3">
        <f>T142-W142</f>
        <v/>
      </c>
      <c r="Y142" s="41" t="n"/>
      <c r="Z142" s="43" t="n"/>
      <c r="AA142" s="3">
        <f>Table6[[#This Row],[(RESV. STORGE) AJD]]/10</f>
        <v/>
      </c>
      <c r="AB142" s="3">
        <f>IF(TRIM(Z142)="",,(Z142-Z141)/1000)</f>
        <v/>
      </c>
      <c r="AC142" s="5" t="n"/>
      <c r="AD142" s="39">
        <f>(Table6[[#This Row],[( S/S+T/B) AJD]]*1000)-((Table6[[#This Row],[(STORGE DIFF.) AJD]]*1000)+Table6[[#This Row],[AJD_Evaporation]]+(Table6[[#This Row],[(A/B + A/S) AJD]]*1000))</f>
        <v/>
      </c>
      <c r="AE142" s="41" t="n"/>
      <c r="AF142" s="43" t="n"/>
      <c r="AG142" s="43" t="n"/>
      <c r="AH142" s="6">
        <f>Table6[[#This Row],[ (RESV. STORGE) BER]]/10</f>
        <v/>
      </c>
      <c r="AI142" s="41" t="n"/>
      <c r="AJ142" s="43">
        <f>Table6[[#This Row],[(A/B) AJD]]-TABL12345[[#This Row],[BER_IN]]</f>
        <v/>
      </c>
      <c r="AK142" s="43" t="n"/>
      <c r="AL142" s="43" t="n"/>
      <c r="AM142" s="32" t="n"/>
      <c r="AN142" s="32">
        <f>Table6[[#This Row],[ (RESV. STORGE) SER]]/10</f>
        <v/>
      </c>
      <c r="AO142" s="68" t="n"/>
      <c r="AP142" s="99">
        <f>Table6[[#This Row],[(A/S) AJD]]-Table6[[#This Row],[SER_IN]]</f>
        <v/>
      </c>
    </row>
    <row r="143" ht="18.75" customHeight="1">
      <c r="A143" s="98" t="n">
        <v>47625</v>
      </c>
      <c r="B143" s="44" t="n"/>
      <c r="C143" s="44" t="n"/>
      <c r="D143" s="44" t="n"/>
      <c r="E143" s="44" t="n"/>
      <c r="F143" s="44" t="n"/>
      <c r="G143" s="40" t="n"/>
      <c r="H143" s="28" t="n"/>
      <c r="I143" s="40" t="n"/>
      <c r="J143" s="44" t="n"/>
      <c r="K143" s="28">
        <f>Table6[[#This Row],[ (T/B) SAR]]+Table6[[#This Row],[ (S/S) SAR]]</f>
        <v/>
      </c>
      <c r="L143" s="45" t="n"/>
      <c r="M143" s="46" t="n"/>
      <c r="N143" s="46" t="n"/>
      <c r="O143" s="40" t="n"/>
      <c r="P143" s="3">
        <f>Table6[[#This Row],[ (S/S) SAR]]-Table6[[#This Row],[(S/S) AJD]]</f>
        <v/>
      </c>
      <c r="Q143" s="40" t="n"/>
      <c r="R143" s="3">
        <f>Table6[[#This Row],[ (T/B) SAR]]-Table6[[#This Row],[(T/B) AJD]]</f>
        <v/>
      </c>
      <c r="S143" s="3">
        <f>Table6[[#This Row],[S/S_CON.]]+Table6[[#This Row],[T/B-CON.]]</f>
        <v/>
      </c>
      <c r="T143" s="3">
        <f>O143+Q143</f>
        <v/>
      </c>
      <c r="U143" s="44" t="n"/>
      <c r="V143" s="44" t="n"/>
      <c r="W143" s="3">
        <f>U143+V143</f>
        <v/>
      </c>
      <c r="X143" s="3">
        <f>T143-W143</f>
        <v/>
      </c>
      <c r="Y143" s="44" t="n"/>
      <c r="Z143" s="45" t="n"/>
      <c r="AA143" s="3">
        <f>Table6[[#This Row],[(RESV. STORGE) AJD]]/10</f>
        <v/>
      </c>
      <c r="AB143" s="3">
        <f>IF(TRIM(Z143)="",,(Z143-Z142)/1000)</f>
        <v/>
      </c>
      <c r="AC143" s="5" t="n"/>
      <c r="AD143" s="40">
        <f>(Table6[[#This Row],[( S/S+T/B) AJD]]*1000)-((Table6[[#This Row],[(STORGE DIFF.) AJD]]*1000)+Table6[[#This Row],[AJD_Evaporation]]+(Table6[[#This Row],[(A/B + A/S) AJD]]*1000))</f>
        <v/>
      </c>
      <c r="AE143" s="44" t="n"/>
      <c r="AF143" s="45" t="n"/>
      <c r="AG143" s="45" t="n"/>
      <c r="AH143" s="6">
        <f>Table6[[#This Row],[ (RESV. STORGE) BER]]/10</f>
        <v/>
      </c>
      <c r="AI143" s="44" t="n"/>
      <c r="AJ143" s="45">
        <f>Table6[[#This Row],[(A/B) AJD]]-TABL12345[[#This Row],[BER_IN]]</f>
        <v/>
      </c>
      <c r="AK143" s="45" t="n"/>
      <c r="AL143" s="45" t="n"/>
      <c r="AM143" s="32" t="n"/>
      <c r="AN143" s="32">
        <f>Table6[[#This Row],[ (RESV. STORGE) SER]]/10</f>
        <v/>
      </c>
      <c r="AO143" s="68" t="n"/>
      <c r="AP143" s="99">
        <f>Table6[[#This Row],[(A/S) AJD]]-Table6[[#This Row],[SER_IN]]</f>
        <v/>
      </c>
    </row>
    <row r="144" ht="18.75" customHeight="1">
      <c r="A144" s="98" t="n">
        <v>47626</v>
      </c>
      <c r="B144" s="41" t="n"/>
      <c r="C144" s="41" t="n"/>
      <c r="D144" s="41" t="n"/>
      <c r="E144" s="41" t="n"/>
      <c r="F144" s="41" t="n"/>
      <c r="G144" s="39" t="n"/>
      <c r="H144" s="28" t="n"/>
      <c r="I144" s="39" t="n"/>
      <c r="J144" s="39" t="n"/>
      <c r="K144" s="28">
        <f>Table6[[#This Row],[ (T/B) SAR]]+Table6[[#This Row],[ (S/S) SAR]]</f>
        <v/>
      </c>
      <c r="L144" s="41" t="n"/>
      <c r="M144" s="42" t="n"/>
      <c r="N144" s="42" t="n"/>
      <c r="O144" s="39" t="n"/>
      <c r="P144" s="3">
        <f>Table6[[#This Row],[ (S/S) SAR]]-Table6[[#This Row],[(S/S) AJD]]</f>
        <v/>
      </c>
      <c r="Q144" s="39" t="n"/>
      <c r="R144" s="3">
        <f>Table6[[#This Row],[ (T/B) SAR]]-Table6[[#This Row],[(T/B) AJD]]</f>
        <v/>
      </c>
      <c r="S144" s="3">
        <f>Table6[[#This Row],[S/S_CON.]]+Table6[[#This Row],[T/B-CON.]]</f>
        <v/>
      </c>
      <c r="T144" s="3">
        <f>O144+Q144</f>
        <v/>
      </c>
      <c r="U144" s="41" t="n"/>
      <c r="V144" s="41" t="n"/>
      <c r="W144" s="3">
        <f>U144+V144</f>
        <v/>
      </c>
      <c r="X144" s="3">
        <f>T144-W144</f>
        <v/>
      </c>
      <c r="Y144" s="41" t="n"/>
      <c r="Z144" s="43" t="n"/>
      <c r="AA144" s="3">
        <f>Table6[[#This Row],[(RESV. STORGE) AJD]]/10</f>
        <v/>
      </c>
      <c r="AB144" s="3">
        <f>IF(TRIM(Z144)="",,(Z144-Z143)/1000)</f>
        <v/>
      </c>
      <c r="AC144" s="5" t="n"/>
      <c r="AD144" s="39">
        <f>(Table6[[#This Row],[( S/S+T/B) AJD]]*1000)-((Table6[[#This Row],[(STORGE DIFF.) AJD]]*1000)+Table6[[#This Row],[AJD_Evaporation]]+(Table6[[#This Row],[(A/B + A/S) AJD]]*1000))</f>
        <v/>
      </c>
      <c r="AE144" s="41" t="n"/>
      <c r="AF144" s="43" t="n"/>
      <c r="AG144" s="43" t="n"/>
      <c r="AH144" s="6">
        <f>Table6[[#This Row],[ (RESV. STORGE) BER]]/10</f>
        <v/>
      </c>
      <c r="AI144" s="41" t="n"/>
      <c r="AJ144" s="43">
        <f>Table6[[#This Row],[(A/B) AJD]]-TABL12345[[#This Row],[BER_IN]]</f>
        <v/>
      </c>
      <c r="AK144" s="43" t="n"/>
      <c r="AL144" s="43" t="n"/>
      <c r="AM144" s="32" t="n"/>
      <c r="AN144" s="32">
        <f>Table6[[#This Row],[ (RESV. STORGE) SER]]/10</f>
        <v/>
      </c>
      <c r="AO144" s="68" t="n"/>
      <c r="AP144" s="99">
        <f>Table6[[#This Row],[(A/S) AJD]]-Table6[[#This Row],[SER_IN]]</f>
        <v/>
      </c>
    </row>
    <row r="145" ht="18.75" customHeight="1">
      <c r="A145" s="98" t="n">
        <v>47627</v>
      </c>
      <c r="B145" s="44" t="n"/>
      <c r="C145" s="44" t="n"/>
      <c r="D145" s="44" t="n"/>
      <c r="E145" s="44" t="n"/>
      <c r="F145" s="44" t="n"/>
      <c r="G145" s="40" t="n"/>
      <c r="H145" s="28" t="n"/>
      <c r="I145" s="40" t="n"/>
      <c r="J145" s="44" t="n"/>
      <c r="K145" s="28">
        <f>Table6[[#This Row],[ (T/B) SAR]]+Table6[[#This Row],[ (S/S) SAR]]</f>
        <v/>
      </c>
      <c r="L145" s="45" t="n"/>
      <c r="M145" s="46" t="n"/>
      <c r="N145" s="46" t="n"/>
      <c r="O145" s="40" t="n"/>
      <c r="P145" s="3">
        <f>Table6[[#This Row],[ (S/S) SAR]]-Table6[[#This Row],[(S/S) AJD]]</f>
        <v/>
      </c>
      <c r="Q145" s="40" t="n"/>
      <c r="R145" s="3">
        <f>Table6[[#This Row],[ (T/B) SAR]]-Table6[[#This Row],[(T/B) AJD]]</f>
        <v/>
      </c>
      <c r="S145" s="3">
        <f>Table6[[#This Row],[S/S_CON.]]+Table6[[#This Row],[T/B-CON.]]</f>
        <v/>
      </c>
      <c r="T145" s="3">
        <f>O145+Q145</f>
        <v/>
      </c>
      <c r="U145" s="44" t="n"/>
      <c r="V145" s="44" t="n"/>
      <c r="W145" s="3">
        <f>U145+V145</f>
        <v/>
      </c>
      <c r="X145" s="3">
        <f>T145-W145</f>
        <v/>
      </c>
      <c r="Y145" s="44" t="n"/>
      <c r="Z145" s="45" t="n"/>
      <c r="AA145" s="3">
        <f>Table6[[#This Row],[(RESV. STORGE) AJD]]/10</f>
        <v/>
      </c>
      <c r="AB145" s="3">
        <f>IF(TRIM(Z145)="",,(Z145-Z144)/1000)</f>
        <v/>
      </c>
      <c r="AC145" s="5" t="n"/>
      <c r="AD145" s="40">
        <f>(Table6[[#This Row],[( S/S+T/B) AJD]]*1000)-((Table6[[#This Row],[(STORGE DIFF.) AJD]]*1000)+Table6[[#This Row],[AJD_Evaporation]]+(Table6[[#This Row],[(A/B + A/S) AJD]]*1000))</f>
        <v/>
      </c>
      <c r="AE145" s="44" t="n"/>
      <c r="AF145" s="45" t="n"/>
      <c r="AG145" s="45" t="n"/>
      <c r="AH145" s="6">
        <f>Table6[[#This Row],[ (RESV. STORGE) BER]]/10</f>
        <v/>
      </c>
      <c r="AI145" s="44" t="n"/>
      <c r="AJ145" s="45">
        <f>Table6[[#This Row],[(A/B) AJD]]-TABL12345[[#This Row],[BER_IN]]</f>
        <v/>
      </c>
      <c r="AK145" s="45" t="n"/>
      <c r="AL145" s="45" t="n"/>
      <c r="AM145" s="32" t="n"/>
      <c r="AN145" s="32">
        <f>Table6[[#This Row],[ (RESV. STORGE) SER]]/10</f>
        <v/>
      </c>
      <c r="AO145" s="68" t="n"/>
      <c r="AP145" s="99">
        <f>Table6[[#This Row],[(A/S) AJD]]-Table6[[#This Row],[SER_IN]]</f>
        <v/>
      </c>
    </row>
    <row r="146" ht="18.75" customHeight="1">
      <c r="A146" s="98" t="n">
        <v>47628</v>
      </c>
      <c r="B146" s="41" t="n"/>
      <c r="C146" s="41" t="n"/>
      <c r="D146" s="41" t="n"/>
      <c r="E146" s="41" t="n"/>
      <c r="F146" s="41" t="n"/>
      <c r="G146" s="39" t="n"/>
      <c r="H146" s="28" t="n"/>
      <c r="I146" s="39" t="n"/>
      <c r="J146" s="39" t="n"/>
      <c r="K146" s="28">
        <f>Table6[[#This Row],[ (T/B) SAR]]+Table6[[#This Row],[ (S/S) SAR]]</f>
        <v/>
      </c>
      <c r="L146" s="41" t="n"/>
      <c r="M146" s="42" t="n"/>
      <c r="N146" s="42" t="n"/>
      <c r="O146" s="39" t="n"/>
      <c r="P146" s="3">
        <f>Table6[[#This Row],[ (S/S) SAR]]-Table6[[#This Row],[(S/S) AJD]]</f>
        <v/>
      </c>
      <c r="Q146" s="39" t="n"/>
      <c r="R146" s="3">
        <f>Table6[[#This Row],[ (T/B) SAR]]-Table6[[#This Row],[(T/B) AJD]]</f>
        <v/>
      </c>
      <c r="S146" s="3">
        <f>Table6[[#This Row],[S/S_CON.]]+Table6[[#This Row],[T/B-CON.]]</f>
        <v/>
      </c>
      <c r="T146" s="3">
        <f>O146+Q146</f>
        <v/>
      </c>
      <c r="U146" s="41" t="n"/>
      <c r="V146" s="41" t="n"/>
      <c r="W146" s="3">
        <f>U146+V146</f>
        <v/>
      </c>
      <c r="X146" s="3">
        <f>T146-W146</f>
        <v/>
      </c>
      <c r="Y146" s="41" t="n"/>
      <c r="Z146" s="43" t="n"/>
      <c r="AA146" s="3">
        <f>Table6[[#This Row],[(RESV. STORGE) AJD]]/10</f>
        <v/>
      </c>
      <c r="AB146" s="3">
        <f>IF(TRIM(Z146)="",,(Z146-Z145)/1000)</f>
        <v/>
      </c>
      <c r="AC146" s="5" t="n"/>
      <c r="AD146" s="39">
        <f>(Table6[[#This Row],[( S/S+T/B) AJD]]*1000)-((Table6[[#This Row],[(STORGE DIFF.) AJD]]*1000)+Table6[[#This Row],[AJD_Evaporation]]+(Table6[[#This Row],[(A/B + A/S) AJD]]*1000))</f>
        <v/>
      </c>
      <c r="AE146" s="41" t="n"/>
      <c r="AF146" s="43" t="n"/>
      <c r="AG146" s="43" t="n"/>
      <c r="AH146" s="6">
        <f>Table6[[#This Row],[ (RESV. STORGE) BER]]/10</f>
        <v/>
      </c>
      <c r="AI146" s="41" t="n"/>
      <c r="AJ146" s="43">
        <f>Table6[[#This Row],[(A/B) AJD]]-TABL12345[[#This Row],[BER_IN]]</f>
        <v/>
      </c>
      <c r="AK146" s="43" t="n"/>
      <c r="AL146" s="43" t="n"/>
      <c r="AM146" s="32" t="n"/>
      <c r="AN146" s="32">
        <f>Table6[[#This Row],[ (RESV. STORGE) SER]]/10</f>
        <v/>
      </c>
      <c r="AO146" s="68" t="n"/>
      <c r="AP146" s="99">
        <f>Table6[[#This Row],[(A/S) AJD]]-Table6[[#This Row],[SER_IN]]</f>
        <v/>
      </c>
    </row>
    <row r="147" ht="18.75" customHeight="1">
      <c r="A147" s="98" t="n">
        <v>47629</v>
      </c>
      <c r="B147" s="44" t="n"/>
      <c r="C147" s="44" t="n"/>
      <c r="D147" s="44" t="n"/>
      <c r="E147" s="44" t="n"/>
      <c r="F147" s="44" t="n"/>
      <c r="G147" s="40" t="n"/>
      <c r="H147" s="28" t="n"/>
      <c r="I147" s="40" t="n"/>
      <c r="J147" s="44" t="n"/>
      <c r="K147" s="28">
        <f>Table6[[#This Row],[ (T/B) SAR]]+Table6[[#This Row],[ (S/S) SAR]]</f>
        <v/>
      </c>
      <c r="L147" s="45" t="n"/>
      <c r="M147" s="46" t="n"/>
      <c r="N147" s="46" t="n"/>
      <c r="O147" s="40" t="n"/>
      <c r="P147" s="3">
        <f>Table6[[#This Row],[ (S/S) SAR]]-Table6[[#This Row],[(S/S) AJD]]</f>
        <v/>
      </c>
      <c r="Q147" s="40" t="n"/>
      <c r="R147" s="3">
        <f>Table6[[#This Row],[ (T/B) SAR]]-Table6[[#This Row],[(T/B) AJD]]</f>
        <v/>
      </c>
      <c r="S147" s="3">
        <f>Table6[[#This Row],[S/S_CON.]]+Table6[[#This Row],[T/B-CON.]]</f>
        <v/>
      </c>
      <c r="T147" s="3">
        <f>O147+Q147</f>
        <v/>
      </c>
      <c r="U147" s="44" t="n"/>
      <c r="V147" s="44" t="n"/>
      <c r="W147" s="3">
        <f>U147+V147</f>
        <v/>
      </c>
      <c r="X147" s="3">
        <f>T147-W147</f>
        <v/>
      </c>
      <c r="Y147" s="44" t="n"/>
      <c r="Z147" s="45" t="n"/>
      <c r="AA147" s="3">
        <f>Table6[[#This Row],[(RESV. STORGE) AJD]]/10</f>
        <v/>
      </c>
      <c r="AB147" s="3">
        <f>IF(TRIM(Z147)="",,(Z147-Z146)/1000)</f>
        <v/>
      </c>
      <c r="AC147" s="5" t="n"/>
      <c r="AD147" s="40">
        <f>(Table6[[#This Row],[( S/S+T/B) AJD]]*1000)-((Table6[[#This Row],[(STORGE DIFF.) AJD]]*1000)+Table6[[#This Row],[AJD_Evaporation]]+(Table6[[#This Row],[(A/B + A/S) AJD]]*1000))</f>
        <v/>
      </c>
      <c r="AE147" s="44" t="n"/>
      <c r="AF147" s="45" t="n"/>
      <c r="AG147" s="45" t="n"/>
      <c r="AH147" s="6">
        <f>Table6[[#This Row],[ (RESV. STORGE) BER]]/10</f>
        <v/>
      </c>
      <c r="AI147" s="44" t="n"/>
      <c r="AJ147" s="45">
        <f>Table6[[#This Row],[(A/B) AJD]]-TABL12345[[#This Row],[BER_IN]]</f>
        <v/>
      </c>
      <c r="AK147" s="45" t="n"/>
      <c r="AL147" s="45" t="n"/>
      <c r="AM147" s="32" t="n"/>
      <c r="AN147" s="32">
        <f>Table6[[#This Row],[ (RESV. STORGE) SER]]/10</f>
        <v/>
      </c>
      <c r="AO147" s="68" t="n"/>
      <c r="AP147" s="99">
        <f>Table6[[#This Row],[(A/S) AJD]]-Table6[[#This Row],[SER_IN]]</f>
        <v/>
      </c>
    </row>
    <row r="148" ht="18.75" customHeight="1">
      <c r="A148" s="98" t="n">
        <v>47630</v>
      </c>
      <c r="B148" s="41" t="n"/>
      <c r="C148" s="41" t="n"/>
      <c r="D148" s="41" t="n"/>
      <c r="E148" s="41" t="n"/>
      <c r="F148" s="41" t="n"/>
      <c r="G148" s="39" t="n"/>
      <c r="H148" s="28" t="n"/>
      <c r="I148" s="39" t="n"/>
      <c r="J148" s="39" t="n"/>
      <c r="K148" s="28">
        <f>Table6[[#This Row],[ (T/B) SAR]]+Table6[[#This Row],[ (S/S) SAR]]</f>
        <v/>
      </c>
      <c r="L148" s="41" t="n"/>
      <c r="M148" s="42" t="n"/>
      <c r="N148" s="42" t="n"/>
      <c r="O148" s="39" t="n"/>
      <c r="P148" s="3">
        <f>Table6[[#This Row],[ (S/S) SAR]]-Table6[[#This Row],[(S/S) AJD]]</f>
        <v/>
      </c>
      <c r="Q148" s="39" t="n"/>
      <c r="R148" s="3">
        <f>Table6[[#This Row],[ (T/B) SAR]]-Table6[[#This Row],[(T/B) AJD]]</f>
        <v/>
      </c>
      <c r="S148" s="3">
        <f>Table6[[#This Row],[S/S_CON.]]+Table6[[#This Row],[T/B-CON.]]</f>
        <v/>
      </c>
      <c r="T148" s="3">
        <f>O148+Q148</f>
        <v/>
      </c>
      <c r="U148" s="41" t="n"/>
      <c r="V148" s="41" t="n"/>
      <c r="W148" s="3">
        <f>U148+V148</f>
        <v/>
      </c>
      <c r="X148" s="3">
        <f>T148-W148</f>
        <v/>
      </c>
      <c r="Y148" s="41" t="n"/>
      <c r="Z148" s="43" t="n"/>
      <c r="AA148" s="3">
        <f>Table6[[#This Row],[(RESV. STORGE) AJD]]/10</f>
        <v/>
      </c>
      <c r="AB148" s="3">
        <f>IF(TRIM(Z148)="",,(Z148-Z147)/1000)</f>
        <v/>
      </c>
      <c r="AC148" s="5" t="n"/>
      <c r="AD148" s="39">
        <f>(Table6[[#This Row],[( S/S+T/B) AJD]]*1000)-((Table6[[#This Row],[(STORGE DIFF.) AJD]]*1000)+Table6[[#This Row],[AJD_Evaporation]]+(Table6[[#This Row],[(A/B + A/S) AJD]]*1000))</f>
        <v/>
      </c>
      <c r="AE148" s="41" t="n"/>
      <c r="AF148" s="43" t="n"/>
      <c r="AG148" s="43" t="n"/>
      <c r="AH148" s="6">
        <f>Table6[[#This Row],[ (RESV. STORGE) BER]]/10</f>
        <v/>
      </c>
      <c r="AI148" s="41" t="n"/>
      <c r="AJ148" s="43">
        <f>Table6[[#This Row],[(A/B) AJD]]-TABL12345[[#This Row],[BER_IN]]</f>
        <v/>
      </c>
      <c r="AK148" s="43" t="n"/>
      <c r="AL148" s="43" t="n"/>
      <c r="AM148" s="32" t="n"/>
      <c r="AN148" s="32">
        <f>Table6[[#This Row],[ (RESV. STORGE) SER]]/10</f>
        <v/>
      </c>
      <c r="AO148" s="68" t="n"/>
      <c r="AP148" s="99">
        <f>Table6[[#This Row],[(A/S) AJD]]-Table6[[#This Row],[SER_IN]]</f>
        <v/>
      </c>
    </row>
    <row r="149" ht="18.75" customHeight="1">
      <c r="A149" s="98" t="n">
        <v>47631</v>
      </c>
      <c r="B149" s="44" t="n"/>
      <c r="C149" s="44" t="n"/>
      <c r="D149" s="44" t="n"/>
      <c r="E149" s="44" t="n"/>
      <c r="F149" s="44" t="n"/>
      <c r="G149" s="40" t="n"/>
      <c r="H149" s="28" t="n"/>
      <c r="I149" s="40" t="n"/>
      <c r="J149" s="44" t="n"/>
      <c r="K149" s="28">
        <f>Table6[[#This Row],[ (T/B) SAR]]+Table6[[#This Row],[ (S/S) SAR]]</f>
        <v/>
      </c>
      <c r="L149" s="45" t="n"/>
      <c r="M149" s="46" t="n"/>
      <c r="N149" s="46" t="n"/>
      <c r="O149" s="40" t="n"/>
      <c r="P149" s="3">
        <f>Table6[[#This Row],[ (S/S) SAR]]-Table6[[#This Row],[(S/S) AJD]]</f>
        <v/>
      </c>
      <c r="Q149" s="40" t="n"/>
      <c r="R149" s="3">
        <f>Table6[[#This Row],[ (T/B) SAR]]-Table6[[#This Row],[(T/B) AJD]]</f>
        <v/>
      </c>
      <c r="S149" s="3">
        <f>Table6[[#This Row],[S/S_CON.]]+Table6[[#This Row],[T/B-CON.]]</f>
        <v/>
      </c>
      <c r="T149" s="3">
        <f>O149+Q149</f>
        <v/>
      </c>
      <c r="U149" s="44" t="n"/>
      <c r="V149" s="44" t="n"/>
      <c r="W149" s="3">
        <f>U149+V149</f>
        <v/>
      </c>
      <c r="X149" s="3">
        <f>T149-W149</f>
        <v/>
      </c>
      <c r="Y149" s="44" t="n"/>
      <c r="Z149" s="45" t="n"/>
      <c r="AA149" s="3">
        <f>Table6[[#This Row],[(RESV. STORGE) AJD]]/10</f>
        <v/>
      </c>
      <c r="AB149" s="3">
        <f>IF(TRIM(Z149)="",,(Z149-Z148)/1000)</f>
        <v/>
      </c>
      <c r="AC149" s="5" t="n"/>
      <c r="AD149" s="40">
        <f>(Table6[[#This Row],[( S/S+T/B) AJD]]*1000)-((Table6[[#This Row],[(STORGE DIFF.) AJD]]*1000)+Table6[[#This Row],[AJD_Evaporation]]+(Table6[[#This Row],[(A/B + A/S) AJD]]*1000))</f>
        <v/>
      </c>
      <c r="AE149" s="44" t="n"/>
      <c r="AF149" s="45" t="n"/>
      <c r="AG149" s="45" t="n"/>
      <c r="AH149" s="6">
        <f>Table6[[#This Row],[ (RESV. STORGE) BER]]/10</f>
        <v/>
      </c>
      <c r="AI149" s="44" t="n"/>
      <c r="AJ149" s="45">
        <f>Table6[[#This Row],[(A/B) AJD]]-TABL12345[[#This Row],[BER_IN]]</f>
        <v/>
      </c>
      <c r="AK149" s="45" t="n"/>
      <c r="AL149" s="45" t="n"/>
      <c r="AM149" s="32" t="n"/>
      <c r="AN149" s="32">
        <f>Table6[[#This Row],[ (RESV. STORGE) SER]]/10</f>
        <v/>
      </c>
      <c r="AO149" s="68" t="n"/>
      <c r="AP149" s="99">
        <f>Table6[[#This Row],[(A/S) AJD]]-Table6[[#This Row],[SER_IN]]</f>
        <v/>
      </c>
    </row>
    <row r="150" ht="18.75" customHeight="1">
      <c r="A150" s="98" t="n">
        <v>47632</v>
      </c>
      <c r="B150" s="41" t="n"/>
      <c r="C150" s="41" t="n"/>
      <c r="D150" s="41" t="n"/>
      <c r="E150" s="41" t="n"/>
      <c r="F150" s="41" t="n"/>
      <c r="G150" s="39" t="n"/>
      <c r="H150" s="28" t="n"/>
      <c r="I150" s="39" t="n"/>
      <c r="J150" s="39" t="n"/>
      <c r="K150" s="28">
        <f>Table6[[#This Row],[ (T/B) SAR]]+Table6[[#This Row],[ (S/S) SAR]]</f>
        <v/>
      </c>
      <c r="L150" s="41" t="n"/>
      <c r="M150" s="42" t="n"/>
      <c r="N150" s="42" t="n"/>
      <c r="O150" s="39" t="n"/>
      <c r="P150" s="3">
        <f>Table6[[#This Row],[ (S/S) SAR]]-Table6[[#This Row],[(S/S) AJD]]</f>
        <v/>
      </c>
      <c r="Q150" s="39" t="n"/>
      <c r="R150" s="3">
        <f>Table6[[#This Row],[ (T/B) SAR]]-Table6[[#This Row],[(T/B) AJD]]</f>
        <v/>
      </c>
      <c r="S150" s="3">
        <f>Table6[[#This Row],[S/S_CON.]]+Table6[[#This Row],[T/B-CON.]]</f>
        <v/>
      </c>
      <c r="T150" s="3">
        <f>O150+Q150</f>
        <v/>
      </c>
      <c r="U150" s="41" t="n"/>
      <c r="V150" s="41" t="n"/>
      <c r="W150" s="3">
        <f>U150+V150</f>
        <v/>
      </c>
      <c r="X150" s="3">
        <f>T150-W150</f>
        <v/>
      </c>
      <c r="Y150" s="41" t="n"/>
      <c r="Z150" s="43" t="n"/>
      <c r="AA150" s="3">
        <f>Table6[[#This Row],[(RESV. STORGE) AJD]]/10</f>
        <v/>
      </c>
      <c r="AB150" s="3">
        <f>IF(TRIM(Z150)="",,(Z150-Z149)/1000)</f>
        <v/>
      </c>
      <c r="AC150" s="5" t="n"/>
      <c r="AD150" s="39">
        <f>(Table6[[#This Row],[( S/S+T/B) AJD]]*1000)-((Table6[[#This Row],[(STORGE DIFF.) AJD]]*1000)+Table6[[#This Row],[AJD_Evaporation]]+(Table6[[#This Row],[(A/B + A/S) AJD]]*1000))</f>
        <v/>
      </c>
      <c r="AE150" s="41" t="n"/>
      <c r="AF150" s="43" t="n"/>
      <c r="AG150" s="43" t="n"/>
      <c r="AH150" s="6">
        <f>Table6[[#This Row],[ (RESV. STORGE) BER]]/10</f>
        <v/>
      </c>
      <c r="AI150" s="41" t="n"/>
      <c r="AJ150" s="43">
        <f>Table6[[#This Row],[(A/B) AJD]]-TABL12345[[#This Row],[BER_IN]]</f>
        <v/>
      </c>
      <c r="AK150" s="43" t="n"/>
      <c r="AL150" s="43" t="n"/>
      <c r="AM150" s="32" t="n"/>
      <c r="AN150" s="32">
        <f>Table6[[#This Row],[ (RESV. STORGE) SER]]/10</f>
        <v/>
      </c>
      <c r="AO150" s="68" t="n"/>
      <c r="AP150" s="99">
        <f>Table6[[#This Row],[(A/S) AJD]]-Table6[[#This Row],[SER_IN]]</f>
        <v/>
      </c>
    </row>
    <row r="151" ht="18.75" customHeight="1">
      <c r="A151" s="98" t="n">
        <v>47633</v>
      </c>
      <c r="B151" s="44" t="n"/>
      <c r="C151" s="44" t="n"/>
      <c r="D151" s="44" t="n"/>
      <c r="E151" s="44" t="n"/>
      <c r="F151" s="44" t="n"/>
      <c r="G151" s="40" t="n"/>
      <c r="H151" s="28" t="n"/>
      <c r="I151" s="40" t="n"/>
      <c r="J151" s="44" t="n"/>
      <c r="K151" s="28">
        <f>Table6[[#This Row],[ (T/B) SAR]]+Table6[[#This Row],[ (S/S) SAR]]</f>
        <v/>
      </c>
      <c r="L151" s="45" t="n"/>
      <c r="M151" s="46" t="n"/>
      <c r="N151" s="46" t="n"/>
      <c r="O151" s="40" t="n"/>
      <c r="P151" s="3">
        <f>Table6[[#This Row],[ (S/S) SAR]]-Table6[[#This Row],[(S/S) AJD]]</f>
        <v/>
      </c>
      <c r="Q151" s="40" t="n"/>
      <c r="R151" s="3">
        <f>Table6[[#This Row],[ (T/B) SAR]]-Table6[[#This Row],[(T/B) AJD]]</f>
        <v/>
      </c>
      <c r="S151" s="3">
        <f>Table6[[#This Row],[S/S_CON.]]+Table6[[#This Row],[T/B-CON.]]</f>
        <v/>
      </c>
      <c r="T151" s="3">
        <f>O151+Q151</f>
        <v/>
      </c>
      <c r="U151" s="44" t="n"/>
      <c r="V151" s="44" t="n"/>
      <c r="W151" s="3">
        <f>U151+V151</f>
        <v/>
      </c>
      <c r="X151" s="3">
        <f>T151-W151</f>
        <v/>
      </c>
      <c r="Y151" s="44" t="n"/>
      <c r="Z151" s="45" t="n"/>
      <c r="AA151" s="3">
        <f>Table6[[#This Row],[(RESV. STORGE) AJD]]/10</f>
        <v/>
      </c>
      <c r="AB151" s="3">
        <f>IF(TRIM(Z151)="",,(Z151-Z150)/1000)</f>
        <v/>
      </c>
      <c r="AC151" s="5" t="n"/>
      <c r="AD151" s="70">
        <f>(Table6[[#This Row],[( S/S+T/B) AJD]]*1000)-((Table6[[#This Row],[(STORGE DIFF.) AJD]]*1000)+Table6[[#This Row],[AJD_Evaporation]]+(Table6[[#This Row],[(A/B + A/S) AJD]]*1000))</f>
        <v/>
      </c>
      <c r="AE151" s="44" t="n"/>
      <c r="AF151" s="45" t="n"/>
      <c r="AG151" s="45" t="n"/>
      <c r="AH151" s="6">
        <f>Table6[[#This Row],[ (RESV. STORGE) BER]]/10</f>
        <v/>
      </c>
      <c r="AI151" s="44" t="n"/>
      <c r="AJ151" s="90">
        <f>Table6[[#This Row],[(A/B) AJD]]-TABL12345[[#This Row],[BER_IN]]</f>
        <v/>
      </c>
      <c r="AK151" s="45" t="n"/>
      <c r="AL151" s="45" t="n"/>
      <c r="AM151" s="32" t="n"/>
      <c r="AN151" s="32">
        <f>Table6[[#This Row],[ (RESV. STORGE) SER]]/10</f>
        <v/>
      </c>
      <c r="AO151" s="68" t="n"/>
      <c r="AP151" s="99">
        <f>Table6[[#This Row],[(A/S) AJD]]-Table6[[#This Row],[SER_IN]]</f>
        <v/>
      </c>
    </row>
    <row r="152" ht="18.75" customHeight="1">
      <c r="A152" s="98" t="n">
        <v>47634</v>
      </c>
      <c r="B152" s="41" t="n"/>
      <c r="C152" s="41" t="n"/>
      <c r="D152" s="41" t="n"/>
      <c r="E152" s="28" t="n"/>
      <c r="F152" s="41" t="n"/>
      <c r="G152" s="39" t="n"/>
      <c r="H152" s="28" t="n"/>
      <c r="I152" s="39" t="n"/>
      <c r="J152" s="39" t="n"/>
      <c r="K152" s="28">
        <f>Table6[[#This Row],[ (T/B) SAR]]+Table6[[#This Row],[ (S/S) SAR]]</f>
        <v/>
      </c>
      <c r="L152" s="41" t="n"/>
      <c r="M152" s="42" t="n"/>
      <c r="N152" s="42" t="n"/>
      <c r="O152" s="39" t="n"/>
      <c r="P152" s="3">
        <f>Table6[[#This Row],[ (S/S) SAR]]-Table6[[#This Row],[(S/S) AJD]]</f>
        <v/>
      </c>
      <c r="Q152" s="39" t="n"/>
      <c r="R152" s="3">
        <f>Table6[[#This Row],[ (T/B) SAR]]-Table6[[#This Row],[(T/B) AJD]]</f>
        <v/>
      </c>
      <c r="S152" s="3">
        <f>Table6[[#This Row],[S/S_CON.]]+Table6[[#This Row],[T/B-CON.]]</f>
        <v/>
      </c>
      <c r="T152" s="3">
        <f>O152+Q152</f>
        <v/>
      </c>
      <c r="U152" s="41" t="n"/>
      <c r="V152" s="41" t="n"/>
      <c r="W152" s="3">
        <f>U152+V152</f>
        <v/>
      </c>
      <c r="X152" s="3">
        <f>T152-W152</f>
        <v/>
      </c>
      <c r="Y152" s="41" t="n"/>
      <c r="Z152" s="43" t="n"/>
      <c r="AA152" s="3">
        <f>Table6[[#This Row],[(RESV. STORGE) AJD]]/10</f>
        <v/>
      </c>
      <c r="AB152" s="3">
        <f>IF(TRIM(Z152)="",,(Z152-Z151)/1000)</f>
        <v/>
      </c>
      <c r="AC152" s="5" t="n"/>
      <c r="AD152" s="39">
        <f>(Table6[[#This Row],[( S/S+T/B) AJD]]*1000)-((Table6[[#This Row],[(STORGE DIFF.) AJD]]*1000)+Table6[[#This Row],[AJD_Evaporation]]+(Table6[[#This Row],[(A/B + A/S) AJD]]*1000))</f>
        <v/>
      </c>
      <c r="AE152" s="41" t="n"/>
      <c r="AF152" s="43" t="n"/>
      <c r="AG152" s="43" t="n"/>
      <c r="AH152" s="6">
        <f>Table6[[#This Row],[ (RESV. STORGE) BER]]/10</f>
        <v/>
      </c>
      <c r="AI152" s="41" t="n"/>
      <c r="AJ152" s="43">
        <f>Table6[[#This Row],[(A/B) AJD]]-TABL12345[[#This Row],[BER_IN]]</f>
        <v/>
      </c>
      <c r="AK152" s="43" t="n"/>
      <c r="AL152" s="43" t="n"/>
      <c r="AM152" s="32" t="n"/>
      <c r="AN152" s="32">
        <f>Table6[[#This Row],[ (RESV. STORGE) SER]]/10</f>
        <v/>
      </c>
      <c r="AO152" s="68" t="n"/>
      <c r="AP152" s="99">
        <f>Table6[[#This Row],[(A/S) AJD]]-Table6[[#This Row],[SER_IN]]</f>
        <v/>
      </c>
    </row>
    <row r="153" ht="18.75" customHeight="1">
      <c r="A153" s="98" t="n">
        <v>47635</v>
      </c>
      <c r="B153" s="41" t="n"/>
      <c r="C153" s="41" t="n"/>
      <c r="D153" s="41" t="n"/>
      <c r="E153" s="28" t="n"/>
      <c r="F153" s="41" t="n"/>
      <c r="G153" s="39" t="n"/>
      <c r="H153" s="28" t="n"/>
      <c r="I153" s="39" t="n"/>
      <c r="J153" s="39" t="n"/>
      <c r="K153" s="28">
        <f>Table6[[#This Row],[ (T/B) SAR]]+Table6[[#This Row],[ (S/S) SAR]]</f>
        <v/>
      </c>
      <c r="L153" s="41" t="n"/>
      <c r="M153" s="42" t="n"/>
      <c r="N153" s="42" t="n"/>
      <c r="O153" s="39" t="n"/>
      <c r="P153" s="10">
        <f>Table6[[#This Row],[ (S/S) SAR]]-Table6[[#This Row],[(S/S) AJD]]</f>
        <v/>
      </c>
      <c r="Q153" s="39" t="n"/>
      <c r="R153" s="10">
        <f>Table6[[#This Row],[ (T/B) SAR]]-Table6[[#This Row],[(T/B) AJD]]</f>
        <v/>
      </c>
      <c r="S153" s="10">
        <f>Table6[[#This Row],[S/S_CON.]]+Table6[[#This Row],[T/B-CON.]]</f>
        <v/>
      </c>
      <c r="T153" s="10">
        <f>O153+Q153</f>
        <v/>
      </c>
      <c r="U153" s="41" t="n"/>
      <c r="V153" s="41" t="n"/>
      <c r="W153" s="10">
        <f>U153+V153</f>
        <v/>
      </c>
      <c r="X153" s="10">
        <f>T153-W153</f>
        <v/>
      </c>
      <c r="Y153" s="41" t="n"/>
      <c r="Z153" s="43" t="n"/>
      <c r="AA153" s="3">
        <f>Table6[[#This Row],[(RESV. STORGE) AJD]]/10</f>
        <v/>
      </c>
      <c r="AB153" s="3">
        <f>IF(TRIM(Z153)="",,(Z153-Z152)/1000)</f>
        <v/>
      </c>
      <c r="AC153" s="5" t="n"/>
      <c r="AD153" s="39">
        <f>(Table6[[#This Row],[( S/S+T/B) AJD]]*1000)-((Table6[[#This Row],[(STORGE DIFF.) AJD]]*1000)+Table6[[#This Row],[AJD_Evaporation]]+(Table6[[#This Row],[(A/B + A/S) AJD]]*1000))</f>
        <v/>
      </c>
      <c r="AE153" s="41" t="n"/>
      <c r="AF153" s="43" t="n"/>
      <c r="AG153" s="43" t="n"/>
      <c r="AH153" s="6">
        <f>Table6[[#This Row],[ (RESV. STORGE) BER]]/10</f>
        <v/>
      </c>
      <c r="AI153" s="41" t="n"/>
      <c r="AJ153" s="43">
        <f>Table6[[#This Row],[(A/B) AJD]]-TABL12345[[#This Row],[BER_IN]]</f>
        <v/>
      </c>
      <c r="AK153" s="43" t="n"/>
      <c r="AL153" s="43" t="n"/>
      <c r="AM153" s="32" t="n"/>
      <c r="AN153" s="32">
        <f>Table6[[#This Row],[ (RESV. STORGE) SER]]/10</f>
        <v/>
      </c>
      <c r="AO153" s="68" t="n"/>
      <c r="AP153" s="99">
        <f>Table6[[#This Row],[(A/S) AJD]]-Table6[[#This Row],[SER_IN]]</f>
        <v/>
      </c>
    </row>
    <row r="154" ht="18.75" customHeight="1">
      <c r="A154" s="98" t="n">
        <v>47636</v>
      </c>
      <c r="B154" s="44" t="n"/>
      <c r="C154" s="44" t="n"/>
      <c r="D154" s="44" t="n"/>
      <c r="E154" s="28" t="n"/>
      <c r="F154" s="44" t="n"/>
      <c r="G154" s="40" t="n"/>
      <c r="H154" s="28" t="n"/>
      <c r="I154" s="40" t="n"/>
      <c r="J154" s="44" t="n"/>
      <c r="K154" s="28">
        <f>Table6[[#This Row],[ (T/B) SAR]]+Table6[[#This Row],[ (S/S) SAR]]</f>
        <v/>
      </c>
      <c r="L154" s="45" t="n"/>
      <c r="M154" s="46" t="n"/>
      <c r="N154" s="46" t="n"/>
      <c r="O154" s="40" t="n"/>
      <c r="P154" s="10">
        <f>Table6[[#This Row],[ (S/S) SAR]]-Table6[[#This Row],[(S/S) AJD]]</f>
        <v/>
      </c>
      <c r="Q154" s="40" t="n"/>
      <c r="R154" s="10">
        <f>Table6[[#This Row],[ (T/B) SAR]]-Table6[[#This Row],[(T/B) AJD]]</f>
        <v/>
      </c>
      <c r="S154" s="10">
        <f>Table6[[#This Row],[S/S_CON.]]+Table6[[#This Row],[T/B-CON.]]</f>
        <v/>
      </c>
      <c r="T154" s="10">
        <f>O154+Q154</f>
        <v/>
      </c>
      <c r="U154" s="44" t="n"/>
      <c r="V154" s="44" t="n"/>
      <c r="W154" s="10">
        <f>U154+V154</f>
        <v/>
      </c>
      <c r="X154" s="10">
        <f>T154-W154</f>
        <v/>
      </c>
      <c r="Y154" s="44" t="n"/>
      <c r="Z154" s="45" t="n"/>
      <c r="AA154" s="3">
        <f>Table6[[#This Row],[(RESV. STORGE) AJD]]/10</f>
        <v/>
      </c>
      <c r="AB154" s="3">
        <f>IF(TRIM(Z154)="",,(Z154-Z153)/1000)</f>
        <v/>
      </c>
      <c r="AC154" s="5" t="n"/>
      <c r="AD154" s="40">
        <f>(Table6[[#This Row],[( S/S+T/B) AJD]]*1000)-((Table6[[#This Row],[(STORGE DIFF.) AJD]]*1000)+Table6[[#This Row],[AJD_Evaporation]]+(Table6[[#This Row],[(A/B + A/S) AJD]]*1000))</f>
        <v/>
      </c>
      <c r="AE154" s="44" t="n"/>
      <c r="AF154" s="45" t="n"/>
      <c r="AG154" s="45" t="n"/>
      <c r="AH154" s="6">
        <f>Table6[[#This Row],[ (RESV. STORGE) BER]]/10</f>
        <v/>
      </c>
      <c r="AI154" s="44" t="n"/>
      <c r="AJ154" s="45">
        <f>Table6[[#This Row],[(A/B) AJD]]-TABL12345[[#This Row],[BER_IN]]</f>
        <v/>
      </c>
      <c r="AK154" s="45" t="n"/>
      <c r="AL154" s="45" t="n"/>
      <c r="AM154" s="32" t="n"/>
      <c r="AN154" s="32">
        <f>Table6[[#This Row],[ (RESV. STORGE) SER]]/10</f>
        <v/>
      </c>
      <c r="AO154" s="68" t="n"/>
      <c r="AP154" s="99">
        <f>Table6[[#This Row],[(A/S) AJD]]-Table6[[#This Row],[SER_IN]]</f>
        <v/>
      </c>
    </row>
    <row r="155" ht="18.75" customHeight="1">
      <c r="A155" s="98" t="n">
        <v>47637</v>
      </c>
      <c r="B155" s="41" t="n"/>
      <c r="C155" s="41" t="n"/>
      <c r="D155" s="41" t="n"/>
      <c r="E155" s="28" t="n"/>
      <c r="F155" s="41" t="n"/>
      <c r="G155" s="39" t="n"/>
      <c r="H155" s="28" t="n"/>
      <c r="I155" s="39" t="n"/>
      <c r="J155" s="39" t="n"/>
      <c r="K155" s="28">
        <f>Table6[[#This Row],[ (T/B) SAR]]+Table6[[#This Row],[ (S/S) SAR]]</f>
        <v/>
      </c>
      <c r="L155" s="41" t="n"/>
      <c r="M155" s="42" t="n"/>
      <c r="N155" s="42" t="n"/>
      <c r="O155" s="39" t="n"/>
      <c r="P155" s="10">
        <f>Table6[[#This Row],[ (S/S) SAR]]-Table6[[#This Row],[(S/S) AJD]]</f>
        <v/>
      </c>
      <c r="Q155" s="39" t="n"/>
      <c r="R155" s="10">
        <f>Table6[[#This Row],[ (T/B) SAR]]-Table6[[#This Row],[(T/B) AJD]]</f>
        <v/>
      </c>
      <c r="S155" s="10">
        <f>Table6[[#This Row],[S/S_CON.]]+Table6[[#This Row],[T/B-CON.]]</f>
        <v/>
      </c>
      <c r="T155" s="10">
        <f>O155+Q155</f>
        <v/>
      </c>
      <c r="U155" s="41" t="n"/>
      <c r="V155" s="41" t="n"/>
      <c r="W155" s="10">
        <f>U155+V155</f>
        <v/>
      </c>
      <c r="X155" s="10">
        <f>T155-W155</f>
        <v/>
      </c>
      <c r="Y155" s="41" t="n"/>
      <c r="Z155" s="43" t="n"/>
      <c r="AA155" s="3">
        <f>Table6[[#This Row],[(RESV. STORGE) AJD]]/10</f>
        <v/>
      </c>
      <c r="AB155" s="3">
        <f>IF(TRIM(Z155)="",,(Z155-Z154)/1000)</f>
        <v/>
      </c>
      <c r="AC155" s="5" t="n"/>
      <c r="AD155" s="39">
        <f>(Table6[[#This Row],[( S/S+T/B) AJD]]*1000)-((Table6[[#This Row],[(STORGE DIFF.) AJD]]*1000)+Table6[[#This Row],[AJD_Evaporation]]+(Table6[[#This Row],[(A/B + A/S) AJD]]*1000))</f>
        <v/>
      </c>
      <c r="AE155" s="41" t="n"/>
      <c r="AF155" s="43" t="n"/>
      <c r="AG155" s="43" t="n"/>
      <c r="AH155" s="6">
        <f>Table6[[#This Row],[ (RESV. STORGE) BER]]/10</f>
        <v/>
      </c>
      <c r="AI155" s="41" t="n"/>
      <c r="AJ155" s="43">
        <f>Table6[[#This Row],[(A/B) AJD]]-TABL12345[[#This Row],[BER_IN]]</f>
        <v/>
      </c>
      <c r="AK155" s="43" t="n"/>
      <c r="AL155" s="43" t="n"/>
      <c r="AM155" s="32" t="n"/>
      <c r="AN155" s="32">
        <f>Table6[[#This Row],[ (RESV. STORGE) SER]]/10</f>
        <v/>
      </c>
      <c r="AO155" s="68" t="n"/>
      <c r="AP155" s="99">
        <f>Table6[[#This Row],[(A/S) AJD]]-Table6[[#This Row],[SER_IN]]</f>
        <v/>
      </c>
    </row>
    <row r="156" ht="18.75" customHeight="1">
      <c r="A156" s="98" t="n">
        <v>47638</v>
      </c>
      <c r="B156" s="44" t="n"/>
      <c r="C156" s="44" t="n"/>
      <c r="D156" s="44" t="n"/>
      <c r="E156" s="28" t="n"/>
      <c r="F156" s="44" t="n"/>
      <c r="G156" s="40" t="n"/>
      <c r="H156" s="28" t="n"/>
      <c r="I156" s="40" t="n"/>
      <c r="J156" s="44" t="n"/>
      <c r="K156" s="28">
        <f>Table6[[#This Row],[ (T/B) SAR]]+Table6[[#This Row],[ (S/S) SAR]]</f>
        <v/>
      </c>
      <c r="L156" s="45" t="n"/>
      <c r="M156" s="46" t="n"/>
      <c r="N156" s="46" t="n"/>
      <c r="O156" s="40" t="n"/>
      <c r="P156" s="10">
        <f>Table6[[#This Row],[ (S/S) SAR]]-Table6[[#This Row],[(S/S) AJD]]</f>
        <v/>
      </c>
      <c r="Q156" s="40" t="n"/>
      <c r="R156" s="10">
        <f>Table6[[#This Row],[ (T/B) SAR]]-Table6[[#This Row],[(T/B) AJD]]</f>
        <v/>
      </c>
      <c r="S156" s="10">
        <f>Table6[[#This Row],[S/S_CON.]]+Table6[[#This Row],[T/B-CON.]]</f>
        <v/>
      </c>
      <c r="T156" s="10">
        <f>O156+Q156</f>
        <v/>
      </c>
      <c r="U156" s="44" t="n"/>
      <c r="V156" s="44" t="n"/>
      <c r="W156" s="10">
        <f>U156+V156</f>
        <v/>
      </c>
      <c r="X156" s="10">
        <f>T156-W156</f>
        <v/>
      </c>
      <c r="Y156" s="44" t="n"/>
      <c r="Z156" s="45" t="n"/>
      <c r="AA156" s="3">
        <f>Table6[[#This Row],[(RESV. STORGE) AJD]]/10</f>
        <v/>
      </c>
      <c r="AB156" s="3">
        <f>IF(TRIM(Z156)="",,(Z156-Z155)/1000)</f>
        <v/>
      </c>
      <c r="AC156" s="5" t="n"/>
      <c r="AD156" s="40">
        <f>(Table6[[#This Row],[( S/S+T/B) AJD]]*1000)-((Table6[[#This Row],[(STORGE DIFF.) AJD]]*1000)+Table6[[#This Row],[AJD_Evaporation]]+(Table6[[#This Row],[(A/B + A/S) AJD]]*1000))</f>
        <v/>
      </c>
      <c r="AE156" s="44" t="n"/>
      <c r="AF156" s="45" t="n"/>
      <c r="AG156" s="45" t="n"/>
      <c r="AH156" s="6">
        <f>Table6[[#This Row],[ (RESV. STORGE) BER]]/10</f>
        <v/>
      </c>
      <c r="AI156" s="44" t="n"/>
      <c r="AJ156" s="45">
        <f>Table6[[#This Row],[(A/B) AJD]]-TABL12345[[#This Row],[BER_IN]]</f>
        <v/>
      </c>
      <c r="AK156" s="45" t="n"/>
      <c r="AL156" s="45" t="n"/>
      <c r="AM156" s="32" t="n"/>
      <c r="AN156" s="32">
        <f>Table6[[#This Row],[ (RESV. STORGE) SER]]/10</f>
        <v/>
      </c>
      <c r="AO156" s="68" t="n"/>
      <c r="AP156" s="99">
        <f>Table6[[#This Row],[(A/S) AJD]]-Table6[[#This Row],[SER_IN]]</f>
        <v/>
      </c>
    </row>
    <row r="157" ht="18.75" customHeight="1">
      <c r="A157" s="98" t="n">
        <v>47639</v>
      </c>
      <c r="B157" s="41" t="n"/>
      <c r="C157" s="41" t="n"/>
      <c r="D157" s="41" t="n"/>
      <c r="E157" s="28" t="n"/>
      <c r="F157" s="41" t="n"/>
      <c r="G157" s="39" t="n"/>
      <c r="H157" s="28" t="n"/>
      <c r="I157" s="39" t="n"/>
      <c r="J157" s="39" t="n"/>
      <c r="K157" s="28">
        <f>Table6[[#This Row],[ (T/B) SAR]]+Table6[[#This Row],[ (S/S) SAR]]</f>
        <v/>
      </c>
      <c r="L157" s="41" t="n"/>
      <c r="M157" s="42" t="n"/>
      <c r="N157" s="42" t="n"/>
      <c r="O157" s="39" t="n"/>
      <c r="P157" s="10">
        <f>Table6[[#This Row],[ (S/S) SAR]]-Table6[[#This Row],[(S/S) AJD]]</f>
        <v/>
      </c>
      <c r="Q157" s="39" t="n"/>
      <c r="R157" s="10">
        <f>Table6[[#This Row],[ (T/B) SAR]]-Table6[[#This Row],[(T/B) AJD]]</f>
        <v/>
      </c>
      <c r="S157" s="10">
        <f>Table6[[#This Row],[S/S_CON.]]+Table6[[#This Row],[T/B-CON.]]</f>
        <v/>
      </c>
      <c r="T157" s="10">
        <f>O157+Q157</f>
        <v/>
      </c>
      <c r="U157" s="41" t="n"/>
      <c r="V157" s="41" t="n"/>
      <c r="W157" s="10">
        <f>U157+V157</f>
        <v/>
      </c>
      <c r="X157" s="10">
        <f>T157-W157</f>
        <v/>
      </c>
      <c r="Y157" s="41" t="n"/>
      <c r="Z157" s="43" t="n"/>
      <c r="AA157" s="3">
        <f>Table6[[#This Row],[(RESV. STORGE) AJD]]/10</f>
        <v/>
      </c>
      <c r="AB157" s="3">
        <f>IF(TRIM(Z157)="",,(Z157-Z156)/1000)</f>
        <v/>
      </c>
      <c r="AC157" s="5" t="n"/>
      <c r="AD157" s="39">
        <f>(Table6[[#This Row],[( S/S+T/B) AJD]]*1000)-((Table6[[#This Row],[(STORGE DIFF.) AJD]]*1000)+Table6[[#This Row],[AJD_Evaporation]]+(Table6[[#This Row],[(A/B + A/S) AJD]]*1000))</f>
        <v/>
      </c>
      <c r="AE157" s="41" t="n"/>
      <c r="AF157" s="43" t="n"/>
      <c r="AG157" s="43" t="n"/>
      <c r="AH157" s="6">
        <f>Table6[[#This Row],[ (RESV. STORGE) BER]]/10</f>
        <v/>
      </c>
      <c r="AI157" s="41" t="n"/>
      <c r="AJ157" s="43">
        <f>Table6[[#This Row],[(A/B) AJD]]-TABL12345[[#This Row],[BER_IN]]</f>
        <v/>
      </c>
      <c r="AK157" s="43" t="n"/>
      <c r="AL157" s="43" t="n"/>
      <c r="AM157" s="32" t="n"/>
      <c r="AN157" s="32">
        <f>Table6[[#This Row],[ (RESV. STORGE) SER]]/10</f>
        <v/>
      </c>
      <c r="AO157" s="68" t="n"/>
      <c r="AP157" s="99">
        <f>Table6[[#This Row],[(A/S) AJD]]-Table6[[#This Row],[SER_IN]]</f>
        <v/>
      </c>
    </row>
    <row r="158" ht="18.75" customHeight="1">
      <c r="A158" s="98" t="n">
        <v>47640</v>
      </c>
      <c r="B158" s="44" t="n"/>
      <c r="C158" s="44" t="n"/>
      <c r="D158" s="44" t="n"/>
      <c r="E158" s="28" t="n"/>
      <c r="F158" s="44" t="n"/>
      <c r="G158" s="40" t="n"/>
      <c r="H158" s="28" t="n"/>
      <c r="I158" s="40" t="n"/>
      <c r="J158" s="44" t="n"/>
      <c r="K158" s="28">
        <f>Table6[[#This Row],[ (T/B) SAR]]+Table6[[#This Row],[ (S/S) SAR]]</f>
        <v/>
      </c>
      <c r="L158" s="45" t="n"/>
      <c r="M158" s="46" t="n"/>
      <c r="N158" s="46" t="n"/>
      <c r="O158" s="40" t="n"/>
      <c r="P158" s="10">
        <f>Table6[[#This Row],[ (S/S) SAR]]-Table6[[#This Row],[(S/S) AJD]]</f>
        <v/>
      </c>
      <c r="Q158" s="40" t="n"/>
      <c r="R158" s="10">
        <f>Table6[[#This Row],[ (T/B) SAR]]-Table6[[#This Row],[(T/B) AJD]]</f>
        <v/>
      </c>
      <c r="S158" s="10">
        <f>Table6[[#This Row],[S/S_CON.]]+Table6[[#This Row],[T/B-CON.]]</f>
        <v/>
      </c>
      <c r="T158" s="10">
        <f>O158+Q158</f>
        <v/>
      </c>
      <c r="U158" s="44" t="n"/>
      <c r="V158" s="44" t="n"/>
      <c r="W158" s="10">
        <f>U158+V158</f>
        <v/>
      </c>
      <c r="X158" s="10">
        <f>T158-W158</f>
        <v/>
      </c>
      <c r="Y158" s="44" t="n"/>
      <c r="Z158" s="45" t="n"/>
      <c r="AA158" s="3">
        <f>Table6[[#This Row],[(RESV. STORGE) AJD]]/10</f>
        <v/>
      </c>
      <c r="AB158" s="3">
        <f>IF(TRIM(Z158)="",,(Z158-Z157)/1000)</f>
        <v/>
      </c>
      <c r="AC158" s="5" t="n"/>
      <c r="AD158" s="40">
        <f>(Table6[[#This Row],[( S/S+T/B) AJD]]*1000)-((Table6[[#This Row],[(STORGE DIFF.) AJD]]*1000)+Table6[[#This Row],[AJD_Evaporation]]+(Table6[[#This Row],[(A/B + A/S) AJD]]*1000))</f>
        <v/>
      </c>
      <c r="AE158" s="44" t="n"/>
      <c r="AF158" s="45" t="n"/>
      <c r="AG158" s="45" t="n"/>
      <c r="AH158" s="6">
        <f>Table6[[#This Row],[ (RESV. STORGE) BER]]/10</f>
        <v/>
      </c>
      <c r="AI158" s="44" t="n"/>
      <c r="AJ158" s="45">
        <f>Table6[[#This Row],[(A/B) AJD]]-TABL12345[[#This Row],[BER_IN]]</f>
        <v/>
      </c>
      <c r="AK158" s="45" t="n"/>
      <c r="AL158" s="45" t="n"/>
      <c r="AM158" s="32" t="n"/>
      <c r="AN158" s="32">
        <f>Table6[[#This Row],[ (RESV. STORGE) SER]]/10</f>
        <v/>
      </c>
      <c r="AO158" s="68" t="n"/>
      <c r="AP158" s="99">
        <f>Table6[[#This Row],[(A/S) AJD]]-Table6[[#This Row],[SER_IN]]</f>
        <v/>
      </c>
    </row>
    <row r="159" ht="18.75" customHeight="1">
      <c r="A159" s="98" t="n">
        <v>47641</v>
      </c>
      <c r="B159" s="41" t="n"/>
      <c r="C159" s="41" t="n"/>
      <c r="D159" s="41" t="n"/>
      <c r="E159" s="28" t="n"/>
      <c r="F159" s="41" t="n"/>
      <c r="G159" s="39" t="n"/>
      <c r="H159" s="28" t="n"/>
      <c r="I159" s="39" t="n"/>
      <c r="J159" s="39" t="n"/>
      <c r="K159" s="28">
        <f>Table6[[#This Row],[ (T/B) SAR]]+Table6[[#This Row],[ (S/S) SAR]]</f>
        <v/>
      </c>
      <c r="L159" s="41" t="n"/>
      <c r="M159" s="42" t="n"/>
      <c r="N159" s="42" t="n"/>
      <c r="O159" s="39" t="n"/>
      <c r="P159" s="10">
        <f>Table6[[#This Row],[ (S/S) SAR]]-Table6[[#This Row],[(S/S) AJD]]</f>
        <v/>
      </c>
      <c r="Q159" s="39" t="n"/>
      <c r="R159" s="10">
        <f>Table6[[#This Row],[ (T/B) SAR]]-Table6[[#This Row],[(T/B) AJD]]</f>
        <v/>
      </c>
      <c r="S159" s="10">
        <f>Table6[[#This Row],[S/S_CON.]]+Table6[[#This Row],[T/B-CON.]]</f>
        <v/>
      </c>
      <c r="T159" s="10">
        <f>O159+Q159</f>
        <v/>
      </c>
      <c r="U159" s="41" t="n"/>
      <c r="V159" s="41" t="n"/>
      <c r="W159" s="10">
        <f>U159+V159</f>
        <v/>
      </c>
      <c r="X159" s="10">
        <f>T159-W159</f>
        <v/>
      </c>
      <c r="Y159" s="41" t="n"/>
      <c r="Z159" s="43" t="n"/>
      <c r="AA159" s="3">
        <f>Table6[[#This Row],[(RESV. STORGE) AJD]]/10</f>
        <v/>
      </c>
      <c r="AB159" s="3">
        <f>IF(TRIM(Z159)="",,(Z159-Z158)/1000)</f>
        <v/>
      </c>
      <c r="AC159" s="5" t="n"/>
      <c r="AD159" s="39">
        <f>(Table6[[#This Row],[( S/S+T/B) AJD]]*1000)-((Table6[[#This Row],[(STORGE DIFF.) AJD]]*1000)+Table6[[#This Row],[AJD_Evaporation]]+(Table6[[#This Row],[(A/B + A/S) AJD]]*1000))</f>
        <v/>
      </c>
      <c r="AE159" s="41" t="n"/>
      <c r="AF159" s="43" t="n"/>
      <c r="AG159" s="43" t="n"/>
      <c r="AH159" s="6">
        <f>Table6[[#This Row],[ (RESV. STORGE) BER]]/10</f>
        <v/>
      </c>
      <c r="AI159" s="41" t="n"/>
      <c r="AJ159" s="43">
        <f>Table6[[#This Row],[(A/B) AJD]]-TABL12345[[#This Row],[BER_IN]]</f>
        <v/>
      </c>
      <c r="AK159" s="43" t="n"/>
      <c r="AL159" s="43" t="n"/>
      <c r="AM159" s="32" t="n"/>
      <c r="AN159" s="32">
        <f>Table6[[#This Row],[ (RESV. STORGE) SER]]/10</f>
        <v/>
      </c>
      <c r="AO159" s="68" t="n"/>
      <c r="AP159" s="99">
        <f>Table6[[#This Row],[(A/S) AJD]]-Table6[[#This Row],[SER_IN]]</f>
        <v/>
      </c>
    </row>
    <row r="160" ht="18.75" customHeight="1">
      <c r="A160" s="98" t="n">
        <v>47642</v>
      </c>
      <c r="B160" s="44" t="n"/>
      <c r="C160" s="44" t="n"/>
      <c r="D160" s="44" t="n"/>
      <c r="E160" s="28" t="n"/>
      <c r="F160" s="44" t="n"/>
      <c r="G160" s="40" t="n"/>
      <c r="H160" s="28" t="n"/>
      <c r="I160" s="40" t="n"/>
      <c r="J160" s="44" t="n"/>
      <c r="K160" s="28">
        <f>Table6[[#This Row],[ (T/B) SAR]]+Table6[[#This Row],[ (S/S) SAR]]</f>
        <v/>
      </c>
      <c r="L160" s="45" t="n"/>
      <c r="M160" s="46" t="n"/>
      <c r="N160" s="46" t="n"/>
      <c r="O160" s="40" t="n"/>
      <c r="P160" s="10">
        <f>Table6[[#This Row],[ (S/S) SAR]]-Table6[[#This Row],[(S/S) AJD]]</f>
        <v/>
      </c>
      <c r="Q160" s="40" t="n"/>
      <c r="R160" s="10">
        <f>Table6[[#This Row],[ (T/B) SAR]]-Table6[[#This Row],[(T/B) AJD]]</f>
        <v/>
      </c>
      <c r="S160" s="10">
        <f>Table6[[#This Row],[S/S_CON.]]+Table6[[#This Row],[T/B-CON.]]</f>
        <v/>
      </c>
      <c r="T160" s="10">
        <f>O160+Q160</f>
        <v/>
      </c>
      <c r="U160" s="44" t="n"/>
      <c r="V160" s="44" t="n"/>
      <c r="W160" s="10">
        <f>U160+V160</f>
        <v/>
      </c>
      <c r="X160" s="10">
        <f>T160-W160</f>
        <v/>
      </c>
      <c r="Y160" s="44" t="n"/>
      <c r="Z160" s="45" t="n"/>
      <c r="AA160" s="3">
        <f>Table6[[#This Row],[(RESV. STORGE) AJD]]/10</f>
        <v/>
      </c>
      <c r="AB160" s="3">
        <f>IF(TRIM(Z160)="",,(Z160-Z159)/1000)</f>
        <v/>
      </c>
      <c r="AC160" s="5" t="n"/>
      <c r="AD160" s="40">
        <f>(Table6[[#This Row],[( S/S+T/B) AJD]]*1000)-((Table6[[#This Row],[(STORGE DIFF.) AJD]]*1000)+Table6[[#This Row],[AJD_Evaporation]]+(Table6[[#This Row],[(A/B + A/S) AJD]]*1000))</f>
        <v/>
      </c>
      <c r="AE160" s="44" t="n"/>
      <c r="AF160" s="45" t="n"/>
      <c r="AG160" s="45" t="n"/>
      <c r="AH160" s="6">
        <f>Table6[[#This Row],[ (RESV. STORGE) BER]]/10</f>
        <v/>
      </c>
      <c r="AI160" s="44" t="n"/>
      <c r="AJ160" s="45">
        <f>Table6[[#This Row],[(A/B) AJD]]-TABL12345[[#This Row],[BER_IN]]</f>
        <v/>
      </c>
      <c r="AK160" s="45" t="n"/>
      <c r="AL160" s="45" t="n"/>
      <c r="AM160" s="32" t="n"/>
      <c r="AN160" s="32">
        <f>Table6[[#This Row],[ (RESV. STORGE) SER]]/10</f>
        <v/>
      </c>
      <c r="AO160" s="68" t="n"/>
      <c r="AP160" s="99">
        <f>Table6[[#This Row],[(A/S) AJD]]-Table6[[#This Row],[SER_IN]]</f>
        <v/>
      </c>
    </row>
    <row r="161" ht="18.75" customHeight="1">
      <c r="A161" s="98" t="n">
        <v>47643</v>
      </c>
      <c r="B161" s="41" t="n"/>
      <c r="C161" s="41" t="n"/>
      <c r="D161" s="41" t="n"/>
      <c r="E161" s="28" t="n"/>
      <c r="F161" s="41" t="n"/>
      <c r="G161" s="39" t="n"/>
      <c r="H161" s="28" t="n"/>
      <c r="I161" s="39" t="n"/>
      <c r="J161" s="39" t="n"/>
      <c r="K161" s="28">
        <f>Table6[[#This Row],[ (T/B) SAR]]+Table6[[#This Row],[ (S/S) SAR]]</f>
        <v/>
      </c>
      <c r="L161" s="41" t="n"/>
      <c r="M161" s="42" t="n"/>
      <c r="N161" s="42" t="n"/>
      <c r="O161" s="39" t="n"/>
      <c r="P161" s="10">
        <f>Table6[[#This Row],[ (S/S) SAR]]-Table6[[#This Row],[(S/S) AJD]]</f>
        <v/>
      </c>
      <c r="Q161" s="39" t="n"/>
      <c r="R161" s="10">
        <f>Table6[[#This Row],[ (T/B) SAR]]-Table6[[#This Row],[(T/B) AJD]]</f>
        <v/>
      </c>
      <c r="S161" s="10">
        <f>Table6[[#This Row],[S/S_CON.]]+Table6[[#This Row],[T/B-CON.]]</f>
        <v/>
      </c>
      <c r="T161" s="10">
        <f>O161+Q161</f>
        <v/>
      </c>
      <c r="U161" s="41" t="n"/>
      <c r="V161" s="41" t="n"/>
      <c r="W161" s="10">
        <f>U161+V161</f>
        <v/>
      </c>
      <c r="X161" s="10">
        <f>T161-W161</f>
        <v/>
      </c>
      <c r="Y161" s="41" t="n"/>
      <c r="Z161" s="43" t="n"/>
      <c r="AA161" s="3">
        <f>Table6[[#This Row],[(RESV. STORGE) AJD]]/10</f>
        <v/>
      </c>
      <c r="AB161" s="3">
        <f>IF(TRIM(Z161)="",,(Z161-Z160)/1000)</f>
        <v/>
      </c>
      <c r="AC161" s="5" t="n"/>
      <c r="AD161" s="39">
        <f>(Table6[[#This Row],[( S/S+T/B) AJD]]*1000)-((Table6[[#This Row],[(STORGE DIFF.) AJD]]*1000)+Table6[[#This Row],[AJD_Evaporation]]+(Table6[[#This Row],[(A/B + A/S) AJD]]*1000))</f>
        <v/>
      </c>
      <c r="AE161" s="41" t="n"/>
      <c r="AF161" s="43" t="n"/>
      <c r="AG161" s="43" t="n"/>
      <c r="AH161" s="6">
        <f>Table6[[#This Row],[ (RESV. STORGE) BER]]/10</f>
        <v/>
      </c>
      <c r="AI161" s="41" t="n"/>
      <c r="AJ161" s="43">
        <f>Table6[[#This Row],[(A/B) AJD]]-TABL12345[[#This Row],[BER_IN]]</f>
        <v/>
      </c>
      <c r="AK161" s="43" t="n"/>
      <c r="AL161" s="43" t="n"/>
      <c r="AM161" s="32" t="n"/>
      <c r="AN161" s="32">
        <f>Table6[[#This Row],[ (RESV. STORGE) SER]]/10</f>
        <v/>
      </c>
      <c r="AO161" s="68" t="n"/>
      <c r="AP161" s="99">
        <f>Table6[[#This Row],[(A/S) AJD]]-Table6[[#This Row],[SER_IN]]</f>
        <v/>
      </c>
    </row>
    <row r="162" ht="18.75" customHeight="1">
      <c r="A162" s="98" t="n">
        <v>47644</v>
      </c>
      <c r="B162" s="44" t="n"/>
      <c r="C162" s="44" t="n"/>
      <c r="D162" s="44" t="n"/>
      <c r="E162" s="28" t="n"/>
      <c r="F162" s="44" t="n"/>
      <c r="G162" s="40" t="n"/>
      <c r="H162" s="28" t="n"/>
      <c r="I162" s="40" t="n"/>
      <c r="J162" s="44" t="n"/>
      <c r="K162" s="28">
        <f>Table6[[#This Row],[ (T/B) SAR]]+Table6[[#This Row],[ (S/S) SAR]]</f>
        <v/>
      </c>
      <c r="L162" s="45" t="n"/>
      <c r="M162" s="46" t="n"/>
      <c r="N162" s="46" t="n"/>
      <c r="O162" s="40" t="n"/>
      <c r="P162" s="10">
        <f>Table6[[#This Row],[ (S/S) SAR]]-Table6[[#This Row],[(S/S) AJD]]</f>
        <v/>
      </c>
      <c r="Q162" s="40" t="n"/>
      <c r="R162" s="10">
        <f>Table6[[#This Row],[ (T/B) SAR]]-Table6[[#This Row],[(T/B) AJD]]</f>
        <v/>
      </c>
      <c r="S162" s="10">
        <f>Table6[[#This Row],[S/S_CON.]]+Table6[[#This Row],[T/B-CON.]]</f>
        <v/>
      </c>
      <c r="T162" s="10">
        <f>O162+Q162</f>
        <v/>
      </c>
      <c r="U162" s="44" t="n"/>
      <c r="V162" s="44" t="n"/>
      <c r="W162" s="10">
        <f>U162+V162</f>
        <v/>
      </c>
      <c r="X162" s="10">
        <f>T162-W162</f>
        <v/>
      </c>
      <c r="Y162" s="44" t="n"/>
      <c r="Z162" s="45" t="n"/>
      <c r="AA162" s="3">
        <f>Table6[[#This Row],[(RESV. STORGE) AJD]]/10</f>
        <v/>
      </c>
      <c r="AB162" s="3">
        <f>IF(TRIM(Z162)="",,(Z162-Z161)/1000)</f>
        <v/>
      </c>
      <c r="AC162" s="5" t="n"/>
      <c r="AD162" s="40">
        <f>(Table6[[#This Row],[( S/S+T/B) AJD]]*1000)-((Table6[[#This Row],[(STORGE DIFF.) AJD]]*1000)+Table6[[#This Row],[AJD_Evaporation]]+(Table6[[#This Row],[(A/B + A/S) AJD]]*1000))</f>
        <v/>
      </c>
      <c r="AE162" s="44" t="n"/>
      <c r="AF162" s="45" t="n"/>
      <c r="AG162" s="45" t="n"/>
      <c r="AH162" s="6">
        <f>Table6[[#This Row],[ (RESV. STORGE) BER]]/10</f>
        <v/>
      </c>
      <c r="AI162" s="44" t="n"/>
      <c r="AJ162" s="45">
        <f>Table6[[#This Row],[(A/B) AJD]]-TABL12345[[#This Row],[BER_IN]]</f>
        <v/>
      </c>
      <c r="AK162" s="45" t="n"/>
      <c r="AL162" s="45" t="n"/>
      <c r="AM162" s="32" t="n"/>
      <c r="AN162" s="32">
        <f>Table6[[#This Row],[ (RESV. STORGE) SER]]/10</f>
        <v/>
      </c>
      <c r="AO162" s="68" t="n"/>
      <c r="AP162" s="99">
        <f>Table6[[#This Row],[(A/S) AJD]]-Table6[[#This Row],[SER_IN]]</f>
        <v/>
      </c>
    </row>
    <row r="163" ht="18.75" customHeight="1">
      <c r="A163" s="98" t="n">
        <v>47645</v>
      </c>
      <c r="B163" s="41" t="n"/>
      <c r="C163" s="41" t="n"/>
      <c r="D163" s="41" t="n"/>
      <c r="E163" s="28" t="n"/>
      <c r="F163" s="41" t="n"/>
      <c r="G163" s="39" t="n"/>
      <c r="H163" s="28" t="n"/>
      <c r="I163" s="39" t="n"/>
      <c r="J163" s="39" t="n"/>
      <c r="K163" s="28">
        <f>Table6[[#This Row],[ (T/B) SAR]]+Table6[[#This Row],[ (S/S) SAR]]</f>
        <v/>
      </c>
      <c r="L163" s="41" t="n"/>
      <c r="M163" s="42" t="n"/>
      <c r="N163" s="42" t="n"/>
      <c r="O163" s="39" t="n"/>
      <c r="P163" s="10">
        <f>Table6[[#This Row],[ (S/S) SAR]]-Table6[[#This Row],[(S/S) AJD]]</f>
        <v/>
      </c>
      <c r="Q163" s="39" t="n"/>
      <c r="R163" s="10">
        <f>Table6[[#This Row],[ (T/B) SAR]]-Table6[[#This Row],[(T/B) AJD]]</f>
        <v/>
      </c>
      <c r="S163" s="10">
        <f>Table6[[#This Row],[S/S_CON.]]+Table6[[#This Row],[T/B-CON.]]</f>
        <v/>
      </c>
      <c r="T163" s="10">
        <f>O163+Q163</f>
        <v/>
      </c>
      <c r="U163" s="41" t="n"/>
      <c r="V163" s="41" t="n"/>
      <c r="W163" s="10">
        <f>U163+V163</f>
        <v/>
      </c>
      <c r="X163" s="10">
        <f>T163-W163</f>
        <v/>
      </c>
      <c r="Y163" s="41" t="n"/>
      <c r="Z163" s="43" t="n"/>
      <c r="AA163" s="3">
        <f>Table6[[#This Row],[(RESV. STORGE) AJD]]/10</f>
        <v/>
      </c>
      <c r="AB163" s="3">
        <f>IF(TRIM(Z163)="",,(Z163-Z162)/1000)</f>
        <v/>
      </c>
      <c r="AC163" s="5" t="n"/>
      <c r="AD163" s="39">
        <f>(Table6[[#This Row],[( S/S+T/B) AJD]]*1000)-((Table6[[#This Row],[(STORGE DIFF.) AJD]]*1000)+Table6[[#This Row],[AJD_Evaporation]]+(Table6[[#This Row],[(A/B + A/S) AJD]]*1000))</f>
        <v/>
      </c>
      <c r="AE163" s="41" t="n"/>
      <c r="AF163" s="43" t="n"/>
      <c r="AG163" s="43" t="n"/>
      <c r="AH163" s="6">
        <f>Table6[[#This Row],[ (RESV. STORGE) BER]]/10</f>
        <v/>
      </c>
      <c r="AI163" s="41" t="n"/>
      <c r="AJ163" s="43">
        <f>Table6[[#This Row],[(A/B) AJD]]-TABL12345[[#This Row],[BER_IN]]</f>
        <v/>
      </c>
      <c r="AK163" s="43" t="n"/>
      <c r="AL163" s="43" t="n"/>
      <c r="AM163" s="32" t="n"/>
      <c r="AN163" s="32">
        <f>Table6[[#This Row],[ (RESV. STORGE) SER]]/10</f>
        <v/>
      </c>
      <c r="AO163" s="68" t="n"/>
      <c r="AP163" s="99">
        <f>Table6[[#This Row],[(A/S) AJD]]-Table6[[#This Row],[SER_IN]]</f>
        <v/>
      </c>
    </row>
    <row r="164" ht="18.75" customHeight="1">
      <c r="A164" s="98" t="n">
        <v>47646</v>
      </c>
      <c r="B164" s="44" t="n"/>
      <c r="C164" s="44" t="n"/>
      <c r="D164" s="44" t="n"/>
      <c r="E164" s="28" t="n"/>
      <c r="F164" s="44" t="n"/>
      <c r="G164" s="40" t="n"/>
      <c r="H164" s="28" t="n"/>
      <c r="I164" s="40" t="n"/>
      <c r="J164" s="44" t="n"/>
      <c r="K164" s="28">
        <f>Table6[[#This Row],[ (T/B) SAR]]+Table6[[#This Row],[ (S/S) SAR]]</f>
        <v/>
      </c>
      <c r="L164" s="45" t="n"/>
      <c r="M164" s="46" t="n"/>
      <c r="N164" s="46" t="n"/>
      <c r="O164" s="40" t="n"/>
      <c r="P164" s="10">
        <f>Table6[[#This Row],[ (S/S) SAR]]-Table6[[#This Row],[(S/S) AJD]]</f>
        <v/>
      </c>
      <c r="Q164" s="40" t="n"/>
      <c r="R164" s="10">
        <f>Table6[[#This Row],[ (T/B) SAR]]-Table6[[#This Row],[(T/B) AJD]]</f>
        <v/>
      </c>
      <c r="S164" s="10">
        <f>Table6[[#This Row],[S/S_CON.]]+Table6[[#This Row],[T/B-CON.]]</f>
        <v/>
      </c>
      <c r="T164" s="10">
        <f>O164+Q164</f>
        <v/>
      </c>
      <c r="U164" s="44" t="n"/>
      <c r="V164" s="44" t="n"/>
      <c r="W164" s="10">
        <f>U164+V164</f>
        <v/>
      </c>
      <c r="X164" s="10">
        <f>T164-W164</f>
        <v/>
      </c>
      <c r="Y164" s="44" t="n"/>
      <c r="Z164" s="45" t="n"/>
      <c r="AA164" s="3">
        <f>Table6[[#This Row],[(RESV. STORGE) AJD]]/10</f>
        <v/>
      </c>
      <c r="AB164" s="3">
        <f>IF(TRIM(Z164)="",,(Z164-Z163)/1000)</f>
        <v/>
      </c>
      <c r="AC164" s="5" t="n"/>
      <c r="AD164" s="40">
        <f>(Table6[[#This Row],[( S/S+T/B) AJD]]*1000)-((Table6[[#This Row],[(STORGE DIFF.) AJD]]*1000)+Table6[[#This Row],[AJD_Evaporation]]+(Table6[[#This Row],[(A/B + A/S) AJD]]*1000))</f>
        <v/>
      </c>
      <c r="AE164" s="44" t="n"/>
      <c r="AF164" s="45" t="n"/>
      <c r="AG164" s="45" t="n"/>
      <c r="AH164" s="6">
        <f>Table6[[#This Row],[ (RESV. STORGE) BER]]/10</f>
        <v/>
      </c>
      <c r="AI164" s="44" t="n"/>
      <c r="AJ164" s="45">
        <f>Table6[[#This Row],[(A/B) AJD]]-TABL12345[[#This Row],[BER_IN]]</f>
        <v/>
      </c>
      <c r="AK164" s="45" t="n"/>
      <c r="AL164" s="45" t="n"/>
      <c r="AM164" s="32" t="n"/>
      <c r="AN164" s="32">
        <f>Table6[[#This Row],[ (RESV. STORGE) SER]]/10</f>
        <v/>
      </c>
      <c r="AO164" s="68" t="n"/>
      <c r="AP164" s="99">
        <f>Table6[[#This Row],[(A/S) AJD]]-Table6[[#This Row],[SER_IN]]</f>
        <v/>
      </c>
    </row>
    <row r="165" ht="18.75" customHeight="1">
      <c r="A165" s="98" t="n">
        <v>47647</v>
      </c>
      <c r="B165" s="41" t="n"/>
      <c r="C165" s="41" t="n"/>
      <c r="D165" s="41" t="n"/>
      <c r="E165" s="28" t="n"/>
      <c r="F165" s="41" t="n"/>
      <c r="G165" s="39" t="n"/>
      <c r="H165" s="28" t="n"/>
      <c r="I165" s="39" t="n"/>
      <c r="J165" s="39" t="n"/>
      <c r="K165" s="28">
        <f>Table6[[#This Row],[ (T/B) SAR]]+Table6[[#This Row],[ (S/S) SAR]]</f>
        <v/>
      </c>
      <c r="L165" s="41" t="n"/>
      <c r="M165" s="42" t="n"/>
      <c r="N165" s="42" t="n"/>
      <c r="O165" s="39" t="n"/>
      <c r="P165" s="10">
        <f>Table6[[#This Row],[ (S/S) SAR]]-Table6[[#This Row],[(S/S) AJD]]</f>
        <v/>
      </c>
      <c r="Q165" s="39" t="n"/>
      <c r="R165" s="10">
        <f>Table6[[#This Row],[ (T/B) SAR]]-Table6[[#This Row],[(T/B) AJD]]</f>
        <v/>
      </c>
      <c r="S165" s="10">
        <f>Table6[[#This Row],[S/S_CON.]]+Table6[[#This Row],[T/B-CON.]]</f>
        <v/>
      </c>
      <c r="T165" s="10">
        <f>O165+Q165</f>
        <v/>
      </c>
      <c r="U165" s="41" t="n"/>
      <c r="V165" s="41" t="n"/>
      <c r="W165" s="10">
        <f>U165+V165</f>
        <v/>
      </c>
      <c r="X165" s="10">
        <f>T165-W165</f>
        <v/>
      </c>
      <c r="Y165" s="41" t="n"/>
      <c r="Z165" s="43" t="n"/>
      <c r="AA165" s="3">
        <f>Table6[[#This Row],[(RESV. STORGE) AJD]]/10</f>
        <v/>
      </c>
      <c r="AB165" s="3">
        <f>IF(TRIM(Z165)="",,(Z165-Z164)/1000)</f>
        <v/>
      </c>
      <c r="AC165" s="5" t="n"/>
      <c r="AD165" s="39">
        <f>(Table6[[#This Row],[( S/S+T/B) AJD]]*1000)-((Table6[[#This Row],[(STORGE DIFF.) AJD]]*1000)+Table6[[#This Row],[AJD_Evaporation]]+(Table6[[#This Row],[(A/B + A/S) AJD]]*1000))</f>
        <v/>
      </c>
      <c r="AE165" s="41" t="n"/>
      <c r="AF165" s="43" t="n"/>
      <c r="AG165" s="43" t="n"/>
      <c r="AH165" s="6">
        <f>Table6[[#This Row],[ (RESV. STORGE) BER]]/10</f>
        <v/>
      </c>
      <c r="AI165" s="41" t="n"/>
      <c r="AJ165" s="43">
        <f>Table6[[#This Row],[(A/B) AJD]]-TABL12345[[#This Row],[BER_IN]]</f>
        <v/>
      </c>
      <c r="AK165" s="43" t="n"/>
      <c r="AL165" s="43" t="n"/>
      <c r="AM165" s="32" t="n"/>
      <c r="AN165" s="32">
        <f>Table6[[#This Row],[ (RESV. STORGE) SER]]/10</f>
        <v/>
      </c>
      <c r="AO165" s="68" t="n"/>
      <c r="AP165" s="99">
        <f>Table6[[#This Row],[(A/S) AJD]]-Table6[[#This Row],[SER_IN]]</f>
        <v/>
      </c>
    </row>
    <row r="166" ht="18.75" customHeight="1">
      <c r="A166" s="98" t="n">
        <v>47648</v>
      </c>
      <c r="B166" s="44" t="n"/>
      <c r="C166" s="44" t="n"/>
      <c r="D166" s="44" t="n"/>
      <c r="E166" s="28" t="n"/>
      <c r="F166" s="44" t="n"/>
      <c r="G166" s="40" t="n"/>
      <c r="H166" s="28" t="n"/>
      <c r="I166" s="40" t="n"/>
      <c r="J166" s="44" t="n"/>
      <c r="K166" s="28">
        <f>Table6[[#This Row],[ (T/B) SAR]]+Table6[[#This Row],[ (S/S) SAR]]</f>
        <v/>
      </c>
      <c r="L166" s="45" t="n"/>
      <c r="M166" s="46" t="n"/>
      <c r="N166" s="46" t="n"/>
      <c r="O166" s="40" t="n"/>
      <c r="P166" s="10">
        <f>Table6[[#This Row],[ (S/S) SAR]]-Table6[[#This Row],[(S/S) AJD]]</f>
        <v/>
      </c>
      <c r="Q166" s="40" t="n"/>
      <c r="R166" s="10">
        <f>Table6[[#This Row],[ (T/B) SAR]]-Table6[[#This Row],[(T/B) AJD]]</f>
        <v/>
      </c>
      <c r="S166" s="10">
        <f>Table6[[#This Row],[S/S_CON.]]+Table6[[#This Row],[T/B-CON.]]</f>
        <v/>
      </c>
      <c r="T166" s="10">
        <f>O166+Q166</f>
        <v/>
      </c>
      <c r="U166" s="44" t="n"/>
      <c r="V166" s="44" t="n"/>
      <c r="W166" s="10">
        <f>U166+V166</f>
        <v/>
      </c>
      <c r="X166" s="10">
        <f>T166-W166</f>
        <v/>
      </c>
      <c r="Y166" s="44" t="n"/>
      <c r="Z166" s="45" t="n"/>
      <c r="AA166" s="3">
        <f>Table6[[#This Row],[(RESV. STORGE) AJD]]/10</f>
        <v/>
      </c>
      <c r="AB166" s="3">
        <f>IF(TRIM(Z166)="",,(Z166-Z165)/1000)</f>
        <v/>
      </c>
      <c r="AC166" s="5" t="n"/>
      <c r="AD166" s="40">
        <f>(Table6[[#This Row],[( S/S+T/B) AJD]]*1000)-((Table6[[#This Row],[(STORGE DIFF.) AJD]]*1000)+Table6[[#This Row],[AJD_Evaporation]]+(Table6[[#This Row],[(A/B + A/S) AJD]]*1000))</f>
        <v/>
      </c>
      <c r="AE166" s="44" t="n"/>
      <c r="AF166" s="45" t="n"/>
      <c r="AG166" s="45" t="n"/>
      <c r="AH166" s="6">
        <f>Table6[[#This Row],[ (RESV. STORGE) BER]]/10</f>
        <v/>
      </c>
      <c r="AI166" s="44" t="n"/>
      <c r="AJ166" s="45">
        <f>Table6[[#This Row],[(A/B) AJD]]-TABL12345[[#This Row],[BER_IN]]</f>
        <v/>
      </c>
      <c r="AK166" s="45" t="n"/>
      <c r="AL166" s="45" t="n"/>
      <c r="AM166" s="32" t="n"/>
      <c r="AN166" s="32">
        <f>Table6[[#This Row],[ (RESV. STORGE) SER]]/10</f>
        <v/>
      </c>
      <c r="AO166" s="68" t="n"/>
      <c r="AP166" s="99">
        <f>Table6[[#This Row],[(A/S) AJD]]-Table6[[#This Row],[SER_IN]]</f>
        <v/>
      </c>
    </row>
    <row r="167" ht="18.75" customHeight="1">
      <c r="A167" s="98" t="n">
        <v>47649</v>
      </c>
      <c r="B167" s="41" t="n"/>
      <c r="C167" s="41" t="n"/>
      <c r="D167" s="41" t="n"/>
      <c r="E167" s="28" t="n"/>
      <c r="F167" s="41" t="n"/>
      <c r="G167" s="39" t="n"/>
      <c r="H167" s="28" t="n"/>
      <c r="I167" s="39" t="n"/>
      <c r="J167" s="39" t="n"/>
      <c r="K167" s="28">
        <f>Table6[[#This Row],[ (T/B) SAR]]+Table6[[#This Row],[ (S/S) SAR]]</f>
        <v/>
      </c>
      <c r="L167" s="41" t="n"/>
      <c r="M167" s="42" t="n"/>
      <c r="N167" s="42" t="n"/>
      <c r="O167" s="39" t="n"/>
      <c r="P167" s="10">
        <f>Table6[[#This Row],[ (S/S) SAR]]-Table6[[#This Row],[(S/S) AJD]]</f>
        <v/>
      </c>
      <c r="Q167" s="39" t="n"/>
      <c r="R167" s="10">
        <f>Table6[[#This Row],[ (T/B) SAR]]-Table6[[#This Row],[(T/B) AJD]]</f>
        <v/>
      </c>
      <c r="S167" s="10">
        <f>Table6[[#This Row],[S/S_CON.]]+Table6[[#This Row],[T/B-CON.]]</f>
        <v/>
      </c>
      <c r="T167" s="10">
        <f>O167+Q167</f>
        <v/>
      </c>
      <c r="U167" s="41" t="n"/>
      <c r="V167" s="41" t="n"/>
      <c r="W167" s="10">
        <f>U167+V167</f>
        <v/>
      </c>
      <c r="X167" s="10">
        <f>T167-W167</f>
        <v/>
      </c>
      <c r="Y167" s="41" t="n"/>
      <c r="Z167" s="43" t="n"/>
      <c r="AA167" s="3">
        <f>Table6[[#This Row],[(RESV. STORGE) AJD]]/10</f>
        <v/>
      </c>
      <c r="AB167" s="3">
        <f>IF(TRIM(Z167)="",,(Z167-Z166)/1000)</f>
        <v/>
      </c>
      <c r="AC167" s="5" t="n"/>
      <c r="AD167" s="39">
        <f>(Table6[[#This Row],[( S/S+T/B) AJD]]*1000)-((Table6[[#This Row],[(STORGE DIFF.) AJD]]*1000)+Table6[[#This Row],[AJD_Evaporation]]+(Table6[[#This Row],[(A/B + A/S) AJD]]*1000))</f>
        <v/>
      </c>
      <c r="AE167" s="41" t="n"/>
      <c r="AF167" s="43" t="n"/>
      <c r="AG167" s="43" t="n"/>
      <c r="AH167" s="6">
        <f>Table6[[#This Row],[ (RESV. STORGE) BER]]/10</f>
        <v/>
      </c>
      <c r="AI167" s="41" t="n"/>
      <c r="AJ167" s="43">
        <f>Table6[[#This Row],[(A/B) AJD]]-TABL12345[[#This Row],[BER_IN]]</f>
        <v/>
      </c>
      <c r="AK167" s="43" t="n"/>
      <c r="AL167" s="43" t="n"/>
      <c r="AM167" s="32" t="n"/>
      <c r="AN167" s="32">
        <f>Table6[[#This Row],[ (RESV. STORGE) SER]]/10</f>
        <v/>
      </c>
      <c r="AO167" s="68" t="n"/>
      <c r="AP167" s="99">
        <f>Table6[[#This Row],[(A/S) AJD]]-Table6[[#This Row],[SER_IN]]</f>
        <v/>
      </c>
    </row>
    <row r="168" ht="18.75" customHeight="1">
      <c r="A168" s="98" t="n">
        <v>47650</v>
      </c>
      <c r="B168" s="44" t="n"/>
      <c r="C168" s="44" t="n"/>
      <c r="D168" s="44" t="n"/>
      <c r="E168" s="28" t="n"/>
      <c r="F168" s="44" t="n"/>
      <c r="G168" s="40" t="n"/>
      <c r="H168" s="28" t="n"/>
      <c r="I168" s="40" t="n"/>
      <c r="J168" s="44" t="n"/>
      <c r="K168" s="28">
        <f>Table6[[#This Row],[ (T/B) SAR]]+Table6[[#This Row],[ (S/S) SAR]]</f>
        <v/>
      </c>
      <c r="L168" s="45" t="n"/>
      <c r="M168" s="46" t="n"/>
      <c r="N168" s="46" t="n"/>
      <c r="O168" s="40" t="n"/>
      <c r="P168" s="10">
        <f>Table6[[#This Row],[ (S/S) SAR]]-Table6[[#This Row],[(S/S) AJD]]</f>
        <v/>
      </c>
      <c r="Q168" s="40" t="n"/>
      <c r="R168" s="10">
        <f>Table6[[#This Row],[ (T/B) SAR]]-Table6[[#This Row],[(T/B) AJD]]</f>
        <v/>
      </c>
      <c r="S168" s="10">
        <f>Table6[[#This Row],[S/S_CON.]]+Table6[[#This Row],[T/B-CON.]]</f>
        <v/>
      </c>
      <c r="T168" s="10">
        <f>O168+Q168</f>
        <v/>
      </c>
      <c r="U168" s="44" t="n"/>
      <c r="V168" s="44" t="n"/>
      <c r="W168" s="10">
        <f>U168+V168</f>
        <v/>
      </c>
      <c r="X168" s="10">
        <f>T168-W168</f>
        <v/>
      </c>
      <c r="Y168" s="44" t="n"/>
      <c r="Z168" s="45" t="n"/>
      <c r="AA168" s="3">
        <f>Table6[[#This Row],[(RESV. STORGE) AJD]]/10</f>
        <v/>
      </c>
      <c r="AB168" s="3">
        <f>IF(TRIM(Z168)="",,(Z168-Z167)/1000)</f>
        <v/>
      </c>
      <c r="AC168" s="5" t="n"/>
      <c r="AD168" s="40">
        <f>(Table6[[#This Row],[( S/S+T/B) AJD]]*1000)-((Table6[[#This Row],[(STORGE DIFF.) AJD]]*1000)+Table6[[#This Row],[AJD_Evaporation]]+(Table6[[#This Row],[(A/B + A/S) AJD]]*1000))</f>
        <v/>
      </c>
      <c r="AE168" s="44" t="n"/>
      <c r="AF168" s="45" t="n"/>
      <c r="AG168" s="45" t="n"/>
      <c r="AH168" s="6">
        <f>Table6[[#This Row],[ (RESV. STORGE) BER]]/10</f>
        <v/>
      </c>
      <c r="AI168" s="44" t="n"/>
      <c r="AJ168" s="45">
        <f>Table6[[#This Row],[(A/B) AJD]]-TABL12345[[#This Row],[BER_IN]]</f>
        <v/>
      </c>
      <c r="AK168" s="45" t="n"/>
      <c r="AL168" s="45" t="n"/>
      <c r="AM168" s="32" t="n"/>
      <c r="AN168" s="32">
        <f>Table6[[#This Row],[ (RESV. STORGE) SER]]/10</f>
        <v/>
      </c>
      <c r="AO168" s="68" t="n"/>
      <c r="AP168" s="99">
        <f>Table6[[#This Row],[(A/S) AJD]]-Table6[[#This Row],[SER_IN]]</f>
        <v/>
      </c>
    </row>
    <row r="169" ht="18.75" customHeight="1">
      <c r="A169" s="98" t="n">
        <v>47651</v>
      </c>
      <c r="B169" s="41" t="n"/>
      <c r="C169" s="41" t="n"/>
      <c r="D169" s="41" t="n"/>
      <c r="E169" s="28" t="n"/>
      <c r="F169" s="41" t="n"/>
      <c r="G169" s="39" t="n"/>
      <c r="H169" s="28" t="n"/>
      <c r="I169" s="39" t="n"/>
      <c r="J169" s="39" t="n"/>
      <c r="K169" s="28">
        <f>Table6[[#This Row],[ (T/B) SAR]]+Table6[[#This Row],[ (S/S) SAR]]</f>
        <v/>
      </c>
      <c r="L169" s="41" t="n"/>
      <c r="M169" s="42" t="n"/>
      <c r="N169" s="42" t="n"/>
      <c r="O169" s="39" t="n"/>
      <c r="P169" s="10">
        <f>Table6[[#This Row],[ (S/S) SAR]]-Table6[[#This Row],[(S/S) AJD]]</f>
        <v/>
      </c>
      <c r="Q169" s="39" t="n"/>
      <c r="R169" s="10">
        <f>Table6[[#This Row],[ (T/B) SAR]]-Table6[[#This Row],[(T/B) AJD]]</f>
        <v/>
      </c>
      <c r="S169" s="10">
        <f>Table6[[#This Row],[S/S_CON.]]+Table6[[#This Row],[T/B-CON.]]</f>
        <v/>
      </c>
      <c r="T169" s="10">
        <f>O169+Q169</f>
        <v/>
      </c>
      <c r="U169" s="41" t="n"/>
      <c r="V169" s="41" t="n"/>
      <c r="W169" s="10">
        <f>U169+V169</f>
        <v/>
      </c>
      <c r="X169" s="10">
        <f>T169-W169</f>
        <v/>
      </c>
      <c r="Y169" s="41" t="n"/>
      <c r="Z169" s="43" t="n"/>
      <c r="AA169" s="3">
        <f>Table6[[#This Row],[(RESV. STORGE) AJD]]/10</f>
        <v/>
      </c>
      <c r="AB169" s="3">
        <f>IF(TRIM(Z169)="",,(Z169-Z168)/1000)</f>
        <v/>
      </c>
      <c r="AC169" s="5" t="n"/>
      <c r="AD169" s="39">
        <f>(Table6[[#This Row],[( S/S+T/B) AJD]]*1000)-((Table6[[#This Row],[(STORGE DIFF.) AJD]]*1000)+Table6[[#This Row],[AJD_Evaporation]]+(Table6[[#This Row],[(A/B + A/S) AJD]]*1000))</f>
        <v/>
      </c>
      <c r="AE169" s="41" t="n"/>
      <c r="AF169" s="43" t="n"/>
      <c r="AG169" s="43" t="n"/>
      <c r="AH169" s="6">
        <f>Table6[[#This Row],[ (RESV. STORGE) BER]]/10</f>
        <v/>
      </c>
      <c r="AI169" s="41" t="n"/>
      <c r="AJ169" s="43">
        <f>Table6[[#This Row],[(A/B) AJD]]-TABL12345[[#This Row],[BER_IN]]</f>
        <v/>
      </c>
      <c r="AK169" s="43" t="n"/>
      <c r="AL169" s="43" t="n"/>
      <c r="AM169" s="32" t="n"/>
      <c r="AN169" s="32">
        <f>Table6[[#This Row],[ (RESV. STORGE) SER]]/10</f>
        <v/>
      </c>
      <c r="AO169" s="68" t="n"/>
      <c r="AP169" s="99">
        <f>Table6[[#This Row],[(A/S) AJD]]-Table6[[#This Row],[SER_IN]]</f>
        <v/>
      </c>
    </row>
    <row r="170" ht="18.75" customHeight="1">
      <c r="A170" s="98" t="n">
        <v>47652</v>
      </c>
      <c r="B170" s="44" t="n"/>
      <c r="C170" s="44" t="n"/>
      <c r="D170" s="44" t="n"/>
      <c r="E170" s="28" t="n"/>
      <c r="F170" s="44" t="n"/>
      <c r="G170" s="40" t="n"/>
      <c r="H170" s="28" t="n"/>
      <c r="I170" s="40" t="n"/>
      <c r="J170" s="44" t="n"/>
      <c r="K170" s="28">
        <f>Table6[[#This Row],[ (T/B) SAR]]+Table6[[#This Row],[ (S/S) SAR]]</f>
        <v/>
      </c>
      <c r="L170" s="45" t="n"/>
      <c r="M170" s="46" t="n"/>
      <c r="N170" s="46" t="n"/>
      <c r="O170" s="40" t="n"/>
      <c r="P170" s="3">
        <f>Table6[[#This Row],[ (S/S) SAR]]-Table6[[#This Row],[(S/S) AJD]]</f>
        <v/>
      </c>
      <c r="Q170" s="40" t="n"/>
      <c r="R170" s="3">
        <f>Table6[[#This Row],[ (T/B) SAR]]-Table6[[#This Row],[(T/B) AJD]]</f>
        <v/>
      </c>
      <c r="S170" s="3">
        <f>Table6[[#This Row],[S/S_CON.]]+Table6[[#This Row],[T/B-CON.]]</f>
        <v/>
      </c>
      <c r="T170" s="3">
        <f>O170+Q170</f>
        <v/>
      </c>
      <c r="U170" s="44" t="n"/>
      <c r="V170" s="44" t="n"/>
      <c r="W170" s="3">
        <f>U170+V170</f>
        <v/>
      </c>
      <c r="X170" s="3">
        <f>T170-W170</f>
        <v/>
      </c>
      <c r="Y170" s="44" t="n"/>
      <c r="Z170" s="45" t="n"/>
      <c r="AA170" s="3">
        <f>Table6[[#This Row],[(RESV. STORGE) AJD]]/10</f>
        <v/>
      </c>
      <c r="AB170" s="3">
        <f>IF(TRIM(Z170)="",,(Z170-Z169)/1000)</f>
        <v/>
      </c>
      <c r="AC170" s="5" t="n"/>
      <c r="AD170" s="40">
        <f>(Table6[[#This Row],[( S/S+T/B) AJD]]*1000)-((Table6[[#This Row],[(STORGE DIFF.) AJD]]*1000)+Table6[[#This Row],[AJD_Evaporation]]+(Table6[[#This Row],[(A/B + A/S) AJD]]*1000))</f>
        <v/>
      </c>
      <c r="AE170" s="44" t="n"/>
      <c r="AF170" s="45" t="n"/>
      <c r="AG170" s="45" t="n"/>
      <c r="AH170" s="6">
        <f>Table6[[#This Row],[ (RESV. STORGE) BER]]/10</f>
        <v/>
      </c>
      <c r="AI170" s="44" t="n"/>
      <c r="AJ170" s="45">
        <f>Table6[[#This Row],[(A/B) AJD]]-TABL12345[[#This Row],[BER_IN]]</f>
        <v/>
      </c>
      <c r="AK170" s="45" t="n"/>
      <c r="AL170" s="45" t="n"/>
      <c r="AM170" s="32" t="n"/>
      <c r="AN170" s="32">
        <f>Table6[[#This Row],[ (RESV. STORGE) SER]]/10</f>
        <v/>
      </c>
      <c r="AO170" s="68" t="n"/>
      <c r="AP170" s="99">
        <f>Table6[[#This Row],[(A/S) AJD]]-Table6[[#This Row],[SER_IN]]</f>
        <v/>
      </c>
    </row>
    <row r="171" ht="18.75" customHeight="1">
      <c r="A171" s="98" t="n">
        <v>47653</v>
      </c>
      <c r="B171" s="41" t="n"/>
      <c r="C171" s="41" t="n"/>
      <c r="D171" s="41" t="n"/>
      <c r="E171" s="28" t="n"/>
      <c r="F171" s="41" t="n"/>
      <c r="G171" s="39" t="n"/>
      <c r="H171" s="28" t="n"/>
      <c r="I171" s="39" t="n"/>
      <c r="J171" s="39" t="n"/>
      <c r="K171" s="28">
        <f>Table6[[#This Row],[ (T/B) SAR]]+Table6[[#This Row],[ (S/S) SAR]]</f>
        <v/>
      </c>
      <c r="L171" s="41" t="n"/>
      <c r="M171" s="42" t="n"/>
      <c r="N171" s="42" t="n"/>
      <c r="O171" s="39" t="n"/>
      <c r="P171" s="3">
        <f>Table6[[#This Row],[ (S/S) SAR]]-Table6[[#This Row],[(S/S) AJD]]</f>
        <v/>
      </c>
      <c r="Q171" s="39" t="n"/>
      <c r="R171" s="3">
        <f>Table6[[#This Row],[ (T/B) SAR]]-Table6[[#This Row],[(T/B) AJD]]</f>
        <v/>
      </c>
      <c r="S171" s="3">
        <f>Table6[[#This Row],[S/S_CON.]]+Table6[[#This Row],[T/B-CON.]]</f>
        <v/>
      </c>
      <c r="T171" s="3">
        <f>O171+Q171</f>
        <v/>
      </c>
      <c r="U171" s="41" t="n"/>
      <c r="V171" s="41" t="n"/>
      <c r="W171" s="3">
        <f>U171+V171</f>
        <v/>
      </c>
      <c r="X171" s="3">
        <f>T171-W171</f>
        <v/>
      </c>
      <c r="Y171" s="41" t="n"/>
      <c r="Z171" s="43" t="n"/>
      <c r="AA171" s="3">
        <f>Table6[[#This Row],[(RESV. STORGE) AJD]]/10</f>
        <v/>
      </c>
      <c r="AB171" s="3">
        <f>IF(TRIM(Z171)="",,(Z171-Z170)/1000)</f>
        <v/>
      </c>
      <c r="AC171" s="5" t="n"/>
      <c r="AD171" s="39">
        <f>(Table6[[#This Row],[( S/S+T/B) AJD]]*1000)-((Table6[[#This Row],[(STORGE DIFF.) AJD]]*1000)+Table6[[#This Row],[AJD_Evaporation]]+(Table6[[#This Row],[(A/B + A/S) AJD]]*1000))</f>
        <v/>
      </c>
      <c r="AE171" s="41" t="n"/>
      <c r="AF171" s="43" t="n"/>
      <c r="AG171" s="43" t="n"/>
      <c r="AH171" s="6">
        <f>Table6[[#This Row],[ (RESV. STORGE) BER]]/10</f>
        <v/>
      </c>
      <c r="AI171" s="41" t="n"/>
      <c r="AJ171" s="43">
        <f>Table6[[#This Row],[(A/B) AJD]]-TABL12345[[#This Row],[BER_IN]]</f>
        <v/>
      </c>
      <c r="AK171" s="43" t="n"/>
      <c r="AL171" s="43" t="n"/>
      <c r="AM171" s="32" t="n"/>
      <c r="AN171" s="32">
        <f>Table6[[#This Row],[ (RESV. STORGE) SER]]/10</f>
        <v/>
      </c>
      <c r="AO171" s="68" t="n"/>
      <c r="AP171" s="99">
        <f>Table6[[#This Row],[(A/S) AJD]]-Table6[[#This Row],[SER_IN]]</f>
        <v/>
      </c>
    </row>
    <row r="172" ht="18.75" customHeight="1">
      <c r="A172" s="98" t="n">
        <v>47654</v>
      </c>
      <c r="B172" s="44" t="n"/>
      <c r="C172" s="44" t="n"/>
      <c r="D172" s="44" t="n"/>
      <c r="E172" s="28" t="n"/>
      <c r="F172" s="44" t="n"/>
      <c r="G172" s="40" t="n"/>
      <c r="H172" s="28" t="n"/>
      <c r="I172" s="40" t="n"/>
      <c r="J172" s="40" t="n"/>
      <c r="K172" s="28">
        <f>Table6[[#This Row],[ (T/B) SAR]]+Table6[[#This Row],[ (S/S) SAR]]</f>
        <v/>
      </c>
      <c r="L172" s="44" t="n"/>
      <c r="M172" s="46" t="n"/>
      <c r="N172" s="46" t="n"/>
      <c r="O172" s="40" t="n"/>
      <c r="P172" s="3">
        <f>Table6[[#This Row],[ (S/S) SAR]]-Table6[[#This Row],[(S/S) AJD]]</f>
        <v/>
      </c>
      <c r="Q172" s="40" t="n"/>
      <c r="R172" s="3">
        <f>Table6[[#This Row],[ (T/B) SAR]]-Table6[[#This Row],[(T/B) AJD]]</f>
        <v/>
      </c>
      <c r="S172" s="3">
        <f>Table6[[#This Row],[S/S_CON.]]+Table6[[#This Row],[T/B-CON.]]</f>
        <v/>
      </c>
      <c r="T172" s="3">
        <f>O172+Q172</f>
        <v/>
      </c>
      <c r="U172" s="44" t="n"/>
      <c r="V172" s="44" t="n"/>
      <c r="W172" s="3">
        <f>U172+V172</f>
        <v/>
      </c>
      <c r="X172" s="3">
        <f>T172-W172</f>
        <v/>
      </c>
      <c r="Y172" s="44" t="n"/>
      <c r="Z172" s="45" t="n"/>
      <c r="AA172" s="3">
        <f>Table6[[#This Row],[(RESV. STORGE) AJD]]/10</f>
        <v/>
      </c>
      <c r="AB172" s="3">
        <f>IF(TRIM(Z172)="",,(Z172-Z171)/1000)</f>
        <v/>
      </c>
      <c r="AC172" s="5" t="n"/>
      <c r="AD172" s="40">
        <f>(Table6[[#This Row],[( S/S+T/B) AJD]]*1000)-((Table6[[#This Row],[(STORGE DIFF.) AJD]]*1000)+Table6[[#This Row],[AJD_Evaporation]]+(Table6[[#This Row],[(A/B + A/S) AJD]]*1000))</f>
        <v/>
      </c>
      <c r="AE172" s="44" t="n"/>
      <c r="AF172" s="45" t="n"/>
      <c r="AG172" s="45" t="n"/>
      <c r="AH172" s="6">
        <f>Table6[[#This Row],[ (RESV. STORGE) BER]]/10</f>
        <v/>
      </c>
      <c r="AI172" s="44" t="n"/>
      <c r="AJ172" s="45">
        <f>Table6[[#This Row],[(A/B) AJD]]-TABL12345[[#This Row],[BER_IN]]</f>
        <v/>
      </c>
      <c r="AK172" s="45" t="n"/>
      <c r="AL172" s="45" t="n"/>
      <c r="AM172" s="32" t="n"/>
      <c r="AN172" s="32">
        <f>Table6[[#This Row],[ (RESV. STORGE) SER]]/10</f>
        <v/>
      </c>
      <c r="AO172" s="68" t="n"/>
      <c r="AP172" s="99">
        <f>Table6[[#This Row],[(A/S) AJD]]-Table6[[#This Row],[SER_IN]]</f>
        <v/>
      </c>
    </row>
    <row r="173" ht="18.75" customHeight="1">
      <c r="A173" s="98" t="n">
        <v>47655</v>
      </c>
      <c r="B173" s="41" t="n"/>
      <c r="C173" s="41" t="n"/>
      <c r="D173" s="41" t="n"/>
      <c r="E173" s="28" t="n"/>
      <c r="F173" s="41" t="n"/>
      <c r="G173" s="39" t="n"/>
      <c r="H173" s="28" t="n"/>
      <c r="I173" s="39" t="n"/>
      <c r="J173" s="39" t="n"/>
      <c r="K173" s="28">
        <f>Table6[[#This Row],[ (T/B) SAR]]+Table6[[#This Row],[ (S/S) SAR]]</f>
        <v/>
      </c>
      <c r="L173" s="41" t="n"/>
      <c r="M173" s="42" t="n"/>
      <c r="N173" s="42" t="n"/>
      <c r="O173" s="39" t="n"/>
      <c r="P173" s="3">
        <f>Table6[[#This Row],[ (S/S) SAR]]-Table6[[#This Row],[(S/S) AJD]]</f>
        <v/>
      </c>
      <c r="Q173" s="39" t="n"/>
      <c r="R173" s="3">
        <f>Table6[[#This Row],[ (T/B) SAR]]-Table6[[#This Row],[(T/B) AJD]]</f>
        <v/>
      </c>
      <c r="S173" s="3">
        <f>Table6[[#This Row],[S/S_CON.]]+Table6[[#This Row],[T/B-CON.]]</f>
        <v/>
      </c>
      <c r="T173" s="3">
        <f>O173+Q173</f>
        <v/>
      </c>
      <c r="U173" s="41" t="n"/>
      <c r="V173" s="41" t="n"/>
      <c r="W173" s="3">
        <f>U173+V173</f>
        <v/>
      </c>
      <c r="X173" s="3">
        <f>T173-W173</f>
        <v/>
      </c>
      <c r="Y173" s="41" t="n"/>
      <c r="Z173" s="43" t="n"/>
      <c r="AA173" s="3">
        <f>Table6[[#This Row],[(RESV. STORGE) AJD]]/10</f>
        <v/>
      </c>
      <c r="AB173" s="3">
        <f>IF(TRIM(Z173)="",,(Z173-Z172)/1000)</f>
        <v/>
      </c>
      <c r="AC173" s="5" t="n"/>
      <c r="AD173" s="39">
        <f>(Table6[[#This Row],[( S/S+T/B) AJD]]*1000)-((Table6[[#This Row],[(STORGE DIFF.) AJD]]*1000)+Table6[[#This Row],[AJD_Evaporation]]+(Table6[[#This Row],[(A/B + A/S) AJD]]*1000))</f>
        <v/>
      </c>
      <c r="AE173" s="41" t="n"/>
      <c r="AF173" s="43" t="n"/>
      <c r="AG173" s="43" t="n"/>
      <c r="AH173" s="6">
        <f>Table6[[#This Row],[ (RESV. STORGE) BER]]/10</f>
        <v/>
      </c>
      <c r="AI173" s="41" t="n"/>
      <c r="AJ173" s="43">
        <f>Table6[[#This Row],[(A/B) AJD]]-TABL12345[[#This Row],[BER_IN]]</f>
        <v/>
      </c>
      <c r="AK173" s="43" t="n"/>
      <c r="AL173" s="43" t="n"/>
      <c r="AM173" s="32" t="n"/>
      <c r="AN173" s="32">
        <f>Table6[[#This Row],[ (RESV. STORGE) SER]]/10</f>
        <v/>
      </c>
      <c r="AO173" s="68" t="n"/>
      <c r="AP173" s="99">
        <f>Table6[[#This Row],[(A/S) AJD]]-Table6[[#This Row],[SER_IN]]</f>
        <v/>
      </c>
    </row>
    <row r="174" ht="18.75" customHeight="1">
      <c r="A174" s="98" t="n">
        <v>47656</v>
      </c>
      <c r="B174" s="44" t="n"/>
      <c r="C174" s="44" t="n"/>
      <c r="D174" s="44" t="n"/>
      <c r="E174" s="28" t="n"/>
      <c r="F174" s="44" t="n"/>
      <c r="G174" s="40" t="n"/>
      <c r="H174" s="28" t="n"/>
      <c r="I174" s="40" t="n"/>
      <c r="J174" s="44" t="n"/>
      <c r="K174" s="28">
        <f>Table6[[#This Row],[ (T/B) SAR]]+Table6[[#This Row],[ (S/S) SAR]]</f>
        <v/>
      </c>
      <c r="L174" s="45" t="n"/>
      <c r="M174" s="46" t="n"/>
      <c r="N174" s="46" t="n"/>
      <c r="O174" s="40" t="n"/>
      <c r="P174" s="3">
        <f>Table6[[#This Row],[ (S/S) SAR]]-Table6[[#This Row],[(S/S) AJD]]</f>
        <v/>
      </c>
      <c r="Q174" s="40" t="n"/>
      <c r="R174" s="3">
        <f>Table6[[#This Row],[ (T/B) SAR]]-Table6[[#This Row],[(T/B) AJD]]</f>
        <v/>
      </c>
      <c r="S174" s="3">
        <f>Table6[[#This Row],[S/S_CON.]]+Table6[[#This Row],[T/B-CON.]]</f>
        <v/>
      </c>
      <c r="T174" s="3">
        <f>O174+Q174</f>
        <v/>
      </c>
      <c r="U174" s="44" t="n"/>
      <c r="V174" s="44" t="n"/>
      <c r="W174" s="3">
        <f>U174+V174</f>
        <v/>
      </c>
      <c r="X174" s="3">
        <f>T174-W174</f>
        <v/>
      </c>
      <c r="Y174" s="44" t="n"/>
      <c r="Z174" s="45" t="n"/>
      <c r="AA174" s="3">
        <f>Table6[[#This Row],[(RESV. STORGE) AJD]]/10</f>
        <v/>
      </c>
      <c r="AB174" s="3">
        <f>IF(TRIM(Z174)="",,(Z174-Z173)/1000)</f>
        <v/>
      </c>
      <c r="AC174" s="5" t="n"/>
      <c r="AD174" s="40">
        <f>(Table6[[#This Row],[( S/S+T/B) AJD]]*1000)-((Table6[[#This Row],[(STORGE DIFF.) AJD]]*1000)+Table6[[#This Row],[AJD_Evaporation]]+(Table6[[#This Row],[(A/B + A/S) AJD]]*1000))</f>
        <v/>
      </c>
      <c r="AE174" s="44" t="n"/>
      <c r="AF174" s="45" t="n"/>
      <c r="AG174" s="45" t="n"/>
      <c r="AH174" s="6">
        <f>Table6[[#This Row],[ (RESV. STORGE) BER]]/10</f>
        <v/>
      </c>
      <c r="AI174" s="44" t="n"/>
      <c r="AJ174" s="45">
        <f>Table6[[#This Row],[(A/B) AJD]]-TABL12345[[#This Row],[BER_IN]]</f>
        <v/>
      </c>
      <c r="AK174" s="45" t="n"/>
      <c r="AL174" s="45" t="n"/>
      <c r="AM174" s="32" t="n"/>
      <c r="AN174" s="32">
        <f>Table6[[#This Row],[ (RESV. STORGE) SER]]/10</f>
        <v/>
      </c>
      <c r="AO174" s="68" t="n"/>
      <c r="AP174" s="99">
        <f>Table6[[#This Row],[(A/S) AJD]]-Table6[[#This Row],[SER_IN]]</f>
        <v/>
      </c>
    </row>
    <row r="175" ht="18.75" customHeight="1">
      <c r="A175" s="98" t="n">
        <v>47657</v>
      </c>
      <c r="B175" s="41" t="n"/>
      <c r="C175" s="41" t="n"/>
      <c r="D175" s="41" t="n"/>
      <c r="E175" s="28" t="n"/>
      <c r="F175" s="41" t="n"/>
      <c r="G175" s="39" t="n"/>
      <c r="H175" s="28" t="n"/>
      <c r="I175" s="39" t="n"/>
      <c r="J175" s="39" t="n"/>
      <c r="K175" s="28">
        <f>Table6[[#This Row],[ (T/B) SAR]]+Table6[[#This Row],[ (S/S) SAR]]</f>
        <v/>
      </c>
      <c r="L175" s="41" t="n"/>
      <c r="M175" s="42" t="n"/>
      <c r="N175" s="42" t="n"/>
      <c r="O175" s="39" t="n"/>
      <c r="P175" s="3">
        <f>Table6[[#This Row],[ (S/S) SAR]]-Table6[[#This Row],[(S/S) AJD]]</f>
        <v/>
      </c>
      <c r="Q175" s="39" t="n"/>
      <c r="R175" s="3">
        <f>Table6[[#This Row],[ (T/B) SAR]]-Table6[[#This Row],[(T/B) AJD]]</f>
        <v/>
      </c>
      <c r="S175" s="3">
        <f>Table6[[#This Row],[S/S_CON.]]+Table6[[#This Row],[T/B-CON.]]</f>
        <v/>
      </c>
      <c r="T175" s="3">
        <f>O175+Q175</f>
        <v/>
      </c>
      <c r="U175" s="41" t="n"/>
      <c r="V175" s="41" t="n"/>
      <c r="W175" s="3">
        <f>U175+V175</f>
        <v/>
      </c>
      <c r="X175" s="3">
        <f>T175-W175</f>
        <v/>
      </c>
      <c r="Y175" s="41" t="n"/>
      <c r="Z175" s="43" t="n"/>
      <c r="AA175" s="3">
        <f>Table6[[#This Row],[(RESV. STORGE) AJD]]/10</f>
        <v/>
      </c>
      <c r="AB175" s="3">
        <f>IF(TRIM(Z175)="",,(Z175-Z174)/1000)</f>
        <v/>
      </c>
      <c r="AC175" s="5" t="n"/>
      <c r="AD175" s="39">
        <f>(Table6[[#This Row],[( S/S+T/B) AJD]]*1000)-((Table6[[#This Row],[(STORGE DIFF.) AJD]]*1000)+Table6[[#This Row],[AJD_Evaporation]]+(Table6[[#This Row],[(A/B + A/S) AJD]]*1000))</f>
        <v/>
      </c>
      <c r="AE175" s="41" t="n"/>
      <c r="AF175" s="43" t="n"/>
      <c r="AG175" s="43" t="n"/>
      <c r="AH175" s="6">
        <f>Table6[[#This Row],[ (RESV. STORGE) BER]]/10</f>
        <v/>
      </c>
      <c r="AI175" s="41" t="n"/>
      <c r="AJ175" s="43">
        <f>Table6[[#This Row],[(A/B) AJD]]-TABL12345[[#This Row],[BER_IN]]</f>
        <v/>
      </c>
      <c r="AK175" s="43" t="n"/>
      <c r="AL175" s="43" t="n"/>
      <c r="AM175" s="32" t="n"/>
      <c r="AN175" s="32">
        <f>Table6[[#This Row],[ (RESV. STORGE) SER]]/10</f>
        <v/>
      </c>
      <c r="AO175" s="68" t="n"/>
      <c r="AP175" s="99">
        <f>Table6[[#This Row],[(A/S) AJD]]-Table6[[#This Row],[SER_IN]]</f>
        <v/>
      </c>
    </row>
    <row r="176" ht="18.75" customHeight="1">
      <c r="A176" s="98" t="n">
        <v>47658</v>
      </c>
      <c r="B176" s="44" t="n"/>
      <c r="C176" s="44" t="n"/>
      <c r="D176" s="44" t="n"/>
      <c r="E176" s="28" t="n"/>
      <c r="F176" s="44" t="n"/>
      <c r="G176" s="40" t="n"/>
      <c r="H176" s="28" t="n"/>
      <c r="I176" s="40" t="n"/>
      <c r="J176" s="44" t="n"/>
      <c r="K176" s="28">
        <f>Table6[[#This Row],[ (T/B) SAR]]+Table6[[#This Row],[ (S/S) SAR]]</f>
        <v/>
      </c>
      <c r="L176" s="45" t="n"/>
      <c r="M176" s="46" t="n"/>
      <c r="N176" s="46" t="n"/>
      <c r="O176" s="40" t="n"/>
      <c r="P176" s="3">
        <f>Table6[[#This Row],[ (S/S) SAR]]-Table6[[#This Row],[(S/S) AJD]]</f>
        <v/>
      </c>
      <c r="Q176" s="40" t="n"/>
      <c r="R176" s="3">
        <f>Table6[[#This Row],[ (T/B) SAR]]-Table6[[#This Row],[(T/B) AJD]]</f>
        <v/>
      </c>
      <c r="S176" s="3">
        <f>Table6[[#This Row],[S/S_CON.]]+Table6[[#This Row],[T/B-CON.]]</f>
        <v/>
      </c>
      <c r="T176" s="3">
        <f>O176+Q176</f>
        <v/>
      </c>
      <c r="U176" s="44" t="n"/>
      <c r="V176" s="44" t="n"/>
      <c r="W176" s="3">
        <f>U176+V176</f>
        <v/>
      </c>
      <c r="X176" s="3">
        <f>T176-W176</f>
        <v/>
      </c>
      <c r="Y176" s="44" t="n"/>
      <c r="Z176" s="45" t="n"/>
      <c r="AA176" s="3">
        <f>Table6[[#This Row],[(RESV. STORGE) AJD]]/10</f>
        <v/>
      </c>
      <c r="AB176" s="3">
        <f>IF(TRIM(Z176)="",,(Z176-Z175)/1000)</f>
        <v/>
      </c>
      <c r="AC176" s="5" t="n"/>
      <c r="AD176" s="40">
        <f>(Table6[[#This Row],[( S/S+T/B) AJD]]*1000)-((Table6[[#This Row],[(STORGE DIFF.) AJD]]*1000)+Table6[[#This Row],[AJD_Evaporation]]+(Table6[[#This Row],[(A/B + A/S) AJD]]*1000))</f>
        <v/>
      </c>
      <c r="AE176" s="44" t="n"/>
      <c r="AF176" s="45" t="n"/>
      <c r="AG176" s="45" t="n"/>
      <c r="AH176" s="6">
        <f>Table6[[#This Row],[ (RESV. STORGE) BER]]/10</f>
        <v/>
      </c>
      <c r="AI176" s="44" t="n"/>
      <c r="AJ176" s="45">
        <f>Table6[[#This Row],[(A/B) AJD]]-TABL12345[[#This Row],[BER_IN]]</f>
        <v/>
      </c>
      <c r="AK176" s="45" t="n"/>
      <c r="AL176" s="45" t="n"/>
      <c r="AM176" s="32" t="n"/>
      <c r="AN176" s="32">
        <f>Table6[[#This Row],[ (RESV. STORGE) SER]]/10</f>
        <v/>
      </c>
      <c r="AO176" s="68" t="n"/>
      <c r="AP176" s="99">
        <f>Table6[[#This Row],[(A/S) AJD]]-Table6[[#This Row],[SER_IN]]</f>
        <v/>
      </c>
    </row>
    <row r="177" ht="18.75" customHeight="1">
      <c r="A177" s="98" t="n">
        <v>47659</v>
      </c>
      <c r="B177" s="41" t="n"/>
      <c r="C177" s="41" t="n"/>
      <c r="D177" s="41" t="n"/>
      <c r="E177" s="28" t="n"/>
      <c r="F177" s="41" t="n"/>
      <c r="G177" s="39" t="n"/>
      <c r="H177" s="28" t="n"/>
      <c r="I177" s="39" t="n"/>
      <c r="J177" s="39" t="n"/>
      <c r="K177" s="28">
        <f>Table6[[#This Row],[ (T/B) SAR]]+Table6[[#This Row],[ (S/S) SAR]]</f>
        <v/>
      </c>
      <c r="L177" s="41" t="n"/>
      <c r="M177" s="42" t="n"/>
      <c r="N177" s="42" t="n"/>
      <c r="O177" s="39" t="n"/>
      <c r="P177" s="3">
        <f>Table6[[#This Row],[ (S/S) SAR]]-Table6[[#This Row],[(S/S) AJD]]</f>
        <v/>
      </c>
      <c r="Q177" s="39" t="n"/>
      <c r="R177" s="3">
        <f>Table6[[#This Row],[ (T/B) SAR]]-Table6[[#This Row],[(T/B) AJD]]</f>
        <v/>
      </c>
      <c r="S177" s="3">
        <f>Table6[[#This Row],[S/S_CON.]]+Table6[[#This Row],[T/B-CON.]]</f>
        <v/>
      </c>
      <c r="T177" s="3">
        <f>O177+Q177</f>
        <v/>
      </c>
      <c r="U177" s="41" t="n"/>
      <c r="V177" s="41" t="n"/>
      <c r="W177" s="3">
        <f>U177+V177</f>
        <v/>
      </c>
      <c r="X177" s="3">
        <f>T177-W177</f>
        <v/>
      </c>
      <c r="Y177" s="41" t="n"/>
      <c r="Z177" s="43" t="n"/>
      <c r="AA177" s="3">
        <f>Table6[[#This Row],[(RESV. STORGE) AJD]]/10</f>
        <v/>
      </c>
      <c r="AB177" s="3">
        <f>IF(TRIM(Z177)="",,(Z177-Z176)/1000)</f>
        <v/>
      </c>
      <c r="AC177" s="5" t="n"/>
      <c r="AD177" s="39">
        <f>(Table6[[#This Row],[( S/S+T/B) AJD]]*1000)-((Table6[[#This Row],[(STORGE DIFF.) AJD]]*1000)+Table6[[#This Row],[AJD_Evaporation]]+(Table6[[#This Row],[(A/B + A/S) AJD]]*1000))</f>
        <v/>
      </c>
      <c r="AE177" s="41" t="n"/>
      <c r="AF177" s="43" t="n"/>
      <c r="AG177" s="43" t="n"/>
      <c r="AH177" s="6">
        <f>Table6[[#This Row],[ (RESV. STORGE) BER]]/10</f>
        <v/>
      </c>
      <c r="AI177" s="41" t="n"/>
      <c r="AJ177" s="43">
        <f>Table6[[#This Row],[(A/B) AJD]]-TABL12345[[#This Row],[BER_IN]]</f>
        <v/>
      </c>
      <c r="AK177" s="43" t="n"/>
      <c r="AL177" s="43" t="n"/>
      <c r="AM177" s="32" t="n"/>
      <c r="AN177" s="32">
        <f>Table6[[#This Row],[ (RESV. STORGE) SER]]/10</f>
        <v/>
      </c>
      <c r="AO177" s="68" t="n"/>
      <c r="AP177" s="99">
        <f>Table6[[#This Row],[(A/S) AJD]]-Table6[[#This Row],[SER_IN]]</f>
        <v/>
      </c>
    </row>
    <row r="178" ht="18.75" customHeight="1">
      <c r="A178" s="98" t="n">
        <v>47660</v>
      </c>
      <c r="B178" s="44" t="n"/>
      <c r="C178" s="44" t="n"/>
      <c r="D178" s="44" t="n"/>
      <c r="E178" s="28" t="n"/>
      <c r="F178" s="44" t="n"/>
      <c r="G178" s="40" t="n"/>
      <c r="H178" s="28" t="n"/>
      <c r="I178" s="40" t="n"/>
      <c r="J178" s="44" t="n"/>
      <c r="K178" s="28">
        <f>Table6[[#This Row],[ (T/B) SAR]]+Table6[[#This Row],[ (S/S) SAR]]</f>
        <v/>
      </c>
      <c r="L178" s="45" t="n"/>
      <c r="M178" s="46" t="n"/>
      <c r="N178" s="46" t="n"/>
      <c r="O178" s="40" t="n"/>
      <c r="P178" s="3">
        <f>Table6[[#This Row],[ (S/S) SAR]]-Table6[[#This Row],[(S/S) AJD]]</f>
        <v/>
      </c>
      <c r="Q178" s="40" t="n"/>
      <c r="R178" s="3">
        <f>Table6[[#This Row],[ (T/B) SAR]]-Table6[[#This Row],[(T/B) AJD]]</f>
        <v/>
      </c>
      <c r="S178" s="3">
        <f>Table6[[#This Row],[S/S_CON.]]+Table6[[#This Row],[T/B-CON.]]</f>
        <v/>
      </c>
      <c r="T178" s="3">
        <f>O178+Q178</f>
        <v/>
      </c>
      <c r="U178" s="44" t="n"/>
      <c r="V178" s="44" t="n"/>
      <c r="W178" s="3">
        <f>U178+V178</f>
        <v/>
      </c>
      <c r="X178" s="3">
        <f>T178-W178</f>
        <v/>
      </c>
      <c r="Y178" s="44" t="n"/>
      <c r="Z178" s="45" t="n"/>
      <c r="AA178" s="3">
        <f>Table6[[#This Row],[(RESV. STORGE) AJD]]/10</f>
        <v/>
      </c>
      <c r="AB178" s="3">
        <f>IF(TRIM(Z178)="",,(Z178-Z177)/1000)</f>
        <v/>
      </c>
      <c r="AC178" s="5" t="n"/>
      <c r="AD178" s="40">
        <f>(Table6[[#This Row],[( S/S+T/B) AJD]]*1000)-((Table6[[#This Row],[(STORGE DIFF.) AJD]]*1000)+Table6[[#This Row],[AJD_Evaporation]]+(Table6[[#This Row],[(A/B + A/S) AJD]]*1000))</f>
        <v/>
      </c>
      <c r="AE178" s="44" t="n"/>
      <c r="AF178" s="45" t="n"/>
      <c r="AG178" s="45" t="n"/>
      <c r="AH178" s="6">
        <f>Table6[[#This Row],[ (RESV. STORGE) BER]]/10</f>
        <v/>
      </c>
      <c r="AI178" s="44" t="n"/>
      <c r="AJ178" s="45">
        <f>Table6[[#This Row],[(A/B) AJD]]-TABL12345[[#This Row],[BER_IN]]</f>
        <v/>
      </c>
      <c r="AK178" s="45" t="n"/>
      <c r="AL178" s="45" t="n"/>
      <c r="AM178" s="32" t="n"/>
      <c r="AN178" s="32">
        <f>Table6[[#This Row],[ (RESV. STORGE) SER]]/10</f>
        <v/>
      </c>
      <c r="AO178" s="68" t="n"/>
      <c r="AP178" s="99">
        <f>Table6[[#This Row],[(A/S) AJD]]-Table6[[#This Row],[SER_IN]]</f>
        <v/>
      </c>
    </row>
    <row r="179" ht="18.75" customHeight="1">
      <c r="A179" s="98" t="n">
        <v>47661</v>
      </c>
      <c r="B179" s="41" t="n"/>
      <c r="C179" s="41" t="n"/>
      <c r="D179" s="41" t="n"/>
      <c r="E179" s="28" t="n"/>
      <c r="F179" s="41" t="n"/>
      <c r="G179" s="39" t="n"/>
      <c r="H179" s="28" t="n"/>
      <c r="I179" s="39" t="n"/>
      <c r="J179" s="39" t="n"/>
      <c r="K179" s="28">
        <f>Table6[[#This Row],[ (T/B) SAR]]+Table6[[#This Row],[ (S/S) SAR]]</f>
        <v/>
      </c>
      <c r="L179" s="41" t="n"/>
      <c r="M179" s="42" t="n"/>
      <c r="N179" s="42" t="n"/>
      <c r="O179" s="39" t="n"/>
      <c r="P179" s="3">
        <f>Table6[[#This Row],[ (S/S) SAR]]-Table6[[#This Row],[(S/S) AJD]]</f>
        <v/>
      </c>
      <c r="Q179" s="39" t="n"/>
      <c r="R179" s="3">
        <f>Table6[[#This Row],[ (T/B) SAR]]-Table6[[#This Row],[(T/B) AJD]]</f>
        <v/>
      </c>
      <c r="S179" s="3">
        <f>Table6[[#This Row],[S/S_CON.]]+Table6[[#This Row],[T/B-CON.]]</f>
        <v/>
      </c>
      <c r="T179" s="3">
        <f>O179+Q179</f>
        <v/>
      </c>
      <c r="U179" s="41" t="n"/>
      <c r="V179" s="41" t="n"/>
      <c r="W179" s="3">
        <f>U179+V179</f>
        <v/>
      </c>
      <c r="X179" s="3">
        <f>T179-W179</f>
        <v/>
      </c>
      <c r="Y179" s="41" t="n"/>
      <c r="Z179" s="43" t="n"/>
      <c r="AA179" s="3">
        <f>Table6[[#This Row],[(RESV. STORGE) AJD]]/10</f>
        <v/>
      </c>
      <c r="AB179" s="3">
        <f>IF(TRIM(Z179)="",,(Z179-Z178)/1000)</f>
        <v/>
      </c>
      <c r="AC179" s="5" t="n"/>
      <c r="AD179" s="39">
        <f>(Table6[[#This Row],[( S/S+T/B) AJD]]*1000)-((Table6[[#This Row],[(STORGE DIFF.) AJD]]*1000)+Table6[[#This Row],[AJD_Evaporation]]+(Table6[[#This Row],[(A/B + A/S) AJD]]*1000))</f>
        <v/>
      </c>
      <c r="AE179" s="41" t="n"/>
      <c r="AF179" s="43" t="n"/>
      <c r="AG179" s="43" t="n"/>
      <c r="AH179" s="6">
        <f>Table6[[#This Row],[ (RESV. STORGE) BER]]/10</f>
        <v/>
      </c>
      <c r="AI179" s="41" t="n"/>
      <c r="AJ179" s="43">
        <f>Table6[[#This Row],[(A/B) AJD]]-TABL12345[[#This Row],[BER_IN]]</f>
        <v/>
      </c>
      <c r="AK179" s="43" t="n"/>
      <c r="AL179" s="43" t="n"/>
      <c r="AM179" s="32" t="n"/>
      <c r="AN179" s="32">
        <f>Table6[[#This Row],[ (RESV. STORGE) SER]]/10</f>
        <v/>
      </c>
      <c r="AO179" s="68" t="n"/>
      <c r="AP179" s="99">
        <f>Table6[[#This Row],[(A/S) AJD]]-Table6[[#This Row],[SER_IN]]</f>
        <v/>
      </c>
    </row>
    <row r="180" ht="18.75" customHeight="1">
      <c r="A180" s="98" t="n">
        <v>47662</v>
      </c>
      <c r="B180" s="44" t="n"/>
      <c r="C180" s="44" t="n"/>
      <c r="D180" s="44" t="n"/>
      <c r="E180" s="28" t="n"/>
      <c r="F180" s="44" t="n"/>
      <c r="G180" s="40" t="n"/>
      <c r="H180" s="28" t="n"/>
      <c r="I180" s="40" t="n"/>
      <c r="J180" s="44" t="n"/>
      <c r="K180" s="28">
        <f>Table6[[#This Row],[ (T/B) SAR]]+Table6[[#This Row],[ (S/S) SAR]]</f>
        <v/>
      </c>
      <c r="L180" s="45" t="n"/>
      <c r="M180" s="46" t="n"/>
      <c r="N180" s="46" t="n"/>
      <c r="O180" s="40" t="n"/>
      <c r="P180" s="3">
        <f>Table6[[#This Row],[ (S/S) SAR]]-Table6[[#This Row],[(S/S) AJD]]</f>
        <v/>
      </c>
      <c r="Q180" s="40" t="n"/>
      <c r="R180" s="3">
        <f>Table6[[#This Row],[ (T/B) SAR]]-Table6[[#This Row],[(T/B) AJD]]</f>
        <v/>
      </c>
      <c r="S180" s="3">
        <f>Table6[[#This Row],[S/S_CON.]]+Table6[[#This Row],[T/B-CON.]]</f>
        <v/>
      </c>
      <c r="T180" s="3">
        <f>O180+Q180</f>
        <v/>
      </c>
      <c r="U180" s="44" t="n"/>
      <c r="V180" s="44" t="n"/>
      <c r="W180" s="3">
        <f>U180+V180</f>
        <v/>
      </c>
      <c r="X180" s="3">
        <f>T180-W180</f>
        <v/>
      </c>
      <c r="Y180" s="44" t="n"/>
      <c r="Z180" s="45" t="n"/>
      <c r="AA180" s="3">
        <f>Table6[[#This Row],[(RESV. STORGE) AJD]]/10</f>
        <v/>
      </c>
      <c r="AB180" s="3">
        <f>IF(TRIM(Z180)="",,(Z180-Z179)/1000)</f>
        <v/>
      </c>
      <c r="AC180" s="5" t="n"/>
      <c r="AD180" s="40">
        <f>(Table6[[#This Row],[( S/S+T/B) AJD]]*1000)-((Table6[[#This Row],[(STORGE DIFF.) AJD]]*1000)+Table6[[#This Row],[AJD_Evaporation]]+(Table6[[#This Row],[(A/B + A/S) AJD]]*1000))</f>
        <v/>
      </c>
      <c r="AE180" s="44" t="n"/>
      <c r="AF180" s="45" t="n"/>
      <c r="AG180" s="45" t="n"/>
      <c r="AH180" s="6">
        <f>Table6[[#This Row],[ (RESV. STORGE) BER]]/10</f>
        <v/>
      </c>
      <c r="AI180" s="44" t="n"/>
      <c r="AJ180" s="45">
        <f>Table6[[#This Row],[(A/B) AJD]]-TABL12345[[#This Row],[BER_IN]]</f>
        <v/>
      </c>
      <c r="AK180" s="45" t="n"/>
      <c r="AL180" s="45" t="n"/>
      <c r="AM180" s="32" t="n"/>
      <c r="AN180" s="32">
        <f>Table6[[#This Row],[ (RESV. STORGE) SER]]/10</f>
        <v/>
      </c>
      <c r="AO180" s="68" t="n"/>
      <c r="AP180" s="99">
        <f>Table6[[#This Row],[(A/S) AJD]]-Table6[[#This Row],[SER_IN]]</f>
        <v/>
      </c>
    </row>
    <row r="181" ht="18.75" customHeight="1">
      <c r="A181" s="98" t="n">
        <v>47663</v>
      </c>
      <c r="B181" s="41" t="n"/>
      <c r="C181" s="41" t="n"/>
      <c r="D181" s="41" t="n"/>
      <c r="E181" s="28" t="n"/>
      <c r="F181" s="41" t="n"/>
      <c r="G181" s="39" t="n"/>
      <c r="H181" s="28" t="n"/>
      <c r="I181" s="39" t="n"/>
      <c r="J181" s="39" t="n"/>
      <c r="K181" s="28">
        <f>Table6[[#This Row],[ (T/B) SAR]]+Table6[[#This Row],[ (S/S) SAR]]</f>
        <v/>
      </c>
      <c r="L181" s="41" t="n"/>
      <c r="M181" s="42" t="n"/>
      <c r="N181" s="42" t="n"/>
      <c r="O181" s="39" t="n"/>
      <c r="P181" s="3">
        <f>Table6[[#This Row],[ (S/S) SAR]]-Table6[[#This Row],[(S/S) AJD]]</f>
        <v/>
      </c>
      <c r="Q181" s="39" t="n"/>
      <c r="R181" s="3">
        <f>Table6[[#This Row],[ (T/B) SAR]]-Table6[[#This Row],[(T/B) AJD]]</f>
        <v/>
      </c>
      <c r="S181" s="3">
        <f>Table6[[#This Row],[S/S_CON.]]+Table6[[#This Row],[T/B-CON.]]</f>
        <v/>
      </c>
      <c r="T181" s="3">
        <f>O181+Q181</f>
        <v/>
      </c>
      <c r="U181" s="41" t="n"/>
      <c r="V181" s="41" t="n"/>
      <c r="W181" s="3">
        <f>U181+V181</f>
        <v/>
      </c>
      <c r="X181" s="3">
        <f>T181-W181</f>
        <v/>
      </c>
      <c r="Y181" s="41" t="n"/>
      <c r="Z181" s="43" t="n"/>
      <c r="AA181" s="3">
        <f>Table6[[#This Row],[(RESV. STORGE) AJD]]/10</f>
        <v/>
      </c>
      <c r="AB181" s="3">
        <f>IF(TRIM(Z181)="",,(Z181-Z180)/1000)</f>
        <v/>
      </c>
      <c r="AC181" s="5" t="n"/>
      <c r="AD181" s="39">
        <f>(Table6[[#This Row],[( S/S+T/B) AJD]]*1000)-((Table6[[#This Row],[(STORGE DIFF.) AJD]]*1000)+Table6[[#This Row],[AJD_Evaporation]]+(Table6[[#This Row],[(A/B + A/S) AJD]]*1000))</f>
        <v/>
      </c>
      <c r="AE181" s="41" t="n"/>
      <c r="AF181" s="43" t="n"/>
      <c r="AG181" s="43" t="n"/>
      <c r="AH181" s="6">
        <f>Table6[[#This Row],[ (RESV. STORGE) BER]]/10</f>
        <v/>
      </c>
      <c r="AI181" s="41" t="n"/>
      <c r="AJ181" s="43">
        <f>Table6[[#This Row],[(A/B) AJD]]-TABL12345[[#This Row],[BER_IN]]</f>
        <v/>
      </c>
      <c r="AK181" s="43" t="n"/>
      <c r="AL181" s="43" t="n"/>
      <c r="AM181" s="32" t="n"/>
      <c r="AN181" s="32">
        <f>Table6[[#This Row],[ (RESV. STORGE) SER]]/10</f>
        <v/>
      </c>
      <c r="AO181" s="68" t="n"/>
      <c r="AP181" s="99">
        <f>Table6[[#This Row],[(A/S) AJD]]-Table6[[#This Row],[SER_IN]]</f>
        <v/>
      </c>
    </row>
    <row r="182" ht="18.75" customHeight="1">
      <c r="A182" s="98" t="n">
        <v>47664</v>
      </c>
      <c r="B182" s="44" t="n"/>
      <c r="C182" s="44" t="n"/>
      <c r="D182" s="44" t="n"/>
      <c r="E182" s="28" t="n"/>
      <c r="F182" s="44" t="n"/>
      <c r="G182" s="40" t="n"/>
      <c r="H182" s="28" t="n"/>
      <c r="I182" s="40" t="n"/>
      <c r="J182" s="44" t="n"/>
      <c r="K182" s="28">
        <f>Table6[[#This Row],[ (T/B) SAR]]+Table6[[#This Row],[ (S/S) SAR]]</f>
        <v/>
      </c>
      <c r="L182" s="45" t="n"/>
      <c r="M182" s="46" t="n"/>
      <c r="N182" s="46" t="n"/>
      <c r="O182" s="40" t="n"/>
      <c r="P182" s="3">
        <f>Table6[[#This Row],[ (S/S) SAR]]-Table6[[#This Row],[(S/S) AJD]]</f>
        <v/>
      </c>
      <c r="Q182" s="40" t="n"/>
      <c r="R182" s="3">
        <f>Table6[[#This Row],[ (T/B) SAR]]-Table6[[#This Row],[(T/B) AJD]]</f>
        <v/>
      </c>
      <c r="S182" s="3">
        <f>Table6[[#This Row],[S/S_CON.]]+Table6[[#This Row],[T/B-CON.]]</f>
        <v/>
      </c>
      <c r="T182" s="3">
        <f>O182+Q182</f>
        <v/>
      </c>
      <c r="U182" s="44" t="n"/>
      <c r="V182" s="44" t="n"/>
      <c r="W182" s="3">
        <f>U182+V182</f>
        <v/>
      </c>
      <c r="X182" s="3">
        <f>T182-W182</f>
        <v/>
      </c>
      <c r="Y182" s="44" t="n"/>
      <c r="Z182" s="45" t="n"/>
      <c r="AA182" s="3">
        <f>Table6[[#This Row],[(RESV. STORGE) AJD]]/10</f>
        <v/>
      </c>
      <c r="AB182" s="3">
        <f>IF(TRIM(Z182)="",,(Z182-Z181)/1000)</f>
        <v/>
      </c>
      <c r="AC182" s="5" t="n"/>
      <c r="AD182" s="40">
        <f>(Table6[[#This Row],[( S/S+T/B) AJD]]*1000)-((Table6[[#This Row],[(STORGE DIFF.) AJD]]*1000)+Table6[[#This Row],[AJD_Evaporation]]+(Table6[[#This Row],[(A/B + A/S) AJD]]*1000))</f>
        <v/>
      </c>
      <c r="AE182" s="44" t="n"/>
      <c r="AF182" s="45" t="n"/>
      <c r="AG182" s="45" t="n"/>
      <c r="AH182" s="6">
        <f>Table6[[#This Row],[ (RESV. STORGE) BER]]/10</f>
        <v/>
      </c>
      <c r="AI182" s="44" t="n"/>
      <c r="AJ182" s="45">
        <f>Table6[[#This Row],[(A/B) AJD]]-TABL12345[[#This Row],[BER_IN]]</f>
        <v/>
      </c>
      <c r="AK182" s="45" t="n"/>
      <c r="AL182" s="45" t="n"/>
      <c r="AM182" s="32" t="n"/>
      <c r="AN182" s="32">
        <f>Table6[[#This Row],[ (RESV. STORGE) SER]]/10</f>
        <v/>
      </c>
      <c r="AO182" s="68" t="n"/>
      <c r="AP182" s="99">
        <f>Table6[[#This Row],[(A/S) AJD]]-Table6[[#This Row],[SER_IN]]</f>
        <v/>
      </c>
    </row>
    <row r="183" ht="18.75" customHeight="1">
      <c r="A183" s="98" t="n">
        <v>47665</v>
      </c>
      <c r="B183" s="41" t="n"/>
      <c r="C183" s="41" t="n"/>
      <c r="D183" s="41" t="n"/>
      <c r="E183" s="41" t="n"/>
      <c r="F183" s="41" t="n"/>
      <c r="G183" s="39" t="n"/>
      <c r="H183" s="28" t="n"/>
      <c r="I183" s="39" t="n"/>
      <c r="J183" s="39" t="n"/>
      <c r="K183" s="28">
        <f>Table6[[#This Row],[ (T/B) SAR]]+Table6[[#This Row],[ (S/S) SAR]]</f>
        <v/>
      </c>
      <c r="L183" s="41" t="n"/>
      <c r="M183" s="42" t="n"/>
      <c r="N183" s="42" t="n"/>
      <c r="O183" s="39" t="n"/>
      <c r="P183" s="12">
        <f>Table6[[#This Row],[ (S/S) SAR]]-Table6[[#This Row],[(S/S) AJD]]</f>
        <v/>
      </c>
      <c r="Q183" s="39" t="n"/>
      <c r="R183" s="12">
        <f>Table6[[#This Row],[ (T/B) SAR]]-Table6[[#This Row],[(T/B) AJD]]</f>
        <v/>
      </c>
      <c r="S183" s="12">
        <f>Table6[[#This Row],[S/S_CON.]]+Table6[[#This Row],[T/B-CON.]]</f>
        <v/>
      </c>
      <c r="T183" s="12">
        <f>O183+Q183</f>
        <v/>
      </c>
      <c r="U183" s="41" t="n"/>
      <c r="V183" s="41" t="n"/>
      <c r="W183" s="12">
        <f>U183+V183</f>
        <v/>
      </c>
      <c r="X183" s="12">
        <f>T183-W183</f>
        <v/>
      </c>
      <c r="Y183" s="41" t="n"/>
      <c r="Z183" s="43" t="n"/>
      <c r="AA183" s="3">
        <f>Table6[[#This Row],[(RESV. STORGE) AJD]]/10</f>
        <v/>
      </c>
      <c r="AB183" s="3">
        <f>IF(TRIM(Z183)="",,(Z183-Z182)/1000)</f>
        <v/>
      </c>
      <c r="AC183" s="5" t="n"/>
      <c r="AD183" s="39">
        <f>(Table6[[#This Row],[( S/S+T/B) AJD]]*1000)-((Table6[[#This Row],[(STORGE DIFF.) AJD]]*1000)+Table6[[#This Row],[AJD_Evaporation]]+(Table6[[#This Row],[(A/B + A/S) AJD]]*1000))</f>
        <v/>
      </c>
      <c r="AE183" s="41" t="n"/>
      <c r="AF183" s="43" t="n"/>
      <c r="AG183" s="43" t="n"/>
      <c r="AH183" s="6">
        <f>Table6[[#This Row],[ (RESV. STORGE) BER]]/10</f>
        <v/>
      </c>
      <c r="AI183" s="41" t="n"/>
      <c r="AJ183" s="43">
        <f>Table6[[#This Row],[(A/B) AJD]]-TABL12345[[#This Row],[BER_IN]]</f>
        <v/>
      </c>
      <c r="AK183" s="43" t="n"/>
      <c r="AL183" s="43" t="n"/>
      <c r="AM183" s="32" t="n"/>
      <c r="AN183" s="32">
        <f>Table6[[#This Row],[ (RESV. STORGE) SER]]/10</f>
        <v/>
      </c>
      <c r="AO183" s="68" t="n"/>
      <c r="AP183" s="99">
        <f>Table6[[#This Row],[(A/S) AJD]]-Table6[[#This Row],[SER_IN]]</f>
        <v/>
      </c>
    </row>
    <row r="184" ht="18.75" customHeight="1">
      <c r="A184" s="98" t="n">
        <v>47666</v>
      </c>
      <c r="B184" s="44" t="n"/>
      <c r="C184" s="44" t="n"/>
      <c r="D184" s="44" t="n"/>
      <c r="E184" s="44" t="n"/>
      <c r="F184" s="44" t="n"/>
      <c r="G184" s="40" t="n"/>
      <c r="H184" s="28" t="n"/>
      <c r="I184" s="40" t="n"/>
      <c r="J184" s="44" t="n"/>
      <c r="K184" s="28">
        <f>Table6[[#This Row],[ (T/B) SAR]]+Table6[[#This Row],[ (S/S) SAR]]</f>
        <v/>
      </c>
      <c r="L184" s="45" t="n"/>
      <c r="M184" s="46" t="n"/>
      <c r="N184" s="46" t="n"/>
      <c r="O184" s="40" t="n"/>
      <c r="P184" s="12">
        <f>Table6[[#This Row],[ (S/S) SAR]]-Table6[[#This Row],[(S/S) AJD]]</f>
        <v/>
      </c>
      <c r="Q184" s="40" t="n"/>
      <c r="R184" s="12">
        <f>Table6[[#This Row],[ (T/B) SAR]]-Table6[[#This Row],[(T/B) AJD]]</f>
        <v/>
      </c>
      <c r="S184" s="12">
        <f>Table6[[#This Row],[S/S_CON.]]+Table6[[#This Row],[T/B-CON.]]</f>
        <v/>
      </c>
      <c r="T184" s="12">
        <f>O184+Q184</f>
        <v/>
      </c>
      <c r="U184" s="44" t="n"/>
      <c r="V184" s="44" t="n"/>
      <c r="W184" s="12">
        <f>U184+V184</f>
        <v/>
      </c>
      <c r="X184" s="12">
        <f>T184-W184</f>
        <v/>
      </c>
      <c r="Y184" s="44" t="n"/>
      <c r="Z184" s="45" t="n"/>
      <c r="AA184" s="3">
        <f>Table6[[#This Row],[(RESV. STORGE) AJD]]/10</f>
        <v/>
      </c>
      <c r="AB184" s="3">
        <f>IF(TRIM(Z184)="",,(Z184-Z183)/1000)</f>
        <v/>
      </c>
      <c r="AC184" s="5" t="n"/>
      <c r="AD184" s="40">
        <f>(Table6[[#This Row],[( S/S+T/B) AJD]]*1000)-((Table6[[#This Row],[(STORGE DIFF.) AJD]]*1000)+Table6[[#This Row],[AJD_Evaporation]]+(Table6[[#This Row],[(A/B + A/S) AJD]]*1000))</f>
        <v/>
      </c>
      <c r="AE184" s="44" t="n"/>
      <c r="AF184" s="45" t="n"/>
      <c r="AG184" s="45" t="n"/>
      <c r="AH184" s="6">
        <f>Table6[[#This Row],[ (RESV. STORGE) BER]]/10</f>
        <v/>
      </c>
      <c r="AI184" s="44" t="n"/>
      <c r="AJ184" s="45">
        <f>Table6[[#This Row],[(A/B) AJD]]-TABL12345[[#This Row],[BER_IN]]</f>
        <v/>
      </c>
      <c r="AK184" s="45" t="n"/>
      <c r="AL184" s="45" t="n"/>
      <c r="AM184" s="32" t="n"/>
      <c r="AN184" s="32">
        <f>Table6[[#This Row],[ (RESV. STORGE) SER]]/10</f>
        <v/>
      </c>
      <c r="AO184" s="68" t="n"/>
      <c r="AP184" s="99">
        <f>Table6[[#This Row],[(A/S) AJD]]-Table6[[#This Row],[SER_IN]]</f>
        <v/>
      </c>
    </row>
    <row r="185" ht="18.75" customHeight="1">
      <c r="A185" s="98" t="n">
        <v>47667</v>
      </c>
      <c r="B185" s="41" t="n"/>
      <c r="C185" s="41" t="n"/>
      <c r="D185" s="41" t="n"/>
      <c r="E185" s="41" t="n"/>
      <c r="F185" s="41" t="n"/>
      <c r="G185" s="39" t="n"/>
      <c r="H185" s="28" t="n"/>
      <c r="I185" s="39" t="n"/>
      <c r="J185" s="39" t="n"/>
      <c r="K185" s="28">
        <f>Table6[[#This Row],[ (T/B) SAR]]+Table6[[#This Row],[ (S/S) SAR]]</f>
        <v/>
      </c>
      <c r="L185" s="41" t="n"/>
      <c r="M185" s="42" t="n"/>
      <c r="N185" s="42" t="n"/>
      <c r="O185" s="39" t="n"/>
      <c r="P185" s="12">
        <f>Table6[[#This Row],[ (S/S) SAR]]-Table6[[#This Row],[(S/S) AJD]]</f>
        <v/>
      </c>
      <c r="Q185" s="39" t="n"/>
      <c r="R185" s="12">
        <f>Table6[[#This Row],[ (T/B) SAR]]-Table6[[#This Row],[(T/B) AJD]]</f>
        <v/>
      </c>
      <c r="S185" s="12">
        <f>Table6[[#This Row],[S/S_CON.]]+Table6[[#This Row],[T/B-CON.]]</f>
        <v/>
      </c>
      <c r="T185" s="12">
        <f>O185+Q185</f>
        <v/>
      </c>
      <c r="U185" s="41" t="n"/>
      <c r="V185" s="41" t="n"/>
      <c r="W185" s="12">
        <f>U185+V185</f>
        <v/>
      </c>
      <c r="X185" s="12">
        <f>T185-W185</f>
        <v/>
      </c>
      <c r="Y185" s="41" t="n"/>
      <c r="Z185" s="43" t="n"/>
      <c r="AA185" s="3">
        <f>Table6[[#This Row],[(RESV. STORGE) AJD]]/10</f>
        <v/>
      </c>
      <c r="AB185" s="3">
        <f>IF(TRIM(Z185)="",,(Z185-Z184)/1000)</f>
        <v/>
      </c>
      <c r="AC185" s="5" t="n"/>
      <c r="AD185" s="39">
        <f>(Table6[[#This Row],[( S/S+T/B) AJD]]*1000)-((Table6[[#This Row],[(STORGE DIFF.) AJD]]*1000)+Table6[[#This Row],[AJD_Evaporation]]+(Table6[[#This Row],[(A/B + A/S) AJD]]*1000))</f>
        <v/>
      </c>
      <c r="AE185" s="41" t="n"/>
      <c r="AF185" s="43" t="n"/>
      <c r="AG185" s="43" t="n"/>
      <c r="AH185" s="6">
        <f>Table6[[#This Row],[ (RESV. STORGE) BER]]/10</f>
        <v/>
      </c>
      <c r="AI185" s="41" t="n"/>
      <c r="AJ185" s="43">
        <f>Table6[[#This Row],[(A/B) AJD]]-TABL12345[[#This Row],[BER_IN]]</f>
        <v/>
      </c>
      <c r="AK185" s="43" t="n"/>
      <c r="AL185" s="43" t="n"/>
      <c r="AM185" s="32" t="n"/>
      <c r="AN185" s="32">
        <f>Table6[[#This Row],[ (RESV. STORGE) SER]]/10</f>
        <v/>
      </c>
      <c r="AO185" s="68" t="n"/>
      <c r="AP185" s="99">
        <f>Table6[[#This Row],[(A/S) AJD]]-Table6[[#This Row],[SER_IN]]</f>
        <v/>
      </c>
    </row>
    <row r="186" ht="18.75" customHeight="1">
      <c r="A186" s="98" t="n">
        <v>47668</v>
      </c>
      <c r="B186" s="44" t="n"/>
      <c r="C186" s="44" t="n"/>
      <c r="D186" s="44" t="n"/>
      <c r="E186" s="44" t="n"/>
      <c r="F186" s="44" t="n"/>
      <c r="G186" s="40" t="n"/>
      <c r="H186" s="28" t="n"/>
      <c r="I186" s="40" t="n"/>
      <c r="J186" s="44" t="n"/>
      <c r="K186" s="28">
        <f>Table6[[#This Row],[ (T/B) SAR]]+Table6[[#This Row],[ (S/S) SAR]]</f>
        <v/>
      </c>
      <c r="L186" s="45" t="n"/>
      <c r="M186" s="46" t="n"/>
      <c r="N186" s="46" t="n"/>
      <c r="O186" s="40" t="n"/>
      <c r="P186" s="12">
        <f>Table6[[#This Row],[ (S/S) SAR]]-Table6[[#This Row],[(S/S) AJD]]</f>
        <v/>
      </c>
      <c r="Q186" s="40" t="n"/>
      <c r="R186" s="12">
        <f>Table6[[#This Row],[ (T/B) SAR]]-Table6[[#This Row],[(T/B) AJD]]</f>
        <v/>
      </c>
      <c r="S186" s="12">
        <f>Table6[[#This Row],[S/S_CON.]]+Table6[[#This Row],[T/B-CON.]]</f>
        <v/>
      </c>
      <c r="T186" s="12">
        <f>O186+Q186</f>
        <v/>
      </c>
      <c r="U186" s="44" t="n"/>
      <c r="V186" s="44" t="n"/>
      <c r="W186" s="12">
        <f>U186+V186</f>
        <v/>
      </c>
      <c r="X186" s="12">
        <f>T186-W186</f>
        <v/>
      </c>
      <c r="Y186" s="44" t="n"/>
      <c r="Z186" s="45" t="n"/>
      <c r="AA186" s="3">
        <f>Table6[[#This Row],[(RESV. STORGE) AJD]]/10</f>
        <v/>
      </c>
      <c r="AB186" s="3">
        <f>IF(TRIM(Z186)="",,(Z186-Z185)/1000)</f>
        <v/>
      </c>
      <c r="AC186" s="5" t="n"/>
      <c r="AD186" s="40">
        <f>(Table6[[#This Row],[( S/S+T/B) AJD]]*1000)-((Table6[[#This Row],[(STORGE DIFF.) AJD]]*1000)+Table6[[#This Row],[AJD_Evaporation]]+(Table6[[#This Row],[(A/B + A/S) AJD]]*1000))</f>
        <v/>
      </c>
      <c r="AE186" s="44" t="n"/>
      <c r="AF186" s="45" t="n"/>
      <c r="AG186" s="45" t="n"/>
      <c r="AH186" s="6">
        <f>Table6[[#This Row],[ (RESV. STORGE) BER]]/10</f>
        <v/>
      </c>
      <c r="AI186" s="44" t="n"/>
      <c r="AJ186" s="45">
        <f>Table6[[#This Row],[(A/B) AJD]]-TABL12345[[#This Row],[BER_IN]]</f>
        <v/>
      </c>
      <c r="AK186" s="45" t="n"/>
      <c r="AL186" s="45" t="n"/>
      <c r="AM186" s="32" t="n"/>
      <c r="AN186" s="32">
        <f>Table6[[#This Row],[ (RESV. STORGE) SER]]/10</f>
        <v/>
      </c>
      <c r="AO186" s="68" t="n"/>
      <c r="AP186" s="99">
        <f>Table6[[#This Row],[(A/S) AJD]]-Table6[[#This Row],[SER_IN]]</f>
        <v/>
      </c>
    </row>
    <row r="187" ht="18.75" customHeight="1">
      <c r="A187" s="98" t="n">
        <v>47669</v>
      </c>
      <c r="B187" s="41" t="n"/>
      <c r="C187" s="41" t="n"/>
      <c r="D187" s="41" t="n"/>
      <c r="E187" s="41" t="n"/>
      <c r="F187" s="41" t="n"/>
      <c r="G187" s="39" t="n"/>
      <c r="H187" s="28" t="n"/>
      <c r="I187" s="39" t="n"/>
      <c r="J187" s="39" t="n"/>
      <c r="K187" s="28">
        <f>Table6[[#This Row],[ (T/B) SAR]]+Table6[[#This Row],[ (S/S) SAR]]</f>
        <v/>
      </c>
      <c r="L187" s="41" t="n"/>
      <c r="M187" s="42" t="n"/>
      <c r="N187" s="42" t="n"/>
      <c r="O187" s="39" t="n"/>
      <c r="P187" s="12">
        <f>Table6[[#This Row],[ (S/S) SAR]]-Table6[[#This Row],[(S/S) AJD]]</f>
        <v/>
      </c>
      <c r="Q187" s="39" t="n"/>
      <c r="R187" s="12">
        <f>Table6[[#This Row],[ (T/B) SAR]]-Table6[[#This Row],[(T/B) AJD]]</f>
        <v/>
      </c>
      <c r="S187" s="12">
        <f>Table6[[#This Row],[S/S_CON.]]+Table6[[#This Row],[T/B-CON.]]</f>
        <v/>
      </c>
      <c r="T187" s="12">
        <f>O187+Q187</f>
        <v/>
      </c>
      <c r="U187" s="41" t="n"/>
      <c r="V187" s="41" t="n"/>
      <c r="W187" s="10">
        <f>U187+V187</f>
        <v/>
      </c>
      <c r="X187" s="10">
        <f>T187-W187</f>
        <v/>
      </c>
      <c r="Y187" s="41" t="n"/>
      <c r="Z187" s="43" t="n"/>
      <c r="AA187" s="3">
        <f>Table6[[#This Row],[(RESV. STORGE) AJD]]/10</f>
        <v/>
      </c>
      <c r="AB187" s="3">
        <f>IF(TRIM(Z187)="",,(Z187-Z186)/1000)</f>
        <v/>
      </c>
      <c r="AC187" s="5" t="n"/>
      <c r="AD187" s="39">
        <f>(Table6[[#This Row],[( S/S+T/B) AJD]]*1000)-((Table6[[#This Row],[(STORGE DIFF.) AJD]]*1000)+Table6[[#This Row],[AJD_Evaporation]]+(Table6[[#This Row],[(A/B + A/S) AJD]]*1000))</f>
        <v/>
      </c>
      <c r="AE187" s="41" t="n"/>
      <c r="AF187" s="43" t="n"/>
      <c r="AG187" s="43" t="n"/>
      <c r="AH187" s="6">
        <f>Table6[[#This Row],[ (RESV. STORGE) BER]]/10</f>
        <v/>
      </c>
      <c r="AI187" s="41" t="n"/>
      <c r="AJ187" s="43">
        <f>Table6[[#This Row],[(A/B) AJD]]-TABL12345[[#This Row],[BER_IN]]</f>
        <v/>
      </c>
      <c r="AK187" s="43" t="n"/>
      <c r="AL187" s="43" t="n"/>
      <c r="AM187" s="32" t="n"/>
      <c r="AN187" s="32">
        <f>Table6[[#This Row],[ (RESV. STORGE) SER]]/10</f>
        <v/>
      </c>
      <c r="AO187" s="68" t="n"/>
      <c r="AP187" s="99">
        <f>Table6[[#This Row],[(A/S) AJD]]-Table6[[#This Row],[SER_IN]]</f>
        <v/>
      </c>
    </row>
    <row r="188" ht="18.75" customHeight="1">
      <c r="A188" s="98" t="n">
        <v>47670</v>
      </c>
      <c r="B188" s="44" t="n"/>
      <c r="C188" s="44" t="n"/>
      <c r="D188" s="44" t="n"/>
      <c r="E188" s="44" t="n"/>
      <c r="F188" s="44" t="n"/>
      <c r="G188" s="40" t="n"/>
      <c r="H188" s="28" t="n"/>
      <c r="I188" s="40" t="n"/>
      <c r="J188" s="44" t="n"/>
      <c r="K188" s="28">
        <f>Table6[[#This Row],[ (T/B) SAR]]+Table6[[#This Row],[ (S/S) SAR]]</f>
        <v/>
      </c>
      <c r="L188" s="45" t="n"/>
      <c r="M188" s="46" t="n"/>
      <c r="N188" s="46" t="n"/>
      <c r="O188" s="40" t="n"/>
      <c r="P188" s="12">
        <f>Table6[[#This Row],[ (S/S) SAR]]-Table6[[#This Row],[(S/S) AJD]]</f>
        <v/>
      </c>
      <c r="Q188" s="40" t="n"/>
      <c r="R188" s="12">
        <f>Table6[[#This Row],[ (T/B) SAR]]-Table6[[#This Row],[(T/B) AJD]]</f>
        <v/>
      </c>
      <c r="S188" s="12">
        <f>Table6[[#This Row],[S/S_CON.]]+Table6[[#This Row],[T/B-CON.]]</f>
        <v/>
      </c>
      <c r="T188" s="12">
        <f>O188+Q188</f>
        <v/>
      </c>
      <c r="U188" s="44" t="n"/>
      <c r="V188" s="44" t="n"/>
      <c r="W188" s="12">
        <f>U188+V188</f>
        <v/>
      </c>
      <c r="X188" s="12">
        <f>T188-W188</f>
        <v/>
      </c>
      <c r="Y188" s="44" t="n"/>
      <c r="Z188" s="45" t="n"/>
      <c r="AA188" s="3">
        <f>Table6[[#This Row],[(RESV. STORGE) AJD]]/10</f>
        <v/>
      </c>
      <c r="AB188" s="3">
        <f>IF(TRIM(Z188)="",,(Z188-Z187)/1000)</f>
        <v/>
      </c>
      <c r="AC188" s="5" t="n"/>
      <c r="AD188" s="40">
        <f>(Table6[[#This Row],[( S/S+T/B) AJD]]*1000)-((Table6[[#This Row],[(STORGE DIFF.) AJD]]*1000)+Table6[[#This Row],[AJD_Evaporation]]+(Table6[[#This Row],[(A/B + A/S) AJD]]*1000))</f>
        <v/>
      </c>
      <c r="AE188" s="44" t="n"/>
      <c r="AF188" s="45" t="n"/>
      <c r="AG188" s="45" t="n"/>
      <c r="AH188" s="6">
        <f>Table6[[#This Row],[ (RESV. STORGE) BER]]/10</f>
        <v/>
      </c>
      <c r="AI188" s="44" t="n"/>
      <c r="AJ188" s="45">
        <f>Table6[[#This Row],[(A/B) AJD]]-TABL12345[[#This Row],[BER_IN]]</f>
        <v/>
      </c>
      <c r="AK188" s="45" t="n"/>
      <c r="AL188" s="45" t="n"/>
      <c r="AM188" s="32" t="n"/>
      <c r="AN188" s="32">
        <f>Table6[[#This Row],[ (RESV. STORGE) SER]]/10</f>
        <v/>
      </c>
      <c r="AO188" s="68" t="n"/>
      <c r="AP188" s="99">
        <f>Table6[[#This Row],[(A/S) AJD]]-Table6[[#This Row],[SER_IN]]</f>
        <v/>
      </c>
    </row>
    <row r="189" ht="18.75" customHeight="1">
      <c r="A189" s="98" t="n">
        <v>47671</v>
      </c>
      <c r="B189" s="41" t="n"/>
      <c r="C189" s="41" t="n"/>
      <c r="D189" s="41" t="n"/>
      <c r="E189" s="41" t="n"/>
      <c r="F189" s="41" t="n"/>
      <c r="G189" s="39" t="n"/>
      <c r="H189" s="28" t="n"/>
      <c r="I189" s="39" t="n"/>
      <c r="J189" s="39" t="n"/>
      <c r="K189" s="28">
        <f>Table6[[#This Row],[ (T/B) SAR]]+Table6[[#This Row],[ (S/S) SAR]]</f>
        <v/>
      </c>
      <c r="L189" s="41" t="n"/>
      <c r="M189" s="42" t="n"/>
      <c r="N189" s="42" t="n"/>
      <c r="O189" s="39" t="n"/>
      <c r="P189" s="12">
        <f>Table6[[#This Row],[ (S/S) SAR]]-Table6[[#This Row],[(S/S) AJD]]</f>
        <v/>
      </c>
      <c r="Q189" s="39" t="n"/>
      <c r="R189" s="12">
        <f>Table6[[#This Row],[ (T/B) SAR]]-Table6[[#This Row],[(T/B) AJD]]</f>
        <v/>
      </c>
      <c r="S189" s="12">
        <f>Table6[[#This Row],[S/S_CON.]]+Table6[[#This Row],[T/B-CON.]]</f>
        <v/>
      </c>
      <c r="T189" s="12">
        <f>O189+Q189</f>
        <v/>
      </c>
      <c r="U189" s="41" t="n"/>
      <c r="V189" s="41" t="n"/>
      <c r="W189" s="12">
        <f>U189+V189</f>
        <v/>
      </c>
      <c r="X189" s="12">
        <f>T189-W189</f>
        <v/>
      </c>
      <c r="Y189" s="41" t="n"/>
      <c r="Z189" s="43" t="n"/>
      <c r="AA189" s="3">
        <f>Table6[[#This Row],[(RESV. STORGE) AJD]]/10</f>
        <v/>
      </c>
      <c r="AB189" s="3">
        <f>IF(TRIM(Z189)="",,(Z189-Z188)/1000)</f>
        <v/>
      </c>
      <c r="AC189" s="5" t="n"/>
      <c r="AD189" s="39">
        <f>(Table6[[#This Row],[( S/S+T/B) AJD]]*1000)-((Table6[[#This Row],[(STORGE DIFF.) AJD]]*1000)+Table6[[#This Row],[AJD_Evaporation]]+(Table6[[#This Row],[(A/B + A/S) AJD]]*1000))</f>
        <v/>
      </c>
      <c r="AE189" s="41" t="n"/>
      <c r="AF189" s="43" t="n"/>
      <c r="AG189" s="43" t="n"/>
      <c r="AH189" s="6">
        <f>Table6[[#This Row],[ (RESV. STORGE) BER]]/10</f>
        <v/>
      </c>
      <c r="AI189" s="41" t="n"/>
      <c r="AJ189" s="43">
        <f>Table6[[#This Row],[(A/B) AJD]]-TABL12345[[#This Row],[BER_IN]]</f>
        <v/>
      </c>
      <c r="AK189" s="43" t="n"/>
      <c r="AL189" s="43" t="n"/>
      <c r="AM189" s="32" t="n"/>
      <c r="AN189" s="32">
        <f>Table6[[#This Row],[ (RESV. STORGE) SER]]/10</f>
        <v/>
      </c>
      <c r="AO189" s="68" t="n"/>
      <c r="AP189" s="99">
        <f>Table6[[#This Row],[(A/S) AJD]]-Table6[[#This Row],[SER_IN]]</f>
        <v/>
      </c>
    </row>
    <row r="190" ht="18.75" customHeight="1">
      <c r="A190" s="98" t="n">
        <v>47672</v>
      </c>
      <c r="B190" s="44" t="n"/>
      <c r="C190" s="44" t="n"/>
      <c r="D190" s="44" t="n"/>
      <c r="E190" s="44" t="n"/>
      <c r="F190" s="44" t="n"/>
      <c r="G190" s="40" t="n"/>
      <c r="H190" s="28" t="n"/>
      <c r="I190" s="40" t="n"/>
      <c r="J190" s="44" t="n"/>
      <c r="K190" s="28">
        <f>Table6[[#This Row],[ (T/B) SAR]]+Table6[[#This Row],[ (S/S) SAR]]</f>
        <v/>
      </c>
      <c r="L190" s="45" t="n"/>
      <c r="M190" s="46" t="n"/>
      <c r="N190" s="46" t="n"/>
      <c r="O190" s="40" t="n"/>
      <c r="P190" s="12">
        <f>Table6[[#This Row],[ (S/S) SAR]]-Table6[[#This Row],[(S/S) AJD]]</f>
        <v/>
      </c>
      <c r="Q190" s="40" t="n"/>
      <c r="R190" s="12">
        <f>Table6[[#This Row],[ (T/B) SAR]]-Table6[[#This Row],[(T/B) AJD]]</f>
        <v/>
      </c>
      <c r="S190" s="12">
        <f>Table6[[#This Row],[S/S_CON.]]+Table6[[#This Row],[T/B-CON.]]</f>
        <v/>
      </c>
      <c r="T190" s="12">
        <f>O190+Q190</f>
        <v/>
      </c>
      <c r="U190" s="44" t="n"/>
      <c r="V190" s="44" t="n"/>
      <c r="W190" s="12">
        <f>U190+V190</f>
        <v/>
      </c>
      <c r="X190" s="12">
        <f>T190-W190</f>
        <v/>
      </c>
      <c r="Y190" s="44" t="n"/>
      <c r="Z190" s="45" t="n"/>
      <c r="AA190" s="3">
        <f>Table6[[#This Row],[(RESV. STORGE) AJD]]/10</f>
        <v/>
      </c>
      <c r="AB190" s="3">
        <f>IF(TRIM(Z190)="",,(Z190-Z189)/1000)</f>
        <v/>
      </c>
      <c r="AC190" s="5" t="n"/>
      <c r="AD190" s="40">
        <f>(Table6[[#This Row],[( S/S+T/B) AJD]]*1000)-((Table6[[#This Row],[(STORGE DIFF.) AJD]]*1000)+Table6[[#This Row],[AJD_Evaporation]]+(Table6[[#This Row],[(A/B + A/S) AJD]]*1000))</f>
        <v/>
      </c>
      <c r="AE190" s="44" t="n"/>
      <c r="AF190" s="45" t="n"/>
      <c r="AG190" s="45" t="n"/>
      <c r="AH190" s="6">
        <f>Table6[[#This Row],[ (RESV. STORGE) BER]]/10</f>
        <v/>
      </c>
      <c r="AI190" s="44" t="n"/>
      <c r="AJ190" s="45">
        <f>Table6[[#This Row],[(A/B) AJD]]-TABL12345[[#This Row],[BER_IN]]</f>
        <v/>
      </c>
      <c r="AK190" s="45" t="n"/>
      <c r="AL190" s="45" t="n"/>
      <c r="AM190" s="32" t="n"/>
      <c r="AN190" s="32">
        <f>Table6[[#This Row],[ (RESV. STORGE) SER]]/10</f>
        <v/>
      </c>
      <c r="AO190" s="68" t="n"/>
      <c r="AP190" s="99">
        <f>Table6[[#This Row],[(A/S) AJD]]-Table6[[#This Row],[SER_IN]]</f>
        <v/>
      </c>
    </row>
    <row r="191" ht="18.75" customHeight="1">
      <c r="A191" s="98" t="n">
        <v>47673</v>
      </c>
      <c r="B191" s="41" t="n"/>
      <c r="C191" s="41" t="n"/>
      <c r="D191" s="41" t="n"/>
      <c r="E191" s="41" t="n"/>
      <c r="F191" s="41" t="n"/>
      <c r="G191" s="39" t="n"/>
      <c r="H191" s="28" t="n"/>
      <c r="I191" s="39" t="n"/>
      <c r="J191" s="39" t="n"/>
      <c r="K191" s="28">
        <f>Table6[[#This Row],[ (T/B) SAR]]+Table6[[#This Row],[ (S/S) SAR]]</f>
        <v/>
      </c>
      <c r="L191" s="41" t="n"/>
      <c r="M191" s="42" t="n"/>
      <c r="N191" s="42" t="n"/>
      <c r="O191" s="39" t="n"/>
      <c r="P191" s="12">
        <f>Table6[[#This Row],[ (S/S) SAR]]-Table6[[#This Row],[(S/S) AJD]]</f>
        <v/>
      </c>
      <c r="Q191" s="39" t="n"/>
      <c r="R191" s="12">
        <f>Table6[[#This Row],[ (T/B) SAR]]-Table6[[#This Row],[(T/B) AJD]]</f>
        <v/>
      </c>
      <c r="S191" s="12">
        <f>Table6[[#This Row],[S/S_CON.]]+Table6[[#This Row],[T/B-CON.]]</f>
        <v/>
      </c>
      <c r="T191" s="12">
        <f>O191+Q191</f>
        <v/>
      </c>
      <c r="U191" s="41" t="n"/>
      <c r="V191" s="41" t="n"/>
      <c r="W191" s="12">
        <f>U191+V191</f>
        <v/>
      </c>
      <c r="X191" s="12">
        <f>T191-W191</f>
        <v/>
      </c>
      <c r="Y191" s="41" t="n"/>
      <c r="Z191" s="43" t="n"/>
      <c r="AA191" s="3">
        <f>Table6[[#This Row],[(RESV. STORGE) AJD]]/10</f>
        <v/>
      </c>
      <c r="AB191" s="3">
        <f>IF(TRIM(Z191)="",,(Z191-Z190)/1000)</f>
        <v/>
      </c>
      <c r="AC191" s="5" t="n"/>
      <c r="AD191" s="39">
        <f>(Table6[[#This Row],[( S/S+T/B) AJD]]*1000)-((Table6[[#This Row],[(STORGE DIFF.) AJD]]*1000)+Table6[[#This Row],[AJD_Evaporation]]+(Table6[[#This Row],[(A/B + A/S) AJD]]*1000))</f>
        <v/>
      </c>
      <c r="AE191" s="41" t="n"/>
      <c r="AF191" s="43" t="n"/>
      <c r="AG191" s="43" t="n"/>
      <c r="AH191" s="6">
        <f>Table6[[#This Row],[ (RESV. STORGE) BER]]/10</f>
        <v/>
      </c>
      <c r="AI191" s="41" t="n"/>
      <c r="AJ191" s="43">
        <f>Table6[[#This Row],[(A/B) AJD]]-TABL12345[[#This Row],[BER_IN]]</f>
        <v/>
      </c>
      <c r="AK191" s="43" t="n"/>
      <c r="AL191" s="43" t="n"/>
      <c r="AM191" s="32" t="n"/>
      <c r="AN191" s="32">
        <f>Table6[[#This Row],[ (RESV. STORGE) SER]]/10</f>
        <v/>
      </c>
      <c r="AO191" s="68" t="n"/>
      <c r="AP191" s="99">
        <f>Table6[[#This Row],[(A/S) AJD]]-Table6[[#This Row],[SER_IN]]</f>
        <v/>
      </c>
    </row>
    <row r="192" ht="18.75" customHeight="1">
      <c r="A192" s="98" t="n">
        <v>47674</v>
      </c>
      <c r="B192" s="44" t="n"/>
      <c r="C192" s="44" t="n"/>
      <c r="D192" s="44" t="n"/>
      <c r="E192" s="44" t="n"/>
      <c r="F192" s="44" t="n"/>
      <c r="G192" s="40" t="n"/>
      <c r="H192" s="28" t="n"/>
      <c r="I192" s="40" t="n"/>
      <c r="J192" s="44" t="n"/>
      <c r="K192" s="28">
        <f>Table6[[#This Row],[ (T/B) SAR]]+Table6[[#This Row],[ (S/S) SAR]]</f>
        <v/>
      </c>
      <c r="L192" s="45" t="n"/>
      <c r="M192" s="46" t="n"/>
      <c r="N192" s="46" t="n"/>
      <c r="O192" s="40" t="n"/>
      <c r="P192" s="12">
        <f>Table6[[#This Row],[ (S/S) SAR]]-Table6[[#This Row],[(S/S) AJD]]</f>
        <v/>
      </c>
      <c r="Q192" s="40" t="n"/>
      <c r="R192" s="12">
        <f>Table6[[#This Row],[ (T/B) SAR]]-Table6[[#This Row],[(T/B) AJD]]</f>
        <v/>
      </c>
      <c r="S192" s="12">
        <f>Table6[[#This Row],[S/S_CON.]]+Table6[[#This Row],[T/B-CON.]]</f>
        <v/>
      </c>
      <c r="T192" s="12">
        <f>O192+Q192</f>
        <v/>
      </c>
      <c r="U192" s="44" t="n"/>
      <c r="V192" s="44" t="n"/>
      <c r="W192" s="12">
        <f>U192+V192</f>
        <v/>
      </c>
      <c r="X192" s="12">
        <f>T192-W192</f>
        <v/>
      </c>
      <c r="Y192" s="44" t="n"/>
      <c r="Z192" s="45" t="n"/>
      <c r="AA192" s="3">
        <f>Table6[[#This Row],[(RESV. STORGE) AJD]]/10</f>
        <v/>
      </c>
      <c r="AB192" s="3">
        <f>IF(TRIM(Z192)="",,(Z192-Z191)/1000)</f>
        <v/>
      </c>
      <c r="AC192" s="5" t="n"/>
      <c r="AD192" s="40">
        <f>(Table6[[#This Row],[( S/S+T/B) AJD]]*1000)-((Table6[[#This Row],[(STORGE DIFF.) AJD]]*1000)+Table6[[#This Row],[AJD_Evaporation]]+(Table6[[#This Row],[(A/B + A/S) AJD]]*1000))</f>
        <v/>
      </c>
      <c r="AE192" s="44" t="n"/>
      <c r="AF192" s="45" t="n"/>
      <c r="AG192" s="45" t="n"/>
      <c r="AH192" s="6">
        <f>Table6[[#This Row],[ (RESV. STORGE) BER]]/10</f>
        <v/>
      </c>
      <c r="AI192" s="44" t="n"/>
      <c r="AJ192" s="45">
        <f>Table6[[#This Row],[(A/B) AJD]]-TABL12345[[#This Row],[BER_IN]]</f>
        <v/>
      </c>
      <c r="AK192" s="45" t="n"/>
      <c r="AL192" s="45" t="n"/>
      <c r="AM192" s="32" t="n"/>
      <c r="AN192" s="32">
        <f>Table6[[#This Row],[ (RESV. STORGE) SER]]/10</f>
        <v/>
      </c>
      <c r="AO192" s="68" t="n"/>
      <c r="AP192" s="99">
        <f>Table6[[#This Row],[(A/S) AJD]]-Table6[[#This Row],[SER_IN]]</f>
        <v/>
      </c>
    </row>
    <row r="193" ht="18.75" customHeight="1">
      <c r="A193" s="98" t="n">
        <v>47675</v>
      </c>
      <c r="B193" s="41" t="n"/>
      <c r="C193" s="41" t="n"/>
      <c r="D193" s="41" t="n"/>
      <c r="E193" s="41" t="n"/>
      <c r="F193" s="41" t="n"/>
      <c r="G193" s="39" t="n"/>
      <c r="H193" s="28" t="n"/>
      <c r="I193" s="39" t="n"/>
      <c r="J193" s="39" t="n"/>
      <c r="K193" s="28">
        <f>Table6[[#This Row],[ (T/B) SAR]]+Table6[[#This Row],[ (S/S) SAR]]</f>
        <v/>
      </c>
      <c r="L193" s="41" t="n"/>
      <c r="M193" s="42" t="n"/>
      <c r="N193" s="42" t="n"/>
      <c r="O193" s="39" t="n"/>
      <c r="P193" s="12">
        <f>Table6[[#This Row],[ (S/S) SAR]]-Table6[[#This Row],[(S/S) AJD]]</f>
        <v/>
      </c>
      <c r="Q193" s="39" t="n"/>
      <c r="R193" s="12">
        <f>Table6[[#This Row],[ (T/B) SAR]]-Table6[[#This Row],[(T/B) AJD]]</f>
        <v/>
      </c>
      <c r="S193" s="12">
        <f>Table6[[#This Row],[S/S_CON.]]+Table6[[#This Row],[T/B-CON.]]</f>
        <v/>
      </c>
      <c r="T193" s="12">
        <f>O193+Q193</f>
        <v/>
      </c>
      <c r="U193" s="41" t="n"/>
      <c r="V193" s="41" t="n"/>
      <c r="W193" s="12">
        <f>U193+V193</f>
        <v/>
      </c>
      <c r="X193" s="12">
        <f>T193-W193</f>
        <v/>
      </c>
      <c r="Y193" s="41" t="n"/>
      <c r="Z193" s="43" t="n"/>
      <c r="AA193" s="3">
        <f>Table6[[#This Row],[(RESV. STORGE) AJD]]/10</f>
        <v/>
      </c>
      <c r="AB193" s="3">
        <f>IF(TRIM(Z193)="",,(Z193-Z192)/1000)</f>
        <v/>
      </c>
      <c r="AC193" s="5" t="n"/>
      <c r="AD193" s="39">
        <f>(Table6[[#This Row],[( S/S+T/B) AJD]]*1000)-((Table6[[#This Row],[(STORGE DIFF.) AJD]]*1000)+Table6[[#This Row],[AJD_Evaporation]]+(Table6[[#This Row],[(A/B + A/S) AJD]]*1000))</f>
        <v/>
      </c>
      <c r="AE193" s="41" t="n"/>
      <c r="AF193" s="43" t="n"/>
      <c r="AG193" s="68" t="n"/>
      <c r="AH193" s="6">
        <f>Table6[[#This Row],[ (RESV. STORGE) BER]]/10</f>
        <v/>
      </c>
      <c r="AI193" s="41" t="n"/>
      <c r="AJ193" s="68">
        <f>Table6[[#This Row],[(A/B) AJD]]-TABL12345[[#This Row],[BER_IN]]</f>
        <v/>
      </c>
      <c r="AK193" s="43" t="n"/>
      <c r="AL193" s="43" t="n"/>
      <c r="AM193" s="32" t="n"/>
      <c r="AN193" s="32">
        <f>Table6[[#This Row],[ (RESV. STORGE) SER]]/10</f>
        <v/>
      </c>
      <c r="AO193" s="68" t="n"/>
      <c r="AP193" s="99">
        <f>Table6[[#This Row],[(A/S) AJD]]-Table6[[#This Row],[SER_IN]]</f>
        <v/>
      </c>
    </row>
    <row r="194" ht="18.75" customHeight="1">
      <c r="A194" s="98" t="n">
        <v>47676</v>
      </c>
      <c r="B194" s="44" t="n"/>
      <c r="C194" s="44" t="n"/>
      <c r="D194" s="44" t="n"/>
      <c r="E194" s="44" t="n"/>
      <c r="F194" s="44" t="n"/>
      <c r="G194" s="40" t="n"/>
      <c r="H194" s="28" t="n"/>
      <c r="I194" s="40" t="n"/>
      <c r="J194" s="44" t="n"/>
      <c r="K194" s="28">
        <f>Table6[[#This Row],[ (T/B) SAR]]+Table6[[#This Row],[ (S/S) SAR]]</f>
        <v/>
      </c>
      <c r="L194" s="45" t="n"/>
      <c r="M194" s="46" t="n"/>
      <c r="N194" s="46" t="n"/>
      <c r="O194" s="40" t="n"/>
      <c r="P194" s="12">
        <f>Table6[[#This Row],[ (S/S) SAR]]-Table6[[#This Row],[(S/S) AJD]]</f>
        <v/>
      </c>
      <c r="Q194" s="40" t="n"/>
      <c r="R194" s="12">
        <f>Table6[[#This Row],[ (T/B) SAR]]-Table6[[#This Row],[(T/B) AJD]]</f>
        <v/>
      </c>
      <c r="S194" s="12">
        <f>Table6[[#This Row],[S/S_CON.]]+Table6[[#This Row],[T/B-CON.]]</f>
        <v/>
      </c>
      <c r="T194" s="12">
        <f>O194+Q194</f>
        <v/>
      </c>
      <c r="U194" s="44" t="n"/>
      <c r="V194" s="44" t="n"/>
      <c r="W194" s="12">
        <f>U194+V194</f>
        <v/>
      </c>
      <c r="X194" s="12">
        <f>T194-W194</f>
        <v/>
      </c>
      <c r="Y194" s="44" t="n"/>
      <c r="Z194" s="45" t="n"/>
      <c r="AA194" s="3">
        <f>Table6[[#This Row],[(RESV. STORGE) AJD]]/10</f>
        <v/>
      </c>
      <c r="AB194" s="3">
        <f>IF(TRIM(Z194)="",,(Z194-Z193)/1000)</f>
        <v/>
      </c>
      <c r="AC194" s="5" t="n"/>
      <c r="AD194" s="40">
        <f>(Table6[[#This Row],[( S/S+T/B) AJD]]*1000)-((Table6[[#This Row],[(STORGE DIFF.) AJD]]*1000)+Table6[[#This Row],[AJD_Evaporation]]+(Table6[[#This Row],[(A/B + A/S) AJD]]*1000))</f>
        <v/>
      </c>
      <c r="AE194" s="44" t="n"/>
      <c r="AF194" s="45" t="n"/>
      <c r="AG194" s="45" t="n"/>
      <c r="AH194" s="6">
        <f>Table6[[#This Row],[ (RESV. STORGE) BER]]/10</f>
        <v/>
      </c>
      <c r="AI194" s="44" t="n"/>
      <c r="AJ194" s="45">
        <f>Table6[[#This Row],[(A/B) AJD]]-TABL12345[[#This Row],[BER_IN]]</f>
        <v/>
      </c>
      <c r="AK194" s="45" t="n"/>
      <c r="AL194" s="45" t="n"/>
      <c r="AM194" s="32" t="n"/>
      <c r="AN194" s="32">
        <f>Table6[[#This Row],[ (RESV. STORGE) SER]]/10</f>
        <v/>
      </c>
      <c r="AO194" s="68" t="n"/>
      <c r="AP194" s="99">
        <f>Table6[[#This Row],[(A/S) AJD]]-Table6[[#This Row],[SER_IN]]</f>
        <v/>
      </c>
    </row>
    <row r="195" ht="18.75" customHeight="1">
      <c r="A195" s="98" t="n">
        <v>47677</v>
      </c>
      <c r="B195" s="41" t="n"/>
      <c r="C195" s="41" t="n"/>
      <c r="D195" s="41" t="n"/>
      <c r="E195" s="41" t="n"/>
      <c r="F195" s="41" t="n"/>
      <c r="G195" s="39" t="n"/>
      <c r="H195" s="28" t="n"/>
      <c r="I195" s="39" t="n"/>
      <c r="J195" s="39" t="n"/>
      <c r="K195" s="28">
        <f>Table6[[#This Row],[ (T/B) SAR]]+Table6[[#This Row],[ (S/S) SAR]]</f>
        <v/>
      </c>
      <c r="L195" s="41" t="n"/>
      <c r="M195" s="42" t="n"/>
      <c r="N195" s="42" t="n"/>
      <c r="O195" s="39" t="n"/>
      <c r="P195" s="12">
        <f>Table6[[#This Row],[ (S/S) SAR]]-Table6[[#This Row],[(S/S) AJD]]</f>
        <v/>
      </c>
      <c r="Q195" s="39" t="n"/>
      <c r="R195" s="12">
        <f>Table6[[#This Row],[ (T/B) SAR]]-Table6[[#This Row],[(T/B) AJD]]</f>
        <v/>
      </c>
      <c r="S195" s="12">
        <f>Table6[[#This Row],[S/S_CON.]]+Table6[[#This Row],[T/B-CON.]]</f>
        <v/>
      </c>
      <c r="T195" s="12">
        <f>O195+Q195</f>
        <v/>
      </c>
      <c r="U195" s="41" t="n"/>
      <c r="V195" s="41" t="n"/>
      <c r="W195" s="12">
        <f>U195+V195</f>
        <v/>
      </c>
      <c r="X195" s="12">
        <f>T195-W195</f>
        <v/>
      </c>
      <c r="Y195" s="41" t="n"/>
      <c r="Z195" s="43" t="n"/>
      <c r="AA195" s="3">
        <f>Table6[[#This Row],[(RESV. STORGE) AJD]]/10</f>
        <v/>
      </c>
      <c r="AB195" s="3">
        <f>IF(TRIM(Z195)="",,(Z195-Z194)/1000)</f>
        <v/>
      </c>
      <c r="AC195" s="5" t="n"/>
      <c r="AD195" s="39">
        <f>(Table6[[#This Row],[( S/S+T/B) AJD]]*1000)-((Table6[[#This Row],[(STORGE DIFF.) AJD]]*1000)+Table6[[#This Row],[AJD_Evaporation]]+(Table6[[#This Row],[(A/B + A/S) AJD]]*1000))</f>
        <v/>
      </c>
      <c r="AE195" s="41" t="n"/>
      <c r="AF195" s="43" t="n"/>
      <c r="AG195" s="43" t="n"/>
      <c r="AH195" s="6">
        <f>Table6[[#This Row],[ (RESV. STORGE) BER]]/10</f>
        <v/>
      </c>
      <c r="AI195" s="41" t="n"/>
      <c r="AJ195" s="43">
        <f>Table6[[#This Row],[(A/B) AJD]]-TABL12345[[#This Row],[BER_IN]]</f>
        <v/>
      </c>
      <c r="AK195" s="43" t="n"/>
      <c r="AL195" s="43" t="n"/>
      <c r="AM195" s="32" t="n"/>
      <c r="AN195" s="32">
        <f>Table6[[#This Row],[ (RESV. STORGE) SER]]/10</f>
        <v/>
      </c>
      <c r="AO195" s="68" t="n"/>
      <c r="AP195" s="99">
        <f>Table6[[#This Row],[(A/S) AJD]]-Table6[[#This Row],[SER_IN]]</f>
        <v/>
      </c>
    </row>
    <row r="196" ht="18.75" customHeight="1">
      <c r="A196" s="98" t="n">
        <v>47678</v>
      </c>
      <c r="B196" s="44" t="n"/>
      <c r="C196" s="44" t="n"/>
      <c r="D196" s="44" t="n"/>
      <c r="E196" s="44" t="n"/>
      <c r="F196" s="44" t="n"/>
      <c r="G196" s="40" t="n"/>
      <c r="H196" s="28" t="n"/>
      <c r="I196" s="40" t="n"/>
      <c r="J196" s="44" t="n"/>
      <c r="K196" s="28">
        <f>Table6[[#This Row],[ (T/B) SAR]]+Table6[[#This Row],[ (S/S) SAR]]</f>
        <v/>
      </c>
      <c r="L196" s="45" t="n"/>
      <c r="M196" s="46" t="n"/>
      <c r="N196" s="46" t="n"/>
      <c r="O196" s="40" t="n"/>
      <c r="P196" s="12">
        <f>Table6[[#This Row],[ (S/S) SAR]]-Table6[[#This Row],[(S/S) AJD]]</f>
        <v/>
      </c>
      <c r="Q196" s="40" t="n"/>
      <c r="R196" s="12">
        <f>Table6[[#This Row],[ (T/B) SAR]]-Table6[[#This Row],[(T/B) AJD]]</f>
        <v/>
      </c>
      <c r="S196" s="12">
        <f>Table6[[#This Row],[S/S_CON.]]+Table6[[#This Row],[T/B-CON.]]</f>
        <v/>
      </c>
      <c r="T196" s="12">
        <f>O196+Q196</f>
        <v/>
      </c>
      <c r="U196" s="44" t="n"/>
      <c r="V196" s="44" t="n"/>
      <c r="W196" s="12">
        <f>U196+V196</f>
        <v/>
      </c>
      <c r="X196" s="12">
        <f>T196-W196</f>
        <v/>
      </c>
      <c r="Y196" s="44" t="n"/>
      <c r="Z196" s="45" t="n"/>
      <c r="AA196" s="3">
        <f>Table6[[#This Row],[(RESV. STORGE) AJD]]/10</f>
        <v/>
      </c>
      <c r="AB196" s="3">
        <f>IF(TRIM(Z196)="",,(Z196-Z195)/1000)</f>
        <v/>
      </c>
      <c r="AC196" s="5" t="n"/>
      <c r="AD196" s="40">
        <f>(Table6[[#This Row],[( S/S+T/B) AJD]]*1000)-((Table6[[#This Row],[(STORGE DIFF.) AJD]]*1000)+Table6[[#This Row],[AJD_Evaporation]]+(Table6[[#This Row],[(A/B + A/S) AJD]]*1000))</f>
        <v/>
      </c>
      <c r="AE196" s="44" t="n"/>
      <c r="AF196" s="45" t="n"/>
      <c r="AG196" s="45" t="n"/>
      <c r="AH196" s="6">
        <f>Table6[[#This Row],[ (RESV. STORGE) BER]]/10</f>
        <v/>
      </c>
      <c r="AI196" s="44" t="n"/>
      <c r="AJ196" s="45">
        <f>Table6[[#This Row],[(A/B) AJD]]-TABL12345[[#This Row],[BER_IN]]</f>
        <v/>
      </c>
      <c r="AK196" s="45" t="n"/>
      <c r="AL196" s="45" t="n"/>
      <c r="AM196" s="32" t="n"/>
      <c r="AN196" s="32">
        <f>Table6[[#This Row],[ (RESV. STORGE) SER]]/10</f>
        <v/>
      </c>
      <c r="AO196" s="68" t="n"/>
      <c r="AP196" s="99">
        <f>Table6[[#This Row],[(A/S) AJD]]-Table6[[#This Row],[SER_IN]]</f>
        <v/>
      </c>
    </row>
    <row r="197" ht="18.75" customHeight="1">
      <c r="A197" s="98" t="n">
        <v>47679</v>
      </c>
      <c r="B197" s="41" t="n"/>
      <c r="C197" s="41" t="n"/>
      <c r="D197" s="41" t="n"/>
      <c r="E197" s="41" t="n"/>
      <c r="F197" s="41" t="n"/>
      <c r="G197" s="39" t="n"/>
      <c r="H197" s="28" t="n"/>
      <c r="I197" s="39" t="n"/>
      <c r="J197" s="39" t="n"/>
      <c r="K197" s="28">
        <f>Table6[[#This Row],[ (T/B) SAR]]+Table6[[#This Row],[ (S/S) SAR]]</f>
        <v/>
      </c>
      <c r="L197" s="41" t="n"/>
      <c r="M197" s="42" t="n"/>
      <c r="N197" s="42" t="n"/>
      <c r="O197" s="39" t="n"/>
      <c r="P197" s="12">
        <f>Table6[[#This Row],[ (S/S) SAR]]-Table6[[#This Row],[(S/S) AJD]]</f>
        <v/>
      </c>
      <c r="Q197" s="39" t="n"/>
      <c r="R197" s="12">
        <f>Table6[[#This Row],[ (T/B) SAR]]-Table6[[#This Row],[(T/B) AJD]]</f>
        <v/>
      </c>
      <c r="S197" s="12">
        <f>Table6[[#This Row],[S/S_CON.]]+Table6[[#This Row],[T/B-CON.]]</f>
        <v/>
      </c>
      <c r="T197" s="12">
        <f>O197+Q197</f>
        <v/>
      </c>
      <c r="U197" s="41" t="n"/>
      <c r="V197" s="41" t="n"/>
      <c r="W197" s="12">
        <f>U197+V197</f>
        <v/>
      </c>
      <c r="X197" s="12">
        <f>T197-W197</f>
        <v/>
      </c>
      <c r="Y197" s="41" t="n"/>
      <c r="Z197" s="43" t="n"/>
      <c r="AA197" s="3">
        <f>Table6[[#This Row],[(RESV. STORGE) AJD]]/10</f>
        <v/>
      </c>
      <c r="AB197" s="3">
        <f>IF(TRIM(Z197)="",,(Z197-Z196)/1000)</f>
        <v/>
      </c>
      <c r="AC197" s="5" t="n"/>
      <c r="AD197" s="39">
        <f>(Table6[[#This Row],[( S/S+T/B) AJD]]*1000)-((Table6[[#This Row],[(STORGE DIFF.) AJD]]*1000)+Table6[[#This Row],[AJD_Evaporation]]+(Table6[[#This Row],[(A/B + A/S) AJD]]*1000))</f>
        <v/>
      </c>
      <c r="AE197" s="41" t="n"/>
      <c r="AF197" s="43" t="n"/>
      <c r="AG197" s="43" t="n"/>
      <c r="AH197" s="6">
        <f>Table6[[#This Row],[ (RESV. STORGE) BER]]/10</f>
        <v/>
      </c>
      <c r="AI197" s="41" t="n"/>
      <c r="AJ197" s="43">
        <f>Table6[[#This Row],[(A/B) AJD]]-TABL12345[[#This Row],[BER_IN]]</f>
        <v/>
      </c>
      <c r="AK197" s="43" t="n"/>
      <c r="AL197" s="43" t="n"/>
      <c r="AM197" s="32" t="n"/>
      <c r="AN197" s="32">
        <f>Table6[[#This Row],[ (RESV. STORGE) SER]]/10</f>
        <v/>
      </c>
      <c r="AO197" s="68" t="n"/>
      <c r="AP197" s="99">
        <f>Table6[[#This Row],[(A/S) AJD]]-Table6[[#This Row],[SER_IN]]</f>
        <v/>
      </c>
    </row>
    <row r="198" ht="18.75" customHeight="1">
      <c r="A198" s="98" t="n">
        <v>47680</v>
      </c>
      <c r="B198" s="44" t="n"/>
      <c r="C198" s="44" t="n"/>
      <c r="D198" s="44" t="n"/>
      <c r="E198" s="44" t="n"/>
      <c r="F198" s="44" t="n"/>
      <c r="G198" s="40" t="n"/>
      <c r="H198" s="28" t="n"/>
      <c r="I198" s="40" t="n"/>
      <c r="J198" s="44" t="n"/>
      <c r="K198" s="28">
        <f>Table6[[#This Row],[ (T/B) SAR]]+Table6[[#This Row],[ (S/S) SAR]]</f>
        <v/>
      </c>
      <c r="L198" s="45" t="n"/>
      <c r="M198" s="46" t="n"/>
      <c r="N198" s="46" t="n"/>
      <c r="O198" s="40" t="n"/>
      <c r="P198" s="12">
        <f>Table6[[#This Row],[ (S/S) SAR]]-Table6[[#This Row],[(S/S) AJD]]</f>
        <v/>
      </c>
      <c r="Q198" s="40" t="n"/>
      <c r="R198" s="12">
        <f>Table6[[#This Row],[ (T/B) SAR]]-Table6[[#This Row],[(T/B) AJD]]</f>
        <v/>
      </c>
      <c r="S198" s="12">
        <f>Table6[[#This Row],[S/S_CON.]]+Table6[[#This Row],[T/B-CON.]]</f>
        <v/>
      </c>
      <c r="T198" s="12">
        <f>O198+Q198</f>
        <v/>
      </c>
      <c r="U198" s="44" t="n"/>
      <c r="V198" s="44" t="n"/>
      <c r="W198" s="12">
        <f>U198+V198</f>
        <v/>
      </c>
      <c r="X198" s="12">
        <f>T198-W198</f>
        <v/>
      </c>
      <c r="Y198" s="44" t="n"/>
      <c r="Z198" s="45" t="n"/>
      <c r="AA198" s="3">
        <f>Table6[[#This Row],[(RESV. STORGE) AJD]]/10</f>
        <v/>
      </c>
      <c r="AB198" s="3">
        <f>IF(TRIM(Z198)="",,(Z198-Z197)/1000)</f>
        <v/>
      </c>
      <c r="AC198" s="5" t="n"/>
      <c r="AD198" s="40">
        <f>(Table6[[#This Row],[( S/S+T/B) AJD]]*1000)-((Table6[[#This Row],[(STORGE DIFF.) AJD]]*1000)+Table6[[#This Row],[AJD_Evaporation]]+(Table6[[#This Row],[(A/B + A/S) AJD]]*1000))</f>
        <v/>
      </c>
      <c r="AE198" s="44" t="n"/>
      <c r="AF198" s="45" t="n"/>
      <c r="AG198" s="45" t="n"/>
      <c r="AH198" s="6">
        <f>Table6[[#This Row],[ (RESV. STORGE) BER]]/10</f>
        <v/>
      </c>
      <c r="AI198" s="44" t="n"/>
      <c r="AJ198" s="45">
        <f>Table6[[#This Row],[(A/B) AJD]]-TABL12345[[#This Row],[BER_IN]]</f>
        <v/>
      </c>
      <c r="AK198" s="45" t="n"/>
      <c r="AL198" s="45" t="n"/>
      <c r="AM198" s="32" t="n"/>
      <c r="AN198" s="32">
        <f>Table6[[#This Row],[ (RESV. STORGE) SER]]/10</f>
        <v/>
      </c>
      <c r="AO198" s="68" t="n"/>
      <c r="AP198" s="99">
        <f>Table6[[#This Row],[(A/S) AJD]]-Table6[[#This Row],[SER_IN]]</f>
        <v/>
      </c>
    </row>
    <row r="199" ht="18.75" customHeight="1">
      <c r="A199" s="98" t="n">
        <v>47681</v>
      </c>
      <c r="B199" s="41" t="n"/>
      <c r="C199" s="41" t="n"/>
      <c r="D199" s="41" t="n"/>
      <c r="E199" s="41" t="n"/>
      <c r="F199" s="41" t="n"/>
      <c r="G199" s="39" t="n"/>
      <c r="H199" s="28" t="n"/>
      <c r="I199" s="39" t="n"/>
      <c r="J199" s="39" t="n"/>
      <c r="K199" s="28">
        <f>Table6[[#This Row],[ (T/B) SAR]]+Table6[[#This Row],[ (S/S) SAR]]</f>
        <v/>
      </c>
      <c r="L199" s="41" t="n"/>
      <c r="M199" s="42" t="n"/>
      <c r="N199" s="42" t="n"/>
      <c r="O199" s="39" t="n"/>
      <c r="P199" s="12">
        <f>Table6[[#This Row],[ (S/S) SAR]]-Table6[[#This Row],[(S/S) AJD]]</f>
        <v/>
      </c>
      <c r="Q199" s="39" t="n"/>
      <c r="R199" s="12">
        <f>Table6[[#This Row],[ (T/B) SAR]]-Table6[[#This Row],[(T/B) AJD]]</f>
        <v/>
      </c>
      <c r="S199" s="12">
        <f>Table6[[#This Row],[S/S_CON.]]+Table6[[#This Row],[T/B-CON.]]</f>
        <v/>
      </c>
      <c r="T199" s="12">
        <f>O199+Q199</f>
        <v/>
      </c>
      <c r="U199" s="41" t="n"/>
      <c r="V199" s="41" t="n"/>
      <c r="W199" s="12">
        <f>U199+V199</f>
        <v/>
      </c>
      <c r="X199" s="12">
        <f>T199-W199</f>
        <v/>
      </c>
      <c r="Y199" s="41" t="n"/>
      <c r="Z199" s="43" t="n"/>
      <c r="AA199" s="3">
        <f>Table6[[#This Row],[(RESV. STORGE) AJD]]/10</f>
        <v/>
      </c>
      <c r="AB199" s="3">
        <f>IF(TRIM(Z199)="",,(Z199-Z198)/1000)</f>
        <v/>
      </c>
      <c r="AC199" s="5" t="n"/>
      <c r="AD199" s="39">
        <f>(Table6[[#This Row],[( S/S+T/B) AJD]]*1000)-((Table6[[#This Row],[(STORGE DIFF.) AJD]]*1000)+Table6[[#This Row],[AJD_Evaporation]]+(Table6[[#This Row],[(A/B + A/S) AJD]]*1000))</f>
        <v/>
      </c>
      <c r="AE199" s="41" t="n"/>
      <c r="AF199" s="43" t="n"/>
      <c r="AG199" s="43" t="n"/>
      <c r="AH199" s="6">
        <f>Table6[[#This Row],[ (RESV. STORGE) BER]]/10</f>
        <v/>
      </c>
      <c r="AI199" s="41" t="n"/>
      <c r="AJ199" s="43">
        <f>Table6[[#This Row],[(A/B) AJD]]-TABL12345[[#This Row],[BER_IN]]</f>
        <v/>
      </c>
      <c r="AK199" s="43" t="n"/>
      <c r="AL199" s="43" t="n"/>
      <c r="AM199" s="32" t="n"/>
      <c r="AN199" s="32">
        <f>Table6[[#This Row],[ (RESV. STORGE) SER]]/10</f>
        <v/>
      </c>
      <c r="AO199" s="68" t="n"/>
      <c r="AP199" s="99">
        <f>Table6[[#This Row],[(A/S) AJD]]-Table6[[#This Row],[SER_IN]]</f>
        <v/>
      </c>
    </row>
    <row r="200" ht="18.75" customHeight="1">
      <c r="A200" s="98" t="n">
        <v>47682</v>
      </c>
      <c r="B200" s="44" t="n"/>
      <c r="C200" s="44" t="n"/>
      <c r="D200" s="44" t="n"/>
      <c r="E200" s="44" t="n"/>
      <c r="F200" s="44" t="n"/>
      <c r="G200" s="40" t="n"/>
      <c r="H200" s="28" t="n"/>
      <c r="I200" s="40" t="n"/>
      <c r="J200" s="44" t="n"/>
      <c r="K200" s="28">
        <f>Table6[[#This Row],[ (T/B) SAR]]+Table6[[#This Row],[ (S/S) SAR]]</f>
        <v/>
      </c>
      <c r="L200" s="45" t="n"/>
      <c r="M200" s="46" t="n"/>
      <c r="N200" s="46" t="n"/>
      <c r="O200" s="40" t="n"/>
      <c r="P200" s="12">
        <f>Table6[[#This Row],[ (S/S) SAR]]-Table6[[#This Row],[(S/S) AJD]]</f>
        <v/>
      </c>
      <c r="Q200" s="40" t="n"/>
      <c r="R200" s="12">
        <f>Table6[[#This Row],[ (T/B) SAR]]-Table6[[#This Row],[(T/B) AJD]]</f>
        <v/>
      </c>
      <c r="S200" s="12">
        <f>Table6[[#This Row],[S/S_CON.]]+Table6[[#This Row],[T/B-CON.]]</f>
        <v/>
      </c>
      <c r="T200" s="12">
        <f>O200+Q200</f>
        <v/>
      </c>
      <c r="U200" s="44" t="n"/>
      <c r="V200" s="44" t="n"/>
      <c r="W200" s="12">
        <f>U200+V200</f>
        <v/>
      </c>
      <c r="X200" s="12">
        <f>T200-W200</f>
        <v/>
      </c>
      <c r="Y200" s="44" t="n"/>
      <c r="Z200" s="45" t="n"/>
      <c r="AA200" s="3">
        <f>Table6[[#This Row],[(RESV. STORGE) AJD]]/10</f>
        <v/>
      </c>
      <c r="AB200" s="3">
        <f>IF(TRIM(Z200)="",,(Z200-Z199)/1000)</f>
        <v/>
      </c>
      <c r="AC200" s="5" t="n"/>
      <c r="AD200" s="40">
        <f>(Table6[[#This Row],[( S/S+T/B) AJD]]*1000)-((Table6[[#This Row],[(STORGE DIFF.) AJD]]*1000)+Table6[[#This Row],[AJD_Evaporation]]+(Table6[[#This Row],[(A/B + A/S) AJD]]*1000))</f>
        <v/>
      </c>
      <c r="AE200" s="44" t="n"/>
      <c r="AF200" s="45" t="n"/>
      <c r="AG200" s="45" t="n"/>
      <c r="AH200" s="6">
        <f>Table6[[#This Row],[ (RESV. STORGE) BER]]/10</f>
        <v/>
      </c>
      <c r="AI200" s="44" t="n"/>
      <c r="AJ200" s="45">
        <f>Table6[[#This Row],[(A/B) AJD]]-TABL12345[[#This Row],[BER_IN]]</f>
        <v/>
      </c>
      <c r="AK200" s="45" t="n"/>
      <c r="AL200" s="45" t="n"/>
      <c r="AM200" s="32" t="n"/>
      <c r="AN200" s="32">
        <f>Table6[[#This Row],[ (RESV. STORGE) SER]]/10</f>
        <v/>
      </c>
      <c r="AO200" s="68" t="n"/>
      <c r="AP200" s="99">
        <f>Table6[[#This Row],[(A/S) AJD]]-Table6[[#This Row],[SER_IN]]</f>
        <v/>
      </c>
    </row>
    <row r="201" ht="18.75" customHeight="1">
      <c r="A201" s="98" t="n">
        <v>47683</v>
      </c>
      <c r="B201" s="41" t="n"/>
      <c r="C201" s="41" t="n"/>
      <c r="D201" s="41" t="n"/>
      <c r="E201" s="41" t="n"/>
      <c r="F201" s="41" t="n"/>
      <c r="G201" s="39" t="n"/>
      <c r="H201" s="28" t="n"/>
      <c r="I201" s="39" t="n"/>
      <c r="J201" s="39" t="n"/>
      <c r="K201" s="28">
        <f>Table6[[#This Row],[ (T/B) SAR]]+Table6[[#This Row],[ (S/S) SAR]]</f>
        <v/>
      </c>
      <c r="L201" s="41" t="n"/>
      <c r="M201" s="42" t="n"/>
      <c r="N201" s="42" t="n"/>
      <c r="O201" s="39" t="n"/>
      <c r="P201" s="12">
        <f>Table6[[#This Row],[ (S/S) SAR]]-Table6[[#This Row],[(S/S) AJD]]</f>
        <v/>
      </c>
      <c r="Q201" s="39" t="n"/>
      <c r="R201" s="12">
        <f>Table6[[#This Row],[ (T/B) SAR]]-Table6[[#This Row],[(T/B) AJD]]</f>
        <v/>
      </c>
      <c r="S201" s="12">
        <f>Table6[[#This Row],[S/S_CON.]]+Table6[[#This Row],[T/B-CON.]]</f>
        <v/>
      </c>
      <c r="T201" s="12">
        <f>O201+Q201</f>
        <v/>
      </c>
      <c r="U201" s="41" t="n"/>
      <c r="V201" s="41" t="n"/>
      <c r="W201" s="12">
        <f>U201+V201</f>
        <v/>
      </c>
      <c r="X201" s="12">
        <f>T201-W201</f>
        <v/>
      </c>
      <c r="Y201" s="41" t="n"/>
      <c r="Z201" s="43" t="n"/>
      <c r="AA201" s="3">
        <f>Table6[[#This Row],[(RESV. STORGE) AJD]]/10</f>
        <v/>
      </c>
      <c r="AB201" s="3">
        <f>IF(TRIM(Z201)="",,(Z201-Z200)/1000)</f>
        <v/>
      </c>
      <c r="AC201" s="5" t="n"/>
      <c r="AD201" s="39">
        <f>(Table6[[#This Row],[( S/S+T/B) AJD]]*1000)-((Table6[[#This Row],[(STORGE DIFF.) AJD]]*1000)+Table6[[#This Row],[AJD_Evaporation]]+(Table6[[#This Row],[(A/B + A/S) AJD]]*1000))</f>
        <v/>
      </c>
      <c r="AE201" s="41" t="n"/>
      <c r="AF201" s="43" t="n"/>
      <c r="AG201" s="43" t="n"/>
      <c r="AH201" s="6">
        <f>Table6[[#This Row],[ (RESV. STORGE) BER]]/10</f>
        <v/>
      </c>
      <c r="AI201" s="41" t="n"/>
      <c r="AJ201" s="43">
        <f>Table6[[#This Row],[(A/B) AJD]]-TABL12345[[#This Row],[BER_IN]]</f>
        <v/>
      </c>
      <c r="AK201" s="43" t="n"/>
      <c r="AL201" s="43" t="n"/>
      <c r="AM201" s="32" t="n"/>
      <c r="AN201" s="32">
        <f>Table6[[#This Row],[ (RESV. STORGE) SER]]/10</f>
        <v/>
      </c>
      <c r="AO201" s="68" t="n"/>
      <c r="AP201" s="99">
        <f>Table6[[#This Row],[(A/S) AJD]]-Table6[[#This Row],[SER_IN]]</f>
        <v/>
      </c>
    </row>
    <row r="202" ht="18.75" customHeight="1">
      <c r="A202" s="98" t="n">
        <v>47684</v>
      </c>
      <c r="B202" s="44" t="n"/>
      <c r="C202" s="44" t="n"/>
      <c r="D202" s="44" t="n"/>
      <c r="E202" s="44" t="n"/>
      <c r="F202" s="44" t="n"/>
      <c r="G202" s="40" t="n"/>
      <c r="H202" s="28" t="n"/>
      <c r="I202" s="40" t="n"/>
      <c r="J202" s="44" t="n"/>
      <c r="K202" s="28">
        <f>Table6[[#This Row],[ (T/B) SAR]]+Table6[[#This Row],[ (S/S) SAR]]</f>
        <v/>
      </c>
      <c r="L202" s="45" t="n"/>
      <c r="M202" s="46" t="n"/>
      <c r="N202" s="46" t="n"/>
      <c r="O202" s="40" t="n"/>
      <c r="P202" s="12">
        <f>Table6[[#This Row],[ (S/S) SAR]]-Table6[[#This Row],[(S/S) AJD]]</f>
        <v/>
      </c>
      <c r="Q202" s="40" t="n"/>
      <c r="R202" s="12">
        <f>Table6[[#This Row],[ (T/B) SAR]]-Table6[[#This Row],[(T/B) AJD]]</f>
        <v/>
      </c>
      <c r="S202" s="12">
        <f>Table6[[#This Row],[S/S_CON.]]+Table6[[#This Row],[T/B-CON.]]</f>
        <v/>
      </c>
      <c r="T202" s="12">
        <f>O202+Q202</f>
        <v/>
      </c>
      <c r="U202" s="44" t="n"/>
      <c r="V202" s="44" t="n"/>
      <c r="W202" s="12">
        <f>U202+V202</f>
        <v/>
      </c>
      <c r="X202" s="12">
        <f>T202-W202</f>
        <v/>
      </c>
      <c r="Y202" s="44" t="n"/>
      <c r="Z202" s="45" t="n"/>
      <c r="AA202" s="3">
        <f>Table6[[#This Row],[(RESV. STORGE) AJD]]/10</f>
        <v/>
      </c>
      <c r="AB202" s="3">
        <f>IF(TRIM(Z202)="",,(Z202-Z201)/1000)</f>
        <v/>
      </c>
      <c r="AC202" s="5" t="n"/>
      <c r="AD202" s="40">
        <f>(Table6[[#This Row],[( S/S+T/B) AJD]]*1000)-((Table6[[#This Row],[(STORGE DIFF.) AJD]]*1000)+Table6[[#This Row],[AJD_Evaporation]]+(Table6[[#This Row],[(A/B + A/S) AJD]]*1000))</f>
        <v/>
      </c>
      <c r="AE202" s="44" t="n"/>
      <c r="AF202" s="45" t="n"/>
      <c r="AG202" s="45" t="n"/>
      <c r="AH202" s="6">
        <f>Table6[[#This Row],[ (RESV. STORGE) BER]]/10</f>
        <v/>
      </c>
      <c r="AI202" s="44" t="n"/>
      <c r="AJ202" s="45">
        <f>Table6[[#This Row],[(A/B) AJD]]-TABL12345[[#This Row],[BER_IN]]</f>
        <v/>
      </c>
      <c r="AK202" s="45" t="n"/>
      <c r="AL202" s="45" t="n"/>
      <c r="AM202" s="32" t="n"/>
      <c r="AN202" s="32">
        <f>Table6[[#This Row],[ (RESV. STORGE) SER]]/10</f>
        <v/>
      </c>
      <c r="AO202" s="68" t="n"/>
      <c r="AP202" s="99">
        <f>Table6[[#This Row],[(A/S) AJD]]-Table6[[#This Row],[SER_IN]]</f>
        <v/>
      </c>
    </row>
    <row r="203" ht="18.75" customHeight="1">
      <c r="A203" s="98" t="n">
        <v>47685</v>
      </c>
      <c r="B203" s="41" t="n"/>
      <c r="C203" s="41" t="n"/>
      <c r="D203" s="41" t="n"/>
      <c r="E203" s="41" t="n"/>
      <c r="F203" s="41" t="n"/>
      <c r="G203" s="39" t="n"/>
      <c r="H203" s="28" t="n"/>
      <c r="I203" s="39" t="n"/>
      <c r="J203" s="39" t="n"/>
      <c r="K203" s="28">
        <f>Table6[[#This Row],[ (T/B) SAR]]+Table6[[#This Row],[ (S/S) SAR]]</f>
        <v/>
      </c>
      <c r="L203" s="41" t="n"/>
      <c r="M203" s="42" t="n"/>
      <c r="N203" s="42" t="n"/>
      <c r="O203" s="39" t="n"/>
      <c r="P203" s="12">
        <f>Table6[[#This Row],[ (S/S) SAR]]-Table6[[#This Row],[(S/S) AJD]]</f>
        <v/>
      </c>
      <c r="Q203" s="39" t="n"/>
      <c r="R203" s="12">
        <f>Table6[[#This Row],[ (T/B) SAR]]-Table6[[#This Row],[(T/B) AJD]]</f>
        <v/>
      </c>
      <c r="S203" s="12">
        <f>Table6[[#This Row],[S/S_CON.]]+Table6[[#This Row],[T/B-CON.]]</f>
        <v/>
      </c>
      <c r="T203" s="12">
        <f>O203+Q203</f>
        <v/>
      </c>
      <c r="U203" s="41" t="n"/>
      <c r="V203" s="41" t="n"/>
      <c r="W203" s="12">
        <f>U203+V203</f>
        <v/>
      </c>
      <c r="X203" s="12">
        <f>T203-W203</f>
        <v/>
      </c>
      <c r="Y203" s="41" t="n"/>
      <c r="Z203" s="43" t="n"/>
      <c r="AA203" s="3">
        <f>Table6[[#This Row],[(RESV. STORGE) AJD]]/10</f>
        <v/>
      </c>
      <c r="AB203" s="3">
        <f>IF(TRIM(Z203)="",,(Z203-Z202)/1000)</f>
        <v/>
      </c>
      <c r="AC203" s="5" t="n"/>
      <c r="AD203" s="39">
        <f>(Table6[[#This Row],[( S/S+T/B) AJD]]*1000)-((Table6[[#This Row],[(STORGE DIFF.) AJD]]*1000)+Table6[[#This Row],[AJD_Evaporation]]+(Table6[[#This Row],[(A/B + A/S) AJD]]*1000))</f>
        <v/>
      </c>
      <c r="AE203" s="41" t="n"/>
      <c r="AF203" s="43" t="n"/>
      <c r="AG203" s="43" t="n"/>
      <c r="AH203" s="6">
        <f>Table6[[#This Row],[ (RESV. STORGE) BER]]/10</f>
        <v/>
      </c>
      <c r="AI203" s="41" t="n"/>
      <c r="AJ203" s="43">
        <f>Table6[[#This Row],[(A/B) AJD]]-TABL12345[[#This Row],[BER_IN]]</f>
        <v/>
      </c>
      <c r="AK203" s="43" t="n"/>
      <c r="AL203" s="43" t="n"/>
      <c r="AM203" s="32" t="n"/>
      <c r="AN203" s="32">
        <f>Table6[[#This Row],[ (RESV. STORGE) SER]]/10</f>
        <v/>
      </c>
      <c r="AO203" s="68" t="n"/>
      <c r="AP203" s="99">
        <f>Table6[[#This Row],[(A/S) AJD]]-Table6[[#This Row],[SER_IN]]</f>
        <v/>
      </c>
    </row>
    <row r="204" ht="18.75" customHeight="1">
      <c r="A204" s="98" t="n">
        <v>47686</v>
      </c>
      <c r="B204" s="44" t="n"/>
      <c r="C204" s="44" t="n"/>
      <c r="D204" s="44" t="n"/>
      <c r="E204" s="44" t="n"/>
      <c r="F204" s="44" t="n"/>
      <c r="G204" s="40" t="n"/>
      <c r="H204" s="28" t="n"/>
      <c r="I204" s="40" t="n"/>
      <c r="J204" s="44" t="n"/>
      <c r="K204" s="28">
        <f>Table6[[#This Row],[ (T/B) SAR]]+Table6[[#This Row],[ (S/S) SAR]]</f>
        <v/>
      </c>
      <c r="L204" s="45" t="n"/>
      <c r="M204" s="46" t="n"/>
      <c r="N204" s="46" t="n"/>
      <c r="O204" s="40" t="n"/>
      <c r="P204" s="12">
        <f>Table6[[#This Row],[ (S/S) SAR]]-Table6[[#This Row],[(S/S) AJD]]</f>
        <v/>
      </c>
      <c r="Q204" s="40" t="n"/>
      <c r="R204" s="12">
        <f>Table6[[#This Row],[ (T/B) SAR]]-Table6[[#This Row],[(T/B) AJD]]</f>
        <v/>
      </c>
      <c r="S204" s="12">
        <f>Table6[[#This Row],[S/S_CON.]]+Table6[[#This Row],[T/B-CON.]]</f>
        <v/>
      </c>
      <c r="T204" s="12">
        <f>O204+Q204</f>
        <v/>
      </c>
      <c r="U204" s="44" t="n"/>
      <c r="V204" s="44" t="n"/>
      <c r="W204" s="12">
        <f>U204+V204</f>
        <v/>
      </c>
      <c r="X204" s="12">
        <f>T204-W204</f>
        <v/>
      </c>
      <c r="Y204" s="44" t="n"/>
      <c r="Z204" s="45" t="n"/>
      <c r="AA204" s="3">
        <f>Table6[[#This Row],[(RESV. STORGE) AJD]]/10</f>
        <v/>
      </c>
      <c r="AB204" s="3">
        <f>IF(TRIM(Z204)="",,(Z204-Z203)/1000)</f>
        <v/>
      </c>
      <c r="AC204" s="5" t="n"/>
      <c r="AD204" s="40">
        <f>(Table6[[#This Row],[( S/S+T/B) AJD]]*1000)-((Table6[[#This Row],[(STORGE DIFF.) AJD]]*1000)+Table6[[#This Row],[AJD_Evaporation]]+(Table6[[#This Row],[(A/B + A/S) AJD]]*1000))</f>
        <v/>
      </c>
      <c r="AE204" s="44" t="n"/>
      <c r="AF204" s="45" t="n"/>
      <c r="AG204" s="45" t="n"/>
      <c r="AH204" s="6">
        <f>Table6[[#This Row],[ (RESV. STORGE) BER]]/10</f>
        <v/>
      </c>
      <c r="AI204" s="44" t="n"/>
      <c r="AJ204" s="45">
        <f>Table6[[#This Row],[(A/B) AJD]]-TABL12345[[#This Row],[BER_IN]]</f>
        <v/>
      </c>
      <c r="AK204" s="45" t="n"/>
      <c r="AL204" s="45" t="n"/>
      <c r="AM204" s="32" t="n"/>
      <c r="AN204" s="32">
        <f>Table6[[#This Row],[ (RESV. STORGE) SER]]/10</f>
        <v/>
      </c>
      <c r="AO204" s="68" t="n"/>
      <c r="AP204" s="99">
        <f>Table6[[#This Row],[(A/S) AJD]]-Table6[[#This Row],[SER_IN]]</f>
        <v/>
      </c>
    </row>
    <row r="205" ht="18.75" customHeight="1">
      <c r="A205" s="98" t="n">
        <v>47687</v>
      </c>
      <c r="B205" s="41" t="n"/>
      <c r="C205" s="41" t="n"/>
      <c r="D205" s="41" t="n"/>
      <c r="E205" s="41" t="n"/>
      <c r="F205" s="41" t="n"/>
      <c r="G205" s="39" t="n"/>
      <c r="H205" s="28" t="n"/>
      <c r="I205" s="39" t="n"/>
      <c r="J205" s="39" t="n"/>
      <c r="K205" s="28">
        <f>Table6[[#This Row],[ (T/B) SAR]]+Table6[[#This Row],[ (S/S) SAR]]</f>
        <v/>
      </c>
      <c r="L205" s="41" t="n"/>
      <c r="M205" s="42" t="n"/>
      <c r="N205" s="42" t="n"/>
      <c r="O205" s="39" t="n"/>
      <c r="P205" s="12">
        <f>Table6[[#This Row],[ (S/S) SAR]]-Table6[[#This Row],[(S/S) AJD]]</f>
        <v/>
      </c>
      <c r="Q205" s="39" t="n"/>
      <c r="R205" s="12">
        <f>Table6[[#This Row],[ (T/B) SAR]]-Table6[[#This Row],[(T/B) AJD]]</f>
        <v/>
      </c>
      <c r="S205" s="12">
        <f>Table6[[#This Row],[S/S_CON.]]+Table6[[#This Row],[T/B-CON.]]</f>
        <v/>
      </c>
      <c r="T205" s="12">
        <f>O205+Q205</f>
        <v/>
      </c>
      <c r="U205" s="41" t="n"/>
      <c r="V205" s="41" t="n"/>
      <c r="W205" s="12">
        <f>U205+V205</f>
        <v/>
      </c>
      <c r="X205" s="12">
        <f>T205-W205</f>
        <v/>
      </c>
      <c r="Y205" s="41" t="n"/>
      <c r="Z205" s="43" t="n"/>
      <c r="AA205" s="3">
        <f>Table6[[#This Row],[(RESV. STORGE) AJD]]/10</f>
        <v/>
      </c>
      <c r="AB205" s="3">
        <f>IF(TRIM(Z205)="",,(Z205-Z204)/1000)</f>
        <v/>
      </c>
      <c r="AC205" s="5" t="n"/>
      <c r="AD205" s="39">
        <f>(Table6[[#This Row],[( S/S+T/B) AJD]]*1000)-((Table6[[#This Row],[(STORGE DIFF.) AJD]]*1000)+Table6[[#This Row],[AJD_Evaporation]]+(Table6[[#This Row],[(A/B + A/S) AJD]]*1000))</f>
        <v/>
      </c>
      <c r="AE205" s="41" t="n"/>
      <c r="AF205" s="43" t="n"/>
      <c r="AG205" s="43" t="n"/>
      <c r="AH205" s="6">
        <f>Table6[[#This Row],[ (RESV. STORGE) BER]]/10</f>
        <v/>
      </c>
      <c r="AI205" s="41" t="n"/>
      <c r="AJ205" s="43">
        <f>Table6[[#This Row],[(A/B) AJD]]-TABL12345[[#This Row],[BER_IN]]</f>
        <v/>
      </c>
      <c r="AK205" s="43" t="n"/>
      <c r="AL205" s="43" t="n"/>
      <c r="AM205" s="32" t="n"/>
      <c r="AN205" s="32">
        <f>Table6[[#This Row],[ (RESV. STORGE) SER]]/10</f>
        <v/>
      </c>
      <c r="AO205" s="68" t="n"/>
      <c r="AP205" s="99">
        <f>Table6[[#This Row],[(A/S) AJD]]-Table6[[#This Row],[SER_IN]]</f>
        <v/>
      </c>
    </row>
    <row r="206" ht="18.75" customHeight="1">
      <c r="A206" s="98" t="n">
        <v>47688</v>
      </c>
      <c r="B206" s="44" t="n"/>
      <c r="C206" s="44" t="n"/>
      <c r="D206" s="44" t="n"/>
      <c r="E206" s="44" t="n"/>
      <c r="F206" s="44" t="n"/>
      <c r="G206" s="40" t="n"/>
      <c r="H206" s="28" t="n"/>
      <c r="I206" s="40" t="n"/>
      <c r="J206" s="44" t="n"/>
      <c r="K206" s="28">
        <f>Table6[[#This Row],[ (T/B) SAR]]+Table6[[#This Row],[ (S/S) SAR]]</f>
        <v/>
      </c>
      <c r="L206" s="45" t="n"/>
      <c r="M206" s="46" t="n"/>
      <c r="N206" s="46" t="n"/>
      <c r="O206" s="40" t="n"/>
      <c r="P206" s="12">
        <f>Table6[[#This Row],[ (S/S) SAR]]-Table6[[#This Row],[(S/S) AJD]]</f>
        <v/>
      </c>
      <c r="Q206" s="45" t="n"/>
      <c r="R206" s="12">
        <f>Table6[[#This Row],[ (T/B) SAR]]-Table6[[#This Row],[(T/B) AJD]]</f>
        <v/>
      </c>
      <c r="S206" s="12">
        <f>Table6[[#This Row],[S/S_CON.]]+Table6[[#This Row],[T/B-CON.]]</f>
        <v/>
      </c>
      <c r="T206" s="12">
        <f>O206+Q206</f>
        <v/>
      </c>
      <c r="U206" s="44" t="n"/>
      <c r="V206" s="44" t="n"/>
      <c r="W206" s="12">
        <f>U206+V206</f>
        <v/>
      </c>
      <c r="X206" s="12">
        <f>T206-W206</f>
        <v/>
      </c>
      <c r="Y206" s="44" t="n"/>
      <c r="Z206" s="45" t="n"/>
      <c r="AA206" s="3">
        <f>Table6[[#This Row],[(RESV. STORGE) AJD]]/10</f>
        <v/>
      </c>
      <c r="AB206" s="3">
        <f>IF(TRIM(Z206)="",,(Z206-Z205)/1000)</f>
        <v/>
      </c>
      <c r="AC206" s="5" t="n"/>
      <c r="AD206" s="40">
        <f>(Table6[[#This Row],[( S/S+T/B) AJD]]*1000)-((Table6[[#This Row],[(STORGE DIFF.) AJD]]*1000)+Table6[[#This Row],[AJD_Evaporation]]+(Table6[[#This Row],[(A/B + A/S) AJD]]*1000))</f>
        <v/>
      </c>
      <c r="AE206" s="44" t="n"/>
      <c r="AF206" s="45" t="n"/>
      <c r="AG206" s="45" t="n"/>
      <c r="AH206" s="6">
        <f>Table6[[#This Row],[ (RESV. STORGE) BER]]/10</f>
        <v/>
      </c>
      <c r="AI206" s="44" t="n"/>
      <c r="AJ206" s="45">
        <f>Table6[[#This Row],[(A/B) AJD]]-TABL12345[[#This Row],[BER_IN]]</f>
        <v/>
      </c>
      <c r="AK206" s="45" t="n"/>
      <c r="AL206" s="45" t="n"/>
      <c r="AM206" s="32" t="n"/>
      <c r="AN206" s="32">
        <f>Table6[[#This Row],[ (RESV. STORGE) SER]]/10</f>
        <v/>
      </c>
      <c r="AO206" s="68" t="n"/>
      <c r="AP206" s="99">
        <f>Table6[[#This Row],[(A/S) AJD]]-Table6[[#This Row],[SER_IN]]</f>
        <v/>
      </c>
    </row>
    <row r="207" ht="18.75" customHeight="1">
      <c r="A207" s="98" t="n">
        <v>47689</v>
      </c>
      <c r="B207" s="41" t="n"/>
      <c r="C207" s="41" t="n"/>
      <c r="D207" s="41" t="n"/>
      <c r="E207" s="41" t="n"/>
      <c r="F207" s="41" t="n"/>
      <c r="G207" s="39" t="n"/>
      <c r="H207" s="28" t="n"/>
      <c r="I207" s="39" t="n"/>
      <c r="J207" s="39" t="n"/>
      <c r="K207" s="28">
        <f>Table6[[#This Row],[ (T/B) SAR]]+Table6[[#This Row],[ (S/S) SAR]]</f>
        <v/>
      </c>
      <c r="L207" s="41" t="n"/>
      <c r="M207" s="42" t="n"/>
      <c r="N207" s="42" t="n"/>
      <c r="O207" s="39" t="n"/>
      <c r="P207" s="12">
        <f>Table6[[#This Row],[ (S/S) SAR]]-Table6[[#This Row],[(S/S) AJD]]</f>
        <v/>
      </c>
      <c r="Q207" s="43" t="n"/>
      <c r="R207" s="12">
        <f>Table6[[#This Row],[ (T/B) SAR]]-Table6[[#This Row],[(T/B) AJD]]</f>
        <v/>
      </c>
      <c r="S207" s="12">
        <f>Table6[[#This Row],[S/S_CON.]]+Table6[[#This Row],[T/B-CON.]]</f>
        <v/>
      </c>
      <c r="T207" s="12">
        <f>O207+Q207</f>
        <v/>
      </c>
      <c r="U207" s="41" t="n"/>
      <c r="V207" s="41" t="n"/>
      <c r="W207" s="12">
        <f>U207+V207</f>
        <v/>
      </c>
      <c r="X207" s="12">
        <f>T207-W207</f>
        <v/>
      </c>
      <c r="Y207" s="41" t="n"/>
      <c r="Z207" s="43" t="n"/>
      <c r="AA207" s="3">
        <f>Table6[[#This Row],[(RESV. STORGE) AJD]]/10</f>
        <v/>
      </c>
      <c r="AB207" s="3">
        <f>IF(TRIM(Z207)="",,(Z207-Z206)/1000)</f>
        <v/>
      </c>
      <c r="AC207" s="5" t="n"/>
      <c r="AD207" s="39">
        <f>(Table6[[#This Row],[( S/S+T/B) AJD]]*1000)-((Table6[[#This Row],[(STORGE DIFF.) AJD]]*1000)+Table6[[#This Row],[AJD_Evaporation]]+(Table6[[#This Row],[(A/B + A/S) AJD]]*1000))</f>
        <v/>
      </c>
      <c r="AE207" s="41" t="n"/>
      <c r="AF207" s="43" t="n"/>
      <c r="AG207" s="43" t="n"/>
      <c r="AH207" s="6">
        <f>Table6[[#This Row],[ (RESV. STORGE) BER]]/10</f>
        <v/>
      </c>
      <c r="AI207" s="41" t="n"/>
      <c r="AJ207" s="43">
        <f>Table6[[#This Row],[(A/B) AJD]]-TABL12345[[#This Row],[BER_IN]]</f>
        <v/>
      </c>
      <c r="AK207" s="43" t="n"/>
      <c r="AL207" s="43" t="n"/>
      <c r="AM207" s="32" t="n"/>
      <c r="AN207" s="32">
        <f>Table6[[#This Row],[ (RESV. STORGE) SER]]/10</f>
        <v/>
      </c>
      <c r="AO207" s="68" t="n"/>
      <c r="AP207" s="99">
        <f>Table6[[#This Row],[(A/S) AJD]]-Table6[[#This Row],[SER_IN]]</f>
        <v/>
      </c>
    </row>
    <row r="208" ht="18.75" customHeight="1">
      <c r="A208" s="98" t="n">
        <v>47690</v>
      </c>
      <c r="B208" s="44" t="n"/>
      <c r="C208" s="44" t="n"/>
      <c r="D208" s="44" t="n"/>
      <c r="E208" s="44" t="n"/>
      <c r="F208" s="44" t="n"/>
      <c r="G208" s="40" t="n"/>
      <c r="H208" s="28" t="n"/>
      <c r="I208" s="40" t="n"/>
      <c r="J208" s="44" t="n"/>
      <c r="K208" s="28">
        <f>Table6[[#This Row],[ (T/B) SAR]]+Table6[[#This Row],[ (S/S) SAR]]</f>
        <v/>
      </c>
      <c r="L208" s="45" t="n"/>
      <c r="M208" s="46" t="n"/>
      <c r="N208" s="46" t="n"/>
      <c r="O208" s="40" t="n"/>
      <c r="P208" s="12">
        <f>Table6[[#This Row],[ (S/S) SAR]]-Table6[[#This Row],[(S/S) AJD]]</f>
        <v/>
      </c>
      <c r="Q208" s="45" t="n"/>
      <c r="R208" s="12">
        <f>Table6[[#This Row],[ (T/B) SAR]]-Table6[[#This Row],[(T/B) AJD]]</f>
        <v/>
      </c>
      <c r="S208" s="12">
        <f>Table6[[#This Row],[S/S_CON.]]+Table6[[#This Row],[T/B-CON.]]</f>
        <v/>
      </c>
      <c r="T208" s="12">
        <f>O208+Q208</f>
        <v/>
      </c>
      <c r="U208" s="44" t="n"/>
      <c r="V208" s="44" t="n"/>
      <c r="W208" s="12">
        <f>U208+V208</f>
        <v/>
      </c>
      <c r="X208" s="12">
        <f>T208-W208</f>
        <v/>
      </c>
      <c r="Y208" s="44" t="n"/>
      <c r="Z208" s="45" t="n"/>
      <c r="AA208" s="3">
        <f>Table6[[#This Row],[(RESV. STORGE) AJD]]/10</f>
        <v/>
      </c>
      <c r="AB208" s="3">
        <f>IF(TRIM(Z208)="",,(Z208-Z207)/1000)</f>
        <v/>
      </c>
      <c r="AC208" s="5" t="n"/>
      <c r="AD208" s="40">
        <f>(Table6[[#This Row],[( S/S+T/B) AJD]]*1000)-((Table6[[#This Row],[(STORGE DIFF.) AJD]]*1000)+Table6[[#This Row],[AJD_Evaporation]]+(Table6[[#This Row],[(A/B + A/S) AJD]]*1000))</f>
        <v/>
      </c>
      <c r="AE208" s="44" t="n"/>
      <c r="AF208" s="45" t="n"/>
      <c r="AG208" s="45" t="n"/>
      <c r="AH208" s="6">
        <f>Table6[[#This Row],[ (RESV. STORGE) BER]]/10</f>
        <v/>
      </c>
      <c r="AI208" s="44" t="n"/>
      <c r="AJ208" s="45">
        <f>Table6[[#This Row],[(A/B) AJD]]-TABL12345[[#This Row],[BER_IN]]</f>
        <v/>
      </c>
      <c r="AK208" s="45" t="n"/>
      <c r="AL208" s="45" t="n"/>
      <c r="AM208" s="32" t="n"/>
      <c r="AN208" s="32">
        <f>Table6[[#This Row],[ (RESV. STORGE) SER]]/10</f>
        <v/>
      </c>
      <c r="AO208" s="68" t="n"/>
      <c r="AP208" s="99">
        <f>Table6[[#This Row],[(A/S) AJD]]-Table6[[#This Row],[SER_IN]]</f>
        <v/>
      </c>
    </row>
    <row r="209" ht="18.75" customHeight="1">
      <c r="A209" s="98" t="n">
        <v>47691</v>
      </c>
      <c r="B209" s="41" t="n"/>
      <c r="C209" s="41" t="n"/>
      <c r="D209" s="41" t="n"/>
      <c r="E209" s="41" t="n"/>
      <c r="F209" s="41" t="n"/>
      <c r="G209" s="39" t="n"/>
      <c r="H209" s="28" t="n"/>
      <c r="I209" s="39" t="n"/>
      <c r="J209" s="39" t="n"/>
      <c r="K209" s="28">
        <f>Table6[[#This Row],[ (T/B) SAR]]+Table6[[#This Row],[ (S/S) SAR]]</f>
        <v/>
      </c>
      <c r="L209" s="41" t="n"/>
      <c r="M209" s="42" t="n"/>
      <c r="N209" s="42" t="n"/>
      <c r="O209" s="39" t="n"/>
      <c r="P209" s="12">
        <f>Table6[[#This Row],[ (S/S) SAR]]-Table6[[#This Row],[(S/S) AJD]]</f>
        <v/>
      </c>
      <c r="Q209" s="39" t="n"/>
      <c r="R209" s="12">
        <f>Table6[[#This Row],[ (T/B) SAR]]-Table6[[#This Row],[(T/B) AJD]]</f>
        <v/>
      </c>
      <c r="S209" s="12">
        <f>Table6[[#This Row],[S/S_CON.]]+Table6[[#This Row],[T/B-CON.]]</f>
        <v/>
      </c>
      <c r="T209" s="12">
        <f>O209+Q209</f>
        <v/>
      </c>
      <c r="U209" s="41" t="n"/>
      <c r="V209" s="41" t="n"/>
      <c r="W209" s="12">
        <f>U209+V209</f>
        <v/>
      </c>
      <c r="X209" s="12">
        <f>T209-W209</f>
        <v/>
      </c>
      <c r="Y209" s="41" t="n"/>
      <c r="Z209" s="43" t="n"/>
      <c r="AA209" s="3">
        <f>Table6[[#This Row],[(RESV. STORGE) AJD]]/10</f>
        <v/>
      </c>
      <c r="AB209" s="3">
        <f>IF(TRIM(Z209)="",,(Z209-Z208)/1000)</f>
        <v/>
      </c>
      <c r="AC209" s="5" t="n"/>
      <c r="AD209" s="39">
        <f>(Table6[[#This Row],[( S/S+T/B) AJD]]*1000)-((Table6[[#This Row],[(STORGE DIFF.) AJD]]*1000)+Table6[[#This Row],[AJD_Evaporation]]+(Table6[[#This Row],[(A/B + A/S) AJD]]*1000))</f>
        <v/>
      </c>
      <c r="AE209" s="41" t="n"/>
      <c r="AF209" s="43" t="n"/>
      <c r="AG209" s="43" t="n"/>
      <c r="AH209" s="6">
        <f>Table6[[#This Row],[ (RESV. STORGE) BER]]/10</f>
        <v/>
      </c>
      <c r="AI209" s="41" t="n"/>
      <c r="AJ209" s="43">
        <f>Table6[[#This Row],[(A/B) AJD]]-TABL12345[[#This Row],[BER_IN]]</f>
        <v/>
      </c>
      <c r="AK209" s="43" t="n"/>
      <c r="AL209" s="43" t="n"/>
      <c r="AM209" s="32" t="n"/>
      <c r="AN209" s="32">
        <f>Table6[[#This Row],[ (RESV. STORGE) SER]]/10</f>
        <v/>
      </c>
      <c r="AO209" s="68" t="n"/>
      <c r="AP209" s="99">
        <f>Table6[[#This Row],[(A/S) AJD]]-Table6[[#This Row],[SER_IN]]</f>
        <v/>
      </c>
    </row>
    <row r="210" ht="18.75" customHeight="1">
      <c r="A210" s="98" t="n">
        <v>47692</v>
      </c>
      <c r="B210" s="44" t="n"/>
      <c r="C210" s="44" t="n"/>
      <c r="D210" s="44" t="n"/>
      <c r="E210" s="44" t="n"/>
      <c r="F210" s="44" t="n"/>
      <c r="G210" s="40" t="n"/>
      <c r="H210" s="28" t="n"/>
      <c r="I210" s="40" t="n"/>
      <c r="J210" s="44" t="n"/>
      <c r="K210" s="28">
        <f>Table6[[#This Row],[ (T/B) SAR]]+Table6[[#This Row],[ (S/S) SAR]]</f>
        <v/>
      </c>
      <c r="L210" s="45" t="n"/>
      <c r="M210" s="46" t="n"/>
      <c r="N210" s="46" t="n"/>
      <c r="O210" s="40" t="n"/>
      <c r="P210" s="12">
        <f>Table6[[#This Row],[ (S/S) SAR]]-Table6[[#This Row],[(S/S) AJD]]</f>
        <v/>
      </c>
      <c r="Q210" s="40" t="n"/>
      <c r="R210" s="12">
        <f>Table6[[#This Row],[ (T/B) SAR]]-Table6[[#This Row],[(T/B) AJD]]</f>
        <v/>
      </c>
      <c r="S210" s="12">
        <f>Table6[[#This Row],[S/S_CON.]]+Table6[[#This Row],[T/B-CON.]]</f>
        <v/>
      </c>
      <c r="T210" s="12">
        <f>O210+Q210</f>
        <v/>
      </c>
      <c r="U210" s="44" t="n"/>
      <c r="V210" s="44" t="n"/>
      <c r="W210" s="12">
        <f>U210+V210</f>
        <v/>
      </c>
      <c r="X210" s="12">
        <f>T210-W210</f>
        <v/>
      </c>
      <c r="Y210" s="44" t="n"/>
      <c r="Z210" s="45" t="n"/>
      <c r="AA210" s="3">
        <f>Table6[[#This Row],[(RESV. STORGE) AJD]]/10</f>
        <v/>
      </c>
      <c r="AB210" s="3">
        <f>IF(TRIM(Z210)="",,(Z210-Z209)/1000)</f>
        <v/>
      </c>
      <c r="AC210" s="5" t="n"/>
      <c r="AD210" s="40">
        <f>(Table6[[#This Row],[( S/S+T/B) AJD]]*1000)-((Table6[[#This Row],[(STORGE DIFF.) AJD]]*1000)+Table6[[#This Row],[AJD_Evaporation]]+(Table6[[#This Row],[(A/B + A/S) AJD]]*1000))</f>
        <v/>
      </c>
      <c r="AE210" s="44" t="n"/>
      <c r="AF210" s="45" t="n"/>
      <c r="AG210" s="45" t="n"/>
      <c r="AH210" s="6">
        <f>Table6[[#This Row],[ (RESV. STORGE) BER]]/10</f>
        <v/>
      </c>
      <c r="AI210" s="44" t="n"/>
      <c r="AJ210" s="45">
        <f>Table6[[#This Row],[(A/B) AJD]]-TABL12345[[#This Row],[BER_IN]]</f>
        <v/>
      </c>
      <c r="AK210" s="45" t="n"/>
      <c r="AL210" s="45" t="n"/>
      <c r="AM210" s="32" t="n"/>
      <c r="AN210" s="32">
        <f>Table6[[#This Row],[ (RESV. STORGE) SER]]/10</f>
        <v/>
      </c>
      <c r="AO210" s="68" t="n"/>
      <c r="AP210" s="99">
        <f>Table6[[#This Row],[(A/S) AJD]]-Table6[[#This Row],[SER_IN]]</f>
        <v/>
      </c>
    </row>
    <row r="211" ht="18.75" customHeight="1">
      <c r="A211" s="98" t="n">
        <v>47693</v>
      </c>
      <c r="B211" s="41" t="n"/>
      <c r="C211" s="41" t="n"/>
      <c r="D211" s="41" t="n"/>
      <c r="E211" s="41" t="n"/>
      <c r="F211" s="41" t="n"/>
      <c r="G211" s="39" t="n"/>
      <c r="H211" s="28" t="n"/>
      <c r="I211" s="39" t="n"/>
      <c r="J211" s="39" t="n"/>
      <c r="K211" s="28">
        <f>Table6[[#This Row],[ (T/B) SAR]]+Table6[[#This Row],[ (S/S) SAR]]</f>
        <v/>
      </c>
      <c r="L211" s="41" t="n"/>
      <c r="M211" s="42" t="n"/>
      <c r="N211" s="42" t="n"/>
      <c r="O211" s="39" t="n"/>
      <c r="P211" s="12">
        <f>Table6[[#This Row],[ (S/S) SAR]]-Table6[[#This Row],[(S/S) AJD]]</f>
        <v/>
      </c>
      <c r="Q211" s="39" t="n"/>
      <c r="R211" s="12">
        <f>Table6[[#This Row],[ (T/B) SAR]]-Table6[[#This Row],[(T/B) AJD]]</f>
        <v/>
      </c>
      <c r="S211" s="12">
        <f>Table6[[#This Row],[S/S_CON.]]+Table6[[#This Row],[T/B-CON.]]</f>
        <v/>
      </c>
      <c r="T211" s="12">
        <f>O211+Q211</f>
        <v/>
      </c>
      <c r="U211" s="41" t="n"/>
      <c r="V211" s="41" t="n"/>
      <c r="W211" s="12">
        <f>U211+V211</f>
        <v/>
      </c>
      <c r="X211" s="12">
        <f>T211-W211</f>
        <v/>
      </c>
      <c r="Y211" s="41" t="n"/>
      <c r="Z211" s="43" t="n"/>
      <c r="AA211" s="3">
        <f>Table6[[#This Row],[(RESV. STORGE) AJD]]/10</f>
        <v/>
      </c>
      <c r="AB211" s="3">
        <f>IF(TRIM(Z211)="",,(Z211-Z210)/1000)</f>
        <v/>
      </c>
      <c r="AC211" s="5" t="n"/>
      <c r="AD211" s="39">
        <f>(Table6[[#This Row],[( S/S+T/B) AJD]]*1000)-((Table6[[#This Row],[(STORGE DIFF.) AJD]]*1000)+Table6[[#This Row],[AJD_Evaporation]]+(Table6[[#This Row],[(A/B + A/S) AJD]]*1000))</f>
        <v/>
      </c>
      <c r="AE211" s="41" t="n"/>
      <c r="AF211" s="43" t="n"/>
      <c r="AG211" s="43" t="n"/>
      <c r="AH211" s="6">
        <f>Table6[[#This Row],[ (RESV. STORGE) BER]]/10</f>
        <v/>
      </c>
      <c r="AI211" s="41" t="n"/>
      <c r="AJ211" s="43">
        <f>Table6[[#This Row],[(A/B) AJD]]-TABL12345[[#This Row],[BER_IN]]</f>
        <v/>
      </c>
      <c r="AK211" s="43" t="n"/>
      <c r="AL211" s="43" t="n"/>
      <c r="AM211" s="32" t="n"/>
      <c r="AN211" s="32">
        <f>Table6[[#This Row],[ (RESV. STORGE) SER]]/10</f>
        <v/>
      </c>
      <c r="AO211" s="68" t="n"/>
      <c r="AP211" s="99">
        <f>Table6[[#This Row],[(A/S) AJD]]-Table6[[#This Row],[SER_IN]]</f>
        <v/>
      </c>
    </row>
    <row r="212" ht="18.75" customHeight="1">
      <c r="A212" s="98" t="n">
        <v>47694</v>
      </c>
      <c r="B212" s="44" t="n"/>
      <c r="C212" s="44" t="n"/>
      <c r="D212" s="44" t="n"/>
      <c r="E212" s="44" t="n"/>
      <c r="F212" s="44" t="n"/>
      <c r="G212" s="40" t="n"/>
      <c r="H212" s="28" t="n"/>
      <c r="I212" s="40" t="n"/>
      <c r="J212" s="44" t="n"/>
      <c r="K212" s="28">
        <f>Table6[[#This Row],[ (T/B) SAR]]+Table6[[#This Row],[ (S/S) SAR]]</f>
        <v/>
      </c>
      <c r="L212" s="45" t="n"/>
      <c r="M212" s="46" t="n"/>
      <c r="N212" s="46" t="n"/>
      <c r="O212" s="40" t="n"/>
      <c r="P212" s="12">
        <f>Table6[[#This Row],[ (S/S) SAR]]-Table6[[#This Row],[(S/S) AJD]]</f>
        <v/>
      </c>
      <c r="Q212" s="40" t="n"/>
      <c r="R212" s="12">
        <f>Table6[[#This Row],[ (T/B) SAR]]-Table6[[#This Row],[(T/B) AJD]]</f>
        <v/>
      </c>
      <c r="S212" s="12">
        <f>Table6[[#This Row],[S/S_CON.]]+Table6[[#This Row],[T/B-CON.]]</f>
        <v/>
      </c>
      <c r="T212" s="12">
        <f>O212+Q212</f>
        <v/>
      </c>
      <c r="U212" s="44" t="n"/>
      <c r="V212" s="44" t="n"/>
      <c r="W212" s="12">
        <f>U212+V212</f>
        <v/>
      </c>
      <c r="X212" s="12">
        <f>T212-W212</f>
        <v/>
      </c>
      <c r="Y212" s="44" t="n"/>
      <c r="Z212" s="45" t="n"/>
      <c r="AA212" s="3">
        <f>Table6[[#This Row],[(RESV. STORGE) AJD]]/10</f>
        <v/>
      </c>
      <c r="AB212" s="3">
        <f>IF(TRIM(Z212)="",,(Z212-Z211)/1000)</f>
        <v/>
      </c>
      <c r="AC212" s="5" t="n"/>
      <c r="AD212" s="70">
        <f>(Table6[[#This Row],[( S/S+T/B) AJD]]*1000)-((Table6[[#This Row],[(STORGE DIFF.) AJD]]*1000)+Table6[[#This Row],[AJD_Evaporation]]+(Table6[[#This Row],[(A/B + A/S) AJD]]*1000))</f>
        <v/>
      </c>
      <c r="AE212" s="44" t="n"/>
      <c r="AF212" s="45" t="n"/>
      <c r="AG212" s="45" t="n"/>
      <c r="AH212" s="6">
        <f>Table6[[#This Row],[ (RESV. STORGE) BER]]/10</f>
        <v/>
      </c>
      <c r="AI212" s="44" t="n"/>
      <c r="AJ212" s="90">
        <f>Table6[[#This Row],[(A/B) AJD]]-TABL12345[[#This Row],[BER_IN]]</f>
        <v/>
      </c>
      <c r="AK212" s="45" t="n"/>
      <c r="AL212" s="45" t="n"/>
      <c r="AM212" s="32" t="n"/>
      <c r="AN212" s="32">
        <f>Table6[[#This Row],[ (RESV. STORGE) SER]]/10</f>
        <v/>
      </c>
      <c r="AO212" s="68" t="n"/>
      <c r="AP212" s="99">
        <f>Table6[[#This Row],[(A/S) AJD]]-Table6[[#This Row],[SER_IN]]</f>
        <v/>
      </c>
    </row>
    <row r="213" ht="18.75" customHeight="1">
      <c r="A213" s="98" t="n">
        <v>47695</v>
      </c>
      <c r="B213" s="41" t="n"/>
      <c r="C213" s="41" t="n"/>
      <c r="D213" s="41" t="n"/>
      <c r="E213" s="41" t="n"/>
      <c r="F213" s="41" t="n"/>
      <c r="G213" s="39" t="n"/>
      <c r="H213" s="28" t="n"/>
      <c r="I213" s="39" t="n"/>
      <c r="J213" s="39" t="n"/>
      <c r="K213" s="28">
        <f>Table6[[#This Row],[ (T/B) SAR]]+Table6[[#This Row],[ (S/S) SAR]]</f>
        <v/>
      </c>
      <c r="L213" s="41" t="n"/>
      <c r="M213" s="42" t="n"/>
      <c r="N213" s="42" t="n"/>
      <c r="O213" s="39" t="n"/>
      <c r="P213" s="12">
        <f>Table6[[#This Row],[ (S/S) SAR]]-Table6[[#This Row],[(S/S) AJD]]</f>
        <v/>
      </c>
      <c r="Q213" s="39" t="n"/>
      <c r="R213" s="12">
        <f>Table6[[#This Row],[ (T/B) SAR]]-Table6[[#This Row],[(T/B) AJD]]</f>
        <v/>
      </c>
      <c r="S213" s="12">
        <f>Table6[[#This Row],[S/S_CON.]]+Table6[[#This Row],[T/B-CON.]]</f>
        <v/>
      </c>
      <c r="T213" s="12">
        <f>O213+Q213</f>
        <v/>
      </c>
      <c r="U213" s="41" t="n"/>
      <c r="V213" s="41" t="n"/>
      <c r="W213" s="12">
        <f>U213+V213</f>
        <v/>
      </c>
      <c r="X213" s="12">
        <f>T213-W213</f>
        <v/>
      </c>
      <c r="Y213" s="41" t="n"/>
      <c r="Z213" s="43" t="n"/>
      <c r="AA213" s="3">
        <f>Table6[[#This Row],[(RESV. STORGE) AJD]]/10</f>
        <v/>
      </c>
      <c r="AB213" s="3">
        <f>IF(TRIM(Z213)="",,(Z213-Z212)/1000)</f>
        <v/>
      </c>
      <c r="AC213" s="5" t="n"/>
      <c r="AD213" s="39">
        <f>(Table6[[#This Row],[( S/S+T/B) AJD]]*1000)-((Table6[[#This Row],[(STORGE DIFF.) AJD]]*1000)+Table6[[#This Row],[AJD_Evaporation]]+(Table6[[#This Row],[(A/B + A/S) AJD]]*1000))</f>
        <v/>
      </c>
      <c r="AE213" s="41" t="n"/>
      <c r="AF213" s="43" t="n"/>
      <c r="AG213" s="43" t="n"/>
      <c r="AH213" s="6">
        <f>Table6[[#This Row],[ (RESV. STORGE) BER]]/10</f>
        <v/>
      </c>
      <c r="AI213" s="41" t="n"/>
      <c r="AJ213" s="43">
        <f>Table6[[#This Row],[(A/B) AJD]]-TABL12345[[#This Row],[BER_IN]]</f>
        <v/>
      </c>
      <c r="AK213" s="43" t="n"/>
      <c r="AL213" s="43" t="n"/>
      <c r="AM213" s="32" t="n"/>
      <c r="AN213" s="32">
        <f>Table6[[#This Row],[ (RESV. STORGE) SER]]/10</f>
        <v/>
      </c>
      <c r="AO213" s="68" t="n"/>
      <c r="AP213" s="99">
        <f>Table6[[#This Row],[(A/S) AJD]]-Table6[[#This Row],[SER_IN]]</f>
        <v/>
      </c>
    </row>
    <row r="214" ht="18.75" customHeight="1">
      <c r="A214" s="98" t="n">
        <v>47696</v>
      </c>
      <c r="B214" s="41" t="n"/>
      <c r="C214" s="41" t="n"/>
      <c r="D214" s="41" t="n"/>
      <c r="E214" s="28" t="n"/>
      <c r="F214" s="41" t="n"/>
      <c r="G214" s="39" t="n"/>
      <c r="H214" s="28" t="n"/>
      <c r="I214" s="39" t="n"/>
      <c r="J214" s="39" t="n"/>
      <c r="K214" s="28">
        <f>Table6[[#This Row],[ (T/B) SAR]]+Table6[[#This Row],[ (S/S) SAR]]</f>
        <v/>
      </c>
      <c r="L214" s="41" t="n"/>
      <c r="M214" s="42" t="n"/>
      <c r="N214" s="42" t="n"/>
      <c r="O214" s="39" t="n"/>
      <c r="P214" s="3">
        <f>Table6[[#This Row],[ (S/S) SAR]]-Table6[[#This Row],[(S/S) AJD]]</f>
        <v/>
      </c>
      <c r="Q214" s="39" t="n"/>
      <c r="R214" s="3">
        <f>Table6[[#This Row],[ (T/B) SAR]]-Table6[[#This Row],[(T/B) AJD]]</f>
        <v/>
      </c>
      <c r="S214" s="3">
        <f>Table6[[#This Row],[S/S_CON.]]+Table6[[#This Row],[T/B-CON.]]</f>
        <v/>
      </c>
      <c r="T214" s="3">
        <f>O214+Q214</f>
        <v/>
      </c>
      <c r="U214" s="41" t="n"/>
      <c r="V214" s="41" t="n"/>
      <c r="W214" s="3">
        <f>U214+V214</f>
        <v/>
      </c>
      <c r="X214" s="3">
        <f>T214-W214</f>
        <v/>
      </c>
      <c r="Y214" s="41" t="n"/>
      <c r="Z214" s="43" t="n"/>
      <c r="AA214" s="3">
        <f>Table6[[#This Row],[(RESV. STORGE) AJD]]/10</f>
        <v/>
      </c>
      <c r="AB214" s="3">
        <f>IF(TRIM(Z214)="",,(Z214-Z213)/1000)</f>
        <v/>
      </c>
      <c r="AC214" s="5" t="n"/>
      <c r="AD214" s="39">
        <f>(Table6[[#This Row],[( S/S+T/B) AJD]]*1000)-((Table6[[#This Row],[(STORGE DIFF.) AJD]]*1000)+Table6[[#This Row],[AJD_Evaporation]]+(Table6[[#This Row],[(A/B + A/S) AJD]]*1000))</f>
        <v/>
      </c>
      <c r="AE214" s="41" t="n"/>
      <c r="AF214" s="43" t="n"/>
      <c r="AG214" s="43" t="n"/>
      <c r="AH214" s="6">
        <f>Table6[[#This Row],[ (RESV. STORGE) BER]]/10</f>
        <v/>
      </c>
      <c r="AI214" s="41" t="n"/>
      <c r="AJ214" s="43">
        <f>Table6[[#This Row],[(A/B) AJD]]-TABL12345[[#This Row],[BER_IN]]</f>
        <v/>
      </c>
      <c r="AK214" s="43" t="n"/>
      <c r="AL214" s="43" t="n"/>
      <c r="AM214" s="32" t="n"/>
      <c r="AN214" s="32">
        <f>Table6[[#This Row],[ (RESV. STORGE) SER]]/10</f>
        <v/>
      </c>
      <c r="AO214" s="68" t="n"/>
      <c r="AP214" s="99">
        <f>Table6[[#This Row],[(A/S) AJD]]-Table6[[#This Row],[SER_IN]]</f>
        <v/>
      </c>
    </row>
    <row r="215" ht="18.75" customHeight="1">
      <c r="A215" s="98" t="n">
        <v>47697</v>
      </c>
      <c r="B215" s="44" t="n"/>
      <c r="C215" s="44" t="n"/>
      <c r="D215" s="44" t="n"/>
      <c r="E215" s="28" t="n"/>
      <c r="F215" s="44" t="n"/>
      <c r="G215" s="40" t="n"/>
      <c r="H215" s="28" t="n"/>
      <c r="I215" s="40" t="n"/>
      <c r="J215" s="44" t="n"/>
      <c r="K215" s="28">
        <f>Table6[[#This Row],[ (T/B) SAR]]+Table6[[#This Row],[ (S/S) SAR]]</f>
        <v/>
      </c>
      <c r="L215" s="45" t="n"/>
      <c r="M215" s="46" t="n"/>
      <c r="N215" s="46" t="n"/>
      <c r="O215" s="40" t="n"/>
      <c r="P215" s="3">
        <f>Table6[[#This Row],[ (S/S) SAR]]-Table6[[#This Row],[(S/S) AJD]]</f>
        <v/>
      </c>
      <c r="Q215" s="40" t="n"/>
      <c r="R215" s="3">
        <f>Table6[[#This Row],[ (T/B) SAR]]-Table6[[#This Row],[(T/B) AJD]]</f>
        <v/>
      </c>
      <c r="S215" s="3">
        <f>Table6[[#This Row],[S/S_CON.]]+Table6[[#This Row],[T/B-CON.]]</f>
        <v/>
      </c>
      <c r="T215" s="3">
        <f>O215+Q215</f>
        <v/>
      </c>
      <c r="U215" s="44" t="n"/>
      <c r="V215" s="44" t="n"/>
      <c r="W215" s="3">
        <f>U215+V215</f>
        <v/>
      </c>
      <c r="X215" s="3">
        <f>T215-W215</f>
        <v/>
      </c>
      <c r="Y215" s="44" t="n"/>
      <c r="Z215" s="45" t="n"/>
      <c r="AA215" s="3">
        <f>Table6[[#This Row],[(RESV. STORGE) AJD]]/10</f>
        <v/>
      </c>
      <c r="AB215" s="3">
        <f>IF(TRIM(Z215)="",,(Z215-Z214)/1000)</f>
        <v/>
      </c>
      <c r="AC215" s="5" t="n"/>
      <c r="AD215" s="40">
        <f>(Table6[[#This Row],[( S/S+T/B) AJD]]*1000)-((Table6[[#This Row],[(STORGE DIFF.) AJD]]*1000)+Table6[[#This Row],[AJD_Evaporation]]+(Table6[[#This Row],[(A/B + A/S) AJD]]*1000))</f>
        <v/>
      </c>
      <c r="AE215" s="44" t="n"/>
      <c r="AF215" s="45" t="n"/>
      <c r="AG215" s="45" t="n"/>
      <c r="AH215" s="6">
        <f>Table6[[#This Row],[ (RESV. STORGE) BER]]/10</f>
        <v/>
      </c>
      <c r="AI215" s="44" t="n"/>
      <c r="AJ215" s="45">
        <f>Table6[[#This Row],[(A/B) AJD]]-TABL12345[[#This Row],[BER_IN]]</f>
        <v/>
      </c>
      <c r="AK215" s="45" t="n"/>
      <c r="AL215" s="45" t="n"/>
      <c r="AM215" s="32" t="n"/>
      <c r="AN215" s="32">
        <f>Table6[[#This Row],[ (RESV. STORGE) SER]]/10</f>
        <v/>
      </c>
      <c r="AO215" s="68" t="n"/>
      <c r="AP215" s="99">
        <f>Table6[[#This Row],[(A/S) AJD]]-Table6[[#This Row],[SER_IN]]</f>
        <v/>
      </c>
    </row>
    <row r="216" ht="18.75" customHeight="1">
      <c r="A216" s="98" t="n">
        <v>47698</v>
      </c>
      <c r="B216" s="41" t="n"/>
      <c r="C216" s="41" t="n"/>
      <c r="D216" s="41" t="n"/>
      <c r="E216" s="28" t="n"/>
      <c r="F216" s="41" t="n"/>
      <c r="G216" s="39" t="n"/>
      <c r="H216" s="28" t="n"/>
      <c r="I216" s="39" t="n"/>
      <c r="J216" s="39" t="n"/>
      <c r="K216" s="28">
        <f>Table6[[#This Row],[ (T/B) SAR]]+Table6[[#This Row],[ (S/S) SAR]]</f>
        <v/>
      </c>
      <c r="L216" s="41" t="n"/>
      <c r="M216" s="42" t="n"/>
      <c r="N216" s="42" t="n"/>
      <c r="O216" s="39" t="n"/>
      <c r="P216" s="3">
        <f>Table6[[#This Row],[ (S/S) SAR]]-Table6[[#This Row],[(S/S) AJD]]</f>
        <v/>
      </c>
      <c r="Q216" s="39" t="n"/>
      <c r="R216" s="3">
        <f>Table6[[#This Row],[ (T/B) SAR]]-Table6[[#This Row],[(T/B) AJD]]</f>
        <v/>
      </c>
      <c r="S216" s="3">
        <f>Table6[[#This Row],[S/S_CON.]]+Table6[[#This Row],[T/B-CON.]]</f>
        <v/>
      </c>
      <c r="T216" s="3">
        <f>O216+Q216</f>
        <v/>
      </c>
      <c r="U216" s="41" t="n"/>
      <c r="V216" s="41" t="n"/>
      <c r="W216" s="3">
        <f>U216+V216</f>
        <v/>
      </c>
      <c r="X216" s="3">
        <f>T216-W216</f>
        <v/>
      </c>
      <c r="Y216" s="41" t="n"/>
      <c r="Z216" s="43" t="n"/>
      <c r="AA216" s="3">
        <f>Table6[[#This Row],[(RESV. STORGE) AJD]]/10</f>
        <v/>
      </c>
      <c r="AB216" s="3">
        <f>IF(TRIM(Z216)="",,(Z216-Z215)/1000)</f>
        <v/>
      </c>
      <c r="AC216" s="5" t="n"/>
      <c r="AD216" s="39">
        <f>(Table6[[#This Row],[( S/S+T/B) AJD]]*1000)-((Table6[[#This Row],[(STORGE DIFF.) AJD]]*1000)+Table6[[#This Row],[AJD_Evaporation]]+(Table6[[#This Row],[(A/B + A/S) AJD]]*1000))</f>
        <v/>
      </c>
      <c r="AE216" s="41" t="n"/>
      <c r="AF216" s="43" t="n"/>
      <c r="AG216" s="43" t="n"/>
      <c r="AH216" s="6">
        <f>Table6[[#This Row],[ (RESV. STORGE) BER]]/10</f>
        <v/>
      </c>
      <c r="AI216" s="41" t="n"/>
      <c r="AJ216" s="43">
        <f>Table6[[#This Row],[(A/B) AJD]]-TABL12345[[#This Row],[BER_IN]]</f>
        <v/>
      </c>
      <c r="AK216" s="43" t="n"/>
      <c r="AL216" s="43" t="n"/>
      <c r="AM216" s="32" t="n"/>
      <c r="AN216" s="32">
        <f>Table6[[#This Row],[ (RESV. STORGE) SER]]/10</f>
        <v/>
      </c>
      <c r="AO216" s="68" t="n"/>
      <c r="AP216" s="99">
        <f>Table6[[#This Row],[(A/S) AJD]]-Table6[[#This Row],[SER_IN]]</f>
        <v/>
      </c>
    </row>
    <row r="217" ht="18.75" customHeight="1">
      <c r="A217" s="98" t="n">
        <v>47699</v>
      </c>
      <c r="B217" s="44" t="n"/>
      <c r="C217" s="44" t="n"/>
      <c r="D217" s="44" t="n"/>
      <c r="E217" s="28" t="n"/>
      <c r="F217" s="44" t="n"/>
      <c r="G217" s="40" t="n"/>
      <c r="H217" s="28" t="n"/>
      <c r="I217" s="40" t="n"/>
      <c r="J217" s="44" t="n"/>
      <c r="K217" s="28">
        <f>Table6[[#This Row],[ (T/B) SAR]]+Table6[[#This Row],[ (S/S) SAR]]</f>
        <v/>
      </c>
      <c r="L217" s="45" t="n"/>
      <c r="M217" s="46" t="n"/>
      <c r="N217" s="46" t="n"/>
      <c r="O217" s="40" t="n"/>
      <c r="P217" s="3">
        <f>Table6[[#This Row],[ (S/S) SAR]]-Table6[[#This Row],[(S/S) AJD]]</f>
        <v/>
      </c>
      <c r="Q217" s="40" t="n"/>
      <c r="R217" s="3">
        <f>Table6[[#This Row],[ (T/B) SAR]]-Table6[[#This Row],[(T/B) AJD]]</f>
        <v/>
      </c>
      <c r="S217" s="3">
        <f>Table6[[#This Row],[S/S_CON.]]+Table6[[#This Row],[T/B-CON.]]</f>
        <v/>
      </c>
      <c r="T217" s="3">
        <f>O217+Q217</f>
        <v/>
      </c>
      <c r="U217" s="44" t="n"/>
      <c r="V217" s="44" t="n"/>
      <c r="W217" s="3">
        <f>U217+V217</f>
        <v/>
      </c>
      <c r="X217" s="3">
        <f>T217-W217</f>
        <v/>
      </c>
      <c r="Y217" s="44" t="n"/>
      <c r="Z217" s="45" t="n"/>
      <c r="AA217" s="3">
        <f>Table6[[#This Row],[(RESV. STORGE) AJD]]/10</f>
        <v/>
      </c>
      <c r="AB217" s="3">
        <f>IF(TRIM(Z217)="",,(Z217-Z216)/1000)</f>
        <v/>
      </c>
      <c r="AC217" s="5" t="n"/>
      <c r="AD217" s="40">
        <f>(Table6[[#This Row],[( S/S+T/B) AJD]]*1000)-((Table6[[#This Row],[(STORGE DIFF.) AJD]]*1000)+Table6[[#This Row],[AJD_Evaporation]]+(Table6[[#This Row],[(A/B + A/S) AJD]]*1000))</f>
        <v/>
      </c>
      <c r="AE217" s="44" t="n"/>
      <c r="AF217" s="45" t="n"/>
      <c r="AG217" s="45" t="n"/>
      <c r="AH217" s="6">
        <f>Table6[[#This Row],[ (RESV. STORGE) BER]]/10</f>
        <v/>
      </c>
      <c r="AI217" s="44" t="n"/>
      <c r="AJ217" s="45">
        <f>Table6[[#This Row],[(A/B) AJD]]-TABL12345[[#This Row],[BER_IN]]</f>
        <v/>
      </c>
      <c r="AK217" s="45" t="n"/>
      <c r="AL217" s="45" t="n"/>
      <c r="AM217" s="32" t="n"/>
      <c r="AN217" s="32">
        <f>Table6[[#This Row],[ (RESV. STORGE) SER]]/10</f>
        <v/>
      </c>
      <c r="AO217" s="68" t="n"/>
      <c r="AP217" s="99">
        <f>Table6[[#This Row],[(A/S) AJD]]-Table6[[#This Row],[SER_IN]]</f>
        <v/>
      </c>
    </row>
    <row r="218" ht="18.75" customHeight="1">
      <c r="A218" s="98" t="n">
        <v>47700</v>
      </c>
      <c r="B218" s="41" t="n"/>
      <c r="C218" s="41" t="n"/>
      <c r="D218" s="41" t="n"/>
      <c r="E218" s="28" t="n"/>
      <c r="F218" s="41" t="n"/>
      <c r="G218" s="39" t="n"/>
      <c r="H218" s="28" t="n"/>
      <c r="I218" s="39" t="n"/>
      <c r="J218" s="39" t="n"/>
      <c r="K218" s="28">
        <f>Table6[[#This Row],[ (T/B) SAR]]+Table6[[#This Row],[ (S/S) SAR]]</f>
        <v/>
      </c>
      <c r="L218" s="41" t="n"/>
      <c r="M218" s="42" t="n"/>
      <c r="N218" s="42" t="n"/>
      <c r="O218" s="39" t="n"/>
      <c r="P218" s="3">
        <f>Table6[[#This Row],[ (S/S) SAR]]-Table6[[#This Row],[(S/S) AJD]]</f>
        <v/>
      </c>
      <c r="Q218" s="39" t="n"/>
      <c r="R218" s="3">
        <f>Table6[[#This Row],[ (T/B) SAR]]-Table6[[#This Row],[(T/B) AJD]]</f>
        <v/>
      </c>
      <c r="S218" s="3">
        <f>Table6[[#This Row],[S/S_CON.]]+Table6[[#This Row],[T/B-CON.]]</f>
        <v/>
      </c>
      <c r="T218" s="3">
        <f>O218+Q218</f>
        <v/>
      </c>
      <c r="U218" s="41" t="n"/>
      <c r="V218" s="41" t="n"/>
      <c r="W218" s="3">
        <f>U218+V218</f>
        <v/>
      </c>
      <c r="X218" s="3">
        <f>T218-W218</f>
        <v/>
      </c>
      <c r="Y218" s="41" t="n"/>
      <c r="Z218" s="43" t="n"/>
      <c r="AA218" s="3">
        <f>Table6[[#This Row],[(RESV. STORGE) AJD]]/10</f>
        <v/>
      </c>
      <c r="AB218" s="3">
        <f>IF(TRIM(Z218)="",,(Z218-Z217)/1000)</f>
        <v/>
      </c>
      <c r="AC218" s="5" t="n"/>
      <c r="AD218" s="39">
        <f>(Table6[[#This Row],[( S/S+T/B) AJD]]*1000)-((Table6[[#This Row],[(STORGE DIFF.) AJD]]*1000)+Table6[[#This Row],[AJD_Evaporation]]+(Table6[[#This Row],[(A/B + A/S) AJD]]*1000))</f>
        <v/>
      </c>
      <c r="AE218" s="41" t="n"/>
      <c r="AF218" s="43" t="n"/>
      <c r="AG218" s="43" t="n"/>
      <c r="AH218" s="6">
        <f>Table6[[#This Row],[ (RESV. STORGE) BER]]/10</f>
        <v/>
      </c>
      <c r="AI218" s="41" t="n"/>
      <c r="AJ218" s="43">
        <f>Table6[[#This Row],[(A/B) AJD]]-TABL12345[[#This Row],[BER_IN]]</f>
        <v/>
      </c>
      <c r="AK218" s="43" t="n"/>
      <c r="AL218" s="43" t="n"/>
      <c r="AM218" s="32" t="n"/>
      <c r="AN218" s="32">
        <f>Table6[[#This Row],[ (RESV. STORGE) SER]]/10</f>
        <v/>
      </c>
      <c r="AO218" s="68" t="n"/>
      <c r="AP218" s="99">
        <f>Table6[[#This Row],[(A/S) AJD]]-Table6[[#This Row],[SER_IN]]</f>
        <v/>
      </c>
    </row>
    <row r="219" ht="18.75" customHeight="1">
      <c r="A219" s="98" t="n">
        <v>47701</v>
      </c>
      <c r="B219" s="44" t="n"/>
      <c r="C219" s="44" t="n"/>
      <c r="D219" s="44" t="n"/>
      <c r="E219" s="28" t="n"/>
      <c r="F219" s="44" t="n"/>
      <c r="G219" s="40" t="n"/>
      <c r="H219" s="28" t="n"/>
      <c r="I219" s="40" t="n"/>
      <c r="J219" s="44" t="n"/>
      <c r="K219" s="28">
        <f>Table6[[#This Row],[ (T/B) SAR]]+Table6[[#This Row],[ (S/S) SAR]]</f>
        <v/>
      </c>
      <c r="L219" s="45" t="n"/>
      <c r="M219" s="46" t="n"/>
      <c r="N219" s="46" t="n"/>
      <c r="O219" s="40" t="n"/>
      <c r="P219" s="3">
        <f>Table6[[#This Row],[ (S/S) SAR]]-Table6[[#This Row],[(S/S) AJD]]</f>
        <v/>
      </c>
      <c r="Q219" s="40" t="n"/>
      <c r="R219" s="3">
        <f>Table6[[#This Row],[ (T/B) SAR]]-Table6[[#This Row],[(T/B) AJD]]</f>
        <v/>
      </c>
      <c r="S219" s="3">
        <f>Table6[[#This Row],[S/S_CON.]]+Table6[[#This Row],[T/B-CON.]]</f>
        <v/>
      </c>
      <c r="T219" s="3">
        <f>O219+Q219</f>
        <v/>
      </c>
      <c r="U219" s="44" t="n"/>
      <c r="V219" s="44" t="n"/>
      <c r="W219" s="3">
        <f>U219+V219</f>
        <v/>
      </c>
      <c r="X219" s="3">
        <f>T219-W219</f>
        <v/>
      </c>
      <c r="Y219" s="44" t="n"/>
      <c r="Z219" s="45" t="n"/>
      <c r="AA219" s="3">
        <f>Table6[[#This Row],[(RESV. STORGE) AJD]]/10</f>
        <v/>
      </c>
      <c r="AB219" s="3">
        <f>IF(TRIM(Z219)="",,(Z219-Z218)/1000)</f>
        <v/>
      </c>
      <c r="AC219" s="5" t="n"/>
      <c r="AD219" s="40">
        <f>(Table6[[#This Row],[( S/S+T/B) AJD]]*1000)-((Table6[[#This Row],[(STORGE DIFF.) AJD]]*1000)+Table6[[#This Row],[AJD_Evaporation]]+(Table6[[#This Row],[(A/B + A/S) AJD]]*1000))</f>
        <v/>
      </c>
      <c r="AE219" s="44" t="n"/>
      <c r="AF219" s="45" t="n"/>
      <c r="AG219" s="45" t="n"/>
      <c r="AH219" s="6">
        <f>Table6[[#This Row],[ (RESV. STORGE) BER]]/10</f>
        <v/>
      </c>
      <c r="AI219" s="44" t="n"/>
      <c r="AJ219" s="45">
        <f>Table6[[#This Row],[(A/B) AJD]]-TABL12345[[#This Row],[BER_IN]]</f>
        <v/>
      </c>
      <c r="AK219" s="45" t="n"/>
      <c r="AL219" s="45" t="n"/>
      <c r="AM219" s="32" t="n"/>
      <c r="AN219" s="32">
        <f>Table6[[#This Row],[ (RESV. STORGE) SER]]/10</f>
        <v/>
      </c>
      <c r="AO219" s="68" t="n"/>
      <c r="AP219" s="99">
        <f>Table6[[#This Row],[(A/S) AJD]]-Table6[[#This Row],[SER_IN]]</f>
        <v/>
      </c>
    </row>
    <row r="220" ht="18.75" customHeight="1">
      <c r="A220" s="98" t="n">
        <v>47702</v>
      </c>
      <c r="B220" s="41" t="n"/>
      <c r="C220" s="41" t="n"/>
      <c r="D220" s="41" t="n"/>
      <c r="E220" s="28" t="n"/>
      <c r="F220" s="41" t="n"/>
      <c r="G220" s="39" t="n"/>
      <c r="H220" s="28" t="n"/>
      <c r="I220" s="39" t="n"/>
      <c r="J220" s="39" t="n"/>
      <c r="K220" s="28">
        <f>Table6[[#This Row],[ (T/B) SAR]]+Table6[[#This Row],[ (S/S) SAR]]</f>
        <v/>
      </c>
      <c r="L220" s="41" t="n"/>
      <c r="M220" s="42" t="n"/>
      <c r="N220" s="42" t="n"/>
      <c r="O220" s="39" t="n"/>
      <c r="P220" s="3">
        <f>Table6[[#This Row],[ (S/S) SAR]]-Table6[[#This Row],[(S/S) AJD]]</f>
        <v/>
      </c>
      <c r="Q220" s="39" t="n"/>
      <c r="R220" s="3">
        <f>Table6[[#This Row],[ (T/B) SAR]]-Table6[[#This Row],[(T/B) AJD]]</f>
        <v/>
      </c>
      <c r="S220" s="3">
        <f>Table6[[#This Row],[S/S_CON.]]+Table6[[#This Row],[T/B-CON.]]</f>
        <v/>
      </c>
      <c r="T220" s="3">
        <f>O220+Q220</f>
        <v/>
      </c>
      <c r="U220" s="41" t="n"/>
      <c r="V220" s="41" t="n"/>
      <c r="W220" s="3">
        <f>U220+V220</f>
        <v/>
      </c>
      <c r="X220" s="3">
        <f>T220-W220</f>
        <v/>
      </c>
      <c r="Y220" s="41" t="n"/>
      <c r="Z220" s="43" t="n"/>
      <c r="AA220" s="3">
        <f>Table6[[#This Row],[(RESV. STORGE) AJD]]/10</f>
        <v/>
      </c>
      <c r="AB220" s="3">
        <f>IF(TRIM(Z220)="",,(Z220-Z219)/1000)</f>
        <v/>
      </c>
      <c r="AC220" s="5" t="n"/>
      <c r="AD220" s="39">
        <f>(Table6[[#This Row],[( S/S+T/B) AJD]]*1000)-((Table6[[#This Row],[(STORGE DIFF.) AJD]]*1000)+Table6[[#This Row],[AJD_Evaporation]]+(Table6[[#This Row],[(A/B + A/S) AJD]]*1000))</f>
        <v/>
      </c>
      <c r="AE220" s="41" t="n"/>
      <c r="AF220" s="43" t="n"/>
      <c r="AG220" s="43" t="n"/>
      <c r="AH220" s="6">
        <f>Table6[[#This Row],[ (RESV. STORGE) BER]]/10</f>
        <v/>
      </c>
      <c r="AI220" s="41" t="n"/>
      <c r="AJ220" s="43">
        <f>Table6[[#This Row],[(A/B) AJD]]-TABL12345[[#This Row],[BER_IN]]</f>
        <v/>
      </c>
      <c r="AK220" s="43" t="n"/>
      <c r="AL220" s="43" t="n"/>
      <c r="AM220" s="32" t="n"/>
      <c r="AN220" s="32">
        <f>Table6[[#This Row],[ (RESV. STORGE) SER]]/10</f>
        <v/>
      </c>
      <c r="AO220" s="68" t="n"/>
      <c r="AP220" s="99">
        <f>Table6[[#This Row],[(A/S) AJD]]-Table6[[#This Row],[SER_IN]]</f>
        <v/>
      </c>
    </row>
    <row r="221" ht="18.75" customHeight="1">
      <c r="A221" s="98" t="n">
        <v>47703</v>
      </c>
      <c r="B221" s="44" t="n"/>
      <c r="C221" s="44" t="n"/>
      <c r="D221" s="44" t="n"/>
      <c r="E221" s="28" t="n"/>
      <c r="F221" s="44" t="n"/>
      <c r="G221" s="40" t="n"/>
      <c r="H221" s="28" t="n"/>
      <c r="I221" s="40" t="n"/>
      <c r="J221" s="44" t="n"/>
      <c r="K221" s="28">
        <f>Table6[[#This Row],[ (T/B) SAR]]+Table6[[#This Row],[ (S/S) SAR]]</f>
        <v/>
      </c>
      <c r="L221" s="45" t="n"/>
      <c r="M221" s="46" t="n"/>
      <c r="N221" s="46" t="n"/>
      <c r="O221" s="40" t="n"/>
      <c r="P221" s="3">
        <f>Table6[[#This Row],[ (S/S) SAR]]-Table6[[#This Row],[(S/S) AJD]]</f>
        <v/>
      </c>
      <c r="Q221" s="40" t="n"/>
      <c r="R221" s="3">
        <f>Table6[[#This Row],[ (T/B) SAR]]-Table6[[#This Row],[(T/B) AJD]]</f>
        <v/>
      </c>
      <c r="S221" s="3">
        <f>Table6[[#This Row],[S/S_CON.]]+Table6[[#This Row],[T/B-CON.]]</f>
        <v/>
      </c>
      <c r="T221" s="3">
        <f>O221+Q221</f>
        <v/>
      </c>
      <c r="U221" s="44" t="n"/>
      <c r="V221" s="44" t="n"/>
      <c r="W221" s="3">
        <f>U221+V221</f>
        <v/>
      </c>
      <c r="X221" s="3">
        <f>T221-W221</f>
        <v/>
      </c>
      <c r="Y221" s="44" t="n"/>
      <c r="Z221" s="45" t="n"/>
      <c r="AA221" s="3">
        <f>Table6[[#This Row],[(RESV. STORGE) AJD]]/10</f>
        <v/>
      </c>
      <c r="AB221" s="3">
        <f>IF(TRIM(Z221)="",,(Z221-Z220)/1000)</f>
        <v/>
      </c>
      <c r="AC221" s="5" t="n"/>
      <c r="AD221" s="40">
        <f>(Table6[[#This Row],[( S/S+T/B) AJD]]*1000)-((Table6[[#This Row],[(STORGE DIFF.) AJD]]*1000)+Table6[[#This Row],[AJD_Evaporation]]+(Table6[[#This Row],[(A/B + A/S) AJD]]*1000))</f>
        <v/>
      </c>
      <c r="AE221" s="44" t="n"/>
      <c r="AF221" s="45" t="n"/>
      <c r="AG221" s="45" t="n"/>
      <c r="AH221" s="6">
        <f>Table6[[#This Row],[ (RESV. STORGE) BER]]/10</f>
        <v/>
      </c>
      <c r="AI221" s="44" t="n"/>
      <c r="AJ221" s="45">
        <f>Table6[[#This Row],[(A/B) AJD]]-TABL12345[[#This Row],[BER_IN]]</f>
        <v/>
      </c>
      <c r="AK221" s="45" t="n"/>
      <c r="AL221" s="45" t="n"/>
      <c r="AM221" s="32" t="n"/>
      <c r="AN221" s="32">
        <f>Table6[[#This Row],[ (RESV. STORGE) SER]]/10</f>
        <v/>
      </c>
      <c r="AO221" s="68" t="n"/>
      <c r="AP221" s="99">
        <f>Table6[[#This Row],[(A/S) AJD]]-Table6[[#This Row],[SER_IN]]</f>
        <v/>
      </c>
    </row>
    <row r="222" ht="18.75" customHeight="1">
      <c r="A222" s="98" t="n">
        <v>47704</v>
      </c>
      <c r="B222" s="41" t="n"/>
      <c r="C222" s="41" t="n"/>
      <c r="D222" s="41" t="n"/>
      <c r="E222" s="28" t="n"/>
      <c r="F222" s="41" t="n"/>
      <c r="G222" s="39" t="n"/>
      <c r="H222" s="28" t="n"/>
      <c r="I222" s="39" t="n"/>
      <c r="J222" s="39" t="n"/>
      <c r="K222" s="28">
        <f>Table6[[#This Row],[ (T/B) SAR]]+Table6[[#This Row],[ (S/S) SAR]]</f>
        <v/>
      </c>
      <c r="L222" s="41" t="n"/>
      <c r="M222" s="42" t="n"/>
      <c r="N222" s="42" t="n"/>
      <c r="O222" s="39" t="n"/>
      <c r="P222" s="3">
        <f>Table6[[#This Row],[ (S/S) SAR]]-Table6[[#This Row],[(S/S) AJD]]</f>
        <v/>
      </c>
      <c r="Q222" s="39" t="n"/>
      <c r="R222" s="3">
        <f>Table6[[#This Row],[ (T/B) SAR]]-Table6[[#This Row],[(T/B) AJD]]</f>
        <v/>
      </c>
      <c r="S222" s="3">
        <f>Table6[[#This Row],[S/S_CON.]]+Table6[[#This Row],[T/B-CON.]]</f>
        <v/>
      </c>
      <c r="T222" s="3">
        <f>O222+Q222</f>
        <v/>
      </c>
      <c r="U222" s="41" t="n"/>
      <c r="V222" s="41" t="n"/>
      <c r="W222" s="3">
        <f>U222+V222</f>
        <v/>
      </c>
      <c r="X222" s="3">
        <f>T222-W222</f>
        <v/>
      </c>
      <c r="Y222" s="41" t="n"/>
      <c r="Z222" s="43" t="n"/>
      <c r="AA222" s="3">
        <f>Table6[[#This Row],[(RESV. STORGE) AJD]]/10</f>
        <v/>
      </c>
      <c r="AB222" s="3">
        <f>IF(TRIM(Z222)="",,(Z222-Z221)/1000)</f>
        <v/>
      </c>
      <c r="AC222" s="5" t="n"/>
      <c r="AD222" s="39">
        <f>(Table6[[#This Row],[( S/S+T/B) AJD]]*1000)-((Table6[[#This Row],[(STORGE DIFF.) AJD]]*1000)+Table6[[#This Row],[AJD_Evaporation]]+(Table6[[#This Row],[(A/B + A/S) AJD]]*1000))</f>
        <v/>
      </c>
      <c r="AE222" s="41" t="n"/>
      <c r="AF222" s="43" t="n"/>
      <c r="AG222" s="43" t="n"/>
      <c r="AH222" s="6">
        <f>Table6[[#This Row],[ (RESV. STORGE) BER]]/10</f>
        <v/>
      </c>
      <c r="AI222" s="41" t="n"/>
      <c r="AJ222" s="43">
        <f>Table6[[#This Row],[(A/B) AJD]]-TABL12345[[#This Row],[BER_IN]]</f>
        <v/>
      </c>
      <c r="AK222" s="43" t="n"/>
      <c r="AL222" s="43" t="n"/>
      <c r="AM222" s="32" t="n"/>
      <c r="AN222" s="32">
        <f>Table6[[#This Row],[ (RESV. STORGE) SER]]/10</f>
        <v/>
      </c>
      <c r="AO222" s="68" t="n"/>
      <c r="AP222" s="99">
        <f>Table6[[#This Row],[(A/S) AJD]]-Table6[[#This Row],[SER_IN]]</f>
        <v/>
      </c>
    </row>
    <row r="223" ht="18.75" customHeight="1">
      <c r="A223" s="98" t="n">
        <v>47705</v>
      </c>
      <c r="B223" s="44" t="n"/>
      <c r="C223" s="44" t="n"/>
      <c r="D223" s="44" t="n"/>
      <c r="E223" s="28" t="n"/>
      <c r="F223" s="44" t="n"/>
      <c r="G223" s="40" t="n"/>
      <c r="H223" s="28" t="n"/>
      <c r="I223" s="40" t="n"/>
      <c r="J223" s="44" t="n"/>
      <c r="K223" s="28">
        <f>Table6[[#This Row],[ (T/B) SAR]]+Table6[[#This Row],[ (S/S) SAR]]</f>
        <v/>
      </c>
      <c r="L223" s="45" t="n"/>
      <c r="M223" s="46" t="n"/>
      <c r="N223" s="46" t="n"/>
      <c r="O223" s="40" t="n"/>
      <c r="P223" s="3">
        <f>Table6[[#This Row],[ (S/S) SAR]]-Table6[[#This Row],[(S/S) AJD]]</f>
        <v/>
      </c>
      <c r="Q223" s="40" t="n"/>
      <c r="R223" s="3">
        <f>Table6[[#This Row],[ (T/B) SAR]]-Table6[[#This Row],[(T/B) AJD]]</f>
        <v/>
      </c>
      <c r="S223" s="3">
        <f>Table6[[#This Row],[S/S_CON.]]+Table6[[#This Row],[T/B-CON.]]</f>
        <v/>
      </c>
      <c r="T223" s="3">
        <f>O223+Q223</f>
        <v/>
      </c>
      <c r="U223" s="44" t="n"/>
      <c r="V223" s="44" t="n"/>
      <c r="W223" s="3">
        <f>U223+V223</f>
        <v/>
      </c>
      <c r="X223" s="3">
        <f>T223-W223</f>
        <v/>
      </c>
      <c r="Y223" s="44" t="n"/>
      <c r="Z223" s="45" t="n"/>
      <c r="AA223" s="3">
        <f>Table6[[#This Row],[(RESV. STORGE) AJD]]/10</f>
        <v/>
      </c>
      <c r="AB223" s="3">
        <f>IF(TRIM(Z223)="",,(Z223-Z222)/1000)</f>
        <v/>
      </c>
      <c r="AC223" s="5" t="n"/>
      <c r="AD223" s="40">
        <f>(Table6[[#This Row],[( S/S+T/B) AJD]]*1000)-((Table6[[#This Row],[(STORGE DIFF.) AJD]]*1000)+Table6[[#This Row],[AJD_Evaporation]]+(Table6[[#This Row],[(A/B + A/S) AJD]]*1000))</f>
        <v/>
      </c>
      <c r="AE223" s="44" t="n"/>
      <c r="AF223" s="45" t="n"/>
      <c r="AG223" s="45" t="n"/>
      <c r="AH223" s="6">
        <f>Table6[[#This Row],[ (RESV. STORGE) BER]]/10</f>
        <v/>
      </c>
      <c r="AI223" s="44" t="n"/>
      <c r="AJ223" s="45">
        <f>Table6[[#This Row],[(A/B) AJD]]-TABL12345[[#This Row],[BER_IN]]</f>
        <v/>
      </c>
      <c r="AK223" s="45" t="n"/>
      <c r="AL223" s="45" t="n"/>
      <c r="AM223" s="32" t="n"/>
      <c r="AN223" s="32">
        <f>Table6[[#This Row],[ (RESV. STORGE) SER]]/10</f>
        <v/>
      </c>
      <c r="AO223" s="68" t="n"/>
      <c r="AP223" s="99">
        <f>Table6[[#This Row],[(A/S) AJD]]-Table6[[#This Row],[SER_IN]]</f>
        <v/>
      </c>
    </row>
    <row r="224" ht="18.75" customHeight="1">
      <c r="A224" s="98" t="n">
        <v>47706</v>
      </c>
      <c r="B224" s="41" t="n"/>
      <c r="C224" s="41" t="n"/>
      <c r="D224" s="41" t="n"/>
      <c r="E224" s="28" t="n"/>
      <c r="F224" s="41" t="n"/>
      <c r="G224" s="39" t="n"/>
      <c r="H224" s="28" t="n"/>
      <c r="I224" s="39" t="n"/>
      <c r="J224" s="39" t="n"/>
      <c r="K224" s="28">
        <f>Table6[[#This Row],[ (T/B) SAR]]+Table6[[#This Row],[ (S/S) SAR]]</f>
        <v/>
      </c>
      <c r="L224" s="41" t="n"/>
      <c r="M224" s="42" t="n"/>
      <c r="N224" s="42" t="n"/>
      <c r="O224" s="39" t="n"/>
      <c r="P224" s="3">
        <f>Table6[[#This Row],[ (S/S) SAR]]-Table6[[#This Row],[(S/S) AJD]]</f>
        <v/>
      </c>
      <c r="Q224" s="39" t="n"/>
      <c r="R224" s="3">
        <f>Table6[[#This Row],[ (T/B) SAR]]-Table6[[#This Row],[(T/B) AJD]]</f>
        <v/>
      </c>
      <c r="S224" s="3">
        <f>Table6[[#This Row],[S/S_CON.]]+Table6[[#This Row],[T/B-CON.]]</f>
        <v/>
      </c>
      <c r="T224" s="3">
        <f>O224+Q224</f>
        <v/>
      </c>
      <c r="U224" s="41" t="n"/>
      <c r="V224" s="41" t="n"/>
      <c r="W224" s="3">
        <f>U224+V224</f>
        <v/>
      </c>
      <c r="X224" s="3">
        <f>T224-W224</f>
        <v/>
      </c>
      <c r="Y224" s="41" t="n"/>
      <c r="Z224" s="43" t="n"/>
      <c r="AA224" s="3">
        <f>Table6[[#This Row],[(RESV. STORGE) AJD]]/10</f>
        <v/>
      </c>
      <c r="AB224" s="3">
        <f>IF(TRIM(Z224)="",,(Z224-Z223)/1000)</f>
        <v/>
      </c>
      <c r="AC224" s="5" t="n"/>
      <c r="AD224" s="39">
        <f>(Table6[[#This Row],[( S/S+T/B) AJD]]*1000)-((Table6[[#This Row],[(STORGE DIFF.) AJD]]*1000)+Table6[[#This Row],[AJD_Evaporation]]+(Table6[[#This Row],[(A/B + A/S) AJD]]*1000))</f>
        <v/>
      </c>
      <c r="AE224" s="41" t="n"/>
      <c r="AF224" s="43" t="n"/>
      <c r="AG224" s="68" t="n"/>
      <c r="AH224" s="6">
        <f>Table6[[#This Row],[ (RESV. STORGE) BER]]/10</f>
        <v/>
      </c>
      <c r="AI224" s="41" t="n"/>
      <c r="AJ224" s="68">
        <f>Table6[[#This Row],[(A/B) AJD]]-TABL12345[[#This Row],[BER_IN]]</f>
        <v/>
      </c>
      <c r="AK224" s="43" t="n"/>
      <c r="AL224" s="43" t="n"/>
      <c r="AM224" s="32" t="n"/>
      <c r="AN224" s="32">
        <f>Table6[[#This Row],[ (RESV. STORGE) SER]]/10</f>
        <v/>
      </c>
      <c r="AO224" s="68" t="n"/>
      <c r="AP224" s="99">
        <f>Table6[[#This Row],[(A/S) AJD]]-Table6[[#This Row],[SER_IN]]</f>
        <v/>
      </c>
    </row>
    <row r="225" ht="18.75" customHeight="1">
      <c r="A225" s="98" t="n">
        <v>47707</v>
      </c>
      <c r="B225" s="44" t="n"/>
      <c r="C225" s="44" t="n"/>
      <c r="D225" s="44" t="n"/>
      <c r="E225" s="28" t="n"/>
      <c r="F225" s="44" t="n"/>
      <c r="G225" s="40" t="n"/>
      <c r="H225" s="28" t="n"/>
      <c r="I225" s="40" t="n"/>
      <c r="J225" s="44" t="n"/>
      <c r="K225" s="28">
        <f>Table6[[#This Row],[ (T/B) SAR]]+Table6[[#This Row],[ (S/S) SAR]]</f>
        <v/>
      </c>
      <c r="L225" s="45" t="n"/>
      <c r="M225" s="46" t="n"/>
      <c r="N225" s="46" t="n"/>
      <c r="O225" s="40" t="n"/>
      <c r="P225" s="3">
        <f>Table6[[#This Row],[ (S/S) SAR]]-Table6[[#This Row],[(S/S) AJD]]</f>
        <v/>
      </c>
      <c r="Q225" s="40" t="n"/>
      <c r="R225" s="3">
        <f>Table6[[#This Row],[ (T/B) SAR]]-Table6[[#This Row],[(T/B) AJD]]</f>
        <v/>
      </c>
      <c r="S225" s="3">
        <f>Table6[[#This Row],[S/S_CON.]]+Table6[[#This Row],[T/B-CON.]]</f>
        <v/>
      </c>
      <c r="T225" s="3">
        <f>O225+Q225</f>
        <v/>
      </c>
      <c r="U225" s="44" t="n"/>
      <c r="V225" s="44" t="n"/>
      <c r="W225" s="3">
        <f>U225+V225</f>
        <v/>
      </c>
      <c r="X225" s="3">
        <f>T225-W225</f>
        <v/>
      </c>
      <c r="Y225" s="44" t="n"/>
      <c r="Z225" s="45" t="n"/>
      <c r="AA225" s="3">
        <f>Table6[[#This Row],[(RESV. STORGE) AJD]]/10</f>
        <v/>
      </c>
      <c r="AB225" s="3">
        <f>IF(TRIM(Z225)="",,(Z225-Z224)/1000)</f>
        <v/>
      </c>
      <c r="AC225" s="5" t="n"/>
      <c r="AD225" s="40">
        <f>(Table6[[#This Row],[( S/S+T/B) AJD]]*1000)-((Table6[[#This Row],[(STORGE DIFF.) AJD]]*1000)+Table6[[#This Row],[AJD_Evaporation]]+(Table6[[#This Row],[(A/B + A/S) AJD]]*1000))</f>
        <v/>
      </c>
      <c r="AE225" s="44" t="n"/>
      <c r="AF225" s="45" t="n"/>
      <c r="AG225" s="45" t="n"/>
      <c r="AH225" s="6">
        <f>Table6[[#This Row],[ (RESV. STORGE) BER]]/10</f>
        <v/>
      </c>
      <c r="AI225" s="44" t="n"/>
      <c r="AJ225" s="45">
        <f>Table6[[#This Row],[(A/B) AJD]]-TABL12345[[#This Row],[BER_IN]]</f>
        <v/>
      </c>
      <c r="AK225" s="45" t="n"/>
      <c r="AL225" s="45" t="n"/>
      <c r="AM225" s="32" t="n"/>
      <c r="AN225" s="32">
        <f>Table6[[#This Row],[ (RESV. STORGE) SER]]/10</f>
        <v/>
      </c>
      <c r="AO225" s="68" t="n"/>
      <c r="AP225" s="99">
        <f>Table6[[#This Row],[(A/S) AJD]]-Table6[[#This Row],[SER_IN]]</f>
        <v/>
      </c>
    </row>
    <row r="226" ht="18.75" customHeight="1">
      <c r="A226" s="98" t="n">
        <v>47708</v>
      </c>
      <c r="B226" s="41" t="n"/>
      <c r="C226" s="41" t="n"/>
      <c r="D226" s="41" t="n"/>
      <c r="E226" s="28" t="n"/>
      <c r="F226" s="41" t="n"/>
      <c r="G226" s="39" t="n"/>
      <c r="H226" s="28" t="n"/>
      <c r="I226" s="39" t="n"/>
      <c r="J226" s="39" t="n"/>
      <c r="K226" s="28">
        <f>Table6[[#This Row],[ (T/B) SAR]]+Table6[[#This Row],[ (S/S) SAR]]</f>
        <v/>
      </c>
      <c r="L226" s="41" t="n"/>
      <c r="M226" s="42" t="n"/>
      <c r="N226" s="42" t="n"/>
      <c r="O226" s="39" t="n"/>
      <c r="P226" s="3">
        <f>Table6[[#This Row],[ (S/S) SAR]]-Table6[[#This Row],[(S/S) AJD]]</f>
        <v/>
      </c>
      <c r="Q226" s="39" t="n"/>
      <c r="R226" s="3">
        <f>Table6[[#This Row],[ (T/B) SAR]]-Table6[[#This Row],[(T/B) AJD]]</f>
        <v/>
      </c>
      <c r="S226" s="3">
        <f>Table6[[#This Row],[S/S_CON.]]+Table6[[#This Row],[T/B-CON.]]</f>
        <v/>
      </c>
      <c r="T226" s="3">
        <f>O226+Q226</f>
        <v/>
      </c>
      <c r="U226" s="41" t="n"/>
      <c r="V226" s="41" t="n"/>
      <c r="W226" s="3">
        <f>U226+V226</f>
        <v/>
      </c>
      <c r="X226" s="3">
        <f>T226-W226</f>
        <v/>
      </c>
      <c r="Y226" s="41" t="n"/>
      <c r="Z226" s="43" t="n"/>
      <c r="AA226" s="3">
        <f>Table6[[#This Row],[(RESV. STORGE) AJD]]/10</f>
        <v/>
      </c>
      <c r="AB226" s="3">
        <f>IF(TRIM(Z226)="",,(Z226-Z225)/1000)</f>
        <v/>
      </c>
      <c r="AC226" s="5" t="n"/>
      <c r="AD226" s="39">
        <f>(Table6[[#This Row],[( S/S+T/B) AJD]]*1000)-((Table6[[#This Row],[(STORGE DIFF.) AJD]]*1000)+Table6[[#This Row],[AJD_Evaporation]]+(Table6[[#This Row],[(A/B + A/S) AJD]]*1000))</f>
        <v/>
      </c>
      <c r="AE226" s="41" t="n"/>
      <c r="AF226" s="43" t="n"/>
      <c r="AG226" s="43" t="n"/>
      <c r="AH226" s="6">
        <f>Table6[[#This Row],[ (RESV. STORGE) BER]]/10</f>
        <v/>
      </c>
      <c r="AI226" s="41" t="n"/>
      <c r="AJ226" s="43">
        <f>Table6[[#This Row],[(A/B) AJD]]-TABL12345[[#This Row],[BER_IN]]</f>
        <v/>
      </c>
      <c r="AK226" s="43" t="n"/>
      <c r="AL226" s="43" t="n"/>
      <c r="AM226" s="32" t="n"/>
      <c r="AN226" s="32">
        <f>Table6[[#This Row],[ (RESV. STORGE) SER]]/10</f>
        <v/>
      </c>
      <c r="AO226" s="68" t="n"/>
      <c r="AP226" s="99">
        <f>Table6[[#This Row],[(A/S) AJD]]-Table6[[#This Row],[SER_IN]]</f>
        <v/>
      </c>
    </row>
    <row r="227" ht="18.75" customHeight="1">
      <c r="A227" s="98" t="n">
        <v>47709</v>
      </c>
      <c r="B227" s="44" t="n"/>
      <c r="C227" s="44" t="n"/>
      <c r="D227" s="44" t="n"/>
      <c r="E227" s="28" t="n"/>
      <c r="F227" s="44" t="n"/>
      <c r="G227" s="40" t="n"/>
      <c r="H227" s="28" t="n"/>
      <c r="I227" s="40" t="n"/>
      <c r="J227" s="44" t="n"/>
      <c r="K227" s="28">
        <f>Table6[[#This Row],[ (T/B) SAR]]+Table6[[#This Row],[ (S/S) SAR]]</f>
        <v/>
      </c>
      <c r="L227" s="45" t="n"/>
      <c r="M227" s="46" t="n"/>
      <c r="N227" s="46" t="n"/>
      <c r="O227" s="40" t="n"/>
      <c r="P227" s="3">
        <f>Table6[[#This Row],[ (S/S) SAR]]-Table6[[#This Row],[(S/S) AJD]]</f>
        <v/>
      </c>
      <c r="Q227" s="40" t="n"/>
      <c r="R227" s="3">
        <f>Table6[[#This Row],[ (T/B) SAR]]-Table6[[#This Row],[(T/B) AJD]]</f>
        <v/>
      </c>
      <c r="S227" s="3">
        <f>Table6[[#This Row],[S/S_CON.]]+Table6[[#This Row],[T/B-CON.]]</f>
        <v/>
      </c>
      <c r="T227" s="3">
        <f>O227+Q227</f>
        <v/>
      </c>
      <c r="U227" s="44" t="n"/>
      <c r="V227" s="44" t="n"/>
      <c r="W227" s="3">
        <f>U227+V227</f>
        <v/>
      </c>
      <c r="X227" s="3">
        <f>T227-W227</f>
        <v/>
      </c>
      <c r="Y227" s="44" t="n"/>
      <c r="Z227" s="45" t="n"/>
      <c r="AA227" s="3">
        <f>Table6[[#This Row],[(RESV. STORGE) AJD]]/10</f>
        <v/>
      </c>
      <c r="AB227" s="3">
        <f>IF(TRIM(Z227)="",,(Z227-Z226)/1000)</f>
        <v/>
      </c>
      <c r="AC227" s="5" t="n"/>
      <c r="AD227" s="40">
        <f>(Table6[[#This Row],[( S/S+T/B) AJD]]*1000)-((Table6[[#This Row],[(STORGE DIFF.) AJD]]*1000)+Table6[[#This Row],[AJD_Evaporation]]+(Table6[[#This Row],[(A/B + A/S) AJD]]*1000))</f>
        <v/>
      </c>
      <c r="AE227" s="44" t="n"/>
      <c r="AF227" s="45" t="n"/>
      <c r="AG227" s="45" t="n"/>
      <c r="AH227" s="6">
        <f>Table6[[#This Row],[ (RESV. STORGE) BER]]/10</f>
        <v/>
      </c>
      <c r="AI227" s="44" t="n"/>
      <c r="AJ227" s="45">
        <f>Table6[[#This Row],[(A/B) AJD]]-TABL12345[[#This Row],[BER_IN]]</f>
        <v/>
      </c>
      <c r="AK227" s="45" t="n"/>
      <c r="AL227" s="45" t="n"/>
      <c r="AM227" s="32" t="n"/>
      <c r="AN227" s="32">
        <f>Table6[[#This Row],[ (RESV. STORGE) SER]]/10</f>
        <v/>
      </c>
      <c r="AO227" s="68" t="n"/>
      <c r="AP227" s="99">
        <f>Table6[[#This Row],[(A/S) AJD]]-Table6[[#This Row],[SER_IN]]</f>
        <v/>
      </c>
    </row>
    <row r="228" ht="18.75" customHeight="1">
      <c r="A228" s="98" t="n">
        <v>47710</v>
      </c>
      <c r="B228" s="41" t="n"/>
      <c r="C228" s="41" t="n"/>
      <c r="D228" s="41" t="n"/>
      <c r="E228" s="28" t="n"/>
      <c r="F228" s="41" t="n"/>
      <c r="G228" s="39" t="n"/>
      <c r="H228" s="28" t="n"/>
      <c r="I228" s="39" t="n"/>
      <c r="J228" s="39" t="n"/>
      <c r="K228" s="28">
        <f>Table6[[#This Row],[ (T/B) SAR]]+Table6[[#This Row],[ (S/S) SAR]]</f>
        <v/>
      </c>
      <c r="L228" s="41" t="n"/>
      <c r="M228" s="42" t="n"/>
      <c r="N228" s="42" t="n"/>
      <c r="O228" s="39" t="n"/>
      <c r="P228" s="3">
        <f>Table6[[#This Row],[ (S/S) SAR]]-Table6[[#This Row],[(S/S) AJD]]</f>
        <v/>
      </c>
      <c r="Q228" s="39" t="n"/>
      <c r="R228" s="3">
        <f>Table6[[#This Row],[ (T/B) SAR]]-Table6[[#This Row],[(T/B) AJD]]</f>
        <v/>
      </c>
      <c r="S228" s="3">
        <f>Table6[[#This Row],[S/S_CON.]]+Table6[[#This Row],[T/B-CON.]]</f>
        <v/>
      </c>
      <c r="T228" s="3">
        <f>O228+Q228</f>
        <v/>
      </c>
      <c r="U228" s="41" t="n"/>
      <c r="V228" s="41" t="n"/>
      <c r="W228" s="3">
        <f>U228+V228</f>
        <v/>
      </c>
      <c r="X228" s="3">
        <f>T228-W228</f>
        <v/>
      </c>
      <c r="Y228" s="41" t="n"/>
      <c r="Z228" s="43" t="n"/>
      <c r="AA228" s="3">
        <f>Table6[[#This Row],[(RESV. STORGE) AJD]]/10</f>
        <v/>
      </c>
      <c r="AB228" s="3">
        <f>IF(TRIM(Z228)="",,(Z228-Z227)/1000)</f>
        <v/>
      </c>
      <c r="AC228" s="5" t="n"/>
      <c r="AD228" s="39">
        <f>(Table6[[#This Row],[( S/S+T/B) AJD]]*1000)-((Table6[[#This Row],[(STORGE DIFF.) AJD]]*1000)+Table6[[#This Row],[AJD_Evaporation]]+(Table6[[#This Row],[(A/B + A/S) AJD]]*1000))</f>
        <v/>
      </c>
      <c r="AE228" s="41" t="n"/>
      <c r="AF228" s="43" t="n"/>
      <c r="AG228" s="43" t="n"/>
      <c r="AH228" s="6">
        <f>Table6[[#This Row],[ (RESV. STORGE) BER]]/10</f>
        <v/>
      </c>
      <c r="AI228" s="41" t="n"/>
      <c r="AJ228" s="43">
        <f>Table6[[#This Row],[(A/B) AJD]]-TABL12345[[#This Row],[BER_IN]]</f>
        <v/>
      </c>
      <c r="AK228" s="43" t="n"/>
      <c r="AL228" s="43" t="n"/>
      <c r="AM228" s="32" t="n"/>
      <c r="AN228" s="32">
        <f>Table6[[#This Row],[ (RESV. STORGE) SER]]/10</f>
        <v/>
      </c>
      <c r="AO228" s="68" t="n"/>
      <c r="AP228" s="99">
        <f>Table6[[#This Row],[(A/S) AJD]]-Table6[[#This Row],[SER_IN]]</f>
        <v/>
      </c>
    </row>
    <row r="229" ht="18.75" customHeight="1">
      <c r="A229" s="98" t="n">
        <v>47711</v>
      </c>
      <c r="B229" s="44" t="n"/>
      <c r="C229" s="44" t="n"/>
      <c r="D229" s="44" t="n"/>
      <c r="E229" s="28" t="n"/>
      <c r="F229" s="44" t="n"/>
      <c r="G229" s="40" t="n"/>
      <c r="H229" s="28" t="n"/>
      <c r="I229" s="40" t="n"/>
      <c r="J229" s="44" t="n"/>
      <c r="K229" s="28">
        <f>Table6[[#This Row],[ (T/B) SAR]]+Table6[[#This Row],[ (S/S) SAR]]</f>
        <v/>
      </c>
      <c r="L229" s="45" t="n"/>
      <c r="M229" s="46" t="n"/>
      <c r="N229" s="46" t="n"/>
      <c r="O229" s="40" t="n"/>
      <c r="P229" s="3">
        <f>Table6[[#This Row],[ (S/S) SAR]]-Table6[[#This Row],[(S/S) AJD]]</f>
        <v/>
      </c>
      <c r="Q229" s="40" t="n"/>
      <c r="R229" s="3">
        <f>Table6[[#This Row],[ (T/B) SAR]]-Table6[[#This Row],[(T/B) AJD]]</f>
        <v/>
      </c>
      <c r="S229" s="3">
        <f>Table6[[#This Row],[S/S_CON.]]+Table6[[#This Row],[T/B-CON.]]</f>
        <v/>
      </c>
      <c r="T229" s="3">
        <f>O229+Q229</f>
        <v/>
      </c>
      <c r="U229" s="44" t="n"/>
      <c r="V229" s="44" t="n"/>
      <c r="W229" s="3">
        <f>U229+V229</f>
        <v/>
      </c>
      <c r="X229" s="3">
        <f>T229-W229</f>
        <v/>
      </c>
      <c r="Y229" s="44" t="n"/>
      <c r="Z229" s="45" t="n"/>
      <c r="AA229" s="3">
        <f>Table6[[#This Row],[(RESV. STORGE) AJD]]/10</f>
        <v/>
      </c>
      <c r="AB229" s="3">
        <f>IF(TRIM(Z229)="",,(Z229-Z228)/1000)</f>
        <v/>
      </c>
      <c r="AC229" s="5" t="n"/>
      <c r="AD229" s="40">
        <f>(Table6[[#This Row],[( S/S+T/B) AJD]]*1000)-((Table6[[#This Row],[(STORGE DIFF.) AJD]]*1000)+Table6[[#This Row],[AJD_Evaporation]]+(Table6[[#This Row],[(A/B + A/S) AJD]]*1000))</f>
        <v/>
      </c>
      <c r="AE229" s="44" t="n"/>
      <c r="AF229" s="45" t="n"/>
      <c r="AG229" s="45" t="n"/>
      <c r="AH229" s="6">
        <f>Table6[[#This Row],[ (RESV. STORGE) BER]]/10</f>
        <v/>
      </c>
      <c r="AI229" s="44" t="n"/>
      <c r="AJ229" s="45">
        <f>Table6[[#This Row],[(A/B) AJD]]-TABL12345[[#This Row],[BER_IN]]</f>
        <v/>
      </c>
      <c r="AK229" s="45" t="n"/>
      <c r="AL229" s="45" t="n"/>
      <c r="AM229" s="32" t="n"/>
      <c r="AN229" s="32">
        <f>Table6[[#This Row],[ (RESV. STORGE) SER]]/10</f>
        <v/>
      </c>
      <c r="AO229" s="68" t="n"/>
      <c r="AP229" s="99">
        <f>Table6[[#This Row],[(A/S) AJD]]-Table6[[#This Row],[SER_IN]]</f>
        <v/>
      </c>
    </row>
    <row r="230" ht="18.75" customHeight="1">
      <c r="A230" s="98" t="n">
        <v>47712</v>
      </c>
      <c r="B230" s="41" t="n"/>
      <c r="C230" s="41" t="n"/>
      <c r="D230" s="41" t="n"/>
      <c r="E230" s="28" t="n"/>
      <c r="F230" s="41" t="n"/>
      <c r="G230" s="39" t="n"/>
      <c r="H230" s="28" t="n"/>
      <c r="I230" s="39" t="n"/>
      <c r="J230" s="39" t="n"/>
      <c r="K230" s="28">
        <f>Table6[[#This Row],[ (T/B) SAR]]+Table6[[#This Row],[ (S/S) SAR]]</f>
        <v/>
      </c>
      <c r="L230" s="41" t="n"/>
      <c r="M230" s="42" t="n"/>
      <c r="N230" s="42" t="n"/>
      <c r="O230" s="39" t="n"/>
      <c r="P230" s="3">
        <f>Table6[[#This Row],[ (S/S) SAR]]-Table6[[#This Row],[(S/S) AJD]]</f>
        <v/>
      </c>
      <c r="Q230" s="39" t="n"/>
      <c r="R230" s="3">
        <f>Table6[[#This Row],[ (T/B) SAR]]-Table6[[#This Row],[(T/B) AJD]]</f>
        <v/>
      </c>
      <c r="S230" s="3">
        <f>Table6[[#This Row],[S/S_CON.]]+Table6[[#This Row],[T/B-CON.]]</f>
        <v/>
      </c>
      <c r="T230" s="3">
        <f>O230+Q230</f>
        <v/>
      </c>
      <c r="U230" s="41" t="n"/>
      <c r="V230" s="41" t="n"/>
      <c r="W230" s="3">
        <f>U230+V230</f>
        <v/>
      </c>
      <c r="X230" s="3">
        <f>T230-W230</f>
        <v/>
      </c>
      <c r="Y230" s="41" t="n"/>
      <c r="Z230" s="43" t="n"/>
      <c r="AA230" s="3">
        <f>Table6[[#This Row],[(RESV. STORGE) AJD]]/10</f>
        <v/>
      </c>
      <c r="AB230" s="3">
        <f>IF(TRIM(Z230)="",,(Z230-Z229)/1000)</f>
        <v/>
      </c>
      <c r="AC230" s="5" t="n"/>
      <c r="AD230" s="39">
        <f>(Table6[[#This Row],[( S/S+T/B) AJD]]*1000)-((Table6[[#This Row],[(STORGE DIFF.) AJD]]*1000)+Table6[[#This Row],[AJD_Evaporation]]+(Table6[[#This Row],[(A/B + A/S) AJD]]*1000))</f>
        <v/>
      </c>
      <c r="AE230" s="41" t="n"/>
      <c r="AF230" s="43" t="n"/>
      <c r="AG230" s="43" t="n"/>
      <c r="AH230" s="6">
        <f>Table6[[#This Row],[ (RESV. STORGE) BER]]/10</f>
        <v/>
      </c>
      <c r="AI230" s="41" t="n"/>
      <c r="AJ230" s="43">
        <f>Table6[[#This Row],[(A/B) AJD]]-TABL12345[[#This Row],[BER_IN]]</f>
        <v/>
      </c>
      <c r="AK230" s="43" t="n"/>
      <c r="AL230" s="43" t="n"/>
      <c r="AM230" s="32" t="n"/>
      <c r="AN230" s="32">
        <f>Table6[[#This Row],[ (RESV. STORGE) SER]]/10</f>
        <v/>
      </c>
      <c r="AO230" s="68" t="n"/>
      <c r="AP230" s="99">
        <f>Table6[[#This Row],[(A/S) AJD]]-Table6[[#This Row],[SER_IN]]</f>
        <v/>
      </c>
    </row>
    <row r="231" ht="18.75" customHeight="1">
      <c r="A231" s="98" t="n">
        <v>47713</v>
      </c>
      <c r="B231" s="44" t="n"/>
      <c r="C231" s="44" t="n"/>
      <c r="D231" s="44" t="n"/>
      <c r="E231" s="28" t="n"/>
      <c r="F231" s="44" t="n"/>
      <c r="G231" s="40" t="n"/>
      <c r="H231" s="28" t="n"/>
      <c r="I231" s="40" t="n"/>
      <c r="J231" s="44" t="n"/>
      <c r="K231" s="28">
        <f>Table6[[#This Row],[ (T/B) SAR]]+Table6[[#This Row],[ (S/S) SAR]]</f>
        <v/>
      </c>
      <c r="L231" s="45" t="n"/>
      <c r="M231" s="46" t="n"/>
      <c r="N231" s="46" t="n"/>
      <c r="O231" s="40" t="n"/>
      <c r="P231" s="3">
        <f>Table6[[#This Row],[ (S/S) SAR]]-Table6[[#This Row],[(S/S) AJD]]</f>
        <v/>
      </c>
      <c r="Q231" s="40" t="n"/>
      <c r="R231" s="3">
        <f>Table6[[#This Row],[ (T/B) SAR]]-Table6[[#This Row],[(T/B) AJD]]</f>
        <v/>
      </c>
      <c r="S231" s="3">
        <f>Table6[[#This Row],[S/S_CON.]]+Table6[[#This Row],[T/B-CON.]]</f>
        <v/>
      </c>
      <c r="T231" s="3">
        <f>O231+Q231</f>
        <v/>
      </c>
      <c r="U231" s="44" t="n"/>
      <c r="V231" s="44" t="n"/>
      <c r="W231" s="3">
        <f>U231+V231</f>
        <v/>
      </c>
      <c r="X231" s="3">
        <f>T231-W231</f>
        <v/>
      </c>
      <c r="Y231" s="44" t="n"/>
      <c r="Z231" s="45" t="n"/>
      <c r="AA231" s="3">
        <f>Table6[[#This Row],[(RESV. STORGE) AJD]]/10</f>
        <v/>
      </c>
      <c r="AB231" s="3">
        <f>IF(TRIM(Z231)="",,(Z231-Z230)/1000)</f>
        <v/>
      </c>
      <c r="AC231" s="5" t="n"/>
      <c r="AD231" s="40">
        <f>(Table6[[#This Row],[( S/S+T/B) AJD]]*1000)-((Table6[[#This Row],[(STORGE DIFF.) AJD]]*1000)+Table6[[#This Row],[AJD_Evaporation]]+(Table6[[#This Row],[(A/B + A/S) AJD]]*1000))</f>
        <v/>
      </c>
      <c r="AE231" s="44" t="n"/>
      <c r="AF231" s="45" t="n"/>
      <c r="AG231" s="45" t="n"/>
      <c r="AH231" s="6">
        <f>Table6[[#This Row],[ (RESV. STORGE) BER]]/10</f>
        <v/>
      </c>
      <c r="AI231" s="44" t="n"/>
      <c r="AJ231" s="45">
        <f>Table6[[#This Row],[(A/B) AJD]]-TABL12345[[#This Row],[BER_IN]]</f>
        <v/>
      </c>
      <c r="AK231" s="45" t="n"/>
      <c r="AL231" s="45" t="n"/>
      <c r="AM231" s="32" t="n"/>
      <c r="AN231" s="32">
        <f>Table6[[#This Row],[ (RESV. STORGE) SER]]/10</f>
        <v/>
      </c>
      <c r="AO231" s="68" t="n"/>
      <c r="AP231" s="99">
        <f>Table6[[#This Row],[(A/S) AJD]]-Table6[[#This Row],[SER_IN]]</f>
        <v/>
      </c>
    </row>
    <row r="232" ht="18.75" customHeight="1">
      <c r="A232" s="98" t="n">
        <v>47714</v>
      </c>
      <c r="B232" s="41" t="n"/>
      <c r="C232" s="41" t="n"/>
      <c r="D232" s="41" t="n"/>
      <c r="E232" s="28" t="n"/>
      <c r="F232" s="41" t="n"/>
      <c r="G232" s="39" t="n"/>
      <c r="H232" s="28" t="n"/>
      <c r="I232" s="71" t="n"/>
      <c r="J232" s="39" t="n"/>
      <c r="K232" s="28">
        <f>Table6[[#This Row],[ (T/B) SAR]]+Table6[[#This Row],[ (S/S) SAR]]</f>
        <v/>
      </c>
      <c r="L232" s="41" t="n"/>
      <c r="M232" s="42" t="n"/>
      <c r="N232" s="42" t="n"/>
      <c r="O232" s="39" t="n"/>
      <c r="P232" s="3">
        <f>Table6[[#This Row],[ (S/S) SAR]]-Table6[[#This Row],[(S/S) AJD]]</f>
        <v/>
      </c>
      <c r="Q232" s="39" t="n"/>
      <c r="R232" s="3">
        <f>Table6[[#This Row],[ (T/B) SAR]]-Table6[[#This Row],[(T/B) AJD]]</f>
        <v/>
      </c>
      <c r="S232" s="3">
        <f>Table6[[#This Row],[S/S_CON.]]+Table6[[#This Row],[T/B-CON.]]</f>
        <v/>
      </c>
      <c r="T232" s="3">
        <f>O232+Q232</f>
        <v/>
      </c>
      <c r="U232" s="41" t="n"/>
      <c r="V232" s="41" t="n"/>
      <c r="W232" s="3">
        <f>U232+V232</f>
        <v/>
      </c>
      <c r="X232" s="3">
        <f>T232-W232</f>
        <v/>
      </c>
      <c r="Y232" s="41" t="n"/>
      <c r="Z232" s="43" t="n"/>
      <c r="AA232" s="3">
        <f>Table6[[#This Row],[(RESV. STORGE) AJD]]/10</f>
        <v/>
      </c>
      <c r="AB232" s="3">
        <f>IF(TRIM(Z232)="",,(Z232-Z231)/1000)</f>
        <v/>
      </c>
      <c r="AC232" s="5" t="n"/>
      <c r="AD232" s="39">
        <f>(Table6[[#This Row],[( S/S+T/B) AJD]]*1000)-((Table6[[#This Row],[(STORGE DIFF.) AJD]]*1000)+Table6[[#This Row],[AJD_Evaporation]]+(Table6[[#This Row],[(A/B + A/S) AJD]]*1000))</f>
        <v/>
      </c>
      <c r="AE232" s="41" t="n"/>
      <c r="AF232" s="43" t="n"/>
      <c r="AG232" s="43" t="n"/>
      <c r="AH232" s="6">
        <f>Table6[[#This Row],[ (RESV. STORGE) BER]]/10</f>
        <v/>
      </c>
      <c r="AI232" s="41" t="n"/>
      <c r="AJ232" s="43">
        <f>Table6[[#This Row],[(A/B) AJD]]-TABL12345[[#This Row],[BER_IN]]</f>
        <v/>
      </c>
      <c r="AK232" s="43" t="n"/>
      <c r="AL232" s="43" t="n"/>
      <c r="AM232" s="32" t="n"/>
      <c r="AN232" s="32">
        <f>Table6[[#This Row],[ (RESV. STORGE) SER]]/10</f>
        <v/>
      </c>
      <c r="AO232" s="68" t="n"/>
      <c r="AP232" s="99">
        <f>Table6[[#This Row],[(A/S) AJD]]-Table6[[#This Row],[SER_IN]]</f>
        <v/>
      </c>
    </row>
    <row r="233" ht="18.75" customHeight="1">
      <c r="A233" s="98" t="n">
        <v>47715</v>
      </c>
      <c r="B233" s="44" t="n"/>
      <c r="C233" s="44" t="n"/>
      <c r="D233" s="44" t="n"/>
      <c r="E233" s="28" t="n"/>
      <c r="F233" s="44" t="n"/>
      <c r="G233" s="40" t="n"/>
      <c r="H233" s="28" t="n"/>
      <c r="I233" s="40" t="n"/>
      <c r="J233" s="44" t="n"/>
      <c r="K233" s="28">
        <f>Table6[[#This Row],[ (T/B) SAR]]+Table6[[#This Row],[ (S/S) SAR]]</f>
        <v/>
      </c>
      <c r="L233" s="45" t="n"/>
      <c r="M233" s="46" t="n"/>
      <c r="N233" s="46" t="n"/>
      <c r="O233" s="40" t="n"/>
      <c r="P233" s="3">
        <f>Table6[[#This Row],[ (S/S) SAR]]-Table6[[#This Row],[(S/S) AJD]]</f>
        <v/>
      </c>
      <c r="Q233" s="40" t="n"/>
      <c r="R233" s="3">
        <f>Table6[[#This Row],[ (T/B) SAR]]-Table6[[#This Row],[(T/B) AJD]]</f>
        <v/>
      </c>
      <c r="S233" s="3">
        <f>Table6[[#This Row],[S/S_CON.]]+Table6[[#This Row],[T/B-CON.]]</f>
        <v/>
      </c>
      <c r="T233" s="3">
        <f>O233+Q233</f>
        <v/>
      </c>
      <c r="U233" s="44" t="n"/>
      <c r="V233" s="44" t="n"/>
      <c r="W233" s="3">
        <f>U233+V233</f>
        <v/>
      </c>
      <c r="X233" s="3">
        <f>T233-W233</f>
        <v/>
      </c>
      <c r="Y233" s="44" t="n"/>
      <c r="Z233" s="45" t="n"/>
      <c r="AA233" s="3">
        <f>Table6[[#This Row],[(RESV. STORGE) AJD]]/10</f>
        <v/>
      </c>
      <c r="AB233" s="3">
        <f>IF(TRIM(Z233)="",,(Z233-Z232)/1000)</f>
        <v/>
      </c>
      <c r="AC233" s="5" t="n"/>
      <c r="AD233" s="40">
        <f>(Table6[[#This Row],[( S/S+T/B) AJD]]*1000)-((Table6[[#This Row],[(STORGE DIFF.) AJD]]*1000)+Table6[[#This Row],[AJD_Evaporation]]+(Table6[[#This Row],[(A/B + A/S) AJD]]*1000))</f>
        <v/>
      </c>
      <c r="AE233" s="44" t="n"/>
      <c r="AF233" s="45" t="n"/>
      <c r="AG233" s="45" t="n"/>
      <c r="AH233" s="6">
        <f>Table6[[#This Row],[ (RESV. STORGE) BER]]/10</f>
        <v/>
      </c>
      <c r="AI233" s="44" t="n"/>
      <c r="AJ233" s="45">
        <f>Table6[[#This Row],[(A/B) AJD]]-TABL12345[[#This Row],[BER_IN]]</f>
        <v/>
      </c>
      <c r="AK233" s="45" t="n"/>
      <c r="AL233" s="45" t="n"/>
      <c r="AM233" s="32" t="n"/>
      <c r="AN233" s="32">
        <f>Table6[[#This Row],[ (RESV. STORGE) SER]]/10</f>
        <v/>
      </c>
      <c r="AO233" s="68" t="n"/>
      <c r="AP233" s="99">
        <f>Table6[[#This Row],[(A/S) AJD]]-Table6[[#This Row],[SER_IN]]</f>
        <v/>
      </c>
    </row>
    <row r="234" ht="18.75" customHeight="1">
      <c r="A234" s="98" t="n">
        <v>47716</v>
      </c>
      <c r="B234" s="41" t="n"/>
      <c r="C234" s="41" t="n"/>
      <c r="D234" s="41" t="n"/>
      <c r="E234" s="28" t="n"/>
      <c r="F234" s="41" t="n"/>
      <c r="G234" s="39" t="n"/>
      <c r="H234" s="28" t="n"/>
      <c r="I234" s="39" t="n"/>
      <c r="J234" s="39" t="n"/>
      <c r="K234" s="28">
        <f>Table6[[#This Row],[ (T/B) SAR]]+Table6[[#This Row],[ (S/S) SAR]]</f>
        <v/>
      </c>
      <c r="L234" s="41" t="n"/>
      <c r="M234" s="42" t="n"/>
      <c r="N234" s="42" t="n"/>
      <c r="O234" s="39" t="n"/>
      <c r="P234" s="3">
        <f>Table6[[#This Row],[ (S/S) SAR]]-Table6[[#This Row],[(S/S) AJD]]</f>
        <v/>
      </c>
      <c r="Q234" s="39" t="n"/>
      <c r="R234" s="3">
        <f>Table6[[#This Row],[ (T/B) SAR]]-Table6[[#This Row],[(T/B) AJD]]</f>
        <v/>
      </c>
      <c r="S234" s="3">
        <f>Table6[[#This Row],[S/S_CON.]]+Table6[[#This Row],[T/B-CON.]]</f>
        <v/>
      </c>
      <c r="T234" s="3">
        <f>O234+Q234</f>
        <v/>
      </c>
      <c r="U234" s="41" t="n"/>
      <c r="V234" s="41" t="n"/>
      <c r="W234" s="3">
        <f>U234+V234</f>
        <v/>
      </c>
      <c r="X234" s="3">
        <f>T234-W234</f>
        <v/>
      </c>
      <c r="Y234" s="41" t="n"/>
      <c r="Z234" s="43" t="n"/>
      <c r="AA234" s="3">
        <f>Table6[[#This Row],[(RESV. STORGE) AJD]]/10</f>
        <v/>
      </c>
      <c r="AB234" s="3">
        <f>IF(TRIM(Z234)="",,(Z234-Z233)/1000)</f>
        <v/>
      </c>
      <c r="AC234" s="5" t="n"/>
      <c r="AD234" s="39">
        <f>(Table6[[#This Row],[( S/S+T/B) AJD]]*1000)-((Table6[[#This Row],[(STORGE DIFF.) AJD]]*1000)+Table6[[#This Row],[AJD_Evaporation]]+(Table6[[#This Row],[(A/B + A/S) AJD]]*1000))</f>
        <v/>
      </c>
      <c r="AE234" s="41" t="n"/>
      <c r="AF234" s="43" t="n"/>
      <c r="AG234" s="43" t="n"/>
      <c r="AH234" s="6">
        <f>Table6[[#This Row],[ (RESV. STORGE) BER]]/10</f>
        <v/>
      </c>
      <c r="AI234" s="41" t="n"/>
      <c r="AJ234" s="43">
        <f>Table6[[#This Row],[(A/B) AJD]]-TABL12345[[#This Row],[BER_IN]]</f>
        <v/>
      </c>
      <c r="AK234" s="43" t="n"/>
      <c r="AL234" s="43" t="n"/>
      <c r="AM234" s="32" t="n"/>
      <c r="AN234" s="32">
        <f>Table6[[#This Row],[ (RESV. STORGE) SER]]/10</f>
        <v/>
      </c>
      <c r="AO234" s="68" t="n"/>
      <c r="AP234" s="99">
        <f>Table6[[#This Row],[(A/S) AJD]]-Table6[[#This Row],[SER_IN]]</f>
        <v/>
      </c>
    </row>
    <row r="235" ht="18.75" customHeight="1">
      <c r="A235" s="98" t="n">
        <v>47717</v>
      </c>
      <c r="B235" s="44" t="n"/>
      <c r="C235" s="44" t="n"/>
      <c r="D235" s="44" t="n"/>
      <c r="E235" s="28" t="n"/>
      <c r="F235" s="44" t="n"/>
      <c r="G235" s="40" t="n"/>
      <c r="H235" s="28" t="n"/>
      <c r="I235" s="40" t="n"/>
      <c r="J235" s="44" t="n"/>
      <c r="K235" s="28">
        <f>Table6[[#This Row],[ (T/B) SAR]]+Table6[[#This Row],[ (S/S) SAR]]</f>
        <v/>
      </c>
      <c r="L235" s="45" t="n"/>
      <c r="M235" s="46" t="n"/>
      <c r="N235" s="46" t="n"/>
      <c r="O235" s="40" t="n"/>
      <c r="P235" s="3">
        <f>Table6[[#This Row],[ (S/S) SAR]]-Table6[[#This Row],[(S/S) AJD]]</f>
        <v/>
      </c>
      <c r="Q235" s="40" t="n"/>
      <c r="R235" s="3">
        <f>Table6[[#This Row],[ (T/B) SAR]]-Table6[[#This Row],[(T/B) AJD]]</f>
        <v/>
      </c>
      <c r="S235" s="3">
        <f>Table6[[#This Row],[S/S_CON.]]+Table6[[#This Row],[T/B-CON.]]</f>
        <v/>
      </c>
      <c r="T235" s="3">
        <f>O235+Q235</f>
        <v/>
      </c>
      <c r="U235" s="44" t="n"/>
      <c r="V235" s="44" t="n"/>
      <c r="W235" s="3">
        <f>U235+V235</f>
        <v/>
      </c>
      <c r="X235" s="3">
        <f>T235-W235</f>
        <v/>
      </c>
      <c r="Y235" s="44" t="n"/>
      <c r="Z235" s="45" t="n"/>
      <c r="AA235" s="3">
        <f>Table6[[#This Row],[(RESV. STORGE) AJD]]/10</f>
        <v/>
      </c>
      <c r="AB235" s="3">
        <f>IF(TRIM(Z235)="",,(Z235-Z234)/1000)</f>
        <v/>
      </c>
      <c r="AC235" s="5" t="n"/>
      <c r="AD235" s="40">
        <f>(Table6[[#This Row],[( S/S+T/B) AJD]]*1000)-((Table6[[#This Row],[(STORGE DIFF.) AJD]]*1000)+Table6[[#This Row],[AJD_Evaporation]]+(Table6[[#This Row],[(A/B + A/S) AJD]]*1000))</f>
        <v/>
      </c>
      <c r="AE235" s="44" t="n"/>
      <c r="AF235" s="45" t="n"/>
      <c r="AG235" s="45" t="n"/>
      <c r="AH235" s="6">
        <f>Table6[[#This Row],[ (RESV. STORGE) BER]]/10</f>
        <v/>
      </c>
      <c r="AI235" s="44" t="n"/>
      <c r="AJ235" s="45">
        <f>Table6[[#This Row],[(A/B) AJD]]-TABL12345[[#This Row],[BER_IN]]</f>
        <v/>
      </c>
      <c r="AK235" s="45" t="n"/>
      <c r="AL235" s="45" t="n"/>
      <c r="AM235" s="32" t="n"/>
      <c r="AN235" s="32">
        <f>Table6[[#This Row],[ (RESV. STORGE) SER]]/10</f>
        <v/>
      </c>
      <c r="AO235" s="68" t="n"/>
      <c r="AP235" s="99">
        <f>Table6[[#This Row],[(A/S) AJD]]-Table6[[#This Row],[SER_IN]]</f>
        <v/>
      </c>
    </row>
    <row r="236" ht="18.75" customHeight="1">
      <c r="A236" s="98" t="n">
        <v>47718</v>
      </c>
      <c r="B236" s="41" t="n"/>
      <c r="C236" s="41" t="n"/>
      <c r="D236" s="41" t="n"/>
      <c r="E236" s="28" t="n"/>
      <c r="F236" s="41" t="n"/>
      <c r="G236" s="39" t="n"/>
      <c r="H236" s="28" t="n"/>
      <c r="I236" s="39" t="n"/>
      <c r="J236" s="39" t="n"/>
      <c r="K236" s="28">
        <f>Table6[[#This Row],[ (T/B) SAR]]+Table6[[#This Row],[ (S/S) SAR]]</f>
        <v/>
      </c>
      <c r="L236" s="41" t="n"/>
      <c r="M236" s="42" t="n"/>
      <c r="N236" s="42" t="n"/>
      <c r="O236" s="39" t="n"/>
      <c r="P236" s="3">
        <f>Table6[[#This Row],[ (S/S) SAR]]-Table6[[#This Row],[(S/S) AJD]]</f>
        <v/>
      </c>
      <c r="Q236" s="39" t="n"/>
      <c r="R236" s="3">
        <f>Table6[[#This Row],[ (T/B) SAR]]-Table6[[#This Row],[(T/B) AJD]]</f>
        <v/>
      </c>
      <c r="S236" s="3">
        <f>Table6[[#This Row],[S/S_CON.]]+Table6[[#This Row],[T/B-CON.]]</f>
        <v/>
      </c>
      <c r="T236" s="3">
        <f>O236+Q236</f>
        <v/>
      </c>
      <c r="U236" s="41" t="n"/>
      <c r="V236" s="41" t="n"/>
      <c r="W236" s="3">
        <f>U236+V236</f>
        <v/>
      </c>
      <c r="X236" s="3">
        <f>T236-W236</f>
        <v/>
      </c>
      <c r="Y236" s="41" t="n"/>
      <c r="Z236" s="43" t="n"/>
      <c r="AA236" s="3">
        <f>Table6[[#This Row],[(RESV. STORGE) AJD]]/10</f>
        <v/>
      </c>
      <c r="AB236" s="3">
        <f>IF(TRIM(Z236)="",,(Z236-Z235)/1000)</f>
        <v/>
      </c>
      <c r="AC236" s="5" t="n"/>
      <c r="AD236" s="39">
        <f>(Table6[[#This Row],[( S/S+T/B) AJD]]*1000)-((Table6[[#This Row],[(STORGE DIFF.) AJD]]*1000)+Table6[[#This Row],[AJD_Evaporation]]+(Table6[[#This Row],[(A/B + A/S) AJD]]*1000))</f>
        <v/>
      </c>
      <c r="AE236" s="41" t="n"/>
      <c r="AF236" s="43" t="n"/>
      <c r="AG236" s="43" t="n"/>
      <c r="AH236" s="6">
        <f>Table6[[#This Row],[ (RESV. STORGE) BER]]/10</f>
        <v/>
      </c>
      <c r="AI236" s="41" t="n"/>
      <c r="AJ236" s="43">
        <f>Table6[[#This Row],[(A/B) AJD]]-TABL12345[[#This Row],[BER_IN]]</f>
        <v/>
      </c>
      <c r="AK236" s="43" t="n"/>
      <c r="AL236" s="43" t="n"/>
      <c r="AM236" s="32" t="n"/>
      <c r="AN236" s="32">
        <f>Table6[[#This Row],[ (RESV. STORGE) SER]]/10</f>
        <v/>
      </c>
      <c r="AO236" s="68" t="n"/>
      <c r="AP236" s="99">
        <f>Table6[[#This Row],[(A/S) AJD]]-Table6[[#This Row],[SER_IN]]</f>
        <v/>
      </c>
    </row>
    <row r="237" ht="18.75" customHeight="1">
      <c r="A237" s="98" t="n">
        <v>47719</v>
      </c>
      <c r="B237" s="44" t="n"/>
      <c r="C237" s="44" t="n"/>
      <c r="D237" s="44" t="n"/>
      <c r="E237" s="28" t="n"/>
      <c r="F237" s="44" t="n"/>
      <c r="G237" s="40" t="n"/>
      <c r="H237" s="28" t="n"/>
      <c r="I237" s="40" t="n"/>
      <c r="J237" s="44" t="n"/>
      <c r="K237" s="28">
        <f>Table6[[#This Row],[ (T/B) SAR]]+Table6[[#This Row],[ (S/S) SAR]]</f>
        <v/>
      </c>
      <c r="L237" s="45" t="n"/>
      <c r="M237" s="46" t="n"/>
      <c r="N237" s="46" t="n"/>
      <c r="O237" s="40" t="n"/>
      <c r="P237" s="3">
        <f>Table6[[#This Row],[ (S/S) SAR]]-Table6[[#This Row],[(S/S) AJD]]</f>
        <v/>
      </c>
      <c r="Q237" s="40" t="n"/>
      <c r="R237" s="3">
        <f>Table6[[#This Row],[ (T/B) SAR]]-Table6[[#This Row],[(T/B) AJD]]</f>
        <v/>
      </c>
      <c r="S237" s="3">
        <f>Table6[[#This Row],[S/S_CON.]]+Table6[[#This Row],[T/B-CON.]]</f>
        <v/>
      </c>
      <c r="T237" s="3">
        <f>O237+Q237</f>
        <v/>
      </c>
      <c r="U237" s="44" t="n"/>
      <c r="V237" s="44" t="n"/>
      <c r="W237" s="3">
        <f>U237+V237</f>
        <v/>
      </c>
      <c r="X237" s="3">
        <f>T237-W237</f>
        <v/>
      </c>
      <c r="Y237" s="44" t="n"/>
      <c r="Z237" s="45" t="n"/>
      <c r="AA237" s="3">
        <f>Table6[[#This Row],[(RESV. STORGE) AJD]]/10</f>
        <v/>
      </c>
      <c r="AB237" s="3">
        <f>IF(TRIM(Z237)="",,(Z237-Z236)/1000)</f>
        <v/>
      </c>
      <c r="AC237" s="5" t="n"/>
      <c r="AD237" s="40">
        <f>(Table6[[#This Row],[( S/S+T/B) AJD]]*1000)-((Table6[[#This Row],[(STORGE DIFF.) AJD]]*1000)+Table6[[#This Row],[AJD_Evaporation]]+(Table6[[#This Row],[(A/B + A/S) AJD]]*1000))</f>
        <v/>
      </c>
      <c r="AE237" s="44" t="n"/>
      <c r="AF237" s="45" t="n"/>
      <c r="AG237" s="45" t="n"/>
      <c r="AH237" s="6">
        <f>Table6[[#This Row],[ (RESV. STORGE) BER]]/10</f>
        <v/>
      </c>
      <c r="AI237" s="44" t="n"/>
      <c r="AJ237" s="45">
        <f>Table6[[#This Row],[(A/B) AJD]]-TABL12345[[#This Row],[BER_IN]]</f>
        <v/>
      </c>
      <c r="AK237" s="45" t="n"/>
      <c r="AL237" s="45" t="n"/>
      <c r="AM237" s="32" t="n"/>
      <c r="AN237" s="32">
        <f>Table6[[#This Row],[ (RESV. STORGE) SER]]/10</f>
        <v/>
      </c>
      <c r="AO237" s="68" t="n"/>
      <c r="AP237" s="99">
        <f>Table6[[#This Row],[(A/S) AJD]]-Table6[[#This Row],[SER_IN]]</f>
        <v/>
      </c>
    </row>
    <row r="238" ht="18.75" customHeight="1">
      <c r="A238" s="98" t="n">
        <v>47720</v>
      </c>
      <c r="B238" s="41" t="n"/>
      <c r="C238" s="41" t="n"/>
      <c r="D238" s="41" t="n"/>
      <c r="E238" s="28" t="n"/>
      <c r="F238" s="41" t="n"/>
      <c r="G238" s="39" t="n"/>
      <c r="H238" s="28" t="n"/>
      <c r="I238" s="39" t="n"/>
      <c r="J238" s="39" t="n"/>
      <c r="K238" s="28">
        <f>Table6[[#This Row],[ (T/B) SAR]]+Table6[[#This Row],[ (S/S) SAR]]</f>
        <v/>
      </c>
      <c r="L238" s="41" t="n"/>
      <c r="M238" s="42" t="n"/>
      <c r="N238" s="42" t="n"/>
      <c r="O238" s="39" t="n"/>
      <c r="P238" s="3">
        <f>Table6[[#This Row],[ (S/S) SAR]]-Table6[[#This Row],[(S/S) AJD]]</f>
        <v/>
      </c>
      <c r="Q238" s="39" t="n"/>
      <c r="R238" s="3">
        <f>Table6[[#This Row],[ (T/B) SAR]]-Table6[[#This Row],[(T/B) AJD]]</f>
        <v/>
      </c>
      <c r="S238" s="3">
        <f>Table6[[#This Row],[S/S_CON.]]+Table6[[#This Row],[T/B-CON.]]</f>
        <v/>
      </c>
      <c r="T238" s="3">
        <f>O238+Q238</f>
        <v/>
      </c>
      <c r="U238" s="41" t="n"/>
      <c r="V238" s="41" t="n"/>
      <c r="W238" s="3">
        <f>U238+V238</f>
        <v/>
      </c>
      <c r="X238" s="3">
        <f>T238-W238</f>
        <v/>
      </c>
      <c r="Y238" s="41" t="n"/>
      <c r="Z238" s="43" t="n"/>
      <c r="AA238" s="3">
        <f>Table6[[#This Row],[(RESV. STORGE) AJD]]/10</f>
        <v/>
      </c>
      <c r="AB238" s="3">
        <f>IF(TRIM(Z238)="",,(Z238-Z237)/1000)</f>
        <v/>
      </c>
      <c r="AC238" s="5" t="n"/>
      <c r="AD238" s="39">
        <f>(Table6[[#This Row],[( S/S+T/B) AJD]]*1000)-((Table6[[#This Row],[(STORGE DIFF.) AJD]]*1000)+Table6[[#This Row],[AJD_Evaporation]]+(Table6[[#This Row],[(A/B + A/S) AJD]]*1000))</f>
        <v/>
      </c>
      <c r="AE238" s="41" t="n"/>
      <c r="AF238" s="43" t="n"/>
      <c r="AG238" s="43" t="n"/>
      <c r="AH238" s="6">
        <f>Table6[[#This Row],[ (RESV. STORGE) BER]]/10</f>
        <v/>
      </c>
      <c r="AI238" s="41" t="n"/>
      <c r="AJ238" s="43">
        <f>Table6[[#This Row],[(A/B) AJD]]-TABL12345[[#This Row],[BER_IN]]</f>
        <v/>
      </c>
      <c r="AK238" s="43" t="n"/>
      <c r="AL238" s="43" t="n"/>
      <c r="AM238" s="32" t="n"/>
      <c r="AN238" s="32">
        <f>Table6[[#This Row],[ (RESV. STORGE) SER]]/10</f>
        <v/>
      </c>
      <c r="AO238" s="68" t="n"/>
      <c r="AP238" s="99">
        <f>Table6[[#This Row],[(A/S) AJD]]-Table6[[#This Row],[SER_IN]]</f>
        <v/>
      </c>
    </row>
    <row r="239" ht="18.75" customHeight="1">
      <c r="A239" s="98" t="n">
        <v>47721</v>
      </c>
      <c r="B239" s="44" t="n"/>
      <c r="C239" s="44" t="n"/>
      <c r="D239" s="44" t="n"/>
      <c r="E239" s="28" t="n"/>
      <c r="F239" s="44" t="n"/>
      <c r="G239" s="40" t="n"/>
      <c r="H239" s="28" t="n"/>
      <c r="I239" s="40" t="n"/>
      <c r="J239" s="44" t="n"/>
      <c r="K239" s="28">
        <f>Table6[[#This Row],[ (T/B) SAR]]+Table6[[#This Row],[ (S/S) SAR]]</f>
        <v/>
      </c>
      <c r="L239" s="45" t="n"/>
      <c r="M239" s="46" t="n"/>
      <c r="N239" s="46" t="n"/>
      <c r="O239" s="40" t="n"/>
      <c r="P239" s="3">
        <f>Table6[[#This Row],[ (S/S) SAR]]-Table6[[#This Row],[(S/S) AJD]]</f>
        <v/>
      </c>
      <c r="Q239" s="40" t="n"/>
      <c r="R239" s="3">
        <f>Table6[[#This Row],[ (T/B) SAR]]-Table6[[#This Row],[(T/B) AJD]]</f>
        <v/>
      </c>
      <c r="S239" s="3">
        <f>Table6[[#This Row],[S/S_CON.]]+Table6[[#This Row],[T/B-CON.]]</f>
        <v/>
      </c>
      <c r="T239" s="3">
        <f>O239+Q239</f>
        <v/>
      </c>
      <c r="U239" s="44" t="n"/>
      <c r="V239" s="44" t="n"/>
      <c r="W239" s="3">
        <f>U239+V239</f>
        <v/>
      </c>
      <c r="X239" s="3">
        <f>T239-W239</f>
        <v/>
      </c>
      <c r="Y239" s="44" t="n"/>
      <c r="Z239" s="45" t="n"/>
      <c r="AA239" s="3">
        <f>Table6[[#This Row],[(RESV. STORGE) AJD]]/10</f>
        <v/>
      </c>
      <c r="AB239" s="3">
        <f>IF(TRIM(Z239)="",,(Z239-Z238)/1000)</f>
        <v/>
      </c>
      <c r="AC239" s="5" t="n"/>
      <c r="AD239" s="40">
        <f>(Table6[[#This Row],[( S/S+T/B) AJD]]*1000)-((Table6[[#This Row],[(STORGE DIFF.) AJD]]*1000)+Table6[[#This Row],[AJD_Evaporation]]+(Table6[[#This Row],[(A/B + A/S) AJD]]*1000))</f>
        <v/>
      </c>
      <c r="AE239" s="44" t="n"/>
      <c r="AF239" s="45" t="n"/>
      <c r="AG239" s="45" t="n"/>
      <c r="AH239" s="6">
        <f>Table6[[#This Row],[ (RESV. STORGE) BER]]/10</f>
        <v/>
      </c>
      <c r="AI239" s="44" t="n"/>
      <c r="AJ239" s="45">
        <f>Table6[[#This Row],[(A/B) AJD]]-TABL12345[[#This Row],[BER_IN]]</f>
        <v/>
      </c>
      <c r="AK239" s="45" t="n"/>
      <c r="AL239" s="45" t="n"/>
      <c r="AM239" s="32" t="n"/>
      <c r="AN239" s="32">
        <f>Table6[[#This Row],[ (RESV. STORGE) SER]]/10</f>
        <v/>
      </c>
      <c r="AO239" s="68" t="n"/>
      <c r="AP239" s="99">
        <f>Table6[[#This Row],[(A/S) AJD]]-Table6[[#This Row],[SER_IN]]</f>
        <v/>
      </c>
    </row>
    <row r="240" ht="18.75" customHeight="1">
      <c r="A240" s="98" t="n">
        <v>47722</v>
      </c>
      <c r="B240" s="41" t="n"/>
      <c r="C240" s="41" t="n"/>
      <c r="D240" s="41" t="n"/>
      <c r="E240" s="28" t="n"/>
      <c r="F240" s="41" t="n"/>
      <c r="G240" s="39" t="n"/>
      <c r="H240" s="28" t="n"/>
      <c r="I240" s="39" t="n"/>
      <c r="J240" s="39" t="n"/>
      <c r="K240" s="28">
        <f>Table6[[#This Row],[ (T/B) SAR]]+Table6[[#This Row],[ (S/S) SAR]]</f>
        <v/>
      </c>
      <c r="L240" s="41" t="n"/>
      <c r="M240" s="42" t="n"/>
      <c r="N240" s="42" t="n"/>
      <c r="O240" s="39" t="n"/>
      <c r="P240" s="3">
        <f>Table6[[#This Row],[ (S/S) SAR]]-Table6[[#This Row],[(S/S) AJD]]</f>
        <v/>
      </c>
      <c r="Q240" s="39" t="n"/>
      <c r="R240" s="3">
        <f>Table6[[#This Row],[ (T/B) SAR]]-Table6[[#This Row],[(T/B) AJD]]</f>
        <v/>
      </c>
      <c r="S240" s="3">
        <f>Table6[[#This Row],[S/S_CON.]]+Table6[[#This Row],[T/B-CON.]]</f>
        <v/>
      </c>
      <c r="T240" s="3">
        <f>O240+Q240</f>
        <v/>
      </c>
      <c r="U240" s="41" t="n"/>
      <c r="V240" s="41" t="n"/>
      <c r="W240" s="3">
        <f>U240+V240</f>
        <v/>
      </c>
      <c r="X240" s="3">
        <f>T240-W240</f>
        <v/>
      </c>
      <c r="Y240" s="41" t="n"/>
      <c r="Z240" s="43" t="n"/>
      <c r="AA240" s="3">
        <f>Table6[[#This Row],[(RESV. STORGE) AJD]]/10</f>
        <v/>
      </c>
      <c r="AB240" s="3">
        <f>IF(TRIM(Z240)="",,(Z240-Z239)/1000)</f>
        <v/>
      </c>
      <c r="AC240" s="5" t="n"/>
      <c r="AD240" s="39">
        <f>(Table6[[#This Row],[( S/S+T/B) AJD]]*1000)-((Table6[[#This Row],[(STORGE DIFF.) AJD]]*1000)+Table6[[#This Row],[AJD_Evaporation]]+(Table6[[#This Row],[(A/B + A/S) AJD]]*1000))</f>
        <v/>
      </c>
      <c r="AE240" s="41" t="n"/>
      <c r="AF240" s="43" t="n"/>
      <c r="AG240" s="43" t="n"/>
      <c r="AH240" s="6">
        <f>Table6[[#This Row],[ (RESV. STORGE) BER]]/10</f>
        <v/>
      </c>
      <c r="AI240" s="41" t="n"/>
      <c r="AJ240" s="43">
        <f>Table6[[#This Row],[(A/B) AJD]]-TABL12345[[#This Row],[BER_IN]]</f>
        <v/>
      </c>
      <c r="AK240" s="43" t="n"/>
      <c r="AL240" s="43" t="n"/>
      <c r="AM240" s="32" t="n"/>
      <c r="AN240" s="32">
        <f>Table6[[#This Row],[ (RESV. STORGE) SER]]/10</f>
        <v/>
      </c>
      <c r="AO240" s="68" t="n"/>
      <c r="AP240" s="99">
        <f>Table6[[#This Row],[(A/S) AJD]]-Table6[[#This Row],[SER_IN]]</f>
        <v/>
      </c>
    </row>
    <row r="241" ht="18.75" customHeight="1">
      <c r="A241" s="98" t="n">
        <v>47723</v>
      </c>
      <c r="B241" s="44" t="n"/>
      <c r="C241" s="44" t="n"/>
      <c r="D241" s="44" t="n"/>
      <c r="E241" s="28" t="n"/>
      <c r="F241" s="44" t="n"/>
      <c r="G241" s="40" t="n"/>
      <c r="H241" s="28" t="n"/>
      <c r="I241" s="40" t="n"/>
      <c r="J241" s="44" t="n"/>
      <c r="K241" s="28">
        <f>Table6[[#This Row],[ (T/B) SAR]]+Table6[[#This Row],[ (S/S) SAR]]</f>
        <v/>
      </c>
      <c r="L241" s="45" t="n"/>
      <c r="M241" s="46" t="n"/>
      <c r="N241" s="46" t="n"/>
      <c r="O241" s="40" t="n"/>
      <c r="P241" s="3">
        <f>Table6[[#This Row],[ (S/S) SAR]]-Table6[[#This Row],[(S/S) AJD]]</f>
        <v/>
      </c>
      <c r="Q241" s="40" t="n"/>
      <c r="R241" s="3">
        <f>Table6[[#This Row],[ (T/B) SAR]]-Table6[[#This Row],[(T/B) AJD]]</f>
        <v/>
      </c>
      <c r="S241" s="3">
        <f>Table6[[#This Row],[S/S_CON.]]+Table6[[#This Row],[T/B-CON.]]</f>
        <v/>
      </c>
      <c r="T241" s="3">
        <f>O241+Q241</f>
        <v/>
      </c>
      <c r="U241" s="44" t="n"/>
      <c r="V241" s="44" t="n"/>
      <c r="W241" s="3">
        <f>U241+V241</f>
        <v/>
      </c>
      <c r="X241" s="3">
        <f>T241-W241</f>
        <v/>
      </c>
      <c r="Y241" s="44" t="n"/>
      <c r="Z241" s="45" t="n"/>
      <c r="AA241" s="3">
        <f>Table6[[#This Row],[(RESV. STORGE) AJD]]/10</f>
        <v/>
      </c>
      <c r="AB241" s="3">
        <f>IF(TRIM(Z241)="",,(Z241-Z240)/1000)</f>
        <v/>
      </c>
      <c r="AC241" s="5" t="n"/>
      <c r="AD241" s="40">
        <f>(Table6[[#This Row],[( S/S+T/B) AJD]]*1000)-((Table6[[#This Row],[(STORGE DIFF.) AJD]]*1000)+Table6[[#This Row],[AJD_Evaporation]]+(Table6[[#This Row],[(A/B + A/S) AJD]]*1000))</f>
        <v/>
      </c>
      <c r="AE241" s="44" t="n"/>
      <c r="AF241" s="45" t="n"/>
      <c r="AG241" s="45" t="n"/>
      <c r="AH241" s="6">
        <f>Table6[[#This Row],[ (RESV. STORGE) BER]]/10</f>
        <v/>
      </c>
      <c r="AI241" s="44" t="n"/>
      <c r="AJ241" s="45">
        <f>Table6[[#This Row],[(A/B) AJD]]-TABL12345[[#This Row],[BER_IN]]</f>
        <v/>
      </c>
      <c r="AK241" s="45" t="n"/>
      <c r="AL241" s="45" t="n"/>
      <c r="AM241" s="32" t="n"/>
      <c r="AN241" s="32">
        <f>Table6[[#This Row],[ (RESV. STORGE) SER]]/10</f>
        <v/>
      </c>
      <c r="AO241" s="68" t="n"/>
      <c r="AP241" s="99">
        <f>Table6[[#This Row],[(A/S) AJD]]-Table6[[#This Row],[SER_IN]]</f>
        <v/>
      </c>
    </row>
    <row r="242" ht="18.75" customHeight="1">
      <c r="A242" s="98" t="n">
        <v>47724</v>
      </c>
      <c r="B242" s="41" t="n"/>
      <c r="C242" s="41" t="n"/>
      <c r="D242" s="41" t="n"/>
      <c r="E242" s="28" t="n"/>
      <c r="F242" s="41" t="n"/>
      <c r="G242" s="39" t="n"/>
      <c r="H242" s="28" t="n"/>
      <c r="I242" s="39" t="n"/>
      <c r="J242" s="39" t="n"/>
      <c r="K242" s="28">
        <f>Table6[[#This Row],[ (T/B) SAR]]+Table6[[#This Row],[ (S/S) SAR]]</f>
        <v/>
      </c>
      <c r="L242" s="41" t="n"/>
      <c r="M242" s="42" t="n"/>
      <c r="N242" s="42" t="n"/>
      <c r="O242" s="39" t="n"/>
      <c r="P242" s="3">
        <f>Table6[[#This Row],[ (S/S) SAR]]-Table6[[#This Row],[(S/S) AJD]]</f>
        <v/>
      </c>
      <c r="Q242" s="39" t="n"/>
      <c r="R242" s="3">
        <f>Table6[[#This Row],[ (T/B) SAR]]-Table6[[#This Row],[(T/B) AJD]]</f>
        <v/>
      </c>
      <c r="S242" s="3">
        <f>Table6[[#This Row],[S/S_CON.]]+Table6[[#This Row],[T/B-CON.]]</f>
        <v/>
      </c>
      <c r="T242" s="3">
        <f>O242+Q242</f>
        <v/>
      </c>
      <c r="U242" s="41" t="n"/>
      <c r="V242" s="41" t="n"/>
      <c r="W242" s="3">
        <f>U242+V242</f>
        <v/>
      </c>
      <c r="X242" s="3">
        <f>T242-W242</f>
        <v/>
      </c>
      <c r="Y242" s="41" t="n"/>
      <c r="Z242" s="43" t="n"/>
      <c r="AA242" s="3">
        <f>Table6[[#This Row],[(RESV. STORGE) AJD]]/10</f>
        <v/>
      </c>
      <c r="AB242" s="3">
        <f>IF(TRIM(Z242)="",,(Z242-Z241)/1000)</f>
        <v/>
      </c>
      <c r="AC242" s="5" t="n"/>
      <c r="AD242" s="39">
        <f>(Table6[[#This Row],[( S/S+T/B) AJD]]*1000)-((Table6[[#This Row],[(STORGE DIFF.) AJD]]*1000)+Table6[[#This Row],[AJD_Evaporation]]+(Table6[[#This Row],[(A/B + A/S) AJD]]*1000))</f>
        <v/>
      </c>
      <c r="AE242" s="41" t="n"/>
      <c r="AF242" s="43" t="n"/>
      <c r="AG242" s="43" t="n"/>
      <c r="AH242" s="6">
        <f>Table6[[#This Row],[ (RESV. STORGE) BER]]/10</f>
        <v/>
      </c>
      <c r="AI242" s="41" t="n"/>
      <c r="AJ242" s="43">
        <f>Table6[[#This Row],[(A/B) AJD]]-TABL12345[[#This Row],[BER_IN]]</f>
        <v/>
      </c>
      <c r="AK242" s="43" t="n"/>
      <c r="AL242" s="43" t="n"/>
      <c r="AM242" s="32" t="n"/>
      <c r="AN242" s="32">
        <f>Table6[[#This Row],[ (RESV. STORGE) SER]]/10</f>
        <v/>
      </c>
      <c r="AO242" s="68" t="n"/>
      <c r="AP242" s="99">
        <f>Table6[[#This Row],[(A/S) AJD]]-Table6[[#This Row],[SER_IN]]</f>
        <v/>
      </c>
    </row>
    <row r="243" ht="18.75" customHeight="1">
      <c r="A243" s="98" t="n">
        <v>47725</v>
      </c>
      <c r="B243" s="44" t="n"/>
      <c r="C243" s="44" t="n"/>
      <c r="D243" s="44" t="n"/>
      <c r="E243" s="28" t="n"/>
      <c r="F243" s="44" t="n"/>
      <c r="G243" s="40" t="n"/>
      <c r="H243" s="28" t="n"/>
      <c r="I243" s="40" t="n"/>
      <c r="J243" s="44" t="n"/>
      <c r="K243" s="28">
        <f>Table6[[#This Row],[ (T/B) SAR]]+Table6[[#This Row],[ (S/S) SAR]]</f>
        <v/>
      </c>
      <c r="L243" s="45" t="n"/>
      <c r="M243" s="46" t="n"/>
      <c r="N243" s="46" t="n"/>
      <c r="O243" s="40" t="n"/>
      <c r="P243" s="3">
        <f>Table6[[#This Row],[ (S/S) SAR]]-Table6[[#This Row],[(S/S) AJD]]</f>
        <v/>
      </c>
      <c r="Q243" s="40" t="n"/>
      <c r="R243" s="3">
        <f>Table6[[#This Row],[ (T/B) SAR]]-Table6[[#This Row],[(T/B) AJD]]</f>
        <v/>
      </c>
      <c r="S243" s="3">
        <f>Table6[[#This Row],[S/S_CON.]]+Table6[[#This Row],[T/B-CON.]]</f>
        <v/>
      </c>
      <c r="T243" s="3">
        <f>O243+Q243</f>
        <v/>
      </c>
      <c r="U243" s="44" t="n"/>
      <c r="V243" s="44" t="n"/>
      <c r="W243" s="3">
        <f>U243+V243</f>
        <v/>
      </c>
      <c r="X243" s="3">
        <f>T243-W243</f>
        <v/>
      </c>
      <c r="Y243" s="44" t="n"/>
      <c r="Z243" s="45" t="n"/>
      <c r="AA243" s="3">
        <f>Table6[[#This Row],[(RESV. STORGE) AJD]]/10</f>
        <v/>
      </c>
      <c r="AB243" s="3">
        <f>IF(TRIM(Z243)="",,(Z243-Z242)/1000)</f>
        <v/>
      </c>
      <c r="AC243" s="5" t="n"/>
      <c r="AD243" s="70">
        <f>(Table6[[#This Row],[( S/S+T/B) AJD]]*1000)-((Table6[[#This Row],[(STORGE DIFF.) AJD]]*1000)+Table6[[#This Row],[AJD_Evaporation]]+(Table6[[#This Row],[(A/B + A/S) AJD]]*1000))</f>
        <v/>
      </c>
      <c r="AE243" s="44" t="n"/>
      <c r="AF243" s="45" t="n"/>
      <c r="AG243" s="45" t="n"/>
      <c r="AH243" s="6">
        <f>Table6[[#This Row],[ (RESV. STORGE) BER]]/10</f>
        <v/>
      </c>
      <c r="AI243" s="44" t="n"/>
      <c r="AJ243" s="90">
        <f>Table6[[#This Row],[(A/B) AJD]]-TABL12345[[#This Row],[BER_IN]]</f>
        <v/>
      </c>
      <c r="AK243" s="45" t="n"/>
      <c r="AL243" s="45" t="n"/>
      <c r="AM243" s="32" t="n"/>
      <c r="AN243" s="32">
        <f>Table6[[#This Row],[ (RESV. STORGE) SER]]/10</f>
        <v/>
      </c>
      <c r="AO243" s="68" t="n"/>
      <c r="AP243" s="99">
        <f>Table6[[#This Row],[(A/S) AJD]]-Table6[[#This Row],[SER_IN]]</f>
        <v/>
      </c>
    </row>
    <row r="244" ht="18.75" customHeight="1">
      <c r="A244" s="98" t="n">
        <v>47726</v>
      </c>
      <c r="B244" s="41" t="n"/>
      <c r="C244" s="41" t="n"/>
      <c r="D244" s="41" t="n"/>
      <c r="E244" s="28" t="n"/>
      <c r="F244" s="41" t="n"/>
      <c r="G244" s="39" t="n"/>
      <c r="H244" s="28" t="n"/>
      <c r="I244" s="39" t="n"/>
      <c r="J244" s="39" t="n"/>
      <c r="K244" s="28">
        <f>Table6[[#This Row],[ (T/B) SAR]]+Table6[[#This Row],[ (S/S) SAR]]</f>
        <v/>
      </c>
      <c r="L244" s="41" t="n"/>
      <c r="M244" s="42" t="n"/>
      <c r="N244" s="42" t="n"/>
      <c r="O244" s="39" t="n"/>
      <c r="P244" s="3">
        <f>Table6[[#This Row],[ (S/S) SAR]]-Table6[[#This Row],[(S/S) AJD]]</f>
        <v/>
      </c>
      <c r="Q244" s="39" t="n"/>
      <c r="R244" s="3">
        <f>Table6[[#This Row],[ (T/B) SAR]]-Table6[[#This Row],[(T/B) AJD]]</f>
        <v/>
      </c>
      <c r="S244" s="3">
        <f>Table6[[#This Row],[S/S_CON.]]+Table6[[#This Row],[T/B-CON.]]</f>
        <v/>
      </c>
      <c r="T244" s="3">
        <f>O244+Q244</f>
        <v/>
      </c>
      <c r="U244" s="41" t="n"/>
      <c r="V244" s="41" t="n"/>
      <c r="W244" s="3">
        <f>U244+V244</f>
        <v/>
      </c>
      <c r="X244" s="3">
        <f>T244-W244</f>
        <v/>
      </c>
      <c r="Y244" s="41" t="n"/>
      <c r="Z244" s="43" t="n"/>
      <c r="AA244" s="3">
        <f>Table6[[#This Row],[(RESV. STORGE) AJD]]/10</f>
        <v/>
      </c>
      <c r="AB244" s="3">
        <f>IF(TRIM(Z244)="",,(Z244-Z243)/1000)</f>
        <v/>
      </c>
      <c r="AC244" s="5" t="n"/>
      <c r="AD244" s="39">
        <f>(Table6[[#This Row],[( S/S+T/B) AJD]]*1000)-((Table6[[#This Row],[(STORGE DIFF.) AJD]]*1000)+Table6[[#This Row],[AJD_Evaporation]]+(Table6[[#This Row],[(A/B + A/S) AJD]]*1000))</f>
        <v/>
      </c>
      <c r="AE244" s="41" t="n"/>
      <c r="AF244" s="43" t="n"/>
      <c r="AG244" s="43" t="n"/>
      <c r="AH244" s="6">
        <f>Table6[[#This Row],[ (RESV. STORGE) BER]]/10</f>
        <v/>
      </c>
      <c r="AI244" s="41" t="n"/>
      <c r="AJ244" s="43">
        <f>Table6[[#This Row],[(A/B) AJD]]-TABL12345[[#This Row],[BER_IN]]</f>
        <v/>
      </c>
      <c r="AK244" s="43" t="n"/>
      <c r="AL244" s="43" t="n"/>
      <c r="AM244" s="32" t="n"/>
      <c r="AN244" s="32">
        <f>Table6[[#This Row],[ (RESV. STORGE) SER]]/10</f>
        <v/>
      </c>
      <c r="AO244" s="68" t="n"/>
      <c r="AP244" s="99">
        <f>Table6[[#This Row],[(A/S) AJD]]-Table6[[#This Row],[SER_IN]]</f>
        <v/>
      </c>
    </row>
    <row r="245" ht="18.75" customHeight="1">
      <c r="A245" s="98" t="n">
        <v>47727</v>
      </c>
      <c r="B245" s="41" t="n"/>
      <c r="C245" s="41" t="n"/>
      <c r="D245" s="41" t="n"/>
      <c r="E245" s="35" t="n"/>
      <c r="F245" s="41" t="n"/>
      <c r="G245" s="39" t="n"/>
      <c r="H245" s="34" t="n"/>
      <c r="I245" s="39" t="n"/>
      <c r="J245" s="39" t="n"/>
      <c r="K245" s="34">
        <f>Table6[[#This Row],[ (T/B) SAR]]+Table6[[#This Row],[ (S/S) SAR]]</f>
        <v/>
      </c>
      <c r="L245" s="41" t="n"/>
      <c r="M245" s="42" t="n"/>
      <c r="N245" s="42" t="n"/>
      <c r="O245" s="39" t="n"/>
      <c r="P245" s="14">
        <f>Table6[[#This Row],[ (S/S) SAR]]-Table6[[#This Row],[(S/S) AJD]]</f>
        <v/>
      </c>
      <c r="Q245" s="39" t="n"/>
      <c r="R245" s="14">
        <f>Table6[[#This Row],[ (T/B) SAR]]-Table6[[#This Row],[(T/B) AJD]]</f>
        <v/>
      </c>
      <c r="S245" s="14">
        <f>Table6[[#This Row],[S/S_CON.]]+Table6[[#This Row],[T/B-CON.]]</f>
        <v/>
      </c>
      <c r="T245" s="9">
        <f>O245+Q245</f>
        <v/>
      </c>
      <c r="U245" s="41" t="n"/>
      <c r="V245" s="41" t="n"/>
      <c r="W245" s="9">
        <f>U245+V245</f>
        <v/>
      </c>
      <c r="X245" s="9">
        <f>T245-W245</f>
        <v/>
      </c>
      <c r="Y245" s="41" t="n"/>
      <c r="Z245" s="43" t="n"/>
      <c r="AA245" s="3">
        <f>Table6[[#This Row],[(RESV. STORGE) AJD]]/10</f>
        <v/>
      </c>
      <c r="AB245" s="3">
        <f>IF(TRIM(Z245)="",,(Z245-Z244)/1000)</f>
        <v/>
      </c>
      <c r="AC245" s="5" t="n"/>
      <c r="AD245" s="39">
        <f>(Table6[[#This Row],[( S/S+T/B) AJD]]*1000)-((Table6[[#This Row],[(STORGE DIFF.) AJD]]*1000)+Table6[[#This Row],[AJD_Evaporation]]+(Table6[[#This Row],[(A/B + A/S) AJD]]*1000))</f>
        <v/>
      </c>
      <c r="AE245" s="41" t="n"/>
      <c r="AF245" s="43" t="n"/>
      <c r="AG245" s="43" t="n"/>
      <c r="AH245" s="6">
        <f>Table6[[#This Row],[ (RESV. STORGE) BER]]/10</f>
        <v/>
      </c>
      <c r="AI245" s="41" t="n"/>
      <c r="AJ245" s="43">
        <f>Table6[[#This Row],[(A/B) AJD]]-TABL12345[[#This Row],[BER_IN]]</f>
        <v/>
      </c>
      <c r="AK245" s="43" t="n"/>
      <c r="AL245" s="43" t="n"/>
      <c r="AM245" s="32" t="n"/>
      <c r="AN245" s="32">
        <f>Table6[[#This Row],[ (RESV. STORGE) SER]]/10</f>
        <v/>
      </c>
      <c r="AO245" s="68" t="n"/>
      <c r="AP245" s="99">
        <f>Table6[[#This Row],[(A/S) AJD]]-Table6[[#This Row],[SER_IN]]</f>
        <v/>
      </c>
    </row>
    <row r="246" ht="18.75" customHeight="1">
      <c r="A246" s="98" t="n">
        <v>47728</v>
      </c>
      <c r="B246" s="44" t="n"/>
      <c r="C246" s="44" t="n"/>
      <c r="D246" s="44" t="n"/>
      <c r="E246" s="35" t="n"/>
      <c r="F246" s="44" t="n"/>
      <c r="G246" s="40" t="n"/>
      <c r="H246" s="34" t="n"/>
      <c r="I246" s="40" t="n"/>
      <c r="J246" s="44" t="n"/>
      <c r="K246" s="34">
        <f>Table6[[#This Row],[ (T/B) SAR]]+Table6[[#This Row],[ (S/S) SAR]]</f>
        <v/>
      </c>
      <c r="L246" s="45" t="n"/>
      <c r="M246" s="46" t="n"/>
      <c r="N246" s="46" t="n"/>
      <c r="O246" s="40" t="n"/>
      <c r="P246" s="14">
        <f>Table6[[#This Row],[ (S/S) SAR]]-Table6[[#This Row],[(S/S) AJD]]</f>
        <v/>
      </c>
      <c r="Q246" s="40" t="n"/>
      <c r="R246" s="14">
        <f>Table6[[#This Row],[ (T/B) SAR]]-Table6[[#This Row],[(T/B) AJD]]</f>
        <v/>
      </c>
      <c r="S246" s="14">
        <f>Table6[[#This Row],[S/S_CON.]]+Table6[[#This Row],[T/B-CON.]]</f>
        <v/>
      </c>
      <c r="T246" s="9">
        <f>O246+Q246</f>
        <v/>
      </c>
      <c r="U246" s="44" t="n"/>
      <c r="V246" s="44" t="n"/>
      <c r="W246" s="9">
        <f>U246+V246</f>
        <v/>
      </c>
      <c r="X246" s="9">
        <f>T246-W246</f>
        <v/>
      </c>
      <c r="Y246" s="44" t="n"/>
      <c r="Z246" s="45" t="n"/>
      <c r="AA246" s="3">
        <f>Table6[[#This Row],[(RESV. STORGE) AJD]]/10</f>
        <v/>
      </c>
      <c r="AB246" s="3">
        <f>IF(TRIM(Z246)="",,(Z246-Z245)/1000)</f>
        <v/>
      </c>
      <c r="AC246" s="5" t="n"/>
      <c r="AD246" s="40">
        <f>(Table6[[#This Row],[( S/S+T/B) AJD]]*1000)-((Table6[[#This Row],[(STORGE DIFF.) AJD]]*1000)+Table6[[#This Row],[AJD_Evaporation]]+(Table6[[#This Row],[(A/B + A/S) AJD]]*1000))</f>
        <v/>
      </c>
      <c r="AE246" s="44" t="n"/>
      <c r="AF246" s="45" t="n"/>
      <c r="AG246" s="45" t="n"/>
      <c r="AH246" s="6">
        <f>Table6[[#This Row],[ (RESV. STORGE) BER]]/10</f>
        <v/>
      </c>
      <c r="AI246" s="44" t="n"/>
      <c r="AJ246" s="45">
        <f>Table6[[#This Row],[(A/B) AJD]]-TABL12345[[#This Row],[BER_IN]]</f>
        <v/>
      </c>
      <c r="AK246" s="45" t="n"/>
      <c r="AL246" s="45" t="n"/>
      <c r="AM246" s="32" t="n"/>
      <c r="AN246" s="32">
        <f>Table6[[#This Row],[ (RESV. STORGE) SER]]/10</f>
        <v/>
      </c>
      <c r="AO246" s="68" t="n"/>
      <c r="AP246" s="99">
        <f>Table6[[#This Row],[(A/S) AJD]]-Table6[[#This Row],[SER_IN]]</f>
        <v/>
      </c>
    </row>
    <row r="247" ht="18.75" customHeight="1">
      <c r="A247" s="98" t="n">
        <v>47729</v>
      </c>
      <c r="B247" s="41" t="n"/>
      <c r="C247" s="41" t="n"/>
      <c r="D247" s="41" t="n"/>
      <c r="E247" s="35" t="n"/>
      <c r="F247" s="41" t="n"/>
      <c r="G247" s="39" t="n"/>
      <c r="H247" s="34" t="n"/>
      <c r="I247" s="39" t="n"/>
      <c r="J247" s="39" t="n"/>
      <c r="K247" s="34">
        <f>Table6[[#This Row],[ (T/B) SAR]]+Table6[[#This Row],[ (S/S) SAR]]</f>
        <v/>
      </c>
      <c r="L247" s="41" t="n"/>
      <c r="M247" s="42" t="n"/>
      <c r="N247" s="42" t="n"/>
      <c r="O247" s="39" t="n"/>
      <c r="P247" s="14">
        <f>Table6[[#This Row],[ (S/S) SAR]]-Table6[[#This Row],[(S/S) AJD]]</f>
        <v/>
      </c>
      <c r="Q247" s="39" t="n"/>
      <c r="R247" s="14">
        <f>Table6[[#This Row],[ (T/B) SAR]]-Table6[[#This Row],[(T/B) AJD]]</f>
        <v/>
      </c>
      <c r="S247" s="14">
        <f>Table6[[#This Row],[S/S_CON.]]+Table6[[#This Row],[T/B-CON.]]</f>
        <v/>
      </c>
      <c r="T247" s="9">
        <f>O247+Q247</f>
        <v/>
      </c>
      <c r="U247" s="41" t="n"/>
      <c r="V247" s="41" t="n"/>
      <c r="W247" s="9">
        <f>U247+V247</f>
        <v/>
      </c>
      <c r="X247" s="9">
        <f>T247-W247</f>
        <v/>
      </c>
      <c r="Y247" s="41" t="n"/>
      <c r="Z247" s="43" t="n"/>
      <c r="AA247" s="3">
        <f>Table6[[#This Row],[(RESV. STORGE) AJD]]/10</f>
        <v/>
      </c>
      <c r="AB247" s="3">
        <f>IF(TRIM(Z247)="",,(Z247-Z246)/1000)</f>
        <v/>
      </c>
      <c r="AC247" s="5" t="n"/>
      <c r="AD247" s="39">
        <f>(Table6[[#This Row],[( S/S+T/B) AJD]]*1000)-((Table6[[#This Row],[(STORGE DIFF.) AJD]]*1000)+Table6[[#This Row],[AJD_Evaporation]]+(Table6[[#This Row],[(A/B + A/S) AJD]]*1000))</f>
        <v/>
      </c>
      <c r="AE247" s="41" t="n"/>
      <c r="AF247" s="43" t="n"/>
      <c r="AG247" s="43" t="n"/>
      <c r="AH247" s="6">
        <f>Table6[[#This Row],[ (RESV. STORGE) BER]]/10</f>
        <v/>
      </c>
      <c r="AI247" s="41" t="n"/>
      <c r="AJ247" s="43">
        <f>Table6[[#This Row],[(A/B) AJD]]-TABL12345[[#This Row],[BER_IN]]</f>
        <v/>
      </c>
      <c r="AK247" s="43" t="n"/>
      <c r="AL247" s="43" t="n"/>
      <c r="AM247" s="32" t="n"/>
      <c r="AN247" s="32">
        <f>Table6[[#This Row],[ (RESV. STORGE) SER]]/10</f>
        <v/>
      </c>
      <c r="AO247" s="68" t="n"/>
      <c r="AP247" s="99">
        <f>Table6[[#This Row],[(A/S) AJD]]-Table6[[#This Row],[SER_IN]]</f>
        <v/>
      </c>
    </row>
    <row r="248" ht="18.75" customHeight="1">
      <c r="A248" s="98" t="n">
        <v>47730</v>
      </c>
      <c r="B248" s="44" t="n"/>
      <c r="C248" s="44" t="n"/>
      <c r="D248" s="44" t="n"/>
      <c r="E248" s="35" t="n"/>
      <c r="F248" s="44" t="n"/>
      <c r="G248" s="40" t="n"/>
      <c r="H248" s="34" t="n"/>
      <c r="I248" s="40" t="n"/>
      <c r="J248" s="44" t="n"/>
      <c r="K248" s="34">
        <f>Table6[[#This Row],[ (T/B) SAR]]+Table6[[#This Row],[ (S/S) SAR]]</f>
        <v/>
      </c>
      <c r="L248" s="45" t="n"/>
      <c r="M248" s="46" t="n"/>
      <c r="N248" s="46" t="n"/>
      <c r="O248" s="40" t="n"/>
      <c r="P248" s="14">
        <f>Table6[[#This Row],[ (S/S) SAR]]-Table6[[#This Row],[(S/S) AJD]]</f>
        <v/>
      </c>
      <c r="Q248" s="40" t="n"/>
      <c r="R248" s="14">
        <f>Table6[[#This Row],[ (T/B) SAR]]-Table6[[#This Row],[(T/B) AJD]]</f>
        <v/>
      </c>
      <c r="S248" s="14">
        <f>Table6[[#This Row],[S/S_CON.]]+Table6[[#This Row],[T/B-CON.]]</f>
        <v/>
      </c>
      <c r="T248" s="9">
        <f>O248+Q248</f>
        <v/>
      </c>
      <c r="U248" s="44" t="n"/>
      <c r="V248" s="44" t="n"/>
      <c r="W248" s="9">
        <f>U248+V248</f>
        <v/>
      </c>
      <c r="X248" s="9">
        <f>T248-W248</f>
        <v/>
      </c>
      <c r="Y248" s="44" t="n"/>
      <c r="Z248" s="45" t="n"/>
      <c r="AA248" s="3">
        <f>Table6[[#This Row],[(RESV. STORGE) AJD]]/10</f>
        <v/>
      </c>
      <c r="AB248" s="3">
        <f>IF(TRIM(Z248)="",,(Z248-Z247)/1000)</f>
        <v/>
      </c>
      <c r="AC248" s="5" t="n"/>
      <c r="AD248" s="40">
        <f>(Table6[[#This Row],[( S/S+T/B) AJD]]*1000)-((Table6[[#This Row],[(STORGE DIFF.) AJD]]*1000)+Table6[[#This Row],[AJD_Evaporation]]+(Table6[[#This Row],[(A/B + A/S) AJD]]*1000))</f>
        <v/>
      </c>
      <c r="AE248" s="44" t="n"/>
      <c r="AF248" s="45" t="n"/>
      <c r="AG248" s="45" t="n"/>
      <c r="AH248" s="6">
        <f>Table6[[#This Row],[ (RESV. STORGE) BER]]/10</f>
        <v/>
      </c>
      <c r="AI248" s="44" t="n"/>
      <c r="AJ248" s="45">
        <f>Table6[[#This Row],[(A/B) AJD]]-TABL12345[[#This Row],[BER_IN]]</f>
        <v/>
      </c>
      <c r="AK248" s="45" t="n"/>
      <c r="AL248" s="45" t="n"/>
      <c r="AM248" s="32" t="n"/>
      <c r="AN248" s="32">
        <f>Table6[[#This Row],[ (RESV. STORGE) SER]]/10</f>
        <v/>
      </c>
      <c r="AO248" s="68" t="n"/>
      <c r="AP248" s="99">
        <f>Table6[[#This Row],[(A/S) AJD]]-Table6[[#This Row],[SER_IN]]</f>
        <v/>
      </c>
    </row>
    <row r="249" ht="18.75" customHeight="1">
      <c r="A249" s="98" t="n">
        <v>47731</v>
      </c>
      <c r="B249" s="41" t="n"/>
      <c r="C249" s="41" t="n"/>
      <c r="D249" s="41" t="n"/>
      <c r="E249" s="35" t="n"/>
      <c r="F249" s="41" t="n"/>
      <c r="G249" s="39" t="n"/>
      <c r="H249" s="34" t="n"/>
      <c r="I249" s="39" t="n"/>
      <c r="J249" s="39" t="n"/>
      <c r="K249" s="34">
        <f>Table6[[#This Row],[ (T/B) SAR]]+Table6[[#This Row],[ (S/S) SAR]]</f>
        <v/>
      </c>
      <c r="L249" s="41" t="n"/>
      <c r="M249" s="42" t="n"/>
      <c r="N249" s="42" t="n"/>
      <c r="O249" s="39" t="n"/>
      <c r="P249" s="14">
        <f>Table6[[#This Row],[ (S/S) SAR]]-Table6[[#This Row],[(S/S) AJD]]</f>
        <v/>
      </c>
      <c r="Q249" s="39" t="n"/>
      <c r="R249" s="14">
        <f>Table6[[#This Row],[ (T/B) SAR]]-Table6[[#This Row],[(T/B) AJD]]</f>
        <v/>
      </c>
      <c r="S249" s="14">
        <f>Table6[[#This Row],[S/S_CON.]]+Table6[[#This Row],[T/B-CON.]]</f>
        <v/>
      </c>
      <c r="T249" s="9">
        <f>O249+Q249</f>
        <v/>
      </c>
      <c r="U249" s="41" t="n"/>
      <c r="V249" s="41" t="n"/>
      <c r="W249" s="9">
        <f>U249+V249</f>
        <v/>
      </c>
      <c r="X249" s="9">
        <f>T249-W249</f>
        <v/>
      </c>
      <c r="Y249" s="41" t="n"/>
      <c r="Z249" s="43" t="n"/>
      <c r="AA249" s="3">
        <f>Table6[[#This Row],[(RESV. STORGE) AJD]]/10</f>
        <v/>
      </c>
      <c r="AB249" s="3">
        <f>IF(TRIM(Z249)="",,(Z249-Z248)/1000)</f>
        <v/>
      </c>
      <c r="AC249" s="5" t="n"/>
      <c r="AD249" s="39">
        <f>(Table6[[#This Row],[( S/S+T/B) AJD]]*1000)-((Table6[[#This Row],[(STORGE DIFF.) AJD]]*1000)+Table6[[#This Row],[AJD_Evaporation]]+(Table6[[#This Row],[(A/B + A/S) AJD]]*1000))</f>
        <v/>
      </c>
      <c r="AE249" s="41" t="n"/>
      <c r="AF249" s="43" t="n"/>
      <c r="AG249" s="43" t="n"/>
      <c r="AH249" s="6">
        <f>Table6[[#This Row],[ (RESV. STORGE) BER]]/10</f>
        <v/>
      </c>
      <c r="AI249" s="41" t="n"/>
      <c r="AJ249" s="43">
        <f>Table6[[#This Row],[(A/B) AJD]]-TABL12345[[#This Row],[BER_IN]]</f>
        <v/>
      </c>
      <c r="AK249" s="43" t="n"/>
      <c r="AL249" s="43" t="n"/>
      <c r="AM249" s="32" t="n"/>
      <c r="AN249" s="32">
        <f>Table6[[#This Row],[ (RESV. STORGE) SER]]/10</f>
        <v/>
      </c>
      <c r="AO249" s="68" t="n"/>
      <c r="AP249" s="99">
        <f>Table6[[#This Row],[(A/S) AJD]]-Table6[[#This Row],[SER_IN]]</f>
        <v/>
      </c>
    </row>
    <row r="250" ht="18.75" customHeight="1">
      <c r="A250" s="98" t="n">
        <v>47732</v>
      </c>
      <c r="B250" s="44" t="n"/>
      <c r="C250" s="44" t="n"/>
      <c r="D250" s="44" t="n"/>
      <c r="E250" s="35" t="n"/>
      <c r="F250" s="44" t="n"/>
      <c r="G250" s="40" t="n"/>
      <c r="H250" s="28" t="n"/>
      <c r="I250" s="40" t="n"/>
      <c r="J250" s="44" t="n"/>
      <c r="K250" s="28">
        <f>Table6[[#This Row],[ (T/B) SAR]]+Table6[[#This Row],[ (S/S) SAR]]</f>
        <v/>
      </c>
      <c r="L250" s="45" t="n"/>
      <c r="M250" s="46" t="n"/>
      <c r="N250" s="46" t="n"/>
      <c r="O250" s="40" t="n"/>
      <c r="P250" s="9">
        <f>Table6[[#This Row],[ (S/S) SAR]]-Table6[[#This Row],[(S/S) AJD]]</f>
        <v/>
      </c>
      <c r="Q250" s="40" t="n"/>
      <c r="R250" s="9">
        <f>Table6[[#This Row],[ (T/B) SAR]]-Table6[[#This Row],[(T/B) AJD]]</f>
        <v/>
      </c>
      <c r="S250" s="9">
        <f>Table6[[#This Row],[S/S_CON.]]+Table6[[#This Row],[T/B-CON.]]</f>
        <v/>
      </c>
      <c r="T250" s="9">
        <f>O250+Q250</f>
        <v/>
      </c>
      <c r="U250" s="44" t="n"/>
      <c r="V250" s="44" t="n"/>
      <c r="W250" s="9">
        <f>U250+V250</f>
        <v/>
      </c>
      <c r="X250" s="9">
        <f>T250-W250</f>
        <v/>
      </c>
      <c r="Y250" s="44" t="n"/>
      <c r="Z250" s="45" t="n"/>
      <c r="AA250" s="3">
        <f>Table6[[#This Row],[(RESV. STORGE) AJD]]/10</f>
        <v/>
      </c>
      <c r="AB250" s="3">
        <f>IF(TRIM(Z250)="",,(Z250-Z249)/1000)</f>
        <v/>
      </c>
      <c r="AC250" s="5" t="n"/>
      <c r="AD250" s="40">
        <f>(Table6[[#This Row],[( S/S+T/B) AJD]]*1000)-((Table6[[#This Row],[(STORGE DIFF.) AJD]]*1000)+Table6[[#This Row],[AJD_Evaporation]]+(Table6[[#This Row],[(A/B + A/S) AJD]]*1000))</f>
        <v/>
      </c>
      <c r="AE250" s="44" t="n"/>
      <c r="AF250" s="45" t="n"/>
      <c r="AG250" s="45" t="n"/>
      <c r="AH250" s="6">
        <f>Table6[[#This Row],[ (RESV. STORGE) BER]]/10</f>
        <v/>
      </c>
      <c r="AI250" s="44" t="n"/>
      <c r="AJ250" s="45">
        <f>Table6[[#This Row],[(A/B) AJD]]-TABL12345[[#This Row],[BER_IN]]</f>
        <v/>
      </c>
      <c r="AK250" s="45" t="n"/>
      <c r="AL250" s="45" t="n"/>
      <c r="AM250" s="32" t="n"/>
      <c r="AN250" s="32">
        <f>Table6[[#This Row],[ (RESV. STORGE) SER]]/10</f>
        <v/>
      </c>
      <c r="AO250" s="68" t="n"/>
      <c r="AP250" s="99">
        <f>Table6[[#This Row],[(A/S) AJD]]-Table6[[#This Row],[SER_IN]]</f>
        <v/>
      </c>
    </row>
    <row r="251" ht="18.75" customHeight="1">
      <c r="A251" s="98" t="n">
        <v>47733</v>
      </c>
      <c r="B251" s="41" t="n"/>
      <c r="C251" s="41" t="n"/>
      <c r="D251" s="41" t="n"/>
      <c r="E251" s="35" t="n"/>
      <c r="F251" s="41" t="n"/>
      <c r="G251" s="39" t="n"/>
      <c r="H251" s="28" t="n"/>
      <c r="I251" s="39" t="n"/>
      <c r="J251" s="39" t="n"/>
      <c r="K251" s="28">
        <f>Table6[[#This Row],[ (T/B) SAR]]+Table6[[#This Row],[ (S/S) SAR]]</f>
        <v/>
      </c>
      <c r="L251" s="41" t="n"/>
      <c r="M251" s="42" t="n"/>
      <c r="N251" s="42" t="n"/>
      <c r="O251" s="39" t="n"/>
      <c r="P251" s="9">
        <f>Table6[[#This Row],[ (S/S) SAR]]-Table6[[#This Row],[(S/S) AJD]]</f>
        <v/>
      </c>
      <c r="Q251" s="39" t="n"/>
      <c r="R251" s="9">
        <f>Table6[[#This Row],[ (T/B) SAR]]-Table6[[#This Row],[(T/B) AJD]]</f>
        <v/>
      </c>
      <c r="S251" s="9">
        <f>Table6[[#This Row],[S/S_CON.]]+Table6[[#This Row],[T/B-CON.]]</f>
        <v/>
      </c>
      <c r="T251" s="9">
        <f>O251+Q251</f>
        <v/>
      </c>
      <c r="U251" s="41" t="n"/>
      <c r="V251" s="41" t="n"/>
      <c r="W251" s="9">
        <f>U251+V251</f>
        <v/>
      </c>
      <c r="X251" s="9">
        <f>T251-W251</f>
        <v/>
      </c>
      <c r="Y251" s="41" t="n"/>
      <c r="Z251" s="43" t="n"/>
      <c r="AA251" s="3">
        <f>Table6[[#This Row],[(RESV. STORGE) AJD]]/10</f>
        <v/>
      </c>
      <c r="AB251" s="3">
        <f>IF(TRIM(Z251)="",,(Z251-Z250)/1000)</f>
        <v/>
      </c>
      <c r="AC251" s="5" t="n"/>
      <c r="AD251" s="39">
        <f>(Table6[[#This Row],[( S/S+T/B) AJD]]*1000)-((Table6[[#This Row],[(STORGE DIFF.) AJD]]*1000)+Table6[[#This Row],[AJD_Evaporation]]+(Table6[[#This Row],[(A/B + A/S) AJD]]*1000))</f>
        <v/>
      </c>
      <c r="AE251" s="41" t="n"/>
      <c r="AF251" s="43" t="n"/>
      <c r="AG251" s="43" t="n"/>
      <c r="AH251" s="6">
        <f>Table6[[#This Row],[ (RESV. STORGE) BER]]/10</f>
        <v/>
      </c>
      <c r="AI251" s="41" t="n"/>
      <c r="AJ251" s="43">
        <f>Table6[[#This Row],[(A/B) AJD]]-TABL12345[[#This Row],[BER_IN]]</f>
        <v/>
      </c>
      <c r="AK251" s="43" t="n"/>
      <c r="AL251" s="43" t="n"/>
      <c r="AM251" s="32" t="n"/>
      <c r="AN251" s="32">
        <f>Table6[[#This Row],[ (RESV. STORGE) SER]]/10</f>
        <v/>
      </c>
      <c r="AO251" s="68" t="n"/>
      <c r="AP251" s="99">
        <f>Table6[[#This Row],[(A/S) AJD]]-Table6[[#This Row],[SER_IN]]</f>
        <v/>
      </c>
    </row>
    <row r="252" ht="18.75" customHeight="1">
      <c r="A252" s="98" t="n">
        <v>47734</v>
      </c>
      <c r="B252" s="44" t="n"/>
      <c r="C252" s="44" t="n"/>
      <c r="D252" s="44" t="n"/>
      <c r="E252" s="35" t="n"/>
      <c r="F252" s="44" t="n"/>
      <c r="G252" s="40" t="n"/>
      <c r="H252" s="28" t="n"/>
      <c r="I252" s="40" t="n"/>
      <c r="J252" s="44" t="n"/>
      <c r="K252" s="28">
        <f>Table6[[#This Row],[ (T/B) SAR]]+Table6[[#This Row],[ (S/S) SAR]]</f>
        <v/>
      </c>
      <c r="L252" s="45" t="n"/>
      <c r="M252" s="46" t="n"/>
      <c r="N252" s="46" t="n"/>
      <c r="O252" s="40" t="n"/>
      <c r="P252" s="9">
        <f>Table6[[#This Row],[ (S/S) SAR]]-Table6[[#This Row],[(S/S) AJD]]</f>
        <v/>
      </c>
      <c r="Q252" s="40" t="n"/>
      <c r="R252" s="9">
        <f>Table6[[#This Row],[ (T/B) SAR]]-Table6[[#This Row],[(T/B) AJD]]</f>
        <v/>
      </c>
      <c r="S252" s="9">
        <f>Table6[[#This Row],[S/S_CON.]]+Table6[[#This Row],[T/B-CON.]]</f>
        <v/>
      </c>
      <c r="T252" s="9">
        <f>O252+Q252</f>
        <v/>
      </c>
      <c r="U252" s="44" t="n"/>
      <c r="V252" s="44" t="n"/>
      <c r="W252" s="9">
        <f>U252+V252</f>
        <v/>
      </c>
      <c r="X252" s="9">
        <f>T252-W252</f>
        <v/>
      </c>
      <c r="Y252" s="44" t="n"/>
      <c r="Z252" s="45" t="n"/>
      <c r="AA252" s="3">
        <f>Table6[[#This Row],[(RESV. STORGE) AJD]]/10</f>
        <v/>
      </c>
      <c r="AB252" s="3">
        <f>IF(TRIM(Z252)="",,(Z252-Z251)/1000)</f>
        <v/>
      </c>
      <c r="AC252" s="5" t="n"/>
      <c r="AD252" s="40">
        <f>(Table6[[#This Row],[( S/S+T/B) AJD]]*1000)-((Table6[[#This Row],[(STORGE DIFF.) AJD]]*1000)+Table6[[#This Row],[AJD_Evaporation]]+(Table6[[#This Row],[(A/B + A/S) AJD]]*1000))</f>
        <v/>
      </c>
      <c r="AE252" s="44" t="n"/>
      <c r="AF252" s="45" t="n"/>
      <c r="AG252" s="45" t="n"/>
      <c r="AH252" s="6">
        <f>Table6[[#This Row],[ (RESV. STORGE) BER]]/10</f>
        <v/>
      </c>
      <c r="AI252" s="44" t="n"/>
      <c r="AJ252" s="45">
        <f>Table6[[#This Row],[(A/B) AJD]]-TABL12345[[#This Row],[BER_IN]]</f>
        <v/>
      </c>
      <c r="AK252" s="45" t="n"/>
      <c r="AL252" s="45" t="n"/>
      <c r="AM252" s="32" t="n"/>
      <c r="AN252" s="32">
        <f>Table6[[#This Row],[ (RESV. STORGE) SER]]/10</f>
        <v/>
      </c>
      <c r="AO252" s="68" t="n"/>
      <c r="AP252" s="99">
        <f>Table6[[#This Row],[(A/S) AJD]]-Table6[[#This Row],[SER_IN]]</f>
        <v/>
      </c>
    </row>
    <row r="253" ht="18.75" customHeight="1">
      <c r="A253" s="98" t="n">
        <v>47735</v>
      </c>
      <c r="B253" s="41" t="n"/>
      <c r="C253" s="41" t="n"/>
      <c r="D253" s="41" t="n"/>
      <c r="E253" s="35" t="n"/>
      <c r="F253" s="41" t="n"/>
      <c r="G253" s="39" t="n"/>
      <c r="H253" s="28" t="n"/>
      <c r="I253" s="39" t="n"/>
      <c r="J253" s="39" t="n"/>
      <c r="K253" s="28">
        <f>Table6[[#This Row],[ (T/B) SAR]]+Table6[[#This Row],[ (S/S) SAR]]</f>
        <v/>
      </c>
      <c r="L253" s="41" t="n"/>
      <c r="M253" s="42" t="n"/>
      <c r="N253" s="42" t="n"/>
      <c r="O253" s="39" t="n"/>
      <c r="P253" s="9">
        <f>Table6[[#This Row],[ (S/S) SAR]]-Table6[[#This Row],[(S/S) AJD]]</f>
        <v/>
      </c>
      <c r="Q253" s="39" t="n"/>
      <c r="R253" s="9">
        <f>Table6[[#This Row],[ (T/B) SAR]]-Table6[[#This Row],[(T/B) AJD]]</f>
        <v/>
      </c>
      <c r="S253" s="9">
        <f>Table6[[#This Row],[S/S_CON.]]+Table6[[#This Row],[T/B-CON.]]</f>
        <v/>
      </c>
      <c r="T253" s="9">
        <f>O253+Q253</f>
        <v/>
      </c>
      <c r="U253" s="41" t="n"/>
      <c r="V253" s="41" t="n"/>
      <c r="W253" s="9">
        <f>U253+V253</f>
        <v/>
      </c>
      <c r="X253" s="9">
        <f>T253-W253</f>
        <v/>
      </c>
      <c r="Y253" s="41" t="n"/>
      <c r="Z253" s="43" t="n"/>
      <c r="AA253" s="3">
        <f>Table6[[#This Row],[(RESV. STORGE) AJD]]/10</f>
        <v/>
      </c>
      <c r="AB253" s="3">
        <f>IF(TRIM(Z253)="",,(Z253-Z252)/1000)</f>
        <v/>
      </c>
      <c r="AC253" s="5" t="n"/>
      <c r="AD253" s="39">
        <f>(Table6[[#This Row],[( S/S+T/B) AJD]]*1000)-((Table6[[#This Row],[(STORGE DIFF.) AJD]]*1000)+Table6[[#This Row],[AJD_Evaporation]]+(Table6[[#This Row],[(A/B + A/S) AJD]]*1000))</f>
        <v/>
      </c>
      <c r="AE253" s="41" t="n"/>
      <c r="AF253" s="43" t="n"/>
      <c r="AG253" s="43" t="n"/>
      <c r="AH253" s="6">
        <f>Table6[[#This Row],[ (RESV. STORGE) BER]]/10</f>
        <v/>
      </c>
      <c r="AI253" s="41" t="n"/>
      <c r="AJ253" s="43">
        <f>Table6[[#This Row],[(A/B) AJD]]-TABL12345[[#This Row],[BER_IN]]</f>
        <v/>
      </c>
      <c r="AK253" s="43" t="n"/>
      <c r="AL253" s="43" t="n"/>
      <c r="AM253" s="32" t="n"/>
      <c r="AN253" s="32">
        <f>Table6[[#This Row],[ (RESV. STORGE) SER]]/10</f>
        <v/>
      </c>
      <c r="AO253" s="68" t="n"/>
      <c r="AP253" s="99">
        <f>Table6[[#This Row],[(A/S) AJD]]-Table6[[#This Row],[SER_IN]]</f>
        <v/>
      </c>
    </row>
    <row r="254" ht="18.75" customHeight="1">
      <c r="A254" s="98" t="n">
        <v>47736</v>
      </c>
      <c r="B254" s="44" t="n"/>
      <c r="C254" s="44" t="n"/>
      <c r="D254" s="44" t="n"/>
      <c r="E254" s="35" t="n"/>
      <c r="F254" s="44" t="n"/>
      <c r="G254" s="40" t="n"/>
      <c r="H254" s="28" t="n"/>
      <c r="I254" s="40" t="n"/>
      <c r="J254" s="44" t="n"/>
      <c r="K254" s="28">
        <f>Table6[[#This Row],[ (T/B) SAR]]+Table6[[#This Row],[ (S/S) SAR]]</f>
        <v/>
      </c>
      <c r="L254" s="45" t="n"/>
      <c r="M254" s="46" t="n"/>
      <c r="N254" s="46" t="n"/>
      <c r="O254" s="40" t="n"/>
      <c r="P254" s="9">
        <f>Table6[[#This Row],[ (S/S) SAR]]-Table6[[#This Row],[(S/S) AJD]]</f>
        <v/>
      </c>
      <c r="Q254" s="40" t="n"/>
      <c r="R254" s="9">
        <f>Table6[[#This Row],[ (T/B) SAR]]-Table6[[#This Row],[(T/B) AJD]]</f>
        <v/>
      </c>
      <c r="S254" s="9">
        <f>Table6[[#This Row],[S/S_CON.]]+Table6[[#This Row],[T/B-CON.]]</f>
        <v/>
      </c>
      <c r="T254" s="9">
        <f>O254+Q254</f>
        <v/>
      </c>
      <c r="U254" s="44" t="n"/>
      <c r="V254" s="44" t="n"/>
      <c r="W254" s="9">
        <f>U254+V254</f>
        <v/>
      </c>
      <c r="X254" s="9">
        <f>T254-W254</f>
        <v/>
      </c>
      <c r="Y254" s="44" t="n"/>
      <c r="Z254" s="45" t="n"/>
      <c r="AA254" s="3">
        <f>Table6[[#This Row],[(RESV. STORGE) AJD]]/10</f>
        <v/>
      </c>
      <c r="AB254" s="3">
        <f>IF(TRIM(Z254)="",,(Z254-Z253)/1000)</f>
        <v/>
      </c>
      <c r="AC254" s="5" t="n"/>
      <c r="AD254" s="40">
        <f>(Table6[[#This Row],[( S/S+T/B) AJD]]*1000)-((Table6[[#This Row],[(STORGE DIFF.) AJD]]*1000)+Table6[[#This Row],[AJD_Evaporation]]+(Table6[[#This Row],[(A/B + A/S) AJD]]*1000))</f>
        <v/>
      </c>
      <c r="AE254" s="44" t="n"/>
      <c r="AF254" s="45" t="n"/>
      <c r="AG254" s="45" t="n"/>
      <c r="AH254" s="6">
        <f>Table6[[#This Row],[ (RESV. STORGE) BER]]/10</f>
        <v/>
      </c>
      <c r="AI254" s="44" t="n"/>
      <c r="AJ254" s="45">
        <f>Table6[[#This Row],[(A/B) AJD]]-TABL12345[[#This Row],[BER_IN]]</f>
        <v/>
      </c>
      <c r="AK254" s="45" t="n"/>
      <c r="AL254" s="45" t="n"/>
      <c r="AM254" s="32" t="n"/>
      <c r="AN254" s="32">
        <f>Table6[[#This Row],[ (RESV. STORGE) SER]]/10</f>
        <v/>
      </c>
      <c r="AO254" s="68" t="n"/>
      <c r="AP254" s="99">
        <f>Table6[[#This Row],[(A/S) AJD]]-Table6[[#This Row],[SER_IN]]</f>
        <v/>
      </c>
    </row>
    <row r="255" ht="18.75" customHeight="1">
      <c r="A255" s="98" t="n">
        <v>47737</v>
      </c>
      <c r="B255" s="41" t="n"/>
      <c r="C255" s="41" t="n"/>
      <c r="D255" s="41" t="n"/>
      <c r="E255" s="35" t="n"/>
      <c r="F255" s="41" t="n"/>
      <c r="G255" s="39" t="n"/>
      <c r="H255" s="28" t="n"/>
      <c r="I255" s="39" t="n"/>
      <c r="J255" s="39" t="n"/>
      <c r="K255" s="28">
        <f>Table6[[#This Row],[ (T/B) SAR]]+Table6[[#This Row],[ (S/S) SAR]]</f>
        <v/>
      </c>
      <c r="L255" s="41" t="n"/>
      <c r="M255" s="42" t="n"/>
      <c r="N255" s="42" t="n"/>
      <c r="O255" s="39" t="n"/>
      <c r="P255" s="9">
        <f>Table6[[#This Row],[ (S/S) SAR]]-Table6[[#This Row],[(S/S) AJD]]</f>
        <v/>
      </c>
      <c r="Q255" s="39" t="n"/>
      <c r="R255" s="9">
        <f>Table6[[#This Row],[ (T/B) SAR]]-Table6[[#This Row],[(T/B) AJD]]</f>
        <v/>
      </c>
      <c r="S255" s="9">
        <f>Table6[[#This Row],[S/S_CON.]]+Table6[[#This Row],[T/B-CON.]]</f>
        <v/>
      </c>
      <c r="T255" s="9">
        <f>O255+Q255</f>
        <v/>
      </c>
      <c r="U255" s="41" t="n"/>
      <c r="V255" s="41" t="n"/>
      <c r="W255" s="9">
        <f>U255+V255</f>
        <v/>
      </c>
      <c r="X255" s="9">
        <f>T255-W255</f>
        <v/>
      </c>
      <c r="Y255" s="41" t="n"/>
      <c r="Z255" s="43" t="n"/>
      <c r="AA255" s="3">
        <f>Table6[[#This Row],[(RESV. STORGE) AJD]]/10</f>
        <v/>
      </c>
      <c r="AB255" s="3">
        <f>IF(TRIM(Z255)="",,(Z255-Z254)/1000)</f>
        <v/>
      </c>
      <c r="AC255" s="5" t="n"/>
      <c r="AD255" s="39">
        <f>(Table6[[#This Row],[( S/S+T/B) AJD]]*1000)-((Table6[[#This Row],[(STORGE DIFF.) AJD]]*1000)+Table6[[#This Row],[AJD_Evaporation]]+(Table6[[#This Row],[(A/B + A/S) AJD]]*1000))</f>
        <v/>
      </c>
      <c r="AE255" s="41" t="n"/>
      <c r="AF255" s="43" t="n"/>
      <c r="AG255" s="43" t="n"/>
      <c r="AH255" s="6">
        <f>Table6[[#This Row],[ (RESV. STORGE) BER]]/10</f>
        <v/>
      </c>
      <c r="AI255" s="41" t="n"/>
      <c r="AJ255" s="43">
        <f>Table6[[#This Row],[(A/B) AJD]]-TABL12345[[#This Row],[BER_IN]]</f>
        <v/>
      </c>
      <c r="AK255" s="43" t="n"/>
      <c r="AL255" s="43" t="n"/>
      <c r="AM255" s="32" t="n"/>
      <c r="AN255" s="32">
        <f>Table6[[#This Row],[ (RESV. STORGE) SER]]/10</f>
        <v/>
      </c>
      <c r="AO255" s="68" t="n"/>
      <c r="AP255" s="99">
        <f>Table6[[#This Row],[(A/S) AJD]]-Table6[[#This Row],[SER_IN]]</f>
        <v/>
      </c>
    </row>
    <row r="256" ht="18.75" customHeight="1">
      <c r="A256" s="98" t="n">
        <v>47738</v>
      </c>
      <c r="B256" s="44" t="n"/>
      <c r="C256" s="44" t="n"/>
      <c r="D256" s="44" t="n"/>
      <c r="E256" s="35" t="n"/>
      <c r="F256" s="44" t="n"/>
      <c r="G256" s="40" t="n"/>
      <c r="H256" s="28" t="n"/>
      <c r="I256" s="40" t="n"/>
      <c r="J256" s="44" t="n"/>
      <c r="K256" s="28">
        <f>Table6[[#This Row],[ (T/B) SAR]]+Table6[[#This Row],[ (S/S) SAR]]</f>
        <v/>
      </c>
      <c r="L256" s="45" t="n"/>
      <c r="M256" s="46" t="n"/>
      <c r="N256" s="46" t="n"/>
      <c r="O256" s="40" t="n"/>
      <c r="P256" s="9">
        <f>Table6[[#This Row],[ (S/S) SAR]]-Table6[[#This Row],[(S/S) AJD]]</f>
        <v/>
      </c>
      <c r="Q256" s="40" t="n"/>
      <c r="R256" s="9">
        <f>Table6[[#This Row],[ (T/B) SAR]]-Table6[[#This Row],[(T/B) AJD]]</f>
        <v/>
      </c>
      <c r="S256" s="9">
        <f>Table6[[#This Row],[S/S_CON.]]+Table6[[#This Row],[T/B-CON.]]</f>
        <v/>
      </c>
      <c r="T256" s="9">
        <f>O256+Q256</f>
        <v/>
      </c>
      <c r="U256" s="44" t="n"/>
      <c r="V256" s="44" t="n"/>
      <c r="W256" s="9">
        <f>U256+V256</f>
        <v/>
      </c>
      <c r="X256" s="9">
        <f>T256-W256</f>
        <v/>
      </c>
      <c r="Y256" s="44" t="n"/>
      <c r="Z256" s="45" t="n"/>
      <c r="AA256" s="3">
        <f>Table6[[#This Row],[(RESV. STORGE) AJD]]/10</f>
        <v/>
      </c>
      <c r="AB256" s="3">
        <f>IF(TRIM(Z256)="",,(Z256-Z255)/1000)</f>
        <v/>
      </c>
      <c r="AC256" s="5" t="n"/>
      <c r="AD256" s="40">
        <f>(Table6[[#This Row],[( S/S+T/B) AJD]]*1000)-((Table6[[#This Row],[(STORGE DIFF.) AJD]]*1000)+Table6[[#This Row],[AJD_Evaporation]]+(Table6[[#This Row],[(A/B + A/S) AJD]]*1000))</f>
        <v/>
      </c>
      <c r="AE256" s="44" t="n"/>
      <c r="AF256" s="45" t="n"/>
      <c r="AG256" s="45" t="n"/>
      <c r="AH256" s="6">
        <f>Table6[[#This Row],[ (RESV. STORGE) BER]]/10</f>
        <v/>
      </c>
      <c r="AI256" s="44" t="n"/>
      <c r="AJ256" s="45">
        <f>Table6[[#This Row],[(A/B) AJD]]-TABL12345[[#This Row],[BER_IN]]</f>
        <v/>
      </c>
      <c r="AK256" s="45" t="n"/>
      <c r="AL256" s="45" t="n"/>
      <c r="AM256" s="32" t="n"/>
      <c r="AN256" s="32">
        <f>Table6[[#This Row],[ (RESV. STORGE) SER]]/10</f>
        <v/>
      </c>
      <c r="AO256" s="68" t="n"/>
      <c r="AP256" s="99">
        <f>Table6[[#This Row],[(A/S) AJD]]-Table6[[#This Row],[SER_IN]]</f>
        <v/>
      </c>
    </row>
    <row r="257" ht="18.75" customHeight="1">
      <c r="A257" s="98" t="n">
        <v>47739</v>
      </c>
      <c r="B257" s="41" t="n"/>
      <c r="C257" s="41" t="n"/>
      <c r="D257" s="41" t="n"/>
      <c r="E257" s="35" t="n"/>
      <c r="F257" s="41" t="n"/>
      <c r="G257" s="39" t="n"/>
      <c r="H257" s="28" t="n"/>
      <c r="I257" s="39" t="n"/>
      <c r="J257" s="39" t="n"/>
      <c r="K257" s="28">
        <f>Table6[[#This Row],[ (T/B) SAR]]+Table6[[#This Row],[ (S/S) SAR]]</f>
        <v/>
      </c>
      <c r="L257" s="41" t="n"/>
      <c r="M257" s="42" t="n"/>
      <c r="N257" s="42" t="n"/>
      <c r="O257" s="39" t="n"/>
      <c r="P257" s="9">
        <f>Table6[[#This Row],[ (S/S) SAR]]-Table6[[#This Row],[(S/S) AJD]]</f>
        <v/>
      </c>
      <c r="Q257" s="39" t="n"/>
      <c r="R257" s="9">
        <f>Table6[[#This Row],[ (T/B) SAR]]-Table6[[#This Row],[(T/B) AJD]]</f>
        <v/>
      </c>
      <c r="S257" s="9">
        <f>Table6[[#This Row],[S/S_CON.]]+Table6[[#This Row],[T/B-CON.]]</f>
        <v/>
      </c>
      <c r="T257" s="9">
        <f>O257+Q257</f>
        <v/>
      </c>
      <c r="U257" s="41" t="n"/>
      <c r="V257" s="41" t="n"/>
      <c r="W257" s="9">
        <f>U257+V257</f>
        <v/>
      </c>
      <c r="X257" s="9">
        <f>T257-W257</f>
        <v/>
      </c>
      <c r="Y257" s="41" t="n"/>
      <c r="Z257" s="43" t="n"/>
      <c r="AA257" s="3">
        <f>Table6[[#This Row],[(RESV. STORGE) AJD]]/10</f>
        <v/>
      </c>
      <c r="AB257" s="3">
        <f>IF(TRIM(Z257)="",,(Z257-Z256)/1000)</f>
        <v/>
      </c>
      <c r="AC257" s="5" t="n"/>
      <c r="AD257" s="39">
        <f>(Table6[[#This Row],[( S/S+T/B) AJD]]*1000)-((Table6[[#This Row],[(STORGE DIFF.) AJD]]*1000)+Table6[[#This Row],[AJD_Evaporation]]+(Table6[[#This Row],[(A/B + A/S) AJD]]*1000))</f>
        <v/>
      </c>
      <c r="AE257" s="41" t="n"/>
      <c r="AF257" s="43" t="n"/>
      <c r="AG257" s="43" t="n"/>
      <c r="AH257" s="6">
        <f>Table6[[#This Row],[ (RESV. STORGE) BER]]/10</f>
        <v/>
      </c>
      <c r="AI257" s="41" t="n"/>
      <c r="AJ257" s="43">
        <f>Table6[[#This Row],[(A/B) AJD]]-TABL12345[[#This Row],[BER_IN]]</f>
        <v/>
      </c>
      <c r="AK257" s="43" t="n"/>
      <c r="AL257" s="43" t="n"/>
      <c r="AM257" s="32" t="n"/>
      <c r="AN257" s="32">
        <f>Table6[[#This Row],[ (RESV. STORGE) SER]]/10</f>
        <v/>
      </c>
      <c r="AO257" s="68" t="n"/>
      <c r="AP257" s="99">
        <f>Table6[[#This Row],[(A/S) AJD]]-Table6[[#This Row],[SER_IN]]</f>
        <v/>
      </c>
    </row>
    <row r="258" ht="18.75" customHeight="1">
      <c r="A258" s="98" t="n">
        <v>47740</v>
      </c>
      <c r="B258" s="44" t="n"/>
      <c r="C258" s="44" t="n"/>
      <c r="D258" s="44" t="n"/>
      <c r="E258" s="35" t="n"/>
      <c r="F258" s="44" t="n"/>
      <c r="G258" s="40" t="n"/>
      <c r="H258" s="28" t="n"/>
      <c r="I258" s="40" t="n"/>
      <c r="J258" s="44" t="n"/>
      <c r="K258" s="28">
        <f>Table6[[#This Row],[ (T/B) SAR]]+Table6[[#This Row],[ (S/S) SAR]]</f>
        <v/>
      </c>
      <c r="L258" s="45" t="n"/>
      <c r="M258" s="46" t="n"/>
      <c r="N258" s="46" t="n"/>
      <c r="O258" s="40" t="n"/>
      <c r="P258" s="9">
        <f>Table6[[#This Row],[ (S/S) SAR]]-Table6[[#This Row],[(S/S) AJD]]</f>
        <v/>
      </c>
      <c r="Q258" s="40" t="n"/>
      <c r="R258" s="9">
        <f>Table6[[#This Row],[ (T/B) SAR]]-Table6[[#This Row],[(T/B) AJD]]</f>
        <v/>
      </c>
      <c r="S258" s="9">
        <f>Table6[[#This Row],[S/S_CON.]]+Table6[[#This Row],[T/B-CON.]]</f>
        <v/>
      </c>
      <c r="T258" s="9">
        <f>O258+Q258</f>
        <v/>
      </c>
      <c r="U258" s="44" t="n"/>
      <c r="V258" s="44" t="n"/>
      <c r="W258" s="9">
        <f>U258+V258</f>
        <v/>
      </c>
      <c r="X258" s="9">
        <f>T258-W258</f>
        <v/>
      </c>
      <c r="Y258" s="44" t="n"/>
      <c r="Z258" s="45" t="n"/>
      <c r="AA258" s="3">
        <f>Table6[[#This Row],[(RESV. STORGE) AJD]]/10</f>
        <v/>
      </c>
      <c r="AB258" s="3">
        <f>IF(TRIM(Z258)="",,(Z258-Z257)/1000)</f>
        <v/>
      </c>
      <c r="AC258" s="5" t="n"/>
      <c r="AD258" s="40">
        <f>(Table6[[#This Row],[( S/S+T/B) AJD]]*1000)-((Table6[[#This Row],[(STORGE DIFF.) AJD]]*1000)+Table6[[#This Row],[AJD_Evaporation]]+(Table6[[#This Row],[(A/B + A/S) AJD]]*1000))</f>
        <v/>
      </c>
      <c r="AE258" s="44" t="n"/>
      <c r="AF258" s="45" t="n"/>
      <c r="AG258" s="45" t="n"/>
      <c r="AH258" s="6">
        <f>Table6[[#This Row],[ (RESV. STORGE) BER]]/10</f>
        <v/>
      </c>
      <c r="AI258" s="44" t="n"/>
      <c r="AJ258" s="45">
        <f>Table6[[#This Row],[(A/B) AJD]]-TABL12345[[#This Row],[BER_IN]]</f>
        <v/>
      </c>
      <c r="AK258" s="45" t="n"/>
      <c r="AL258" s="45" t="n"/>
      <c r="AM258" s="32" t="n"/>
      <c r="AN258" s="32">
        <f>Table6[[#This Row],[ (RESV. STORGE) SER]]/10</f>
        <v/>
      </c>
      <c r="AO258" s="68" t="n"/>
      <c r="AP258" s="99">
        <f>Table6[[#This Row],[(A/S) AJD]]-Table6[[#This Row],[SER_IN]]</f>
        <v/>
      </c>
    </row>
    <row r="259" ht="18.75" customHeight="1">
      <c r="A259" s="98" t="n">
        <v>47741</v>
      </c>
      <c r="B259" s="41" t="n"/>
      <c r="C259" s="41" t="n"/>
      <c r="D259" s="41" t="n"/>
      <c r="E259" s="35" t="n"/>
      <c r="F259" s="41" t="n"/>
      <c r="G259" s="39" t="n"/>
      <c r="H259" s="28" t="n"/>
      <c r="I259" s="39" t="n"/>
      <c r="J259" s="39" t="n"/>
      <c r="K259" s="28">
        <f>Table6[[#This Row],[ (T/B) SAR]]+Table6[[#This Row],[ (S/S) SAR]]</f>
        <v/>
      </c>
      <c r="L259" s="41" t="n"/>
      <c r="M259" s="42" t="n"/>
      <c r="N259" s="42" t="n"/>
      <c r="O259" s="39" t="n"/>
      <c r="P259" s="9">
        <f>Table6[[#This Row],[ (S/S) SAR]]-Table6[[#This Row],[(S/S) AJD]]</f>
        <v/>
      </c>
      <c r="Q259" s="39" t="n"/>
      <c r="R259" s="9">
        <f>Table6[[#This Row],[ (T/B) SAR]]-Table6[[#This Row],[(T/B) AJD]]</f>
        <v/>
      </c>
      <c r="S259" s="9">
        <f>Table6[[#This Row],[S/S_CON.]]+Table6[[#This Row],[T/B-CON.]]</f>
        <v/>
      </c>
      <c r="T259" s="9">
        <f>O259+Q259</f>
        <v/>
      </c>
      <c r="U259" s="41" t="n"/>
      <c r="V259" s="41" t="n"/>
      <c r="W259" s="9">
        <f>U259+V259</f>
        <v/>
      </c>
      <c r="X259" s="9">
        <f>T259-W259</f>
        <v/>
      </c>
      <c r="Y259" s="41" t="n"/>
      <c r="Z259" s="43" t="n"/>
      <c r="AA259" s="3">
        <f>Table6[[#This Row],[(RESV. STORGE) AJD]]/10</f>
        <v/>
      </c>
      <c r="AB259" s="3">
        <f>IF(TRIM(Z259)="",,(Z259-Z258)/1000)</f>
        <v/>
      </c>
      <c r="AC259" s="5" t="n"/>
      <c r="AD259" s="39">
        <f>(Table6[[#This Row],[( S/S+T/B) AJD]]*1000)-((Table6[[#This Row],[(STORGE DIFF.) AJD]]*1000)+Table6[[#This Row],[AJD_Evaporation]]+(Table6[[#This Row],[(A/B + A/S) AJD]]*1000))</f>
        <v/>
      </c>
      <c r="AE259" s="41" t="n"/>
      <c r="AF259" s="43" t="n"/>
      <c r="AG259" s="43" t="n"/>
      <c r="AH259" s="6">
        <f>Table6[[#This Row],[ (RESV. STORGE) BER]]/10</f>
        <v/>
      </c>
      <c r="AI259" s="41" t="n"/>
      <c r="AJ259" s="43">
        <f>Table6[[#This Row],[(A/B) AJD]]-TABL12345[[#This Row],[BER_IN]]</f>
        <v/>
      </c>
      <c r="AK259" s="43" t="n"/>
      <c r="AL259" s="43" t="n"/>
      <c r="AM259" s="32" t="n"/>
      <c r="AN259" s="32">
        <f>Table6[[#This Row],[ (RESV. STORGE) SER]]/10</f>
        <v/>
      </c>
      <c r="AO259" s="68" t="n"/>
      <c r="AP259" s="99">
        <f>Table6[[#This Row],[(A/S) AJD]]-Table6[[#This Row],[SER_IN]]</f>
        <v/>
      </c>
    </row>
    <row r="260" ht="18.75" customHeight="1">
      <c r="A260" s="98" t="n">
        <v>47742</v>
      </c>
      <c r="B260" s="44" t="n"/>
      <c r="C260" s="44" t="n"/>
      <c r="D260" s="44" t="n"/>
      <c r="E260" s="35" t="n"/>
      <c r="F260" s="44" t="n"/>
      <c r="G260" s="40" t="n"/>
      <c r="H260" s="28" t="n"/>
      <c r="I260" s="40" t="n"/>
      <c r="J260" s="44" t="n"/>
      <c r="K260" s="28">
        <f>Table6[[#This Row],[ (T/B) SAR]]+Table6[[#This Row],[ (S/S) SAR]]</f>
        <v/>
      </c>
      <c r="L260" s="45" t="n"/>
      <c r="M260" s="46" t="n"/>
      <c r="N260" s="46" t="n"/>
      <c r="O260" s="40" t="n"/>
      <c r="P260" s="9">
        <f>Table6[[#This Row],[ (S/S) SAR]]-Table6[[#This Row],[(S/S) AJD]]</f>
        <v/>
      </c>
      <c r="Q260" s="40" t="n"/>
      <c r="R260" s="9">
        <f>Table6[[#This Row],[ (T/B) SAR]]-Table6[[#This Row],[(T/B) AJD]]</f>
        <v/>
      </c>
      <c r="S260" s="9">
        <f>Table6[[#This Row],[S/S_CON.]]+Table6[[#This Row],[T/B-CON.]]</f>
        <v/>
      </c>
      <c r="T260" s="9">
        <f>O260+Q260</f>
        <v/>
      </c>
      <c r="U260" s="44" t="n"/>
      <c r="V260" s="44" t="n"/>
      <c r="W260" s="9">
        <f>U260+V260</f>
        <v/>
      </c>
      <c r="X260" s="9">
        <f>T260-W260</f>
        <v/>
      </c>
      <c r="Y260" s="44" t="n"/>
      <c r="Z260" s="45" t="n"/>
      <c r="AA260" s="3">
        <f>Table6[[#This Row],[(RESV. STORGE) AJD]]/10</f>
        <v/>
      </c>
      <c r="AB260" s="3">
        <f>IF(TRIM(Z260)="",,(Z260-Z259)/1000)</f>
        <v/>
      </c>
      <c r="AC260" s="5" t="n"/>
      <c r="AD260" s="40">
        <f>(Table6[[#This Row],[( S/S+T/B) AJD]]*1000)-((Table6[[#This Row],[(STORGE DIFF.) AJD]]*1000)+Table6[[#This Row],[AJD_Evaporation]]+(Table6[[#This Row],[(A/B + A/S) AJD]]*1000))</f>
        <v/>
      </c>
      <c r="AE260" s="44" t="n"/>
      <c r="AF260" s="45" t="n"/>
      <c r="AG260" s="45" t="n"/>
      <c r="AH260" s="6">
        <f>Table6[[#This Row],[ (RESV. STORGE) BER]]/10</f>
        <v/>
      </c>
      <c r="AI260" s="44" t="n"/>
      <c r="AJ260" s="45">
        <f>Table6[[#This Row],[(A/B) AJD]]-TABL12345[[#This Row],[BER_IN]]</f>
        <v/>
      </c>
      <c r="AK260" s="45" t="n"/>
      <c r="AL260" s="45" t="n"/>
      <c r="AM260" s="32" t="n"/>
      <c r="AN260" s="32">
        <f>Table6[[#This Row],[ (RESV. STORGE) SER]]/10</f>
        <v/>
      </c>
      <c r="AO260" s="68" t="n"/>
      <c r="AP260" s="99">
        <f>Table6[[#This Row],[(A/S) AJD]]-Table6[[#This Row],[SER_IN]]</f>
        <v/>
      </c>
    </row>
    <row r="261" ht="18.75" customHeight="1">
      <c r="A261" s="98" t="n">
        <v>47743</v>
      </c>
      <c r="B261" s="41" t="n"/>
      <c r="C261" s="41" t="n"/>
      <c r="D261" s="41" t="n"/>
      <c r="E261" s="35" t="n"/>
      <c r="F261" s="41" t="n"/>
      <c r="G261" s="39" t="n"/>
      <c r="H261" s="28" t="n"/>
      <c r="I261" s="39" t="n"/>
      <c r="J261" s="39" t="n"/>
      <c r="K261" s="28">
        <f>Table6[[#This Row],[ (T/B) SAR]]+Table6[[#This Row],[ (S/S) SAR]]</f>
        <v/>
      </c>
      <c r="L261" s="41" t="n"/>
      <c r="M261" s="42" t="n"/>
      <c r="N261" s="42" t="n"/>
      <c r="O261" s="39" t="n"/>
      <c r="P261" s="9">
        <f>Table6[[#This Row],[ (S/S) SAR]]-Table6[[#This Row],[(S/S) AJD]]</f>
        <v/>
      </c>
      <c r="Q261" s="39" t="n"/>
      <c r="R261" s="9">
        <f>Table6[[#This Row],[ (T/B) SAR]]-Table6[[#This Row],[(T/B) AJD]]</f>
        <v/>
      </c>
      <c r="S261" s="9">
        <f>Table6[[#This Row],[S/S_CON.]]+Table6[[#This Row],[T/B-CON.]]</f>
        <v/>
      </c>
      <c r="T261" s="9">
        <f>O261+Q261</f>
        <v/>
      </c>
      <c r="U261" s="41" t="n"/>
      <c r="V261" s="41" t="n"/>
      <c r="W261" s="9">
        <f>U261+V261</f>
        <v/>
      </c>
      <c r="X261" s="9">
        <f>T261-W261</f>
        <v/>
      </c>
      <c r="Y261" s="41" t="n"/>
      <c r="Z261" s="43" t="n"/>
      <c r="AA261" s="3">
        <f>Table6[[#This Row],[(RESV. STORGE) AJD]]/10</f>
        <v/>
      </c>
      <c r="AB261" s="3">
        <f>IF(TRIM(Z261)="",,(Z261-Z260)/1000)</f>
        <v/>
      </c>
      <c r="AC261" s="5" t="n"/>
      <c r="AD261" s="39">
        <f>(Table6[[#This Row],[( S/S+T/B) AJD]]*1000)-((Table6[[#This Row],[(STORGE DIFF.) AJD]]*1000)+Table6[[#This Row],[AJD_Evaporation]]+(Table6[[#This Row],[(A/B + A/S) AJD]]*1000))</f>
        <v/>
      </c>
      <c r="AE261" s="41" t="n"/>
      <c r="AF261" s="43" t="n"/>
      <c r="AG261" s="43" t="n"/>
      <c r="AH261" s="6">
        <f>Table6[[#This Row],[ (RESV. STORGE) BER]]/10</f>
        <v/>
      </c>
      <c r="AI261" s="41" t="n"/>
      <c r="AJ261" s="43">
        <f>Table6[[#This Row],[(A/B) AJD]]-TABL12345[[#This Row],[BER_IN]]</f>
        <v/>
      </c>
      <c r="AK261" s="43" t="n"/>
      <c r="AL261" s="43" t="n"/>
      <c r="AM261" s="32" t="n"/>
      <c r="AN261" s="32">
        <f>Table6[[#This Row],[ (RESV. STORGE) SER]]/10</f>
        <v/>
      </c>
      <c r="AO261" s="68" t="n"/>
      <c r="AP261" s="99">
        <f>Table6[[#This Row],[(A/S) AJD]]-Table6[[#This Row],[SER_IN]]</f>
        <v/>
      </c>
    </row>
    <row r="262" ht="18.75" customHeight="1">
      <c r="A262" s="98" t="n">
        <v>47744</v>
      </c>
      <c r="B262" s="44" t="n"/>
      <c r="C262" s="44" t="n"/>
      <c r="D262" s="44" t="n"/>
      <c r="E262" s="35" t="n"/>
      <c r="F262" s="44" t="n"/>
      <c r="G262" s="40" t="n"/>
      <c r="H262" s="28" t="n"/>
      <c r="I262" s="40" t="n"/>
      <c r="J262" s="44" t="n"/>
      <c r="K262" s="28">
        <f>Table6[[#This Row],[ (T/B) SAR]]+Table6[[#This Row],[ (S/S) SAR]]</f>
        <v/>
      </c>
      <c r="L262" s="45" t="n"/>
      <c r="M262" s="46" t="n"/>
      <c r="N262" s="46" t="n"/>
      <c r="O262" s="40" t="n"/>
      <c r="P262" s="9">
        <f>Table6[[#This Row],[ (S/S) SAR]]-Table6[[#This Row],[(S/S) AJD]]</f>
        <v/>
      </c>
      <c r="Q262" s="40" t="n"/>
      <c r="R262" s="9">
        <f>Table6[[#This Row],[ (T/B) SAR]]-Table6[[#This Row],[(T/B) AJD]]</f>
        <v/>
      </c>
      <c r="S262" s="9">
        <f>Table6[[#This Row],[S/S_CON.]]+Table6[[#This Row],[T/B-CON.]]</f>
        <v/>
      </c>
      <c r="T262" s="9">
        <f>O262+Q262</f>
        <v/>
      </c>
      <c r="U262" s="44" t="n"/>
      <c r="V262" s="44" t="n"/>
      <c r="W262" s="9">
        <f>U262+V262</f>
        <v/>
      </c>
      <c r="X262" s="9">
        <f>T262-W262</f>
        <v/>
      </c>
      <c r="Y262" s="44" t="n"/>
      <c r="Z262" s="45" t="n"/>
      <c r="AA262" s="3">
        <f>Table6[[#This Row],[(RESV. STORGE) AJD]]/10</f>
        <v/>
      </c>
      <c r="AB262" s="3">
        <f>IF(TRIM(Z262)="",,(Z262-Z261)/1000)</f>
        <v/>
      </c>
      <c r="AC262" s="5" t="n"/>
      <c r="AD262" s="40">
        <f>(Table6[[#This Row],[( S/S+T/B) AJD]]*1000)-((Table6[[#This Row],[(STORGE DIFF.) AJD]]*1000)+Table6[[#This Row],[AJD_Evaporation]]+(Table6[[#This Row],[(A/B + A/S) AJD]]*1000))</f>
        <v/>
      </c>
      <c r="AE262" s="44" t="n"/>
      <c r="AF262" s="45" t="n"/>
      <c r="AG262" s="45" t="n"/>
      <c r="AH262" s="6">
        <f>Table6[[#This Row],[ (RESV. STORGE) BER]]/10</f>
        <v/>
      </c>
      <c r="AI262" s="44" t="n"/>
      <c r="AJ262" s="45">
        <f>Table6[[#This Row],[(A/B) AJD]]-TABL12345[[#This Row],[BER_IN]]</f>
        <v/>
      </c>
      <c r="AK262" s="45" t="n"/>
      <c r="AL262" s="45" t="n"/>
      <c r="AM262" s="32" t="n"/>
      <c r="AN262" s="32">
        <f>Table6[[#This Row],[ (RESV. STORGE) SER]]/10</f>
        <v/>
      </c>
      <c r="AO262" s="68" t="n"/>
      <c r="AP262" s="99">
        <f>Table6[[#This Row],[(A/S) AJD]]-Table6[[#This Row],[SER_IN]]</f>
        <v/>
      </c>
    </row>
    <row r="263" ht="18.75" customHeight="1">
      <c r="A263" s="98" t="n">
        <v>47745</v>
      </c>
      <c r="B263" s="41" t="n"/>
      <c r="C263" s="41" t="n"/>
      <c r="D263" s="41" t="n"/>
      <c r="E263" s="35" t="n"/>
      <c r="F263" s="41" t="n"/>
      <c r="G263" s="39" t="n"/>
      <c r="H263" s="28" t="n"/>
      <c r="I263" s="39" t="n"/>
      <c r="J263" s="39" t="n"/>
      <c r="K263" s="28">
        <f>Table6[[#This Row],[ (T/B) SAR]]+Table6[[#This Row],[ (S/S) SAR]]</f>
        <v/>
      </c>
      <c r="L263" s="41" t="n"/>
      <c r="M263" s="42" t="n"/>
      <c r="N263" s="42" t="n"/>
      <c r="O263" s="39" t="n"/>
      <c r="P263" s="9">
        <f>Table6[[#This Row],[ (S/S) SAR]]-Table6[[#This Row],[(S/S) AJD]]</f>
        <v/>
      </c>
      <c r="Q263" s="39" t="n"/>
      <c r="R263" s="9">
        <f>Table6[[#This Row],[ (T/B) SAR]]-Table6[[#This Row],[(T/B) AJD]]</f>
        <v/>
      </c>
      <c r="S263" s="9">
        <f>Table6[[#This Row],[S/S_CON.]]+Table6[[#This Row],[T/B-CON.]]</f>
        <v/>
      </c>
      <c r="T263" s="9">
        <f>O263+Q263</f>
        <v/>
      </c>
      <c r="U263" s="41" t="n"/>
      <c r="V263" s="41" t="n"/>
      <c r="W263" s="9">
        <f>U263+V263</f>
        <v/>
      </c>
      <c r="X263" s="9">
        <f>T263-W263</f>
        <v/>
      </c>
      <c r="Y263" s="41" t="n"/>
      <c r="Z263" s="43" t="n"/>
      <c r="AA263" s="3">
        <f>Table6[[#This Row],[(RESV. STORGE) AJD]]/10</f>
        <v/>
      </c>
      <c r="AB263" s="3">
        <f>IF(TRIM(Z263)="",,(Z263-Z262)/1000)</f>
        <v/>
      </c>
      <c r="AC263" s="5" t="n"/>
      <c r="AD263" s="39">
        <f>(Table6[[#This Row],[( S/S+T/B) AJD]]*1000)-((Table6[[#This Row],[(STORGE DIFF.) AJD]]*1000)+Table6[[#This Row],[AJD_Evaporation]]+(Table6[[#This Row],[(A/B + A/S) AJD]]*1000))</f>
        <v/>
      </c>
      <c r="AE263" s="41" t="n"/>
      <c r="AF263" s="43" t="n"/>
      <c r="AG263" s="43" t="n"/>
      <c r="AH263" s="6">
        <f>Table6[[#This Row],[ (RESV. STORGE) BER]]/10</f>
        <v/>
      </c>
      <c r="AI263" s="41" t="n"/>
      <c r="AJ263" s="43">
        <f>Table6[[#This Row],[(A/B) AJD]]-TABL12345[[#This Row],[BER_IN]]</f>
        <v/>
      </c>
      <c r="AK263" s="43" t="n"/>
      <c r="AL263" s="43" t="n"/>
      <c r="AM263" s="32" t="n"/>
      <c r="AN263" s="32">
        <f>Table6[[#This Row],[ (RESV. STORGE) SER]]/10</f>
        <v/>
      </c>
      <c r="AO263" s="68" t="n"/>
      <c r="AP263" s="99">
        <f>Table6[[#This Row],[(A/S) AJD]]-Table6[[#This Row],[SER_IN]]</f>
        <v/>
      </c>
    </row>
    <row r="264" ht="18.75" customHeight="1">
      <c r="A264" s="98" t="n">
        <v>47746</v>
      </c>
      <c r="B264" s="44" t="n"/>
      <c r="C264" s="44" t="n"/>
      <c r="D264" s="44" t="n"/>
      <c r="E264" s="35" t="n"/>
      <c r="F264" s="44" t="n"/>
      <c r="G264" s="40" t="n"/>
      <c r="H264" s="28" t="n"/>
      <c r="I264" s="40" t="n"/>
      <c r="J264" s="44" t="n"/>
      <c r="K264" s="28">
        <f>Table6[[#This Row],[ (T/B) SAR]]+Table6[[#This Row],[ (S/S) SAR]]</f>
        <v/>
      </c>
      <c r="L264" s="45" t="n"/>
      <c r="M264" s="46" t="n"/>
      <c r="N264" s="46" t="n"/>
      <c r="O264" s="40" t="n"/>
      <c r="P264" s="9">
        <f>Table6[[#This Row],[ (S/S) SAR]]-Table6[[#This Row],[(S/S) AJD]]</f>
        <v/>
      </c>
      <c r="Q264" s="40" t="n"/>
      <c r="R264" s="9">
        <f>Table6[[#This Row],[ (T/B) SAR]]-Table6[[#This Row],[(T/B) AJD]]</f>
        <v/>
      </c>
      <c r="S264" s="9">
        <f>Table6[[#This Row],[S/S_CON.]]+Table6[[#This Row],[T/B-CON.]]</f>
        <v/>
      </c>
      <c r="T264" s="9">
        <f>O264+Q264</f>
        <v/>
      </c>
      <c r="U264" s="44" t="n"/>
      <c r="V264" s="44" t="n"/>
      <c r="W264" s="9">
        <f>U264+V264</f>
        <v/>
      </c>
      <c r="X264" s="9">
        <f>T264-W264</f>
        <v/>
      </c>
      <c r="Y264" s="44" t="n"/>
      <c r="Z264" s="45" t="n"/>
      <c r="AA264" s="3">
        <f>Table6[[#This Row],[(RESV. STORGE) AJD]]/10</f>
        <v/>
      </c>
      <c r="AB264" s="3">
        <f>IF(TRIM(Z264)="",,(Z264-Z263)/1000)</f>
        <v/>
      </c>
      <c r="AC264" s="5" t="n"/>
      <c r="AD264" s="40">
        <f>(Table6[[#This Row],[( S/S+T/B) AJD]]*1000)-((Table6[[#This Row],[(STORGE DIFF.) AJD]]*1000)+Table6[[#This Row],[AJD_Evaporation]]+(Table6[[#This Row],[(A/B + A/S) AJD]]*1000))</f>
        <v/>
      </c>
      <c r="AE264" s="44" t="n"/>
      <c r="AF264" s="45" t="n"/>
      <c r="AG264" s="45" t="n"/>
      <c r="AH264" s="6">
        <f>Table6[[#This Row],[ (RESV. STORGE) BER]]/10</f>
        <v/>
      </c>
      <c r="AI264" s="44" t="n"/>
      <c r="AJ264" s="45">
        <f>Table6[[#This Row],[(A/B) AJD]]-TABL12345[[#This Row],[BER_IN]]</f>
        <v/>
      </c>
      <c r="AK264" s="45" t="n"/>
      <c r="AL264" s="45" t="n"/>
      <c r="AM264" s="32" t="n"/>
      <c r="AN264" s="32">
        <f>Table6[[#This Row],[ (RESV. STORGE) SER]]/10</f>
        <v/>
      </c>
      <c r="AO264" s="68" t="n"/>
      <c r="AP264" s="99">
        <f>Table6[[#This Row],[(A/S) AJD]]-Table6[[#This Row],[SER_IN]]</f>
        <v/>
      </c>
    </row>
    <row r="265" ht="18.75" customHeight="1">
      <c r="A265" s="98" t="n">
        <v>47747</v>
      </c>
      <c r="B265" s="41" t="n"/>
      <c r="C265" s="41" t="n"/>
      <c r="D265" s="41" t="n"/>
      <c r="E265" s="35" t="n"/>
      <c r="F265" s="41" t="n"/>
      <c r="G265" s="39" t="n"/>
      <c r="H265" s="28" t="n"/>
      <c r="I265" s="39" t="n"/>
      <c r="J265" s="39" t="n"/>
      <c r="K265" s="28">
        <f>Table6[[#This Row],[ (T/B) SAR]]+Table6[[#This Row],[ (S/S) SAR]]</f>
        <v/>
      </c>
      <c r="L265" s="41" t="n"/>
      <c r="M265" s="42" t="n"/>
      <c r="N265" s="42" t="n"/>
      <c r="O265" s="39" t="n"/>
      <c r="P265" s="9">
        <f>Table6[[#This Row],[ (S/S) SAR]]-Table6[[#This Row],[(S/S) AJD]]</f>
        <v/>
      </c>
      <c r="Q265" s="39" t="n"/>
      <c r="R265" s="9">
        <f>Table6[[#This Row],[ (T/B) SAR]]-Table6[[#This Row],[(T/B) AJD]]</f>
        <v/>
      </c>
      <c r="S265" s="9">
        <f>Table6[[#This Row],[S/S_CON.]]+Table6[[#This Row],[T/B-CON.]]</f>
        <v/>
      </c>
      <c r="T265" s="9">
        <f>O265+Q265</f>
        <v/>
      </c>
      <c r="U265" s="41" t="n"/>
      <c r="V265" s="41" t="n"/>
      <c r="W265" s="9">
        <f>U265+V265</f>
        <v/>
      </c>
      <c r="X265" s="9">
        <f>T265-W265</f>
        <v/>
      </c>
      <c r="Y265" s="41" t="n"/>
      <c r="Z265" s="43" t="n"/>
      <c r="AA265" s="3">
        <f>Table6[[#This Row],[(RESV. STORGE) AJD]]/10</f>
        <v/>
      </c>
      <c r="AB265" s="3">
        <f>IF(TRIM(Z265)="",,(Z265-Z264)/1000)</f>
        <v/>
      </c>
      <c r="AC265" s="5" t="n"/>
      <c r="AD265" s="39">
        <f>(Table6[[#This Row],[( S/S+T/B) AJD]]*1000)-((Table6[[#This Row],[(STORGE DIFF.) AJD]]*1000)+Table6[[#This Row],[AJD_Evaporation]]+(Table6[[#This Row],[(A/B + A/S) AJD]]*1000))</f>
        <v/>
      </c>
      <c r="AE265" s="41" t="n"/>
      <c r="AF265" s="43" t="n"/>
      <c r="AG265" s="43" t="n"/>
      <c r="AH265" s="6">
        <f>Table6[[#This Row],[ (RESV. STORGE) BER]]/10</f>
        <v/>
      </c>
      <c r="AI265" s="41" t="n"/>
      <c r="AJ265" s="43">
        <f>Table6[[#This Row],[(A/B) AJD]]-TABL12345[[#This Row],[BER_IN]]</f>
        <v/>
      </c>
      <c r="AK265" s="43" t="n"/>
      <c r="AL265" s="43" t="n"/>
      <c r="AM265" s="32" t="n"/>
      <c r="AN265" s="32">
        <f>Table6[[#This Row],[ (RESV. STORGE) SER]]/10</f>
        <v/>
      </c>
      <c r="AO265" s="68" t="n"/>
      <c r="AP265" s="99">
        <f>Table6[[#This Row],[(A/S) AJD]]-Table6[[#This Row],[SER_IN]]</f>
        <v/>
      </c>
    </row>
    <row r="266" ht="18.75" customHeight="1">
      <c r="A266" s="98" t="n">
        <v>47748</v>
      </c>
      <c r="B266" s="44" t="n"/>
      <c r="C266" s="44" t="n"/>
      <c r="D266" s="44" t="n"/>
      <c r="E266" s="35" t="n"/>
      <c r="F266" s="44" t="n"/>
      <c r="G266" s="40" t="n"/>
      <c r="H266" s="28" t="n"/>
      <c r="I266" s="40" t="n"/>
      <c r="J266" s="44" t="n"/>
      <c r="K266" s="28">
        <f>Table6[[#This Row],[ (T/B) SAR]]+Table6[[#This Row],[ (S/S) SAR]]</f>
        <v/>
      </c>
      <c r="L266" s="45" t="n"/>
      <c r="M266" s="46" t="n"/>
      <c r="N266" s="46" t="n"/>
      <c r="O266" s="40" t="n"/>
      <c r="P266" s="9">
        <f>Table6[[#This Row],[ (S/S) SAR]]-Table6[[#This Row],[(S/S) AJD]]</f>
        <v/>
      </c>
      <c r="Q266" s="40" t="n"/>
      <c r="R266" s="9">
        <f>Table6[[#This Row],[ (T/B) SAR]]-Table6[[#This Row],[(T/B) AJD]]</f>
        <v/>
      </c>
      <c r="S266" s="9">
        <f>Table6[[#This Row],[S/S_CON.]]+Table6[[#This Row],[T/B-CON.]]</f>
        <v/>
      </c>
      <c r="T266" s="9">
        <f>O266+Q266</f>
        <v/>
      </c>
      <c r="U266" s="44" t="n"/>
      <c r="V266" s="44" t="n"/>
      <c r="W266" s="9">
        <f>U266+V266</f>
        <v/>
      </c>
      <c r="X266" s="9">
        <f>T266-W266</f>
        <v/>
      </c>
      <c r="Y266" s="44" t="n"/>
      <c r="Z266" s="45" t="n"/>
      <c r="AA266" s="3">
        <f>Table6[[#This Row],[(RESV. STORGE) AJD]]/10</f>
        <v/>
      </c>
      <c r="AB266" s="3">
        <f>IF(TRIM(Z266)="",,(Z266-Z265)/1000)</f>
        <v/>
      </c>
      <c r="AC266" s="5" t="n"/>
      <c r="AD266" s="40">
        <f>(Table6[[#This Row],[( S/S+T/B) AJD]]*1000)-((Table6[[#This Row],[(STORGE DIFF.) AJD]]*1000)+Table6[[#This Row],[AJD_Evaporation]]+(Table6[[#This Row],[(A/B + A/S) AJD]]*1000))</f>
        <v/>
      </c>
      <c r="AE266" s="44" t="n"/>
      <c r="AF266" s="45" t="n"/>
      <c r="AG266" s="45" t="n"/>
      <c r="AH266" s="6">
        <f>Table6[[#This Row],[ (RESV. STORGE) BER]]/10</f>
        <v/>
      </c>
      <c r="AI266" s="44" t="n"/>
      <c r="AJ266" s="45">
        <f>Table6[[#This Row],[(A/B) AJD]]-TABL12345[[#This Row],[BER_IN]]</f>
        <v/>
      </c>
      <c r="AK266" s="45" t="n"/>
      <c r="AL266" s="45" t="n"/>
      <c r="AM266" s="32" t="n"/>
      <c r="AN266" s="32">
        <f>Table6[[#This Row],[ (RESV. STORGE) SER]]/10</f>
        <v/>
      </c>
      <c r="AO266" s="68" t="n"/>
      <c r="AP266" s="99">
        <f>Table6[[#This Row],[(A/S) AJD]]-Table6[[#This Row],[SER_IN]]</f>
        <v/>
      </c>
    </row>
    <row r="267" ht="18.75" customHeight="1">
      <c r="A267" s="98" t="n">
        <v>47749</v>
      </c>
      <c r="B267" s="41" t="n"/>
      <c r="C267" s="41" t="n"/>
      <c r="D267" s="41" t="n"/>
      <c r="E267" s="35" t="n"/>
      <c r="F267" s="41" t="n"/>
      <c r="G267" s="39" t="n"/>
      <c r="H267" s="28" t="n"/>
      <c r="I267" s="39" t="n"/>
      <c r="J267" s="39" t="n"/>
      <c r="K267" s="28">
        <f>Table6[[#This Row],[ (T/B) SAR]]+Table6[[#This Row],[ (S/S) SAR]]</f>
        <v/>
      </c>
      <c r="L267" s="41" t="n"/>
      <c r="M267" s="42" t="n"/>
      <c r="N267" s="42" t="n"/>
      <c r="O267" s="39" t="n"/>
      <c r="P267" s="9">
        <f>Table6[[#This Row],[ (S/S) SAR]]-Table6[[#This Row],[(S/S) AJD]]</f>
        <v/>
      </c>
      <c r="Q267" s="39" t="n"/>
      <c r="R267" s="9">
        <f>Table6[[#This Row],[ (T/B) SAR]]-Table6[[#This Row],[(T/B) AJD]]</f>
        <v/>
      </c>
      <c r="S267" s="9">
        <f>Table6[[#This Row],[S/S_CON.]]+Table6[[#This Row],[T/B-CON.]]</f>
        <v/>
      </c>
      <c r="T267" s="9">
        <f>O267+Q267</f>
        <v/>
      </c>
      <c r="U267" s="41" t="n"/>
      <c r="V267" s="41" t="n"/>
      <c r="W267" s="9">
        <f>U267+V267</f>
        <v/>
      </c>
      <c r="X267" s="9">
        <f>T267-W267</f>
        <v/>
      </c>
      <c r="Y267" s="41" t="n"/>
      <c r="Z267" s="43" t="n"/>
      <c r="AA267" s="3">
        <f>Table6[[#This Row],[(RESV. STORGE) AJD]]/10</f>
        <v/>
      </c>
      <c r="AB267" s="3">
        <f>IF(TRIM(Z267)="",,(Z267-Z266)/1000)</f>
        <v/>
      </c>
      <c r="AC267" s="5" t="n"/>
      <c r="AD267" s="39">
        <f>(Table6[[#This Row],[( S/S+T/B) AJD]]*1000)-((Table6[[#This Row],[(STORGE DIFF.) AJD]]*1000)+Table6[[#This Row],[AJD_Evaporation]]+(Table6[[#This Row],[(A/B + A/S) AJD]]*1000))</f>
        <v/>
      </c>
      <c r="AE267" s="41" t="n"/>
      <c r="AF267" s="43" t="n"/>
      <c r="AG267" s="43" t="n"/>
      <c r="AH267" s="6">
        <f>Table6[[#This Row],[ (RESV. STORGE) BER]]/10</f>
        <v/>
      </c>
      <c r="AI267" s="41" t="n"/>
      <c r="AJ267" s="43">
        <f>Table6[[#This Row],[(A/B) AJD]]-TABL12345[[#This Row],[BER_IN]]</f>
        <v/>
      </c>
      <c r="AK267" s="43" t="n"/>
      <c r="AL267" s="43" t="n"/>
      <c r="AM267" s="32" t="n"/>
      <c r="AN267" s="32">
        <f>Table6[[#This Row],[ (RESV. STORGE) SER]]/10</f>
        <v/>
      </c>
      <c r="AO267" s="68" t="n"/>
      <c r="AP267" s="99">
        <f>Table6[[#This Row],[(A/S) AJD]]-Table6[[#This Row],[SER_IN]]</f>
        <v/>
      </c>
    </row>
    <row r="268" ht="18.75" customHeight="1">
      <c r="A268" s="98" t="n">
        <v>47750</v>
      </c>
      <c r="B268" s="44" t="n"/>
      <c r="C268" s="44" t="n"/>
      <c r="D268" s="44" t="n"/>
      <c r="E268" s="35" t="n"/>
      <c r="F268" s="44" t="n"/>
      <c r="G268" s="40" t="n"/>
      <c r="H268" s="28" t="n"/>
      <c r="I268" s="40" t="n"/>
      <c r="J268" s="44" t="n"/>
      <c r="K268" s="28">
        <f>Table6[[#This Row],[ (T/B) SAR]]+Table6[[#This Row],[ (S/S) SAR]]</f>
        <v/>
      </c>
      <c r="L268" s="45" t="n"/>
      <c r="M268" s="46" t="n"/>
      <c r="N268" s="46" t="n"/>
      <c r="O268" s="40" t="n"/>
      <c r="P268" s="9">
        <f>Table6[[#This Row],[ (S/S) SAR]]-Table6[[#This Row],[(S/S) AJD]]</f>
        <v/>
      </c>
      <c r="Q268" s="40" t="n"/>
      <c r="R268" s="9">
        <f>Table6[[#This Row],[ (T/B) SAR]]-Table6[[#This Row],[(T/B) AJD]]</f>
        <v/>
      </c>
      <c r="S268" s="9">
        <f>Table6[[#This Row],[S/S_CON.]]+Table6[[#This Row],[T/B-CON.]]</f>
        <v/>
      </c>
      <c r="T268" s="9">
        <f>O268+Q268</f>
        <v/>
      </c>
      <c r="U268" s="44" t="n"/>
      <c r="V268" s="44" t="n"/>
      <c r="W268" s="9">
        <f>U268+V268</f>
        <v/>
      </c>
      <c r="X268" s="9">
        <f>T268-W268</f>
        <v/>
      </c>
      <c r="Y268" s="44" t="n"/>
      <c r="Z268" s="45" t="n"/>
      <c r="AA268" s="3">
        <f>Table6[[#This Row],[(RESV. STORGE) AJD]]/10</f>
        <v/>
      </c>
      <c r="AB268" s="3">
        <f>IF(TRIM(Z268)="",,(Z268-Z267)/1000)</f>
        <v/>
      </c>
      <c r="AC268" s="5" t="n"/>
      <c r="AD268" s="40">
        <f>(Table6[[#This Row],[( S/S+T/B) AJD]]*1000)-((Table6[[#This Row],[(STORGE DIFF.) AJD]]*1000)+Table6[[#This Row],[AJD_Evaporation]]+(Table6[[#This Row],[(A/B + A/S) AJD]]*1000))</f>
        <v/>
      </c>
      <c r="AE268" s="44" t="n"/>
      <c r="AF268" s="45" t="n"/>
      <c r="AG268" s="45" t="n"/>
      <c r="AH268" s="6">
        <f>Table6[[#This Row],[ (RESV. STORGE) BER]]/10</f>
        <v/>
      </c>
      <c r="AI268" s="44" t="n"/>
      <c r="AJ268" s="45">
        <f>Table6[[#This Row],[(A/B) AJD]]-TABL12345[[#This Row],[BER_IN]]</f>
        <v/>
      </c>
      <c r="AK268" s="45" t="n"/>
      <c r="AL268" s="45" t="n"/>
      <c r="AM268" s="32" t="n"/>
      <c r="AN268" s="32">
        <f>Table6[[#This Row],[ (RESV. STORGE) SER]]/10</f>
        <v/>
      </c>
      <c r="AO268" s="68" t="n"/>
      <c r="AP268" s="99">
        <f>Table6[[#This Row],[(A/S) AJD]]-Table6[[#This Row],[SER_IN]]</f>
        <v/>
      </c>
    </row>
    <row r="269" ht="18.75" customHeight="1">
      <c r="A269" s="98" t="n">
        <v>47751</v>
      </c>
      <c r="B269" s="41" t="n"/>
      <c r="C269" s="41" t="n"/>
      <c r="D269" s="41" t="n"/>
      <c r="E269" s="35" t="n"/>
      <c r="F269" s="41" t="n"/>
      <c r="G269" s="39" t="n"/>
      <c r="H269" s="28" t="n"/>
      <c r="I269" s="39" t="n"/>
      <c r="J269" s="39" t="n"/>
      <c r="K269" s="28">
        <f>Table6[[#This Row],[ (T/B) SAR]]+Table6[[#This Row],[ (S/S) SAR]]</f>
        <v/>
      </c>
      <c r="L269" s="41" t="n"/>
      <c r="M269" s="42" t="n"/>
      <c r="N269" s="42" t="n"/>
      <c r="O269" s="39" t="n"/>
      <c r="P269" s="9">
        <f>Table6[[#This Row],[ (S/S) SAR]]-Table6[[#This Row],[(S/S) AJD]]</f>
        <v/>
      </c>
      <c r="Q269" s="39" t="n"/>
      <c r="R269" s="9">
        <f>Table6[[#This Row],[ (T/B) SAR]]-Table6[[#This Row],[(T/B) AJD]]</f>
        <v/>
      </c>
      <c r="S269" s="9">
        <f>Table6[[#This Row],[S/S_CON.]]+Table6[[#This Row],[T/B-CON.]]</f>
        <v/>
      </c>
      <c r="T269" s="9">
        <f>O269+Q269</f>
        <v/>
      </c>
      <c r="U269" s="41" t="n"/>
      <c r="V269" s="41" t="n"/>
      <c r="W269" s="9">
        <f>U269+V269</f>
        <v/>
      </c>
      <c r="X269" s="9">
        <f>T269-W269</f>
        <v/>
      </c>
      <c r="Y269" s="41" t="n"/>
      <c r="Z269" s="43" t="n"/>
      <c r="AA269" s="3">
        <f>Table6[[#This Row],[(RESV. STORGE) AJD]]/10</f>
        <v/>
      </c>
      <c r="AB269" s="3">
        <f>IF(TRIM(Z269)="",,(Z269-Z268)/1000)</f>
        <v/>
      </c>
      <c r="AC269" s="5" t="n"/>
      <c r="AD269" s="39">
        <f>(Table6[[#This Row],[( S/S+T/B) AJD]]*1000)-((Table6[[#This Row],[(STORGE DIFF.) AJD]]*1000)+Table6[[#This Row],[AJD_Evaporation]]+(Table6[[#This Row],[(A/B + A/S) AJD]]*1000))</f>
        <v/>
      </c>
      <c r="AE269" s="41" t="n"/>
      <c r="AF269" s="43" t="n"/>
      <c r="AG269" s="43" t="n"/>
      <c r="AH269" s="6">
        <f>Table6[[#This Row],[ (RESV. STORGE) BER]]/10</f>
        <v/>
      </c>
      <c r="AI269" s="41" t="n"/>
      <c r="AJ269" s="43">
        <f>Table6[[#This Row],[(A/B) AJD]]-TABL12345[[#This Row],[BER_IN]]</f>
        <v/>
      </c>
      <c r="AK269" s="43" t="n"/>
      <c r="AL269" s="43" t="n"/>
      <c r="AM269" s="32" t="n"/>
      <c r="AN269" s="32">
        <f>Table6[[#This Row],[ (RESV. STORGE) SER]]/10</f>
        <v/>
      </c>
      <c r="AO269" s="68" t="n"/>
      <c r="AP269" s="99">
        <f>Table6[[#This Row],[(A/S) AJD]]-Table6[[#This Row],[SER_IN]]</f>
        <v/>
      </c>
    </row>
    <row r="270" ht="18.75" customHeight="1">
      <c r="A270" s="98" t="n">
        <v>47752</v>
      </c>
      <c r="B270" s="44" t="n"/>
      <c r="C270" s="44" t="n"/>
      <c r="D270" s="44" t="n"/>
      <c r="E270" s="35" t="n"/>
      <c r="F270" s="44" t="n"/>
      <c r="G270" s="40" t="n"/>
      <c r="H270" s="28" t="n"/>
      <c r="I270" s="40" t="n"/>
      <c r="J270" s="44" t="n"/>
      <c r="K270" s="28">
        <f>Table6[[#This Row],[ (T/B) SAR]]+Table6[[#This Row],[ (S/S) SAR]]</f>
        <v/>
      </c>
      <c r="L270" s="45" t="n"/>
      <c r="M270" s="46" t="n"/>
      <c r="N270" s="46" t="n"/>
      <c r="O270" s="40" t="n"/>
      <c r="P270" s="9">
        <f>Table6[[#This Row],[ (S/S) SAR]]-Table6[[#This Row],[(S/S) AJD]]</f>
        <v/>
      </c>
      <c r="Q270" s="40" t="n"/>
      <c r="R270" s="9">
        <f>Table6[[#This Row],[ (T/B) SAR]]-Table6[[#This Row],[(T/B) AJD]]</f>
        <v/>
      </c>
      <c r="S270" s="9">
        <f>Table6[[#This Row],[S/S_CON.]]+Table6[[#This Row],[T/B-CON.]]</f>
        <v/>
      </c>
      <c r="T270" s="9">
        <f>O270+Q270</f>
        <v/>
      </c>
      <c r="U270" s="44" t="n"/>
      <c r="V270" s="44" t="n"/>
      <c r="W270" s="9">
        <f>U270+V270</f>
        <v/>
      </c>
      <c r="X270" s="9">
        <f>T270-W270</f>
        <v/>
      </c>
      <c r="Y270" s="44" t="n"/>
      <c r="Z270" s="45" t="n"/>
      <c r="AA270" s="3">
        <f>Table6[[#This Row],[(RESV. STORGE) AJD]]/10</f>
        <v/>
      </c>
      <c r="AB270" s="3">
        <f>IF(TRIM(Z270)="",,(Z270-Z269)/1000)</f>
        <v/>
      </c>
      <c r="AC270" s="5" t="n"/>
      <c r="AD270" s="40">
        <f>(Table6[[#This Row],[( S/S+T/B) AJD]]*1000)-((Table6[[#This Row],[(STORGE DIFF.) AJD]]*1000)+Table6[[#This Row],[AJD_Evaporation]]+(Table6[[#This Row],[(A/B + A/S) AJD]]*1000))</f>
        <v/>
      </c>
      <c r="AE270" s="44" t="n"/>
      <c r="AF270" s="45" t="n"/>
      <c r="AG270" s="45" t="n"/>
      <c r="AH270" s="6">
        <f>Table6[[#This Row],[ (RESV. STORGE) BER]]/10</f>
        <v/>
      </c>
      <c r="AI270" s="44" t="n"/>
      <c r="AJ270" s="45">
        <f>Table6[[#This Row],[(A/B) AJD]]-TABL12345[[#This Row],[BER_IN]]</f>
        <v/>
      </c>
      <c r="AK270" s="45" t="n"/>
      <c r="AL270" s="45" t="n"/>
      <c r="AM270" s="32" t="n"/>
      <c r="AN270" s="32">
        <f>Table6[[#This Row],[ (RESV. STORGE) SER]]/10</f>
        <v/>
      </c>
      <c r="AO270" s="68" t="n"/>
      <c r="AP270" s="99">
        <f>Table6[[#This Row],[(A/S) AJD]]-Table6[[#This Row],[SER_IN]]</f>
        <v/>
      </c>
    </row>
    <row r="271" ht="18.75" customHeight="1">
      <c r="A271" s="98" t="n">
        <v>47753</v>
      </c>
      <c r="B271" s="28" t="n"/>
      <c r="C271" s="28" t="n"/>
      <c r="D271" s="28" t="n"/>
      <c r="E271" s="35" t="n"/>
      <c r="F271" s="41" t="n"/>
      <c r="G271" s="39" t="n"/>
      <c r="H271" s="28" t="n"/>
      <c r="I271" s="28" t="n"/>
      <c r="J271" s="28" t="n"/>
      <c r="K271" s="28">
        <f>Table6[[#This Row],[ (T/B) SAR]]+Table6[[#This Row],[ (S/S) SAR]]</f>
        <v/>
      </c>
      <c r="L271" s="41" t="n"/>
      <c r="M271" s="42" t="n"/>
      <c r="N271" s="42" t="n"/>
      <c r="O271" s="39" t="n"/>
      <c r="P271" s="9">
        <f>Table6[[#This Row],[ (S/S) SAR]]-Table6[[#This Row],[(S/S) AJD]]</f>
        <v/>
      </c>
      <c r="Q271" s="9" t="n"/>
      <c r="R271" s="9">
        <f>Table6[[#This Row],[ (T/B) SAR]]-Table6[[#This Row],[(T/B) AJD]]</f>
        <v/>
      </c>
      <c r="S271" s="9">
        <f>Table6[[#This Row],[S/S_CON.]]+Table6[[#This Row],[T/B-CON.]]</f>
        <v/>
      </c>
      <c r="T271" s="9">
        <f>O271+Q271</f>
        <v/>
      </c>
      <c r="U271" s="41" t="n"/>
      <c r="V271" s="41" t="n"/>
      <c r="W271" s="9">
        <f>U271+V271</f>
        <v/>
      </c>
      <c r="X271" s="9">
        <f>T271-W271</f>
        <v/>
      </c>
      <c r="Y271" s="41" t="n"/>
      <c r="Z271" s="43" t="n"/>
      <c r="AA271" s="3">
        <f>Table6[[#This Row],[(RESV. STORGE) AJD]]/10</f>
        <v/>
      </c>
      <c r="AB271" s="3">
        <f>IF(TRIM(Z271)="",,(Z271-Z270)/1000)</f>
        <v/>
      </c>
      <c r="AC271" s="5" t="n"/>
      <c r="AD271" s="39">
        <f>(Table6[[#This Row],[( S/S+T/B) AJD]]*1000)-((Table6[[#This Row],[(STORGE DIFF.) AJD]]*1000)+Table6[[#This Row],[AJD_Evaporation]]+(Table6[[#This Row],[(A/B + A/S) AJD]]*1000))</f>
        <v/>
      </c>
      <c r="AE271" s="41" t="n"/>
      <c r="AF271" s="43" t="n"/>
      <c r="AG271" s="43" t="n"/>
      <c r="AH271" s="6">
        <f>Table6[[#This Row],[ (RESV. STORGE) BER]]/10</f>
        <v/>
      </c>
      <c r="AI271" s="41" t="n"/>
      <c r="AJ271" s="43">
        <f>Table6[[#This Row],[(A/B) AJD]]-TABL12345[[#This Row],[BER_IN]]</f>
        <v/>
      </c>
      <c r="AK271" s="43" t="n"/>
      <c r="AL271" s="43" t="n"/>
      <c r="AM271" s="32" t="n"/>
      <c r="AN271" s="32">
        <f>Table6[[#This Row],[ (RESV. STORGE) SER]]/10</f>
        <v/>
      </c>
      <c r="AO271" s="68" t="n"/>
      <c r="AP271" s="99">
        <f>Table6[[#This Row],[(A/S) AJD]]-Table6[[#This Row],[SER_IN]]</f>
        <v/>
      </c>
    </row>
    <row r="272" ht="18.75" customHeight="1">
      <c r="A272" s="98" t="n">
        <v>47754</v>
      </c>
      <c r="B272" s="28" t="n"/>
      <c r="C272" s="28" t="n"/>
      <c r="D272" s="28" t="n"/>
      <c r="E272" s="35" t="n"/>
      <c r="F272" s="44" t="n"/>
      <c r="G272" s="40" t="n"/>
      <c r="H272" s="28" t="n"/>
      <c r="I272" s="28" t="n"/>
      <c r="J272" s="28" t="n"/>
      <c r="K272" s="28">
        <f>Table6[[#This Row],[ (T/B) SAR]]+Table6[[#This Row],[ (S/S) SAR]]</f>
        <v/>
      </c>
      <c r="L272" s="45" t="n"/>
      <c r="M272" s="46" t="n"/>
      <c r="N272" s="46" t="n"/>
      <c r="O272" s="9" t="n"/>
      <c r="P272" s="9">
        <f>Table6[[#This Row],[ (S/S) SAR]]-Table6[[#This Row],[(S/S) AJD]]</f>
        <v/>
      </c>
      <c r="Q272" s="9" t="n"/>
      <c r="R272" s="9">
        <f>Table6[[#This Row],[ (T/B) SAR]]-Table6[[#This Row],[(T/B) AJD]]</f>
        <v/>
      </c>
      <c r="S272" s="9">
        <f>Table6[[#This Row],[S/S_CON.]]+Table6[[#This Row],[T/B-CON.]]</f>
        <v/>
      </c>
      <c r="T272" s="9">
        <f>O272+Q272</f>
        <v/>
      </c>
      <c r="U272" s="9" t="n"/>
      <c r="V272" s="9" t="n"/>
      <c r="W272" s="9">
        <f>U272+V272</f>
        <v/>
      </c>
      <c r="X272" s="9">
        <f>T272-W272</f>
        <v/>
      </c>
      <c r="Y272" s="18" t="n"/>
      <c r="Z272" s="9" t="n"/>
      <c r="AA272" s="3">
        <f>Table6[[#This Row],[(RESV. STORGE) AJD]]/10</f>
        <v/>
      </c>
      <c r="AB272" s="3">
        <f>IF(TRIM(Z272)="",,(Z272-Z271)/1000)</f>
        <v/>
      </c>
      <c r="AC272" s="5" t="n"/>
      <c r="AD272" s="40">
        <f>(Table6[[#This Row],[( S/S+T/B) AJD]]*1000)-((Table6[[#This Row],[(STORGE DIFF.) AJD]]*1000)+Table6[[#This Row],[AJD_Evaporation]]+(Table6[[#This Row],[(A/B + A/S) AJD]]*1000))</f>
        <v/>
      </c>
      <c r="AE272" s="44" t="n"/>
      <c r="AF272" s="45" t="n"/>
      <c r="AG272" s="45" t="n"/>
      <c r="AH272" s="6">
        <f>Table6[[#This Row],[ (RESV. STORGE) BER]]/10</f>
        <v/>
      </c>
      <c r="AI272" s="6" t="n"/>
      <c r="AJ272" s="33">
        <f>Table6[[#This Row],[(A/B) AJD]]-TABL12345[[#This Row],[BER_IN]]</f>
        <v/>
      </c>
      <c r="AK272" s="6" t="n"/>
      <c r="AL272" s="6" t="n"/>
      <c r="AM272" s="32" t="n"/>
      <c r="AN272" s="32">
        <f>Table6[[#This Row],[ (RESV. STORGE) SER]]/10</f>
        <v/>
      </c>
      <c r="AO272" s="68" t="n"/>
      <c r="AP272" s="99">
        <f>Table6[[#This Row],[(A/S) AJD]]-Table6[[#This Row],[SER_IN]]</f>
        <v/>
      </c>
    </row>
    <row r="273" ht="18.75" customHeight="1">
      <c r="A273" s="98" t="n">
        <v>47755</v>
      </c>
      <c r="B273" s="28" t="n"/>
      <c r="C273" s="28" t="n"/>
      <c r="D273" s="28" t="n"/>
      <c r="E273" s="35" t="n"/>
      <c r="F273" s="28" t="n"/>
      <c r="G273" s="28" t="n"/>
      <c r="H273" s="28" t="n"/>
      <c r="I273" s="28" t="n"/>
      <c r="J273" s="28" t="n"/>
      <c r="K273" s="28">
        <f>Table6[[#This Row],[ (T/B) SAR]]+Table6[[#This Row],[ (S/S) SAR]]</f>
        <v/>
      </c>
      <c r="L273" s="28" t="n"/>
      <c r="M273" s="29" t="n"/>
      <c r="N273" s="30" t="n"/>
      <c r="O273" s="9" t="n"/>
      <c r="P273" s="9">
        <f>Table6[[#This Row],[ (S/S) SAR]]-Table6[[#This Row],[(S/S) AJD]]</f>
        <v/>
      </c>
      <c r="Q273" s="9" t="n"/>
      <c r="R273" s="9">
        <f>Table6[[#This Row],[ (T/B) SAR]]-Table6[[#This Row],[(T/B) AJD]]</f>
        <v/>
      </c>
      <c r="S273" s="9">
        <f>Table6[[#This Row],[S/S_CON.]]+Table6[[#This Row],[T/B-CON.]]</f>
        <v/>
      </c>
      <c r="T273" s="9">
        <f>O273+Q273</f>
        <v/>
      </c>
      <c r="U273" s="9" t="n"/>
      <c r="V273" s="9" t="n"/>
      <c r="W273" s="9">
        <f>U273+V273</f>
        <v/>
      </c>
      <c r="X273" s="9">
        <f>T273-W273</f>
        <v/>
      </c>
      <c r="Y273" s="18" t="n"/>
      <c r="Z273" s="9" t="n"/>
      <c r="AA273" s="3">
        <f>Table6[[#This Row],[(RESV. STORGE) AJD]]/10</f>
        <v/>
      </c>
      <c r="AB273" s="3">
        <f>IF(TRIM(Z273)="",,(Z273-Z272)/1000)</f>
        <v/>
      </c>
      <c r="AC273" s="5" t="n"/>
      <c r="AD273" s="39">
        <f>(Table6[[#This Row],[( S/S+T/B) AJD]]*1000)-((Table6[[#This Row],[(STORGE DIFF.) AJD]]*1000)+Table6[[#This Row],[AJD_Evaporation]]+(Table6[[#This Row],[(A/B + A/S) AJD]]*1000))</f>
        <v/>
      </c>
      <c r="AE273" s="41" t="n"/>
      <c r="AF273" s="43" t="n"/>
      <c r="AG273" s="43" t="n"/>
      <c r="AH273" s="6">
        <f>Table6[[#This Row],[ (RESV. STORGE) BER]]/10</f>
        <v/>
      </c>
      <c r="AI273" s="6" t="n"/>
      <c r="AJ273" s="33">
        <f>Table6[[#This Row],[(A/B) AJD]]-TABL12345[[#This Row],[BER_IN]]</f>
        <v/>
      </c>
      <c r="AK273" s="6" t="n"/>
      <c r="AL273" s="6" t="n"/>
      <c r="AM273" s="32" t="n"/>
      <c r="AN273" s="32">
        <f>Table6[[#This Row],[ (RESV. STORGE) SER]]/10</f>
        <v/>
      </c>
      <c r="AO273" s="68" t="n"/>
      <c r="AP273" s="99">
        <f>Table6[[#This Row],[(A/S) AJD]]-Table6[[#This Row],[SER_IN]]</f>
        <v/>
      </c>
    </row>
    <row r="274" ht="18.75" customHeight="1">
      <c r="A274" s="98" t="n">
        <v>47756</v>
      </c>
      <c r="B274" s="28" t="n"/>
      <c r="C274" s="28" t="n"/>
      <c r="D274" s="28" t="n"/>
      <c r="E274" s="35" t="n"/>
      <c r="F274" s="28" t="n"/>
      <c r="G274" s="28" t="n"/>
      <c r="H274" s="28" t="n"/>
      <c r="I274" s="28" t="n"/>
      <c r="J274" s="28" t="n"/>
      <c r="K274" s="28">
        <f>Table6[[#This Row],[ (T/B) SAR]]+Table6[[#This Row],[ (S/S) SAR]]</f>
        <v/>
      </c>
      <c r="L274" s="28" t="n"/>
      <c r="M274" s="29" t="n"/>
      <c r="N274" s="30" t="n"/>
      <c r="O274" s="9" t="n"/>
      <c r="P274" s="9">
        <f>Table6[[#This Row],[ (S/S) SAR]]-Table6[[#This Row],[(S/S) AJD]]</f>
        <v/>
      </c>
      <c r="Q274" s="9" t="n"/>
      <c r="R274" s="9">
        <f>Table6[[#This Row],[ (T/B) SAR]]-Table6[[#This Row],[(T/B) AJD]]</f>
        <v/>
      </c>
      <c r="S274" s="9">
        <f>Table6[[#This Row],[S/S_CON.]]+Table6[[#This Row],[T/B-CON.]]</f>
        <v/>
      </c>
      <c r="T274" s="9">
        <f>O274+Q274</f>
        <v/>
      </c>
      <c r="U274" s="9" t="n"/>
      <c r="V274" s="9" t="n"/>
      <c r="W274" s="9">
        <f>U274+V274</f>
        <v/>
      </c>
      <c r="X274" s="9">
        <f>T274-W274</f>
        <v/>
      </c>
      <c r="Y274" s="18" t="n"/>
      <c r="Z274" s="9" t="n"/>
      <c r="AA274" s="3">
        <f>Table6[[#This Row],[(RESV. STORGE) AJD]]/10</f>
        <v/>
      </c>
      <c r="AB274" s="3">
        <f>IF(TRIM(Z274)="",,(Z274-Z273)/1000)</f>
        <v/>
      </c>
      <c r="AC274" s="5" t="n"/>
      <c r="AD274" s="6">
        <f>(Table6[[#This Row],[( S/S+T/B) AJD]]*1000)-((Table6[[#This Row],[(STORGE DIFF.) AJD]]*1000)+Table6[[#This Row],[AJD_Evaporation]]+(Table6[[#This Row],[(A/B + A/S) AJD]]*1000))</f>
        <v/>
      </c>
      <c r="AE274" s="33" t="n"/>
      <c r="AF274" s="6" t="n"/>
      <c r="AG274" s="6" t="n"/>
      <c r="AH274" s="6">
        <f>Table6[[#This Row],[ (RESV. STORGE) BER]]/10</f>
        <v/>
      </c>
      <c r="AI274" s="6" t="n"/>
      <c r="AJ274" s="33">
        <f>Table6[[#This Row],[(A/B) AJD]]-TABL12345[[#This Row],[BER_IN]]</f>
        <v/>
      </c>
      <c r="AK274" s="6" t="n"/>
      <c r="AL274" s="6" t="n"/>
      <c r="AM274" s="32" t="n"/>
      <c r="AN274" s="32">
        <f>Table6[[#This Row],[ (RESV. STORGE) SER]]/10</f>
        <v/>
      </c>
      <c r="AO274" s="68" t="n"/>
      <c r="AP274" s="99">
        <f>Table6[[#This Row],[(A/S) AJD]]-Table6[[#This Row],[SER_IN]]</f>
        <v/>
      </c>
    </row>
    <row r="275" ht="18.75" customHeight="1">
      <c r="A275" s="98" t="n">
        <v>47757</v>
      </c>
      <c r="B275" s="28" t="n"/>
      <c r="C275" s="28" t="n"/>
      <c r="D275" s="28" t="n"/>
      <c r="E275" s="28" t="n"/>
      <c r="F275" s="28" t="n"/>
      <c r="G275" s="28" t="n"/>
      <c r="H275" s="28" t="n"/>
      <c r="I275" s="28" t="n"/>
      <c r="J275" s="28" t="n"/>
      <c r="K275" s="28">
        <f>Table6[[#This Row],[ (T/B) SAR]]+Table6[[#This Row],[ (S/S) SAR]]</f>
        <v/>
      </c>
      <c r="L275" s="28" t="n"/>
      <c r="M275" s="29" t="n"/>
      <c r="N275" s="30" t="n"/>
      <c r="O275" s="14" t="n"/>
      <c r="P275" s="9">
        <f>Table6[[#This Row],[ (S/S) SAR]]-Table6[[#This Row],[(S/S) AJD]]</f>
        <v/>
      </c>
      <c r="Q275" s="14" t="n"/>
      <c r="R275" s="9">
        <f>Table6[[#This Row],[ (T/B) SAR]]-Table6[[#This Row],[(T/B) AJD]]</f>
        <v/>
      </c>
      <c r="S275" s="9">
        <f>Table6[[#This Row],[S/S_CON.]]+Table6[[#This Row],[T/B-CON.]]</f>
        <v/>
      </c>
      <c r="T275" s="9">
        <f>O275+Q275</f>
        <v/>
      </c>
      <c r="U275" s="14" t="n"/>
      <c r="V275" s="14" t="n"/>
      <c r="W275" s="9">
        <f>U275+V275</f>
        <v/>
      </c>
      <c r="X275" s="9">
        <f>T275-W275</f>
        <v/>
      </c>
      <c r="Y275" s="18" t="n"/>
      <c r="Z275" s="9" t="n"/>
      <c r="AA275" s="3">
        <f>Table6[[#This Row],[(RESV. STORGE) AJD]]/10</f>
        <v/>
      </c>
      <c r="AB275" s="3">
        <f>IF(TRIM(Z275)="",,(Z275-Z274)/1000)</f>
        <v/>
      </c>
      <c r="AC275" s="5" t="n"/>
      <c r="AD275" s="6">
        <f>(Table6[[#This Row],[( S/S+T/B) AJD]]*1000)-((Table6[[#This Row],[(STORGE DIFF.) AJD]]*1000)+Table6[[#This Row],[AJD_Evaporation]]+(Table6[[#This Row],[(A/B + A/S) AJD]]*1000))</f>
        <v/>
      </c>
      <c r="AE275" s="33" t="n"/>
      <c r="AF275" s="6" t="n"/>
      <c r="AG275" s="6" t="n"/>
      <c r="AH275" s="6">
        <f>Table6[[#This Row],[ (RESV. STORGE) BER]]/10</f>
        <v/>
      </c>
      <c r="AI275" s="6" t="n"/>
      <c r="AJ275" s="33">
        <f>Table6[[#This Row],[(A/B) AJD]]-TABL12345[[#This Row],[BER_IN]]</f>
        <v/>
      </c>
      <c r="AK275" s="6" t="n"/>
      <c r="AL275" s="6" t="n"/>
      <c r="AM275" s="32" t="n"/>
      <c r="AN275" s="32">
        <f>Table6[[#This Row],[ (RESV. STORGE) SER]]/10</f>
        <v/>
      </c>
      <c r="AO275" s="68" t="n"/>
      <c r="AP275" s="99">
        <f>Table6[[#This Row],[(A/S) AJD]]-Table6[[#This Row],[SER_IN]]</f>
        <v/>
      </c>
    </row>
    <row r="276" ht="18.75" customHeight="1">
      <c r="A276" s="98" t="n">
        <v>47758</v>
      </c>
      <c r="B276" s="28" t="n"/>
      <c r="C276" s="28" t="n"/>
      <c r="D276" s="28" t="n"/>
      <c r="E276" s="28" t="n"/>
      <c r="F276" s="28" t="n"/>
      <c r="G276" s="28" t="n"/>
      <c r="H276" s="28" t="n"/>
      <c r="I276" s="28" t="n"/>
      <c r="J276" s="28" t="n"/>
      <c r="K276" s="28">
        <f>Table6[[#This Row],[ (T/B) SAR]]+Table6[[#This Row],[ (S/S) SAR]]</f>
        <v/>
      </c>
      <c r="L276" s="28" t="n"/>
      <c r="M276" s="29" t="n"/>
      <c r="N276" s="30" t="n"/>
      <c r="O276" s="14" t="n"/>
      <c r="P276" s="9">
        <f>Table6[[#This Row],[ (S/S) SAR]]-Table6[[#This Row],[(S/S) AJD]]</f>
        <v/>
      </c>
      <c r="Q276" s="14" t="n"/>
      <c r="R276" s="9">
        <f>Table6[[#This Row],[ (T/B) SAR]]-Table6[[#This Row],[(T/B) AJD]]</f>
        <v/>
      </c>
      <c r="S276" s="9">
        <f>Table6[[#This Row],[S/S_CON.]]+Table6[[#This Row],[T/B-CON.]]</f>
        <v/>
      </c>
      <c r="T276" s="9">
        <f>O276+Q276</f>
        <v/>
      </c>
      <c r="U276" s="14" t="n"/>
      <c r="V276" s="14" t="n"/>
      <c r="W276" s="9">
        <f>U276+V276</f>
        <v/>
      </c>
      <c r="X276" s="9">
        <f>T276-W276</f>
        <v/>
      </c>
      <c r="Y276" s="18" t="n"/>
      <c r="Z276" s="9" t="n"/>
      <c r="AA276" s="3">
        <f>Table6[[#This Row],[(RESV. STORGE) AJD]]/10</f>
        <v/>
      </c>
      <c r="AB276" s="3">
        <f>IF(TRIM(Z276)="",,(Z276-Z275)/1000)</f>
        <v/>
      </c>
      <c r="AC276" s="5" t="n"/>
      <c r="AD276" s="6">
        <f>(Table6[[#This Row],[( S/S+T/B) AJD]]*1000)-((Table6[[#This Row],[(STORGE DIFF.) AJD]]*1000)+Table6[[#This Row],[AJD_Evaporation]]+(Table6[[#This Row],[(A/B + A/S) AJD]]*1000))</f>
        <v/>
      </c>
      <c r="AE276" s="33" t="n"/>
      <c r="AF276" s="6" t="n"/>
      <c r="AG276" s="6" t="n"/>
      <c r="AH276" s="6">
        <f>Table6[[#This Row],[ (RESV. STORGE) BER]]/10</f>
        <v/>
      </c>
      <c r="AI276" s="6" t="n"/>
      <c r="AJ276" s="33">
        <f>Table6[[#This Row],[(A/B) AJD]]-TABL12345[[#This Row],[BER_IN]]</f>
        <v/>
      </c>
      <c r="AK276" s="6" t="n"/>
      <c r="AL276" s="6" t="n"/>
      <c r="AM276" s="32" t="n"/>
      <c r="AN276" s="32">
        <f>Table6[[#This Row],[ (RESV. STORGE) SER]]/10</f>
        <v/>
      </c>
      <c r="AO276" s="68" t="n"/>
      <c r="AP276" s="99">
        <f>Table6[[#This Row],[(A/S) AJD]]-Table6[[#This Row],[SER_IN]]</f>
        <v/>
      </c>
    </row>
    <row r="277" ht="18.75" customHeight="1">
      <c r="A277" s="98" t="n">
        <v>47759</v>
      </c>
      <c r="B277" s="28" t="n"/>
      <c r="C277" s="28" t="n"/>
      <c r="D277" s="35" t="n"/>
      <c r="E277" s="28" t="n"/>
      <c r="F277" s="28" t="n"/>
      <c r="G277" s="28" t="n"/>
      <c r="H277" s="28" t="n"/>
      <c r="I277" s="28" t="n"/>
      <c r="J277" s="28" t="n"/>
      <c r="K277" s="28">
        <f>Table6[[#This Row],[ (T/B) SAR]]+Table6[[#This Row],[ (S/S) SAR]]</f>
        <v/>
      </c>
      <c r="L277" s="28" t="n"/>
      <c r="M277" s="29" t="n"/>
      <c r="N277" s="30" t="n"/>
      <c r="O277" s="14" t="n"/>
      <c r="P277" s="9">
        <f>Table6[[#This Row],[ (S/S) SAR]]-Table6[[#This Row],[(S/S) AJD]]</f>
        <v/>
      </c>
      <c r="Q277" s="14" t="n"/>
      <c r="R277" s="9">
        <f>Table6[[#This Row],[ (T/B) SAR]]-Table6[[#This Row],[(T/B) AJD]]</f>
        <v/>
      </c>
      <c r="S277" s="9">
        <f>Table6[[#This Row],[S/S_CON.]]+Table6[[#This Row],[T/B-CON.]]</f>
        <v/>
      </c>
      <c r="T277" s="9">
        <f>O277+Q277</f>
        <v/>
      </c>
      <c r="U277" s="14" t="n"/>
      <c r="V277" s="14" t="n"/>
      <c r="W277" s="9">
        <f>U277+V277</f>
        <v/>
      </c>
      <c r="X277" s="9">
        <f>T277-W277</f>
        <v/>
      </c>
      <c r="Y277" s="18" t="n"/>
      <c r="Z277" s="9" t="n"/>
      <c r="AA277" s="3">
        <f>Table6[[#This Row],[(RESV. STORGE) AJD]]/10</f>
        <v/>
      </c>
      <c r="AB277" s="3">
        <f>IF(TRIM(Z277)="",,(Z277-Z276)/1000)</f>
        <v/>
      </c>
      <c r="AC277" s="5" t="n"/>
      <c r="AD277" s="6">
        <f>(Table6[[#This Row],[( S/S+T/B) AJD]]*1000)-((Table6[[#This Row],[(STORGE DIFF.) AJD]]*1000)+Table6[[#This Row],[AJD_Evaporation]]+(Table6[[#This Row],[(A/B + A/S) AJD]]*1000))</f>
        <v/>
      </c>
      <c r="AE277" s="33" t="n"/>
      <c r="AF277" s="6" t="n"/>
      <c r="AG277" s="6" t="n"/>
      <c r="AH277" s="6">
        <f>Table6[[#This Row],[ (RESV. STORGE) BER]]/10</f>
        <v/>
      </c>
      <c r="AI277" s="6" t="n"/>
      <c r="AJ277" s="33">
        <f>Table6[[#This Row],[(A/B) AJD]]-TABL12345[[#This Row],[BER_IN]]</f>
        <v/>
      </c>
      <c r="AK277" s="6" t="n"/>
      <c r="AL277" s="6" t="n"/>
      <c r="AM277" s="32" t="n"/>
      <c r="AN277" s="32">
        <f>Table6[[#This Row],[ (RESV. STORGE) SER]]/10</f>
        <v/>
      </c>
      <c r="AO277" s="68" t="n"/>
      <c r="AP277" s="99">
        <f>Table6[[#This Row],[(A/S) AJD]]-Table6[[#This Row],[SER_IN]]</f>
        <v/>
      </c>
    </row>
    <row r="278" ht="18.75" customHeight="1">
      <c r="A278" s="98" t="n">
        <v>47760</v>
      </c>
      <c r="B278" s="28" t="n"/>
      <c r="C278" s="28" t="n"/>
      <c r="D278" s="35" t="n"/>
      <c r="E278" s="28" t="n"/>
      <c r="F278" s="28" t="n"/>
      <c r="G278" s="28" t="n"/>
      <c r="H278" s="28" t="n"/>
      <c r="I278" s="28" t="n"/>
      <c r="J278" s="28" t="n"/>
      <c r="K278" s="28">
        <f>Table6[[#This Row],[ (T/B) SAR]]+Table6[[#This Row],[ (S/S) SAR]]</f>
        <v/>
      </c>
      <c r="L278" s="28" t="n"/>
      <c r="M278" s="29" t="n"/>
      <c r="N278" s="30" t="n"/>
      <c r="O278" s="14" t="n"/>
      <c r="P278" s="9">
        <f>Table6[[#This Row],[ (S/S) SAR]]-Table6[[#This Row],[(S/S) AJD]]</f>
        <v/>
      </c>
      <c r="Q278" s="14" t="n"/>
      <c r="R278" s="9">
        <f>Table6[[#This Row],[ (T/B) SAR]]-Table6[[#This Row],[(T/B) AJD]]</f>
        <v/>
      </c>
      <c r="S278" s="9">
        <f>Table6[[#This Row],[S/S_CON.]]+Table6[[#This Row],[T/B-CON.]]</f>
        <v/>
      </c>
      <c r="T278" s="9">
        <f>O278+Q278</f>
        <v/>
      </c>
      <c r="U278" s="14" t="n"/>
      <c r="V278" s="14" t="n"/>
      <c r="W278" s="9">
        <f>U278+V278</f>
        <v/>
      </c>
      <c r="X278" s="9">
        <f>T278-W278</f>
        <v/>
      </c>
      <c r="Y278" s="18" t="n"/>
      <c r="Z278" s="9" t="n"/>
      <c r="AA278" s="3">
        <f>Table6[[#This Row],[(RESV. STORGE) AJD]]/10</f>
        <v/>
      </c>
      <c r="AB278" s="3">
        <f>IF(TRIM(Z278)="",,(Z278-Z277)/1000)</f>
        <v/>
      </c>
      <c r="AC278" s="5" t="n"/>
      <c r="AD278" s="6">
        <f>(Table6[[#This Row],[( S/S+T/B) AJD]]*1000)-((Table6[[#This Row],[(STORGE DIFF.) AJD]]*1000)+Table6[[#This Row],[AJD_Evaporation]]+(Table6[[#This Row],[(A/B + A/S) AJD]]*1000))</f>
        <v/>
      </c>
      <c r="AE278" s="33" t="n"/>
      <c r="AF278" s="6" t="n"/>
      <c r="AG278" s="6" t="n"/>
      <c r="AH278" s="6">
        <f>Table6[[#This Row],[ (RESV. STORGE) BER]]/10</f>
        <v/>
      </c>
      <c r="AI278" s="6" t="n"/>
      <c r="AJ278" s="33">
        <f>Table6[[#This Row],[(A/B) AJD]]-TABL12345[[#This Row],[BER_IN]]</f>
        <v/>
      </c>
      <c r="AK278" s="6" t="n"/>
      <c r="AL278" s="6" t="n"/>
      <c r="AM278" s="32" t="n"/>
      <c r="AN278" s="32">
        <f>Table6[[#This Row],[ (RESV. STORGE) SER]]/10</f>
        <v/>
      </c>
      <c r="AO278" s="68" t="n"/>
      <c r="AP278" s="99">
        <f>Table6[[#This Row],[(A/S) AJD]]-Table6[[#This Row],[SER_IN]]</f>
        <v/>
      </c>
    </row>
    <row r="279" ht="18.75" customHeight="1">
      <c r="A279" s="98" t="n">
        <v>47761</v>
      </c>
      <c r="B279" s="28" t="n"/>
      <c r="C279" s="28" t="n"/>
      <c r="D279" s="35" t="n"/>
      <c r="E279" s="28" t="n"/>
      <c r="F279" s="28" t="n"/>
      <c r="G279" s="28" t="n"/>
      <c r="H279" s="28" t="n"/>
      <c r="I279" s="28" t="n"/>
      <c r="J279" s="28" t="n"/>
      <c r="K279" s="28">
        <f>Table6[[#This Row],[ (T/B) SAR]]+Table6[[#This Row],[ (S/S) SAR]]</f>
        <v/>
      </c>
      <c r="L279" s="28" t="n"/>
      <c r="M279" s="29" t="n"/>
      <c r="N279" s="30" t="n"/>
      <c r="O279" s="14" t="n"/>
      <c r="P279" s="9">
        <f>Table6[[#This Row],[ (S/S) SAR]]-Table6[[#This Row],[(S/S) AJD]]</f>
        <v/>
      </c>
      <c r="Q279" s="14" t="n"/>
      <c r="R279" s="9">
        <f>Table6[[#This Row],[ (T/B) SAR]]-Table6[[#This Row],[(T/B) AJD]]</f>
        <v/>
      </c>
      <c r="S279" s="9">
        <f>Table6[[#This Row],[S/S_CON.]]+Table6[[#This Row],[T/B-CON.]]</f>
        <v/>
      </c>
      <c r="T279" s="9">
        <f>O279+Q279</f>
        <v/>
      </c>
      <c r="U279" s="14" t="n"/>
      <c r="V279" s="14" t="n"/>
      <c r="W279" s="9">
        <f>U279+V279</f>
        <v/>
      </c>
      <c r="X279" s="9">
        <f>T279-W279</f>
        <v/>
      </c>
      <c r="Y279" s="18" t="n"/>
      <c r="Z279" s="9" t="n"/>
      <c r="AA279" s="3">
        <f>Table6[[#This Row],[(RESV. STORGE) AJD]]/10</f>
        <v/>
      </c>
      <c r="AB279" s="3">
        <f>IF(TRIM(Z279)="",,(Z279-Z278)/1000)</f>
        <v/>
      </c>
      <c r="AC279" s="5" t="n"/>
      <c r="AD279" s="6">
        <f>(Table6[[#This Row],[( S/S+T/B) AJD]]*1000)-((Table6[[#This Row],[(STORGE DIFF.) AJD]]*1000)+Table6[[#This Row],[AJD_Evaporation]]+(Table6[[#This Row],[(A/B + A/S) AJD]]*1000))</f>
        <v/>
      </c>
      <c r="AE279" s="33" t="n"/>
      <c r="AF279" s="6" t="n"/>
      <c r="AG279" s="6" t="n"/>
      <c r="AH279" s="6">
        <f>Table6[[#This Row],[ (RESV. STORGE) BER]]/10</f>
        <v/>
      </c>
      <c r="AI279" s="6" t="n"/>
      <c r="AJ279" s="33">
        <f>Table6[[#This Row],[(A/B) AJD]]-TABL12345[[#This Row],[BER_IN]]</f>
        <v/>
      </c>
      <c r="AK279" s="6" t="n"/>
      <c r="AL279" s="6" t="n"/>
      <c r="AM279" s="32" t="n"/>
      <c r="AN279" s="32">
        <f>Table6[[#This Row],[ (RESV. STORGE) SER]]/10</f>
        <v/>
      </c>
      <c r="AO279" s="68" t="n"/>
      <c r="AP279" s="99">
        <f>Table6[[#This Row],[(A/S) AJD]]-Table6[[#This Row],[SER_IN]]</f>
        <v/>
      </c>
    </row>
    <row r="280" ht="18.75" customHeight="1">
      <c r="A280" s="98" t="n">
        <v>47762</v>
      </c>
      <c r="B280" s="28" t="n"/>
      <c r="C280" s="28" t="n"/>
      <c r="D280" s="35" t="n"/>
      <c r="E280" s="28" t="n"/>
      <c r="F280" s="28" t="n"/>
      <c r="G280" s="28" t="n"/>
      <c r="H280" s="28" t="n"/>
      <c r="I280" s="28" t="n"/>
      <c r="J280" s="28" t="n"/>
      <c r="K280" s="28">
        <f>Table6[[#This Row],[ (T/B) SAR]]+Table6[[#This Row],[ (S/S) SAR]]</f>
        <v/>
      </c>
      <c r="L280" s="28" t="n"/>
      <c r="M280" s="29" t="n"/>
      <c r="N280" s="30" t="n"/>
      <c r="O280" s="14" t="n"/>
      <c r="P280" s="9">
        <f>Table6[[#This Row],[ (S/S) SAR]]-Table6[[#This Row],[(S/S) AJD]]</f>
        <v/>
      </c>
      <c r="Q280" s="14" t="n"/>
      <c r="R280" s="9">
        <f>Table6[[#This Row],[ (T/B) SAR]]-Table6[[#This Row],[(T/B) AJD]]</f>
        <v/>
      </c>
      <c r="S280" s="9">
        <f>Table6[[#This Row],[S/S_CON.]]+Table6[[#This Row],[T/B-CON.]]</f>
        <v/>
      </c>
      <c r="T280" s="9">
        <f>O280+Q280</f>
        <v/>
      </c>
      <c r="U280" s="14" t="n"/>
      <c r="V280" s="14" t="n"/>
      <c r="W280" s="9">
        <f>U280+V280</f>
        <v/>
      </c>
      <c r="X280" s="9">
        <f>T280-W280</f>
        <v/>
      </c>
      <c r="Y280" s="18" t="n"/>
      <c r="Z280" s="9" t="n"/>
      <c r="AA280" s="3">
        <f>Table6[[#This Row],[(RESV. STORGE) AJD]]/10</f>
        <v/>
      </c>
      <c r="AB280" s="3">
        <f>IF(TRIM(Z280)="",,(Z280-Z279)/1000)</f>
        <v/>
      </c>
      <c r="AC280" s="5" t="n"/>
      <c r="AD280" s="6">
        <f>(Table6[[#This Row],[( S/S+T/B) AJD]]*1000)-((Table6[[#This Row],[(STORGE DIFF.) AJD]]*1000)+Table6[[#This Row],[AJD_Evaporation]]+(Table6[[#This Row],[(A/B + A/S) AJD]]*1000))</f>
        <v/>
      </c>
      <c r="AE280" s="33" t="n"/>
      <c r="AF280" s="6" t="n"/>
      <c r="AG280" s="6" t="n"/>
      <c r="AH280" s="6">
        <f>Table6[[#This Row],[ (RESV. STORGE) BER]]/10</f>
        <v/>
      </c>
      <c r="AI280" s="6" t="n"/>
      <c r="AJ280" s="33">
        <f>Table6[[#This Row],[(A/B) AJD]]-TABL12345[[#This Row],[BER_IN]]</f>
        <v/>
      </c>
      <c r="AK280" s="6" t="n"/>
      <c r="AL280" s="6" t="n"/>
      <c r="AM280" s="32" t="n"/>
      <c r="AN280" s="32">
        <f>Table6[[#This Row],[ (RESV. STORGE) SER]]/10</f>
        <v/>
      </c>
      <c r="AO280" s="68" t="n"/>
      <c r="AP280" s="99">
        <f>Table6[[#This Row],[(A/S) AJD]]-Table6[[#This Row],[SER_IN]]</f>
        <v/>
      </c>
    </row>
    <row r="281" ht="18.75" customHeight="1">
      <c r="A281" s="98" t="n">
        <v>47763</v>
      </c>
      <c r="B281" s="28" t="n"/>
      <c r="C281" s="28" t="n"/>
      <c r="D281" s="35" t="n"/>
      <c r="E281" s="28" t="n"/>
      <c r="F281" s="28" t="n"/>
      <c r="G281" s="28" t="n"/>
      <c r="H281" s="28" t="n"/>
      <c r="I281" s="28" t="n"/>
      <c r="J281" s="28" t="n"/>
      <c r="K281" s="28">
        <f>Table6[[#This Row],[ (T/B) SAR]]+Table6[[#This Row],[ (S/S) SAR]]</f>
        <v/>
      </c>
      <c r="L281" s="28" t="n"/>
      <c r="M281" s="29" t="n"/>
      <c r="N281" s="30" t="n"/>
      <c r="O281" s="14" t="n"/>
      <c r="P281" s="9">
        <f>Table6[[#This Row],[ (S/S) SAR]]-Table6[[#This Row],[(S/S) AJD]]</f>
        <v/>
      </c>
      <c r="Q281" s="14" t="n"/>
      <c r="R281" s="9">
        <f>Table6[[#This Row],[ (T/B) SAR]]-Table6[[#This Row],[(T/B) AJD]]</f>
        <v/>
      </c>
      <c r="S281" s="9">
        <f>Table6[[#This Row],[S/S_CON.]]+Table6[[#This Row],[T/B-CON.]]</f>
        <v/>
      </c>
      <c r="T281" s="9">
        <f>O281+Q281</f>
        <v/>
      </c>
      <c r="U281" s="14" t="n"/>
      <c r="V281" s="14" t="n"/>
      <c r="W281" s="9">
        <f>U281+V281</f>
        <v/>
      </c>
      <c r="X281" s="9">
        <f>T281-W281</f>
        <v/>
      </c>
      <c r="Y281" s="18" t="n"/>
      <c r="Z281" s="9" t="n"/>
      <c r="AA281" s="3">
        <f>Table6[[#This Row],[(RESV. STORGE) AJD]]/10</f>
        <v/>
      </c>
      <c r="AB281" s="3">
        <f>IF(TRIM(Z281)="",,(Z281-Z280)/1000)</f>
        <v/>
      </c>
      <c r="AC281" s="5" t="n"/>
      <c r="AD281" s="6">
        <f>(Table6[[#This Row],[( S/S+T/B) AJD]]*1000)-((Table6[[#This Row],[(STORGE DIFF.) AJD]]*1000)+Table6[[#This Row],[AJD_Evaporation]]+(Table6[[#This Row],[(A/B + A/S) AJD]]*1000))</f>
        <v/>
      </c>
      <c r="AE281" s="33" t="n"/>
      <c r="AF281" s="6" t="n"/>
      <c r="AG281" s="6" t="n"/>
      <c r="AH281" s="6">
        <f>Table6[[#This Row],[ (RESV. STORGE) BER]]/10</f>
        <v/>
      </c>
      <c r="AI281" s="6" t="n"/>
      <c r="AJ281" s="33">
        <f>Table6[[#This Row],[(A/B) AJD]]-TABL12345[[#This Row],[BER_IN]]</f>
        <v/>
      </c>
      <c r="AK281" s="6" t="n"/>
      <c r="AL281" s="6" t="n"/>
      <c r="AM281" s="32" t="n"/>
      <c r="AN281" s="32">
        <f>Table6[[#This Row],[ (RESV. STORGE) SER]]/10</f>
        <v/>
      </c>
      <c r="AO281" s="68" t="n"/>
      <c r="AP281" s="99">
        <f>Table6[[#This Row],[(A/S) AJD]]-Table6[[#This Row],[SER_IN]]</f>
        <v/>
      </c>
    </row>
    <row r="282" ht="18.75" customHeight="1">
      <c r="A282" s="98" t="n">
        <v>47764</v>
      </c>
      <c r="B282" s="28" t="n"/>
      <c r="C282" s="28" t="n"/>
      <c r="D282" s="35" t="n"/>
      <c r="E282" s="28" t="n"/>
      <c r="F282" s="28" t="n"/>
      <c r="G282" s="28" t="n"/>
      <c r="H282" s="28" t="n"/>
      <c r="I282" s="28" t="n"/>
      <c r="J282" s="28" t="n"/>
      <c r="K282" s="28">
        <f>Table6[[#This Row],[ (T/B) SAR]]+Table6[[#This Row],[ (S/S) SAR]]</f>
        <v/>
      </c>
      <c r="L282" s="28" t="n"/>
      <c r="M282" s="29" t="n"/>
      <c r="N282" s="30" t="n"/>
      <c r="O282" s="14" t="n"/>
      <c r="P282" s="9">
        <f>Table6[[#This Row],[ (S/S) SAR]]-Table6[[#This Row],[(S/S) AJD]]</f>
        <v/>
      </c>
      <c r="Q282" s="14" t="n"/>
      <c r="R282" s="9">
        <f>Table6[[#This Row],[ (T/B) SAR]]-Table6[[#This Row],[(T/B) AJD]]</f>
        <v/>
      </c>
      <c r="S282" s="9">
        <f>Table6[[#This Row],[S/S_CON.]]+Table6[[#This Row],[T/B-CON.]]</f>
        <v/>
      </c>
      <c r="T282" s="9">
        <f>O282+Q282</f>
        <v/>
      </c>
      <c r="U282" s="14" t="n"/>
      <c r="V282" s="14" t="n"/>
      <c r="W282" s="9">
        <f>U282+V282</f>
        <v/>
      </c>
      <c r="X282" s="9">
        <f>T282-W282</f>
        <v/>
      </c>
      <c r="Y282" s="18" t="n"/>
      <c r="Z282" s="9" t="n"/>
      <c r="AA282" s="3">
        <f>Table6[[#This Row],[(RESV. STORGE) AJD]]/10</f>
        <v/>
      </c>
      <c r="AB282" s="3">
        <f>IF(TRIM(Z282)="",,(Z282-Z281)/1000)</f>
        <v/>
      </c>
      <c r="AC282" s="5" t="n"/>
      <c r="AD282" s="6">
        <f>(Table6[[#This Row],[( S/S+T/B) AJD]]*1000)-((Table6[[#This Row],[(STORGE DIFF.) AJD]]*1000)+Table6[[#This Row],[AJD_Evaporation]]+(Table6[[#This Row],[(A/B + A/S) AJD]]*1000))</f>
        <v/>
      </c>
      <c r="AE282" s="33" t="n"/>
      <c r="AF282" s="6" t="n"/>
      <c r="AG282" s="6" t="n"/>
      <c r="AH282" s="6">
        <f>Table6[[#This Row],[ (RESV. STORGE) BER]]/10</f>
        <v/>
      </c>
      <c r="AI282" s="6" t="n"/>
      <c r="AJ282" s="33">
        <f>Table6[[#This Row],[(A/B) AJD]]-TABL12345[[#This Row],[BER_IN]]</f>
        <v/>
      </c>
      <c r="AK282" s="6" t="n"/>
      <c r="AL282" s="6" t="n"/>
      <c r="AM282" s="32" t="n"/>
      <c r="AN282" s="32">
        <f>Table6[[#This Row],[ (RESV. STORGE) SER]]/10</f>
        <v/>
      </c>
      <c r="AO282" s="68" t="n"/>
      <c r="AP282" s="99">
        <f>Table6[[#This Row],[(A/S) AJD]]-Table6[[#This Row],[SER_IN]]</f>
        <v/>
      </c>
    </row>
    <row r="283" ht="18.75" customHeight="1">
      <c r="A283" s="98" t="n">
        <v>47765</v>
      </c>
      <c r="B283" s="28" t="n"/>
      <c r="C283" s="28" t="n"/>
      <c r="D283" s="35" t="n"/>
      <c r="E283" s="28" t="n"/>
      <c r="F283" s="28" t="n"/>
      <c r="G283" s="28" t="n"/>
      <c r="H283" s="28" t="n"/>
      <c r="I283" s="28" t="n"/>
      <c r="J283" s="28" t="n"/>
      <c r="K283" s="28">
        <f>Table6[[#This Row],[ (T/B) SAR]]+Table6[[#This Row],[ (S/S) SAR]]</f>
        <v/>
      </c>
      <c r="L283" s="28" t="n"/>
      <c r="M283" s="29" t="n"/>
      <c r="N283" s="30" t="n"/>
      <c r="O283" s="14" t="n"/>
      <c r="P283" s="9">
        <f>Table6[[#This Row],[ (S/S) SAR]]-Table6[[#This Row],[(S/S) AJD]]</f>
        <v/>
      </c>
      <c r="Q283" s="14" t="n"/>
      <c r="R283" s="9">
        <f>Table6[[#This Row],[ (T/B) SAR]]-Table6[[#This Row],[(T/B) AJD]]</f>
        <v/>
      </c>
      <c r="S283" s="9">
        <f>Table6[[#This Row],[S/S_CON.]]+Table6[[#This Row],[T/B-CON.]]</f>
        <v/>
      </c>
      <c r="T283" s="9">
        <f>O283+Q283</f>
        <v/>
      </c>
      <c r="U283" s="14" t="n"/>
      <c r="V283" s="14" t="n"/>
      <c r="W283" s="9">
        <f>U283+V283</f>
        <v/>
      </c>
      <c r="X283" s="9">
        <f>T283-W283</f>
        <v/>
      </c>
      <c r="Y283" s="18" t="n"/>
      <c r="Z283" s="9" t="n"/>
      <c r="AA283" s="3">
        <f>Table6[[#This Row],[(RESV. STORGE) AJD]]/10</f>
        <v/>
      </c>
      <c r="AB283" s="3">
        <f>IF(TRIM(Z283)="",,(Z283-Z282)/1000)</f>
        <v/>
      </c>
      <c r="AC283" s="5" t="n"/>
      <c r="AD283" s="6">
        <f>(Table6[[#This Row],[( S/S+T/B) AJD]]*1000)-((Table6[[#This Row],[(STORGE DIFF.) AJD]]*1000)+Table6[[#This Row],[AJD_Evaporation]]+(Table6[[#This Row],[(A/B + A/S) AJD]]*1000))</f>
        <v/>
      </c>
      <c r="AE283" s="33" t="n"/>
      <c r="AF283" s="6" t="n"/>
      <c r="AG283" s="6" t="n"/>
      <c r="AH283" s="6">
        <f>Table6[[#This Row],[ (RESV. STORGE) BER]]/10</f>
        <v/>
      </c>
      <c r="AI283" s="6" t="n"/>
      <c r="AJ283" s="33">
        <f>Table6[[#This Row],[(A/B) AJD]]-TABL12345[[#This Row],[BER_IN]]</f>
        <v/>
      </c>
      <c r="AK283" s="6" t="n"/>
      <c r="AL283" s="6" t="n"/>
      <c r="AM283" s="32" t="n"/>
      <c r="AN283" s="32">
        <f>Table6[[#This Row],[ (RESV. STORGE) SER]]/10</f>
        <v/>
      </c>
      <c r="AO283" s="68" t="n"/>
      <c r="AP283" s="99">
        <f>Table6[[#This Row],[(A/S) AJD]]-Table6[[#This Row],[SER_IN]]</f>
        <v/>
      </c>
    </row>
    <row r="284" ht="18.75" customHeight="1">
      <c r="A284" s="98" t="n">
        <v>47766</v>
      </c>
      <c r="B284" s="28" t="n"/>
      <c r="C284" s="28" t="n"/>
      <c r="D284" s="35" t="n"/>
      <c r="E284" s="28" t="n"/>
      <c r="F284" s="28" t="n"/>
      <c r="G284" s="28" t="n"/>
      <c r="H284" s="28" t="n"/>
      <c r="I284" s="28" t="n"/>
      <c r="J284" s="28" t="n"/>
      <c r="K284" s="28">
        <f>Table6[[#This Row],[ (T/B) SAR]]+Table6[[#This Row],[ (S/S) SAR]]</f>
        <v/>
      </c>
      <c r="L284" s="28" t="n"/>
      <c r="M284" s="29" t="n"/>
      <c r="N284" s="30" t="n"/>
      <c r="O284" s="14" t="n"/>
      <c r="P284" s="9">
        <f>Table6[[#This Row],[ (S/S) SAR]]-Table6[[#This Row],[(S/S) AJD]]</f>
        <v/>
      </c>
      <c r="Q284" s="14" t="n"/>
      <c r="R284" s="9">
        <f>Table6[[#This Row],[ (T/B) SAR]]-Table6[[#This Row],[(T/B) AJD]]</f>
        <v/>
      </c>
      <c r="S284" s="9">
        <f>Table6[[#This Row],[S/S_CON.]]+Table6[[#This Row],[T/B-CON.]]</f>
        <v/>
      </c>
      <c r="T284" s="9">
        <f>O284+Q284</f>
        <v/>
      </c>
      <c r="U284" s="14" t="n"/>
      <c r="V284" s="14" t="n"/>
      <c r="W284" s="9">
        <f>U284+V284</f>
        <v/>
      </c>
      <c r="X284" s="9">
        <f>T284-W284</f>
        <v/>
      </c>
      <c r="Y284" s="18" t="n"/>
      <c r="Z284" s="9" t="n"/>
      <c r="AA284" s="3">
        <f>Table6[[#This Row],[(RESV. STORGE) AJD]]/10</f>
        <v/>
      </c>
      <c r="AB284" s="3">
        <f>IF(TRIM(Z284)="",,(Z284-Z283)/1000)</f>
        <v/>
      </c>
      <c r="AC284" s="5" t="n"/>
      <c r="AD284" s="6">
        <f>(Table6[[#This Row],[( S/S+T/B) AJD]]*1000)-((Table6[[#This Row],[(STORGE DIFF.) AJD]]*1000)+Table6[[#This Row],[AJD_Evaporation]]+(Table6[[#This Row],[(A/B + A/S) AJD]]*1000))</f>
        <v/>
      </c>
      <c r="AE284" s="33" t="n"/>
      <c r="AF284" s="6" t="n"/>
      <c r="AG284" s="6" t="n"/>
      <c r="AH284" s="6">
        <f>Table6[[#This Row],[ (RESV. STORGE) BER]]/10</f>
        <v/>
      </c>
      <c r="AI284" s="6" t="n"/>
      <c r="AJ284" s="33">
        <f>Table6[[#This Row],[(A/B) AJD]]-TABL12345[[#This Row],[BER_IN]]</f>
        <v/>
      </c>
      <c r="AK284" s="6" t="n"/>
      <c r="AL284" s="6" t="n"/>
      <c r="AM284" s="32" t="n"/>
      <c r="AN284" s="32">
        <f>Table6[[#This Row],[ (RESV. STORGE) SER]]/10</f>
        <v/>
      </c>
      <c r="AO284" s="68" t="n"/>
      <c r="AP284" s="99">
        <f>Table6[[#This Row],[(A/S) AJD]]-Table6[[#This Row],[SER_IN]]</f>
        <v/>
      </c>
    </row>
    <row r="285" ht="18.75" customHeight="1">
      <c r="A285" s="98" t="n">
        <v>47767</v>
      </c>
      <c r="B285" s="28" t="n"/>
      <c r="C285" s="28" t="n"/>
      <c r="D285" s="35" t="n"/>
      <c r="E285" s="28" t="n"/>
      <c r="F285" s="28" t="n"/>
      <c r="G285" s="28" t="n"/>
      <c r="H285" s="28" t="n"/>
      <c r="I285" s="28" t="n"/>
      <c r="J285" s="28" t="n"/>
      <c r="K285" s="28">
        <f>Table6[[#This Row],[ (T/B) SAR]]+Table6[[#This Row],[ (S/S) SAR]]</f>
        <v/>
      </c>
      <c r="L285" s="28" t="n"/>
      <c r="M285" s="29" t="n"/>
      <c r="N285" s="30" t="n"/>
      <c r="O285" s="14" t="n"/>
      <c r="P285" s="9">
        <f>Table6[[#This Row],[ (S/S) SAR]]-Table6[[#This Row],[(S/S) AJD]]</f>
        <v/>
      </c>
      <c r="Q285" s="14" t="n"/>
      <c r="R285" s="9">
        <f>Table6[[#This Row],[ (T/B) SAR]]-Table6[[#This Row],[(T/B) AJD]]</f>
        <v/>
      </c>
      <c r="S285" s="9">
        <f>Table6[[#This Row],[S/S_CON.]]+Table6[[#This Row],[T/B-CON.]]</f>
        <v/>
      </c>
      <c r="T285" s="9">
        <f>O285+Q285</f>
        <v/>
      </c>
      <c r="U285" s="14" t="n"/>
      <c r="V285" s="14" t="n"/>
      <c r="W285" s="9">
        <f>U285+V285</f>
        <v/>
      </c>
      <c r="X285" s="9">
        <f>T285-W285</f>
        <v/>
      </c>
      <c r="Y285" s="18" t="n"/>
      <c r="Z285" s="9" t="n"/>
      <c r="AA285" s="3">
        <f>Table6[[#This Row],[(RESV. STORGE) AJD]]/10</f>
        <v/>
      </c>
      <c r="AB285" s="3">
        <f>IF(TRIM(Z285)="",,(Z285-Z284)/1000)</f>
        <v/>
      </c>
      <c r="AC285" s="5" t="n"/>
      <c r="AD285" s="6">
        <f>(Table6[[#This Row],[( S/S+T/B) AJD]]*1000)-((Table6[[#This Row],[(STORGE DIFF.) AJD]]*1000)+Table6[[#This Row],[AJD_Evaporation]]+(Table6[[#This Row],[(A/B + A/S) AJD]]*1000))</f>
        <v/>
      </c>
      <c r="AE285" s="33" t="n"/>
      <c r="AF285" s="6" t="n"/>
      <c r="AG285" s="6" t="n"/>
      <c r="AH285" s="6">
        <f>Table6[[#This Row],[ (RESV. STORGE) BER]]/10</f>
        <v/>
      </c>
      <c r="AI285" s="6" t="n"/>
      <c r="AJ285" s="33">
        <f>Table6[[#This Row],[(A/B) AJD]]-TABL12345[[#This Row],[BER_IN]]</f>
        <v/>
      </c>
      <c r="AK285" s="6" t="n"/>
      <c r="AL285" s="6" t="n"/>
      <c r="AM285" s="32" t="n"/>
      <c r="AN285" s="32">
        <f>Table6[[#This Row],[ (RESV. STORGE) SER]]/10</f>
        <v/>
      </c>
      <c r="AO285" s="68" t="n"/>
      <c r="AP285" s="99">
        <f>Table6[[#This Row],[(A/S) AJD]]-Table6[[#This Row],[SER_IN]]</f>
        <v/>
      </c>
    </row>
    <row r="286" ht="18.75" customHeight="1">
      <c r="A286" s="98" t="n">
        <v>47768</v>
      </c>
      <c r="B286" s="28" t="n"/>
      <c r="C286" s="28" t="n"/>
      <c r="D286" s="35" t="n"/>
      <c r="E286" s="28" t="n"/>
      <c r="F286" s="28" t="n"/>
      <c r="G286" s="28" t="n"/>
      <c r="H286" s="28" t="n"/>
      <c r="I286" s="28" t="n"/>
      <c r="J286" s="28" t="n"/>
      <c r="K286" s="28">
        <f>Table6[[#This Row],[ (T/B) SAR]]+Table6[[#This Row],[ (S/S) SAR]]</f>
        <v/>
      </c>
      <c r="L286" s="28" t="n"/>
      <c r="M286" s="29" t="n"/>
      <c r="N286" s="30" t="n"/>
      <c r="O286" s="14" t="n"/>
      <c r="P286" s="9">
        <f>Table6[[#This Row],[ (S/S) SAR]]-Table6[[#This Row],[(S/S) AJD]]</f>
        <v/>
      </c>
      <c r="Q286" s="14" t="n"/>
      <c r="R286" s="9">
        <f>Table6[[#This Row],[ (T/B) SAR]]-Table6[[#This Row],[(T/B) AJD]]</f>
        <v/>
      </c>
      <c r="S286" s="9">
        <f>Table6[[#This Row],[S/S_CON.]]+Table6[[#This Row],[T/B-CON.]]</f>
        <v/>
      </c>
      <c r="T286" s="9">
        <f>O286+Q286</f>
        <v/>
      </c>
      <c r="U286" s="14" t="n"/>
      <c r="V286" s="14" t="n"/>
      <c r="W286" s="9">
        <f>U286+V286</f>
        <v/>
      </c>
      <c r="X286" s="9">
        <f>T286-W286</f>
        <v/>
      </c>
      <c r="Y286" s="18" t="n"/>
      <c r="Z286" s="9" t="n"/>
      <c r="AA286" s="3">
        <f>Table6[[#This Row],[(RESV. STORGE) AJD]]/10</f>
        <v/>
      </c>
      <c r="AB286" s="3">
        <f>IF(TRIM(Z286)="",,(Z286-Z285)/1000)</f>
        <v/>
      </c>
      <c r="AC286" s="5" t="n"/>
      <c r="AD286" s="6">
        <f>(Table6[[#This Row],[( S/S+T/B) AJD]]*1000)-((Table6[[#This Row],[(STORGE DIFF.) AJD]]*1000)+Table6[[#This Row],[AJD_Evaporation]]+(Table6[[#This Row],[(A/B + A/S) AJD]]*1000))</f>
        <v/>
      </c>
      <c r="AE286" s="33" t="n"/>
      <c r="AF286" s="6" t="n"/>
      <c r="AG286" s="6" t="n"/>
      <c r="AH286" s="6">
        <f>Table6[[#This Row],[ (RESV. STORGE) BER]]/10</f>
        <v/>
      </c>
      <c r="AI286" s="6" t="n"/>
      <c r="AJ286" s="33">
        <f>Table6[[#This Row],[(A/B) AJD]]-TABL12345[[#This Row],[BER_IN]]</f>
        <v/>
      </c>
      <c r="AK286" s="6" t="n"/>
      <c r="AL286" s="6" t="n"/>
      <c r="AM286" s="32" t="n"/>
      <c r="AN286" s="32">
        <f>Table6[[#This Row],[ (RESV. STORGE) SER]]/10</f>
        <v/>
      </c>
      <c r="AO286" s="68" t="n"/>
      <c r="AP286" s="99">
        <f>Table6[[#This Row],[(A/S) AJD]]-Table6[[#This Row],[SER_IN]]</f>
        <v/>
      </c>
    </row>
    <row r="287" ht="18.75" customHeight="1">
      <c r="A287" s="98" t="n">
        <v>47769</v>
      </c>
      <c r="B287" s="28" t="n"/>
      <c r="C287" s="28" t="n"/>
      <c r="D287" s="35" t="n"/>
      <c r="E287" s="28" t="n"/>
      <c r="F287" s="28" t="n"/>
      <c r="G287" s="28" t="n"/>
      <c r="H287" s="28" t="n"/>
      <c r="I287" s="28" t="n"/>
      <c r="J287" s="28" t="n"/>
      <c r="K287" s="28">
        <f>Table6[[#This Row],[ (T/B) SAR]]+Table6[[#This Row],[ (S/S) SAR]]</f>
        <v/>
      </c>
      <c r="L287" s="28" t="n"/>
      <c r="M287" s="29" t="n"/>
      <c r="N287" s="30" t="n"/>
      <c r="O287" s="14" t="n"/>
      <c r="P287" s="9">
        <f>Table6[[#This Row],[ (S/S) SAR]]-Table6[[#This Row],[(S/S) AJD]]</f>
        <v/>
      </c>
      <c r="Q287" s="14" t="n"/>
      <c r="R287" s="9">
        <f>Table6[[#This Row],[ (T/B) SAR]]-Table6[[#This Row],[(T/B) AJD]]</f>
        <v/>
      </c>
      <c r="S287" s="9">
        <f>Table6[[#This Row],[S/S_CON.]]+Table6[[#This Row],[T/B-CON.]]</f>
        <v/>
      </c>
      <c r="T287" s="9">
        <f>O287+Q287</f>
        <v/>
      </c>
      <c r="U287" s="14" t="n"/>
      <c r="V287" s="14" t="n"/>
      <c r="W287" s="9">
        <f>U287+V287</f>
        <v/>
      </c>
      <c r="X287" s="9">
        <f>T287-W287</f>
        <v/>
      </c>
      <c r="Y287" s="18" t="n"/>
      <c r="Z287" s="9" t="n"/>
      <c r="AA287" s="3">
        <f>Table6[[#This Row],[(RESV. STORGE) AJD]]/10</f>
        <v/>
      </c>
      <c r="AB287" s="3">
        <f>IF(TRIM(Z287)="",,(Z287-Z286)/1000)</f>
        <v/>
      </c>
      <c r="AC287" s="5" t="n"/>
      <c r="AD287" s="6">
        <f>(Table6[[#This Row],[( S/S+T/B) AJD]]*1000)-((Table6[[#This Row],[(STORGE DIFF.) AJD]]*1000)+Table6[[#This Row],[AJD_Evaporation]]+(Table6[[#This Row],[(A/B + A/S) AJD]]*1000))</f>
        <v/>
      </c>
      <c r="AE287" s="33" t="n"/>
      <c r="AF287" s="6" t="n"/>
      <c r="AG287" s="6" t="n"/>
      <c r="AH287" s="6">
        <f>Table6[[#This Row],[ (RESV. STORGE) BER]]/10</f>
        <v/>
      </c>
      <c r="AI287" s="6" t="n"/>
      <c r="AJ287" s="33">
        <f>Table6[[#This Row],[(A/B) AJD]]-TABL12345[[#This Row],[BER_IN]]</f>
        <v/>
      </c>
      <c r="AK287" s="6" t="n"/>
      <c r="AL287" s="6" t="n"/>
      <c r="AM287" s="32" t="n"/>
      <c r="AN287" s="32">
        <f>Table6[[#This Row],[ (RESV. STORGE) SER]]/10</f>
        <v/>
      </c>
      <c r="AO287" s="68" t="n"/>
      <c r="AP287" s="99">
        <f>Table6[[#This Row],[(A/S) AJD]]-Table6[[#This Row],[SER_IN]]</f>
        <v/>
      </c>
    </row>
    <row r="288" ht="18.75" customHeight="1">
      <c r="A288" s="98" t="n">
        <v>47770</v>
      </c>
      <c r="B288" s="28" t="n"/>
      <c r="C288" s="28" t="n"/>
      <c r="D288" s="35" t="n"/>
      <c r="E288" s="28" t="n"/>
      <c r="F288" s="28" t="n"/>
      <c r="G288" s="28" t="n"/>
      <c r="H288" s="28" t="n"/>
      <c r="I288" s="28" t="n"/>
      <c r="J288" s="28" t="n"/>
      <c r="K288" s="28">
        <f>Table6[[#This Row],[ (T/B) SAR]]+Table6[[#This Row],[ (S/S) SAR]]</f>
        <v/>
      </c>
      <c r="L288" s="28" t="n"/>
      <c r="M288" s="29" t="n"/>
      <c r="N288" s="30" t="n"/>
      <c r="O288" s="14" t="n"/>
      <c r="P288" s="9">
        <f>Table6[[#This Row],[ (S/S) SAR]]-Table6[[#This Row],[(S/S) AJD]]</f>
        <v/>
      </c>
      <c r="Q288" s="14" t="n"/>
      <c r="R288" s="9">
        <f>Table6[[#This Row],[ (T/B) SAR]]-Table6[[#This Row],[(T/B) AJD]]</f>
        <v/>
      </c>
      <c r="S288" s="9">
        <f>Table6[[#This Row],[S/S_CON.]]+Table6[[#This Row],[T/B-CON.]]</f>
        <v/>
      </c>
      <c r="T288" s="9">
        <f>O288+Q288</f>
        <v/>
      </c>
      <c r="U288" s="14" t="n"/>
      <c r="V288" s="14" t="n"/>
      <c r="W288" s="9">
        <f>U288+V288</f>
        <v/>
      </c>
      <c r="X288" s="9">
        <f>T288-W288</f>
        <v/>
      </c>
      <c r="Y288" s="18" t="n"/>
      <c r="Z288" s="9" t="n"/>
      <c r="AA288" s="3">
        <f>Table6[[#This Row],[(RESV. STORGE) AJD]]/10</f>
        <v/>
      </c>
      <c r="AB288" s="3">
        <f>IF(TRIM(Z288)="",,(Z288-Z287)/1000)</f>
        <v/>
      </c>
      <c r="AC288" s="5" t="n"/>
      <c r="AD288" s="6">
        <f>(Table6[[#This Row],[( S/S+T/B) AJD]]*1000)-((Table6[[#This Row],[(STORGE DIFF.) AJD]]*1000)+Table6[[#This Row],[AJD_Evaporation]]+(Table6[[#This Row],[(A/B + A/S) AJD]]*1000))</f>
        <v/>
      </c>
      <c r="AE288" s="33" t="n"/>
      <c r="AF288" s="6" t="n"/>
      <c r="AG288" s="6" t="n"/>
      <c r="AH288" s="6">
        <f>Table6[[#This Row],[ (RESV. STORGE) BER]]/10</f>
        <v/>
      </c>
      <c r="AI288" s="6" t="n"/>
      <c r="AJ288" s="33">
        <f>Table6[[#This Row],[(A/B) AJD]]-TABL12345[[#This Row],[BER_IN]]</f>
        <v/>
      </c>
      <c r="AK288" s="6" t="n"/>
      <c r="AL288" s="6" t="n"/>
      <c r="AM288" s="32" t="n"/>
      <c r="AN288" s="32">
        <f>Table6[[#This Row],[ (RESV. STORGE) SER]]/10</f>
        <v/>
      </c>
      <c r="AO288" s="68" t="n"/>
      <c r="AP288" s="99">
        <f>Table6[[#This Row],[(A/S) AJD]]-Table6[[#This Row],[SER_IN]]</f>
        <v/>
      </c>
    </row>
    <row r="289" ht="18.75" customHeight="1">
      <c r="A289" s="98" t="n">
        <v>47771</v>
      </c>
      <c r="B289" s="28" t="n"/>
      <c r="C289" s="28" t="n"/>
      <c r="D289" s="35" t="n"/>
      <c r="E289" s="28" t="n"/>
      <c r="F289" s="28" t="n"/>
      <c r="G289" s="28" t="n"/>
      <c r="H289" s="28" t="n"/>
      <c r="I289" s="28" t="n"/>
      <c r="J289" s="28" t="n"/>
      <c r="K289" s="28">
        <f>Table6[[#This Row],[ (T/B) SAR]]+Table6[[#This Row],[ (S/S) SAR]]</f>
        <v/>
      </c>
      <c r="L289" s="28" t="n"/>
      <c r="M289" s="29" t="n"/>
      <c r="N289" s="30" t="n"/>
      <c r="O289" s="14" t="n"/>
      <c r="P289" s="9">
        <f>Table6[[#This Row],[ (S/S) SAR]]-Table6[[#This Row],[(S/S) AJD]]</f>
        <v/>
      </c>
      <c r="Q289" s="14" t="n"/>
      <c r="R289" s="9">
        <f>Table6[[#This Row],[ (T/B) SAR]]-Table6[[#This Row],[(T/B) AJD]]</f>
        <v/>
      </c>
      <c r="S289" s="9">
        <f>Table6[[#This Row],[S/S_CON.]]+Table6[[#This Row],[T/B-CON.]]</f>
        <v/>
      </c>
      <c r="T289" s="9">
        <f>O289+Q289</f>
        <v/>
      </c>
      <c r="U289" s="14" t="n"/>
      <c r="V289" s="14" t="n"/>
      <c r="W289" s="9">
        <f>U289+V289</f>
        <v/>
      </c>
      <c r="X289" s="9">
        <f>T289-W289</f>
        <v/>
      </c>
      <c r="Y289" s="18" t="n"/>
      <c r="Z289" s="9" t="n"/>
      <c r="AA289" s="3">
        <f>Table6[[#This Row],[(RESV. STORGE) AJD]]/10</f>
        <v/>
      </c>
      <c r="AB289" s="3">
        <f>IF(TRIM(Z289)="",,(Z289-Z288)/1000)</f>
        <v/>
      </c>
      <c r="AC289" s="5" t="n"/>
      <c r="AD289" s="6">
        <f>(Table6[[#This Row],[( S/S+T/B) AJD]]*1000)-((Table6[[#This Row],[(STORGE DIFF.) AJD]]*1000)+Table6[[#This Row],[AJD_Evaporation]]+(Table6[[#This Row],[(A/B + A/S) AJD]]*1000))</f>
        <v/>
      </c>
      <c r="AE289" s="33" t="n"/>
      <c r="AF289" s="6" t="n"/>
      <c r="AG289" s="6" t="n"/>
      <c r="AH289" s="6">
        <f>Table6[[#This Row],[ (RESV. STORGE) BER]]/10</f>
        <v/>
      </c>
      <c r="AI289" s="6" t="n"/>
      <c r="AJ289" s="33">
        <f>Table6[[#This Row],[(A/B) AJD]]-TABL12345[[#This Row],[BER_IN]]</f>
        <v/>
      </c>
      <c r="AK289" s="6" t="n"/>
      <c r="AL289" s="6" t="n"/>
      <c r="AM289" s="32" t="n"/>
      <c r="AN289" s="32">
        <f>Table6[[#This Row],[ (RESV. STORGE) SER]]/10</f>
        <v/>
      </c>
      <c r="AO289" s="68" t="n"/>
      <c r="AP289" s="99">
        <f>Table6[[#This Row],[(A/S) AJD]]-Table6[[#This Row],[SER_IN]]</f>
        <v/>
      </c>
    </row>
    <row r="290" ht="18.75" customHeight="1">
      <c r="A290" s="98" t="n">
        <v>47772</v>
      </c>
      <c r="B290" s="28" t="n"/>
      <c r="C290" s="28" t="n"/>
      <c r="D290" s="35" t="n"/>
      <c r="E290" s="28" t="n"/>
      <c r="F290" s="28" t="n"/>
      <c r="G290" s="28" t="n"/>
      <c r="H290" s="28" t="n"/>
      <c r="I290" s="28" t="n"/>
      <c r="J290" s="28" t="n"/>
      <c r="K290" s="28">
        <f>Table6[[#This Row],[ (T/B) SAR]]+Table6[[#This Row],[ (S/S) SAR]]</f>
        <v/>
      </c>
      <c r="L290" s="28" t="n"/>
      <c r="M290" s="29" t="n"/>
      <c r="N290" s="30" t="n"/>
      <c r="O290" s="14" t="n"/>
      <c r="P290" s="9">
        <f>Table6[[#This Row],[ (S/S) SAR]]-Table6[[#This Row],[(S/S) AJD]]</f>
        <v/>
      </c>
      <c r="Q290" s="14" t="n"/>
      <c r="R290" s="9">
        <f>Table6[[#This Row],[ (T/B) SAR]]-Table6[[#This Row],[(T/B) AJD]]</f>
        <v/>
      </c>
      <c r="S290" s="9">
        <f>Table6[[#This Row],[S/S_CON.]]+Table6[[#This Row],[T/B-CON.]]</f>
        <v/>
      </c>
      <c r="T290" s="9">
        <f>O290+Q290</f>
        <v/>
      </c>
      <c r="U290" s="14" t="n"/>
      <c r="V290" s="14" t="n"/>
      <c r="W290" s="9">
        <f>U290+V290</f>
        <v/>
      </c>
      <c r="X290" s="9">
        <f>T290-W290</f>
        <v/>
      </c>
      <c r="Y290" s="18" t="n"/>
      <c r="Z290" s="9" t="n"/>
      <c r="AA290" s="3">
        <f>Table6[[#This Row],[(RESV. STORGE) AJD]]/10</f>
        <v/>
      </c>
      <c r="AB290" s="3">
        <f>IF(TRIM(Z290)="",,(Z290-Z289)/1000)</f>
        <v/>
      </c>
      <c r="AC290" s="5" t="n"/>
      <c r="AD290" s="6">
        <f>(Table6[[#This Row],[( S/S+T/B) AJD]]*1000)-((Table6[[#This Row],[(STORGE DIFF.) AJD]]*1000)+Table6[[#This Row],[AJD_Evaporation]]+(Table6[[#This Row],[(A/B + A/S) AJD]]*1000))</f>
        <v/>
      </c>
      <c r="AE290" s="33" t="n"/>
      <c r="AF290" s="6" t="n"/>
      <c r="AG290" s="6" t="n"/>
      <c r="AH290" s="6">
        <f>Table6[[#This Row],[ (RESV. STORGE) BER]]/10</f>
        <v/>
      </c>
      <c r="AI290" s="6" t="n"/>
      <c r="AJ290" s="33">
        <f>Table6[[#This Row],[(A/B) AJD]]-TABL12345[[#This Row],[BER_IN]]</f>
        <v/>
      </c>
      <c r="AK290" s="6" t="n"/>
      <c r="AL290" s="6" t="n"/>
      <c r="AM290" s="32" t="n"/>
      <c r="AN290" s="32">
        <f>Table6[[#This Row],[ (RESV. STORGE) SER]]/10</f>
        <v/>
      </c>
      <c r="AO290" s="68" t="n"/>
      <c r="AP290" s="99">
        <f>Table6[[#This Row],[(A/S) AJD]]-Table6[[#This Row],[SER_IN]]</f>
        <v/>
      </c>
    </row>
    <row r="291" ht="18.75" customHeight="1">
      <c r="A291" s="98" t="n">
        <v>47773</v>
      </c>
      <c r="B291" s="28" t="n"/>
      <c r="C291" s="28" t="n"/>
      <c r="D291" s="28" t="n"/>
      <c r="E291" s="28" t="n"/>
      <c r="F291" s="28" t="n"/>
      <c r="G291" s="28" t="n"/>
      <c r="H291" s="28" t="n"/>
      <c r="I291" s="28" t="n"/>
      <c r="J291" s="28" t="n"/>
      <c r="K291" s="28">
        <f>Table6[[#This Row],[ (T/B) SAR]]+Table6[[#This Row],[ (S/S) SAR]]</f>
        <v/>
      </c>
      <c r="L291" s="28" t="n"/>
      <c r="M291" s="29" t="n"/>
      <c r="N291" s="30" t="n"/>
      <c r="O291" s="14" t="n"/>
      <c r="P291" s="9">
        <f>Table6[[#This Row],[ (S/S) SAR]]-Table6[[#This Row],[(S/S) AJD]]</f>
        <v/>
      </c>
      <c r="Q291" s="14" t="n"/>
      <c r="R291" s="9">
        <f>Table6[[#This Row],[ (T/B) SAR]]-Table6[[#This Row],[(T/B) AJD]]</f>
        <v/>
      </c>
      <c r="S291" s="9">
        <f>Table6[[#This Row],[S/S_CON.]]+Table6[[#This Row],[T/B-CON.]]</f>
        <v/>
      </c>
      <c r="T291" s="9">
        <f>O291+Q291</f>
        <v/>
      </c>
      <c r="U291" s="14" t="n"/>
      <c r="V291" s="14" t="n"/>
      <c r="W291" s="9">
        <f>U291+V291</f>
        <v/>
      </c>
      <c r="X291" s="9">
        <f>T291-W291</f>
        <v/>
      </c>
      <c r="Y291" s="18" t="n"/>
      <c r="Z291" s="9" t="n"/>
      <c r="AA291" s="3">
        <f>Table6[[#This Row],[(RESV. STORGE) AJD]]/10</f>
        <v/>
      </c>
      <c r="AB291" s="3">
        <f>IF(TRIM(Z291)="",,(Z291-Z290)/1000)</f>
        <v/>
      </c>
      <c r="AC291" s="5" t="n"/>
      <c r="AD291" s="6">
        <f>(Table6[[#This Row],[( S/S+T/B) AJD]]*1000)-((Table6[[#This Row],[(STORGE DIFF.) AJD]]*1000)+Table6[[#This Row],[AJD_Evaporation]]+(Table6[[#This Row],[(A/B + A/S) AJD]]*1000))</f>
        <v/>
      </c>
      <c r="AE291" s="33" t="n"/>
      <c r="AF291" s="6" t="n"/>
      <c r="AG291" s="6" t="n"/>
      <c r="AH291" s="6">
        <f>Table6[[#This Row],[ (RESV. STORGE) BER]]/10</f>
        <v/>
      </c>
      <c r="AI291" s="6" t="n"/>
      <c r="AJ291" s="33">
        <f>Table6[[#This Row],[(A/B) AJD]]-TABL12345[[#This Row],[BER_IN]]</f>
        <v/>
      </c>
      <c r="AK291" s="6" t="n"/>
      <c r="AL291" s="6" t="n"/>
      <c r="AM291" s="32" t="n"/>
      <c r="AN291" s="32">
        <f>Table6[[#This Row],[ (RESV. STORGE) SER]]/10</f>
        <v/>
      </c>
      <c r="AO291" s="68" t="n"/>
      <c r="AP291" s="99">
        <f>Table6[[#This Row],[(A/S) AJD]]-Table6[[#This Row],[SER_IN]]</f>
        <v/>
      </c>
    </row>
    <row r="292" ht="18.75" customHeight="1">
      <c r="A292" s="98" t="n">
        <v>47774</v>
      </c>
      <c r="B292" s="28" t="n"/>
      <c r="C292" s="28" t="n"/>
      <c r="D292" s="28" t="n"/>
      <c r="E292" s="28" t="n"/>
      <c r="F292" s="28" t="n"/>
      <c r="G292" s="28" t="n"/>
      <c r="H292" s="28" t="n"/>
      <c r="I292" s="28" t="n"/>
      <c r="J292" s="28" t="n"/>
      <c r="K292" s="28">
        <f>Table6[[#This Row],[ (T/B) SAR]]+Table6[[#This Row],[ (S/S) SAR]]</f>
        <v/>
      </c>
      <c r="L292" s="28" t="n"/>
      <c r="M292" s="29" t="n"/>
      <c r="N292" s="30" t="n"/>
      <c r="O292" s="9" t="n"/>
      <c r="P292" s="9">
        <f>Table6[[#This Row],[ (S/S) SAR]]-Table6[[#This Row],[(S/S) AJD]]</f>
        <v/>
      </c>
      <c r="Q292" s="9" t="n"/>
      <c r="R292" s="9">
        <f>Table6[[#This Row],[ (T/B) SAR]]-Table6[[#This Row],[(T/B) AJD]]</f>
        <v/>
      </c>
      <c r="S292" s="9">
        <f>Table6[[#This Row],[S/S_CON.]]+Table6[[#This Row],[T/B-CON.]]</f>
        <v/>
      </c>
      <c r="T292" s="9">
        <f>O292+Q292</f>
        <v/>
      </c>
      <c r="U292" s="9" t="n"/>
      <c r="V292" s="9" t="n"/>
      <c r="W292" s="9">
        <f>U292+V292</f>
        <v/>
      </c>
      <c r="X292" s="9">
        <f>T292-W292</f>
        <v/>
      </c>
      <c r="Y292" s="18" t="n"/>
      <c r="Z292" s="9" t="n"/>
      <c r="AA292" s="3">
        <f>Table6[[#This Row],[(RESV. STORGE) AJD]]/10</f>
        <v/>
      </c>
      <c r="AB292" s="3">
        <f>IF(TRIM(Z292)="",,(Z292-Z291)/1000)</f>
        <v/>
      </c>
      <c r="AC292" s="5" t="n"/>
      <c r="AD292" s="6">
        <f>(Table6[[#This Row],[( S/S+T/B) AJD]]*1000)-((Table6[[#This Row],[(STORGE DIFF.) AJD]]*1000)+Table6[[#This Row],[AJD_Evaporation]]+(Table6[[#This Row],[(A/B + A/S) AJD]]*1000))</f>
        <v/>
      </c>
      <c r="AE292" s="33" t="n"/>
      <c r="AF292" s="6" t="n"/>
      <c r="AG292" s="6" t="n"/>
      <c r="AH292" s="6">
        <f>Table6[[#This Row],[ (RESV. STORGE) BER]]/10</f>
        <v/>
      </c>
      <c r="AI292" s="6" t="n"/>
      <c r="AJ292" s="33">
        <f>Table6[[#This Row],[(A/B) AJD]]-TABL12345[[#This Row],[BER_IN]]</f>
        <v/>
      </c>
      <c r="AK292" s="6" t="n"/>
      <c r="AL292" s="6" t="n"/>
      <c r="AM292" s="32" t="n"/>
      <c r="AN292" s="32">
        <f>Table6[[#This Row],[ (RESV. STORGE) SER]]/10</f>
        <v/>
      </c>
      <c r="AO292" s="68" t="n"/>
      <c r="AP292" s="99">
        <f>Table6[[#This Row],[(A/S) AJD]]-Table6[[#This Row],[SER_IN]]</f>
        <v/>
      </c>
    </row>
    <row r="293" ht="18.75" customHeight="1">
      <c r="A293" s="98" t="n">
        <v>47775</v>
      </c>
      <c r="B293" s="28" t="n"/>
      <c r="C293" s="28" t="n"/>
      <c r="D293" s="28" t="n"/>
      <c r="E293" s="28" t="n"/>
      <c r="F293" s="28" t="n"/>
      <c r="G293" s="28" t="n"/>
      <c r="H293" s="28" t="n"/>
      <c r="I293" s="28" t="n"/>
      <c r="J293" s="28" t="n"/>
      <c r="K293" s="28">
        <f>Table6[[#This Row],[ (T/B) SAR]]+Table6[[#This Row],[ (S/S) SAR]]</f>
        <v/>
      </c>
      <c r="L293" s="28" t="n"/>
      <c r="M293" s="29" t="n"/>
      <c r="N293" s="30" t="n"/>
      <c r="O293" s="9" t="n"/>
      <c r="P293" s="9">
        <f>Table6[[#This Row],[ (S/S) SAR]]-Table6[[#This Row],[(S/S) AJD]]</f>
        <v/>
      </c>
      <c r="Q293" s="9" t="n"/>
      <c r="R293" s="9">
        <f>Table6[[#This Row],[ (T/B) SAR]]-Table6[[#This Row],[(T/B) AJD]]</f>
        <v/>
      </c>
      <c r="S293" s="9">
        <f>Table6[[#This Row],[S/S_CON.]]+Table6[[#This Row],[T/B-CON.]]</f>
        <v/>
      </c>
      <c r="T293" s="9">
        <f>O293+Q293</f>
        <v/>
      </c>
      <c r="U293" s="9" t="n"/>
      <c r="V293" s="9" t="n"/>
      <c r="W293" s="9">
        <f>U293+V293</f>
        <v/>
      </c>
      <c r="X293" s="9">
        <f>T293-W293</f>
        <v/>
      </c>
      <c r="Y293" s="18" t="n"/>
      <c r="Z293" s="9" t="n"/>
      <c r="AA293" s="3">
        <f>Table6[[#This Row],[(RESV. STORGE) AJD]]/10</f>
        <v/>
      </c>
      <c r="AB293" s="3">
        <f>IF(TRIM(Z293)="",,(Z293-Z292)/1000)</f>
        <v/>
      </c>
      <c r="AC293" s="5" t="n"/>
      <c r="AD293" s="6">
        <f>(Table6[[#This Row],[( S/S+T/B) AJD]]*1000)-((Table6[[#This Row],[(STORGE DIFF.) AJD]]*1000)+Table6[[#This Row],[AJD_Evaporation]]+(Table6[[#This Row],[(A/B + A/S) AJD]]*1000))</f>
        <v/>
      </c>
      <c r="AE293" s="33" t="n"/>
      <c r="AF293" s="6" t="n"/>
      <c r="AG293" s="6" t="n"/>
      <c r="AH293" s="6">
        <f>Table6[[#This Row],[ (RESV. STORGE) BER]]/10</f>
        <v/>
      </c>
      <c r="AI293" s="6" t="n"/>
      <c r="AJ293" s="33">
        <f>Table6[[#This Row],[(A/B) AJD]]-TABL12345[[#This Row],[BER_IN]]</f>
        <v/>
      </c>
      <c r="AK293" s="6" t="n"/>
      <c r="AL293" s="6" t="n"/>
      <c r="AM293" s="32" t="n"/>
      <c r="AN293" s="32">
        <f>Table6[[#This Row],[ (RESV. STORGE) SER]]/10</f>
        <v/>
      </c>
      <c r="AO293" s="68" t="n"/>
      <c r="AP293" s="99">
        <f>Table6[[#This Row],[(A/S) AJD]]-Table6[[#This Row],[SER_IN]]</f>
        <v/>
      </c>
    </row>
    <row r="294" ht="18.75" customHeight="1">
      <c r="A294" s="98" t="n">
        <v>47776</v>
      </c>
      <c r="B294" s="28" t="n"/>
      <c r="C294" s="28" t="n"/>
      <c r="D294" s="28" t="n"/>
      <c r="E294" s="28" t="n"/>
      <c r="F294" s="28" t="n"/>
      <c r="G294" s="28" t="n"/>
      <c r="H294" s="28" t="n"/>
      <c r="I294" s="28" t="n"/>
      <c r="J294" s="28" t="n"/>
      <c r="K294" s="28">
        <f>Table6[[#This Row],[ (T/B) SAR]]+Table6[[#This Row],[ (S/S) SAR]]</f>
        <v/>
      </c>
      <c r="L294" s="28" t="n"/>
      <c r="M294" s="29" t="n"/>
      <c r="N294" s="30" t="n"/>
      <c r="O294" s="9" t="n"/>
      <c r="P294" s="9">
        <f>Table6[[#This Row],[ (S/S) SAR]]-Table6[[#This Row],[(S/S) AJD]]</f>
        <v/>
      </c>
      <c r="Q294" s="9" t="n"/>
      <c r="R294" s="9">
        <f>Table6[[#This Row],[ (T/B) SAR]]-Table6[[#This Row],[(T/B) AJD]]</f>
        <v/>
      </c>
      <c r="S294" s="9">
        <f>Table6[[#This Row],[S/S_CON.]]+Table6[[#This Row],[T/B-CON.]]</f>
        <v/>
      </c>
      <c r="T294" s="9">
        <f>O294+Q294</f>
        <v/>
      </c>
      <c r="U294" s="9" t="n"/>
      <c r="V294" s="9" t="n"/>
      <c r="W294" s="9">
        <f>U294+V294</f>
        <v/>
      </c>
      <c r="X294" s="9">
        <f>T294-W294</f>
        <v/>
      </c>
      <c r="Y294" s="18" t="n"/>
      <c r="Z294" s="9" t="n"/>
      <c r="AA294" s="3">
        <f>Table6[[#This Row],[(RESV. STORGE) AJD]]/10</f>
        <v/>
      </c>
      <c r="AB294" s="3">
        <f>IF(TRIM(Z294)="",,(Z294-Z293)/1000)</f>
        <v/>
      </c>
      <c r="AC294" s="5" t="n"/>
      <c r="AD294" s="6">
        <f>(Table6[[#This Row],[( S/S+T/B) AJD]]*1000)-((Table6[[#This Row],[(STORGE DIFF.) AJD]]*1000)+Table6[[#This Row],[AJD_Evaporation]]+(Table6[[#This Row],[(A/B + A/S) AJD]]*1000))</f>
        <v/>
      </c>
      <c r="AE294" s="33" t="n"/>
      <c r="AF294" s="6" t="n"/>
      <c r="AG294" s="6" t="n"/>
      <c r="AH294" s="6">
        <f>Table6[[#This Row],[ (RESV. STORGE) BER]]/10</f>
        <v/>
      </c>
      <c r="AI294" s="6" t="n"/>
      <c r="AJ294" s="33">
        <f>Table6[[#This Row],[(A/B) AJD]]-TABL12345[[#This Row],[BER_IN]]</f>
        <v/>
      </c>
      <c r="AK294" s="6" t="n"/>
      <c r="AL294" s="6" t="n"/>
      <c r="AM294" s="32" t="n"/>
      <c r="AN294" s="32">
        <f>Table6[[#This Row],[ (RESV. STORGE) SER]]/10</f>
        <v/>
      </c>
      <c r="AO294" s="68" t="n"/>
      <c r="AP294" s="99">
        <f>Table6[[#This Row],[(A/S) AJD]]-Table6[[#This Row],[SER_IN]]</f>
        <v/>
      </c>
    </row>
    <row r="295" ht="18.75" customHeight="1">
      <c r="A295" s="98" t="n">
        <v>47777</v>
      </c>
      <c r="B295" s="28" t="n"/>
      <c r="C295" s="28" t="n"/>
      <c r="D295" s="28" t="n"/>
      <c r="E295" s="28" t="n"/>
      <c r="F295" s="28" t="n"/>
      <c r="G295" s="28" t="n"/>
      <c r="H295" s="28" t="n"/>
      <c r="I295" s="28" t="n"/>
      <c r="J295" s="28" t="n"/>
      <c r="K295" s="28">
        <f>Table6[[#This Row],[ (T/B) SAR]]+Table6[[#This Row],[ (S/S) SAR]]</f>
        <v/>
      </c>
      <c r="L295" s="28" t="n"/>
      <c r="M295" s="29" t="n"/>
      <c r="N295" s="30" t="n"/>
      <c r="O295" s="9" t="n"/>
      <c r="P295" s="9">
        <f>Table6[[#This Row],[ (S/S) SAR]]-Table6[[#This Row],[(S/S) AJD]]</f>
        <v/>
      </c>
      <c r="Q295" s="9" t="n"/>
      <c r="R295" s="9">
        <f>Table6[[#This Row],[ (T/B) SAR]]-Table6[[#This Row],[(T/B) AJD]]</f>
        <v/>
      </c>
      <c r="S295" s="9">
        <f>Table6[[#This Row],[S/S_CON.]]+Table6[[#This Row],[T/B-CON.]]</f>
        <v/>
      </c>
      <c r="T295" s="9">
        <f>O295+Q295</f>
        <v/>
      </c>
      <c r="U295" s="9" t="n"/>
      <c r="V295" s="9" t="n"/>
      <c r="W295" s="9">
        <f>U295+V295</f>
        <v/>
      </c>
      <c r="X295" s="9">
        <f>T295-W295</f>
        <v/>
      </c>
      <c r="Y295" s="18" t="n"/>
      <c r="Z295" s="9" t="n"/>
      <c r="AA295" s="3">
        <f>Table6[[#This Row],[(RESV. STORGE) AJD]]/10</f>
        <v/>
      </c>
      <c r="AB295" s="3">
        <f>IF(TRIM(Z295)="",,(Z295-Z294)/1000)</f>
        <v/>
      </c>
      <c r="AC295" s="5" t="n"/>
      <c r="AD295" s="6">
        <f>(Table6[[#This Row],[( S/S+T/B) AJD]]*1000)-((Table6[[#This Row],[(STORGE DIFF.) AJD]]*1000)+Table6[[#This Row],[AJD_Evaporation]]+(Table6[[#This Row],[(A/B + A/S) AJD]]*1000))</f>
        <v/>
      </c>
      <c r="AE295" s="33" t="n"/>
      <c r="AF295" s="6" t="n"/>
      <c r="AG295" s="6" t="n"/>
      <c r="AH295" s="6">
        <f>Table6[[#This Row],[ (RESV. STORGE) BER]]/10</f>
        <v/>
      </c>
      <c r="AI295" s="6" t="n"/>
      <c r="AJ295" s="33">
        <f>Table6[[#This Row],[(A/B) AJD]]-TABL12345[[#This Row],[BER_IN]]</f>
        <v/>
      </c>
      <c r="AK295" s="6" t="n"/>
      <c r="AL295" s="6" t="n"/>
      <c r="AM295" s="32" t="n"/>
      <c r="AN295" s="32">
        <f>Table6[[#This Row],[ (RESV. STORGE) SER]]/10</f>
        <v/>
      </c>
      <c r="AO295" s="68" t="n"/>
      <c r="AP295" s="99">
        <f>Table6[[#This Row],[(A/S) AJD]]-Table6[[#This Row],[SER_IN]]</f>
        <v/>
      </c>
    </row>
    <row r="296" ht="18.75" customHeight="1">
      <c r="A296" s="98" t="n">
        <v>47778</v>
      </c>
      <c r="B296" s="28" t="n"/>
      <c r="C296" s="28" t="n"/>
      <c r="D296" s="28" t="n"/>
      <c r="E296" s="28" t="n"/>
      <c r="F296" s="28" t="n"/>
      <c r="G296" s="28" t="n"/>
      <c r="H296" s="28" t="n"/>
      <c r="I296" s="28" t="n"/>
      <c r="J296" s="28" t="n"/>
      <c r="K296" s="28">
        <f>Table6[[#This Row],[ (T/B) SAR]]+Table6[[#This Row],[ (S/S) SAR]]</f>
        <v/>
      </c>
      <c r="L296" s="28" t="n"/>
      <c r="M296" s="29" t="n"/>
      <c r="N296" s="30" t="n"/>
      <c r="O296" s="9" t="n"/>
      <c r="P296" s="9">
        <f>Table6[[#This Row],[ (S/S) SAR]]-Table6[[#This Row],[(S/S) AJD]]</f>
        <v/>
      </c>
      <c r="Q296" s="9" t="n"/>
      <c r="R296" s="9">
        <f>Table6[[#This Row],[ (T/B) SAR]]-Table6[[#This Row],[(T/B) AJD]]</f>
        <v/>
      </c>
      <c r="S296" s="9">
        <f>Table6[[#This Row],[S/S_CON.]]+Table6[[#This Row],[T/B-CON.]]</f>
        <v/>
      </c>
      <c r="T296" s="9">
        <f>O296+Q296</f>
        <v/>
      </c>
      <c r="U296" s="9" t="n"/>
      <c r="V296" s="9" t="n"/>
      <c r="W296" s="9">
        <f>U296+V296</f>
        <v/>
      </c>
      <c r="X296" s="9">
        <f>T296-W296</f>
        <v/>
      </c>
      <c r="Y296" s="18" t="n"/>
      <c r="Z296" s="9" t="n"/>
      <c r="AA296" s="3">
        <f>Table6[[#This Row],[(RESV. STORGE) AJD]]/10</f>
        <v/>
      </c>
      <c r="AB296" s="3">
        <f>IF(TRIM(Z296)="",,(Z296-Z295)/1000)</f>
        <v/>
      </c>
      <c r="AC296" s="5" t="n"/>
      <c r="AD296" s="6">
        <f>(Table6[[#This Row],[( S/S+T/B) AJD]]*1000)-((Table6[[#This Row],[(STORGE DIFF.) AJD]]*1000)+Table6[[#This Row],[AJD_Evaporation]]+(Table6[[#This Row],[(A/B + A/S) AJD]]*1000))</f>
        <v/>
      </c>
      <c r="AE296" s="33" t="n"/>
      <c r="AF296" s="6" t="n"/>
      <c r="AG296" s="6" t="n"/>
      <c r="AH296" s="6">
        <f>Table6[[#This Row],[ (RESV. STORGE) BER]]/10</f>
        <v/>
      </c>
      <c r="AI296" s="6" t="n"/>
      <c r="AJ296" s="33">
        <f>Table6[[#This Row],[(A/B) AJD]]-TABL12345[[#This Row],[BER_IN]]</f>
        <v/>
      </c>
      <c r="AK296" s="6" t="n"/>
      <c r="AL296" s="6" t="n"/>
      <c r="AM296" s="32" t="n"/>
      <c r="AN296" s="32">
        <f>Table6[[#This Row],[ (RESV. STORGE) SER]]/10</f>
        <v/>
      </c>
      <c r="AO296" s="68" t="n"/>
      <c r="AP296" s="99">
        <f>Table6[[#This Row],[(A/S) AJD]]-Table6[[#This Row],[SER_IN]]</f>
        <v/>
      </c>
    </row>
    <row r="297" ht="18.75" customHeight="1">
      <c r="A297" s="98" t="n">
        <v>47779</v>
      </c>
      <c r="B297" s="28" t="n"/>
      <c r="C297" s="28" t="n"/>
      <c r="D297" s="28" t="n"/>
      <c r="E297" s="28" t="n"/>
      <c r="F297" s="28" t="n"/>
      <c r="G297" s="28" t="n"/>
      <c r="H297" s="28" t="n"/>
      <c r="I297" s="28" t="n"/>
      <c r="J297" s="28" t="n"/>
      <c r="K297" s="28">
        <f>Table6[[#This Row],[ (T/B) SAR]]+Table6[[#This Row],[ (S/S) SAR]]</f>
        <v/>
      </c>
      <c r="L297" s="28" t="n"/>
      <c r="M297" s="29" t="n"/>
      <c r="N297" s="30" t="n"/>
      <c r="O297" s="9" t="n"/>
      <c r="P297" s="9">
        <f>Table6[[#This Row],[ (S/S) SAR]]-Table6[[#This Row],[(S/S) AJD]]</f>
        <v/>
      </c>
      <c r="Q297" s="9" t="n"/>
      <c r="R297" s="9">
        <f>Table6[[#This Row],[ (T/B) SAR]]-Table6[[#This Row],[(T/B) AJD]]</f>
        <v/>
      </c>
      <c r="S297" s="9">
        <f>Table6[[#This Row],[S/S_CON.]]+Table6[[#This Row],[T/B-CON.]]</f>
        <v/>
      </c>
      <c r="T297" s="9">
        <f>O297+Q297</f>
        <v/>
      </c>
      <c r="U297" s="9" t="n"/>
      <c r="V297" s="9" t="n"/>
      <c r="W297" s="9">
        <f>U297+V297</f>
        <v/>
      </c>
      <c r="X297" s="9">
        <f>T297-W297</f>
        <v/>
      </c>
      <c r="Y297" s="18" t="n"/>
      <c r="Z297" s="9" t="n"/>
      <c r="AA297" s="3">
        <f>Table6[[#This Row],[(RESV. STORGE) AJD]]/10</f>
        <v/>
      </c>
      <c r="AB297" s="3">
        <f>IF(TRIM(Z297)="",,(Z297-Z296)/1000)</f>
        <v/>
      </c>
      <c r="AC297" s="5" t="n"/>
      <c r="AD297" s="6">
        <f>(Table6[[#This Row],[( S/S+T/B) AJD]]*1000)-((Table6[[#This Row],[(STORGE DIFF.) AJD]]*1000)+Table6[[#This Row],[AJD_Evaporation]]+(Table6[[#This Row],[(A/B + A/S) AJD]]*1000))</f>
        <v/>
      </c>
      <c r="AE297" s="33" t="n"/>
      <c r="AF297" s="6" t="n"/>
      <c r="AG297" s="6" t="n"/>
      <c r="AH297" s="6">
        <f>Table6[[#This Row],[ (RESV. STORGE) BER]]/10</f>
        <v/>
      </c>
      <c r="AI297" s="6" t="n"/>
      <c r="AJ297" s="33">
        <f>Table6[[#This Row],[(A/B) AJD]]-TABL12345[[#This Row],[BER_IN]]</f>
        <v/>
      </c>
      <c r="AK297" s="6" t="n"/>
      <c r="AL297" s="6" t="n"/>
      <c r="AM297" s="32" t="n"/>
      <c r="AN297" s="32">
        <f>Table6[[#This Row],[ (RESV. STORGE) SER]]/10</f>
        <v/>
      </c>
      <c r="AO297" s="68" t="n"/>
      <c r="AP297" s="99">
        <f>Table6[[#This Row],[(A/S) AJD]]-Table6[[#This Row],[SER_IN]]</f>
        <v/>
      </c>
    </row>
    <row r="298" ht="18.75" customHeight="1">
      <c r="A298" s="98" t="n">
        <v>47780</v>
      </c>
      <c r="B298" s="28" t="n"/>
      <c r="C298" s="28" t="n"/>
      <c r="D298" s="28" t="n"/>
      <c r="E298" s="28" t="n"/>
      <c r="F298" s="28" t="n"/>
      <c r="G298" s="28" t="n"/>
      <c r="H298" s="28" t="n"/>
      <c r="I298" s="28" t="n"/>
      <c r="J298" s="28" t="n"/>
      <c r="K298" s="28">
        <f>Table6[[#This Row],[ (T/B) SAR]]+Table6[[#This Row],[ (S/S) SAR]]</f>
        <v/>
      </c>
      <c r="L298" s="28" t="n"/>
      <c r="M298" s="29" t="n"/>
      <c r="N298" s="30" t="n"/>
      <c r="O298" s="9" t="n"/>
      <c r="P298" s="9">
        <f>Table6[[#This Row],[ (S/S) SAR]]-Table6[[#This Row],[(S/S) AJD]]</f>
        <v/>
      </c>
      <c r="Q298" s="9" t="n"/>
      <c r="R298" s="9">
        <f>Table6[[#This Row],[ (T/B) SAR]]-Table6[[#This Row],[(T/B) AJD]]</f>
        <v/>
      </c>
      <c r="S298" s="9">
        <f>Table6[[#This Row],[S/S_CON.]]+Table6[[#This Row],[T/B-CON.]]</f>
        <v/>
      </c>
      <c r="T298" s="9">
        <f>O298+Q298</f>
        <v/>
      </c>
      <c r="U298" s="9" t="n"/>
      <c r="V298" s="9" t="n"/>
      <c r="W298" s="9">
        <f>U298+V298</f>
        <v/>
      </c>
      <c r="X298" s="9">
        <f>T298-W298</f>
        <v/>
      </c>
      <c r="Y298" s="18" t="n"/>
      <c r="Z298" s="9" t="n"/>
      <c r="AA298" s="3">
        <f>Table6[[#This Row],[(RESV. STORGE) AJD]]/10</f>
        <v/>
      </c>
      <c r="AB298" s="3">
        <f>IF(TRIM(Z298)="",,(Z298-Z297)/1000)</f>
        <v/>
      </c>
      <c r="AC298" s="5" t="n"/>
      <c r="AD298" s="6">
        <f>(Table6[[#This Row],[( S/S+T/B) AJD]]*1000)-((Table6[[#This Row],[(STORGE DIFF.) AJD]]*1000)+Table6[[#This Row],[AJD_Evaporation]]+(Table6[[#This Row],[(A/B + A/S) AJD]]*1000))</f>
        <v/>
      </c>
      <c r="AE298" s="33" t="n"/>
      <c r="AF298" s="6" t="n"/>
      <c r="AG298" s="6" t="n"/>
      <c r="AH298" s="6">
        <f>Table6[[#This Row],[ (RESV. STORGE) BER]]/10</f>
        <v/>
      </c>
      <c r="AI298" s="6" t="n"/>
      <c r="AJ298" s="33">
        <f>Table6[[#This Row],[(A/B) AJD]]-TABL12345[[#This Row],[BER_IN]]</f>
        <v/>
      </c>
      <c r="AK298" s="6" t="n"/>
      <c r="AL298" s="6" t="n"/>
      <c r="AM298" s="32" t="n"/>
      <c r="AN298" s="32">
        <f>Table6[[#This Row],[ (RESV. STORGE) SER]]/10</f>
        <v/>
      </c>
      <c r="AO298" s="68" t="n"/>
      <c r="AP298" s="99">
        <f>Table6[[#This Row],[(A/S) AJD]]-Table6[[#This Row],[SER_IN]]</f>
        <v/>
      </c>
    </row>
    <row r="299" ht="18.75" customHeight="1">
      <c r="A299" s="98" t="n">
        <v>47781</v>
      </c>
      <c r="B299" s="28" t="n"/>
      <c r="C299" s="28" t="n"/>
      <c r="D299" s="28" t="n"/>
      <c r="E299" s="28" t="n"/>
      <c r="F299" s="28" t="n"/>
      <c r="G299" s="28" t="n"/>
      <c r="H299" s="28" t="n"/>
      <c r="I299" s="28" t="n"/>
      <c r="J299" s="28" t="n"/>
      <c r="K299" s="28">
        <f>Table6[[#This Row],[ (T/B) SAR]]+Table6[[#This Row],[ (S/S) SAR]]</f>
        <v/>
      </c>
      <c r="L299" s="28" t="n"/>
      <c r="M299" s="29" t="n"/>
      <c r="N299" s="30" t="n"/>
      <c r="O299" s="9" t="n"/>
      <c r="P299" s="9">
        <f>Table6[[#This Row],[ (S/S) SAR]]-Table6[[#This Row],[(S/S) AJD]]</f>
        <v/>
      </c>
      <c r="Q299" s="9" t="n"/>
      <c r="R299" s="9">
        <f>Table6[[#This Row],[ (T/B) SAR]]-Table6[[#This Row],[(T/B) AJD]]</f>
        <v/>
      </c>
      <c r="S299" s="9">
        <f>Table6[[#This Row],[S/S_CON.]]+Table6[[#This Row],[T/B-CON.]]</f>
        <v/>
      </c>
      <c r="T299" s="9">
        <f>O299+Q299</f>
        <v/>
      </c>
      <c r="U299" s="9" t="n"/>
      <c r="V299" s="9" t="n"/>
      <c r="W299" s="9">
        <f>U299+V299</f>
        <v/>
      </c>
      <c r="X299" s="9">
        <f>T299-W299</f>
        <v/>
      </c>
      <c r="Y299" s="18" t="n"/>
      <c r="Z299" s="9" t="n"/>
      <c r="AA299" s="3">
        <f>Table6[[#This Row],[(RESV. STORGE) AJD]]/10</f>
        <v/>
      </c>
      <c r="AB299" s="3">
        <f>IF(TRIM(Z299)="",,(Z299-Z298)/1000)</f>
        <v/>
      </c>
      <c r="AC299" s="5" t="n"/>
      <c r="AD299" s="6">
        <f>(Table6[[#This Row],[( S/S+T/B) AJD]]*1000)-((Table6[[#This Row],[(STORGE DIFF.) AJD]]*1000)+Table6[[#This Row],[AJD_Evaporation]]+(Table6[[#This Row],[(A/B + A/S) AJD]]*1000))</f>
        <v/>
      </c>
      <c r="AE299" s="33" t="n"/>
      <c r="AF299" s="6" t="n"/>
      <c r="AG299" s="6" t="n"/>
      <c r="AH299" s="6">
        <f>Table6[[#This Row],[ (RESV. STORGE) BER]]/10</f>
        <v/>
      </c>
      <c r="AI299" s="6" t="n"/>
      <c r="AJ299" s="33">
        <f>Table6[[#This Row],[(A/B) AJD]]-TABL12345[[#This Row],[BER_IN]]</f>
        <v/>
      </c>
      <c r="AK299" s="6" t="n"/>
      <c r="AL299" s="6" t="n"/>
      <c r="AM299" s="32" t="n"/>
      <c r="AN299" s="32">
        <f>Table6[[#This Row],[ (RESV. STORGE) SER]]/10</f>
        <v/>
      </c>
      <c r="AO299" s="68" t="n"/>
      <c r="AP299" s="99">
        <f>Table6[[#This Row],[(A/S) AJD]]-Table6[[#This Row],[SER_IN]]</f>
        <v/>
      </c>
    </row>
    <row r="300" ht="18.75" customHeight="1">
      <c r="A300" s="98" t="n">
        <v>47782</v>
      </c>
      <c r="B300" s="28" t="n"/>
      <c r="C300" s="28" t="n"/>
      <c r="D300" s="28" t="n"/>
      <c r="E300" s="28" t="n"/>
      <c r="F300" s="28" t="n"/>
      <c r="G300" s="28" t="n"/>
      <c r="H300" s="28" t="n"/>
      <c r="I300" s="28" t="n"/>
      <c r="J300" s="28" t="n"/>
      <c r="K300" s="28">
        <f>Table6[[#This Row],[ (T/B) SAR]]+Table6[[#This Row],[ (S/S) SAR]]</f>
        <v/>
      </c>
      <c r="L300" s="28" t="n"/>
      <c r="M300" s="29" t="n"/>
      <c r="N300" s="30" t="n"/>
      <c r="O300" s="9" t="n"/>
      <c r="P300" s="9">
        <f>Table6[[#This Row],[ (S/S) SAR]]-Table6[[#This Row],[(S/S) AJD]]</f>
        <v/>
      </c>
      <c r="Q300" s="9" t="n"/>
      <c r="R300" s="9">
        <f>Table6[[#This Row],[ (T/B) SAR]]-Table6[[#This Row],[(T/B) AJD]]</f>
        <v/>
      </c>
      <c r="S300" s="9">
        <f>Table6[[#This Row],[S/S_CON.]]+Table6[[#This Row],[T/B-CON.]]</f>
        <v/>
      </c>
      <c r="T300" s="9">
        <f>O300+Q300</f>
        <v/>
      </c>
      <c r="U300" s="9" t="n"/>
      <c r="V300" s="9" t="n"/>
      <c r="W300" s="9">
        <f>U300+V300</f>
        <v/>
      </c>
      <c r="X300" s="9">
        <f>T300-W300</f>
        <v/>
      </c>
      <c r="Y300" s="18" t="n"/>
      <c r="Z300" s="9" t="n"/>
      <c r="AA300" s="3">
        <f>Table6[[#This Row],[(RESV. STORGE) AJD]]/10</f>
        <v/>
      </c>
      <c r="AB300" s="3">
        <f>IF(TRIM(Z300)="",,(Z300-Z299)/1000)</f>
        <v/>
      </c>
      <c r="AC300" s="5" t="n"/>
      <c r="AD300" s="6">
        <f>(Table6[[#This Row],[( S/S+T/B) AJD]]*1000)-((Table6[[#This Row],[(STORGE DIFF.) AJD]]*1000)+Table6[[#This Row],[AJD_Evaporation]]+(Table6[[#This Row],[(A/B + A/S) AJD]]*1000))</f>
        <v/>
      </c>
      <c r="AE300" s="33" t="n"/>
      <c r="AF300" s="6" t="n"/>
      <c r="AG300" s="6" t="n"/>
      <c r="AH300" s="6">
        <f>Table6[[#This Row],[ (RESV. STORGE) BER]]/10</f>
        <v/>
      </c>
      <c r="AI300" s="6" t="n"/>
      <c r="AJ300" s="33">
        <f>Table6[[#This Row],[(A/B) AJD]]-TABL12345[[#This Row],[BER_IN]]</f>
        <v/>
      </c>
      <c r="AK300" s="6" t="n"/>
      <c r="AL300" s="6" t="n"/>
      <c r="AM300" s="32" t="n"/>
      <c r="AN300" s="32">
        <f>Table6[[#This Row],[ (RESV. STORGE) SER]]/10</f>
        <v/>
      </c>
      <c r="AO300" s="68" t="n"/>
      <c r="AP300" s="99">
        <f>Table6[[#This Row],[(A/S) AJD]]-Table6[[#This Row],[SER_IN]]</f>
        <v/>
      </c>
    </row>
    <row r="301" ht="18.75" customHeight="1">
      <c r="A301" s="98" t="n">
        <v>47783</v>
      </c>
      <c r="B301" s="28" t="n"/>
      <c r="C301" s="28" t="n"/>
      <c r="D301" s="28" t="n"/>
      <c r="E301" s="28" t="n"/>
      <c r="F301" s="28" t="n"/>
      <c r="G301" s="28" t="n"/>
      <c r="H301" s="28" t="n"/>
      <c r="I301" s="28" t="n"/>
      <c r="J301" s="28" t="n"/>
      <c r="K301" s="28">
        <f>Table6[[#This Row],[ (T/B) SAR]]+Table6[[#This Row],[ (S/S) SAR]]</f>
        <v/>
      </c>
      <c r="L301" s="28" t="n"/>
      <c r="M301" s="29" t="n"/>
      <c r="N301" s="30" t="n"/>
      <c r="O301" s="9" t="n"/>
      <c r="P301" s="9">
        <f>Table6[[#This Row],[ (S/S) SAR]]-Table6[[#This Row],[(S/S) AJD]]</f>
        <v/>
      </c>
      <c r="Q301" s="9" t="n"/>
      <c r="R301" s="9">
        <f>Table6[[#This Row],[ (T/B) SAR]]-Table6[[#This Row],[(T/B) AJD]]</f>
        <v/>
      </c>
      <c r="S301" s="9">
        <f>Table6[[#This Row],[S/S_CON.]]+Table6[[#This Row],[T/B-CON.]]</f>
        <v/>
      </c>
      <c r="T301" s="9">
        <f>O301+Q301</f>
        <v/>
      </c>
      <c r="U301" s="9" t="n"/>
      <c r="V301" s="9" t="n"/>
      <c r="W301" s="9">
        <f>U301+V301</f>
        <v/>
      </c>
      <c r="X301" s="9">
        <f>T301-W301</f>
        <v/>
      </c>
      <c r="Y301" s="18" t="n"/>
      <c r="Z301" s="9" t="n"/>
      <c r="AA301" s="3">
        <f>Table6[[#This Row],[(RESV. STORGE) AJD]]/10</f>
        <v/>
      </c>
      <c r="AB301" s="3">
        <f>IF(TRIM(Z301)="",,(Z301-Z300)/1000)</f>
        <v/>
      </c>
      <c r="AC301" s="5" t="n"/>
      <c r="AD301" s="6">
        <f>(Table6[[#This Row],[( S/S+T/B) AJD]]*1000)-((Table6[[#This Row],[(STORGE DIFF.) AJD]]*1000)+Table6[[#This Row],[AJD_Evaporation]]+(Table6[[#This Row],[(A/B + A/S) AJD]]*1000))</f>
        <v/>
      </c>
      <c r="AE301" s="33" t="n"/>
      <c r="AF301" s="6" t="n"/>
      <c r="AG301" s="6" t="n"/>
      <c r="AH301" s="6">
        <f>Table6[[#This Row],[ (RESV. STORGE) BER]]/10</f>
        <v/>
      </c>
      <c r="AI301" s="6" t="n"/>
      <c r="AJ301" s="33">
        <f>Table6[[#This Row],[(A/B) AJD]]-TABL12345[[#This Row],[BER_IN]]</f>
        <v/>
      </c>
      <c r="AK301" s="6" t="n"/>
      <c r="AL301" s="6" t="n"/>
      <c r="AM301" s="32" t="n"/>
      <c r="AN301" s="32">
        <f>Table6[[#This Row],[ (RESV. STORGE) SER]]/10</f>
        <v/>
      </c>
      <c r="AO301" s="68" t="n"/>
      <c r="AP301" s="99">
        <f>Table6[[#This Row],[(A/S) AJD]]-Table6[[#This Row],[SER_IN]]</f>
        <v/>
      </c>
    </row>
    <row r="302" ht="18.75" customHeight="1">
      <c r="A302" s="98" t="n">
        <v>47784</v>
      </c>
      <c r="B302" s="28" t="n"/>
      <c r="C302" s="28" t="n"/>
      <c r="D302" s="28" t="n"/>
      <c r="E302" s="28" t="n"/>
      <c r="F302" s="28" t="n"/>
      <c r="G302" s="28" t="n"/>
      <c r="H302" s="28" t="n"/>
      <c r="I302" s="28" t="n"/>
      <c r="J302" s="28" t="n"/>
      <c r="K302" s="28">
        <f>Table6[[#This Row],[ (T/B) SAR]]+Table6[[#This Row],[ (S/S) SAR]]</f>
        <v/>
      </c>
      <c r="L302" s="28" t="n"/>
      <c r="M302" s="29" t="n"/>
      <c r="N302" s="30" t="n"/>
      <c r="O302" s="9" t="n"/>
      <c r="P302" s="9">
        <f>Table6[[#This Row],[ (S/S) SAR]]-Table6[[#This Row],[(S/S) AJD]]</f>
        <v/>
      </c>
      <c r="Q302" s="9" t="n"/>
      <c r="R302" s="9">
        <f>Table6[[#This Row],[ (T/B) SAR]]-Table6[[#This Row],[(T/B) AJD]]</f>
        <v/>
      </c>
      <c r="S302" s="9">
        <f>Table6[[#This Row],[S/S_CON.]]+Table6[[#This Row],[T/B-CON.]]</f>
        <v/>
      </c>
      <c r="T302" s="9">
        <f>O302+Q302</f>
        <v/>
      </c>
      <c r="U302" s="9" t="n"/>
      <c r="V302" s="9" t="n"/>
      <c r="W302" s="9">
        <f>U302+V302</f>
        <v/>
      </c>
      <c r="X302" s="9">
        <f>T302-W302</f>
        <v/>
      </c>
      <c r="Y302" s="18" t="n"/>
      <c r="Z302" s="9" t="n"/>
      <c r="AA302" s="3">
        <f>Table6[[#This Row],[(RESV. STORGE) AJD]]/10</f>
        <v/>
      </c>
      <c r="AB302" s="3">
        <f>IF(TRIM(Z302)="",,(Z302-Z301)/1000)</f>
        <v/>
      </c>
      <c r="AC302" s="5" t="n"/>
      <c r="AD302" s="6">
        <f>(Table6[[#This Row],[( S/S+T/B) AJD]]*1000)-((Table6[[#This Row],[(STORGE DIFF.) AJD]]*1000)+Table6[[#This Row],[AJD_Evaporation]]+(Table6[[#This Row],[(A/B + A/S) AJD]]*1000))</f>
        <v/>
      </c>
      <c r="AE302" s="33" t="n"/>
      <c r="AF302" s="6" t="n"/>
      <c r="AG302" s="6" t="n"/>
      <c r="AH302" s="6">
        <f>Table6[[#This Row],[ (RESV. STORGE) BER]]/10</f>
        <v/>
      </c>
      <c r="AI302" s="6" t="n"/>
      <c r="AJ302" s="33">
        <f>Table6[[#This Row],[(A/B) AJD]]-TABL12345[[#This Row],[BER_IN]]</f>
        <v/>
      </c>
      <c r="AK302" s="6" t="n"/>
      <c r="AL302" s="6" t="n"/>
      <c r="AM302" s="32" t="n"/>
      <c r="AN302" s="32">
        <f>Table6[[#This Row],[ (RESV. STORGE) SER]]/10</f>
        <v/>
      </c>
      <c r="AO302" s="68" t="n"/>
      <c r="AP302" s="99">
        <f>Table6[[#This Row],[(A/S) AJD]]-Table6[[#This Row],[SER_IN]]</f>
        <v/>
      </c>
    </row>
    <row r="303" ht="18.75" customHeight="1">
      <c r="A303" s="98" t="n">
        <v>47785</v>
      </c>
      <c r="B303" s="28" t="n"/>
      <c r="C303" s="28" t="n"/>
      <c r="D303" s="28" t="n"/>
      <c r="E303" s="28" t="n"/>
      <c r="F303" s="28" t="n"/>
      <c r="G303" s="28" t="n"/>
      <c r="H303" s="28" t="n"/>
      <c r="I303" s="28" t="n"/>
      <c r="J303" s="28" t="n"/>
      <c r="K303" s="28">
        <f>Table6[[#This Row],[ (T/B) SAR]]+Table6[[#This Row],[ (S/S) SAR]]</f>
        <v/>
      </c>
      <c r="L303" s="28" t="n"/>
      <c r="M303" s="29" t="n"/>
      <c r="N303" s="30" t="n"/>
      <c r="O303" s="9" t="n"/>
      <c r="P303" s="9">
        <f>Table6[[#This Row],[ (S/S) SAR]]-Table6[[#This Row],[(S/S) AJD]]</f>
        <v/>
      </c>
      <c r="Q303" s="9" t="n"/>
      <c r="R303" s="9">
        <f>Table6[[#This Row],[ (T/B) SAR]]-Table6[[#This Row],[(T/B) AJD]]</f>
        <v/>
      </c>
      <c r="S303" s="9">
        <f>Table6[[#This Row],[S/S_CON.]]+Table6[[#This Row],[T/B-CON.]]</f>
        <v/>
      </c>
      <c r="T303" s="9">
        <f>O303+Q303</f>
        <v/>
      </c>
      <c r="U303" s="9" t="n"/>
      <c r="V303" s="9" t="n"/>
      <c r="W303" s="9">
        <f>U303+V303</f>
        <v/>
      </c>
      <c r="X303" s="9">
        <f>T303-W303</f>
        <v/>
      </c>
      <c r="Y303" s="18" t="n"/>
      <c r="Z303" s="9" t="n"/>
      <c r="AA303" s="3">
        <f>Table6[[#This Row],[(RESV. STORGE) AJD]]/10</f>
        <v/>
      </c>
      <c r="AB303" s="3">
        <f>IF(TRIM(Z303)="",,(Z303-Z302)/1000)</f>
        <v/>
      </c>
      <c r="AC303" s="5" t="n"/>
      <c r="AD303" s="6">
        <f>(Table6[[#This Row],[( S/S+T/B) AJD]]*1000)-((Table6[[#This Row],[(STORGE DIFF.) AJD]]*1000)+Table6[[#This Row],[AJD_Evaporation]]+(Table6[[#This Row],[(A/B + A/S) AJD]]*1000))</f>
        <v/>
      </c>
      <c r="AE303" s="33" t="n"/>
      <c r="AF303" s="6" t="n"/>
      <c r="AG303" s="6" t="n"/>
      <c r="AH303" s="6">
        <f>Table6[[#This Row],[ (RESV. STORGE) BER]]/10</f>
        <v/>
      </c>
      <c r="AI303" s="6" t="n"/>
      <c r="AJ303" s="33">
        <f>Table6[[#This Row],[(A/B) AJD]]-TABL12345[[#This Row],[BER_IN]]</f>
        <v/>
      </c>
      <c r="AK303" s="6" t="n"/>
      <c r="AL303" s="6" t="n"/>
      <c r="AM303" s="32" t="n"/>
      <c r="AN303" s="32">
        <f>Table6[[#This Row],[ (RESV. STORGE) SER]]/10</f>
        <v/>
      </c>
      <c r="AO303" s="68" t="n"/>
      <c r="AP303" s="99">
        <f>Table6[[#This Row],[(A/S) AJD]]-Table6[[#This Row],[SER_IN]]</f>
        <v/>
      </c>
    </row>
    <row r="304" ht="18.75" customHeight="1">
      <c r="A304" s="98" t="n">
        <v>47786</v>
      </c>
      <c r="B304" s="28" t="n"/>
      <c r="C304" s="28" t="n"/>
      <c r="D304" s="28" t="n"/>
      <c r="E304" s="28" t="n"/>
      <c r="F304" s="28" t="n"/>
      <c r="G304" s="28" t="n"/>
      <c r="H304" s="28" t="n"/>
      <c r="I304" s="28" t="n"/>
      <c r="J304" s="28" t="n"/>
      <c r="K304" s="28">
        <f>Table6[[#This Row],[ (T/B) SAR]]+Table6[[#This Row],[ (S/S) SAR]]</f>
        <v/>
      </c>
      <c r="L304" s="28" t="n"/>
      <c r="M304" s="29" t="n"/>
      <c r="N304" s="30" t="n"/>
      <c r="O304" s="9" t="n"/>
      <c r="P304" s="9">
        <f>Table6[[#This Row],[ (S/S) SAR]]-Table6[[#This Row],[(S/S) AJD]]</f>
        <v/>
      </c>
      <c r="Q304" s="9" t="n"/>
      <c r="R304" s="9">
        <f>Table6[[#This Row],[ (T/B) SAR]]-Table6[[#This Row],[(T/B) AJD]]</f>
        <v/>
      </c>
      <c r="S304" s="9">
        <f>Table6[[#This Row],[S/S_CON.]]+Table6[[#This Row],[T/B-CON.]]</f>
        <v/>
      </c>
      <c r="T304" s="9">
        <f>O304+Q304</f>
        <v/>
      </c>
      <c r="U304" s="9" t="n"/>
      <c r="V304" s="9" t="n"/>
      <c r="W304" s="9">
        <f>U304+V304</f>
        <v/>
      </c>
      <c r="X304" s="9">
        <f>T304-W304</f>
        <v/>
      </c>
      <c r="Y304" s="18" t="n"/>
      <c r="Z304" s="9" t="n"/>
      <c r="AA304" s="3">
        <f>Table6[[#This Row],[(RESV. STORGE) AJD]]/10</f>
        <v/>
      </c>
      <c r="AB304" s="3">
        <f>IF(TRIM(Z304)="",,(Z304-Z303)/1000)</f>
        <v/>
      </c>
      <c r="AC304" s="5" t="n"/>
      <c r="AD304" s="6">
        <f>(Table6[[#This Row],[( S/S+T/B) AJD]]*1000)-((Table6[[#This Row],[(STORGE DIFF.) AJD]]*1000)+Table6[[#This Row],[AJD_Evaporation]]+(Table6[[#This Row],[(A/B + A/S) AJD]]*1000))</f>
        <v/>
      </c>
      <c r="AE304" s="33" t="n"/>
      <c r="AF304" s="6" t="n"/>
      <c r="AG304" s="6" t="n"/>
      <c r="AH304" s="6">
        <f>Table6[[#This Row],[ (RESV. STORGE) BER]]/10</f>
        <v/>
      </c>
      <c r="AI304" s="6" t="n"/>
      <c r="AJ304" s="33">
        <f>Table6[[#This Row],[(A/B) AJD]]-TABL12345[[#This Row],[BER_IN]]</f>
        <v/>
      </c>
      <c r="AK304" s="6" t="n"/>
      <c r="AL304" s="6" t="n"/>
      <c r="AM304" s="32" t="n"/>
      <c r="AN304" s="32">
        <f>Table6[[#This Row],[ (RESV. STORGE) SER]]/10</f>
        <v/>
      </c>
      <c r="AO304" s="68" t="n"/>
      <c r="AP304" s="99">
        <f>Table6[[#This Row],[(A/S) AJD]]-Table6[[#This Row],[SER_IN]]</f>
        <v/>
      </c>
    </row>
    <row r="305" ht="18.75" customHeight="1">
      <c r="A305" s="98" t="n">
        <v>47787</v>
      </c>
      <c r="B305" s="28" t="n"/>
      <c r="C305" s="28" t="n"/>
      <c r="D305" s="28" t="n"/>
      <c r="E305" s="28" t="n"/>
      <c r="F305" s="28" t="n"/>
      <c r="G305" s="28" t="n"/>
      <c r="H305" s="28" t="n"/>
      <c r="I305" s="28" t="n"/>
      <c r="J305" s="28" t="n"/>
      <c r="K305" s="28">
        <f>Table6[[#This Row],[ (T/B) SAR]]+Table6[[#This Row],[ (S/S) SAR]]</f>
        <v/>
      </c>
      <c r="L305" s="28" t="n"/>
      <c r="M305" s="29" t="n"/>
      <c r="N305" s="30" t="n"/>
      <c r="O305" s="9" t="n"/>
      <c r="P305" s="9">
        <f>Table6[[#This Row],[ (S/S) SAR]]-Table6[[#This Row],[(S/S) AJD]]</f>
        <v/>
      </c>
      <c r="Q305" s="9" t="n"/>
      <c r="R305" s="9">
        <f>Table6[[#This Row],[ (T/B) SAR]]-Table6[[#This Row],[(T/B) AJD]]</f>
        <v/>
      </c>
      <c r="S305" s="9">
        <f>Table6[[#This Row],[S/S_CON.]]+Table6[[#This Row],[T/B-CON.]]</f>
        <v/>
      </c>
      <c r="T305" s="9">
        <f>O305+Q305</f>
        <v/>
      </c>
      <c r="U305" s="9" t="n"/>
      <c r="V305" s="9" t="n"/>
      <c r="W305" s="9">
        <f>U305+V305</f>
        <v/>
      </c>
      <c r="X305" s="9">
        <f>T305-W305</f>
        <v/>
      </c>
      <c r="Y305" s="18" t="n"/>
      <c r="Z305" s="9" t="n"/>
      <c r="AA305" s="3">
        <f>Table6[[#This Row],[(RESV. STORGE) AJD]]/10</f>
        <v/>
      </c>
      <c r="AB305" s="3">
        <f>IF(TRIM(Z305)="",,(Z305-Z304)/1000)</f>
        <v/>
      </c>
      <c r="AC305" s="5" t="n"/>
      <c r="AD305" s="6">
        <f>(Table6[[#This Row],[( S/S+T/B) AJD]]*1000)-((Table6[[#This Row],[(STORGE DIFF.) AJD]]*1000)+Table6[[#This Row],[AJD_Evaporation]]+(Table6[[#This Row],[(A/B + A/S) AJD]]*1000))</f>
        <v/>
      </c>
      <c r="AE305" s="33" t="n"/>
      <c r="AF305" s="6" t="n"/>
      <c r="AG305" s="6" t="n"/>
      <c r="AH305" s="6">
        <f>Table6[[#This Row],[ (RESV. STORGE) BER]]/10</f>
        <v/>
      </c>
      <c r="AI305" s="6" t="n"/>
      <c r="AJ305" s="33">
        <f>Table6[[#This Row],[(A/B) AJD]]-TABL12345[[#This Row],[BER_IN]]</f>
        <v/>
      </c>
      <c r="AK305" s="6" t="n"/>
      <c r="AL305" s="6" t="n"/>
      <c r="AM305" s="32" t="n"/>
      <c r="AN305" s="32">
        <f>Table6[[#This Row],[ (RESV. STORGE) SER]]/10</f>
        <v/>
      </c>
      <c r="AO305" s="68" t="n"/>
      <c r="AP305" s="99">
        <f>Table6[[#This Row],[(A/S) AJD]]-Table6[[#This Row],[SER_IN]]</f>
        <v/>
      </c>
    </row>
    <row r="306" ht="18.75" customHeight="1">
      <c r="A306" s="98" t="n">
        <v>47788</v>
      </c>
      <c r="B306" s="28" t="n"/>
      <c r="C306" s="28" t="n"/>
      <c r="D306" s="28" t="n"/>
      <c r="E306" s="28" t="n"/>
      <c r="F306" s="28" t="n"/>
      <c r="G306" s="28" t="n"/>
      <c r="H306" s="28" t="n"/>
      <c r="I306" s="28" t="n"/>
      <c r="J306" s="28" t="n"/>
      <c r="K306" s="28">
        <f>Table6[[#This Row],[ (T/B) SAR]]+Table6[[#This Row],[ (S/S) SAR]]</f>
        <v/>
      </c>
      <c r="L306" s="28" t="n"/>
      <c r="M306" s="29" t="n"/>
      <c r="N306" s="30" t="n"/>
      <c r="O306" s="39" t="n"/>
      <c r="P306" s="9">
        <f>Table6[[#This Row],[ (S/S) SAR]]-Table6[[#This Row],[(S/S) AJD]]</f>
        <v/>
      </c>
      <c r="Q306" s="9" t="n"/>
      <c r="R306" s="9">
        <f>Table6[[#This Row],[ (T/B) SAR]]-Table6[[#This Row],[(T/B) AJD]]</f>
        <v/>
      </c>
      <c r="S306" s="9">
        <f>Table6[[#This Row],[S/S_CON.]]+Table6[[#This Row],[T/B-CON.]]</f>
        <v/>
      </c>
      <c r="T306" s="9">
        <f>O306+Q306</f>
        <v/>
      </c>
      <c r="U306" s="9" t="n"/>
      <c r="V306" s="9" t="n"/>
      <c r="W306" s="9">
        <f>U306+V306</f>
        <v/>
      </c>
      <c r="X306" s="9">
        <f>T306-W306</f>
        <v/>
      </c>
      <c r="Y306" s="18" t="n"/>
      <c r="Z306" s="9" t="n"/>
      <c r="AA306" s="3">
        <f>Table6[[#This Row],[(RESV. STORGE) AJD]]/10</f>
        <v/>
      </c>
      <c r="AB306" s="3">
        <f>IF(TRIM(Z306)="",,(Z306-Z305)/1000)</f>
        <v/>
      </c>
      <c r="AC306" s="5" t="n"/>
      <c r="AD306" s="6">
        <f>(Table6[[#This Row],[( S/S+T/B) AJD]]*1000)-((Table6[[#This Row],[(STORGE DIFF.) AJD]]*1000)+Table6[[#This Row],[AJD_Evaporation]]+(Table6[[#This Row],[(A/B + A/S) AJD]]*1000))</f>
        <v/>
      </c>
      <c r="AE306" s="33" t="n"/>
      <c r="AF306" s="6" t="n"/>
      <c r="AG306" s="6" t="n"/>
      <c r="AH306" s="6">
        <f>Table6[[#This Row],[ (RESV. STORGE) BER]]/10</f>
        <v/>
      </c>
      <c r="AI306" s="6" t="n"/>
      <c r="AJ306" s="33">
        <f>Table6[[#This Row],[(A/B) AJD]]-TABL12345[[#This Row],[BER_IN]]</f>
        <v/>
      </c>
      <c r="AK306" s="6" t="n"/>
      <c r="AL306" s="6" t="n"/>
      <c r="AM306" s="32" t="n"/>
      <c r="AN306" s="32">
        <f>Table6[[#This Row],[ (RESV. STORGE) SER]]/10</f>
        <v/>
      </c>
      <c r="AO306" s="68" t="n"/>
      <c r="AP306" s="99">
        <f>Table6[[#This Row],[(A/S) AJD]]-Table6[[#This Row],[SER_IN]]</f>
        <v/>
      </c>
    </row>
    <row r="307" ht="18.75" customHeight="1">
      <c r="A307" s="98" t="n">
        <v>47789</v>
      </c>
      <c r="B307" s="28" t="n"/>
      <c r="C307" s="28" t="n"/>
      <c r="D307" s="28" t="n"/>
      <c r="E307" s="28" t="n"/>
      <c r="F307" s="28" t="n"/>
      <c r="G307" s="28" t="n"/>
      <c r="H307" s="28" t="n"/>
      <c r="I307" s="28" t="n"/>
      <c r="J307" s="28" t="n"/>
      <c r="K307" s="28">
        <f>Table6[[#This Row],[ (T/B) SAR]]+Table6[[#This Row],[ (S/S) SAR]]</f>
        <v/>
      </c>
      <c r="L307" s="28" t="n"/>
      <c r="M307" s="29" t="n"/>
      <c r="N307" s="30" t="n"/>
      <c r="O307" s="40" t="n"/>
      <c r="P307" s="9">
        <f>Table6[[#This Row],[ (S/S) SAR]]-Table6[[#This Row],[(S/S) AJD]]</f>
        <v/>
      </c>
      <c r="Q307" s="9" t="n"/>
      <c r="R307" s="9">
        <f>Table6[[#This Row],[ (T/B) SAR]]-Table6[[#This Row],[(T/B) AJD]]</f>
        <v/>
      </c>
      <c r="S307" s="9">
        <f>Table6[[#This Row],[S/S_CON.]]+Table6[[#This Row],[T/B-CON.]]</f>
        <v/>
      </c>
      <c r="T307" s="9">
        <f>O307+Q307</f>
        <v/>
      </c>
      <c r="U307" s="9" t="n"/>
      <c r="V307" s="9" t="n"/>
      <c r="W307" s="9">
        <f>U307+V307</f>
        <v/>
      </c>
      <c r="X307" s="9">
        <f>T307-W307</f>
        <v/>
      </c>
      <c r="Y307" s="18" t="n"/>
      <c r="Z307" s="9" t="n"/>
      <c r="AA307" s="3">
        <f>Table6[[#This Row],[(RESV. STORGE) AJD]]/10</f>
        <v/>
      </c>
      <c r="AB307" s="3">
        <f>IF(TRIM(Z307)="",,(Z307-Z306)/1000)</f>
        <v/>
      </c>
      <c r="AC307" s="5" t="n"/>
      <c r="AD307" s="6">
        <f>(Table6[[#This Row],[( S/S+T/B) AJD]]*1000)-((Table6[[#This Row],[(STORGE DIFF.) AJD]]*1000)+Table6[[#This Row],[AJD_Evaporation]]+(Table6[[#This Row],[(A/B + A/S) AJD]]*1000))</f>
        <v/>
      </c>
      <c r="AE307" s="33" t="n"/>
      <c r="AF307" s="6" t="n"/>
      <c r="AG307" s="6" t="n"/>
      <c r="AH307" s="6">
        <f>Table6[[#This Row],[ (RESV. STORGE) BER]]/10</f>
        <v/>
      </c>
      <c r="AI307" s="6" t="n"/>
      <c r="AJ307" s="33">
        <f>Table6[[#This Row],[(A/B) AJD]]-TABL12345[[#This Row],[BER_IN]]</f>
        <v/>
      </c>
      <c r="AK307" s="6" t="n"/>
      <c r="AL307" s="6" t="n"/>
      <c r="AM307" s="32" t="n"/>
      <c r="AN307" s="32">
        <f>Table6[[#This Row],[ (RESV. STORGE) SER]]/10</f>
        <v/>
      </c>
      <c r="AO307" s="68" t="n"/>
      <c r="AP307" s="99">
        <f>Table6[[#This Row],[(A/S) AJD]]-Table6[[#This Row],[SER_IN]]</f>
        <v/>
      </c>
    </row>
    <row r="308" ht="18.75" customHeight="1">
      <c r="A308" s="98" t="n">
        <v>47790</v>
      </c>
      <c r="B308" s="28" t="n"/>
      <c r="C308" s="28" t="n"/>
      <c r="D308" s="28" t="n"/>
      <c r="E308" s="28" t="n"/>
      <c r="F308" s="28" t="n"/>
      <c r="G308" s="28" t="n"/>
      <c r="H308" s="28" t="n"/>
      <c r="I308" s="28" t="n"/>
      <c r="J308" s="28" t="n"/>
      <c r="K308" s="28">
        <f>Table6[[#This Row],[ (T/B) SAR]]+Table6[[#This Row],[ (S/S) SAR]]</f>
        <v/>
      </c>
      <c r="L308" s="28" t="n"/>
      <c r="M308" s="29" t="n"/>
      <c r="N308" s="30" t="n"/>
      <c r="O308" s="39" t="n"/>
      <c r="P308" s="9">
        <f>Table6[[#This Row],[ (S/S) SAR]]-Table6[[#This Row],[(S/S) AJD]]</f>
        <v/>
      </c>
      <c r="Q308" s="9" t="n"/>
      <c r="R308" s="9">
        <f>Table6[[#This Row],[ (T/B) SAR]]-Table6[[#This Row],[(T/B) AJD]]</f>
        <v/>
      </c>
      <c r="S308" s="9">
        <f>Table6[[#This Row],[S/S_CON.]]+Table6[[#This Row],[T/B-CON.]]</f>
        <v/>
      </c>
      <c r="T308" s="9">
        <f>O308+Q308</f>
        <v/>
      </c>
      <c r="U308" s="9" t="n"/>
      <c r="V308" s="9" t="n"/>
      <c r="W308" s="9">
        <f>U308+V308</f>
        <v/>
      </c>
      <c r="X308" s="9">
        <f>T308-W308</f>
        <v/>
      </c>
      <c r="Y308" s="18" t="n"/>
      <c r="Z308" s="9" t="n"/>
      <c r="AA308" s="3">
        <f>Table6[[#This Row],[(RESV. STORGE) AJD]]/10</f>
        <v/>
      </c>
      <c r="AB308" s="3">
        <f>IF(TRIM(Z308)="",,(Z308-Z307)/1000)</f>
        <v/>
      </c>
      <c r="AC308" s="5" t="n"/>
      <c r="AD308" s="6">
        <f>(Table6[[#This Row],[( S/S+T/B) AJD]]*1000)-((Table6[[#This Row],[(STORGE DIFF.) AJD]]*1000)+Table6[[#This Row],[AJD_Evaporation]]+(Table6[[#This Row],[(A/B + A/S) AJD]]*1000))</f>
        <v/>
      </c>
      <c r="AE308" s="33" t="n"/>
      <c r="AF308" s="6" t="n"/>
      <c r="AG308" s="6" t="n"/>
      <c r="AH308" s="6">
        <f>Table6[[#This Row],[ (RESV. STORGE) BER]]/10</f>
        <v/>
      </c>
      <c r="AI308" s="6" t="n"/>
      <c r="AJ308" s="33">
        <f>Table6[[#This Row],[(A/B) AJD]]-TABL12345[[#This Row],[BER_IN]]</f>
        <v/>
      </c>
      <c r="AK308" s="6" t="n"/>
      <c r="AL308" s="6" t="n"/>
      <c r="AM308" s="32" t="n"/>
      <c r="AN308" s="32">
        <f>Table6[[#This Row],[ (RESV. STORGE) SER]]/10</f>
        <v/>
      </c>
      <c r="AO308" s="68" t="n"/>
      <c r="AP308" s="99">
        <f>Table6[[#This Row],[(A/S) AJD]]-Table6[[#This Row],[SER_IN]]</f>
        <v/>
      </c>
    </row>
    <row r="309" ht="18.75" customHeight="1">
      <c r="A309" s="98" t="n">
        <v>47791</v>
      </c>
      <c r="B309" s="28" t="n"/>
      <c r="C309" s="28" t="n"/>
      <c r="D309" s="28" t="n"/>
      <c r="E309" s="28" t="n"/>
      <c r="F309" s="28" t="n"/>
      <c r="G309" s="28" t="n"/>
      <c r="H309" s="28" t="n"/>
      <c r="I309" s="28" t="n"/>
      <c r="J309" s="28" t="n"/>
      <c r="K309" s="28">
        <f>Table6[[#This Row],[ (T/B) SAR]]+Table6[[#This Row],[ (S/S) SAR]]</f>
        <v/>
      </c>
      <c r="L309" s="28" t="n"/>
      <c r="M309" s="29" t="n"/>
      <c r="N309" s="30" t="n"/>
      <c r="O309" s="40" t="n"/>
      <c r="P309" s="9">
        <f>Table6[[#This Row],[ (S/S) SAR]]-Table6[[#This Row],[(S/S) AJD]]</f>
        <v/>
      </c>
      <c r="Q309" s="9" t="n"/>
      <c r="R309" s="9">
        <f>Table6[[#This Row],[ (T/B) SAR]]-Table6[[#This Row],[(T/B) AJD]]</f>
        <v/>
      </c>
      <c r="S309" s="9">
        <f>Table6[[#This Row],[S/S_CON.]]+Table6[[#This Row],[T/B-CON.]]</f>
        <v/>
      </c>
      <c r="T309" s="9">
        <f>O309+Q309</f>
        <v/>
      </c>
      <c r="U309" s="9" t="n"/>
      <c r="V309" s="9" t="n"/>
      <c r="W309" s="9">
        <f>U309+V309</f>
        <v/>
      </c>
      <c r="X309" s="9">
        <f>T309-W309</f>
        <v/>
      </c>
      <c r="Y309" s="18" t="n"/>
      <c r="Z309" s="9" t="n"/>
      <c r="AA309" s="3">
        <f>Table6[[#This Row],[(RESV. STORGE) AJD]]/10</f>
        <v/>
      </c>
      <c r="AB309" s="3">
        <f>IF(TRIM(Z309)="",,(Z309-Z308)/1000)</f>
        <v/>
      </c>
      <c r="AC309" s="5" t="n"/>
      <c r="AD309" s="6">
        <f>(Table6[[#This Row],[( S/S+T/B) AJD]]*1000)-((Table6[[#This Row],[(STORGE DIFF.) AJD]]*1000)+Table6[[#This Row],[AJD_Evaporation]]+(Table6[[#This Row],[(A/B + A/S) AJD]]*1000))</f>
        <v/>
      </c>
      <c r="AE309" s="33" t="n"/>
      <c r="AF309" s="6" t="n"/>
      <c r="AG309" s="6" t="n"/>
      <c r="AH309" s="6">
        <f>Table6[[#This Row],[ (RESV. STORGE) BER]]/10</f>
        <v/>
      </c>
      <c r="AI309" s="6" t="n"/>
      <c r="AJ309" s="33">
        <f>Table6[[#This Row],[(A/B) AJD]]-TABL12345[[#This Row],[BER_IN]]</f>
        <v/>
      </c>
      <c r="AK309" s="6" t="n"/>
      <c r="AL309" s="6" t="n"/>
      <c r="AM309" s="32" t="n"/>
      <c r="AN309" s="32">
        <f>Table6[[#This Row],[ (RESV. STORGE) SER]]/10</f>
        <v/>
      </c>
      <c r="AO309" s="68" t="n"/>
      <c r="AP309" s="99">
        <f>Table6[[#This Row],[(A/S) AJD]]-Table6[[#This Row],[SER_IN]]</f>
        <v/>
      </c>
    </row>
    <row r="310" ht="18.75" customHeight="1">
      <c r="A310" s="98" t="n">
        <v>47792</v>
      </c>
      <c r="B310" s="28" t="n"/>
      <c r="C310" s="28" t="n"/>
      <c r="D310" s="28" t="n"/>
      <c r="E310" s="28" t="n"/>
      <c r="F310" s="28" t="n"/>
      <c r="G310" s="28" t="n"/>
      <c r="H310" s="28" t="n"/>
      <c r="I310" s="28" t="n"/>
      <c r="J310" s="28" t="n"/>
      <c r="K310" s="28">
        <f>Table6[[#This Row],[ (T/B) SAR]]+Table6[[#This Row],[ (S/S) SAR]]</f>
        <v/>
      </c>
      <c r="L310" s="28" t="n"/>
      <c r="M310" s="29" t="n"/>
      <c r="N310" s="30" t="n"/>
      <c r="O310" s="39" t="n"/>
      <c r="P310" s="9">
        <f>Table6[[#This Row],[ (S/S) SAR]]-Table6[[#This Row],[(S/S) AJD]]</f>
        <v/>
      </c>
      <c r="Q310" s="9" t="n"/>
      <c r="R310" s="9">
        <f>Table6[[#This Row],[ (T/B) SAR]]-Table6[[#This Row],[(T/B) AJD]]</f>
        <v/>
      </c>
      <c r="S310" s="9">
        <f>Table6[[#This Row],[S/S_CON.]]+Table6[[#This Row],[T/B-CON.]]</f>
        <v/>
      </c>
      <c r="T310" s="9">
        <f>O310+Q310</f>
        <v/>
      </c>
      <c r="U310" s="9" t="n"/>
      <c r="V310" s="9" t="n"/>
      <c r="W310" s="9">
        <f>U310+V310</f>
        <v/>
      </c>
      <c r="X310" s="9">
        <f>T310-W310</f>
        <v/>
      </c>
      <c r="Y310" s="18" t="n"/>
      <c r="Z310" s="9" t="n"/>
      <c r="AA310" s="3">
        <f>Table6[[#This Row],[(RESV. STORGE) AJD]]/10</f>
        <v/>
      </c>
      <c r="AB310" s="3">
        <f>IF(TRIM(Z310)="",,(Z310-Z309)/1000)</f>
        <v/>
      </c>
      <c r="AC310" s="5" t="n"/>
      <c r="AD310" s="6">
        <f>(Table6[[#This Row],[( S/S+T/B) AJD]]*1000)-((Table6[[#This Row],[(STORGE DIFF.) AJD]]*1000)+Table6[[#This Row],[AJD_Evaporation]]+(Table6[[#This Row],[(A/B + A/S) AJD]]*1000))</f>
        <v/>
      </c>
      <c r="AE310" s="33" t="n"/>
      <c r="AF310" s="6" t="n"/>
      <c r="AG310" s="6" t="n"/>
      <c r="AH310" s="6">
        <f>Table6[[#This Row],[ (RESV. STORGE) BER]]/10</f>
        <v/>
      </c>
      <c r="AI310" s="6" t="n"/>
      <c r="AJ310" s="33">
        <f>Table6[[#This Row],[(A/B) AJD]]-TABL12345[[#This Row],[BER_IN]]</f>
        <v/>
      </c>
      <c r="AK310" s="6" t="n"/>
      <c r="AL310" s="6" t="n"/>
      <c r="AM310" s="32" t="n"/>
      <c r="AN310" s="32">
        <f>Table6[[#This Row],[ (RESV. STORGE) SER]]/10</f>
        <v/>
      </c>
      <c r="AO310" s="68" t="n"/>
      <c r="AP310" s="99">
        <f>Table6[[#This Row],[(A/S) AJD]]-Table6[[#This Row],[SER_IN]]</f>
        <v/>
      </c>
    </row>
    <row r="311" ht="18.75" customHeight="1">
      <c r="A311" s="98" t="n">
        <v>47793</v>
      </c>
      <c r="B311" s="28" t="n"/>
      <c r="C311" s="28" t="n"/>
      <c r="D311" s="28" t="n"/>
      <c r="E311" s="28" t="n"/>
      <c r="F311" s="28" t="n"/>
      <c r="G311" s="28" t="n"/>
      <c r="H311" s="28" t="n"/>
      <c r="I311" s="28" t="n"/>
      <c r="J311" s="28" t="n"/>
      <c r="K311" s="28">
        <f>Table6[[#This Row],[ (T/B) SAR]]+Table6[[#This Row],[ (S/S) SAR]]</f>
        <v/>
      </c>
      <c r="L311" s="28" t="n"/>
      <c r="M311" s="29" t="n"/>
      <c r="N311" s="30" t="n"/>
      <c r="O311" s="40" t="n"/>
      <c r="P311" s="9">
        <f>Table6[[#This Row],[ (S/S) SAR]]-Table6[[#This Row],[(S/S) AJD]]</f>
        <v/>
      </c>
      <c r="Q311" s="9" t="n"/>
      <c r="R311" s="9">
        <f>Table6[[#This Row],[ (T/B) SAR]]-Table6[[#This Row],[(T/B) AJD]]</f>
        <v/>
      </c>
      <c r="S311" s="9">
        <f>Table6[[#This Row],[S/S_CON.]]+Table6[[#This Row],[T/B-CON.]]</f>
        <v/>
      </c>
      <c r="T311" s="9">
        <f>O311+Q311</f>
        <v/>
      </c>
      <c r="U311" s="9" t="n"/>
      <c r="V311" s="9" t="n"/>
      <c r="W311" s="9">
        <f>U311+V311</f>
        <v/>
      </c>
      <c r="X311" s="9">
        <f>T311-W311</f>
        <v/>
      </c>
      <c r="Y311" s="18" t="n"/>
      <c r="Z311" s="9" t="n"/>
      <c r="AA311" s="3">
        <f>Table6[[#This Row],[(RESV. STORGE) AJD]]/10</f>
        <v/>
      </c>
      <c r="AB311" s="3">
        <f>IF(TRIM(Z311)="",,(Z311-Z310)/1000)</f>
        <v/>
      </c>
      <c r="AC311" s="5" t="n"/>
      <c r="AD311" s="6">
        <f>(Table6[[#This Row],[( S/S+T/B) AJD]]*1000)-((Table6[[#This Row],[(STORGE DIFF.) AJD]]*1000)+Table6[[#This Row],[AJD_Evaporation]]+(Table6[[#This Row],[(A/B + A/S) AJD]]*1000))</f>
        <v/>
      </c>
      <c r="AE311" s="33" t="n"/>
      <c r="AF311" s="6" t="n"/>
      <c r="AG311" s="6" t="n"/>
      <c r="AH311" s="6">
        <f>Table6[[#This Row],[ (RESV. STORGE) BER]]/10</f>
        <v/>
      </c>
      <c r="AI311" s="6" t="n"/>
      <c r="AJ311" s="33">
        <f>Table6[[#This Row],[(A/B) AJD]]-TABL12345[[#This Row],[BER_IN]]</f>
        <v/>
      </c>
      <c r="AK311" s="6" t="n"/>
      <c r="AL311" s="6" t="n"/>
      <c r="AM311" s="32" t="n"/>
      <c r="AN311" s="32">
        <f>Table6[[#This Row],[ (RESV. STORGE) SER]]/10</f>
        <v/>
      </c>
      <c r="AO311" s="68" t="n"/>
      <c r="AP311" s="99">
        <f>Table6[[#This Row],[(A/S) AJD]]-Table6[[#This Row],[SER_IN]]</f>
        <v/>
      </c>
    </row>
    <row r="312" ht="18.75" customHeight="1">
      <c r="A312" s="98" t="n">
        <v>47794</v>
      </c>
      <c r="B312" s="28" t="n"/>
      <c r="C312" s="28" t="n"/>
      <c r="D312" s="28" t="n"/>
      <c r="E312" s="28" t="n"/>
      <c r="F312" s="28" t="n"/>
      <c r="G312" s="28" t="n"/>
      <c r="H312" s="28" t="n"/>
      <c r="I312" s="28" t="n"/>
      <c r="J312" s="28" t="n"/>
      <c r="K312" s="28">
        <f>Table6[[#This Row],[ (T/B) SAR]]+Table6[[#This Row],[ (S/S) SAR]]</f>
        <v/>
      </c>
      <c r="L312" s="28" t="n"/>
      <c r="M312" s="29" t="n"/>
      <c r="N312" s="30" t="n"/>
      <c r="O312" s="39" t="n"/>
      <c r="P312" s="9">
        <f>Table6[[#This Row],[ (S/S) SAR]]-Table6[[#This Row],[(S/S) AJD]]</f>
        <v/>
      </c>
      <c r="Q312" s="9" t="n"/>
      <c r="R312" s="9">
        <f>Table6[[#This Row],[ (T/B) SAR]]-Table6[[#This Row],[(T/B) AJD]]</f>
        <v/>
      </c>
      <c r="S312" s="9">
        <f>Table6[[#This Row],[S/S_CON.]]+Table6[[#This Row],[T/B-CON.]]</f>
        <v/>
      </c>
      <c r="T312" s="9">
        <f>O312+Q312</f>
        <v/>
      </c>
      <c r="U312" s="9" t="n"/>
      <c r="V312" s="9" t="n"/>
      <c r="W312" s="9">
        <f>U312+V312</f>
        <v/>
      </c>
      <c r="X312" s="9">
        <f>T312-W312</f>
        <v/>
      </c>
      <c r="Y312" s="18" t="n"/>
      <c r="Z312" s="9" t="n"/>
      <c r="AA312" s="3">
        <f>Table6[[#This Row],[(RESV. STORGE) AJD]]/10</f>
        <v/>
      </c>
      <c r="AB312" s="3">
        <f>IF(TRIM(Z312)="",,(Z312-Z311)/1000)</f>
        <v/>
      </c>
      <c r="AC312" s="5" t="n"/>
      <c r="AD312" s="6">
        <f>(Table6[[#This Row],[( S/S+T/B) AJD]]*1000)-((Table6[[#This Row],[(STORGE DIFF.) AJD]]*1000)+Table6[[#This Row],[AJD_Evaporation]]+(Table6[[#This Row],[(A/B + A/S) AJD]]*1000))</f>
        <v/>
      </c>
      <c r="AE312" s="33" t="n"/>
      <c r="AF312" s="6" t="n"/>
      <c r="AG312" s="6" t="n"/>
      <c r="AH312" s="6">
        <f>Table6[[#This Row],[ (RESV. STORGE) BER]]/10</f>
        <v/>
      </c>
      <c r="AI312" s="6" t="n"/>
      <c r="AJ312" s="33">
        <f>Table6[[#This Row],[(A/B) AJD]]-TABL12345[[#This Row],[BER_IN]]</f>
        <v/>
      </c>
      <c r="AK312" s="6" t="n"/>
      <c r="AL312" s="6" t="n"/>
      <c r="AM312" s="32" t="n"/>
      <c r="AN312" s="32">
        <f>Table6[[#This Row],[ (RESV. STORGE) SER]]/10</f>
        <v/>
      </c>
      <c r="AO312" s="68" t="n"/>
      <c r="AP312" s="99">
        <f>Table6[[#This Row],[(A/S) AJD]]-Table6[[#This Row],[SER_IN]]</f>
        <v/>
      </c>
    </row>
    <row r="313" ht="18.75" customHeight="1">
      <c r="A313" s="98" t="n">
        <v>47795</v>
      </c>
      <c r="B313" s="28" t="n"/>
      <c r="C313" s="28" t="n"/>
      <c r="D313" s="28" t="n"/>
      <c r="E313" s="28" t="n"/>
      <c r="F313" s="28" t="n"/>
      <c r="G313" s="28" t="n"/>
      <c r="H313" s="28" t="n"/>
      <c r="I313" s="28" t="n"/>
      <c r="J313" s="28" t="n"/>
      <c r="K313" s="28">
        <f>Table6[[#This Row],[ (T/B) SAR]]+Table6[[#This Row],[ (S/S) SAR]]</f>
        <v/>
      </c>
      <c r="L313" s="28" t="n"/>
      <c r="M313" s="29" t="n"/>
      <c r="N313" s="30" t="n"/>
      <c r="O313" s="40" t="n"/>
      <c r="P313" s="9">
        <f>Table6[[#This Row],[ (S/S) SAR]]-Table6[[#This Row],[(S/S) AJD]]</f>
        <v/>
      </c>
      <c r="Q313" s="9" t="n"/>
      <c r="R313" s="9">
        <f>Table6[[#This Row],[ (T/B) SAR]]-Table6[[#This Row],[(T/B) AJD]]</f>
        <v/>
      </c>
      <c r="S313" s="9">
        <f>Table6[[#This Row],[S/S_CON.]]+Table6[[#This Row],[T/B-CON.]]</f>
        <v/>
      </c>
      <c r="T313" s="9">
        <f>O313+Q313</f>
        <v/>
      </c>
      <c r="U313" s="9" t="n"/>
      <c r="V313" s="9" t="n"/>
      <c r="W313" s="9">
        <f>U313+V313</f>
        <v/>
      </c>
      <c r="X313" s="9">
        <f>T313-W313</f>
        <v/>
      </c>
      <c r="Y313" s="18" t="n"/>
      <c r="Z313" s="9" t="n"/>
      <c r="AA313" s="3">
        <f>Table6[[#This Row],[(RESV. STORGE) AJD]]/10</f>
        <v/>
      </c>
      <c r="AB313" s="3">
        <f>IF(TRIM(Z313)="",,(Z313-Z312)/1000)</f>
        <v/>
      </c>
      <c r="AC313" s="5" t="n"/>
      <c r="AD313" s="6">
        <f>(Table6[[#This Row],[( S/S+T/B) AJD]]*1000)-((Table6[[#This Row],[(STORGE DIFF.) AJD]]*1000)+Table6[[#This Row],[AJD_Evaporation]]+(Table6[[#This Row],[(A/B + A/S) AJD]]*1000))</f>
        <v/>
      </c>
      <c r="AE313" s="33" t="n"/>
      <c r="AF313" s="6" t="n"/>
      <c r="AG313" s="6" t="n"/>
      <c r="AH313" s="6">
        <f>Table6[[#This Row],[ (RESV. STORGE) BER]]/10</f>
        <v/>
      </c>
      <c r="AI313" s="6" t="n"/>
      <c r="AJ313" s="33">
        <f>Table6[[#This Row],[(A/B) AJD]]-TABL12345[[#This Row],[BER_IN]]</f>
        <v/>
      </c>
      <c r="AK313" s="6" t="n"/>
      <c r="AL313" s="6" t="n"/>
      <c r="AM313" s="32" t="n"/>
      <c r="AN313" s="32">
        <f>Table6[[#This Row],[ (RESV. STORGE) SER]]/10</f>
        <v/>
      </c>
      <c r="AO313" s="68" t="n"/>
      <c r="AP313" s="99">
        <f>Table6[[#This Row],[(A/S) AJD]]-Table6[[#This Row],[SER_IN]]</f>
        <v/>
      </c>
    </row>
    <row r="314" ht="18.75" customHeight="1">
      <c r="A314" s="98" t="n">
        <v>47796</v>
      </c>
      <c r="B314" s="28" t="n"/>
      <c r="C314" s="28" t="n"/>
      <c r="D314" s="28" t="n"/>
      <c r="E314" s="28" t="n"/>
      <c r="F314" s="28" t="n"/>
      <c r="G314" s="28" t="n"/>
      <c r="H314" s="28" t="n"/>
      <c r="I314" s="28" t="n"/>
      <c r="J314" s="28" t="n"/>
      <c r="K314" s="28">
        <f>Table6[[#This Row],[ (T/B) SAR]]+Table6[[#This Row],[ (S/S) SAR]]</f>
        <v/>
      </c>
      <c r="L314" s="28" t="n"/>
      <c r="M314" s="29" t="n"/>
      <c r="N314" s="30" t="n"/>
      <c r="O314" s="39" t="n"/>
      <c r="P314" s="9">
        <f>Table6[[#This Row],[ (S/S) SAR]]-Table6[[#This Row],[(S/S) AJD]]</f>
        <v/>
      </c>
      <c r="Q314" s="9" t="n"/>
      <c r="R314" s="9">
        <f>Table6[[#This Row],[ (T/B) SAR]]-Table6[[#This Row],[(T/B) AJD]]</f>
        <v/>
      </c>
      <c r="S314" s="9">
        <f>Table6[[#This Row],[S/S_CON.]]+Table6[[#This Row],[T/B-CON.]]</f>
        <v/>
      </c>
      <c r="T314" s="9">
        <f>O314+Q314</f>
        <v/>
      </c>
      <c r="U314" s="9" t="n"/>
      <c r="V314" s="9" t="n"/>
      <c r="W314" s="9">
        <f>U314+V314</f>
        <v/>
      </c>
      <c r="X314" s="9">
        <f>T314-W314</f>
        <v/>
      </c>
      <c r="Y314" s="18" t="n"/>
      <c r="Z314" s="9" t="n"/>
      <c r="AA314" s="3">
        <f>Table6[[#This Row],[(RESV. STORGE) AJD]]/10</f>
        <v/>
      </c>
      <c r="AB314" s="3">
        <f>IF(TRIM(Z314)="",,(Z314-Z313)/1000)</f>
        <v/>
      </c>
      <c r="AC314" s="5" t="n"/>
      <c r="AD314" s="6">
        <f>(Table6[[#This Row],[( S/S+T/B) AJD]]*1000)-((Table6[[#This Row],[(STORGE DIFF.) AJD]]*1000)+Table6[[#This Row],[AJD_Evaporation]]+(Table6[[#This Row],[(A/B + A/S) AJD]]*1000))</f>
        <v/>
      </c>
      <c r="AE314" s="33" t="n"/>
      <c r="AF314" s="6" t="n"/>
      <c r="AG314" s="6" t="n"/>
      <c r="AH314" s="6">
        <f>Table6[[#This Row],[ (RESV. STORGE) BER]]/10</f>
        <v/>
      </c>
      <c r="AI314" s="6" t="n"/>
      <c r="AJ314" s="33">
        <f>Table6[[#This Row],[(A/B) AJD]]-TABL12345[[#This Row],[BER_IN]]</f>
        <v/>
      </c>
      <c r="AK314" s="6" t="n"/>
      <c r="AL314" s="6" t="n"/>
      <c r="AM314" s="32" t="n"/>
      <c r="AN314" s="32">
        <f>Table6[[#This Row],[ (RESV. STORGE) SER]]/10</f>
        <v/>
      </c>
      <c r="AO314" s="68" t="n"/>
      <c r="AP314" s="99">
        <f>Table6[[#This Row],[(A/S) AJD]]-Table6[[#This Row],[SER_IN]]</f>
        <v/>
      </c>
    </row>
    <row r="315" ht="18.75" customHeight="1">
      <c r="A315" s="98" t="n">
        <v>47797</v>
      </c>
      <c r="B315" s="28" t="n"/>
      <c r="C315" s="28" t="n"/>
      <c r="D315" s="28" t="n"/>
      <c r="E315" s="28" t="n"/>
      <c r="F315" s="28" t="n"/>
      <c r="G315" s="28" t="n"/>
      <c r="H315" s="28" t="n"/>
      <c r="I315" s="28" t="n"/>
      <c r="J315" s="28" t="n"/>
      <c r="K315" s="28">
        <f>Table6[[#This Row],[ (T/B) SAR]]+Table6[[#This Row],[ (S/S) SAR]]</f>
        <v/>
      </c>
      <c r="L315" s="28" t="n"/>
      <c r="M315" s="29" t="n"/>
      <c r="N315" s="30" t="n"/>
      <c r="O315" s="40" t="n"/>
      <c r="P315" s="9">
        <f>Table6[[#This Row],[ (S/S) SAR]]-Table6[[#This Row],[(S/S) AJD]]</f>
        <v/>
      </c>
      <c r="Q315" s="9" t="n"/>
      <c r="R315" s="9">
        <f>Table6[[#This Row],[ (T/B) SAR]]-Table6[[#This Row],[(T/B) AJD]]</f>
        <v/>
      </c>
      <c r="S315" s="9">
        <f>Table6[[#This Row],[S/S_CON.]]+Table6[[#This Row],[T/B-CON.]]</f>
        <v/>
      </c>
      <c r="T315" s="9">
        <f>O315+Q315</f>
        <v/>
      </c>
      <c r="U315" s="9" t="n"/>
      <c r="V315" s="9" t="n"/>
      <c r="W315" s="9">
        <f>U315+V315</f>
        <v/>
      </c>
      <c r="X315" s="9">
        <f>T315-W315</f>
        <v/>
      </c>
      <c r="Y315" s="18" t="n"/>
      <c r="Z315" s="9" t="n"/>
      <c r="AA315" s="3">
        <f>Table6[[#This Row],[(RESV. STORGE) AJD]]/10</f>
        <v/>
      </c>
      <c r="AB315" s="3">
        <f>IF(TRIM(Z315)="",,(Z315-Z314)/1000)</f>
        <v/>
      </c>
      <c r="AC315" s="5" t="n"/>
      <c r="AD315" s="6">
        <f>(Table6[[#This Row],[( S/S+T/B) AJD]]*1000)-((Table6[[#This Row],[(STORGE DIFF.) AJD]]*1000)+Table6[[#This Row],[AJD_Evaporation]]+(Table6[[#This Row],[(A/B + A/S) AJD]]*1000))</f>
        <v/>
      </c>
      <c r="AE315" s="33" t="n"/>
      <c r="AF315" s="6" t="n"/>
      <c r="AG315" s="6" t="n"/>
      <c r="AH315" s="6">
        <f>Table6[[#This Row],[ (RESV. STORGE) BER]]/10</f>
        <v/>
      </c>
      <c r="AI315" s="6" t="n"/>
      <c r="AJ315" s="33">
        <f>Table6[[#This Row],[(A/B) AJD]]-TABL12345[[#This Row],[BER_IN]]</f>
        <v/>
      </c>
      <c r="AK315" s="6" t="n"/>
      <c r="AL315" s="6" t="n"/>
      <c r="AM315" s="32" t="n"/>
      <c r="AN315" s="32">
        <f>Table6[[#This Row],[ (RESV. STORGE) SER]]/10</f>
        <v/>
      </c>
      <c r="AO315" s="68" t="n"/>
      <c r="AP315" s="99">
        <f>Table6[[#This Row],[(A/S) AJD]]-Table6[[#This Row],[SER_IN]]</f>
        <v/>
      </c>
    </row>
    <row r="316" ht="18.75" customHeight="1">
      <c r="A316" s="98" t="n">
        <v>47798</v>
      </c>
      <c r="B316" s="28" t="n"/>
      <c r="C316" s="28" t="n"/>
      <c r="D316" s="28" t="n"/>
      <c r="E316" s="28" t="n"/>
      <c r="F316" s="28" t="n"/>
      <c r="G316" s="28" t="n"/>
      <c r="H316" s="28" t="n"/>
      <c r="I316" s="28" t="n"/>
      <c r="J316" s="28" t="n"/>
      <c r="K316" s="28">
        <f>Table6[[#This Row],[ (T/B) SAR]]+Table6[[#This Row],[ (S/S) SAR]]</f>
        <v/>
      </c>
      <c r="L316" s="28" t="n"/>
      <c r="M316" s="29" t="n"/>
      <c r="N316" s="30" t="n"/>
      <c r="O316" s="39" t="n"/>
      <c r="P316" s="9">
        <f>Table6[[#This Row],[ (S/S) SAR]]-Table6[[#This Row],[(S/S) AJD]]</f>
        <v/>
      </c>
      <c r="Q316" s="9" t="n"/>
      <c r="R316" s="9">
        <f>Table6[[#This Row],[ (T/B) SAR]]-Table6[[#This Row],[(T/B) AJD]]</f>
        <v/>
      </c>
      <c r="S316" s="9">
        <f>Table6[[#This Row],[S/S_CON.]]+Table6[[#This Row],[T/B-CON.]]</f>
        <v/>
      </c>
      <c r="T316" s="9">
        <f>O316+Q316</f>
        <v/>
      </c>
      <c r="U316" s="9" t="n"/>
      <c r="V316" s="9" t="n"/>
      <c r="W316" s="9">
        <f>U316+V316</f>
        <v/>
      </c>
      <c r="X316" s="9">
        <f>T316-W316</f>
        <v/>
      </c>
      <c r="Y316" s="18" t="n"/>
      <c r="Z316" s="9" t="n"/>
      <c r="AA316" s="3">
        <f>Table6[[#This Row],[(RESV. STORGE) AJD]]/10</f>
        <v/>
      </c>
      <c r="AB316" s="3">
        <f>IF(TRIM(Z316)="",,(Z316-Z315)/1000)</f>
        <v/>
      </c>
      <c r="AC316" s="5" t="n"/>
      <c r="AD316" s="6">
        <f>(Table6[[#This Row],[( S/S+T/B) AJD]]*1000)-((Table6[[#This Row],[(STORGE DIFF.) AJD]]*1000)+Table6[[#This Row],[AJD_Evaporation]]+(Table6[[#This Row],[(A/B + A/S) AJD]]*1000))</f>
        <v/>
      </c>
      <c r="AE316" s="33" t="n"/>
      <c r="AF316" s="6" t="n"/>
      <c r="AG316" s="6" t="n"/>
      <c r="AH316" s="6">
        <f>Table6[[#This Row],[ (RESV. STORGE) BER]]/10</f>
        <v/>
      </c>
      <c r="AI316" s="6" t="n"/>
      <c r="AJ316" s="33">
        <f>Table6[[#This Row],[(A/B) AJD]]-TABL12345[[#This Row],[BER_IN]]</f>
        <v/>
      </c>
      <c r="AK316" s="6" t="n"/>
      <c r="AL316" s="6" t="n"/>
      <c r="AM316" s="32" t="n"/>
      <c r="AN316" s="32">
        <f>Table6[[#This Row],[ (RESV. STORGE) SER]]/10</f>
        <v/>
      </c>
      <c r="AO316" s="68" t="n"/>
      <c r="AP316" s="99">
        <f>Table6[[#This Row],[(A/S) AJD]]-Table6[[#This Row],[SER_IN]]</f>
        <v/>
      </c>
    </row>
    <row r="317" ht="18.75" customHeight="1">
      <c r="A317" s="98" t="n">
        <v>47799</v>
      </c>
      <c r="B317" s="28" t="n"/>
      <c r="C317" s="28" t="n"/>
      <c r="D317" s="28" t="n"/>
      <c r="E317" s="28" t="n"/>
      <c r="F317" s="28" t="n"/>
      <c r="G317" s="28" t="n"/>
      <c r="H317" s="28" t="n"/>
      <c r="I317" s="28" t="n"/>
      <c r="J317" s="28" t="n"/>
      <c r="K317" s="28">
        <f>Table6[[#This Row],[ (T/B) SAR]]+Table6[[#This Row],[ (S/S) SAR]]</f>
        <v/>
      </c>
      <c r="L317" s="28" t="n"/>
      <c r="M317" s="29" t="n"/>
      <c r="N317" s="30" t="n"/>
      <c r="O317" s="40" t="n"/>
      <c r="P317" s="9">
        <f>Table6[[#This Row],[ (S/S) SAR]]-Table6[[#This Row],[(S/S) AJD]]</f>
        <v/>
      </c>
      <c r="Q317" s="9" t="n"/>
      <c r="R317" s="9">
        <f>Table6[[#This Row],[ (T/B) SAR]]-Table6[[#This Row],[(T/B) AJD]]</f>
        <v/>
      </c>
      <c r="S317" s="9">
        <f>Table6[[#This Row],[S/S_CON.]]+Table6[[#This Row],[T/B-CON.]]</f>
        <v/>
      </c>
      <c r="T317" s="9">
        <f>O317+Q317</f>
        <v/>
      </c>
      <c r="U317" s="9" t="n"/>
      <c r="V317" s="9" t="n"/>
      <c r="W317" s="9">
        <f>U317+V317</f>
        <v/>
      </c>
      <c r="X317" s="9">
        <f>T317-W317</f>
        <v/>
      </c>
      <c r="Y317" s="18" t="n"/>
      <c r="Z317" s="9" t="n"/>
      <c r="AA317" s="3">
        <f>Table6[[#This Row],[(RESV. STORGE) AJD]]/10</f>
        <v/>
      </c>
      <c r="AB317" s="3">
        <f>IF(TRIM(Z317)="",,(Z317-Z316)/1000)</f>
        <v/>
      </c>
      <c r="AC317" s="5" t="n"/>
      <c r="AD317" s="6">
        <f>(Table6[[#This Row],[( S/S+T/B) AJD]]*1000)-((Table6[[#This Row],[(STORGE DIFF.) AJD]]*1000)+Table6[[#This Row],[AJD_Evaporation]]+(Table6[[#This Row],[(A/B + A/S) AJD]]*1000))</f>
        <v/>
      </c>
      <c r="AE317" s="33" t="n"/>
      <c r="AF317" s="6" t="n"/>
      <c r="AG317" s="6" t="n"/>
      <c r="AH317" s="6">
        <f>Table6[[#This Row],[ (RESV. STORGE) BER]]/10</f>
        <v/>
      </c>
      <c r="AI317" s="6" t="n"/>
      <c r="AJ317" s="33">
        <f>Table6[[#This Row],[(A/B) AJD]]-TABL12345[[#This Row],[BER_IN]]</f>
        <v/>
      </c>
      <c r="AK317" s="6" t="n"/>
      <c r="AL317" s="6" t="n"/>
      <c r="AM317" s="32" t="n"/>
      <c r="AN317" s="32">
        <f>Table6[[#This Row],[ (RESV. STORGE) SER]]/10</f>
        <v/>
      </c>
      <c r="AO317" s="68" t="n"/>
      <c r="AP317" s="99">
        <f>Table6[[#This Row],[(A/S) AJD]]-Table6[[#This Row],[SER_IN]]</f>
        <v/>
      </c>
    </row>
    <row r="318" ht="18.75" customHeight="1">
      <c r="A318" s="98" t="n">
        <v>47800</v>
      </c>
      <c r="B318" s="28" t="n"/>
      <c r="C318" s="28" t="n"/>
      <c r="D318" s="28" t="n"/>
      <c r="E318" s="28" t="n"/>
      <c r="F318" s="28" t="n"/>
      <c r="G318" s="28" t="n"/>
      <c r="H318" s="28" t="n"/>
      <c r="I318" s="28" t="n"/>
      <c r="J318" s="28" t="n"/>
      <c r="K318" s="28">
        <f>Table6[[#This Row],[ (T/B) SAR]]+Table6[[#This Row],[ (S/S) SAR]]</f>
        <v/>
      </c>
      <c r="L318" s="28" t="n"/>
      <c r="M318" s="29" t="n"/>
      <c r="N318" s="30" t="n"/>
      <c r="O318" s="39" t="n"/>
      <c r="P318" s="9">
        <f>Table6[[#This Row],[ (S/S) SAR]]-Table6[[#This Row],[(S/S) AJD]]</f>
        <v/>
      </c>
      <c r="Q318" s="9" t="n"/>
      <c r="R318" s="9">
        <f>Table6[[#This Row],[ (T/B) SAR]]-Table6[[#This Row],[(T/B) AJD]]</f>
        <v/>
      </c>
      <c r="S318" s="9">
        <f>Table6[[#This Row],[S/S_CON.]]+Table6[[#This Row],[T/B-CON.]]</f>
        <v/>
      </c>
      <c r="T318" s="9">
        <f>O318+Q318</f>
        <v/>
      </c>
      <c r="U318" s="9" t="n"/>
      <c r="V318" s="9" t="n"/>
      <c r="W318" s="9">
        <f>U318+V318</f>
        <v/>
      </c>
      <c r="X318" s="9">
        <f>T318-W318</f>
        <v/>
      </c>
      <c r="Y318" s="18" t="n"/>
      <c r="Z318" s="9" t="n"/>
      <c r="AA318" s="3">
        <f>Table6[[#This Row],[(RESV. STORGE) AJD]]/10</f>
        <v/>
      </c>
      <c r="AB318" s="3">
        <f>IF(TRIM(Z318)="",,(Z318-Z317)/1000)</f>
        <v/>
      </c>
      <c r="AC318" s="5" t="n"/>
      <c r="AD318" s="6">
        <f>(Table6[[#This Row],[( S/S+T/B) AJD]]*1000)-((Table6[[#This Row],[(STORGE DIFF.) AJD]]*1000)+Table6[[#This Row],[AJD_Evaporation]]+(Table6[[#This Row],[(A/B + A/S) AJD]]*1000))</f>
        <v/>
      </c>
      <c r="AE318" s="33" t="n"/>
      <c r="AF318" s="6" t="n"/>
      <c r="AG318" s="6" t="n"/>
      <c r="AH318" s="6">
        <f>Table6[[#This Row],[ (RESV. STORGE) BER]]/10</f>
        <v/>
      </c>
      <c r="AI318" s="6" t="n"/>
      <c r="AJ318" s="33">
        <f>Table6[[#This Row],[(A/B) AJD]]-TABL12345[[#This Row],[BER_IN]]</f>
        <v/>
      </c>
      <c r="AK318" s="6" t="n"/>
      <c r="AL318" s="6" t="n"/>
      <c r="AM318" s="32" t="n"/>
      <c r="AN318" s="32">
        <f>Table6[[#This Row],[ (RESV. STORGE) SER]]/10</f>
        <v/>
      </c>
      <c r="AO318" s="68" t="n"/>
      <c r="AP318" s="99">
        <f>Table6[[#This Row],[(A/S) AJD]]-Table6[[#This Row],[SER_IN]]</f>
        <v/>
      </c>
    </row>
    <row r="319" ht="18.75" customHeight="1">
      <c r="A319" s="98" t="n">
        <v>47801</v>
      </c>
      <c r="B319" s="28" t="n"/>
      <c r="C319" s="28" t="n"/>
      <c r="D319" s="28" t="n"/>
      <c r="E319" s="28" t="n"/>
      <c r="F319" s="28" t="n"/>
      <c r="G319" s="28" t="n"/>
      <c r="H319" s="28" t="n"/>
      <c r="I319" s="28" t="n"/>
      <c r="J319" s="28" t="n"/>
      <c r="K319" s="28">
        <f>Table6[[#This Row],[ (T/B) SAR]]+Table6[[#This Row],[ (S/S) SAR]]</f>
        <v/>
      </c>
      <c r="L319" s="28" t="n"/>
      <c r="M319" s="29" t="n"/>
      <c r="N319" s="30" t="n"/>
      <c r="O319" s="40" t="n"/>
      <c r="P319" s="9">
        <f>Table6[[#This Row],[ (S/S) SAR]]-Table6[[#This Row],[(S/S) AJD]]</f>
        <v/>
      </c>
      <c r="Q319" s="9" t="n"/>
      <c r="R319" s="9">
        <f>Table6[[#This Row],[ (T/B) SAR]]-Table6[[#This Row],[(T/B) AJD]]</f>
        <v/>
      </c>
      <c r="S319" s="9">
        <f>Table6[[#This Row],[S/S_CON.]]+Table6[[#This Row],[T/B-CON.]]</f>
        <v/>
      </c>
      <c r="T319" s="9">
        <f>O319+Q319</f>
        <v/>
      </c>
      <c r="U319" s="9" t="n"/>
      <c r="V319" s="9" t="n"/>
      <c r="W319" s="9">
        <f>U319+V319</f>
        <v/>
      </c>
      <c r="X319" s="9">
        <f>T319-W319</f>
        <v/>
      </c>
      <c r="Y319" s="18" t="n"/>
      <c r="Z319" s="9" t="n"/>
      <c r="AA319" s="3">
        <f>Table6[[#This Row],[(RESV. STORGE) AJD]]/10</f>
        <v/>
      </c>
      <c r="AB319" s="3">
        <f>IF(TRIM(Z319)="",,(Z319-Z318)/1000)</f>
        <v/>
      </c>
      <c r="AC319" s="5" t="n"/>
      <c r="AD319" s="6">
        <f>(Table6[[#This Row],[( S/S+T/B) AJD]]*1000)-((Table6[[#This Row],[(STORGE DIFF.) AJD]]*1000)+Table6[[#This Row],[AJD_Evaporation]]+(Table6[[#This Row],[(A/B + A/S) AJD]]*1000))</f>
        <v/>
      </c>
      <c r="AE319" s="33" t="n"/>
      <c r="AF319" s="6" t="n"/>
      <c r="AG319" s="6" t="n"/>
      <c r="AH319" s="6">
        <f>Table6[[#This Row],[ (RESV. STORGE) BER]]/10</f>
        <v/>
      </c>
      <c r="AI319" s="6" t="n"/>
      <c r="AJ319" s="33">
        <f>Table6[[#This Row],[(A/B) AJD]]-TABL12345[[#This Row],[BER_IN]]</f>
        <v/>
      </c>
      <c r="AK319" s="6" t="n"/>
      <c r="AL319" s="6" t="n"/>
      <c r="AM319" s="32" t="n"/>
      <c r="AN319" s="32">
        <f>Table6[[#This Row],[ (RESV. STORGE) SER]]/10</f>
        <v/>
      </c>
      <c r="AO319" s="68" t="n"/>
      <c r="AP319" s="99">
        <f>Table6[[#This Row],[(A/S) AJD]]-Table6[[#This Row],[SER_IN]]</f>
        <v/>
      </c>
    </row>
    <row r="320" ht="18.75" customHeight="1">
      <c r="A320" s="98" t="n">
        <v>47802</v>
      </c>
      <c r="B320" s="28" t="n"/>
      <c r="C320" s="28" t="n"/>
      <c r="D320" s="28" t="n"/>
      <c r="E320" s="28" t="n"/>
      <c r="F320" s="28" t="n"/>
      <c r="G320" s="28" t="n"/>
      <c r="H320" s="28" t="n"/>
      <c r="I320" s="28" t="n"/>
      <c r="J320" s="28" t="n"/>
      <c r="K320" s="28">
        <f>Table6[[#This Row],[ (T/B) SAR]]+Table6[[#This Row],[ (S/S) SAR]]</f>
        <v/>
      </c>
      <c r="L320" s="28" t="n"/>
      <c r="M320" s="29" t="n"/>
      <c r="N320" s="30" t="n"/>
      <c r="O320" s="39" t="n"/>
      <c r="P320" s="9">
        <f>Table6[[#This Row],[ (S/S) SAR]]-Table6[[#This Row],[(S/S) AJD]]</f>
        <v/>
      </c>
      <c r="Q320" s="9" t="n"/>
      <c r="R320" s="9">
        <f>Table6[[#This Row],[ (T/B) SAR]]-Table6[[#This Row],[(T/B) AJD]]</f>
        <v/>
      </c>
      <c r="S320" s="9">
        <f>Table6[[#This Row],[S/S_CON.]]+Table6[[#This Row],[T/B-CON.]]</f>
        <v/>
      </c>
      <c r="T320" s="9">
        <f>O320+Q320</f>
        <v/>
      </c>
      <c r="U320" s="9" t="n"/>
      <c r="V320" s="9" t="n"/>
      <c r="W320" s="9">
        <f>U320+V320</f>
        <v/>
      </c>
      <c r="X320" s="9">
        <f>T320-W320</f>
        <v/>
      </c>
      <c r="Y320" s="18" t="n"/>
      <c r="Z320" s="9" t="n"/>
      <c r="AA320" s="3">
        <f>Table6[[#This Row],[(RESV. STORGE) AJD]]/10</f>
        <v/>
      </c>
      <c r="AB320" s="3">
        <f>IF(TRIM(Z320)="",,(Z320-Z319)/1000)</f>
        <v/>
      </c>
      <c r="AC320" s="5" t="n"/>
      <c r="AD320" s="6">
        <f>(Table6[[#This Row],[( S/S+T/B) AJD]]*1000)-((Table6[[#This Row],[(STORGE DIFF.) AJD]]*1000)+Table6[[#This Row],[AJD_Evaporation]]+(Table6[[#This Row],[(A/B + A/S) AJD]]*1000))</f>
        <v/>
      </c>
      <c r="AE320" s="33" t="n"/>
      <c r="AF320" s="6" t="n"/>
      <c r="AG320" s="6" t="n"/>
      <c r="AH320" s="6">
        <f>Table6[[#This Row],[ (RESV. STORGE) BER]]/10</f>
        <v/>
      </c>
      <c r="AI320" s="6" t="n"/>
      <c r="AJ320" s="33">
        <f>Table6[[#This Row],[(A/B) AJD]]-TABL12345[[#This Row],[BER_IN]]</f>
        <v/>
      </c>
      <c r="AK320" s="6" t="n"/>
      <c r="AL320" s="6" t="n"/>
      <c r="AM320" s="32" t="n"/>
      <c r="AN320" s="32">
        <f>Table6[[#This Row],[ (RESV. STORGE) SER]]/10</f>
        <v/>
      </c>
      <c r="AO320" s="68" t="n"/>
      <c r="AP320" s="99">
        <f>Table6[[#This Row],[(A/S) AJD]]-Table6[[#This Row],[SER_IN]]</f>
        <v/>
      </c>
    </row>
    <row r="321" ht="18.75" customHeight="1">
      <c r="A321" s="98" t="n">
        <v>47803</v>
      </c>
      <c r="B321" s="28" t="n"/>
      <c r="C321" s="28" t="n"/>
      <c r="D321" s="28" t="n"/>
      <c r="E321" s="28" t="n"/>
      <c r="F321" s="28" t="n"/>
      <c r="G321" s="28" t="n"/>
      <c r="H321" s="28" t="n"/>
      <c r="I321" s="28" t="n"/>
      <c r="J321" s="28" t="n"/>
      <c r="K321" s="28">
        <f>Table6[[#This Row],[ (T/B) SAR]]+Table6[[#This Row],[ (S/S) SAR]]</f>
        <v/>
      </c>
      <c r="L321" s="28" t="n"/>
      <c r="M321" s="29" t="n"/>
      <c r="N321" s="30" t="n"/>
      <c r="O321" s="40" t="n"/>
      <c r="P321" s="9">
        <f>Table6[[#This Row],[ (S/S) SAR]]-Table6[[#This Row],[(S/S) AJD]]</f>
        <v/>
      </c>
      <c r="Q321" s="9" t="n"/>
      <c r="R321" s="9">
        <f>Table6[[#This Row],[ (T/B) SAR]]-Table6[[#This Row],[(T/B) AJD]]</f>
        <v/>
      </c>
      <c r="S321" s="9">
        <f>Table6[[#This Row],[S/S_CON.]]+Table6[[#This Row],[T/B-CON.]]</f>
        <v/>
      </c>
      <c r="T321" s="9">
        <f>O321+Q321</f>
        <v/>
      </c>
      <c r="U321" s="9" t="n"/>
      <c r="V321" s="9" t="n"/>
      <c r="W321" s="9">
        <f>U321+V321</f>
        <v/>
      </c>
      <c r="X321" s="9">
        <f>T321-W321</f>
        <v/>
      </c>
      <c r="Y321" s="18" t="n"/>
      <c r="Z321" s="9" t="n"/>
      <c r="AA321" s="3">
        <f>Table6[[#This Row],[(RESV. STORGE) AJD]]/10</f>
        <v/>
      </c>
      <c r="AB321" s="3">
        <f>IF(TRIM(Z321)="",,(Z321-Z320)/1000)</f>
        <v/>
      </c>
      <c r="AC321" s="5" t="n"/>
      <c r="AD321" s="6">
        <f>(Table6[[#This Row],[( S/S+T/B) AJD]]*1000)-((Table6[[#This Row],[(STORGE DIFF.) AJD]]*1000)+Table6[[#This Row],[AJD_Evaporation]]+(Table6[[#This Row],[(A/B + A/S) AJD]]*1000))</f>
        <v/>
      </c>
      <c r="AE321" s="33" t="n"/>
      <c r="AF321" s="6" t="n"/>
      <c r="AG321" s="6" t="n"/>
      <c r="AH321" s="6">
        <f>Table6[[#This Row],[ (RESV. STORGE) BER]]/10</f>
        <v/>
      </c>
      <c r="AI321" s="6" t="n"/>
      <c r="AJ321" s="33">
        <f>Table6[[#This Row],[(A/B) AJD]]-TABL12345[[#This Row],[BER_IN]]</f>
        <v/>
      </c>
      <c r="AK321" s="6" t="n"/>
      <c r="AL321" s="6" t="n"/>
      <c r="AM321" s="32" t="n"/>
      <c r="AN321" s="32">
        <f>Table6[[#This Row],[ (RESV. STORGE) SER]]/10</f>
        <v/>
      </c>
      <c r="AO321" s="68" t="n"/>
      <c r="AP321" s="99">
        <f>Table6[[#This Row],[(A/S) AJD]]-Table6[[#This Row],[SER_IN]]</f>
        <v/>
      </c>
    </row>
    <row r="322" ht="18.75" customHeight="1">
      <c r="A322" s="98" t="n">
        <v>47804</v>
      </c>
      <c r="B322" s="28" t="n"/>
      <c r="C322" s="28" t="n"/>
      <c r="D322" s="28" t="n"/>
      <c r="E322" s="28" t="n"/>
      <c r="F322" s="28" t="n"/>
      <c r="G322" s="28" t="n"/>
      <c r="H322" s="28" t="n"/>
      <c r="I322" s="28" t="n"/>
      <c r="J322" s="28" t="n"/>
      <c r="K322" s="28">
        <f>Table6[[#This Row],[ (T/B) SAR]]+Table6[[#This Row],[ (S/S) SAR]]</f>
        <v/>
      </c>
      <c r="L322" s="28" t="n"/>
      <c r="M322" s="29" t="n"/>
      <c r="N322" s="30" t="n"/>
      <c r="O322" s="39" t="n"/>
      <c r="P322" s="9">
        <f>Table6[[#This Row],[ (S/S) SAR]]-Table6[[#This Row],[(S/S) AJD]]</f>
        <v/>
      </c>
      <c r="Q322" s="9" t="n"/>
      <c r="R322" s="9">
        <f>Table6[[#This Row],[ (T/B) SAR]]-Table6[[#This Row],[(T/B) AJD]]</f>
        <v/>
      </c>
      <c r="S322" s="9">
        <f>Table6[[#This Row],[S/S_CON.]]+Table6[[#This Row],[T/B-CON.]]</f>
        <v/>
      </c>
      <c r="T322" s="9">
        <f>O322+Q322</f>
        <v/>
      </c>
      <c r="U322" s="9" t="n"/>
      <c r="V322" s="9" t="n"/>
      <c r="W322" s="9">
        <f>U322+V322</f>
        <v/>
      </c>
      <c r="X322" s="9">
        <f>T322-W322</f>
        <v/>
      </c>
      <c r="Y322" s="18" t="n"/>
      <c r="Z322" s="9" t="n"/>
      <c r="AA322" s="3">
        <f>Table6[[#This Row],[(RESV. STORGE) AJD]]/10</f>
        <v/>
      </c>
      <c r="AB322" s="3">
        <f>IF(TRIM(Z322)="",,(Z322-Z321)/1000)</f>
        <v/>
      </c>
      <c r="AC322" s="5" t="n"/>
      <c r="AD322" s="6">
        <f>(Table6[[#This Row],[( S/S+T/B) AJD]]*1000)-((Table6[[#This Row],[(STORGE DIFF.) AJD]]*1000)+Table6[[#This Row],[AJD_Evaporation]]+(Table6[[#This Row],[(A/B + A/S) AJD]]*1000))</f>
        <v/>
      </c>
      <c r="AE322" s="33" t="n"/>
      <c r="AF322" s="6" t="n"/>
      <c r="AG322" s="6" t="n"/>
      <c r="AH322" s="6">
        <f>Table6[[#This Row],[ (RESV. STORGE) BER]]/10</f>
        <v/>
      </c>
      <c r="AI322" s="6" t="n"/>
      <c r="AJ322" s="33">
        <f>Table6[[#This Row],[(A/B) AJD]]-TABL12345[[#This Row],[BER_IN]]</f>
        <v/>
      </c>
      <c r="AK322" s="6" t="n"/>
      <c r="AL322" s="6" t="n"/>
      <c r="AM322" s="32" t="n"/>
      <c r="AN322" s="32">
        <f>Table6[[#This Row],[ (RESV. STORGE) SER]]/10</f>
        <v/>
      </c>
      <c r="AO322" s="68" t="n"/>
      <c r="AP322" s="99">
        <f>Table6[[#This Row],[(A/S) AJD]]-Table6[[#This Row],[SER_IN]]</f>
        <v/>
      </c>
    </row>
    <row r="323" ht="18.75" customHeight="1">
      <c r="A323" s="98" t="n">
        <v>47805</v>
      </c>
      <c r="B323" s="28" t="n"/>
      <c r="C323" s="28" t="n"/>
      <c r="D323" s="28" t="n"/>
      <c r="E323" s="28" t="n"/>
      <c r="F323" s="28" t="n"/>
      <c r="G323" s="28" t="n"/>
      <c r="H323" s="28" t="n"/>
      <c r="I323" s="28" t="n"/>
      <c r="J323" s="28" t="n"/>
      <c r="K323" s="28">
        <f>Table6[[#This Row],[ (T/B) SAR]]+Table6[[#This Row],[ (S/S) SAR]]</f>
        <v/>
      </c>
      <c r="L323" s="28" t="n"/>
      <c r="M323" s="29" t="n"/>
      <c r="N323" s="30" t="n"/>
      <c r="O323" s="40" t="n"/>
      <c r="P323" s="9">
        <f>Table6[[#This Row],[ (S/S) SAR]]-Table6[[#This Row],[(S/S) AJD]]</f>
        <v/>
      </c>
      <c r="Q323" s="9" t="n"/>
      <c r="R323" s="9">
        <f>Table6[[#This Row],[ (T/B) SAR]]-Table6[[#This Row],[(T/B) AJD]]</f>
        <v/>
      </c>
      <c r="S323" s="9">
        <f>Table6[[#This Row],[S/S_CON.]]+Table6[[#This Row],[T/B-CON.]]</f>
        <v/>
      </c>
      <c r="T323" s="9">
        <f>O323+Q323</f>
        <v/>
      </c>
      <c r="U323" s="9" t="n"/>
      <c r="V323" s="9" t="n"/>
      <c r="W323" s="9">
        <f>U323+V323</f>
        <v/>
      </c>
      <c r="X323" s="9">
        <f>T323-W323</f>
        <v/>
      </c>
      <c r="Y323" s="18" t="n"/>
      <c r="Z323" s="9" t="n"/>
      <c r="AA323" s="3">
        <f>Table6[[#This Row],[(RESV. STORGE) AJD]]/10</f>
        <v/>
      </c>
      <c r="AB323" s="3">
        <f>IF(TRIM(Z323)="",,(Z323-Z322)/1000)</f>
        <v/>
      </c>
      <c r="AC323" s="5" t="n"/>
      <c r="AD323" s="6">
        <f>(Table6[[#This Row],[( S/S+T/B) AJD]]*1000)-((Table6[[#This Row],[(STORGE DIFF.) AJD]]*1000)+Table6[[#This Row],[AJD_Evaporation]]+(Table6[[#This Row],[(A/B + A/S) AJD]]*1000))</f>
        <v/>
      </c>
      <c r="AE323" s="33" t="n"/>
      <c r="AF323" s="6" t="n"/>
      <c r="AG323" s="6" t="n"/>
      <c r="AH323" s="6">
        <f>Table6[[#This Row],[ (RESV. STORGE) BER]]/10</f>
        <v/>
      </c>
      <c r="AI323" s="6" t="n"/>
      <c r="AJ323" s="33">
        <f>Table6[[#This Row],[(A/B) AJD]]-TABL12345[[#This Row],[BER_IN]]</f>
        <v/>
      </c>
      <c r="AK323" s="6" t="n"/>
      <c r="AL323" s="6" t="n"/>
      <c r="AM323" s="32" t="n"/>
      <c r="AN323" s="32">
        <f>Table6[[#This Row],[ (RESV. STORGE) SER]]/10</f>
        <v/>
      </c>
      <c r="AO323" s="68" t="n"/>
      <c r="AP323" s="99">
        <f>Table6[[#This Row],[(A/S) AJD]]-Table6[[#This Row],[SER_IN]]</f>
        <v/>
      </c>
    </row>
    <row r="324" ht="18.75" customHeight="1">
      <c r="A324" s="98" t="n">
        <v>47806</v>
      </c>
      <c r="B324" s="28" t="n"/>
      <c r="C324" s="28" t="n"/>
      <c r="D324" s="28" t="n"/>
      <c r="E324" s="28" t="n"/>
      <c r="F324" s="28" t="n"/>
      <c r="G324" s="28" t="n"/>
      <c r="H324" s="28" t="n"/>
      <c r="I324" s="28" t="n"/>
      <c r="J324" s="28" t="n"/>
      <c r="K324" s="28">
        <f>Table6[[#This Row],[ (T/B) SAR]]+Table6[[#This Row],[ (S/S) SAR]]</f>
        <v/>
      </c>
      <c r="L324" s="28" t="n"/>
      <c r="M324" s="29" t="n"/>
      <c r="N324" s="30" t="n"/>
      <c r="O324" s="39" t="n"/>
      <c r="P324" s="9">
        <f>Table6[[#This Row],[ (S/S) SAR]]-Table6[[#This Row],[(S/S) AJD]]</f>
        <v/>
      </c>
      <c r="Q324" s="9" t="n"/>
      <c r="R324" s="9">
        <f>Table6[[#This Row],[ (T/B) SAR]]-Table6[[#This Row],[(T/B) AJD]]</f>
        <v/>
      </c>
      <c r="S324" s="9">
        <f>Table6[[#This Row],[S/S_CON.]]+Table6[[#This Row],[T/B-CON.]]</f>
        <v/>
      </c>
      <c r="T324" s="9">
        <f>O324+Q324</f>
        <v/>
      </c>
      <c r="U324" s="9" t="n"/>
      <c r="V324" s="9" t="n"/>
      <c r="W324" s="9">
        <f>U324+V324</f>
        <v/>
      </c>
      <c r="X324" s="9">
        <f>T324-W324</f>
        <v/>
      </c>
      <c r="Y324" s="18" t="n"/>
      <c r="Z324" s="9" t="n"/>
      <c r="AA324" s="3">
        <f>Table6[[#This Row],[(RESV. STORGE) AJD]]/10</f>
        <v/>
      </c>
      <c r="AB324" s="3">
        <f>IF(TRIM(Z324)="",,(Z324-Z323)/1000)</f>
        <v/>
      </c>
      <c r="AC324" s="5" t="n"/>
      <c r="AD324" s="6">
        <f>(Table6[[#This Row],[( S/S+T/B) AJD]]*1000)-((Table6[[#This Row],[(STORGE DIFF.) AJD]]*1000)+Table6[[#This Row],[AJD_Evaporation]]+(Table6[[#This Row],[(A/B + A/S) AJD]]*1000))</f>
        <v/>
      </c>
      <c r="AE324" s="33" t="n"/>
      <c r="AF324" s="6" t="n"/>
      <c r="AG324" s="6" t="n"/>
      <c r="AH324" s="6">
        <f>Table6[[#This Row],[ (RESV. STORGE) BER]]/10</f>
        <v/>
      </c>
      <c r="AI324" s="6" t="n"/>
      <c r="AJ324" s="33">
        <f>Table6[[#This Row],[(A/B) AJD]]-TABL12345[[#This Row],[BER_IN]]</f>
        <v/>
      </c>
      <c r="AK324" s="6" t="n"/>
      <c r="AL324" s="6" t="n"/>
      <c r="AM324" s="32" t="n"/>
      <c r="AN324" s="32">
        <f>Table6[[#This Row],[ (RESV. STORGE) SER]]/10</f>
        <v/>
      </c>
      <c r="AO324" s="68" t="n"/>
      <c r="AP324" s="99">
        <f>Table6[[#This Row],[(A/S) AJD]]-Table6[[#This Row],[SER_IN]]</f>
        <v/>
      </c>
    </row>
    <row r="325" ht="18.75" customHeight="1">
      <c r="A325" s="98" t="n">
        <v>47807</v>
      </c>
      <c r="B325" s="28" t="n"/>
      <c r="C325" s="28" t="n"/>
      <c r="D325" s="28" t="n"/>
      <c r="E325" s="28" t="n"/>
      <c r="F325" s="28" t="n"/>
      <c r="G325" s="28" t="n"/>
      <c r="H325" s="28" t="n"/>
      <c r="I325" s="28" t="n"/>
      <c r="J325" s="28" t="n"/>
      <c r="K325" s="28">
        <f>Table6[[#This Row],[ (T/B) SAR]]+Table6[[#This Row],[ (S/S) SAR]]</f>
        <v/>
      </c>
      <c r="L325" s="28" t="n"/>
      <c r="M325" s="29" t="n"/>
      <c r="N325" s="30" t="n"/>
      <c r="O325" s="40" t="n"/>
      <c r="P325" s="9">
        <f>Table6[[#This Row],[ (S/S) SAR]]-Table6[[#This Row],[(S/S) AJD]]</f>
        <v/>
      </c>
      <c r="Q325" s="9" t="n"/>
      <c r="R325" s="9">
        <f>Table6[[#This Row],[ (T/B) SAR]]-Table6[[#This Row],[(T/B) AJD]]</f>
        <v/>
      </c>
      <c r="S325" s="9">
        <f>Table6[[#This Row],[S/S_CON.]]+Table6[[#This Row],[T/B-CON.]]</f>
        <v/>
      </c>
      <c r="T325" s="9">
        <f>O325+Q325</f>
        <v/>
      </c>
      <c r="U325" s="9" t="n"/>
      <c r="V325" s="9" t="n"/>
      <c r="W325" s="9">
        <f>U325+V325</f>
        <v/>
      </c>
      <c r="X325" s="9">
        <f>T325-W325</f>
        <v/>
      </c>
      <c r="Y325" s="18" t="n"/>
      <c r="Z325" s="9" t="n"/>
      <c r="AA325" s="3">
        <f>Table6[[#This Row],[(RESV. STORGE) AJD]]/10</f>
        <v/>
      </c>
      <c r="AB325" s="3">
        <f>IF(TRIM(Z325)="",,(Z325-Z324)/1000)</f>
        <v/>
      </c>
      <c r="AC325" s="5" t="n"/>
      <c r="AD325" s="6">
        <f>(Table6[[#This Row],[( S/S+T/B) AJD]]*1000)-((Table6[[#This Row],[(STORGE DIFF.) AJD]]*1000)+Table6[[#This Row],[AJD_Evaporation]]+(Table6[[#This Row],[(A/B + A/S) AJD]]*1000))</f>
        <v/>
      </c>
      <c r="AE325" s="33" t="n"/>
      <c r="AF325" s="6" t="n"/>
      <c r="AG325" s="6" t="n"/>
      <c r="AH325" s="6">
        <f>Table6[[#This Row],[ (RESV. STORGE) BER]]/10</f>
        <v/>
      </c>
      <c r="AI325" s="6" t="n"/>
      <c r="AJ325" s="33">
        <f>Table6[[#This Row],[(A/B) AJD]]-TABL12345[[#This Row],[BER_IN]]</f>
        <v/>
      </c>
      <c r="AK325" s="6" t="n"/>
      <c r="AL325" s="6" t="n"/>
      <c r="AM325" s="32" t="n"/>
      <c r="AN325" s="32">
        <f>Table6[[#This Row],[ (RESV. STORGE) SER]]/10</f>
        <v/>
      </c>
      <c r="AO325" s="68" t="n"/>
      <c r="AP325" s="99">
        <f>Table6[[#This Row],[(A/S) AJD]]-Table6[[#This Row],[SER_IN]]</f>
        <v/>
      </c>
    </row>
    <row r="326" ht="18.75" customHeight="1">
      <c r="A326" s="98" t="n">
        <v>47808</v>
      </c>
      <c r="B326" s="28" t="n"/>
      <c r="C326" s="28" t="n"/>
      <c r="D326" s="28" t="n"/>
      <c r="E326" s="28" t="n"/>
      <c r="F326" s="28" t="n"/>
      <c r="G326" s="28" t="n"/>
      <c r="H326" s="28" t="n"/>
      <c r="I326" s="28" t="n"/>
      <c r="J326" s="28" t="n"/>
      <c r="K326" s="28">
        <f>Table6[[#This Row],[ (T/B) SAR]]+Table6[[#This Row],[ (S/S) SAR]]</f>
        <v/>
      </c>
      <c r="L326" s="28" t="n"/>
      <c r="M326" s="29" t="n"/>
      <c r="N326" s="30" t="n"/>
      <c r="O326" s="39" t="n"/>
      <c r="P326" s="9">
        <f>Table6[[#This Row],[ (S/S) SAR]]-Table6[[#This Row],[(S/S) AJD]]</f>
        <v/>
      </c>
      <c r="Q326" s="9" t="n"/>
      <c r="R326" s="9">
        <f>Table6[[#This Row],[ (T/B) SAR]]-Table6[[#This Row],[(T/B) AJD]]</f>
        <v/>
      </c>
      <c r="S326" s="9">
        <f>Table6[[#This Row],[S/S_CON.]]+Table6[[#This Row],[T/B-CON.]]</f>
        <v/>
      </c>
      <c r="T326" s="9">
        <f>O326+Q326</f>
        <v/>
      </c>
      <c r="U326" s="9" t="n"/>
      <c r="V326" s="9" t="n"/>
      <c r="W326" s="9">
        <f>U326+V326</f>
        <v/>
      </c>
      <c r="X326" s="9">
        <f>T326-W326</f>
        <v/>
      </c>
      <c r="Y326" s="18" t="n"/>
      <c r="Z326" s="9" t="n"/>
      <c r="AA326" s="3">
        <f>Table6[[#This Row],[(RESV. STORGE) AJD]]/10</f>
        <v/>
      </c>
      <c r="AB326" s="3">
        <f>IF(TRIM(Z326)="",,(Z326-Z325)/1000)</f>
        <v/>
      </c>
      <c r="AC326" s="5" t="n"/>
      <c r="AD326" s="6">
        <f>(Table6[[#This Row],[( S/S+T/B) AJD]]*1000)-((Table6[[#This Row],[(STORGE DIFF.) AJD]]*1000)+Table6[[#This Row],[AJD_Evaporation]]+(Table6[[#This Row],[(A/B + A/S) AJD]]*1000))</f>
        <v/>
      </c>
      <c r="AE326" s="33" t="n"/>
      <c r="AF326" s="6" t="n"/>
      <c r="AG326" s="6" t="n"/>
      <c r="AH326" s="6">
        <f>Table6[[#This Row],[ (RESV. STORGE) BER]]/10</f>
        <v/>
      </c>
      <c r="AI326" s="6" t="n"/>
      <c r="AJ326" s="33">
        <f>Table6[[#This Row],[(A/B) AJD]]-TABL12345[[#This Row],[BER_IN]]</f>
        <v/>
      </c>
      <c r="AK326" s="6" t="n"/>
      <c r="AL326" s="6" t="n"/>
      <c r="AM326" s="32" t="n"/>
      <c r="AN326" s="32">
        <f>Table6[[#This Row],[ (RESV. STORGE) SER]]/10</f>
        <v/>
      </c>
      <c r="AO326" s="68" t="n"/>
      <c r="AP326" s="99">
        <f>Table6[[#This Row],[(A/S) AJD]]-Table6[[#This Row],[SER_IN]]</f>
        <v/>
      </c>
    </row>
    <row r="327" ht="18.75" customHeight="1">
      <c r="A327" s="98" t="n">
        <v>47809</v>
      </c>
      <c r="B327" s="28" t="n"/>
      <c r="C327" s="28" t="n"/>
      <c r="D327" s="28" t="n"/>
      <c r="E327" s="28" t="n"/>
      <c r="F327" s="28" t="n"/>
      <c r="G327" s="28" t="n"/>
      <c r="H327" s="28" t="n"/>
      <c r="I327" s="28" t="n"/>
      <c r="J327" s="28" t="n"/>
      <c r="K327" s="28">
        <f>Table6[[#This Row],[ (T/B) SAR]]+Table6[[#This Row],[ (S/S) SAR]]</f>
        <v/>
      </c>
      <c r="L327" s="28" t="n"/>
      <c r="M327" s="29" t="n"/>
      <c r="N327" s="30" t="n"/>
      <c r="O327" s="40" t="n"/>
      <c r="P327" s="9">
        <f>Table6[[#This Row],[ (S/S) SAR]]-Table6[[#This Row],[(S/S) AJD]]</f>
        <v/>
      </c>
      <c r="Q327" s="9" t="n"/>
      <c r="R327" s="9">
        <f>Table6[[#This Row],[ (T/B) SAR]]-Table6[[#This Row],[(T/B) AJD]]</f>
        <v/>
      </c>
      <c r="S327" s="9">
        <f>Table6[[#This Row],[S/S_CON.]]+Table6[[#This Row],[T/B-CON.]]</f>
        <v/>
      </c>
      <c r="T327" s="9">
        <f>O327+Q327</f>
        <v/>
      </c>
      <c r="U327" s="9" t="n"/>
      <c r="V327" s="9" t="n"/>
      <c r="W327" s="9">
        <f>U327+V327</f>
        <v/>
      </c>
      <c r="X327" s="9">
        <f>T327-W327</f>
        <v/>
      </c>
      <c r="Y327" s="18" t="n"/>
      <c r="Z327" s="9" t="n"/>
      <c r="AA327" s="3">
        <f>Table6[[#This Row],[(RESV. STORGE) AJD]]/10</f>
        <v/>
      </c>
      <c r="AB327" s="3">
        <f>IF(TRIM(Z327)="",,(Z327-Z326)/1000)</f>
        <v/>
      </c>
      <c r="AC327" s="5" t="n"/>
      <c r="AD327" s="6">
        <f>(Table6[[#This Row],[( S/S+T/B) AJD]]*1000)-((Table6[[#This Row],[(STORGE DIFF.) AJD]]*1000)+Table6[[#This Row],[AJD_Evaporation]]+(Table6[[#This Row],[(A/B + A/S) AJD]]*1000))</f>
        <v/>
      </c>
      <c r="AE327" s="33" t="n"/>
      <c r="AF327" s="6" t="n"/>
      <c r="AG327" s="6" t="n"/>
      <c r="AH327" s="6">
        <f>Table6[[#This Row],[ (RESV. STORGE) BER]]/10</f>
        <v/>
      </c>
      <c r="AI327" s="6" t="n"/>
      <c r="AJ327" s="33">
        <f>Table6[[#This Row],[(A/B) AJD]]-TABL12345[[#This Row],[BER_IN]]</f>
        <v/>
      </c>
      <c r="AK327" s="6" t="n"/>
      <c r="AL327" s="6" t="n"/>
      <c r="AM327" s="32" t="n"/>
      <c r="AN327" s="32">
        <f>Table6[[#This Row],[ (RESV. STORGE) SER]]/10</f>
        <v/>
      </c>
      <c r="AO327" s="68" t="n"/>
      <c r="AP327" s="99">
        <f>Table6[[#This Row],[(A/S) AJD]]-Table6[[#This Row],[SER_IN]]</f>
        <v/>
      </c>
    </row>
    <row r="328" ht="18.75" customHeight="1">
      <c r="A328" s="98" t="n">
        <v>47810</v>
      </c>
      <c r="B328" s="28" t="n"/>
      <c r="C328" s="28" t="n"/>
      <c r="D328" s="28" t="n"/>
      <c r="E328" s="28" t="n"/>
      <c r="F328" s="28" t="n"/>
      <c r="G328" s="28" t="n"/>
      <c r="H328" s="28" t="n"/>
      <c r="I328" s="28" t="n"/>
      <c r="J328" s="28" t="n"/>
      <c r="K328" s="28">
        <f>Table6[[#This Row],[ (T/B) SAR]]+Table6[[#This Row],[ (S/S) SAR]]</f>
        <v/>
      </c>
      <c r="L328" s="28" t="n"/>
      <c r="M328" s="29" t="n"/>
      <c r="N328" s="30" t="n"/>
      <c r="O328" s="39" t="n"/>
      <c r="P328" s="9">
        <f>Table6[[#This Row],[ (S/S) SAR]]-Table6[[#This Row],[(S/S) AJD]]</f>
        <v/>
      </c>
      <c r="Q328" s="9" t="n"/>
      <c r="R328" s="9">
        <f>Table6[[#This Row],[ (T/B) SAR]]-Table6[[#This Row],[(T/B) AJD]]</f>
        <v/>
      </c>
      <c r="S328" s="9">
        <f>Table6[[#This Row],[S/S_CON.]]+Table6[[#This Row],[T/B-CON.]]</f>
        <v/>
      </c>
      <c r="T328" s="9">
        <f>O328+Q328</f>
        <v/>
      </c>
      <c r="U328" s="9" t="n"/>
      <c r="V328" s="9" t="n"/>
      <c r="W328" s="9">
        <f>U328+V328</f>
        <v/>
      </c>
      <c r="X328" s="9">
        <f>T328-W328</f>
        <v/>
      </c>
      <c r="Y328" s="18" t="n"/>
      <c r="Z328" s="9" t="n"/>
      <c r="AA328" s="3">
        <f>Table6[[#This Row],[(RESV. STORGE) AJD]]/10</f>
        <v/>
      </c>
      <c r="AB328" s="3">
        <f>IF(TRIM(Z328)="",,(Z328-Z327)/1000)</f>
        <v/>
      </c>
      <c r="AC328" s="5" t="n"/>
      <c r="AD328" s="6">
        <f>(Table6[[#This Row],[( S/S+T/B) AJD]]*1000)-((Table6[[#This Row],[(STORGE DIFF.) AJD]]*1000)+Table6[[#This Row],[AJD_Evaporation]]+(Table6[[#This Row],[(A/B + A/S) AJD]]*1000))</f>
        <v/>
      </c>
      <c r="AE328" s="33" t="n"/>
      <c r="AF328" s="6" t="n"/>
      <c r="AG328" s="6" t="n"/>
      <c r="AH328" s="6">
        <f>Table6[[#This Row],[ (RESV. STORGE) BER]]/10</f>
        <v/>
      </c>
      <c r="AI328" s="6" t="n"/>
      <c r="AJ328" s="33">
        <f>Table6[[#This Row],[(A/B) AJD]]-TABL12345[[#This Row],[BER_IN]]</f>
        <v/>
      </c>
      <c r="AK328" s="6" t="n"/>
      <c r="AL328" s="6" t="n"/>
      <c r="AM328" s="32" t="n"/>
      <c r="AN328" s="32">
        <f>Table6[[#This Row],[ (RESV. STORGE) SER]]/10</f>
        <v/>
      </c>
      <c r="AO328" s="68" t="n"/>
      <c r="AP328" s="99">
        <f>Table6[[#This Row],[(A/S) AJD]]-Table6[[#This Row],[SER_IN]]</f>
        <v/>
      </c>
    </row>
    <row r="329" ht="18.75" customHeight="1">
      <c r="A329" s="98" t="n">
        <v>47811</v>
      </c>
      <c r="B329" s="28" t="n"/>
      <c r="C329" s="28" t="n"/>
      <c r="D329" s="28" t="n"/>
      <c r="E329" s="28" t="n"/>
      <c r="F329" s="28" t="n"/>
      <c r="G329" s="28" t="n"/>
      <c r="H329" s="28" t="n"/>
      <c r="I329" s="28" t="n"/>
      <c r="J329" s="28" t="n"/>
      <c r="K329" s="28">
        <f>Table6[[#This Row],[ (T/B) SAR]]+Table6[[#This Row],[ (S/S) SAR]]</f>
        <v/>
      </c>
      <c r="L329" s="28" t="n"/>
      <c r="M329" s="29" t="n"/>
      <c r="N329" s="30" t="n"/>
      <c r="O329" s="40" t="n"/>
      <c r="P329" s="9">
        <f>Table6[[#This Row],[ (S/S) SAR]]-Table6[[#This Row],[(S/S) AJD]]</f>
        <v/>
      </c>
      <c r="Q329" s="9" t="n"/>
      <c r="R329" s="9">
        <f>Table6[[#This Row],[ (T/B) SAR]]-Table6[[#This Row],[(T/B) AJD]]</f>
        <v/>
      </c>
      <c r="S329" s="9">
        <f>Table6[[#This Row],[S/S_CON.]]+Table6[[#This Row],[T/B-CON.]]</f>
        <v/>
      </c>
      <c r="T329" s="9">
        <f>O329+Q329</f>
        <v/>
      </c>
      <c r="U329" s="9" t="n"/>
      <c r="V329" s="9" t="n"/>
      <c r="W329" s="9">
        <f>U329+V329</f>
        <v/>
      </c>
      <c r="X329" s="9">
        <f>T329-W329</f>
        <v/>
      </c>
      <c r="Y329" s="18" t="n"/>
      <c r="Z329" s="9" t="n"/>
      <c r="AA329" s="3">
        <f>Table6[[#This Row],[(RESV. STORGE) AJD]]/10</f>
        <v/>
      </c>
      <c r="AB329" s="3">
        <f>IF(TRIM(Z329)="",,(Z329-Z328)/1000)</f>
        <v/>
      </c>
      <c r="AC329" s="5" t="n"/>
      <c r="AD329" s="6">
        <f>(Table6[[#This Row],[( S/S+T/B) AJD]]*1000)-((Table6[[#This Row],[(STORGE DIFF.) AJD]]*1000)+Table6[[#This Row],[AJD_Evaporation]]+(Table6[[#This Row],[(A/B + A/S) AJD]]*1000))</f>
        <v/>
      </c>
      <c r="AE329" s="33" t="n"/>
      <c r="AF329" s="6" t="n"/>
      <c r="AG329" s="6" t="n"/>
      <c r="AH329" s="6">
        <f>Table6[[#This Row],[ (RESV. STORGE) BER]]/10</f>
        <v/>
      </c>
      <c r="AI329" s="6" t="n"/>
      <c r="AJ329" s="33">
        <f>Table6[[#This Row],[(A/B) AJD]]-TABL12345[[#This Row],[BER_IN]]</f>
        <v/>
      </c>
      <c r="AK329" s="6" t="n"/>
      <c r="AL329" s="6" t="n"/>
      <c r="AM329" s="32" t="n"/>
      <c r="AN329" s="32">
        <f>Table6[[#This Row],[ (RESV. STORGE) SER]]/10</f>
        <v/>
      </c>
      <c r="AO329" s="68" t="n"/>
      <c r="AP329" s="99">
        <f>Table6[[#This Row],[(A/S) AJD]]-Table6[[#This Row],[SER_IN]]</f>
        <v/>
      </c>
    </row>
    <row r="330" ht="18.75" customHeight="1">
      <c r="A330" s="98" t="n">
        <v>47812</v>
      </c>
      <c r="B330" s="28" t="n"/>
      <c r="C330" s="28" t="n"/>
      <c r="D330" s="28" t="n"/>
      <c r="E330" s="28" t="n"/>
      <c r="F330" s="28" t="n"/>
      <c r="G330" s="28" t="n"/>
      <c r="H330" s="28" t="n"/>
      <c r="I330" s="28" t="n"/>
      <c r="J330" s="28" t="n"/>
      <c r="K330" s="28">
        <f>Table6[[#This Row],[ (T/B) SAR]]+Table6[[#This Row],[ (S/S) SAR]]</f>
        <v/>
      </c>
      <c r="L330" s="28" t="n"/>
      <c r="M330" s="29" t="n"/>
      <c r="N330" s="30" t="n"/>
      <c r="O330" s="39" t="n"/>
      <c r="P330" s="9">
        <f>Table6[[#This Row],[ (S/S) SAR]]-Table6[[#This Row],[(S/S) AJD]]</f>
        <v/>
      </c>
      <c r="Q330" s="9" t="n"/>
      <c r="R330" s="9">
        <f>Table6[[#This Row],[ (T/B) SAR]]-Table6[[#This Row],[(T/B) AJD]]</f>
        <v/>
      </c>
      <c r="S330" s="9">
        <f>Table6[[#This Row],[S/S_CON.]]+Table6[[#This Row],[T/B-CON.]]</f>
        <v/>
      </c>
      <c r="T330" s="9">
        <f>O330+Q330</f>
        <v/>
      </c>
      <c r="U330" s="9" t="n"/>
      <c r="V330" s="9" t="n"/>
      <c r="W330" s="9">
        <f>U330+V330</f>
        <v/>
      </c>
      <c r="X330" s="9">
        <f>T330-W330</f>
        <v/>
      </c>
      <c r="Y330" s="18" t="n"/>
      <c r="Z330" s="9" t="n"/>
      <c r="AA330" s="3">
        <f>Table6[[#This Row],[(RESV. STORGE) AJD]]/10</f>
        <v/>
      </c>
      <c r="AB330" s="3">
        <f>IF(TRIM(Z330)="",,(Z330-Z329)/1000)</f>
        <v/>
      </c>
      <c r="AC330" s="5" t="n"/>
      <c r="AD330" s="6">
        <f>(Table6[[#This Row],[( S/S+T/B) AJD]]*1000)-((Table6[[#This Row],[(STORGE DIFF.) AJD]]*1000)+Table6[[#This Row],[AJD_Evaporation]]+(Table6[[#This Row],[(A/B + A/S) AJD]]*1000))</f>
        <v/>
      </c>
      <c r="AE330" s="33" t="n"/>
      <c r="AF330" s="6" t="n"/>
      <c r="AG330" s="6" t="n"/>
      <c r="AH330" s="6">
        <f>Table6[[#This Row],[ (RESV. STORGE) BER]]/10</f>
        <v/>
      </c>
      <c r="AI330" s="6" t="n"/>
      <c r="AJ330" s="33">
        <f>Table6[[#This Row],[(A/B) AJD]]-TABL12345[[#This Row],[BER_IN]]</f>
        <v/>
      </c>
      <c r="AK330" s="6" t="n"/>
      <c r="AL330" s="6" t="n"/>
      <c r="AM330" s="32" t="n"/>
      <c r="AN330" s="32">
        <f>Table6[[#This Row],[ (RESV. STORGE) SER]]/10</f>
        <v/>
      </c>
      <c r="AO330" s="68" t="n"/>
      <c r="AP330" s="99">
        <f>Table6[[#This Row],[(A/S) AJD]]-Table6[[#This Row],[SER_IN]]</f>
        <v/>
      </c>
    </row>
    <row r="331" ht="18.75" customHeight="1">
      <c r="A331" s="98" t="n">
        <v>47813</v>
      </c>
      <c r="B331" s="28" t="n"/>
      <c r="C331" s="28" t="n"/>
      <c r="D331" s="28" t="n"/>
      <c r="E331" s="28" t="n"/>
      <c r="F331" s="28" t="n"/>
      <c r="G331" s="28" t="n"/>
      <c r="H331" s="28" t="n"/>
      <c r="I331" s="28" t="n"/>
      <c r="J331" s="28" t="n"/>
      <c r="K331" s="28">
        <f>Table6[[#This Row],[ (T/B) SAR]]+Table6[[#This Row],[ (S/S) SAR]]</f>
        <v/>
      </c>
      <c r="L331" s="28" t="n"/>
      <c r="M331" s="29" t="n"/>
      <c r="N331" s="30" t="n"/>
      <c r="O331" s="40" t="n"/>
      <c r="P331" s="9">
        <f>Table6[[#This Row],[ (S/S) SAR]]-Table6[[#This Row],[(S/S) AJD]]</f>
        <v/>
      </c>
      <c r="Q331" s="9" t="n"/>
      <c r="R331" s="9">
        <f>Table6[[#This Row],[ (T/B) SAR]]-Table6[[#This Row],[(T/B) AJD]]</f>
        <v/>
      </c>
      <c r="S331" s="9">
        <f>Table6[[#This Row],[S/S_CON.]]+Table6[[#This Row],[T/B-CON.]]</f>
        <v/>
      </c>
      <c r="T331" s="9">
        <f>O331+Q331</f>
        <v/>
      </c>
      <c r="U331" s="9" t="n"/>
      <c r="V331" s="9" t="n"/>
      <c r="W331" s="9">
        <f>U331+V331</f>
        <v/>
      </c>
      <c r="X331" s="9">
        <f>T331-W331</f>
        <v/>
      </c>
      <c r="Y331" s="18" t="n"/>
      <c r="Z331" s="9" t="n"/>
      <c r="AA331" s="3">
        <f>Table6[[#This Row],[(RESV. STORGE) AJD]]/10</f>
        <v/>
      </c>
      <c r="AB331" s="3">
        <f>IF(TRIM(Z331)="",,(Z331-Z330)/1000)</f>
        <v/>
      </c>
      <c r="AC331" s="5" t="n"/>
      <c r="AD331" s="6">
        <f>(Table6[[#This Row],[( S/S+T/B) AJD]]*1000)-((Table6[[#This Row],[(STORGE DIFF.) AJD]]*1000)+Table6[[#This Row],[AJD_Evaporation]]+(Table6[[#This Row],[(A/B + A/S) AJD]]*1000))</f>
        <v/>
      </c>
      <c r="AE331" s="33" t="n"/>
      <c r="AF331" s="6" t="n"/>
      <c r="AG331" s="6" t="n"/>
      <c r="AH331" s="6">
        <f>Table6[[#This Row],[ (RESV. STORGE) BER]]/10</f>
        <v/>
      </c>
      <c r="AI331" s="6" t="n"/>
      <c r="AJ331" s="33">
        <f>Table6[[#This Row],[(A/B) AJD]]-TABL12345[[#This Row],[BER_IN]]</f>
        <v/>
      </c>
      <c r="AK331" s="6" t="n"/>
      <c r="AL331" s="6" t="n"/>
      <c r="AM331" s="32" t="n"/>
      <c r="AN331" s="32">
        <f>Table6[[#This Row],[ (RESV. STORGE) SER]]/10</f>
        <v/>
      </c>
      <c r="AO331" s="68" t="n"/>
      <c r="AP331" s="99">
        <f>Table6[[#This Row],[(A/S) AJD]]-Table6[[#This Row],[SER_IN]]</f>
        <v/>
      </c>
    </row>
    <row r="332" ht="18.75" customHeight="1">
      <c r="A332" s="98" t="n">
        <v>47814</v>
      </c>
      <c r="B332" s="28" t="n"/>
      <c r="C332" s="28" t="n"/>
      <c r="D332" s="28" t="n"/>
      <c r="E332" s="28" t="n"/>
      <c r="F332" s="28" t="n"/>
      <c r="G332" s="28" t="n"/>
      <c r="H332" s="28" t="n"/>
      <c r="I332" s="28" t="n"/>
      <c r="J332" s="28" t="n"/>
      <c r="K332" s="28">
        <f>Table6[[#This Row],[ (T/B) SAR]]+Table6[[#This Row],[ (S/S) SAR]]</f>
        <v/>
      </c>
      <c r="L332" s="28" t="n"/>
      <c r="M332" s="29" t="n"/>
      <c r="N332" s="30" t="n"/>
      <c r="O332" s="39" t="n"/>
      <c r="P332" s="9">
        <f>Table6[[#This Row],[ (S/S) SAR]]-Table6[[#This Row],[(S/S) AJD]]</f>
        <v/>
      </c>
      <c r="Q332" s="9" t="n"/>
      <c r="R332" s="9">
        <f>Table6[[#This Row],[ (T/B) SAR]]-Table6[[#This Row],[(T/B) AJD]]</f>
        <v/>
      </c>
      <c r="S332" s="9">
        <f>Table6[[#This Row],[S/S_CON.]]+Table6[[#This Row],[T/B-CON.]]</f>
        <v/>
      </c>
      <c r="T332" s="9">
        <f>O332+Q332</f>
        <v/>
      </c>
      <c r="U332" s="9" t="n"/>
      <c r="V332" s="9" t="n"/>
      <c r="W332" s="9">
        <f>U332+V332</f>
        <v/>
      </c>
      <c r="X332" s="9">
        <f>T332-W332</f>
        <v/>
      </c>
      <c r="Y332" s="18" t="n"/>
      <c r="Z332" s="9" t="n"/>
      <c r="AA332" s="3">
        <f>Table6[[#This Row],[(RESV. STORGE) AJD]]/10</f>
        <v/>
      </c>
      <c r="AB332" s="3">
        <f>IF(TRIM(Z332)="",,(Z332-Z331)/1000)</f>
        <v/>
      </c>
      <c r="AC332" s="5" t="n"/>
      <c r="AD332" s="6">
        <f>(Table6[[#This Row],[( S/S+T/B) AJD]]*1000)-((Table6[[#This Row],[(STORGE DIFF.) AJD]]*1000)+Table6[[#This Row],[AJD_Evaporation]]+(Table6[[#This Row],[(A/B + A/S) AJD]]*1000))</f>
        <v/>
      </c>
      <c r="AE332" s="33" t="n"/>
      <c r="AF332" s="6" t="n"/>
      <c r="AG332" s="6" t="n"/>
      <c r="AH332" s="6">
        <f>Table6[[#This Row],[ (RESV. STORGE) BER]]/10</f>
        <v/>
      </c>
      <c r="AI332" s="6" t="n"/>
      <c r="AJ332" s="33">
        <f>Table6[[#This Row],[(A/B) AJD]]-TABL12345[[#This Row],[BER_IN]]</f>
        <v/>
      </c>
      <c r="AK332" s="6" t="n"/>
      <c r="AL332" s="6" t="n"/>
      <c r="AM332" s="32" t="n"/>
      <c r="AN332" s="32">
        <f>Table6[[#This Row],[ (RESV. STORGE) SER]]/10</f>
        <v/>
      </c>
      <c r="AO332" s="68" t="n"/>
      <c r="AP332" s="99">
        <f>Table6[[#This Row],[(A/S) AJD]]-Table6[[#This Row],[SER_IN]]</f>
        <v/>
      </c>
    </row>
    <row r="333" ht="18.75" customHeight="1">
      <c r="A333" s="98" t="n">
        <v>47815</v>
      </c>
      <c r="B333" s="28" t="n"/>
      <c r="C333" s="28" t="n"/>
      <c r="D333" s="28" t="n"/>
      <c r="E333" s="28" t="n"/>
      <c r="F333" s="28" t="n"/>
      <c r="G333" s="28" t="n"/>
      <c r="H333" s="28" t="n"/>
      <c r="I333" s="28" t="n"/>
      <c r="J333" s="28" t="n"/>
      <c r="K333" s="28">
        <f>Table6[[#This Row],[ (T/B) SAR]]+Table6[[#This Row],[ (S/S) SAR]]</f>
        <v/>
      </c>
      <c r="L333" s="28" t="n"/>
      <c r="M333" s="29" t="n"/>
      <c r="N333" s="30" t="n"/>
      <c r="O333" s="40" t="n"/>
      <c r="P333" s="9">
        <f>Table6[[#This Row],[ (S/S) SAR]]-Table6[[#This Row],[(S/S) AJD]]</f>
        <v/>
      </c>
      <c r="Q333" s="9" t="n"/>
      <c r="R333" s="9">
        <f>Table6[[#This Row],[ (T/B) SAR]]-Table6[[#This Row],[(T/B) AJD]]</f>
        <v/>
      </c>
      <c r="S333" s="9">
        <f>Table6[[#This Row],[S/S_CON.]]+Table6[[#This Row],[T/B-CON.]]</f>
        <v/>
      </c>
      <c r="T333" s="9">
        <f>O333+Q333</f>
        <v/>
      </c>
      <c r="U333" s="9" t="n"/>
      <c r="V333" s="9" t="n"/>
      <c r="W333" s="9">
        <f>U333+V333</f>
        <v/>
      </c>
      <c r="X333" s="9">
        <f>T333-W333</f>
        <v/>
      </c>
      <c r="Y333" s="18" t="n"/>
      <c r="Z333" s="9" t="n"/>
      <c r="AA333" s="3">
        <f>Table6[[#This Row],[(RESV. STORGE) AJD]]/10</f>
        <v/>
      </c>
      <c r="AB333" s="3">
        <f>IF(TRIM(Z333)="",,(Z333-Z332)/1000)</f>
        <v/>
      </c>
      <c r="AC333" s="5" t="n"/>
      <c r="AD333" s="6">
        <f>(Table6[[#This Row],[( S/S+T/B) AJD]]*1000)-((Table6[[#This Row],[(STORGE DIFF.) AJD]]*1000)+Table6[[#This Row],[AJD_Evaporation]]+(Table6[[#This Row],[(A/B + A/S) AJD]]*1000))</f>
        <v/>
      </c>
      <c r="AE333" s="33" t="n"/>
      <c r="AF333" s="6" t="n"/>
      <c r="AG333" s="6" t="n"/>
      <c r="AH333" s="6">
        <f>Table6[[#This Row],[ (RESV. STORGE) BER]]/10</f>
        <v/>
      </c>
      <c r="AI333" s="6" t="n"/>
      <c r="AJ333" s="33">
        <f>Table6[[#This Row],[(A/B) AJD]]-TABL12345[[#This Row],[BER_IN]]</f>
        <v/>
      </c>
      <c r="AK333" s="6" t="n"/>
      <c r="AL333" s="6" t="n"/>
      <c r="AM333" s="32" t="n"/>
      <c r="AN333" s="32">
        <f>Table6[[#This Row],[ (RESV. STORGE) SER]]/10</f>
        <v/>
      </c>
      <c r="AO333" s="68" t="n"/>
      <c r="AP333" s="99">
        <f>Table6[[#This Row],[(A/S) AJD]]-Table6[[#This Row],[SER_IN]]</f>
        <v/>
      </c>
    </row>
    <row r="334" ht="18.75" customHeight="1">
      <c r="A334" s="98" t="n">
        <v>47816</v>
      </c>
      <c r="B334" s="28" t="n"/>
      <c r="C334" s="28" t="n"/>
      <c r="D334" s="28" t="n"/>
      <c r="E334" s="28" t="n"/>
      <c r="F334" s="28" t="n"/>
      <c r="G334" s="28" t="n"/>
      <c r="H334" s="28" t="n"/>
      <c r="I334" s="28" t="n"/>
      <c r="J334" s="28" t="n"/>
      <c r="K334" s="28">
        <f>Table6[[#This Row],[ (T/B) SAR]]+Table6[[#This Row],[ (S/S) SAR]]</f>
        <v/>
      </c>
      <c r="L334" s="28" t="n"/>
      <c r="M334" s="29" t="n"/>
      <c r="N334" s="30" t="n"/>
      <c r="O334" s="39" t="n"/>
      <c r="P334" s="9">
        <f>Table6[[#This Row],[ (S/S) SAR]]-Table6[[#This Row],[(S/S) AJD]]</f>
        <v/>
      </c>
      <c r="Q334" s="9" t="n"/>
      <c r="R334" s="9">
        <f>Table6[[#This Row],[ (T/B) SAR]]-Table6[[#This Row],[(T/B) AJD]]</f>
        <v/>
      </c>
      <c r="S334" s="9">
        <f>Table6[[#This Row],[S/S_CON.]]+Table6[[#This Row],[T/B-CON.]]</f>
        <v/>
      </c>
      <c r="T334" s="9">
        <f>O334+Q334</f>
        <v/>
      </c>
      <c r="U334" s="9" t="n"/>
      <c r="V334" s="9" t="n"/>
      <c r="W334" s="9">
        <f>U334+V334</f>
        <v/>
      </c>
      <c r="X334" s="9">
        <f>T334-W334</f>
        <v/>
      </c>
      <c r="Y334" s="18" t="n"/>
      <c r="Z334" s="9" t="n"/>
      <c r="AA334" s="3">
        <f>Table6[[#This Row],[(RESV. STORGE) AJD]]/10</f>
        <v/>
      </c>
      <c r="AB334" s="3">
        <f>IF(TRIM(Z334)="",,(Z334-Z333)/1000)</f>
        <v/>
      </c>
      <c r="AC334" s="5" t="n"/>
      <c r="AD334" s="6">
        <f>(Table6[[#This Row],[( S/S+T/B) AJD]]*1000)-((Table6[[#This Row],[(STORGE DIFF.) AJD]]*1000)+Table6[[#This Row],[AJD_Evaporation]]+(Table6[[#This Row],[(A/B + A/S) AJD]]*1000))</f>
        <v/>
      </c>
      <c r="AE334" s="33" t="n"/>
      <c r="AF334" s="6" t="n"/>
      <c r="AG334" s="6" t="n"/>
      <c r="AH334" s="6">
        <f>Table6[[#This Row],[ (RESV. STORGE) BER]]/10</f>
        <v/>
      </c>
      <c r="AI334" s="6" t="n"/>
      <c r="AJ334" s="33">
        <f>Table6[[#This Row],[(A/B) AJD]]-TABL12345[[#This Row],[BER_IN]]</f>
        <v/>
      </c>
      <c r="AK334" s="6" t="n"/>
      <c r="AL334" s="6" t="n"/>
      <c r="AM334" s="32" t="n"/>
      <c r="AN334" s="32">
        <f>Table6[[#This Row],[ (RESV. STORGE) SER]]/10</f>
        <v/>
      </c>
      <c r="AO334" s="68" t="n"/>
      <c r="AP334" s="99">
        <f>Table6[[#This Row],[(A/S) AJD]]-Table6[[#This Row],[SER_IN]]</f>
        <v/>
      </c>
    </row>
    <row r="335" ht="18.75" customHeight="1">
      <c r="A335" s="98" t="n">
        <v>47817</v>
      </c>
      <c r="B335" s="28" t="n"/>
      <c r="C335" s="28" t="n"/>
      <c r="D335" s="28" t="n"/>
      <c r="E335" s="28" t="n"/>
      <c r="F335" s="28" t="n"/>
      <c r="G335" s="28" t="n"/>
      <c r="H335" s="28" t="n"/>
      <c r="I335" s="28" t="n"/>
      <c r="J335" s="28" t="n"/>
      <c r="K335" s="28">
        <f>Table6[[#This Row],[ (T/B) SAR]]+Table6[[#This Row],[ (S/S) SAR]]</f>
        <v/>
      </c>
      <c r="L335" s="28" t="n"/>
      <c r="M335" s="29" t="n"/>
      <c r="N335" s="30" t="n"/>
      <c r="O335" s="40" t="n"/>
      <c r="P335" s="9">
        <f>Table6[[#This Row],[ (S/S) SAR]]-Table6[[#This Row],[(S/S) AJD]]</f>
        <v/>
      </c>
      <c r="Q335" s="9" t="n"/>
      <c r="R335" s="9">
        <f>Table6[[#This Row],[ (T/B) SAR]]-Table6[[#This Row],[(T/B) AJD]]</f>
        <v/>
      </c>
      <c r="S335" s="9">
        <f>Table6[[#This Row],[S/S_CON.]]+Table6[[#This Row],[T/B-CON.]]</f>
        <v/>
      </c>
      <c r="T335" s="9">
        <f>O335+Q335</f>
        <v/>
      </c>
      <c r="U335" s="9" t="n"/>
      <c r="V335" s="9" t="n"/>
      <c r="W335" s="9">
        <f>U335+V335</f>
        <v/>
      </c>
      <c r="X335" s="9">
        <f>T335-W335</f>
        <v/>
      </c>
      <c r="Y335" s="18" t="n"/>
      <c r="Z335" s="9" t="n"/>
      <c r="AA335" s="3">
        <f>Table6[[#This Row],[(RESV. STORGE) AJD]]/10</f>
        <v/>
      </c>
      <c r="AB335" s="3">
        <f>IF(TRIM(Z335)="",,(Z335-Z334)/1000)</f>
        <v/>
      </c>
      <c r="AC335" s="5" t="n"/>
      <c r="AD335" s="6">
        <f>(Table6[[#This Row],[( S/S+T/B) AJD]]*1000)-((Table6[[#This Row],[(STORGE DIFF.) AJD]]*1000)+Table6[[#This Row],[AJD_Evaporation]]+(Table6[[#This Row],[(A/B + A/S) AJD]]*1000))</f>
        <v/>
      </c>
      <c r="AE335" s="33" t="n"/>
      <c r="AF335" s="6" t="n"/>
      <c r="AG335" s="6" t="n"/>
      <c r="AH335" s="6">
        <f>Table6[[#This Row],[ (RESV. STORGE) BER]]/10</f>
        <v/>
      </c>
      <c r="AI335" s="6" t="n"/>
      <c r="AJ335" s="33">
        <f>Table6[[#This Row],[(A/B) AJD]]-TABL12345[[#This Row],[BER_IN]]</f>
        <v/>
      </c>
      <c r="AK335" s="6" t="n"/>
      <c r="AL335" s="6" t="n"/>
      <c r="AM335" s="32" t="n"/>
      <c r="AN335" s="32">
        <f>Table6[[#This Row],[ (RESV. STORGE) SER]]/10</f>
        <v/>
      </c>
      <c r="AO335" s="68" t="n"/>
      <c r="AP335" s="99">
        <f>Table6[[#This Row],[(A/S) AJD]]-Table6[[#This Row],[SER_IN]]</f>
        <v/>
      </c>
    </row>
    <row r="336" ht="18.75" customHeight="1">
      <c r="A336" s="98" t="n">
        <v>47818</v>
      </c>
      <c r="B336" s="41" t="n"/>
      <c r="C336" s="41" t="n"/>
      <c r="D336" s="41" t="n"/>
      <c r="E336" s="41" t="n"/>
      <c r="F336" s="41" t="n"/>
      <c r="G336" s="39" t="n"/>
      <c r="H336" s="41" t="n"/>
      <c r="I336" s="39" t="n"/>
      <c r="J336" s="39" t="n"/>
      <c r="K336" s="28">
        <f>Table6[[#This Row],[ (T/B) SAR]]+Table6[[#This Row],[ (S/S) SAR]]</f>
        <v/>
      </c>
      <c r="L336" s="41" t="n"/>
      <c r="M336" s="42" t="n"/>
      <c r="N336" s="42" t="n"/>
      <c r="O336" s="39" t="n"/>
      <c r="P336" s="9">
        <f>Table6[[#This Row],[ (S/S) SAR]]-Table6[[#This Row],[(S/S) AJD]]</f>
        <v/>
      </c>
      <c r="Q336" s="39" t="n"/>
      <c r="R336" s="9">
        <f>Table6[[#This Row],[ (T/B) SAR]]-Table6[[#This Row],[(T/B) AJD]]</f>
        <v/>
      </c>
      <c r="S336" s="9">
        <f>Table6[[#This Row],[S/S_CON.]]+Table6[[#This Row],[T/B-CON.]]</f>
        <v/>
      </c>
      <c r="T336" s="9">
        <f>O336+Q336</f>
        <v/>
      </c>
      <c r="U336" s="41" t="n"/>
      <c r="V336" s="41" t="n"/>
      <c r="W336" s="9">
        <f>U336+V336</f>
        <v/>
      </c>
      <c r="X336" s="9">
        <f>T336-W336</f>
        <v/>
      </c>
      <c r="Y336" s="41" t="n"/>
      <c r="Z336" s="43" t="n"/>
      <c r="AA336" s="3">
        <f>Table6[[#This Row],[(RESV. STORGE) AJD]]/10</f>
        <v/>
      </c>
      <c r="AB336" s="3">
        <f>IF(TRIM(Z336)="",,(Z336-Z335)/1000)</f>
        <v/>
      </c>
      <c r="AC336" s="5" t="n"/>
      <c r="AD336" s="39">
        <f>(Table6[[#This Row],[( S/S+T/B) AJD]]*1000)-((Table6[[#This Row],[(STORGE DIFF.) AJD]]*1000)+Table6[[#This Row],[AJD_Evaporation]]+(Table6[[#This Row],[(A/B + A/S) AJD]]*1000))</f>
        <v/>
      </c>
      <c r="AE336" s="41" t="n"/>
      <c r="AF336" s="43" t="n"/>
      <c r="AG336" s="43" t="n"/>
      <c r="AH336" s="6">
        <f>Table6[[#This Row],[ (RESV. STORGE) BER]]/10</f>
        <v/>
      </c>
      <c r="AI336" s="41" t="n"/>
      <c r="AJ336" s="43">
        <f>Table6[[#This Row],[(A/B) AJD]]-TABL12345[[#This Row],[BER_IN]]</f>
        <v/>
      </c>
      <c r="AK336" s="43" t="n"/>
      <c r="AL336" s="43" t="n"/>
      <c r="AM336" s="32" t="n"/>
      <c r="AN336" s="32">
        <f>Table6[[#This Row],[ (RESV. STORGE) SER]]/10</f>
        <v/>
      </c>
      <c r="AO336" s="68" t="n"/>
      <c r="AP336" s="99">
        <f>Table6[[#This Row],[(A/S) AJD]]-Table6[[#This Row],[SER_IN]]</f>
        <v/>
      </c>
    </row>
    <row r="337" ht="18.75" customHeight="1">
      <c r="A337" s="98" t="n">
        <v>47819</v>
      </c>
      <c r="B337" s="44" t="n"/>
      <c r="C337" s="44" t="n"/>
      <c r="D337" s="44" t="n"/>
      <c r="E337" s="44" t="n"/>
      <c r="F337" s="44" t="n"/>
      <c r="G337" s="40" t="n"/>
      <c r="H337" s="44" t="n"/>
      <c r="I337" s="40" t="n"/>
      <c r="J337" s="44" t="n"/>
      <c r="K337" s="28">
        <f>Table6[[#This Row],[ (T/B) SAR]]+Table6[[#This Row],[ (S/S) SAR]]</f>
        <v/>
      </c>
      <c r="L337" s="45" t="n"/>
      <c r="M337" s="46" t="n"/>
      <c r="N337" s="46" t="n"/>
      <c r="O337" s="40" t="n"/>
      <c r="P337" s="9">
        <f>Table6[[#This Row],[ (S/S) SAR]]-Table6[[#This Row],[(S/S) AJD]]</f>
        <v/>
      </c>
      <c r="Q337" s="40" t="n"/>
      <c r="R337" s="9">
        <f>Table6[[#This Row],[ (T/B) SAR]]-Table6[[#This Row],[(T/B) AJD]]</f>
        <v/>
      </c>
      <c r="S337" s="9">
        <f>Table6[[#This Row],[S/S_CON.]]+Table6[[#This Row],[T/B-CON.]]</f>
        <v/>
      </c>
      <c r="T337" s="9">
        <f>O337+Q337</f>
        <v/>
      </c>
      <c r="U337" s="44" t="n"/>
      <c r="V337" s="44" t="n"/>
      <c r="W337" s="9">
        <f>U337+V337</f>
        <v/>
      </c>
      <c r="X337" s="9">
        <f>T337-W337</f>
        <v/>
      </c>
      <c r="Y337" s="44" t="n"/>
      <c r="Z337" s="45" t="n"/>
      <c r="AA337" s="3">
        <f>Table6[[#This Row],[(RESV. STORGE) AJD]]/10</f>
        <v/>
      </c>
      <c r="AB337" s="3">
        <f>IF(TRIM(Z337)="",,(Z337-Z336)/1000)</f>
        <v/>
      </c>
      <c r="AC337" s="5" t="n"/>
      <c r="AD337" s="40">
        <f>(Table6[[#This Row],[( S/S+T/B) AJD]]*1000)-((Table6[[#This Row],[(STORGE DIFF.) AJD]]*1000)+Table6[[#This Row],[AJD_Evaporation]]+(Table6[[#This Row],[(A/B + A/S) AJD]]*1000))</f>
        <v/>
      </c>
      <c r="AE337" s="44" t="n"/>
      <c r="AF337" s="45" t="n"/>
      <c r="AG337" s="45" t="n"/>
      <c r="AH337" s="6">
        <f>Table6[[#This Row],[ (RESV. STORGE) BER]]/10</f>
        <v/>
      </c>
      <c r="AI337" s="44" t="n"/>
      <c r="AJ337" s="45">
        <f>Table6[[#This Row],[(A/B) AJD]]-TABL12345[[#This Row],[BER_IN]]</f>
        <v/>
      </c>
      <c r="AK337" s="45" t="n"/>
      <c r="AL337" s="45" t="n"/>
      <c r="AM337" s="32" t="n"/>
      <c r="AN337" s="32">
        <f>Table6[[#This Row],[ (RESV. STORGE) SER]]/10</f>
        <v/>
      </c>
      <c r="AO337" s="68" t="n"/>
      <c r="AP337" s="99">
        <f>Table6[[#This Row],[(A/S) AJD]]-Table6[[#This Row],[SER_IN]]</f>
        <v/>
      </c>
    </row>
    <row r="338" ht="18.75" customHeight="1">
      <c r="A338" s="98" t="n">
        <v>47820</v>
      </c>
      <c r="B338" s="41" t="n"/>
      <c r="C338" s="41" t="n"/>
      <c r="D338" s="41" t="n"/>
      <c r="E338" s="41" t="n"/>
      <c r="F338" s="41" t="n"/>
      <c r="G338" s="39" t="n"/>
      <c r="H338" s="41" t="n"/>
      <c r="I338" s="39" t="n"/>
      <c r="J338" s="39" t="n"/>
      <c r="K338" s="28">
        <f>Table6[[#This Row],[ (T/B) SAR]]+Table6[[#This Row],[ (S/S) SAR]]</f>
        <v/>
      </c>
      <c r="L338" s="41" t="n"/>
      <c r="M338" s="42" t="n"/>
      <c r="N338" s="42" t="n"/>
      <c r="O338" s="39" t="n"/>
      <c r="P338" s="9">
        <f>Table6[[#This Row],[ (S/S) SAR]]-Table6[[#This Row],[(S/S) AJD]]</f>
        <v/>
      </c>
      <c r="Q338" s="39" t="n"/>
      <c r="R338" s="9">
        <f>Table6[[#This Row],[ (T/B) SAR]]-Table6[[#This Row],[(T/B) AJD]]</f>
        <v/>
      </c>
      <c r="S338" s="9">
        <f>Table6[[#This Row],[S/S_CON.]]+Table6[[#This Row],[T/B-CON.]]</f>
        <v/>
      </c>
      <c r="T338" s="9">
        <f>O338+Q338</f>
        <v/>
      </c>
      <c r="U338" s="41" t="n"/>
      <c r="V338" s="41" t="n"/>
      <c r="W338" s="9">
        <f>U338+V338</f>
        <v/>
      </c>
      <c r="X338" s="9">
        <f>T338-W338</f>
        <v/>
      </c>
      <c r="Y338" s="41" t="n"/>
      <c r="Z338" s="43" t="n"/>
      <c r="AA338" s="3">
        <f>Table6[[#This Row],[(RESV. STORGE) AJD]]/10</f>
        <v/>
      </c>
      <c r="AB338" s="3">
        <f>IF(TRIM(Z338)="",,(Z338-Z337)/1000)</f>
        <v/>
      </c>
      <c r="AC338" s="5" t="n"/>
      <c r="AD338" s="39">
        <f>(Table6[[#This Row],[( S/S+T/B) AJD]]*1000)-((Table6[[#This Row],[(STORGE DIFF.) AJD]]*1000)+Table6[[#This Row],[AJD_Evaporation]]+(Table6[[#This Row],[(A/B + A/S) AJD]]*1000))</f>
        <v/>
      </c>
      <c r="AE338" s="41" t="n"/>
      <c r="AF338" s="43" t="n"/>
      <c r="AG338" s="43" t="n"/>
      <c r="AH338" s="6">
        <f>Table6[[#This Row],[ (RESV. STORGE) BER]]/10</f>
        <v/>
      </c>
      <c r="AI338" s="41" t="n"/>
      <c r="AJ338" s="43">
        <f>Table6[[#This Row],[(A/B) AJD]]-TABL12345[[#This Row],[BER_IN]]</f>
        <v/>
      </c>
      <c r="AK338" s="43" t="n"/>
      <c r="AL338" s="43" t="n"/>
      <c r="AM338" s="32" t="n"/>
      <c r="AN338" s="32">
        <f>Table6[[#This Row],[ (RESV. STORGE) SER]]/10</f>
        <v/>
      </c>
      <c r="AO338" s="68" t="n"/>
      <c r="AP338" s="99">
        <f>Table6[[#This Row],[(A/S) AJD]]-Table6[[#This Row],[SER_IN]]</f>
        <v/>
      </c>
    </row>
    <row r="339" ht="18.75" customHeight="1">
      <c r="A339" s="98" t="n">
        <v>47821</v>
      </c>
      <c r="B339" s="44" t="n"/>
      <c r="C339" s="44" t="n"/>
      <c r="D339" s="44" t="n"/>
      <c r="E339" s="44" t="n"/>
      <c r="F339" s="44" t="n"/>
      <c r="G339" s="40" t="n"/>
      <c r="H339" s="44" t="n"/>
      <c r="I339" s="40" t="n"/>
      <c r="J339" s="44" t="n"/>
      <c r="K339" s="28">
        <f>Table6[[#This Row],[ (T/B) SAR]]+Table6[[#This Row],[ (S/S) SAR]]</f>
        <v/>
      </c>
      <c r="L339" s="45" t="n"/>
      <c r="M339" s="46" t="n"/>
      <c r="N339" s="46" t="n"/>
      <c r="O339" s="40" t="n"/>
      <c r="P339" s="9">
        <f>Table6[[#This Row],[ (S/S) SAR]]-Table6[[#This Row],[(S/S) AJD]]</f>
        <v/>
      </c>
      <c r="Q339" s="40" t="n"/>
      <c r="R339" s="9">
        <f>Table6[[#This Row],[ (T/B) SAR]]-Table6[[#This Row],[(T/B) AJD]]</f>
        <v/>
      </c>
      <c r="S339" s="9">
        <f>Table6[[#This Row],[S/S_CON.]]+Table6[[#This Row],[T/B-CON.]]</f>
        <v/>
      </c>
      <c r="T339" s="9">
        <f>O339+Q339</f>
        <v/>
      </c>
      <c r="U339" s="44" t="n"/>
      <c r="V339" s="47" t="n"/>
      <c r="W339" s="9">
        <f>U339+V339</f>
        <v/>
      </c>
      <c r="X339" s="9">
        <f>T339-W339</f>
        <v/>
      </c>
      <c r="Y339" s="44" t="n"/>
      <c r="Z339" s="45" t="n"/>
      <c r="AA339" s="3">
        <f>Table6[[#This Row],[(RESV. STORGE) AJD]]/10</f>
        <v/>
      </c>
      <c r="AB339" s="3">
        <f>IF(TRIM(Z339)="",,(Z339-Z338)/1000)</f>
        <v/>
      </c>
      <c r="AC339" s="5" t="n"/>
      <c r="AD339" s="40">
        <f>(Table6[[#This Row],[( S/S+T/B) AJD]]*1000)-((Table6[[#This Row],[(STORGE DIFF.) AJD]]*1000)+Table6[[#This Row],[AJD_Evaporation]]+(Table6[[#This Row],[(A/B + A/S) AJD]]*1000))</f>
        <v/>
      </c>
      <c r="AE339" s="44" t="n"/>
      <c r="AF339" s="45" t="n"/>
      <c r="AG339" s="45" t="n"/>
      <c r="AH339" s="6">
        <f>Table6[[#This Row],[ (RESV. STORGE) BER]]/10</f>
        <v/>
      </c>
      <c r="AI339" s="44" t="n"/>
      <c r="AJ339" s="45">
        <f>Table6[[#This Row],[(A/B) AJD]]-TABL12345[[#This Row],[BER_IN]]</f>
        <v/>
      </c>
      <c r="AK339" s="45" t="n"/>
      <c r="AL339" s="45" t="n"/>
      <c r="AM339" s="32" t="n"/>
      <c r="AN339" s="32">
        <f>Table6[[#This Row],[ (RESV. STORGE) SER]]/10</f>
        <v/>
      </c>
      <c r="AO339" s="68" t="n"/>
      <c r="AP339" s="99">
        <f>Table6[[#This Row],[(A/S) AJD]]-Table6[[#This Row],[SER_IN]]</f>
        <v/>
      </c>
    </row>
    <row r="340" ht="18.75" customHeight="1">
      <c r="A340" s="98" t="n">
        <v>47822</v>
      </c>
      <c r="B340" s="41" t="n"/>
      <c r="C340" s="41" t="n"/>
      <c r="D340" s="41" t="n"/>
      <c r="E340" s="41" t="n"/>
      <c r="F340" s="41" t="n"/>
      <c r="G340" s="39" t="n"/>
      <c r="H340" s="41" t="n"/>
      <c r="I340" s="39" t="n"/>
      <c r="J340" s="39" t="n"/>
      <c r="K340" s="28">
        <f>Table6[[#This Row],[ (T/B) SAR]]+Table6[[#This Row],[ (S/S) SAR]]</f>
        <v/>
      </c>
      <c r="L340" s="41" t="n"/>
      <c r="M340" s="42" t="n"/>
      <c r="N340" s="42" t="n"/>
      <c r="O340" s="39" t="n"/>
      <c r="P340" s="9">
        <f>Table6[[#This Row],[ (S/S) SAR]]-Table6[[#This Row],[(S/S) AJD]]</f>
        <v/>
      </c>
      <c r="Q340" s="39" t="n"/>
      <c r="R340" s="9">
        <f>Table6[[#This Row],[ (T/B) SAR]]-Table6[[#This Row],[(T/B) AJD]]</f>
        <v/>
      </c>
      <c r="S340" s="9">
        <f>Table6[[#This Row],[S/S_CON.]]+Table6[[#This Row],[T/B-CON.]]</f>
        <v/>
      </c>
      <c r="T340" s="9">
        <f>O340+Q340</f>
        <v/>
      </c>
      <c r="U340" s="41" t="n"/>
      <c r="V340" s="41" t="n"/>
      <c r="W340" s="9">
        <f>U340+V340</f>
        <v/>
      </c>
      <c r="X340" s="9">
        <f>T340-W340</f>
        <v/>
      </c>
      <c r="Y340" s="41" t="n"/>
      <c r="Z340" s="43" t="n"/>
      <c r="AA340" s="3">
        <f>Table6[[#This Row],[(RESV. STORGE) AJD]]/10</f>
        <v/>
      </c>
      <c r="AB340" s="3">
        <f>IF(TRIM(Z340)="",,(Z340-Z339)/1000)</f>
        <v/>
      </c>
      <c r="AC340" s="5" t="n"/>
      <c r="AD340" s="39">
        <f>(Table6[[#This Row],[( S/S+T/B) AJD]]*1000)-((Table6[[#This Row],[(STORGE DIFF.) AJD]]*1000)+Table6[[#This Row],[AJD_Evaporation]]+(Table6[[#This Row],[(A/B + A/S) AJD]]*1000))</f>
        <v/>
      </c>
      <c r="AE340" s="41" t="n"/>
      <c r="AF340" s="43" t="n"/>
      <c r="AG340" s="43" t="n"/>
      <c r="AH340" s="6">
        <f>Table6[[#This Row],[ (RESV. STORGE) BER]]/10</f>
        <v/>
      </c>
      <c r="AI340" s="41" t="n"/>
      <c r="AJ340" s="43">
        <f>Table6[[#This Row],[(A/B) AJD]]-TABL12345[[#This Row],[BER_IN]]</f>
        <v/>
      </c>
      <c r="AK340" s="43" t="n"/>
      <c r="AL340" s="43" t="n"/>
      <c r="AM340" s="32" t="n"/>
      <c r="AN340" s="32">
        <f>Table6[[#This Row],[ (RESV. STORGE) SER]]/10</f>
        <v/>
      </c>
      <c r="AO340" s="68" t="n"/>
      <c r="AP340" s="99">
        <f>Table6[[#This Row],[(A/S) AJD]]-Table6[[#This Row],[SER_IN]]</f>
        <v/>
      </c>
    </row>
    <row r="341" ht="18.75" customHeight="1">
      <c r="A341" s="98" t="n">
        <v>47823</v>
      </c>
      <c r="B341" s="44" t="n"/>
      <c r="C341" s="44" t="n"/>
      <c r="D341" s="44" t="n"/>
      <c r="E341" s="44" t="n"/>
      <c r="F341" s="44" t="n"/>
      <c r="G341" s="40" t="n"/>
      <c r="H341" s="44" t="n"/>
      <c r="I341" s="40" t="n"/>
      <c r="J341" s="44" t="n"/>
      <c r="K341" s="28">
        <f>Table6[[#This Row],[ (T/B) SAR]]+Table6[[#This Row],[ (S/S) SAR]]</f>
        <v/>
      </c>
      <c r="L341" s="45" t="n"/>
      <c r="M341" s="46" t="n"/>
      <c r="N341" s="46" t="n"/>
      <c r="O341" s="40" t="n"/>
      <c r="P341" s="9">
        <f>Table6[[#This Row],[ (S/S) SAR]]-Table6[[#This Row],[(S/S) AJD]]</f>
        <v/>
      </c>
      <c r="Q341" s="40" t="n"/>
      <c r="R341" s="9">
        <f>Table6[[#This Row],[ (T/B) SAR]]-Table6[[#This Row],[(T/B) AJD]]</f>
        <v/>
      </c>
      <c r="S341" s="9">
        <f>Table6[[#This Row],[S/S_CON.]]+Table6[[#This Row],[T/B-CON.]]</f>
        <v/>
      </c>
      <c r="T341" s="9">
        <f>O341+Q341</f>
        <v/>
      </c>
      <c r="U341" s="44" t="n"/>
      <c r="V341" s="44" t="n"/>
      <c r="W341" s="9">
        <f>U341+V341</f>
        <v/>
      </c>
      <c r="X341" s="9">
        <f>T341-W341</f>
        <v/>
      </c>
      <c r="Y341" s="44" t="n"/>
      <c r="Z341" s="45" t="n"/>
      <c r="AA341" s="3">
        <f>Table6[[#This Row],[(RESV. STORGE) AJD]]/10</f>
        <v/>
      </c>
      <c r="AB341" s="3">
        <f>IF(TRIM(Z341)="",,(Z341-Z340)/1000)</f>
        <v/>
      </c>
      <c r="AC341" s="5" t="n"/>
      <c r="AD341" s="40">
        <f>(Table6[[#This Row],[( S/S+T/B) AJD]]*1000)-((Table6[[#This Row],[(STORGE DIFF.) AJD]]*1000)+Table6[[#This Row],[AJD_Evaporation]]+(Table6[[#This Row],[(A/B + A/S) AJD]]*1000))</f>
        <v/>
      </c>
      <c r="AE341" s="44" t="n"/>
      <c r="AF341" s="45" t="n"/>
      <c r="AG341" s="45" t="n"/>
      <c r="AH341" s="6">
        <f>Table6[[#This Row],[ (RESV. STORGE) BER]]/10</f>
        <v/>
      </c>
      <c r="AI341" s="44" t="n"/>
      <c r="AJ341" s="45">
        <f>Table6[[#This Row],[(A/B) AJD]]-TABL12345[[#This Row],[BER_IN]]</f>
        <v/>
      </c>
      <c r="AK341" s="45" t="n"/>
      <c r="AL341" s="45" t="n"/>
      <c r="AM341" s="32" t="n"/>
      <c r="AN341" s="32">
        <f>Table6[[#This Row],[ (RESV. STORGE) SER]]/10</f>
        <v/>
      </c>
      <c r="AO341" s="68" t="n"/>
      <c r="AP341" s="99">
        <f>Table6[[#This Row],[(A/S) AJD]]-Table6[[#This Row],[SER_IN]]</f>
        <v/>
      </c>
    </row>
    <row r="342" ht="18.75" customHeight="1">
      <c r="A342" s="98" t="n">
        <v>47824</v>
      </c>
      <c r="B342" s="41" t="n"/>
      <c r="C342" s="41" t="n"/>
      <c r="D342" s="41" t="n"/>
      <c r="E342" s="41" t="n"/>
      <c r="F342" s="41" t="n"/>
      <c r="G342" s="39" t="n"/>
      <c r="H342" s="41" t="n"/>
      <c r="I342" s="39" t="n"/>
      <c r="J342" s="39" t="n"/>
      <c r="K342" s="28">
        <f>Table6[[#This Row],[ (T/B) SAR]]+Table6[[#This Row],[ (S/S) SAR]]</f>
        <v/>
      </c>
      <c r="L342" s="41" t="n"/>
      <c r="M342" s="42" t="n"/>
      <c r="N342" s="42" t="n"/>
      <c r="O342" s="39" t="n"/>
      <c r="P342" s="9">
        <f>Table6[[#This Row],[ (S/S) SAR]]-Table6[[#This Row],[(S/S) AJD]]</f>
        <v/>
      </c>
      <c r="Q342" s="39" t="n"/>
      <c r="R342" s="9">
        <f>Table6[[#This Row],[ (T/B) SAR]]-Table6[[#This Row],[(T/B) AJD]]</f>
        <v/>
      </c>
      <c r="S342" s="9">
        <f>Table6[[#This Row],[S/S_CON.]]+Table6[[#This Row],[T/B-CON.]]</f>
        <v/>
      </c>
      <c r="T342" s="9">
        <f>O342+Q342</f>
        <v/>
      </c>
      <c r="U342" s="41" t="n"/>
      <c r="V342" s="41" t="n"/>
      <c r="W342" s="9">
        <f>U342+V342</f>
        <v/>
      </c>
      <c r="X342" s="9">
        <f>T342-W342</f>
        <v/>
      </c>
      <c r="Y342" s="41" t="n"/>
      <c r="Z342" s="43" t="n"/>
      <c r="AA342" s="3">
        <f>Table6[[#This Row],[(RESV. STORGE) AJD]]/10</f>
        <v/>
      </c>
      <c r="AB342" s="3">
        <f>IF(TRIM(Z342)="",,(Z342-Z341)/1000)</f>
        <v/>
      </c>
      <c r="AC342" s="5" t="n"/>
      <c r="AD342" s="39">
        <f>(Table6[[#This Row],[( S/S+T/B) AJD]]*1000)-((Table6[[#This Row],[(STORGE DIFF.) AJD]]*1000)+Table6[[#This Row],[AJD_Evaporation]]+(Table6[[#This Row],[(A/B + A/S) AJD]]*1000))</f>
        <v/>
      </c>
      <c r="AE342" s="41" t="n"/>
      <c r="AF342" s="43" t="n"/>
      <c r="AG342" s="43" t="n"/>
      <c r="AH342" s="6">
        <f>Table6[[#This Row],[ (RESV. STORGE) BER]]/10</f>
        <v/>
      </c>
      <c r="AI342" s="41" t="n"/>
      <c r="AJ342" s="43">
        <f>Table6[[#This Row],[(A/B) AJD]]-TABL12345[[#This Row],[BER_IN]]</f>
        <v/>
      </c>
      <c r="AK342" s="43" t="n"/>
      <c r="AL342" s="43" t="n"/>
      <c r="AM342" s="32" t="n"/>
      <c r="AN342" s="32">
        <f>Table6[[#This Row],[ (RESV. STORGE) SER]]/10</f>
        <v/>
      </c>
      <c r="AO342" s="68" t="n"/>
      <c r="AP342" s="99">
        <f>Table6[[#This Row],[(A/S) AJD]]-Table6[[#This Row],[SER_IN]]</f>
        <v/>
      </c>
    </row>
    <row r="343" ht="18.75" customHeight="1">
      <c r="A343" s="98" t="n">
        <v>47825</v>
      </c>
      <c r="B343" s="44" t="n"/>
      <c r="C343" s="44" t="n"/>
      <c r="D343" s="44" t="n"/>
      <c r="E343" s="44" t="n"/>
      <c r="F343" s="44" t="n"/>
      <c r="G343" s="40" t="n"/>
      <c r="H343" s="44" t="n"/>
      <c r="I343" s="40" t="n"/>
      <c r="J343" s="44" t="n"/>
      <c r="K343" s="28">
        <f>Table6[[#This Row],[ (T/B) SAR]]+Table6[[#This Row],[ (S/S) SAR]]</f>
        <v/>
      </c>
      <c r="L343" s="45" t="n"/>
      <c r="M343" s="46" t="n"/>
      <c r="N343" s="46" t="n"/>
      <c r="O343" s="40" t="n"/>
      <c r="P343" s="9">
        <f>Table6[[#This Row],[ (S/S) SAR]]-Table6[[#This Row],[(S/S) AJD]]</f>
        <v/>
      </c>
      <c r="Q343" s="40" t="n"/>
      <c r="R343" s="9">
        <f>Table6[[#This Row],[ (T/B) SAR]]-Table6[[#This Row],[(T/B) AJD]]</f>
        <v/>
      </c>
      <c r="S343" s="9">
        <f>Table6[[#This Row],[S/S_CON.]]+Table6[[#This Row],[T/B-CON.]]</f>
        <v/>
      </c>
      <c r="T343" s="9">
        <f>O343+Q343</f>
        <v/>
      </c>
      <c r="U343" s="44" t="n"/>
      <c r="V343" s="44" t="n"/>
      <c r="W343" s="9">
        <f>U343+V343</f>
        <v/>
      </c>
      <c r="X343" s="9">
        <f>T343-W343</f>
        <v/>
      </c>
      <c r="Y343" s="44" t="n"/>
      <c r="Z343" s="45" t="n"/>
      <c r="AA343" s="3">
        <f>Table6[[#This Row],[(RESV. STORGE) AJD]]/10</f>
        <v/>
      </c>
      <c r="AB343" s="3">
        <f>IF(TRIM(Z343)="",,(Z343-Z342)/1000)</f>
        <v/>
      </c>
      <c r="AC343" s="5" t="n"/>
      <c r="AD343" s="40">
        <f>(Table6[[#This Row],[( S/S+T/B) AJD]]*1000)-((Table6[[#This Row],[(STORGE DIFF.) AJD]]*1000)+Table6[[#This Row],[AJD_Evaporation]]+(Table6[[#This Row],[(A/B + A/S) AJD]]*1000))</f>
        <v/>
      </c>
      <c r="AE343" s="44" t="n"/>
      <c r="AF343" s="45" t="n"/>
      <c r="AG343" s="45" t="n"/>
      <c r="AH343" s="6">
        <f>Table6[[#This Row],[ (RESV. STORGE) BER]]/10</f>
        <v/>
      </c>
      <c r="AI343" s="44" t="n"/>
      <c r="AJ343" s="45">
        <f>Table6[[#This Row],[(A/B) AJD]]-TABL12345[[#This Row],[BER_IN]]</f>
        <v/>
      </c>
      <c r="AK343" s="45" t="n"/>
      <c r="AL343" s="45" t="n"/>
      <c r="AM343" s="32" t="n"/>
      <c r="AN343" s="32">
        <f>Table6[[#This Row],[ (RESV. STORGE) SER]]/10</f>
        <v/>
      </c>
      <c r="AO343" s="68" t="n"/>
      <c r="AP343" s="99">
        <f>Table6[[#This Row],[(A/S) AJD]]-Table6[[#This Row],[SER_IN]]</f>
        <v/>
      </c>
    </row>
    <row r="344" ht="18.75" customHeight="1">
      <c r="A344" s="98" t="n">
        <v>47826</v>
      </c>
      <c r="B344" s="41" t="n"/>
      <c r="C344" s="41" t="n"/>
      <c r="D344" s="41" t="n"/>
      <c r="E344" s="41" t="n"/>
      <c r="F344" s="41" t="n"/>
      <c r="G344" s="39" t="n"/>
      <c r="H344" s="41" t="n"/>
      <c r="I344" s="39" t="n"/>
      <c r="J344" s="39" t="n"/>
      <c r="K344" s="28">
        <f>Table6[[#This Row],[ (T/B) SAR]]+Table6[[#This Row],[ (S/S) SAR]]</f>
        <v/>
      </c>
      <c r="L344" s="41" t="n"/>
      <c r="M344" s="42" t="n"/>
      <c r="N344" s="42" t="n"/>
      <c r="O344" s="39" t="n"/>
      <c r="P344" s="9">
        <f>Table6[[#This Row],[ (S/S) SAR]]-Table6[[#This Row],[(S/S) AJD]]</f>
        <v/>
      </c>
      <c r="Q344" s="39" t="n"/>
      <c r="R344" s="9">
        <f>Table6[[#This Row],[ (T/B) SAR]]-Table6[[#This Row],[(T/B) AJD]]</f>
        <v/>
      </c>
      <c r="S344" s="9">
        <f>Table6[[#This Row],[S/S_CON.]]+Table6[[#This Row],[T/B-CON.]]</f>
        <v/>
      </c>
      <c r="T344" s="9">
        <f>O344+Q344</f>
        <v/>
      </c>
      <c r="U344" s="41" t="n"/>
      <c r="V344" s="41" t="n"/>
      <c r="W344" s="9">
        <f>U344+V344</f>
        <v/>
      </c>
      <c r="X344" s="9">
        <f>T344-W344</f>
        <v/>
      </c>
      <c r="Y344" s="41" t="n"/>
      <c r="Z344" s="43" t="n"/>
      <c r="AA344" s="3">
        <f>Table6[[#This Row],[(RESV. STORGE) AJD]]/10</f>
        <v/>
      </c>
      <c r="AB344" s="3">
        <f>IF(TRIM(Z344)="",,(Z344-Z343)/1000)</f>
        <v/>
      </c>
      <c r="AC344" s="5" t="n"/>
      <c r="AD344" s="39">
        <f>(Table6[[#This Row],[( S/S+T/B) AJD]]*1000)-((Table6[[#This Row],[(STORGE DIFF.) AJD]]*1000)+Table6[[#This Row],[AJD_Evaporation]]+(Table6[[#This Row],[(A/B + A/S) AJD]]*1000))</f>
        <v/>
      </c>
      <c r="AE344" s="41" t="n"/>
      <c r="AF344" s="43" t="n"/>
      <c r="AG344" s="43" t="n"/>
      <c r="AH344" s="6">
        <f>Table6[[#This Row],[ (RESV. STORGE) BER]]/10</f>
        <v/>
      </c>
      <c r="AI344" s="41" t="n"/>
      <c r="AJ344" s="43">
        <f>Table6[[#This Row],[(A/B) AJD]]-TABL12345[[#This Row],[BER_IN]]</f>
        <v/>
      </c>
      <c r="AK344" s="43" t="n"/>
      <c r="AL344" s="43" t="n"/>
      <c r="AM344" s="32" t="n"/>
      <c r="AN344" s="32">
        <f>Table6[[#This Row],[ (RESV. STORGE) SER]]/10</f>
        <v/>
      </c>
      <c r="AO344" s="68" t="n"/>
      <c r="AP344" s="99">
        <f>Table6[[#This Row],[(A/S) AJD]]-Table6[[#This Row],[SER_IN]]</f>
        <v/>
      </c>
    </row>
    <row r="345" ht="18.75" customHeight="1">
      <c r="A345" s="98" t="n">
        <v>47827</v>
      </c>
      <c r="B345" s="44" t="n"/>
      <c r="C345" s="44" t="n"/>
      <c r="D345" s="44" t="n"/>
      <c r="E345" s="44" t="n"/>
      <c r="F345" s="44" t="n"/>
      <c r="G345" s="40" t="n"/>
      <c r="H345" s="44" t="n"/>
      <c r="I345" s="40" t="n"/>
      <c r="J345" s="44" t="n"/>
      <c r="K345" s="28">
        <f>Table6[[#This Row],[ (T/B) SAR]]+Table6[[#This Row],[ (S/S) SAR]]</f>
        <v/>
      </c>
      <c r="L345" s="45" t="n"/>
      <c r="M345" s="46" t="n"/>
      <c r="N345" s="46" t="n"/>
      <c r="O345" s="40" t="n"/>
      <c r="P345" s="9">
        <f>Table6[[#This Row],[ (S/S) SAR]]-Table6[[#This Row],[(S/S) AJD]]</f>
        <v/>
      </c>
      <c r="Q345" s="40" t="n"/>
      <c r="R345" s="9">
        <f>Table6[[#This Row],[ (T/B) SAR]]-Table6[[#This Row],[(T/B) AJD]]</f>
        <v/>
      </c>
      <c r="S345" s="9">
        <f>Table6[[#This Row],[S/S_CON.]]+Table6[[#This Row],[T/B-CON.]]</f>
        <v/>
      </c>
      <c r="T345" s="9">
        <f>O345+Q345</f>
        <v/>
      </c>
      <c r="U345" s="44" t="n"/>
      <c r="V345" s="44" t="n"/>
      <c r="W345" s="9">
        <f>U345+V345</f>
        <v/>
      </c>
      <c r="X345" s="9">
        <f>T345-W345</f>
        <v/>
      </c>
      <c r="Y345" s="44" t="n"/>
      <c r="Z345" s="45" t="n"/>
      <c r="AA345" s="3">
        <f>Table6[[#This Row],[(RESV. STORGE) AJD]]/10</f>
        <v/>
      </c>
      <c r="AB345" s="3">
        <f>IF(TRIM(Z345)="",,(Z345-Z344)/1000)</f>
        <v/>
      </c>
      <c r="AC345" s="5" t="n"/>
      <c r="AD345" s="40">
        <f>(Table6[[#This Row],[( S/S+T/B) AJD]]*1000)-((Table6[[#This Row],[(STORGE DIFF.) AJD]]*1000)+Table6[[#This Row],[AJD_Evaporation]]+(Table6[[#This Row],[(A/B + A/S) AJD]]*1000))</f>
        <v/>
      </c>
      <c r="AE345" s="44" t="n"/>
      <c r="AF345" s="45" t="n"/>
      <c r="AG345" s="45" t="n"/>
      <c r="AH345" s="6">
        <f>Table6[[#This Row],[ (RESV. STORGE) BER]]/10</f>
        <v/>
      </c>
      <c r="AI345" s="44" t="n"/>
      <c r="AJ345" s="45">
        <f>Table6[[#This Row],[(A/B) AJD]]-TABL12345[[#This Row],[BER_IN]]</f>
        <v/>
      </c>
      <c r="AK345" s="45" t="n"/>
      <c r="AL345" s="45" t="n"/>
      <c r="AM345" s="32" t="n"/>
      <c r="AN345" s="32">
        <f>Table6[[#This Row],[ (RESV. STORGE) SER]]/10</f>
        <v/>
      </c>
      <c r="AO345" s="68" t="n"/>
      <c r="AP345" s="99">
        <f>Table6[[#This Row],[(A/S) AJD]]-Table6[[#This Row],[SER_IN]]</f>
        <v/>
      </c>
    </row>
    <row r="346" ht="18.75" customHeight="1">
      <c r="A346" s="98" t="n">
        <v>47828</v>
      </c>
      <c r="B346" s="41" t="n"/>
      <c r="C346" s="41" t="n"/>
      <c r="D346" s="41" t="n"/>
      <c r="E346" s="41" t="n"/>
      <c r="F346" s="41" t="n"/>
      <c r="G346" s="39" t="n"/>
      <c r="H346" s="41" t="n"/>
      <c r="I346" s="39" t="n"/>
      <c r="J346" s="39" t="n"/>
      <c r="K346" s="28">
        <f>Table6[[#This Row],[ (T/B) SAR]]+Table6[[#This Row],[ (S/S) SAR]]</f>
        <v/>
      </c>
      <c r="L346" s="41" t="n"/>
      <c r="M346" s="42" t="n"/>
      <c r="N346" s="42" t="n"/>
      <c r="O346" s="39" t="n"/>
      <c r="P346" s="9">
        <f>Table6[[#This Row],[ (S/S) SAR]]-Table6[[#This Row],[(S/S) AJD]]</f>
        <v/>
      </c>
      <c r="Q346" s="39" t="n"/>
      <c r="R346" s="9">
        <f>Table6[[#This Row],[ (T/B) SAR]]-Table6[[#This Row],[(T/B) AJD]]</f>
        <v/>
      </c>
      <c r="S346" s="9">
        <f>Table6[[#This Row],[S/S_CON.]]+Table6[[#This Row],[T/B-CON.]]</f>
        <v/>
      </c>
      <c r="T346" s="9">
        <f>O346+Q346</f>
        <v/>
      </c>
      <c r="U346" s="41" t="n"/>
      <c r="V346" s="41" t="n"/>
      <c r="W346" s="9">
        <f>U346+V346</f>
        <v/>
      </c>
      <c r="X346" s="9">
        <f>T346-W346</f>
        <v/>
      </c>
      <c r="Y346" s="41" t="n"/>
      <c r="Z346" s="43" t="n"/>
      <c r="AA346" s="3">
        <f>Table6[[#This Row],[(RESV. STORGE) AJD]]/10</f>
        <v/>
      </c>
      <c r="AB346" s="3">
        <f>IF(TRIM(Z346)="",,(Z346-Z345)/1000)</f>
        <v/>
      </c>
      <c r="AC346" s="5" t="n"/>
      <c r="AD346" s="39">
        <f>(Table6[[#This Row],[( S/S+T/B) AJD]]*1000)-((Table6[[#This Row],[(STORGE DIFF.) AJD]]*1000)+Table6[[#This Row],[AJD_Evaporation]]+(Table6[[#This Row],[(A/B + A/S) AJD]]*1000))</f>
        <v/>
      </c>
      <c r="AE346" s="41" t="n"/>
      <c r="AF346" s="43" t="n"/>
      <c r="AG346" s="48" t="n"/>
      <c r="AH346" s="6">
        <f>Table6[[#This Row],[ (RESV. STORGE) BER]]/10</f>
        <v/>
      </c>
      <c r="AI346" s="41" t="n"/>
      <c r="AJ346" s="48">
        <f>Table6[[#This Row],[(A/B) AJD]]-TABL12345[[#This Row],[BER_IN]]</f>
        <v/>
      </c>
      <c r="AK346" s="43" t="n"/>
      <c r="AL346" s="43" t="n"/>
      <c r="AM346" s="32" t="n"/>
      <c r="AN346" s="32">
        <f>Table6[[#This Row],[ (RESV. STORGE) SER]]/10</f>
        <v/>
      </c>
      <c r="AO346" s="68" t="n"/>
      <c r="AP346" s="99">
        <f>Table6[[#This Row],[(A/S) AJD]]-Table6[[#This Row],[SER_IN]]</f>
        <v/>
      </c>
    </row>
    <row r="347" ht="18.75" customHeight="1">
      <c r="A347" s="98" t="n">
        <v>47829</v>
      </c>
      <c r="B347" s="44" t="n"/>
      <c r="C347" s="44" t="n"/>
      <c r="D347" s="44" t="n"/>
      <c r="E347" s="44" t="n"/>
      <c r="F347" s="44" t="n"/>
      <c r="G347" s="40" t="n"/>
      <c r="H347" s="44" t="n"/>
      <c r="I347" s="40" t="n"/>
      <c r="J347" s="44" t="n"/>
      <c r="K347" s="28">
        <f>Table6[[#This Row],[ (T/B) SAR]]+Table6[[#This Row],[ (S/S) SAR]]</f>
        <v/>
      </c>
      <c r="L347" s="45" t="n"/>
      <c r="M347" s="46" t="n"/>
      <c r="N347" s="46" t="n"/>
      <c r="O347" s="40" t="n"/>
      <c r="P347" s="9">
        <f>Table6[[#This Row],[ (S/S) SAR]]-Table6[[#This Row],[(S/S) AJD]]</f>
        <v/>
      </c>
      <c r="Q347" s="40" t="n"/>
      <c r="R347" s="9">
        <f>Table6[[#This Row],[ (T/B) SAR]]-Table6[[#This Row],[(T/B) AJD]]</f>
        <v/>
      </c>
      <c r="S347" s="9">
        <f>Table6[[#This Row],[S/S_CON.]]+Table6[[#This Row],[T/B-CON.]]</f>
        <v/>
      </c>
      <c r="T347" s="9">
        <f>O347+Q347</f>
        <v/>
      </c>
      <c r="U347" s="44" t="n"/>
      <c r="V347" s="44" t="n"/>
      <c r="W347" s="9">
        <f>U347+V347</f>
        <v/>
      </c>
      <c r="X347" s="9">
        <f>T347-W347</f>
        <v/>
      </c>
      <c r="Y347" s="44" t="n"/>
      <c r="Z347" s="45" t="n"/>
      <c r="AA347" s="3">
        <f>Table6[[#This Row],[(RESV. STORGE) AJD]]/10</f>
        <v/>
      </c>
      <c r="AB347" s="3">
        <f>IF(TRIM(Z347)="",,(Z347-Z346)/1000)</f>
        <v/>
      </c>
      <c r="AC347" s="5" t="n"/>
      <c r="AD347" s="40">
        <f>(Table6[[#This Row],[( S/S+T/B) AJD]]*1000)-((Table6[[#This Row],[(STORGE DIFF.) AJD]]*1000)+Table6[[#This Row],[AJD_Evaporation]]+(Table6[[#This Row],[(A/B + A/S) AJD]]*1000))</f>
        <v/>
      </c>
      <c r="AE347" s="44" t="n"/>
      <c r="AF347" s="45" t="n"/>
      <c r="AG347" s="45" t="n"/>
      <c r="AH347" s="6">
        <f>Table6[[#This Row],[ (RESV. STORGE) BER]]/10</f>
        <v/>
      </c>
      <c r="AI347" s="44" t="n"/>
      <c r="AJ347" s="45">
        <f>Table6[[#This Row],[(A/B) AJD]]-TABL12345[[#This Row],[BER_IN]]</f>
        <v/>
      </c>
      <c r="AK347" s="45" t="n"/>
      <c r="AL347" s="45" t="n"/>
      <c r="AM347" s="32" t="n"/>
      <c r="AN347" s="32">
        <f>Table6[[#This Row],[ (RESV. STORGE) SER]]/10</f>
        <v/>
      </c>
      <c r="AO347" s="68" t="n"/>
      <c r="AP347" s="99">
        <f>Table6[[#This Row],[(A/S) AJD]]-Table6[[#This Row],[SER_IN]]</f>
        <v/>
      </c>
    </row>
    <row r="348" ht="18.75" customHeight="1">
      <c r="A348" s="98" t="n">
        <v>47830</v>
      </c>
      <c r="B348" s="41" t="n"/>
      <c r="C348" s="41" t="n"/>
      <c r="D348" s="41" t="n"/>
      <c r="E348" s="41" t="n"/>
      <c r="F348" s="41" t="n"/>
      <c r="G348" s="39" t="n"/>
      <c r="H348" s="41" t="n"/>
      <c r="I348" s="39" t="n"/>
      <c r="J348" s="39" t="n"/>
      <c r="K348" s="28">
        <f>Table6[[#This Row],[ (T/B) SAR]]+Table6[[#This Row],[ (S/S) SAR]]</f>
        <v/>
      </c>
      <c r="L348" s="41" t="n"/>
      <c r="M348" s="42" t="n"/>
      <c r="N348" s="42" t="n"/>
      <c r="O348" s="39" t="n"/>
      <c r="P348" s="9">
        <f>Table6[[#This Row],[ (S/S) SAR]]-Table6[[#This Row],[(S/S) AJD]]</f>
        <v/>
      </c>
      <c r="Q348" s="39" t="n"/>
      <c r="R348" s="9">
        <f>Table6[[#This Row],[ (T/B) SAR]]-Table6[[#This Row],[(T/B) AJD]]</f>
        <v/>
      </c>
      <c r="S348" s="9">
        <f>Table6[[#This Row],[S/S_CON.]]+Table6[[#This Row],[T/B-CON.]]</f>
        <v/>
      </c>
      <c r="T348" s="9">
        <f>O348+Q348</f>
        <v/>
      </c>
      <c r="U348" s="41" t="n"/>
      <c r="V348" s="41" t="n"/>
      <c r="W348" s="9">
        <f>U348+V348</f>
        <v/>
      </c>
      <c r="X348" s="9">
        <f>T348-W348</f>
        <v/>
      </c>
      <c r="Y348" s="41" t="n"/>
      <c r="Z348" s="43" t="n"/>
      <c r="AA348" s="3">
        <f>Table6[[#This Row],[(RESV. STORGE) AJD]]/10</f>
        <v/>
      </c>
      <c r="AB348" s="3">
        <f>IF(TRIM(Z348)="",,(Z348-Z347)/1000)</f>
        <v/>
      </c>
      <c r="AC348" s="5" t="n"/>
      <c r="AD348" s="39">
        <f>(Table6[[#This Row],[( S/S+T/B) AJD]]*1000)-((Table6[[#This Row],[(STORGE DIFF.) AJD]]*1000)+Table6[[#This Row],[AJD_Evaporation]]+(Table6[[#This Row],[(A/B + A/S) AJD]]*1000))</f>
        <v/>
      </c>
      <c r="AE348" s="41" t="n"/>
      <c r="AF348" s="43" t="n"/>
      <c r="AG348" s="43" t="n"/>
      <c r="AH348" s="6">
        <f>Table6[[#This Row],[ (RESV. STORGE) BER]]/10</f>
        <v/>
      </c>
      <c r="AI348" s="41" t="n"/>
      <c r="AJ348" s="43">
        <f>Table6[[#This Row],[(A/B) AJD]]-TABL12345[[#This Row],[BER_IN]]</f>
        <v/>
      </c>
      <c r="AK348" s="43" t="n"/>
      <c r="AL348" s="43" t="n"/>
      <c r="AM348" s="32" t="n"/>
      <c r="AN348" s="32">
        <f>Table6[[#This Row],[ (RESV. STORGE) SER]]/10</f>
        <v/>
      </c>
      <c r="AO348" s="68" t="n"/>
      <c r="AP348" s="99">
        <f>Table6[[#This Row],[(A/S) AJD]]-Table6[[#This Row],[SER_IN]]</f>
        <v/>
      </c>
    </row>
    <row r="349" ht="18.75" customHeight="1">
      <c r="A349" s="98" t="n">
        <v>47831</v>
      </c>
      <c r="B349" s="44" t="n"/>
      <c r="C349" s="44" t="n"/>
      <c r="D349" s="44" t="n"/>
      <c r="E349" s="44" t="n"/>
      <c r="F349" s="44" t="n"/>
      <c r="G349" s="40" t="n"/>
      <c r="H349" s="44" t="n"/>
      <c r="I349" s="40" t="n"/>
      <c r="J349" s="44" t="n"/>
      <c r="K349" s="28">
        <f>Table6[[#This Row],[ (T/B) SAR]]+Table6[[#This Row],[ (S/S) SAR]]</f>
        <v/>
      </c>
      <c r="L349" s="45" t="n"/>
      <c r="M349" s="46" t="n"/>
      <c r="N349" s="46" t="n"/>
      <c r="O349" s="40" t="n"/>
      <c r="P349" s="9">
        <f>Table6[[#This Row],[ (S/S) SAR]]-Table6[[#This Row],[(S/S) AJD]]</f>
        <v/>
      </c>
      <c r="Q349" s="40" t="n"/>
      <c r="R349" s="9">
        <f>Table6[[#This Row],[ (T/B) SAR]]-Table6[[#This Row],[(T/B) AJD]]</f>
        <v/>
      </c>
      <c r="S349" s="9">
        <f>Table6[[#This Row],[S/S_CON.]]+Table6[[#This Row],[T/B-CON.]]</f>
        <v/>
      </c>
      <c r="T349" s="9">
        <f>O349+Q349</f>
        <v/>
      </c>
      <c r="U349" s="44" t="n"/>
      <c r="V349" s="44" t="n"/>
      <c r="W349" s="9">
        <f>U349+V349</f>
        <v/>
      </c>
      <c r="X349" s="9">
        <f>T349-W349</f>
        <v/>
      </c>
      <c r="Y349" s="44" t="n"/>
      <c r="Z349" s="45" t="n"/>
      <c r="AA349" s="3">
        <f>Table6[[#This Row],[(RESV. STORGE) AJD]]/10</f>
        <v/>
      </c>
      <c r="AB349" s="3">
        <f>IF(TRIM(Z349)="",,(Z349-Z348)/1000)</f>
        <v/>
      </c>
      <c r="AC349" s="5" t="n"/>
      <c r="AD349" s="40">
        <f>(Table6[[#This Row],[( S/S+T/B) AJD]]*1000)-((Table6[[#This Row],[(STORGE DIFF.) AJD]]*1000)+Table6[[#This Row],[AJD_Evaporation]]+(Table6[[#This Row],[(A/B + A/S) AJD]]*1000))</f>
        <v/>
      </c>
      <c r="AE349" s="44" t="n"/>
      <c r="AF349" s="45" t="n"/>
      <c r="AG349" s="45" t="n"/>
      <c r="AH349" s="6">
        <f>Table6[[#This Row],[ (RESV. STORGE) BER]]/10</f>
        <v/>
      </c>
      <c r="AI349" s="44" t="n"/>
      <c r="AJ349" s="45">
        <f>Table6[[#This Row],[(A/B) AJD]]-TABL12345[[#This Row],[BER_IN]]</f>
        <v/>
      </c>
      <c r="AK349" s="45" t="n"/>
      <c r="AL349" s="45" t="n"/>
      <c r="AM349" s="32" t="n"/>
      <c r="AN349" s="32">
        <f>Table6[[#This Row],[ (RESV. STORGE) SER]]/10</f>
        <v/>
      </c>
      <c r="AO349" s="68" t="n"/>
      <c r="AP349" s="99">
        <f>Table6[[#This Row],[(A/S) AJD]]-Table6[[#This Row],[SER_IN]]</f>
        <v/>
      </c>
    </row>
    <row r="350" ht="18.75" customHeight="1">
      <c r="A350" s="98" t="n">
        <v>47832</v>
      </c>
      <c r="B350" s="41" t="n"/>
      <c r="C350" s="41" t="n"/>
      <c r="D350" s="41" t="n"/>
      <c r="E350" s="41" t="n"/>
      <c r="F350" s="41" t="n"/>
      <c r="G350" s="39" t="n"/>
      <c r="H350" s="41" t="n"/>
      <c r="I350" s="39" t="n"/>
      <c r="J350" s="39" t="n"/>
      <c r="K350" s="28">
        <f>Table6[[#This Row],[ (T/B) SAR]]+Table6[[#This Row],[ (S/S) SAR]]</f>
        <v/>
      </c>
      <c r="L350" s="41" t="n"/>
      <c r="M350" s="42" t="n"/>
      <c r="N350" s="42" t="n"/>
      <c r="O350" s="39" t="n"/>
      <c r="P350" s="9">
        <f>Table6[[#This Row],[ (S/S) SAR]]-Table6[[#This Row],[(S/S) AJD]]</f>
        <v/>
      </c>
      <c r="Q350" s="39" t="n"/>
      <c r="R350" s="9">
        <f>Table6[[#This Row],[ (T/B) SAR]]-Table6[[#This Row],[(T/B) AJD]]</f>
        <v/>
      </c>
      <c r="S350" s="9">
        <f>Table6[[#This Row],[S/S_CON.]]+Table6[[#This Row],[T/B-CON.]]</f>
        <v/>
      </c>
      <c r="T350" s="9">
        <f>O350+Q350</f>
        <v/>
      </c>
      <c r="U350" s="41" t="n"/>
      <c r="V350" s="41" t="n"/>
      <c r="W350" s="9">
        <f>U350+V350</f>
        <v/>
      </c>
      <c r="X350" s="9">
        <f>T350-W350</f>
        <v/>
      </c>
      <c r="Y350" s="41" t="n"/>
      <c r="Z350" s="43" t="n"/>
      <c r="AA350" s="3">
        <f>Table6[[#This Row],[(RESV. STORGE) AJD]]/10</f>
        <v/>
      </c>
      <c r="AB350" s="3">
        <f>IF(TRIM(Z350)="",,(Z350-Z349)/1000)</f>
        <v/>
      </c>
      <c r="AC350" s="5" t="n"/>
      <c r="AD350" s="39">
        <f>(Table6[[#This Row],[( S/S+T/B) AJD]]*1000)-((Table6[[#This Row],[(STORGE DIFF.) AJD]]*1000)+Table6[[#This Row],[AJD_Evaporation]]+(Table6[[#This Row],[(A/B + A/S) AJD]]*1000))</f>
        <v/>
      </c>
      <c r="AE350" s="41" t="n"/>
      <c r="AF350" s="43" t="n"/>
      <c r="AG350" s="43" t="n"/>
      <c r="AH350" s="6">
        <f>Table6[[#This Row],[ (RESV. STORGE) BER]]/10</f>
        <v/>
      </c>
      <c r="AI350" s="41" t="n"/>
      <c r="AJ350" s="43">
        <f>Table6[[#This Row],[(A/B) AJD]]-TABL12345[[#This Row],[BER_IN]]</f>
        <v/>
      </c>
      <c r="AK350" s="43" t="n"/>
      <c r="AL350" s="43" t="n"/>
      <c r="AM350" s="32" t="n"/>
      <c r="AN350" s="32">
        <f>Table6[[#This Row],[ (RESV. STORGE) SER]]/10</f>
        <v/>
      </c>
      <c r="AO350" s="68" t="n"/>
      <c r="AP350" s="99">
        <f>Table6[[#This Row],[(A/S) AJD]]-Table6[[#This Row],[SER_IN]]</f>
        <v/>
      </c>
    </row>
    <row r="351" ht="18.75" customHeight="1">
      <c r="A351" s="98" t="n">
        <v>47833</v>
      </c>
      <c r="B351" s="44" t="n"/>
      <c r="C351" s="44" t="n"/>
      <c r="D351" s="44" t="n"/>
      <c r="E351" s="44" t="n"/>
      <c r="F351" s="44" t="n"/>
      <c r="G351" s="40" t="n"/>
      <c r="H351" s="44" t="n"/>
      <c r="I351" s="40" t="n"/>
      <c r="J351" s="44" t="n"/>
      <c r="K351" s="28">
        <f>Table6[[#This Row],[ (T/B) SAR]]+Table6[[#This Row],[ (S/S) SAR]]</f>
        <v/>
      </c>
      <c r="L351" s="45" t="n"/>
      <c r="M351" s="46" t="n"/>
      <c r="N351" s="46" t="n"/>
      <c r="O351" s="40" t="n"/>
      <c r="P351" s="9">
        <f>Table6[[#This Row],[ (S/S) SAR]]-Table6[[#This Row],[(S/S) AJD]]</f>
        <v/>
      </c>
      <c r="Q351" s="40" t="n"/>
      <c r="R351" s="9">
        <f>Table6[[#This Row],[ (T/B) SAR]]-Table6[[#This Row],[(T/B) AJD]]</f>
        <v/>
      </c>
      <c r="S351" s="9">
        <f>Table6[[#This Row],[S/S_CON.]]+Table6[[#This Row],[T/B-CON.]]</f>
        <v/>
      </c>
      <c r="T351" s="9">
        <f>O351+Q351</f>
        <v/>
      </c>
      <c r="U351" s="44" t="n"/>
      <c r="V351" s="44" t="n"/>
      <c r="W351" s="9">
        <f>U351+V351</f>
        <v/>
      </c>
      <c r="X351" s="9">
        <f>T351-W351</f>
        <v/>
      </c>
      <c r="Y351" s="44" t="n"/>
      <c r="Z351" s="45" t="n"/>
      <c r="AA351" s="3">
        <f>Table6[[#This Row],[(RESV. STORGE) AJD]]/10</f>
        <v/>
      </c>
      <c r="AB351" s="3">
        <f>IF(TRIM(Z351)="",,(Z351-Z350)/1000)</f>
        <v/>
      </c>
      <c r="AC351" s="5" t="n"/>
      <c r="AD351" s="40">
        <f>(Table6[[#This Row],[( S/S+T/B) AJD]]*1000)-((Table6[[#This Row],[(STORGE DIFF.) AJD]]*1000)+Table6[[#This Row],[AJD_Evaporation]]+(Table6[[#This Row],[(A/B + A/S) AJD]]*1000))</f>
        <v/>
      </c>
      <c r="AE351" s="44" t="n"/>
      <c r="AF351" s="45" t="n"/>
      <c r="AG351" s="45" t="n"/>
      <c r="AH351" s="6">
        <f>Table6[[#This Row],[ (RESV. STORGE) BER]]/10</f>
        <v/>
      </c>
      <c r="AI351" s="44" t="n"/>
      <c r="AJ351" s="45">
        <f>Table6[[#This Row],[(A/B) AJD]]-TABL12345[[#This Row],[BER_IN]]</f>
        <v/>
      </c>
      <c r="AK351" s="45" t="n"/>
      <c r="AL351" s="45" t="n"/>
      <c r="AM351" s="32" t="n"/>
      <c r="AN351" s="32">
        <f>Table6[[#This Row],[ (RESV. STORGE) SER]]/10</f>
        <v/>
      </c>
      <c r="AO351" s="68" t="n"/>
      <c r="AP351" s="99">
        <f>Table6[[#This Row],[(A/S) AJD]]-Table6[[#This Row],[SER_IN]]</f>
        <v/>
      </c>
    </row>
    <row r="352" ht="18.75" customHeight="1">
      <c r="A352" s="98" t="n">
        <v>47834</v>
      </c>
      <c r="B352" s="41" t="n"/>
      <c r="C352" s="41" t="n"/>
      <c r="D352" s="41" t="n"/>
      <c r="E352" s="41" t="n"/>
      <c r="F352" s="41" t="n"/>
      <c r="G352" s="39" t="n"/>
      <c r="H352" s="41" t="n"/>
      <c r="I352" s="39" t="n"/>
      <c r="J352" s="39" t="n"/>
      <c r="K352" s="28">
        <f>Table6[[#This Row],[ (T/B) SAR]]+Table6[[#This Row],[ (S/S) SAR]]</f>
        <v/>
      </c>
      <c r="L352" s="41" t="n"/>
      <c r="M352" s="42" t="n"/>
      <c r="N352" s="42" t="n"/>
      <c r="O352" s="39" t="n"/>
      <c r="P352" s="9">
        <f>Table6[[#This Row],[ (S/S) SAR]]-Table6[[#This Row],[(S/S) AJD]]</f>
        <v/>
      </c>
      <c r="Q352" s="39" t="n"/>
      <c r="R352" s="9">
        <f>Table6[[#This Row],[ (T/B) SAR]]-Table6[[#This Row],[(T/B) AJD]]</f>
        <v/>
      </c>
      <c r="S352" s="9">
        <f>Table6[[#This Row],[S/S_CON.]]+Table6[[#This Row],[T/B-CON.]]</f>
        <v/>
      </c>
      <c r="T352" s="9">
        <f>O352+Q352</f>
        <v/>
      </c>
      <c r="U352" s="41" t="n"/>
      <c r="V352" s="41" t="n"/>
      <c r="W352" s="9">
        <f>U352+V352</f>
        <v/>
      </c>
      <c r="X352" s="9">
        <f>T352-W352</f>
        <v/>
      </c>
      <c r="Y352" s="41" t="n"/>
      <c r="Z352" s="43" t="n"/>
      <c r="AA352" s="3">
        <f>Table6[[#This Row],[(RESV. STORGE) AJD]]/10</f>
        <v/>
      </c>
      <c r="AB352" s="3">
        <f>IF(TRIM(Z352)="",,(Z352-Z351)/1000)</f>
        <v/>
      </c>
      <c r="AC352" s="5" t="n"/>
      <c r="AD352" s="39">
        <f>(Table6[[#This Row],[( S/S+T/B) AJD]]*1000)-((Table6[[#This Row],[(STORGE DIFF.) AJD]]*1000)+Table6[[#This Row],[AJD_Evaporation]]+(Table6[[#This Row],[(A/B + A/S) AJD]]*1000))</f>
        <v/>
      </c>
      <c r="AE352" s="41" t="n"/>
      <c r="AF352" s="43" t="n"/>
      <c r="AG352" s="43" t="n"/>
      <c r="AH352" s="6">
        <f>Table6[[#This Row],[ (RESV. STORGE) BER]]/10</f>
        <v/>
      </c>
      <c r="AI352" s="41" t="n"/>
      <c r="AJ352" s="43">
        <f>Table6[[#This Row],[(A/B) AJD]]-TABL12345[[#This Row],[BER_IN]]</f>
        <v/>
      </c>
      <c r="AK352" s="43" t="n"/>
      <c r="AL352" s="43" t="n"/>
      <c r="AM352" s="32" t="n"/>
      <c r="AN352" s="32">
        <f>Table6[[#This Row],[ (RESV. STORGE) SER]]/10</f>
        <v/>
      </c>
      <c r="AO352" s="68" t="n"/>
      <c r="AP352" s="99">
        <f>Table6[[#This Row],[(A/S) AJD]]-Table6[[#This Row],[SER_IN]]</f>
        <v/>
      </c>
    </row>
    <row r="353" ht="18.75" customHeight="1">
      <c r="A353" s="98" t="n">
        <v>47835</v>
      </c>
      <c r="B353" s="44" t="n"/>
      <c r="C353" s="44" t="n"/>
      <c r="D353" s="44" t="n"/>
      <c r="E353" s="44" t="n"/>
      <c r="F353" s="44" t="n"/>
      <c r="G353" s="40" t="n"/>
      <c r="H353" s="44" t="n"/>
      <c r="I353" s="40" t="n"/>
      <c r="J353" s="44" t="n"/>
      <c r="K353" s="28">
        <f>Table6[[#This Row],[ (T/B) SAR]]+Table6[[#This Row],[ (S/S) SAR]]</f>
        <v/>
      </c>
      <c r="L353" s="45" t="n"/>
      <c r="M353" s="46" t="n"/>
      <c r="N353" s="46" t="n"/>
      <c r="O353" s="40" t="n"/>
      <c r="P353" s="9">
        <f>Table6[[#This Row],[ (S/S) SAR]]-Table6[[#This Row],[(S/S) AJD]]</f>
        <v/>
      </c>
      <c r="Q353" s="40" t="n"/>
      <c r="R353" s="9">
        <f>Table6[[#This Row],[ (T/B) SAR]]-Table6[[#This Row],[(T/B) AJD]]</f>
        <v/>
      </c>
      <c r="S353" s="9">
        <f>Table6[[#This Row],[S/S_CON.]]+Table6[[#This Row],[T/B-CON.]]</f>
        <v/>
      </c>
      <c r="T353" s="9">
        <f>O353+Q353</f>
        <v/>
      </c>
      <c r="U353" s="44" t="n"/>
      <c r="V353" s="44" t="n"/>
      <c r="W353" s="9">
        <f>U353+V353</f>
        <v/>
      </c>
      <c r="X353" s="9">
        <f>T353-W353</f>
        <v/>
      </c>
      <c r="Y353" s="44" t="n"/>
      <c r="Z353" s="45" t="n"/>
      <c r="AA353" s="3">
        <f>Table6[[#This Row],[(RESV. STORGE) AJD]]/10</f>
        <v/>
      </c>
      <c r="AB353" s="3">
        <f>IF(TRIM(Z353)="",,(Z353-Z352)/1000)</f>
        <v/>
      </c>
      <c r="AC353" s="5" t="n"/>
      <c r="AD353" s="40">
        <f>(Table6[[#This Row],[( S/S+T/B) AJD]]*1000)-((Table6[[#This Row],[(STORGE DIFF.) AJD]]*1000)+Table6[[#This Row],[AJD_Evaporation]]+(Table6[[#This Row],[(A/B + A/S) AJD]]*1000))</f>
        <v/>
      </c>
      <c r="AE353" s="44" t="n"/>
      <c r="AF353" s="45" t="n"/>
      <c r="AG353" s="45" t="n"/>
      <c r="AH353" s="6">
        <f>Table6[[#This Row],[ (RESV. STORGE) BER]]/10</f>
        <v/>
      </c>
      <c r="AI353" s="44" t="n"/>
      <c r="AJ353" s="45">
        <f>Table6[[#This Row],[(A/B) AJD]]-TABL12345[[#This Row],[BER_IN]]</f>
        <v/>
      </c>
      <c r="AK353" s="45" t="n"/>
      <c r="AL353" s="45" t="n"/>
      <c r="AM353" s="32" t="n"/>
      <c r="AN353" s="32">
        <f>Table6[[#This Row],[ (RESV. STORGE) SER]]/10</f>
        <v/>
      </c>
      <c r="AO353" s="68" t="n"/>
      <c r="AP353" s="99">
        <f>Table6[[#This Row],[(A/S) AJD]]-Table6[[#This Row],[SER_IN]]</f>
        <v/>
      </c>
    </row>
    <row r="354" ht="18.75" customHeight="1">
      <c r="A354" s="98" t="n">
        <v>47836</v>
      </c>
      <c r="B354" s="41" t="n"/>
      <c r="C354" s="41" t="n"/>
      <c r="D354" s="41" t="n"/>
      <c r="E354" s="41" t="n"/>
      <c r="F354" s="41" t="n"/>
      <c r="G354" s="39" t="n"/>
      <c r="H354" s="41" t="n"/>
      <c r="I354" s="39" t="n"/>
      <c r="J354" s="39" t="n"/>
      <c r="K354" s="28">
        <f>Table6[[#This Row],[ (T/B) SAR]]+Table6[[#This Row],[ (S/S) SAR]]</f>
        <v/>
      </c>
      <c r="L354" s="41" t="n"/>
      <c r="M354" s="42" t="n"/>
      <c r="N354" s="42" t="n"/>
      <c r="O354" s="39" t="n"/>
      <c r="P354" s="9">
        <f>Table6[[#This Row],[ (S/S) SAR]]-Table6[[#This Row],[(S/S) AJD]]</f>
        <v/>
      </c>
      <c r="Q354" s="39" t="n"/>
      <c r="R354" s="9">
        <f>Table6[[#This Row],[ (T/B) SAR]]-Table6[[#This Row],[(T/B) AJD]]</f>
        <v/>
      </c>
      <c r="S354" s="9">
        <f>Table6[[#This Row],[S/S_CON.]]+Table6[[#This Row],[T/B-CON.]]</f>
        <v/>
      </c>
      <c r="T354" s="9">
        <f>O354+Q354</f>
        <v/>
      </c>
      <c r="U354" s="41" t="n"/>
      <c r="V354" s="41" t="n"/>
      <c r="W354" s="9">
        <f>U354+V354</f>
        <v/>
      </c>
      <c r="X354" s="9">
        <f>T354-W354</f>
        <v/>
      </c>
      <c r="Y354" s="41" t="n"/>
      <c r="Z354" s="43" t="n"/>
      <c r="AA354" s="3">
        <f>Table6[[#This Row],[(RESV. STORGE) AJD]]/10</f>
        <v/>
      </c>
      <c r="AB354" s="3">
        <f>IF(TRIM(Z354)="",,(Z354-Z353)/1000)</f>
        <v/>
      </c>
      <c r="AC354" s="5" t="n"/>
      <c r="AD354" s="39">
        <f>(Table6[[#This Row],[( S/S+T/B) AJD]]*1000)-((Table6[[#This Row],[(STORGE DIFF.) AJD]]*1000)+Table6[[#This Row],[AJD_Evaporation]]+(Table6[[#This Row],[(A/B + A/S) AJD]]*1000))</f>
        <v/>
      </c>
      <c r="AE354" s="41" t="n"/>
      <c r="AF354" s="43" t="n"/>
      <c r="AG354" s="43" t="n"/>
      <c r="AH354" s="6">
        <f>Table6[[#This Row],[ (RESV. STORGE) BER]]/10</f>
        <v/>
      </c>
      <c r="AI354" s="41" t="n"/>
      <c r="AJ354" s="43">
        <f>Table6[[#This Row],[(A/B) AJD]]-TABL12345[[#This Row],[BER_IN]]</f>
        <v/>
      </c>
      <c r="AK354" s="43" t="n"/>
      <c r="AL354" s="43" t="n"/>
      <c r="AM354" s="32" t="n"/>
      <c r="AN354" s="32">
        <f>Table6[[#This Row],[ (RESV. STORGE) SER]]/10</f>
        <v/>
      </c>
      <c r="AO354" s="68" t="n"/>
      <c r="AP354" s="99">
        <f>Table6[[#This Row],[(A/S) AJD]]-Table6[[#This Row],[SER_IN]]</f>
        <v/>
      </c>
    </row>
    <row r="355" ht="18.75" customHeight="1">
      <c r="A355" s="98" t="n">
        <v>47837</v>
      </c>
      <c r="B355" s="44" t="n"/>
      <c r="C355" s="44" t="n"/>
      <c r="D355" s="44" t="n"/>
      <c r="E355" s="44" t="n"/>
      <c r="F355" s="44" t="n"/>
      <c r="G355" s="40" t="n"/>
      <c r="H355" s="44" t="n"/>
      <c r="I355" s="40" t="n"/>
      <c r="J355" s="44" t="n"/>
      <c r="K355" s="28">
        <f>Table6[[#This Row],[ (T/B) SAR]]+Table6[[#This Row],[ (S/S) SAR]]</f>
        <v/>
      </c>
      <c r="L355" s="45" t="n"/>
      <c r="M355" s="46" t="n"/>
      <c r="N355" s="46" t="n"/>
      <c r="O355" s="40" t="n"/>
      <c r="P355" s="9">
        <f>Table6[[#This Row],[ (S/S) SAR]]-Table6[[#This Row],[(S/S) AJD]]</f>
        <v/>
      </c>
      <c r="Q355" s="40" t="n"/>
      <c r="R355" s="9">
        <f>Table6[[#This Row],[ (T/B) SAR]]-Table6[[#This Row],[(T/B) AJD]]</f>
        <v/>
      </c>
      <c r="S355" s="9">
        <f>Table6[[#This Row],[S/S_CON.]]+Table6[[#This Row],[T/B-CON.]]</f>
        <v/>
      </c>
      <c r="T355" s="9">
        <f>O355+Q355</f>
        <v/>
      </c>
      <c r="U355" s="44" t="n"/>
      <c r="V355" s="44" t="n"/>
      <c r="W355" s="9">
        <f>U355+V355</f>
        <v/>
      </c>
      <c r="X355" s="9">
        <f>T355-W355</f>
        <v/>
      </c>
      <c r="Y355" s="44" t="n"/>
      <c r="Z355" s="45" t="n"/>
      <c r="AA355" s="3">
        <f>Table6[[#This Row],[(RESV. STORGE) AJD]]/10</f>
        <v/>
      </c>
      <c r="AB355" s="3">
        <f>IF(TRIM(Z355)="",,(Z355-Z354)/1000)</f>
        <v/>
      </c>
      <c r="AC355" s="5" t="n"/>
      <c r="AD355" s="40">
        <f>(Table6[[#This Row],[( S/S+T/B) AJD]]*1000)-((Table6[[#This Row],[(STORGE DIFF.) AJD]]*1000)+Table6[[#This Row],[AJD_Evaporation]]+(Table6[[#This Row],[(A/B + A/S) AJD]]*1000))</f>
        <v/>
      </c>
      <c r="AE355" s="44" t="n"/>
      <c r="AF355" s="45" t="n"/>
      <c r="AG355" s="45" t="n"/>
      <c r="AH355" s="6">
        <f>Table6[[#This Row],[ (RESV. STORGE) BER]]/10</f>
        <v/>
      </c>
      <c r="AI355" s="44" t="n"/>
      <c r="AJ355" s="45">
        <f>Table6[[#This Row],[(A/B) AJD]]-TABL12345[[#This Row],[BER_IN]]</f>
        <v/>
      </c>
      <c r="AK355" s="45" t="n"/>
      <c r="AL355" s="45" t="n"/>
      <c r="AM355" s="32" t="n"/>
      <c r="AN355" s="32">
        <f>Table6[[#This Row],[ (RESV. STORGE) SER]]/10</f>
        <v/>
      </c>
      <c r="AO355" s="68" t="n"/>
      <c r="AP355" s="99">
        <f>Table6[[#This Row],[(A/S) AJD]]-Table6[[#This Row],[SER_IN]]</f>
        <v/>
      </c>
    </row>
    <row r="356" ht="18.75" customHeight="1">
      <c r="A356" s="98" t="n">
        <v>47838</v>
      </c>
      <c r="B356" s="41" t="n"/>
      <c r="C356" s="41" t="n"/>
      <c r="D356" s="41" t="n"/>
      <c r="E356" s="41" t="n"/>
      <c r="F356" s="41" t="n"/>
      <c r="G356" s="39" t="n"/>
      <c r="H356" s="41" t="n"/>
      <c r="I356" s="39" t="n"/>
      <c r="J356" s="39" t="n"/>
      <c r="K356" s="28">
        <f>Table6[[#This Row],[ (T/B) SAR]]+Table6[[#This Row],[ (S/S) SAR]]</f>
        <v/>
      </c>
      <c r="L356" s="41" t="n"/>
      <c r="M356" s="42" t="n"/>
      <c r="N356" s="42" t="n"/>
      <c r="O356" s="39" t="n"/>
      <c r="P356" s="9">
        <f>Table6[[#This Row],[ (S/S) SAR]]-Table6[[#This Row],[(S/S) AJD]]</f>
        <v/>
      </c>
      <c r="Q356" s="39" t="n"/>
      <c r="R356" s="9">
        <f>Table6[[#This Row],[ (T/B) SAR]]-Table6[[#This Row],[(T/B) AJD]]</f>
        <v/>
      </c>
      <c r="S356" s="9">
        <f>Table6[[#This Row],[S/S_CON.]]+Table6[[#This Row],[T/B-CON.]]</f>
        <v/>
      </c>
      <c r="T356" s="9">
        <f>O356+Q356</f>
        <v/>
      </c>
      <c r="U356" s="41" t="n"/>
      <c r="V356" s="41" t="n"/>
      <c r="W356" s="9">
        <f>U356+V356</f>
        <v/>
      </c>
      <c r="X356" s="9">
        <f>T356-W356</f>
        <v/>
      </c>
      <c r="Y356" s="41" t="n"/>
      <c r="Z356" s="43" t="n"/>
      <c r="AA356" s="3">
        <f>Table6[[#This Row],[(RESV. STORGE) AJD]]/10</f>
        <v/>
      </c>
      <c r="AB356" s="3">
        <f>IF(TRIM(Z356)="",,(Z356-Z355)/1000)</f>
        <v/>
      </c>
      <c r="AC356" s="5" t="n"/>
      <c r="AD356" s="39">
        <f>(Table6[[#This Row],[( S/S+T/B) AJD]]*1000)-((Table6[[#This Row],[(STORGE DIFF.) AJD]]*1000)+Table6[[#This Row],[AJD_Evaporation]]+(Table6[[#This Row],[(A/B + A/S) AJD]]*1000))</f>
        <v/>
      </c>
      <c r="AE356" s="41" t="n"/>
      <c r="AF356" s="43" t="n"/>
      <c r="AG356" s="43" t="n"/>
      <c r="AH356" s="6">
        <f>Table6[[#This Row],[ (RESV. STORGE) BER]]/10</f>
        <v/>
      </c>
      <c r="AI356" s="41" t="n"/>
      <c r="AJ356" s="43">
        <f>Table6[[#This Row],[(A/B) AJD]]-TABL12345[[#This Row],[BER_IN]]</f>
        <v/>
      </c>
      <c r="AK356" s="43" t="n"/>
      <c r="AL356" s="43" t="n"/>
      <c r="AM356" s="32" t="n"/>
      <c r="AN356" s="32">
        <f>Table6[[#This Row],[ (RESV. STORGE) SER]]/10</f>
        <v/>
      </c>
      <c r="AO356" s="68" t="n"/>
      <c r="AP356" s="99">
        <f>Table6[[#This Row],[(A/S) AJD]]-Table6[[#This Row],[SER_IN]]</f>
        <v/>
      </c>
    </row>
    <row r="357" ht="18.75" customHeight="1">
      <c r="A357" s="98" t="n">
        <v>47839</v>
      </c>
      <c r="B357" s="44" t="n"/>
      <c r="C357" s="44" t="n"/>
      <c r="D357" s="44" t="n"/>
      <c r="E357" s="44" t="n"/>
      <c r="F357" s="44" t="n"/>
      <c r="G357" s="40" t="n"/>
      <c r="H357" s="44" t="n"/>
      <c r="I357" s="40" t="n"/>
      <c r="J357" s="44" t="n"/>
      <c r="K357" s="28">
        <f>Table6[[#This Row],[ (T/B) SAR]]+Table6[[#This Row],[ (S/S) SAR]]</f>
        <v/>
      </c>
      <c r="L357" s="45" t="n"/>
      <c r="M357" s="46" t="n"/>
      <c r="N357" s="46" t="n"/>
      <c r="O357" s="40" t="n"/>
      <c r="P357" s="9">
        <f>Table6[[#This Row],[ (S/S) SAR]]-Table6[[#This Row],[(S/S) AJD]]</f>
        <v/>
      </c>
      <c r="Q357" s="40" t="n"/>
      <c r="R357" s="9">
        <f>Table6[[#This Row],[ (T/B) SAR]]-Table6[[#This Row],[(T/B) AJD]]</f>
        <v/>
      </c>
      <c r="S357" s="9">
        <f>Table6[[#This Row],[S/S_CON.]]+Table6[[#This Row],[T/B-CON.]]</f>
        <v/>
      </c>
      <c r="T357" s="9">
        <f>O357+Q357</f>
        <v/>
      </c>
      <c r="U357" s="44" t="n"/>
      <c r="V357" s="44" t="n"/>
      <c r="W357" s="9">
        <f>U357+V357</f>
        <v/>
      </c>
      <c r="X357" s="9">
        <f>T357-W357</f>
        <v/>
      </c>
      <c r="Y357" s="44" t="n"/>
      <c r="Z357" s="45" t="n"/>
      <c r="AA357" s="3">
        <f>Table6[[#This Row],[(RESV. STORGE) AJD]]/10</f>
        <v/>
      </c>
      <c r="AB357" s="3">
        <f>IF(TRIM(Z357)="",,(Z357-Z356)/1000)</f>
        <v/>
      </c>
      <c r="AC357" s="5" t="n"/>
      <c r="AD357" s="40">
        <f>(Table6[[#This Row],[( S/S+T/B) AJD]]*1000)-((Table6[[#This Row],[(STORGE DIFF.) AJD]]*1000)+Table6[[#This Row],[AJD_Evaporation]]+(Table6[[#This Row],[(A/B + A/S) AJD]]*1000))</f>
        <v/>
      </c>
      <c r="AE357" s="44" t="n"/>
      <c r="AF357" s="45" t="n"/>
      <c r="AG357" s="45" t="n"/>
      <c r="AH357" s="6">
        <f>Table6[[#This Row],[ (RESV. STORGE) BER]]/10</f>
        <v/>
      </c>
      <c r="AI357" s="44" t="n"/>
      <c r="AJ357" s="45">
        <f>Table6[[#This Row],[(A/B) AJD]]-TABL12345[[#This Row],[BER_IN]]</f>
        <v/>
      </c>
      <c r="AK357" s="45" t="n"/>
      <c r="AL357" s="45" t="n"/>
      <c r="AM357" s="32" t="n"/>
      <c r="AN357" s="32">
        <f>Table6[[#This Row],[ (RESV. STORGE) SER]]/10</f>
        <v/>
      </c>
      <c r="AO357" s="68" t="n"/>
      <c r="AP357" s="99">
        <f>Table6[[#This Row],[(A/S) AJD]]-Table6[[#This Row],[SER_IN]]</f>
        <v/>
      </c>
    </row>
    <row r="358" ht="18.75" customHeight="1">
      <c r="A358" s="98" t="n">
        <v>47840</v>
      </c>
      <c r="B358" s="41" t="n"/>
      <c r="C358" s="41" t="n"/>
      <c r="D358" s="41" t="n"/>
      <c r="E358" s="41" t="n"/>
      <c r="F358" s="41" t="n"/>
      <c r="G358" s="39" t="n"/>
      <c r="H358" s="41" t="n"/>
      <c r="I358" s="39" t="n"/>
      <c r="J358" s="39" t="n"/>
      <c r="K358" s="28">
        <f>Table6[[#This Row],[ (T/B) SAR]]+Table6[[#This Row],[ (S/S) SAR]]</f>
        <v/>
      </c>
      <c r="L358" s="41" t="n"/>
      <c r="M358" s="42" t="n"/>
      <c r="N358" s="42" t="n"/>
      <c r="O358" s="39" t="n"/>
      <c r="P358" s="9">
        <f>Table6[[#This Row],[ (S/S) SAR]]-Table6[[#This Row],[(S/S) AJD]]</f>
        <v/>
      </c>
      <c r="Q358" s="39" t="n"/>
      <c r="R358" s="9">
        <f>Table6[[#This Row],[ (T/B) SAR]]-Table6[[#This Row],[(T/B) AJD]]</f>
        <v/>
      </c>
      <c r="S358" s="9">
        <f>Table6[[#This Row],[S/S_CON.]]+Table6[[#This Row],[T/B-CON.]]</f>
        <v/>
      </c>
      <c r="T358" s="9">
        <f>O358+Q358</f>
        <v/>
      </c>
      <c r="U358" s="41" t="n"/>
      <c r="V358" s="41" t="n"/>
      <c r="W358" s="9">
        <f>U358+V358</f>
        <v/>
      </c>
      <c r="X358" s="9">
        <f>T358-W358</f>
        <v/>
      </c>
      <c r="Y358" s="41" t="n"/>
      <c r="Z358" s="43" t="n"/>
      <c r="AA358" s="3">
        <f>Table6[[#This Row],[(RESV. STORGE) AJD]]/10</f>
        <v/>
      </c>
      <c r="AB358" s="3">
        <f>IF(TRIM(Z358)="",,(Z358-Z357)/1000)</f>
        <v/>
      </c>
      <c r="AC358" s="5" t="n"/>
      <c r="AD358" s="39">
        <f>(Table6[[#This Row],[( S/S+T/B) AJD]]*1000)-((Table6[[#This Row],[(STORGE DIFF.) AJD]]*1000)+Table6[[#This Row],[AJD_Evaporation]]+(Table6[[#This Row],[(A/B + A/S) AJD]]*1000))</f>
        <v/>
      </c>
      <c r="AE358" s="41" t="n"/>
      <c r="AF358" s="43" t="n"/>
      <c r="AG358" s="43" t="n"/>
      <c r="AH358" s="6">
        <f>Table6[[#This Row],[ (RESV. STORGE) BER]]/10</f>
        <v/>
      </c>
      <c r="AI358" s="41" t="n"/>
      <c r="AJ358" s="43">
        <f>Table6[[#This Row],[(A/B) AJD]]-TABL12345[[#This Row],[BER_IN]]</f>
        <v/>
      </c>
      <c r="AK358" s="43" t="n"/>
      <c r="AL358" s="43" t="n"/>
      <c r="AM358" s="32" t="n"/>
      <c r="AN358" s="32">
        <f>Table6[[#This Row],[ (RESV. STORGE) SER]]/10</f>
        <v/>
      </c>
      <c r="AO358" s="68" t="n"/>
      <c r="AP358" s="99">
        <f>Table6[[#This Row],[(A/S) AJD]]-Table6[[#This Row],[SER_IN]]</f>
        <v/>
      </c>
    </row>
    <row r="359" ht="18.75" customHeight="1">
      <c r="A359" s="98" t="n">
        <v>47841</v>
      </c>
      <c r="B359" s="44" t="n"/>
      <c r="C359" s="44" t="n"/>
      <c r="D359" s="44" t="n"/>
      <c r="E359" s="44" t="n"/>
      <c r="F359" s="44" t="n"/>
      <c r="G359" s="40" t="n"/>
      <c r="H359" s="44" t="n"/>
      <c r="I359" s="40" t="n"/>
      <c r="J359" s="44" t="n"/>
      <c r="K359" s="28">
        <f>Table6[[#This Row],[ (T/B) SAR]]+Table6[[#This Row],[ (S/S) SAR]]</f>
        <v/>
      </c>
      <c r="L359" s="45" t="n"/>
      <c r="M359" s="46" t="n"/>
      <c r="N359" s="46" t="n"/>
      <c r="O359" s="40" t="n"/>
      <c r="P359" s="9">
        <f>Table6[[#This Row],[ (S/S) SAR]]-Table6[[#This Row],[(S/S) AJD]]</f>
        <v/>
      </c>
      <c r="Q359" s="40" t="n"/>
      <c r="R359" s="9">
        <f>Table6[[#This Row],[ (T/B) SAR]]-Table6[[#This Row],[(T/B) AJD]]</f>
        <v/>
      </c>
      <c r="S359" s="9">
        <f>Table6[[#This Row],[S/S_CON.]]+Table6[[#This Row],[T/B-CON.]]</f>
        <v/>
      </c>
      <c r="T359" s="9">
        <f>O359+Q359</f>
        <v/>
      </c>
      <c r="U359" s="44" t="n"/>
      <c r="V359" s="44" t="n"/>
      <c r="W359" s="9">
        <f>U359+V359</f>
        <v/>
      </c>
      <c r="X359" s="9">
        <f>T359-W359</f>
        <v/>
      </c>
      <c r="Y359" s="44" t="n"/>
      <c r="Z359" s="45" t="n"/>
      <c r="AA359" s="3">
        <f>Table6[[#This Row],[(RESV. STORGE) AJD]]/10</f>
        <v/>
      </c>
      <c r="AB359" s="3">
        <f>IF(TRIM(Z359)="",,(Z359-Z358)/1000)</f>
        <v/>
      </c>
      <c r="AC359" s="5" t="n"/>
      <c r="AD359" s="40">
        <f>(Table6[[#This Row],[( S/S+T/B) AJD]]*1000)-((Table6[[#This Row],[(STORGE DIFF.) AJD]]*1000)+Table6[[#This Row],[AJD_Evaporation]]+(Table6[[#This Row],[(A/B + A/S) AJD]]*1000))</f>
        <v/>
      </c>
      <c r="AE359" s="44" t="n"/>
      <c r="AF359" s="45" t="n"/>
      <c r="AG359" s="45" t="n"/>
      <c r="AH359" s="6">
        <f>Table6[[#This Row],[ (RESV. STORGE) BER]]/10</f>
        <v/>
      </c>
      <c r="AI359" s="44" t="n"/>
      <c r="AJ359" s="45">
        <f>Table6[[#This Row],[(A/B) AJD]]-TABL12345[[#This Row],[BER_IN]]</f>
        <v/>
      </c>
      <c r="AK359" s="45" t="n"/>
      <c r="AL359" s="45" t="n"/>
      <c r="AM359" s="32" t="n"/>
      <c r="AN359" s="32">
        <f>Table6[[#This Row],[ (RESV. STORGE) SER]]/10</f>
        <v/>
      </c>
      <c r="AO359" s="68" t="n"/>
      <c r="AP359" s="99">
        <f>Table6[[#This Row],[(A/S) AJD]]-Table6[[#This Row],[SER_IN]]</f>
        <v/>
      </c>
    </row>
    <row r="360" ht="18.75" customHeight="1">
      <c r="A360" s="98" t="n">
        <v>47842</v>
      </c>
      <c r="B360" s="41" t="n"/>
      <c r="C360" s="41" t="n"/>
      <c r="D360" s="41" t="n"/>
      <c r="E360" s="41" t="n"/>
      <c r="F360" s="41" t="n"/>
      <c r="G360" s="39" t="n"/>
      <c r="H360" s="41" t="n"/>
      <c r="I360" s="39" t="n"/>
      <c r="J360" s="39" t="n"/>
      <c r="K360" s="28">
        <f>Table6[[#This Row],[ (T/B) SAR]]+Table6[[#This Row],[ (S/S) SAR]]</f>
        <v/>
      </c>
      <c r="L360" s="41" t="n"/>
      <c r="M360" s="42" t="n"/>
      <c r="N360" s="42" t="n"/>
      <c r="O360" s="39" t="n"/>
      <c r="P360" s="9">
        <f>Table6[[#This Row],[ (S/S) SAR]]-Table6[[#This Row],[(S/S) AJD]]</f>
        <v/>
      </c>
      <c r="Q360" s="39" t="n"/>
      <c r="R360" s="9">
        <f>Table6[[#This Row],[ (T/B) SAR]]-Table6[[#This Row],[(T/B) AJD]]</f>
        <v/>
      </c>
      <c r="S360" s="9">
        <f>Table6[[#This Row],[S/S_CON.]]+Table6[[#This Row],[T/B-CON.]]</f>
        <v/>
      </c>
      <c r="T360" s="9">
        <f>O360+Q360</f>
        <v/>
      </c>
      <c r="U360" s="41" t="n"/>
      <c r="V360" s="41" t="n"/>
      <c r="W360" s="9">
        <f>U360+V360</f>
        <v/>
      </c>
      <c r="X360" s="9">
        <f>T360-W360</f>
        <v/>
      </c>
      <c r="Y360" s="41" t="n"/>
      <c r="Z360" s="43" t="n"/>
      <c r="AA360" s="3">
        <f>Table6[[#This Row],[(RESV. STORGE) AJD]]/10</f>
        <v/>
      </c>
      <c r="AB360" s="3">
        <f>IF(TRIM(Z360)="",,(Z360-Z359)/1000)</f>
        <v/>
      </c>
      <c r="AC360" s="5" t="n"/>
      <c r="AD360" s="39">
        <f>(Table6[[#This Row],[( S/S+T/B) AJD]]*1000)-((Table6[[#This Row],[(STORGE DIFF.) AJD]]*1000)+Table6[[#This Row],[AJD_Evaporation]]+(Table6[[#This Row],[(A/B + A/S) AJD]]*1000))</f>
        <v/>
      </c>
      <c r="AE360" s="41" t="n"/>
      <c r="AF360" s="43" t="n"/>
      <c r="AG360" s="43" t="n"/>
      <c r="AH360" s="6">
        <f>Table6[[#This Row],[ (RESV. STORGE) BER]]/10</f>
        <v/>
      </c>
      <c r="AI360" s="41" t="n"/>
      <c r="AJ360" s="43">
        <f>Table6[[#This Row],[(A/B) AJD]]-TABL12345[[#This Row],[BER_IN]]</f>
        <v/>
      </c>
      <c r="AK360" s="43" t="n"/>
      <c r="AL360" s="43" t="n"/>
      <c r="AM360" s="32" t="n"/>
      <c r="AN360" s="32">
        <f>Table6[[#This Row],[ (RESV. STORGE) SER]]/10</f>
        <v/>
      </c>
      <c r="AO360" s="68" t="n"/>
      <c r="AP360" s="99">
        <f>Table6[[#This Row],[(A/S) AJD]]-Table6[[#This Row],[SER_IN]]</f>
        <v/>
      </c>
    </row>
    <row r="361" ht="18.75" customHeight="1">
      <c r="A361" s="98" t="n">
        <v>47843</v>
      </c>
      <c r="B361" s="44" t="n"/>
      <c r="C361" s="44" t="n"/>
      <c r="D361" s="44" t="n"/>
      <c r="E361" s="44" t="n"/>
      <c r="F361" s="44" t="n"/>
      <c r="G361" s="40" t="n"/>
      <c r="H361" s="44" t="n"/>
      <c r="I361" s="40" t="n"/>
      <c r="J361" s="44" t="n"/>
      <c r="K361" s="28">
        <f>Table6[[#This Row],[ (T/B) SAR]]+Table6[[#This Row],[ (S/S) SAR]]</f>
        <v/>
      </c>
      <c r="L361" s="45" t="n"/>
      <c r="M361" s="46" t="n"/>
      <c r="N361" s="46" t="n"/>
      <c r="O361" s="40" t="n"/>
      <c r="P361" s="9">
        <f>Table6[[#This Row],[ (S/S) SAR]]-Table6[[#This Row],[(S/S) AJD]]</f>
        <v/>
      </c>
      <c r="Q361" s="40" t="n"/>
      <c r="R361" s="9">
        <f>Table6[[#This Row],[ (T/B) SAR]]-Table6[[#This Row],[(T/B) AJD]]</f>
        <v/>
      </c>
      <c r="S361" s="9">
        <f>Table6[[#This Row],[S/S_CON.]]+Table6[[#This Row],[T/B-CON.]]</f>
        <v/>
      </c>
      <c r="T361" s="9">
        <f>O361+Q361</f>
        <v/>
      </c>
      <c r="U361" s="44" t="n"/>
      <c r="V361" s="44" t="n"/>
      <c r="W361" s="9">
        <f>U361+V361</f>
        <v/>
      </c>
      <c r="X361" s="9">
        <f>T361-W361</f>
        <v/>
      </c>
      <c r="Y361" s="44" t="n"/>
      <c r="Z361" s="45" t="n"/>
      <c r="AA361" s="3">
        <f>Table6[[#This Row],[(RESV. STORGE) AJD]]/10</f>
        <v/>
      </c>
      <c r="AB361" s="3">
        <f>IF(TRIM(Z361)="",,(Z361-Z360)/1000)</f>
        <v/>
      </c>
      <c r="AC361" s="5" t="n"/>
      <c r="AD361" s="40">
        <f>(Table6[[#This Row],[( S/S+T/B) AJD]]*1000)-((Table6[[#This Row],[(STORGE DIFF.) AJD]]*1000)+Table6[[#This Row],[AJD_Evaporation]]+(Table6[[#This Row],[(A/B + A/S) AJD]]*1000))</f>
        <v/>
      </c>
      <c r="AE361" s="44" t="n"/>
      <c r="AF361" s="45" t="n"/>
      <c r="AG361" s="45" t="n"/>
      <c r="AH361" s="6">
        <f>Table6[[#This Row],[ (RESV. STORGE) BER]]/10</f>
        <v/>
      </c>
      <c r="AI361" s="44" t="n"/>
      <c r="AJ361" s="45">
        <f>Table6[[#This Row],[(A/B) AJD]]-TABL12345[[#This Row],[BER_IN]]</f>
        <v/>
      </c>
      <c r="AK361" s="45" t="n"/>
      <c r="AL361" s="45" t="n"/>
      <c r="AM361" s="32" t="n"/>
      <c r="AN361" s="32">
        <f>Table6[[#This Row],[ (RESV. STORGE) SER]]/10</f>
        <v/>
      </c>
      <c r="AO361" s="68" t="n"/>
      <c r="AP361" s="99">
        <f>Table6[[#This Row],[(A/S) AJD]]-Table6[[#This Row],[SER_IN]]</f>
        <v/>
      </c>
    </row>
    <row r="362" ht="18.75" customHeight="1">
      <c r="A362" s="98" t="n">
        <v>47844</v>
      </c>
      <c r="B362" s="41" t="n"/>
      <c r="C362" s="41" t="n"/>
      <c r="D362" s="41" t="n"/>
      <c r="E362" s="41" t="n"/>
      <c r="F362" s="41" t="n"/>
      <c r="G362" s="39" t="n"/>
      <c r="H362" s="41" t="n"/>
      <c r="I362" s="39" t="n"/>
      <c r="J362" s="39" t="n"/>
      <c r="K362" s="28">
        <f>Table6[[#This Row],[ (T/B) SAR]]+Table6[[#This Row],[ (S/S) SAR]]</f>
        <v/>
      </c>
      <c r="L362" s="41" t="n"/>
      <c r="M362" s="42" t="n"/>
      <c r="N362" s="42" t="n"/>
      <c r="O362" s="39" t="n"/>
      <c r="P362" s="9">
        <f>Table6[[#This Row],[ (S/S) SAR]]-Table6[[#This Row],[(S/S) AJD]]</f>
        <v/>
      </c>
      <c r="Q362" s="39" t="n"/>
      <c r="R362" s="9">
        <f>Table6[[#This Row],[ (T/B) SAR]]-Table6[[#This Row],[(T/B) AJD]]</f>
        <v/>
      </c>
      <c r="S362" s="9">
        <f>Table6[[#This Row],[S/S_CON.]]+Table6[[#This Row],[T/B-CON.]]</f>
        <v/>
      </c>
      <c r="T362" s="9">
        <f>O362+Q362</f>
        <v/>
      </c>
      <c r="U362" s="41" t="n"/>
      <c r="V362" s="41" t="n"/>
      <c r="W362" s="9">
        <f>U362+V362</f>
        <v/>
      </c>
      <c r="X362" s="9">
        <f>T362-W362</f>
        <v/>
      </c>
      <c r="Y362" s="41" t="n"/>
      <c r="Z362" s="43" t="n"/>
      <c r="AA362" s="3">
        <f>Table6[[#This Row],[(RESV. STORGE) AJD]]/10</f>
        <v/>
      </c>
      <c r="AB362" s="3">
        <f>IF(TRIM(Z362)="",,(Z362-Z361)/1000)</f>
        <v/>
      </c>
      <c r="AC362" s="5" t="n"/>
      <c r="AD362" s="39">
        <f>(Table6[[#This Row],[( S/S+T/B) AJD]]*1000)-((Table6[[#This Row],[(STORGE DIFF.) AJD]]*1000)+Table6[[#This Row],[AJD_Evaporation]]+(Table6[[#This Row],[(A/B + A/S) AJD]]*1000))</f>
        <v/>
      </c>
      <c r="AE362" s="41" t="n"/>
      <c r="AF362" s="43" t="n"/>
      <c r="AG362" s="43" t="n"/>
      <c r="AH362" s="6">
        <f>Table6[[#This Row],[ (RESV. STORGE) BER]]/10</f>
        <v/>
      </c>
      <c r="AI362" s="41" t="n"/>
      <c r="AJ362" s="43">
        <f>Table6[[#This Row],[(A/B) AJD]]-TABL12345[[#This Row],[BER_IN]]</f>
        <v/>
      </c>
      <c r="AK362" s="43" t="n"/>
      <c r="AL362" s="43" t="n"/>
      <c r="AM362" s="32" t="n"/>
      <c r="AN362" s="32">
        <f>Table6[[#This Row],[ (RESV. STORGE) SER]]/10</f>
        <v/>
      </c>
      <c r="AO362" s="68" t="n"/>
      <c r="AP362" s="99">
        <f>Table6[[#This Row],[(A/S) AJD]]-Table6[[#This Row],[SER_IN]]</f>
        <v/>
      </c>
    </row>
    <row r="363" ht="18.75" customHeight="1">
      <c r="A363" s="98" t="n">
        <v>47845</v>
      </c>
      <c r="B363" s="44" t="n"/>
      <c r="C363" s="44" t="n"/>
      <c r="D363" s="44" t="n"/>
      <c r="E363" s="44" t="n"/>
      <c r="F363" s="44" t="n"/>
      <c r="G363" s="40" t="n"/>
      <c r="H363" s="44" t="n"/>
      <c r="I363" s="40" t="n"/>
      <c r="J363" s="44" t="n"/>
      <c r="K363" s="28">
        <f>Table6[[#This Row],[ (T/B) SAR]]+Table6[[#This Row],[ (S/S) SAR]]</f>
        <v/>
      </c>
      <c r="L363" s="45" t="n"/>
      <c r="M363" s="46" t="n"/>
      <c r="N363" s="46" t="n"/>
      <c r="O363" s="40" t="n"/>
      <c r="P363" s="9">
        <f>Table6[[#This Row],[ (S/S) SAR]]-Table6[[#This Row],[(S/S) AJD]]</f>
        <v/>
      </c>
      <c r="Q363" s="40" t="n"/>
      <c r="R363" s="9">
        <f>Table6[[#This Row],[ (T/B) SAR]]-Table6[[#This Row],[(T/B) AJD]]</f>
        <v/>
      </c>
      <c r="S363" s="9">
        <f>Table6[[#This Row],[S/S_CON.]]+Table6[[#This Row],[T/B-CON.]]</f>
        <v/>
      </c>
      <c r="T363" s="9">
        <f>O363+Q363</f>
        <v/>
      </c>
      <c r="U363" s="44" t="n"/>
      <c r="V363" s="44" t="n"/>
      <c r="W363" s="9">
        <f>U363+V363</f>
        <v/>
      </c>
      <c r="X363" s="9">
        <f>T363-W363</f>
        <v/>
      </c>
      <c r="Y363" s="44" t="n"/>
      <c r="Z363" s="45" t="n"/>
      <c r="AA363" s="3">
        <f>Table6[[#This Row],[(RESV. STORGE) AJD]]/10</f>
        <v/>
      </c>
      <c r="AB363" s="3">
        <f>IF(TRIM(Z363)="",,(Z363-Z362)/1000)</f>
        <v/>
      </c>
      <c r="AC363" s="5" t="n"/>
      <c r="AD363" s="40">
        <f>(Table6[[#This Row],[( S/S+T/B) AJD]]*1000)-((Table6[[#This Row],[(STORGE DIFF.) AJD]]*1000)+Table6[[#This Row],[AJD_Evaporation]]+(Table6[[#This Row],[(A/B + A/S) AJD]]*1000))</f>
        <v/>
      </c>
      <c r="AE363" s="44" t="n"/>
      <c r="AF363" s="45" t="n"/>
      <c r="AG363" s="45" t="n"/>
      <c r="AH363" s="6">
        <f>Table6[[#This Row],[ (RESV. STORGE) BER]]/10</f>
        <v/>
      </c>
      <c r="AI363" s="44" t="n"/>
      <c r="AJ363" s="45">
        <f>Table6[[#This Row],[(A/B) AJD]]-TABL12345[[#This Row],[BER_IN]]</f>
        <v/>
      </c>
      <c r="AK363" s="45" t="n"/>
      <c r="AL363" s="45" t="n"/>
      <c r="AM363" s="32" t="n"/>
      <c r="AN363" s="32">
        <f>Table6[[#This Row],[ (RESV. STORGE) SER]]/10</f>
        <v/>
      </c>
      <c r="AO363" s="68" t="n"/>
      <c r="AP363" s="99">
        <f>Table6[[#This Row],[(A/S) AJD]]-Table6[[#This Row],[SER_IN]]</f>
        <v/>
      </c>
    </row>
    <row r="364" ht="18.75" customHeight="1">
      <c r="A364" s="98" t="n">
        <v>47846</v>
      </c>
      <c r="B364" s="41" t="n"/>
      <c r="C364" s="41" t="n"/>
      <c r="D364" s="41" t="n"/>
      <c r="E364" s="41" t="n"/>
      <c r="F364" s="41" t="n"/>
      <c r="G364" s="39" t="n"/>
      <c r="H364" s="41" t="n"/>
      <c r="I364" s="39" t="n"/>
      <c r="J364" s="39" t="n"/>
      <c r="K364" s="28">
        <f>Table6[[#This Row],[ (T/B) SAR]]+Table6[[#This Row],[ (S/S) SAR]]</f>
        <v/>
      </c>
      <c r="L364" s="41" t="n"/>
      <c r="M364" s="42" t="n"/>
      <c r="N364" s="42" t="n"/>
      <c r="O364" s="39" t="n"/>
      <c r="P364" s="9">
        <f>Table6[[#This Row],[ (S/S) SAR]]-Table6[[#This Row],[(S/S) AJD]]</f>
        <v/>
      </c>
      <c r="Q364" s="39" t="n"/>
      <c r="R364" s="9">
        <f>Table6[[#This Row],[ (T/B) SAR]]-Table6[[#This Row],[(T/B) AJD]]</f>
        <v/>
      </c>
      <c r="S364" s="9">
        <f>Table6[[#This Row],[S/S_CON.]]+Table6[[#This Row],[T/B-CON.]]</f>
        <v/>
      </c>
      <c r="T364" s="9">
        <f>O364+Q364</f>
        <v/>
      </c>
      <c r="U364" s="41" t="n"/>
      <c r="V364" s="41" t="n"/>
      <c r="W364" s="9">
        <f>U364+V364</f>
        <v/>
      </c>
      <c r="X364" s="9">
        <f>T364-W364</f>
        <v/>
      </c>
      <c r="Y364" s="41" t="n"/>
      <c r="Z364" s="43" t="n"/>
      <c r="AA364" s="3">
        <f>Table6[[#This Row],[(RESV. STORGE) AJD]]/10</f>
        <v/>
      </c>
      <c r="AB364" s="3">
        <f>IF(TRIM(Z364)="",,(Z364-Z363)/1000)</f>
        <v/>
      </c>
      <c r="AC364" s="5" t="n"/>
      <c r="AD364" s="39">
        <f>(Table6[[#This Row],[( S/S+T/B) AJD]]*1000)-((Table6[[#This Row],[(STORGE DIFF.) AJD]]*1000)+Table6[[#This Row],[AJD_Evaporation]]+(Table6[[#This Row],[(A/B + A/S) AJD]]*1000))</f>
        <v/>
      </c>
      <c r="AE364" s="41" t="n"/>
      <c r="AF364" s="43" t="n"/>
      <c r="AG364" s="43" t="n"/>
      <c r="AH364" s="6">
        <f>Table6[[#This Row],[ (RESV. STORGE) BER]]/10</f>
        <v/>
      </c>
      <c r="AI364" s="41" t="n"/>
      <c r="AJ364" s="43">
        <f>Table6[[#This Row],[(A/B) AJD]]-TABL12345[[#This Row],[BER_IN]]</f>
        <v/>
      </c>
      <c r="AK364" s="43" t="n"/>
      <c r="AL364" s="43" t="n"/>
      <c r="AM364" s="32" t="n"/>
      <c r="AN364" s="32">
        <f>Table6[[#This Row],[ (RESV. STORGE) SER]]/10</f>
        <v/>
      </c>
      <c r="AO364" s="68" t="n"/>
      <c r="AP364" s="99">
        <f>Table6[[#This Row],[(A/S) AJD]]-Table6[[#This Row],[SER_IN]]</f>
        <v/>
      </c>
    </row>
    <row r="365" ht="18.75" customHeight="1">
      <c r="A365" s="98" t="n">
        <v>47847</v>
      </c>
      <c r="B365" s="44" t="n"/>
      <c r="C365" s="44" t="n"/>
      <c r="D365" s="44" t="n"/>
      <c r="E365" s="44" t="n"/>
      <c r="F365" s="44" t="n"/>
      <c r="G365" s="40" t="n"/>
      <c r="H365" s="44" t="n"/>
      <c r="I365" s="40" t="n"/>
      <c r="J365" s="44" t="n"/>
      <c r="K365" s="28">
        <f>Table6[[#This Row],[ (T/B) SAR]]+Table6[[#This Row],[ (S/S) SAR]]</f>
        <v/>
      </c>
      <c r="L365" s="45" t="n"/>
      <c r="M365" s="46" t="n"/>
      <c r="N365" s="46" t="n"/>
      <c r="O365" s="40" t="n"/>
      <c r="P365" s="9">
        <f>Table6[[#This Row],[ (S/S) SAR]]-Table6[[#This Row],[(S/S) AJD]]</f>
        <v/>
      </c>
      <c r="Q365" s="40" t="n"/>
      <c r="R365" s="9">
        <f>Table6[[#This Row],[ (T/B) SAR]]-Table6[[#This Row],[(T/B) AJD]]</f>
        <v/>
      </c>
      <c r="S365" s="9">
        <f>Table6[[#This Row],[S/S_CON.]]+Table6[[#This Row],[T/B-CON.]]</f>
        <v/>
      </c>
      <c r="T365" s="9">
        <f>O365+Q365</f>
        <v/>
      </c>
      <c r="U365" s="44" t="n"/>
      <c r="V365" s="44" t="n"/>
      <c r="W365" s="9">
        <f>U365+V365</f>
        <v/>
      </c>
      <c r="X365" s="9">
        <f>T365-W365</f>
        <v/>
      </c>
      <c r="Y365" s="44" t="n"/>
      <c r="Z365" s="45" t="n"/>
      <c r="AA365" s="3">
        <f>Table6[[#This Row],[(RESV. STORGE) AJD]]/10</f>
        <v/>
      </c>
      <c r="AB365" s="3">
        <f>IF(TRIM(Z365)="",,(Z365-Z364)/1000)</f>
        <v/>
      </c>
      <c r="AC365" s="5" t="n"/>
      <c r="AD365" s="50">
        <f>(Table6[[#This Row],[( S/S+T/B) AJD]]*1000)-((Table6[[#This Row],[(STORGE DIFF.) AJD]]*1000)+Table6[[#This Row],[AJD_Evaporation]]+(Table6[[#This Row],[(A/B + A/S) AJD]]*1000))</f>
        <v/>
      </c>
      <c r="AE365" s="44" t="n"/>
      <c r="AF365" s="45" t="n"/>
      <c r="AG365" s="45" t="n"/>
      <c r="AH365" s="6">
        <f>Table6[[#This Row],[ (RESV. STORGE) BER]]/10</f>
        <v/>
      </c>
      <c r="AI365" s="44" t="n"/>
      <c r="AJ365" s="91">
        <f>Table6[[#This Row],[(A/B) AJD]]-TABL12345[[#This Row],[BER_IN]]</f>
        <v/>
      </c>
      <c r="AK365" s="45" t="n"/>
      <c r="AL365" s="45" t="n"/>
      <c r="AM365" s="32" t="n"/>
      <c r="AN365" s="32">
        <f>Table6[[#This Row],[ (RESV. STORGE) SER]]/10</f>
        <v/>
      </c>
      <c r="AO365" s="68" t="n"/>
      <c r="AP365" s="99">
        <f>Table6[[#This Row],[(A/S) AJD]]-Table6[[#This Row],[SER_IN]]</f>
        <v/>
      </c>
    </row>
    <row r="366" ht="18.75" customHeight="1">
      <c r="A366" s="98" t="n">
        <v>47848</v>
      </c>
      <c r="B366" s="41" t="n"/>
      <c r="C366" s="41" t="n"/>
      <c r="D366" s="41" t="n"/>
      <c r="E366" s="41" t="n"/>
      <c r="F366" s="41" t="n"/>
      <c r="G366" s="39" t="n"/>
      <c r="H366" s="41" t="n"/>
      <c r="I366" s="39" t="n"/>
      <c r="J366" s="39" t="n"/>
      <c r="K366" s="51">
        <f>Table6[[#This Row],[ (T/B) SAR]]+Table6[[#This Row],[ (S/S) SAR]]</f>
        <v/>
      </c>
      <c r="L366" s="41" t="n"/>
      <c r="M366" s="42" t="n"/>
      <c r="N366" s="42" t="n"/>
      <c r="O366" s="39" t="n"/>
      <c r="P366" s="19">
        <f>Table6[[#This Row],[ (S/S) SAR]]-Table6[[#This Row],[(S/S) AJD]]</f>
        <v/>
      </c>
      <c r="Q366" s="39" t="n"/>
      <c r="R366" s="19">
        <f>Table6[[#This Row],[ (T/B) SAR]]-Table6[[#This Row],[(T/B) AJD]]</f>
        <v/>
      </c>
      <c r="S366" s="19">
        <f>Table6[[#This Row],[S/S_CON.]]+Table6[[#This Row],[T/B-CON.]]</f>
        <v/>
      </c>
      <c r="T366" s="19">
        <f>O366+Q366</f>
        <v/>
      </c>
      <c r="U366" s="41" t="n"/>
      <c r="V366" s="41" t="n"/>
      <c r="W366" s="19">
        <f>U366+V366</f>
        <v/>
      </c>
      <c r="X366" s="19">
        <f>T366-W366</f>
        <v/>
      </c>
      <c r="Y366" s="41" t="n"/>
      <c r="Z366" s="43" t="n"/>
      <c r="AA366" s="3">
        <f>Table6[[#This Row],[(RESV. STORGE) AJD]]/10</f>
        <v/>
      </c>
      <c r="AB366" s="3">
        <f>IF(TRIM(Z366)="",,(Z366-Z365)/1000)</f>
        <v/>
      </c>
      <c r="AC366" s="5" t="n"/>
      <c r="AD366" s="50">
        <f>(Table6[[#This Row],[( S/S+T/B) AJD]]*1000)-((Table6[[#This Row],[(STORGE DIFF.) AJD]]*1000)+Table6[[#This Row],[AJD_Evaporation]]+(Table6[[#This Row],[(A/B + A/S) AJD]]*1000))</f>
        <v/>
      </c>
      <c r="AE366" s="41" t="n"/>
      <c r="AF366" s="43" t="n"/>
      <c r="AG366" s="43" t="n"/>
      <c r="AH366" s="21">
        <f>Table6[[#This Row],[ (RESV. STORGE) BER]]/10</f>
        <v/>
      </c>
      <c r="AI366" s="41" t="n"/>
      <c r="AJ366" s="43">
        <f>Table6[[#This Row],[(A/B) AJD]]-TABL12345[[#This Row],[BER_IN]]</f>
        <v/>
      </c>
      <c r="AK366" s="43" t="n"/>
      <c r="AL366" s="43" t="n"/>
      <c r="AM366" s="32" t="n"/>
      <c r="AN366" s="32">
        <f>Table6[[#This Row],[ (RESV. STORGE) SER]]/10</f>
        <v/>
      </c>
      <c r="AO366" s="82" t="n"/>
      <c r="AP366" s="99">
        <f>Table6[[#This Row],[(A/S) AJD]]-Table6[[#This Row],[SER_IN]]</f>
        <v/>
      </c>
    </row>
    <row r="367">
      <c r="A367" s="59" t="n"/>
      <c r="B367" s="60" t="n"/>
      <c r="C367" s="61" t="n"/>
      <c r="D367" s="61" t="n"/>
      <c r="E367" s="61" t="n"/>
      <c r="F367" s="61" t="n"/>
      <c r="G367" s="61" t="n"/>
      <c r="H367" s="61" t="n"/>
      <c r="I367" s="62" t="n"/>
      <c r="J367" s="61" t="n"/>
      <c r="K367" s="62" t="n"/>
      <c r="L367" s="61" t="n"/>
      <c r="M367" s="63" t="n"/>
      <c r="N367" s="64" t="n"/>
      <c r="O367" s="52" t="n"/>
      <c r="P367" s="19" t="n"/>
      <c r="Q367" s="52" t="n"/>
      <c r="R367" s="19" t="n"/>
      <c r="S367" s="19" t="n"/>
      <c r="T367" s="19" t="n"/>
      <c r="U367" s="52" t="n"/>
      <c r="V367" s="52" t="n"/>
      <c r="W367" s="19" t="n"/>
      <c r="X367" s="19" t="n"/>
      <c r="Y367" s="53" t="n"/>
      <c r="Z367" s="52" t="n"/>
      <c r="AA367" s="19" t="n"/>
      <c r="AB367" s="19" t="n"/>
      <c r="AC367" s="65" t="n"/>
      <c r="AD367" s="54" t="n"/>
      <c r="AE367" s="52" t="n"/>
      <c r="AF367" s="20" t="n"/>
      <c r="AG367" s="19" t="n"/>
      <c r="AH367" s="19" t="n"/>
      <c r="AI367" s="19" t="n"/>
      <c r="AJ367" s="21" t="n"/>
      <c r="AK367" s="55" t="n"/>
      <c r="AL367" s="19" t="n"/>
      <c r="AM367" s="54" t="n"/>
      <c r="AN367" s="66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nasserab965@gmail.com</dc:creator>
  <dcterms:created xsi:type="dcterms:W3CDTF">2026-08-15T08:04:15Z</dcterms:created>
  <dcterms:modified xsi:type="dcterms:W3CDTF">2026-10-26T19:34:03Z</dcterms:modified>
  <cp:lastModifiedBy>nasserab965@gmail.com</cp:lastModifiedBy>
</cp:coreProperties>
</file>